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trategy" sheetId="2" state="visible" r:id="rId2"/>
    <sheet xmlns:r="http://schemas.openxmlformats.org/officeDocument/2006/relationships" name="Identity" sheetId="3" state="visible" r:id="rId3"/>
    <sheet xmlns:r="http://schemas.openxmlformats.org/officeDocument/2006/relationships" name="Device" sheetId="4" state="visible" r:id="rId4"/>
    <sheet xmlns:r="http://schemas.openxmlformats.org/officeDocument/2006/relationships" name="Network" sheetId="5" state="visible" r:id="rId5"/>
    <sheet xmlns:r="http://schemas.openxmlformats.org/officeDocument/2006/relationships" name="Workload" sheetId="6" state="visible" r:id="rId6"/>
    <sheet xmlns:r="http://schemas.openxmlformats.org/officeDocument/2006/relationships" name="Data" sheetId="7" state="visible" r:id="rId7"/>
    <sheet xmlns:r="http://schemas.openxmlformats.org/officeDocument/2006/relationships" name="Visibility" sheetId="8" state="visible" r:id="rId8"/>
    <sheet xmlns:r="http://schemas.openxmlformats.org/officeDocument/2006/relationships" name="Automation" sheetId="9" state="visible" r:id="rId9"/>
    <sheet xmlns:r="http://schemas.openxmlformats.org/officeDocument/2006/relationships" name="Compliance" sheetId="10" state="visible" r:id="rId10"/>
    <sheet xmlns:r="http://schemas.openxmlformats.org/officeDocument/2006/relationships" name="GapRegister" sheetId="11" state="visible" r:id="rId11"/>
    <sheet xmlns:r="http://schemas.openxmlformats.org/officeDocument/2006/relationships" name="Dashboar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30" customHeight="1">
      <c r="A1" s="1" t="inlineStr">
        <is>
          <t>ISMS-IMP-A.8.27.4 - Zero Trust Implementation Assessment</t>
        </is>
      </c>
    </row>
    <row r="3">
      <c r="A3" s="2" t="inlineStr">
        <is>
          <t>Document Information</t>
        </is>
      </c>
      <c r="B3" s="3" t="n"/>
      <c r="C3" s="3" t="n"/>
      <c r="D3" s="3" t="n"/>
      <c r="E3" s="3" t="n"/>
      <c r="F3" s="3" t="n"/>
      <c r="G3" s="3" t="n"/>
      <c r="H3" s="4" t="n"/>
    </row>
    <row r="4">
      <c r="A4" s="5" t="inlineStr">
        <is>
          <t>Document ID</t>
        </is>
      </c>
      <c r="B4" s="6" t="inlineStr">
        <is>
          <t>ISMS-IMP-A.8.27.4</t>
        </is>
      </c>
      <c r="C4" s="3" t="n"/>
      <c r="D4" s="3" t="n"/>
      <c r="E4" s="3" t="n"/>
      <c r="F4" s="3" t="n"/>
      <c r="G4" s="3" t="n"/>
      <c r="H4" s="4" t="n"/>
    </row>
    <row r="5">
      <c r="A5" s="5" t="inlineStr">
        <is>
          <t>Control Reference</t>
        </is>
      </c>
      <c r="B5" s="6" t="inlineStr">
        <is>
          <t>ISO/IEC 27001:2022 - Control A.8.27: Secure System Architecture and Engineering Principles</t>
        </is>
      </c>
      <c r="C5" s="3" t="n"/>
      <c r="D5" s="3" t="n"/>
      <c r="E5" s="3" t="n"/>
      <c r="F5" s="3" t="n"/>
      <c r="G5" s="3" t="n"/>
      <c r="H5" s="4" t="n"/>
    </row>
    <row r="6">
      <c r="A6" s="5" t="inlineStr">
        <is>
          <t>Purpose</t>
        </is>
      </c>
      <c r="B6" s="6" t="inlineStr">
        <is>
          <t>Evaluate Zero Trust Architecture maturity across all pillars</t>
        </is>
      </c>
      <c r="C6" s="3" t="n"/>
      <c r="D6" s="3" t="n"/>
      <c r="E6" s="3" t="n"/>
      <c r="F6" s="3" t="n"/>
      <c r="G6" s="3" t="n"/>
      <c r="H6" s="4" t="n"/>
    </row>
    <row r="7">
      <c r="A7" s="5" t="inlineStr">
        <is>
          <t>Framework Reference</t>
        </is>
      </c>
      <c r="B7" s="6" t="inlineStr">
        <is>
          <t>NIST SP 800-207, CISA Zero Trust Maturity Model</t>
        </is>
      </c>
      <c r="C7" s="3" t="n"/>
      <c r="D7" s="3" t="n"/>
      <c r="E7" s="3" t="n"/>
      <c r="F7" s="3" t="n"/>
      <c r="G7" s="3" t="n"/>
      <c r="H7" s="4" t="n"/>
    </row>
    <row r="8">
      <c r="A8" s="5" t="inlineStr">
        <is>
          <t>Generated Date</t>
        </is>
      </c>
      <c r="B8" s="6" t="inlineStr">
        <is>
          <t>08.02.2026</t>
        </is>
      </c>
      <c r="C8" s="3" t="n"/>
      <c r="D8" s="3" t="n"/>
      <c r="E8" s="3" t="n"/>
      <c r="F8" s="3" t="n"/>
      <c r="G8" s="3" t="n"/>
      <c r="H8" s="4" t="n"/>
    </row>
    <row r="10">
      <c r="A10" s="2" t="inlineStr">
        <is>
          <t>CISA Zero Trust Maturity Levels</t>
        </is>
      </c>
      <c r="B10" s="3" t="n"/>
      <c r="C10" s="3" t="n"/>
      <c r="D10" s="3" t="n"/>
      <c r="E10" s="3" t="n"/>
      <c r="F10" s="3" t="n"/>
      <c r="G10" s="3" t="n"/>
      <c r="H10" s="4" t="n"/>
    </row>
    <row r="11">
      <c r="A11" s="5" t="inlineStr">
        <is>
          <t>Traditional</t>
        </is>
      </c>
      <c r="B11" s="5" t="inlineStr">
        <is>
          <t>Perimeter-based security, implicit trust within network</t>
        </is>
      </c>
      <c r="C11" s="3" t="n"/>
      <c r="D11" s="3" t="n"/>
      <c r="E11" s="3" t="n"/>
      <c r="F11" s="3" t="n"/>
      <c r="G11" s="3" t="n"/>
      <c r="H11" s="4" t="n"/>
    </row>
    <row r="12">
      <c r="A12" s="5" t="inlineStr">
        <is>
          <t>Initial</t>
        </is>
      </c>
      <c r="B12" s="5" t="inlineStr">
        <is>
          <t>Basic ZT capabilities, some explicit verification</t>
        </is>
      </c>
      <c r="C12" s="3" t="n"/>
      <c r="D12" s="3" t="n"/>
      <c r="E12" s="3" t="n"/>
      <c r="F12" s="3" t="n"/>
      <c r="G12" s="3" t="n"/>
      <c r="H12" s="4" t="n"/>
    </row>
    <row r="13">
      <c r="A13" s="5" t="inlineStr">
        <is>
          <t>Advanced</t>
        </is>
      </c>
      <c r="B13" s="5" t="inlineStr">
        <is>
          <t>Comprehensive ZT, automated policy enforcement</t>
        </is>
      </c>
      <c r="C13" s="3" t="n"/>
      <c r="D13" s="3" t="n"/>
      <c r="E13" s="3" t="n"/>
      <c r="F13" s="3" t="n"/>
      <c r="G13" s="3" t="n"/>
      <c r="H13" s="4" t="n"/>
    </row>
    <row r="14">
      <c r="A14" s="5" t="inlineStr">
        <is>
          <t>Optimal</t>
        </is>
      </c>
      <c r="B14" s="5" t="inlineStr">
        <is>
          <t>Full ZT, continuous verification, dynamic policies</t>
        </is>
      </c>
      <c r="C14" s="3" t="n"/>
      <c r="D14" s="3" t="n"/>
      <c r="E14" s="3" t="n"/>
      <c r="F14" s="3" t="n"/>
      <c r="G14" s="3" t="n"/>
      <c r="H14" s="4" t="n"/>
    </row>
  </sheetData>
  <mergeCells count="12">
    <mergeCell ref="B8:H8"/>
    <mergeCell ref="A3:H3"/>
    <mergeCell ref="B14:H14"/>
    <mergeCell ref="B13:H13"/>
    <mergeCell ref="B4:H4"/>
    <mergeCell ref="B12:H12"/>
    <mergeCell ref="A10:H10"/>
    <mergeCell ref="B6:H6"/>
    <mergeCell ref="B7:H7"/>
    <mergeCell ref="A1:H1"/>
    <mergeCell ref="B11:H1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30" customWidth="1" min="4" max="4"/>
    <col width="30" customWidth="1" min="5" max="5"/>
    <col width="20" customWidth="1" min="6" max="6"/>
    <col width="25" customWidth="1" min="7" max="7"/>
  </cols>
  <sheetData>
    <row r="1" ht="30" customHeight="1">
      <c r="A1" s="1" t="inlineStr">
        <is>
          <t>Zero Trust - Strategy Assessment</t>
        </is>
      </c>
    </row>
    <row r="3">
      <c r="A3" s="1" t="inlineStr">
        <is>
          <t>Strat-ID</t>
        </is>
      </c>
      <c r="B3" s="1" t="inlineStr">
        <is>
          <t>Element</t>
        </is>
      </c>
      <c r="C3" s="1" t="inlineStr">
        <is>
          <t>Status</t>
        </is>
      </c>
      <c r="D3" s="1" t="inlineStr">
        <is>
          <t>Evidence</t>
        </is>
      </c>
      <c r="E3" s="1" t="inlineStr">
        <is>
          <t>Gap</t>
        </is>
      </c>
      <c r="F3" s="1" t="inlineStr">
        <is>
          <t>Owner</t>
        </is>
      </c>
      <c r="G3" s="1" t="inlineStr">
        <is>
          <t>Notes</t>
        </is>
      </c>
    </row>
    <row r="4">
      <c r="A4" s="5" t="inlineStr">
        <is>
          <t>STRAT-001</t>
        </is>
      </c>
      <c r="B4" s="5" t="inlineStr">
        <is>
          <t>Executive sponsorship for Zero Trust</t>
        </is>
      </c>
      <c r="C4" s="6" t="n"/>
      <c r="D4" s="6" t="n"/>
      <c r="E4" s="6" t="n"/>
      <c r="F4" s="6" t="n"/>
      <c r="G4" s="6" t="n"/>
    </row>
    <row r="5">
      <c r="A5" s="5" t="inlineStr">
        <is>
          <t>STRAT-002</t>
        </is>
      </c>
      <c r="B5" s="5" t="inlineStr">
        <is>
          <t>Zero Trust strategy documented</t>
        </is>
      </c>
      <c r="C5" s="6" t="n"/>
      <c r="D5" s="6" t="n"/>
      <c r="E5" s="6" t="n"/>
      <c r="F5" s="6" t="n"/>
      <c r="G5" s="6" t="n"/>
    </row>
    <row r="6">
      <c r="A6" s="5" t="inlineStr">
        <is>
          <t>STRAT-003</t>
        </is>
      </c>
      <c r="B6" s="5" t="inlineStr">
        <is>
          <t>Multi-year ZT roadmap defined</t>
        </is>
      </c>
      <c r="C6" s="6" t="n"/>
      <c r="D6" s="6" t="n"/>
      <c r="E6" s="6" t="n"/>
      <c r="F6" s="6" t="n"/>
      <c r="G6" s="6" t="n"/>
    </row>
    <row r="7">
      <c r="A7" s="5" t="inlineStr">
        <is>
          <t>STRAT-004</t>
        </is>
      </c>
      <c r="B7" s="5" t="inlineStr">
        <is>
          <t>ZT governance established</t>
        </is>
      </c>
      <c r="C7" s="6" t="n"/>
      <c r="D7" s="6" t="n"/>
      <c r="E7" s="6" t="n"/>
      <c r="F7" s="6" t="n"/>
      <c r="G7" s="6" t="n"/>
    </row>
    <row r="8">
      <c r="A8" s="5" t="inlineStr">
        <is>
          <t>STRAT-005</t>
        </is>
      </c>
      <c r="B8" s="5" t="inlineStr">
        <is>
          <t>Budget allocated for ZT initiatives</t>
        </is>
      </c>
      <c r="C8" s="6" t="n"/>
      <c r="D8" s="6" t="n"/>
      <c r="E8" s="6" t="n"/>
      <c r="F8" s="6" t="n"/>
      <c r="G8" s="6" t="n"/>
    </row>
    <row r="9">
      <c r="A9" s="5" t="inlineStr">
        <is>
          <t>STRAT-006</t>
        </is>
      </c>
      <c r="B9" s="5" t="inlineStr">
        <is>
          <t>Success metrics defined</t>
        </is>
      </c>
      <c r="C9" s="6" t="n"/>
      <c r="D9" s="6" t="n"/>
      <c r="E9" s="6" t="n"/>
      <c r="F9" s="6" t="n"/>
      <c r="G9" s="6" t="n"/>
    </row>
    <row r="10">
      <c r="A10" s="5" t="inlineStr">
        <is>
          <t>STRAT-007</t>
        </is>
      </c>
      <c r="B10" s="5" t="inlineStr">
        <is>
          <t>ZT strategy communicated organisation-wide</t>
        </is>
      </c>
      <c r="C10" s="6" t="n"/>
      <c r="D10" s="6" t="n"/>
      <c r="E10" s="6" t="n"/>
      <c r="F10" s="6" t="n"/>
      <c r="G10" s="6" t="n"/>
    </row>
    <row r="11">
      <c r="A11" s="5" t="inlineStr">
        <is>
          <t>STRAT-008</t>
        </is>
      </c>
      <c r="B11" s="5" t="inlineStr">
        <is>
          <t>ZT training programme established</t>
        </is>
      </c>
      <c r="C11" s="6" t="n"/>
      <c r="D11" s="6" t="n"/>
      <c r="E11" s="6" t="n"/>
      <c r="F11" s="6" t="n"/>
      <c r="G11" s="6" t="n"/>
    </row>
    <row r="12">
      <c r="A12" s="5" t="inlineStr">
        <is>
          <t>STRAT-009</t>
        </is>
      </c>
      <c r="B12" s="5" t="inlineStr">
        <is>
          <t>ZT pilot projects completed</t>
        </is>
      </c>
      <c r="C12" s="6" t="n"/>
      <c r="D12" s="6" t="n"/>
      <c r="E12" s="6" t="n"/>
      <c r="F12" s="6" t="n"/>
      <c r="G12" s="6" t="n"/>
    </row>
    <row r="13">
      <c r="A13" s="5" t="inlineStr">
        <is>
          <t>STRAT-010</t>
        </is>
      </c>
      <c r="B13" s="5" t="inlineStr">
        <is>
          <t>ZT architecture documented</t>
        </is>
      </c>
      <c r="C13" s="6" t="n"/>
      <c r="D13" s="6" t="n"/>
      <c r="E13" s="6" t="n"/>
      <c r="F13" s="6" t="n"/>
      <c r="G13" s="6" t="n"/>
    </row>
    <row r="14">
      <c r="A14" s="5" t="inlineStr">
        <is>
          <t>STRAT-011</t>
        </is>
      </c>
      <c r="B14" s="5" t="inlineStr">
        <is>
          <t>ZT policy framework defined</t>
        </is>
      </c>
      <c r="C14" s="6" t="n"/>
      <c r="D14" s="6" t="n"/>
      <c r="E14" s="6" t="n"/>
      <c r="F14" s="6" t="n"/>
      <c r="G14" s="6" t="n"/>
    </row>
    <row r="15">
      <c r="A15" s="5" t="inlineStr">
        <is>
          <t>STRAT-012</t>
        </is>
      </c>
      <c r="B15" s="5" t="inlineStr">
        <is>
          <t>ZT vendor/tool selection completed</t>
        </is>
      </c>
      <c r="C15" s="6" t="n"/>
      <c r="D15" s="6" t="n"/>
      <c r="E15" s="6" t="n"/>
      <c r="F15" s="6" t="n"/>
      <c r="G15" s="6" t="n"/>
    </row>
  </sheetData>
  <mergeCells count="1">
    <mergeCell ref="A1:G1"/>
  </mergeCells>
  <dataValidations count="1">
    <dataValidation sqref="C4:C15" showDropDown="0" showInputMessage="0" showErrorMessage="0" allowBlank="1" type="list">
      <formula1>"Implemented,Partial,Not Started"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  <col width="30" customWidth="1" min="10" max="10"/>
  </cols>
  <sheetData>
    <row r="1" ht="30" customHeight="1">
      <c r="A1" s="1" t="inlineStr">
        <is>
          <t>Zero Trust - Identity Pillar Assessment</t>
        </is>
      </c>
    </row>
    <row r="3">
      <c r="A3" s="1" t="inlineStr">
        <is>
          <t>ID-ID</t>
        </is>
      </c>
      <c r="B3" s="1" t="inlineStr">
        <is>
          <t>Capability</t>
        </is>
      </c>
      <c r="C3" s="1" t="inlineStr">
        <is>
          <t>Traditional</t>
        </is>
      </c>
      <c r="D3" s="1" t="inlineStr">
        <is>
          <t>Initial</t>
        </is>
      </c>
      <c r="E3" s="1" t="inlineStr">
        <is>
          <t>Advanced</t>
        </is>
      </c>
      <c r="F3" s="1" t="inlineStr">
        <is>
          <t>Optimal</t>
        </is>
      </c>
      <c r="G3" s="1" t="inlineStr">
        <is>
          <t>Current</t>
        </is>
      </c>
      <c r="H3" s="1" t="inlineStr">
        <is>
          <t>Target</t>
        </is>
      </c>
      <c r="I3" s="1" t="inlineStr">
        <is>
          <t>Evidence</t>
        </is>
      </c>
      <c r="J3" s="1" t="inlineStr">
        <is>
          <t>Gap</t>
        </is>
      </c>
    </row>
    <row r="4">
      <c r="A4" s="5" t="inlineStr">
        <is>
          <t>ID-001</t>
        </is>
      </c>
      <c r="B4" s="5" t="inlineStr">
        <is>
          <t>Password-based to MFA enforcement</t>
        </is>
      </c>
      <c r="C4" s="6" t="n"/>
      <c r="D4" s="6" t="n"/>
      <c r="E4" s="6" t="n"/>
      <c r="F4" s="6" t="n"/>
      <c r="G4" s="7">
        <f>IF(F4&gt;=2,"Optimal",IF(E4&gt;=2,"Advanced",IF(D4&gt;=2,"Initial","Traditional")))</f>
        <v/>
      </c>
      <c r="H4" s="6" t="n"/>
      <c r="I4" s="6" t="n"/>
      <c r="J4" s="6" t="n"/>
    </row>
    <row r="5">
      <c r="A5" s="5" t="inlineStr">
        <is>
          <t>ID-002</t>
        </is>
      </c>
      <c r="B5" s="5" t="inlineStr">
        <is>
          <t>Phishing-resistant MFA deployment</t>
        </is>
      </c>
      <c r="C5" s="6" t="n"/>
      <c r="D5" s="6" t="n"/>
      <c r="E5" s="6" t="n"/>
      <c r="F5" s="6" t="n"/>
      <c r="G5" s="7">
        <f>IF(F5&gt;=2,"Optimal",IF(E5&gt;=2,"Advanced",IF(D5&gt;=2,"Initial","Traditional")))</f>
        <v/>
      </c>
      <c r="H5" s="6" t="n"/>
      <c r="I5" s="6" t="n"/>
      <c r="J5" s="6" t="n"/>
    </row>
    <row r="6">
      <c r="A6" s="5" t="inlineStr">
        <is>
          <t>ID-003</t>
        </is>
      </c>
      <c r="B6" s="5" t="inlineStr">
        <is>
          <t>Passwordless authentication</t>
        </is>
      </c>
      <c r="C6" s="6" t="n"/>
      <c r="D6" s="6" t="n"/>
      <c r="E6" s="6" t="n"/>
      <c r="F6" s="6" t="n"/>
      <c r="G6" s="7">
        <f>IF(F6&gt;=2,"Optimal",IF(E6&gt;=2,"Advanced",IF(D6&gt;=2,"Initial","Traditional")))</f>
        <v/>
      </c>
      <c r="H6" s="6" t="n"/>
      <c r="I6" s="6" t="n"/>
      <c r="J6" s="6" t="n"/>
    </row>
    <row r="7">
      <c r="A7" s="5" t="inlineStr">
        <is>
          <t>ID-004</t>
        </is>
      </c>
      <c r="B7" s="5" t="inlineStr">
        <is>
          <t>Static RBAC to dynamic ABAC</t>
        </is>
      </c>
      <c r="C7" s="6" t="n"/>
      <c r="D7" s="6" t="n"/>
      <c r="E7" s="6" t="n"/>
      <c r="F7" s="6" t="n"/>
      <c r="G7" s="7">
        <f>IF(F7&gt;=2,"Optimal",IF(E7&gt;=2,"Advanced",IF(D7&gt;=2,"Initial","Traditional")))</f>
        <v/>
      </c>
      <c r="H7" s="6" t="n"/>
      <c r="I7" s="6" t="n"/>
      <c r="J7" s="6" t="n"/>
    </row>
    <row r="8">
      <c r="A8" s="5" t="inlineStr">
        <is>
          <t>ID-005</t>
        </is>
      </c>
      <c r="B8" s="5" t="inlineStr">
        <is>
          <t>Risk-based conditional access</t>
        </is>
      </c>
      <c r="C8" s="6" t="n"/>
      <c r="D8" s="6" t="n"/>
      <c r="E8" s="6" t="n"/>
      <c r="F8" s="6" t="n"/>
      <c r="G8" s="7">
        <f>IF(F8&gt;=2,"Optimal",IF(E8&gt;=2,"Advanced",IF(D8&gt;=2,"Initial","Traditional")))</f>
        <v/>
      </c>
      <c r="H8" s="6" t="n"/>
      <c r="I8" s="6" t="n"/>
      <c r="J8" s="6" t="n"/>
    </row>
    <row r="9">
      <c r="A9" s="5" t="inlineStr">
        <is>
          <t>ID-006</t>
        </is>
      </c>
      <c r="B9" s="5" t="inlineStr">
        <is>
          <t>Manual to automated identity lifecycle</t>
        </is>
      </c>
      <c r="C9" s="6" t="n"/>
      <c r="D9" s="6" t="n"/>
      <c r="E9" s="6" t="n"/>
      <c r="F9" s="6" t="n"/>
      <c r="G9" s="7">
        <f>IF(F9&gt;=2,"Optimal",IF(E9&gt;=2,"Advanced",IF(D9&gt;=2,"Initial","Traditional")))</f>
        <v/>
      </c>
      <c r="H9" s="6" t="n"/>
      <c r="I9" s="6" t="n"/>
      <c r="J9" s="6" t="n"/>
    </row>
    <row r="10">
      <c r="A10" s="5" t="inlineStr">
        <is>
          <t>ID-007</t>
        </is>
      </c>
      <c r="B10" s="5" t="inlineStr">
        <is>
          <t>Just-in-time (JIT) privileged access</t>
        </is>
      </c>
      <c r="C10" s="6" t="n"/>
      <c r="D10" s="6" t="n"/>
      <c r="E10" s="6" t="n"/>
      <c r="F10" s="6" t="n"/>
      <c r="G10" s="7">
        <f>IF(F10&gt;=2,"Optimal",IF(E10&gt;=2,"Advanced",IF(D10&gt;=2,"Initial","Traditional")))</f>
        <v/>
      </c>
      <c r="H10" s="6" t="n"/>
      <c r="I10" s="6" t="n"/>
      <c r="J10" s="6" t="n"/>
    </row>
    <row r="11">
      <c r="A11" s="5" t="inlineStr">
        <is>
          <t>ID-008</t>
        </is>
      </c>
      <c r="B11" s="5" t="inlineStr">
        <is>
          <t>Zero standing privilege</t>
        </is>
      </c>
      <c r="C11" s="6" t="n"/>
      <c r="D11" s="6" t="n"/>
      <c r="E11" s="6" t="n"/>
      <c r="F11" s="6" t="n"/>
      <c r="G11" s="7">
        <f>IF(F11&gt;=2,"Optimal",IF(E11&gt;=2,"Advanced",IF(D11&gt;=2,"Initial","Traditional")))</f>
        <v/>
      </c>
      <c r="H11" s="6" t="n"/>
      <c r="I11" s="6" t="n"/>
      <c r="J11" s="6" t="n"/>
    </row>
    <row r="12">
      <c r="A12" s="5" t="inlineStr">
        <is>
          <t>ID-009</t>
        </is>
      </c>
      <c r="B12" s="5" t="inlineStr">
        <is>
          <t>Federation and modern protocols</t>
        </is>
      </c>
      <c r="C12" s="6" t="n"/>
      <c r="D12" s="6" t="n"/>
      <c r="E12" s="6" t="n"/>
      <c r="F12" s="6" t="n"/>
      <c r="G12" s="7">
        <f>IF(F12&gt;=2,"Optimal",IF(E12&gt;=2,"Advanced",IF(D12&gt;=2,"Initial","Traditional")))</f>
        <v/>
      </c>
      <c r="H12" s="6" t="n"/>
      <c r="I12" s="6" t="n"/>
      <c r="J12" s="6" t="n"/>
    </row>
    <row r="13">
      <c r="A13" s="5" t="inlineStr">
        <is>
          <t>ID-010</t>
        </is>
      </c>
      <c r="B13" s="5" t="inlineStr">
        <is>
          <t>Continuous identity verification</t>
        </is>
      </c>
      <c r="C13" s="6" t="n"/>
      <c r="D13" s="6" t="n"/>
      <c r="E13" s="6" t="n"/>
      <c r="F13" s="6" t="n"/>
      <c r="G13" s="7">
        <f>IF(F13&gt;=2,"Optimal",IF(E13&gt;=2,"Advanced",IF(D13&gt;=2,"Initial","Traditional")))</f>
        <v/>
      </c>
      <c r="H13" s="6" t="n"/>
      <c r="I13" s="6" t="n"/>
      <c r="J13" s="6" t="n"/>
    </row>
  </sheetData>
  <mergeCells count="1">
    <mergeCell ref="A1:J1"/>
  </mergeCells>
  <dataValidations count="2">
    <dataValidation sqref="C4:F13" showDropDown="0" showInputMessage="0" showErrorMessage="0" allowBlank="1" type="list">
      <formula1>"0,1,2,3"</formula1>
    </dataValidation>
    <dataValidation sqref="H4:H13" showDropDown="0" showInputMessage="0" showErrorMessage="0" allowBlank="1" type="list">
      <formula1>"Traditional,Initial,Advanced,Optimal"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  <col width="30" customWidth="1" min="10" max="10"/>
  </cols>
  <sheetData>
    <row r="1" ht="30" customHeight="1">
      <c r="A1" s="1" t="inlineStr">
        <is>
          <t>Zero Trust - Device Pillar Assessment</t>
        </is>
      </c>
    </row>
    <row r="3">
      <c r="A3" s="1" t="inlineStr">
        <is>
          <t>DEV-ID</t>
        </is>
      </c>
      <c r="B3" s="1" t="inlineStr">
        <is>
          <t>Capability</t>
        </is>
      </c>
      <c r="C3" s="1" t="inlineStr">
        <is>
          <t>Traditional</t>
        </is>
      </c>
      <c r="D3" s="1" t="inlineStr">
        <is>
          <t>Initial</t>
        </is>
      </c>
      <c r="E3" s="1" t="inlineStr">
        <is>
          <t>Advanced</t>
        </is>
      </c>
      <c r="F3" s="1" t="inlineStr">
        <is>
          <t>Optimal</t>
        </is>
      </c>
      <c r="G3" s="1" t="inlineStr">
        <is>
          <t>Current</t>
        </is>
      </c>
      <c r="H3" s="1" t="inlineStr">
        <is>
          <t>Target</t>
        </is>
      </c>
      <c r="I3" s="1" t="inlineStr">
        <is>
          <t>Evidence</t>
        </is>
      </c>
      <c r="J3" s="1" t="inlineStr">
        <is>
          <t>Gap</t>
        </is>
      </c>
    </row>
    <row r="4">
      <c r="A4" s="5" t="inlineStr">
        <is>
          <t>DEV-001</t>
        </is>
      </c>
      <c r="B4" s="5" t="inlineStr">
        <is>
          <t>Device inventory completeness</t>
        </is>
      </c>
      <c r="C4" s="6" t="n"/>
      <c r="D4" s="6" t="n"/>
      <c r="E4" s="6" t="n"/>
      <c r="F4" s="6" t="n"/>
      <c r="G4" s="7">
        <f>IF(F4&gt;=2,"Optimal",IF(E4&gt;=2,"Advanced",IF(D4&gt;=2,"Initial","Traditional")))</f>
        <v/>
      </c>
      <c r="H4" s="6" t="n"/>
      <c r="I4" s="6" t="n"/>
      <c r="J4" s="6" t="n"/>
    </row>
    <row r="5">
      <c r="A5" s="5" t="inlineStr">
        <is>
          <t>DEV-002</t>
        </is>
      </c>
      <c r="B5" s="5" t="inlineStr">
        <is>
          <t>Real-time device inventory</t>
        </is>
      </c>
      <c r="C5" s="6" t="n"/>
      <c r="D5" s="6" t="n"/>
      <c r="E5" s="6" t="n"/>
      <c r="F5" s="6" t="n"/>
      <c r="G5" s="7">
        <f>IF(F5&gt;=2,"Optimal",IF(E5&gt;=2,"Advanced",IF(D5&gt;=2,"Initial","Traditional")))</f>
        <v/>
      </c>
      <c r="H5" s="6" t="n"/>
      <c r="I5" s="6" t="n"/>
      <c r="J5" s="6" t="n"/>
    </row>
    <row r="6">
      <c r="A6" s="5" t="inlineStr">
        <is>
          <t>DEV-003</t>
        </is>
      </c>
      <c r="B6" s="5" t="inlineStr">
        <is>
          <t>Device compliance checking</t>
        </is>
      </c>
      <c r="C6" s="6" t="n"/>
      <c r="D6" s="6" t="n"/>
      <c r="E6" s="6" t="n"/>
      <c r="F6" s="6" t="n"/>
      <c r="G6" s="7">
        <f>IF(F6&gt;=2,"Optimal",IF(E6&gt;=2,"Advanced",IF(D6&gt;=2,"Initial","Traditional")))</f>
        <v/>
      </c>
      <c r="H6" s="6" t="n"/>
      <c r="I6" s="6" t="n"/>
      <c r="J6" s="6" t="n"/>
    </row>
    <row r="7">
      <c r="A7" s="5" t="inlineStr">
        <is>
          <t>DEV-004</t>
        </is>
      </c>
      <c r="B7" s="5" t="inlineStr">
        <is>
          <t>Continuous device posture assessment</t>
        </is>
      </c>
      <c r="C7" s="6" t="n"/>
      <c r="D7" s="6" t="n"/>
      <c r="E7" s="6" t="n"/>
      <c r="F7" s="6" t="n"/>
      <c r="G7" s="7">
        <f>IF(F7&gt;=2,"Optimal",IF(E7&gt;=2,"Advanced",IF(D7&gt;=2,"Initial","Traditional")))</f>
        <v/>
      </c>
      <c r="H7" s="6" t="n"/>
      <c r="I7" s="6" t="n"/>
      <c r="J7" s="6" t="n"/>
    </row>
    <row r="8">
      <c r="A8" s="5" t="inlineStr">
        <is>
          <t>DEV-005</t>
        </is>
      </c>
      <c r="B8" s="5" t="inlineStr">
        <is>
          <t>Device health-based access decisions</t>
        </is>
      </c>
      <c r="C8" s="6" t="n"/>
      <c r="D8" s="6" t="n"/>
      <c r="E8" s="6" t="n"/>
      <c r="F8" s="6" t="n"/>
      <c r="G8" s="7">
        <f>IF(F8&gt;=2,"Optimal",IF(E8&gt;=2,"Advanced",IF(D8&gt;=2,"Initial","Traditional")))</f>
        <v/>
      </c>
      <c r="H8" s="6" t="n"/>
      <c r="I8" s="6" t="n"/>
      <c r="J8" s="6" t="n"/>
    </row>
    <row r="9">
      <c r="A9" s="5" t="inlineStr">
        <is>
          <t>DEV-006</t>
        </is>
      </c>
      <c r="B9" s="5" t="inlineStr">
        <is>
          <t>EDR deployment</t>
        </is>
      </c>
      <c r="C9" s="6" t="n"/>
      <c r="D9" s="6" t="n"/>
      <c r="E9" s="6" t="n"/>
      <c r="F9" s="6" t="n"/>
      <c r="G9" s="7">
        <f>IF(F9&gt;=2,"Optimal",IF(E9&gt;=2,"Advanced",IF(D9&gt;=2,"Initial","Traditional")))</f>
        <v/>
      </c>
      <c r="H9" s="6" t="n"/>
      <c r="I9" s="6" t="n"/>
      <c r="J9" s="6" t="n"/>
    </row>
    <row r="10">
      <c r="A10" s="5" t="inlineStr">
        <is>
          <t>DEV-007</t>
        </is>
      </c>
      <c r="B10" s="5" t="inlineStr">
        <is>
          <t>XDR integration</t>
        </is>
      </c>
      <c r="C10" s="6" t="n"/>
      <c r="D10" s="6" t="n"/>
      <c r="E10" s="6" t="n"/>
      <c r="F10" s="6" t="n"/>
      <c r="G10" s="7">
        <f>IF(F10&gt;=2,"Optimal",IF(E10&gt;=2,"Advanced",IF(D10&gt;=2,"Initial","Traditional")))</f>
        <v/>
      </c>
      <c r="H10" s="6" t="n"/>
      <c r="I10" s="6" t="n"/>
      <c r="J10" s="6" t="n"/>
    </row>
    <row r="11">
      <c r="A11" s="5" t="inlineStr">
        <is>
          <t>DEV-008</t>
        </is>
      </c>
      <c r="B11" s="5" t="inlineStr">
        <is>
          <t>Autonomous threat response</t>
        </is>
      </c>
      <c r="C11" s="6" t="n"/>
      <c r="D11" s="6" t="n"/>
      <c r="E11" s="6" t="n"/>
      <c r="F11" s="6" t="n"/>
      <c r="G11" s="7">
        <f>IF(F11&gt;=2,"Optimal",IF(E11&gt;=2,"Advanced",IF(D11&gt;=2,"Initial","Traditional")))</f>
        <v/>
      </c>
      <c r="H11" s="6" t="n"/>
      <c r="I11" s="6" t="n"/>
      <c r="J11" s="6" t="n"/>
    </row>
  </sheetData>
  <mergeCells count="1">
    <mergeCell ref="A1:J1"/>
  </mergeCells>
  <dataValidations count="2">
    <dataValidation sqref="C4:F11" showDropDown="0" showInputMessage="0" showErrorMessage="0" allowBlank="1" type="list">
      <formula1>"0,1,2,3"</formula1>
    </dataValidation>
    <dataValidation sqref="H4:H11" showDropDown="0" showInputMessage="0" showErrorMessage="0" allowBlank="1" type="list">
      <formula1>"Traditional,Initial,Advanced,Optimal"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  <col width="30" customWidth="1" min="10" max="10"/>
  </cols>
  <sheetData>
    <row r="1" ht="30" customHeight="1">
      <c r="A1" s="1" t="inlineStr">
        <is>
          <t>Zero Trust - Network Pillar Assessment</t>
        </is>
      </c>
    </row>
    <row r="3">
      <c r="A3" s="1" t="inlineStr">
        <is>
          <t>NET-ID</t>
        </is>
      </c>
      <c r="B3" s="1" t="inlineStr">
        <is>
          <t>Capability</t>
        </is>
      </c>
      <c r="C3" s="1" t="inlineStr">
        <is>
          <t>Traditional</t>
        </is>
      </c>
      <c r="D3" s="1" t="inlineStr">
        <is>
          <t>Initial</t>
        </is>
      </c>
      <c r="E3" s="1" t="inlineStr">
        <is>
          <t>Advanced</t>
        </is>
      </c>
      <c r="F3" s="1" t="inlineStr">
        <is>
          <t>Optimal</t>
        </is>
      </c>
      <c r="G3" s="1" t="inlineStr">
        <is>
          <t>Current</t>
        </is>
      </c>
      <c r="H3" s="1" t="inlineStr">
        <is>
          <t>Target</t>
        </is>
      </c>
      <c r="I3" s="1" t="inlineStr">
        <is>
          <t>Evidence</t>
        </is>
      </c>
      <c r="J3" s="1" t="inlineStr">
        <is>
          <t>Gap</t>
        </is>
      </c>
    </row>
    <row r="4">
      <c r="A4" s="5" t="inlineStr">
        <is>
          <t>NET-001</t>
        </is>
      </c>
      <c r="B4" s="5" t="inlineStr">
        <is>
          <t>Network segmentation (VLANs)</t>
        </is>
      </c>
      <c r="C4" s="6" t="n"/>
      <c r="D4" s="6" t="n"/>
      <c r="E4" s="6" t="n"/>
      <c r="F4" s="6" t="n"/>
      <c r="G4" s="7">
        <f>IF(F4&gt;=2,"Optimal",IF(E4&gt;=2,"Advanced",IF(D4&gt;=2,"Initial","Traditional")))</f>
        <v/>
      </c>
      <c r="H4" s="6" t="n"/>
      <c r="I4" s="6" t="n"/>
      <c r="J4" s="6" t="n"/>
    </row>
    <row r="5">
      <c r="A5" s="5" t="inlineStr">
        <is>
          <t>NET-002</t>
        </is>
      </c>
      <c r="B5" s="5" t="inlineStr">
        <is>
          <t>Micro-segmentation</t>
        </is>
      </c>
      <c r="C5" s="6" t="n"/>
      <c r="D5" s="6" t="n"/>
      <c r="E5" s="6" t="n"/>
      <c r="F5" s="6" t="n"/>
      <c r="G5" s="7">
        <f>IF(F5&gt;=2,"Optimal",IF(E5&gt;=2,"Advanced",IF(D5&gt;=2,"Initial","Traditional")))</f>
        <v/>
      </c>
      <c r="H5" s="6" t="n"/>
      <c r="I5" s="6" t="n"/>
      <c r="J5" s="6" t="n"/>
    </row>
    <row r="6">
      <c r="A6" s="5" t="inlineStr">
        <is>
          <t>NET-003</t>
        </is>
      </c>
      <c r="B6" s="5" t="inlineStr">
        <is>
          <t>Application-level segmentation</t>
        </is>
      </c>
      <c r="C6" s="6" t="n"/>
      <c r="D6" s="6" t="n"/>
      <c r="E6" s="6" t="n"/>
      <c r="F6" s="6" t="n"/>
      <c r="G6" s="7">
        <f>IF(F6&gt;=2,"Optimal",IF(E6&gt;=2,"Advanced",IF(D6&gt;=2,"Initial","Traditional")))</f>
        <v/>
      </c>
      <c r="H6" s="6" t="n"/>
      <c r="I6" s="6" t="n"/>
      <c r="J6" s="6" t="n"/>
    </row>
    <row r="7">
      <c r="A7" s="5" t="inlineStr">
        <is>
          <t>NET-004</t>
        </is>
      </c>
      <c r="B7" s="5" t="inlineStr">
        <is>
          <t>TLS for external traffic</t>
        </is>
      </c>
      <c r="C7" s="6" t="n"/>
      <c r="D7" s="6" t="n"/>
      <c r="E7" s="6" t="n"/>
      <c r="F7" s="6" t="n"/>
      <c r="G7" s="7">
        <f>IF(F7&gt;=2,"Optimal",IF(E7&gt;=2,"Advanced",IF(D7&gt;=2,"Initial","Traditional")))</f>
        <v/>
      </c>
      <c r="H7" s="6" t="n"/>
      <c r="I7" s="6" t="n"/>
      <c r="J7" s="6" t="n"/>
    </row>
    <row r="8">
      <c r="A8" s="5" t="inlineStr">
        <is>
          <t>NET-005</t>
        </is>
      </c>
      <c r="B8" s="5" t="inlineStr">
        <is>
          <t>TLS everywhere (internal)</t>
        </is>
      </c>
      <c r="C8" s="6" t="n"/>
      <c r="D8" s="6" t="n"/>
      <c r="E8" s="6" t="n"/>
      <c r="F8" s="6" t="n"/>
      <c r="G8" s="7">
        <f>IF(F8&gt;=2,"Optimal",IF(E8&gt;=2,"Advanced",IF(D8&gt;=2,"Initial","Traditional")))</f>
        <v/>
      </c>
      <c r="H8" s="6" t="n"/>
      <c r="I8" s="6" t="n"/>
      <c r="J8" s="6" t="n"/>
    </row>
    <row r="9">
      <c r="A9" s="5" t="inlineStr">
        <is>
          <t>NET-006</t>
        </is>
      </c>
      <c r="B9" s="5" t="inlineStr">
        <is>
          <t>mTLS service-to-service</t>
        </is>
      </c>
      <c r="C9" s="6" t="n"/>
      <c r="D9" s="6" t="n"/>
      <c r="E9" s="6" t="n"/>
      <c r="F9" s="6" t="n"/>
      <c r="G9" s="7">
        <f>IF(F9&gt;=2,"Optimal",IF(E9&gt;=2,"Advanced",IF(D9&gt;=2,"Initial","Traditional")))</f>
        <v/>
      </c>
      <c r="H9" s="6" t="n"/>
      <c r="I9" s="6" t="n"/>
      <c r="J9" s="6" t="n"/>
    </row>
    <row r="10">
      <c r="A10" s="5" t="inlineStr">
        <is>
          <t>NET-007</t>
        </is>
      </c>
      <c r="B10" s="5" t="inlineStr">
        <is>
          <t>ZTNA basic implementation</t>
        </is>
      </c>
      <c r="C10" s="6" t="n"/>
      <c r="D10" s="6" t="n"/>
      <c r="E10" s="6" t="n"/>
      <c r="F10" s="6" t="n"/>
      <c r="G10" s="7">
        <f>IF(F10&gt;=2,"Optimal",IF(E10&gt;=2,"Advanced",IF(D10&gt;=2,"Initial","Traditional")))</f>
        <v/>
      </c>
      <c r="H10" s="6" t="n"/>
      <c r="I10" s="6" t="n"/>
      <c r="J10" s="6" t="n"/>
    </row>
    <row r="11">
      <c r="A11" s="5" t="inlineStr">
        <is>
          <t>NET-008</t>
        </is>
      </c>
      <c r="B11" s="5" t="inlineStr">
        <is>
          <t>Software-defined perimeter</t>
        </is>
      </c>
      <c r="C11" s="6" t="n"/>
      <c r="D11" s="6" t="n"/>
      <c r="E11" s="6" t="n"/>
      <c r="F11" s="6" t="n"/>
      <c r="G11" s="7">
        <f>IF(F11&gt;=2,"Optimal",IF(E11&gt;=2,"Advanced",IF(D11&gt;=2,"Initial","Traditional")))</f>
        <v/>
      </c>
      <c r="H11" s="6" t="n"/>
      <c r="I11" s="6" t="n"/>
      <c r="J11" s="6" t="n"/>
    </row>
  </sheetData>
  <mergeCells count="1">
    <mergeCell ref="A1:J1"/>
  </mergeCells>
  <dataValidations count="2">
    <dataValidation sqref="C4:F11" showDropDown="0" showInputMessage="0" showErrorMessage="0" allowBlank="1" type="list">
      <formula1>"0,1,2,3"</formula1>
    </dataValidation>
    <dataValidation sqref="H4:H11" showDropDown="0" showInputMessage="0" showErrorMessage="0" allowBlank="1" type="list">
      <formula1>"Traditional,Initial,Advanced,Optimal"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  <col width="30" customWidth="1" min="10" max="10"/>
  </cols>
  <sheetData>
    <row r="1" ht="30" customHeight="1">
      <c r="A1" s="1" t="inlineStr">
        <is>
          <t>Zero Trust - Workload Pillar Assessment</t>
        </is>
      </c>
    </row>
    <row r="3">
      <c r="A3" s="1" t="inlineStr">
        <is>
          <t>WL-ID</t>
        </is>
      </c>
      <c r="B3" s="1" t="inlineStr">
        <is>
          <t>Capability</t>
        </is>
      </c>
      <c r="C3" s="1" t="inlineStr">
        <is>
          <t>Traditional</t>
        </is>
      </c>
      <c r="D3" s="1" t="inlineStr">
        <is>
          <t>Initial</t>
        </is>
      </c>
      <c r="E3" s="1" t="inlineStr">
        <is>
          <t>Advanced</t>
        </is>
      </c>
      <c r="F3" s="1" t="inlineStr">
        <is>
          <t>Optimal</t>
        </is>
      </c>
      <c r="G3" s="1" t="inlineStr">
        <is>
          <t>Current</t>
        </is>
      </c>
      <c r="H3" s="1" t="inlineStr">
        <is>
          <t>Target</t>
        </is>
      </c>
      <c r="I3" s="1" t="inlineStr">
        <is>
          <t>Evidence</t>
        </is>
      </c>
      <c r="J3" s="1" t="inlineStr">
        <is>
          <t>Gap</t>
        </is>
      </c>
    </row>
    <row r="4">
      <c r="A4" s="5" t="inlineStr">
        <is>
          <t>WL-001</t>
        </is>
      </c>
      <c r="B4" s="5" t="inlineStr">
        <is>
          <t>Service account management</t>
        </is>
      </c>
      <c r="C4" s="6" t="n"/>
      <c r="D4" s="6" t="n"/>
      <c r="E4" s="6" t="n"/>
      <c r="F4" s="6" t="n"/>
      <c r="G4" s="7">
        <f>IF(F4&gt;=2,"Optimal",IF(E4&gt;=2,"Advanced",IF(D4&gt;=2,"Initial","Traditional")))</f>
        <v/>
      </c>
      <c r="H4" s="6" t="n"/>
      <c r="I4" s="6" t="n"/>
      <c r="J4" s="6" t="n"/>
    </row>
    <row r="5">
      <c r="A5" s="5" t="inlineStr">
        <is>
          <t>WL-002</t>
        </is>
      </c>
      <c r="B5" s="5" t="inlineStr">
        <is>
          <t>Managed identities for workloads</t>
        </is>
      </c>
      <c r="C5" s="6" t="n"/>
      <c r="D5" s="6" t="n"/>
      <c r="E5" s="6" t="n"/>
      <c r="F5" s="6" t="n"/>
      <c r="G5" s="7">
        <f>IF(F5&gt;=2,"Optimal",IF(E5&gt;=2,"Advanced",IF(D5&gt;=2,"Initial","Traditional")))</f>
        <v/>
      </c>
      <c r="H5" s="6" t="n"/>
      <c r="I5" s="6" t="n"/>
      <c r="J5" s="6" t="n"/>
    </row>
    <row r="6">
      <c r="A6" s="5" t="inlineStr">
        <is>
          <t>WL-003</t>
        </is>
      </c>
      <c r="B6" s="5" t="inlineStr">
        <is>
          <t>SPIFFE/SPIRE workload attestation</t>
        </is>
      </c>
      <c r="C6" s="6" t="n"/>
      <c r="D6" s="6" t="n"/>
      <c r="E6" s="6" t="n"/>
      <c r="F6" s="6" t="n"/>
      <c r="G6" s="7">
        <f>IF(F6&gt;=2,"Optimal",IF(E6&gt;=2,"Advanced",IF(D6&gt;=2,"Initial","Traditional")))</f>
        <v/>
      </c>
      <c r="H6" s="6" t="n"/>
      <c r="I6" s="6" t="n"/>
      <c r="J6" s="6" t="n"/>
    </row>
    <row r="7">
      <c r="A7" s="5" t="inlineStr">
        <is>
          <t>WL-004</t>
        </is>
      </c>
      <c r="B7" s="5" t="inlineStr">
        <is>
          <t>API authentication (API keys to OAuth)</t>
        </is>
      </c>
      <c r="C7" s="6" t="n"/>
      <c r="D7" s="6" t="n"/>
      <c r="E7" s="6" t="n"/>
      <c r="F7" s="6" t="n"/>
      <c r="G7" s="7">
        <f>IF(F7&gt;=2,"Optimal",IF(E7&gt;=2,"Advanced",IF(D7&gt;=2,"Initial","Traditional")))</f>
        <v/>
      </c>
      <c r="H7" s="6" t="n"/>
      <c r="I7" s="6" t="n"/>
      <c r="J7" s="6" t="n"/>
    </row>
    <row r="8">
      <c r="A8" s="5" t="inlineStr">
        <is>
          <t>WL-005</t>
        </is>
      </c>
      <c r="B8" s="5" t="inlineStr">
        <is>
          <t>Workload isolation (VMs to containers)</t>
        </is>
      </c>
      <c r="C8" s="6" t="n"/>
      <c r="D8" s="6" t="n"/>
      <c r="E8" s="6" t="n"/>
      <c r="F8" s="6" t="n"/>
      <c r="G8" s="7">
        <f>IF(F8&gt;=2,"Optimal",IF(E8&gt;=2,"Advanced",IF(D8&gt;=2,"Initial","Traditional")))</f>
        <v/>
      </c>
      <c r="H8" s="6" t="n"/>
      <c r="I8" s="6" t="n"/>
      <c r="J8" s="6" t="n"/>
    </row>
    <row r="9">
      <c r="A9" s="5" t="inlineStr">
        <is>
          <t>WL-006</t>
        </is>
      </c>
      <c r="B9" s="5" t="inlineStr">
        <is>
          <t>Serverless isolation</t>
        </is>
      </c>
      <c r="C9" s="6" t="n"/>
      <c r="D9" s="6" t="n"/>
      <c r="E9" s="6" t="n"/>
      <c r="F9" s="6" t="n"/>
      <c r="G9" s="7">
        <f>IF(F9&gt;=2,"Optimal",IF(E9&gt;=2,"Advanced",IF(D9&gt;=2,"Initial","Traditional")))</f>
        <v/>
      </c>
      <c r="H9" s="6" t="n"/>
      <c r="I9" s="6" t="n"/>
      <c r="J9" s="6" t="n"/>
    </row>
    <row r="10">
      <c r="A10" s="5" t="inlineStr">
        <is>
          <t>WL-007</t>
        </is>
      </c>
      <c r="B10" s="5" t="inlineStr">
        <is>
          <t>SAST/DAST integration</t>
        </is>
      </c>
      <c r="C10" s="6" t="n"/>
      <c r="D10" s="6" t="n"/>
      <c r="E10" s="6" t="n"/>
      <c r="F10" s="6" t="n"/>
      <c r="G10" s="7">
        <f>IF(F10&gt;=2,"Optimal",IF(E10&gt;=2,"Advanced",IF(D10&gt;=2,"Initial","Traditional")))</f>
        <v/>
      </c>
      <c r="H10" s="6" t="n"/>
      <c r="I10" s="6" t="n"/>
      <c r="J10" s="6" t="n"/>
    </row>
    <row r="11">
      <c r="A11" s="5" t="inlineStr">
        <is>
          <t>WL-008</t>
        </is>
      </c>
      <c r="B11" s="5" t="inlineStr">
        <is>
          <t>DevSecOps pipeline security</t>
        </is>
      </c>
      <c r="C11" s="6" t="n"/>
      <c r="D11" s="6" t="n"/>
      <c r="E11" s="6" t="n"/>
      <c r="F11" s="6" t="n"/>
      <c r="G11" s="7">
        <f>IF(F11&gt;=2,"Optimal",IF(E11&gt;=2,"Advanced",IF(D11&gt;=2,"Initial","Traditional")))</f>
        <v/>
      </c>
      <c r="H11" s="6" t="n"/>
      <c r="I11" s="6" t="n"/>
      <c r="J11" s="6" t="n"/>
    </row>
    <row r="12">
      <c r="A12" s="5" t="inlineStr">
        <is>
          <t>WL-009</t>
        </is>
      </c>
      <c r="B12" s="5" t="inlineStr">
        <is>
          <t>Runtime application protection</t>
        </is>
      </c>
      <c r="C12" s="6" t="n"/>
      <c r="D12" s="6" t="n"/>
      <c r="E12" s="6" t="n"/>
      <c r="F12" s="6" t="n"/>
      <c r="G12" s="7">
        <f>IF(F12&gt;=2,"Optimal",IF(E12&gt;=2,"Advanced",IF(D12&gt;=2,"Initial","Traditional")))</f>
        <v/>
      </c>
      <c r="H12" s="6" t="n"/>
      <c r="I12" s="6" t="n"/>
      <c r="J12" s="6" t="n"/>
    </row>
    <row r="13">
      <c r="A13" s="5" t="inlineStr">
        <is>
          <t>WL-010</t>
        </is>
      </c>
      <c r="B13" s="5" t="inlineStr">
        <is>
          <t>Continuous security validation</t>
        </is>
      </c>
      <c r="C13" s="6" t="n"/>
      <c r="D13" s="6" t="n"/>
      <c r="E13" s="6" t="n"/>
      <c r="F13" s="6" t="n"/>
      <c r="G13" s="7">
        <f>IF(F13&gt;=2,"Optimal",IF(E13&gt;=2,"Advanced",IF(D13&gt;=2,"Initial","Traditional")))</f>
        <v/>
      </c>
      <c r="H13" s="6" t="n"/>
      <c r="I13" s="6" t="n"/>
      <c r="J13" s="6" t="n"/>
    </row>
  </sheetData>
  <mergeCells count="1">
    <mergeCell ref="A1:J1"/>
  </mergeCells>
  <dataValidations count="2">
    <dataValidation sqref="C4:F13" showDropDown="0" showInputMessage="0" showErrorMessage="0" allowBlank="1" type="list">
      <formula1>"0,1,2,3"</formula1>
    </dataValidation>
    <dataValidation sqref="H4:H13" showDropDown="0" showInputMessage="0" showErrorMessage="0" allowBlank="1" type="list">
      <formula1>"Traditional,Initial,Advanced,Optimal"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  <col width="30" customWidth="1" min="10" max="10"/>
  </cols>
  <sheetData>
    <row r="1" ht="30" customHeight="1">
      <c r="A1" s="1" t="inlineStr">
        <is>
          <t>Zero Trust - Data Pillar Assessment</t>
        </is>
      </c>
    </row>
    <row r="3">
      <c r="A3" s="1" t="inlineStr">
        <is>
          <t>DATA-ID</t>
        </is>
      </c>
      <c r="B3" s="1" t="inlineStr">
        <is>
          <t>Capability</t>
        </is>
      </c>
      <c r="C3" s="1" t="inlineStr">
        <is>
          <t>Traditional</t>
        </is>
      </c>
      <c r="D3" s="1" t="inlineStr">
        <is>
          <t>Initial</t>
        </is>
      </c>
      <c r="E3" s="1" t="inlineStr">
        <is>
          <t>Advanced</t>
        </is>
      </c>
      <c r="F3" s="1" t="inlineStr">
        <is>
          <t>Optimal</t>
        </is>
      </c>
      <c r="G3" s="1" t="inlineStr">
        <is>
          <t>Current</t>
        </is>
      </c>
      <c r="H3" s="1" t="inlineStr">
        <is>
          <t>Target</t>
        </is>
      </c>
      <c r="I3" s="1" t="inlineStr">
        <is>
          <t>Evidence</t>
        </is>
      </c>
      <c r="J3" s="1" t="inlineStr">
        <is>
          <t>Gap</t>
        </is>
      </c>
    </row>
    <row r="4">
      <c r="A4" s="5" t="inlineStr">
        <is>
          <t>DATA-001</t>
        </is>
      </c>
      <c r="B4" s="5" t="inlineStr">
        <is>
          <t>Manual data classification</t>
        </is>
      </c>
      <c r="C4" s="6" t="n"/>
      <c r="D4" s="6" t="n"/>
      <c r="E4" s="6" t="n"/>
      <c r="F4" s="6" t="n"/>
      <c r="G4" s="7">
        <f>IF(F4&gt;=2,"Optimal",IF(E4&gt;=2,"Advanced",IF(D4&gt;=2,"Initial","Traditional")))</f>
        <v/>
      </c>
      <c r="H4" s="6" t="n"/>
      <c r="I4" s="6" t="n"/>
      <c r="J4" s="6" t="n"/>
    </row>
    <row r="5">
      <c r="A5" s="5" t="inlineStr">
        <is>
          <t>DATA-002</t>
        </is>
      </c>
      <c r="B5" s="5" t="inlineStr">
        <is>
          <t>Policy-based classification</t>
        </is>
      </c>
      <c r="C5" s="6" t="n"/>
      <c r="D5" s="6" t="n"/>
      <c r="E5" s="6" t="n"/>
      <c r="F5" s="6" t="n"/>
      <c r="G5" s="7">
        <f>IF(F5&gt;=2,"Optimal",IF(E5&gt;=2,"Advanced",IF(D5&gt;=2,"Initial","Traditional")))</f>
        <v/>
      </c>
      <c r="H5" s="6" t="n"/>
      <c r="I5" s="6" t="n"/>
      <c r="J5" s="6" t="n"/>
    </row>
    <row r="6">
      <c r="A6" s="5" t="inlineStr">
        <is>
          <t>DATA-003</t>
        </is>
      </c>
      <c r="B6" s="5" t="inlineStr">
        <is>
          <t>Automated data labelling</t>
        </is>
      </c>
      <c r="C6" s="6" t="n"/>
      <c r="D6" s="6" t="n"/>
      <c r="E6" s="6" t="n"/>
      <c r="F6" s="6" t="n"/>
      <c r="G6" s="7">
        <f>IF(F6&gt;=2,"Optimal",IF(E6&gt;=2,"Advanced",IF(D6&gt;=2,"Initial","Traditional")))</f>
        <v/>
      </c>
      <c r="H6" s="6" t="n"/>
      <c r="I6" s="6" t="n"/>
      <c r="J6" s="6" t="n"/>
    </row>
    <row r="7">
      <c r="A7" s="5" t="inlineStr">
        <is>
          <t>DATA-004</t>
        </is>
      </c>
      <c r="B7" s="5" t="inlineStr">
        <is>
          <t>ML-based classification</t>
        </is>
      </c>
      <c r="C7" s="6" t="n"/>
      <c r="D7" s="6" t="n"/>
      <c r="E7" s="6" t="n"/>
      <c r="F7" s="6" t="n"/>
      <c r="G7" s="7">
        <f>IF(F7&gt;=2,"Optimal",IF(E7&gt;=2,"Advanced",IF(D7&gt;=2,"Initial","Traditional")))</f>
        <v/>
      </c>
      <c r="H7" s="6" t="n"/>
      <c r="I7" s="6" t="n"/>
      <c r="J7" s="6" t="n"/>
    </row>
    <row r="8">
      <c r="A8" s="5" t="inlineStr">
        <is>
          <t>DATA-005</t>
        </is>
      </c>
      <c r="B8" s="5" t="inlineStr">
        <is>
          <t>Selective encryption</t>
        </is>
      </c>
      <c r="C8" s="6" t="n"/>
      <c r="D8" s="6" t="n"/>
      <c r="E8" s="6" t="n"/>
      <c r="F8" s="6" t="n"/>
      <c r="G8" s="7">
        <f>IF(F8&gt;=2,"Optimal",IF(E8&gt;=2,"Advanced",IF(D8&gt;=2,"Initial","Traditional")))</f>
        <v/>
      </c>
      <c r="H8" s="6" t="n"/>
      <c r="I8" s="6" t="n"/>
      <c r="J8" s="6" t="n"/>
    </row>
    <row r="9">
      <c r="A9" s="5" t="inlineStr">
        <is>
          <t>DATA-006</t>
        </is>
      </c>
      <c r="B9" s="5" t="inlineStr">
        <is>
          <t>Encryption at rest and transit</t>
        </is>
      </c>
      <c r="C9" s="6" t="n"/>
      <c r="D9" s="6" t="n"/>
      <c r="E9" s="6" t="n"/>
      <c r="F9" s="6" t="n"/>
      <c r="G9" s="7">
        <f>IF(F9&gt;=2,"Optimal",IF(E9&gt;=2,"Advanced",IF(D9&gt;=2,"Initial","Traditional")))</f>
        <v/>
      </c>
      <c r="H9" s="6" t="n"/>
      <c r="I9" s="6" t="n"/>
      <c r="J9" s="6" t="n"/>
    </row>
    <row r="10">
      <c r="A10" s="5" t="inlineStr">
        <is>
          <t>DATA-007</t>
        </is>
      </c>
      <c r="B10" s="5" t="inlineStr">
        <is>
          <t>Per-field encryption</t>
        </is>
      </c>
      <c r="C10" s="6" t="n"/>
      <c r="D10" s="6" t="n"/>
      <c r="E10" s="6" t="n"/>
      <c r="F10" s="6" t="n"/>
      <c r="G10" s="7">
        <f>IF(F10&gt;=2,"Optimal",IF(E10&gt;=2,"Advanced",IF(D10&gt;=2,"Initial","Traditional")))</f>
        <v/>
      </c>
      <c r="H10" s="6" t="n"/>
      <c r="I10" s="6" t="n"/>
      <c r="J10" s="6" t="n"/>
    </row>
    <row r="11">
      <c r="A11" s="5" t="inlineStr">
        <is>
          <t>DATA-008</t>
        </is>
      </c>
      <c r="B11" s="5" t="inlineStr">
        <is>
          <t>Data access controls (ABAC)</t>
        </is>
      </c>
      <c r="C11" s="6" t="n"/>
      <c r="D11" s="6" t="n"/>
      <c r="E11" s="6" t="n"/>
      <c r="F11" s="6" t="n"/>
      <c r="G11" s="7">
        <f>IF(F11&gt;=2,"Optimal",IF(E11&gt;=2,"Advanced",IF(D11&gt;=2,"Initial","Traditional")))</f>
        <v/>
      </c>
      <c r="H11" s="6" t="n"/>
      <c r="I11" s="6" t="n"/>
      <c r="J11" s="6" t="n"/>
    </row>
    <row r="12">
      <c r="A12" s="5" t="inlineStr">
        <is>
          <t>DATA-009</t>
        </is>
      </c>
      <c r="B12" s="5" t="inlineStr">
        <is>
          <t>Basic DLP</t>
        </is>
      </c>
      <c r="C12" s="6" t="n"/>
      <c r="D12" s="6" t="n"/>
      <c r="E12" s="6" t="n"/>
      <c r="F12" s="6" t="n"/>
      <c r="G12" s="7">
        <f>IF(F12&gt;=2,"Optimal",IF(E12&gt;=2,"Advanced",IF(D12&gt;=2,"Initial","Traditional")))</f>
        <v/>
      </c>
      <c r="H12" s="6" t="n"/>
      <c r="I12" s="6" t="n"/>
      <c r="J12" s="6" t="n"/>
    </row>
    <row r="13">
      <c r="A13" s="5" t="inlineStr">
        <is>
          <t>DATA-010</t>
        </is>
      </c>
      <c r="B13" s="5" t="inlineStr">
        <is>
          <t>AI-powered DLP</t>
        </is>
      </c>
      <c r="C13" s="6" t="n"/>
      <c r="D13" s="6" t="n"/>
      <c r="E13" s="6" t="n"/>
      <c r="F13" s="6" t="n"/>
      <c r="G13" s="7">
        <f>IF(F13&gt;=2,"Optimal",IF(E13&gt;=2,"Advanced",IF(D13&gt;=2,"Initial","Traditional")))</f>
        <v/>
      </c>
      <c r="H13" s="6" t="n"/>
      <c r="I13" s="6" t="n"/>
      <c r="J13" s="6" t="n"/>
    </row>
  </sheetData>
  <mergeCells count="1">
    <mergeCell ref="A1:J1"/>
  </mergeCells>
  <dataValidations count="2">
    <dataValidation sqref="C4:F13" showDropDown="0" showInputMessage="0" showErrorMessage="0" allowBlank="1" type="list">
      <formula1>"0,1,2,3"</formula1>
    </dataValidation>
    <dataValidation sqref="H4:H13" showDropDown="0" showInputMessage="0" showErrorMessage="0" allowBlank="1" type="list">
      <formula1>"Traditional,Initial,Advanced,Optimal"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  <col width="30" customWidth="1" min="10" max="10"/>
  </cols>
  <sheetData>
    <row r="1" ht="30" customHeight="1">
      <c r="A1" s="1" t="inlineStr">
        <is>
          <t>Zero Trust - Visibility Pillar Assessment</t>
        </is>
      </c>
    </row>
    <row r="3">
      <c r="A3" s="1" t="inlineStr">
        <is>
          <t>VIS-ID</t>
        </is>
      </c>
      <c r="B3" s="1" t="inlineStr">
        <is>
          <t>Capability</t>
        </is>
      </c>
      <c r="C3" s="1" t="inlineStr">
        <is>
          <t>Traditional</t>
        </is>
      </c>
      <c r="D3" s="1" t="inlineStr">
        <is>
          <t>Initial</t>
        </is>
      </c>
      <c r="E3" s="1" t="inlineStr">
        <is>
          <t>Advanced</t>
        </is>
      </c>
      <c r="F3" s="1" t="inlineStr">
        <is>
          <t>Optimal</t>
        </is>
      </c>
      <c r="G3" s="1" t="inlineStr">
        <is>
          <t>Current</t>
        </is>
      </c>
      <c r="H3" s="1" t="inlineStr">
        <is>
          <t>Target</t>
        </is>
      </c>
      <c r="I3" s="1" t="inlineStr">
        <is>
          <t>Evidence</t>
        </is>
      </c>
      <c r="J3" s="1" t="inlineStr">
        <is>
          <t>Gap</t>
        </is>
      </c>
    </row>
    <row r="4">
      <c r="A4" s="5" t="inlineStr">
        <is>
          <t>VIS-001</t>
        </is>
      </c>
      <c r="B4" s="5" t="inlineStr">
        <is>
          <t>Perimeter logging</t>
        </is>
      </c>
      <c r="C4" s="6" t="n"/>
      <c r="D4" s="6" t="n"/>
      <c r="E4" s="6" t="n"/>
      <c r="F4" s="6" t="n"/>
      <c r="G4" s="7">
        <f>IF(F4&gt;=2,"Optimal",IF(E4&gt;=2,"Advanced",IF(D4&gt;=2,"Initial","Traditional")))</f>
        <v/>
      </c>
      <c r="H4" s="6" t="n"/>
      <c r="I4" s="6" t="n"/>
      <c r="J4" s="6" t="n"/>
    </row>
    <row r="5">
      <c r="A5" s="5" t="inlineStr">
        <is>
          <t>VIS-002</t>
        </is>
      </c>
      <c r="B5" s="5" t="inlineStr">
        <is>
          <t>Centralised logging</t>
        </is>
      </c>
      <c r="C5" s="6" t="n"/>
      <c r="D5" s="6" t="n"/>
      <c r="E5" s="6" t="n"/>
      <c r="F5" s="6" t="n"/>
      <c r="G5" s="7">
        <f>IF(F5&gt;=2,"Optimal",IF(E5&gt;=2,"Advanced",IF(D5&gt;=2,"Initial","Traditional")))</f>
        <v/>
      </c>
      <c r="H5" s="6" t="n"/>
      <c r="I5" s="6" t="n"/>
      <c r="J5" s="6" t="n"/>
    </row>
    <row r="6">
      <c r="A6" s="5" t="inlineStr">
        <is>
          <t>VIS-003</t>
        </is>
      </c>
      <c r="B6" s="5" t="inlineStr">
        <is>
          <t>Full telemetry collection</t>
        </is>
      </c>
      <c r="C6" s="6" t="n"/>
      <c r="D6" s="6" t="n"/>
      <c r="E6" s="6" t="n"/>
      <c r="F6" s="6" t="n"/>
      <c r="G6" s="7">
        <f>IF(F6&gt;=2,"Optimal",IF(E6&gt;=2,"Advanced",IF(D6&gt;=2,"Initial","Traditional")))</f>
        <v/>
      </c>
      <c r="H6" s="6" t="n"/>
      <c r="I6" s="6" t="n"/>
      <c r="J6" s="6" t="n"/>
    </row>
    <row r="7">
      <c r="A7" s="5" t="inlineStr">
        <is>
          <t>VIS-004</t>
        </is>
      </c>
      <c r="B7" s="5" t="inlineStr">
        <is>
          <t>SIEM deployment</t>
        </is>
      </c>
      <c r="C7" s="6" t="n"/>
      <c r="D7" s="6" t="n"/>
      <c r="E7" s="6" t="n"/>
      <c r="F7" s="6" t="n"/>
      <c r="G7" s="7">
        <f>IF(F7&gt;=2,"Optimal",IF(E7&gt;=2,"Advanced",IF(D7&gt;=2,"Initial","Traditional")))</f>
        <v/>
      </c>
      <c r="H7" s="6" t="n"/>
      <c r="I7" s="6" t="n"/>
      <c r="J7" s="6" t="n"/>
    </row>
    <row r="8">
      <c r="A8" s="5" t="inlineStr">
        <is>
          <t>VIS-005</t>
        </is>
      </c>
      <c r="B8" s="5" t="inlineStr">
        <is>
          <t>UEBA integration</t>
        </is>
      </c>
      <c r="C8" s="6" t="n"/>
      <c r="D8" s="6" t="n"/>
      <c r="E8" s="6" t="n"/>
      <c r="F8" s="6" t="n"/>
      <c r="G8" s="7">
        <f>IF(F8&gt;=2,"Optimal",IF(E8&gt;=2,"Advanced",IF(D8&gt;=2,"Initial","Traditional")))</f>
        <v/>
      </c>
      <c r="H8" s="6" t="n"/>
      <c r="I8" s="6" t="n"/>
      <c r="J8" s="6" t="n"/>
    </row>
    <row r="9">
      <c r="A9" s="5" t="inlineStr">
        <is>
          <t>VIS-006</t>
        </is>
      </c>
      <c r="B9" s="5" t="inlineStr">
        <is>
          <t>ML-based analytics</t>
        </is>
      </c>
      <c r="C9" s="6" t="n"/>
      <c r="D9" s="6" t="n"/>
      <c r="E9" s="6" t="n"/>
      <c r="F9" s="6" t="n"/>
      <c r="G9" s="7">
        <f>IF(F9&gt;=2,"Optimal",IF(E9&gt;=2,"Advanced",IF(D9&gt;=2,"Initial","Traditional")))</f>
        <v/>
      </c>
      <c r="H9" s="6" t="n"/>
      <c r="I9" s="6" t="n"/>
      <c r="J9" s="6" t="n"/>
    </row>
    <row r="10">
      <c r="A10" s="5" t="inlineStr">
        <is>
          <t>VIS-007</t>
        </is>
      </c>
      <c r="B10" s="5" t="inlineStr">
        <is>
          <t>Behaviour-based detection</t>
        </is>
      </c>
      <c r="C10" s="6" t="n"/>
      <c r="D10" s="6" t="n"/>
      <c r="E10" s="6" t="n"/>
      <c r="F10" s="6" t="n"/>
      <c r="G10" s="7">
        <f>IF(F10&gt;=2,"Optimal",IF(E10&gt;=2,"Advanced",IF(D10&gt;=2,"Initial","Traditional")))</f>
        <v/>
      </c>
      <c r="H10" s="6" t="n"/>
      <c r="I10" s="6" t="n"/>
      <c r="J10" s="6" t="n"/>
    </row>
    <row r="11">
      <c r="A11" s="5" t="inlineStr">
        <is>
          <t>VIS-008</t>
        </is>
      </c>
      <c r="B11" s="5" t="inlineStr">
        <is>
          <t>Guided investigation</t>
        </is>
      </c>
      <c r="C11" s="6" t="n"/>
      <c r="D11" s="6" t="n"/>
      <c r="E11" s="6" t="n"/>
      <c r="F11" s="6" t="n"/>
      <c r="G11" s="7">
        <f>IF(F11&gt;=2,"Optimal",IF(E11&gt;=2,"Advanced",IF(D11&gt;=2,"Initial","Traditional")))</f>
        <v/>
      </c>
      <c r="H11" s="6" t="n"/>
      <c r="I11" s="6" t="n"/>
      <c r="J11" s="6" t="n"/>
    </row>
  </sheetData>
  <mergeCells count="1">
    <mergeCell ref="A1:J1"/>
  </mergeCells>
  <dataValidations count="2">
    <dataValidation sqref="C4:F11" showDropDown="0" showInputMessage="0" showErrorMessage="0" allowBlank="1" type="list">
      <formula1>"0,1,2,3"</formula1>
    </dataValidation>
    <dataValidation sqref="H4:H11" showDropDown="0" showInputMessage="0" showErrorMessage="0" allowBlank="1" type="list">
      <formula1>"Traditional,Initial,Advanced,Optimal"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  <col width="30" customWidth="1" min="10" max="10"/>
  </cols>
  <sheetData>
    <row r="1" ht="30" customHeight="1">
      <c r="A1" s="1" t="inlineStr">
        <is>
          <t>Zero Trust - Automation Pillar Assessment</t>
        </is>
      </c>
    </row>
    <row r="3">
      <c r="A3" s="1" t="inlineStr">
        <is>
          <t>AUTO-ID</t>
        </is>
      </c>
      <c r="B3" s="1" t="inlineStr">
        <is>
          <t>Capability</t>
        </is>
      </c>
      <c r="C3" s="1" t="inlineStr">
        <is>
          <t>Traditional</t>
        </is>
      </c>
      <c r="D3" s="1" t="inlineStr">
        <is>
          <t>Initial</t>
        </is>
      </c>
      <c r="E3" s="1" t="inlineStr">
        <is>
          <t>Advanced</t>
        </is>
      </c>
      <c r="F3" s="1" t="inlineStr">
        <is>
          <t>Optimal</t>
        </is>
      </c>
      <c r="G3" s="1" t="inlineStr">
        <is>
          <t>Current</t>
        </is>
      </c>
      <c r="H3" s="1" t="inlineStr">
        <is>
          <t>Target</t>
        </is>
      </c>
      <c r="I3" s="1" t="inlineStr">
        <is>
          <t>Evidence</t>
        </is>
      </c>
      <c r="J3" s="1" t="inlineStr">
        <is>
          <t>Gap</t>
        </is>
      </c>
    </row>
    <row r="4">
      <c r="A4" s="5" t="inlineStr">
        <is>
          <t>AUTO-001</t>
        </is>
      </c>
      <c r="B4" s="5" t="inlineStr">
        <is>
          <t>Manual policy deployment</t>
        </is>
      </c>
      <c r="C4" s="6" t="n"/>
      <c r="D4" s="6" t="n"/>
      <c r="E4" s="6" t="n"/>
      <c r="F4" s="6" t="n"/>
      <c r="G4" s="7">
        <f>IF(F4&gt;=2,"Optimal",IF(E4&gt;=2,"Advanced",IF(D4&gt;=2,"Initial","Traditional")))</f>
        <v/>
      </c>
      <c r="H4" s="6" t="n"/>
      <c r="I4" s="6" t="n"/>
      <c r="J4" s="6" t="n"/>
    </row>
    <row r="5">
      <c r="A5" s="5" t="inlineStr">
        <is>
          <t>AUTO-002</t>
        </is>
      </c>
      <c r="B5" s="5" t="inlineStr">
        <is>
          <t>Scripted policy automation</t>
        </is>
      </c>
      <c r="C5" s="6" t="n"/>
      <c r="D5" s="6" t="n"/>
      <c r="E5" s="6" t="n"/>
      <c r="F5" s="6" t="n"/>
      <c r="G5" s="7">
        <f>IF(F5&gt;=2,"Optimal",IF(E5&gt;=2,"Advanced",IF(D5&gt;=2,"Initial","Traditional")))</f>
        <v/>
      </c>
      <c r="H5" s="6" t="n"/>
      <c r="I5" s="6" t="n"/>
      <c r="J5" s="6" t="n"/>
    </row>
    <row r="6">
      <c r="A6" s="5" t="inlineStr">
        <is>
          <t>AUTO-003</t>
        </is>
      </c>
      <c r="B6" s="5" t="inlineStr">
        <is>
          <t>Policy as code</t>
        </is>
      </c>
      <c r="C6" s="6" t="n"/>
      <c r="D6" s="6" t="n"/>
      <c r="E6" s="6" t="n"/>
      <c r="F6" s="6" t="n"/>
      <c r="G6" s="7">
        <f>IF(F6&gt;=2,"Optimal",IF(E6&gt;=2,"Advanced",IF(D6&gt;=2,"Initial","Traditional")))</f>
        <v/>
      </c>
      <c r="H6" s="6" t="n"/>
      <c r="I6" s="6" t="n"/>
      <c r="J6" s="6" t="n"/>
    </row>
    <row r="7">
      <c r="A7" s="5" t="inlineStr">
        <is>
          <t>AUTO-004</t>
        </is>
      </c>
      <c r="B7" s="5" t="inlineStr">
        <is>
          <t>Intent-based policy</t>
        </is>
      </c>
      <c r="C7" s="6" t="n"/>
      <c r="D7" s="6" t="n"/>
      <c r="E7" s="6" t="n"/>
      <c r="F7" s="6" t="n"/>
      <c r="G7" s="7">
        <f>IF(F7&gt;=2,"Optimal",IF(E7&gt;=2,"Advanced",IF(D7&gt;=2,"Initial","Traditional")))</f>
        <v/>
      </c>
      <c r="H7" s="6" t="n"/>
      <c r="I7" s="6" t="n"/>
      <c r="J7" s="6" t="n"/>
    </row>
    <row r="8">
      <c r="A8" s="5" t="inlineStr">
        <is>
          <t>AUTO-005</t>
        </is>
      </c>
      <c r="B8" s="5" t="inlineStr">
        <is>
          <t>Basic response playbooks</t>
        </is>
      </c>
      <c r="C8" s="6" t="n"/>
      <c r="D8" s="6" t="n"/>
      <c r="E8" s="6" t="n"/>
      <c r="F8" s="6" t="n"/>
      <c r="G8" s="7">
        <f>IF(F8&gt;=2,"Optimal",IF(E8&gt;=2,"Advanced",IF(D8&gt;=2,"Initial","Traditional")))</f>
        <v/>
      </c>
      <c r="H8" s="6" t="n"/>
      <c r="I8" s="6" t="n"/>
      <c r="J8" s="6" t="n"/>
    </row>
    <row r="9">
      <c r="A9" s="5" t="inlineStr">
        <is>
          <t>AUTO-006</t>
        </is>
      </c>
      <c r="B9" s="5" t="inlineStr">
        <is>
          <t>SOAR integration</t>
        </is>
      </c>
      <c r="C9" s="6" t="n"/>
      <c r="D9" s="6" t="n"/>
      <c r="E9" s="6" t="n"/>
      <c r="F9" s="6" t="n"/>
      <c r="G9" s="7">
        <f>IF(F9&gt;=2,"Optimal",IF(E9&gt;=2,"Advanced",IF(D9&gt;=2,"Initial","Traditional")))</f>
        <v/>
      </c>
      <c r="H9" s="6" t="n"/>
      <c r="I9" s="6" t="n"/>
      <c r="J9" s="6" t="n"/>
    </row>
    <row r="10">
      <c r="A10" s="5" t="inlineStr">
        <is>
          <t>AUTO-007</t>
        </is>
      </c>
      <c r="B10" s="5" t="inlineStr">
        <is>
          <t>Auto-remediation</t>
        </is>
      </c>
      <c r="C10" s="6" t="n"/>
      <c r="D10" s="6" t="n"/>
      <c r="E10" s="6" t="n"/>
      <c r="F10" s="6" t="n"/>
      <c r="G10" s="7">
        <f>IF(F10&gt;=2,"Optimal",IF(E10&gt;=2,"Advanced",IF(D10&gt;=2,"Initial","Traditional")))</f>
        <v/>
      </c>
      <c r="H10" s="6" t="n"/>
      <c r="I10" s="6" t="n"/>
      <c r="J10" s="6" t="n"/>
    </row>
    <row r="11">
      <c r="A11" s="5" t="inlineStr">
        <is>
          <t>AUTO-008</t>
        </is>
      </c>
      <c r="B11" s="5" t="inlineStr">
        <is>
          <t>Self-healing security</t>
        </is>
      </c>
      <c r="C11" s="6" t="n"/>
      <c r="D11" s="6" t="n"/>
      <c r="E11" s="6" t="n"/>
      <c r="F11" s="6" t="n"/>
      <c r="G11" s="7">
        <f>IF(F11&gt;=2,"Optimal",IF(E11&gt;=2,"Advanced",IF(D11&gt;=2,"Initial","Traditional")))</f>
        <v/>
      </c>
      <c r="H11" s="6" t="n"/>
      <c r="I11" s="6" t="n"/>
      <c r="J11" s="6" t="n"/>
    </row>
  </sheetData>
  <mergeCells count="1">
    <mergeCell ref="A1:J1"/>
  </mergeCells>
  <dataValidations count="2">
    <dataValidation sqref="C4:F11" showDropDown="0" showInputMessage="0" showErrorMessage="0" allowBlank="1" type="list">
      <formula1>"0,1,2,3"</formula1>
    </dataValidation>
    <dataValidation sqref="H4:H11" showDropDown="0" showInputMessage="0" showErrorMessage="0" allowBlank="1" type="list">
      <formula1>"Traditional,Initial,Advanced,Optimal"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12" customWidth="1" min="4" max="4"/>
    <col width="35" customWidth="1" min="5" max="5"/>
    <col width="10" customWidth="1" min="6" max="6"/>
    <col width="25" customWidth="1" min="7" max="7"/>
  </cols>
  <sheetData>
    <row r="1" ht="30" customHeight="1">
      <c r="A1" s="1" t="inlineStr">
        <is>
          <t>Zero Trust - Policy Compliance Scoring</t>
        </is>
      </c>
    </row>
    <row r="3">
      <c r="A3" s="1" t="inlineStr">
        <is>
          <t>Comp-ID</t>
        </is>
      </c>
      <c r="B3" s="1" t="inlineStr">
        <is>
          <t>Requirement</t>
        </is>
      </c>
      <c r="C3" s="1" t="inlineStr">
        <is>
          <t>Source</t>
        </is>
      </c>
      <c r="D3" s="1" t="inlineStr">
        <is>
          <t>Compliant</t>
        </is>
      </c>
      <c r="E3" s="1" t="inlineStr">
        <is>
          <t>Evidence</t>
        </is>
      </c>
      <c r="F3" s="1" t="inlineStr">
        <is>
          <t>Score</t>
        </is>
      </c>
      <c r="G3" s="1" t="inlineStr">
        <is>
          <t>Notes</t>
        </is>
      </c>
    </row>
    <row r="4">
      <c r="A4" s="5" t="inlineStr">
        <is>
          <t>COMP-001</t>
        </is>
      </c>
      <c r="B4" s="5" t="inlineStr">
        <is>
          <t>Never trust, always verify principle implemented</t>
        </is>
      </c>
      <c r="C4" s="5" t="inlineStr">
        <is>
          <t>POL-A.8.27 §2.1</t>
        </is>
      </c>
      <c r="D4" s="6" t="n"/>
      <c r="E4" s="6" t="n"/>
      <c r="F4" s="7">
        <f>IF(D4="Yes",100,IF(D4="Partial",50,0))</f>
        <v/>
      </c>
      <c r="G4" s="6" t="n"/>
    </row>
    <row r="5">
      <c r="A5" s="5" t="inlineStr">
        <is>
          <t>COMP-002</t>
        </is>
      </c>
      <c r="B5" s="5" t="inlineStr">
        <is>
          <t>No implicit trust based on network location</t>
        </is>
      </c>
      <c r="C5" s="5" t="inlineStr">
        <is>
          <t>POL-A.8.27 §2.1</t>
        </is>
      </c>
      <c r="D5" s="6" t="n"/>
      <c r="E5" s="6" t="n"/>
      <c r="F5" s="7">
        <f>IF(D5="Yes",100,IF(D5="Partial",50,0))</f>
        <v/>
      </c>
      <c r="G5" s="6" t="n"/>
    </row>
    <row r="6">
      <c r="A6" s="5" t="inlineStr">
        <is>
          <t>COMP-003</t>
        </is>
      </c>
      <c r="B6" s="5" t="inlineStr">
        <is>
          <t>Every access request authenticated</t>
        </is>
      </c>
      <c r="C6" s="5" t="inlineStr">
        <is>
          <t>POL-A.8.27 §2.1</t>
        </is>
      </c>
      <c r="D6" s="6" t="n"/>
      <c r="E6" s="6" t="n"/>
      <c r="F6" s="7">
        <f>IF(D6="Yes",100,IF(D6="Partial",50,0))</f>
        <v/>
      </c>
      <c r="G6" s="6" t="n"/>
    </row>
    <row r="7">
      <c r="A7" s="5" t="inlineStr">
        <is>
          <t>COMP-004</t>
        </is>
      </c>
      <c r="B7" s="5" t="inlineStr">
        <is>
          <t>Trust continuously evaluated</t>
        </is>
      </c>
      <c r="C7" s="5" t="inlineStr">
        <is>
          <t>POL-A.8.27 §2.1</t>
        </is>
      </c>
      <c r="D7" s="6" t="n"/>
      <c r="E7" s="6" t="n"/>
      <c r="F7" s="7">
        <f>IF(D7="Yes",100,IF(D7="Partial",50,0))</f>
        <v/>
      </c>
      <c r="G7" s="6" t="n"/>
    </row>
    <row r="8">
      <c r="A8" s="5" t="inlineStr">
        <is>
          <t>COMP-005</t>
        </is>
      </c>
      <c r="B8" s="5" t="inlineStr">
        <is>
          <t>Assume breach design principle</t>
        </is>
      </c>
      <c r="C8" s="5" t="inlineStr">
        <is>
          <t>POL-A.8.27 §2.1</t>
        </is>
      </c>
      <c r="D8" s="6" t="n"/>
      <c r="E8" s="6" t="n"/>
      <c r="F8" s="7">
        <f>IF(D8="Yes",100,IF(D8="Partial",50,0))</f>
        <v/>
      </c>
      <c r="G8" s="6" t="n"/>
    </row>
    <row r="9">
      <c r="A9" s="5" t="inlineStr">
        <is>
          <t>COMP-006</t>
        </is>
      </c>
      <c r="B9" s="5" t="inlineStr">
        <is>
          <t>Internal traffic treated as potentially hostile</t>
        </is>
      </c>
      <c r="C9" s="5" t="inlineStr">
        <is>
          <t>POL-A.8.27 §2.1</t>
        </is>
      </c>
      <c r="D9" s="6" t="n"/>
      <c r="E9" s="6" t="n"/>
      <c r="F9" s="7">
        <f>IF(D9="Yes",100,IF(D9="Partial",50,0))</f>
        <v/>
      </c>
      <c r="G9" s="6" t="n"/>
    </row>
    <row r="10">
      <c r="A10" s="5" t="inlineStr">
        <is>
          <t>COMP-007</t>
        </is>
      </c>
      <c r="B10" s="5" t="inlineStr">
        <is>
          <t>Lateral movement restricted</t>
        </is>
      </c>
      <c r="C10" s="5" t="inlineStr">
        <is>
          <t>POL-A.8.27 §2.1</t>
        </is>
      </c>
      <c r="D10" s="6" t="n"/>
      <c r="E10" s="6" t="n"/>
      <c r="F10" s="7">
        <f>IF(D10="Yes",100,IF(D10="Partial",50,0))</f>
        <v/>
      </c>
      <c r="G10" s="6" t="n"/>
    </row>
    <row r="11">
      <c r="A11" s="5" t="inlineStr">
        <is>
          <t>COMP-008</t>
        </is>
      </c>
      <c r="B11" s="5" t="inlineStr">
        <is>
          <t>Access decisions based on multiple data points</t>
        </is>
      </c>
      <c r="C11" s="5" t="inlineStr">
        <is>
          <t>POL-A.8.27 §2.1</t>
        </is>
      </c>
      <c r="D11" s="6" t="n"/>
      <c r="E11" s="6" t="n"/>
      <c r="F11" s="7">
        <f>IF(D11="Yes",100,IF(D11="Partial",50,0))</f>
        <v/>
      </c>
      <c r="G11" s="6" t="n"/>
    </row>
    <row r="12">
      <c r="A12" s="5" t="inlineStr">
        <is>
          <t>COMP-009</t>
        </is>
      </c>
      <c r="B12" s="5" t="inlineStr">
        <is>
          <t>JIT/JEA access implemented</t>
        </is>
      </c>
      <c r="C12" s="5" t="inlineStr">
        <is>
          <t>POL-A.8.27 §2.1</t>
        </is>
      </c>
      <c r="D12" s="6" t="n"/>
      <c r="E12" s="6" t="n"/>
      <c r="F12" s="7">
        <f>IF(D12="Yes",100,IF(D12="Partial",50,0))</f>
        <v/>
      </c>
      <c r="G12" s="6" t="n"/>
    </row>
    <row r="13">
      <c r="A13" s="5" t="inlineStr">
        <is>
          <t>COMP-010</t>
        </is>
      </c>
      <c r="B13" s="5" t="inlineStr">
        <is>
          <t>Risk-based conditional access</t>
        </is>
      </c>
      <c r="C13" s="5" t="inlineStr">
        <is>
          <t>POL-A.8.27 §2.1</t>
        </is>
      </c>
      <c r="D13" s="6" t="n"/>
      <c r="E13" s="6" t="n"/>
      <c r="F13" s="7">
        <f>IF(D13="Yes",100,IF(D13="Partial",50,0))</f>
        <v/>
      </c>
      <c r="G13" s="6" t="n"/>
    </row>
    <row r="14">
      <c r="A14" s="5" t="inlineStr">
        <is>
          <t>COMP-011</t>
        </is>
      </c>
      <c r="B14" s="5" t="inlineStr">
        <is>
          <t>Continuous access evaluation</t>
        </is>
      </c>
      <c r="C14" s="5" t="inlineStr">
        <is>
          <t>POL-A.8.27 §2.1</t>
        </is>
      </c>
      <c r="D14" s="6" t="n"/>
      <c r="E14" s="6" t="n"/>
      <c r="F14" s="7">
        <f>IF(D14="Yes",100,IF(D14="Partial",50,0))</f>
        <v/>
      </c>
      <c r="G14" s="6" t="n"/>
    </row>
    <row r="15">
      <c r="A15" s="5" t="inlineStr">
        <is>
          <t>COMP-012</t>
        </is>
      </c>
      <c r="B15" s="5" t="inlineStr">
        <is>
          <t>Data in transit encrypted (TLS 1.2+)</t>
        </is>
      </c>
      <c r="C15" s="5" t="inlineStr">
        <is>
          <t>POL-A.8.27 §2.1</t>
        </is>
      </c>
      <c r="D15" s="6" t="n"/>
      <c r="E15" s="6" t="n"/>
      <c r="F15" s="7">
        <f>IF(D15="Yes",100,IF(D15="Partial",50,0))</f>
        <v/>
      </c>
      <c r="G15" s="6" t="n"/>
    </row>
    <row r="16">
      <c r="A16" s="5" t="inlineStr">
        <is>
          <t>COMP-013</t>
        </is>
      </c>
      <c r="B16" s="5" t="inlineStr">
        <is>
          <t>Data at rest encrypted (CONFIDENTIAL+)</t>
        </is>
      </c>
      <c r="C16" s="5" t="inlineStr">
        <is>
          <t>POL-A.8.27 §2.1</t>
        </is>
      </c>
      <c r="D16" s="6" t="n"/>
      <c r="E16" s="6" t="n"/>
      <c r="F16" s="7">
        <f>IF(D16="Yes",100,IF(D16="Partial",50,0))</f>
        <v/>
      </c>
      <c r="G16" s="6" t="n"/>
    </row>
    <row r="17">
      <c r="A17" s="5" t="inlineStr">
        <is>
          <t>COMP-014</t>
        </is>
      </c>
      <c r="B17" s="5" t="inlineStr">
        <is>
          <t>Service-to-service encryption</t>
        </is>
      </c>
      <c r="C17" s="5" t="inlineStr">
        <is>
          <t>POL-A.8.27 §2.1</t>
        </is>
      </c>
      <c r="D17" s="6" t="n"/>
      <c r="E17" s="6" t="n"/>
      <c r="F17" s="7">
        <f>IF(D17="Yes",100,IF(D17="Partial",50,0))</f>
        <v/>
      </c>
      <c r="G17" s="6" t="n"/>
    </row>
    <row r="18">
      <c r="A18" s="5" t="inlineStr">
        <is>
          <t>COMP-015</t>
        </is>
      </c>
      <c r="B18" s="5" t="inlineStr">
        <is>
          <t>ZT maturity assessment conducted annually</t>
        </is>
      </c>
      <c r="C18" s="5" t="inlineStr">
        <is>
          <t>POL-A.8.27 §4</t>
        </is>
      </c>
      <c r="D18" s="6" t="n"/>
      <c r="E18" s="6" t="n"/>
      <c r="F18" s="7">
        <f>IF(D18="Yes",100,IF(D18="Partial",50,0))</f>
        <v/>
      </c>
      <c r="G18" s="6" t="n"/>
    </row>
    <row r="20">
      <c r="E20" s="2" t="inlineStr">
        <is>
          <t>Overall Compliance:</t>
        </is>
      </c>
      <c r="F20" s="7">
        <f>AVERAGE(F4:F18)</f>
        <v/>
      </c>
    </row>
  </sheetData>
  <mergeCells count="1">
    <mergeCell ref="A1:G1"/>
  </mergeCells>
  <dataValidations count="1">
    <dataValidation sqref="D4:D18" showDropDown="0" showInputMessage="0" showErrorMessage="0" allowBlank="1" type="list">
      <formula1>"Yes,Partial,No"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10" customWidth="1" min="4" max="4"/>
    <col width="40" customWidth="1" min="5" max="5"/>
    <col width="20" customWidth="1" min="6" max="6"/>
    <col width="12" customWidth="1" min="7" max="7"/>
    <col width="12" customWidth="1" min="8" max="8"/>
    <col width="12" customWidth="1" min="9" max="9"/>
    <col width="25" customWidth="1" min="10" max="10"/>
  </cols>
  <sheetData>
    <row r="1" ht="30" customHeight="1">
      <c r="A1" s="1" t="inlineStr">
        <is>
          <t>Zero Trust - Gap Register</t>
        </is>
      </c>
    </row>
    <row r="3">
      <c r="A3" s="1" t="inlineStr">
        <is>
          <t>Gap-ID</t>
        </is>
      </c>
      <c r="B3" s="1" t="inlineStr">
        <is>
          <t>Pillar</t>
        </is>
      </c>
      <c r="C3" s="1" t="inlineStr">
        <is>
          <t>Description</t>
        </is>
      </c>
      <c r="D3" s="1" t="inlineStr">
        <is>
          <t>Risk</t>
        </is>
      </c>
      <c r="E3" s="1" t="inlineStr">
        <is>
          <t>Remediation</t>
        </is>
      </c>
      <c r="F3" s="1" t="inlineStr">
        <is>
          <t>Owner</t>
        </is>
      </c>
      <c r="G3" s="1" t="inlineStr">
        <is>
          <t>Due Date</t>
        </is>
      </c>
      <c r="H3" s="1" t="inlineStr">
        <is>
          <t>Status</t>
        </is>
      </c>
      <c r="I3" s="1" t="inlineStr">
        <is>
          <t>Closure Date</t>
        </is>
      </c>
      <c r="J3" s="1" t="inlineStr">
        <is>
          <t>Notes</t>
        </is>
      </c>
    </row>
    <row r="4">
      <c r="A4" s="5" t="inlineStr">
        <is>
          <t>GAP-001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5" t="inlineStr">
        <is>
          <t>GAP-002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5" t="inlineStr">
        <is>
          <t>GAP-003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5" t="inlineStr">
        <is>
          <t>GAP-004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5" t="inlineStr">
        <is>
          <t>GAP-005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5" t="inlineStr">
        <is>
          <t>GAP-006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5" t="inlineStr">
        <is>
          <t>GAP-007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5" t="inlineStr">
        <is>
          <t>GAP-008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5" t="inlineStr">
        <is>
          <t>GAP-009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5" t="inlineStr">
        <is>
          <t>GAP-010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5" t="inlineStr">
        <is>
          <t>GAP-011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5" t="inlineStr">
        <is>
          <t>GAP-012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5" t="inlineStr">
        <is>
          <t>GAP-013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5" t="inlineStr">
        <is>
          <t>GAP-014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5" t="inlineStr">
        <is>
          <t>GAP-015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5" t="inlineStr">
        <is>
          <t>GAP-016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5" t="inlineStr">
        <is>
          <t>GAP-017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5" t="inlineStr">
        <is>
          <t>GAP-018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5" t="inlineStr">
        <is>
          <t>GAP-019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5" t="inlineStr">
        <is>
          <t>GAP-020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</sheetData>
  <mergeCells count="1">
    <mergeCell ref="A1:J1"/>
  </mergeCells>
  <dataValidations count="3">
    <dataValidation sqref="B4:B23" showDropDown="0" showInputMessage="0" showErrorMessage="0" allowBlank="1" type="list">
      <formula1>"Strategy,Identity,Device,Network,Workload,Data,Visibility,Automation"</formula1>
    </dataValidation>
    <dataValidation sqref="D4:D23" showDropDown="0" showInputMessage="0" showErrorMessage="0" allowBlank="1" type="list">
      <formula1>"High,Medium,Low"</formula1>
    </dataValidation>
    <dataValidation sqref="H4:H23" showDropDown="0" showInputMessage="0" showErrorMessage="0" allowBlank="1" type="list">
      <formula1>"Open,In Progress,Closed"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</cols>
  <sheetData>
    <row r="1" ht="30" customHeight="1">
      <c r="A1" s="1" t="inlineStr">
        <is>
          <t>Zero Trust - Maturity Dashboard</t>
        </is>
      </c>
    </row>
    <row r="3">
      <c r="A3" s="2" t="inlineStr">
        <is>
          <t>Assessment Summary</t>
        </is>
      </c>
      <c r="B3" s="3" t="n"/>
      <c r="C3" s="3" t="n"/>
      <c r="D3" s="3" t="n"/>
      <c r="E3" s="3" t="n"/>
      <c r="F3" s="4" t="n"/>
    </row>
    <row r="4">
      <c r="A4" s="5" t="inlineStr">
        <is>
          <t>Assessment Date</t>
        </is>
      </c>
      <c r="B4" s="6" t="inlineStr">
        <is>
          <t>08.02.2026</t>
        </is>
      </c>
    </row>
    <row r="5">
      <c r="A5" s="5" t="inlineStr">
        <is>
          <t>Organization</t>
        </is>
      </c>
      <c r="B5" s="6" t="inlineStr">
        <is>
          <t>[Organization]</t>
        </is>
      </c>
    </row>
    <row r="6">
      <c r="A6" s="5" t="inlineStr">
        <is>
          <t>Framework Reference</t>
        </is>
      </c>
      <c r="B6" s="6" t="inlineStr">
        <is>
          <t>NIST SP 800-207, CISA ZT Maturity Model</t>
        </is>
      </c>
    </row>
    <row r="7">
      <c r="A7" s="5" t="inlineStr">
        <is>
          <t>Overall Compliance Score</t>
        </is>
      </c>
      <c r="B7" s="7">
        <f>Compliance!F20</f>
        <v/>
      </c>
    </row>
    <row r="9">
      <c r="A9" s="2" t="inlineStr">
        <is>
          <t>Pillar Maturity Summary</t>
        </is>
      </c>
      <c r="B9" s="3" t="n"/>
      <c r="C9" s="3" t="n"/>
      <c r="D9" s="3" t="n"/>
      <c r="E9" s="3" t="n"/>
      <c r="F9" s="4" t="n"/>
    </row>
    <row r="10">
      <c r="A10" s="5" t="inlineStr">
        <is>
          <t>Identity</t>
        </is>
      </c>
      <c r="B10" s="6" t="inlineStr">
        <is>
          <t>[Enter current maturity]</t>
        </is>
      </c>
      <c r="C10" s="6" t="inlineStr">
        <is>
          <t>[Enter target maturity]</t>
        </is>
      </c>
    </row>
    <row r="11">
      <c r="A11" s="5" t="inlineStr">
        <is>
          <t>Device</t>
        </is>
      </c>
      <c r="B11" s="6" t="inlineStr">
        <is>
          <t>[Enter current maturity]</t>
        </is>
      </c>
      <c r="C11" s="6" t="inlineStr">
        <is>
          <t>[Enter target maturity]</t>
        </is>
      </c>
    </row>
    <row r="12">
      <c r="A12" s="5" t="inlineStr">
        <is>
          <t>Network</t>
        </is>
      </c>
      <c r="B12" s="6" t="inlineStr">
        <is>
          <t>[Enter current maturity]</t>
        </is>
      </c>
      <c r="C12" s="6" t="inlineStr">
        <is>
          <t>[Enter target maturity]</t>
        </is>
      </c>
    </row>
    <row r="13">
      <c r="A13" s="5" t="inlineStr">
        <is>
          <t>Workload</t>
        </is>
      </c>
      <c r="B13" s="6" t="inlineStr">
        <is>
          <t>[Enter current maturity]</t>
        </is>
      </c>
      <c r="C13" s="6" t="inlineStr">
        <is>
          <t>[Enter target maturity]</t>
        </is>
      </c>
    </row>
    <row r="14">
      <c r="A14" s="5" t="inlineStr">
        <is>
          <t>Data</t>
        </is>
      </c>
      <c r="B14" s="6" t="inlineStr">
        <is>
          <t>[Enter current maturity]</t>
        </is>
      </c>
      <c r="C14" s="6" t="inlineStr">
        <is>
          <t>[Enter target maturity]</t>
        </is>
      </c>
    </row>
    <row r="15">
      <c r="A15" s="5" t="inlineStr">
        <is>
          <t>Visibility</t>
        </is>
      </c>
      <c r="B15" s="6" t="inlineStr">
        <is>
          <t>[Enter current maturity]</t>
        </is>
      </c>
      <c r="C15" s="6" t="inlineStr">
        <is>
          <t>[Enter target maturity]</t>
        </is>
      </c>
    </row>
    <row r="16">
      <c r="A16" s="5" t="inlineStr">
        <is>
          <t>Automation</t>
        </is>
      </c>
      <c r="B16" s="6" t="inlineStr">
        <is>
          <t>[Enter current maturity]</t>
        </is>
      </c>
      <c r="C16" s="6" t="inlineStr">
        <is>
          <t>[Enter target maturity]</t>
        </is>
      </c>
    </row>
  </sheetData>
  <mergeCells count="3">
    <mergeCell ref="A3:F3"/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2026-02-08T11:26:28Z</dcterms:created>
  <dcterms:modified xmlns:dcterms="http://purl.org/dc/terms/" xmlns:xsi="http://www.w3.org/2001/XMLSchema-instance" xsi:type="dcterms:W3CDTF">2026-02-08T11:26:28Z</dcterms:modified>
</cp:coreProperties>
</file>