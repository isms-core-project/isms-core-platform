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Summary" sheetId="2" state="visible" r:id="rId2"/>
    <sheet xmlns:r="http://schemas.openxmlformats.org/officeDocument/2006/relationships" name="DomainScores" sheetId="3" state="visible" r:id="rId3"/>
    <sheet xmlns:r="http://schemas.openxmlformats.org/officeDocument/2006/relationships" name="ZeroTrustRadar" sheetId="4" state="visible" r:id="rId4"/>
    <sheet xmlns:r="http://schemas.openxmlformats.org/officeDocument/2006/relationships" name="GapConsolidation" sheetId="5" state="visible" r:id="rId5"/>
    <sheet xmlns:r="http://schemas.openxmlformats.org/officeDocument/2006/relationships" name="TrendAnalysis" sheetId="6" state="visible" r:id="rId6"/>
    <sheet xmlns:r="http://schemas.openxmlformats.org/officeDocument/2006/relationships" name="AuditEvidence" sheetId="7" state="visible" r:id="rId7"/>
    <sheet xmlns:r="http://schemas.openxmlformats.org/officeDocument/2006/relationships" name="Action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  <font>
      <b val="1"/>
      <color rgb="001F4E79"/>
      <sz val="18"/>
    </font>
    <font>
      <i val="1"/>
      <sz val="11"/>
    </font>
    <font>
      <b val="1"/>
      <color rgb="001F4E79"/>
      <sz val="3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0" customHeight="1">
      <c r="A1" s="1" t="inlineStr">
        <is>
          <t>ISMS-IMP-A.8.27.5 - SSE Compliance Dashboard</t>
        </is>
      </c>
    </row>
    <row r="3">
      <c r="A3" s="2" t="inlineStr">
        <is>
          <t>Dashboard Overview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ISMS-IMP-A.8.27.5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Consolidated SSE compliance dashboard for executive reporting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Data Sources</t>
        </is>
      </c>
      <c r="B7" s="6" t="inlineStr">
        <is>
          <t>A.8.27.1-4 Assessment Workbooks</t>
        </is>
      </c>
      <c r="C7" s="3" t="n"/>
      <c r="D7" s="3" t="n"/>
      <c r="E7" s="3" t="n"/>
      <c r="F7" s="3" t="n"/>
      <c r="G7" s="3" t="n"/>
      <c r="H7" s="4" t="n"/>
    </row>
    <row r="8">
      <c r="A8" s="5" t="inlineStr">
        <is>
          <t>Update Frequency</t>
        </is>
      </c>
      <c r="B8" s="6" t="inlineStr">
        <is>
          <t>Quarterly (after domain assessments)</t>
        </is>
      </c>
      <c r="C8" s="3" t="n"/>
      <c r="D8" s="3" t="n"/>
      <c r="E8" s="3" t="n"/>
      <c r="F8" s="3" t="n"/>
      <c r="G8" s="3" t="n"/>
      <c r="H8" s="4" t="n"/>
    </row>
    <row r="9">
      <c r="A9" s="5" t="inlineStr">
        <is>
          <t>Generated Date</t>
        </is>
      </c>
      <c r="B9" s="6" t="inlineStr">
        <is>
          <t>08.02.2026</t>
        </is>
      </c>
      <c r="C9" s="3" t="n"/>
      <c r="D9" s="3" t="n"/>
      <c r="E9" s="3" t="n"/>
      <c r="F9" s="3" t="n"/>
      <c r="G9" s="3" t="n"/>
      <c r="H9" s="4" t="n"/>
    </row>
    <row r="11">
      <c r="A11" s="2" t="inlineStr">
        <is>
          <t>Dashboard Sheets</t>
        </is>
      </c>
      <c r="B11" s="3" t="n"/>
      <c r="C11" s="3" t="n"/>
      <c r="D11" s="3" t="n"/>
      <c r="E11" s="3" t="n"/>
      <c r="F11" s="3" t="n"/>
      <c r="G11" s="3" t="n"/>
      <c r="H11" s="4" t="n"/>
    </row>
    <row r="12">
      <c r="A12" s="5" t="inlineStr">
        <is>
          <t>ExecutiveSummary</t>
        </is>
      </c>
      <c r="B12" s="5" t="inlineStr">
        <is>
          <t>High-level SSE status for leadership</t>
        </is>
      </c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DomainScores</t>
        </is>
      </c>
      <c r="B13" s="5" t="inlineStr">
        <is>
          <t>Compliance scores by assessment domain</t>
        </is>
      </c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ZeroTrustRadar</t>
        </is>
      </c>
      <c r="B14" s="5" t="inlineStr">
        <is>
          <t>Zero Trust pillar maturity data</t>
        </is>
      </c>
      <c r="C14" s="3" t="n"/>
      <c r="D14" s="3" t="n"/>
      <c r="E14" s="3" t="n"/>
      <c r="F14" s="3" t="n"/>
      <c r="G14" s="3" t="n"/>
      <c r="H14" s="4" t="n"/>
    </row>
    <row r="15">
      <c r="A15" s="5" t="inlineStr">
        <is>
          <t>GapConsolidation</t>
        </is>
      </c>
      <c r="B15" s="5" t="inlineStr">
        <is>
          <t>All SSE gaps from all domains</t>
        </is>
      </c>
      <c r="C15" s="3" t="n"/>
      <c r="D15" s="3" t="n"/>
      <c r="E15" s="3" t="n"/>
      <c r="F15" s="3" t="n"/>
      <c r="G15" s="3" t="n"/>
      <c r="H15" s="4" t="n"/>
    </row>
    <row r="16">
      <c r="A16" s="5" t="inlineStr">
        <is>
          <t>TrendAnalysis</t>
        </is>
      </c>
      <c r="B16" s="5" t="inlineStr">
        <is>
          <t>Historical trend data</t>
        </is>
      </c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AuditEvidence</t>
        </is>
      </c>
      <c r="B17" s="5" t="inlineStr">
        <is>
          <t>Evidence inventory for audits</t>
        </is>
      </c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ActionTracker</t>
        </is>
      </c>
      <c r="B18" s="5" t="inlineStr">
        <is>
          <t>Remediation action tracking</t>
        </is>
      </c>
      <c r="C18" s="3" t="n"/>
      <c r="D18" s="3" t="n"/>
      <c r="E18" s="3" t="n"/>
      <c r="F18" s="3" t="n"/>
      <c r="G18" s="3" t="n"/>
      <c r="H18" s="4" t="n"/>
    </row>
  </sheetData>
  <mergeCells count="16">
    <mergeCell ref="B8:H8"/>
    <mergeCell ref="A3:H3"/>
    <mergeCell ref="B14:H14"/>
    <mergeCell ref="B17:H17"/>
    <mergeCell ref="B9:H9"/>
    <mergeCell ref="B13:H13"/>
    <mergeCell ref="B18:H18"/>
    <mergeCell ref="B4:H4"/>
    <mergeCell ref="B12:H12"/>
    <mergeCell ref="B6:H6"/>
    <mergeCell ref="B16:H16"/>
    <mergeCell ref="A11:H11"/>
    <mergeCell ref="B15:H15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0" customWidth="1" min="5" max="5"/>
    <col width="10" customWidth="1" min="6" max="6"/>
    <col width="15" customWidth="1" min="7" max="7"/>
    <col width="15" customWidth="1" min="8" max="8"/>
  </cols>
  <sheetData>
    <row r="1" ht="40" customHeight="1">
      <c r="A1" s="7" t="inlineStr">
        <is>
          <t>Secure Systems Engineering - Executive Dashboard</t>
        </is>
      </c>
    </row>
    <row r="2">
      <c r="A2" s="8" t="inlineStr">
        <is>
          <t>Report Date: 08.02.2026</t>
        </is>
      </c>
    </row>
    <row r="4">
      <c r="A4" s="2" t="inlineStr">
        <is>
          <t>Overall SSE Compliance Score</t>
        </is>
      </c>
    </row>
    <row r="5" ht="50" customHeight="1">
      <c r="A5" s="9">
        <f>AVERAGE(DomainScores!D4:D7)</f>
        <v/>
      </c>
    </row>
    <row r="6" ht="30" customHeight="1"/>
    <row r="7" ht="30" customHeight="1"/>
    <row r="9">
      <c r="A9" s="2" t="inlineStr">
        <is>
          <t>Domain Status Summary</t>
        </is>
      </c>
      <c r="B9" s="3" t="n"/>
      <c r="C9" s="3" t="n"/>
      <c r="D9" s="3" t="n"/>
      <c r="E9" s="3" t="n"/>
      <c r="F9" s="3" t="n"/>
      <c r="G9" s="3" t="n"/>
      <c r="H9" s="4" t="n"/>
    </row>
    <row r="10">
      <c r="A10" s="1" t="inlineStr">
        <is>
          <t>Domain</t>
        </is>
      </c>
      <c r="B10" s="1" t="inlineStr">
        <is>
          <t>Name</t>
        </is>
      </c>
      <c r="C10" s="1" t="inlineStr">
        <is>
          <t>Score</t>
        </is>
      </c>
      <c r="D10" s="1" t="inlineStr">
        <is>
          <t>Status</t>
        </is>
      </c>
      <c r="E10" s="1" t="inlineStr">
        <is>
          <t>Gaps</t>
        </is>
      </c>
      <c r="F10" s="1" t="inlineStr">
        <is>
          <t>Trend</t>
        </is>
      </c>
    </row>
    <row r="11">
      <c r="A11" s="5" t="inlineStr">
        <is>
          <t>A.8.27.1</t>
        </is>
      </c>
      <c r="B11" s="5" t="inlineStr">
        <is>
          <t>Architecture Review Process</t>
        </is>
      </c>
      <c r="C11" s="6">
        <f>DomainScores!D4</f>
        <v/>
      </c>
      <c r="D11" s="6" t="n"/>
      <c r="E11" s="6" t="n"/>
      <c r="F11" s="6" t="n"/>
    </row>
    <row r="12">
      <c r="A12" s="5" t="inlineStr">
        <is>
          <t>A.8.27.2</t>
        </is>
      </c>
      <c r="B12" s="5" t="inlineStr">
        <is>
          <t>Threat Modelling Methodology</t>
        </is>
      </c>
      <c r="C12" s="6">
        <f>DomainScores!D5</f>
        <v/>
      </c>
      <c r="D12" s="6" t="n"/>
      <c r="E12" s="6" t="n"/>
      <c r="F12" s="6" t="n"/>
    </row>
    <row r="13">
      <c r="A13" s="5" t="inlineStr">
        <is>
          <t>A.8.27.3</t>
        </is>
      </c>
      <c r="B13" s="5" t="inlineStr">
        <is>
          <t>Secure Architecture Patterns</t>
        </is>
      </c>
      <c r="C13" s="6">
        <f>DomainScores!D6</f>
        <v/>
      </c>
      <c r="D13" s="6" t="n"/>
      <c r="E13" s="6" t="n"/>
      <c r="F13" s="6" t="n"/>
    </row>
    <row r="14">
      <c r="A14" s="5" t="inlineStr">
        <is>
          <t>A.8.27.4</t>
        </is>
      </c>
      <c r="B14" s="5" t="inlineStr">
        <is>
          <t>Zero Trust Implementation</t>
        </is>
      </c>
      <c r="C14" s="6">
        <f>DomainScores!D7</f>
        <v/>
      </c>
      <c r="D14" s="6" t="n"/>
      <c r="E14" s="6" t="n"/>
      <c r="F14" s="6" t="n"/>
    </row>
    <row r="16">
      <c r="A16" s="2" t="inlineStr">
        <is>
          <t>Key Metrics</t>
        </is>
      </c>
      <c r="B16" s="3" t="n"/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Total Open Gaps</t>
        </is>
      </c>
      <c r="B17" s="10">
        <f>COUNTIF(GapConsolidation!H:H,"Open")</f>
        <v/>
      </c>
    </row>
    <row r="18">
      <c r="A18" s="5" t="inlineStr">
        <is>
          <t>High Risk Gaps</t>
        </is>
      </c>
      <c r="B18" s="10">
        <f>COUNTIF(GapConsolidation!D:D,"High")</f>
        <v/>
      </c>
    </row>
    <row r="19">
      <c r="A19" s="5" t="inlineStr">
        <is>
          <t>Overdue Actions</t>
        </is>
      </c>
      <c r="B19" s="10">
        <f>COUNTIF(ActionTracker!F:F,"Overdue")</f>
        <v/>
      </c>
    </row>
    <row r="20">
      <c r="A20" s="5" t="inlineStr">
        <is>
          <t>ZT Average Maturity</t>
        </is>
      </c>
      <c r="B20" s="10">
        <f>AVERAGE(ZeroTrustRadar!C4:C10)</f>
        <v/>
      </c>
    </row>
    <row r="22">
      <c r="A22" s="2" t="inlineStr">
        <is>
          <t>Priority Actions for Next Quarter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5" t="inlineStr">
        <is>
          <t>1.</t>
        </is>
      </c>
      <c r="B23" s="6" t="n"/>
    </row>
    <row r="24">
      <c r="A24" s="5" t="inlineStr">
        <is>
          <t>2.</t>
        </is>
      </c>
      <c r="B24" s="6" t="n"/>
    </row>
    <row r="25">
      <c r="A25" s="5" t="inlineStr">
        <is>
          <t>3.</t>
        </is>
      </c>
      <c r="B25" s="6" t="n"/>
    </row>
    <row r="26">
      <c r="A26" s="5" t="inlineStr">
        <is>
          <t>4.</t>
        </is>
      </c>
      <c r="B26" s="6" t="n"/>
    </row>
    <row r="27">
      <c r="A27" s="5" t="inlineStr">
        <is>
          <t>5.</t>
        </is>
      </c>
      <c r="B27" s="6" t="n"/>
    </row>
  </sheetData>
  <mergeCells count="11">
    <mergeCell ref="A9:H9"/>
    <mergeCell ref="B23:H23"/>
    <mergeCell ref="B26:H26"/>
    <mergeCell ref="B27:H27"/>
    <mergeCell ref="A16:H16"/>
    <mergeCell ref="B24:H24"/>
    <mergeCell ref="B25:H25"/>
    <mergeCell ref="A1:H1"/>
    <mergeCell ref="A4:C4"/>
    <mergeCell ref="A22:H22"/>
    <mergeCell ref="A5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</cols>
  <sheetData>
    <row r="1" ht="30" customHeight="1">
      <c r="A1" s="1" t="inlineStr">
        <is>
          <t>SSE Domain Compliance Scores</t>
        </is>
      </c>
    </row>
    <row r="3">
      <c r="A3" s="1" t="inlineStr">
        <is>
          <t>Domain</t>
        </is>
      </c>
      <c r="B3" s="1" t="inlineStr">
        <is>
          <t>Name</t>
        </is>
      </c>
      <c r="C3" s="1" t="inlineStr">
        <is>
          <t>Assessment Date</t>
        </is>
      </c>
      <c r="D3" s="1" t="inlineStr">
        <is>
          <t>Compliance Score</t>
        </is>
      </c>
      <c r="E3" s="1" t="inlineStr">
        <is>
          <t>Gap Count</t>
        </is>
      </c>
      <c r="F3" s="1" t="inlineStr">
        <is>
          <t>High Risk</t>
        </is>
      </c>
      <c r="G3" s="1" t="inlineStr">
        <is>
          <t>Status</t>
        </is>
      </c>
      <c r="H3" s="1" t="inlineStr">
        <is>
          <t>Trend</t>
        </is>
      </c>
      <c r="I3" s="1" t="inlineStr">
        <is>
          <t>Next Assessment</t>
        </is>
      </c>
    </row>
    <row r="4">
      <c r="A4" s="5" t="inlineStr">
        <is>
          <t>A.8.27.1</t>
        </is>
      </c>
      <c r="B4" s="5" t="inlineStr">
        <is>
          <t>Security Architecture Review Process</t>
        </is>
      </c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A.8.27.2</t>
        </is>
      </c>
      <c r="B5" s="5" t="inlineStr">
        <is>
          <t>Threat Modelling Methodology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5" t="inlineStr">
        <is>
          <t>A.8.27.3</t>
        </is>
      </c>
      <c r="B6" s="5" t="inlineStr">
        <is>
          <t>Secure Architecture Pattern Catalogue</t>
        </is>
      </c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A.8.27.4</t>
        </is>
      </c>
      <c r="B7" s="5" t="inlineStr">
        <is>
          <t>Zero Trust Implementation</t>
        </is>
      </c>
      <c r="C7" s="6" t="n"/>
      <c r="D7" s="6" t="n"/>
      <c r="E7" s="6" t="n"/>
      <c r="F7" s="6" t="n"/>
      <c r="G7" s="6" t="n"/>
      <c r="H7" s="6" t="n"/>
      <c r="I7" s="6" t="n"/>
    </row>
    <row r="9">
      <c r="A9" s="2" t="inlineStr">
        <is>
          <t>OVERALL</t>
        </is>
      </c>
      <c r="D9" s="10">
        <f>AVERAGE(D4:D7)</f>
        <v/>
      </c>
      <c r="E9" s="10">
        <f>SUM(E4:E7)</f>
        <v/>
      </c>
      <c r="F9" s="10">
        <f>SUM(F4:F7)</f>
        <v/>
      </c>
    </row>
  </sheetData>
  <mergeCells count="1">
    <mergeCell ref="A1:I1"/>
  </mergeCells>
  <dataValidations count="2">
    <dataValidation sqref="G4:G7" showDropDown="0" showInputMessage="0" showErrorMessage="0" allowBlank="1" type="list">
      <formula1>"Green,Amber,Red"</formula1>
    </dataValidation>
    <dataValidation sqref="H4:H7" showDropDown="0" showInputMessage="0" showErrorMessage="0" allowBlank="1" type="list">
      <formula1>"↑,→,↓"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2" customWidth="1" min="5" max="5"/>
    <col width="10" customWidth="1" min="6" max="6"/>
    <col width="10" customWidth="1" min="7" max="7"/>
  </cols>
  <sheetData>
    <row r="1" ht="30" customHeight="1">
      <c r="A1" s="1" t="inlineStr">
        <is>
          <t>Zero Trust Maturity - Radar Chart Data</t>
        </is>
      </c>
    </row>
    <row r="3">
      <c r="A3" s="1" t="inlineStr">
        <is>
          <t>Pillar</t>
        </is>
      </c>
      <c r="B3" s="1" t="inlineStr">
        <is>
          <t>Current Level</t>
        </is>
      </c>
      <c r="C3" s="1" t="inlineStr">
        <is>
          <t>Current Score</t>
        </is>
      </c>
      <c r="D3" s="1" t="inlineStr">
        <is>
          <t>Target Level</t>
        </is>
      </c>
      <c r="E3" s="1" t="inlineStr">
        <is>
          <t>Target Score</t>
        </is>
      </c>
      <c r="F3" s="1" t="inlineStr">
        <is>
          <t>Gap</t>
        </is>
      </c>
      <c r="G3" s="1" t="inlineStr">
        <is>
          <t>Priority</t>
        </is>
      </c>
    </row>
    <row r="4">
      <c r="A4" s="5" t="inlineStr">
        <is>
          <t>Identity</t>
        </is>
      </c>
      <c r="B4" s="6" t="n"/>
      <c r="C4" s="6" t="n"/>
      <c r="D4" s="6" t="n"/>
      <c r="E4" s="6" t="n"/>
      <c r="F4" s="10">
        <f>E4-C4</f>
        <v/>
      </c>
      <c r="G4" s="6" t="n"/>
    </row>
    <row r="5">
      <c r="A5" s="5" t="inlineStr">
        <is>
          <t>Device</t>
        </is>
      </c>
      <c r="B5" s="6" t="n"/>
      <c r="C5" s="6" t="n"/>
      <c r="D5" s="6" t="n"/>
      <c r="E5" s="6" t="n"/>
      <c r="F5" s="10">
        <f>E5-C5</f>
        <v/>
      </c>
      <c r="G5" s="6" t="n"/>
    </row>
    <row r="6">
      <c r="A6" s="5" t="inlineStr">
        <is>
          <t>Network</t>
        </is>
      </c>
      <c r="B6" s="6" t="n"/>
      <c r="C6" s="6" t="n"/>
      <c r="D6" s="6" t="n"/>
      <c r="E6" s="6" t="n"/>
      <c r="F6" s="10">
        <f>E6-C6</f>
        <v/>
      </c>
      <c r="G6" s="6" t="n"/>
    </row>
    <row r="7">
      <c r="A7" s="5" t="inlineStr">
        <is>
          <t>Workload</t>
        </is>
      </c>
      <c r="B7" s="6" t="n"/>
      <c r="C7" s="6" t="n"/>
      <c r="D7" s="6" t="n"/>
      <c r="E7" s="6" t="n"/>
      <c r="F7" s="10">
        <f>E7-C7</f>
        <v/>
      </c>
      <c r="G7" s="6" t="n"/>
    </row>
    <row r="8">
      <c r="A8" s="5" t="inlineStr">
        <is>
          <t>Data</t>
        </is>
      </c>
      <c r="B8" s="6" t="n"/>
      <c r="C8" s="6" t="n"/>
      <c r="D8" s="6" t="n"/>
      <c r="E8" s="6" t="n"/>
      <c r="F8" s="10">
        <f>E8-C8</f>
        <v/>
      </c>
      <c r="G8" s="6" t="n"/>
    </row>
    <row r="9">
      <c r="A9" s="5" t="inlineStr">
        <is>
          <t>Visibility</t>
        </is>
      </c>
      <c r="B9" s="6" t="n"/>
      <c r="C9" s="6" t="n"/>
      <c r="D9" s="6" t="n"/>
      <c r="E9" s="6" t="n"/>
      <c r="F9" s="10">
        <f>E9-C9</f>
        <v/>
      </c>
      <c r="G9" s="6" t="n"/>
    </row>
    <row r="10">
      <c r="A10" s="5" t="inlineStr">
        <is>
          <t>Automation</t>
        </is>
      </c>
      <c r="B10" s="6" t="n"/>
      <c r="C10" s="6" t="n"/>
      <c r="D10" s="6" t="n"/>
      <c r="E10" s="6" t="n"/>
      <c r="F10" s="10">
        <f>E10-C10</f>
        <v/>
      </c>
      <c r="G10" s="6" t="n"/>
    </row>
    <row r="12">
      <c r="A12" s="2" t="inlineStr">
        <is>
          <t>AVERAGE</t>
        </is>
      </c>
      <c r="C12" s="10">
        <f>AVERAGE(C4:C10)</f>
        <v/>
      </c>
      <c r="E12" s="10">
        <f>AVERAGE(E4:E10)</f>
        <v/>
      </c>
      <c r="F12" s="10">
        <f>E12-C12</f>
        <v/>
      </c>
    </row>
  </sheetData>
  <mergeCells count="1">
    <mergeCell ref="A1:G1"/>
  </mergeCells>
  <dataValidations count="3">
    <dataValidation sqref="B4:B10 D4:D10" showDropDown="0" showInputMessage="0" showErrorMessage="0" allowBlank="1" type="list">
      <formula1>"Traditional,Initial,Advanced,Optimal"</formula1>
    </dataValidation>
    <dataValidation sqref="C4:C10 E4:E10" showDropDown="0" showInputMessage="0" showErrorMessage="0" allowBlank="1" type="list">
      <formula1>"1,2,3,4"</formula1>
    </dataValidation>
    <dataValidation sqref="G4:G1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30" customHeight="1">
      <c r="A1" s="1" t="inlineStr">
        <is>
          <t>SSE Gap Consolidation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Days Open</t>
        </is>
      </c>
      <c r="J3" s="1" t="inlineStr">
        <is>
          <t>Overdue</t>
        </is>
      </c>
    </row>
    <row r="4">
      <c r="A4" s="5" t="inlineStr">
        <is>
          <t>SSE-GAP-001</t>
        </is>
      </c>
      <c r="B4" s="6" t="n"/>
      <c r="C4" s="6" t="n"/>
      <c r="D4" s="6" t="n"/>
      <c r="E4" s="6" t="n"/>
      <c r="F4" s="6" t="n"/>
      <c r="G4" s="6" t="n"/>
      <c r="H4" s="6" t="n"/>
      <c r="I4" s="10">
        <f>IF(H4="Closed","",TODAY()-G4)</f>
        <v/>
      </c>
      <c r="J4" s="10">
        <f>IF(AND(H4&lt;&gt;"Closed",G4&lt;TODAY()),"OVERDUE","")</f>
        <v/>
      </c>
    </row>
    <row r="5">
      <c r="A5" s="5" t="inlineStr">
        <is>
          <t>SSE-GAP-002</t>
        </is>
      </c>
      <c r="B5" s="6" t="n"/>
      <c r="C5" s="6" t="n"/>
      <c r="D5" s="6" t="n"/>
      <c r="E5" s="6" t="n"/>
      <c r="F5" s="6" t="n"/>
      <c r="G5" s="6" t="n"/>
      <c r="H5" s="6" t="n"/>
      <c r="I5" s="10">
        <f>IF(H5="Closed","",TODAY()-G5)</f>
        <v/>
      </c>
      <c r="J5" s="10">
        <f>IF(AND(H5&lt;&gt;"Closed",G5&lt;TODAY()),"OVERDUE","")</f>
        <v/>
      </c>
    </row>
    <row r="6">
      <c r="A6" s="5" t="inlineStr">
        <is>
          <t>SSE-GAP-003</t>
        </is>
      </c>
      <c r="B6" s="6" t="n"/>
      <c r="C6" s="6" t="n"/>
      <c r="D6" s="6" t="n"/>
      <c r="E6" s="6" t="n"/>
      <c r="F6" s="6" t="n"/>
      <c r="G6" s="6" t="n"/>
      <c r="H6" s="6" t="n"/>
      <c r="I6" s="10">
        <f>IF(H6="Closed","",TODAY()-G6)</f>
        <v/>
      </c>
      <c r="J6" s="10">
        <f>IF(AND(H6&lt;&gt;"Closed",G6&lt;TODAY()),"OVERDUE","")</f>
        <v/>
      </c>
    </row>
    <row r="7">
      <c r="A7" s="5" t="inlineStr">
        <is>
          <t>SSE-GAP-004</t>
        </is>
      </c>
      <c r="B7" s="6" t="n"/>
      <c r="C7" s="6" t="n"/>
      <c r="D7" s="6" t="n"/>
      <c r="E7" s="6" t="n"/>
      <c r="F7" s="6" t="n"/>
      <c r="G7" s="6" t="n"/>
      <c r="H7" s="6" t="n"/>
      <c r="I7" s="10">
        <f>IF(H7="Closed","",TODAY()-G7)</f>
        <v/>
      </c>
      <c r="J7" s="10">
        <f>IF(AND(H7&lt;&gt;"Closed",G7&lt;TODAY()),"OVERDUE","")</f>
        <v/>
      </c>
    </row>
    <row r="8">
      <c r="A8" s="5" t="inlineStr">
        <is>
          <t>SSE-GAP-005</t>
        </is>
      </c>
      <c r="B8" s="6" t="n"/>
      <c r="C8" s="6" t="n"/>
      <c r="D8" s="6" t="n"/>
      <c r="E8" s="6" t="n"/>
      <c r="F8" s="6" t="n"/>
      <c r="G8" s="6" t="n"/>
      <c r="H8" s="6" t="n"/>
      <c r="I8" s="10">
        <f>IF(H8="Closed","",TODAY()-G8)</f>
        <v/>
      </c>
      <c r="J8" s="10">
        <f>IF(AND(H8&lt;&gt;"Closed",G8&lt;TODAY()),"OVERDUE","")</f>
        <v/>
      </c>
    </row>
    <row r="9">
      <c r="A9" s="5" t="inlineStr">
        <is>
          <t>SSE-GAP-006</t>
        </is>
      </c>
      <c r="B9" s="6" t="n"/>
      <c r="C9" s="6" t="n"/>
      <c r="D9" s="6" t="n"/>
      <c r="E9" s="6" t="n"/>
      <c r="F9" s="6" t="n"/>
      <c r="G9" s="6" t="n"/>
      <c r="H9" s="6" t="n"/>
      <c r="I9" s="10">
        <f>IF(H9="Closed","",TODAY()-G9)</f>
        <v/>
      </c>
      <c r="J9" s="10">
        <f>IF(AND(H9&lt;&gt;"Closed",G9&lt;TODAY()),"OVERDUE","")</f>
        <v/>
      </c>
    </row>
    <row r="10">
      <c r="A10" s="5" t="inlineStr">
        <is>
          <t>SSE-GAP-007</t>
        </is>
      </c>
      <c r="B10" s="6" t="n"/>
      <c r="C10" s="6" t="n"/>
      <c r="D10" s="6" t="n"/>
      <c r="E10" s="6" t="n"/>
      <c r="F10" s="6" t="n"/>
      <c r="G10" s="6" t="n"/>
      <c r="H10" s="6" t="n"/>
      <c r="I10" s="10">
        <f>IF(H10="Closed","",TODAY()-G10)</f>
        <v/>
      </c>
      <c r="J10" s="10">
        <f>IF(AND(H10&lt;&gt;"Closed",G10&lt;TODAY()),"OVERDUE","")</f>
        <v/>
      </c>
    </row>
    <row r="11">
      <c r="A11" s="5" t="inlineStr">
        <is>
          <t>SSE-GAP-008</t>
        </is>
      </c>
      <c r="B11" s="6" t="n"/>
      <c r="C11" s="6" t="n"/>
      <c r="D11" s="6" t="n"/>
      <c r="E11" s="6" t="n"/>
      <c r="F11" s="6" t="n"/>
      <c r="G11" s="6" t="n"/>
      <c r="H11" s="6" t="n"/>
      <c r="I11" s="10">
        <f>IF(H11="Closed","",TODAY()-G11)</f>
        <v/>
      </c>
      <c r="J11" s="10">
        <f>IF(AND(H11&lt;&gt;"Closed",G11&lt;TODAY()),"OVERDUE","")</f>
        <v/>
      </c>
    </row>
    <row r="12">
      <c r="A12" s="5" t="inlineStr">
        <is>
          <t>SSE-GAP-009</t>
        </is>
      </c>
      <c r="B12" s="6" t="n"/>
      <c r="C12" s="6" t="n"/>
      <c r="D12" s="6" t="n"/>
      <c r="E12" s="6" t="n"/>
      <c r="F12" s="6" t="n"/>
      <c r="G12" s="6" t="n"/>
      <c r="H12" s="6" t="n"/>
      <c r="I12" s="10">
        <f>IF(H12="Closed","",TODAY()-G12)</f>
        <v/>
      </c>
      <c r="J12" s="10">
        <f>IF(AND(H12&lt;&gt;"Closed",G12&lt;TODAY()),"OVERDUE","")</f>
        <v/>
      </c>
    </row>
    <row r="13">
      <c r="A13" s="5" t="inlineStr">
        <is>
          <t>SSE-GAP-010</t>
        </is>
      </c>
      <c r="B13" s="6" t="n"/>
      <c r="C13" s="6" t="n"/>
      <c r="D13" s="6" t="n"/>
      <c r="E13" s="6" t="n"/>
      <c r="F13" s="6" t="n"/>
      <c r="G13" s="6" t="n"/>
      <c r="H13" s="6" t="n"/>
      <c r="I13" s="10">
        <f>IF(H13="Closed","",TODAY()-G13)</f>
        <v/>
      </c>
      <c r="J13" s="10">
        <f>IF(AND(H13&lt;&gt;"Closed",G13&lt;TODAY()),"OVERDUE","")</f>
        <v/>
      </c>
    </row>
    <row r="14">
      <c r="A14" s="5" t="inlineStr">
        <is>
          <t>SSE-GAP-011</t>
        </is>
      </c>
      <c r="B14" s="6" t="n"/>
      <c r="C14" s="6" t="n"/>
      <c r="D14" s="6" t="n"/>
      <c r="E14" s="6" t="n"/>
      <c r="F14" s="6" t="n"/>
      <c r="G14" s="6" t="n"/>
      <c r="H14" s="6" t="n"/>
      <c r="I14" s="10">
        <f>IF(H14="Closed","",TODAY()-G14)</f>
        <v/>
      </c>
      <c r="J14" s="10">
        <f>IF(AND(H14&lt;&gt;"Closed",G14&lt;TODAY()),"OVERDUE","")</f>
        <v/>
      </c>
    </row>
    <row r="15">
      <c r="A15" s="5" t="inlineStr">
        <is>
          <t>SSE-GAP-012</t>
        </is>
      </c>
      <c r="B15" s="6" t="n"/>
      <c r="C15" s="6" t="n"/>
      <c r="D15" s="6" t="n"/>
      <c r="E15" s="6" t="n"/>
      <c r="F15" s="6" t="n"/>
      <c r="G15" s="6" t="n"/>
      <c r="H15" s="6" t="n"/>
      <c r="I15" s="10">
        <f>IF(H15="Closed","",TODAY()-G15)</f>
        <v/>
      </c>
      <c r="J15" s="10">
        <f>IF(AND(H15&lt;&gt;"Closed",G15&lt;TODAY()),"OVERDUE","")</f>
        <v/>
      </c>
    </row>
    <row r="16">
      <c r="A16" s="5" t="inlineStr">
        <is>
          <t>SSE-GAP-013</t>
        </is>
      </c>
      <c r="B16" s="6" t="n"/>
      <c r="C16" s="6" t="n"/>
      <c r="D16" s="6" t="n"/>
      <c r="E16" s="6" t="n"/>
      <c r="F16" s="6" t="n"/>
      <c r="G16" s="6" t="n"/>
      <c r="H16" s="6" t="n"/>
      <c r="I16" s="10">
        <f>IF(H16="Closed","",TODAY()-G16)</f>
        <v/>
      </c>
      <c r="J16" s="10">
        <f>IF(AND(H16&lt;&gt;"Closed",G16&lt;TODAY()),"OVERDUE","")</f>
        <v/>
      </c>
    </row>
    <row r="17">
      <c r="A17" s="5" t="inlineStr">
        <is>
          <t>SSE-GAP-014</t>
        </is>
      </c>
      <c r="B17" s="6" t="n"/>
      <c r="C17" s="6" t="n"/>
      <c r="D17" s="6" t="n"/>
      <c r="E17" s="6" t="n"/>
      <c r="F17" s="6" t="n"/>
      <c r="G17" s="6" t="n"/>
      <c r="H17" s="6" t="n"/>
      <c r="I17" s="10">
        <f>IF(H17="Closed","",TODAY()-G17)</f>
        <v/>
      </c>
      <c r="J17" s="10">
        <f>IF(AND(H17&lt;&gt;"Closed",G17&lt;TODAY()),"OVERDUE","")</f>
        <v/>
      </c>
    </row>
    <row r="18">
      <c r="A18" s="5" t="inlineStr">
        <is>
          <t>SSE-GAP-015</t>
        </is>
      </c>
      <c r="B18" s="6" t="n"/>
      <c r="C18" s="6" t="n"/>
      <c r="D18" s="6" t="n"/>
      <c r="E18" s="6" t="n"/>
      <c r="F18" s="6" t="n"/>
      <c r="G18" s="6" t="n"/>
      <c r="H18" s="6" t="n"/>
      <c r="I18" s="10">
        <f>IF(H18="Closed","",TODAY()-G18)</f>
        <v/>
      </c>
      <c r="J18" s="10">
        <f>IF(AND(H18&lt;&gt;"Closed",G18&lt;TODAY()),"OVERDUE","")</f>
        <v/>
      </c>
    </row>
    <row r="19">
      <c r="A19" s="5" t="inlineStr">
        <is>
          <t>SSE-GAP-016</t>
        </is>
      </c>
      <c r="B19" s="6" t="n"/>
      <c r="C19" s="6" t="n"/>
      <c r="D19" s="6" t="n"/>
      <c r="E19" s="6" t="n"/>
      <c r="F19" s="6" t="n"/>
      <c r="G19" s="6" t="n"/>
      <c r="H19" s="6" t="n"/>
      <c r="I19" s="10">
        <f>IF(H19="Closed","",TODAY()-G19)</f>
        <v/>
      </c>
      <c r="J19" s="10">
        <f>IF(AND(H19&lt;&gt;"Closed",G19&lt;TODAY()),"OVERDUE","")</f>
        <v/>
      </c>
    </row>
    <row r="20">
      <c r="A20" s="5" t="inlineStr">
        <is>
          <t>SSE-GAP-017</t>
        </is>
      </c>
      <c r="B20" s="6" t="n"/>
      <c r="C20" s="6" t="n"/>
      <c r="D20" s="6" t="n"/>
      <c r="E20" s="6" t="n"/>
      <c r="F20" s="6" t="n"/>
      <c r="G20" s="6" t="n"/>
      <c r="H20" s="6" t="n"/>
      <c r="I20" s="10">
        <f>IF(H20="Closed","",TODAY()-G20)</f>
        <v/>
      </c>
      <c r="J20" s="10">
        <f>IF(AND(H20&lt;&gt;"Closed",G20&lt;TODAY()),"OVERDUE","")</f>
        <v/>
      </c>
    </row>
    <row r="21">
      <c r="A21" s="5" t="inlineStr">
        <is>
          <t>SSE-GAP-018</t>
        </is>
      </c>
      <c r="B21" s="6" t="n"/>
      <c r="C21" s="6" t="n"/>
      <c r="D21" s="6" t="n"/>
      <c r="E21" s="6" t="n"/>
      <c r="F21" s="6" t="n"/>
      <c r="G21" s="6" t="n"/>
      <c r="H21" s="6" t="n"/>
      <c r="I21" s="10">
        <f>IF(H21="Closed","",TODAY()-G21)</f>
        <v/>
      </c>
      <c r="J21" s="10">
        <f>IF(AND(H21&lt;&gt;"Closed",G21&lt;TODAY()),"OVERDUE","")</f>
        <v/>
      </c>
    </row>
    <row r="22">
      <c r="A22" s="5" t="inlineStr">
        <is>
          <t>SSE-GAP-019</t>
        </is>
      </c>
      <c r="B22" s="6" t="n"/>
      <c r="C22" s="6" t="n"/>
      <c r="D22" s="6" t="n"/>
      <c r="E22" s="6" t="n"/>
      <c r="F22" s="6" t="n"/>
      <c r="G22" s="6" t="n"/>
      <c r="H22" s="6" t="n"/>
      <c r="I22" s="10">
        <f>IF(H22="Closed","",TODAY()-G22)</f>
        <v/>
      </c>
      <c r="J22" s="10">
        <f>IF(AND(H22&lt;&gt;"Closed",G22&lt;TODAY()),"OVERDUE","")</f>
        <v/>
      </c>
    </row>
    <row r="23">
      <c r="A23" s="5" t="inlineStr">
        <is>
          <t>SSE-GAP-020</t>
        </is>
      </c>
      <c r="B23" s="6" t="n"/>
      <c r="C23" s="6" t="n"/>
      <c r="D23" s="6" t="n"/>
      <c r="E23" s="6" t="n"/>
      <c r="F23" s="6" t="n"/>
      <c r="G23" s="6" t="n"/>
      <c r="H23" s="6" t="n"/>
      <c r="I23" s="10">
        <f>IF(H23="Closed","",TODAY()-G23)</f>
        <v/>
      </c>
      <c r="J23" s="10">
        <f>IF(AND(H23&lt;&gt;"Closed",G23&lt;TODAY()),"OVERDUE","")</f>
        <v/>
      </c>
    </row>
    <row r="24">
      <c r="A24" s="5" t="inlineStr">
        <is>
          <t>SSE-GAP-021</t>
        </is>
      </c>
      <c r="B24" s="6" t="n"/>
      <c r="C24" s="6" t="n"/>
      <c r="D24" s="6" t="n"/>
      <c r="E24" s="6" t="n"/>
      <c r="F24" s="6" t="n"/>
      <c r="G24" s="6" t="n"/>
      <c r="H24" s="6" t="n"/>
      <c r="I24" s="10">
        <f>IF(H24="Closed","",TODAY()-G24)</f>
        <v/>
      </c>
      <c r="J24" s="10">
        <f>IF(AND(H24&lt;&gt;"Closed",G24&lt;TODAY()),"OVERDUE","")</f>
        <v/>
      </c>
    </row>
    <row r="25">
      <c r="A25" s="5" t="inlineStr">
        <is>
          <t>SSE-GAP-022</t>
        </is>
      </c>
      <c r="B25" s="6" t="n"/>
      <c r="C25" s="6" t="n"/>
      <c r="D25" s="6" t="n"/>
      <c r="E25" s="6" t="n"/>
      <c r="F25" s="6" t="n"/>
      <c r="G25" s="6" t="n"/>
      <c r="H25" s="6" t="n"/>
      <c r="I25" s="10">
        <f>IF(H25="Closed","",TODAY()-G25)</f>
        <v/>
      </c>
      <c r="J25" s="10">
        <f>IF(AND(H25&lt;&gt;"Closed",G25&lt;TODAY()),"OVERDUE","")</f>
        <v/>
      </c>
    </row>
    <row r="26">
      <c r="A26" s="5" t="inlineStr">
        <is>
          <t>SSE-GAP-023</t>
        </is>
      </c>
      <c r="B26" s="6" t="n"/>
      <c r="C26" s="6" t="n"/>
      <c r="D26" s="6" t="n"/>
      <c r="E26" s="6" t="n"/>
      <c r="F26" s="6" t="n"/>
      <c r="G26" s="6" t="n"/>
      <c r="H26" s="6" t="n"/>
      <c r="I26" s="10">
        <f>IF(H26="Closed","",TODAY()-G26)</f>
        <v/>
      </c>
      <c r="J26" s="10">
        <f>IF(AND(H26&lt;&gt;"Closed",G26&lt;TODAY()),"OVERDUE","")</f>
        <v/>
      </c>
    </row>
    <row r="27">
      <c r="A27" s="5" t="inlineStr">
        <is>
          <t>SSE-GAP-024</t>
        </is>
      </c>
      <c r="B27" s="6" t="n"/>
      <c r="C27" s="6" t="n"/>
      <c r="D27" s="6" t="n"/>
      <c r="E27" s="6" t="n"/>
      <c r="F27" s="6" t="n"/>
      <c r="G27" s="6" t="n"/>
      <c r="H27" s="6" t="n"/>
      <c r="I27" s="10">
        <f>IF(H27="Closed","",TODAY()-G27)</f>
        <v/>
      </c>
      <c r="J27" s="10">
        <f>IF(AND(H27&lt;&gt;"Closed",G27&lt;TODAY()),"OVERDUE","")</f>
        <v/>
      </c>
    </row>
    <row r="28">
      <c r="A28" s="5" t="inlineStr">
        <is>
          <t>SSE-GAP-025</t>
        </is>
      </c>
      <c r="B28" s="6" t="n"/>
      <c r="C28" s="6" t="n"/>
      <c r="D28" s="6" t="n"/>
      <c r="E28" s="6" t="n"/>
      <c r="F28" s="6" t="n"/>
      <c r="G28" s="6" t="n"/>
      <c r="H28" s="6" t="n"/>
      <c r="I28" s="10">
        <f>IF(H28="Closed","",TODAY()-G28)</f>
        <v/>
      </c>
      <c r="J28" s="10">
        <f>IF(AND(H28&lt;&gt;"Closed",G28&lt;TODAY()),"OVERDUE","")</f>
        <v/>
      </c>
    </row>
    <row r="29">
      <c r="A29" s="5" t="inlineStr">
        <is>
          <t>SSE-GAP-026</t>
        </is>
      </c>
      <c r="B29" s="6" t="n"/>
      <c r="C29" s="6" t="n"/>
      <c r="D29" s="6" t="n"/>
      <c r="E29" s="6" t="n"/>
      <c r="F29" s="6" t="n"/>
      <c r="G29" s="6" t="n"/>
      <c r="H29" s="6" t="n"/>
      <c r="I29" s="10">
        <f>IF(H29="Closed","",TODAY()-G29)</f>
        <v/>
      </c>
      <c r="J29" s="10">
        <f>IF(AND(H29&lt;&gt;"Closed",G29&lt;TODAY()),"OVERDUE","")</f>
        <v/>
      </c>
    </row>
    <row r="30">
      <c r="A30" s="5" t="inlineStr">
        <is>
          <t>SSE-GAP-027</t>
        </is>
      </c>
      <c r="B30" s="6" t="n"/>
      <c r="C30" s="6" t="n"/>
      <c r="D30" s="6" t="n"/>
      <c r="E30" s="6" t="n"/>
      <c r="F30" s="6" t="n"/>
      <c r="G30" s="6" t="n"/>
      <c r="H30" s="6" t="n"/>
      <c r="I30" s="10">
        <f>IF(H30="Closed","",TODAY()-G30)</f>
        <v/>
      </c>
      <c r="J30" s="10">
        <f>IF(AND(H30&lt;&gt;"Closed",G30&lt;TODAY()),"OVERDUE","")</f>
        <v/>
      </c>
    </row>
    <row r="31">
      <c r="A31" s="5" t="inlineStr">
        <is>
          <t>SSE-GAP-028</t>
        </is>
      </c>
      <c r="B31" s="6" t="n"/>
      <c r="C31" s="6" t="n"/>
      <c r="D31" s="6" t="n"/>
      <c r="E31" s="6" t="n"/>
      <c r="F31" s="6" t="n"/>
      <c r="G31" s="6" t="n"/>
      <c r="H31" s="6" t="n"/>
      <c r="I31" s="10">
        <f>IF(H31="Closed","",TODAY()-G31)</f>
        <v/>
      </c>
      <c r="J31" s="10">
        <f>IF(AND(H31&lt;&gt;"Closed",G31&lt;TODAY()),"OVERDUE","")</f>
        <v/>
      </c>
    </row>
    <row r="32">
      <c r="A32" s="5" t="inlineStr">
        <is>
          <t>SSE-GAP-029</t>
        </is>
      </c>
      <c r="B32" s="6" t="n"/>
      <c r="C32" s="6" t="n"/>
      <c r="D32" s="6" t="n"/>
      <c r="E32" s="6" t="n"/>
      <c r="F32" s="6" t="n"/>
      <c r="G32" s="6" t="n"/>
      <c r="H32" s="6" t="n"/>
      <c r="I32" s="10">
        <f>IF(H32="Closed","",TODAY()-G32)</f>
        <v/>
      </c>
      <c r="J32" s="10">
        <f>IF(AND(H32&lt;&gt;"Closed",G32&lt;TODAY()),"OVERDUE","")</f>
        <v/>
      </c>
    </row>
    <row r="33">
      <c r="A33" s="5" t="inlineStr">
        <is>
          <t>SSE-GAP-030</t>
        </is>
      </c>
      <c r="B33" s="6" t="n"/>
      <c r="C33" s="6" t="n"/>
      <c r="D33" s="6" t="n"/>
      <c r="E33" s="6" t="n"/>
      <c r="F33" s="6" t="n"/>
      <c r="G33" s="6" t="n"/>
      <c r="H33" s="6" t="n"/>
      <c r="I33" s="10">
        <f>IF(H33="Closed","",TODAY()-G33)</f>
        <v/>
      </c>
      <c r="J33" s="10">
        <f>IF(AND(H33&lt;&gt;"Closed",G33&lt;TODAY()),"OVERDUE","")</f>
        <v/>
      </c>
    </row>
    <row r="34">
      <c r="A34" s="5" t="inlineStr">
        <is>
          <t>SSE-GAP-031</t>
        </is>
      </c>
      <c r="B34" s="6" t="n"/>
      <c r="C34" s="6" t="n"/>
      <c r="D34" s="6" t="n"/>
      <c r="E34" s="6" t="n"/>
      <c r="F34" s="6" t="n"/>
      <c r="G34" s="6" t="n"/>
      <c r="H34" s="6" t="n"/>
      <c r="I34" s="10">
        <f>IF(H34="Closed","",TODAY()-G34)</f>
        <v/>
      </c>
      <c r="J34" s="10">
        <f>IF(AND(H34&lt;&gt;"Closed",G34&lt;TODAY()),"OVERDUE","")</f>
        <v/>
      </c>
    </row>
    <row r="35">
      <c r="A35" s="5" t="inlineStr">
        <is>
          <t>SSE-GAP-032</t>
        </is>
      </c>
      <c r="B35" s="6" t="n"/>
      <c r="C35" s="6" t="n"/>
      <c r="D35" s="6" t="n"/>
      <c r="E35" s="6" t="n"/>
      <c r="F35" s="6" t="n"/>
      <c r="G35" s="6" t="n"/>
      <c r="H35" s="6" t="n"/>
      <c r="I35" s="10">
        <f>IF(H35="Closed","",TODAY()-G35)</f>
        <v/>
      </c>
      <c r="J35" s="10">
        <f>IF(AND(H35&lt;&gt;"Closed",G35&lt;TODAY()),"OVERDUE","")</f>
        <v/>
      </c>
    </row>
    <row r="36">
      <c r="A36" s="5" t="inlineStr">
        <is>
          <t>SSE-GAP-033</t>
        </is>
      </c>
      <c r="B36" s="6" t="n"/>
      <c r="C36" s="6" t="n"/>
      <c r="D36" s="6" t="n"/>
      <c r="E36" s="6" t="n"/>
      <c r="F36" s="6" t="n"/>
      <c r="G36" s="6" t="n"/>
      <c r="H36" s="6" t="n"/>
      <c r="I36" s="10">
        <f>IF(H36="Closed","",TODAY()-G36)</f>
        <v/>
      </c>
      <c r="J36" s="10">
        <f>IF(AND(H36&lt;&gt;"Closed",G36&lt;TODAY()),"OVERDUE","")</f>
        <v/>
      </c>
    </row>
    <row r="37">
      <c r="A37" s="5" t="inlineStr">
        <is>
          <t>SSE-GAP-034</t>
        </is>
      </c>
      <c r="B37" s="6" t="n"/>
      <c r="C37" s="6" t="n"/>
      <c r="D37" s="6" t="n"/>
      <c r="E37" s="6" t="n"/>
      <c r="F37" s="6" t="n"/>
      <c r="G37" s="6" t="n"/>
      <c r="H37" s="6" t="n"/>
      <c r="I37" s="10">
        <f>IF(H37="Closed","",TODAY()-G37)</f>
        <v/>
      </c>
      <c r="J37" s="10">
        <f>IF(AND(H37&lt;&gt;"Closed",G37&lt;TODAY()),"OVERDUE","")</f>
        <v/>
      </c>
    </row>
    <row r="38">
      <c r="A38" s="5" t="inlineStr">
        <is>
          <t>SSE-GAP-035</t>
        </is>
      </c>
      <c r="B38" s="6" t="n"/>
      <c r="C38" s="6" t="n"/>
      <c r="D38" s="6" t="n"/>
      <c r="E38" s="6" t="n"/>
      <c r="F38" s="6" t="n"/>
      <c r="G38" s="6" t="n"/>
      <c r="H38" s="6" t="n"/>
      <c r="I38" s="10">
        <f>IF(H38="Closed","",TODAY()-G38)</f>
        <v/>
      </c>
      <c r="J38" s="10">
        <f>IF(AND(H38&lt;&gt;"Closed",G38&lt;TODAY()),"OVERDUE","")</f>
        <v/>
      </c>
    </row>
    <row r="39">
      <c r="A39" s="5" t="inlineStr">
        <is>
          <t>SSE-GAP-036</t>
        </is>
      </c>
      <c r="B39" s="6" t="n"/>
      <c r="C39" s="6" t="n"/>
      <c r="D39" s="6" t="n"/>
      <c r="E39" s="6" t="n"/>
      <c r="F39" s="6" t="n"/>
      <c r="G39" s="6" t="n"/>
      <c r="H39" s="6" t="n"/>
      <c r="I39" s="10">
        <f>IF(H39="Closed","",TODAY()-G39)</f>
        <v/>
      </c>
      <c r="J39" s="10">
        <f>IF(AND(H39&lt;&gt;"Closed",G39&lt;TODAY()),"OVERDUE","")</f>
        <v/>
      </c>
    </row>
    <row r="40">
      <c r="A40" s="5" t="inlineStr">
        <is>
          <t>SSE-GAP-037</t>
        </is>
      </c>
      <c r="B40" s="6" t="n"/>
      <c r="C40" s="6" t="n"/>
      <c r="D40" s="6" t="n"/>
      <c r="E40" s="6" t="n"/>
      <c r="F40" s="6" t="n"/>
      <c r="G40" s="6" t="n"/>
      <c r="H40" s="6" t="n"/>
      <c r="I40" s="10">
        <f>IF(H40="Closed","",TODAY()-G40)</f>
        <v/>
      </c>
      <c r="J40" s="10">
        <f>IF(AND(H40&lt;&gt;"Closed",G40&lt;TODAY()),"OVERDUE","")</f>
        <v/>
      </c>
    </row>
    <row r="41">
      <c r="A41" s="5" t="inlineStr">
        <is>
          <t>SSE-GAP-038</t>
        </is>
      </c>
      <c r="B41" s="6" t="n"/>
      <c r="C41" s="6" t="n"/>
      <c r="D41" s="6" t="n"/>
      <c r="E41" s="6" t="n"/>
      <c r="F41" s="6" t="n"/>
      <c r="G41" s="6" t="n"/>
      <c r="H41" s="6" t="n"/>
      <c r="I41" s="10">
        <f>IF(H41="Closed","",TODAY()-G41)</f>
        <v/>
      </c>
      <c r="J41" s="10">
        <f>IF(AND(H41&lt;&gt;"Closed",G41&lt;TODAY()),"OVERDUE","")</f>
        <v/>
      </c>
    </row>
    <row r="42">
      <c r="A42" s="5" t="inlineStr">
        <is>
          <t>SSE-GAP-039</t>
        </is>
      </c>
      <c r="B42" s="6" t="n"/>
      <c r="C42" s="6" t="n"/>
      <c r="D42" s="6" t="n"/>
      <c r="E42" s="6" t="n"/>
      <c r="F42" s="6" t="n"/>
      <c r="G42" s="6" t="n"/>
      <c r="H42" s="6" t="n"/>
      <c r="I42" s="10">
        <f>IF(H42="Closed","",TODAY()-G42)</f>
        <v/>
      </c>
      <c r="J42" s="10">
        <f>IF(AND(H42&lt;&gt;"Closed",G42&lt;TODAY()),"OVERDUE","")</f>
        <v/>
      </c>
    </row>
    <row r="43">
      <c r="A43" s="5" t="inlineStr">
        <is>
          <t>SSE-GAP-040</t>
        </is>
      </c>
      <c r="B43" s="6" t="n"/>
      <c r="C43" s="6" t="n"/>
      <c r="D43" s="6" t="n"/>
      <c r="E43" s="6" t="n"/>
      <c r="F43" s="6" t="n"/>
      <c r="G43" s="6" t="n"/>
      <c r="H43" s="6" t="n"/>
      <c r="I43" s="10">
        <f>IF(H43="Closed","",TODAY()-G43)</f>
        <v/>
      </c>
      <c r="J43" s="10">
        <f>IF(AND(H43&lt;&gt;"Closed",G43&lt;TODAY()),"OVERDUE","")</f>
        <v/>
      </c>
    </row>
    <row r="44">
      <c r="A44" s="5" t="inlineStr">
        <is>
          <t>SSE-GAP-041</t>
        </is>
      </c>
      <c r="B44" s="6" t="n"/>
      <c r="C44" s="6" t="n"/>
      <c r="D44" s="6" t="n"/>
      <c r="E44" s="6" t="n"/>
      <c r="F44" s="6" t="n"/>
      <c r="G44" s="6" t="n"/>
      <c r="H44" s="6" t="n"/>
      <c r="I44" s="10">
        <f>IF(H44="Closed","",TODAY()-G44)</f>
        <v/>
      </c>
      <c r="J44" s="10">
        <f>IF(AND(H44&lt;&gt;"Closed",G44&lt;TODAY()),"OVERDUE","")</f>
        <v/>
      </c>
    </row>
    <row r="45">
      <c r="A45" s="5" t="inlineStr">
        <is>
          <t>SSE-GAP-042</t>
        </is>
      </c>
      <c r="B45" s="6" t="n"/>
      <c r="C45" s="6" t="n"/>
      <c r="D45" s="6" t="n"/>
      <c r="E45" s="6" t="n"/>
      <c r="F45" s="6" t="n"/>
      <c r="G45" s="6" t="n"/>
      <c r="H45" s="6" t="n"/>
      <c r="I45" s="10">
        <f>IF(H45="Closed","",TODAY()-G45)</f>
        <v/>
      </c>
      <c r="J45" s="10">
        <f>IF(AND(H45&lt;&gt;"Closed",G45&lt;TODAY()),"OVERDUE","")</f>
        <v/>
      </c>
    </row>
    <row r="46">
      <c r="A46" s="5" t="inlineStr">
        <is>
          <t>SSE-GAP-043</t>
        </is>
      </c>
      <c r="B46" s="6" t="n"/>
      <c r="C46" s="6" t="n"/>
      <c r="D46" s="6" t="n"/>
      <c r="E46" s="6" t="n"/>
      <c r="F46" s="6" t="n"/>
      <c r="G46" s="6" t="n"/>
      <c r="H46" s="6" t="n"/>
      <c r="I46" s="10">
        <f>IF(H46="Closed","",TODAY()-G46)</f>
        <v/>
      </c>
      <c r="J46" s="10">
        <f>IF(AND(H46&lt;&gt;"Closed",G46&lt;TODAY()),"OVERDUE","")</f>
        <v/>
      </c>
    </row>
    <row r="47">
      <c r="A47" s="5" t="inlineStr">
        <is>
          <t>SSE-GAP-044</t>
        </is>
      </c>
      <c r="B47" s="6" t="n"/>
      <c r="C47" s="6" t="n"/>
      <c r="D47" s="6" t="n"/>
      <c r="E47" s="6" t="n"/>
      <c r="F47" s="6" t="n"/>
      <c r="G47" s="6" t="n"/>
      <c r="H47" s="6" t="n"/>
      <c r="I47" s="10">
        <f>IF(H47="Closed","",TODAY()-G47)</f>
        <v/>
      </c>
      <c r="J47" s="10">
        <f>IF(AND(H47&lt;&gt;"Closed",G47&lt;TODAY()),"OVERDUE","")</f>
        <v/>
      </c>
    </row>
    <row r="48">
      <c r="A48" s="5" t="inlineStr">
        <is>
          <t>SSE-GAP-045</t>
        </is>
      </c>
      <c r="B48" s="6" t="n"/>
      <c r="C48" s="6" t="n"/>
      <c r="D48" s="6" t="n"/>
      <c r="E48" s="6" t="n"/>
      <c r="F48" s="6" t="n"/>
      <c r="G48" s="6" t="n"/>
      <c r="H48" s="6" t="n"/>
      <c r="I48" s="10">
        <f>IF(H48="Closed","",TODAY()-G48)</f>
        <v/>
      </c>
      <c r="J48" s="10">
        <f>IF(AND(H48&lt;&gt;"Closed",G48&lt;TODAY()),"OVERDUE","")</f>
        <v/>
      </c>
    </row>
    <row r="49">
      <c r="A49" s="5" t="inlineStr">
        <is>
          <t>SSE-GAP-046</t>
        </is>
      </c>
      <c r="B49" s="6" t="n"/>
      <c r="C49" s="6" t="n"/>
      <c r="D49" s="6" t="n"/>
      <c r="E49" s="6" t="n"/>
      <c r="F49" s="6" t="n"/>
      <c r="G49" s="6" t="n"/>
      <c r="H49" s="6" t="n"/>
      <c r="I49" s="10">
        <f>IF(H49="Closed","",TODAY()-G49)</f>
        <v/>
      </c>
      <c r="J49" s="10">
        <f>IF(AND(H49&lt;&gt;"Closed",G49&lt;TODAY()),"OVERDUE","")</f>
        <v/>
      </c>
    </row>
    <row r="50">
      <c r="A50" s="5" t="inlineStr">
        <is>
          <t>SSE-GAP-047</t>
        </is>
      </c>
      <c r="B50" s="6" t="n"/>
      <c r="C50" s="6" t="n"/>
      <c r="D50" s="6" t="n"/>
      <c r="E50" s="6" t="n"/>
      <c r="F50" s="6" t="n"/>
      <c r="G50" s="6" t="n"/>
      <c r="H50" s="6" t="n"/>
      <c r="I50" s="10">
        <f>IF(H50="Closed","",TODAY()-G50)</f>
        <v/>
      </c>
      <c r="J50" s="10">
        <f>IF(AND(H50&lt;&gt;"Closed",G50&lt;TODAY()),"OVERDUE","")</f>
        <v/>
      </c>
    </row>
    <row r="51">
      <c r="A51" s="5" t="inlineStr">
        <is>
          <t>SSE-GAP-048</t>
        </is>
      </c>
      <c r="B51" s="6" t="n"/>
      <c r="C51" s="6" t="n"/>
      <c r="D51" s="6" t="n"/>
      <c r="E51" s="6" t="n"/>
      <c r="F51" s="6" t="n"/>
      <c r="G51" s="6" t="n"/>
      <c r="H51" s="6" t="n"/>
      <c r="I51" s="10">
        <f>IF(H51="Closed","",TODAY()-G51)</f>
        <v/>
      </c>
      <c r="J51" s="10">
        <f>IF(AND(H51&lt;&gt;"Closed",G51&lt;TODAY()),"OVERDUE","")</f>
        <v/>
      </c>
    </row>
    <row r="52">
      <c r="A52" s="5" t="inlineStr">
        <is>
          <t>SSE-GAP-049</t>
        </is>
      </c>
      <c r="B52" s="6" t="n"/>
      <c r="C52" s="6" t="n"/>
      <c r="D52" s="6" t="n"/>
      <c r="E52" s="6" t="n"/>
      <c r="F52" s="6" t="n"/>
      <c r="G52" s="6" t="n"/>
      <c r="H52" s="6" t="n"/>
      <c r="I52" s="10">
        <f>IF(H52="Closed","",TODAY()-G52)</f>
        <v/>
      </c>
      <c r="J52" s="10">
        <f>IF(AND(H52&lt;&gt;"Closed",G52&lt;TODAY()),"OVERDUE","")</f>
        <v/>
      </c>
    </row>
    <row r="53">
      <c r="A53" s="5" t="inlineStr">
        <is>
          <t>SSE-GAP-050</t>
        </is>
      </c>
      <c r="B53" s="6" t="n"/>
      <c r="C53" s="6" t="n"/>
      <c r="D53" s="6" t="n"/>
      <c r="E53" s="6" t="n"/>
      <c r="F53" s="6" t="n"/>
      <c r="G53" s="6" t="n"/>
      <c r="H53" s="6" t="n"/>
      <c r="I53" s="10">
        <f>IF(H53="Closed","",TODAY()-G53)</f>
        <v/>
      </c>
      <c r="J53" s="10">
        <f>IF(AND(H53&lt;&gt;"Closed",G53&lt;TODAY()),"OVERDUE","")</f>
        <v/>
      </c>
    </row>
  </sheetData>
  <mergeCells count="1">
    <mergeCell ref="A1:J1"/>
  </mergeCells>
  <dataValidations count="3">
    <dataValidation sqref="B4:B53" showDropDown="0" showInputMessage="0" showErrorMessage="0" allowBlank="1" type="list">
      <formula1>"A.8.27.1,A.8.27.2,A.8.27.3,A.8.27.4"</formula1>
    </dataValidation>
    <dataValidation sqref="D4:D53" showDropDown="0" showInputMessage="0" showErrorMessage="0" allowBlank="1" type="list">
      <formula1>"High,Medium,Low"</formula1>
    </dataValidation>
    <dataValidation sqref="H4:H5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 ht="30" customHeight="1">
      <c r="A1" s="1" t="inlineStr">
        <is>
          <t>SSE Compliance Trend Analysis</t>
        </is>
      </c>
    </row>
    <row r="3">
      <c r="A3" s="1" t="inlineStr">
        <is>
          <t>Period</t>
        </is>
      </c>
      <c r="B3" s="1" t="inlineStr">
        <is>
          <t>Overall Score</t>
        </is>
      </c>
      <c r="C3" s="1" t="inlineStr">
        <is>
          <t>Domain 1</t>
        </is>
      </c>
      <c r="D3" s="1" t="inlineStr">
        <is>
          <t>Domain 2</t>
        </is>
      </c>
      <c r="E3" s="1" t="inlineStr">
        <is>
          <t>Domain 3</t>
        </is>
      </c>
      <c r="F3" s="1" t="inlineStr">
        <is>
          <t>Domain 4</t>
        </is>
      </c>
      <c r="G3" s="1" t="inlineStr">
        <is>
          <t>Open Gaps</t>
        </is>
      </c>
      <c r="H3" s="1" t="inlineStr">
        <is>
          <t>High Gaps Closed</t>
        </is>
      </c>
    </row>
    <row r="4">
      <c r="A4" s="5" t="inlineStr">
        <is>
          <t>Q1 2026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5" t="inlineStr">
        <is>
          <t>Q2 2026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5" t="inlineStr">
        <is>
          <t>Q3 2026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5" t="inlineStr">
        <is>
          <t>Q4 2026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5" t="inlineStr">
        <is>
          <t>Q1 2027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5" t="inlineStr">
        <is>
          <t>Q2 2027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5" t="inlineStr">
        <is>
          <t>Q3 2027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5" t="inlineStr">
        <is>
          <t>Q4 2027</t>
        </is>
      </c>
      <c r="B11" s="6" t="n"/>
      <c r="C11" s="6" t="n"/>
      <c r="D11" s="6" t="n"/>
      <c r="E11" s="6" t="n"/>
      <c r="F11" s="6" t="n"/>
      <c r="G11" s="6" t="n"/>
      <c r="H11" s="6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0" customWidth="1" min="4" max="4"/>
    <col width="12" customWidth="1" min="5" max="5"/>
    <col width="12" customWidth="1" min="6" max="6"/>
    <col width="15" customWidth="1" min="7" max="7"/>
  </cols>
  <sheetData>
    <row r="1" ht="30" customHeight="1">
      <c r="A1" s="1" t="inlineStr">
        <is>
          <t>SSE Audit Evidence Inventory</t>
        </is>
      </c>
    </row>
    <row r="3">
      <c r="A3" s="1" t="inlineStr">
        <is>
          <t>Evidence-ID</t>
        </is>
      </c>
      <c r="B3" s="1" t="inlineStr">
        <is>
          <t>Domain</t>
        </is>
      </c>
      <c r="C3" s="1" t="inlineStr">
        <is>
          <t>Description</t>
        </is>
      </c>
      <c r="D3" s="1" t="inlineStr">
        <is>
          <t>Location</t>
        </is>
      </c>
      <c r="E3" s="1" t="inlineStr">
        <is>
          <t>Date</t>
        </is>
      </c>
      <c r="F3" s="1" t="inlineStr">
        <is>
          <t>Status</t>
        </is>
      </c>
      <c r="G3" s="1" t="inlineStr">
        <is>
          <t>Audit Use</t>
        </is>
      </c>
    </row>
    <row r="4">
      <c r="A4" s="5" t="inlineStr">
        <is>
          <t>EV-001</t>
        </is>
      </c>
      <c r="B4" s="5" t="inlineStr">
        <is>
          <t>All</t>
        </is>
      </c>
      <c r="C4" s="5" t="inlineStr">
        <is>
          <t>ISMS-POL-A.8.27 Approved Policy</t>
        </is>
      </c>
      <c r="D4" s="6" t="n"/>
      <c r="E4" s="6" t="n"/>
      <c r="F4" s="6" t="n"/>
      <c r="G4" s="6" t="n"/>
    </row>
    <row r="5">
      <c r="A5" s="5" t="inlineStr">
        <is>
          <t>EV-002</t>
        </is>
      </c>
      <c r="B5" s="5" t="inlineStr">
        <is>
          <t>A.8.27.1</t>
        </is>
      </c>
      <c r="C5" s="5" t="inlineStr">
        <is>
          <t>Architecture Review Procedures</t>
        </is>
      </c>
      <c r="D5" s="6" t="n"/>
      <c r="E5" s="6" t="n"/>
      <c r="F5" s="6" t="n"/>
      <c r="G5" s="6" t="n"/>
    </row>
    <row r="6">
      <c r="A6" s="5" t="inlineStr">
        <is>
          <t>EV-003</t>
        </is>
      </c>
      <c r="B6" s="5" t="inlineStr">
        <is>
          <t>A.8.27.1</t>
        </is>
      </c>
      <c r="C6" s="5" t="inlineStr">
        <is>
          <t>Sample Architecture Reviews (3+)</t>
        </is>
      </c>
      <c r="D6" s="6" t="n"/>
      <c r="E6" s="6" t="n"/>
      <c r="F6" s="6" t="n"/>
      <c r="G6" s="6" t="n"/>
    </row>
    <row r="7">
      <c r="A7" s="5" t="inlineStr">
        <is>
          <t>EV-004</t>
        </is>
      </c>
      <c r="B7" s="5" t="inlineStr">
        <is>
          <t>A.8.27.2</t>
        </is>
      </c>
      <c r="C7" s="5" t="inlineStr">
        <is>
          <t>Threat Modelling Methodology</t>
        </is>
      </c>
      <c r="D7" s="6" t="n"/>
      <c r="E7" s="6" t="n"/>
      <c r="F7" s="6" t="n"/>
      <c r="G7" s="6" t="n"/>
    </row>
    <row r="8">
      <c r="A8" s="5" t="inlineStr">
        <is>
          <t>EV-005</t>
        </is>
      </c>
      <c r="B8" s="5" t="inlineStr">
        <is>
          <t>A.8.27.2</t>
        </is>
      </c>
      <c r="C8" s="5" t="inlineStr">
        <is>
          <t>Sample Threat Models (3+)</t>
        </is>
      </c>
      <c r="D8" s="6" t="n"/>
      <c r="E8" s="6" t="n"/>
      <c r="F8" s="6" t="n"/>
      <c r="G8" s="6" t="n"/>
    </row>
    <row r="9">
      <c r="A9" s="5" t="inlineStr">
        <is>
          <t>EV-006</t>
        </is>
      </c>
      <c r="B9" s="5" t="inlineStr">
        <is>
          <t>A.8.27.2</t>
        </is>
      </c>
      <c r="C9" s="5" t="inlineStr">
        <is>
          <t>MITRE ATT&amp;CK Coverage Matrix</t>
        </is>
      </c>
      <c r="D9" s="6" t="n"/>
      <c r="E9" s="6" t="n"/>
      <c r="F9" s="6" t="n"/>
      <c r="G9" s="6" t="n"/>
    </row>
    <row r="10">
      <c r="A10" s="5" t="inlineStr">
        <is>
          <t>EV-007</t>
        </is>
      </c>
      <c r="B10" s="5" t="inlineStr">
        <is>
          <t>A.8.27.3</t>
        </is>
      </c>
      <c r="C10" s="5" t="inlineStr">
        <is>
          <t>Secure Pattern Catalogue</t>
        </is>
      </c>
      <c r="D10" s="6" t="n"/>
      <c r="E10" s="6" t="n"/>
      <c r="F10" s="6" t="n"/>
      <c r="G10" s="6" t="n"/>
    </row>
    <row r="11">
      <c r="A11" s="5" t="inlineStr">
        <is>
          <t>EV-008</t>
        </is>
      </c>
      <c r="B11" s="5" t="inlineStr">
        <is>
          <t>A.8.27.3</t>
        </is>
      </c>
      <c r="C11" s="5" t="inlineStr">
        <is>
          <t>Pattern Adoption Metrics</t>
        </is>
      </c>
      <c r="D11" s="6" t="n"/>
      <c r="E11" s="6" t="n"/>
      <c r="F11" s="6" t="n"/>
      <c r="G11" s="6" t="n"/>
    </row>
    <row r="12">
      <c r="A12" s="5" t="inlineStr">
        <is>
          <t>EV-009</t>
        </is>
      </c>
      <c r="B12" s="5" t="inlineStr">
        <is>
          <t>A.8.27.4</t>
        </is>
      </c>
      <c r="C12" s="5" t="inlineStr">
        <is>
          <t>Zero Trust Strategy Document</t>
        </is>
      </c>
      <c r="D12" s="6" t="n"/>
      <c r="E12" s="6" t="n"/>
      <c r="F12" s="6" t="n"/>
      <c r="G12" s="6" t="n"/>
    </row>
    <row r="13">
      <c r="A13" s="5" t="inlineStr">
        <is>
          <t>EV-010</t>
        </is>
      </c>
      <c r="B13" s="5" t="inlineStr">
        <is>
          <t>A.8.27.4</t>
        </is>
      </c>
      <c r="C13" s="5" t="inlineStr">
        <is>
          <t>ZT Maturity Assessment Results</t>
        </is>
      </c>
      <c r="D13" s="6" t="n"/>
      <c r="E13" s="6" t="n"/>
      <c r="F13" s="6" t="n"/>
      <c r="G13" s="6" t="n"/>
    </row>
    <row r="14">
      <c r="A14" s="5" t="inlineStr">
        <is>
          <t>EV-011</t>
        </is>
      </c>
      <c r="B14" s="5" t="inlineStr">
        <is>
          <t>All</t>
        </is>
      </c>
      <c r="C14" s="5" t="inlineStr">
        <is>
          <t>SSE Training Records</t>
        </is>
      </c>
      <c r="D14" s="6" t="n"/>
      <c r="E14" s="6" t="n"/>
      <c r="F14" s="6" t="n"/>
      <c r="G14" s="6" t="n"/>
    </row>
    <row r="15">
      <c r="A15" s="5" t="inlineStr">
        <is>
          <t>EV-012</t>
        </is>
      </c>
      <c r="B15" s="5" t="inlineStr">
        <is>
          <t>All</t>
        </is>
      </c>
      <c r="C15" s="5" t="inlineStr">
        <is>
          <t>Quarterly Dashboard Reports</t>
        </is>
      </c>
      <c r="D15" s="6" t="n"/>
      <c r="E15" s="6" t="n"/>
      <c r="F15" s="6" t="n"/>
      <c r="G15" s="6" t="n"/>
    </row>
  </sheetData>
  <mergeCells count="1">
    <mergeCell ref="A1:G1"/>
  </mergeCells>
  <dataValidations count="3">
    <dataValidation sqref="B4:B25" showDropDown="0" showInputMessage="0" showErrorMessage="0" allowBlank="1" type="list">
      <formula1>"A.8.27.1,A.8.27.2,A.8.27.3,A.8.27.4,All"</formula1>
    </dataValidation>
    <dataValidation sqref="F4:F25" showDropDown="0" showInputMessage="0" showErrorMessage="0" allowBlank="1" type="list">
      <formula1>"Available,Pending,Missing"</formula1>
    </dataValidation>
    <dataValidation sqref="G4:G25" showDropDown="0" showInputMessage="0" showErrorMessage="0" allowBlank="1" type="list">
      <formula1>"Stage 1,Stage 2,Both"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15" customWidth="1" min="6" max="6"/>
    <col width="15" customWidth="1" min="7" max="7"/>
    <col width="35" customWidth="1" min="8" max="8"/>
  </cols>
  <sheetData>
    <row r="1" ht="30" customHeight="1">
      <c r="A1" s="1" t="inlineStr">
        <is>
          <t>SSE Remediation Action Tracker</t>
        </is>
      </c>
    </row>
    <row r="3">
      <c r="A3" s="1" t="inlineStr">
        <is>
          <t>Action-ID</t>
        </is>
      </c>
      <c r="B3" s="1" t="inlineStr">
        <is>
          <t>Gap-ID</t>
        </is>
      </c>
      <c r="C3" s="1" t="inlineStr">
        <is>
          <t>Action</t>
        </is>
      </c>
      <c r="D3" s="1" t="inlineStr">
        <is>
          <t>Owner</t>
        </is>
      </c>
      <c r="E3" s="1" t="inlineStr">
        <is>
          <t>Due Date</t>
        </is>
      </c>
      <c r="F3" s="1" t="inlineStr">
        <is>
          <t>Status</t>
        </is>
      </c>
      <c r="G3" s="1" t="inlineStr">
        <is>
          <t>Completion Date</t>
        </is>
      </c>
      <c r="H3" s="1" t="inlineStr">
        <is>
          <t>Evidence</t>
        </is>
      </c>
    </row>
    <row r="4">
      <c r="A4" s="5" t="inlineStr">
        <is>
          <t>ACT-001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5" t="inlineStr">
        <is>
          <t>ACT-002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5" t="inlineStr">
        <is>
          <t>ACT-003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5" t="inlineStr">
        <is>
          <t>ACT-004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5" t="inlineStr">
        <is>
          <t>ACT-005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5" t="inlineStr">
        <is>
          <t>ACT-006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5" t="inlineStr">
        <is>
          <t>ACT-007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5" t="inlineStr">
        <is>
          <t>ACT-008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5" t="inlineStr">
        <is>
          <t>ACT-009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5" t="inlineStr">
        <is>
          <t>ACT-010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5" t="inlineStr">
        <is>
          <t>ACT-011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5" t="inlineStr">
        <is>
          <t>ACT-012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5" t="inlineStr">
        <is>
          <t>ACT-013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5" t="inlineStr">
        <is>
          <t>ACT-014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5" t="inlineStr">
        <is>
          <t>ACT-015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5" t="inlineStr">
        <is>
          <t>ACT-016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5" t="inlineStr">
        <is>
          <t>ACT-017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s="5" t="inlineStr">
        <is>
          <t>ACT-018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5" t="inlineStr">
        <is>
          <t>ACT-019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5" t="inlineStr">
        <is>
          <t>ACT-020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5" t="inlineStr">
        <is>
          <t>ACT-021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5" t="inlineStr">
        <is>
          <t>ACT-022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5" t="inlineStr">
        <is>
          <t>ACT-023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s="5" t="inlineStr">
        <is>
          <t>ACT-024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s="5" t="inlineStr">
        <is>
          <t>ACT-025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5" t="inlineStr">
        <is>
          <t>ACT-026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s="5" t="inlineStr">
        <is>
          <t>ACT-027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5" t="inlineStr">
        <is>
          <t>ACT-028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5" t="inlineStr">
        <is>
          <t>ACT-029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s="5" t="inlineStr">
        <is>
          <t>ACT-030</t>
        </is>
      </c>
      <c r="B33" s="6" t="n"/>
      <c r="C33" s="6" t="n"/>
      <c r="D33" s="6" t="n"/>
      <c r="E33" s="6" t="n"/>
      <c r="F33" s="6" t="n"/>
      <c r="G33" s="6" t="n"/>
      <c r="H33" s="6" t="n"/>
    </row>
  </sheetData>
  <mergeCells count="1">
    <mergeCell ref="A1:H1"/>
  </mergeCells>
  <dataValidations count="1">
    <dataValidation sqref="F4:F33" showDropDown="0" showInputMessage="0" showErrorMessage="0" allowBlank="1" type="list">
      <formula1>"Not Started,In Progress,Completed,Overdue"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2026-02-08T11:26:28Z</dcterms:created>
  <dcterms:modified xmlns:dcterms="http://purl.org/dc/terms/" xmlns:xsi="http://www.w3.org/2001/XMLSchema-instance" xsi:type="dcterms:W3CDTF">2026-02-08T11:26:29Z</dcterms:modified>
</cp:coreProperties>
</file>