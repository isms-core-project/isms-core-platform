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Governance" sheetId="2" state="visible" r:id="rId2"/>
    <sheet xmlns:r="http://schemas.openxmlformats.org/officeDocument/2006/relationships" name="Process" sheetId="3" state="visible" r:id="rId3"/>
    <sheet xmlns:r="http://schemas.openxmlformats.org/officeDocument/2006/relationships" name="Templates" sheetId="4" state="visible" r:id="rId4"/>
    <sheet xmlns:r="http://schemas.openxmlformats.org/officeDocument/2006/relationships" name="Integration" sheetId="5" state="visible" r:id="rId5"/>
    <sheet xmlns:r="http://schemas.openxmlformats.org/officeDocument/2006/relationships" name="Metrics" sheetId="6" state="visible" r:id="rId6"/>
    <sheet xmlns:r="http://schemas.openxmlformats.org/officeDocument/2006/relationships" name="Compliance"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name val="Calibri"/>
      <i val="1"/>
      <sz val="11"/>
    </font>
    <font>
      <name val="Calibri"/>
      <sz val="11"/>
    </font>
    <font>
      <name val="Calibri"/>
      <b val="1"/>
      <color rgb="00FFFFFF"/>
      <sz val="11"/>
    </font>
    <font>
      <name val="Calibri"/>
      <i val="1"/>
      <sz val="10"/>
    </font>
    <font>
      <name val="Calibri"/>
      <b val="1"/>
      <color rgb="00FFFFFF"/>
      <sz val="10"/>
    </font>
    <font>
      <name val="Calibri"/>
      <sz val="10"/>
    </font>
    <font>
      <name val="Calibri"/>
      <i val="1"/>
      <color rgb="00003366"/>
      <sz val="10"/>
    </font>
    <font>
      <name val="Calibri"/>
      <b val="1"/>
      <color rgb="00000000"/>
      <sz val="10"/>
    </font>
    <font>
      <name val="Calibri"/>
      <b val="1"/>
      <sz val="11"/>
    </font>
    <font>
      <name val="Calibri"/>
      <b val="1"/>
      <color rgb="00000000"/>
      <sz val="12"/>
    </font>
    <font>
      <name val="Calibri"/>
      <sz val="9"/>
    </font>
    <font>
      <name val="Calibri"/>
      <i val="1"/>
      <sz val="9"/>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10" borderId="1" applyAlignment="1" pivotButton="0" quotePrefix="0" xfId="0">
      <alignment horizontal="center" vertical="center"/>
    </xf>
    <xf numFmtId="0" fontId="8" fillId="11"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 fillId="8" borderId="0" applyAlignment="1" pivotButton="0" quotePrefix="0" xfId="0">
      <alignment horizontal="center" vertical="center" wrapText="1"/>
    </xf>
    <xf numFmtId="0" fontId="12" fillId="0" borderId="0" pivotButton="0" quotePrefix="0" xfId="0"/>
    <xf numFmtId="0" fontId="8" fillId="8" borderId="0" pivotButton="0" quotePrefix="0" xfId="0"/>
    <xf numFmtId="0" fontId="13" fillId="12" borderId="1" applyAlignment="1" pivotButton="0" quotePrefix="0" xfId="0">
      <alignment horizontal="center" vertical="center" wrapText="1"/>
    </xf>
    <xf numFmtId="0" fontId="7" fillId="0" borderId="1" pivotButton="0" quotePrefix="0" xfId="0"/>
    <xf numFmtId="0" fontId="14" fillId="12" borderId="1" pivotButton="0" quotePrefix="0" xfId="0"/>
    <xf numFmtId="0" fontId="15" fillId="12" borderId="1" pivotButton="0" quotePrefix="0" xfId="0"/>
    <xf numFmtId="0" fontId="8" fillId="8" borderId="1" applyAlignment="1" pivotButton="0" quotePrefix="0" xfId="0">
      <alignment horizontal="left" vertical="center"/>
    </xf>
    <xf numFmtId="0" fontId="4" fillId="12" borderId="1" pivotButton="0" quotePrefix="0" xfId="0"/>
    <xf numFmtId="0" fontId="4" fillId="12" borderId="1" applyAlignment="1" pivotButton="0" quotePrefix="0" xfId="0">
      <alignment horizontal="center"/>
    </xf>
    <xf numFmtId="0" fontId="7" fillId="0" borderId="1" applyAlignment="1" pivotButton="0" quotePrefix="0" xfId="0">
      <alignment horizontal="center"/>
    </xf>
    <xf numFmtId="0" fontId="16" fillId="0" borderId="1" pivotButton="0" quotePrefix="0" xfId="0"/>
    <xf numFmtId="0" fontId="8" fillId="13" borderId="1" applyAlignment="1" pivotButton="0" quotePrefix="0" xfId="0">
      <alignment horizontal="left" vertical="center"/>
    </xf>
    <xf numFmtId="0" fontId="7" fillId="10" borderId="1" pivotButton="0" quotePrefix="0" xfId="0"/>
    <xf numFmtId="0" fontId="7" fillId="10" borderId="1" applyAlignment="1" pivotButton="0" quotePrefix="0" xfId="0">
      <alignment horizontal="center"/>
    </xf>
    <xf numFmtId="0" fontId="14" fillId="0" borderId="1" pivotButton="0" quotePrefix="0" xfId="0"/>
    <xf numFmtId="0" fontId="14" fillId="14" borderId="1" applyAlignment="1" pivotButton="0" quotePrefix="0" xfId="0">
      <alignment horizontal="center"/>
    </xf>
    <xf numFmtId="0" fontId="17" fillId="0" borderId="1"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8" fillId="11" borderId="1" applyAlignment="1" pivotButton="0" quotePrefix="0" xfId="0">
      <alignment horizontal="left" vertical="center"/>
    </xf>
    <xf numFmtId="0" fontId="4" fillId="0" borderId="1" pivotButton="0" quotePrefix="0" xfId="0"/>
    <xf numFmtId="0" fontId="0" fillId="1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ISMS-IMP-A.8.27.1  -  Security Architecture Review Process
ISO/IEC 27001:2022 - Control A.8.27: Secure System Architecture and Engineering Principles</t>
        </is>
      </c>
    </row>
    <row r="3">
      <c r="A3" s="2" t="inlineStr">
        <is>
          <t>Document Information</t>
        </is>
      </c>
    </row>
    <row r="4">
      <c r="A4" s="3" t="inlineStr">
        <is>
          <t>Document ID</t>
        </is>
      </c>
      <c r="B4" t="inlineStr">
        <is>
          <t>ISMS-IMP-A.8.27.1</t>
        </is>
      </c>
    </row>
    <row r="5">
      <c r="A5" s="3" t="inlineStr">
        <is>
          <t>Workbook Title</t>
        </is>
      </c>
      <c r="B5" t="inlineStr">
        <is>
          <t>Security Architecture Review Process</t>
        </is>
      </c>
    </row>
    <row r="6">
      <c r="A6" s="3" t="inlineStr">
        <is>
          <t>Control Reference</t>
        </is>
      </c>
      <c r="B6" t="inlineStr">
        <is>
          <t>ISO/IEC 27001:2022 - Control A.8.27: Secure System Architecture and Engineering Principles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Instructions &amp; Legend sheet to understand the assessment methodology.</t>
        </is>
      </c>
    </row>
    <row r="14">
      <c r="A14" t="inlineStr">
        <is>
          <t>2. Complete the Governance sheet to assess review governance framework.</t>
        </is>
      </c>
    </row>
    <row r="15">
      <c r="A15" t="inlineStr">
        <is>
          <t>3. Complete the Process sheet to evaluate review process maturity.</t>
        </is>
      </c>
    </row>
    <row r="16">
      <c r="A16" t="inlineStr">
        <is>
          <t>4. Complete the Templates sheet to assess documentation templates.</t>
        </is>
      </c>
    </row>
    <row r="17">
      <c r="A17" t="inlineStr">
        <is>
          <t>5. Complete the Integration sheet to evaluate SDLC integration.</t>
        </is>
      </c>
    </row>
    <row r="18">
      <c r="A18" t="inlineStr">
        <is>
          <t>6. Complete the Metrics sheet to document effectiveness metrics.</t>
        </is>
      </c>
    </row>
    <row r="19">
      <c r="A19" t="inlineStr">
        <is>
          <t>7. Complete the Compliance sheet to score policy compliance.</t>
        </is>
      </c>
    </row>
    <row r="20">
      <c r="A20" t="inlineStr">
        <is>
          <t>8. Review the Summary Dashboard for compliance status overview.</t>
        </is>
      </c>
    </row>
    <row r="21">
      <c r="A21" t="inlineStr">
        <is>
          <t>9. Record all supporting evidence in the Evidence Register.</t>
        </is>
      </c>
    </row>
    <row r="22">
      <c r="A22" t="inlineStr">
        <is>
          <t>10. Obtain sign-off via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40" customWidth="1" min="3" max="3"/>
    <col width="15" customWidth="1" min="4" max="4"/>
    <col width="40" customWidth="1" min="5" max="5"/>
    <col width="40" customWidth="1" min="6" max="6"/>
    <col width="20" customWidth="1" min="7" max="7"/>
    <col width="30" customWidth="1" min="8" max="8"/>
  </cols>
  <sheetData>
    <row r="1" ht="35" customHeight="1">
      <c r="A1" s="11" t="inlineStr">
        <is>
          <t>SECURITY ARCHITECTURE REVIEW - GOVERNANCE ASSESSMENT</t>
        </is>
      </c>
    </row>
    <row r="2">
      <c r="A2" s="12" t="inlineStr">
        <is>
          <t>Assess governance framework, policies, and decision-making structures for secure architecture</t>
        </is>
      </c>
      <c r="B2" s="6" t="n"/>
      <c r="C2" s="6" t="n"/>
      <c r="D2" s="6" t="n"/>
      <c r="E2" s="6" t="n"/>
      <c r="F2" s="6" t="n"/>
      <c r="G2" s="6" t="n"/>
      <c r="H2" s="6" t="n"/>
    </row>
    <row r="4">
      <c r="A4" s="11" t="inlineStr">
        <is>
          <t>Gov-ID</t>
        </is>
      </c>
      <c r="B4" s="11" t="inlineStr">
        <is>
          <t>Category</t>
        </is>
      </c>
      <c r="C4" s="11" t="inlineStr">
        <is>
          <t>Requirement</t>
        </is>
      </c>
      <c r="D4" s="11" t="inlineStr">
        <is>
          <t>Status</t>
        </is>
      </c>
      <c r="E4" s="11" t="inlineStr">
        <is>
          <t>Evidence</t>
        </is>
      </c>
      <c r="F4" s="11" t="inlineStr">
        <is>
          <t>Gap</t>
        </is>
      </c>
      <c r="G4" s="11" t="inlineStr">
        <is>
          <t>Owner</t>
        </is>
      </c>
      <c r="H4" s="11" t="inlineStr">
        <is>
          <t>Notes</t>
        </is>
      </c>
    </row>
    <row r="5">
      <c r="A5" s="13" t="inlineStr">
        <is>
          <t>GOV-001</t>
        </is>
      </c>
      <c r="B5" s="13" t="inlineStr">
        <is>
          <t>Policy</t>
        </is>
      </c>
      <c r="C5" s="13" t="inlineStr">
        <is>
          <t>Architecture review policy documented</t>
        </is>
      </c>
      <c r="D5" s="13" t="inlineStr">
        <is>
          <t>Implemented</t>
        </is>
      </c>
      <c r="E5" s="13" t="inlineStr">
        <is>
          <t>Policy document, review records</t>
        </is>
      </c>
      <c r="F5" s="13" t="inlineStr">
        <is>
          <t>None identified</t>
        </is>
      </c>
      <c r="G5" s="13" t="inlineStr">
        <is>
          <t>Security Team</t>
        </is>
      </c>
      <c r="H5" s="13" t="inlineStr">
        <is>
          <t>Review process established Q1 2024</t>
        </is>
      </c>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sheetData>
  <mergeCells count="2">
    <mergeCell ref="A2:H2"/>
    <mergeCell ref="A1:H1"/>
  </mergeCells>
  <dataValidations count="2">
    <dataValidation sqref="D5:D55" showDropDown="0" showInputMessage="0" showErrorMessage="0" allowBlank="1" type="list">
      <formula1>"✅ Implemented,⚠️ Partial,❌ Not Implemented,N/A"</formula1>
    </dataValidation>
    <dataValidation sqref="B5:B55" showDropDown="0" showInputMessage="0" showErrorMessage="0" allowBlank="1" type="list">
      <formula1>"Policy,Procedures,Roles,Authority,Exceptions"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0" customWidth="1" min="1" max="1"/>
    <col width="15" customWidth="1" min="2" max="2"/>
    <col width="40" customWidth="1" min="3" max="3"/>
    <col width="12" customWidth="1" min="4" max="4"/>
    <col width="12" customWidth="1" min="5" max="5"/>
    <col width="30" customWidth="1" min="6" max="6"/>
    <col width="12" customWidth="1" min="7" max="7"/>
    <col width="30" customWidth="1" min="8" max="8"/>
  </cols>
  <sheetData>
    <row r="1" ht="35" customHeight="1">
      <c r="A1" s="11" t="inlineStr">
        <is>
          <t>SECURITY ARCHITECTURE REVIEW - PROCESS ASSESSMENT</t>
        </is>
      </c>
    </row>
    <row r="2">
      <c r="A2" s="12" t="inlineStr">
        <is>
          <t>Assess architecture review process maturity, documentation, and operational effectiveness</t>
        </is>
      </c>
      <c r="B2" s="6" t="n"/>
      <c r="C2" s="6" t="n"/>
      <c r="D2" s="6" t="n"/>
      <c r="E2" s="6" t="n"/>
      <c r="F2" s="6" t="n"/>
      <c r="G2" s="6" t="n"/>
      <c r="H2" s="6" t="n"/>
    </row>
    <row r="4">
      <c r="A4" s="11" t="inlineStr">
        <is>
          <t>Proc-ID</t>
        </is>
      </c>
      <c r="B4" s="11" t="inlineStr">
        <is>
          <t>Phase</t>
        </is>
      </c>
      <c r="C4" s="11" t="inlineStr">
        <is>
          <t>Activity</t>
        </is>
      </c>
      <c r="D4" s="11" t="inlineStr">
        <is>
          <t>Documented</t>
        </is>
      </c>
      <c r="E4" s="11" t="inlineStr">
        <is>
          <t>Implemented</t>
        </is>
      </c>
      <c r="F4" s="11" t="inlineStr">
        <is>
          <t>Evidence</t>
        </is>
      </c>
      <c r="G4" s="11" t="inlineStr">
        <is>
          <t>Effectiveness</t>
        </is>
      </c>
      <c r="H4" s="11" t="inlineStr">
        <is>
          <t>Notes</t>
        </is>
      </c>
    </row>
    <row r="5">
      <c r="A5" s="13" t="inlineStr">
        <is>
          <t>PROC-001</t>
        </is>
      </c>
      <c r="B5" s="13" t="inlineStr">
        <is>
          <t>Trigger</t>
        </is>
      </c>
      <c r="C5" s="13" t="inlineStr">
        <is>
          <t>New system identification and intake</t>
        </is>
      </c>
      <c r="D5" s="13" t="inlineStr">
        <is>
          <t>Yes</t>
        </is>
      </c>
      <c r="E5" s="13" t="inlineStr">
        <is>
          <t>Yes</t>
        </is>
      </c>
      <c r="F5" s="13" t="inlineStr">
        <is>
          <t>Intake process documentation</t>
        </is>
      </c>
      <c r="G5" s="13" t="inlineStr">
        <is>
          <t>4</t>
        </is>
      </c>
      <c r="H5" s="13" t="inlineStr">
        <is>
          <t>Process functioning effectively</t>
        </is>
      </c>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sheetData>
  <mergeCells count="2">
    <mergeCell ref="A2:H2"/>
    <mergeCell ref="A1:H1"/>
  </mergeCells>
  <dataValidations count="3">
    <dataValidation sqref="D5:E55" showDropDown="0" showInputMessage="0" showErrorMessage="0" allowBlank="1" type="list">
      <formula1>"✅ Yes,⚠️ Partial,❌ No"</formula1>
    </dataValidation>
    <dataValidation sqref="G5:G55" showDropDown="0" showInputMessage="0" showErrorMessage="0" allowBlank="1" type="list">
      <formula1>"1,2,3,4,5"</formula1>
    </dataValidation>
    <dataValidation sqref="B5:B55" showDropDown="0" showInputMessage="0" showErrorMessage="0" allowBlank="1" type="list">
      <formula1>"Trigger,Planning,Execution,Documentation,Approval,Follow-up"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0" customWidth="1" min="3" max="3"/>
    <col width="12" customWidth="1" min="4" max="4"/>
    <col width="12" customWidth="1" min="5" max="5"/>
    <col width="12" customWidth="1" min="6" max="6"/>
    <col width="35" customWidth="1" min="7" max="7"/>
    <col width="25" customWidth="1" min="8" max="8"/>
  </cols>
  <sheetData>
    <row r="1" ht="35" customHeight="1">
      <c r="A1" s="11" t="inlineStr">
        <is>
          <t>SECURITY ARCHITECTURE REVIEW - TEMPLATES ASSESSMENT</t>
        </is>
      </c>
    </row>
    <row r="2">
      <c r="A2" s="12" t="inlineStr">
        <is>
          <t>Assess completeness, usability, and maintenance of security architecture review templates</t>
        </is>
      </c>
      <c r="B2" s="6" t="n"/>
      <c r="C2" s="6" t="n"/>
      <c r="D2" s="6" t="n"/>
      <c r="E2" s="6" t="n"/>
      <c r="F2" s="6" t="n"/>
      <c r="G2" s="6" t="n"/>
      <c r="H2" s="6" t="n"/>
    </row>
    <row r="4">
      <c r="A4" s="11" t="inlineStr">
        <is>
          <t>Temp-ID</t>
        </is>
      </c>
      <c r="B4" s="11" t="inlineStr">
        <is>
          <t>Template</t>
        </is>
      </c>
      <c r="C4" s="11" t="inlineStr">
        <is>
          <t>Version</t>
        </is>
      </c>
      <c r="D4" s="11" t="inlineStr">
        <is>
          <t>Last Updated</t>
        </is>
      </c>
      <c r="E4" s="11" t="inlineStr">
        <is>
          <t>Completeness</t>
        </is>
      </c>
      <c r="F4" s="11" t="inlineStr">
        <is>
          <t>Usability</t>
        </is>
      </c>
      <c r="G4" s="11" t="inlineStr">
        <is>
          <t>Gaps</t>
        </is>
      </c>
      <c r="H4" s="11" t="inlineStr">
        <is>
          <t>Notes</t>
        </is>
      </c>
    </row>
    <row r="5">
      <c r="A5" s="15" t="inlineStr">
        <is>
          <t>TEMP-001</t>
        </is>
      </c>
      <c r="B5" s="15" t="inlineStr">
        <is>
          <t>Security Architecture Document (SAD)</t>
        </is>
      </c>
      <c r="C5" s="14" t="n"/>
      <c r="D5" s="14" t="n"/>
      <c r="E5" s="14" t="n"/>
      <c r="F5" s="14" t="n"/>
      <c r="G5" s="14" t="n"/>
      <c r="H5" s="14" t="n"/>
    </row>
    <row r="6">
      <c r="A6" s="15" t="inlineStr">
        <is>
          <t>TEMP-002</t>
        </is>
      </c>
      <c r="B6" s="15" t="inlineStr">
        <is>
          <t>Threat Model Template</t>
        </is>
      </c>
      <c r="C6" s="14" t="n"/>
      <c r="D6" s="14" t="n"/>
      <c r="E6" s="14" t="n"/>
      <c r="F6" s="14" t="n"/>
      <c r="G6" s="14" t="n"/>
      <c r="H6" s="14" t="n"/>
    </row>
    <row r="7">
      <c r="A7" s="15" t="inlineStr">
        <is>
          <t>TEMP-003</t>
        </is>
      </c>
      <c r="B7" s="15" t="inlineStr">
        <is>
          <t>Architecture Review Checklist</t>
        </is>
      </c>
      <c r="C7" s="14" t="n"/>
      <c r="D7" s="14" t="n"/>
      <c r="E7" s="14" t="n"/>
      <c r="F7" s="14" t="n"/>
      <c r="G7" s="14" t="n"/>
      <c r="H7" s="14" t="n"/>
    </row>
    <row r="8">
      <c r="A8" s="15" t="inlineStr">
        <is>
          <t>TEMP-004</t>
        </is>
      </c>
      <c r="B8" s="15" t="inlineStr">
        <is>
          <t>Security Requirements Template</t>
        </is>
      </c>
      <c r="C8" s="14" t="n"/>
      <c r="D8" s="14" t="n"/>
      <c r="E8" s="14" t="n"/>
      <c r="F8" s="14" t="n"/>
      <c r="G8" s="14" t="n"/>
      <c r="H8" s="14" t="n"/>
    </row>
    <row r="9">
      <c r="A9" s="15" t="inlineStr">
        <is>
          <t>TEMP-005</t>
        </is>
      </c>
      <c r="B9" s="15" t="inlineStr">
        <is>
          <t>Risk Assessment Template</t>
        </is>
      </c>
      <c r="C9" s="14" t="n"/>
      <c r="D9" s="14" t="n"/>
      <c r="E9" s="14" t="n"/>
      <c r="F9" s="14" t="n"/>
      <c r="G9" s="14" t="n"/>
      <c r="H9" s="14" t="n"/>
    </row>
    <row r="10">
      <c r="A10" s="15" t="inlineStr">
        <is>
          <t>TEMP-006</t>
        </is>
      </c>
      <c r="B10" s="15" t="inlineStr">
        <is>
          <t>Architecture Decision Record (ADR)</t>
        </is>
      </c>
      <c r="C10" s="14" t="n"/>
      <c r="D10" s="14" t="n"/>
      <c r="E10" s="14" t="n"/>
      <c r="F10" s="14" t="n"/>
      <c r="G10" s="14" t="n"/>
      <c r="H10" s="14" t="n"/>
    </row>
    <row r="11">
      <c r="A11" s="15" t="inlineStr">
        <is>
          <t>TEMP-007</t>
        </is>
      </c>
      <c r="B11" s="15" t="inlineStr">
        <is>
          <t>Exception Request Form</t>
        </is>
      </c>
      <c r="C11" s="14" t="n"/>
      <c r="D11" s="14" t="n"/>
      <c r="E11" s="14" t="n"/>
      <c r="F11" s="14" t="n"/>
      <c r="G11" s="14" t="n"/>
      <c r="H11" s="14" t="n"/>
    </row>
    <row r="12">
      <c r="A12" s="15" t="inlineStr">
        <is>
          <t>TEMP-008</t>
        </is>
      </c>
      <c r="B12" s="15" t="inlineStr">
        <is>
          <t>Review Completion Report</t>
        </is>
      </c>
      <c r="C12" s="14" t="n"/>
      <c r="D12" s="14" t="n"/>
      <c r="E12" s="14" t="n"/>
      <c r="F12" s="14" t="n"/>
      <c r="G12" s="14" t="n"/>
      <c r="H12" s="14" t="n"/>
    </row>
  </sheetData>
  <mergeCells count="2">
    <mergeCell ref="A2:H2"/>
    <mergeCell ref="A1:H1"/>
  </mergeCells>
  <dataValidations count="1">
    <dataValidation sqref="E5:F12"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showGridLines="0" workbookViewId="0">
      <pane ySplit="4" topLeftCell="A5" activePane="bottomLeft" state="frozen"/>
      <selection pane="bottomLeft" activeCell="A1" sqref="A1"/>
    </sheetView>
  </sheetViews>
  <sheetFormatPr baseColWidth="8" defaultRowHeight="15"/>
  <cols>
    <col width="10" customWidth="1" min="1" max="1"/>
    <col width="30" customWidth="1" min="2" max="2"/>
    <col width="35" customWidth="1" min="3" max="3"/>
    <col width="12" customWidth="1" min="4" max="4"/>
    <col width="12" customWidth="1" min="5" max="5"/>
    <col width="12" customWidth="1" min="6" max="6"/>
    <col width="30" customWidth="1" min="7" max="7"/>
    <col width="25" customWidth="1" min="8" max="8"/>
  </cols>
  <sheetData>
    <row r="1" ht="35" customHeight="1">
      <c r="A1" s="11" t="inlineStr">
        <is>
          <t>SECURITY ARCHITECTURE REVIEW - SDLC INTEGRATION ASSESSMENT</t>
        </is>
      </c>
    </row>
    <row r="2">
      <c r="A2" s="12" t="inlineStr">
        <is>
          <t>Assess integration of architecture review into software development lifecycle and operational processes</t>
        </is>
      </c>
      <c r="B2" s="6" t="n"/>
      <c r="C2" s="6" t="n"/>
      <c r="D2" s="6" t="n"/>
      <c r="E2" s="6" t="n"/>
      <c r="F2" s="6" t="n"/>
      <c r="G2" s="6" t="n"/>
      <c r="H2" s="6" t="n"/>
    </row>
    <row r="4">
      <c r="A4" s="11" t="inlineStr">
        <is>
          <t>Int-ID</t>
        </is>
      </c>
      <c r="B4" s="11" t="inlineStr">
        <is>
          <t>Integration</t>
        </is>
      </c>
      <c r="C4" s="11" t="inlineStr">
        <is>
          <t>Trigger</t>
        </is>
      </c>
      <c r="D4" s="11" t="inlineStr">
        <is>
          <t>Automated</t>
        </is>
      </c>
      <c r="E4" s="11" t="inlineStr">
        <is>
          <t>Tracked</t>
        </is>
      </c>
      <c r="F4" s="11" t="inlineStr">
        <is>
          <t>Enforced</t>
        </is>
      </c>
      <c r="G4" s="11" t="inlineStr">
        <is>
          <t>Evidence</t>
        </is>
      </c>
      <c r="H4" s="11" t="inlineStr">
        <is>
          <t>Notes</t>
        </is>
      </c>
    </row>
    <row r="5">
      <c r="A5" s="15" t="inlineStr">
        <is>
          <t>INT-001</t>
        </is>
      </c>
      <c r="B5" s="15" t="inlineStr">
        <is>
          <t>Project initiation</t>
        </is>
      </c>
      <c r="C5" s="15" t="inlineStr">
        <is>
          <t>New project intake form triggers review assessment</t>
        </is>
      </c>
      <c r="D5" s="14" t="n"/>
      <c r="E5" s="14" t="n"/>
      <c r="F5" s="14" t="n"/>
      <c r="G5" s="14" t="n"/>
      <c r="H5" s="14" t="n"/>
    </row>
    <row r="6">
      <c r="A6" s="15" t="inlineStr">
        <is>
          <t>INT-002</t>
        </is>
      </c>
      <c r="B6" s="15" t="inlineStr">
        <is>
          <t>Architecture design phase</t>
        </is>
      </c>
      <c r="C6" s="15" t="inlineStr">
        <is>
          <t>Design milestone triggers security review</t>
        </is>
      </c>
      <c r="D6" s="14" t="n"/>
      <c r="E6" s="14" t="n"/>
      <c r="F6" s="14" t="n"/>
      <c r="G6" s="14" t="n"/>
      <c r="H6" s="14" t="n"/>
    </row>
    <row r="7">
      <c r="A7" s="15" t="inlineStr">
        <is>
          <t>INT-003</t>
        </is>
      </c>
      <c r="B7" s="15" t="inlineStr">
        <is>
          <t>Pre-development gate</t>
        </is>
      </c>
      <c r="C7" s="15" t="inlineStr">
        <is>
          <t>Development cannot start without review approval</t>
        </is>
      </c>
      <c r="D7" s="14" t="n"/>
      <c r="E7" s="14" t="n"/>
      <c r="F7" s="14" t="n"/>
      <c r="G7" s="14" t="n"/>
      <c r="H7" s="14" t="n"/>
    </row>
    <row r="8">
      <c r="A8" s="15" t="inlineStr">
        <is>
          <t>INT-004</t>
        </is>
      </c>
      <c r="B8" s="15" t="inlineStr">
        <is>
          <t>Pre-production release</t>
        </is>
      </c>
      <c r="C8" s="15" t="inlineStr">
        <is>
          <t>Release blocked without architecture sign-off</t>
        </is>
      </c>
      <c r="D8" s="14" t="n"/>
      <c r="E8" s="14" t="n"/>
      <c r="F8" s="14" t="n"/>
      <c r="G8" s="14" t="n"/>
      <c r="H8" s="14" t="n"/>
    </row>
    <row r="9">
      <c r="A9" s="15" t="inlineStr">
        <is>
          <t>INT-005</t>
        </is>
      </c>
      <c r="B9" s="15" t="inlineStr">
        <is>
          <t>Major change requests</t>
        </is>
      </c>
      <c r="C9" s="15" t="inlineStr">
        <is>
          <t>Significant changes trigger re-review</t>
        </is>
      </c>
      <c r="D9" s="14" t="n"/>
      <c r="E9" s="14" t="n"/>
      <c r="F9" s="14" t="n"/>
      <c r="G9" s="14" t="n"/>
      <c r="H9" s="14" t="n"/>
    </row>
    <row r="10">
      <c r="A10" s="15" t="inlineStr">
        <is>
          <t>INT-006</t>
        </is>
      </c>
      <c r="B10" s="15" t="inlineStr">
        <is>
          <t>Third-party integration</t>
        </is>
      </c>
      <c r="C10" s="15" t="inlineStr">
        <is>
          <t>External service integration requires review</t>
        </is>
      </c>
      <c r="D10" s="14" t="n"/>
      <c r="E10" s="14" t="n"/>
      <c r="F10" s="14" t="n"/>
      <c r="G10" s="14" t="n"/>
      <c r="H10" s="14" t="n"/>
    </row>
    <row r="11">
      <c r="A11" s="15" t="inlineStr">
        <is>
          <t>INT-007</t>
        </is>
      </c>
      <c r="B11" s="15" t="inlineStr">
        <is>
          <t>Cloud service adoption</t>
        </is>
      </c>
      <c r="C11" s="15" t="inlineStr">
        <is>
          <t>New cloud services require architecture review</t>
        </is>
      </c>
      <c r="D11" s="14" t="n"/>
      <c r="E11" s="14" t="n"/>
      <c r="F11" s="14" t="n"/>
      <c r="G11" s="14" t="n"/>
      <c r="H11" s="14" t="n"/>
    </row>
    <row r="12">
      <c r="A12" s="15" t="inlineStr">
        <is>
          <t>INT-008</t>
        </is>
      </c>
      <c r="B12" s="15" t="inlineStr">
        <is>
          <t>Post-incident review</t>
        </is>
      </c>
      <c r="C12" s="15" t="inlineStr">
        <is>
          <t>Security incidents may trigger architecture reassessment</t>
        </is>
      </c>
      <c r="D12" s="14" t="n"/>
      <c r="E12" s="14" t="n"/>
      <c r="F12" s="14" t="n"/>
      <c r="G12" s="14" t="n"/>
      <c r="H12" s="14" t="n"/>
    </row>
  </sheetData>
  <mergeCells count="2">
    <mergeCell ref="A2:H2"/>
    <mergeCell ref="A1:H1"/>
  </mergeCells>
  <dataValidations count="1">
    <dataValidation sqref="D5:F12" showDropDown="0" showInputMessage="0" showErrorMessage="0" allowBlank="1" type="list">
      <formula1>"✅ Yes,⚠️ Partial,❌ 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5" customWidth="1" min="3" max="3"/>
    <col width="12" customWidth="1" min="4" max="4"/>
    <col width="12" customWidth="1" min="5" max="5"/>
    <col width="10" customWidth="1" min="6" max="6"/>
    <col width="35" customWidth="1" min="7" max="7"/>
    <col width="25" customWidth="1" min="8" max="8"/>
  </cols>
  <sheetData>
    <row r="1" ht="35" customHeight="1">
      <c r="A1" s="11" t="inlineStr">
        <is>
          <t>SECURITY ARCHITECTURE REVIEW - EFFECTIVENESS METRICS</t>
        </is>
      </c>
    </row>
    <row r="2">
      <c r="A2" s="12" t="inlineStr">
        <is>
          <t>Track and measure architecture review process effectiveness through key performance indicators</t>
        </is>
      </c>
      <c r="B2" s="6" t="n"/>
      <c r="C2" s="6" t="n"/>
      <c r="D2" s="6" t="n"/>
      <c r="E2" s="6" t="n"/>
      <c r="F2" s="6" t="n"/>
      <c r="G2" s="6" t="n"/>
      <c r="H2" s="6" t="n"/>
    </row>
    <row r="4">
      <c r="A4" s="11" t="inlineStr">
        <is>
          <t>Met-ID</t>
        </is>
      </c>
      <c r="B4" s="11" t="inlineStr">
        <is>
          <t>Metric</t>
        </is>
      </c>
      <c r="C4" s="11" t="inlineStr">
        <is>
          <t>Period</t>
        </is>
      </c>
      <c r="D4" s="11" t="inlineStr">
        <is>
          <t>Target</t>
        </is>
      </c>
      <c r="E4" s="11" t="inlineStr">
        <is>
          <t>Actual</t>
        </is>
      </c>
      <c r="F4" s="11" t="inlineStr">
        <is>
          <t>Trend</t>
        </is>
      </c>
      <c r="G4" s="11" t="inlineStr">
        <is>
          <t>Action</t>
        </is>
      </c>
      <c r="H4" s="11" t="inlineStr">
        <is>
          <t>Notes</t>
        </is>
      </c>
    </row>
    <row r="5">
      <c r="A5" s="15" t="inlineStr">
        <is>
          <t>MET-001</t>
        </is>
      </c>
      <c r="B5" s="15" t="inlineStr">
        <is>
          <t>Review coverage (% applicable projects reviewed)</t>
        </is>
      </c>
      <c r="C5" s="14" t="n"/>
      <c r="D5" s="14" t="inlineStr">
        <is>
          <t>100%</t>
        </is>
      </c>
      <c r="E5" s="14" t="n"/>
      <c r="F5" s="14" t="n"/>
      <c r="G5" s="14" t="n"/>
      <c r="H5" s="14" t="n"/>
    </row>
    <row r="6">
      <c r="A6" s="15" t="inlineStr">
        <is>
          <t>MET-002</t>
        </is>
      </c>
      <c r="B6" s="15" t="inlineStr">
        <is>
          <t>Review timeliness (days from trigger to completion)</t>
        </is>
      </c>
      <c r="C6" s="14" t="n"/>
      <c r="D6" s="14" t="inlineStr">
        <is>
          <t>&lt;10 days</t>
        </is>
      </c>
      <c r="E6" s="14" t="n"/>
      <c r="F6" s="14" t="n"/>
      <c r="G6" s="14" t="n"/>
      <c r="H6" s="14" t="n"/>
    </row>
    <row r="7">
      <c r="A7" s="15" t="inlineStr">
        <is>
          <t>MET-003</t>
        </is>
      </c>
      <c r="B7" s="15" t="inlineStr">
        <is>
          <t>Finding closure rate (% high findings closed before release)</t>
        </is>
      </c>
      <c r="C7" s="14" t="n"/>
      <c r="D7" s="14" t="inlineStr">
        <is>
          <t>100%</t>
        </is>
      </c>
      <c r="E7" s="14" t="n"/>
      <c r="F7" s="14" t="n"/>
      <c r="G7" s="14" t="n"/>
      <c r="H7" s="14" t="n"/>
    </row>
    <row r="8">
      <c r="A8" s="15" t="inlineStr">
        <is>
          <t>MET-004</t>
        </is>
      </c>
      <c r="B8" s="15" t="inlineStr">
        <is>
          <t>Bypass rate (% projects bypassing review)</t>
        </is>
      </c>
      <c r="C8" s="14" t="n"/>
      <c r="D8" s="14" t="inlineStr">
        <is>
          <t>0%</t>
        </is>
      </c>
      <c r="E8" s="14" t="n"/>
      <c r="F8" s="14" t="n"/>
      <c r="G8" s="14" t="n"/>
      <c r="H8" s="14" t="n"/>
    </row>
    <row r="9">
      <c r="A9" s="15" t="inlineStr">
        <is>
          <t>MET-005</t>
        </is>
      </c>
      <c r="B9" s="15" t="inlineStr">
        <is>
          <t>Rework rate (% requiring re-review)</t>
        </is>
      </c>
      <c r="C9" s="14" t="n"/>
      <c r="D9" s="14" t="inlineStr">
        <is>
          <t>&lt;10%</t>
        </is>
      </c>
      <c r="E9" s="14" t="n"/>
      <c r="F9" s="14" t="n"/>
      <c r="G9" s="14" t="n"/>
      <c r="H9" s="14" t="n"/>
    </row>
    <row r="10">
      <c r="A10" s="15" t="inlineStr">
        <is>
          <t>MET-006</t>
        </is>
      </c>
      <c r="B10" s="15" t="inlineStr">
        <is>
          <t>Template compliance (% using approved templates)</t>
        </is>
      </c>
      <c r="C10" s="14" t="n"/>
      <c r="D10" s="14" t="inlineStr">
        <is>
          <t>100%</t>
        </is>
      </c>
      <c r="E10" s="14" t="n"/>
      <c r="F10" s="14" t="n"/>
      <c r="G10" s="14" t="n"/>
      <c r="H10" s="14" t="n"/>
    </row>
    <row r="11">
      <c r="A11" s="15" t="inlineStr">
        <is>
          <t>MET-007</t>
        </is>
      </c>
      <c r="B11" s="15" t="inlineStr">
        <is>
          <t>Documentation completeness (average score)</t>
        </is>
      </c>
      <c r="C11" s="14" t="n"/>
      <c r="D11" s="14" t="inlineStr">
        <is>
          <t>4.0/5</t>
        </is>
      </c>
      <c r="E11" s="14" t="n"/>
      <c r="F11" s="14" t="n"/>
      <c r="G11" s="14" t="n"/>
      <c r="H11" s="14" t="n"/>
    </row>
    <row r="12">
      <c r="A12" s="15" t="inlineStr">
        <is>
          <t>MET-008</t>
        </is>
      </c>
      <c r="B12" s="15" t="inlineStr">
        <is>
          <t>Stakeholder satisfaction (survey score)</t>
        </is>
      </c>
      <c r="C12" s="14" t="n"/>
      <c r="D12" s="14" t="inlineStr">
        <is>
          <t>4.0/5</t>
        </is>
      </c>
      <c r="E12" s="14" t="n"/>
      <c r="F12" s="14" t="n"/>
      <c r="G12" s="14" t="n"/>
      <c r="H12" s="14" t="n"/>
    </row>
    <row r="13">
      <c r="A13" s="15" t="inlineStr">
        <is>
          <t>MET-009</t>
        </is>
      </c>
      <c r="B13" s="15" t="inlineStr">
        <is>
          <t>Time to approval (days from submission)</t>
        </is>
      </c>
      <c r="C13" s="14" t="n"/>
      <c r="D13" s="14" t="inlineStr">
        <is>
          <t>&lt;5 days</t>
        </is>
      </c>
      <c r="E13" s="14" t="n"/>
      <c r="F13" s="14" t="n"/>
      <c r="G13" s="14" t="n"/>
      <c r="H13" s="14" t="n"/>
    </row>
    <row r="14">
      <c r="A14" s="15" t="inlineStr">
        <is>
          <t>MET-010</t>
        </is>
      </c>
      <c r="B14" s="15" t="inlineStr">
        <is>
          <t>Finding recurrence (% findings repeating)</t>
        </is>
      </c>
      <c r="C14" s="14" t="n"/>
      <c r="D14" s="14" t="inlineStr">
        <is>
          <t>&lt;5%</t>
        </is>
      </c>
      <c r="E14" s="14" t="n"/>
      <c r="F14" s="14" t="n"/>
      <c r="G14" s="14" t="n"/>
      <c r="H14" s="14" t="n"/>
    </row>
  </sheetData>
  <mergeCells count="2">
    <mergeCell ref="A2:H2"/>
    <mergeCell ref="A1:H1"/>
  </mergeCells>
  <dataValidations count="1">
    <dataValidation sqref="F5:F14" showDropDown="0" showInputMessage="0" showErrorMessage="0" allowBlank="1" type="list">
      <formula1>"Up,Down,Stable"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5"/>
  <sheetViews>
    <sheetView showGridLines="0" workbookViewId="0">
      <pane ySplit="4" topLeftCell="A5" activePane="bottomLeft" state="frozen"/>
      <selection pane="bottomLeft" activeCell="A1" sqref="A1"/>
    </sheetView>
  </sheetViews>
  <sheetFormatPr baseColWidth="8" defaultRowHeight="15"/>
  <cols>
    <col width="10" customWidth="1" min="1" max="1"/>
    <col width="40" customWidth="1" min="2" max="2"/>
    <col width="20" customWidth="1" min="3" max="3"/>
    <col width="12" customWidth="1" min="4" max="4"/>
    <col width="35" customWidth="1" min="5" max="5"/>
    <col width="10" customWidth="1" min="6" max="6"/>
    <col width="25" customWidth="1" min="7" max="7"/>
  </cols>
  <sheetData>
    <row r="1" ht="35" customHeight="1">
      <c r="A1" s="11" t="inlineStr">
        <is>
          <t>SECURITY ARCHITECTURE REVIEW - POLICY COMPLIANCE SCORING</t>
        </is>
      </c>
    </row>
    <row r="2">
      <c r="A2" s="12" t="inlineStr">
        <is>
          <t>Score compliance with security architecture review policy requirements and control objectives</t>
        </is>
      </c>
      <c r="B2" s="6" t="n"/>
      <c r="C2" s="6" t="n"/>
      <c r="D2" s="6" t="n"/>
      <c r="E2" s="6" t="n"/>
      <c r="F2" s="6" t="n"/>
      <c r="G2" s="6" t="n"/>
    </row>
    <row r="4">
      <c r="A4" s="11" t="inlineStr">
        <is>
          <t>Comp-ID</t>
        </is>
      </c>
      <c r="B4" s="11" t="inlineStr">
        <is>
          <t>Requirement</t>
        </is>
      </c>
      <c r="C4" s="11" t="inlineStr">
        <is>
          <t>Source</t>
        </is>
      </c>
      <c r="D4" s="11" t="inlineStr">
        <is>
          <t>Compliant</t>
        </is>
      </c>
      <c r="E4" s="11" t="inlineStr">
        <is>
          <t>Evidence</t>
        </is>
      </c>
      <c r="F4" s="11" t="inlineStr">
        <is>
          <t>Score</t>
        </is>
      </c>
      <c r="G4" s="11" t="inlineStr">
        <is>
          <t>Notes</t>
        </is>
      </c>
    </row>
    <row r="5">
      <c r="A5" s="13" t="inlineStr">
        <is>
          <t>COMP-001</t>
        </is>
      </c>
      <c r="B5" s="13" t="inlineStr">
        <is>
          <t>Security architecture review policy documented</t>
        </is>
      </c>
      <c r="C5" s="13" t="inlineStr">
        <is>
          <t>POL-A.8.27 §2.2</t>
        </is>
      </c>
      <c r="D5" s="13" t="inlineStr">
        <is>
          <t>✅ Yes</t>
        </is>
      </c>
      <c r="E5" s="13" t="inlineStr">
        <is>
          <t>Policy document v1.0</t>
        </is>
      </c>
      <c r="F5" s="13">
        <f>IF(D5="","",IF(D5="✅ Yes",100,IF(D5="⚠️ Partial",50,0)))</f>
        <v/>
      </c>
      <c r="G5" s="13" t="inlineStr">
        <is>
          <t>Policy compliance verified</t>
        </is>
      </c>
    </row>
    <row r="6">
      <c r="A6" s="14" t="n"/>
      <c r="B6" s="14" t="inlineStr">
        <is>
          <t>Security by design — security requirements addressed from initial design, not retrofitted</t>
        </is>
      </c>
      <c r="C6" s="14" t="n"/>
      <c r="D6" s="14" t="n"/>
      <c r="E6" s="14" t="n"/>
      <c r="F6" s="16">
        <f>IF(D6="","",IF(D6="✅ Yes",100,IF(D6="⚠️ Partial",50,0)))</f>
        <v/>
      </c>
      <c r="G6" s="14" t="n"/>
    </row>
    <row r="7">
      <c r="A7" s="14" t="n"/>
      <c r="B7" s="14" t="inlineStr">
        <is>
          <t>Defence in depth — multiple security layers applied so no single failure creates a breach</t>
        </is>
      </c>
      <c r="C7" s="14" t="n"/>
      <c r="D7" s="14" t="n"/>
      <c r="E7" s="14" t="n"/>
      <c r="F7" s="16">
        <f>IF(D7="","",IF(D7="✅ Yes",100,IF(D7="⚠️ Partial",50,0)))</f>
        <v/>
      </c>
      <c r="G7" s="14" t="n"/>
    </row>
    <row r="8">
      <c r="A8" s="14" t="n"/>
      <c r="B8" s="14" t="inlineStr">
        <is>
          <t>Fail securely — system defaults to a secure state on failure (deny-by-default, no info disclosure)</t>
        </is>
      </c>
      <c r="C8" s="14" t="n"/>
      <c r="D8" s="14" t="n"/>
      <c r="E8" s="14" t="n"/>
      <c r="F8" s="16">
        <f>IF(D8="","",IF(D8="✅ Yes",100,IF(D8="⚠️ Partial",50,0)))</f>
        <v/>
      </c>
      <c r="G8" s="14" t="n"/>
    </row>
    <row r="9">
      <c r="A9" s="14" t="n"/>
      <c r="B9" s="14" t="inlineStr">
        <is>
          <t>Least privilege — every component, user, and process operates with minimum necessary permissions</t>
        </is>
      </c>
      <c r="C9" s="14" t="n"/>
      <c r="D9" s="14" t="n"/>
      <c r="E9" s="14" t="n"/>
      <c r="F9" s="16">
        <f>IF(D9="","",IF(D9="✅ Yes",100,IF(D9="⚠️ Partial",50,0)))</f>
        <v/>
      </c>
      <c r="G9" s="14" t="n"/>
    </row>
    <row r="10">
      <c r="A10" s="14" t="n"/>
      <c r="B10" s="14" t="inlineStr">
        <is>
          <t>Least functionality — only required services, ports, and functions enabled; all others disabled</t>
        </is>
      </c>
      <c r="C10" s="14" t="n"/>
      <c r="D10" s="14" t="n"/>
      <c r="E10" s="14" t="n"/>
      <c r="F10" s="16">
        <f>IF(D10="","",IF(D10="✅ Yes",100,IF(D10="⚠️ Partial",50,0)))</f>
        <v/>
      </c>
      <c r="G10" s="14" t="n"/>
    </row>
    <row r="11">
      <c r="A11" s="14" t="n"/>
      <c r="B11" s="14" t="inlineStr">
        <is>
          <t>Distrust external input — all external/untrusted input validated before processing</t>
        </is>
      </c>
      <c r="C11" s="14" t="n"/>
      <c r="D11" s="14" t="n"/>
      <c r="E11" s="14" t="n"/>
      <c r="F11" s="16">
        <f>IF(D11="","",IF(D11="✅ Yes",100,IF(D11="⚠️ Partial",50,0)))</f>
        <v/>
      </c>
      <c r="G11" s="14" t="n"/>
    </row>
    <row r="12">
      <c r="A12" s="14" t="n"/>
      <c r="B12" s="14" t="inlineStr">
        <is>
          <t>Assume breach — architecture designed assuming attackers may already be inside the perimeter</t>
        </is>
      </c>
      <c r="C12" s="14" t="n"/>
      <c r="D12" s="14" t="n"/>
      <c r="E12" s="14" t="n"/>
      <c r="F12" s="16">
        <f>IF(D12="","",IF(D12="✅ Yes",100,IF(D12="⚠️ Partial",50,0)))</f>
        <v/>
      </c>
      <c r="G12" s="14" t="n"/>
    </row>
    <row r="13">
      <c r="A13" s="14" t="n"/>
      <c r="B13" s="14" t="inlineStr">
        <is>
          <t>Usability and manageability — security controls designed for practical use to avoid workarounds</t>
        </is>
      </c>
      <c r="C13" s="14" t="n"/>
      <c r="D13" s="14" t="n"/>
      <c r="E13" s="14" t="n"/>
      <c r="F13" s="16">
        <f>IF(D13="","",IF(D13="✅ Yes",100,IF(D13="⚠️ Partial",50,0)))</f>
        <v/>
      </c>
      <c r="G13" s="14" t="n"/>
    </row>
    <row r="14">
      <c r="A14" s="14" t="n"/>
      <c r="B14" s="14" t="n"/>
      <c r="C14" s="14" t="n"/>
      <c r="D14" s="14" t="n"/>
      <c r="E14" s="14" t="n"/>
      <c r="F14" s="16">
        <f>IF(D14="","",IF(D14="✅ Yes",100,IF(D14="⚠️ Partial",50,0)))</f>
        <v/>
      </c>
      <c r="G14" s="14" t="n"/>
    </row>
    <row r="15">
      <c r="A15" s="14" t="n"/>
      <c r="B15" s="14" t="n"/>
      <c r="C15" s="14" t="n"/>
      <c r="D15" s="14" t="n"/>
      <c r="E15" s="14" t="n"/>
      <c r="F15" s="16">
        <f>IF(D15="","",IF(D15="✅ Yes",100,IF(D15="⚠️ Partial",50,0)))</f>
        <v/>
      </c>
      <c r="G15" s="14" t="n"/>
    </row>
    <row r="16">
      <c r="A16" s="14" t="n"/>
      <c r="B16" s="14" t="n"/>
      <c r="C16" s="14" t="n"/>
      <c r="D16" s="14" t="n"/>
      <c r="E16" s="14" t="n"/>
      <c r="F16" s="16">
        <f>IF(D16="","",IF(D16="✅ Yes",100,IF(D16="⚠️ Partial",50,0)))</f>
        <v/>
      </c>
      <c r="G16" s="14" t="n"/>
    </row>
    <row r="17">
      <c r="A17" s="14" t="n"/>
      <c r="B17" s="14" t="n"/>
      <c r="C17" s="14" t="n"/>
      <c r="D17" s="14" t="n"/>
      <c r="E17" s="14" t="n"/>
      <c r="F17" s="16">
        <f>IF(D17="","",IF(D17="✅ Yes",100,IF(D17="⚠️ Partial",50,0)))</f>
        <v/>
      </c>
      <c r="G17" s="14" t="n"/>
    </row>
    <row r="18">
      <c r="A18" s="14" t="n"/>
      <c r="B18" s="14" t="n"/>
      <c r="C18" s="14" t="n"/>
      <c r="D18" s="14" t="n"/>
      <c r="E18" s="14" t="n"/>
      <c r="F18" s="16">
        <f>IF(D18="","",IF(D18="✅ Yes",100,IF(D18="⚠️ Partial",50,0)))</f>
        <v/>
      </c>
      <c r="G18" s="14" t="n"/>
    </row>
    <row r="19">
      <c r="A19" s="14" t="n"/>
      <c r="B19" s="14" t="n"/>
      <c r="C19" s="14" t="n"/>
      <c r="D19" s="14" t="n"/>
      <c r="E19" s="14" t="n"/>
      <c r="F19" s="16">
        <f>IF(D19="","",IF(D19="✅ Yes",100,IF(D19="⚠️ Partial",50,0)))</f>
        <v/>
      </c>
      <c r="G19" s="14" t="n"/>
    </row>
    <row r="20">
      <c r="A20" s="14" t="n"/>
      <c r="B20" s="14" t="n"/>
      <c r="C20" s="14" t="n"/>
      <c r="D20" s="14" t="n"/>
      <c r="E20" s="14" t="n"/>
      <c r="F20" s="16">
        <f>IF(D20="","",IF(D20="✅ Yes",100,IF(D20="⚠️ Partial",50,0)))</f>
        <v/>
      </c>
      <c r="G20" s="14" t="n"/>
    </row>
    <row r="21">
      <c r="A21" s="14" t="n"/>
      <c r="B21" s="14" t="n"/>
      <c r="C21" s="14" t="n"/>
      <c r="D21" s="14" t="n"/>
      <c r="E21" s="14" t="n"/>
      <c r="F21" s="16">
        <f>IF(D21="","",IF(D21="✅ Yes",100,IF(D21="⚠️ Partial",50,0)))</f>
        <v/>
      </c>
      <c r="G21" s="14" t="n"/>
    </row>
    <row r="22">
      <c r="A22" s="14" t="n"/>
      <c r="B22" s="14" t="n"/>
      <c r="C22" s="14" t="n"/>
      <c r="D22" s="14" t="n"/>
      <c r="E22" s="14" t="n"/>
      <c r="F22" s="16">
        <f>IF(D22="","",IF(D22="✅ Yes",100,IF(D22="⚠️ Partial",50,0)))</f>
        <v/>
      </c>
      <c r="G22" s="14" t="n"/>
    </row>
    <row r="23">
      <c r="A23" s="14" t="n"/>
      <c r="B23" s="14" t="n"/>
      <c r="C23" s="14" t="n"/>
      <c r="D23" s="14" t="n"/>
      <c r="E23" s="14" t="n"/>
      <c r="F23" s="16">
        <f>IF(D23="","",IF(D23="✅ Yes",100,IF(D23="⚠️ Partial",50,0)))</f>
        <v/>
      </c>
      <c r="G23" s="14" t="n"/>
    </row>
    <row r="24">
      <c r="A24" s="14" t="n"/>
      <c r="B24" s="14" t="n"/>
      <c r="C24" s="14" t="n"/>
      <c r="D24" s="14" t="n"/>
      <c r="E24" s="14" t="n"/>
      <c r="F24" s="16">
        <f>IF(D24="","",IF(D24="✅ Yes",100,IF(D24="⚠️ Partial",50,0)))</f>
        <v/>
      </c>
      <c r="G24" s="14" t="n"/>
    </row>
    <row r="25">
      <c r="A25" s="14" t="n"/>
      <c r="B25" s="14" t="n"/>
      <c r="C25" s="14" t="n"/>
      <c r="D25" s="14" t="n"/>
      <c r="E25" s="14" t="n"/>
      <c r="F25" s="16">
        <f>IF(D25="","",IF(D25="✅ Yes",100,IF(D25="⚠️ Partial",50,0)))</f>
        <v/>
      </c>
      <c r="G25" s="14" t="n"/>
    </row>
    <row r="26">
      <c r="A26" s="14" t="n"/>
      <c r="B26" s="14" t="n"/>
      <c r="C26" s="14" t="n"/>
      <c r="D26" s="14" t="n"/>
      <c r="E26" s="14" t="n"/>
      <c r="F26" s="16">
        <f>IF(D26="","",IF(D26="✅ Yes",100,IF(D26="⚠️ Partial",50,0)))</f>
        <v/>
      </c>
      <c r="G26" s="14" t="n"/>
    </row>
    <row r="27">
      <c r="A27" s="14" t="n"/>
      <c r="B27" s="14" t="n"/>
      <c r="C27" s="14" t="n"/>
      <c r="D27" s="14" t="n"/>
      <c r="E27" s="14" t="n"/>
      <c r="F27" s="16">
        <f>IF(D27="","",IF(D27="✅ Yes",100,IF(D27="⚠️ Partial",50,0)))</f>
        <v/>
      </c>
      <c r="G27" s="14" t="n"/>
    </row>
    <row r="28">
      <c r="A28" s="14" t="n"/>
      <c r="B28" s="14" t="n"/>
      <c r="C28" s="14" t="n"/>
      <c r="D28" s="14" t="n"/>
      <c r="E28" s="14" t="n"/>
      <c r="F28" s="16">
        <f>IF(D28="","",IF(D28="✅ Yes",100,IF(D28="⚠️ Partial",50,0)))</f>
        <v/>
      </c>
      <c r="G28" s="14" t="n"/>
    </row>
    <row r="29">
      <c r="A29" s="14" t="n"/>
      <c r="B29" s="14" t="n"/>
      <c r="C29" s="14" t="n"/>
      <c r="D29" s="14" t="n"/>
      <c r="E29" s="14" t="n"/>
      <c r="F29" s="16">
        <f>IF(D29="","",IF(D29="✅ Yes",100,IF(D29="⚠️ Partial",50,0)))</f>
        <v/>
      </c>
      <c r="G29" s="14" t="n"/>
    </row>
    <row r="30">
      <c r="A30" s="14" t="n"/>
      <c r="B30" s="14" t="n"/>
      <c r="C30" s="14" t="n"/>
      <c r="D30" s="14" t="n"/>
      <c r="E30" s="14" t="n"/>
      <c r="F30" s="16">
        <f>IF(D30="","",IF(D30="✅ Yes",100,IF(D30="⚠️ Partial",50,0)))</f>
        <v/>
      </c>
      <c r="G30" s="14" t="n"/>
    </row>
    <row r="31">
      <c r="A31" s="14" t="n"/>
      <c r="B31" s="14" t="n"/>
      <c r="C31" s="14" t="n"/>
      <c r="D31" s="14" t="n"/>
      <c r="E31" s="14" t="n"/>
      <c r="F31" s="16">
        <f>IF(D31="","",IF(D31="✅ Yes",100,IF(D31="⚠️ Partial",50,0)))</f>
        <v/>
      </c>
      <c r="G31" s="14" t="n"/>
    </row>
    <row r="32">
      <c r="A32" s="14" t="n"/>
      <c r="B32" s="14" t="n"/>
      <c r="C32" s="14" t="n"/>
      <c r="D32" s="14" t="n"/>
      <c r="E32" s="14" t="n"/>
      <c r="F32" s="16">
        <f>IF(D32="","",IF(D32="✅ Yes",100,IF(D32="⚠️ Partial",50,0)))</f>
        <v/>
      </c>
      <c r="G32" s="14" t="n"/>
    </row>
    <row r="33">
      <c r="A33" s="14" t="n"/>
      <c r="B33" s="14" t="n"/>
      <c r="C33" s="14" t="n"/>
      <c r="D33" s="14" t="n"/>
      <c r="E33" s="14" t="n"/>
      <c r="F33" s="16">
        <f>IF(D33="","",IF(D33="✅ Yes",100,IF(D33="⚠️ Partial",50,0)))</f>
        <v/>
      </c>
      <c r="G33" s="14" t="n"/>
    </row>
    <row r="34">
      <c r="A34" s="14" t="n"/>
      <c r="B34" s="14" t="n"/>
      <c r="C34" s="14" t="n"/>
      <c r="D34" s="14" t="n"/>
      <c r="E34" s="14" t="n"/>
      <c r="F34" s="16">
        <f>IF(D34="","",IF(D34="✅ Yes",100,IF(D34="⚠️ Partial",50,0)))</f>
        <v/>
      </c>
      <c r="G34" s="14" t="n"/>
    </row>
    <row r="35">
      <c r="A35" s="14" t="n"/>
      <c r="B35" s="14" t="n"/>
      <c r="C35" s="14" t="n"/>
      <c r="D35" s="14" t="n"/>
      <c r="E35" s="14" t="n"/>
      <c r="F35" s="16">
        <f>IF(D35="","",IF(D35="✅ Yes",100,IF(D35="⚠️ Partial",50,0)))</f>
        <v/>
      </c>
      <c r="G35" s="14" t="n"/>
    </row>
    <row r="36">
      <c r="A36" s="14" t="n"/>
      <c r="B36" s="14" t="n"/>
      <c r="C36" s="14" t="n"/>
      <c r="D36" s="14" t="n"/>
      <c r="E36" s="14" t="n"/>
      <c r="F36" s="16">
        <f>IF(D36="","",IF(D36="✅ Yes",100,IF(D36="⚠️ Partial",50,0)))</f>
        <v/>
      </c>
      <c r="G36" s="14" t="n"/>
    </row>
    <row r="37">
      <c r="A37" s="14" t="n"/>
      <c r="B37" s="14" t="n"/>
      <c r="C37" s="14" t="n"/>
      <c r="D37" s="14" t="n"/>
      <c r="E37" s="14" t="n"/>
      <c r="F37" s="16">
        <f>IF(D37="","",IF(D37="✅ Yes",100,IF(D37="⚠️ Partial",50,0)))</f>
        <v/>
      </c>
      <c r="G37" s="14" t="n"/>
    </row>
    <row r="38">
      <c r="A38" s="14" t="n"/>
      <c r="B38" s="14" t="n"/>
      <c r="C38" s="14" t="n"/>
      <c r="D38" s="14" t="n"/>
      <c r="E38" s="14" t="n"/>
      <c r="F38" s="16">
        <f>IF(D38="","",IF(D38="✅ Yes",100,IF(D38="⚠️ Partial",50,0)))</f>
        <v/>
      </c>
      <c r="G38" s="14" t="n"/>
    </row>
    <row r="39">
      <c r="A39" s="14" t="n"/>
      <c r="B39" s="14" t="n"/>
      <c r="C39" s="14" t="n"/>
      <c r="D39" s="14" t="n"/>
      <c r="E39" s="14" t="n"/>
      <c r="F39" s="16">
        <f>IF(D39="","",IF(D39="✅ Yes",100,IF(D39="⚠️ Partial",50,0)))</f>
        <v/>
      </c>
      <c r="G39" s="14" t="n"/>
    </row>
    <row r="40">
      <c r="A40" s="14" t="n"/>
      <c r="B40" s="14" t="n"/>
      <c r="C40" s="14" t="n"/>
      <c r="D40" s="14" t="n"/>
      <c r="E40" s="14" t="n"/>
      <c r="F40" s="16">
        <f>IF(D40="","",IF(D40="✅ Yes",100,IF(D40="⚠️ Partial",50,0)))</f>
        <v/>
      </c>
      <c r="G40" s="14" t="n"/>
    </row>
    <row r="41">
      <c r="A41" s="14" t="n"/>
      <c r="B41" s="14" t="n"/>
      <c r="C41" s="14" t="n"/>
      <c r="D41" s="14" t="n"/>
      <c r="E41" s="14" t="n"/>
      <c r="F41" s="16">
        <f>IF(D41="","",IF(D41="✅ Yes",100,IF(D41="⚠️ Partial",50,0)))</f>
        <v/>
      </c>
      <c r="G41" s="14" t="n"/>
    </row>
    <row r="42">
      <c r="A42" s="14" t="n"/>
      <c r="B42" s="14" t="n"/>
      <c r="C42" s="14" t="n"/>
      <c r="D42" s="14" t="n"/>
      <c r="E42" s="14" t="n"/>
      <c r="F42" s="16">
        <f>IF(D42="","",IF(D42="✅ Yes",100,IF(D42="⚠️ Partial",50,0)))</f>
        <v/>
      </c>
      <c r="G42" s="14" t="n"/>
    </row>
    <row r="43">
      <c r="A43" s="14" t="n"/>
      <c r="B43" s="14" t="n"/>
      <c r="C43" s="14" t="n"/>
      <c r="D43" s="14" t="n"/>
      <c r="E43" s="14" t="n"/>
      <c r="F43" s="16">
        <f>IF(D43="","",IF(D43="✅ Yes",100,IF(D43="⚠️ Partial",50,0)))</f>
        <v/>
      </c>
      <c r="G43" s="14" t="n"/>
    </row>
    <row r="44">
      <c r="A44" s="14" t="n"/>
      <c r="B44" s="14" t="n"/>
      <c r="C44" s="14" t="n"/>
      <c r="D44" s="14" t="n"/>
      <c r="E44" s="14" t="n"/>
      <c r="F44" s="16">
        <f>IF(D44="","",IF(D44="✅ Yes",100,IF(D44="⚠️ Partial",50,0)))</f>
        <v/>
      </c>
      <c r="G44" s="14" t="n"/>
    </row>
    <row r="45">
      <c r="A45" s="14" t="n"/>
      <c r="B45" s="14" t="n"/>
      <c r="C45" s="14" t="n"/>
      <c r="D45" s="14" t="n"/>
      <c r="E45" s="14" t="n"/>
      <c r="F45" s="16">
        <f>IF(D45="","",IF(D45="✅ Yes",100,IF(D45="⚠️ Partial",50,0)))</f>
        <v/>
      </c>
      <c r="G45" s="14" t="n"/>
    </row>
    <row r="46">
      <c r="A46" s="14" t="n"/>
      <c r="B46" s="14" t="n"/>
      <c r="C46" s="14" t="n"/>
      <c r="D46" s="14" t="n"/>
      <c r="E46" s="14" t="n"/>
      <c r="F46" s="16">
        <f>IF(D46="","",IF(D46="✅ Yes",100,IF(D46="⚠️ Partial",50,0)))</f>
        <v/>
      </c>
      <c r="G46" s="14" t="n"/>
    </row>
    <row r="47">
      <c r="A47" s="14" t="n"/>
      <c r="B47" s="14" t="n"/>
      <c r="C47" s="14" t="n"/>
      <c r="D47" s="14" t="n"/>
      <c r="E47" s="14" t="n"/>
      <c r="F47" s="16">
        <f>IF(D47="","",IF(D47="✅ Yes",100,IF(D47="⚠️ Partial",50,0)))</f>
        <v/>
      </c>
      <c r="G47" s="14" t="n"/>
    </row>
    <row r="48">
      <c r="A48" s="14" t="n"/>
      <c r="B48" s="14" t="n"/>
      <c r="C48" s="14" t="n"/>
      <c r="D48" s="14" t="n"/>
      <c r="E48" s="14" t="n"/>
      <c r="F48" s="16">
        <f>IF(D48="","",IF(D48="✅ Yes",100,IF(D48="⚠️ Partial",50,0)))</f>
        <v/>
      </c>
      <c r="G48" s="14" t="n"/>
    </row>
    <row r="49">
      <c r="A49" s="14" t="n"/>
      <c r="B49" s="14" t="n"/>
      <c r="C49" s="14" t="n"/>
      <c r="D49" s="14" t="n"/>
      <c r="E49" s="14" t="n"/>
      <c r="F49" s="16">
        <f>IF(D49="","",IF(D49="✅ Yes",100,IF(D49="⚠️ Partial",50,0)))</f>
        <v/>
      </c>
      <c r="G49" s="14" t="n"/>
    </row>
    <row r="50">
      <c r="A50" s="14" t="n"/>
      <c r="B50" s="14" t="n"/>
      <c r="C50" s="14" t="n"/>
      <c r="D50" s="14" t="n"/>
      <c r="E50" s="14" t="n"/>
      <c r="F50" s="16">
        <f>IF(D50="","",IF(D50="✅ Yes",100,IF(D50="⚠️ Partial",50,0)))</f>
        <v/>
      </c>
      <c r="G50" s="14" t="n"/>
    </row>
    <row r="51">
      <c r="A51" s="14" t="n"/>
      <c r="B51" s="14" t="n"/>
      <c r="C51" s="14" t="n"/>
      <c r="D51" s="14" t="n"/>
      <c r="E51" s="14" t="n"/>
      <c r="F51" s="16">
        <f>IF(D51="","",IF(D51="✅ Yes",100,IF(D51="⚠️ Partial",50,0)))</f>
        <v/>
      </c>
      <c r="G51" s="14" t="n"/>
    </row>
    <row r="52">
      <c r="A52" s="14" t="n"/>
      <c r="B52" s="14" t="n"/>
      <c r="C52" s="14" t="n"/>
      <c r="D52" s="14" t="n"/>
      <c r="E52" s="14" t="n"/>
      <c r="F52" s="16">
        <f>IF(D52="","",IF(D52="✅ Yes",100,IF(D52="⚠️ Partial",50,0)))</f>
        <v/>
      </c>
      <c r="G52" s="14" t="n"/>
    </row>
    <row r="53">
      <c r="A53" s="14" t="n"/>
      <c r="B53" s="14" t="n"/>
      <c r="C53" s="14" t="n"/>
      <c r="D53" s="14" t="n"/>
      <c r="E53" s="14" t="n"/>
      <c r="F53" s="16">
        <f>IF(D53="","",IF(D53="✅ Yes",100,IF(D53="⚠️ Partial",50,0)))</f>
        <v/>
      </c>
      <c r="G53" s="14" t="n"/>
    </row>
    <row r="54">
      <c r="A54" s="14" t="n"/>
      <c r="B54" s="14" t="n"/>
      <c r="C54" s="14" t="n"/>
      <c r="D54" s="14" t="n"/>
      <c r="E54" s="14" t="n"/>
      <c r="F54" s="16">
        <f>IF(D54="","",IF(D54="✅ Yes",100,IF(D54="⚠️ Partial",50,0)))</f>
        <v/>
      </c>
      <c r="G54" s="14" t="n"/>
    </row>
    <row r="55">
      <c r="A55" s="14" t="n"/>
      <c r="B55" s="14" t="n"/>
      <c r="C55" s="14" t="n"/>
      <c r="D55" s="14" t="n"/>
      <c r="E55" s="14" t="n"/>
      <c r="F55" s="16">
        <f>IF(D55="","",IF(D55="✅ Yes",100,IF(D55="⚠️ Partial",50,0)))</f>
        <v/>
      </c>
      <c r="G55" s="14" t="n"/>
    </row>
    <row r="56">
      <c r="A56" s="14" t="n"/>
      <c r="B56" s="14" t="n"/>
      <c r="C56" s="14" t="n"/>
      <c r="D56" s="14" t="n"/>
      <c r="E56" s="14" t="n"/>
      <c r="F56" s="16">
        <f>IF(D56="","",IF(D56="✅ Yes",100,IF(D56="⚠️ Partial",50,0)))</f>
        <v/>
      </c>
      <c r="G56" s="14" t="n"/>
    </row>
    <row r="57">
      <c r="A57" s="14" t="n"/>
      <c r="B57" s="14" t="n"/>
      <c r="C57" s="14" t="n"/>
      <c r="D57" s="14" t="n"/>
      <c r="E57" s="14" t="n"/>
      <c r="F57" s="16">
        <f>IF(D57="","",IF(D57="✅ Yes",100,IF(D57="⚠️ Partial",50,0)))</f>
        <v/>
      </c>
      <c r="G57" s="14" t="n"/>
    </row>
    <row r="58">
      <c r="A58" s="14" t="n"/>
      <c r="B58" s="14" t="n"/>
      <c r="C58" s="14" t="n"/>
      <c r="D58" s="14" t="n"/>
      <c r="E58" s="14" t="n"/>
      <c r="F58" s="16">
        <f>IF(D58="","",IF(D58="✅ Yes",100,IF(D58="⚠️ Partial",50,0)))</f>
        <v/>
      </c>
      <c r="G58" s="14" t="n"/>
    </row>
    <row r="59">
      <c r="A59" s="14" t="n"/>
      <c r="B59" s="14" t="n"/>
      <c r="C59" s="14" t="n"/>
      <c r="D59" s="14" t="n"/>
      <c r="E59" s="14" t="n"/>
      <c r="F59" s="16">
        <f>IF(D59="","",IF(D59="✅ Yes",100,IF(D59="⚠️ Partial",50,0)))</f>
        <v/>
      </c>
      <c r="G59" s="14" t="n"/>
    </row>
    <row r="60">
      <c r="A60" s="14" t="n"/>
      <c r="B60" s="14" t="n"/>
      <c r="C60" s="14" t="n"/>
      <c r="D60" s="14" t="n"/>
      <c r="E60" s="14" t="n"/>
      <c r="F60" s="16">
        <f>IF(D60="","",IF(D60="✅ Yes",100,IF(D60="⚠️ Partial",50,0)))</f>
        <v/>
      </c>
      <c r="G60" s="14" t="n"/>
    </row>
    <row r="61">
      <c r="A61" s="14" t="n"/>
      <c r="B61" s="14" t="n"/>
      <c r="C61" s="14" t="n"/>
      <c r="D61" s="14" t="n"/>
      <c r="E61" s="14" t="n"/>
      <c r="F61" s="16">
        <f>IF(D61="","",IF(D61="✅ Yes",100,IF(D61="⚠️ Partial",50,0)))</f>
        <v/>
      </c>
      <c r="G61" s="14" t="n"/>
    </row>
    <row r="62">
      <c r="A62" s="14" t="n"/>
      <c r="B62" s="14" t="n"/>
      <c r="C62" s="14" t="n"/>
      <c r="D62" s="14" t="n"/>
      <c r="E62" s="14" t="n"/>
      <c r="F62" s="16">
        <f>IF(D62="","",IF(D62="✅ Yes",100,IF(D62="⚠️ Partial",50,0)))</f>
        <v/>
      </c>
      <c r="G62" s="14" t="n"/>
    </row>
    <row r="63">
      <c r="A63" s="14" t="n"/>
      <c r="B63" s="14" t="n"/>
      <c r="C63" s="14" t="n"/>
      <c r="D63" s="14" t="n"/>
      <c r="E63" s="14" t="n"/>
      <c r="F63" s="16">
        <f>IF(D63="","",IF(D63="✅ Yes",100,IF(D63="⚠️ Partial",50,0)))</f>
        <v/>
      </c>
      <c r="G63" s="14" t="n"/>
    </row>
    <row r="65">
      <c r="E65" s="17" t="inlineStr">
        <is>
          <t>Overall Compliance Score:</t>
        </is>
      </c>
      <c r="F65" s="17">
        <f>AVERAGE(F6:F63)</f>
        <v/>
      </c>
    </row>
  </sheetData>
  <mergeCells count="2">
    <mergeCell ref="A2:G2"/>
    <mergeCell ref="A1:G1"/>
  </mergeCells>
  <dataValidations count="1">
    <dataValidation sqref="D5:D63" showDropDown="0" showInputMessage="0" showErrorMessage="0" allowBlank="1" type="list">
      <formula1>"✅ Yes,⚠️ Partial,❌ 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Security Architecture Review</t>
        </is>
      </c>
      <c r="C5" s="22" t="inlineStr">
        <is>
          <t>Policy Document</t>
        </is>
      </c>
      <c r="D5" s="22" t="inlineStr">
        <is>
          <t>Architecture review process documentation</t>
        </is>
      </c>
      <c r="E5" s="22" t="inlineStr">
        <is>
          <t>\\fileserver\policies\document.pdf</t>
        </is>
      </c>
      <c r="F5" s="22" t="inlineStr">
        <is>
          <t>15.01.2026</t>
        </is>
      </c>
      <c r="G5" s="22" t="inlineStr">
        <is>
          <t>Assessor Name</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25" t="inlineStr">
        <is>
          <t>SECURITY ARCHITECTURE REVIEW PROCESS — SUMMARY DASHBOARD</t>
        </is>
      </c>
    </row>
    <row r="2">
      <c r="A2" s="26" t="inlineStr">
        <is>
          <t>ISO/IEC 27001:2022 - Control A.8.27: Secure System Architecture and Engineering Principles</t>
        </is>
      </c>
    </row>
    <row r="4">
      <c r="A4" s="27" t="inlineStr">
        <is>
          <t>TABLE 1: ASSESSMENT AREA COMPLIANCE OVERVIEW</t>
        </is>
      </c>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Governance</t>
        </is>
      </c>
      <c r="B6" s="29">
        <f>COUNTA(Governance!A6:A55)</f>
        <v/>
      </c>
      <c r="C6" s="29">
        <f>COUNTIF('Governance'!D6:D55,"✅ Implemented")</f>
        <v/>
      </c>
      <c r="D6" s="29">
        <f>COUNTIF('Governance'!D6:D55,"⚠️ Partial")</f>
        <v/>
      </c>
      <c r="E6" s="29">
        <f>COUNTIF('Governance'!D6:D55,"❌ Not Implemented")</f>
        <v/>
      </c>
      <c r="F6" s="29">
        <f>B6-(C6+D6+E6)</f>
        <v/>
      </c>
      <c r="G6" s="29">
        <f>IF((B6-F6)=0,"0%",ROUND(C6/(B6-F6)*100,1)&amp;"%")</f>
        <v/>
      </c>
    </row>
    <row r="7">
      <c r="A7" s="29" t="inlineStr">
        <is>
          <t>Process</t>
        </is>
      </c>
      <c r="B7" s="29">
        <f>COUNTA(Process!A6:A55)</f>
        <v/>
      </c>
      <c r="C7" s="29">
        <f>COUNTIF('Process'!D6:D55,"✅ Yes")</f>
        <v/>
      </c>
      <c r="D7" s="29">
        <f>COUNTIF('Process'!D6:D55,"⚠️ Partial")</f>
        <v/>
      </c>
      <c r="E7" s="29">
        <f>COUNTIF('Process'!D6:D55,"❌ No")</f>
        <v/>
      </c>
      <c r="F7" s="29">
        <f>B7-(C7+D7+E7)</f>
        <v/>
      </c>
      <c r="G7" s="29">
        <f>IF((B7-F7)=0,"0%",ROUND(C7/(B7-F7)*100,1)&amp;"%")</f>
        <v/>
      </c>
    </row>
    <row r="8">
      <c r="A8" s="29" t="inlineStr">
        <is>
          <t>Templates</t>
        </is>
      </c>
      <c r="B8" s="29">
        <f>COUNTA(Templates!A5:A12)</f>
        <v/>
      </c>
      <c r="C8" s="29">
        <f>COUNTIF('Templates'!E5:E12,"5")</f>
        <v/>
      </c>
      <c r="D8" s="29">
        <f>COUNTIF('Templates'!E5:E12,"3")</f>
        <v/>
      </c>
      <c r="E8" s="29">
        <f>COUNTIF('Templates'!E5:E12,"1")</f>
        <v/>
      </c>
      <c r="F8" s="29">
        <f>B8-(C8+D8+E8)</f>
        <v/>
      </c>
      <c r="G8" s="29">
        <f>IF((B8-F8)=0,"0%",ROUND(C8/(B8-F8)*100,1)&amp;"%")</f>
        <v/>
      </c>
    </row>
    <row r="9">
      <c r="A9" s="29" t="inlineStr">
        <is>
          <t>Integration</t>
        </is>
      </c>
      <c r="B9" s="29">
        <f>COUNTA(Integration!A5:A12)</f>
        <v/>
      </c>
      <c r="C9" s="29">
        <f>COUNTIF('Integration'!D5:D12,"✅ Yes")</f>
        <v/>
      </c>
      <c r="D9" s="29">
        <f>COUNTIF('Integration'!D5:D12,"⚠️ Partial")</f>
        <v/>
      </c>
      <c r="E9" s="29">
        <f>COUNTIF('Integration'!D5:D12,"❌ No")</f>
        <v/>
      </c>
      <c r="F9" s="29">
        <f>B9-(C9+D9+E9)</f>
        <v/>
      </c>
      <c r="G9" s="29">
        <f>IF((B9-F9)=0,"0%",ROUND(C9/(B9-F9)*100,1)&amp;"%")</f>
        <v/>
      </c>
    </row>
    <row r="10">
      <c r="A10" s="29" t="inlineStr">
        <is>
          <t>Metrics</t>
        </is>
      </c>
      <c r="B10" s="29">
        <f>COUNTA(Metrics!A5:A14)</f>
        <v/>
      </c>
      <c r="C10" s="29">
        <f>COUNTIF('Metrics'!F5:F14,"Up")</f>
        <v/>
      </c>
      <c r="D10" s="29">
        <f>COUNTIF('Metrics'!F5:F14,"Stable")</f>
        <v/>
      </c>
      <c r="E10" s="29">
        <f>COUNTIF('Metrics'!F5:F14,"Down")</f>
        <v/>
      </c>
      <c r="F10" s="29">
        <f>B10-(C10+D10+E10)</f>
        <v/>
      </c>
      <c r="G10" s="29">
        <f>IF((B10-F10)=0,"0%",ROUND(C10/(B10-F10)*100,1)&amp;"%")</f>
        <v/>
      </c>
    </row>
    <row r="11">
      <c r="A11" s="29" t="inlineStr">
        <is>
          <t>Compliance</t>
        </is>
      </c>
      <c r="B11" s="29">
        <f>COUNTA(Compliance!A6:A63)</f>
        <v/>
      </c>
      <c r="C11" s="29">
        <f>COUNTIF('Compliance'!D6:D63,"✅ Yes")</f>
        <v/>
      </c>
      <c r="D11" s="29">
        <f>COUNTIF('Compliance'!D6:D63,"⚠️ Partial")</f>
        <v/>
      </c>
      <c r="E11" s="29">
        <f>COUNTIF('Compliance'!D6:D63,"❌ No")</f>
        <v/>
      </c>
      <c r="F11" s="29">
        <f>B11-(C11+D11+E11)</f>
        <v/>
      </c>
      <c r="G11" s="29">
        <f>IF((B11-F11)=0,"0%",ROUND(C11/(B11-F11)*100,1)&amp;"%")</f>
        <v/>
      </c>
    </row>
    <row r="12">
      <c r="A12" s="30" t="inlineStr">
        <is>
          <t>TOTAL</t>
        </is>
      </c>
      <c r="B12" s="30">
        <f>SUM(B6:B11)</f>
        <v/>
      </c>
      <c r="C12" s="30">
        <f>SUM(C6:C11)</f>
        <v/>
      </c>
      <c r="D12" s="30">
        <f>SUM(D6:D11)</f>
        <v/>
      </c>
      <c r="E12" s="30">
        <f>SUM(E6:E11)</f>
        <v/>
      </c>
      <c r="F12" s="30">
        <f>SUM(F6:F11)</f>
        <v/>
      </c>
      <c r="G12" s="31">
        <f>IF((B12-F12)=0,"0%",ROUND(C12/(B12-F12)*100,1)&amp;"%")</f>
        <v/>
      </c>
    </row>
    <row r="14">
      <c r="A14" s="32" t="inlineStr">
        <is>
          <t>TABLE 2: KEY METRICS</t>
        </is>
      </c>
    </row>
    <row r="15">
      <c r="A15" s="33" t="inlineStr">
        <is>
          <t>Metric</t>
        </is>
      </c>
      <c r="B15" s="34" t="inlineStr">
        <is>
          <t>Value</t>
        </is>
      </c>
      <c r="C15" s="33" t="inlineStr">
        <is>
          <t>What This Shows</t>
        </is>
      </c>
    </row>
    <row r="16">
      <c r="A16" s="29" t="inlineStr">
        <is>
          <t>Governance Gaps</t>
        </is>
      </c>
      <c r="B16" s="35">
        <f>COUNTIF(Governance!D6:D55,"❌ Not Implemented")</f>
        <v/>
      </c>
      <c r="C16" s="36" t="inlineStr">
        <is>
          <t>Governance elements not implemented (policy/framework deficiencies)</t>
        </is>
      </c>
      <c r="D16" s="6" t="n"/>
      <c r="E16" s="6" t="n"/>
      <c r="F16" s="6" t="n"/>
      <c r="G16" s="6" t="n"/>
    </row>
    <row r="17">
      <c r="A17" s="29" t="inlineStr">
        <is>
          <t>Incomplete Templates</t>
        </is>
      </c>
      <c r="B17" s="35">
        <f>COUNTIF(Templates!E5:E12,"&lt;3")</f>
        <v/>
      </c>
      <c r="C17" s="36" t="inlineStr">
        <is>
          <t>Templates rated below 3 (unusable/incomplete documentation)</t>
        </is>
      </c>
      <c r="D17" s="6" t="n"/>
      <c r="E17" s="6" t="n"/>
      <c r="F17" s="6" t="n"/>
      <c r="G17" s="6" t="n"/>
    </row>
    <row r="18">
      <c r="A18" s="29" t="inlineStr">
        <is>
          <t>Manual Integration Points</t>
        </is>
      </c>
      <c r="B18" s="35">
        <f>COUNTIF(Integration!D5:D12,"❌ No")</f>
        <v/>
      </c>
      <c r="C18" s="36" t="inlineStr">
        <is>
          <t>Integration points not automated (manual processes = security gaps)</t>
        </is>
      </c>
      <c r="D18" s="6" t="n"/>
      <c r="E18" s="6" t="n"/>
      <c r="F18" s="6" t="n"/>
      <c r="G18" s="6" t="n"/>
    </row>
    <row r="19">
      <c r="A19" s="29" t="inlineStr">
        <is>
          <t>Declining Metrics</t>
        </is>
      </c>
      <c r="B19" s="35">
        <f>COUNTIF(Metrics!F5:F14,"Down")</f>
        <v/>
      </c>
      <c r="C19" s="36" t="inlineStr">
        <is>
          <t>Metrics trending downward (negative performance trends)</t>
        </is>
      </c>
      <c r="D19" s="6" t="n"/>
      <c r="E19" s="6" t="n"/>
      <c r="F19" s="6" t="n"/>
      <c r="G19" s="6" t="n"/>
    </row>
    <row r="20">
      <c r="A20" s="29" t="inlineStr">
        <is>
          <t>Partial Implementations</t>
        </is>
      </c>
      <c r="B20" s="35">
        <f>COUNTIF(Governance!D6:D55,"⚠️ Partial")+COUNTIF(Process!D6:D55,"⚠️ Partial")+COUNTIF(Integration!D5:D12,"⚠️ Partial")</f>
        <v/>
      </c>
      <c r="C20" s="36" t="inlineStr">
        <is>
          <t>Controls partially implemented (incomplete protection)</t>
        </is>
      </c>
      <c r="D20" s="6" t="n"/>
      <c r="E20" s="6" t="n"/>
      <c r="F20" s="6" t="n"/>
      <c r="G20" s="6" t="n"/>
    </row>
    <row r="21">
      <c r="A21" s="29" t="inlineStr">
        <is>
          <t>Process Compliance Gaps</t>
        </is>
      </c>
      <c r="B21" s="35">
        <f>COUNTIF(Process!D6:D55,"❌ No")</f>
        <v/>
      </c>
      <c r="C21" s="36" t="inlineStr">
        <is>
          <t>Process controls not implemented (procedural deficiencies)</t>
        </is>
      </c>
      <c r="D21" s="6" t="n"/>
      <c r="E21" s="6" t="n"/>
      <c r="F21" s="6" t="n"/>
      <c r="G21" s="6" t="n"/>
    </row>
    <row r="22">
      <c r="A22" s="29" t="inlineStr">
        <is>
          <t>Low-Quality Templates</t>
        </is>
      </c>
      <c r="B22" s="35">
        <f>COUNTIF(Templates!E5:E12,"&lt;=2")</f>
        <v/>
      </c>
      <c r="C22" s="36" t="inlineStr">
        <is>
          <t>Templates rated 2 or below (poor quality documentation)</t>
        </is>
      </c>
      <c r="D22" s="6" t="n"/>
      <c r="E22" s="6" t="n"/>
      <c r="F22" s="6" t="n"/>
      <c r="G22" s="6" t="n"/>
    </row>
    <row r="23">
      <c r="A23" s="29" t="inlineStr">
        <is>
          <t>Overall Compliance Rate</t>
        </is>
      </c>
      <c r="B23" s="35">
        <f>'Summary Dashboard'!G12</f>
        <v/>
      </c>
      <c r="C23" s="36" t="inlineStr">
        <is>
          <t>Overall architecture review compliance percentage</t>
        </is>
      </c>
      <c r="D23" s="6" t="n"/>
      <c r="E23" s="6" t="n"/>
      <c r="F23" s="6" t="n"/>
      <c r="G23" s="6" t="n"/>
    </row>
    <row r="24">
      <c r="A24" s="6" t="n"/>
      <c r="B24" s="6" t="n"/>
      <c r="C24" s="6" t="n"/>
      <c r="D24" s="6" t="n"/>
      <c r="E24" s="6" t="n"/>
      <c r="F24" s="6" t="n"/>
      <c r="G24" s="6" t="n"/>
    </row>
    <row r="25">
      <c r="A25" s="6" t="n"/>
      <c r="B25" s="6" t="n"/>
      <c r="C25" s="6" t="n"/>
      <c r="D25" s="6" t="n"/>
      <c r="E25" s="6" t="n"/>
      <c r="F25" s="6" t="n"/>
      <c r="G25" s="6" t="n"/>
    </row>
    <row r="27">
      <c r="A27" s="37" t="inlineStr">
        <is>
          <t>TABLE 3: CRITICAL FINDINGS</t>
        </is>
      </c>
    </row>
    <row r="28">
      <c r="A28" s="33" t="inlineStr">
        <is>
          <t>Critical Finding Type</t>
        </is>
      </c>
      <c r="B28" s="34" t="inlineStr">
        <is>
          <t>Count</t>
        </is>
      </c>
      <c r="C28" s="33" t="inlineStr">
        <is>
          <t>Filter Instructions</t>
        </is>
      </c>
    </row>
    <row r="29">
      <c r="A29" s="38" t="inlineStr">
        <is>
          <t>Governance Gaps</t>
        </is>
      </c>
      <c r="B29" s="39">
        <f>COUNTIF(Governance!D6:D55,"❌ Not Implemented")</f>
        <v/>
      </c>
      <c r="C29" s="36" t="inlineStr">
        <is>
          <t>Filter Governance sheet: Status = "❌ Not Implemented"</t>
        </is>
      </c>
      <c r="D29" s="6" t="n"/>
      <c r="E29" s="6" t="n"/>
      <c r="F29" s="6" t="n"/>
      <c r="G29" s="6" t="n"/>
    </row>
    <row r="30">
      <c r="A30" s="38" t="inlineStr">
        <is>
          <t>Incomplete Templates</t>
        </is>
      </c>
      <c r="B30" s="39">
        <f>COUNTIF(Templates!E5:E12,"&lt;3")</f>
        <v/>
      </c>
      <c r="C30" s="36" t="inlineStr">
        <is>
          <t>Filter Templates sheet: Rating &lt; 3</t>
        </is>
      </c>
      <c r="D30" s="6" t="n"/>
      <c r="E30" s="6" t="n"/>
      <c r="F30" s="6" t="n"/>
      <c r="G30" s="6" t="n"/>
    </row>
    <row r="31">
      <c r="A31" s="38" t="inlineStr">
        <is>
          <t>Manual Integration Points</t>
        </is>
      </c>
      <c r="B31" s="39">
        <f>COUNTIF(Integration!D5:D12,"❌ No")</f>
        <v/>
      </c>
      <c r="C31" s="36" t="inlineStr">
        <is>
          <t>Filter Integration sheet: Automated = "❌ No"</t>
        </is>
      </c>
      <c r="D31" s="6" t="n"/>
      <c r="E31" s="6" t="n"/>
      <c r="F31" s="6" t="n"/>
      <c r="G31" s="6" t="n"/>
    </row>
    <row r="32">
      <c r="A32" s="38" t="inlineStr">
        <is>
          <t>Process Compliance Gaps</t>
        </is>
      </c>
      <c r="B32" s="39">
        <f>COUNTIF(Process!D6:D55,"❌ No")</f>
        <v/>
      </c>
      <c r="C32" s="36" t="inlineStr">
        <is>
          <t>Filter Process sheet: Status = "❌ No"</t>
        </is>
      </c>
      <c r="D32" s="6" t="n"/>
      <c r="E32" s="6" t="n"/>
      <c r="F32" s="6" t="n"/>
      <c r="G32" s="6" t="n"/>
    </row>
    <row r="33">
      <c r="A33" s="38" t="inlineStr">
        <is>
          <t>Declining Metrics</t>
        </is>
      </c>
      <c r="B33" s="39">
        <f>COUNTIF(Metrics!F5:F14,"Down")</f>
        <v/>
      </c>
      <c r="C33" s="36" t="inlineStr">
        <is>
          <t>Filter Metrics sheet: Trend = "Down"</t>
        </is>
      </c>
      <c r="D33" s="6" t="n"/>
      <c r="E33" s="6" t="n"/>
      <c r="F33" s="6" t="n"/>
      <c r="G33" s="6" t="n"/>
    </row>
    <row r="34">
      <c r="A34" s="40" t="inlineStr">
        <is>
          <t>TOTAL</t>
        </is>
      </c>
      <c r="B34" s="41">
        <f>SUM(B29:B33)</f>
        <v/>
      </c>
      <c r="C34" s="42" t="inlineStr">
        <is>
          <t>Total critical findings requiring immediate remediation</t>
        </is>
      </c>
      <c r="D34" s="6" t="n"/>
      <c r="E34" s="6" t="n"/>
      <c r="F34" s="6" t="n"/>
      <c r="G34" s="6" t="n"/>
    </row>
  </sheetData>
  <mergeCells count="23">
    <mergeCell ref="A14:G14"/>
    <mergeCell ref="C30:G30"/>
    <mergeCell ref="C34:G34"/>
    <mergeCell ref="C24:G24"/>
    <mergeCell ref="C15:G15"/>
    <mergeCell ref="C33:G33"/>
    <mergeCell ref="A4:G4"/>
    <mergeCell ref="C29:G29"/>
    <mergeCell ref="C20:G20"/>
    <mergeCell ref="C16:G16"/>
    <mergeCell ref="C25:G25"/>
    <mergeCell ref="C31:G31"/>
    <mergeCell ref="C22:G22"/>
    <mergeCell ref="C21:G21"/>
    <mergeCell ref="A1:G1"/>
    <mergeCell ref="C23:G23"/>
    <mergeCell ref="C17:G17"/>
    <mergeCell ref="A27:G27"/>
    <mergeCell ref="C32:G32"/>
    <mergeCell ref="C28:G28"/>
    <mergeCell ref="C19:G19"/>
    <mergeCell ref="A2:G2"/>
    <mergeCell ref="C18:G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3" t="inlineStr">
        <is>
          <t>ASSESSMENT APPROVAL AND SIGN-OFF</t>
        </is>
      </c>
      <c r="B1" s="6" t="n"/>
      <c r="C1" s="6" t="n"/>
      <c r="D1" s="6" t="n"/>
      <c r="E1" s="6" t="n"/>
    </row>
    <row r="2">
      <c r="A2" s="44" t="inlineStr">
        <is>
          <t>ISO/IEC 27001:2022 - Control A.8.27: Secure System Architecture and Engineering Principles</t>
        </is>
      </c>
      <c r="B2" s="6" t="n"/>
      <c r="C2" s="6" t="n"/>
      <c r="D2" s="6" t="n"/>
      <c r="E2" s="6" t="n"/>
    </row>
    <row r="3">
      <c r="A3" s="45" t="inlineStr">
        <is>
          <t>ASSESSMENT SUMMARY</t>
        </is>
      </c>
      <c r="B3" s="6" t="n"/>
      <c r="C3" s="6" t="n"/>
      <c r="D3" s="6" t="n"/>
      <c r="E3" s="6" t="n"/>
    </row>
    <row r="4">
      <c r="A4" s="46" t="inlineStr">
        <is>
          <t>Document:</t>
        </is>
      </c>
      <c r="B4" s="6" t="inlineStr">
        <is>
          <t>ISMS-IMP-A.8.27.1 - Security Architecture Review Process</t>
        </is>
      </c>
      <c r="C4" s="6" t="n"/>
      <c r="D4" s="6" t="n"/>
      <c r="E4" s="6" t="n"/>
    </row>
    <row r="5">
      <c r="A5" s="46" t="inlineStr">
        <is>
          <t>Assessment Period:</t>
        </is>
      </c>
      <c r="B5" s="47" t="inlineStr"/>
      <c r="C5" s="47" t="n"/>
      <c r="D5" s="47" t="n"/>
      <c r="E5" s="47" t="n"/>
    </row>
    <row r="6">
      <c r="A6" s="46" t="inlineStr">
        <is>
          <t>Overall Compliance Rating:</t>
        </is>
      </c>
      <c r="B6" s="6">
        <f>'Summary Dashboard'!G12</f>
        <v/>
      </c>
      <c r="C6" s="6" t="n"/>
      <c r="D6" s="6" t="n"/>
      <c r="E6" s="6" t="n"/>
    </row>
    <row r="7">
      <c r="A7" s="46" t="inlineStr">
        <is>
          <t>Assessment Status:</t>
        </is>
      </c>
      <c r="B7" s="47" t="inlineStr"/>
      <c r="C7" s="47" t="n"/>
      <c r="D7" s="47" t="n"/>
      <c r="E7" s="47" t="n"/>
    </row>
    <row r="8">
      <c r="A8" s="46" t="inlineStr">
        <is>
          <t>Assessed By:</t>
        </is>
      </c>
      <c r="B8" s="47" t="inlineStr"/>
      <c r="C8" s="47" t="n"/>
      <c r="D8" s="47" t="n"/>
      <c r="E8" s="47" t="n"/>
    </row>
    <row r="11">
      <c r="A11" s="45" t="inlineStr">
        <is>
          <t>COMPLETED BY (ASSESSOR)</t>
        </is>
      </c>
      <c r="B11" s="6" t="n"/>
      <c r="C11" s="6" t="n"/>
      <c r="D11" s="6" t="n"/>
      <c r="E11" s="6" t="n"/>
    </row>
    <row r="12">
      <c r="A12" s="46" t="inlineStr">
        <is>
          <t>Name:</t>
        </is>
      </c>
      <c r="B12" s="47" t="n"/>
      <c r="C12" s="47" t="n"/>
      <c r="D12" s="47" t="n"/>
      <c r="E12" s="47" t="n"/>
    </row>
    <row r="13">
      <c r="A13" s="46" t="inlineStr">
        <is>
          <t>Title:</t>
        </is>
      </c>
      <c r="B13" s="47" t="n"/>
      <c r="C13" s="47" t="n"/>
      <c r="D13" s="47" t="n"/>
      <c r="E13" s="47" t="n"/>
    </row>
    <row r="14">
      <c r="A14" s="46" t="inlineStr">
        <is>
          <t>Date:</t>
        </is>
      </c>
      <c r="B14" s="47" t="n"/>
      <c r="C14" s="47" t="n"/>
      <c r="D14" s="47" t="n"/>
      <c r="E14" s="47" t="n"/>
    </row>
    <row r="15">
      <c r="A15" s="46" t="inlineStr">
        <is>
          <t>Signature:</t>
        </is>
      </c>
      <c r="B15" s="47" t="n"/>
      <c r="C15" s="47" t="n"/>
      <c r="D15" s="47" t="n"/>
      <c r="E15" s="47" t="n"/>
    </row>
    <row r="16">
      <c r="A16" s="46" t="inlineStr">
        <is>
          <t>Comments:</t>
        </is>
      </c>
      <c r="B16" s="47" t="n"/>
      <c r="C16" s="47" t="n"/>
      <c r="D16" s="47" t="n"/>
      <c r="E16" s="47" t="n"/>
    </row>
    <row r="18">
      <c r="A18" s="45" t="inlineStr">
        <is>
          <t>REVIEWED BY (INFORMATION SECURITY OFFICER)</t>
        </is>
      </c>
      <c r="B18" s="6" t="n"/>
      <c r="C18" s="6" t="n"/>
      <c r="D18" s="6" t="n"/>
      <c r="E18" s="6" t="n"/>
    </row>
    <row r="19">
      <c r="A19" s="46" t="inlineStr">
        <is>
          <t>Name:</t>
        </is>
      </c>
      <c r="B19" s="47" t="n"/>
      <c r="C19" s="47" t="n"/>
      <c r="D19" s="47" t="n"/>
      <c r="E19" s="47" t="n"/>
    </row>
    <row r="20">
      <c r="A20" s="46" t="inlineStr">
        <is>
          <t>Title:</t>
        </is>
      </c>
      <c r="B20" s="47" t="n"/>
      <c r="C20" s="47" t="n"/>
      <c r="D20" s="47" t="n"/>
      <c r="E20" s="47" t="n"/>
    </row>
    <row r="21">
      <c r="A21" s="46" t="inlineStr">
        <is>
          <t>Date:</t>
        </is>
      </c>
      <c r="B21" s="47" t="n"/>
      <c r="C21" s="47" t="n"/>
      <c r="D21" s="47" t="n"/>
      <c r="E21" s="47" t="n"/>
    </row>
    <row r="22">
      <c r="A22" s="46" t="inlineStr">
        <is>
          <t>Signature:</t>
        </is>
      </c>
      <c r="B22" s="47" t="n"/>
      <c r="C22" s="47" t="n"/>
      <c r="D22" s="47" t="n"/>
      <c r="E22" s="47" t="n"/>
    </row>
    <row r="23">
      <c r="A23" s="46" t="inlineStr">
        <is>
          <t>Comments:</t>
        </is>
      </c>
      <c r="B23" s="47" t="n"/>
      <c r="C23" s="47" t="n"/>
      <c r="D23" s="47" t="n"/>
      <c r="E23" s="47" t="n"/>
    </row>
    <row r="25">
      <c r="A25" s="32" t="inlineStr">
        <is>
          <t>APPROVED BY (CISO)</t>
        </is>
      </c>
      <c r="B25" s="6" t="n"/>
      <c r="C25" s="6" t="n"/>
      <c r="D25" s="6" t="n"/>
      <c r="E25" s="6" t="n"/>
    </row>
    <row r="26">
      <c r="A26" s="46" t="inlineStr">
        <is>
          <t>Name:</t>
        </is>
      </c>
      <c r="B26" s="47" t="n"/>
      <c r="C26" s="47" t="n"/>
      <c r="D26" s="47" t="n"/>
      <c r="E26" s="47" t="n"/>
    </row>
    <row r="27">
      <c r="A27" s="46" t="inlineStr">
        <is>
          <t>Title:</t>
        </is>
      </c>
      <c r="B27" s="47" t="n"/>
      <c r="C27" s="47" t="n"/>
      <c r="D27" s="47" t="n"/>
      <c r="E27" s="47" t="n"/>
    </row>
    <row r="28">
      <c r="A28" s="46" t="inlineStr">
        <is>
          <t>Date:</t>
        </is>
      </c>
      <c r="B28" s="47" t="n"/>
      <c r="C28" s="47" t="n"/>
      <c r="D28" s="47" t="n"/>
      <c r="E28" s="47" t="n"/>
    </row>
    <row r="29">
      <c r="A29" s="46" t="inlineStr">
        <is>
          <t>Signature:</t>
        </is>
      </c>
      <c r="B29" s="47" t="n"/>
      <c r="C29" s="47" t="n"/>
      <c r="D29" s="47" t="n"/>
      <c r="E29" s="47" t="n"/>
    </row>
    <row r="30">
      <c r="A30" s="46" t="inlineStr">
        <is>
          <t>Comments:</t>
        </is>
      </c>
      <c r="B30" s="47" t="n"/>
      <c r="C30" s="47" t="n"/>
      <c r="D30" s="47" t="n"/>
      <c r="E30" s="47" t="n"/>
    </row>
    <row r="32">
      <c r="A32" s="40" t="inlineStr">
        <is>
          <t>FINAL DECISION:</t>
        </is>
      </c>
      <c r="B32" s="47" t="n"/>
      <c r="C32" s="47" t="n"/>
      <c r="D32" s="47" t="n"/>
      <c r="E32" s="47" t="n"/>
    </row>
    <row r="35">
      <c r="A35" s="45" t="inlineStr">
        <is>
          <t>NEXT REVIEW DETAILS</t>
        </is>
      </c>
      <c r="B35" s="6" t="n"/>
      <c r="C35" s="6" t="n"/>
      <c r="D35" s="6" t="n"/>
      <c r="E35" s="6" t="n"/>
    </row>
    <row r="36">
      <c r="A36" s="46" t="inlineStr">
        <is>
          <t>Next Review Date:</t>
        </is>
      </c>
      <c r="B36" s="47" t="n"/>
      <c r="C36" s="47" t="n"/>
      <c r="D36" s="47" t="n"/>
      <c r="E36" s="47" t="n"/>
    </row>
    <row r="37">
      <c r="A37" s="46" t="inlineStr">
        <is>
          <t>Review Responsible:</t>
        </is>
      </c>
      <c r="B37" s="47" t="n"/>
      <c r="C37" s="47" t="n"/>
      <c r="D37" s="47" t="n"/>
      <c r="E37" s="47" t="n"/>
    </row>
    <row r="38">
      <c r="A38" s="46" t="inlineStr">
        <is>
          <t>Special Considerations:</t>
        </is>
      </c>
      <c r="B38" s="47" t="n"/>
      <c r="C38" s="47" t="n"/>
      <c r="D38" s="47" t="n"/>
      <c r="E38" s="47"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ISMS-IMP-A.8.27.1 — Security Architecture Review Process</dc:title>
  <dc:description xmlns:dc="http://purl.org/dc/elements/1.1/">ISMS Implementation Workbook — ISMS-IMP-A.8.27.1</dc:description>
  <dc:subject xmlns:dc="http://purl.org/dc/elements/1.1/">ISO/IEC 27001:2022 — Control A.8.27: Secure System Architecture and Engineering Principles</dc:subject>
  <dcterms:created xmlns:dcterms="http://purl.org/dc/terms/" xmlns:xsi="http://www.w3.org/2001/XMLSchema-instance" xsi:type="dcterms:W3CDTF">2026-03-10T18:49:36Z</dcterms:created>
  <dcterms:modified xmlns:dcterms="http://purl.org/dc/terms/" xmlns:xsi="http://www.w3.org/2001/XMLSchema-instance" xsi:type="dcterms:W3CDTF">2026-03-10T18:49:36Z</dcterms:modified>
</cp:coreProperties>
</file>