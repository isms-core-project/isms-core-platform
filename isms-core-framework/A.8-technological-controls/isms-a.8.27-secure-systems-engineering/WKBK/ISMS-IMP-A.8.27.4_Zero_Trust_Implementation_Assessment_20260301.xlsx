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trategy" sheetId="2" state="visible" r:id="rId2"/>
    <sheet xmlns:r="http://schemas.openxmlformats.org/officeDocument/2006/relationships" name="Identity" sheetId="3" state="visible" r:id="rId3"/>
    <sheet xmlns:r="http://schemas.openxmlformats.org/officeDocument/2006/relationships" name="Device" sheetId="4" state="visible" r:id="rId4"/>
    <sheet xmlns:r="http://schemas.openxmlformats.org/officeDocument/2006/relationships" name="Network" sheetId="5" state="visible" r:id="rId5"/>
    <sheet xmlns:r="http://schemas.openxmlformats.org/officeDocument/2006/relationships" name="Workload" sheetId="6" state="visible" r:id="rId6"/>
    <sheet xmlns:r="http://schemas.openxmlformats.org/officeDocument/2006/relationships" name="Data" sheetId="7" state="visible" r:id="rId7"/>
    <sheet xmlns:r="http://schemas.openxmlformats.org/officeDocument/2006/relationships" name="Visibility" sheetId="8" state="visible" r:id="rId8"/>
    <sheet xmlns:r="http://schemas.openxmlformats.org/officeDocument/2006/relationships" name="Automation" sheetId="9" state="visible" r:id="rId9"/>
    <sheet xmlns:r="http://schemas.openxmlformats.org/officeDocument/2006/relationships" name="Compliance"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name val="Calibri"/>
      <i val="1"/>
      <sz val="11"/>
    </font>
    <font>
      <name val="Calibri"/>
      <sz val="11"/>
    </font>
    <font>
      <name val="Calibri"/>
      <b val="1"/>
      <color rgb="00FFFFFF"/>
      <sz val="11"/>
    </font>
    <font>
      <name val="Calibri"/>
      <i val="1"/>
      <sz val="10"/>
    </font>
    <font>
      <name val="Calibri"/>
      <b val="1"/>
      <color rgb="00FFFFFF"/>
      <sz val="10"/>
    </font>
    <font>
      <name val="Calibri"/>
      <sz val="10"/>
    </font>
    <font>
      <name val="Calibri"/>
      <i val="1"/>
      <color rgb="00003366"/>
      <sz val="10"/>
    </font>
    <font>
      <name val="Calibri"/>
      <b val="1"/>
      <color rgb="00000000"/>
      <sz val="10"/>
    </font>
    <font>
      <name val="Calibri"/>
      <b val="1"/>
      <sz val="11"/>
    </font>
    <font>
      <name val="Calibri"/>
      <b val="1"/>
      <color rgb="00000000"/>
      <sz val="12"/>
    </font>
    <font>
      <name val="Calibri"/>
      <sz val="9"/>
    </font>
    <font>
      <name val="Calibri"/>
      <i val="1"/>
      <sz val="9"/>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10" borderId="1" applyAlignment="1" pivotButton="0" quotePrefix="0" xfId="0">
      <alignment horizontal="center" vertical="center"/>
    </xf>
    <xf numFmtId="0" fontId="8" fillId="11"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 fillId="8" borderId="0" applyAlignment="1" pivotButton="0" quotePrefix="0" xfId="0">
      <alignment horizontal="center" vertical="center" wrapText="1"/>
    </xf>
    <xf numFmtId="0" fontId="12" fillId="0" borderId="0" pivotButton="0" quotePrefix="0" xfId="0"/>
    <xf numFmtId="0" fontId="8" fillId="8" borderId="0" pivotButton="0" quotePrefix="0" xfId="0"/>
    <xf numFmtId="0" fontId="13" fillId="12" borderId="1" applyAlignment="1" pivotButton="0" quotePrefix="0" xfId="0">
      <alignment horizontal="center" vertical="center" wrapText="1"/>
    </xf>
    <xf numFmtId="0" fontId="7" fillId="0" borderId="1" applyAlignment="1" pivotButton="0" quotePrefix="0" xfId="0">
      <alignment horizontal="center" vertical="center"/>
    </xf>
    <xf numFmtId="0" fontId="14" fillId="12" borderId="1" pivotButton="0" quotePrefix="0" xfId="0"/>
    <xf numFmtId="0" fontId="14" fillId="12" borderId="1" applyAlignment="1" pivotButton="0" quotePrefix="0" xfId="0">
      <alignment horizontal="center" vertical="center"/>
    </xf>
    <xf numFmtId="0" fontId="15" fillId="12" borderId="1" applyAlignment="1" pivotButton="0" quotePrefix="0" xfId="0">
      <alignment horizontal="center" vertical="center"/>
    </xf>
    <xf numFmtId="0" fontId="8" fillId="8" borderId="1" pivotButton="0" quotePrefix="0" xfId="0"/>
    <xf numFmtId="0" fontId="4" fillId="12" borderId="1" pivotButton="0" quotePrefix="0" xfId="0"/>
    <xf numFmtId="0" fontId="4" fillId="12" borderId="1" applyAlignment="1" pivotButton="0" quotePrefix="0" xfId="0">
      <alignment horizontal="center"/>
    </xf>
    <xf numFmtId="0" fontId="7" fillId="0" borderId="1" pivotButton="0" quotePrefix="0" xfId="0"/>
    <xf numFmtId="0" fontId="7" fillId="0" borderId="1" applyAlignment="1" pivotButton="0" quotePrefix="0" xfId="0">
      <alignment horizontal="center"/>
    </xf>
    <xf numFmtId="0" fontId="16" fillId="0" borderId="1" pivotButton="0" quotePrefix="0" xfId="0"/>
    <xf numFmtId="0" fontId="8" fillId="13" borderId="1" pivotButton="0" quotePrefix="0" xfId="0"/>
    <xf numFmtId="0" fontId="7" fillId="10" borderId="1" pivotButton="0" quotePrefix="0" xfId="0"/>
    <xf numFmtId="0" fontId="7" fillId="10" borderId="1" applyAlignment="1" pivotButton="0" quotePrefix="0" xfId="0">
      <alignment horizontal="center"/>
    </xf>
    <xf numFmtId="0" fontId="14" fillId="0" borderId="1" pivotButton="0" quotePrefix="0" xfId="0"/>
    <xf numFmtId="0" fontId="14" fillId="14" borderId="1" applyAlignment="1" pivotButton="0" quotePrefix="0" xfId="0">
      <alignment horizontal="center"/>
    </xf>
    <xf numFmtId="0" fontId="17" fillId="0" borderId="1"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8" fillId="11" borderId="1" applyAlignment="1" pivotButton="0" quotePrefix="0" xfId="0">
      <alignment horizontal="left" vertical="center"/>
    </xf>
    <xf numFmtId="0" fontId="4" fillId="0" borderId="1" pivotButton="0" quotePrefix="0" xfId="0"/>
    <xf numFmtId="0" fontId="0" fillId="10" borderId="1" pivotButton="0" quotePrefix="0" xfId="0"/>
    <xf numFmtId="0" fontId="8"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ISMS-IMP-A.8.27.4  -  Zero Trust Implementation Assessment
ISO/IEC 27001:2022 - Control A.8.27: Secure System Architecture and Engineering Principles</t>
        </is>
      </c>
    </row>
    <row r="3">
      <c r="A3" s="2" t="inlineStr">
        <is>
          <t>Document Information</t>
        </is>
      </c>
    </row>
    <row r="4">
      <c r="A4" s="3" t="inlineStr">
        <is>
          <t>Document ID</t>
        </is>
      </c>
      <c r="B4" t="inlineStr">
        <is>
          <t>ISMS-IMP-A.8.27.4</t>
        </is>
      </c>
    </row>
    <row r="5">
      <c r="A5" s="3" t="inlineStr">
        <is>
          <t>Workbook Title</t>
        </is>
      </c>
      <c r="B5" t="inlineStr">
        <is>
          <t>Zero Trust Implementation Assessment</t>
        </is>
      </c>
    </row>
    <row r="6">
      <c r="A6" s="3" t="inlineStr">
        <is>
          <t>Control Reference</t>
        </is>
      </c>
      <c r="B6" t="inlineStr">
        <is>
          <t>ISO/IEC 27001:2022 - Control A.8.27: Secure System Architecture and Engineering Principles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Strategy sheet to assess executive sponsorship and roadmap for Zero Trust adoption.</t>
        </is>
      </c>
    </row>
    <row r="14">
      <c r="A14" t="inlineStr">
        <is>
          <t>2. Complete the Identity sheet to evaluate authentication, authorisation, and identity lifecycle maturity.</t>
        </is>
      </c>
    </row>
    <row r="15">
      <c r="A15" t="inlineStr">
        <is>
          <t>3. Complete the Device sheet to assess device inventory, compliance, and endpoint detection capabilities.</t>
        </is>
      </c>
    </row>
    <row r="16">
      <c r="A16" t="inlineStr">
        <is>
          <t>4. Complete the Network sheet to evaluate segmentation, encryption, and ZTNA implementation.</t>
        </is>
      </c>
    </row>
    <row r="17">
      <c r="A17" t="inlineStr">
        <is>
          <t>5. Complete the Workload sheet to assess workload identity, isolation, and DevSecOps maturity.</t>
        </is>
      </c>
    </row>
    <row r="18">
      <c r="A18" t="inlineStr">
        <is>
          <t>6. Complete the Data sheet to evaluate classification, encryption, and data loss prevention controls.</t>
        </is>
      </c>
    </row>
    <row r="19">
      <c r="A19" t="inlineStr">
        <is>
          <t>7. Complete the Visibility sheet to assess logging, SIEM, and behavioural analytics capabilities.</t>
        </is>
      </c>
    </row>
    <row r="20">
      <c r="A20" t="inlineStr">
        <is>
          <t>8. Complete the Automation sheet to evaluate policy automation and orchestrated response maturity.</t>
        </is>
      </c>
    </row>
    <row r="21">
      <c r="A21" t="inlineStr">
        <is>
          <t>9. Complete the Compliance sheet to verify policy compliance against POL-A.8.27 requirements.</t>
        </is>
      </c>
    </row>
    <row r="22">
      <c r="A22" t="inlineStr">
        <is>
          <t>10. Record all supporting evidence in the Evidence Register sheet.</t>
        </is>
      </c>
    </row>
    <row r="23">
      <c r="A23" t="inlineStr">
        <is>
          <t>11. Review the Summary Dashboard for overall compliance status.</t>
        </is>
      </c>
    </row>
    <row r="24">
      <c r="A24" t="inlineStr">
        <is>
          <t>12. Submit for review and approval via the Approval Sign-Off sheet.</t>
        </is>
      </c>
    </row>
    <row r="26">
      <c r="A26" s="2" t="inlineStr">
        <is>
          <t>Status Legend</t>
        </is>
      </c>
    </row>
    <row r="27">
      <c r="A27" s="5" t="inlineStr">
        <is>
          <t>Symbol</t>
        </is>
      </c>
      <c r="B27" s="5" t="inlineStr">
        <is>
          <t>Status</t>
        </is>
      </c>
      <c r="C27" s="5" t="inlineStr">
        <is>
          <t>Description</t>
        </is>
      </c>
    </row>
    <row r="28">
      <c r="A28" s="6" t="inlineStr">
        <is>
          <t>✓</t>
        </is>
      </c>
      <c r="B28" s="7" t="inlineStr">
        <is>
          <t>Compliant / Complete</t>
        </is>
      </c>
      <c r="C28" s="8" t="inlineStr">
        <is>
          <t>Requirement fully met</t>
        </is>
      </c>
    </row>
    <row r="29">
      <c r="A29" s="6" t="inlineStr">
        <is>
          <t>⚠</t>
        </is>
      </c>
      <c r="B29" s="9" t="inlineStr">
        <is>
          <t>Partial / In Progress</t>
        </is>
      </c>
      <c r="C29" s="8" t="inlineStr">
        <is>
          <t>Partially met or in progress</t>
        </is>
      </c>
    </row>
    <row r="30">
      <c r="A30" s="6" t="inlineStr">
        <is>
          <t>✗</t>
        </is>
      </c>
      <c r="B30" s="10" t="inlineStr">
        <is>
          <t>Non-Compliant / Not Started</t>
        </is>
      </c>
      <c r="C30" s="8" t="inlineStr">
        <is>
          <t>Requirement not met</t>
        </is>
      </c>
    </row>
    <row r="31">
      <c r="A31" s="6" t="inlineStr">
        <is>
          <t>—</t>
        </is>
      </c>
      <c r="B31" s="8" t="inlineStr">
        <is>
          <t>Not Applicable</t>
        </is>
      </c>
      <c r="C31"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5"/>
  <sheetViews>
    <sheetView showGridLines="0" workbookViewId="0">
      <pane ySplit="5" topLeftCell="A6" activePane="bottomLeft" state="frozen"/>
      <selection pane="bottomLeft" activeCell="A1" sqref="A1"/>
    </sheetView>
  </sheetViews>
  <sheetFormatPr baseColWidth="8" defaultRowHeight="15"/>
  <cols>
    <col width="10" customWidth="1" min="1" max="1"/>
    <col width="35" customWidth="1" min="2" max="2"/>
    <col width="15" customWidth="1" min="3" max="3"/>
    <col width="30" customWidth="1" min="4" max="4"/>
    <col width="30" customWidth="1" min="5" max="5"/>
    <col width="20" customWidth="1" min="6" max="6"/>
    <col width="25" customWidth="1" min="7" max="7"/>
  </cols>
  <sheetData>
    <row r="1" ht="35" customHeight="1">
      <c r="A1" s="11" t="inlineStr">
        <is>
          <t>ZERO TRUST - STRATEGY ASSESSMENT</t>
        </is>
      </c>
    </row>
    <row r="2">
      <c r="A2" s="12" t="inlineStr">
        <is>
          <t>Assess organisational strategy, executive sponsorship, and governance for Zero Trust adoption</t>
        </is>
      </c>
      <c r="B2" s="6" t="n"/>
      <c r="C2" s="6" t="n"/>
      <c r="D2" s="6" t="n"/>
      <c r="E2" s="6" t="n"/>
      <c r="F2" s="6" t="n"/>
      <c r="G2" s="6" t="n"/>
    </row>
    <row r="4">
      <c r="A4" s="11" t="inlineStr">
        <is>
          <t>Strat-ID</t>
        </is>
      </c>
      <c r="B4" s="11" t="inlineStr">
        <is>
          <t>Element</t>
        </is>
      </c>
      <c r="C4" s="11" t="inlineStr">
        <is>
          <t>Status</t>
        </is>
      </c>
      <c r="D4" s="11" t="inlineStr">
        <is>
          <t>Evidence</t>
        </is>
      </c>
      <c r="E4" s="11" t="inlineStr">
        <is>
          <t>Gap</t>
        </is>
      </c>
      <c r="F4" s="11" t="inlineStr">
        <is>
          <t>Owner</t>
        </is>
      </c>
      <c r="G4" s="11" t="inlineStr">
        <is>
          <t>Notes</t>
        </is>
      </c>
    </row>
    <row r="5">
      <c r="A5" s="13" t="inlineStr">
        <is>
          <t>STRAT-001</t>
        </is>
      </c>
      <c r="B5" s="13" t="inlineStr">
        <is>
          <t>Executive sponsorship for Zero Trust</t>
        </is>
      </c>
      <c r="C5" s="13" t="inlineStr">
        <is>
          <t>✅ Yes</t>
        </is>
      </c>
      <c r="D5" s="13" t="inlineStr">
        <is>
          <t>Board approval documentation</t>
        </is>
      </c>
      <c r="E5" s="13" t="inlineStr">
        <is>
          <t>None identified</t>
        </is>
      </c>
      <c r="F5" s="13" t="inlineStr">
        <is>
          <t>CTO</t>
        </is>
      </c>
      <c r="G5" s="13" t="inlineStr">
        <is>
          <t>Zero Trust strategy approved</t>
        </is>
      </c>
    </row>
    <row r="6">
      <c r="A6" s="14" t="n"/>
      <c r="B6" s="14" t="n"/>
      <c r="C6" s="14" t="n"/>
      <c r="D6" s="14" t="n"/>
      <c r="E6" s="14" t="n"/>
      <c r="F6" s="14" t="n"/>
      <c r="G6" s="14" t="n"/>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4" t="n"/>
      <c r="B15" s="14" t="n"/>
      <c r="C15" s="14" t="n"/>
      <c r="D15" s="14" t="n"/>
      <c r="E15" s="14" t="n"/>
      <c r="F15" s="14" t="n"/>
      <c r="G15" s="14" t="n"/>
    </row>
    <row r="16">
      <c r="A16" s="14" t="n"/>
      <c r="B16" s="14" t="n"/>
      <c r="C16" s="14" t="n"/>
      <c r="D16" s="14" t="n"/>
      <c r="E16" s="14" t="n"/>
      <c r="F16" s="14" t="n"/>
      <c r="G16" s="14" t="n"/>
    </row>
    <row r="17">
      <c r="A17" s="14" t="n"/>
      <c r="B17" s="14" t="n"/>
      <c r="C17" s="14" t="n"/>
      <c r="D17" s="14" t="n"/>
      <c r="E17" s="14" t="n"/>
      <c r="F17" s="14" t="n"/>
      <c r="G17" s="14" t="n"/>
    </row>
    <row r="18">
      <c r="A18" s="14" t="n"/>
      <c r="B18" s="14" t="n"/>
      <c r="C18" s="14" t="n"/>
      <c r="D18" s="14" t="n"/>
      <c r="E18" s="14" t="n"/>
      <c r="F18" s="14" t="n"/>
      <c r="G18" s="14" t="n"/>
    </row>
    <row r="19">
      <c r="A19" s="14" t="n"/>
      <c r="B19" s="14" t="n"/>
      <c r="C19" s="14" t="n"/>
      <c r="D19" s="14" t="n"/>
      <c r="E19" s="14" t="n"/>
      <c r="F19" s="14" t="n"/>
      <c r="G19" s="14" t="n"/>
    </row>
    <row r="20">
      <c r="A20" s="14" t="n"/>
      <c r="B20" s="14" t="n"/>
      <c r="C20" s="14" t="n"/>
      <c r="D20" s="14" t="n"/>
      <c r="E20" s="14" t="n"/>
      <c r="F20" s="14" t="n"/>
      <c r="G20" s="14" t="n"/>
    </row>
    <row r="21">
      <c r="A21" s="14" t="n"/>
      <c r="B21" s="14" t="n"/>
      <c r="C21" s="14" t="n"/>
      <c r="D21" s="14" t="n"/>
      <c r="E21" s="14" t="n"/>
      <c r="F21" s="14" t="n"/>
      <c r="G21" s="14" t="n"/>
    </row>
    <row r="22">
      <c r="A22" s="14" t="n"/>
      <c r="B22" s="14" t="n"/>
      <c r="C22" s="14" t="n"/>
      <c r="D22" s="14" t="n"/>
      <c r="E22" s="14" t="n"/>
      <c r="F22" s="14" t="n"/>
      <c r="G22" s="14" t="n"/>
    </row>
    <row r="23">
      <c r="A23" s="14" t="n"/>
      <c r="B23" s="14" t="n"/>
      <c r="C23" s="14" t="n"/>
      <c r="D23" s="14" t="n"/>
      <c r="E23" s="14" t="n"/>
      <c r="F23" s="14" t="n"/>
      <c r="G23" s="14" t="n"/>
    </row>
    <row r="24">
      <c r="A24" s="14" t="n"/>
      <c r="B24" s="14" t="n"/>
      <c r="C24" s="14" t="n"/>
      <c r="D24" s="14" t="n"/>
      <c r="E24" s="14" t="n"/>
      <c r="F24" s="14" t="n"/>
      <c r="G24" s="14" t="n"/>
    </row>
    <row r="25">
      <c r="A25" s="14" t="n"/>
      <c r="B25" s="14" t="n"/>
      <c r="C25" s="14" t="n"/>
      <c r="D25" s="14" t="n"/>
      <c r="E25" s="14" t="n"/>
      <c r="F25" s="14" t="n"/>
      <c r="G25" s="14" t="n"/>
    </row>
    <row r="26">
      <c r="A26" s="14" t="n"/>
      <c r="B26" s="14" t="n"/>
      <c r="C26" s="14" t="n"/>
      <c r="D26" s="14" t="n"/>
      <c r="E26" s="14" t="n"/>
      <c r="F26" s="14" t="n"/>
      <c r="G26" s="14" t="n"/>
    </row>
    <row r="27">
      <c r="A27" s="14" t="n"/>
      <c r="B27" s="14" t="n"/>
      <c r="C27" s="14" t="n"/>
      <c r="D27" s="14" t="n"/>
      <c r="E27" s="14" t="n"/>
      <c r="F27" s="14" t="n"/>
      <c r="G27" s="14" t="n"/>
    </row>
    <row r="28">
      <c r="A28" s="14" t="n"/>
      <c r="B28" s="14" t="n"/>
      <c r="C28" s="14" t="n"/>
      <c r="D28" s="14" t="n"/>
      <c r="E28" s="14" t="n"/>
      <c r="F28" s="14" t="n"/>
      <c r="G28" s="14" t="n"/>
    </row>
    <row r="29">
      <c r="A29" s="14" t="n"/>
      <c r="B29" s="14" t="n"/>
      <c r="C29" s="14" t="n"/>
      <c r="D29" s="14" t="n"/>
      <c r="E29" s="14" t="n"/>
      <c r="F29" s="14" t="n"/>
      <c r="G29" s="14" t="n"/>
    </row>
    <row r="30">
      <c r="A30" s="14" t="n"/>
      <c r="B30" s="14" t="n"/>
      <c r="C30" s="14" t="n"/>
      <c r="D30" s="14" t="n"/>
      <c r="E30" s="14" t="n"/>
      <c r="F30" s="14" t="n"/>
      <c r="G30" s="14" t="n"/>
    </row>
    <row r="31">
      <c r="A31" s="14" t="n"/>
      <c r="B31" s="14" t="n"/>
      <c r="C31" s="14" t="n"/>
      <c r="D31" s="14" t="n"/>
      <c r="E31" s="14" t="n"/>
      <c r="F31" s="14" t="n"/>
      <c r="G31" s="14" t="n"/>
    </row>
    <row r="32">
      <c r="A32" s="14" t="n"/>
      <c r="B32" s="14" t="n"/>
      <c r="C32" s="14" t="n"/>
      <c r="D32" s="14" t="n"/>
      <c r="E32" s="14" t="n"/>
      <c r="F32" s="14" t="n"/>
      <c r="G32" s="14" t="n"/>
    </row>
    <row r="33">
      <c r="A33" s="14" t="n"/>
      <c r="B33" s="14" t="n"/>
      <c r="C33" s="14" t="n"/>
      <c r="D33" s="14" t="n"/>
      <c r="E33" s="14" t="n"/>
      <c r="F33" s="14" t="n"/>
      <c r="G33" s="14" t="n"/>
    </row>
    <row r="34">
      <c r="A34" s="14" t="n"/>
      <c r="B34" s="14" t="n"/>
      <c r="C34" s="14" t="n"/>
      <c r="D34" s="14" t="n"/>
      <c r="E34" s="14" t="n"/>
      <c r="F34" s="14" t="n"/>
      <c r="G34" s="14" t="n"/>
    </row>
    <row r="35">
      <c r="A35" s="14" t="n"/>
      <c r="B35" s="14" t="n"/>
      <c r="C35" s="14" t="n"/>
      <c r="D35" s="14" t="n"/>
      <c r="E35" s="14" t="n"/>
      <c r="F35" s="14" t="n"/>
      <c r="G35" s="14" t="n"/>
    </row>
    <row r="36">
      <c r="A36" s="14" t="n"/>
      <c r="B36" s="14" t="n"/>
      <c r="C36" s="14" t="n"/>
      <c r="D36" s="14" t="n"/>
      <c r="E36" s="14" t="n"/>
      <c r="F36" s="14" t="n"/>
      <c r="G36" s="14" t="n"/>
    </row>
    <row r="37">
      <c r="A37" s="14" t="n"/>
      <c r="B37" s="14" t="n"/>
      <c r="C37" s="14" t="n"/>
      <c r="D37" s="14" t="n"/>
      <c r="E37" s="14" t="n"/>
      <c r="F37" s="14" t="n"/>
      <c r="G37" s="14" t="n"/>
    </row>
    <row r="38">
      <c r="A38" s="14" t="n"/>
      <c r="B38" s="14" t="n"/>
      <c r="C38" s="14" t="n"/>
      <c r="D38" s="14" t="n"/>
      <c r="E38" s="14" t="n"/>
      <c r="F38" s="14" t="n"/>
      <c r="G38" s="14" t="n"/>
    </row>
    <row r="39">
      <c r="A39" s="14" t="n"/>
      <c r="B39" s="14" t="n"/>
      <c r="C39" s="14" t="n"/>
      <c r="D39" s="14" t="n"/>
      <c r="E39" s="14" t="n"/>
      <c r="F39" s="14" t="n"/>
      <c r="G39" s="14" t="n"/>
    </row>
    <row r="40">
      <c r="A40" s="14" t="n"/>
      <c r="B40" s="14" t="n"/>
      <c r="C40" s="14" t="n"/>
      <c r="D40" s="14" t="n"/>
      <c r="E40" s="14" t="n"/>
      <c r="F40" s="14" t="n"/>
      <c r="G40" s="14" t="n"/>
    </row>
    <row r="41">
      <c r="A41" s="14" t="n"/>
      <c r="B41" s="14" t="n"/>
      <c r="C41" s="14" t="n"/>
      <c r="D41" s="14" t="n"/>
      <c r="E41" s="14" t="n"/>
      <c r="F41" s="14" t="n"/>
      <c r="G41" s="14" t="n"/>
    </row>
    <row r="42">
      <c r="A42" s="14" t="n"/>
      <c r="B42" s="14" t="n"/>
      <c r="C42" s="14" t="n"/>
      <c r="D42" s="14" t="n"/>
      <c r="E42" s="14" t="n"/>
      <c r="F42" s="14" t="n"/>
      <c r="G42" s="14" t="n"/>
    </row>
    <row r="43">
      <c r="A43" s="14" t="n"/>
      <c r="B43" s="14" t="n"/>
      <c r="C43" s="14" t="n"/>
      <c r="D43" s="14" t="n"/>
      <c r="E43" s="14" t="n"/>
      <c r="F43" s="14" t="n"/>
      <c r="G43" s="14" t="n"/>
    </row>
    <row r="44">
      <c r="A44" s="14" t="n"/>
      <c r="B44" s="14" t="n"/>
      <c r="C44" s="14" t="n"/>
      <c r="D44" s="14" t="n"/>
      <c r="E44" s="14" t="n"/>
      <c r="F44" s="14" t="n"/>
      <c r="G44" s="14" t="n"/>
    </row>
    <row r="45">
      <c r="A45" s="14" t="n"/>
      <c r="B45" s="14" t="n"/>
      <c r="C45" s="14" t="n"/>
      <c r="D45" s="14" t="n"/>
      <c r="E45" s="14" t="n"/>
      <c r="F45" s="14" t="n"/>
      <c r="G45" s="14" t="n"/>
    </row>
    <row r="46">
      <c r="A46" s="14" t="n"/>
      <c r="B46" s="14" t="n"/>
      <c r="C46" s="14" t="n"/>
      <c r="D46" s="14" t="n"/>
      <c r="E46" s="14" t="n"/>
      <c r="F46" s="14" t="n"/>
      <c r="G46" s="14" t="n"/>
    </row>
    <row r="47">
      <c r="A47" s="14" t="n"/>
      <c r="B47" s="14" t="n"/>
      <c r="C47" s="14" t="n"/>
      <c r="D47" s="14" t="n"/>
      <c r="E47" s="14" t="n"/>
      <c r="F47" s="14" t="n"/>
      <c r="G47" s="14" t="n"/>
    </row>
    <row r="48">
      <c r="A48" s="14" t="n"/>
      <c r="B48" s="14" t="n"/>
      <c r="C48" s="14" t="n"/>
      <c r="D48" s="14" t="n"/>
      <c r="E48" s="14" t="n"/>
      <c r="F48" s="14" t="n"/>
      <c r="G48" s="14" t="n"/>
    </row>
    <row r="49">
      <c r="A49" s="14" t="n"/>
      <c r="B49" s="14" t="n"/>
      <c r="C49" s="14" t="n"/>
      <c r="D49" s="14" t="n"/>
      <c r="E49" s="14" t="n"/>
      <c r="F49" s="14" t="n"/>
      <c r="G49" s="14" t="n"/>
    </row>
    <row r="50">
      <c r="A50" s="14" t="n"/>
      <c r="B50" s="14" t="n"/>
      <c r="C50" s="14" t="n"/>
      <c r="D50" s="14" t="n"/>
      <c r="E50" s="14" t="n"/>
      <c r="F50" s="14" t="n"/>
      <c r="G50" s="14" t="n"/>
    </row>
    <row r="51">
      <c r="A51" s="14" t="n"/>
      <c r="B51" s="14" t="n"/>
      <c r="C51" s="14" t="n"/>
      <c r="D51" s="14" t="n"/>
      <c r="E51" s="14" t="n"/>
      <c r="F51" s="14" t="n"/>
      <c r="G51" s="14" t="n"/>
    </row>
    <row r="52">
      <c r="A52" s="14" t="n"/>
      <c r="B52" s="14" t="n"/>
      <c r="C52" s="14" t="n"/>
      <c r="D52" s="14" t="n"/>
      <c r="E52" s="14" t="n"/>
      <c r="F52" s="14" t="n"/>
      <c r="G52" s="14" t="n"/>
    </row>
    <row r="53">
      <c r="A53" s="14" t="n"/>
      <c r="B53" s="14" t="n"/>
      <c r="C53" s="14" t="n"/>
      <c r="D53" s="14" t="n"/>
      <c r="E53" s="14" t="n"/>
      <c r="F53" s="14" t="n"/>
      <c r="G53" s="14" t="n"/>
    </row>
    <row r="54">
      <c r="A54" s="14" t="n"/>
      <c r="B54" s="14" t="n"/>
      <c r="C54" s="14" t="n"/>
      <c r="D54" s="14" t="n"/>
      <c r="E54" s="14" t="n"/>
      <c r="F54" s="14" t="n"/>
      <c r="G54" s="14" t="n"/>
    </row>
    <row r="55">
      <c r="A55" s="14" t="n"/>
      <c r="B55" s="14" t="n"/>
      <c r="C55" s="14" t="n"/>
      <c r="D55" s="14" t="n"/>
      <c r="E55" s="14" t="n"/>
      <c r="F55" s="14" t="n"/>
      <c r="G55" s="14" t="n"/>
    </row>
  </sheetData>
  <mergeCells count="2">
    <mergeCell ref="A2:G2"/>
    <mergeCell ref="A1:G1"/>
  </mergeCells>
  <dataValidations count="1">
    <dataValidation sqref="C6:C55" showDropDown="0" showInputMessage="0" showErrorMessage="0" allowBlank="1" type="list">
      <formula1>"✅ Yes,⚠️ Partial,❌ 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IDENTITY PILLAR ASSESSMENT</t>
        </is>
      </c>
    </row>
    <row r="2">
      <c r="A2" s="12" t="inlineStr">
        <is>
          <t>Assess identity pillar maturity from traditional to optimal Zero Trust posture</t>
        </is>
      </c>
      <c r="B2" s="6" t="n"/>
      <c r="C2" s="6" t="n"/>
      <c r="D2" s="6" t="n"/>
      <c r="E2" s="6" t="n"/>
      <c r="F2" s="6" t="n"/>
      <c r="G2" s="6" t="n"/>
      <c r="H2" s="6" t="n"/>
      <c r="I2" s="6" t="n"/>
      <c r="J2" s="6" t="n"/>
    </row>
    <row r="4">
      <c r="A4" s="11" t="inlineStr">
        <is>
          <t>ID-ID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ID-001</t>
        </is>
      </c>
      <c r="B5" s="15" t="inlineStr">
        <is>
          <t>Password-based to MFA enforcement</t>
        </is>
      </c>
      <c r="C5" s="14" t="n"/>
      <c r="D5" s="14" t="n"/>
      <c r="E5" s="14" t="n"/>
      <c r="F5" s="14" t="n"/>
      <c r="G5" s="16">
        <f>IF(F5&gt;=2,"Optimal",IF(E5&gt;=2,"Advanced",IF(D5&gt;=2,"Initial","Traditional")))</f>
        <v/>
      </c>
      <c r="H5" s="14" t="n"/>
      <c r="I5" s="14" t="n"/>
      <c r="J5" s="14" t="n"/>
    </row>
    <row r="6">
      <c r="A6" s="15" t="inlineStr">
        <is>
          <t>ID-002</t>
        </is>
      </c>
      <c r="B6" s="15" t="inlineStr">
        <is>
          <t>Phishing-resistant MFA deployment</t>
        </is>
      </c>
      <c r="C6" s="14" t="n"/>
      <c r="D6" s="14" t="n"/>
      <c r="E6" s="14" t="n"/>
      <c r="F6" s="14" t="n"/>
      <c r="G6" s="16">
        <f>IF(F6&gt;=2,"Optimal",IF(E6&gt;=2,"Advanced",IF(D6&gt;=2,"Initial","Traditional")))</f>
        <v/>
      </c>
      <c r="H6" s="14" t="n"/>
      <c r="I6" s="14" t="n"/>
      <c r="J6" s="14" t="n"/>
    </row>
    <row r="7">
      <c r="A7" s="15" t="inlineStr">
        <is>
          <t>ID-003</t>
        </is>
      </c>
      <c r="B7" s="15" t="inlineStr">
        <is>
          <t>Passwordless authentication</t>
        </is>
      </c>
      <c r="C7" s="14" t="n"/>
      <c r="D7" s="14" t="n"/>
      <c r="E7" s="14" t="n"/>
      <c r="F7" s="14" t="n"/>
      <c r="G7" s="16">
        <f>IF(F7&gt;=2,"Optimal",IF(E7&gt;=2,"Advanced",IF(D7&gt;=2,"Initial","Traditional")))</f>
        <v/>
      </c>
      <c r="H7" s="14" t="n"/>
      <c r="I7" s="14" t="n"/>
      <c r="J7" s="14" t="n"/>
    </row>
    <row r="8">
      <c r="A8" s="15" t="inlineStr">
        <is>
          <t>ID-004</t>
        </is>
      </c>
      <c r="B8" s="15" t="inlineStr">
        <is>
          <t>Static RBAC to dynamic ABAC</t>
        </is>
      </c>
      <c r="C8" s="14" t="n"/>
      <c r="D8" s="14" t="n"/>
      <c r="E8" s="14" t="n"/>
      <c r="F8" s="14" t="n"/>
      <c r="G8" s="16">
        <f>IF(F8&gt;=2,"Optimal",IF(E8&gt;=2,"Advanced",IF(D8&gt;=2,"Initial","Traditional")))</f>
        <v/>
      </c>
      <c r="H8" s="14" t="n"/>
      <c r="I8" s="14" t="n"/>
      <c r="J8" s="14" t="n"/>
    </row>
    <row r="9">
      <c r="A9" s="15" t="inlineStr">
        <is>
          <t>ID-005</t>
        </is>
      </c>
      <c r="B9" s="15" t="inlineStr">
        <is>
          <t>Risk-based conditional access</t>
        </is>
      </c>
      <c r="C9" s="14" t="n"/>
      <c r="D9" s="14" t="n"/>
      <c r="E9" s="14" t="n"/>
      <c r="F9" s="14" t="n"/>
      <c r="G9" s="16">
        <f>IF(F9&gt;=2,"Optimal",IF(E9&gt;=2,"Advanced",IF(D9&gt;=2,"Initial","Traditional")))</f>
        <v/>
      </c>
      <c r="H9" s="14" t="n"/>
      <c r="I9" s="14" t="n"/>
      <c r="J9" s="14" t="n"/>
    </row>
    <row r="10">
      <c r="A10" s="15" t="inlineStr">
        <is>
          <t>ID-006</t>
        </is>
      </c>
      <c r="B10" s="15" t="inlineStr">
        <is>
          <t>Manual to automated identity lifecycle</t>
        </is>
      </c>
      <c r="C10" s="14" t="n"/>
      <c r="D10" s="14" t="n"/>
      <c r="E10" s="14" t="n"/>
      <c r="F10" s="14" t="n"/>
      <c r="G10" s="16">
        <f>IF(F10&gt;=2,"Optimal",IF(E10&gt;=2,"Advanced",IF(D10&gt;=2,"Initial","Traditional")))</f>
        <v/>
      </c>
      <c r="H10" s="14" t="n"/>
      <c r="I10" s="14" t="n"/>
      <c r="J10" s="14" t="n"/>
    </row>
    <row r="11">
      <c r="A11" s="15" t="inlineStr">
        <is>
          <t>ID-007</t>
        </is>
      </c>
      <c r="B11" s="15" t="inlineStr">
        <is>
          <t>Just-in-time (JIT) privileged access</t>
        </is>
      </c>
      <c r="C11" s="14" t="n"/>
      <c r="D11" s="14" t="n"/>
      <c r="E11" s="14" t="n"/>
      <c r="F11" s="14" t="n"/>
      <c r="G11" s="16">
        <f>IF(F11&gt;=2,"Optimal",IF(E11&gt;=2,"Advanced",IF(D11&gt;=2,"Initial","Traditional")))</f>
        <v/>
      </c>
      <c r="H11" s="14" t="n"/>
      <c r="I11" s="14" t="n"/>
      <c r="J11" s="14" t="n"/>
    </row>
    <row r="12">
      <c r="A12" s="15" t="inlineStr">
        <is>
          <t>ID-008</t>
        </is>
      </c>
      <c r="B12" s="15" t="inlineStr">
        <is>
          <t>Zero standing privilege</t>
        </is>
      </c>
      <c r="C12" s="14" t="n"/>
      <c r="D12" s="14" t="n"/>
      <c r="E12" s="14" t="n"/>
      <c r="F12" s="14" t="n"/>
      <c r="G12" s="16">
        <f>IF(F12&gt;=2,"Optimal",IF(E12&gt;=2,"Advanced",IF(D12&gt;=2,"Initial","Traditional")))</f>
        <v/>
      </c>
      <c r="H12" s="14" t="n"/>
      <c r="I12" s="14" t="n"/>
      <c r="J12" s="14" t="n"/>
    </row>
    <row r="13">
      <c r="A13" s="15" t="inlineStr">
        <is>
          <t>ID-009</t>
        </is>
      </c>
      <c r="B13" s="15" t="inlineStr">
        <is>
          <t>Federation and modern protocols</t>
        </is>
      </c>
      <c r="C13" s="14" t="n"/>
      <c r="D13" s="14" t="n"/>
      <c r="E13" s="14" t="n"/>
      <c r="F13" s="14" t="n"/>
      <c r="G13" s="16">
        <f>IF(F13&gt;=2,"Optimal",IF(E13&gt;=2,"Advanced",IF(D13&gt;=2,"Initial","Traditional")))</f>
        <v/>
      </c>
      <c r="H13" s="14" t="n"/>
      <c r="I13" s="14" t="n"/>
      <c r="J13" s="14" t="n"/>
    </row>
    <row r="14">
      <c r="A14" s="15" t="inlineStr">
        <is>
          <t>ID-010</t>
        </is>
      </c>
      <c r="B14" s="15" t="inlineStr">
        <is>
          <t>Continuous identity verification</t>
        </is>
      </c>
      <c r="C14" s="14" t="n"/>
      <c r="D14" s="14" t="n"/>
      <c r="E14" s="14" t="n"/>
      <c r="F14" s="14" t="n"/>
      <c r="G14" s="16">
        <f>IF(F14&gt;=2,"Optimal",IF(E14&gt;=2,"Advanced",IF(D14&gt;=2,"Initial","Traditional")))</f>
        <v/>
      </c>
      <c r="H14" s="14" t="n"/>
      <c r="I14" s="14" t="n"/>
      <c r="J14" s="14" t="n"/>
    </row>
  </sheetData>
  <mergeCells count="2">
    <mergeCell ref="A1:J1"/>
    <mergeCell ref="A2:J2"/>
  </mergeCells>
  <dataValidations count="2">
    <dataValidation sqref="C5:F14" showDropDown="0" showInputMessage="0" showErrorMessage="0" allowBlank="1" type="list">
      <formula1>"0,1,2,3"</formula1>
    </dataValidation>
    <dataValidation sqref="H5:H14" showDropDown="0" showInputMessage="0" showErrorMessage="0" allowBlank="1" type="list">
      <formula1>"Traditional,Initial,Advanced,Optimal"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DEVICE PILLAR ASSESSMENT</t>
        </is>
      </c>
    </row>
    <row r="2">
      <c r="A2" s="12" t="inlineStr">
        <is>
          <t>Assess device pillar maturity from traditional to optimal Zero Trust posture</t>
        </is>
      </c>
      <c r="B2" s="6" t="n"/>
      <c r="C2" s="6" t="n"/>
      <c r="D2" s="6" t="n"/>
      <c r="E2" s="6" t="n"/>
      <c r="F2" s="6" t="n"/>
      <c r="G2" s="6" t="n"/>
      <c r="H2" s="6" t="n"/>
      <c r="I2" s="6" t="n"/>
      <c r="J2" s="6" t="n"/>
    </row>
    <row r="4">
      <c r="A4" s="11" t="inlineStr">
        <is>
          <t>DEV-ID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DEV-001</t>
        </is>
      </c>
      <c r="B5" s="15" t="inlineStr">
        <is>
          <t>Device inventory completeness</t>
        </is>
      </c>
      <c r="C5" s="14" t="n"/>
      <c r="D5" s="14" t="n"/>
      <c r="E5" s="14" t="n"/>
      <c r="F5" s="14" t="n"/>
      <c r="G5" s="16">
        <f>IF(F5&gt;=2,"Optimal",IF(E5&gt;=2,"Advanced",IF(D5&gt;=2,"Initial","Traditional")))</f>
        <v/>
      </c>
      <c r="H5" s="14" t="n"/>
      <c r="I5" s="14" t="n"/>
      <c r="J5" s="14" t="n"/>
    </row>
    <row r="6">
      <c r="A6" s="15" t="inlineStr">
        <is>
          <t>DEV-002</t>
        </is>
      </c>
      <c r="B6" s="15" t="inlineStr">
        <is>
          <t>Real-time device inventory</t>
        </is>
      </c>
      <c r="C6" s="14" t="n"/>
      <c r="D6" s="14" t="n"/>
      <c r="E6" s="14" t="n"/>
      <c r="F6" s="14" t="n"/>
      <c r="G6" s="16">
        <f>IF(F6&gt;=2,"Optimal",IF(E6&gt;=2,"Advanced",IF(D6&gt;=2,"Initial","Traditional")))</f>
        <v/>
      </c>
      <c r="H6" s="14" t="n"/>
      <c r="I6" s="14" t="n"/>
      <c r="J6" s="14" t="n"/>
    </row>
    <row r="7">
      <c r="A7" s="15" t="inlineStr">
        <is>
          <t>DEV-003</t>
        </is>
      </c>
      <c r="B7" s="15" t="inlineStr">
        <is>
          <t>Device compliance checking</t>
        </is>
      </c>
      <c r="C7" s="14" t="n"/>
      <c r="D7" s="14" t="n"/>
      <c r="E7" s="14" t="n"/>
      <c r="F7" s="14" t="n"/>
      <c r="G7" s="16">
        <f>IF(F7&gt;=2,"Optimal",IF(E7&gt;=2,"Advanced",IF(D7&gt;=2,"Initial","Traditional")))</f>
        <v/>
      </c>
      <c r="H7" s="14" t="n"/>
      <c r="I7" s="14" t="n"/>
      <c r="J7" s="14" t="n"/>
    </row>
    <row r="8">
      <c r="A8" s="15" t="inlineStr">
        <is>
          <t>DEV-004</t>
        </is>
      </c>
      <c r="B8" s="15" t="inlineStr">
        <is>
          <t>Continuous device posture assessment</t>
        </is>
      </c>
      <c r="C8" s="14" t="n"/>
      <c r="D8" s="14" t="n"/>
      <c r="E8" s="14" t="n"/>
      <c r="F8" s="14" t="n"/>
      <c r="G8" s="16">
        <f>IF(F8&gt;=2,"Optimal",IF(E8&gt;=2,"Advanced",IF(D8&gt;=2,"Initial","Traditional")))</f>
        <v/>
      </c>
      <c r="H8" s="14" t="n"/>
      <c r="I8" s="14" t="n"/>
      <c r="J8" s="14" t="n"/>
    </row>
    <row r="9">
      <c r="A9" s="15" t="inlineStr">
        <is>
          <t>DEV-005</t>
        </is>
      </c>
      <c r="B9" s="15" t="inlineStr">
        <is>
          <t>Device health-based access decisions</t>
        </is>
      </c>
      <c r="C9" s="14" t="n"/>
      <c r="D9" s="14" t="n"/>
      <c r="E9" s="14" t="n"/>
      <c r="F9" s="14" t="n"/>
      <c r="G9" s="16">
        <f>IF(F9&gt;=2,"Optimal",IF(E9&gt;=2,"Advanced",IF(D9&gt;=2,"Initial","Traditional")))</f>
        <v/>
      </c>
      <c r="H9" s="14" t="n"/>
      <c r="I9" s="14" t="n"/>
      <c r="J9" s="14" t="n"/>
    </row>
    <row r="10">
      <c r="A10" s="15" t="inlineStr">
        <is>
          <t>DEV-006</t>
        </is>
      </c>
      <c r="B10" s="15" t="inlineStr">
        <is>
          <t>EDR deployment</t>
        </is>
      </c>
      <c r="C10" s="14" t="n"/>
      <c r="D10" s="14" t="n"/>
      <c r="E10" s="14" t="n"/>
      <c r="F10" s="14" t="n"/>
      <c r="G10" s="16">
        <f>IF(F10&gt;=2,"Optimal",IF(E10&gt;=2,"Advanced",IF(D10&gt;=2,"Initial","Traditional")))</f>
        <v/>
      </c>
      <c r="H10" s="14" t="n"/>
      <c r="I10" s="14" t="n"/>
      <c r="J10" s="14" t="n"/>
    </row>
    <row r="11">
      <c r="A11" s="15" t="inlineStr">
        <is>
          <t>DEV-007</t>
        </is>
      </c>
      <c r="B11" s="15" t="inlineStr">
        <is>
          <t>XDR integration</t>
        </is>
      </c>
      <c r="C11" s="14" t="n"/>
      <c r="D11" s="14" t="n"/>
      <c r="E11" s="14" t="n"/>
      <c r="F11" s="14" t="n"/>
      <c r="G11" s="16">
        <f>IF(F11&gt;=2,"Optimal",IF(E11&gt;=2,"Advanced",IF(D11&gt;=2,"Initial","Traditional")))</f>
        <v/>
      </c>
      <c r="H11" s="14" t="n"/>
      <c r="I11" s="14" t="n"/>
      <c r="J11" s="14" t="n"/>
    </row>
    <row r="12">
      <c r="A12" s="15" t="inlineStr">
        <is>
          <t>DEV-008</t>
        </is>
      </c>
      <c r="B12" s="15" t="inlineStr">
        <is>
          <t>Autonomous threat response</t>
        </is>
      </c>
      <c r="C12" s="14" t="n"/>
      <c r="D12" s="14" t="n"/>
      <c r="E12" s="14" t="n"/>
      <c r="F12" s="14" t="n"/>
      <c r="G12" s="16">
        <f>IF(F12&gt;=2,"Optimal",IF(E12&gt;=2,"Advanced",IF(D12&gt;=2,"Initial","Traditional")))</f>
        <v/>
      </c>
      <c r="H12" s="14" t="n"/>
      <c r="I12" s="14" t="n"/>
      <c r="J12" s="14" t="n"/>
    </row>
  </sheetData>
  <mergeCells count="2">
    <mergeCell ref="A1:J1"/>
    <mergeCell ref="A2:J2"/>
  </mergeCells>
  <dataValidations count="2">
    <dataValidation sqref="C5:F12" showDropDown="0" showInputMessage="0" showErrorMessage="0" allowBlank="1" type="list">
      <formula1>"0,1,2,3"</formula1>
    </dataValidation>
    <dataValidation sqref="H5:H12" showDropDown="0" showInputMessage="0" showErrorMessage="0" allowBlank="1" type="list">
      <formula1>"Traditional,Initial,Advanced,Optimal"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NETWORK PILLAR ASSESSMENT</t>
        </is>
      </c>
    </row>
    <row r="2">
      <c r="A2" s="12" t="inlineStr">
        <is>
          <t>Assess network pillar maturity from traditional to optimal Zero Trust posture</t>
        </is>
      </c>
      <c r="B2" s="6" t="n"/>
      <c r="C2" s="6" t="n"/>
      <c r="D2" s="6" t="n"/>
      <c r="E2" s="6" t="n"/>
      <c r="F2" s="6" t="n"/>
      <c r="G2" s="6" t="n"/>
      <c r="H2" s="6" t="n"/>
      <c r="I2" s="6" t="n"/>
      <c r="J2" s="6" t="n"/>
    </row>
    <row r="4">
      <c r="A4" s="11" t="inlineStr">
        <is>
          <t>NET-ID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NET-001</t>
        </is>
      </c>
      <c r="B5" s="15" t="inlineStr">
        <is>
          <t>Network segmentation (VLANs)</t>
        </is>
      </c>
      <c r="C5" s="14" t="n"/>
      <c r="D5" s="14" t="n"/>
      <c r="E5" s="14" t="n"/>
      <c r="F5" s="14" t="n"/>
      <c r="G5" s="16">
        <f>IF(F5&gt;=2,"Optimal",IF(E5&gt;=2,"Advanced",IF(D5&gt;=2,"Initial","Traditional")))</f>
        <v/>
      </c>
      <c r="H5" s="14" t="n"/>
      <c r="I5" s="14" t="n"/>
      <c r="J5" s="14" t="n"/>
    </row>
    <row r="6">
      <c r="A6" s="15" t="inlineStr">
        <is>
          <t>NET-002</t>
        </is>
      </c>
      <c r="B6" s="15" t="inlineStr">
        <is>
          <t>Micro-segmentation</t>
        </is>
      </c>
      <c r="C6" s="14" t="n"/>
      <c r="D6" s="14" t="n"/>
      <c r="E6" s="14" t="n"/>
      <c r="F6" s="14" t="n"/>
      <c r="G6" s="16">
        <f>IF(F6&gt;=2,"Optimal",IF(E6&gt;=2,"Advanced",IF(D6&gt;=2,"Initial","Traditional")))</f>
        <v/>
      </c>
      <c r="H6" s="14" t="n"/>
      <c r="I6" s="14" t="n"/>
      <c r="J6" s="14" t="n"/>
    </row>
    <row r="7">
      <c r="A7" s="15" t="inlineStr">
        <is>
          <t>NET-003</t>
        </is>
      </c>
      <c r="B7" s="15" t="inlineStr">
        <is>
          <t>Application-level segmentation</t>
        </is>
      </c>
      <c r="C7" s="14" t="n"/>
      <c r="D7" s="14" t="n"/>
      <c r="E7" s="14" t="n"/>
      <c r="F7" s="14" t="n"/>
      <c r="G7" s="16">
        <f>IF(F7&gt;=2,"Optimal",IF(E7&gt;=2,"Advanced",IF(D7&gt;=2,"Initial","Traditional")))</f>
        <v/>
      </c>
      <c r="H7" s="14" t="n"/>
      <c r="I7" s="14" t="n"/>
      <c r="J7" s="14" t="n"/>
    </row>
    <row r="8">
      <c r="A8" s="15" t="inlineStr">
        <is>
          <t>NET-004</t>
        </is>
      </c>
      <c r="B8" s="15" t="inlineStr">
        <is>
          <t>TLS for external traffic</t>
        </is>
      </c>
      <c r="C8" s="14" t="n"/>
      <c r="D8" s="14" t="n"/>
      <c r="E8" s="14" t="n"/>
      <c r="F8" s="14" t="n"/>
      <c r="G8" s="16">
        <f>IF(F8&gt;=2,"Optimal",IF(E8&gt;=2,"Advanced",IF(D8&gt;=2,"Initial","Traditional")))</f>
        <v/>
      </c>
      <c r="H8" s="14" t="n"/>
      <c r="I8" s="14" t="n"/>
      <c r="J8" s="14" t="n"/>
    </row>
    <row r="9">
      <c r="A9" s="15" t="inlineStr">
        <is>
          <t>NET-005</t>
        </is>
      </c>
      <c r="B9" s="15" t="inlineStr">
        <is>
          <t>TLS everywhere (internal)</t>
        </is>
      </c>
      <c r="C9" s="14" t="n"/>
      <c r="D9" s="14" t="n"/>
      <c r="E9" s="14" t="n"/>
      <c r="F9" s="14" t="n"/>
      <c r="G9" s="16">
        <f>IF(F9&gt;=2,"Optimal",IF(E9&gt;=2,"Advanced",IF(D9&gt;=2,"Initial","Traditional")))</f>
        <v/>
      </c>
      <c r="H9" s="14" t="n"/>
      <c r="I9" s="14" t="n"/>
      <c r="J9" s="14" t="n"/>
    </row>
    <row r="10">
      <c r="A10" s="15" t="inlineStr">
        <is>
          <t>NET-006</t>
        </is>
      </c>
      <c r="B10" s="15" t="inlineStr">
        <is>
          <t>mTLS service-to-service</t>
        </is>
      </c>
      <c r="C10" s="14" t="n"/>
      <c r="D10" s="14" t="n"/>
      <c r="E10" s="14" t="n"/>
      <c r="F10" s="14" t="n"/>
      <c r="G10" s="16">
        <f>IF(F10&gt;=2,"Optimal",IF(E10&gt;=2,"Advanced",IF(D10&gt;=2,"Initial","Traditional")))</f>
        <v/>
      </c>
      <c r="H10" s="14" t="n"/>
      <c r="I10" s="14" t="n"/>
      <c r="J10" s="14" t="n"/>
    </row>
    <row r="11">
      <c r="A11" s="15" t="inlineStr">
        <is>
          <t>NET-007</t>
        </is>
      </c>
      <c r="B11" s="15" t="inlineStr">
        <is>
          <t>ZTNA basic implementation</t>
        </is>
      </c>
      <c r="C11" s="14" t="n"/>
      <c r="D11" s="14" t="n"/>
      <c r="E11" s="14" t="n"/>
      <c r="F11" s="14" t="n"/>
      <c r="G11" s="16">
        <f>IF(F11&gt;=2,"Optimal",IF(E11&gt;=2,"Advanced",IF(D11&gt;=2,"Initial","Traditional")))</f>
        <v/>
      </c>
      <c r="H11" s="14" t="n"/>
      <c r="I11" s="14" t="n"/>
      <c r="J11" s="14" t="n"/>
    </row>
    <row r="12">
      <c r="A12" s="15" t="inlineStr">
        <is>
          <t>NET-008</t>
        </is>
      </c>
      <c r="B12" s="15" t="inlineStr">
        <is>
          <t>Software-defined perimeter</t>
        </is>
      </c>
      <c r="C12" s="14" t="n"/>
      <c r="D12" s="14" t="n"/>
      <c r="E12" s="14" t="n"/>
      <c r="F12" s="14" t="n"/>
      <c r="G12" s="16">
        <f>IF(F12&gt;=2,"Optimal",IF(E12&gt;=2,"Advanced",IF(D12&gt;=2,"Initial","Traditional")))</f>
        <v/>
      </c>
      <c r="H12" s="14" t="n"/>
      <c r="I12" s="14" t="n"/>
      <c r="J12" s="14" t="n"/>
    </row>
  </sheetData>
  <mergeCells count="2">
    <mergeCell ref="A1:J1"/>
    <mergeCell ref="A2:J2"/>
  </mergeCells>
  <dataValidations count="2">
    <dataValidation sqref="C5:F12" showDropDown="0" showInputMessage="0" showErrorMessage="0" allowBlank="1" type="list">
      <formula1>"0,1,2,3"</formula1>
    </dataValidation>
    <dataValidation sqref="H5:H12" showDropDown="0" showInputMessage="0" showErrorMessage="0" allowBlank="1" type="list">
      <formula1>"Traditional,Initial,Advanced,Optimal"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WORKLOAD PILLAR ASSESSMENT</t>
        </is>
      </c>
    </row>
    <row r="2">
      <c r="A2" s="12" t="inlineStr">
        <is>
          <t>Assess workload pillar maturity from traditional to optimal Zero Trust posture</t>
        </is>
      </c>
      <c r="B2" s="6" t="n"/>
      <c r="C2" s="6" t="n"/>
      <c r="D2" s="6" t="n"/>
      <c r="E2" s="6" t="n"/>
      <c r="F2" s="6" t="n"/>
      <c r="G2" s="6" t="n"/>
      <c r="H2" s="6" t="n"/>
      <c r="I2" s="6" t="n"/>
      <c r="J2" s="6" t="n"/>
    </row>
    <row r="4">
      <c r="A4" s="11" t="inlineStr">
        <is>
          <t>WL-ID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WL-001</t>
        </is>
      </c>
      <c r="B5" s="15" t="inlineStr">
        <is>
          <t>Service account management</t>
        </is>
      </c>
      <c r="C5" s="14" t="n"/>
      <c r="D5" s="14" t="n"/>
      <c r="E5" s="14" t="n"/>
      <c r="F5" s="14" t="n"/>
      <c r="G5" s="16">
        <f>IF(F5&gt;=2,"Optimal",IF(E5&gt;=2,"Advanced",IF(D5&gt;=2,"Initial","Traditional")))</f>
        <v/>
      </c>
      <c r="H5" s="14" t="n"/>
      <c r="I5" s="14" t="n"/>
      <c r="J5" s="14" t="n"/>
    </row>
    <row r="6">
      <c r="A6" s="15" t="inlineStr">
        <is>
          <t>WL-002</t>
        </is>
      </c>
      <c r="B6" s="15" t="inlineStr">
        <is>
          <t>Managed identities for workloads</t>
        </is>
      </c>
      <c r="C6" s="14" t="n"/>
      <c r="D6" s="14" t="n"/>
      <c r="E6" s="14" t="n"/>
      <c r="F6" s="14" t="n"/>
      <c r="G6" s="16">
        <f>IF(F6&gt;=2,"Optimal",IF(E6&gt;=2,"Advanced",IF(D6&gt;=2,"Initial","Traditional")))</f>
        <v/>
      </c>
      <c r="H6" s="14" t="n"/>
      <c r="I6" s="14" t="n"/>
      <c r="J6" s="14" t="n"/>
    </row>
    <row r="7">
      <c r="A7" s="15" t="inlineStr">
        <is>
          <t>WL-003</t>
        </is>
      </c>
      <c r="B7" s="15" t="inlineStr">
        <is>
          <t>SPIFFE/SPIRE workload attestation</t>
        </is>
      </c>
      <c r="C7" s="14" t="n"/>
      <c r="D7" s="14" t="n"/>
      <c r="E7" s="14" t="n"/>
      <c r="F7" s="14" t="n"/>
      <c r="G7" s="16">
        <f>IF(F7&gt;=2,"Optimal",IF(E7&gt;=2,"Advanced",IF(D7&gt;=2,"Initial","Traditional")))</f>
        <v/>
      </c>
      <c r="H7" s="14" t="n"/>
      <c r="I7" s="14" t="n"/>
      <c r="J7" s="14" t="n"/>
    </row>
    <row r="8">
      <c r="A8" s="15" t="inlineStr">
        <is>
          <t>WL-004</t>
        </is>
      </c>
      <c r="B8" s="15" t="inlineStr">
        <is>
          <t>API authentication (API keys to OAuth)</t>
        </is>
      </c>
      <c r="C8" s="14" t="n"/>
      <c r="D8" s="14" t="n"/>
      <c r="E8" s="14" t="n"/>
      <c r="F8" s="14" t="n"/>
      <c r="G8" s="16">
        <f>IF(F8&gt;=2,"Optimal",IF(E8&gt;=2,"Advanced",IF(D8&gt;=2,"Initial","Traditional")))</f>
        <v/>
      </c>
      <c r="H8" s="14" t="n"/>
      <c r="I8" s="14" t="n"/>
      <c r="J8" s="14" t="n"/>
    </row>
    <row r="9">
      <c r="A9" s="15" t="inlineStr">
        <is>
          <t>WL-005</t>
        </is>
      </c>
      <c r="B9" s="15" t="inlineStr">
        <is>
          <t>Workload isolation (VMs to containers)</t>
        </is>
      </c>
      <c r="C9" s="14" t="n"/>
      <c r="D9" s="14" t="n"/>
      <c r="E9" s="14" t="n"/>
      <c r="F9" s="14" t="n"/>
      <c r="G9" s="16">
        <f>IF(F9&gt;=2,"Optimal",IF(E9&gt;=2,"Advanced",IF(D9&gt;=2,"Initial","Traditional")))</f>
        <v/>
      </c>
      <c r="H9" s="14" t="n"/>
      <c r="I9" s="14" t="n"/>
      <c r="J9" s="14" t="n"/>
    </row>
    <row r="10">
      <c r="A10" s="15" t="inlineStr">
        <is>
          <t>WL-006</t>
        </is>
      </c>
      <c r="B10" s="15" t="inlineStr">
        <is>
          <t>Serverless isolation</t>
        </is>
      </c>
      <c r="C10" s="14" t="n"/>
      <c r="D10" s="14" t="n"/>
      <c r="E10" s="14" t="n"/>
      <c r="F10" s="14" t="n"/>
      <c r="G10" s="16">
        <f>IF(F10&gt;=2,"Optimal",IF(E10&gt;=2,"Advanced",IF(D10&gt;=2,"Initial","Traditional")))</f>
        <v/>
      </c>
      <c r="H10" s="14" t="n"/>
      <c r="I10" s="14" t="n"/>
      <c r="J10" s="14" t="n"/>
    </row>
    <row r="11">
      <c r="A11" s="15" t="inlineStr">
        <is>
          <t>WL-007</t>
        </is>
      </c>
      <c r="B11" s="15" t="inlineStr">
        <is>
          <t>SAST/DAST integration</t>
        </is>
      </c>
      <c r="C11" s="14" t="n"/>
      <c r="D11" s="14" t="n"/>
      <c r="E11" s="14" t="n"/>
      <c r="F11" s="14" t="n"/>
      <c r="G11" s="16">
        <f>IF(F11&gt;=2,"Optimal",IF(E11&gt;=2,"Advanced",IF(D11&gt;=2,"Initial","Traditional")))</f>
        <v/>
      </c>
      <c r="H11" s="14" t="n"/>
      <c r="I11" s="14" t="n"/>
      <c r="J11" s="14" t="n"/>
    </row>
    <row r="12">
      <c r="A12" s="15" t="inlineStr">
        <is>
          <t>WL-008</t>
        </is>
      </c>
      <c r="B12" s="15" t="inlineStr">
        <is>
          <t>DevSecOps pipeline security</t>
        </is>
      </c>
      <c r="C12" s="14" t="n"/>
      <c r="D12" s="14" t="n"/>
      <c r="E12" s="14" t="n"/>
      <c r="F12" s="14" t="n"/>
      <c r="G12" s="16">
        <f>IF(F12&gt;=2,"Optimal",IF(E12&gt;=2,"Advanced",IF(D12&gt;=2,"Initial","Traditional")))</f>
        <v/>
      </c>
      <c r="H12" s="14" t="n"/>
      <c r="I12" s="14" t="n"/>
      <c r="J12" s="14" t="n"/>
    </row>
    <row r="13">
      <c r="A13" s="15" t="inlineStr">
        <is>
          <t>WL-009</t>
        </is>
      </c>
      <c r="B13" s="15" t="inlineStr">
        <is>
          <t>Runtime application protection</t>
        </is>
      </c>
      <c r="C13" s="14" t="n"/>
      <c r="D13" s="14" t="n"/>
      <c r="E13" s="14" t="n"/>
      <c r="F13" s="14" t="n"/>
      <c r="G13" s="16">
        <f>IF(F13&gt;=2,"Optimal",IF(E13&gt;=2,"Advanced",IF(D13&gt;=2,"Initial","Traditional")))</f>
        <v/>
      </c>
      <c r="H13" s="14" t="n"/>
      <c r="I13" s="14" t="n"/>
      <c r="J13" s="14" t="n"/>
    </row>
    <row r="14">
      <c r="A14" s="15" t="inlineStr">
        <is>
          <t>WL-010</t>
        </is>
      </c>
      <c r="B14" s="15" t="inlineStr">
        <is>
          <t>Continuous security validation</t>
        </is>
      </c>
      <c r="C14" s="14" t="n"/>
      <c r="D14" s="14" t="n"/>
      <c r="E14" s="14" t="n"/>
      <c r="F14" s="14" t="n"/>
      <c r="G14" s="16">
        <f>IF(F14&gt;=2,"Optimal",IF(E14&gt;=2,"Advanced",IF(D14&gt;=2,"Initial","Traditional")))</f>
        <v/>
      </c>
      <c r="H14" s="14" t="n"/>
      <c r="I14" s="14" t="n"/>
      <c r="J14" s="14" t="n"/>
    </row>
  </sheetData>
  <mergeCells count="2">
    <mergeCell ref="A1:J1"/>
    <mergeCell ref="A2:J2"/>
  </mergeCells>
  <dataValidations count="2">
    <dataValidation sqref="C5:F14" showDropDown="0" showInputMessage="0" showErrorMessage="0" allowBlank="1" type="list">
      <formula1>"0,1,2,3"</formula1>
    </dataValidation>
    <dataValidation sqref="H5:H14" showDropDown="0" showInputMessage="0" showErrorMessage="0" allowBlank="1" type="list">
      <formula1>"Traditional,Initial,Advanced,Optimal"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DATA PILLAR ASSESSMENT</t>
        </is>
      </c>
    </row>
    <row r="2">
      <c r="A2" s="12" t="inlineStr">
        <is>
          <t>Assess data pillar maturity from traditional to optimal Zero Trust posture</t>
        </is>
      </c>
      <c r="B2" s="6" t="n"/>
      <c r="C2" s="6" t="n"/>
      <c r="D2" s="6" t="n"/>
      <c r="E2" s="6" t="n"/>
      <c r="F2" s="6" t="n"/>
      <c r="G2" s="6" t="n"/>
      <c r="H2" s="6" t="n"/>
      <c r="I2" s="6" t="n"/>
      <c r="J2" s="6" t="n"/>
    </row>
    <row r="4">
      <c r="A4" s="11" t="inlineStr">
        <is>
          <t>DATA-ID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DATA-001</t>
        </is>
      </c>
      <c r="B5" s="15" t="inlineStr">
        <is>
          <t>Manual data classification</t>
        </is>
      </c>
      <c r="C5" s="14" t="n"/>
      <c r="D5" s="14" t="n"/>
      <c r="E5" s="14" t="n"/>
      <c r="F5" s="14" t="n"/>
      <c r="G5" s="16">
        <f>IF(F5&gt;=2,"Optimal",IF(E5&gt;=2,"Advanced",IF(D5&gt;=2,"Initial","Traditional")))</f>
        <v/>
      </c>
      <c r="H5" s="14" t="n"/>
      <c r="I5" s="14" t="n"/>
      <c r="J5" s="14" t="n"/>
    </row>
    <row r="6">
      <c r="A6" s="15" t="inlineStr">
        <is>
          <t>DATA-002</t>
        </is>
      </c>
      <c r="B6" s="15" t="inlineStr">
        <is>
          <t>Policy-based classification</t>
        </is>
      </c>
      <c r="C6" s="14" t="n"/>
      <c r="D6" s="14" t="n"/>
      <c r="E6" s="14" t="n"/>
      <c r="F6" s="14" t="n"/>
      <c r="G6" s="16">
        <f>IF(F6&gt;=2,"Optimal",IF(E6&gt;=2,"Advanced",IF(D6&gt;=2,"Initial","Traditional")))</f>
        <v/>
      </c>
      <c r="H6" s="14" t="n"/>
      <c r="I6" s="14" t="n"/>
      <c r="J6" s="14" t="n"/>
    </row>
    <row r="7">
      <c r="A7" s="15" t="inlineStr">
        <is>
          <t>DATA-003</t>
        </is>
      </c>
      <c r="B7" s="15" t="inlineStr">
        <is>
          <t>Automated data labelling</t>
        </is>
      </c>
      <c r="C7" s="14" t="n"/>
      <c r="D7" s="14" t="n"/>
      <c r="E7" s="14" t="n"/>
      <c r="F7" s="14" t="n"/>
      <c r="G7" s="16">
        <f>IF(F7&gt;=2,"Optimal",IF(E7&gt;=2,"Advanced",IF(D7&gt;=2,"Initial","Traditional")))</f>
        <v/>
      </c>
      <c r="H7" s="14" t="n"/>
      <c r="I7" s="14" t="n"/>
      <c r="J7" s="14" t="n"/>
    </row>
    <row r="8">
      <c r="A8" s="15" t="inlineStr">
        <is>
          <t>DATA-004</t>
        </is>
      </c>
      <c r="B8" s="15" t="inlineStr">
        <is>
          <t>ML-based classification</t>
        </is>
      </c>
      <c r="C8" s="14" t="n"/>
      <c r="D8" s="14" t="n"/>
      <c r="E8" s="14" t="n"/>
      <c r="F8" s="14" t="n"/>
      <c r="G8" s="16">
        <f>IF(F8&gt;=2,"Optimal",IF(E8&gt;=2,"Advanced",IF(D8&gt;=2,"Initial","Traditional")))</f>
        <v/>
      </c>
      <c r="H8" s="14" t="n"/>
      <c r="I8" s="14" t="n"/>
      <c r="J8" s="14" t="n"/>
    </row>
    <row r="9">
      <c r="A9" s="15" t="inlineStr">
        <is>
          <t>DATA-005</t>
        </is>
      </c>
      <c r="B9" s="15" t="inlineStr">
        <is>
          <t>Selective encryption</t>
        </is>
      </c>
      <c r="C9" s="14" t="n"/>
      <c r="D9" s="14" t="n"/>
      <c r="E9" s="14" t="n"/>
      <c r="F9" s="14" t="n"/>
      <c r="G9" s="16">
        <f>IF(F9&gt;=2,"Optimal",IF(E9&gt;=2,"Advanced",IF(D9&gt;=2,"Initial","Traditional")))</f>
        <v/>
      </c>
      <c r="H9" s="14" t="n"/>
      <c r="I9" s="14" t="n"/>
      <c r="J9" s="14" t="n"/>
    </row>
    <row r="10">
      <c r="A10" s="15" t="inlineStr">
        <is>
          <t>DATA-006</t>
        </is>
      </c>
      <c r="B10" s="15" t="inlineStr">
        <is>
          <t>Encryption at rest and transit</t>
        </is>
      </c>
      <c r="C10" s="14" t="n"/>
      <c r="D10" s="14" t="n"/>
      <c r="E10" s="14" t="n"/>
      <c r="F10" s="14" t="n"/>
      <c r="G10" s="16">
        <f>IF(F10&gt;=2,"Optimal",IF(E10&gt;=2,"Advanced",IF(D10&gt;=2,"Initial","Traditional")))</f>
        <v/>
      </c>
      <c r="H10" s="14" t="n"/>
      <c r="I10" s="14" t="n"/>
      <c r="J10" s="14" t="n"/>
    </row>
    <row r="11">
      <c r="A11" s="15" t="inlineStr">
        <is>
          <t>DATA-007</t>
        </is>
      </c>
      <c r="B11" s="15" t="inlineStr">
        <is>
          <t>Per-field encryption</t>
        </is>
      </c>
      <c r="C11" s="14" t="n"/>
      <c r="D11" s="14" t="n"/>
      <c r="E11" s="14" t="n"/>
      <c r="F11" s="14" t="n"/>
      <c r="G11" s="16">
        <f>IF(F11&gt;=2,"Optimal",IF(E11&gt;=2,"Advanced",IF(D11&gt;=2,"Initial","Traditional")))</f>
        <v/>
      </c>
      <c r="H11" s="14" t="n"/>
      <c r="I11" s="14" t="n"/>
      <c r="J11" s="14" t="n"/>
    </row>
    <row r="12">
      <c r="A12" s="15" t="inlineStr">
        <is>
          <t>DATA-008</t>
        </is>
      </c>
      <c r="B12" s="15" t="inlineStr">
        <is>
          <t>Data access controls (ABAC)</t>
        </is>
      </c>
      <c r="C12" s="14" t="n"/>
      <c r="D12" s="14" t="n"/>
      <c r="E12" s="14" t="n"/>
      <c r="F12" s="14" t="n"/>
      <c r="G12" s="16">
        <f>IF(F12&gt;=2,"Optimal",IF(E12&gt;=2,"Advanced",IF(D12&gt;=2,"Initial","Traditional")))</f>
        <v/>
      </c>
      <c r="H12" s="14" t="n"/>
      <c r="I12" s="14" t="n"/>
      <c r="J12" s="14" t="n"/>
    </row>
    <row r="13">
      <c r="A13" s="15" t="inlineStr">
        <is>
          <t>DATA-009</t>
        </is>
      </c>
      <c r="B13" s="15" t="inlineStr">
        <is>
          <t>Basic DLP</t>
        </is>
      </c>
      <c r="C13" s="14" t="n"/>
      <c r="D13" s="14" t="n"/>
      <c r="E13" s="14" t="n"/>
      <c r="F13" s="14" t="n"/>
      <c r="G13" s="16">
        <f>IF(F13&gt;=2,"Optimal",IF(E13&gt;=2,"Advanced",IF(D13&gt;=2,"Initial","Traditional")))</f>
        <v/>
      </c>
      <c r="H13" s="14" t="n"/>
      <c r="I13" s="14" t="n"/>
      <c r="J13" s="14" t="n"/>
    </row>
    <row r="14">
      <c r="A14" s="15" t="inlineStr">
        <is>
          <t>DATA-010</t>
        </is>
      </c>
      <c r="B14" s="15" t="inlineStr">
        <is>
          <t>AI-powered DLP</t>
        </is>
      </c>
      <c r="C14" s="14" t="n"/>
      <c r="D14" s="14" t="n"/>
      <c r="E14" s="14" t="n"/>
      <c r="F14" s="14" t="n"/>
      <c r="G14" s="16">
        <f>IF(F14&gt;=2,"Optimal",IF(E14&gt;=2,"Advanced",IF(D14&gt;=2,"Initial","Traditional")))</f>
        <v/>
      </c>
      <c r="H14" s="14" t="n"/>
      <c r="I14" s="14" t="n"/>
      <c r="J14" s="14" t="n"/>
    </row>
  </sheetData>
  <mergeCells count="2">
    <mergeCell ref="A1:J1"/>
    <mergeCell ref="A2:J2"/>
  </mergeCells>
  <dataValidations count="2">
    <dataValidation sqref="C5:F14" showDropDown="0" showInputMessage="0" showErrorMessage="0" allowBlank="1" type="list">
      <formula1>"0,1,2,3"</formula1>
    </dataValidation>
    <dataValidation sqref="H5:H14" showDropDown="0" showInputMessage="0" showErrorMessage="0" allowBlank="1" type="list">
      <formula1>"Traditional,Initial,Advanced,Optimal"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VISIBILITY PILLAR ASSESSMENT</t>
        </is>
      </c>
    </row>
    <row r="2">
      <c r="A2" s="12" t="inlineStr">
        <is>
          <t>Assess visibility pillar maturity from traditional to optimal Zero Trust posture</t>
        </is>
      </c>
      <c r="B2" s="6" t="n"/>
      <c r="C2" s="6" t="n"/>
      <c r="D2" s="6" t="n"/>
      <c r="E2" s="6" t="n"/>
      <c r="F2" s="6" t="n"/>
      <c r="G2" s="6" t="n"/>
      <c r="H2" s="6" t="n"/>
      <c r="I2" s="6" t="n"/>
      <c r="J2" s="6" t="n"/>
    </row>
    <row r="4">
      <c r="A4" s="11" t="inlineStr">
        <is>
          <t>VIS-ID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VIS-001</t>
        </is>
      </c>
      <c r="B5" s="15" t="inlineStr">
        <is>
          <t>Perimeter logging</t>
        </is>
      </c>
      <c r="C5" s="14" t="n"/>
      <c r="D5" s="14" t="n"/>
      <c r="E5" s="14" t="n"/>
      <c r="F5" s="14" t="n"/>
      <c r="G5" s="16">
        <f>IF(F5&gt;=2,"Optimal",IF(E5&gt;=2,"Advanced",IF(D5&gt;=2,"Initial","Traditional")))</f>
        <v/>
      </c>
      <c r="H5" s="14" t="n"/>
      <c r="I5" s="14" t="n"/>
      <c r="J5" s="14" t="n"/>
    </row>
    <row r="6">
      <c r="A6" s="15" t="inlineStr">
        <is>
          <t>VIS-002</t>
        </is>
      </c>
      <c r="B6" s="15" t="inlineStr">
        <is>
          <t>Centralised logging</t>
        </is>
      </c>
      <c r="C6" s="14" t="n"/>
      <c r="D6" s="14" t="n"/>
      <c r="E6" s="14" t="n"/>
      <c r="F6" s="14" t="n"/>
      <c r="G6" s="16">
        <f>IF(F6&gt;=2,"Optimal",IF(E6&gt;=2,"Advanced",IF(D6&gt;=2,"Initial","Traditional")))</f>
        <v/>
      </c>
      <c r="H6" s="14" t="n"/>
      <c r="I6" s="14" t="n"/>
      <c r="J6" s="14" t="n"/>
    </row>
    <row r="7">
      <c r="A7" s="15" t="inlineStr">
        <is>
          <t>VIS-003</t>
        </is>
      </c>
      <c r="B7" s="15" t="inlineStr">
        <is>
          <t>Full telemetry collection</t>
        </is>
      </c>
      <c r="C7" s="14" t="n"/>
      <c r="D7" s="14" t="n"/>
      <c r="E7" s="14" t="n"/>
      <c r="F7" s="14" t="n"/>
      <c r="G7" s="16">
        <f>IF(F7&gt;=2,"Optimal",IF(E7&gt;=2,"Advanced",IF(D7&gt;=2,"Initial","Traditional")))</f>
        <v/>
      </c>
      <c r="H7" s="14" t="n"/>
      <c r="I7" s="14" t="n"/>
      <c r="J7" s="14" t="n"/>
    </row>
    <row r="8">
      <c r="A8" s="15" t="inlineStr">
        <is>
          <t>VIS-004</t>
        </is>
      </c>
      <c r="B8" s="15" t="inlineStr">
        <is>
          <t>SIEM deployment</t>
        </is>
      </c>
      <c r="C8" s="14" t="n"/>
      <c r="D8" s="14" t="n"/>
      <c r="E8" s="14" t="n"/>
      <c r="F8" s="14" t="n"/>
      <c r="G8" s="16">
        <f>IF(F8&gt;=2,"Optimal",IF(E8&gt;=2,"Advanced",IF(D8&gt;=2,"Initial","Traditional")))</f>
        <v/>
      </c>
      <c r="H8" s="14" t="n"/>
      <c r="I8" s="14" t="n"/>
      <c r="J8" s="14" t="n"/>
    </row>
    <row r="9">
      <c r="A9" s="15" t="inlineStr">
        <is>
          <t>VIS-005</t>
        </is>
      </c>
      <c r="B9" s="15" t="inlineStr">
        <is>
          <t>UEBA integration</t>
        </is>
      </c>
      <c r="C9" s="14" t="n"/>
      <c r="D9" s="14" t="n"/>
      <c r="E9" s="14" t="n"/>
      <c r="F9" s="14" t="n"/>
      <c r="G9" s="16">
        <f>IF(F9&gt;=2,"Optimal",IF(E9&gt;=2,"Advanced",IF(D9&gt;=2,"Initial","Traditional")))</f>
        <v/>
      </c>
      <c r="H9" s="14" t="n"/>
      <c r="I9" s="14" t="n"/>
      <c r="J9" s="14" t="n"/>
    </row>
    <row r="10">
      <c r="A10" s="15" t="inlineStr">
        <is>
          <t>VIS-006</t>
        </is>
      </c>
      <c r="B10" s="15" t="inlineStr">
        <is>
          <t>ML-based analytics</t>
        </is>
      </c>
      <c r="C10" s="14" t="n"/>
      <c r="D10" s="14" t="n"/>
      <c r="E10" s="14" t="n"/>
      <c r="F10" s="14" t="n"/>
      <c r="G10" s="16">
        <f>IF(F10&gt;=2,"Optimal",IF(E10&gt;=2,"Advanced",IF(D10&gt;=2,"Initial","Traditional")))</f>
        <v/>
      </c>
      <c r="H10" s="14" t="n"/>
      <c r="I10" s="14" t="n"/>
      <c r="J10" s="14" t="n"/>
    </row>
    <row r="11">
      <c r="A11" s="15" t="inlineStr">
        <is>
          <t>VIS-007</t>
        </is>
      </c>
      <c r="B11" s="15" t="inlineStr">
        <is>
          <t>Behaviour-based detection</t>
        </is>
      </c>
      <c r="C11" s="14" t="n"/>
      <c r="D11" s="14" t="n"/>
      <c r="E11" s="14" t="n"/>
      <c r="F11" s="14" t="n"/>
      <c r="G11" s="16">
        <f>IF(F11&gt;=2,"Optimal",IF(E11&gt;=2,"Advanced",IF(D11&gt;=2,"Initial","Traditional")))</f>
        <v/>
      </c>
      <c r="H11" s="14" t="n"/>
      <c r="I11" s="14" t="n"/>
      <c r="J11" s="14" t="n"/>
    </row>
    <row r="12">
      <c r="A12" s="15" t="inlineStr">
        <is>
          <t>VIS-008</t>
        </is>
      </c>
      <c r="B12" s="15" t="inlineStr">
        <is>
          <t>Guided investigation</t>
        </is>
      </c>
      <c r="C12" s="14" t="n"/>
      <c r="D12" s="14" t="n"/>
      <c r="E12" s="14" t="n"/>
      <c r="F12" s="14" t="n"/>
      <c r="G12" s="16">
        <f>IF(F12&gt;=2,"Optimal",IF(E12&gt;=2,"Advanced",IF(D12&gt;=2,"Initial","Traditional")))</f>
        <v/>
      </c>
      <c r="H12" s="14" t="n"/>
      <c r="I12" s="14" t="n"/>
      <c r="J12" s="14" t="n"/>
    </row>
  </sheetData>
  <mergeCells count="2">
    <mergeCell ref="A1:J1"/>
    <mergeCell ref="A2:J2"/>
  </mergeCells>
  <dataValidations count="2">
    <dataValidation sqref="C5:F12" showDropDown="0" showInputMessage="0" showErrorMessage="0" allowBlank="1" type="list">
      <formula1>"0,1,2,3"</formula1>
    </dataValidation>
    <dataValidation sqref="H5:H12" showDropDown="0" showInputMessage="0" showErrorMessage="0" allowBlank="1" type="list">
      <formula1>"Traditional,Initial,Advanced,Optimal"</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AUTOMATION PILLAR ASSESSMENT</t>
        </is>
      </c>
    </row>
    <row r="2">
      <c r="A2" s="12" t="inlineStr">
        <is>
          <t>Assess automation pillar maturity from traditional to optimal Zero Trust posture</t>
        </is>
      </c>
      <c r="B2" s="6" t="n"/>
      <c r="C2" s="6" t="n"/>
      <c r="D2" s="6" t="n"/>
      <c r="E2" s="6" t="n"/>
      <c r="F2" s="6" t="n"/>
      <c r="G2" s="6" t="n"/>
      <c r="H2" s="6" t="n"/>
      <c r="I2" s="6" t="n"/>
      <c r="J2" s="6" t="n"/>
    </row>
    <row r="4">
      <c r="A4" s="11" t="inlineStr">
        <is>
          <t>AUTO-ID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AUTO-001</t>
        </is>
      </c>
      <c r="B5" s="15" t="inlineStr">
        <is>
          <t>Manual policy deployment</t>
        </is>
      </c>
      <c r="C5" s="14" t="n"/>
      <c r="D5" s="14" t="n"/>
      <c r="E5" s="14" t="n"/>
      <c r="F5" s="14" t="n"/>
      <c r="G5" s="16">
        <f>IF(F5&gt;=2,"Optimal",IF(E5&gt;=2,"Advanced",IF(D5&gt;=2,"Initial","Traditional")))</f>
        <v/>
      </c>
      <c r="H5" s="14" t="n"/>
      <c r="I5" s="14" t="n"/>
      <c r="J5" s="14" t="n"/>
    </row>
    <row r="6">
      <c r="A6" s="15" t="inlineStr">
        <is>
          <t>AUTO-002</t>
        </is>
      </c>
      <c r="B6" s="15" t="inlineStr">
        <is>
          <t>Scripted policy automation</t>
        </is>
      </c>
      <c r="C6" s="14" t="n"/>
      <c r="D6" s="14" t="n"/>
      <c r="E6" s="14" t="n"/>
      <c r="F6" s="14" t="n"/>
      <c r="G6" s="16">
        <f>IF(F6&gt;=2,"Optimal",IF(E6&gt;=2,"Advanced",IF(D6&gt;=2,"Initial","Traditional")))</f>
        <v/>
      </c>
      <c r="H6" s="14" t="n"/>
      <c r="I6" s="14" t="n"/>
      <c r="J6" s="14" t="n"/>
    </row>
    <row r="7">
      <c r="A7" s="15" t="inlineStr">
        <is>
          <t>AUTO-003</t>
        </is>
      </c>
      <c r="B7" s="15" t="inlineStr">
        <is>
          <t>Policy as code</t>
        </is>
      </c>
      <c r="C7" s="14" t="n"/>
      <c r="D7" s="14" t="n"/>
      <c r="E7" s="14" t="n"/>
      <c r="F7" s="14" t="n"/>
      <c r="G7" s="16">
        <f>IF(F7&gt;=2,"Optimal",IF(E7&gt;=2,"Advanced",IF(D7&gt;=2,"Initial","Traditional")))</f>
        <v/>
      </c>
      <c r="H7" s="14" t="n"/>
      <c r="I7" s="14" t="n"/>
      <c r="J7" s="14" t="n"/>
    </row>
    <row r="8">
      <c r="A8" s="15" t="inlineStr">
        <is>
          <t>AUTO-004</t>
        </is>
      </c>
      <c r="B8" s="15" t="inlineStr">
        <is>
          <t>Intent-based policy</t>
        </is>
      </c>
      <c r="C8" s="14" t="n"/>
      <c r="D8" s="14" t="n"/>
      <c r="E8" s="14" t="n"/>
      <c r="F8" s="14" t="n"/>
      <c r="G8" s="16">
        <f>IF(F8&gt;=2,"Optimal",IF(E8&gt;=2,"Advanced",IF(D8&gt;=2,"Initial","Traditional")))</f>
        <v/>
      </c>
      <c r="H8" s="14" t="n"/>
      <c r="I8" s="14" t="n"/>
      <c r="J8" s="14" t="n"/>
    </row>
    <row r="9">
      <c r="A9" s="15" t="inlineStr">
        <is>
          <t>AUTO-005</t>
        </is>
      </c>
      <c r="B9" s="15" t="inlineStr">
        <is>
          <t>Basic response playbooks</t>
        </is>
      </c>
      <c r="C9" s="14" t="n"/>
      <c r="D9" s="14" t="n"/>
      <c r="E9" s="14" t="n"/>
      <c r="F9" s="14" t="n"/>
      <c r="G9" s="16">
        <f>IF(F9&gt;=2,"Optimal",IF(E9&gt;=2,"Advanced",IF(D9&gt;=2,"Initial","Traditional")))</f>
        <v/>
      </c>
      <c r="H9" s="14" t="n"/>
      <c r="I9" s="14" t="n"/>
      <c r="J9" s="14" t="n"/>
    </row>
    <row r="10">
      <c r="A10" s="15" t="inlineStr">
        <is>
          <t>AUTO-006</t>
        </is>
      </c>
      <c r="B10" s="15" t="inlineStr">
        <is>
          <t>SOAR integration</t>
        </is>
      </c>
      <c r="C10" s="14" t="n"/>
      <c r="D10" s="14" t="n"/>
      <c r="E10" s="14" t="n"/>
      <c r="F10" s="14" t="n"/>
      <c r="G10" s="16">
        <f>IF(F10&gt;=2,"Optimal",IF(E10&gt;=2,"Advanced",IF(D10&gt;=2,"Initial","Traditional")))</f>
        <v/>
      </c>
      <c r="H10" s="14" t="n"/>
      <c r="I10" s="14" t="n"/>
      <c r="J10" s="14" t="n"/>
    </row>
    <row r="11">
      <c r="A11" s="15" t="inlineStr">
        <is>
          <t>AUTO-007</t>
        </is>
      </c>
      <c r="B11" s="15" t="inlineStr">
        <is>
          <t>Auto-remediation</t>
        </is>
      </c>
      <c r="C11" s="14" t="n"/>
      <c r="D11" s="14" t="n"/>
      <c r="E11" s="14" t="n"/>
      <c r="F11" s="14" t="n"/>
      <c r="G11" s="16">
        <f>IF(F11&gt;=2,"Optimal",IF(E11&gt;=2,"Advanced",IF(D11&gt;=2,"Initial","Traditional")))</f>
        <v/>
      </c>
      <c r="H11" s="14" t="n"/>
      <c r="I11" s="14" t="n"/>
      <c r="J11" s="14" t="n"/>
    </row>
    <row r="12">
      <c r="A12" s="15" t="inlineStr">
        <is>
          <t>AUTO-008</t>
        </is>
      </c>
      <c r="B12" s="15" t="inlineStr">
        <is>
          <t>Self-healing security</t>
        </is>
      </c>
      <c r="C12" s="14" t="n"/>
      <c r="D12" s="14" t="n"/>
      <c r="E12" s="14" t="n"/>
      <c r="F12" s="14" t="n"/>
      <c r="G12" s="16">
        <f>IF(F12&gt;=2,"Optimal",IF(E12&gt;=2,"Advanced",IF(D12&gt;=2,"Initial","Traditional")))</f>
        <v/>
      </c>
      <c r="H12" s="14" t="n"/>
      <c r="I12" s="14" t="n"/>
      <c r="J12" s="14" t="n"/>
    </row>
  </sheetData>
  <mergeCells count="2">
    <mergeCell ref="A1:J1"/>
    <mergeCell ref="A2:J2"/>
  </mergeCells>
  <dataValidations count="2">
    <dataValidation sqref="C5:F12" showDropDown="0" showInputMessage="0" showErrorMessage="0" allowBlank="1" type="list">
      <formula1>"0,1,2,3"</formula1>
    </dataValidation>
    <dataValidation sqref="H5:H12" showDropDown="0" showInputMessage="0" showErrorMessage="0" allowBlank="1" type="list">
      <formula1>"Traditional,Initial,Advanced,Optimal"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7"/>
  <sheetViews>
    <sheetView showGridLines="0" workbookViewId="0">
      <pane ySplit="5" topLeftCell="A6" activePane="bottomLeft" state="frozen"/>
      <selection pane="bottomLeft" activeCell="A1" sqref="A1"/>
    </sheetView>
  </sheetViews>
  <sheetFormatPr baseColWidth="8" defaultRowHeight="15"/>
  <cols>
    <col width="10" customWidth="1" min="1" max="1"/>
    <col width="40" customWidth="1" min="2" max="2"/>
    <col width="20" customWidth="1" min="3" max="3"/>
    <col width="12" customWidth="1" min="4" max="4"/>
    <col width="35" customWidth="1" min="5" max="5"/>
    <col width="10" customWidth="1" min="6" max="6"/>
    <col width="25" customWidth="1" min="7" max="7"/>
  </cols>
  <sheetData>
    <row r="1" ht="35" customHeight="1">
      <c r="A1" s="11" t="inlineStr">
        <is>
          <t>ZERO TRUST - POLICY COMPLIANCE SCORING</t>
        </is>
      </c>
    </row>
    <row r="2">
      <c r="A2" s="12" t="inlineStr">
        <is>
          <t>Score compliance with Zero Trust policy requirements and NIST 800-207 control objectives</t>
        </is>
      </c>
      <c r="B2" s="6" t="n"/>
      <c r="C2" s="6" t="n"/>
      <c r="D2" s="6" t="n"/>
      <c r="E2" s="6" t="n"/>
      <c r="F2" s="6" t="n"/>
      <c r="G2" s="6" t="n"/>
    </row>
    <row r="4">
      <c r="A4" s="11" t="inlineStr">
        <is>
          <t>Comp-ID</t>
        </is>
      </c>
      <c r="B4" s="11" t="inlineStr">
        <is>
          <t>Requirement</t>
        </is>
      </c>
      <c r="C4" s="11" t="inlineStr">
        <is>
          <t>Source</t>
        </is>
      </c>
      <c r="D4" s="11" t="inlineStr">
        <is>
          <t>Compliant</t>
        </is>
      </c>
      <c r="E4" s="11" t="inlineStr">
        <is>
          <t>Evidence</t>
        </is>
      </c>
      <c r="F4" s="11" t="inlineStr">
        <is>
          <t>Score</t>
        </is>
      </c>
      <c r="G4" s="11" t="inlineStr">
        <is>
          <t>Notes</t>
        </is>
      </c>
    </row>
    <row r="5">
      <c r="A5" s="13" t="inlineStr">
        <is>
          <t>COMP-001</t>
        </is>
      </c>
      <c r="B5" s="13" t="inlineStr">
        <is>
          <t>Never trust, always verify principle implemented</t>
        </is>
      </c>
      <c r="C5" s="13" t="inlineStr">
        <is>
          <t>POL-A.8.27 §2.1</t>
        </is>
      </c>
      <c r="D5" s="13" t="inlineStr">
        <is>
          <t>Yes</t>
        </is>
      </c>
      <c r="E5" s="13" t="inlineStr">
        <is>
          <t>Zero Trust strategy documentation</t>
        </is>
      </c>
      <c r="F5" s="13">
        <f>IF(D5="✅ Yes",100,IF(D5="⚠️ Partial",50,0))</f>
        <v/>
      </c>
      <c r="G5" s="13" t="inlineStr">
        <is>
          <t>Strategy aligns with NIST 800-207</t>
        </is>
      </c>
    </row>
    <row r="6">
      <c r="A6" s="14" t="n"/>
      <c r="B6" s="14" t="n"/>
      <c r="C6" s="14" t="n"/>
      <c r="D6" s="14" t="n"/>
      <c r="E6" s="14" t="n"/>
      <c r="F6" s="16">
        <f>IF(D6="✅ Yes",100,IF(D6="⚠️ Partial",50,0))</f>
        <v/>
      </c>
      <c r="G6" s="14" t="n"/>
    </row>
    <row r="7">
      <c r="A7" s="14" t="n"/>
      <c r="B7" s="14" t="n"/>
      <c r="C7" s="14" t="n"/>
      <c r="D7" s="14" t="n"/>
      <c r="E7" s="14" t="n"/>
      <c r="F7" s="16">
        <f>IF(D7="✅ Yes",100,IF(D7="⚠️ Partial",50,0))</f>
        <v/>
      </c>
      <c r="G7" s="14" t="n"/>
    </row>
    <row r="8">
      <c r="A8" s="14" t="n"/>
      <c r="B8" s="14" t="n"/>
      <c r="C8" s="14" t="n"/>
      <c r="D8" s="14" t="n"/>
      <c r="E8" s="14" t="n"/>
      <c r="F8" s="16">
        <f>IF(D8="✅ Yes",100,IF(D8="⚠️ Partial",50,0))</f>
        <v/>
      </c>
      <c r="G8" s="14" t="n"/>
    </row>
    <row r="9">
      <c r="A9" s="14" t="n"/>
      <c r="B9" s="14" t="n"/>
      <c r="C9" s="14" t="n"/>
      <c r="D9" s="14" t="n"/>
      <c r="E9" s="14" t="n"/>
      <c r="F9" s="16">
        <f>IF(D9="✅ Yes",100,IF(D9="⚠️ Partial",50,0))</f>
        <v/>
      </c>
      <c r="G9" s="14" t="n"/>
    </row>
    <row r="10">
      <c r="A10" s="14" t="n"/>
      <c r="B10" s="14" t="n"/>
      <c r="C10" s="14" t="n"/>
      <c r="D10" s="14" t="n"/>
      <c r="E10" s="14" t="n"/>
      <c r="F10" s="16">
        <f>IF(D10="✅ Yes",100,IF(D10="⚠️ Partial",50,0))</f>
        <v/>
      </c>
      <c r="G10" s="14" t="n"/>
    </row>
    <row r="11">
      <c r="A11" s="14" t="n"/>
      <c r="B11" s="14" t="n"/>
      <c r="C11" s="14" t="n"/>
      <c r="D11" s="14" t="n"/>
      <c r="E11" s="14" t="n"/>
      <c r="F11" s="16">
        <f>IF(D11="✅ Yes",100,IF(D11="⚠️ Partial",50,0))</f>
        <v/>
      </c>
      <c r="G11" s="14" t="n"/>
    </row>
    <row r="12">
      <c r="A12" s="14" t="n"/>
      <c r="B12" s="14" t="n"/>
      <c r="C12" s="14" t="n"/>
      <c r="D12" s="14" t="n"/>
      <c r="E12" s="14" t="n"/>
      <c r="F12" s="16">
        <f>IF(D12="✅ Yes",100,IF(D12="⚠️ Partial",50,0))</f>
        <v/>
      </c>
      <c r="G12" s="14" t="n"/>
    </row>
    <row r="13">
      <c r="A13" s="14" t="n"/>
      <c r="B13" s="14" t="n"/>
      <c r="C13" s="14" t="n"/>
      <c r="D13" s="14" t="n"/>
      <c r="E13" s="14" t="n"/>
      <c r="F13" s="16">
        <f>IF(D13="✅ Yes",100,IF(D13="⚠️ Partial",50,0))</f>
        <v/>
      </c>
      <c r="G13" s="14" t="n"/>
    </row>
    <row r="14">
      <c r="A14" s="14" t="n"/>
      <c r="B14" s="14" t="n"/>
      <c r="C14" s="14" t="n"/>
      <c r="D14" s="14" t="n"/>
      <c r="E14" s="14" t="n"/>
      <c r="F14" s="16">
        <f>IF(D14="✅ Yes",100,IF(D14="⚠️ Partial",50,0))</f>
        <v/>
      </c>
      <c r="G14" s="14" t="n"/>
    </row>
    <row r="15">
      <c r="A15" s="14" t="n"/>
      <c r="B15" s="14" t="n"/>
      <c r="C15" s="14" t="n"/>
      <c r="D15" s="14" t="n"/>
      <c r="E15" s="14" t="n"/>
      <c r="F15" s="16">
        <f>IF(D15="✅ Yes",100,IF(D15="⚠️ Partial",50,0))</f>
        <v/>
      </c>
      <c r="G15" s="14" t="n"/>
    </row>
    <row r="16">
      <c r="A16" s="14" t="n"/>
      <c r="B16" s="14" t="n"/>
      <c r="C16" s="14" t="n"/>
      <c r="D16" s="14" t="n"/>
      <c r="E16" s="14" t="n"/>
      <c r="F16" s="16">
        <f>IF(D16="✅ Yes",100,IF(D16="⚠️ Partial",50,0))</f>
        <v/>
      </c>
      <c r="G16" s="14" t="n"/>
    </row>
    <row r="17">
      <c r="A17" s="14" t="n"/>
      <c r="B17" s="14" t="n"/>
      <c r="C17" s="14" t="n"/>
      <c r="D17" s="14" t="n"/>
      <c r="E17" s="14" t="n"/>
      <c r="F17" s="16">
        <f>IF(D17="✅ Yes",100,IF(D17="⚠️ Partial",50,0))</f>
        <v/>
      </c>
      <c r="G17" s="14" t="n"/>
    </row>
    <row r="18">
      <c r="A18" s="14" t="n"/>
      <c r="B18" s="14" t="n"/>
      <c r="C18" s="14" t="n"/>
      <c r="D18" s="14" t="n"/>
      <c r="E18" s="14" t="n"/>
      <c r="F18" s="16">
        <f>IF(D18="✅ Yes",100,IF(D18="⚠️ Partial",50,0))</f>
        <v/>
      </c>
      <c r="G18" s="14" t="n"/>
    </row>
    <row r="19">
      <c r="A19" s="14" t="n"/>
      <c r="B19" s="14" t="n"/>
      <c r="C19" s="14" t="n"/>
      <c r="D19" s="14" t="n"/>
      <c r="E19" s="14" t="n"/>
      <c r="F19" s="16">
        <f>IF(D19="✅ Yes",100,IF(D19="⚠️ Partial",50,0))</f>
        <v/>
      </c>
      <c r="G19" s="14" t="n"/>
    </row>
    <row r="20">
      <c r="A20" s="14" t="n"/>
      <c r="B20" s="14" t="n"/>
      <c r="C20" s="14" t="n"/>
      <c r="D20" s="14" t="n"/>
      <c r="E20" s="14" t="n"/>
      <c r="F20" s="16">
        <f>IF(D20="✅ Yes",100,IF(D20="⚠️ Partial",50,0))</f>
        <v/>
      </c>
      <c r="G20" s="14" t="n"/>
    </row>
    <row r="21">
      <c r="A21" s="14" t="n"/>
      <c r="B21" s="14" t="n"/>
      <c r="C21" s="14" t="n"/>
      <c r="D21" s="14" t="n"/>
      <c r="E21" s="14" t="n"/>
      <c r="F21" s="16">
        <f>IF(D21="✅ Yes",100,IF(D21="⚠️ Partial",50,0))</f>
        <v/>
      </c>
      <c r="G21" s="14" t="n"/>
    </row>
    <row r="22">
      <c r="A22" s="14" t="n"/>
      <c r="B22" s="14" t="n"/>
      <c r="C22" s="14" t="n"/>
      <c r="D22" s="14" t="n"/>
      <c r="E22" s="14" t="n"/>
      <c r="F22" s="16">
        <f>IF(D22="✅ Yes",100,IF(D22="⚠️ Partial",50,0))</f>
        <v/>
      </c>
      <c r="G22" s="14" t="n"/>
    </row>
    <row r="23">
      <c r="A23" s="14" t="n"/>
      <c r="B23" s="14" t="n"/>
      <c r="C23" s="14" t="n"/>
      <c r="D23" s="14" t="n"/>
      <c r="E23" s="14" t="n"/>
      <c r="F23" s="16">
        <f>IF(D23="✅ Yes",100,IF(D23="⚠️ Partial",50,0))</f>
        <v/>
      </c>
      <c r="G23" s="14" t="n"/>
    </row>
    <row r="24">
      <c r="A24" s="14" t="n"/>
      <c r="B24" s="14" t="n"/>
      <c r="C24" s="14" t="n"/>
      <c r="D24" s="14" t="n"/>
      <c r="E24" s="14" t="n"/>
      <c r="F24" s="16">
        <f>IF(D24="✅ Yes",100,IF(D24="⚠️ Partial",50,0))</f>
        <v/>
      </c>
      <c r="G24" s="14" t="n"/>
    </row>
    <row r="25">
      <c r="A25" s="14" t="n"/>
      <c r="B25" s="14" t="n"/>
      <c r="C25" s="14" t="n"/>
      <c r="D25" s="14" t="n"/>
      <c r="E25" s="14" t="n"/>
      <c r="F25" s="16">
        <f>IF(D25="✅ Yes",100,IF(D25="⚠️ Partial",50,0))</f>
        <v/>
      </c>
      <c r="G25" s="14" t="n"/>
    </row>
    <row r="26">
      <c r="A26" s="14" t="n"/>
      <c r="B26" s="14" t="n"/>
      <c r="C26" s="14" t="n"/>
      <c r="D26" s="14" t="n"/>
      <c r="E26" s="14" t="n"/>
      <c r="F26" s="16">
        <f>IF(D26="✅ Yes",100,IF(D26="⚠️ Partial",50,0))</f>
        <v/>
      </c>
      <c r="G26" s="14" t="n"/>
    </row>
    <row r="27">
      <c r="A27" s="14" t="n"/>
      <c r="B27" s="14" t="n"/>
      <c r="C27" s="14" t="n"/>
      <c r="D27" s="14" t="n"/>
      <c r="E27" s="14" t="n"/>
      <c r="F27" s="16">
        <f>IF(D27="✅ Yes",100,IF(D27="⚠️ Partial",50,0))</f>
        <v/>
      </c>
      <c r="G27" s="14" t="n"/>
    </row>
    <row r="28">
      <c r="A28" s="14" t="n"/>
      <c r="B28" s="14" t="n"/>
      <c r="C28" s="14" t="n"/>
      <c r="D28" s="14" t="n"/>
      <c r="E28" s="14" t="n"/>
      <c r="F28" s="16">
        <f>IF(D28="✅ Yes",100,IF(D28="⚠️ Partial",50,0))</f>
        <v/>
      </c>
      <c r="G28" s="14" t="n"/>
    </row>
    <row r="29">
      <c r="A29" s="14" t="n"/>
      <c r="B29" s="14" t="n"/>
      <c r="C29" s="14" t="n"/>
      <c r="D29" s="14" t="n"/>
      <c r="E29" s="14" t="n"/>
      <c r="F29" s="16">
        <f>IF(D29="✅ Yes",100,IF(D29="⚠️ Partial",50,0))</f>
        <v/>
      </c>
      <c r="G29" s="14" t="n"/>
    </row>
    <row r="30">
      <c r="A30" s="14" t="n"/>
      <c r="B30" s="14" t="n"/>
      <c r="C30" s="14" t="n"/>
      <c r="D30" s="14" t="n"/>
      <c r="E30" s="14" t="n"/>
      <c r="F30" s="16">
        <f>IF(D30="✅ Yes",100,IF(D30="⚠️ Partial",50,0))</f>
        <v/>
      </c>
      <c r="G30" s="14" t="n"/>
    </row>
    <row r="31">
      <c r="A31" s="14" t="n"/>
      <c r="B31" s="14" t="n"/>
      <c r="C31" s="14" t="n"/>
      <c r="D31" s="14" t="n"/>
      <c r="E31" s="14" t="n"/>
      <c r="F31" s="16">
        <f>IF(D31="✅ Yes",100,IF(D31="⚠️ Partial",50,0))</f>
        <v/>
      </c>
      <c r="G31" s="14" t="n"/>
    </row>
    <row r="32">
      <c r="A32" s="14" t="n"/>
      <c r="B32" s="14" t="n"/>
      <c r="C32" s="14" t="n"/>
      <c r="D32" s="14" t="n"/>
      <c r="E32" s="14" t="n"/>
      <c r="F32" s="16">
        <f>IF(D32="✅ Yes",100,IF(D32="⚠️ Partial",50,0))</f>
        <v/>
      </c>
      <c r="G32" s="14" t="n"/>
    </row>
    <row r="33">
      <c r="A33" s="14" t="n"/>
      <c r="B33" s="14" t="n"/>
      <c r="C33" s="14" t="n"/>
      <c r="D33" s="14" t="n"/>
      <c r="E33" s="14" t="n"/>
      <c r="F33" s="16">
        <f>IF(D33="✅ Yes",100,IF(D33="⚠️ Partial",50,0))</f>
        <v/>
      </c>
      <c r="G33" s="14" t="n"/>
    </row>
    <row r="34">
      <c r="A34" s="14" t="n"/>
      <c r="B34" s="14" t="n"/>
      <c r="C34" s="14" t="n"/>
      <c r="D34" s="14" t="n"/>
      <c r="E34" s="14" t="n"/>
      <c r="F34" s="16">
        <f>IF(D34="✅ Yes",100,IF(D34="⚠️ Partial",50,0))</f>
        <v/>
      </c>
      <c r="G34" s="14" t="n"/>
    </row>
    <row r="35">
      <c r="A35" s="14" t="n"/>
      <c r="B35" s="14" t="n"/>
      <c r="C35" s="14" t="n"/>
      <c r="D35" s="14" t="n"/>
      <c r="E35" s="14" t="n"/>
      <c r="F35" s="16">
        <f>IF(D35="✅ Yes",100,IF(D35="⚠️ Partial",50,0))</f>
        <v/>
      </c>
      <c r="G35" s="14" t="n"/>
    </row>
    <row r="36">
      <c r="A36" s="14" t="n"/>
      <c r="B36" s="14" t="n"/>
      <c r="C36" s="14" t="n"/>
      <c r="D36" s="14" t="n"/>
      <c r="E36" s="14" t="n"/>
      <c r="F36" s="16">
        <f>IF(D36="✅ Yes",100,IF(D36="⚠️ Partial",50,0))</f>
        <v/>
      </c>
      <c r="G36" s="14" t="n"/>
    </row>
    <row r="37">
      <c r="A37" s="14" t="n"/>
      <c r="B37" s="14" t="n"/>
      <c r="C37" s="14" t="n"/>
      <c r="D37" s="14" t="n"/>
      <c r="E37" s="14" t="n"/>
      <c r="F37" s="16">
        <f>IF(D37="✅ Yes",100,IF(D37="⚠️ Partial",50,0))</f>
        <v/>
      </c>
      <c r="G37" s="14" t="n"/>
    </row>
    <row r="38">
      <c r="A38" s="14" t="n"/>
      <c r="B38" s="14" t="n"/>
      <c r="C38" s="14" t="n"/>
      <c r="D38" s="14" t="n"/>
      <c r="E38" s="14" t="n"/>
      <c r="F38" s="16">
        <f>IF(D38="✅ Yes",100,IF(D38="⚠️ Partial",50,0))</f>
        <v/>
      </c>
      <c r="G38" s="14" t="n"/>
    </row>
    <row r="39">
      <c r="A39" s="14" t="n"/>
      <c r="B39" s="14" t="n"/>
      <c r="C39" s="14" t="n"/>
      <c r="D39" s="14" t="n"/>
      <c r="E39" s="14" t="n"/>
      <c r="F39" s="16">
        <f>IF(D39="✅ Yes",100,IF(D39="⚠️ Partial",50,0))</f>
        <v/>
      </c>
      <c r="G39" s="14" t="n"/>
    </row>
    <row r="40">
      <c r="A40" s="14" t="n"/>
      <c r="B40" s="14" t="n"/>
      <c r="C40" s="14" t="n"/>
      <c r="D40" s="14" t="n"/>
      <c r="E40" s="14" t="n"/>
      <c r="F40" s="16">
        <f>IF(D40="✅ Yes",100,IF(D40="⚠️ Partial",50,0))</f>
        <v/>
      </c>
      <c r="G40" s="14" t="n"/>
    </row>
    <row r="41">
      <c r="A41" s="14" t="n"/>
      <c r="B41" s="14" t="n"/>
      <c r="C41" s="14" t="n"/>
      <c r="D41" s="14" t="n"/>
      <c r="E41" s="14" t="n"/>
      <c r="F41" s="16">
        <f>IF(D41="✅ Yes",100,IF(D41="⚠️ Partial",50,0))</f>
        <v/>
      </c>
      <c r="G41" s="14" t="n"/>
    </row>
    <row r="42">
      <c r="A42" s="14" t="n"/>
      <c r="B42" s="14" t="n"/>
      <c r="C42" s="14" t="n"/>
      <c r="D42" s="14" t="n"/>
      <c r="E42" s="14" t="n"/>
      <c r="F42" s="16">
        <f>IF(D42="✅ Yes",100,IF(D42="⚠️ Partial",50,0))</f>
        <v/>
      </c>
      <c r="G42" s="14" t="n"/>
    </row>
    <row r="43">
      <c r="A43" s="14" t="n"/>
      <c r="B43" s="14" t="n"/>
      <c r="C43" s="14" t="n"/>
      <c r="D43" s="14" t="n"/>
      <c r="E43" s="14" t="n"/>
      <c r="F43" s="16">
        <f>IF(D43="✅ Yes",100,IF(D43="⚠️ Partial",50,0))</f>
        <v/>
      </c>
      <c r="G43" s="14" t="n"/>
    </row>
    <row r="44">
      <c r="A44" s="14" t="n"/>
      <c r="B44" s="14" t="n"/>
      <c r="C44" s="14" t="n"/>
      <c r="D44" s="14" t="n"/>
      <c r="E44" s="14" t="n"/>
      <c r="F44" s="16">
        <f>IF(D44="✅ Yes",100,IF(D44="⚠️ Partial",50,0))</f>
        <v/>
      </c>
      <c r="G44" s="14" t="n"/>
    </row>
    <row r="45">
      <c r="A45" s="14" t="n"/>
      <c r="B45" s="14" t="n"/>
      <c r="C45" s="14" t="n"/>
      <c r="D45" s="14" t="n"/>
      <c r="E45" s="14" t="n"/>
      <c r="F45" s="16">
        <f>IF(D45="✅ Yes",100,IF(D45="⚠️ Partial",50,0))</f>
        <v/>
      </c>
      <c r="G45" s="14" t="n"/>
    </row>
    <row r="46">
      <c r="A46" s="14" t="n"/>
      <c r="B46" s="14" t="n"/>
      <c r="C46" s="14" t="n"/>
      <c r="D46" s="14" t="n"/>
      <c r="E46" s="14" t="n"/>
      <c r="F46" s="16">
        <f>IF(D46="✅ Yes",100,IF(D46="⚠️ Partial",50,0))</f>
        <v/>
      </c>
      <c r="G46" s="14" t="n"/>
    </row>
    <row r="47">
      <c r="A47" s="14" t="n"/>
      <c r="B47" s="14" t="n"/>
      <c r="C47" s="14" t="n"/>
      <c r="D47" s="14" t="n"/>
      <c r="E47" s="14" t="n"/>
      <c r="F47" s="16">
        <f>IF(D47="✅ Yes",100,IF(D47="⚠️ Partial",50,0))</f>
        <v/>
      </c>
      <c r="G47" s="14" t="n"/>
    </row>
    <row r="48">
      <c r="A48" s="14" t="n"/>
      <c r="B48" s="14" t="n"/>
      <c r="C48" s="14" t="n"/>
      <c r="D48" s="14" t="n"/>
      <c r="E48" s="14" t="n"/>
      <c r="F48" s="16">
        <f>IF(D48="✅ Yes",100,IF(D48="⚠️ Partial",50,0))</f>
        <v/>
      </c>
      <c r="G48" s="14" t="n"/>
    </row>
    <row r="49">
      <c r="A49" s="14" t="n"/>
      <c r="B49" s="14" t="n"/>
      <c r="C49" s="14" t="n"/>
      <c r="D49" s="14" t="n"/>
      <c r="E49" s="14" t="n"/>
      <c r="F49" s="16">
        <f>IF(D49="✅ Yes",100,IF(D49="⚠️ Partial",50,0))</f>
        <v/>
      </c>
      <c r="G49" s="14" t="n"/>
    </row>
    <row r="50">
      <c r="A50" s="14" t="n"/>
      <c r="B50" s="14" t="n"/>
      <c r="C50" s="14" t="n"/>
      <c r="D50" s="14" t="n"/>
      <c r="E50" s="14" t="n"/>
      <c r="F50" s="16">
        <f>IF(D50="✅ Yes",100,IF(D50="⚠️ Partial",50,0))</f>
        <v/>
      </c>
      <c r="G50" s="14" t="n"/>
    </row>
    <row r="51">
      <c r="A51" s="14" t="n"/>
      <c r="B51" s="14" t="n"/>
      <c r="C51" s="14" t="n"/>
      <c r="D51" s="14" t="n"/>
      <c r="E51" s="14" t="n"/>
      <c r="F51" s="16">
        <f>IF(D51="✅ Yes",100,IF(D51="⚠️ Partial",50,0))</f>
        <v/>
      </c>
      <c r="G51" s="14" t="n"/>
    </row>
    <row r="52">
      <c r="A52" s="14" t="n"/>
      <c r="B52" s="14" t="n"/>
      <c r="C52" s="14" t="n"/>
      <c r="D52" s="14" t="n"/>
      <c r="E52" s="14" t="n"/>
      <c r="F52" s="16">
        <f>IF(D52="✅ Yes",100,IF(D52="⚠️ Partial",50,0))</f>
        <v/>
      </c>
      <c r="G52" s="14" t="n"/>
    </row>
    <row r="53">
      <c r="A53" s="14" t="n"/>
      <c r="B53" s="14" t="n"/>
      <c r="C53" s="14" t="n"/>
      <c r="D53" s="14" t="n"/>
      <c r="E53" s="14" t="n"/>
      <c r="F53" s="16">
        <f>IF(D53="✅ Yes",100,IF(D53="⚠️ Partial",50,0))</f>
        <v/>
      </c>
      <c r="G53" s="14" t="n"/>
    </row>
    <row r="54">
      <c r="A54" s="14" t="n"/>
      <c r="B54" s="14" t="n"/>
      <c r="C54" s="14" t="n"/>
      <c r="D54" s="14" t="n"/>
      <c r="E54" s="14" t="n"/>
      <c r="F54" s="16">
        <f>IF(D54="✅ Yes",100,IF(D54="⚠️ Partial",50,0))</f>
        <v/>
      </c>
      <c r="G54" s="14" t="n"/>
    </row>
    <row r="55">
      <c r="A55" s="14" t="n"/>
      <c r="B55" s="14" t="n"/>
      <c r="C55" s="14" t="n"/>
      <c r="D55" s="14" t="n"/>
      <c r="E55" s="14" t="n"/>
      <c r="F55" s="16">
        <f>IF(D55="✅ Yes",100,IF(D55="⚠️ Partial",50,0))</f>
        <v/>
      </c>
      <c r="G55" s="14" t="n"/>
    </row>
    <row r="57">
      <c r="E57" s="17" t="inlineStr">
        <is>
          <t>Overall Compliance:</t>
        </is>
      </c>
      <c r="F57" s="17">
        <f>AVERAGE(F6:F55)</f>
        <v/>
      </c>
    </row>
  </sheetData>
  <mergeCells count="2">
    <mergeCell ref="A2:G2"/>
    <mergeCell ref="A1:G1"/>
  </mergeCells>
  <dataValidations count="1">
    <dataValidation sqref="D6:D55" showDropDown="0" showInputMessage="0" showErrorMessage="0" allowBlank="1" type="list">
      <formula1>"✅ Yes,⚠️ Partial,❌ 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Zero Trust Assessment</t>
        </is>
      </c>
      <c r="C5" s="22" t="inlineStr">
        <is>
          <t>Policy Document</t>
        </is>
      </c>
      <c r="D5" s="22" t="inlineStr">
        <is>
          <t>Zero trust architecture implementation documentation</t>
        </is>
      </c>
      <c r="E5" s="22" t="inlineStr">
        <is>
          <t>\\fileserver\policies\document.pdf</t>
        </is>
      </c>
      <c r="F5" s="22" t="inlineStr">
        <is>
          <t>15.01.2026</t>
        </is>
      </c>
      <c r="G5" s="22" t="inlineStr">
        <is>
          <t>Assessor Name</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25" t="inlineStr">
        <is>
          <t>ZERO TRUST IMPLEMENTATION ASSESSMENT — SUMMARY DASHBOARD</t>
        </is>
      </c>
    </row>
    <row r="2">
      <c r="A2" s="26" t="inlineStr">
        <is>
          <t>ISO/IEC 27001:2022 - Control A.8.27: Secure System Architecture and Engineering Principles</t>
        </is>
      </c>
    </row>
    <row r="4">
      <c r="A4" s="27" t="inlineStr">
        <is>
          <t>TABLE 1: ASSESSMENT AREA COMPLIANCE OVERVIEW</t>
        </is>
      </c>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Strategy</t>
        </is>
      </c>
      <c r="B6" s="29">
        <f>COUNTA('Strategy'!B6:B55)</f>
        <v/>
      </c>
      <c r="C6" s="29">
        <f>COUNTIF('Strategy'!C6:C55,"✅ Yes")</f>
        <v/>
      </c>
      <c r="D6" s="29">
        <f>COUNTIF('Strategy'!C6:C55,"⚠️ Partial")</f>
        <v/>
      </c>
      <c r="E6" s="29">
        <f>COUNTIF('Strategy'!C6:C55,"❌ No")</f>
        <v/>
      </c>
      <c r="F6" s="29">
        <f>B6-(C6+D6+E6)</f>
        <v/>
      </c>
      <c r="G6" s="29">
        <f>IF((B6-F6)=0,"0%",ROUND(C6/(B6-F6)*100,1)&amp;"%")</f>
        <v/>
      </c>
    </row>
    <row r="7">
      <c r="A7" s="29" t="inlineStr">
        <is>
          <t>Identity</t>
        </is>
      </c>
      <c r="B7" s="29">
        <f>COUNTA('Identity'!B5:B14)</f>
        <v/>
      </c>
      <c r="C7" s="29">
        <f>COUNTIF('Identity'!G5:G14,"Optimal")+COUNTIF('Identity'!G5:G14,"Advanced")</f>
        <v/>
      </c>
      <c r="D7" s="29">
        <f>COUNTIF('Identity'!G5:G14,"Initial")</f>
        <v/>
      </c>
      <c r="E7" s="29">
        <f>COUNTIF('Identity'!G5:G14,"Traditional")</f>
        <v/>
      </c>
      <c r="F7" s="29">
        <f>B7-(C7+D7+E7)</f>
        <v/>
      </c>
      <c r="G7" s="29">
        <f>IF((B7-F7)=0,"0%",ROUND(C7/(B7-F7)*100,1)&amp;"%")</f>
        <v/>
      </c>
    </row>
    <row r="8">
      <c r="A8" s="29" t="inlineStr">
        <is>
          <t>Device</t>
        </is>
      </c>
      <c r="B8" s="29">
        <f>COUNTA('Device'!B5:B12)</f>
        <v/>
      </c>
      <c r="C8" s="29">
        <f>COUNTIF('Device'!G5:G12,"Optimal")+COUNTIF('Device'!G5:G12,"Advanced")</f>
        <v/>
      </c>
      <c r="D8" s="29">
        <f>COUNTIF('Device'!G5:G12,"Initial")</f>
        <v/>
      </c>
      <c r="E8" s="29">
        <f>COUNTIF('Device'!G5:G12,"Traditional")</f>
        <v/>
      </c>
      <c r="F8" s="29">
        <f>B8-(C8+D8+E8)</f>
        <v/>
      </c>
      <c r="G8" s="29">
        <f>IF((B8-F8)=0,"0%",ROUND(C8/(B8-F8)*100,1)&amp;"%")</f>
        <v/>
      </c>
    </row>
    <row r="9">
      <c r="A9" s="29" t="inlineStr">
        <is>
          <t>Network</t>
        </is>
      </c>
      <c r="B9" s="29">
        <f>COUNTA('Network'!B5:B12)</f>
        <v/>
      </c>
      <c r="C9" s="29">
        <f>COUNTIF('Network'!G5:G12,"Optimal")+COUNTIF('Network'!G5:G12,"Advanced")</f>
        <v/>
      </c>
      <c r="D9" s="29">
        <f>COUNTIF('Network'!G5:G12,"Initial")</f>
        <v/>
      </c>
      <c r="E9" s="29">
        <f>COUNTIF('Network'!G5:G12,"Traditional")</f>
        <v/>
      </c>
      <c r="F9" s="29">
        <f>B9-(C9+D9+E9)</f>
        <v/>
      </c>
      <c r="G9" s="29">
        <f>IF((B9-F9)=0,"0%",ROUND(C9/(B9-F9)*100,1)&amp;"%")</f>
        <v/>
      </c>
    </row>
    <row r="10">
      <c r="A10" s="29" t="inlineStr">
        <is>
          <t>Workload</t>
        </is>
      </c>
      <c r="B10" s="29">
        <f>COUNTA('Workload'!B5:B14)</f>
        <v/>
      </c>
      <c r="C10" s="29">
        <f>COUNTIF('Workload'!G5:G14,"Optimal")+COUNTIF('Workload'!G5:G14,"Advanced")</f>
        <v/>
      </c>
      <c r="D10" s="29">
        <f>COUNTIF('Workload'!G5:G14,"Initial")</f>
        <v/>
      </c>
      <c r="E10" s="29">
        <f>COUNTIF('Workload'!G5:G14,"Traditional")</f>
        <v/>
      </c>
      <c r="F10" s="29">
        <f>B10-(C10+D10+E10)</f>
        <v/>
      </c>
      <c r="G10" s="29">
        <f>IF((B10-F10)=0,"0%",ROUND(C10/(B10-F10)*100,1)&amp;"%")</f>
        <v/>
      </c>
    </row>
    <row r="11">
      <c r="A11" s="29" t="inlineStr">
        <is>
          <t>Data</t>
        </is>
      </c>
      <c r="B11" s="29">
        <f>COUNTA('Data'!B5:B14)</f>
        <v/>
      </c>
      <c r="C11" s="29">
        <f>COUNTIF('Data'!G5:G14,"Optimal")+COUNTIF('Data'!G5:G14,"Advanced")</f>
        <v/>
      </c>
      <c r="D11" s="29">
        <f>COUNTIF('Data'!G5:G14,"Initial")</f>
        <v/>
      </c>
      <c r="E11" s="29">
        <f>COUNTIF('Data'!G5:G14,"Traditional")</f>
        <v/>
      </c>
      <c r="F11" s="29">
        <f>B11-(C11+D11+E11)</f>
        <v/>
      </c>
      <c r="G11" s="29">
        <f>IF((B11-F11)=0,"0%",ROUND(C11/(B11-F11)*100,1)&amp;"%")</f>
        <v/>
      </c>
    </row>
    <row r="12">
      <c r="A12" s="29" t="inlineStr">
        <is>
          <t>Visibility</t>
        </is>
      </c>
      <c r="B12" s="29">
        <f>COUNTA('Visibility'!B5:B12)</f>
        <v/>
      </c>
      <c r="C12" s="29">
        <f>COUNTIF('Visibility'!G5:G12,"Optimal")+COUNTIF('Visibility'!G5:G12,"Advanced")</f>
        <v/>
      </c>
      <c r="D12" s="29">
        <f>COUNTIF('Visibility'!G5:G12,"Initial")</f>
        <v/>
      </c>
      <c r="E12" s="29">
        <f>COUNTIF('Visibility'!G5:G12,"Traditional")</f>
        <v/>
      </c>
      <c r="F12" s="29">
        <f>B12-(C12+D12+E12)</f>
        <v/>
      </c>
      <c r="G12" s="29">
        <f>IF((B12-F12)=0,"0%",ROUND(C12/(B12-F12)*100,1)&amp;"%")</f>
        <v/>
      </c>
    </row>
    <row r="13">
      <c r="A13" s="29" t="inlineStr">
        <is>
          <t>Automation</t>
        </is>
      </c>
      <c r="B13" s="29">
        <f>COUNTA('Automation'!B5:B12)</f>
        <v/>
      </c>
      <c r="C13" s="29">
        <f>COUNTIF('Automation'!G5:G12,"Optimal")+COUNTIF('Automation'!G5:G12,"Advanced")</f>
        <v/>
      </c>
      <c r="D13" s="29">
        <f>COUNTIF('Automation'!G5:G12,"Initial")</f>
        <v/>
      </c>
      <c r="E13" s="29">
        <f>COUNTIF('Automation'!G5:G12,"Traditional")</f>
        <v/>
      </c>
      <c r="F13" s="29">
        <f>B13-(C13+D13+E13)</f>
        <v/>
      </c>
      <c r="G13" s="29">
        <f>IF((B13-F13)=0,"0%",ROUND(C13/(B13-F13)*100,1)&amp;"%")</f>
        <v/>
      </c>
    </row>
    <row r="14">
      <c r="A14" s="29" t="inlineStr">
        <is>
          <t>Compliance</t>
        </is>
      </c>
      <c r="B14" s="29">
        <f>COUNTA('Compliance'!B6:B55)</f>
        <v/>
      </c>
      <c r="C14" s="29">
        <f>COUNTIF('Compliance'!D6:D55,"✅ Yes")</f>
        <v/>
      </c>
      <c r="D14" s="29">
        <f>COUNTIF('Compliance'!D6:D55,"⚠️ Partial")</f>
        <v/>
      </c>
      <c r="E14" s="29">
        <f>COUNTIF('Compliance'!D6:D55,"❌ No")</f>
        <v/>
      </c>
      <c r="F14" s="29">
        <f>B14-(C14+D14+E14)</f>
        <v/>
      </c>
      <c r="G14" s="29">
        <f>IF((B14-F14)=0,"0%",ROUND(C14/(B14-F14)*100,1)&amp;"%")</f>
        <v/>
      </c>
    </row>
    <row r="15">
      <c r="A15" s="30" t="inlineStr">
        <is>
          <t>TOTAL</t>
        </is>
      </c>
      <c r="B15" s="31">
        <f>SUM(B6:B14)</f>
        <v/>
      </c>
      <c r="C15" s="31">
        <f>SUM(C6:C14)</f>
        <v/>
      </c>
      <c r="D15" s="31">
        <f>SUM(D6:D14)</f>
        <v/>
      </c>
      <c r="E15" s="31">
        <f>SUM(E6:E14)</f>
        <v/>
      </c>
      <c r="F15" s="31">
        <f>SUM(F6:F14)</f>
        <v/>
      </c>
      <c r="G15" s="32">
        <f>IF((B15-F15)=0,"0%",ROUND(C15/(B15-F15)*100,1)&amp;"%")</f>
        <v/>
      </c>
    </row>
    <row r="17">
      <c r="A17" s="33" t="inlineStr">
        <is>
          <t>TABLE 2: KEY METRICS</t>
        </is>
      </c>
    </row>
    <row r="18">
      <c r="A18" s="34" t="inlineStr">
        <is>
          <t>Metric</t>
        </is>
      </c>
      <c r="B18" s="35" t="inlineStr">
        <is>
          <t>Value</t>
        </is>
      </c>
      <c r="C18" s="34" t="inlineStr">
        <is>
          <t>What This Shows</t>
        </is>
      </c>
    </row>
    <row r="19">
      <c r="A19" s="36" t="inlineStr">
        <is>
          <t>Strategy Not Started</t>
        </is>
      </c>
      <c r="B19" s="37">
        <f>COUNTIF(Strategy!C6:C55,"Not Started")</f>
        <v/>
      </c>
      <c r="C19" s="38" t="inlineStr">
        <is>
          <t>Strategy elements not started (no Zero Trust roadmap)</t>
        </is>
      </c>
      <c r="D19" s="6" t="n"/>
      <c r="E19" s="6" t="n"/>
      <c r="F19" s="6" t="n"/>
      <c r="G19" s="6" t="n"/>
    </row>
    <row r="20">
      <c r="A20" s="36" t="inlineStr">
        <is>
          <t>Traditional Maturity Pillars</t>
        </is>
      </c>
      <c r="B20" s="37">
        <f>COUNTIF(Identity!G5:G14,"Traditional")+COUNTIF(Device!G5:G12,"Traditional")+COUNTIF(Network!G5:G12,"Traditional")+COUNTIF(Workload!G5:G14,"Traditional")+COUNTIF(Data!G5:G14,"Traditional")+COUNTIF(Visibility!G5:G12,"Traditional")+COUNTIF(Automation!G5:G12,"Traditional")</f>
        <v/>
      </c>
      <c r="C20" s="38" t="inlineStr">
        <is>
          <t>Capabilities at Traditional maturity (no Zero Trust implementation)</t>
        </is>
      </c>
      <c r="D20" s="6" t="n"/>
      <c r="E20" s="6" t="n"/>
      <c r="F20" s="6" t="n"/>
      <c r="G20" s="6" t="n"/>
    </row>
    <row r="21">
      <c r="A21" s="36" t="inlineStr">
        <is>
          <t>Initial-Only Pillars</t>
        </is>
      </c>
      <c r="B21" s="37">
        <f>COUNTIF(Identity!G5:G14,"Initial")+COUNTIF(Device!G5:G12,"Initial")+COUNTIF(Network!G5:G12,"Initial")+COUNTIF(Workload!G5:G14,"Initial")+COUNTIF(Data!G5:G14,"Initial")+COUNTIF(Visibility!G5:G12,"Initial")+COUNTIF(Automation!G5:G12,"Initial")</f>
        <v/>
      </c>
      <c r="C21" s="38" t="inlineStr">
        <is>
          <t>Capabilities at Initial maturity only (basic implementation)</t>
        </is>
      </c>
      <c r="D21" s="6" t="n"/>
      <c r="E21" s="6" t="n"/>
      <c r="F21" s="6" t="n"/>
      <c r="G21" s="6" t="n"/>
    </row>
    <row r="22">
      <c r="A22" s="36" t="inlineStr">
        <is>
          <t>Advanced Capabilities Missing</t>
        </is>
      </c>
      <c r="B22" s="37">
        <f>COUNTIF(Identity!E5:E14,0)+COUNTIF(Device!E5:E12,0)+COUNTIF(Network!E5:E12,0)+COUNTIF(Workload!E5:E14,0)+COUNTIF(Data!E5:E14,0)+COUNTIF(Visibility!E5:E12,0)+COUNTIF(Automation!E5:E12,0)</f>
        <v/>
      </c>
      <c r="C22" s="38" t="inlineStr">
        <is>
          <t>Capabilities with no Advanced maturity score (maturity gaps)</t>
        </is>
      </c>
      <c r="D22" s="6" t="n"/>
      <c r="E22" s="6" t="n"/>
      <c r="F22" s="6" t="n"/>
      <c r="G22" s="6" t="n"/>
    </row>
    <row r="23">
      <c r="A23" s="36" t="inlineStr">
        <is>
          <t>Optimal Capabilities Missing</t>
        </is>
      </c>
      <c r="B23" s="37">
        <f>COUNTIF(Identity!F5:F14,0)+COUNTIF(Device!F5:F12,0)+COUNTIF(Network!F5:F12,0)+COUNTIF(Workload!F5:F14,0)+COUNTIF(Data!F5:F14,0)+COUNTIF(Visibility!F5:F12,0)+COUNTIF(Automation!F5:F12,0)</f>
        <v/>
      </c>
      <c r="C23" s="38" t="inlineStr">
        <is>
          <t>Capabilities with no Optimal maturity score (leading practice gaps)</t>
        </is>
      </c>
      <c r="D23" s="6" t="n"/>
      <c r="E23" s="6" t="n"/>
      <c r="F23" s="6" t="n"/>
      <c r="G23" s="6" t="n"/>
    </row>
    <row r="24">
      <c r="A24" s="36" t="inlineStr">
        <is>
          <t>Partial Strategy Elements</t>
        </is>
      </c>
      <c r="B24" s="37">
        <f>COUNTIF(Strategy!C6:C55,"⚠️ Partial")</f>
        <v/>
      </c>
      <c r="C24" s="38" t="inlineStr">
        <is>
          <t>Partially implemented strategy elements (incomplete approach)</t>
        </is>
      </c>
      <c r="D24" s="6" t="n"/>
      <c r="E24" s="6" t="n"/>
      <c r="F24" s="6" t="n"/>
      <c r="G24" s="6" t="n"/>
    </row>
    <row r="25">
      <c r="A25" s="36" t="inlineStr">
        <is>
          <t>Identity Pillar Traditional Count</t>
        </is>
      </c>
      <c r="B25" s="37">
        <f>COUNTIF(Identity!G5:G14,"Traditional")</f>
        <v/>
      </c>
      <c r="C25" s="38" t="inlineStr">
        <is>
          <t>Identity capabilities at Traditional maturity (foundational pillar gaps)</t>
        </is>
      </c>
      <c r="D25" s="6" t="n"/>
      <c r="E25" s="6" t="n"/>
      <c r="F25" s="6" t="n"/>
      <c r="G25" s="6" t="n"/>
    </row>
    <row r="26">
      <c r="A26" s="36" t="inlineStr">
        <is>
          <t>Network Pillar Traditional Count</t>
        </is>
      </c>
      <c r="B26" s="37">
        <f>COUNTIF(Network!G5:G12,"Traditional")</f>
        <v/>
      </c>
      <c r="C26" s="38" t="inlineStr">
        <is>
          <t>Network capabilities at Traditional maturity (critical pillar gaps)</t>
        </is>
      </c>
      <c r="D26" s="6" t="n"/>
      <c r="E26" s="6" t="n"/>
      <c r="F26" s="6" t="n"/>
      <c r="G26" s="6" t="n"/>
    </row>
    <row r="27">
      <c r="A27" s="36" t="inlineStr">
        <is>
          <t>Pillar Maturity Gap Score</t>
        </is>
      </c>
      <c r="B27" s="37">
        <f>ROUND((COUNTIF(Identity!G5:G14,"Traditional")+COUNTIF(Device!G5:G12,"Traditional")+COUNTIF(Network!G5:G12,"Traditional")+COUNTIF(Workload!G5:G14,"Traditional")+COUNTIF(Data!G5:G14,"Traditional")+COUNTIF(Visibility!G5:G12,"Traditional")+COUNTIF(Automation!G5:G12,"Traditional"))/72*100,1)&amp;"%"</f>
        <v/>
      </c>
      <c r="C27" s="38" t="inlineStr">
        <is>
          <t>Percentage of 72 total pillar capabilities at Traditional maturity</t>
        </is>
      </c>
      <c r="D27" s="6" t="n"/>
      <c r="E27" s="6" t="n"/>
      <c r="F27" s="6" t="n"/>
      <c r="G27" s="6" t="n"/>
    </row>
    <row r="28">
      <c r="A28" s="36" t="inlineStr">
        <is>
          <t>Overall Compliance Rate</t>
        </is>
      </c>
      <c r="B28" s="37">
        <f>'Summary Dashboard'!G15</f>
        <v/>
      </c>
      <c r="C28" s="38" t="inlineStr">
        <is>
          <t>Overall Zero Trust compliance percentage</t>
        </is>
      </c>
      <c r="D28" s="6" t="n"/>
      <c r="E28" s="6" t="n"/>
      <c r="F28" s="6" t="n"/>
      <c r="G28" s="6" t="n"/>
    </row>
    <row r="29">
      <c r="A29" s="6" t="n"/>
      <c r="B29" s="6" t="n"/>
      <c r="C29" s="6" t="n"/>
      <c r="D29" s="6" t="n"/>
      <c r="E29" s="6" t="n"/>
      <c r="F29" s="6" t="n"/>
      <c r="G29" s="6" t="n"/>
    </row>
    <row r="30">
      <c r="A30" s="6" t="n"/>
      <c r="B30" s="6" t="n"/>
      <c r="C30" s="6" t="n"/>
      <c r="D30" s="6" t="n"/>
      <c r="E30" s="6" t="n"/>
      <c r="F30" s="6" t="n"/>
      <c r="G30" s="6" t="n"/>
    </row>
    <row r="32">
      <c r="A32" s="39" t="inlineStr">
        <is>
          <t>TABLE 3: CRITICAL FINDINGS</t>
        </is>
      </c>
    </row>
    <row r="33">
      <c r="A33" s="34" t="inlineStr">
        <is>
          <t>Critical Finding Type</t>
        </is>
      </c>
      <c r="B33" s="35" t="inlineStr">
        <is>
          <t>Count</t>
        </is>
      </c>
      <c r="C33" s="34" t="inlineStr">
        <is>
          <t>Filter Instructions</t>
        </is>
      </c>
    </row>
    <row r="34">
      <c r="A34" s="40" t="inlineStr">
        <is>
          <t>Strategy Not Started</t>
        </is>
      </c>
      <c r="B34" s="41">
        <f>COUNTIF(Strategy!C6:C55,"Not Started")</f>
        <v/>
      </c>
      <c r="C34" s="38" t="inlineStr">
        <is>
          <t>Filter Strategy sheet: Status = "Not Started"</t>
        </is>
      </c>
      <c r="D34" s="6" t="n"/>
      <c r="E34" s="6" t="n"/>
      <c r="F34" s="6" t="n"/>
      <c r="G34" s="6" t="n"/>
    </row>
    <row r="35">
      <c r="A35" s="40" t="inlineStr">
        <is>
          <t>Traditional Maturity Pillars</t>
        </is>
      </c>
      <c r="B35" s="41">
        <f>COUNTIF(Identity!G5:G14,"Traditional")+COUNTIF(Device!G5:G12,"Traditional")+COUNTIF(Network!G5:G12,"Traditional")+COUNTIF(Workload!G5:G14,"Traditional")+COUNTIF(Data!G5:G14,"Traditional")+COUNTIF(Visibility!G5:G12,"Traditional")+COUNTIF(Automation!G5:G12,"Traditional")</f>
        <v/>
      </c>
      <c r="C35" s="38" t="inlineStr">
        <is>
          <t>Filter pillar sheets: Current Maturity = "Traditional"</t>
        </is>
      </c>
      <c r="D35" s="6" t="n"/>
      <c r="E35" s="6" t="n"/>
      <c r="F35" s="6" t="n"/>
      <c r="G35" s="6" t="n"/>
    </row>
    <row r="36">
      <c r="A36" s="40" t="inlineStr">
        <is>
          <t>Identity Pillar Traditional</t>
        </is>
      </c>
      <c r="B36" s="41">
        <f>COUNTIF(Identity!G5:G14,"Traditional")</f>
        <v/>
      </c>
      <c r="C36" s="38" t="inlineStr">
        <is>
          <t>Filter Identity sheet: Current Maturity = "Traditional" (foundational pillar)</t>
        </is>
      </c>
      <c r="D36" s="6" t="n"/>
      <c r="E36" s="6" t="n"/>
      <c r="F36" s="6" t="n"/>
      <c r="G36" s="6" t="n"/>
    </row>
    <row r="37">
      <c r="A37" s="40" t="inlineStr">
        <is>
          <t>Network Pillar Traditional</t>
        </is>
      </c>
      <c r="B37" s="41">
        <f>COUNTIF(Network!G5:G12,"Traditional")</f>
        <v/>
      </c>
      <c r="C37" s="38" t="inlineStr">
        <is>
          <t>Filter Network sheet: Current Maturity = "Traditional" (critical pillar)</t>
        </is>
      </c>
      <c r="D37" s="6" t="n"/>
      <c r="E37" s="6" t="n"/>
      <c r="F37" s="6" t="n"/>
      <c r="G37" s="6" t="n"/>
    </row>
    <row r="38">
      <c r="A38" s="40" t="inlineStr">
        <is>
          <t>Advanced Capabilities Missing</t>
        </is>
      </c>
      <c r="B38" s="41">
        <f>COUNTIF(Identity!E5:E14,0)+COUNTIF(Device!E5:E12,0)+COUNTIF(Network!E5:E12,0)+COUNTIF(Workload!E5:E14,0)+COUNTIF(Data!E5:E14,0)+COUNTIF(Visibility!E5:E12,0)+COUNTIF(Automation!E5:E12,0)</f>
        <v/>
      </c>
      <c r="C38" s="38" t="inlineStr">
        <is>
          <t>Filter pillar sheets: Advanced score = 0</t>
        </is>
      </c>
      <c r="D38" s="6" t="n"/>
      <c r="E38" s="6" t="n"/>
      <c r="F38" s="6" t="n"/>
      <c r="G38" s="6" t="n"/>
    </row>
    <row r="39">
      <c r="A39" s="42" t="inlineStr">
        <is>
          <t>TOTAL</t>
        </is>
      </c>
      <c r="B39" s="43">
        <f>SUM(B34:B38)</f>
        <v/>
      </c>
      <c r="C39" s="44" t="inlineStr">
        <is>
          <t>Total critical findings requiring immediate remediation</t>
        </is>
      </c>
      <c r="D39" s="6" t="n"/>
      <c r="E39" s="6" t="n"/>
      <c r="F39" s="6" t="n"/>
      <c r="G39" s="6" t="n"/>
    </row>
  </sheetData>
  <mergeCells count="25">
    <mergeCell ref="A32:G32"/>
    <mergeCell ref="C30:G30"/>
    <mergeCell ref="C34:G34"/>
    <mergeCell ref="A17:G17"/>
    <mergeCell ref="C24:G24"/>
    <mergeCell ref="C33:G33"/>
    <mergeCell ref="A4:G4"/>
    <mergeCell ref="C26:G26"/>
    <mergeCell ref="C29:G29"/>
    <mergeCell ref="C35:G35"/>
    <mergeCell ref="C20:G20"/>
    <mergeCell ref="C25:G25"/>
    <mergeCell ref="C22:G22"/>
    <mergeCell ref="C21:G21"/>
    <mergeCell ref="A1:G1"/>
    <mergeCell ref="C27:G27"/>
    <mergeCell ref="C36:G36"/>
    <mergeCell ref="C23:G23"/>
    <mergeCell ref="C39:G39"/>
    <mergeCell ref="C38:G38"/>
    <mergeCell ref="C28:G28"/>
    <mergeCell ref="C19:G19"/>
    <mergeCell ref="A2:G2"/>
    <mergeCell ref="C37:G37"/>
    <mergeCell ref="C18:G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5" t="inlineStr">
        <is>
          <t>ASSESSMENT APPROVAL AND SIGN-OFF</t>
        </is>
      </c>
      <c r="B1" s="6" t="n"/>
      <c r="C1" s="6" t="n"/>
      <c r="D1" s="6" t="n"/>
      <c r="E1" s="6" t="n"/>
    </row>
    <row r="2">
      <c r="A2" s="46" t="inlineStr">
        <is>
          <t>ISO/IEC 27001:2022 - Control A.8.27: Secure System Architecture and Engineering Principles</t>
        </is>
      </c>
      <c r="B2" s="6" t="n"/>
      <c r="C2" s="6" t="n"/>
      <c r="D2" s="6" t="n"/>
      <c r="E2" s="6" t="n"/>
    </row>
    <row r="3">
      <c r="A3" s="47" t="inlineStr">
        <is>
          <t>ASSESSMENT SUMMARY</t>
        </is>
      </c>
      <c r="B3" s="6" t="n"/>
      <c r="C3" s="6" t="n"/>
      <c r="D3" s="6" t="n"/>
      <c r="E3" s="6" t="n"/>
    </row>
    <row r="4">
      <c r="A4" s="48" t="inlineStr">
        <is>
          <t>Document:</t>
        </is>
      </c>
      <c r="B4" s="6" t="inlineStr">
        <is>
          <t>ISMS-IMP-A.8.27.4 - Zero Trust Implementation Assessment</t>
        </is>
      </c>
      <c r="C4" s="6" t="n"/>
      <c r="D4" s="6" t="n"/>
      <c r="E4" s="6" t="n"/>
    </row>
    <row r="5">
      <c r="A5" s="48" t="inlineStr">
        <is>
          <t>Assessment Period:</t>
        </is>
      </c>
      <c r="B5" s="49" t="inlineStr"/>
      <c r="C5" s="49" t="n"/>
      <c r="D5" s="49" t="n"/>
      <c r="E5" s="49" t="n"/>
    </row>
    <row r="6">
      <c r="A6" s="48" t="inlineStr">
        <is>
          <t>Overall Compliance Rating:</t>
        </is>
      </c>
      <c r="B6" s="6">
        <f>'Summary Dashboard'!G15</f>
        <v/>
      </c>
      <c r="C6" s="6" t="n"/>
      <c r="D6" s="6" t="n"/>
      <c r="E6" s="6" t="n"/>
    </row>
    <row r="7">
      <c r="A7" s="48" t="inlineStr">
        <is>
          <t>Assessment Status:</t>
        </is>
      </c>
      <c r="B7" s="49" t="inlineStr"/>
      <c r="C7" s="49" t="n"/>
      <c r="D7" s="49" t="n"/>
      <c r="E7" s="49" t="n"/>
    </row>
    <row r="8">
      <c r="A8" s="48" t="inlineStr">
        <is>
          <t>Assessed By:</t>
        </is>
      </c>
      <c r="B8" s="49" t="inlineStr"/>
      <c r="C8" s="49" t="n"/>
      <c r="D8" s="49" t="n"/>
      <c r="E8" s="49" t="n"/>
    </row>
    <row r="11">
      <c r="A11" s="47" t="inlineStr">
        <is>
          <t>COMPLETED BY (ASSESSOR)</t>
        </is>
      </c>
      <c r="B11" s="6" t="n"/>
      <c r="C11" s="6" t="n"/>
      <c r="D11" s="6" t="n"/>
      <c r="E11" s="6" t="n"/>
    </row>
    <row r="12">
      <c r="A12" s="48" t="inlineStr">
        <is>
          <t>Name:</t>
        </is>
      </c>
      <c r="B12" s="49" t="n"/>
      <c r="C12" s="49" t="n"/>
      <c r="D12" s="49" t="n"/>
      <c r="E12" s="49" t="n"/>
    </row>
    <row r="13">
      <c r="A13" s="48" t="inlineStr">
        <is>
          <t>Title:</t>
        </is>
      </c>
      <c r="B13" s="49" t="n"/>
      <c r="C13" s="49" t="n"/>
      <c r="D13" s="49" t="n"/>
      <c r="E13" s="49" t="n"/>
    </row>
    <row r="14">
      <c r="A14" s="48" t="inlineStr">
        <is>
          <t>Date:</t>
        </is>
      </c>
      <c r="B14" s="49" t="n"/>
      <c r="C14" s="49" t="n"/>
      <c r="D14" s="49" t="n"/>
      <c r="E14" s="49" t="n"/>
    </row>
    <row r="15">
      <c r="A15" s="48" t="inlineStr">
        <is>
          <t>Signature:</t>
        </is>
      </c>
      <c r="B15" s="49" t="n"/>
      <c r="C15" s="49" t="n"/>
      <c r="D15" s="49" t="n"/>
      <c r="E15" s="49" t="n"/>
    </row>
    <row r="16">
      <c r="A16" s="48" t="inlineStr">
        <is>
          <t>Comments:</t>
        </is>
      </c>
      <c r="B16" s="49" t="n"/>
      <c r="C16" s="49" t="n"/>
      <c r="D16" s="49" t="n"/>
      <c r="E16" s="49" t="n"/>
    </row>
    <row r="18">
      <c r="A18" s="47" t="inlineStr">
        <is>
          <t>REVIEWED BY (INFORMATION SECURITY OFFICER)</t>
        </is>
      </c>
      <c r="B18" s="6" t="n"/>
      <c r="C18" s="6" t="n"/>
      <c r="D18" s="6" t="n"/>
      <c r="E18" s="6" t="n"/>
    </row>
    <row r="19">
      <c r="A19" s="48" t="inlineStr">
        <is>
          <t>Name:</t>
        </is>
      </c>
      <c r="B19" s="49" t="n"/>
      <c r="C19" s="49" t="n"/>
      <c r="D19" s="49" t="n"/>
      <c r="E19" s="49" t="n"/>
    </row>
    <row r="20">
      <c r="A20" s="48" t="inlineStr">
        <is>
          <t>Title:</t>
        </is>
      </c>
      <c r="B20" s="49" t="n"/>
      <c r="C20" s="49" t="n"/>
      <c r="D20" s="49" t="n"/>
      <c r="E20" s="49" t="n"/>
    </row>
    <row r="21">
      <c r="A21" s="48" t="inlineStr">
        <is>
          <t>Date:</t>
        </is>
      </c>
      <c r="B21" s="49" t="n"/>
      <c r="C21" s="49" t="n"/>
      <c r="D21" s="49" t="n"/>
      <c r="E21" s="49" t="n"/>
    </row>
    <row r="22">
      <c r="A22" s="48" t="inlineStr">
        <is>
          <t>Signature:</t>
        </is>
      </c>
      <c r="B22" s="49" t="n"/>
      <c r="C22" s="49" t="n"/>
      <c r="D22" s="49" t="n"/>
      <c r="E22" s="49" t="n"/>
    </row>
    <row r="23">
      <c r="A23" s="48" t="inlineStr">
        <is>
          <t>Comments:</t>
        </is>
      </c>
      <c r="B23" s="49" t="n"/>
      <c r="C23" s="49" t="n"/>
      <c r="D23" s="49" t="n"/>
      <c r="E23" s="49" t="n"/>
    </row>
    <row r="25">
      <c r="A25" s="50" t="inlineStr">
        <is>
          <t>APPROVED BY (CISO)</t>
        </is>
      </c>
      <c r="B25" s="6" t="n"/>
      <c r="C25" s="6" t="n"/>
      <c r="D25" s="6" t="n"/>
      <c r="E25" s="6" t="n"/>
    </row>
    <row r="26">
      <c r="A26" s="48" t="inlineStr">
        <is>
          <t>Name:</t>
        </is>
      </c>
      <c r="B26" s="49" t="n"/>
      <c r="C26" s="49" t="n"/>
      <c r="D26" s="49" t="n"/>
      <c r="E26" s="49" t="n"/>
    </row>
    <row r="27">
      <c r="A27" s="48" t="inlineStr">
        <is>
          <t>Title:</t>
        </is>
      </c>
      <c r="B27" s="49" t="n"/>
      <c r="C27" s="49" t="n"/>
      <c r="D27" s="49" t="n"/>
      <c r="E27" s="49" t="n"/>
    </row>
    <row r="28">
      <c r="A28" s="48" t="inlineStr">
        <is>
          <t>Date:</t>
        </is>
      </c>
      <c r="B28" s="49" t="n"/>
      <c r="C28" s="49" t="n"/>
      <c r="D28" s="49" t="n"/>
      <c r="E28" s="49" t="n"/>
    </row>
    <row r="29">
      <c r="A29" s="48" t="inlineStr">
        <is>
          <t>Signature:</t>
        </is>
      </c>
      <c r="B29" s="49" t="n"/>
      <c r="C29" s="49" t="n"/>
      <c r="D29" s="49" t="n"/>
      <c r="E29" s="49" t="n"/>
    </row>
    <row r="30">
      <c r="A30" s="48" t="inlineStr">
        <is>
          <t>Comments:</t>
        </is>
      </c>
      <c r="B30" s="49" t="n"/>
      <c r="C30" s="49" t="n"/>
      <c r="D30" s="49" t="n"/>
      <c r="E30" s="49" t="n"/>
    </row>
    <row r="32">
      <c r="A32" s="42" t="inlineStr">
        <is>
          <t>FINAL DECISION:</t>
        </is>
      </c>
      <c r="B32" s="49" t="n"/>
      <c r="C32" s="49" t="n"/>
      <c r="D32" s="49" t="n"/>
      <c r="E32" s="49" t="n"/>
    </row>
    <row r="35">
      <c r="A35" s="47" t="inlineStr">
        <is>
          <t>NEXT REVIEW DETAILS</t>
        </is>
      </c>
      <c r="B35" s="6" t="n"/>
      <c r="C35" s="6" t="n"/>
      <c r="D35" s="6" t="n"/>
      <c r="E35" s="6" t="n"/>
    </row>
    <row r="36">
      <c r="A36" s="48" t="inlineStr">
        <is>
          <t>Next Review Date:</t>
        </is>
      </c>
      <c r="B36" s="49" t="n"/>
      <c r="C36" s="49" t="n"/>
      <c r="D36" s="49" t="n"/>
      <c r="E36" s="49" t="n"/>
    </row>
    <row r="37">
      <c r="A37" s="48" t="inlineStr">
        <is>
          <t>Review Responsible:</t>
        </is>
      </c>
      <c r="B37" s="49" t="n"/>
      <c r="C37" s="49" t="n"/>
      <c r="D37" s="49" t="n"/>
      <c r="E37" s="49" t="n"/>
    </row>
    <row r="38">
      <c r="A38" s="48" t="inlineStr">
        <is>
          <t>Special Considerations:</t>
        </is>
      </c>
      <c r="B38" s="49" t="n"/>
      <c r="C38" s="49" t="n"/>
      <c r="D38" s="49" t="n"/>
      <c r="E38" s="49"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ISMS-IMP-A.8.27.4 — Zero Trust Implementation Assessment</dc:title>
  <dc:description xmlns:dc="http://purl.org/dc/elements/1.1/">ISMS Implementation Workbook — ISMS-IMP-A.8.27.4</dc:description>
  <dc:subject xmlns:dc="http://purl.org/dc/elements/1.1/">ISO/IEC 27001:2022 — Control A.8.27: Secure System Architecture and Engineering Principles</dc:subject>
  <dcterms:created xmlns:dcterms="http://purl.org/dc/terms/" xmlns:xsi="http://www.w3.org/2001/XMLSchema-instance" xsi:type="dcterms:W3CDTF">2026-03-01T16:58:19Z</dcterms:created>
  <dcterms:modified xmlns:dcterms="http://purl.org/dc/terms/" xmlns:xsi="http://www.w3.org/2001/XMLSchema-instance" xsi:type="dcterms:W3CDTF">2026-03-01T16:58:19Z</dcterms:modified>
</cp:coreProperties>
</file>