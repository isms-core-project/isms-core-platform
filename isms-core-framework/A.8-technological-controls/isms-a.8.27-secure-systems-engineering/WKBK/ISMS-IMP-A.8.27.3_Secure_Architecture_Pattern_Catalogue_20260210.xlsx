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tternInventory" sheetId="2" state="visible" r:id="rId2"/>
    <sheet xmlns:r="http://schemas.openxmlformats.org/officeDocument/2006/relationships" name="PatternQuality" sheetId="3" state="visible" r:id="rId3"/>
    <sheet xmlns:r="http://schemas.openxmlformats.org/officeDocument/2006/relationships" name="Adoption" sheetId="4" state="visible" r:id="rId4"/>
    <sheet xmlns:r="http://schemas.openxmlformats.org/officeDocument/2006/relationships" name="Governance" sheetId="5" state="visible" r:id="rId5"/>
    <sheet xmlns:r="http://schemas.openxmlformats.org/officeDocument/2006/relationships" name="Deviations" sheetId="6" state="visible" r:id="rId6"/>
    <sheet xmlns:r="http://schemas.openxmlformats.org/officeDocument/2006/relationships" name="Effectiveness" sheetId="7" state="visible" r:id="rId7"/>
    <sheet xmlns:r="http://schemas.openxmlformats.org/officeDocument/2006/relationships" name="Compliance" sheetId="8" state="visible" r:id="rId8"/>
    <sheet xmlns:r="http://schemas.openxmlformats.org/officeDocument/2006/relationships" name="GapRegister" sheetId="9" state="visible" r:id="rId9"/>
    <sheet xmlns:r="http://schemas.openxmlformats.org/officeDocument/2006/relationships" name="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1" t="inlineStr">
        <is>
          <t>ISMS-IMP-A.8.27.3 - Secure Architecture Pattern Catalogue Assessment</t>
        </is>
      </c>
    </row>
    <row r="3">
      <c r="A3" s="2" t="inlineStr">
        <is>
          <t>Document Information</t>
        </is>
      </c>
      <c r="B3" s="3" t="n"/>
      <c r="C3" s="3" t="n"/>
      <c r="D3" s="3" t="n"/>
      <c r="E3" s="3" t="n"/>
      <c r="F3" s="3" t="n"/>
      <c r="G3" s="3" t="n"/>
      <c r="H3" s="4" t="n"/>
    </row>
    <row r="4">
      <c r="A4" s="5" t="inlineStr">
        <is>
          <t>Document ID</t>
        </is>
      </c>
      <c r="B4" s="6" t="inlineStr">
        <is>
          <t>ISMS-IMP-A.8.27.3</t>
        </is>
      </c>
      <c r="C4" s="3" t="n"/>
      <c r="D4" s="3" t="n"/>
      <c r="E4" s="3" t="n"/>
      <c r="F4" s="3" t="n"/>
      <c r="G4" s="3" t="n"/>
      <c r="H4" s="4" t="n"/>
    </row>
    <row r="5">
      <c r="A5" s="5" t="inlineStr">
        <is>
          <t>Control Reference</t>
        </is>
      </c>
      <c r="B5" s="6" t="inlineStr">
        <is>
          <t>ISO/IEC 27001:2022 - Control A.8.27: Secure System Architecture and Engineering Principles</t>
        </is>
      </c>
      <c r="C5" s="3" t="n"/>
      <c r="D5" s="3" t="n"/>
      <c r="E5" s="3" t="n"/>
      <c r="F5" s="3" t="n"/>
      <c r="G5" s="3" t="n"/>
      <c r="H5" s="4" t="n"/>
    </row>
    <row r="6">
      <c r="A6" s="5" t="inlineStr">
        <is>
          <t>Purpose</t>
        </is>
      </c>
      <c r="B6" s="6" t="inlineStr">
        <is>
          <t>Evaluate secure architecture pattern catalogue maturity</t>
        </is>
      </c>
      <c r="C6" s="3" t="n"/>
      <c r="D6" s="3" t="n"/>
      <c r="E6" s="3" t="n"/>
      <c r="F6" s="3" t="n"/>
      <c r="G6" s="3" t="n"/>
      <c r="H6" s="4" t="n"/>
    </row>
    <row r="7">
      <c r="A7" s="5" t="inlineStr">
        <is>
          <t>Generated Date</t>
        </is>
      </c>
      <c r="B7" s="6" t="inlineStr">
        <is>
          <t>10.02.2026</t>
        </is>
      </c>
      <c r="C7" s="3" t="n"/>
      <c r="D7" s="3" t="n"/>
      <c r="E7" s="3" t="n"/>
      <c r="F7" s="3" t="n"/>
      <c r="G7" s="3" t="n"/>
      <c r="H7" s="4" t="n"/>
    </row>
  </sheetData>
  <mergeCells count="6">
    <mergeCell ref="A3:H3"/>
    <mergeCell ref="B4:H4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10" customWidth="1" min="4" max="4"/>
    <col width="15" customWidth="1" min="5" max="5"/>
    <col width="20" customWidth="1" min="6" max="6"/>
    <col width="12" customWidth="1" min="7" max="7"/>
    <col width="12" customWidth="1" min="8" max="8"/>
    <col width="25" customWidth="1" min="9" max="9"/>
    <col width="25" customWidth="1" min="10" max="10"/>
  </cols>
  <sheetData>
    <row r="1" ht="30" customHeight="1">
      <c r="A1" s="1" t="inlineStr">
        <is>
          <t>Secure Architecture Patterns - Pattern Inventory</t>
        </is>
      </c>
    </row>
    <row r="3">
      <c r="A3" s="1" t="inlineStr">
        <is>
          <t>Pat-ID</t>
        </is>
      </c>
      <c r="B3" s="1" t="inlineStr">
        <is>
          <t>Category</t>
        </is>
      </c>
      <c r="C3" s="1" t="inlineStr">
        <is>
          <t>Name</t>
        </is>
      </c>
      <c r="D3" s="1" t="inlineStr">
        <is>
          <t>Version</t>
        </is>
      </c>
      <c r="E3" s="1" t="inlineStr">
        <is>
          <t>Status</t>
        </is>
      </c>
      <c r="F3" s="1" t="inlineStr">
        <is>
          <t>Owner</t>
        </is>
      </c>
      <c r="G3" s="1" t="inlineStr">
        <is>
          <t>LastReview</t>
        </is>
      </c>
      <c r="H3" s="1" t="inlineStr">
        <is>
          <t>NextReview</t>
        </is>
      </c>
      <c r="I3" s="1" t="inlineStr">
        <is>
          <t>DocumentRef</t>
        </is>
      </c>
      <c r="J3" s="1" t="inlineStr">
        <is>
          <t>Notes</t>
        </is>
      </c>
    </row>
    <row r="4">
      <c r="A4" s="5" t="inlineStr">
        <is>
          <t>PAT-AUTH-001</t>
        </is>
      </c>
      <c r="B4" s="5" t="inlineStr">
        <is>
          <t>Authentication</t>
        </is>
      </c>
      <c r="C4" s="5" t="inlineStr">
        <is>
          <t>SSO Integration Pattern</t>
        </is>
      </c>
      <c r="D4" s="6" t="n"/>
      <c r="E4" s="6" t="n"/>
      <c r="F4" s="6" t="n"/>
      <c r="G4" s="6" t="n"/>
      <c r="H4" s="6" t="n"/>
      <c r="I4" s="6" t="n"/>
      <c r="J4" s="6" t="n"/>
    </row>
    <row r="5">
      <c r="A5" s="5" t="inlineStr">
        <is>
          <t>PAT-AUTH-002</t>
        </is>
      </c>
      <c r="B5" s="5" t="inlineStr">
        <is>
          <t>Authentication</t>
        </is>
      </c>
      <c r="C5" s="5" t="inlineStr">
        <is>
          <t>MFA Implementation Pattern</t>
        </is>
      </c>
      <c r="D5" s="6" t="n"/>
      <c r="E5" s="6" t="n"/>
      <c r="F5" s="6" t="n"/>
      <c r="G5" s="6" t="n"/>
      <c r="H5" s="6" t="n"/>
      <c r="I5" s="6" t="n"/>
      <c r="J5" s="6" t="n"/>
    </row>
    <row r="6">
      <c r="A6" s="5" t="inlineStr">
        <is>
          <t>PAT-AUTH-003</t>
        </is>
      </c>
      <c r="B6" s="5" t="inlineStr">
        <is>
          <t>Authentication</t>
        </is>
      </c>
      <c r="C6" s="5" t="inlineStr">
        <is>
          <t>Service Authentication Pattern</t>
        </is>
      </c>
      <c r="D6" s="6" t="n"/>
      <c r="E6" s="6" t="n"/>
      <c r="F6" s="6" t="n"/>
      <c r="G6" s="6" t="n"/>
      <c r="H6" s="6" t="n"/>
      <c r="I6" s="6" t="n"/>
      <c r="J6" s="6" t="n"/>
    </row>
    <row r="7">
      <c r="A7" s="5" t="inlineStr">
        <is>
          <t>PAT-AUTH-004</t>
        </is>
      </c>
      <c r="B7" s="5" t="inlineStr">
        <is>
          <t>Authentication</t>
        </is>
      </c>
      <c r="C7" s="5" t="inlineStr">
        <is>
          <t>Token Management Pattern</t>
        </is>
      </c>
      <c r="D7" s="6" t="n"/>
      <c r="E7" s="6" t="n"/>
      <c r="F7" s="6" t="n"/>
      <c r="G7" s="6" t="n"/>
      <c r="H7" s="6" t="n"/>
      <c r="I7" s="6" t="n"/>
      <c r="J7" s="6" t="n"/>
    </row>
    <row r="8">
      <c r="A8" s="5" t="inlineStr">
        <is>
          <t>PAT-AUTHZ-001</t>
        </is>
      </c>
      <c r="B8" s="5" t="inlineStr">
        <is>
          <t>Authorisation</t>
        </is>
      </c>
      <c r="C8" s="5" t="inlineStr">
        <is>
          <t>RBAC Implementation Pattern</t>
        </is>
      </c>
      <c r="D8" s="6" t="n"/>
      <c r="E8" s="6" t="n"/>
      <c r="F8" s="6" t="n"/>
      <c r="G8" s="6" t="n"/>
      <c r="H8" s="6" t="n"/>
      <c r="I8" s="6" t="n"/>
      <c r="J8" s="6" t="n"/>
    </row>
    <row r="9">
      <c r="A9" s="5" t="inlineStr">
        <is>
          <t>PAT-AUTHZ-002</t>
        </is>
      </c>
      <c r="B9" s="5" t="inlineStr">
        <is>
          <t>Authorisation</t>
        </is>
      </c>
      <c r="C9" s="5" t="inlineStr">
        <is>
          <t>ABAC Implementation Pattern</t>
        </is>
      </c>
      <c r="D9" s="6" t="n"/>
      <c r="E9" s="6" t="n"/>
      <c r="F9" s="6" t="n"/>
      <c r="G9" s="6" t="n"/>
      <c r="H9" s="6" t="n"/>
      <c r="I9" s="6" t="n"/>
      <c r="J9" s="6" t="n"/>
    </row>
    <row r="10">
      <c r="A10" s="5" t="inlineStr">
        <is>
          <t>PAT-AUTHZ-003</t>
        </is>
      </c>
      <c r="B10" s="5" t="inlineStr">
        <is>
          <t>Authorisation</t>
        </is>
      </c>
      <c r="C10" s="5" t="inlineStr">
        <is>
          <t>API Authorisation Pattern</t>
        </is>
      </c>
      <c r="D10" s="6" t="n"/>
      <c r="E10" s="6" t="n"/>
      <c r="F10" s="6" t="n"/>
      <c r="G10" s="6" t="n"/>
      <c r="H10" s="6" t="n"/>
      <c r="I10" s="6" t="n"/>
      <c r="J10" s="6" t="n"/>
    </row>
    <row r="11">
      <c r="A11" s="5" t="inlineStr">
        <is>
          <t>PAT-AUTHZ-004</t>
        </is>
      </c>
      <c r="B11" s="5" t="inlineStr">
        <is>
          <t>Authorisation</t>
        </is>
      </c>
      <c r="C11" s="5" t="inlineStr">
        <is>
          <t>Delegated Administration Pattern</t>
        </is>
      </c>
      <c r="D11" s="6" t="n"/>
      <c r="E11" s="6" t="n"/>
      <c r="F11" s="6" t="n"/>
      <c r="G11" s="6" t="n"/>
      <c r="H11" s="6" t="n"/>
      <c r="I11" s="6" t="n"/>
      <c r="J11" s="6" t="n"/>
    </row>
    <row r="12">
      <c r="A12" s="5" t="inlineStr">
        <is>
          <t>PAT-DATA-001</t>
        </is>
      </c>
      <c r="B12" s="5" t="inlineStr">
        <is>
          <t>DataProtection</t>
        </is>
      </c>
      <c r="C12" s="5" t="inlineStr">
        <is>
          <t>Encryption at Rest Pattern</t>
        </is>
      </c>
      <c r="D12" s="6" t="n"/>
      <c r="E12" s="6" t="n"/>
      <c r="F12" s="6" t="n"/>
      <c r="G12" s="6" t="n"/>
      <c r="H12" s="6" t="n"/>
      <c r="I12" s="6" t="n"/>
      <c r="J12" s="6" t="n"/>
    </row>
    <row r="13">
      <c r="A13" s="5" t="inlineStr">
        <is>
          <t>PAT-DATA-002</t>
        </is>
      </c>
      <c r="B13" s="5" t="inlineStr">
        <is>
          <t>DataProtection</t>
        </is>
      </c>
      <c r="C13" s="5" t="inlineStr">
        <is>
          <t>Encryption in Transit Pattern</t>
        </is>
      </c>
      <c r="D13" s="6" t="n"/>
      <c r="E13" s="6" t="n"/>
      <c r="F13" s="6" t="n"/>
      <c r="G13" s="6" t="n"/>
      <c r="H13" s="6" t="n"/>
      <c r="I13" s="6" t="n"/>
      <c r="J13" s="6" t="n"/>
    </row>
    <row r="14">
      <c r="A14" s="5" t="inlineStr">
        <is>
          <t>PAT-DATA-003</t>
        </is>
      </c>
      <c r="B14" s="5" t="inlineStr">
        <is>
          <t>DataProtection</t>
        </is>
      </c>
      <c r="C14" s="5" t="inlineStr">
        <is>
          <t>Key Management Pattern</t>
        </is>
      </c>
      <c r="D14" s="6" t="n"/>
      <c r="E14" s="6" t="n"/>
      <c r="F14" s="6" t="n"/>
      <c r="G14" s="6" t="n"/>
      <c r="H14" s="6" t="n"/>
      <c r="I14" s="6" t="n"/>
      <c r="J14" s="6" t="n"/>
    </row>
    <row r="15">
      <c r="A15" s="5" t="inlineStr">
        <is>
          <t>PAT-DATA-004</t>
        </is>
      </c>
      <c r="B15" s="5" t="inlineStr">
        <is>
          <t>DataProtection</t>
        </is>
      </c>
      <c r="C15" s="5" t="inlineStr">
        <is>
          <t>Tokenisation Pattern</t>
        </is>
      </c>
      <c r="D15" s="6" t="n"/>
      <c r="E15" s="6" t="n"/>
      <c r="F15" s="6" t="n"/>
      <c r="G15" s="6" t="n"/>
      <c r="H15" s="6" t="n"/>
      <c r="I15" s="6" t="n"/>
      <c r="J15" s="6" t="n"/>
    </row>
    <row r="16">
      <c r="A16" s="5" t="inlineStr">
        <is>
          <t>PAT-NET-001</t>
        </is>
      </c>
      <c r="B16" s="5" t="inlineStr">
        <is>
          <t>NetworkSecurity</t>
        </is>
      </c>
      <c r="C16" s="5" t="inlineStr">
        <is>
          <t>DMZ Architecture Pattern</t>
        </is>
      </c>
      <c r="D16" s="6" t="n"/>
      <c r="E16" s="6" t="n"/>
      <c r="F16" s="6" t="n"/>
      <c r="G16" s="6" t="n"/>
      <c r="H16" s="6" t="n"/>
      <c r="I16" s="6" t="n"/>
      <c r="J16" s="6" t="n"/>
    </row>
    <row r="17">
      <c r="A17" s="5" t="inlineStr">
        <is>
          <t>PAT-NET-002</t>
        </is>
      </c>
      <c r="B17" s="5" t="inlineStr">
        <is>
          <t>NetworkSecurity</t>
        </is>
      </c>
      <c r="C17" s="5" t="inlineStr">
        <is>
          <t>Micro-segmentation Pattern</t>
        </is>
      </c>
      <c r="D17" s="6" t="n"/>
      <c r="E17" s="6" t="n"/>
      <c r="F17" s="6" t="n"/>
      <c r="G17" s="6" t="n"/>
      <c r="H17" s="6" t="n"/>
      <c r="I17" s="6" t="n"/>
      <c r="J17" s="6" t="n"/>
    </row>
    <row r="18">
      <c r="A18" s="5" t="inlineStr">
        <is>
          <t>PAT-NET-003</t>
        </is>
      </c>
      <c r="B18" s="5" t="inlineStr">
        <is>
          <t>NetworkSecurity</t>
        </is>
      </c>
      <c r="C18" s="5" t="inlineStr">
        <is>
          <t>API Gateway Pattern</t>
        </is>
      </c>
      <c r="D18" s="6" t="n"/>
      <c r="E18" s="6" t="n"/>
      <c r="F18" s="6" t="n"/>
      <c r="G18" s="6" t="n"/>
      <c r="H18" s="6" t="n"/>
      <c r="I18" s="6" t="n"/>
      <c r="J18" s="6" t="n"/>
    </row>
    <row r="19">
      <c r="A19" s="5" t="inlineStr">
        <is>
          <t>PAT-NET-004</t>
        </is>
      </c>
      <c r="B19" s="5" t="inlineStr">
        <is>
          <t>NetworkSecurity</t>
        </is>
      </c>
      <c r="C19" s="5" t="inlineStr">
        <is>
          <t>Zero Trust Network Pattern</t>
        </is>
      </c>
      <c r="D19" s="6" t="n"/>
      <c r="E19" s="6" t="n"/>
      <c r="F19" s="6" t="n"/>
      <c r="G19" s="6" t="n"/>
      <c r="H19" s="6" t="n"/>
      <c r="I19" s="6" t="n"/>
      <c r="J19" s="6" t="n"/>
    </row>
    <row r="20">
      <c r="A20" s="5" t="inlineStr">
        <is>
          <t>PAT-INT-001</t>
        </is>
      </c>
      <c r="B20" s="5" t="inlineStr">
        <is>
          <t>Integration</t>
        </is>
      </c>
      <c r="C20" s="5" t="inlineStr">
        <is>
          <t>Secure REST API Pattern</t>
        </is>
      </c>
      <c r="D20" s="6" t="n"/>
      <c r="E20" s="6" t="n"/>
      <c r="F20" s="6" t="n"/>
      <c r="G20" s="6" t="n"/>
      <c r="H20" s="6" t="n"/>
      <c r="I20" s="6" t="n"/>
      <c r="J20" s="6" t="n"/>
    </row>
    <row r="21">
      <c r="A21" s="5" t="inlineStr">
        <is>
          <t>PAT-INT-002</t>
        </is>
      </c>
      <c r="B21" s="5" t="inlineStr">
        <is>
          <t>Integration</t>
        </is>
      </c>
      <c r="C21" s="5" t="inlineStr">
        <is>
          <t>Message Queue Security Pattern</t>
        </is>
      </c>
      <c r="D21" s="6" t="n"/>
      <c r="E21" s="6" t="n"/>
      <c r="F21" s="6" t="n"/>
      <c r="G21" s="6" t="n"/>
      <c r="H21" s="6" t="n"/>
      <c r="I21" s="6" t="n"/>
      <c r="J21" s="6" t="n"/>
    </row>
    <row r="22">
      <c r="A22" s="5" t="inlineStr">
        <is>
          <t>PAT-INT-003</t>
        </is>
      </c>
      <c r="B22" s="5" t="inlineStr">
        <is>
          <t>Integration</t>
        </is>
      </c>
      <c r="C22" s="5" t="inlineStr">
        <is>
          <t>Event-Driven Security Pattern</t>
        </is>
      </c>
      <c r="D22" s="6" t="n"/>
      <c r="E22" s="6" t="n"/>
      <c r="F22" s="6" t="n"/>
      <c r="G22" s="6" t="n"/>
      <c r="H22" s="6" t="n"/>
      <c r="I22" s="6" t="n"/>
      <c r="J22" s="6" t="n"/>
    </row>
    <row r="23">
      <c r="A23" s="5" t="inlineStr">
        <is>
          <t>PAT-INT-004</t>
        </is>
      </c>
      <c r="B23" s="5" t="inlineStr">
        <is>
          <t>Integration</t>
        </is>
      </c>
      <c r="C23" s="5" t="inlineStr">
        <is>
          <t>Service Mesh Pattern</t>
        </is>
      </c>
      <c r="D23" s="6" t="n"/>
      <c r="E23" s="6" t="n"/>
      <c r="F23" s="6" t="n"/>
      <c r="G23" s="6" t="n"/>
      <c r="H23" s="6" t="n"/>
      <c r="I23" s="6" t="n"/>
      <c r="J23" s="6" t="n"/>
    </row>
    <row r="24">
      <c r="A24" s="5" t="inlineStr">
        <is>
          <t>PAT-CLD-001</t>
        </is>
      </c>
      <c r="B24" s="5" t="inlineStr">
        <is>
          <t>Cloud</t>
        </is>
      </c>
      <c r="C24" s="5" t="inlineStr">
        <is>
          <t>Landing Zone Architecture</t>
        </is>
      </c>
      <c r="D24" s="6" t="n"/>
      <c r="E24" s="6" t="n"/>
      <c r="F24" s="6" t="n"/>
      <c r="G24" s="6" t="n"/>
      <c r="H24" s="6" t="n"/>
      <c r="I24" s="6" t="n"/>
      <c r="J24" s="6" t="n"/>
    </row>
    <row r="25">
      <c r="A25" s="5" t="inlineStr">
        <is>
          <t>PAT-CLD-002</t>
        </is>
      </c>
      <c r="B25" s="5" t="inlineStr">
        <is>
          <t>Cloud</t>
        </is>
      </c>
      <c r="C25" s="5" t="inlineStr">
        <is>
          <t>Workload Isolation Pattern</t>
        </is>
      </c>
      <c r="D25" s="6" t="n"/>
      <c r="E25" s="6" t="n"/>
      <c r="F25" s="6" t="n"/>
      <c r="G25" s="6" t="n"/>
      <c r="H25" s="6" t="n"/>
      <c r="I25" s="6" t="n"/>
      <c r="J25" s="6" t="n"/>
    </row>
    <row r="26">
      <c r="A26" s="5" t="inlineStr">
        <is>
          <t>PAT-CLD-003</t>
        </is>
      </c>
      <c r="B26" s="5" t="inlineStr">
        <is>
          <t>Cloud</t>
        </is>
      </c>
      <c r="C26" s="5" t="inlineStr">
        <is>
          <t>Serverless Security Pattern</t>
        </is>
      </c>
      <c r="D26" s="6" t="n"/>
      <c r="E26" s="6" t="n"/>
      <c r="F26" s="6" t="n"/>
      <c r="G26" s="6" t="n"/>
      <c r="H26" s="6" t="n"/>
      <c r="I26" s="6" t="n"/>
      <c r="J26" s="6" t="n"/>
    </row>
    <row r="27">
      <c r="A27" s="5" t="inlineStr">
        <is>
          <t>PAT-CLD-004</t>
        </is>
      </c>
      <c r="B27" s="5" t="inlineStr">
        <is>
          <t>Cloud</t>
        </is>
      </c>
      <c r="C27" s="5" t="inlineStr">
        <is>
          <t>Container Security Pattern</t>
        </is>
      </c>
      <c r="D27" s="6" t="n"/>
      <c r="E27" s="6" t="n"/>
      <c r="F27" s="6" t="n"/>
      <c r="G27" s="6" t="n"/>
      <c r="H27" s="6" t="n"/>
      <c r="I27" s="6" t="n"/>
      <c r="J27" s="6" t="n"/>
    </row>
    <row r="28">
      <c r="A28" s="5" t="inlineStr">
        <is>
          <t>PAT-LOG-001</t>
        </is>
      </c>
      <c r="B28" s="5" t="inlineStr">
        <is>
          <t>LoggingMonitoring</t>
        </is>
      </c>
      <c r="C28" s="5" t="inlineStr">
        <is>
          <t>Centralised Logging Pattern</t>
        </is>
      </c>
      <c r="D28" s="6" t="n"/>
      <c r="E28" s="6" t="n"/>
      <c r="F28" s="6" t="n"/>
      <c r="G28" s="6" t="n"/>
      <c r="H28" s="6" t="n"/>
      <c r="I28" s="6" t="n"/>
      <c r="J28" s="6" t="n"/>
    </row>
    <row r="29">
      <c r="A29" s="5" t="inlineStr">
        <is>
          <t>PAT-LOG-002</t>
        </is>
      </c>
      <c r="B29" s="5" t="inlineStr">
        <is>
          <t>LoggingMonitoring</t>
        </is>
      </c>
      <c r="C29" s="5" t="inlineStr">
        <is>
          <t>SIEM Integration Pattern</t>
        </is>
      </c>
      <c r="D29" s="6" t="n"/>
      <c r="E29" s="6" t="n"/>
      <c r="F29" s="6" t="n"/>
      <c r="G29" s="6" t="n"/>
      <c r="H29" s="6" t="n"/>
      <c r="I29" s="6" t="n"/>
      <c r="J29" s="6" t="n"/>
    </row>
    <row r="30">
      <c r="A30" s="5" t="inlineStr">
        <is>
          <t>PAT-LOG-003</t>
        </is>
      </c>
      <c r="B30" s="5" t="inlineStr">
        <is>
          <t>LoggingMonitoring</t>
        </is>
      </c>
      <c r="C30" s="5" t="inlineStr">
        <is>
          <t>Audit Trail Pattern</t>
        </is>
      </c>
      <c r="D30" s="6" t="n"/>
      <c r="E30" s="6" t="n"/>
      <c r="F30" s="6" t="n"/>
      <c r="G30" s="6" t="n"/>
      <c r="H30" s="6" t="n"/>
      <c r="I30" s="6" t="n"/>
      <c r="J30" s="6" t="n"/>
    </row>
    <row r="31">
      <c r="A31" s="5" t="inlineStr">
        <is>
          <t>PAT-LOG-004</t>
        </is>
      </c>
      <c r="B31" s="5" t="inlineStr">
        <is>
          <t>LoggingMonitoring</t>
        </is>
      </c>
      <c r="C31" s="5" t="inlineStr">
        <is>
          <t>Log Protection Pattern</t>
        </is>
      </c>
      <c r="D31" s="6" t="n"/>
      <c r="E31" s="6" t="n"/>
      <c r="F31" s="6" t="n"/>
      <c r="G31" s="6" t="n"/>
      <c r="H31" s="6" t="n"/>
      <c r="I31" s="6" t="n"/>
      <c r="J31" s="6" t="n"/>
    </row>
    <row r="32">
      <c r="A32" s="5" t="inlineStr">
        <is>
          <t>PAT-IDM-001</t>
        </is>
      </c>
      <c r="B32" s="5" t="inlineStr">
        <is>
          <t>Identity</t>
        </is>
      </c>
      <c r="C32" s="5" t="inlineStr">
        <is>
          <t>Identity Lifecycle Pattern</t>
        </is>
      </c>
      <c r="D32" s="6" t="n"/>
      <c r="E32" s="6" t="n"/>
      <c r="F32" s="6" t="n"/>
      <c r="G32" s="6" t="n"/>
      <c r="H32" s="6" t="n"/>
      <c r="I32" s="6" t="n"/>
      <c r="J32" s="6" t="n"/>
    </row>
    <row r="33">
      <c r="A33" s="5" t="inlineStr">
        <is>
          <t>PAT-IDM-002</t>
        </is>
      </c>
      <c r="B33" s="5" t="inlineStr">
        <is>
          <t>Identity</t>
        </is>
      </c>
      <c r="C33" s="5" t="inlineStr">
        <is>
          <t>Privileged Access Management Pattern</t>
        </is>
      </c>
      <c r="D33" s="6" t="n"/>
      <c r="E33" s="6" t="n"/>
      <c r="F33" s="6" t="n"/>
      <c r="G33" s="6" t="n"/>
      <c r="H33" s="6" t="n"/>
      <c r="I33" s="6" t="n"/>
      <c r="J33" s="6" t="n"/>
    </row>
  </sheetData>
  <mergeCells count="1">
    <mergeCell ref="A1:J1"/>
  </mergeCells>
  <dataValidations count="2">
    <dataValidation sqref="B4:B33" showDropDown="0" showInputMessage="0" showErrorMessage="0" allowBlank="1" type="list">
      <formula1>"Authentication,Authorisation,DataProtection,NetworkSecurity,Integration,Cloud,LoggingMonitoring,Identity,Container,Serverless"</formula1>
    </dataValidation>
    <dataValidation sqref="E4:E33" showDropDown="0" showInputMessage="0" showErrorMessage="0" allowBlank="1" type="list">
      <formula1>"Approved,Draft,Deprecated,Under 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0" customWidth="1" min="3" max="3"/>
    <col width="10" customWidth="1" min="4" max="4"/>
    <col width="40" customWidth="1" min="5" max="5"/>
  </cols>
  <sheetData>
    <row r="1" ht="30" customHeight="1">
      <c r="A1" s="1" t="inlineStr">
        <is>
          <t>Secure Architecture Patterns - Documentation Quality</t>
        </is>
      </c>
    </row>
    <row r="3">
      <c r="A3" s="1" t="inlineStr">
        <is>
          <t>Pat-ID</t>
        </is>
      </c>
      <c r="B3" s="1" t="inlineStr">
        <is>
          <t>Element</t>
        </is>
      </c>
      <c r="C3" s="1" t="inlineStr">
        <is>
          <t>Present</t>
        </is>
      </c>
      <c r="D3" s="1" t="inlineStr">
        <is>
          <t>Quality</t>
        </is>
      </c>
      <c r="E3" s="1" t="inlineStr">
        <is>
          <t>Notes</t>
        </is>
      </c>
    </row>
    <row r="4">
      <c r="A4" s="6" t="n"/>
      <c r="B4" s="5" t="inlineStr">
        <is>
          <t>ProblemStatement</t>
        </is>
      </c>
      <c r="C4" s="6" t="n"/>
      <c r="D4" s="6" t="n"/>
      <c r="E4" s="6" t="n"/>
    </row>
    <row r="5">
      <c r="A5" s="6" t="n"/>
      <c r="B5" s="5" t="inlineStr">
        <is>
          <t>Context</t>
        </is>
      </c>
      <c r="C5" s="6" t="n"/>
      <c r="D5" s="6" t="n"/>
      <c r="E5" s="6" t="n"/>
    </row>
    <row r="6">
      <c r="A6" s="6" t="n"/>
      <c r="B6" s="5" t="inlineStr">
        <is>
          <t>Solution</t>
        </is>
      </c>
      <c r="C6" s="6" t="n"/>
      <c r="D6" s="6" t="n"/>
      <c r="E6" s="6" t="n"/>
    </row>
    <row r="7">
      <c r="A7" s="6" t="n"/>
      <c r="B7" s="5" t="inlineStr">
        <is>
          <t>SecurityRationale</t>
        </is>
      </c>
      <c r="C7" s="6" t="n"/>
      <c r="D7" s="6" t="n"/>
      <c r="E7" s="6" t="n"/>
    </row>
    <row r="8">
      <c r="A8" s="6" t="n"/>
      <c r="B8" s="5" t="inlineStr">
        <is>
          <t>Implementation</t>
        </is>
      </c>
      <c r="C8" s="6" t="n"/>
      <c r="D8" s="6" t="n"/>
      <c r="E8" s="6" t="n"/>
    </row>
    <row r="9">
      <c r="A9" s="6" t="n"/>
      <c r="B9" s="5" t="inlineStr">
        <is>
          <t>Example</t>
        </is>
      </c>
      <c r="C9" s="6" t="n"/>
      <c r="D9" s="6" t="n"/>
      <c r="E9" s="6" t="n"/>
    </row>
    <row r="10">
      <c r="A10" s="6" t="n"/>
      <c r="B10" s="5" t="inlineStr">
        <is>
          <t>AntiPatterns</t>
        </is>
      </c>
      <c r="C10" s="6" t="n"/>
      <c r="D10" s="6" t="n"/>
      <c r="E10" s="6" t="n"/>
    </row>
    <row r="11">
      <c r="A11" s="6" t="n"/>
      <c r="B11" s="5" t="inlineStr">
        <is>
          <t>RelatedPatterns</t>
        </is>
      </c>
      <c r="C11" s="6" t="n"/>
      <c r="D11" s="6" t="n"/>
      <c r="E11" s="6" t="n"/>
    </row>
    <row r="12">
      <c r="A12" s="6" t="n"/>
      <c r="B12" s="5" t="inlineStr">
        <is>
          <t>ComplianceMapping</t>
        </is>
      </c>
      <c r="C12" s="6" t="n"/>
      <c r="D12" s="6" t="n"/>
      <c r="E12" s="6" t="n"/>
    </row>
    <row r="13">
      <c r="A13" s="6" t="n"/>
      <c r="B13" s="5" t="inlineStr">
        <is>
          <t>ThreatModel</t>
        </is>
      </c>
      <c r="C13" s="6" t="n"/>
      <c r="D13" s="6" t="n"/>
      <c r="E13" s="6" t="n"/>
    </row>
  </sheetData>
  <mergeCells count="1">
    <mergeCell ref="A1:E1"/>
  </mergeCells>
  <dataValidations count="2">
    <dataValidation sqref="C4:C13" showDropDown="0" showInputMessage="0" showErrorMessage="0" allowBlank="1" type="list">
      <formula1>"Yes,Partial,No"</formula1>
    </dataValidation>
    <dataValidation sqref="D4:D13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35" customWidth="1" min="6" max="6"/>
    <col width="30" customWidth="1" min="7" max="7"/>
  </cols>
  <sheetData>
    <row r="1" ht="30" customHeight="1">
      <c r="A1" s="1" t="inlineStr">
        <is>
          <t>Secure Architecture Patterns - Adoption Tracking</t>
        </is>
      </c>
    </row>
    <row r="3">
      <c r="A3" s="1" t="inlineStr">
        <is>
          <t>Pat-ID</t>
        </is>
      </c>
      <c r="B3" s="1" t="inlineStr">
        <is>
          <t>ProjectCount</t>
        </is>
      </c>
      <c r="C3" s="1" t="inlineStr">
        <is>
          <t>TotalApplicable</t>
        </is>
      </c>
      <c r="D3" s="1" t="inlineStr">
        <is>
          <t>AdoptionRate</t>
        </is>
      </c>
      <c r="E3" s="1" t="inlineStr">
        <is>
          <t>Trend</t>
        </is>
      </c>
      <c r="F3" s="1" t="inlineStr">
        <is>
          <t>Barriers</t>
        </is>
      </c>
      <c r="G3" s="1" t="inlineStr">
        <is>
          <t>Action</t>
        </is>
      </c>
    </row>
    <row r="4">
      <c r="A4" s="6" t="n"/>
      <c r="B4" s="6" t="n"/>
      <c r="C4" s="6" t="n"/>
      <c r="D4" s="7">
        <f>IF(C4&gt;0,B4/C4,0)</f>
        <v/>
      </c>
      <c r="E4" s="6" t="n"/>
      <c r="F4" s="6" t="n"/>
      <c r="G4" s="6" t="n"/>
    </row>
    <row r="5">
      <c r="A5" s="6" t="n"/>
      <c r="B5" s="6" t="n"/>
      <c r="C5" s="6" t="n"/>
      <c r="D5" s="7">
        <f>IF(C5&gt;0,B5/C5,0)</f>
        <v/>
      </c>
      <c r="E5" s="6" t="n"/>
      <c r="F5" s="6" t="n"/>
      <c r="G5" s="6" t="n"/>
    </row>
    <row r="6">
      <c r="A6" s="6" t="n"/>
      <c r="B6" s="6" t="n"/>
      <c r="C6" s="6" t="n"/>
      <c r="D6" s="7">
        <f>IF(C6&gt;0,B6/C6,0)</f>
        <v/>
      </c>
      <c r="E6" s="6" t="n"/>
      <c r="F6" s="6" t="n"/>
      <c r="G6" s="6" t="n"/>
    </row>
    <row r="7">
      <c r="A7" s="6" t="n"/>
      <c r="B7" s="6" t="n"/>
      <c r="C7" s="6" t="n"/>
      <c r="D7" s="7">
        <f>IF(C7&gt;0,B7/C7,0)</f>
        <v/>
      </c>
      <c r="E7" s="6" t="n"/>
      <c r="F7" s="6" t="n"/>
      <c r="G7" s="6" t="n"/>
    </row>
    <row r="8">
      <c r="A8" s="6" t="n"/>
      <c r="B8" s="6" t="n"/>
      <c r="C8" s="6" t="n"/>
      <c r="D8" s="7">
        <f>IF(C8&gt;0,B8/C8,0)</f>
        <v/>
      </c>
      <c r="E8" s="6" t="n"/>
      <c r="F8" s="6" t="n"/>
      <c r="G8" s="6" t="n"/>
    </row>
    <row r="9">
      <c r="A9" s="6" t="n"/>
      <c r="B9" s="6" t="n"/>
      <c r="C9" s="6" t="n"/>
      <c r="D9" s="7">
        <f>IF(C9&gt;0,B9/C9,0)</f>
        <v/>
      </c>
      <c r="E9" s="6" t="n"/>
      <c r="F9" s="6" t="n"/>
      <c r="G9" s="6" t="n"/>
    </row>
    <row r="10">
      <c r="A10" s="6" t="n"/>
      <c r="B10" s="6" t="n"/>
      <c r="C10" s="6" t="n"/>
      <c r="D10" s="7">
        <f>IF(C10&gt;0,B10/C10,0)</f>
        <v/>
      </c>
      <c r="E10" s="6" t="n"/>
      <c r="F10" s="6" t="n"/>
      <c r="G10" s="6" t="n"/>
    </row>
    <row r="11">
      <c r="A11" s="6" t="n"/>
      <c r="B11" s="6" t="n"/>
      <c r="C11" s="6" t="n"/>
      <c r="D11" s="7">
        <f>IF(C11&gt;0,B11/C11,0)</f>
        <v/>
      </c>
      <c r="E11" s="6" t="n"/>
      <c r="F11" s="6" t="n"/>
      <c r="G11" s="6" t="n"/>
    </row>
    <row r="12">
      <c r="A12" s="6" t="n"/>
      <c r="B12" s="6" t="n"/>
      <c r="C12" s="6" t="n"/>
      <c r="D12" s="7">
        <f>IF(C12&gt;0,B12/C12,0)</f>
        <v/>
      </c>
      <c r="E12" s="6" t="n"/>
      <c r="F12" s="6" t="n"/>
      <c r="G12" s="6" t="n"/>
    </row>
    <row r="13">
      <c r="A13" s="6" t="n"/>
      <c r="B13" s="6" t="n"/>
      <c r="C13" s="6" t="n"/>
      <c r="D13" s="7">
        <f>IF(C13&gt;0,B13/C13,0)</f>
        <v/>
      </c>
      <c r="E13" s="6" t="n"/>
      <c r="F13" s="6" t="n"/>
      <c r="G13" s="6" t="n"/>
    </row>
    <row r="14">
      <c r="A14" s="6" t="n"/>
      <c r="B14" s="6" t="n"/>
      <c r="C14" s="6" t="n"/>
      <c r="D14" s="7">
        <f>IF(C14&gt;0,B14/C14,0)</f>
        <v/>
      </c>
      <c r="E14" s="6" t="n"/>
      <c r="F14" s="6" t="n"/>
      <c r="G14" s="6" t="n"/>
    </row>
    <row r="15">
      <c r="A15" s="6" t="n"/>
      <c r="B15" s="6" t="n"/>
      <c r="C15" s="6" t="n"/>
      <c r="D15" s="7">
        <f>IF(C15&gt;0,B15/C15,0)</f>
        <v/>
      </c>
      <c r="E15" s="6" t="n"/>
      <c r="F15" s="6" t="n"/>
      <c r="G15" s="6" t="n"/>
    </row>
    <row r="16">
      <c r="A16" s="6" t="n"/>
      <c r="B16" s="6" t="n"/>
      <c r="C16" s="6" t="n"/>
      <c r="D16" s="7">
        <f>IF(C16&gt;0,B16/C16,0)</f>
        <v/>
      </c>
      <c r="E16" s="6" t="n"/>
      <c r="F16" s="6" t="n"/>
      <c r="G16" s="6" t="n"/>
    </row>
    <row r="17">
      <c r="A17" s="6" t="n"/>
      <c r="B17" s="6" t="n"/>
      <c r="C17" s="6" t="n"/>
      <c r="D17" s="7">
        <f>IF(C17&gt;0,B17/C17,0)</f>
        <v/>
      </c>
      <c r="E17" s="6" t="n"/>
      <c r="F17" s="6" t="n"/>
      <c r="G17" s="6" t="n"/>
    </row>
    <row r="18">
      <c r="A18" s="6" t="n"/>
      <c r="B18" s="6" t="n"/>
      <c r="C18" s="6" t="n"/>
      <c r="D18" s="7">
        <f>IF(C18&gt;0,B18/C18,0)</f>
        <v/>
      </c>
      <c r="E18" s="6" t="n"/>
      <c r="F18" s="6" t="n"/>
      <c r="G18" s="6" t="n"/>
    </row>
    <row r="19">
      <c r="A19" s="6" t="n"/>
      <c r="B19" s="6" t="n"/>
      <c r="C19" s="6" t="n"/>
      <c r="D19" s="7">
        <f>IF(C19&gt;0,B19/C19,0)</f>
        <v/>
      </c>
      <c r="E19" s="6" t="n"/>
      <c r="F19" s="6" t="n"/>
      <c r="G19" s="6" t="n"/>
    </row>
    <row r="20">
      <c r="A20" s="6" t="n"/>
      <c r="B20" s="6" t="n"/>
      <c r="C20" s="6" t="n"/>
      <c r="D20" s="7">
        <f>IF(C20&gt;0,B20/C20,0)</f>
        <v/>
      </c>
      <c r="E20" s="6" t="n"/>
      <c r="F20" s="6" t="n"/>
      <c r="G20" s="6" t="n"/>
    </row>
    <row r="21">
      <c r="A21" s="6" t="n"/>
      <c r="B21" s="6" t="n"/>
      <c r="C21" s="6" t="n"/>
      <c r="D21" s="7">
        <f>IF(C21&gt;0,B21/C21,0)</f>
        <v/>
      </c>
      <c r="E21" s="6" t="n"/>
      <c r="F21" s="6" t="n"/>
      <c r="G21" s="6" t="n"/>
    </row>
    <row r="22">
      <c r="A22" s="6" t="n"/>
      <c r="B22" s="6" t="n"/>
      <c r="C22" s="6" t="n"/>
      <c r="D22" s="7">
        <f>IF(C22&gt;0,B22/C22,0)</f>
        <v/>
      </c>
      <c r="E22" s="6" t="n"/>
      <c r="F22" s="6" t="n"/>
      <c r="G22" s="6" t="n"/>
    </row>
    <row r="23">
      <c r="A23" s="6" t="n"/>
      <c r="B23" s="6" t="n"/>
      <c r="C23" s="6" t="n"/>
      <c r="D23" s="7">
        <f>IF(C23&gt;0,B23/C23,0)</f>
        <v/>
      </c>
      <c r="E23" s="6" t="n"/>
      <c r="F23" s="6" t="n"/>
      <c r="G23" s="6" t="n"/>
    </row>
    <row r="24">
      <c r="A24" s="6" t="n"/>
      <c r="B24" s="6" t="n"/>
      <c r="C24" s="6" t="n"/>
      <c r="D24" s="7">
        <f>IF(C24&gt;0,B24/C24,0)</f>
        <v/>
      </c>
      <c r="E24" s="6" t="n"/>
      <c r="F24" s="6" t="n"/>
      <c r="G24" s="6" t="n"/>
    </row>
    <row r="25">
      <c r="A25" s="6" t="n"/>
      <c r="B25" s="6" t="n"/>
      <c r="C25" s="6" t="n"/>
      <c r="D25" s="7">
        <f>IF(C25&gt;0,B25/C25,0)</f>
        <v/>
      </c>
      <c r="E25" s="6" t="n"/>
      <c r="F25" s="6" t="n"/>
      <c r="G25" s="6" t="n"/>
    </row>
    <row r="26">
      <c r="A26" s="6" t="n"/>
      <c r="B26" s="6" t="n"/>
      <c r="C26" s="6" t="n"/>
      <c r="D26" s="7">
        <f>IF(C26&gt;0,B26/C26,0)</f>
        <v/>
      </c>
      <c r="E26" s="6" t="n"/>
      <c r="F26" s="6" t="n"/>
      <c r="G26" s="6" t="n"/>
    </row>
    <row r="27">
      <c r="A27" s="6" t="n"/>
      <c r="B27" s="6" t="n"/>
      <c r="C27" s="6" t="n"/>
      <c r="D27" s="7">
        <f>IF(C27&gt;0,B27/C27,0)</f>
        <v/>
      </c>
      <c r="E27" s="6" t="n"/>
      <c r="F27" s="6" t="n"/>
      <c r="G27" s="6" t="n"/>
    </row>
    <row r="28">
      <c r="A28" s="6" t="n"/>
      <c r="B28" s="6" t="n"/>
      <c r="C28" s="6" t="n"/>
      <c r="D28" s="7">
        <f>IF(C28&gt;0,B28/C28,0)</f>
        <v/>
      </c>
      <c r="E28" s="6" t="n"/>
      <c r="F28" s="6" t="n"/>
      <c r="G28" s="6" t="n"/>
    </row>
    <row r="29">
      <c r="A29" s="6" t="n"/>
      <c r="B29" s="6" t="n"/>
      <c r="C29" s="6" t="n"/>
      <c r="D29" s="7">
        <f>IF(C29&gt;0,B29/C29,0)</f>
        <v/>
      </c>
      <c r="E29" s="6" t="n"/>
      <c r="F29" s="6" t="n"/>
      <c r="G29" s="6" t="n"/>
    </row>
    <row r="30">
      <c r="A30" s="6" t="n"/>
      <c r="B30" s="6" t="n"/>
      <c r="C30" s="6" t="n"/>
      <c r="D30" s="7">
        <f>IF(C30&gt;0,B30/C30,0)</f>
        <v/>
      </c>
      <c r="E30" s="6" t="n"/>
      <c r="F30" s="6" t="n"/>
      <c r="G30" s="6" t="n"/>
    </row>
    <row r="31">
      <c r="A31" s="6" t="n"/>
      <c r="B31" s="6" t="n"/>
      <c r="C31" s="6" t="n"/>
      <c r="D31" s="7">
        <f>IF(C31&gt;0,B31/C31,0)</f>
        <v/>
      </c>
      <c r="E31" s="6" t="n"/>
      <c r="F31" s="6" t="n"/>
      <c r="G31" s="6" t="n"/>
    </row>
    <row r="32">
      <c r="A32" s="6" t="n"/>
      <c r="B32" s="6" t="n"/>
      <c r="C32" s="6" t="n"/>
      <c r="D32" s="7">
        <f>IF(C32&gt;0,B32/C32,0)</f>
        <v/>
      </c>
      <c r="E32" s="6" t="n"/>
      <c r="F32" s="6" t="n"/>
      <c r="G32" s="6" t="n"/>
    </row>
    <row r="33">
      <c r="A33" s="6" t="n"/>
      <c r="B33" s="6" t="n"/>
      <c r="C33" s="6" t="n"/>
      <c r="D33" s="7">
        <f>IF(C33&gt;0,B33/C33,0)</f>
        <v/>
      </c>
      <c r="E33" s="6" t="n"/>
      <c r="F33" s="6" t="n"/>
      <c r="G33" s="6" t="n"/>
    </row>
  </sheetData>
  <mergeCells count="1">
    <mergeCell ref="A1:G1"/>
  </mergeCells>
  <dataValidations count="1">
    <dataValidation sqref="E4:E33" showDropDown="0" showInputMessage="0" showErrorMessage="0" allowBlank="1" type="list">
      <formula1>"Increasing,Stable,Decreasing"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  <col width="30" customWidth="1" min="4" max="4"/>
    <col width="30" customWidth="1" min="5" max="5"/>
    <col width="20" customWidth="1" min="6" max="6"/>
    <col width="25" customWidth="1" min="7" max="7"/>
  </cols>
  <sheetData>
    <row r="1" ht="30" customHeight="1">
      <c r="A1" s="1" t="inlineStr">
        <is>
          <t>Secure Architecture Patterns - Governance Assessment</t>
        </is>
      </c>
    </row>
    <row r="3">
      <c r="A3" s="1" t="inlineStr">
        <is>
          <t>Gov-ID</t>
        </is>
      </c>
      <c r="B3" s="1" t="inlineStr">
        <is>
          <t>Requirement</t>
        </is>
      </c>
      <c r="C3" s="1" t="inlineStr">
        <is>
          <t>Status</t>
        </is>
      </c>
      <c r="D3" s="1" t="inlineStr">
        <is>
          <t>Evidence</t>
        </is>
      </c>
      <c r="E3" s="1" t="inlineStr">
        <is>
          <t>Gap</t>
        </is>
      </c>
      <c r="F3" s="1" t="inlineStr">
        <is>
          <t>Owner</t>
        </is>
      </c>
      <c r="G3" s="1" t="inlineStr">
        <is>
          <t>Notes</t>
        </is>
      </c>
    </row>
    <row r="4">
      <c r="A4" s="5" t="inlineStr">
        <is>
          <t>GOV-001</t>
        </is>
      </c>
      <c r="B4" s="5" t="inlineStr">
        <is>
          <t>Pattern ownership assigned for each pattern</t>
        </is>
      </c>
      <c r="C4" s="6" t="n"/>
      <c r="D4" s="6" t="n"/>
      <c r="E4" s="6" t="n"/>
      <c r="F4" s="6" t="n"/>
      <c r="G4" s="6" t="n"/>
    </row>
    <row r="5">
      <c r="A5" s="5" t="inlineStr">
        <is>
          <t>GOV-002</t>
        </is>
      </c>
      <c r="B5" s="5" t="inlineStr">
        <is>
          <t>Annual pattern review cycle established</t>
        </is>
      </c>
      <c r="C5" s="6" t="n"/>
      <c r="D5" s="6" t="n"/>
      <c r="E5" s="6" t="n"/>
      <c r="F5" s="6" t="n"/>
      <c r="G5" s="6" t="n"/>
    </row>
    <row r="6">
      <c r="A6" s="5" t="inlineStr">
        <is>
          <t>GOV-003</t>
        </is>
      </c>
      <c r="B6" s="5" t="inlineStr">
        <is>
          <t>Patterns linked to threat models</t>
        </is>
      </c>
      <c r="C6" s="6" t="n"/>
      <c r="D6" s="6" t="n"/>
      <c r="E6" s="6" t="n"/>
      <c r="F6" s="6" t="n"/>
      <c r="G6" s="6" t="n"/>
    </row>
    <row r="7">
      <c r="A7" s="5" t="inlineStr">
        <is>
          <t>GOV-004</t>
        </is>
      </c>
      <c r="B7" s="5" t="inlineStr">
        <is>
          <t>Pattern versioning and change control</t>
        </is>
      </c>
      <c r="C7" s="6" t="n"/>
      <c r="D7" s="6" t="n"/>
      <c r="E7" s="6" t="n"/>
      <c r="F7" s="6" t="n"/>
      <c r="G7" s="6" t="n"/>
    </row>
    <row r="8">
      <c r="A8" s="5" t="inlineStr">
        <is>
          <t>GOV-005</t>
        </is>
      </c>
      <c r="B8" s="5" t="inlineStr">
        <is>
          <t>Pattern update process documented</t>
        </is>
      </c>
      <c r="C8" s="6" t="n"/>
      <c r="D8" s="6" t="n"/>
      <c r="E8" s="6" t="n"/>
      <c r="F8" s="6" t="n"/>
      <c r="G8" s="6" t="n"/>
    </row>
    <row r="9">
      <c r="A9" s="5" t="inlineStr">
        <is>
          <t>GOV-006</t>
        </is>
      </c>
      <c r="B9" s="5" t="inlineStr">
        <is>
          <t>Pattern deprecation process defined</t>
        </is>
      </c>
      <c r="C9" s="6" t="n"/>
      <c r="D9" s="6" t="n"/>
      <c r="E9" s="6" t="n"/>
      <c r="F9" s="6" t="n"/>
      <c r="G9" s="6" t="n"/>
    </row>
    <row r="10">
      <c r="A10" s="5" t="inlineStr">
        <is>
          <t>GOV-007</t>
        </is>
      </c>
      <c r="B10" s="5" t="inlineStr">
        <is>
          <t>Pattern changes communicated to stakeholders</t>
        </is>
      </c>
      <c r="C10" s="6" t="n"/>
      <c r="D10" s="6" t="n"/>
      <c r="E10" s="6" t="n"/>
      <c r="F10" s="6" t="n"/>
      <c r="G10" s="6" t="n"/>
    </row>
    <row r="11">
      <c r="A11" s="5" t="inlineStr">
        <is>
          <t>GOV-008</t>
        </is>
      </c>
      <c r="B11" s="5" t="inlineStr">
        <is>
          <t>Pattern training available</t>
        </is>
      </c>
      <c r="C11" s="6" t="n"/>
      <c r="D11" s="6" t="n"/>
      <c r="E11" s="6" t="n"/>
      <c r="F11" s="6" t="n"/>
      <c r="G11" s="6" t="n"/>
    </row>
    <row r="12">
      <c r="A12" s="5" t="inlineStr">
        <is>
          <t>GOV-009</t>
        </is>
      </c>
      <c r="B12" s="5" t="inlineStr">
        <is>
          <t>Exception process for pattern deviations</t>
        </is>
      </c>
      <c r="C12" s="6" t="n"/>
      <c r="D12" s="6" t="n"/>
      <c r="E12" s="6" t="n"/>
      <c r="F12" s="6" t="n"/>
      <c r="G12" s="6" t="n"/>
    </row>
    <row r="13">
      <c r="A13" s="5" t="inlineStr">
        <is>
          <t>GOV-010</t>
        </is>
      </c>
      <c r="B13" s="5" t="inlineStr">
        <is>
          <t>Pattern effectiveness measured</t>
        </is>
      </c>
      <c r="C13" s="6" t="n"/>
      <c r="D13" s="6" t="n"/>
      <c r="E13" s="6" t="n"/>
      <c r="F13" s="6" t="n"/>
      <c r="G13" s="6" t="n"/>
    </row>
    <row r="14">
      <c r="A14" s="5" t="inlineStr">
        <is>
          <t>GOV-011</t>
        </is>
      </c>
      <c r="B14" s="5" t="inlineStr">
        <is>
          <t>Pattern catalogue accessible to all architects</t>
        </is>
      </c>
      <c r="C14" s="6" t="n"/>
      <c r="D14" s="6" t="n"/>
      <c r="E14" s="6" t="n"/>
      <c r="F14" s="6" t="n"/>
      <c r="G14" s="6" t="n"/>
    </row>
    <row r="15">
      <c r="A15" s="5" t="inlineStr">
        <is>
          <t>GOV-012</t>
        </is>
      </c>
      <c r="B15" s="5" t="inlineStr">
        <is>
          <t>New pattern proposal process defined</t>
        </is>
      </c>
      <c r="C15" s="6" t="n"/>
      <c r="D15" s="6" t="n"/>
      <c r="E15" s="6" t="n"/>
      <c r="F15" s="6" t="n"/>
      <c r="G15" s="6" t="n"/>
    </row>
    <row r="16">
      <c r="A16" s="5" t="inlineStr">
        <is>
          <t>GOV-013</t>
        </is>
      </c>
      <c r="B16" s="5" t="inlineStr">
        <is>
          <t>Pattern review board established</t>
        </is>
      </c>
      <c r="C16" s="6" t="n"/>
      <c r="D16" s="6" t="n"/>
      <c r="E16" s="6" t="n"/>
      <c r="F16" s="6" t="n"/>
      <c r="G16" s="6" t="n"/>
    </row>
    <row r="17">
      <c r="A17" s="5" t="inlineStr">
        <is>
          <t>GOV-014</t>
        </is>
      </c>
      <c r="B17" s="5" t="inlineStr">
        <is>
          <t>Integration with architecture review process</t>
        </is>
      </c>
      <c r="C17" s="6" t="n"/>
      <c r="D17" s="6" t="n"/>
      <c r="E17" s="6" t="n"/>
      <c r="F17" s="6" t="n"/>
      <c r="G17" s="6" t="n"/>
    </row>
    <row r="18">
      <c r="A18" s="5" t="inlineStr">
        <is>
          <t>GOV-015</t>
        </is>
      </c>
      <c r="B18" s="5" t="inlineStr">
        <is>
          <t>Pattern compliance tracked in projects</t>
        </is>
      </c>
      <c r="C18" s="6" t="n"/>
      <c r="D18" s="6" t="n"/>
      <c r="E18" s="6" t="n"/>
      <c r="F18" s="6" t="n"/>
      <c r="G18" s="6" t="n"/>
    </row>
  </sheetData>
  <mergeCells count="1">
    <mergeCell ref="A1:G1"/>
  </mergeCells>
  <dataValidations count="1">
    <dataValidation sqref="C4:C18" showDropDown="0" showInputMessage="0" showErrorMessage="0" allowBlank="1" type="list">
      <formula1>"Implemented,Partial,Not Implemented"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20" customWidth="1" min="4" max="4"/>
    <col width="40" customWidth="1" min="5" max="5"/>
    <col width="10" customWidth="1" min="6" max="6"/>
    <col width="20" customWidth="1" min="7" max="7"/>
    <col width="35" customWidth="1" min="8" max="8"/>
    <col width="12" customWidth="1" min="9" max="9"/>
    <col width="12" customWidth="1" min="10" max="10"/>
  </cols>
  <sheetData>
    <row r="1" ht="30" customHeight="1">
      <c r="A1" s="1" t="inlineStr">
        <is>
          <t>Secure Architecture Patterns - Deviation Tracking</t>
        </is>
      </c>
    </row>
    <row r="3">
      <c r="A3" s="1" t="inlineStr">
        <is>
          <t>Dev-ID</t>
        </is>
      </c>
      <c r="B3" s="1" t="inlineStr">
        <is>
          <t>Pattern</t>
        </is>
      </c>
      <c r="C3" s="1" t="inlineStr">
        <is>
          <t>Project</t>
        </is>
      </c>
      <c r="D3" s="1" t="inlineStr">
        <is>
          <t>Category</t>
        </is>
      </c>
      <c r="E3" s="1" t="inlineStr">
        <is>
          <t>Justification</t>
        </is>
      </c>
      <c r="F3" s="1" t="inlineStr">
        <is>
          <t>Approved</t>
        </is>
      </c>
      <c r="G3" s="1" t="inlineStr">
        <is>
          <t>ApprovedBy</t>
        </is>
      </c>
      <c r="H3" s="1" t="inlineStr">
        <is>
          <t>Compensating</t>
        </is>
      </c>
      <c r="I3" s="1" t="inlineStr">
        <is>
          <t>Expiry</t>
        </is>
      </c>
      <c r="J3" s="1" t="inlineStr">
        <is>
          <t>Status</t>
        </is>
      </c>
    </row>
    <row r="4">
      <c r="A4" s="5" t="inlineStr">
        <is>
          <t>DEV-001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5" t="inlineStr">
        <is>
          <t>DEV-002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5" t="inlineStr">
        <is>
          <t>DEV-003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5" t="inlineStr">
        <is>
          <t>DEV-004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5" t="inlineStr">
        <is>
          <t>DEV-005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5" t="inlineStr">
        <is>
          <t>DEV-006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5" t="inlineStr">
        <is>
          <t>DEV-007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5" t="inlineStr">
        <is>
          <t>DEV-008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5" t="inlineStr">
        <is>
          <t>DEV-009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5" t="inlineStr">
        <is>
          <t>DEV-010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5" t="inlineStr">
        <is>
          <t>DEV-011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5" t="inlineStr">
        <is>
          <t>DEV-012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5" t="inlineStr">
        <is>
          <t>DEV-013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5" t="inlineStr">
        <is>
          <t>DEV-014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5" t="inlineStr">
        <is>
          <t>DEV-015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5" t="inlineStr">
        <is>
          <t>DEV-016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5" t="inlineStr">
        <is>
          <t>DEV-017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5" t="inlineStr">
        <is>
          <t>DEV-018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5" t="inlineStr">
        <is>
          <t>DEV-019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5" t="inlineStr">
        <is>
          <t>DEV-020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</sheetData>
  <mergeCells count="1">
    <mergeCell ref="A1:J1"/>
  </mergeCells>
  <dataValidations count="3">
    <dataValidation sqref="D4:D23" showDropDown="0" showInputMessage="0" showErrorMessage="0" allowBlank="1" type="list">
      <formula1>"Technical Constraint,Legacy System,Vendor Limitation,Cost/Time,Performance"</formula1>
    </dataValidation>
    <dataValidation sqref="F4:F23" showDropDown="0" showInputMessage="0" showErrorMessage="0" allowBlank="1" type="list">
      <formula1>"Yes,No,Pending"</formula1>
    </dataValidation>
    <dataValidation sqref="J4:J23" showDropDown="0" showInputMessage="0" showErrorMessage="0" allowBlank="1" type="list">
      <formula1>"Active,Closed,Expired"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2" customWidth="1" min="5" max="5"/>
    <col width="12" customWidth="1" min="6" max="6"/>
    <col width="30" customWidth="1" min="7" max="7"/>
  </cols>
  <sheetData>
    <row r="1" ht="30" customHeight="1">
      <c r="A1" s="1" t="inlineStr">
        <is>
          <t>Secure Architecture Patterns - Effectiveness Metrics</t>
        </is>
      </c>
    </row>
    <row r="3">
      <c r="A3" s="1" t="inlineStr">
        <is>
          <t>Pat-ID</t>
        </is>
      </c>
      <c r="B3" s="1" t="inlineStr">
        <is>
          <t>SecurityIncidents</t>
        </is>
      </c>
      <c r="C3" s="1" t="inlineStr">
        <is>
          <t>VulnFindings</t>
        </is>
      </c>
      <c r="D3" s="1" t="inlineStr">
        <is>
          <t>AuditFindings</t>
        </is>
      </c>
      <c r="E3" s="1" t="inlineStr">
        <is>
          <t>UserFeedback</t>
        </is>
      </c>
      <c r="F3" s="1" t="inlineStr">
        <is>
          <t>Effectiveness</t>
        </is>
      </c>
      <c r="G3" s="1" t="inlineStr">
        <is>
          <t>Notes</t>
        </is>
      </c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</sheetData>
  <mergeCells count="1">
    <mergeCell ref="A1:G1"/>
  </mergeCells>
  <dataValidations count="1">
    <dataValidation sqref="F4:F33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2" customWidth="1" min="4" max="4"/>
    <col width="35" customWidth="1" min="5" max="5"/>
    <col width="10" customWidth="1" min="6" max="6"/>
    <col width="25" customWidth="1" min="7" max="7"/>
  </cols>
  <sheetData>
    <row r="1" ht="30" customHeight="1">
      <c r="A1" s="1" t="inlineStr">
        <is>
          <t>Secure Architecture Patterns - Policy Compliance</t>
        </is>
      </c>
    </row>
    <row r="3">
      <c r="A3" s="1" t="inlineStr">
        <is>
          <t>Comp-ID</t>
        </is>
      </c>
      <c r="B3" s="1" t="inlineStr">
        <is>
          <t>Requirement</t>
        </is>
      </c>
      <c r="C3" s="1" t="inlineStr">
        <is>
          <t>Source</t>
        </is>
      </c>
      <c r="D3" s="1" t="inlineStr">
        <is>
          <t>Compliant</t>
        </is>
      </c>
      <c r="E3" s="1" t="inlineStr">
        <is>
          <t>Evidence</t>
        </is>
      </c>
      <c r="F3" s="1" t="inlineStr">
        <is>
          <t>Score</t>
        </is>
      </c>
      <c r="G3" s="1" t="inlineStr">
        <is>
          <t>Notes</t>
        </is>
      </c>
    </row>
    <row r="4">
      <c r="A4" s="5" t="inlineStr">
        <is>
          <t>COMP-001</t>
        </is>
      </c>
      <c r="B4" s="5" t="inlineStr">
        <is>
          <t>Secure pattern catalogue maintained</t>
        </is>
      </c>
      <c r="C4" s="5" t="inlineStr">
        <is>
          <t>POL-A.8.27 §2.2.2</t>
        </is>
      </c>
      <c r="D4" s="6" t="n"/>
      <c r="E4" s="6" t="n"/>
      <c r="F4" s="7">
        <f>IF(D4="Yes",100,IF(D4="Partial",50,0))</f>
        <v/>
      </c>
      <c r="G4" s="6" t="n"/>
    </row>
    <row r="5">
      <c r="A5" s="5" t="inlineStr">
        <is>
          <t>COMP-002</t>
        </is>
      </c>
      <c r="B5" s="5" t="inlineStr">
        <is>
          <t>Pattern documentation with security rationale</t>
        </is>
      </c>
      <c r="C5" s="5" t="inlineStr">
        <is>
          <t>POL-A.8.27 §2.2.2</t>
        </is>
      </c>
      <c r="D5" s="6" t="n"/>
      <c r="E5" s="6" t="n"/>
      <c r="F5" s="7">
        <f>IF(D5="Yes",100,IF(D5="Partial",50,0))</f>
        <v/>
      </c>
      <c r="G5" s="6" t="n"/>
    </row>
    <row r="6">
      <c r="A6" s="5" t="inlineStr">
        <is>
          <t>COMP-003</t>
        </is>
      </c>
      <c r="B6" s="5" t="inlineStr">
        <is>
          <t>Annual pattern review conducted</t>
        </is>
      </c>
      <c r="C6" s="5" t="inlineStr">
        <is>
          <t>POL-A.8.27 §2.2.2</t>
        </is>
      </c>
      <c r="D6" s="6" t="n"/>
      <c r="E6" s="6" t="n"/>
      <c r="F6" s="7">
        <f>IF(D6="Yes",100,IF(D6="Partial",50,0))</f>
        <v/>
      </c>
      <c r="G6" s="6" t="n"/>
    </row>
    <row r="7">
      <c r="A7" s="5" t="inlineStr">
        <is>
          <t>COMP-004</t>
        </is>
      </c>
      <c r="B7" s="5" t="inlineStr">
        <is>
          <t>Deviations require Security Architect approval</t>
        </is>
      </c>
      <c r="C7" s="5" t="inlineStr">
        <is>
          <t>POL-A.8.27 §2.2.2</t>
        </is>
      </c>
      <c r="D7" s="6" t="n"/>
      <c r="E7" s="6" t="n"/>
      <c r="F7" s="7">
        <f>IF(D7="Yes",100,IF(D7="Partial",50,0))</f>
        <v/>
      </c>
      <c r="G7" s="6" t="n"/>
    </row>
    <row r="8">
      <c r="A8" s="5" t="inlineStr">
        <is>
          <t>COMP-005</t>
        </is>
      </c>
      <c r="B8" s="5" t="inlineStr">
        <is>
          <t>New patterns validated through threat modelling</t>
        </is>
      </c>
      <c r="C8" s="5" t="inlineStr">
        <is>
          <t>POL-A.8.27 §2.2.2</t>
        </is>
      </c>
      <c r="D8" s="6" t="n"/>
      <c r="E8" s="6" t="n"/>
      <c r="F8" s="7">
        <f>IF(D8="Yes",100,IF(D8="Partial",50,0))</f>
        <v/>
      </c>
      <c r="G8" s="6" t="n"/>
    </row>
    <row r="9">
      <c r="A9" s="5" t="inlineStr">
        <is>
          <t>COMP-006</t>
        </is>
      </c>
      <c r="B9" s="5" t="inlineStr">
        <is>
          <t>Authentication patterns defined</t>
        </is>
      </c>
      <c r="C9" s="5" t="inlineStr">
        <is>
          <t>POL-A.8.27 §2.2.2</t>
        </is>
      </c>
      <c r="D9" s="6" t="n"/>
      <c r="E9" s="6" t="n"/>
      <c r="F9" s="7">
        <f>IF(D9="Yes",100,IF(D9="Partial",50,0))</f>
        <v/>
      </c>
      <c r="G9" s="6" t="n"/>
    </row>
    <row r="10">
      <c r="A10" s="5" t="inlineStr">
        <is>
          <t>COMP-007</t>
        </is>
      </c>
      <c r="B10" s="5" t="inlineStr">
        <is>
          <t>Authorisation patterns defined</t>
        </is>
      </c>
      <c r="C10" s="5" t="inlineStr">
        <is>
          <t>POL-A.8.27 §2.2.2</t>
        </is>
      </c>
      <c r="D10" s="6" t="n"/>
      <c r="E10" s="6" t="n"/>
      <c r="F10" s="7">
        <f>IF(D10="Yes",100,IF(D10="Partial",50,0))</f>
        <v/>
      </c>
      <c r="G10" s="6" t="n"/>
    </row>
    <row r="11">
      <c r="A11" s="5" t="inlineStr">
        <is>
          <t>COMP-008</t>
        </is>
      </c>
      <c r="B11" s="5" t="inlineStr">
        <is>
          <t>Data protection patterns defined</t>
        </is>
      </c>
      <c r="C11" s="5" t="inlineStr">
        <is>
          <t>POL-A.8.27 §2.2.2</t>
        </is>
      </c>
      <c r="D11" s="6" t="n"/>
      <c r="E11" s="6" t="n"/>
      <c r="F11" s="7">
        <f>IF(D11="Yes",100,IF(D11="Partial",50,0))</f>
        <v/>
      </c>
      <c r="G11" s="6" t="n"/>
    </row>
    <row r="12">
      <c r="A12" s="5" t="inlineStr">
        <is>
          <t>COMP-009</t>
        </is>
      </c>
      <c r="B12" s="5" t="inlineStr">
        <is>
          <t>Network security patterns defined</t>
        </is>
      </c>
      <c r="C12" s="5" t="inlineStr">
        <is>
          <t>POL-A.8.27 §2.2.2</t>
        </is>
      </c>
      <c r="D12" s="6" t="n"/>
      <c r="E12" s="6" t="n"/>
      <c r="F12" s="7">
        <f>IF(D12="Yes",100,IF(D12="Partial",50,0))</f>
        <v/>
      </c>
      <c r="G12" s="6" t="n"/>
    </row>
    <row r="13">
      <c r="A13" s="5" t="inlineStr">
        <is>
          <t>COMP-010</t>
        </is>
      </c>
      <c r="B13" s="5" t="inlineStr">
        <is>
          <t>Integration patterns defined</t>
        </is>
      </c>
      <c r="C13" s="5" t="inlineStr">
        <is>
          <t>POL-A.8.27 §2.2.2</t>
        </is>
      </c>
      <c r="D13" s="6" t="n"/>
      <c r="E13" s="6" t="n"/>
      <c r="F13" s="7">
        <f>IF(D13="Yes",100,IF(D13="Partial",50,0))</f>
        <v/>
      </c>
      <c r="G13" s="6" t="n"/>
    </row>
    <row r="14">
      <c r="A14" s="5" t="inlineStr">
        <is>
          <t>COMP-011</t>
        </is>
      </c>
      <c r="B14" s="5" t="inlineStr">
        <is>
          <t>Cloud patterns defined</t>
        </is>
      </c>
      <c r="C14" s="5" t="inlineStr">
        <is>
          <t>POL-A.8.27 §2.2.2</t>
        </is>
      </c>
      <c r="D14" s="6" t="n"/>
      <c r="E14" s="6" t="n"/>
      <c r="F14" s="7">
        <f>IF(D14="Yes",100,IF(D14="Partial",50,0))</f>
        <v/>
      </c>
      <c r="G14" s="6" t="n"/>
    </row>
    <row r="15">
      <c r="A15" s="5" t="inlineStr">
        <is>
          <t>COMP-012</t>
        </is>
      </c>
      <c r="B15" s="5" t="inlineStr">
        <is>
          <t>Pattern adoption tracked</t>
        </is>
      </c>
      <c r="C15" s="5" t="inlineStr">
        <is>
          <t>POL-A.8.27 §4</t>
        </is>
      </c>
      <c r="D15" s="6" t="n"/>
      <c r="E15" s="6" t="n"/>
      <c r="F15" s="7">
        <f>IF(D15="Yes",100,IF(D15="Partial",50,0))</f>
        <v/>
      </c>
      <c r="G15" s="6" t="n"/>
    </row>
    <row r="16">
      <c r="A16" s="5" t="inlineStr">
        <is>
          <t>COMP-013</t>
        </is>
      </c>
      <c r="B16" s="5" t="inlineStr">
        <is>
          <t>Pattern effectiveness measured</t>
        </is>
      </c>
      <c r="C16" s="5" t="inlineStr">
        <is>
          <t>POL-A.8.27 §4</t>
        </is>
      </c>
      <c r="D16" s="6" t="n"/>
      <c r="E16" s="6" t="n"/>
      <c r="F16" s="7">
        <f>IF(D16="Yes",100,IF(D16="Partial",50,0))</f>
        <v/>
      </c>
      <c r="G16" s="6" t="n"/>
    </row>
    <row r="17">
      <c r="A17" s="5" t="inlineStr">
        <is>
          <t>COMP-014</t>
        </is>
      </c>
      <c r="B17" s="5" t="inlineStr">
        <is>
          <t>Deviation tracking maintained</t>
        </is>
      </c>
      <c r="C17" s="5" t="inlineStr">
        <is>
          <t>POL-A.8.27 §4</t>
        </is>
      </c>
      <c r="D17" s="6" t="n"/>
      <c r="E17" s="6" t="n"/>
      <c r="F17" s="7">
        <f>IF(D17="Yes",100,IF(D17="Partial",50,0))</f>
        <v/>
      </c>
      <c r="G17" s="6" t="n"/>
    </row>
    <row r="18">
      <c r="A18" s="5" t="inlineStr">
        <is>
          <t>COMP-015</t>
        </is>
      </c>
      <c r="B18" s="5" t="inlineStr">
        <is>
          <t>Pattern training provided</t>
        </is>
      </c>
      <c r="C18" s="5" t="inlineStr">
        <is>
          <t>POL-A.8.27 §4</t>
        </is>
      </c>
      <c r="D18" s="6" t="n"/>
      <c r="E18" s="6" t="n"/>
      <c r="F18" s="7">
        <f>IF(D18="Yes",100,IF(D18="Partial",50,0))</f>
        <v/>
      </c>
      <c r="G18" s="6" t="n"/>
    </row>
    <row r="20">
      <c r="E20" s="2" t="inlineStr">
        <is>
          <t>Overall Compliance:</t>
        </is>
      </c>
      <c r="F20" s="7">
        <f>AVERAGE(F4:F18)</f>
        <v/>
      </c>
    </row>
  </sheetData>
  <mergeCells count="1">
    <mergeCell ref="A1:G1"/>
  </mergeCells>
  <dataValidations count="1">
    <dataValidation sqref="D4:D18" showDropDown="0" showInputMessage="0" showErrorMessage="0" allowBlank="1" type="list">
      <formula1>"Yes,Partial,No"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40" customWidth="1" min="3" max="3"/>
    <col width="10" customWidth="1" min="4" max="4"/>
    <col width="40" customWidth="1" min="5" max="5"/>
    <col width="20" customWidth="1" min="6" max="6"/>
    <col width="12" customWidth="1" min="7" max="7"/>
    <col width="12" customWidth="1" min="8" max="8"/>
    <col width="12" customWidth="1" min="9" max="9"/>
    <col width="25" customWidth="1" min="10" max="10"/>
  </cols>
  <sheetData>
    <row r="1" ht="30" customHeight="1">
      <c r="A1" s="1" t="inlineStr">
        <is>
          <t>Secure Architecture Patterns - Gap Register</t>
        </is>
      </c>
    </row>
    <row r="3">
      <c r="A3" s="1" t="inlineStr">
        <is>
          <t>Gap-ID</t>
        </is>
      </c>
      <c r="B3" s="1" t="inlineStr">
        <is>
          <t>Source</t>
        </is>
      </c>
      <c r="C3" s="1" t="inlineStr">
        <is>
          <t>Description</t>
        </is>
      </c>
      <c r="D3" s="1" t="inlineStr">
        <is>
          <t>Risk</t>
        </is>
      </c>
      <c r="E3" s="1" t="inlineStr">
        <is>
          <t>Remediation</t>
        </is>
      </c>
      <c r="F3" s="1" t="inlineStr">
        <is>
          <t>Owner</t>
        </is>
      </c>
      <c r="G3" s="1" t="inlineStr">
        <is>
          <t>Due Date</t>
        </is>
      </c>
      <c r="H3" s="1" t="inlineStr">
        <is>
          <t>Status</t>
        </is>
      </c>
      <c r="I3" s="1" t="inlineStr">
        <is>
          <t>Closure Date</t>
        </is>
      </c>
      <c r="J3" s="1" t="inlineStr">
        <is>
          <t>Notes</t>
        </is>
      </c>
    </row>
    <row r="4">
      <c r="A4" s="5" t="inlineStr">
        <is>
          <t>GAP-001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>
      <c r="A5" s="5" t="inlineStr">
        <is>
          <t>GAP-002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5" t="inlineStr">
        <is>
          <t>GAP-003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5" t="inlineStr">
        <is>
          <t>GAP-004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5" t="inlineStr">
        <is>
          <t>GAP-005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5" t="inlineStr">
        <is>
          <t>GAP-006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5" t="inlineStr">
        <is>
          <t>GAP-007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5" t="inlineStr">
        <is>
          <t>GAP-008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5" t="inlineStr">
        <is>
          <t>GAP-009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5" t="inlineStr">
        <is>
          <t>GAP-010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5" t="inlineStr">
        <is>
          <t>GAP-011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5" t="inlineStr">
        <is>
          <t>GAP-012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5" t="inlineStr">
        <is>
          <t>GAP-013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5" t="inlineStr">
        <is>
          <t>GAP-014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5" t="inlineStr">
        <is>
          <t>GAP-015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5" t="inlineStr">
        <is>
          <t>GAP-016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5" t="inlineStr">
        <is>
          <t>GAP-017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5" t="inlineStr">
        <is>
          <t>GAP-018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5" t="inlineStr">
        <is>
          <t>GAP-019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5" t="inlineStr">
        <is>
          <t>GAP-020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</sheetData>
  <mergeCells count="1">
    <mergeCell ref="A1:J1"/>
  </mergeCells>
  <dataValidations count="2">
    <dataValidation sqref="D4:D23" showDropDown="0" showInputMessage="0" showErrorMessage="0" allowBlank="1" type="list">
      <formula1>"High,Medium,Low"</formula1>
    </dataValidation>
    <dataValidation sqref="H4:H23" showDropDown="0" showInputMessage="0" showErrorMessage="0" allowBlank="1" type="list">
      <formula1>"Open,In Progress,Closed"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30" customHeight="1">
      <c r="A1" s="1" t="inlineStr">
        <is>
          <t>Secure Architecture Patterns - Assessment Dashboard</t>
        </is>
      </c>
    </row>
    <row r="3">
      <c r="A3" s="2" t="inlineStr">
        <is>
          <t>Assessment Summary</t>
        </is>
      </c>
      <c r="B3" s="3" t="n"/>
      <c r="C3" s="3" t="n"/>
      <c r="D3" s="3" t="n"/>
      <c r="E3" s="3" t="n"/>
      <c r="F3" s="4" t="n"/>
    </row>
    <row r="4">
      <c r="A4" s="5" t="inlineStr">
        <is>
          <t>Assessment Date</t>
        </is>
      </c>
      <c r="B4" s="6" t="inlineStr">
        <is>
          <t>10.02.2026</t>
        </is>
      </c>
    </row>
    <row r="5">
      <c r="A5" s="5" t="inlineStr">
        <is>
          <t>Organisation</t>
        </is>
      </c>
      <c r="B5" s="6" t="inlineStr">
        <is>
          <t>[Organisation]</t>
        </is>
      </c>
    </row>
    <row r="6">
      <c r="A6" s="5" t="inlineStr">
        <is>
          <t>Control Reference</t>
        </is>
      </c>
      <c r="B6" s="6" t="inlineStr">
        <is>
          <t>ISO/IEC 27001:2022 - Control A.8.27: Secure System Architecture and Engineering Principles</t>
        </is>
      </c>
    </row>
    <row r="7">
      <c r="A7" s="5" t="inlineStr">
        <is>
          <t>Total Patterns</t>
        </is>
      </c>
      <c r="B7" s="7">
        <f>COUNTA(PatternInventory!A4:A100)</f>
        <v/>
      </c>
    </row>
    <row r="8">
      <c r="A8" s="5" t="inlineStr">
        <is>
          <t>Overall Compliance Score</t>
        </is>
      </c>
      <c r="B8" s="7">
        <f>Compliance!F20</f>
        <v/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2026-02-10T16:06:42Z</dcterms:created>
  <dcterms:modified xmlns:dcterms="http://purl.org/dc/terms/" xmlns:xsi="http://www.w3.org/2001/XMLSchema-instance" xsi:type="dcterms:W3CDTF">2026-02-10T16:06:42Z</dcterms:modified>
</cp:coreProperties>
</file>