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Methodology" sheetId="2" state="visible" r:id="rId2"/>
    <sheet xmlns:r="http://schemas.openxmlformats.org/officeDocument/2006/relationships" name="MITRE ATT&amp;CK" sheetId="3" state="visible" r:id="rId3"/>
    <sheet xmlns:r="http://schemas.openxmlformats.org/officeDocument/2006/relationships" name="ThreatCatalogue" sheetId="4" state="visible" r:id="rId4"/>
    <sheet xmlns:r="http://schemas.openxmlformats.org/officeDocument/2006/relationships" name="Tools" sheetId="5" state="visible" r:id="rId5"/>
    <sheet xmlns:r="http://schemas.openxmlformats.org/officeDocument/2006/relationships" name="Competency" sheetId="6" state="visible" r:id="rId6"/>
    <sheet xmlns:r="http://schemas.openxmlformats.org/officeDocument/2006/relationships" name="Samples" sheetId="7" state="visible" r:id="rId7"/>
    <sheet xmlns:r="http://schemas.openxmlformats.org/officeDocument/2006/relationships" name="Compliance"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2"/>
    </font>
    <font>
      <name val="Calibri"/>
      <i val="1"/>
      <sz val="11"/>
    </font>
    <font>
      <sz val="11"/>
    </font>
    <font>
      <b val="1"/>
      <color rgb="00FFFFFF"/>
      <sz val="11"/>
    </font>
    <font>
      <name val="Calibri"/>
      <i val="1"/>
      <sz val="10"/>
    </font>
    <font>
      <name val="Calibri"/>
      <b val="1"/>
      <color rgb="00FFFFFF"/>
      <sz val="10"/>
    </font>
    <font>
      <name val="Calibri"/>
      <sz val="10"/>
    </font>
    <font>
      <b val="1"/>
      <color rgb="00FFFFFF"/>
      <sz val="14"/>
    </font>
    <font>
      <i val="1"/>
      <color rgb="00003366"/>
      <sz val="10"/>
    </font>
    <font>
      <b val="1"/>
      <color rgb="00000000"/>
      <sz val="10"/>
    </font>
    <font>
      <b val="1"/>
    </font>
    <font>
      <b val="1"/>
      <color rgb="00000000"/>
      <sz val="12"/>
    </font>
    <font>
      <name val="Calibri"/>
      <b val="1"/>
      <color rgb="00FFFFFF"/>
      <sz val="11"/>
    </font>
    <font>
      <name val="Calibri"/>
      <sz val="11"/>
    </font>
    <font>
      <name val="Calibri"/>
      <sz val="9"/>
    </font>
    <font>
      <name val="Calibri"/>
      <b val="1"/>
      <sz val="11"/>
    </font>
    <font>
      <name val="Calibri"/>
      <i val="1"/>
      <sz val="9"/>
    </font>
    <font>
      <name val="Calibri"/>
      <i val="1"/>
      <color rgb="00003366"/>
      <sz val="1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pivotButton="0" quotePrefix="0" xfId="0"/>
    <xf numFmtId="0" fontId="8" fillId="8" borderId="0" pivotButton="0" quotePrefix="0" xfId="0"/>
    <xf numFmtId="0" fontId="14" fillId="12" borderId="1" applyAlignment="1" pivotButton="0" quotePrefix="0" xfId="0">
      <alignment horizontal="center" vertical="center" wrapText="1"/>
    </xf>
    <xf numFmtId="0" fontId="15" fillId="12" borderId="1" pivotButton="0" quotePrefix="0" xfId="0"/>
    <xf numFmtId="0" fontId="16" fillId="12" borderId="1" pivotButton="0" quotePrefix="0" xfId="0"/>
    <xf numFmtId="0" fontId="17" fillId="8" borderId="1" pivotButton="0" quotePrefix="0" xfId="0"/>
    <xf numFmtId="0" fontId="4" fillId="12" borderId="1" pivotButton="0" quotePrefix="0" xfId="0"/>
    <xf numFmtId="0" fontId="4" fillId="12" borderId="1" applyAlignment="1" pivotButton="0" quotePrefix="0" xfId="0">
      <alignment horizontal="center"/>
    </xf>
    <xf numFmtId="0" fontId="18" fillId="0" borderId="1" pivotButton="0" quotePrefix="0" xfId="0"/>
    <xf numFmtId="0" fontId="18" fillId="0" borderId="1" applyAlignment="1" pivotButton="0" quotePrefix="0" xfId="0">
      <alignment horizontal="center"/>
    </xf>
    <xf numFmtId="0" fontId="19" fillId="0" borderId="1" pivotButton="0" quotePrefix="0" xfId="0"/>
    <xf numFmtId="0" fontId="17" fillId="13" borderId="1" pivotButton="0" quotePrefix="0" xfId="0"/>
    <xf numFmtId="0" fontId="18" fillId="10" borderId="1" pivotButton="0" quotePrefix="0" xfId="0"/>
    <xf numFmtId="0" fontId="18" fillId="10" borderId="1" applyAlignment="1" pivotButton="0" quotePrefix="0" xfId="0">
      <alignment horizontal="center"/>
    </xf>
    <xf numFmtId="0" fontId="20" fillId="0" borderId="1" pivotButton="0" quotePrefix="0" xfId="0"/>
    <xf numFmtId="0" fontId="20" fillId="14" borderId="1" applyAlignment="1" pivotButton="0" quotePrefix="0" xfId="0">
      <alignment horizontal="center"/>
    </xf>
    <xf numFmtId="0" fontId="21" fillId="0" borderId="1" pivotButton="0" quotePrefix="0" xfId="0"/>
    <xf numFmtId="0" fontId="1" fillId="8" borderId="1" applyAlignment="1" pivotButton="0" quotePrefix="0" xfId="0">
      <alignment horizontal="center" vertical="center" wrapText="1"/>
    </xf>
    <xf numFmtId="0" fontId="22" fillId="0" borderId="1" applyAlignment="1" pivotButton="0" quotePrefix="0" xfId="0">
      <alignment horizontal="center" vertical="center"/>
    </xf>
    <xf numFmtId="0" fontId="17" fillId="11" borderId="1" applyAlignment="1" pivotButton="0" quotePrefix="0" xfId="0">
      <alignment horizontal="left" vertical="center"/>
    </xf>
    <xf numFmtId="0" fontId="4" fillId="0" borderId="1" pivotButton="0" quotePrefix="0" xfId="0"/>
    <xf numFmtId="0" fontId="0" fillId="10" borderId="1" pivotButton="0" quotePrefix="0" xfId="0"/>
    <xf numFmtId="0" fontId="17"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ISMS-IMP-A.8.27.2  -  Threat Modelling Methodology
ISO/IEC 27001:2022 - Control A.8.27: Secure System Architecture and Engineering Principles</t>
        </is>
      </c>
    </row>
    <row r="3">
      <c r="A3" s="2" t="inlineStr">
        <is>
          <t>Document Information</t>
        </is>
      </c>
    </row>
    <row r="4">
      <c r="A4" s="3" t="inlineStr">
        <is>
          <t>Document ID</t>
        </is>
      </c>
      <c r="B4" t="inlineStr">
        <is>
          <t>ISMS-IMP-A.8.27.2</t>
        </is>
      </c>
    </row>
    <row r="5">
      <c r="A5" s="3" t="inlineStr">
        <is>
          <t>Workbook Title</t>
        </is>
      </c>
      <c r="B5" t="inlineStr">
        <is>
          <t>Threat Modelling Methodology</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Methodology sheet to assess threat modelling methodology adoption and documentation.</t>
        </is>
      </c>
    </row>
    <row r="14">
      <c r="A14" t="inlineStr">
        <is>
          <t>2. Use the MITRE ATT&amp;CK sheet to evaluate coverage of relevant ATT&amp;CK techniques against threat models.</t>
        </is>
      </c>
    </row>
    <row r="15">
      <c r="A15" t="inlineStr">
        <is>
          <t>3. Document the organisational threat catalogue in the ThreatCatalogue sheet, mapping threat actors and motivations.</t>
        </is>
      </c>
    </row>
    <row r="16">
      <c r="A16" t="inlineStr">
        <is>
          <t>4. Assess threat modelling tools and their integration in the Tools sheet.</t>
        </is>
      </c>
    </row>
    <row r="17">
      <c r="A17" t="inlineStr">
        <is>
          <t>5. Evaluate team competency and training status in the Competency sheet.</t>
        </is>
      </c>
    </row>
    <row r="18">
      <c r="A18" t="inlineStr">
        <is>
          <t>6. Review sample threat models for quality and completeness in the Samples sheet.</t>
        </is>
      </c>
    </row>
    <row r="19">
      <c r="A19" t="inlineStr">
        <is>
          <t>7. Score policy compliance in the Compliance sheet and review the Summary Dashboard for overall status.</t>
        </is>
      </c>
    </row>
    <row r="20">
      <c r="A20" t="inlineStr">
        <is>
          <t>8. Log all supporting evidence in the Evidence Register for audit traceability.</t>
        </is>
      </c>
    </row>
    <row r="21">
      <c r="A21" t="inlineStr">
        <is>
          <t>9. Obtain approvals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40" customWidth="1" min="3" max="3"/>
    <col width="10" customWidth="1" min="4" max="4"/>
    <col width="12" customWidth="1" min="5" max="5"/>
    <col width="12" customWidth="1" min="6" max="6"/>
    <col width="30" customWidth="1" min="7" max="7"/>
    <col width="30" customWidth="1" min="8" max="8"/>
  </cols>
  <sheetData>
    <row r="1" ht="35" customHeight="1">
      <c r="A1" s="11" t="inlineStr">
        <is>
          <t>THREAT MODELLING - METHODOLOGY ASSESSMENT</t>
        </is>
      </c>
    </row>
    <row r="2">
      <c r="A2" s="12" t="inlineStr">
        <is>
          <t>Assess adoption and maturity of threat modelling methodology across the organisation</t>
        </is>
      </c>
      <c r="B2" s="6" t="n"/>
      <c r="C2" s="6" t="n"/>
      <c r="D2" s="6" t="n"/>
      <c r="E2" s="6" t="n"/>
      <c r="F2" s="6" t="n"/>
      <c r="G2" s="6" t="n"/>
      <c r="H2" s="6" t="n"/>
    </row>
    <row r="3">
      <c r="A3" s="11" t="inlineStr">
        <is>
          <t>Meth-ID</t>
        </is>
      </c>
      <c r="B3" s="11" t="inlineStr">
        <is>
          <t>Category</t>
        </is>
      </c>
      <c r="C3" s="11" t="inlineStr">
        <is>
          <t>Requirement</t>
        </is>
      </c>
      <c r="D3" s="11" t="inlineStr">
        <is>
          <t>Adopted</t>
        </is>
      </c>
      <c r="E3" s="11" t="inlineStr">
        <is>
          <t>Documented</t>
        </is>
      </c>
      <c r="F3" s="11" t="inlineStr">
        <is>
          <t>Effective</t>
        </is>
      </c>
      <c r="G3" s="11" t="inlineStr">
        <is>
          <t>Evidence</t>
        </is>
      </c>
      <c r="H3" s="11" t="inlineStr">
        <is>
          <t>Gaps</t>
        </is>
      </c>
    </row>
    <row r="4">
      <c r="A4" s="13" t="inlineStr">
        <is>
          <t>METH-001</t>
        </is>
      </c>
      <c r="B4" s="13" t="inlineStr">
        <is>
          <t>Selection</t>
        </is>
      </c>
      <c r="C4" s="13" t="inlineStr">
        <is>
          <t>Threat modelling methodology selected and documented</t>
        </is>
      </c>
      <c r="D4" s="13" t="inlineStr">
        <is>
          <t>Yes</t>
        </is>
      </c>
      <c r="E4" s="13" t="inlineStr">
        <is>
          <t>Yes</t>
        </is>
      </c>
      <c r="F4" s="13" t="inlineStr">
        <is>
          <t>4</t>
        </is>
      </c>
      <c r="G4" s="13" t="inlineStr">
        <is>
          <t>Methodology documentation, training records</t>
        </is>
      </c>
      <c r="H4" s="13" t="inlineStr">
        <is>
          <t>None identified</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2">
    <dataValidation sqref="D5:E54" showDropDown="0" showInputMessage="0" showErrorMessage="0" allowBlank="1" type="list">
      <formula1>"✅ Yes,⚠️ Partial,❌ No"</formula1>
    </dataValidation>
    <dataValidation sqref="F5:F54"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5" customWidth="1" min="3" max="3"/>
    <col width="12" customWidth="1" min="4" max="4"/>
    <col width="10" customWidth="1" min="5" max="5"/>
    <col width="35" customWidth="1" min="6" max="6"/>
    <col width="30" customWidth="1" min="7" max="7"/>
  </cols>
  <sheetData>
    <row r="1" ht="35" customHeight="1">
      <c r="A1" s="11" t="inlineStr">
        <is>
          <t>THREAT MODELLING - MITRE ATT&amp;CK COVERAGE ASSESSMENT</t>
        </is>
      </c>
    </row>
    <row r="2">
      <c r="A2" s="12" t="inlineStr">
        <is>
          <t>Evaluate coverage of relevant MITRE ATT&amp;CK techniques in threat models and detection capabilities</t>
        </is>
      </c>
      <c r="B2" s="6" t="n"/>
      <c r="C2" s="6" t="n"/>
      <c r="D2" s="6" t="n"/>
      <c r="E2" s="6" t="n"/>
      <c r="F2" s="6" t="n"/>
      <c r="G2" s="6" t="n"/>
    </row>
    <row r="3">
      <c r="A3" s="11" t="inlineStr">
        <is>
          <t>ATT-ID</t>
        </is>
      </c>
      <c r="B3" s="11" t="inlineStr">
        <is>
          <t>Tactic</t>
        </is>
      </c>
      <c r="C3" s="11" t="inlineStr">
        <is>
          <t>Technique</t>
        </is>
      </c>
      <c r="D3" s="11" t="inlineStr">
        <is>
          <t>Relevance</t>
        </is>
      </c>
      <c r="E3" s="11" t="inlineStr">
        <is>
          <t>Covered</t>
        </is>
      </c>
      <c r="F3" s="11" t="inlineStr">
        <is>
          <t>DetectionMap</t>
        </is>
      </c>
      <c r="G3" s="11" t="inlineStr">
        <is>
          <t>Gap</t>
        </is>
      </c>
    </row>
    <row r="4">
      <c r="A4" s="15" t="inlineStr">
        <is>
          <t>T1566</t>
        </is>
      </c>
      <c r="B4" s="15" t="inlineStr">
        <is>
          <t>Initial Access</t>
        </is>
      </c>
      <c r="C4" s="15" t="inlineStr">
        <is>
          <t>Phishing</t>
        </is>
      </c>
      <c r="D4" s="14" t="n"/>
      <c r="E4" s="14" t="n"/>
      <c r="F4" s="14" t="n"/>
      <c r="G4" s="14" t="n"/>
    </row>
    <row r="5">
      <c r="A5" s="15" t="inlineStr">
        <is>
          <t>T1566.001</t>
        </is>
      </c>
      <c r="B5" s="15" t="inlineStr">
        <is>
          <t>Initial Access</t>
        </is>
      </c>
      <c r="C5" s="15" t="inlineStr">
        <is>
          <t>Spearphishing Attachment</t>
        </is>
      </c>
      <c r="D5" s="14" t="n"/>
      <c r="E5" s="14" t="n"/>
      <c r="F5" s="14" t="n"/>
      <c r="G5" s="14" t="n"/>
    </row>
    <row r="6">
      <c r="A6" s="15" t="inlineStr">
        <is>
          <t>T1566.002</t>
        </is>
      </c>
      <c r="B6" s="15" t="inlineStr">
        <is>
          <t>Initial Access</t>
        </is>
      </c>
      <c r="C6" s="15" t="inlineStr">
        <is>
          <t>Spearphishing Link</t>
        </is>
      </c>
      <c r="D6" s="14" t="n"/>
      <c r="E6" s="14" t="n"/>
      <c r="F6" s="14" t="n"/>
      <c r="G6" s="14" t="n"/>
    </row>
    <row r="7">
      <c r="A7" s="15" t="inlineStr">
        <is>
          <t>T1190</t>
        </is>
      </c>
      <c r="B7" s="15" t="inlineStr">
        <is>
          <t>Initial Access</t>
        </is>
      </c>
      <c r="C7" s="15" t="inlineStr">
        <is>
          <t>Exploit Public-Facing Application</t>
        </is>
      </c>
      <c r="D7" s="14" t="n"/>
      <c r="E7" s="14" t="n"/>
      <c r="F7" s="14" t="n"/>
      <c r="G7" s="14" t="n"/>
    </row>
    <row r="8">
      <c r="A8" s="15" t="inlineStr">
        <is>
          <t>T1133</t>
        </is>
      </c>
      <c r="B8" s="15" t="inlineStr">
        <is>
          <t>Initial Access</t>
        </is>
      </c>
      <c r="C8" s="15" t="inlineStr">
        <is>
          <t>External Remote Services</t>
        </is>
      </c>
      <c r="D8" s="14" t="n"/>
      <c r="E8" s="14" t="n"/>
      <c r="F8" s="14" t="n"/>
      <c r="G8" s="14" t="n"/>
    </row>
    <row r="9">
      <c r="A9" s="15" t="inlineStr">
        <is>
          <t>T1078</t>
        </is>
      </c>
      <c r="B9" s="15" t="inlineStr">
        <is>
          <t>Initial Access</t>
        </is>
      </c>
      <c r="C9" s="15" t="inlineStr">
        <is>
          <t>Valid Accounts</t>
        </is>
      </c>
      <c r="D9" s="14" t="n"/>
      <c r="E9" s="14" t="n"/>
      <c r="F9" s="14" t="n"/>
      <c r="G9" s="14" t="n"/>
    </row>
    <row r="10">
      <c r="A10" s="15" t="inlineStr">
        <is>
          <t>T1059</t>
        </is>
      </c>
      <c r="B10" s="15" t="inlineStr">
        <is>
          <t>Execution</t>
        </is>
      </c>
      <c r="C10" s="15" t="inlineStr">
        <is>
          <t>Command and Scripting Interpreter</t>
        </is>
      </c>
      <c r="D10" s="14" t="n"/>
      <c r="E10" s="14" t="n"/>
      <c r="F10" s="14" t="n"/>
      <c r="G10" s="14" t="n"/>
    </row>
    <row r="11">
      <c r="A11" s="15" t="inlineStr">
        <is>
          <t>T1059.001</t>
        </is>
      </c>
      <c r="B11" s="15" t="inlineStr">
        <is>
          <t>Execution</t>
        </is>
      </c>
      <c r="C11" s="15" t="inlineStr">
        <is>
          <t>PowerShell</t>
        </is>
      </c>
      <c r="D11" s="14" t="n"/>
      <c r="E11" s="14" t="n"/>
      <c r="F11" s="14" t="n"/>
      <c r="G11" s="14" t="n"/>
    </row>
    <row r="12">
      <c r="A12" s="15" t="inlineStr">
        <is>
          <t>T1204</t>
        </is>
      </c>
      <c r="B12" s="15" t="inlineStr">
        <is>
          <t>Execution</t>
        </is>
      </c>
      <c r="C12" s="15" t="inlineStr">
        <is>
          <t>User Execution</t>
        </is>
      </c>
      <c r="D12" s="14" t="n"/>
      <c r="E12" s="14" t="n"/>
      <c r="F12" s="14" t="n"/>
      <c r="G12" s="14" t="n"/>
    </row>
    <row r="13">
      <c r="A13" s="15" t="inlineStr">
        <is>
          <t>T1053</t>
        </is>
      </c>
      <c r="B13" s="15" t="inlineStr">
        <is>
          <t>Persistence</t>
        </is>
      </c>
      <c r="C13" s="15" t="inlineStr">
        <is>
          <t>Scheduled Task/Job</t>
        </is>
      </c>
      <c r="D13" s="14" t="n"/>
      <c r="E13" s="14" t="n"/>
      <c r="F13" s="14" t="n"/>
      <c r="G13" s="14" t="n"/>
    </row>
    <row r="14">
      <c r="A14" s="15" t="inlineStr">
        <is>
          <t>T1136</t>
        </is>
      </c>
      <c r="B14" s="15" t="inlineStr">
        <is>
          <t>Persistence</t>
        </is>
      </c>
      <c r="C14" s="15" t="inlineStr">
        <is>
          <t>Create Account</t>
        </is>
      </c>
      <c r="D14" s="14" t="n"/>
      <c r="E14" s="14" t="n"/>
      <c r="F14" s="14" t="n"/>
      <c r="G14" s="14" t="n"/>
    </row>
    <row r="15">
      <c r="A15" s="15" t="inlineStr">
        <is>
          <t>T1547</t>
        </is>
      </c>
      <c r="B15" s="15" t="inlineStr">
        <is>
          <t>Persistence</t>
        </is>
      </c>
      <c r="C15" s="15" t="inlineStr">
        <is>
          <t>Boot or Logon Autostart Execution</t>
        </is>
      </c>
      <c r="D15" s="14" t="n"/>
      <c r="E15" s="14" t="n"/>
      <c r="F15" s="14" t="n"/>
      <c r="G15" s="14" t="n"/>
    </row>
    <row r="16">
      <c r="A16" s="15" t="inlineStr">
        <is>
          <t>T1068</t>
        </is>
      </c>
      <c r="B16" s="15" t="inlineStr">
        <is>
          <t>Privilege Escalation</t>
        </is>
      </c>
      <c r="C16" s="15" t="inlineStr">
        <is>
          <t>Exploitation for Privilege Escalation</t>
        </is>
      </c>
      <c r="D16" s="14" t="n"/>
      <c r="E16" s="14" t="n"/>
      <c r="F16" s="14" t="n"/>
      <c r="G16" s="14" t="n"/>
    </row>
    <row r="17">
      <c r="A17" s="15" t="inlineStr">
        <is>
          <t>T1548</t>
        </is>
      </c>
      <c r="B17" s="15" t="inlineStr">
        <is>
          <t>Privilege Escalation</t>
        </is>
      </c>
      <c r="C17" s="15" t="inlineStr">
        <is>
          <t>Abuse Elevation Control Mechanism</t>
        </is>
      </c>
      <c r="D17" s="14" t="n"/>
      <c r="E17" s="14" t="n"/>
      <c r="F17" s="14" t="n"/>
      <c r="G17" s="14" t="n"/>
    </row>
    <row r="18">
      <c r="A18" s="15" t="inlineStr">
        <is>
          <t>T1055</t>
        </is>
      </c>
      <c r="B18" s="15" t="inlineStr">
        <is>
          <t>Defence Evasion</t>
        </is>
      </c>
      <c r="C18" s="15" t="inlineStr">
        <is>
          <t>Process Injection</t>
        </is>
      </c>
      <c r="D18" s="14" t="n"/>
      <c r="E18" s="14" t="n"/>
      <c r="F18" s="14" t="n"/>
      <c r="G18" s="14" t="n"/>
    </row>
    <row r="19">
      <c r="A19" s="15" t="inlineStr">
        <is>
          <t>T1562</t>
        </is>
      </c>
      <c r="B19" s="15" t="inlineStr">
        <is>
          <t>Defence Evasion</t>
        </is>
      </c>
      <c r="C19" s="15" t="inlineStr">
        <is>
          <t>Impair Defenses</t>
        </is>
      </c>
      <c r="D19" s="14" t="n"/>
      <c r="E19" s="14" t="n"/>
      <c r="F19" s="14" t="n"/>
      <c r="G19" s="14" t="n"/>
    </row>
    <row r="20">
      <c r="A20" s="15" t="inlineStr">
        <is>
          <t>T1070</t>
        </is>
      </c>
      <c r="B20" s="15" t="inlineStr">
        <is>
          <t>Defence Evasion</t>
        </is>
      </c>
      <c r="C20" s="15" t="inlineStr">
        <is>
          <t>Indicator Removal</t>
        </is>
      </c>
      <c r="D20" s="14" t="n"/>
      <c r="E20" s="14" t="n"/>
      <c r="F20" s="14" t="n"/>
      <c r="G20" s="14" t="n"/>
    </row>
    <row r="21">
      <c r="A21" s="15" t="inlineStr">
        <is>
          <t>T1110</t>
        </is>
      </c>
      <c r="B21" s="15" t="inlineStr">
        <is>
          <t>Credential Access</t>
        </is>
      </c>
      <c r="C21" s="15" t="inlineStr">
        <is>
          <t>Brute Force</t>
        </is>
      </c>
      <c r="D21" s="14" t="n"/>
      <c r="E21" s="14" t="n"/>
      <c r="F21" s="14" t="n"/>
      <c r="G21" s="14" t="n"/>
    </row>
    <row r="22">
      <c r="A22" s="15" t="inlineStr">
        <is>
          <t>T1555</t>
        </is>
      </c>
      <c r="B22" s="15" t="inlineStr">
        <is>
          <t>Credential Access</t>
        </is>
      </c>
      <c r="C22" s="15" t="inlineStr">
        <is>
          <t>Credentials from Password Stores</t>
        </is>
      </c>
      <c r="D22" s="14" t="n"/>
      <c r="E22" s="14" t="n"/>
      <c r="F22" s="14" t="n"/>
      <c r="G22" s="14" t="n"/>
    </row>
    <row r="23">
      <c r="A23" s="15" t="inlineStr">
        <is>
          <t>T1003</t>
        </is>
      </c>
      <c r="B23" s="15" t="inlineStr">
        <is>
          <t>Credential Access</t>
        </is>
      </c>
      <c r="C23" s="15" t="inlineStr">
        <is>
          <t>OS Credential Dumping</t>
        </is>
      </c>
      <c r="D23" s="14" t="n"/>
      <c r="E23" s="14" t="n"/>
      <c r="F23" s="14" t="n"/>
      <c r="G23" s="14" t="n"/>
    </row>
    <row r="24">
      <c r="A24" s="15" t="inlineStr">
        <is>
          <t>T1087</t>
        </is>
      </c>
      <c r="B24" s="15" t="inlineStr">
        <is>
          <t>Discovery</t>
        </is>
      </c>
      <c r="C24" s="15" t="inlineStr">
        <is>
          <t>Account Discovery</t>
        </is>
      </c>
      <c r="D24" s="14" t="n"/>
      <c r="E24" s="14" t="n"/>
      <c r="F24" s="14" t="n"/>
      <c r="G24" s="14" t="n"/>
    </row>
    <row r="25">
      <c r="A25" s="15" t="inlineStr">
        <is>
          <t>T1083</t>
        </is>
      </c>
      <c r="B25" s="15" t="inlineStr">
        <is>
          <t>Discovery</t>
        </is>
      </c>
      <c r="C25" s="15" t="inlineStr">
        <is>
          <t>File and Directory Discovery</t>
        </is>
      </c>
      <c r="D25" s="14" t="n"/>
      <c r="E25" s="14" t="n"/>
      <c r="F25" s="14" t="n"/>
      <c r="G25" s="14" t="n"/>
    </row>
    <row r="26">
      <c r="A26" s="15" t="inlineStr">
        <is>
          <t>T1021</t>
        </is>
      </c>
      <c r="B26" s="15" t="inlineStr">
        <is>
          <t>Lateral Movement</t>
        </is>
      </c>
      <c r="C26" s="15" t="inlineStr">
        <is>
          <t>Remote Services</t>
        </is>
      </c>
      <c r="D26" s="14" t="n"/>
      <c r="E26" s="14" t="n"/>
      <c r="F26" s="14" t="n"/>
      <c r="G26" s="14" t="n"/>
    </row>
    <row r="27">
      <c r="A27" s="15" t="inlineStr">
        <is>
          <t>T1550</t>
        </is>
      </c>
      <c r="B27" s="15" t="inlineStr">
        <is>
          <t>Lateral Movement</t>
        </is>
      </c>
      <c r="C27" s="15" t="inlineStr">
        <is>
          <t>Use Alternate Authentication Material</t>
        </is>
      </c>
      <c r="D27" s="14" t="n"/>
      <c r="E27" s="14" t="n"/>
      <c r="F27" s="14" t="n"/>
      <c r="G27" s="14" t="n"/>
    </row>
    <row r="28">
      <c r="A28" s="15" t="inlineStr">
        <is>
          <t>T1570</t>
        </is>
      </c>
      <c r="B28" s="15" t="inlineStr">
        <is>
          <t>Lateral Movement</t>
        </is>
      </c>
      <c r="C28" s="15" t="inlineStr">
        <is>
          <t>Lateral Tool Transfer</t>
        </is>
      </c>
      <c r="D28" s="14" t="n"/>
      <c r="E28" s="14" t="n"/>
      <c r="F28" s="14" t="n"/>
      <c r="G28" s="14" t="n"/>
    </row>
    <row r="29">
      <c r="A29" s="15" t="inlineStr">
        <is>
          <t>T1005</t>
        </is>
      </c>
      <c r="B29" s="15" t="inlineStr">
        <is>
          <t>Collection</t>
        </is>
      </c>
      <c r="C29" s="15" t="inlineStr">
        <is>
          <t>Data from Local System</t>
        </is>
      </c>
      <c r="D29" s="14" t="n"/>
      <c r="E29" s="14" t="n"/>
      <c r="F29" s="14" t="n"/>
      <c r="G29" s="14" t="n"/>
    </row>
    <row r="30">
      <c r="A30" s="15" t="inlineStr">
        <is>
          <t>T1114</t>
        </is>
      </c>
      <c r="B30" s="15" t="inlineStr">
        <is>
          <t>Collection</t>
        </is>
      </c>
      <c r="C30" s="15" t="inlineStr">
        <is>
          <t>Email Collection</t>
        </is>
      </c>
      <c r="D30" s="14" t="n"/>
      <c r="E30" s="14" t="n"/>
      <c r="F30" s="14" t="n"/>
      <c r="G30" s="14" t="n"/>
    </row>
    <row r="31">
      <c r="A31" s="15" t="inlineStr">
        <is>
          <t>T1039</t>
        </is>
      </c>
      <c r="B31" s="15" t="inlineStr">
        <is>
          <t>Collection</t>
        </is>
      </c>
      <c r="C31" s="15" t="inlineStr">
        <is>
          <t>Data from Network Shared Drive</t>
        </is>
      </c>
      <c r="D31" s="14" t="n"/>
      <c r="E31" s="14" t="n"/>
      <c r="F31" s="14" t="n"/>
      <c r="G31" s="14" t="n"/>
    </row>
    <row r="32">
      <c r="A32" s="15" t="inlineStr">
        <is>
          <t>T1041</t>
        </is>
      </c>
      <c r="B32" s="15" t="inlineStr">
        <is>
          <t>Exfiltration</t>
        </is>
      </c>
      <c r="C32" s="15" t="inlineStr">
        <is>
          <t>Exfiltration Over C2 Channel</t>
        </is>
      </c>
      <c r="D32" s="14" t="n"/>
      <c r="E32" s="14" t="n"/>
      <c r="F32" s="14" t="n"/>
      <c r="G32" s="14" t="n"/>
    </row>
    <row r="33">
      <c r="A33" s="15" t="inlineStr">
        <is>
          <t>T1567</t>
        </is>
      </c>
      <c r="B33" s="15" t="inlineStr">
        <is>
          <t>Exfiltration</t>
        </is>
      </c>
      <c r="C33" s="15" t="inlineStr">
        <is>
          <t>Exfiltration Over Web Service</t>
        </is>
      </c>
      <c r="D33" s="14" t="n"/>
      <c r="E33" s="14" t="n"/>
      <c r="F33" s="14" t="n"/>
      <c r="G33" s="14" t="n"/>
    </row>
    <row r="34">
      <c r="A34" s="15" t="inlineStr">
        <is>
          <t>T1486</t>
        </is>
      </c>
      <c r="B34" s="15" t="inlineStr">
        <is>
          <t>Impact</t>
        </is>
      </c>
      <c r="C34" s="15" t="inlineStr">
        <is>
          <t>Data Encrypted for Impact</t>
        </is>
      </c>
      <c r="D34" s="14" t="n"/>
      <c r="E34" s="14" t="n"/>
      <c r="F34" s="14" t="n"/>
      <c r="G34" s="14" t="n"/>
    </row>
    <row r="35">
      <c r="A35" s="15" t="inlineStr">
        <is>
          <t>T1489</t>
        </is>
      </c>
      <c r="B35" s="15" t="inlineStr">
        <is>
          <t>Impact</t>
        </is>
      </c>
      <c r="C35" s="15" t="inlineStr">
        <is>
          <t>Service Stop</t>
        </is>
      </c>
      <c r="D35" s="14" t="n"/>
      <c r="E35" s="14" t="n"/>
      <c r="F35" s="14" t="n"/>
      <c r="G35" s="14" t="n"/>
    </row>
    <row r="36">
      <c r="A36" s="15" t="inlineStr">
        <is>
          <t>T1490</t>
        </is>
      </c>
      <c r="B36" s="15" t="inlineStr">
        <is>
          <t>Impact</t>
        </is>
      </c>
      <c r="C36" s="15" t="inlineStr">
        <is>
          <t>Inhibit System Recovery</t>
        </is>
      </c>
      <c r="D36" s="14" t="n"/>
      <c r="E36" s="14" t="n"/>
      <c r="F36" s="14" t="n"/>
      <c r="G36" s="14" t="n"/>
    </row>
  </sheetData>
  <mergeCells count="2">
    <mergeCell ref="A2:G2"/>
    <mergeCell ref="A1:G1"/>
  </mergeCells>
  <dataValidations count="2">
    <dataValidation sqref="D4:D36" showDropDown="0" showInputMessage="0" showErrorMessage="0" allowBlank="1" type="list">
      <formula1>"High,Medium,Low,N/A"</formula1>
    </dataValidation>
    <dataValidation sqref="E4:E36" showDropDown="0" showInputMessage="0" showErrorMessage="0" allowBlank="1" type="list">
      <formula1>"✅ Yes,⚠️ Partial,❌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25" customWidth="1" min="3" max="3"/>
    <col width="20" customWidth="1" min="4" max="4"/>
    <col width="15" customWidth="1" min="5" max="5"/>
    <col width="25" customWidth="1" min="6" max="6"/>
    <col width="15" customWidth="1" min="7" max="7"/>
    <col width="35" customWidth="1" min="8" max="8"/>
  </cols>
  <sheetData>
    <row r="1" ht="35" customHeight="1">
      <c r="A1" s="11" t="inlineStr">
        <is>
          <t>THREAT MODELLING - ORGANISATIONAL THREAT CATALOGUE</t>
        </is>
      </c>
    </row>
    <row r="2">
      <c r="A2" s="12" t="inlineStr">
        <is>
          <t>Document organisational threat landscape including threat actors, capabilities, and countermeasures</t>
        </is>
      </c>
      <c r="B2" s="6" t="n"/>
      <c r="C2" s="6" t="n"/>
      <c r="D2" s="6" t="n"/>
      <c r="E2" s="6" t="n"/>
      <c r="F2" s="6" t="n"/>
      <c r="G2" s="6" t="n"/>
      <c r="H2" s="6" t="n"/>
    </row>
    <row r="3">
      <c r="A3" s="11" t="inlineStr">
        <is>
          <t>Threat-ID</t>
        </is>
      </c>
      <c r="B3" s="11" t="inlineStr">
        <is>
          <t>Category</t>
        </is>
      </c>
      <c r="C3" s="11" t="inlineStr">
        <is>
          <t>ThreatActor</t>
        </is>
      </c>
      <c r="D3" s="11" t="inlineStr">
        <is>
          <t>Motivation</t>
        </is>
      </c>
      <c r="E3" s="11" t="inlineStr">
        <is>
          <t>Capability</t>
        </is>
      </c>
      <c r="F3" s="11" t="inlineStr">
        <is>
          <t>ATT&amp;CK Ref</t>
        </is>
      </c>
      <c r="G3" s="11" t="inlineStr">
        <is>
          <t>Likelihood</t>
        </is>
      </c>
      <c r="H3" s="11" t="inlineStr">
        <is>
          <t>Countermeasures</t>
        </is>
      </c>
    </row>
    <row r="4">
      <c r="A4" s="13" t="inlineStr">
        <is>
          <t>THR-001</t>
        </is>
      </c>
      <c r="B4" s="13" t="inlineStr">
        <is>
          <t>Nation-State</t>
        </is>
      </c>
      <c r="C4" s="13" t="inlineStr">
        <is>
          <t>APT Groups</t>
        </is>
      </c>
      <c r="D4" s="13" t="inlineStr">
        <is>
          <t>Espionage</t>
        </is>
      </c>
      <c r="E4" s="13" t="inlineStr">
        <is>
          <t>Nation-State</t>
        </is>
      </c>
      <c r="F4" s="13" t="inlineStr">
        <is>
          <t>T1566 (Phishing)</t>
        </is>
      </c>
      <c r="G4" s="13" t="inlineStr">
        <is>
          <t>Likely</t>
        </is>
      </c>
      <c r="H4" s="13" t="inlineStr">
        <is>
          <t>Email filtering, MFA, security awareness</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3">
    <dataValidation sqref="D5:D54" showDropDown="0" showInputMessage="0" showErrorMessage="0" allowBlank="1" type="list">
      <formula1>"Financial,Espionage,Disruption,Ideology,Revenge"</formula1>
    </dataValidation>
    <dataValidation sqref="E5:E54" showDropDown="0" showInputMessage="0" showErrorMessage="0" allowBlank="1" type="list">
      <formula1>"Low,Moderate,High,Nation-State"</formula1>
    </dataValidation>
    <dataValidation sqref="G5:G54" showDropDown="0" showInputMessage="0" showErrorMessage="0" allowBlank="1" type="list">
      <formula1>"Rare,Unlikely,Possible,Likely,Almost Certain"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35" customWidth="1" min="3" max="3"/>
    <col width="10" customWidth="1" min="4" max="4"/>
    <col width="10" customWidth="1" min="5" max="5"/>
    <col width="25" customWidth="1" min="6" max="6"/>
    <col width="12" customWidth="1" min="7" max="7"/>
    <col width="30" customWidth="1" min="8" max="8"/>
  </cols>
  <sheetData>
    <row r="1" ht="35" customHeight="1">
      <c r="A1" s="11" t="inlineStr">
        <is>
          <t>THREAT MODELLING - TOOLS ASSESSMENT</t>
        </is>
      </c>
    </row>
    <row r="2">
      <c r="A2" s="12" t="inlineStr">
        <is>
          <t>Assess threat modelling tools availability, licensing, integration, and effectiveness</t>
        </is>
      </c>
      <c r="B2" s="6" t="n"/>
      <c r="C2" s="6" t="n"/>
      <c r="D2" s="6" t="n"/>
      <c r="E2" s="6" t="n"/>
      <c r="F2" s="6" t="n"/>
      <c r="G2" s="6" t="n"/>
      <c r="H2" s="6" t="n"/>
    </row>
    <row r="3">
      <c r="A3" s="11" t="inlineStr">
        <is>
          <t>Tool-ID</t>
        </is>
      </c>
      <c r="B3" s="11" t="inlineStr">
        <is>
          <t>Tool</t>
        </is>
      </c>
      <c r="C3" s="11" t="inlineStr">
        <is>
          <t>Purpose</t>
        </is>
      </c>
      <c r="D3" s="11" t="inlineStr">
        <is>
          <t>Licensed</t>
        </is>
      </c>
      <c r="E3" s="11" t="inlineStr">
        <is>
          <t>Users</t>
        </is>
      </c>
      <c r="F3" s="11" t="inlineStr">
        <is>
          <t>Integration</t>
        </is>
      </c>
      <c r="G3" s="11" t="inlineStr">
        <is>
          <t>Effectiveness</t>
        </is>
      </c>
      <c r="H3" s="11" t="inlineStr">
        <is>
          <t>Gaps</t>
        </is>
      </c>
    </row>
    <row r="4">
      <c r="A4" s="15" t="inlineStr">
        <is>
          <t>TOOL-001</t>
        </is>
      </c>
      <c r="B4" s="15" t="inlineStr">
        <is>
          <t>Microsoft Threat Modeling Tool</t>
        </is>
      </c>
      <c r="C4" s="15" t="inlineStr">
        <is>
          <t>DFD-based threat modelling</t>
        </is>
      </c>
      <c r="D4" s="14" t="n"/>
      <c r="E4" s="14" t="n"/>
      <c r="F4" s="14" t="n"/>
      <c r="G4" s="14" t="n"/>
      <c r="H4" s="14" t="n"/>
    </row>
    <row r="5">
      <c r="A5" s="15" t="inlineStr">
        <is>
          <t>TOOL-002</t>
        </is>
      </c>
      <c r="B5" s="15" t="inlineStr">
        <is>
          <t>OWASP Threat Dragon</t>
        </is>
      </c>
      <c r="C5" s="15" t="inlineStr">
        <is>
          <t>Open source threat modelling</t>
        </is>
      </c>
      <c r="D5" s="14" t="n"/>
      <c r="E5" s="14" t="n"/>
      <c r="F5" s="14" t="n"/>
      <c r="G5" s="14" t="n"/>
      <c r="H5" s="14" t="n"/>
    </row>
    <row r="6">
      <c r="A6" s="15" t="inlineStr">
        <is>
          <t>TOOL-003</t>
        </is>
      </c>
      <c r="B6" s="15" t="inlineStr">
        <is>
          <t>IriusRisk</t>
        </is>
      </c>
      <c r="C6" s="15" t="inlineStr">
        <is>
          <t>Enterprise threat modelling</t>
        </is>
      </c>
      <c r="D6" s="14" t="n"/>
      <c r="E6" s="14" t="n"/>
      <c r="F6" s="14" t="n"/>
      <c r="G6" s="14" t="n"/>
      <c r="H6" s="14" t="n"/>
    </row>
    <row r="7">
      <c r="A7" s="15" t="inlineStr">
        <is>
          <t>TOOL-004</t>
        </is>
      </c>
      <c r="B7" s="15" t="inlineStr">
        <is>
          <t>Threagile</t>
        </is>
      </c>
      <c r="C7" s="15" t="inlineStr">
        <is>
          <t>Threat model as code</t>
        </is>
      </c>
      <c r="D7" s="14" t="n"/>
      <c r="E7" s="14" t="n"/>
      <c r="F7" s="14" t="n"/>
      <c r="G7" s="14" t="n"/>
      <c r="H7" s="14" t="n"/>
    </row>
    <row r="8">
      <c r="A8" s="15" t="inlineStr">
        <is>
          <t>TOOL-005</t>
        </is>
      </c>
      <c r="B8" s="15" t="inlineStr">
        <is>
          <t>ThreatModeler</t>
        </is>
      </c>
      <c r="C8" s="15" t="inlineStr">
        <is>
          <t>Cloud-native threat modelling</t>
        </is>
      </c>
      <c r="D8" s="14" t="n"/>
      <c r="E8" s="14" t="n"/>
      <c r="F8" s="14" t="n"/>
      <c r="G8" s="14" t="n"/>
      <c r="H8" s="14" t="n"/>
    </row>
    <row r="9">
      <c r="A9" s="15" t="inlineStr">
        <is>
          <t>TOOL-006</t>
        </is>
      </c>
      <c r="B9" s="15" t="inlineStr">
        <is>
          <t>MITRE ATT&amp;CK Navigator</t>
        </is>
      </c>
      <c r="C9" s="15" t="inlineStr">
        <is>
          <t>Technique coverage mapping</t>
        </is>
      </c>
      <c r="D9" s="14" t="n"/>
      <c r="E9" s="14" t="n"/>
      <c r="F9" s="14" t="n"/>
      <c r="G9" s="14" t="n"/>
      <c r="H9" s="14" t="n"/>
    </row>
    <row r="10">
      <c r="A10" s="15" t="inlineStr">
        <is>
          <t>TOOL-007</t>
        </is>
      </c>
      <c r="B10" s="15" t="inlineStr">
        <is>
          <t>Draw.io / Lucidchart</t>
        </is>
      </c>
      <c r="C10" s="15" t="inlineStr">
        <is>
          <t>Architecture diagramming</t>
        </is>
      </c>
      <c r="D10" s="14" t="n"/>
      <c r="E10" s="14" t="n"/>
      <c r="F10" s="14" t="n"/>
      <c r="G10" s="14" t="n"/>
      <c r="H10" s="14" t="n"/>
    </row>
    <row r="11">
      <c r="A11" s="15" t="inlineStr">
        <is>
          <t>TOOL-008</t>
        </is>
      </c>
      <c r="B11" s="15" t="inlineStr">
        <is>
          <t>Custom Internal Tool</t>
        </is>
      </c>
      <c r="C11" s="15" t="inlineStr">
        <is>
          <t>Organisation-specific tool</t>
        </is>
      </c>
      <c r="D11" s="14" t="n"/>
      <c r="E11" s="14" t="n"/>
      <c r="F11" s="14" t="n"/>
      <c r="G11" s="14" t="n"/>
      <c r="H11" s="14" t="n"/>
    </row>
  </sheetData>
  <mergeCells count="2">
    <mergeCell ref="A2:H2"/>
    <mergeCell ref="A1:H1"/>
  </mergeCells>
  <dataValidations count="2">
    <dataValidation sqref="D4:D11" showDropDown="0" showInputMessage="0" showErrorMessage="0" allowBlank="1" type="list">
      <formula1>"Yes,No,OSS"</formula1>
    </dataValidation>
    <dataValidation sqref="G4:G11" showDropDown="0" showInputMessage="0" showErrorMessage="0" allowBlank="1"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30" customWidth="1" min="3" max="3"/>
    <col width="12" customWidth="1" min="4" max="4"/>
    <col width="10" customWidth="1" min="5" max="5"/>
    <col width="10" customWidth="1" min="6" max="6"/>
    <col width="10" customWidth="1" min="7" max="7"/>
    <col width="25" customWidth="1" min="8" max="8"/>
  </cols>
  <sheetData>
    <row r="1" ht="35" customHeight="1">
      <c r="A1" s="11" t="inlineStr">
        <is>
          <t>THREAT MODELLING - TEAM COMPETENCY ASSESSMENT</t>
        </is>
      </c>
    </row>
    <row r="2">
      <c r="A2" s="12" t="inlineStr">
        <is>
          <t>Evaluate threat modelling competencies, training status, and skill gaps across relevant roles</t>
        </is>
      </c>
      <c r="B2" s="6" t="n"/>
      <c r="C2" s="6" t="n"/>
      <c r="D2" s="6" t="n"/>
      <c r="E2" s="6" t="n"/>
      <c r="F2" s="6" t="n"/>
      <c r="G2" s="6" t="n"/>
      <c r="H2" s="6" t="n"/>
    </row>
    <row r="3">
      <c r="A3" s="11" t="inlineStr">
        <is>
          <t>Comp-ID</t>
        </is>
      </c>
      <c r="B3" s="11" t="inlineStr">
        <is>
          <t>Role</t>
        </is>
      </c>
      <c r="C3" s="11" t="inlineStr">
        <is>
          <t>Competency</t>
        </is>
      </c>
      <c r="D3" s="11" t="inlineStr">
        <is>
          <t>Required</t>
        </is>
      </c>
      <c r="E3" s="11" t="inlineStr">
        <is>
          <t>Training</t>
        </is>
      </c>
      <c r="F3" s="11" t="inlineStr">
        <is>
          <t>Certified</t>
        </is>
      </c>
      <c r="G3" s="11" t="inlineStr">
        <is>
          <t>Target</t>
        </is>
      </c>
      <c r="H3" s="11" t="inlineStr">
        <is>
          <t>Gap</t>
        </is>
      </c>
    </row>
    <row r="4">
      <c r="A4" s="13" t="inlineStr">
        <is>
          <t>COMP-001</t>
        </is>
      </c>
      <c r="B4" s="13" t="inlineStr">
        <is>
          <t>Security Architect</t>
        </is>
      </c>
      <c r="C4" s="13" t="inlineStr">
        <is>
          <t>STRIDE Methodology</t>
        </is>
      </c>
      <c r="D4" s="13" t="inlineStr">
        <is>
          <t>Mandatory</t>
        </is>
      </c>
      <c r="E4" s="13" t="inlineStr">
        <is>
          <t>Yes</t>
        </is>
      </c>
      <c r="F4" s="13" t="inlineStr">
        <is>
          <t>Yes</t>
        </is>
      </c>
      <c r="G4" s="13" t="inlineStr">
        <is>
          <t>Advanced</t>
        </is>
      </c>
      <c r="H4" s="13" t="inlineStr">
        <is>
          <t>None</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2">
    <dataValidation sqref="D5:D54" showDropDown="0" showInputMessage="0" showErrorMessage="0" allowBlank="1" type="list">
      <formula1>"Mandatory,Recommended"</formula1>
    </dataValidation>
    <dataValidation sqref="E5:E54" showDropDown="0" showInputMessage="0" showErrorMessage="0" allowBlank="1" type="list">
      <formula1>"✅ Yes,⚠️ Partial,❌ 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4"/>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12" customWidth="1" min="3" max="3"/>
    <col width="20" customWidth="1" min="4" max="4"/>
    <col width="15" customWidth="1" min="5" max="5"/>
    <col width="12" customWidth="1" min="6" max="6"/>
    <col width="12" customWidth="1" min="7" max="7"/>
    <col width="12" customWidth="1" min="8" max="8"/>
    <col width="10" customWidth="1" min="9" max="9"/>
    <col width="10" customWidth="1" min="10" max="10"/>
  </cols>
  <sheetData>
    <row r="1" ht="35" customHeight="1">
      <c r="A1" s="11" t="inlineStr">
        <is>
          <t>THREAT MODELLING - SAMPLE QUALITY REVIEW</t>
        </is>
      </c>
    </row>
    <row r="2">
      <c r="A2" s="12" t="inlineStr">
        <is>
          <t>Review sample threat models for quality, completeness, MITRE ATT&amp;CK mapping, and findings remediation</t>
        </is>
      </c>
      <c r="B2" s="6" t="n"/>
      <c r="C2" s="6" t="n"/>
      <c r="D2" s="6" t="n"/>
      <c r="E2" s="6" t="n"/>
      <c r="F2" s="6" t="n"/>
      <c r="G2" s="6" t="n"/>
      <c r="H2" s="6" t="n"/>
      <c r="I2" s="6" t="n"/>
      <c r="J2" s="6" t="n"/>
    </row>
    <row r="3">
      <c r="A3" s="11" t="inlineStr">
        <is>
          <t>Sample-ID</t>
        </is>
      </c>
      <c r="B3" s="11" t="inlineStr">
        <is>
          <t>System</t>
        </is>
      </c>
      <c r="C3" s="11" t="inlineStr">
        <is>
          <t>Date</t>
        </is>
      </c>
      <c r="D3" s="11" t="inlineStr">
        <is>
          <t>Author</t>
        </is>
      </c>
      <c r="E3" s="11" t="inlineStr">
        <is>
          <t>Methodology</t>
        </is>
      </c>
      <c r="F3" s="11" t="inlineStr">
        <is>
          <t>Completeness</t>
        </is>
      </c>
      <c r="G3" s="11" t="inlineStr">
        <is>
          <t>Quality</t>
        </is>
      </c>
      <c r="H3" s="11" t="inlineStr">
        <is>
          <t>ATT&amp;CK Mapped</t>
        </is>
      </c>
      <c r="I3" s="11" t="inlineStr">
        <is>
          <t>Findings</t>
        </is>
      </c>
      <c r="J3" s="11" t="inlineStr">
        <is>
          <t>Mitigated</t>
        </is>
      </c>
    </row>
    <row r="4">
      <c r="A4" s="13" t="inlineStr">
        <is>
          <t>SAMP-001</t>
        </is>
      </c>
      <c r="B4" s="13" t="inlineStr">
        <is>
          <t>Authentication Service</t>
        </is>
      </c>
      <c r="C4" s="13" t="inlineStr">
        <is>
          <t>15.01.2026</t>
        </is>
      </c>
      <c r="D4" s="13" t="inlineStr">
        <is>
          <t>Security Team Lead</t>
        </is>
      </c>
      <c r="E4" s="13" t="inlineStr">
        <is>
          <t>STRIDE</t>
        </is>
      </c>
      <c r="F4" s="13" t="inlineStr">
        <is>
          <t>4</t>
        </is>
      </c>
      <c r="G4" s="13" t="inlineStr">
        <is>
          <t>4</t>
        </is>
      </c>
      <c r="H4" s="13" t="inlineStr">
        <is>
          <t>Yes</t>
        </is>
      </c>
      <c r="I4" s="13" t="inlineStr">
        <is>
          <t>12</t>
        </is>
      </c>
      <c r="J4" s="13" t="inlineStr">
        <is>
          <t>Yes</t>
        </is>
      </c>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sheetData>
  <mergeCells count="2">
    <mergeCell ref="A1:J1"/>
    <mergeCell ref="A2:J2"/>
  </mergeCells>
  <dataValidations count="3">
    <dataValidation sqref="E5:E54" showDropDown="0" showInputMessage="0" showErrorMessage="0" allowBlank="1" type="list">
      <formula1>"STRIDE,PASTA,OCTAVE,Other"</formula1>
    </dataValidation>
    <dataValidation sqref="F5:G54" showDropDown="0" showInputMessage="0" showErrorMessage="0" allowBlank="1" type="list">
      <formula1>"1,2,3,4,5"</formula1>
    </dataValidation>
    <dataValidation sqref="H5:H54" showDropDown="0" showInputMessage="0" showErrorMessage="0" allowBlank="1" type="list">
      <formula1>"✅ Yes,⚠️ Partial,❌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6"/>
  <sheetViews>
    <sheetView showGridLines="0" workbookViewId="0">
      <pane ySplit="3" topLeftCell="A4"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THREAT MODELLING - POLICY COMPLIANCE SCORING</t>
        </is>
      </c>
    </row>
    <row r="2">
      <c r="A2" s="12" t="inlineStr">
        <is>
          <t>Score compliance with threat modelling policy requirements and identify evidence gaps</t>
        </is>
      </c>
      <c r="B2" s="6" t="n"/>
      <c r="C2" s="6" t="n"/>
      <c r="D2" s="6" t="n"/>
      <c r="E2" s="6" t="n"/>
      <c r="F2" s="6" t="n"/>
      <c r="G2" s="6" t="n"/>
    </row>
    <row r="3">
      <c r="A3" s="11" t="inlineStr">
        <is>
          <t>Comp-ID</t>
        </is>
      </c>
      <c r="B3" s="11" t="inlineStr">
        <is>
          <t>Requirement</t>
        </is>
      </c>
      <c r="C3" s="11" t="inlineStr">
        <is>
          <t>Source</t>
        </is>
      </c>
      <c r="D3" s="11" t="inlineStr">
        <is>
          <t>Compliant</t>
        </is>
      </c>
      <c r="E3" s="11" t="inlineStr">
        <is>
          <t>Evidence</t>
        </is>
      </c>
      <c r="F3" s="11" t="inlineStr">
        <is>
          <t>Score</t>
        </is>
      </c>
      <c r="G3" s="11" t="inlineStr">
        <is>
          <t>Notes</t>
        </is>
      </c>
    </row>
    <row r="4">
      <c r="A4" s="13" t="inlineStr">
        <is>
          <t>COMP-001</t>
        </is>
      </c>
      <c r="B4" s="13" t="inlineStr">
        <is>
          <t>Threat modelling methodology adopted</t>
        </is>
      </c>
      <c r="C4" s="13" t="inlineStr">
        <is>
          <t>POL-A.8.27 §2.2.1</t>
        </is>
      </c>
      <c r="D4" s="13" t="inlineStr">
        <is>
          <t>Yes</t>
        </is>
      </c>
      <c r="E4" s="13" t="inlineStr">
        <is>
          <t>Methodology documentation</t>
        </is>
      </c>
      <c r="F4" s="13">
        <f>IF(D4="✅ Yes",100,IF(D4="⚠️ Partial",50,0))</f>
        <v/>
      </c>
      <c r="G4" s="13" t="inlineStr">
        <is>
          <t>Policy compliance verified</t>
        </is>
      </c>
    </row>
    <row r="5">
      <c r="A5" s="14" t="n"/>
      <c r="B5" s="14" t="n"/>
      <c r="C5" s="14" t="n"/>
      <c r="D5" s="14" t="n"/>
      <c r="E5" s="14" t="n"/>
      <c r="F5" s="14">
        <f>IF(D5="✅ Yes",100,IF(D5="⚠️ Partial",50,0))</f>
        <v/>
      </c>
      <c r="G5" s="14" t="n"/>
    </row>
    <row r="6">
      <c r="A6" s="14" t="n"/>
      <c r="B6" s="14" t="n"/>
      <c r="C6" s="14" t="n"/>
      <c r="D6" s="14" t="n"/>
      <c r="E6" s="14" t="n"/>
      <c r="F6" s="14">
        <f>IF(D6="✅ Yes",100,IF(D6="⚠️ Partial",50,0))</f>
        <v/>
      </c>
      <c r="G6" s="14" t="n"/>
    </row>
    <row r="7">
      <c r="A7" s="14" t="n"/>
      <c r="B7" s="14" t="n"/>
      <c r="C7" s="14" t="n"/>
      <c r="D7" s="14" t="n"/>
      <c r="E7" s="14" t="n"/>
      <c r="F7" s="14">
        <f>IF(D7="✅ Yes",100,IF(D7="⚠️ Partial",50,0))</f>
        <v/>
      </c>
      <c r="G7" s="14" t="n"/>
    </row>
    <row r="8">
      <c r="A8" s="14" t="n"/>
      <c r="B8" s="14" t="n"/>
      <c r="C8" s="14" t="n"/>
      <c r="D8" s="14" t="n"/>
      <c r="E8" s="14" t="n"/>
      <c r="F8" s="14">
        <f>IF(D8="✅ Yes",100,IF(D8="⚠️ Partial",50,0))</f>
        <v/>
      </c>
      <c r="G8" s="14" t="n"/>
    </row>
    <row r="9">
      <c r="A9" s="14" t="n"/>
      <c r="B9" s="14" t="n"/>
      <c r="C9" s="14" t="n"/>
      <c r="D9" s="14" t="n"/>
      <c r="E9" s="14" t="n"/>
      <c r="F9" s="14">
        <f>IF(D9="✅ Yes",100,IF(D9="⚠️ Partial",50,0))</f>
        <v/>
      </c>
      <c r="G9" s="14" t="n"/>
    </row>
    <row r="10">
      <c r="A10" s="14" t="n"/>
      <c r="B10" s="14" t="n"/>
      <c r="C10" s="14" t="n"/>
      <c r="D10" s="14" t="n"/>
      <c r="E10" s="14" t="n"/>
      <c r="F10" s="14">
        <f>IF(D10="✅ Yes",100,IF(D10="⚠️ Partial",50,0))</f>
        <v/>
      </c>
      <c r="G10" s="14" t="n"/>
    </row>
    <row r="11">
      <c r="A11" s="14" t="n"/>
      <c r="B11" s="14" t="n"/>
      <c r="C11" s="14" t="n"/>
      <c r="D11" s="14" t="n"/>
      <c r="E11" s="14" t="n"/>
      <c r="F11" s="14">
        <f>IF(D11="✅ Yes",100,IF(D11="⚠️ Partial",50,0))</f>
        <v/>
      </c>
      <c r="G11" s="14" t="n"/>
    </row>
    <row r="12">
      <c r="A12" s="14" t="n"/>
      <c r="B12" s="14" t="n"/>
      <c r="C12" s="14" t="n"/>
      <c r="D12" s="14" t="n"/>
      <c r="E12" s="14" t="n"/>
      <c r="F12" s="14">
        <f>IF(D12="✅ Yes",100,IF(D12="⚠️ Partial",50,0))</f>
        <v/>
      </c>
      <c r="G12" s="14" t="n"/>
    </row>
    <row r="13">
      <c r="A13" s="14" t="n"/>
      <c r="B13" s="14" t="n"/>
      <c r="C13" s="14" t="n"/>
      <c r="D13" s="14" t="n"/>
      <c r="E13" s="14" t="n"/>
      <c r="F13" s="14">
        <f>IF(D13="✅ Yes",100,IF(D13="⚠️ Partial",50,0))</f>
        <v/>
      </c>
      <c r="G13" s="14" t="n"/>
    </row>
    <row r="14">
      <c r="A14" s="14" t="n"/>
      <c r="B14" s="14" t="n"/>
      <c r="C14" s="14" t="n"/>
      <c r="D14" s="14" t="n"/>
      <c r="E14" s="14" t="n"/>
      <c r="F14" s="14">
        <f>IF(D14="✅ Yes",100,IF(D14="⚠️ Partial",50,0))</f>
        <v/>
      </c>
      <c r="G14" s="14" t="n"/>
    </row>
    <row r="15">
      <c r="A15" s="14" t="n"/>
      <c r="B15" s="14" t="n"/>
      <c r="C15" s="14" t="n"/>
      <c r="D15" s="14" t="n"/>
      <c r="E15" s="14" t="n"/>
      <c r="F15" s="14">
        <f>IF(D15="✅ Yes",100,IF(D15="⚠️ Partial",50,0))</f>
        <v/>
      </c>
      <c r="G15" s="14" t="n"/>
    </row>
    <row r="16">
      <c r="A16" s="14" t="n"/>
      <c r="B16" s="14" t="n"/>
      <c r="C16" s="14" t="n"/>
      <c r="D16" s="14" t="n"/>
      <c r="E16" s="14" t="n"/>
      <c r="F16" s="14">
        <f>IF(D16="✅ Yes",100,IF(D16="⚠️ Partial",50,0))</f>
        <v/>
      </c>
      <c r="G16" s="14" t="n"/>
    </row>
    <row r="17">
      <c r="A17" s="14" t="n"/>
      <c r="B17" s="14" t="n"/>
      <c r="C17" s="14" t="n"/>
      <c r="D17" s="14" t="n"/>
      <c r="E17" s="14" t="n"/>
      <c r="F17" s="14">
        <f>IF(D17="✅ Yes",100,IF(D17="⚠️ Partial",50,0))</f>
        <v/>
      </c>
      <c r="G17" s="14" t="n"/>
    </row>
    <row r="18">
      <c r="A18" s="14" t="n"/>
      <c r="B18" s="14" t="n"/>
      <c r="C18" s="14" t="n"/>
      <c r="D18" s="14" t="n"/>
      <c r="E18" s="14" t="n"/>
      <c r="F18" s="14">
        <f>IF(D18="✅ Yes",100,IF(D18="⚠️ Partial",50,0))</f>
        <v/>
      </c>
      <c r="G18" s="14" t="n"/>
    </row>
    <row r="19">
      <c r="A19" s="14" t="n"/>
      <c r="B19" s="14" t="n"/>
      <c r="C19" s="14" t="n"/>
      <c r="D19" s="14" t="n"/>
      <c r="E19" s="14" t="n"/>
      <c r="F19" s="14">
        <f>IF(D19="✅ Yes",100,IF(D19="⚠️ Partial",50,0))</f>
        <v/>
      </c>
      <c r="G19" s="14" t="n"/>
    </row>
    <row r="20">
      <c r="A20" s="14" t="n"/>
      <c r="B20" s="14" t="n"/>
      <c r="C20" s="14" t="n"/>
      <c r="D20" s="14" t="n"/>
      <c r="E20" s="14" t="n"/>
      <c r="F20" s="14">
        <f>IF(D20="✅ Yes",100,IF(D20="⚠️ Partial",50,0))</f>
        <v/>
      </c>
      <c r="G20" s="14" t="n"/>
    </row>
    <row r="21">
      <c r="A21" s="14" t="n"/>
      <c r="B21" s="14" t="n"/>
      <c r="C21" s="14" t="n"/>
      <c r="D21" s="14" t="n"/>
      <c r="E21" s="14" t="n"/>
      <c r="F21" s="14">
        <f>IF(D21="✅ Yes",100,IF(D21="⚠️ Partial",50,0))</f>
        <v/>
      </c>
      <c r="G21" s="14" t="n"/>
    </row>
    <row r="22">
      <c r="A22" s="14" t="n"/>
      <c r="B22" s="14" t="n"/>
      <c r="C22" s="14" t="n"/>
      <c r="D22" s="14" t="n"/>
      <c r="E22" s="14" t="n"/>
      <c r="F22" s="14">
        <f>IF(D22="✅ Yes",100,IF(D22="⚠️ Partial",50,0))</f>
        <v/>
      </c>
      <c r="G22" s="14" t="n"/>
    </row>
    <row r="23">
      <c r="A23" s="14" t="n"/>
      <c r="B23" s="14" t="n"/>
      <c r="C23" s="14" t="n"/>
      <c r="D23" s="14" t="n"/>
      <c r="E23" s="14" t="n"/>
      <c r="F23" s="14">
        <f>IF(D23="✅ Yes",100,IF(D23="⚠️ Partial",50,0))</f>
        <v/>
      </c>
      <c r="G23" s="14" t="n"/>
    </row>
    <row r="24">
      <c r="A24" s="14" t="n"/>
      <c r="B24" s="14" t="n"/>
      <c r="C24" s="14" t="n"/>
      <c r="D24" s="14" t="n"/>
      <c r="E24" s="14" t="n"/>
      <c r="F24" s="14">
        <f>IF(D24="✅ Yes",100,IF(D24="⚠️ Partial",50,0))</f>
        <v/>
      </c>
      <c r="G24" s="14" t="n"/>
    </row>
    <row r="25">
      <c r="A25" s="14" t="n"/>
      <c r="B25" s="14" t="n"/>
      <c r="C25" s="14" t="n"/>
      <c r="D25" s="14" t="n"/>
      <c r="E25" s="14" t="n"/>
      <c r="F25" s="14">
        <f>IF(D25="✅ Yes",100,IF(D25="⚠️ Partial",50,0))</f>
        <v/>
      </c>
      <c r="G25" s="14" t="n"/>
    </row>
    <row r="26">
      <c r="A26" s="14" t="n"/>
      <c r="B26" s="14" t="n"/>
      <c r="C26" s="14" t="n"/>
      <c r="D26" s="14" t="n"/>
      <c r="E26" s="14" t="n"/>
      <c r="F26" s="14">
        <f>IF(D26="✅ Yes",100,IF(D26="⚠️ Partial",50,0))</f>
        <v/>
      </c>
      <c r="G26" s="14" t="n"/>
    </row>
    <row r="27">
      <c r="A27" s="14" t="n"/>
      <c r="B27" s="14" t="n"/>
      <c r="C27" s="14" t="n"/>
      <c r="D27" s="14" t="n"/>
      <c r="E27" s="14" t="n"/>
      <c r="F27" s="14">
        <f>IF(D27="✅ Yes",100,IF(D27="⚠️ Partial",50,0))</f>
        <v/>
      </c>
      <c r="G27" s="14" t="n"/>
    </row>
    <row r="28">
      <c r="A28" s="14" t="n"/>
      <c r="B28" s="14" t="n"/>
      <c r="C28" s="14" t="n"/>
      <c r="D28" s="14" t="n"/>
      <c r="E28" s="14" t="n"/>
      <c r="F28" s="14">
        <f>IF(D28="✅ Yes",100,IF(D28="⚠️ Partial",50,0))</f>
        <v/>
      </c>
      <c r="G28" s="14" t="n"/>
    </row>
    <row r="29">
      <c r="A29" s="14" t="n"/>
      <c r="B29" s="14" t="n"/>
      <c r="C29" s="14" t="n"/>
      <c r="D29" s="14" t="n"/>
      <c r="E29" s="14" t="n"/>
      <c r="F29" s="14">
        <f>IF(D29="✅ Yes",100,IF(D29="⚠️ Partial",50,0))</f>
        <v/>
      </c>
      <c r="G29" s="14" t="n"/>
    </row>
    <row r="30">
      <c r="A30" s="14" t="n"/>
      <c r="B30" s="14" t="n"/>
      <c r="C30" s="14" t="n"/>
      <c r="D30" s="14" t="n"/>
      <c r="E30" s="14" t="n"/>
      <c r="F30" s="14">
        <f>IF(D30="✅ Yes",100,IF(D30="⚠️ Partial",50,0))</f>
        <v/>
      </c>
      <c r="G30" s="14" t="n"/>
    </row>
    <row r="31">
      <c r="A31" s="14" t="n"/>
      <c r="B31" s="14" t="n"/>
      <c r="C31" s="14" t="n"/>
      <c r="D31" s="14" t="n"/>
      <c r="E31" s="14" t="n"/>
      <c r="F31" s="14">
        <f>IF(D31="✅ Yes",100,IF(D31="⚠️ Partial",50,0))</f>
        <v/>
      </c>
      <c r="G31" s="14" t="n"/>
    </row>
    <row r="32">
      <c r="A32" s="14" t="n"/>
      <c r="B32" s="14" t="n"/>
      <c r="C32" s="14" t="n"/>
      <c r="D32" s="14" t="n"/>
      <c r="E32" s="14" t="n"/>
      <c r="F32" s="14">
        <f>IF(D32="✅ Yes",100,IF(D32="⚠️ Partial",50,0))</f>
        <v/>
      </c>
      <c r="G32" s="14" t="n"/>
    </row>
    <row r="33">
      <c r="A33" s="14" t="n"/>
      <c r="B33" s="14" t="n"/>
      <c r="C33" s="14" t="n"/>
      <c r="D33" s="14" t="n"/>
      <c r="E33" s="14" t="n"/>
      <c r="F33" s="14">
        <f>IF(D33="✅ Yes",100,IF(D33="⚠️ Partial",50,0))</f>
        <v/>
      </c>
      <c r="G33" s="14" t="n"/>
    </row>
    <row r="34">
      <c r="A34" s="14" t="n"/>
      <c r="B34" s="14" t="n"/>
      <c r="C34" s="14" t="n"/>
      <c r="D34" s="14" t="n"/>
      <c r="E34" s="14" t="n"/>
      <c r="F34" s="14">
        <f>IF(D34="✅ Yes",100,IF(D34="⚠️ Partial",50,0))</f>
        <v/>
      </c>
      <c r="G34" s="14" t="n"/>
    </row>
    <row r="35">
      <c r="A35" s="14" t="n"/>
      <c r="B35" s="14" t="n"/>
      <c r="C35" s="14" t="n"/>
      <c r="D35" s="14" t="n"/>
      <c r="E35" s="14" t="n"/>
      <c r="F35" s="14">
        <f>IF(D35="✅ Yes",100,IF(D35="⚠️ Partial",50,0))</f>
        <v/>
      </c>
      <c r="G35" s="14" t="n"/>
    </row>
    <row r="36">
      <c r="A36" s="14" t="n"/>
      <c r="B36" s="14" t="n"/>
      <c r="C36" s="14" t="n"/>
      <c r="D36" s="14" t="n"/>
      <c r="E36" s="14" t="n"/>
      <c r="F36" s="14">
        <f>IF(D36="✅ Yes",100,IF(D36="⚠️ Partial",50,0))</f>
        <v/>
      </c>
      <c r="G36" s="14" t="n"/>
    </row>
    <row r="37">
      <c r="A37" s="14" t="n"/>
      <c r="B37" s="14" t="n"/>
      <c r="C37" s="14" t="n"/>
      <c r="D37" s="14" t="n"/>
      <c r="E37" s="14" t="n"/>
      <c r="F37" s="14">
        <f>IF(D37="✅ Yes",100,IF(D37="⚠️ Partial",50,0))</f>
        <v/>
      </c>
      <c r="G37" s="14" t="n"/>
    </row>
    <row r="38">
      <c r="A38" s="14" t="n"/>
      <c r="B38" s="14" t="n"/>
      <c r="C38" s="14" t="n"/>
      <c r="D38" s="14" t="n"/>
      <c r="E38" s="14" t="n"/>
      <c r="F38" s="14">
        <f>IF(D38="✅ Yes",100,IF(D38="⚠️ Partial",50,0))</f>
        <v/>
      </c>
      <c r="G38" s="14" t="n"/>
    </row>
    <row r="39">
      <c r="A39" s="14" t="n"/>
      <c r="B39" s="14" t="n"/>
      <c r="C39" s="14" t="n"/>
      <c r="D39" s="14" t="n"/>
      <c r="E39" s="14" t="n"/>
      <c r="F39" s="14">
        <f>IF(D39="✅ Yes",100,IF(D39="⚠️ Partial",50,0))</f>
        <v/>
      </c>
      <c r="G39" s="14" t="n"/>
    </row>
    <row r="40">
      <c r="A40" s="14" t="n"/>
      <c r="B40" s="14" t="n"/>
      <c r="C40" s="14" t="n"/>
      <c r="D40" s="14" t="n"/>
      <c r="E40" s="14" t="n"/>
      <c r="F40" s="14">
        <f>IF(D40="✅ Yes",100,IF(D40="⚠️ Partial",50,0))</f>
        <v/>
      </c>
      <c r="G40" s="14" t="n"/>
    </row>
    <row r="41">
      <c r="A41" s="14" t="n"/>
      <c r="B41" s="14" t="n"/>
      <c r="C41" s="14" t="n"/>
      <c r="D41" s="14" t="n"/>
      <c r="E41" s="14" t="n"/>
      <c r="F41" s="14">
        <f>IF(D41="✅ Yes",100,IF(D41="⚠️ Partial",50,0))</f>
        <v/>
      </c>
      <c r="G41" s="14" t="n"/>
    </row>
    <row r="42">
      <c r="A42" s="14" t="n"/>
      <c r="B42" s="14" t="n"/>
      <c r="C42" s="14" t="n"/>
      <c r="D42" s="14" t="n"/>
      <c r="E42" s="14" t="n"/>
      <c r="F42" s="14">
        <f>IF(D42="✅ Yes",100,IF(D42="⚠️ Partial",50,0))</f>
        <v/>
      </c>
      <c r="G42" s="14" t="n"/>
    </row>
    <row r="43">
      <c r="A43" s="14" t="n"/>
      <c r="B43" s="14" t="n"/>
      <c r="C43" s="14" t="n"/>
      <c r="D43" s="14" t="n"/>
      <c r="E43" s="14" t="n"/>
      <c r="F43" s="14">
        <f>IF(D43="✅ Yes",100,IF(D43="⚠️ Partial",50,0))</f>
        <v/>
      </c>
      <c r="G43" s="14" t="n"/>
    </row>
    <row r="44">
      <c r="A44" s="14" t="n"/>
      <c r="B44" s="14" t="n"/>
      <c r="C44" s="14" t="n"/>
      <c r="D44" s="14" t="n"/>
      <c r="E44" s="14" t="n"/>
      <c r="F44" s="14">
        <f>IF(D44="✅ Yes",100,IF(D44="⚠️ Partial",50,0))</f>
        <v/>
      </c>
      <c r="G44" s="14" t="n"/>
    </row>
    <row r="45">
      <c r="A45" s="14" t="n"/>
      <c r="B45" s="14" t="n"/>
      <c r="C45" s="14" t="n"/>
      <c r="D45" s="14" t="n"/>
      <c r="E45" s="14" t="n"/>
      <c r="F45" s="14">
        <f>IF(D45="✅ Yes",100,IF(D45="⚠️ Partial",50,0))</f>
        <v/>
      </c>
      <c r="G45" s="14" t="n"/>
    </row>
    <row r="46">
      <c r="A46" s="14" t="n"/>
      <c r="B46" s="14" t="n"/>
      <c r="C46" s="14" t="n"/>
      <c r="D46" s="14" t="n"/>
      <c r="E46" s="14" t="n"/>
      <c r="F46" s="14">
        <f>IF(D46="✅ Yes",100,IF(D46="⚠️ Partial",50,0))</f>
        <v/>
      </c>
      <c r="G46" s="14" t="n"/>
    </row>
    <row r="47">
      <c r="A47" s="14" t="n"/>
      <c r="B47" s="14" t="n"/>
      <c r="C47" s="14" t="n"/>
      <c r="D47" s="14" t="n"/>
      <c r="E47" s="14" t="n"/>
      <c r="F47" s="14">
        <f>IF(D47="✅ Yes",100,IF(D47="⚠️ Partial",50,0))</f>
        <v/>
      </c>
      <c r="G47" s="14" t="n"/>
    </row>
    <row r="48">
      <c r="A48" s="14" t="n"/>
      <c r="B48" s="14" t="n"/>
      <c r="C48" s="14" t="n"/>
      <c r="D48" s="14" t="n"/>
      <c r="E48" s="14" t="n"/>
      <c r="F48" s="14">
        <f>IF(D48="✅ Yes",100,IF(D48="⚠️ Partial",50,0))</f>
        <v/>
      </c>
      <c r="G48" s="14" t="n"/>
    </row>
    <row r="49">
      <c r="A49" s="14" t="n"/>
      <c r="B49" s="14" t="n"/>
      <c r="C49" s="14" t="n"/>
      <c r="D49" s="14" t="n"/>
      <c r="E49" s="14" t="n"/>
      <c r="F49" s="14">
        <f>IF(D49="✅ Yes",100,IF(D49="⚠️ Partial",50,0))</f>
        <v/>
      </c>
      <c r="G49" s="14" t="n"/>
    </row>
    <row r="50">
      <c r="A50" s="14" t="n"/>
      <c r="B50" s="14" t="n"/>
      <c r="C50" s="14" t="n"/>
      <c r="D50" s="14" t="n"/>
      <c r="E50" s="14" t="n"/>
      <c r="F50" s="14">
        <f>IF(D50="✅ Yes",100,IF(D50="⚠️ Partial",50,0))</f>
        <v/>
      </c>
      <c r="G50" s="14" t="n"/>
    </row>
    <row r="51">
      <c r="A51" s="14" t="n"/>
      <c r="B51" s="14" t="n"/>
      <c r="C51" s="14" t="n"/>
      <c r="D51" s="14" t="n"/>
      <c r="E51" s="14" t="n"/>
      <c r="F51" s="14">
        <f>IF(D51="✅ Yes",100,IF(D51="⚠️ Partial",50,0))</f>
        <v/>
      </c>
      <c r="G51" s="14" t="n"/>
    </row>
    <row r="52">
      <c r="A52" s="14" t="n"/>
      <c r="B52" s="14" t="n"/>
      <c r="C52" s="14" t="n"/>
      <c r="D52" s="14" t="n"/>
      <c r="E52" s="14" t="n"/>
      <c r="F52" s="14">
        <f>IF(D52="✅ Yes",100,IF(D52="⚠️ Partial",50,0))</f>
        <v/>
      </c>
      <c r="G52" s="14" t="n"/>
    </row>
    <row r="53">
      <c r="A53" s="14" t="n"/>
      <c r="B53" s="14" t="n"/>
      <c r="C53" s="14" t="n"/>
      <c r="D53" s="14" t="n"/>
      <c r="E53" s="14" t="n"/>
      <c r="F53" s="14">
        <f>IF(D53="✅ Yes",100,IF(D53="⚠️ Partial",50,0))</f>
        <v/>
      </c>
      <c r="G53" s="14" t="n"/>
    </row>
    <row r="54">
      <c r="A54" s="14" t="n"/>
      <c r="B54" s="14" t="n"/>
      <c r="C54" s="14" t="n"/>
      <c r="D54" s="14" t="n"/>
      <c r="E54" s="14" t="n"/>
      <c r="F54" s="14">
        <f>IF(D54="✅ Yes",100,IF(D54="⚠️ Partial",50,0))</f>
        <v/>
      </c>
      <c r="G54" s="14" t="n"/>
    </row>
    <row r="56">
      <c r="E56" s="16" t="inlineStr">
        <is>
          <t>Overall Compliance Score:</t>
        </is>
      </c>
      <c r="F56" s="16">
        <f>AVERAGE(F5:F54)</f>
        <v/>
      </c>
    </row>
  </sheetData>
  <mergeCells count="2">
    <mergeCell ref="A2:G2"/>
    <mergeCell ref="A1:G1"/>
  </mergeCells>
  <dataValidations count="1">
    <dataValidation sqref="D5:D54" showDropDown="0" showInputMessage="0" showErrorMessage="0" allowBlank="1" type="list">
      <formula1>"✅ Yes,⚠️ Partial,❌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Document all evidence collected during this assessment</t>
        </is>
      </c>
      <c r="B2" s="6" t="n"/>
      <c r="C2" s="6" t="n"/>
      <c r="D2" s="6" t="n"/>
      <c r="E2" s="6" t="n"/>
      <c r="F2" s="6" t="n"/>
      <c r="G2" s="6" t="n"/>
      <c r="H2" s="6" t="n"/>
    </row>
    <row r="4">
      <c r="A4" s="19" t="inlineStr">
        <is>
          <t>Evidence ID</t>
        </is>
      </c>
      <c r="B4" s="19" t="inlineStr">
        <is>
          <t>Assessment Area</t>
        </is>
      </c>
      <c r="C4" s="19" t="inlineStr">
        <is>
          <t>Evidence Type</t>
        </is>
      </c>
      <c r="D4" s="19" t="inlineStr">
        <is>
          <t>Description</t>
        </is>
      </c>
      <c r="E4" s="19" t="inlineStr">
        <is>
          <t>Location / Path</t>
        </is>
      </c>
      <c r="F4" s="19" t="inlineStr">
        <is>
          <t>Date Collected</t>
        </is>
      </c>
      <c r="G4" s="19" t="inlineStr">
        <is>
          <t>Collected By</t>
        </is>
      </c>
      <c r="H4" s="19" t="inlineStr">
        <is>
          <t>Verification Status</t>
        </is>
      </c>
    </row>
    <row r="5">
      <c r="A5" s="20" t="inlineStr">
        <is>
          <t>EV-001</t>
        </is>
      </c>
      <c r="B5" s="21" t="inlineStr">
        <is>
          <t>Threat Modelling Assessment</t>
        </is>
      </c>
      <c r="C5" s="21" t="inlineStr">
        <is>
          <t>Policy Document</t>
        </is>
      </c>
      <c r="D5" s="21" t="inlineStr">
        <is>
          <t>Threat modelling methodology documentation</t>
        </is>
      </c>
      <c r="E5" s="21" t="inlineStr">
        <is>
          <t>\\fileserver\policies\document.pdf</t>
        </is>
      </c>
      <c r="F5" s="21" t="inlineStr">
        <is>
          <t>15.01.2026</t>
        </is>
      </c>
      <c r="G5" s="21" t="inlineStr">
        <is>
          <t>Assessor Name</t>
        </is>
      </c>
      <c r="H5" s="21" t="inlineStr">
        <is>
          <t>✅ Verified</t>
        </is>
      </c>
    </row>
    <row r="6">
      <c r="A6" s="22" t="n"/>
      <c r="B6" s="23" t="n"/>
      <c r="C6" s="23" t="n"/>
      <c r="D6" s="23" t="n"/>
      <c r="E6" s="23" t="n"/>
      <c r="F6" s="23" t="n"/>
      <c r="G6" s="23" t="n"/>
      <c r="H6" s="23" t="n"/>
    </row>
    <row r="7">
      <c r="A7" s="22" t="n"/>
      <c r="B7" s="23" t="n"/>
      <c r="C7" s="23" t="n"/>
      <c r="D7" s="23" t="n"/>
      <c r="E7" s="23" t="n"/>
      <c r="F7" s="23" t="n"/>
      <c r="G7" s="23" t="n"/>
      <c r="H7" s="23" t="n"/>
    </row>
    <row r="8">
      <c r="A8" s="22" t="n"/>
      <c r="B8" s="23" t="n"/>
      <c r="C8" s="23" t="n"/>
      <c r="D8" s="23" t="n"/>
      <c r="E8" s="23" t="n"/>
      <c r="F8" s="23" t="n"/>
      <c r="G8" s="23" t="n"/>
      <c r="H8" s="23" t="n"/>
    </row>
    <row r="9">
      <c r="A9" s="22" t="n"/>
      <c r="B9" s="23" t="n"/>
      <c r="C9" s="23" t="n"/>
      <c r="D9" s="23" t="n"/>
      <c r="E9" s="23" t="n"/>
      <c r="F9" s="23" t="n"/>
      <c r="G9" s="23" t="n"/>
      <c r="H9" s="23" t="n"/>
    </row>
    <row r="10">
      <c r="A10" s="22" t="n"/>
      <c r="B10" s="23" t="n"/>
      <c r="C10" s="23" t="n"/>
      <c r="D10" s="23" t="n"/>
      <c r="E10" s="23" t="n"/>
      <c r="F10" s="23" t="n"/>
      <c r="G10" s="23" t="n"/>
      <c r="H10" s="23" t="n"/>
    </row>
    <row r="11">
      <c r="A11" s="22" t="n"/>
      <c r="B11" s="23" t="n"/>
      <c r="C11" s="23" t="n"/>
      <c r="D11" s="23" t="n"/>
      <c r="E11" s="23" t="n"/>
      <c r="F11" s="23" t="n"/>
      <c r="G11" s="23" t="n"/>
      <c r="H11" s="23" t="n"/>
    </row>
    <row r="12">
      <c r="A12" s="22" t="n"/>
      <c r="B12" s="23" t="n"/>
      <c r="C12" s="23" t="n"/>
      <c r="D12" s="23" t="n"/>
      <c r="E12" s="23" t="n"/>
      <c r="F12" s="23" t="n"/>
      <c r="G12" s="23" t="n"/>
      <c r="H12" s="23" t="n"/>
    </row>
    <row r="13">
      <c r="A13" s="22" t="n"/>
      <c r="B13" s="23" t="n"/>
      <c r="C13" s="23" t="n"/>
      <c r="D13" s="23" t="n"/>
      <c r="E13" s="23" t="n"/>
      <c r="F13" s="23" t="n"/>
      <c r="G13" s="23" t="n"/>
      <c r="H13" s="23" t="n"/>
    </row>
    <row r="14">
      <c r="A14" s="22" t="n"/>
      <c r="B14" s="23" t="n"/>
      <c r="C14" s="23" t="n"/>
      <c r="D14" s="23" t="n"/>
      <c r="E14" s="23" t="n"/>
      <c r="F14" s="23" t="n"/>
      <c r="G14" s="23" t="n"/>
      <c r="H14" s="23" t="n"/>
    </row>
    <row r="15">
      <c r="A15" s="22" t="n"/>
      <c r="B15" s="23" t="n"/>
      <c r="C15" s="23" t="n"/>
      <c r="D15" s="23" t="n"/>
      <c r="E15" s="23" t="n"/>
      <c r="F15" s="23" t="n"/>
      <c r="G15" s="23" t="n"/>
      <c r="H15" s="23" t="n"/>
    </row>
    <row r="16">
      <c r="A16" s="22" t="n"/>
      <c r="B16" s="23" t="n"/>
      <c r="C16" s="23" t="n"/>
      <c r="D16" s="23" t="n"/>
      <c r="E16" s="23" t="n"/>
      <c r="F16" s="23" t="n"/>
      <c r="G16" s="23" t="n"/>
      <c r="H16" s="23" t="n"/>
    </row>
    <row r="17">
      <c r="A17" s="22" t="n"/>
      <c r="B17" s="23" t="n"/>
      <c r="C17" s="23" t="n"/>
      <c r="D17" s="23" t="n"/>
      <c r="E17" s="23" t="n"/>
      <c r="F17" s="23" t="n"/>
      <c r="G17" s="23" t="n"/>
      <c r="H17" s="23" t="n"/>
    </row>
    <row r="18">
      <c r="A18" s="22" t="n"/>
      <c r="B18" s="23" t="n"/>
      <c r="C18" s="23" t="n"/>
      <c r="D18" s="23" t="n"/>
      <c r="E18" s="23" t="n"/>
      <c r="F18" s="23" t="n"/>
      <c r="G18" s="23" t="n"/>
      <c r="H18" s="23" t="n"/>
    </row>
    <row r="19">
      <c r="A19" s="22" t="n"/>
      <c r="B19" s="23" t="n"/>
      <c r="C19" s="23" t="n"/>
      <c r="D19" s="23" t="n"/>
      <c r="E19" s="23" t="n"/>
      <c r="F19" s="23" t="n"/>
      <c r="G19" s="23" t="n"/>
      <c r="H19" s="23" t="n"/>
    </row>
    <row r="20">
      <c r="A20" s="22" t="n"/>
      <c r="B20" s="23" t="n"/>
      <c r="C20" s="23" t="n"/>
      <c r="D20" s="23" t="n"/>
      <c r="E20" s="23" t="n"/>
      <c r="F20" s="23" t="n"/>
      <c r="G20" s="23" t="n"/>
      <c r="H20" s="23" t="n"/>
    </row>
    <row r="21">
      <c r="A21" s="22" t="n"/>
      <c r="B21" s="23" t="n"/>
      <c r="C21" s="23" t="n"/>
      <c r="D21" s="23" t="n"/>
      <c r="E21" s="23" t="n"/>
      <c r="F21" s="23" t="n"/>
      <c r="G21" s="23" t="n"/>
      <c r="H21" s="23" t="n"/>
    </row>
    <row r="22">
      <c r="A22" s="22" t="n"/>
      <c r="B22" s="23" t="n"/>
      <c r="C22" s="23" t="n"/>
      <c r="D22" s="23" t="n"/>
      <c r="E22" s="23" t="n"/>
      <c r="F22" s="23" t="n"/>
      <c r="G22" s="23" t="n"/>
      <c r="H22" s="23" t="n"/>
    </row>
    <row r="23">
      <c r="A23" s="22" t="n"/>
      <c r="B23" s="23" t="n"/>
      <c r="C23" s="23" t="n"/>
      <c r="D23" s="23" t="n"/>
      <c r="E23" s="23" t="n"/>
      <c r="F23" s="23" t="n"/>
      <c r="G23" s="23" t="n"/>
      <c r="H23" s="23" t="n"/>
    </row>
    <row r="24">
      <c r="A24" s="22" t="n"/>
      <c r="B24" s="23" t="n"/>
      <c r="C24" s="23" t="n"/>
      <c r="D24" s="23" t="n"/>
      <c r="E24" s="23" t="n"/>
      <c r="F24" s="23" t="n"/>
      <c r="G24" s="23" t="n"/>
      <c r="H24" s="23" t="n"/>
    </row>
    <row r="25">
      <c r="A25" s="22" t="n"/>
      <c r="B25" s="23" t="n"/>
      <c r="C25" s="23" t="n"/>
      <c r="D25" s="23" t="n"/>
      <c r="E25" s="23" t="n"/>
      <c r="F25" s="23" t="n"/>
      <c r="G25" s="23" t="n"/>
      <c r="H25" s="23" t="n"/>
    </row>
    <row r="26">
      <c r="A26" s="22" t="n"/>
      <c r="B26" s="23" t="n"/>
      <c r="C26" s="23" t="n"/>
      <c r="D26" s="23" t="n"/>
      <c r="E26" s="23" t="n"/>
      <c r="F26" s="23" t="n"/>
      <c r="G26" s="23" t="n"/>
      <c r="H26" s="23" t="n"/>
    </row>
    <row r="27">
      <c r="A27" s="22" t="n"/>
      <c r="B27" s="23" t="n"/>
      <c r="C27" s="23" t="n"/>
      <c r="D27" s="23" t="n"/>
      <c r="E27" s="23" t="n"/>
      <c r="F27" s="23" t="n"/>
      <c r="G27" s="23" t="n"/>
      <c r="H27" s="23" t="n"/>
    </row>
    <row r="28">
      <c r="A28" s="22" t="n"/>
      <c r="B28" s="23" t="n"/>
      <c r="C28" s="23" t="n"/>
      <c r="D28" s="23" t="n"/>
      <c r="E28" s="23" t="n"/>
      <c r="F28" s="23" t="n"/>
      <c r="G28" s="23" t="n"/>
      <c r="H28" s="23" t="n"/>
    </row>
    <row r="29">
      <c r="A29" s="22" t="n"/>
      <c r="B29" s="23" t="n"/>
      <c r="C29" s="23" t="n"/>
      <c r="D29" s="23" t="n"/>
      <c r="E29" s="23" t="n"/>
      <c r="F29" s="23" t="n"/>
      <c r="G29" s="23" t="n"/>
      <c r="H29" s="23" t="n"/>
    </row>
    <row r="30">
      <c r="A30" s="22" t="n"/>
      <c r="B30" s="23" t="n"/>
      <c r="C30" s="23" t="n"/>
      <c r="D30" s="23" t="n"/>
      <c r="E30" s="23" t="n"/>
      <c r="F30" s="23" t="n"/>
      <c r="G30" s="23" t="n"/>
      <c r="H30" s="23" t="n"/>
    </row>
    <row r="31">
      <c r="A31" s="22" t="n"/>
      <c r="B31" s="23" t="n"/>
      <c r="C31" s="23" t="n"/>
      <c r="D31" s="23" t="n"/>
      <c r="E31" s="23" t="n"/>
      <c r="F31" s="23" t="n"/>
      <c r="G31" s="23" t="n"/>
      <c r="H31" s="23" t="n"/>
    </row>
    <row r="32">
      <c r="A32" s="22" t="n"/>
      <c r="B32" s="23" t="n"/>
      <c r="C32" s="23" t="n"/>
      <c r="D32" s="23" t="n"/>
      <c r="E32" s="23" t="n"/>
      <c r="F32" s="23" t="n"/>
      <c r="G32" s="23" t="n"/>
      <c r="H32" s="23" t="n"/>
    </row>
    <row r="33">
      <c r="A33" s="22" t="n"/>
      <c r="B33" s="23" t="n"/>
      <c r="C33" s="23" t="n"/>
      <c r="D33" s="23" t="n"/>
      <c r="E33" s="23" t="n"/>
      <c r="F33" s="23" t="n"/>
      <c r="G33" s="23" t="n"/>
      <c r="H33" s="23" t="n"/>
    </row>
    <row r="34">
      <c r="A34" s="22" t="n"/>
      <c r="B34" s="23" t="n"/>
      <c r="C34" s="23" t="n"/>
      <c r="D34" s="23" t="n"/>
      <c r="E34" s="23" t="n"/>
      <c r="F34" s="23" t="n"/>
      <c r="G34" s="23" t="n"/>
      <c r="H34" s="23" t="n"/>
    </row>
    <row r="35">
      <c r="A35" s="22" t="n"/>
      <c r="B35" s="23" t="n"/>
      <c r="C35" s="23" t="n"/>
      <c r="D35" s="23" t="n"/>
      <c r="E35" s="23" t="n"/>
      <c r="F35" s="23" t="n"/>
      <c r="G35" s="23" t="n"/>
      <c r="H35" s="23" t="n"/>
    </row>
    <row r="36">
      <c r="A36" s="22" t="n"/>
      <c r="B36" s="23" t="n"/>
      <c r="C36" s="23" t="n"/>
      <c r="D36" s="23" t="n"/>
      <c r="E36" s="23" t="n"/>
      <c r="F36" s="23" t="n"/>
      <c r="G36" s="23" t="n"/>
      <c r="H36" s="23" t="n"/>
    </row>
    <row r="37">
      <c r="A37" s="22" t="n"/>
      <c r="B37" s="23" t="n"/>
      <c r="C37" s="23" t="n"/>
      <c r="D37" s="23" t="n"/>
      <c r="E37" s="23" t="n"/>
      <c r="F37" s="23" t="n"/>
      <c r="G37" s="23" t="n"/>
      <c r="H37" s="23" t="n"/>
    </row>
    <row r="38">
      <c r="A38" s="22" t="n"/>
      <c r="B38" s="23" t="n"/>
      <c r="C38" s="23" t="n"/>
      <c r="D38" s="23" t="n"/>
      <c r="E38" s="23" t="n"/>
      <c r="F38" s="23" t="n"/>
      <c r="G38" s="23" t="n"/>
      <c r="H38" s="23" t="n"/>
    </row>
    <row r="39">
      <c r="A39" s="22" t="n"/>
      <c r="B39" s="23" t="n"/>
      <c r="C39" s="23" t="n"/>
      <c r="D39" s="23" t="n"/>
      <c r="E39" s="23" t="n"/>
      <c r="F39" s="23" t="n"/>
      <c r="G39" s="23" t="n"/>
      <c r="H39" s="23" t="n"/>
    </row>
    <row r="40">
      <c r="A40" s="22" t="n"/>
      <c r="B40" s="23" t="n"/>
      <c r="C40" s="23" t="n"/>
      <c r="D40" s="23" t="n"/>
      <c r="E40" s="23" t="n"/>
      <c r="F40" s="23" t="n"/>
      <c r="G40" s="23" t="n"/>
      <c r="H40" s="23" t="n"/>
    </row>
    <row r="41">
      <c r="A41" s="22" t="n"/>
      <c r="B41" s="23" t="n"/>
      <c r="C41" s="23" t="n"/>
      <c r="D41" s="23" t="n"/>
      <c r="E41" s="23" t="n"/>
      <c r="F41" s="23" t="n"/>
      <c r="G41" s="23" t="n"/>
      <c r="H41" s="23" t="n"/>
    </row>
    <row r="42">
      <c r="A42" s="22" t="n"/>
      <c r="B42" s="23" t="n"/>
      <c r="C42" s="23" t="n"/>
      <c r="D42" s="23" t="n"/>
      <c r="E42" s="23" t="n"/>
      <c r="F42" s="23" t="n"/>
      <c r="G42" s="23" t="n"/>
      <c r="H42" s="23" t="n"/>
    </row>
    <row r="43">
      <c r="A43" s="22" t="n"/>
      <c r="B43" s="23" t="n"/>
      <c r="C43" s="23" t="n"/>
      <c r="D43" s="23" t="n"/>
      <c r="E43" s="23" t="n"/>
      <c r="F43" s="23" t="n"/>
      <c r="G43" s="23" t="n"/>
      <c r="H43" s="23" t="n"/>
    </row>
    <row r="44">
      <c r="A44" s="22" t="n"/>
      <c r="B44" s="23" t="n"/>
      <c r="C44" s="23" t="n"/>
      <c r="D44" s="23" t="n"/>
      <c r="E44" s="23" t="n"/>
      <c r="F44" s="23" t="n"/>
      <c r="G44" s="23" t="n"/>
      <c r="H44" s="23" t="n"/>
    </row>
    <row r="45">
      <c r="A45" s="22" t="n"/>
      <c r="B45" s="23" t="n"/>
      <c r="C45" s="23" t="n"/>
      <c r="D45" s="23" t="n"/>
      <c r="E45" s="23" t="n"/>
      <c r="F45" s="23" t="n"/>
      <c r="G45" s="23" t="n"/>
      <c r="H45" s="23" t="n"/>
    </row>
    <row r="46">
      <c r="A46" s="22" t="n"/>
      <c r="B46" s="23" t="n"/>
      <c r="C46" s="23" t="n"/>
      <c r="D46" s="23" t="n"/>
      <c r="E46" s="23" t="n"/>
      <c r="F46" s="23" t="n"/>
      <c r="G46" s="23" t="n"/>
      <c r="H46" s="23" t="n"/>
    </row>
    <row r="47">
      <c r="A47" s="22" t="n"/>
      <c r="B47" s="23" t="n"/>
      <c r="C47" s="23" t="n"/>
      <c r="D47" s="23" t="n"/>
      <c r="E47" s="23" t="n"/>
      <c r="F47" s="23" t="n"/>
      <c r="G47" s="23" t="n"/>
      <c r="H47" s="23" t="n"/>
    </row>
    <row r="48">
      <c r="A48" s="22" t="n"/>
      <c r="B48" s="23" t="n"/>
      <c r="C48" s="23" t="n"/>
      <c r="D48" s="23" t="n"/>
      <c r="E48" s="23" t="n"/>
      <c r="F48" s="23" t="n"/>
      <c r="G48" s="23" t="n"/>
      <c r="H48" s="23" t="n"/>
    </row>
    <row r="49">
      <c r="A49" s="22" t="n"/>
      <c r="B49" s="23" t="n"/>
      <c r="C49" s="23" t="n"/>
      <c r="D49" s="23" t="n"/>
      <c r="E49" s="23" t="n"/>
      <c r="F49" s="23" t="n"/>
      <c r="G49" s="23" t="n"/>
      <c r="H49" s="23" t="n"/>
    </row>
    <row r="50">
      <c r="A50" s="22" t="n"/>
      <c r="B50" s="23" t="n"/>
      <c r="C50" s="23" t="n"/>
      <c r="D50" s="23" t="n"/>
      <c r="E50" s="23" t="n"/>
      <c r="F50" s="23" t="n"/>
      <c r="G50" s="23" t="n"/>
      <c r="H50" s="23" t="n"/>
    </row>
    <row r="51">
      <c r="A51" s="22" t="n"/>
      <c r="B51" s="23" t="n"/>
      <c r="C51" s="23" t="n"/>
      <c r="D51" s="23" t="n"/>
      <c r="E51" s="23" t="n"/>
      <c r="F51" s="23" t="n"/>
      <c r="G51" s="23" t="n"/>
      <c r="H51" s="23" t="n"/>
    </row>
    <row r="52">
      <c r="A52" s="22" t="n"/>
      <c r="B52" s="23" t="n"/>
      <c r="C52" s="23" t="n"/>
      <c r="D52" s="23" t="n"/>
      <c r="E52" s="23" t="n"/>
      <c r="F52" s="23" t="n"/>
      <c r="G52" s="23" t="n"/>
      <c r="H52" s="23" t="n"/>
    </row>
    <row r="53">
      <c r="A53" s="22" t="n"/>
      <c r="B53" s="23" t="n"/>
      <c r="C53" s="23" t="n"/>
      <c r="D53" s="23" t="n"/>
      <c r="E53" s="23" t="n"/>
      <c r="F53" s="23" t="n"/>
      <c r="G53" s="23" t="n"/>
      <c r="H53" s="23" t="n"/>
    </row>
    <row r="54">
      <c r="A54" s="22" t="n"/>
      <c r="B54" s="23" t="n"/>
      <c r="C54" s="23" t="n"/>
      <c r="D54" s="23" t="n"/>
      <c r="E54" s="23" t="n"/>
      <c r="F54" s="23" t="n"/>
      <c r="G54" s="23" t="n"/>
      <c r="H54" s="23" t="n"/>
    </row>
    <row r="55">
      <c r="A55" s="22" t="n"/>
      <c r="B55" s="23" t="n"/>
      <c r="C55" s="23" t="n"/>
      <c r="D55" s="23" t="n"/>
      <c r="E55" s="23" t="n"/>
      <c r="F55" s="23" t="n"/>
      <c r="G55" s="23" t="n"/>
      <c r="H55" s="23" t="n"/>
    </row>
    <row r="56">
      <c r="A56" s="22" t="n"/>
      <c r="B56" s="23" t="n"/>
      <c r="C56" s="23" t="n"/>
      <c r="D56" s="23" t="n"/>
      <c r="E56" s="23" t="n"/>
      <c r="F56" s="23" t="n"/>
      <c r="G56" s="23" t="n"/>
      <c r="H56" s="23" t="n"/>
    </row>
    <row r="57">
      <c r="A57" s="22" t="n"/>
      <c r="B57" s="23" t="n"/>
      <c r="C57" s="23" t="n"/>
      <c r="D57" s="23" t="n"/>
      <c r="E57" s="23" t="n"/>
      <c r="F57" s="23" t="n"/>
      <c r="G57" s="23" t="n"/>
      <c r="H57" s="23" t="n"/>
    </row>
    <row r="58">
      <c r="A58" s="22" t="n"/>
      <c r="B58" s="23" t="n"/>
      <c r="C58" s="23" t="n"/>
      <c r="D58" s="23" t="n"/>
      <c r="E58" s="23" t="n"/>
      <c r="F58" s="23" t="n"/>
      <c r="G58" s="23" t="n"/>
      <c r="H58" s="23" t="n"/>
    </row>
    <row r="59">
      <c r="A59" s="22" t="n"/>
      <c r="B59" s="23" t="n"/>
      <c r="C59" s="23" t="n"/>
      <c r="D59" s="23" t="n"/>
      <c r="E59" s="23" t="n"/>
      <c r="F59" s="23" t="n"/>
      <c r="G59" s="23" t="n"/>
      <c r="H59" s="23" t="n"/>
    </row>
    <row r="60">
      <c r="A60" s="22" t="n"/>
      <c r="B60" s="23" t="n"/>
      <c r="C60" s="23" t="n"/>
      <c r="D60" s="23" t="n"/>
      <c r="E60" s="23" t="n"/>
      <c r="F60" s="23" t="n"/>
      <c r="G60" s="23" t="n"/>
      <c r="H60" s="23" t="n"/>
    </row>
    <row r="61">
      <c r="A61" s="22" t="n"/>
      <c r="B61" s="23" t="n"/>
      <c r="C61" s="23" t="n"/>
      <c r="D61" s="23" t="n"/>
      <c r="E61" s="23" t="n"/>
      <c r="F61" s="23" t="n"/>
      <c r="G61" s="23" t="n"/>
      <c r="H61" s="23" t="n"/>
    </row>
    <row r="62">
      <c r="A62" s="22" t="n"/>
      <c r="B62" s="23" t="n"/>
      <c r="C62" s="23" t="n"/>
      <c r="D62" s="23" t="n"/>
      <c r="E62" s="23" t="n"/>
      <c r="F62" s="23" t="n"/>
      <c r="G62" s="23" t="n"/>
      <c r="H62" s="23" t="n"/>
    </row>
    <row r="63">
      <c r="A63" s="22" t="n"/>
      <c r="B63" s="23" t="n"/>
      <c r="C63" s="23" t="n"/>
      <c r="D63" s="23" t="n"/>
      <c r="E63" s="23" t="n"/>
      <c r="F63" s="23" t="n"/>
      <c r="G63" s="23" t="n"/>
      <c r="H63" s="23" t="n"/>
    </row>
    <row r="64">
      <c r="A64" s="22" t="n"/>
      <c r="B64" s="23" t="n"/>
      <c r="C64" s="23" t="n"/>
      <c r="D64" s="23" t="n"/>
      <c r="E64" s="23" t="n"/>
      <c r="F64" s="23" t="n"/>
      <c r="G64" s="23" t="n"/>
      <c r="H64" s="23" t="n"/>
    </row>
    <row r="65">
      <c r="A65" s="22" t="n"/>
      <c r="B65" s="23" t="n"/>
      <c r="C65" s="23" t="n"/>
      <c r="D65" s="23" t="n"/>
      <c r="E65" s="23" t="n"/>
      <c r="F65" s="23" t="n"/>
      <c r="G65" s="23" t="n"/>
      <c r="H65" s="23" t="n"/>
    </row>
    <row r="66">
      <c r="A66" s="22" t="n"/>
      <c r="B66" s="23" t="n"/>
      <c r="C66" s="23" t="n"/>
      <c r="D66" s="23" t="n"/>
      <c r="E66" s="23" t="n"/>
      <c r="F66" s="23" t="n"/>
      <c r="G66" s="23" t="n"/>
      <c r="H66" s="23" t="n"/>
    </row>
    <row r="67">
      <c r="A67" s="22" t="n"/>
      <c r="B67" s="23" t="n"/>
      <c r="C67" s="23" t="n"/>
      <c r="D67" s="23" t="n"/>
      <c r="E67" s="23" t="n"/>
      <c r="F67" s="23" t="n"/>
      <c r="G67" s="23" t="n"/>
      <c r="H67" s="23" t="n"/>
    </row>
    <row r="68">
      <c r="A68" s="22" t="n"/>
      <c r="B68" s="23" t="n"/>
      <c r="C68" s="23" t="n"/>
      <c r="D68" s="23" t="n"/>
      <c r="E68" s="23" t="n"/>
      <c r="F68" s="23" t="n"/>
      <c r="G68" s="23" t="n"/>
      <c r="H68" s="23" t="n"/>
    </row>
    <row r="69">
      <c r="A69" s="22" t="n"/>
      <c r="B69" s="23" t="n"/>
      <c r="C69" s="23" t="n"/>
      <c r="D69" s="23" t="n"/>
      <c r="E69" s="23" t="n"/>
      <c r="F69" s="23" t="n"/>
      <c r="G69" s="23" t="n"/>
      <c r="H69" s="23" t="n"/>
    </row>
    <row r="70">
      <c r="A70" s="22" t="n"/>
      <c r="B70" s="23" t="n"/>
      <c r="C70" s="23" t="n"/>
      <c r="D70" s="23" t="n"/>
      <c r="E70" s="23" t="n"/>
      <c r="F70" s="23" t="n"/>
      <c r="G70" s="23" t="n"/>
      <c r="H70" s="23" t="n"/>
    </row>
    <row r="71">
      <c r="A71" s="22" t="n"/>
      <c r="B71" s="23" t="n"/>
      <c r="C71" s="23" t="n"/>
      <c r="D71" s="23" t="n"/>
      <c r="E71" s="23" t="n"/>
      <c r="F71" s="23" t="n"/>
      <c r="G71" s="23" t="n"/>
      <c r="H71" s="23" t="n"/>
    </row>
    <row r="72">
      <c r="A72" s="22" t="n"/>
      <c r="B72" s="23" t="n"/>
      <c r="C72" s="23" t="n"/>
      <c r="D72" s="23" t="n"/>
      <c r="E72" s="23" t="n"/>
      <c r="F72" s="23" t="n"/>
      <c r="G72" s="23" t="n"/>
      <c r="H72" s="23" t="n"/>
    </row>
    <row r="73">
      <c r="A73" s="22" t="n"/>
      <c r="B73" s="23" t="n"/>
      <c r="C73" s="23" t="n"/>
      <c r="D73" s="23" t="n"/>
      <c r="E73" s="23" t="n"/>
      <c r="F73" s="23" t="n"/>
      <c r="G73" s="23" t="n"/>
      <c r="H73" s="23" t="n"/>
    </row>
    <row r="74">
      <c r="A74" s="22" t="n"/>
      <c r="B74" s="23" t="n"/>
      <c r="C74" s="23" t="n"/>
      <c r="D74" s="23" t="n"/>
      <c r="E74" s="23" t="n"/>
      <c r="F74" s="23" t="n"/>
      <c r="G74" s="23" t="n"/>
      <c r="H74" s="23" t="n"/>
    </row>
    <row r="75">
      <c r="A75" s="22" t="n"/>
      <c r="B75" s="23" t="n"/>
      <c r="C75" s="23" t="n"/>
      <c r="D75" s="23" t="n"/>
      <c r="E75" s="23" t="n"/>
      <c r="F75" s="23" t="n"/>
      <c r="G75" s="23" t="n"/>
      <c r="H75" s="23" t="n"/>
    </row>
    <row r="76">
      <c r="A76" s="22" t="n"/>
      <c r="B76" s="23" t="n"/>
      <c r="C76" s="23" t="n"/>
      <c r="D76" s="23" t="n"/>
      <c r="E76" s="23" t="n"/>
      <c r="F76" s="23" t="n"/>
      <c r="G76" s="23" t="n"/>
      <c r="H76" s="23" t="n"/>
    </row>
    <row r="77">
      <c r="A77" s="22" t="n"/>
      <c r="B77" s="23" t="n"/>
      <c r="C77" s="23" t="n"/>
      <c r="D77" s="23" t="n"/>
      <c r="E77" s="23" t="n"/>
      <c r="F77" s="23" t="n"/>
      <c r="G77" s="23" t="n"/>
      <c r="H77" s="23" t="n"/>
    </row>
    <row r="78">
      <c r="A78" s="22" t="n"/>
      <c r="B78" s="23" t="n"/>
      <c r="C78" s="23" t="n"/>
      <c r="D78" s="23" t="n"/>
      <c r="E78" s="23" t="n"/>
      <c r="F78" s="23" t="n"/>
      <c r="G78" s="23" t="n"/>
      <c r="H78" s="23" t="n"/>
    </row>
    <row r="79">
      <c r="A79" s="22" t="n"/>
      <c r="B79" s="23" t="n"/>
      <c r="C79" s="23" t="n"/>
      <c r="D79" s="23" t="n"/>
      <c r="E79" s="23" t="n"/>
      <c r="F79" s="23" t="n"/>
      <c r="G79" s="23" t="n"/>
      <c r="H79" s="23" t="n"/>
    </row>
    <row r="80">
      <c r="A80" s="22" t="n"/>
      <c r="B80" s="23" t="n"/>
      <c r="C80" s="23" t="n"/>
      <c r="D80" s="23" t="n"/>
      <c r="E80" s="23" t="n"/>
      <c r="F80" s="23" t="n"/>
      <c r="G80" s="23" t="n"/>
      <c r="H80" s="23" t="n"/>
    </row>
    <row r="81">
      <c r="A81" s="22" t="n"/>
      <c r="B81" s="23" t="n"/>
      <c r="C81" s="23" t="n"/>
      <c r="D81" s="23" t="n"/>
      <c r="E81" s="23" t="n"/>
      <c r="F81" s="23" t="n"/>
      <c r="G81" s="23" t="n"/>
      <c r="H81" s="23" t="n"/>
    </row>
    <row r="82">
      <c r="A82" s="22" t="n"/>
      <c r="B82" s="23" t="n"/>
      <c r="C82" s="23" t="n"/>
      <c r="D82" s="23" t="n"/>
      <c r="E82" s="23" t="n"/>
      <c r="F82" s="23" t="n"/>
      <c r="G82" s="23" t="n"/>
      <c r="H82" s="23" t="n"/>
    </row>
    <row r="83">
      <c r="A83" s="22" t="n"/>
      <c r="B83" s="23" t="n"/>
      <c r="C83" s="23" t="n"/>
      <c r="D83" s="23" t="n"/>
      <c r="E83" s="23" t="n"/>
      <c r="F83" s="23" t="n"/>
      <c r="G83" s="23" t="n"/>
      <c r="H83" s="23" t="n"/>
    </row>
    <row r="84">
      <c r="A84" s="22" t="n"/>
      <c r="B84" s="23" t="n"/>
      <c r="C84" s="23" t="n"/>
      <c r="D84" s="23" t="n"/>
      <c r="E84" s="23" t="n"/>
      <c r="F84" s="23" t="n"/>
      <c r="G84" s="23" t="n"/>
      <c r="H84" s="23" t="n"/>
    </row>
    <row r="85">
      <c r="A85" s="22" t="n"/>
      <c r="B85" s="23" t="n"/>
      <c r="C85" s="23" t="n"/>
      <c r="D85" s="23" t="n"/>
      <c r="E85" s="23" t="n"/>
      <c r="F85" s="23" t="n"/>
      <c r="G85" s="23" t="n"/>
      <c r="H85" s="23" t="n"/>
    </row>
    <row r="86">
      <c r="A86" s="22" t="n"/>
      <c r="B86" s="23" t="n"/>
      <c r="C86" s="23" t="n"/>
      <c r="D86" s="23" t="n"/>
      <c r="E86" s="23" t="n"/>
      <c r="F86" s="23" t="n"/>
      <c r="G86" s="23" t="n"/>
      <c r="H86" s="23" t="n"/>
    </row>
    <row r="87">
      <c r="A87" s="22" t="n"/>
      <c r="B87" s="23" t="n"/>
      <c r="C87" s="23" t="n"/>
      <c r="D87" s="23" t="n"/>
      <c r="E87" s="23" t="n"/>
      <c r="F87" s="23" t="n"/>
      <c r="G87" s="23" t="n"/>
      <c r="H87" s="23" t="n"/>
    </row>
    <row r="88">
      <c r="A88" s="22" t="n"/>
      <c r="B88" s="23" t="n"/>
      <c r="C88" s="23" t="n"/>
      <c r="D88" s="23" t="n"/>
      <c r="E88" s="23" t="n"/>
      <c r="F88" s="23" t="n"/>
      <c r="G88" s="23" t="n"/>
      <c r="H88" s="23" t="n"/>
    </row>
    <row r="89">
      <c r="A89" s="22" t="n"/>
      <c r="B89" s="23" t="n"/>
      <c r="C89" s="23" t="n"/>
      <c r="D89" s="23" t="n"/>
      <c r="E89" s="23" t="n"/>
      <c r="F89" s="23" t="n"/>
      <c r="G89" s="23" t="n"/>
      <c r="H89" s="23" t="n"/>
    </row>
    <row r="90">
      <c r="A90" s="22" t="n"/>
      <c r="B90" s="23" t="n"/>
      <c r="C90" s="23" t="n"/>
      <c r="D90" s="23" t="n"/>
      <c r="E90" s="23" t="n"/>
      <c r="F90" s="23" t="n"/>
      <c r="G90" s="23" t="n"/>
      <c r="H90" s="23" t="n"/>
    </row>
    <row r="91">
      <c r="A91" s="22" t="n"/>
      <c r="B91" s="23" t="n"/>
      <c r="C91" s="23" t="n"/>
      <c r="D91" s="23" t="n"/>
      <c r="E91" s="23" t="n"/>
      <c r="F91" s="23" t="n"/>
      <c r="G91" s="23" t="n"/>
      <c r="H91" s="23" t="n"/>
    </row>
    <row r="92">
      <c r="A92" s="22" t="n"/>
      <c r="B92" s="23" t="n"/>
      <c r="C92" s="23" t="n"/>
      <c r="D92" s="23" t="n"/>
      <c r="E92" s="23" t="n"/>
      <c r="F92" s="23" t="n"/>
      <c r="G92" s="23" t="n"/>
      <c r="H92" s="23" t="n"/>
    </row>
    <row r="93">
      <c r="A93" s="22" t="n"/>
      <c r="B93" s="23" t="n"/>
      <c r="C93" s="23" t="n"/>
      <c r="D93" s="23" t="n"/>
      <c r="E93" s="23" t="n"/>
      <c r="F93" s="23" t="n"/>
      <c r="G93" s="23" t="n"/>
      <c r="H93" s="23" t="n"/>
    </row>
    <row r="94">
      <c r="A94" s="22" t="n"/>
      <c r="B94" s="23" t="n"/>
      <c r="C94" s="23" t="n"/>
      <c r="D94" s="23" t="n"/>
      <c r="E94" s="23" t="n"/>
      <c r="F94" s="23" t="n"/>
      <c r="G94" s="23" t="n"/>
      <c r="H94" s="23" t="n"/>
    </row>
    <row r="95">
      <c r="A95" s="22" t="n"/>
      <c r="B95" s="23" t="n"/>
      <c r="C95" s="23" t="n"/>
      <c r="D95" s="23" t="n"/>
      <c r="E95" s="23" t="n"/>
      <c r="F95" s="23" t="n"/>
      <c r="G95" s="23" t="n"/>
      <c r="H95" s="23" t="n"/>
    </row>
    <row r="96">
      <c r="A96" s="22" t="n"/>
      <c r="B96" s="23" t="n"/>
      <c r="C96" s="23" t="n"/>
      <c r="D96" s="23" t="n"/>
      <c r="E96" s="23" t="n"/>
      <c r="F96" s="23" t="n"/>
      <c r="G96" s="23" t="n"/>
      <c r="H96" s="23" t="n"/>
    </row>
    <row r="97">
      <c r="A97" s="22" t="n"/>
      <c r="B97" s="23" t="n"/>
      <c r="C97" s="23" t="n"/>
      <c r="D97" s="23" t="n"/>
      <c r="E97" s="23" t="n"/>
      <c r="F97" s="23" t="n"/>
      <c r="G97" s="23" t="n"/>
      <c r="H97" s="23" t="n"/>
    </row>
    <row r="98">
      <c r="A98" s="22" t="n"/>
      <c r="B98" s="23" t="n"/>
      <c r="C98" s="23" t="n"/>
      <c r="D98" s="23" t="n"/>
      <c r="E98" s="23" t="n"/>
      <c r="F98" s="23" t="n"/>
      <c r="G98" s="23" t="n"/>
      <c r="H98" s="23" t="n"/>
    </row>
    <row r="99">
      <c r="A99" s="22" t="n"/>
      <c r="B99" s="23" t="n"/>
      <c r="C99" s="23" t="n"/>
      <c r="D99" s="23" t="n"/>
      <c r="E99" s="23" t="n"/>
      <c r="F99" s="23" t="n"/>
      <c r="G99" s="23" t="n"/>
      <c r="H99" s="23" t="n"/>
    </row>
    <row r="100">
      <c r="A100" s="22" t="n"/>
      <c r="B100" s="23" t="n"/>
      <c r="C100" s="23" t="n"/>
      <c r="D100" s="23" t="n"/>
      <c r="E100" s="23" t="n"/>
      <c r="F100" s="23" t="n"/>
      <c r="G100" s="23" t="n"/>
      <c r="H100" s="23" t="n"/>
    </row>
    <row r="101">
      <c r="A101" s="22" t="n"/>
      <c r="B101" s="23" t="n"/>
      <c r="C101" s="23" t="n"/>
      <c r="D101" s="23" t="n"/>
      <c r="E101" s="23" t="n"/>
      <c r="F101" s="23" t="n"/>
      <c r="G101" s="23" t="n"/>
      <c r="H101" s="23" t="n"/>
    </row>
    <row r="102">
      <c r="A102" s="22" t="n"/>
      <c r="B102" s="23" t="n"/>
      <c r="C102" s="23" t="n"/>
      <c r="D102" s="23" t="n"/>
      <c r="E102" s="23" t="n"/>
      <c r="F102" s="23" t="n"/>
      <c r="G102" s="23" t="n"/>
      <c r="H102" s="23" t="n"/>
    </row>
    <row r="103">
      <c r="A103" s="22" t="n"/>
      <c r="B103" s="23" t="n"/>
      <c r="C103" s="23" t="n"/>
      <c r="D103" s="23" t="n"/>
      <c r="E103" s="23" t="n"/>
      <c r="F103" s="23" t="n"/>
      <c r="G103" s="23" t="n"/>
      <c r="H103" s="23" t="n"/>
    </row>
    <row r="104">
      <c r="A104" s="22" t="n"/>
      <c r="B104" s="23" t="n"/>
      <c r="C104" s="23" t="n"/>
      <c r="D104" s="23" t="n"/>
      <c r="E104" s="23" t="n"/>
      <c r="F104" s="23" t="n"/>
      <c r="G104" s="23" t="n"/>
      <c r="H104" s="23" t="n"/>
    </row>
    <row r="105">
      <c r="A105" s="22" t="n"/>
      <c r="B105" s="23" t="n"/>
      <c r="C105" s="23" t="n"/>
      <c r="D105" s="23" t="n"/>
      <c r="E105" s="23" t="n"/>
      <c r="F105" s="23" t="n"/>
      <c r="G105" s="23" t="n"/>
      <c r="H105" s="2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4" t="inlineStr">
        <is>
          <t>THREAT MODELLING METHODOLOGY — SUMMARY DASHBOARD</t>
        </is>
      </c>
    </row>
    <row r="2">
      <c r="A2" s="25" t="inlineStr">
        <is>
          <t>ISO/IEC 27001:2022 - Control A.8.27: Secure System Architecture and Engineering Principles</t>
        </is>
      </c>
    </row>
    <row r="4">
      <c r="A4" s="26" t="inlineStr">
        <is>
          <t>TABLE 1: ASSESSMENT AREA COMPLIANCE OVERVIEW</t>
        </is>
      </c>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6" t="inlineStr">
        <is>
          <t>Methodology Assessment</t>
        </is>
      </c>
      <c r="B6" s="6">
        <f>COUNTA('Methodology'!D5:D54)</f>
        <v/>
      </c>
      <c r="C6" s="6">
        <f>COUNTIF('Methodology'!D5:D54,"✅ Yes")</f>
        <v/>
      </c>
      <c r="D6" s="6">
        <f>COUNTIF('Methodology'!D5:D54,"⚠️ Partial")</f>
        <v/>
      </c>
      <c r="E6" s="6">
        <f>COUNTIF('Methodology'!D5:D54,"❌ No")</f>
        <v/>
      </c>
      <c r="F6" s="6">
        <f>B6-(C6+D6+E6)</f>
        <v/>
      </c>
      <c r="G6" s="6">
        <f>IF((B6-F6)=0,"0%",ROUND(C6/(B6-F6)*100,1)&amp;"%")</f>
        <v/>
      </c>
    </row>
    <row r="7">
      <c r="A7" s="6" t="inlineStr">
        <is>
          <t>MITRE ATT&amp;CK Coverage</t>
        </is>
      </c>
      <c r="B7" s="6">
        <f>COUNTA('MITRE ATT&amp;CK'!E4:E36)</f>
        <v/>
      </c>
      <c r="C7" s="6">
        <f>COUNTIF('MITRE ATT&amp;CK'!E4:E36,"✅ Yes")</f>
        <v/>
      </c>
      <c r="D7" s="6">
        <f>COUNTIF('MITRE ATT&amp;CK'!E4:E36,"⚠️ Partial")</f>
        <v/>
      </c>
      <c r="E7" s="6">
        <f>COUNTIF('MITRE ATT&amp;CK'!E4:E36,"❌ No")</f>
        <v/>
      </c>
      <c r="F7" s="6">
        <f>B7-(C7+D7+E7)</f>
        <v/>
      </c>
      <c r="G7" s="6">
        <f>IF((B7-F7)=0,"0%",ROUND(C7/(B7-F7)*100,1)&amp;"%")</f>
        <v/>
      </c>
    </row>
    <row r="8">
      <c r="A8" s="6" t="inlineStr">
        <is>
          <t>Competency Assessment</t>
        </is>
      </c>
      <c r="B8" s="6">
        <f>COUNTA('Competency'!E4:E54)</f>
        <v/>
      </c>
      <c r="C8" s="6">
        <f>COUNTIF('Competency'!E4:E54,"✅ Yes")</f>
        <v/>
      </c>
      <c r="D8" s="6">
        <f>COUNTIF('Competency'!E4:E54,"⚠️ Partial")</f>
        <v/>
      </c>
      <c r="E8" s="6">
        <f>COUNTIF('Competency'!E4:E54,"❌ No")</f>
        <v/>
      </c>
      <c r="F8" s="6">
        <f>B8-(C8+D8+E8)</f>
        <v/>
      </c>
      <c r="G8" s="6">
        <f>IF((B8-F8)=0,"0%",ROUND(C8/(B8-F8)*100,1)&amp;"%")</f>
        <v/>
      </c>
    </row>
    <row r="9">
      <c r="A9" s="6" t="inlineStr">
        <is>
          <t>Sample Quality Review</t>
        </is>
      </c>
      <c r="B9" s="6">
        <f>COUNTA('Samples'!H5:H54)</f>
        <v/>
      </c>
      <c r="C9" s="6">
        <f>COUNTIF('Samples'!H5:H54,"✅ Yes")</f>
        <v/>
      </c>
      <c r="D9" s="6">
        <f>COUNTIF('Samples'!H5:H54,"⚠️ Partial")</f>
        <v/>
      </c>
      <c r="E9" s="6">
        <f>COUNTIF('Samples'!H5:H54,"❌ No")</f>
        <v/>
      </c>
      <c r="F9" s="6">
        <f>B9-(C9+D9+E9)</f>
        <v/>
      </c>
      <c r="G9" s="6">
        <f>IF((B9-F9)=0,"0%",ROUND(C9/(B9-F9)*100,1)&amp;"%")</f>
        <v/>
      </c>
    </row>
    <row r="10">
      <c r="A10" s="6" t="inlineStr">
        <is>
          <t>Policy Compliance</t>
        </is>
      </c>
      <c r="B10" s="6">
        <f>COUNTA('Compliance'!D4:D54)</f>
        <v/>
      </c>
      <c r="C10" s="6">
        <f>COUNTIF('Compliance'!D4:D54,"✅ Yes")</f>
        <v/>
      </c>
      <c r="D10" s="6">
        <f>COUNTIF('Compliance'!D4:D54,"⚠️ Partial")</f>
        <v/>
      </c>
      <c r="E10" s="6">
        <f>COUNTIF('Compliance'!D4:D54,"❌ No")</f>
        <v/>
      </c>
      <c r="F10" s="6">
        <f>B10-(C10+D10+E10)</f>
        <v/>
      </c>
      <c r="G10" s="6">
        <f>IF((B10-F10)=0,"0%",ROUND(C10/(B10-F10)*100,1)&amp;"%")</f>
        <v/>
      </c>
    </row>
    <row r="11">
      <c r="A11" s="28" t="inlineStr">
        <is>
          <t>TOTAL</t>
        </is>
      </c>
      <c r="B11" s="28">
        <f>SUM(B6:B10)</f>
        <v/>
      </c>
      <c r="C11" s="28">
        <f>SUM(C6:C10)</f>
        <v/>
      </c>
      <c r="D11" s="28">
        <f>SUM(D6:D10)</f>
        <v/>
      </c>
      <c r="E11" s="28">
        <f>SUM(E6:E10)</f>
        <v/>
      </c>
      <c r="F11" s="28">
        <f>SUM(F6:F10)</f>
        <v/>
      </c>
      <c r="G11" s="29">
        <f>IF((B11-F11)=0,"0%",ROUND(C11/(B11-F11)*100,1)&amp;"%")</f>
        <v/>
      </c>
    </row>
    <row r="13">
      <c r="A13" s="30" t="inlineStr">
        <is>
          <t>TABLE 2: KEY METRICS</t>
        </is>
      </c>
    </row>
    <row r="14">
      <c r="A14" s="31" t="inlineStr">
        <is>
          <t>Metric</t>
        </is>
      </c>
      <c r="B14" s="32" t="inlineStr">
        <is>
          <t>Value</t>
        </is>
      </c>
      <c r="C14" s="31" t="inlineStr">
        <is>
          <t>What This Shows</t>
        </is>
      </c>
    </row>
    <row r="15">
      <c r="A15" s="33" t="inlineStr">
        <is>
          <t>MITRE Coverage Gaps</t>
        </is>
      </c>
      <c r="B15" s="34">
        <f>COUNTIF('MITRE ATT&amp;CK'!E4:E36,"❌ No")</f>
        <v/>
      </c>
      <c r="C15" s="35" t="inlineStr">
        <is>
          <t>MITRE ATT&amp;CK techniques not covered (blind spots in threat detection)</t>
        </is>
      </c>
      <c r="D15" s="6" t="n"/>
      <c r="E15" s="6" t="n"/>
      <c r="F15" s="6" t="n"/>
      <c r="G15" s="6" t="n"/>
    </row>
    <row r="16">
      <c r="A16" s="33" t="inlineStr">
        <is>
          <t>High-Severity Threats Uncovered</t>
        </is>
      </c>
      <c r="B16" s="34">
        <f>COUNTIFS(ThreatCatalogue!E5:E54,"High",ThreatCatalogue!H5:H54,"")+COUNTIFS(ThreatCatalogue!E5:E54,"Nation-State",ThreatCatalogue!H5:H54,"")</f>
        <v/>
      </c>
      <c r="C16" s="35" t="inlineStr">
        <is>
          <t>High/Nation-State threats without countermeasures (critical exposures)</t>
        </is>
      </c>
      <c r="D16" s="6" t="n"/>
      <c r="E16" s="6" t="n"/>
      <c r="F16" s="6" t="n"/>
      <c r="G16" s="6" t="n"/>
    </row>
    <row r="17">
      <c r="A17" s="33" t="inlineStr">
        <is>
          <t>Ineffective Tools</t>
        </is>
      </c>
      <c r="B17" s="34">
        <f>COUNTIF(Tools!G4:G11,"&lt;3")</f>
        <v/>
      </c>
      <c r="C17" s="35" t="inlineStr">
        <is>
          <t>Tools with effectiveness rating below 3 (poor protection)</t>
        </is>
      </c>
      <c r="D17" s="6" t="n"/>
      <c r="E17" s="6" t="n"/>
      <c r="F17" s="6" t="n"/>
      <c r="G17" s="6" t="n"/>
    </row>
    <row r="18">
      <c r="A18" s="33" t="inlineStr">
        <is>
          <t>Missing Tool Coverage</t>
        </is>
      </c>
      <c r="B18" s="34">
        <f>COUNTIF(Tools!D4:D11,"❌ No")</f>
        <v/>
      </c>
      <c r="C18" s="35" t="inlineStr">
        <is>
          <t>Required threat modelling tools not implemented</t>
        </is>
      </c>
      <c r="D18" s="6" t="n"/>
      <c r="E18" s="6" t="n"/>
      <c r="F18" s="6" t="n"/>
      <c r="G18" s="6" t="n"/>
    </row>
    <row r="19">
      <c r="A19" s="33" t="inlineStr">
        <is>
          <t>Competency Gaps</t>
        </is>
      </c>
      <c r="B19" s="34">
        <f>COUNTIF(Competency!E4:E54,"❌ No")</f>
        <v/>
      </c>
      <c r="C19" s="35" t="inlineStr">
        <is>
          <t>Staff lacking required threat modelling skills (training deficiencies)</t>
        </is>
      </c>
      <c r="D19" s="6" t="n"/>
      <c r="E19" s="6" t="n"/>
      <c r="F19" s="6" t="n"/>
      <c r="G19" s="6" t="n"/>
    </row>
    <row r="20">
      <c r="A20" s="33" t="inlineStr">
        <is>
          <t>Partial Training</t>
        </is>
      </c>
      <c r="B20" s="34">
        <f>COUNTIF(Competency!E4:E54,"⚠️ Partial")</f>
        <v/>
      </c>
      <c r="C20" s="35" t="inlineStr">
        <is>
          <t>Staff with incomplete training (partial capability)</t>
        </is>
      </c>
      <c r="D20" s="6" t="n"/>
      <c r="E20" s="6" t="n"/>
      <c r="F20" s="6" t="n"/>
      <c r="G20" s="6" t="n"/>
    </row>
    <row r="21">
      <c r="A21" s="33" t="inlineStr">
        <is>
          <t>Sample Quality Issues</t>
        </is>
      </c>
      <c r="B21" s="34">
        <f>COUNTIF(Samples!H5:H54,"❌ No")+COUNTIF(Samples!H5:H54,"⚠️ Partial")</f>
        <v/>
      </c>
      <c r="C21" s="35" t="inlineStr">
        <is>
          <t>Samples not fully mapped to MITRE ATT&amp;CK (incomplete validation)</t>
        </is>
      </c>
      <c r="D21" s="6" t="n"/>
      <c r="E21" s="6" t="n"/>
      <c r="F21" s="6" t="n"/>
      <c r="G21" s="6" t="n"/>
    </row>
    <row r="22">
      <c r="A22" s="33" t="inlineStr">
        <is>
          <t>Moderate+ Threats Total</t>
        </is>
      </c>
      <c r="B22" s="34">
        <f>COUNTIF(ThreatCatalogue!E5:E54,"Moderate")+COUNTIF(ThreatCatalogue!E5:E54,"High")+COUNTIF(ThreatCatalogue!E5:E54,"Nation-State")</f>
        <v/>
      </c>
      <c r="C22" s="35" t="inlineStr">
        <is>
          <t>Total active threat landscape requiring countermeasures</t>
        </is>
      </c>
      <c r="D22" s="6" t="n"/>
      <c r="E22" s="6" t="n"/>
      <c r="F22" s="6" t="n"/>
      <c r="G22" s="6" t="n"/>
    </row>
    <row r="23">
      <c r="A23" s="33" t="inlineStr">
        <is>
          <t>Methodology Completeness</t>
        </is>
      </c>
      <c r="B23" s="34">
        <f>COUNTIF(Methodology!D5:D54,"❌ No")</f>
        <v/>
      </c>
      <c r="C23" s="35" t="inlineStr">
        <is>
          <t>Missing methodology elements (inconsistent practice)</t>
        </is>
      </c>
      <c r="D23" s="6" t="n"/>
      <c r="E23" s="6" t="n"/>
      <c r="F23" s="6" t="n"/>
      <c r="G23" s="6" t="n"/>
    </row>
    <row r="24">
      <c r="A24" s="33" t="inlineStr">
        <is>
          <t>Overall Compliance Rate</t>
        </is>
      </c>
      <c r="B24" s="34">
        <f>'Summary Dashboard'!G11</f>
        <v/>
      </c>
      <c r="C24" s="35" t="inlineStr">
        <is>
          <t>Overall threat modelling compliance percentage</t>
        </is>
      </c>
      <c r="D24" s="6" t="n"/>
      <c r="E24" s="6" t="n"/>
      <c r="F24" s="6" t="n"/>
      <c r="G24" s="6" t="n"/>
    </row>
    <row r="25">
      <c r="A25" s="6" t="n"/>
      <c r="B25" s="6" t="n"/>
      <c r="C25" s="6" t="n"/>
      <c r="D25" s="6" t="n"/>
      <c r="E25" s="6" t="n"/>
      <c r="F25" s="6" t="n"/>
      <c r="G25" s="6" t="n"/>
    </row>
    <row r="26">
      <c r="A26" s="6" t="n"/>
      <c r="B26" s="6" t="n"/>
      <c r="C26" s="6" t="n"/>
      <c r="D26" s="6" t="n"/>
      <c r="E26" s="6" t="n"/>
      <c r="F26" s="6" t="n"/>
      <c r="G26" s="6" t="n"/>
    </row>
    <row r="28">
      <c r="A28" s="36" t="inlineStr">
        <is>
          <t>TABLE 3: CRITICAL FINDINGS</t>
        </is>
      </c>
    </row>
    <row r="29">
      <c r="A29" s="31" t="inlineStr">
        <is>
          <t>Critical Finding Type</t>
        </is>
      </c>
      <c r="B29" s="32" t="inlineStr">
        <is>
          <t>Count</t>
        </is>
      </c>
      <c r="C29" s="31" t="inlineStr">
        <is>
          <t>Filter Instructions</t>
        </is>
      </c>
    </row>
    <row r="30">
      <c r="A30" s="37" t="inlineStr">
        <is>
          <t>MITRE Coverage Gaps</t>
        </is>
      </c>
      <c r="B30" s="38">
        <f>COUNTIF('MITRE ATT&amp;CK'!E4:E36,"❌ No")</f>
        <v/>
      </c>
      <c r="C30" s="35" t="inlineStr">
        <is>
          <t>Filter MITRE ATT&amp;CK sheet: Coverage = "❌ No"</t>
        </is>
      </c>
      <c r="D30" s="6" t="n"/>
      <c r="E30" s="6" t="n"/>
      <c r="F30" s="6" t="n"/>
      <c r="G30" s="6" t="n"/>
    </row>
    <row r="31">
      <c r="A31" s="37" t="inlineStr">
        <is>
          <t>High-Severity Threats Uncovered</t>
        </is>
      </c>
      <c r="B31" s="38">
        <f>COUNTIFS(ThreatCatalogue!E5:E54,"High",ThreatCatalogue!H5:H54,"")+COUNTIFS(ThreatCatalogue!E5:E54,"Nation-State",ThreatCatalogue!H5:H54,"")</f>
        <v/>
      </c>
      <c r="C31" s="35" t="inlineStr">
        <is>
          <t>Filter ThreatCatalogue: Capability = "High" or "Nation-State" AND Countermeasures empty</t>
        </is>
      </c>
      <c r="D31" s="6" t="n"/>
      <c r="E31" s="6" t="n"/>
      <c r="F31" s="6" t="n"/>
      <c r="G31" s="6" t="n"/>
    </row>
    <row r="32">
      <c r="A32" s="37" t="inlineStr">
        <is>
          <t>Ineffective Tools</t>
        </is>
      </c>
      <c r="B32" s="38">
        <f>COUNTIF(Tools!G4:G11,"&lt;3")</f>
        <v/>
      </c>
      <c r="C32" s="35" t="inlineStr">
        <is>
          <t>Filter Tools sheet: Effectiveness &lt; 3</t>
        </is>
      </c>
      <c r="D32" s="6" t="n"/>
      <c r="E32" s="6" t="n"/>
      <c r="F32" s="6" t="n"/>
      <c r="G32" s="6" t="n"/>
    </row>
    <row r="33">
      <c r="A33" s="37" t="inlineStr">
        <is>
          <t>Competency Gaps</t>
        </is>
      </c>
      <c r="B33" s="38">
        <f>COUNTIF(Competency!E4:E54,"❌ No")</f>
        <v/>
      </c>
      <c r="C33" s="35" t="inlineStr">
        <is>
          <t>Filter Competency sheet: Training = "❌ No"</t>
        </is>
      </c>
      <c r="D33" s="6" t="n"/>
      <c r="E33" s="6" t="n"/>
      <c r="F33" s="6" t="n"/>
      <c r="G33" s="6" t="n"/>
    </row>
    <row r="34">
      <c r="A34" s="37" t="inlineStr">
        <is>
          <t>Methodology Completeness</t>
        </is>
      </c>
      <c r="B34" s="38">
        <f>COUNTIF(Methodology!D5:D54,"❌ No")</f>
        <v/>
      </c>
      <c r="C34" s="35" t="inlineStr">
        <is>
          <t>Filter Methodology sheet: Status = "❌ No"</t>
        </is>
      </c>
      <c r="D34" s="6" t="n"/>
      <c r="E34" s="6" t="n"/>
      <c r="F34" s="6" t="n"/>
      <c r="G34" s="6" t="n"/>
    </row>
    <row r="35">
      <c r="A35" s="39" t="inlineStr">
        <is>
          <t>TOTAL</t>
        </is>
      </c>
      <c r="B35" s="40">
        <f>SUM(B30:B34)</f>
        <v/>
      </c>
      <c r="C35" s="41" t="inlineStr">
        <is>
          <t>Total critical findings requiring immediate remediation</t>
        </is>
      </c>
      <c r="D35" s="6" t="n"/>
      <c r="E35" s="6" t="n"/>
      <c r="F35" s="6" t="n"/>
      <c r="G35" s="6" t="n"/>
    </row>
  </sheetData>
  <mergeCells count="25">
    <mergeCell ref="C30:G30"/>
    <mergeCell ref="C34:G34"/>
    <mergeCell ref="C24:G24"/>
    <mergeCell ref="C15:G15"/>
    <mergeCell ref="C33:G33"/>
    <mergeCell ref="A4:G4"/>
    <mergeCell ref="C14:G14"/>
    <mergeCell ref="A28:G28"/>
    <mergeCell ref="C26:G26"/>
    <mergeCell ref="A13:G13"/>
    <mergeCell ref="C29:G29"/>
    <mergeCell ref="C35:G35"/>
    <mergeCell ref="C20:G20"/>
    <mergeCell ref="C16:G16"/>
    <mergeCell ref="C25:G25"/>
    <mergeCell ref="C31:G31"/>
    <mergeCell ref="C22:G22"/>
    <mergeCell ref="C21:G21"/>
    <mergeCell ref="A1:G1"/>
    <mergeCell ref="C23:G23"/>
    <mergeCell ref="C17:G17"/>
    <mergeCell ref="C32:G32"/>
    <mergeCell ref="C19:G19"/>
    <mergeCell ref="A2:G2"/>
    <mergeCell ref="C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2" t="inlineStr">
        <is>
          <t>ASSESSMENT APPROVAL AND SIGN-OFF</t>
        </is>
      </c>
      <c r="B1" s="6" t="n"/>
      <c r="C1" s="6" t="n"/>
      <c r="D1" s="6" t="n"/>
      <c r="E1" s="6" t="n"/>
    </row>
    <row r="2">
      <c r="A2" s="43" t="inlineStr">
        <is>
          <t>ISO/IEC 27001:2022 - Control A.8.27: Secure System Architecture and Engineering Principles</t>
        </is>
      </c>
      <c r="B2" s="6" t="n"/>
      <c r="C2" s="6" t="n"/>
      <c r="D2" s="6" t="n"/>
      <c r="E2" s="6" t="n"/>
    </row>
    <row r="3">
      <c r="A3" s="44" t="inlineStr">
        <is>
          <t>ASSESSMENT SUMMARY</t>
        </is>
      </c>
      <c r="B3" s="6" t="n"/>
      <c r="C3" s="6" t="n"/>
      <c r="D3" s="6" t="n"/>
      <c r="E3" s="6" t="n"/>
    </row>
    <row r="4">
      <c r="A4" s="45" t="inlineStr">
        <is>
          <t>Document:</t>
        </is>
      </c>
      <c r="B4" s="6" t="inlineStr">
        <is>
          <t>ISMS-IMP-A.8.27.2 - Threat Modelling Methodology</t>
        </is>
      </c>
      <c r="C4" s="6" t="n"/>
      <c r="D4" s="6" t="n"/>
      <c r="E4" s="6" t="n"/>
    </row>
    <row r="5">
      <c r="A5" s="45" t="inlineStr">
        <is>
          <t>Assessment Period:</t>
        </is>
      </c>
      <c r="B5" s="46" t="inlineStr"/>
      <c r="C5" s="46" t="n"/>
      <c r="D5" s="46" t="n"/>
      <c r="E5" s="46" t="n"/>
    </row>
    <row r="6">
      <c r="A6" s="45" t="inlineStr">
        <is>
          <t>Overall Compliance Rating:</t>
        </is>
      </c>
      <c r="B6" s="6">
        <f>'Summary Dashboard'!G11</f>
        <v/>
      </c>
      <c r="C6" s="6" t="n"/>
      <c r="D6" s="6" t="n"/>
      <c r="E6" s="6" t="n"/>
    </row>
    <row r="7">
      <c r="A7" s="45" t="inlineStr">
        <is>
          <t>Assessment Status:</t>
        </is>
      </c>
      <c r="B7" s="46" t="inlineStr"/>
      <c r="C7" s="46" t="n"/>
      <c r="D7" s="46" t="n"/>
      <c r="E7" s="46" t="n"/>
    </row>
    <row r="8">
      <c r="A8" s="45" t="inlineStr">
        <is>
          <t>Assessed By:</t>
        </is>
      </c>
      <c r="B8" s="46" t="inlineStr"/>
      <c r="C8" s="46" t="n"/>
      <c r="D8" s="46" t="n"/>
      <c r="E8" s="46" t="n"/>
    </row>
    <row r="11">
      <c r="A11" s="44" t="inlineStr">
        <is>
          <t>COMPLETED BY (ASSESSOR)</t>
        </is>
      </c>
      <c r="B11" s="6" t="n"/>
      <c r="C11" s="6" t="n"/>
      <c r="D11" s="6" t="n"/>
      <c r="E11" s="6" t="n"/>
    </row>
    <row r="12">
      <c r="A12" s="45" t="inlineStr">
        <is>
          <t>Name:</t>
        </is>
      </c>
      <c r="B12" s="46" t="n"/>
      <c r="C12" s="46" t="n"/>
      <c r="D12" s="46" t="n"/>
      <c r="E12" s="46" t="n"/>
    </row>
    <row r="13">
      <c r="A13" s="45" t="inlineStr">
        <is>
          <t>Title:</t>
        </is>
      </c>
      <c r="B13" s="46" t="n"/>
      <c r="C13" s="46" t="n"/>
      <c r="D13" s="46" t="n"/>
      <c r="E13" s="46" t="n"/>
    </row>
    <row r="14">
      <c r="A14" s="45" t="inlineStr">
        <is>
          <t>Date:</t>
        </is>
      </c>
      <c r="B14" s="46" t="n"/>
      <c r="C14" s="46" t="n"/>
      <c r="D14" s="46" t="n"/>
      <c r="E14" s="46" t="n"/>
    </row>
    <row r="15">
      <c r="A15" s="45" t="inlineStr">
        <is>
          <t>Signature:</t>
        </is>
      </c>
      <c r="B15" s="46" t="n"/>
      <c r="C15" s="46" t="n"/>
      <c r="D15" s="46" t="n"/>
      <c r="E15" s="46" t="n"/>
    </row>
    <row r="16">
      <c r="A16" s="45" t="inlineStr">
        <is>
          <t>Comments:</t>
        </is>
      </c>
      <c r="B16" s="46" t="n"/>
      <c r="C16" s="46" t="n"/>
      <c r="D16" s="46" t="n"/>
      <c r="E16" s="46" t="n"/>
    </row>
    <row r="18">
      <c r="A18" s="44" t="inlineStr">
        <is>
          <t>REVIEWED BY (INFORMATION SECURITY OFFICER)</t>
        </is>
      </c>
      <c r="B18" s="6" t="n"/>
      <c r="C18" s="6" t="n"/>
      <c r="D18" s="6" t="n"/>
      <c r="E18" s="6" t="n"/>
    </row>
    <row r="19">
      <c r="A19" s="45" t="inlineStr">
        <is>
          <t>Name:</t>
        </is>
      </c>
      <c r="B19" s="46" t="n"/>
      <c r="C19" s="46" t="n"/>
      <c r="D19" s="46" t="n"/>
      <c r="E19" s="46" t="n"/>
    </row>
    <row r="20">
      <c r="A20" s="45" t="inlineStr">
        <is>
          <t>Title:</t>
        </is>
      </c>
      <c r="B20" s="46" t="n"/>
      <c r="C20" s="46" t="n"/>
      <c r="D20" s="46" t="n"/>
      <c r="E20" s="46" t="n"/>
    </row>
    <row r="21">
      <c r="A21" s="45" t="inlineStr">
        <is>
          <t>Date:</t>
        </is>
      </c>
      <c r="B21" s="46" t="n"/>
      <c r="C21" s="46" t="n"/>
      <c r="D21" s="46" t="n"/>
      <c r="E21" s="46" t="n"/>
    </row>
    <row r="22">
      <c r="A22" s="45" t="inlineStr">
        <is>
          <t>Signature:</t>
        </is>
      </c>
      <c r="B22" s="46" t="n"/>
      <c r="C22" s="46" t="n"/>
      <c r="D22" s="46" t="n"/>
      <c r="E22" s="46" t="n"/>
    </row>
    <row r="23">
      <c r="A23" s="45" t="inlineStr">
        <is>
          <t>Comments:</t>
        </is>
      </c>
      <c r="B23" s="46" t="n"/>
      <c r="C23" s="46" t="n"/>
      <c r="D23" s="46" t="n"/>
      <c r="E23" s="46" t="n"/>
    </row>
    <row r="25">
      <c r="A25" s="47" t="inlineStr">
        <is>
          <t>APPROVED BY (CISO)</t>
        </is>
      </c>
      <c r="B25" s="6" t="n"/>
      <c r="C25" s="6" t="n"/>
      <c r="D25" s="6" t="n"/>
      <c r="E25" s="6" t="n"/>
    </row>
    <row r="26">
      <c r="A26" s="45" t="inlineStr">
        <is>
          <t>Name:</t>
        </is>
      </c>
      <c r="B26" s="46" t="n"/>
      <c r="C26" s="46" t="n"/>
      <c r="D26" s="46" t="n"/>
      <c r="E26" s="46" t="n"/>
    </row>
    <row r="27">
      <c r="A27" s="45" t="inlineStr">
        <is>
          <t>Title:</t>
        </is>
      </c>
      <c r="B27" s="46" t="n"/>
      <c r="C27" s="46" t="n"/>
      <c r="D27" s="46" t="n"/>
      <c r="E27" s="46" t="n"/>
    </row>
    <row r="28">
      <c r="A28" s="45" t="inlineStr">
        <is>
          <t>Date:</t>
        </is>
      </c>
      <c r="B28" s="46" t="n"/>
      <c r="C28" s="46" t="n"/>
      <c r="D28" s="46" t="n"/>
      <c r="E28" s="46" t="n"/>
    </row>
    <row r="29">
      <c r="A29" s="45" t="inlineStr">
        <is>
          <t>Signature:</t>
        </is>
      </c>
      <c r="B29" s="46" t="n"/>
      <c r="C29" s="46" t="n"/>
      <c r="D29" s="46" t="n"/>
      <c r="E29" s="46" t="n"/>
    </row>
    <row r="30">
      <c r="A30" s="45" t="inlineStr">
        <is>
          <t>Comments:</t>
        </is>
      </c>
      <c r="B30" s="46" t="n"/>
      <c r="C30" s="46" t="n"/>
      <c r="D30" s="46" t="n"/>
      <c r="E30" s="46" t="n"/>
    </row>
    <row r="32">
      <c r="A32" s="39" t="inlineStr">
        <is>
          <t>FINAL DECISION:</t>
        </is>
      </c>
      <c r="B32" s="46" t="n"/>
      <c r="C32" s="46" t="n"/>
      <c r="D32" s="46" t="n"/>
      <c r="E32" s="46" t="n"/>
    </row>
    <row r="35">
      <c r="A35" s="44" t="inlineStr">
        <is>
          <t>NEXT REVIEW DETAILS</t>
        </is>
      </c>
      <c r="B35" s="6" t="n"/>
      <c r="C35" s="6" t="n"/>
      <c r="D35" s="6" t="n"/>
      <c r="E35" s="6" t="n"/>
    </row>
    <row r="36">
      <c r="A36" s="45" t="inlineStr">
        <is>
          <t>Next Review Date:</t>
        </is>
      </c>
      <c r="B36" s="46" t="n"/>
      <c r="C36" s="46" t="n"/>
      <c r="D36" s="46" t="n"/>
      <c r="E36" s="46" t="n"/>
    </row>
    <row r="37">
      <c r="A37" s="45" t="inlineStr">
        <is>
          <t>Review Responsible:</t>
        </is>
      </c>
      <c r="B37" s="46" t="n"/>
      <c r="C37" s="46" t="n"/>
      <c r="D37" s="46" t="n"/>
      <c r="E37" s="46" t="n"/>
    </row>
    <row r="38">
      <c r="A38" s="45" t="inlineStr">
        <is>
          <t>Special Considerations:</t>
        </is>
      </c>
      <c r="B38" s="46" t="n"/>
      <c r="C38" s="46" t="n"/>
      <c r="D38" s="46" t="n"/>
      <c r="E38" s="4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ISMS-IMP-A.8.27.2 — Threat Modelling Methodology</dc:title>
  <dc:description xmlns:dc="http://purl.org/dc/elements/1.1/">ISMS Implementation Workbook — ISMS-IMP-A.8.27.2</dc:description>
  <dc:subject xmlns:dc="http://purl.org/dc/elements/1.1/">ISO/IEC 27001:2022 — Control A.8.27: Secure System Architecture and Engineering Principles</dc:subject>
  <dcterms:created xmlns:dcterms="http://purl.org/dc/terms/" xmlns:xsi="http://www.w3.org/2001/XMLSchema-instance" xsi:type="dcterms:W3CDTF">2026-03-07T11:28:25Z</dcterms:created>
  <dcterms:modified xmlns:dcterms="http://purl.org/dc/terms/" xmlns:xsi="http://www.w3.org/2001/XMLSchema-instance" xsi:type="dcterms:W3CDTF">2026-03-07T11:28:25Z</dcterms:modified>
</cp:coreProperties>
</file>