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MITRE_ATT&amp;CK" sheetId="3" state="visible" r:id="rId3"/>
    <sheet xmlns:r="http://schemas.openxmlformats.org/officeDocument/2006/relationships" name="ThreatCatalogue" sheetId="4" state="visible" r:id="rId4"/>
    <sheet xmlns:r="http://schemas.openxmlformats.org/officeDocument/2006/relationships" name="Tools" sheetId="5" state="visible" r:id="rId5"/>
    <sheet xmlns:r="http://schemas.openxmlformats.org/officeDocument/2006/relationships" name="Competency" sheetId="6" state="visible" r:id="rId6"/>
    <sheet xmlns:r="http://schemas.openxmlformats.org/officeDocument/2006/relationships" name="Samples" sheetId="7" state="visible" r:id="rId7"/>
    <sheet xmlns:r="http://schemas.openxmlformats.org/officeDocument/2006/relationships" name="Compliance" sheetId="8" state="visible" r:id="rId8"/>
    <sheet xmlns:r="http://schemas.openxmlformats.org/officeDocument/2006/relationships" name="GapRegister" sheetId="9" state="visible" r:id="rId9"/>
    <sheet xmlns:r="http://schemas.openxmlformats.org/officeDocument/2006/relationships" name="Dashboar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  <font>
      <sz val="1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 ht="30" customHeight="1">
      <c r="A1" s="1" t="inlineStr">
        <is>
          <t>ISMS-IMP-A.8.27.2 - Threat Modelling Methodology Assessment</t>
        </is>
      </c>
    </row>
    <row r="3">
      <c r="A3" s="2" t="inlineStr">
        <is>
          <t>Document Information</t>
        </is>
      </c>
      <c r="B3" s="3" t="n"/>
      <c r="C3" s="3" t="n"/>
      <c r="D3" s="3" t="n"/>
      <c r="E3" s="3" t="n"/>
      <c r="F3" s="3" t="n"/>
      <c r="G3" s="3" t="n"/>
      <c r="H3" s="4" t="n"/>
    </row>
    <row r="4">
      <c r="A4" s="5" t="inlineStr">
        <is>
          <t>Document ID</t>
        </is>
      </c>
      <c r="B4" s="6" t="inlineStr">
        <is>
          <t>ISMS-IMP-A.8.27.2</t>
        </is>
      </c>
      <c r="C4" s="3" t="n"/>
      <c r="D4" s="3" t="n"/>
      <c r="E4" s="3" t="n"/>
      <c r="F4" s="3" t="n"/>
      <c r="G4" s="3" t="n"/>
      <c r="H4" s="4" t="n"/>
    </row>
    <row r="5">
      <c r="A5" s="5" t="inlineStr">
        <is>
          <t>Control Reference</t>
        </is>
      </c>
      <c r="B5" s="6" t="inlineStr">
        <is>
          <t>ISO/IEC 27001:2022 - Control A.8.27: Secure System Architecture and Engineering Principles</t>
        </is>
      </c>
      <c r="C5" s="3" t="n"/>
      <c r="D5" s="3" t="n"/>
      <c r="E5" s="3" t="n"/>
      <c r="F5" s="3" t="n"/>
      <c r="G5" s="3" t="n"/>
      <c r="H5" s="4" t="n"/>
    </row>
    <row r="6">
      <c r="A6" s="5" t="inlineStr">
        <is>
          <t>Purpose</t>
        </is>
      </c>
      <c r="B6" s="6" t="inlineStr">
        <is>
          <t>Evaluate threat modelling methodology adoption and effectiveness</t>
        </is>
      </c>
      <c r="C6" s="3" t="n"/>
      <c r="D6" s="3" t="n"/>
      <c r="E6" s="3" t="n"/>
      <c r="F6" s="3" t="n"/>
      <c r="G6" s="3" t="n"/>
      <c r="H6" s="4" t="n"/>
    </row>
    <row r="7">
      <c r="A7" s="5" t="inlineStr">
        <is>
          <t>Generated Date</t>
        </is>
      </c>
      <c r="B7" s="6" t="inlineStr">
        <is>
          <t>10.02.2026</t>
        </is>
      </c>
      <c r="C7" s="3" t="n"/>
      <c r="D7" s="3" t="n"/>
      <c r="E7" s="3" t="n"/>
      <c r="F7" s="3" t="n"/>
      <c r="G7" s="3" t="n"/>
      <c r="H7" s="4" t="n"/>
    </row>
  </sheetData>
  <mergeCells count="6">
    <mergeCell ref="A3:H3"/>
    <mergeCell ref="B4:H4"/>
    <mergeCell ref="B6:H6"/>
    <mergeCell ref="B7:H7"/>
    <mergeCell ref="A1:H1"/>
    <mergeCell ref="B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0" customWidth="1" min="3" max="3"/>
    <col width="10" customWidth="1" min="4" max="4"/>
    <col width="12" customWidth="1" min="5" max="5"/>
    <col width="12" customWidth="1" min="6" max="6"/>
    <col width="30" customWidth="1" min="7" max="7"/>
    <col width="30" customWidth="1" min="8" max="8"/>
  </cols>
  <sheetData>
    <row r="1" ht="30" customHeight="1">
      <c r="A1" s="1" t="inlineStr">
        <is>
          <t>Threat Modelling - Methodology Assessment</t>
        </is>
      </c>
    </row>
    <row r="3">
      <c r="A3" s="1" t="inlineStr">
        <is>
          <t>Meth-ID</t>
        </is>
      </c>
      <c r="B3" s="1" t="inlineStr">
        <is>
          <t>Category</t>
        </is>
      </c>
      <c r="C3" s="1" t="inlineStr">
        <is>
          <t>Requirement</t>
        </is>
      </c>
      <c r="D3" s="1" t="inlineStr">
        <is>
          <t>Adopted</t>
        </is>
      </c>
      <c r="E3" s="1" t="inlineStr">
        <is>
          <t>Documented</t>
        </is>
      </c>
      <c r="F3" s="1" t="inlineStr">
        <is>
          <t>Effective</t>
        </is>
      </c>
      <c r="G3" s="1" t="inlineStr">
        <is>
          <t>Evidence</t>
        </is>
      </c>
      <c r="H3" s="1" t="inlineStr">
        <is>
          <t>Gaps</t>
        </is>
      </c>
    </row>
    <row r="4">
      <c r="A4" s="5" t="inlineStr">
        <is>
          <t>METH-001</t>
        </is>
      </c>
      <c r="B4" s="5" t="inlineStr">
        <is>
          <t>Selection</t>
        </is>
      </c>
      <c r="C4" s="5" t="inlineStr">
        <is>
          <t>Threat modelling methodology selected and documented</t>
        </is>
      </c>
      <c r="D4" s="6" t="n"/>
      <c r="E4" s="6" t="n"/>
      <c r="F4" s="6" t="n"/>
      <c r="G4" s="6" t="n"/>
      <c r="H4" s="6" t="n"/>
    </row>
    <row r="5">
      <c r="A5" s="5" t="inlineStr">
        <is>
          <t>METH-002</t>
        </is>
      </c>
      <c r="B5" s="5" t="inlineStr">
        <is>
          <t>Selection</t>
        </is>
      </c>
      <c r="C5" s="5" t="inlineStr">
        <is>
          <t>Methodology rationale documented</t>
        </is>
      </c>
      <c r="D5" s="6" t="n"/>
      <c r="E5" s="6" t="n"/>
      <c r="F5" s="6" t="n"/>
      <c r="G5" s="6" t="n"/>
      <c r="H5" s="6" t="n"/>
    </row>
    <row r="6">
      <c r="A6" s="5" t="inlineStr">
        <is>
          <t>METH-003</t>
        </is>
      </c>
      <c r="B6" s="5" t="inlineStr">
        <is>
          <t>Scope</t>
        </is>
      </c>
      <c r="C6" s="5" t="inlineStr">
        <is>
          <t>Threat model scope definition process</t>
        </is>
      </c>
      <c r="D6" s="6" t="n"/>
      <c r="E6" s="6" t="n"/>
      <c r="F6" s="6" t="n"/>
      <c r="G6" s="6" t="n"/>
      <c r="H6" s="6" t="n"/>
    </row>
    <row r="7">
      <c r="A7" s="5" t="inlineStr">
        <is>
          <t>METH-004</t>
        </is>
      </c>
      <c r="B7" s="5" t="inlineStr">
        <is>
          <t>Assets</t>
        </is>
      </c>
      <c r="C7" s="5" t="inlineStr">
        <is>
          <t>Asset identification methodology</t>
        </is>
      </c>
      <c r="D7" s="6" t="n"/>
      <c r="E7" s="6" t="n"/>
      <c r="F7" s="6" t="n"/>
      <c r="G7" s="6" t="n"/>
      <c r="H7" s="6" t="n"/>
    </row>
    <row r="8">
      <c r="A8" s="5" t="inlineStr">
        <is>
          <t>METH-005</t>
        </is>
      </c>
      <c r="B8" s="5" t="inlineStr">
        <is>
          <t>Threats</t>
        </is>
      </c>
      <c r="C8" s="5" t="inlineStr">
        <is>
          <t>STRIDE threat identification approach</t>
        </is>
      </c>
      <c r="D8" s="6" t="n"/>
      <c r="E8" s="6" t="n"/>
      <c r="F8" s="6" t="n"/>
      <c r="G8" s="6" t="n"/>
      <c r="H8" s="6" t="n"/>
    </row>
    <row r="9">
      <c r="A9" s="5" t="inlineStr">
        <is>
          <t>METH-006</t>
        </is>
      </c>
      <c r="B9" s="5" t="inlineStr">
        <is>
          <t>Threats</t>
        </is>
      </c>
      <c r="C9" s="5" t="inlineStr">
        <is>
          <t>Attack tree analysis capability</t>
        </is>
      </c>
      <c r="D9" s="6" t="n"/>
      <c r="E9" s="6" t="n"/>
      <c r="F9" s="6" t="n"/>
      <c r="G9" s="6" t="n"/>
      <c r="H9" s="6" t="n"/>
    </row>
    <row r="10">
      <c r="A10" s="5" t="inlineStr">
        <is>
          <t>METH-007</t>
        </is>
      </c>
      <c r="B10" s="5" t="inlineStr">
        <is>
          <t>AttackSurface</t>
        </is>
      </c>
      <c r="C10" s="5" t="inlineStr">
        <is>
          <t>Attack surface mapping methodology</t>
        </is>
      </c>
      <c r="D10" s="6" t="n"/>
      <c r="E10" s="6" t="n"/>
      <c r="F10" s="6" t="n"/>
      <c r="G10" s="6" t="n"/>
      <c r="H10" s="6" t="n"/>
    </row>
    <row r="11">
      <c r="A11" s="5" t="inlineStr">
        <is>
          <t>METH-008</t>
        </is>
      </c>
      <c r="B11" s="5" t="inlineStr">
        <is>
          <t>TrustBoundaries</t>
        </is>
      </c>
      <c r="C11" s="5" t="inlineStr">
        <is>
          <t>Trust boundary identification process</t>
        </is>
      </c>
      <c r="D11" s="6" t="n"/>
      <c r="E11" s="6" t="n"/>
      <c r="F11" s="6" t="n"/>
      <c r="G11" s="6" t="n"/>
      <c r="H11" s="6" t="n"/>
    </row>
    <row r="12">
      <c r="A12" s="5" t="inlineStr">
        <is>
          <t>METH-009</t>
        </is>
      </c>
      <c r="B12" s="5" t="inlineStr">
        <is>
          <t>DataFlows</t>
        </is>
      </c>
      <c r="C12" s="5" t="inlineStr">
        <is>
          <t>Data flow diagram creation</t>
        </is>
      </c>
      <c r="D12" s="6" t="n"/>
      <c r="E12" s="6" t="n"/>
      <c r="F12" s="6" t="n"/>
      <c r="G12" s="6" t="n"/>
      <c r="H12" s="6" t="n"/>
    </row>
    <row r="13">
      <c r="A13" s="5" t="inlineStr">
        <is>
          <t>METH-010</t>
        </is>
      </c>
      <c r="B13" s="5" t="inlineStr">
        <is>
          <t>Prioritisation</t>
        </is>
      </c>
      <c r="C13" s="5" t="inlineStr">
        <is>
          <t>Threat prioritisation methodology (DREAD, CVSS)</t>
        </is>
      </c>
      <c r="D13" s="6" t="n"/>
      <c r="E13" s="6" t="n"/>
      <c r="F13" s="6" t="n"/>
      <c r="G13" s="6" t="n"/>
      <c r="H13" s="6" t="n"/>
    </row>
    <row r="14">
      <c r="A14" s="5" t="inlineStr">
        <is>
          <t>METH-011</t>
        </is>
      </c>
      <c r="B14" s="5" t="inlineStr">
        <is>
          <t>Countermeasures</t>
        </is>
      </c>
      <c r="C14" s="5" t="inlineStr">
        <is>
          <t>Mitigation mapping process</t>
        </is>
      </c>
      <c r="D14" s="6" t="n"/>
      <c r="E14" s="6" t="n"/>
      <c r="F14" s="6" t="n"/>
      <c r="G14" s="6" t="n"/>
      <c r="H14" s="6" t="n"/>
    </row>
    <row r="15">
      <c r="A15" s="5" t="inlineStr">
        <is>
          <t>METH-012</t>
        </is>
      </c>
      <c r="B15" s="5" t="inlineStr">
        <is>
          <t>Documentation</t>
        </is>
      </c>
      <c r="C15" s="5" t="inlineStr">
        <is>
          <t>Threat model documentation standards</t>
        </is>
      </c>
      <c r="D15" s="6" t="n"/>
      <c r="E15" s="6" t="n"/>
      <c r="F15" s="6" t="n"/>
      <c r="G15" s="6" t="n"/>
      <c r="H15" s="6" t="n"/>
    </row>
    <row r="16">
      <c r="A16" s="5" t="inlineStr">
        <is>
          <t>METH-013</t>
        </is>
      </c>
      <c r="B16" s="5" t="inlineStr">
        <is>
          <t>Documentation</t>
        </is>
      </c>
      <c r="C16" s="5" t="inlineStr">
        <is>
          <t>Threat model template availability</t>
        </is>
      </c>
      <c r="D16" s="6" t="n"/>
      <c r="E16" s="6" t="n"/>
      <c r="F16" s="6" t="n"/>
      <c r="G16" s="6" t="n"/>
      <c r="H16" s="6" t="n"/>
    </row>
    <row r="17">
      <c r="A17" s="5" t="inlineStr">
        <is>
          <t>METH-014</t>
        </is>
      </c>
      <c r="B17" s="5" t="inlineStr">
        <is>
          <t>Review</t>
        </is>
      </c>
      <c r="C17" s="5" t="inlineStr">
        <is>
          <t>Threat model review and approval process</t>
        </is>
      </c>
      <c r="D17" s="6" t="n"/>
      <c r="E17" s="6" t="n"/>
      <c r="F17" s="6" t="n"/>
      <c r="G17" s="6" t="n"/>
      <c r="H17" s="6" t="n"/>
    </row>
    <row r="18">
      <c r="A18" s="5" t="inlineStr">
        <is>
          <t>METH-015</t>
        </is>
      </c>
      <c r="B18" s="5" t="inlineStr">
        <is>
          <t>Review</t>
        </is>
      </c>
      <c r="C18" s="5" t="inlineStr">
        <is>
          <t>Peer review of threat models</t>
        </is>
      </c>
      <c r="D18" s="6" t="n"/>
      <c r="E18" s="6" t="n"/>
      <c r="F18" s="6" t="n"/>
      <c r="G18" s="6" t="n"/>
      <c r="H18" s="6" t="n"/>
    </row>
    <row r="19">
      <c r="A19" s="5" t="inlineStr">
        <is>
          <t>METH-016</t>
        </is>
      </c>
      <c r="B19" s="5" t="inlineStr">
        <is>
          <t>Maintenance</t>
        </is>
      </c>
      <c r="C19" s="5" t="inlineStr">
        <is>
          <t>Threat model update triggers defined</t>
        </is>
      </c>
      <c r="D19" s="6" t="n"/>
      <c r="E19" s="6" t="n"/>
      <c r="F19" s="6" t="n"/>
      <c r="G19" s="6" t="n"/>
      <c r="H19" s="6" t="n"/>
    </row>
    <row r="20">
      <c r="A20" s="5" t="inlineStr">
        <is>
          <t>METH-017</t>
        </is>
      </c>
      <c r="B20" s="5" t="inlineStr">
        <is>
          <t>Maintenance</t>
        </is>
      </c>
      <c r="C20" s="5" t="inlineStr">
        <is>
          <t>Threat model version control</t>
        </is>
      </c>
      <c r="D20" s="6" t="n"/>
      <c r="E20" s="6" t="n"/>
      <c r="F20" s="6" t="n"/>
      <c r="G20" s="6" t="n"/>
      <c r="H20" s="6" t="n"/>
    </row>
    <row r="21">
      <c r="A21" s="5" t="inlineStr">
        <is>
          <t>METH-018</t>
        </is>
      </c>
      <c r="B21" s="5" t="inlineStr">
        <is>
          <t>ATT&amp;CK</t>
        </is>
      </c>
      <c r="C21" s="5" t="inlineStr">
        <is>
          <t>MITRE ATT&amp;CK integration</t>
        </is>
      </c>
      <c r="D21" s="6" t="n"/>
      <c r="E21" s="6" t="n"/>
      <c r="F21" s="6" t="n"/>
      <c r="G21" s="6" t="n"/>
      <c r="H21" s="6" t="n"/>
    </row>
    <row r="22">
      <c r="A22" s="5" t="inlineStr">
        <is>
          <t>METH-019</t>
        </is>
      </c>
      <c r="B22" s="5" t="inlineStr">
        <is>
          <t>ATT&amp;CK</t>
        </is>
      </c>
      <c r="C22" s="5" t="inlineStr">
        <is>
          <t>Technique coverage tracking</t>
        </is>
      </c>
      <c r="D22" s="6" t="n"/>
      <c r="E22" s="6" t="n"/>
      <c r="F22" s="6" t="n"/>
      <c r="G22" s="6" t="n"/>
      <c r="H22" s="6" t="n"/>
    </row>
    <row r="23">
      <c r="A23" s="5" t="inlineStr">
        <is>
          <t>METH-020</t>
        </is>
      </c>
      <c r="B23" s="5" t="inlineStr">
        <is>
          <t>Training</t>
        </is>
      </c>
      <c r="C23" s="5" t="inlineStr">
        <is>
          <t>Threat modelling training programme</t>
        </is>
      </c>
      <c r="D23" s="6" t="n"/>
      <c r="E23" s="6" t="n"/>
      <c r="F23" s="6" t="n"/>
      <c r="G23" s="6" t="n"/>
      <c r="H23" s="6" t="n"/>
    </row>
  </sheetData>
  <mergeCells count="1">
    <mergeCell ref="A1:H1"/>
  </mergeCells>
  <dataValidations count="2">
    <dataValidation sqref="D4:E23" showDropDown="0" showInputMessage="0" showErrorMessage="0" allowBlank="1" type="list">
      <formula1>"Yes,Partial,No"</formula1>
    </dataValidation>
    <dataValidation sqref="F4:F23" showDropDown="0" showInputMessage="0" showErrorMessage="0" allowBlank="1" type="list">
      <formula1>"1,2,3,4,5"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5" customWidth="1" min="3" max="3"/>
    <col width="12" customWidth="1" min="4" max="4"/>
    <col width="10" customWidth="1" min="5" max="5"/>
    <col width="35" customWidth="1" min="6" max="6"/>
    <col width="30" customWidth="1" min="7" max="7"/>
  </cols>
  <sheetData>
    <row r="1" ht="30" customHeight="1">
      <c r="A1" s="1" t="inlineStr">
        <is>
          <t>Threat Modelling - MITRE ATT&amp;CK Coverage Assessment</t>
        </is>
      </c>
    </row>
    <row r="3">
      <c r="A3" s="1" t="inlineStr">
        <is>
          <t>ATT-ID</t>
        </is>
      </c>
      <c r="B3" s="1" t="inlineStr">
        <is>
          <t>Tactic</t>
        </is>
      </c>
      <c r="C3" s="1" t="inlineStr">
        <is>
          <t>Technique</t>
        </is>
      </c>
      <c r="D3" s="1" t="inlineStr">
        <is>
          <t>Relevance</t>
        </is>
      </c>
      <c r="E3" s="1" t="inlineStr">
        <is>
          <t>Covered</t>
        </is>
      </c>
      <c r="F3" s="1" t="inlineStr">
        <is>
          <t>DetectionMap</t>
        </is>
      </c>
      <c r="G3" s="1" t="inlineStr">
        <is>
          <t>Gap</t>
        </is>
      </c>
    </row>
    <row r="4">
      <c r="A4" s="5" t="inlineStr">
        <is>
          <t>T1566</t>
        </is>
      </c>
      <c r="B4" s="5" t="inlineStr">
        <is>
          <t>Initial Access</t>
        </is>
      </c>
      <c r="C4" s="5" t="inlineStr">
        <is>
          <t>Phishing</t>
        </is>
      </c>
      <c r="D4" s="6" t="n"/>
      <c r="E4" s="6" t="n"/>
      <c r="F4" s="6" t="n"/>
      <c r="G4" s="6" t="n"/>
    </row>
    <row r="5">
      <c r="A5" s="5" t="inlineStr">
        <is>
          <t>T1566.001</t>
        </is>
      </c>
      <c r="B5" s="5" t="inlineStr">
        <is>
          <t>Initial Access</t>
        </is>
      </c>
      <c r="C5" s="5" t="inlineStr">
        <is>
          <t>Spearphishing Attachment</t>
        </is>
      </c>
      <c r="D5" s="6" t="n"/>
      <c r="E5" s="6" t="n"/>
      <c r="F5" s="6" t="n"/>
      <c r="G5" s="6" t="n"/>
    </row>
    <row r="6">
      <c r="A6" s="5" t="inlineStr">
        <is>
          <t>T1566.002</t>
        </is>
      </c>
      <c r="B6" s="5" t="inlineStr">
        <is>
          <t>Initial Access</t>
        </is>
      </c>
      <c r="C6" s="5" t="inlineStr">
        <is>
          <t>Spearphishing Link</t>
        </is>
      </c>
      <c r="D6" s="6" t="n"/>
      <c r="E6" s="6" t="n"/>
      <c r="F6" s="6" t="n"/>
      <c r="G6" s="6" t="n"/>
    </row>
    <row r="7">
      <c r="A7" s="5" t="inlineStr">
        <is>
          <t>T1190</t>
        </is>
      </c>
      <c r="B7" s="5" t="inlineStr">
        <is>
          <t>Initial Access</t>
        </is>
      </c>
      <c r="C7" s="5" t="inlineStr">
        <is>
          <t>Exploit Public-Facing Application</t>
        </is>
      </c>
      <c r="D7" s="6" t="n"/>
      <c r="E7" s="6" t="n"/>
      <c r="F7" s="6" t="n"/>
      <c r="G7" s="6" t="n"/>
    </row>
    <row r="8">
      <c r="A8" s="5" t="inlineStr">
        <is>
          <t>T1133</t>
        </is>
      </c>
      <c r="B8" s="5" t="inlineStr">
        <is>
          <t>Initial Access</t>
        </is>
      </c>
      <c r="C8" s="5" t="inlineStr">
        <is>
          <t>External Remote Services</t>
        </is>
      </c>
      <c r="D8" s="6" t="n"/>
      <c r="E8" s="6" t="n"/>
      <c r="F8" s="6" t="n"/>
      <c r="G8" s="6" t="n"/>
    </row>
    <row r="9">
      <c r="A9" s="5" t="inlineStr">
        <is>
          <t>T1078</t>
        </is>
      </c>
      <c r="B9" s="5" t="inlineStr">
        <is>
          <t>Initial Access</t>
        </is>
      </c>
      <c r="C9" s="5" t="inlineStr">
        <is>
          <t>Valid Accounts</t>
        </is>
      </c>
      <c r="D9" s="6" t="n"/>
      <c r="E9" s="6" t="n"/>
      <c r="F9" s="6" t="n"/>
      <c r="G9" s="6" t="n"/>
    </row>
    <row r="10">
      <c r="A10" s="5" t="inlineStr">
        <is>
          <t>T1059</t>
        </is>
      </c>
      <c r="B10" s="5" t="inlineStr">
        <is>
          <t>Execution</t>
        </is>
      </c>
      <c r="C10" s="5" t="inlineStr">
        <is>
          <t>Command and Scripting Interpreter</t>
        </is>
      </c>
      <c r="D10" s="6" t="n"/>
      <c r="E10" s="6" t="n"/>
      <c r="F10" s="6" t="n"/>
      <c r="G10" s="6" t="n"/>
    </row>
    <row r="11">
      <c r="A11" s="5" t="inlineStr">
        <is>
          <t>T1059.001</t>
        </is>
      </c>
      <c r="B11" s="5" t="inlineStr">
        <is>
          <t>Execution</t>
        </is>
      </c>
      <c r="C11" s="5" t="inlineStr">
        <is>
          <t>PowerShell</t>
        </is>
      </c>
      <c r="D11" s="6" t="n"/>
      <c r="E11" s="6" t="n"/>
      <c r="F11" s="6" t="n"/>
      <c r="G11" s="6" t="n"/>
    </row>
    <row r="12">
      <c r="A12" s="5" t="inlineStr">
        <is>
          <t>T1204</t>
        </is>
      </c>
      <c r="B12" s="5" t="inlineStr">
        <is>
          <t>Execution</t>
        </is>
      </c>
      <c r="C12" s="5" t="inlineStr">
        <is>
          <t>User Execution</t>
        </is>
      </c>
      <c r="D12" s="6" t="n"/>
      <c r="E12" s="6" t="n"/>
      <c r="F12" s="6" t="n"/>
      <c r="G12" s="6" t="n"/>
    </row>
    <row r="13">
      <c r="A13" s="5" t="inlineStr">
        <is>
          <t>T1053</t>
        </is>
      </c>
      <c r="B13" s="5" t="inlineStr">
        <is>
          <t>Persistence</t>
        </is>
      </c>
      <c r="C13" s="5" t="inlineStr">
        <is>
          <t>Scheduled Task/Job</t>
        </is>
      </c>
      <c r="D13" s="6" t="n"/>
      <c r="E13" s="6" t="n"/>
      <c r="F13" s="6" t="n"/>
      <c r="G13" s="6" t="n"/>
    </row>
    <row r="14">
      <c r="A14" s="5" t="inlineStr">
        <is>
          <t>T1136</t>
        </is>
      </c>
      <c r="B14" s="5" t="inlineStr">
        <is>
          <t>Persistence</t>
        </is>
      </c>
      <c r="C14" s="5" t="inlineStr">
        <is>
          <t>Create Account</t>
        </is>
      </c>
      <c r="D14" s="6" t="n"/>
      <c r="E14" s="6" t="n"/>
      <c r="F14" s="6" t="n"/>
      <c r="G14" s="6" t="n"/>
    </row>
    <row r="15">
      <c r="A15" s="5" t="inlineStr">
        <is>
          <t>T1547</t>
        </is>
      </c>
      <c r="B15" s="5" t="inlineStr">
        <is>
          <t>Persistence</t>
        </is>
      </c>
      <c r="C15" s="5" t="inlineStr">
        <is>
          <t>Boot or Logon Autostart Execution</t>
        </is>
      </c>
      <c r="D15" s="6" t="n"/>
      <c r="E15" s="6" t="n"/>
      <c r="F15" s="6" t="n"/>
      <c r="G15" s="6" t="n"/>
    </row>
    <row r="16">
      <c r="A16" s="5" t="inlineStr">
        <is>
          <t>T1068</t>
        </is>
      </c>
      <c r="B16" s="5" t="inlineStr">
        <is>
          <t>Privilege Escalation</t>
        </is>
      </c>
      <c r="C16" s="5" t="inlineStr">
        <is>
          <t>Exploitation for Privilege Escalation</t>
        </is>
      </c>
      <c r="D16" s="6" t="n"/>
      <c r="E16" s="6" t="n"/>
      <c r="F16" s="6" t="n"/>
      <c r="G16" s="6" t="n"/>
    </row>
    <row r="17">
      <c r="A17" s="5" t="inlineStr">
        <is>
          <t>T1548</t>
        </is>
      </c>
      <c r="B17" s="5" t="inlineStr">
        <is>
          <t>Privilege Escalation</t>
        </is>
      </c>
      <c r="C17" s="5" t="inlineStr">
        <is>
          <t>Abuse Elevation Control Mechanism</t>
        </is>
      </c>
      <c r="D17" s="6" t="n"/>
      <c r="E17" s="6" t="n"/>
      <c r="F17" s="6" t="n"/>
      <c r="G17" s="6" t="n"/>
    </row>
    <row r="18">
      <c r="A18" s="5" t="inlineStr">
        <is>
          <t>T1055</t>
        </is>
      </c>
      <c r="B18" s="5" t="inlineStr">
        <is>
          <t>Defence Evasion</t>
        </is>
      </c>
      <c r="C18" s="5" t="inlineStr">
        <is>
          <t>Process Injection</t>
        </is>
      </c>
      <c r="D18" s="6" t="n"/>
      <c r="E18" s="6" t="n"/>
      <c r="F18" s="6" t="n"/>
      <c r="G18" s="6" t="n"/>
    </row>
    <row r="19">
      <c r="A19" s="5" t="inlineStr">
        <is>
          <t>T1562</t>
        </is>
      </c>
      <c r="B19" s="5" t="inlineStr">
        <is>
          <t>Defence Evasion</t>
        </is>
      </c>
      <c r="C19" s="5" t="inlineStr">
        <is>
          <t>Impair Defenses</t>
        </is>
      </c>
      <c r="D19" s="6" t="n"/>
      <c r="E19" s="6" t="n"/>
      <c r="F19" s="6" t="n"/>
      <c r="G19" s="6" t="n"/>
    </row>
    <row r="20">
      <c r="A20" s="5" t="inlineStr">
        <is>
          <t>T1070</t>
        </is>
      </c>
      <c r="B20" s="5" t="inlineStr">
        <is>
          <t>Defence Evasion</t>
        </is>
      </c>
      <c r="C20" s="5" t="inlineStr">
        <is>
          <t>Indicator Removal</t>
        </is>
      </c>
      <c r="D20" s="6" t="n"/>
      <c r="E20" s="6" t="n"/>
      <c r="F20" s="6" t="n"/>
      <c r="G20" s="6" t="n"/>
    </row>
    <row r="21">
      <c r="A21" s="5" t="inlineStr">
        <is>
          <t>T1110</t>
        </is>
      </c>
      <c r="B21" s="5" t="inlineStr">
        <is>
          <t>Credential Access</t>
        </is>
      </c>
      <c r="C21" s="5" t="inlineStr">
        <is>
          <t>Brute Force</t>
        </is>
      </c>
      <c r="D21" s="6" t="n"/>
      <c r="E21" s="6" t="n"/>
      <c r="F21" s="6" t="n"/>
      <c r="G21" s="6" t="n"/>
    </row>
    <row r="22">
      <c r="A22" s="5" t="inlineStr">
        <is>
          <t>T1555</t>
        </is>
      </c>
      <c r="B22" s="5" t="inlineStr">
        <is>
          <t>Credential Access</t>
        </is>
      </c>
      <c r="C22" s="5" t="inlineStr">
        <is>
          <t>Credentials from Password Stores</t>
        </is>
      </c>
      <c r="D22" s="6" t="n"/>
      <c r="E22" s="6" t="n"/>
      <c r="F22" s="6" t="n"/>
      <c r="G22" s="6" t="n"/>
    </row>
    <row r="23">
      <c r="A23" s="5" t="inlineStr">
        <is>
          <t>T1003</t>
        </is>
      </c>
      <c r="B23" s="5" t="inlineStr">
        <is>
          <t>Credential Access</t>
        </is>
      </c>
      <c r="C23" s="5" t="inlineStr">
        <is>
          <t>OS Credential Dumping</t>
        </is>
      </c>
      <c r="D23" s="6" t="n"/>
      <c r="E23" s="6" t="n"/>
      <c r="F23" s="6" t="n"/>
      <c r="G23" s="6" t="n"/>
    </row>
    <row r="24">
      <c r="A24" s="5" t="inlineStr">
        <is>
          <t>T1087</t>
        </is>
      </c>
      <c r="B24" s="5" t="inlineStr">
        <is>
          <t>Discovery</t>
        </is>
      </c>
      <c r="C24" s="5" t="inlineStr">
        <is>
          <t>Account Discovery</t>
        </is>
      </c>
      <c r="D24" s="6" t="n"/>
      <c r="E24" s="6" t="n"/>
      <c r="F24" s="6" t="n"/>
      <c r="G24" s="6" t="n"/>
    </row>
    <row r="25">
      <c r="A25" s="5" t="inlineStr">
        <is>
          <t>T1083</t>
        </is>
      </c>
      <c r="B25" s="5" t="inlineStr">
        <is>
          <t>Discovery</t>
        </is>
      </c>
      <c r="C25" s="5" t="inlineStr">
        <is>
          <t>File and Directory Discovery</t>
        </is>
      </c>
      <c r="D25" s="6" t="n"/>
      <c r="E25" s="6" t="n"/>
      <c r="F25" s="6" t="n"/>
      <c r="G25" s="6" t="n"/>
    </row>
    <row r="26">
      <c r="A26" s="5" t="inlineStr">
        <is>
          <t>T1021</t>
        </is>
      </c>
      <c r="B26" s="5" t="inlineStr">
        <is>
          <t>Lateral Movement</t>
        </is>
      </c>
      <c r="C26" s="5" t="inlineStr">
        <is>
          <t>Remote Services</t>
        </is>
      </c>
      <c r="D26" s="6" t="n"/>
      <c r="E26" s="6" t="n"/>
      <c r="F26" s="6" t="n"/>
      <c r="G26" s="6" t="n"/>
    </row>
    <row r="27">
      <c r="A27" s="5" t="inlineStr">
        <is>
          <t>T1550</t>
        </is>
      </c>
      <c r="B27" s="5" t="inlineStr">
        <is>
          <t>Lateral Movement</t>
        </is>
      </c>
      <c r="C27" s="5" t="inlineStr">
        <is>
          <t>Use Alternate Authentication Material</t>
        </is>
      </c>
      <c r="D27" s="6" t="n"/>
      <c r="E27" s="6" t="n"/>
      <c r="F27" s="6" t="n"/>
      <c r="G27" s="6" t="n"/>
    </row>
    <row r="28">
      <c r="A28" s="5" t="inlineStr">
        <is>
          <t>T1570</t>
        </is>
      </c>
      <c r="B28" s="5" t="inlineStr">
        <is>
          <t>Lateral Movement</t>
        </is>
      </c>
      <c r="C28" s="5" t="inlineStr">
        <is>
          <t>Lateral Tool Transfer</t>
        </is>
      </c>
      <c r="D28" s="6" t="n"/>
      <c r="E28" s="6" t="n"/>
      <c r="F28" s="6" t="n"/>
      <c r="G28" s="6" t="n"/>
    </row>
    <row r="29">
      <c r="A29" s="5" t="inlineStr">
        <is>
          <t>T1005</t>
        </is>
      </c>
      <c r="B29" s="5" t="inlineStr">
        <is>
          <t>Collection</t>
        </is>
      </c>
      <c r="C29" s="5" t="inlineStr">
        <is>
          <t>Data from Local System</t>
        </is>
      </c>
      <c r="D29" s="6" t="n"/>
      <c r="E29" s="6" t="n"/>
      <c r="F29" s="6" t="n"/>
      <c r="G29" s="6" t="n"/>
    </row>
    <row r="30">
      <c r="A30" s="5" t="inlineStr">
        <is>
          <t>T1114</t>
        </is>
      </c>
      <c r="B30" s="5" t="inlineStr">
        <is>
          <t>Collection</t>
        </is>
      </c>
      <c r="C30" s="5" t="inlineStr">
        <is>
          <t>Email Collection</t>
        </is>
      </c>
      <c r="D30" s="6" t="n"/>
      <c r="E30" s="6" t="n"/>
      <c r="F30" s="6" t="n"/>
      <c r="G30" s="6" t="n"/>
    </row>
    <row r="31">
      <c r="A31" s="5" t="inlineStr">
        <is>
          <t>T1039</t>
        </is>
      </c>
      <c r="B31" s="5" t="inlineStr">
        <is>
          <t>Collection</t>
        </is>
      </c>
      <c r="C31" s="5" t="inlineStr">
        <is>
          <t>Data from Network Shared Drive</t>
        </is>
      </c>
      <c r="D31" s="6" t="n"/>
      <c r="E31" s="6" t="n"/>
      <c r="F31" s="6" t="n"/>
      <c r="G31" s="6" t="n"/>
    </row>
    <row r="32">
      <c r="A32" s="5" t="inlineStr">
        <is>
          <t>T1041</t>
        </is>
      </c>
      <c r="B32" s="5" t="inlineStr">
        <is>
          <t>Exfiltration</t>
        </is>
      </c>
      <c r="C32" s="5" t="inlineStr">
        <is>
          <t>Exfiltration Over C2 Channel</t>
        </is>
      </c>
      <c r="D32" s="6" t="n"/>
      <c r="E32" s="6" t="n"/>
      <c r="F32" s="6" t="n"/>
      <c r="G32" s="6" t="n"/>
    </row>
    <row r="33">
      <c r="A33" s="5" t="inlineStr">
        <is>
          <t>T1567</t>
        </is>
      </c>
      <c r="B33" s="5" t="inlineStr">
        <is>
          <t>Exfiltration</t>
        </is>
      </c>
      <c r="C33" s="5" t="inlineStr">
        <is>
          <t>Exfiltration Over Web Service</t>
        </is>
      </c>
      <c r="D33" s="6" t="n"/>
      <c r="E33" s="6" t="n"/>
      <c r="F33" s="6" t="n"/>
      <c r="G33" s="6" t="n"/>
    </row>
    <row r="34">
      <c r="A34" s="5" t="inlineStr">
        <is>
          <t>T1486</t>
        </is>
      </c>
      <c r="B34" s="5" t="inlineStr">
        <is>
          <t>Impact</t>
        </is>
      </c>
      <c r="C34" s="5" t="inlineStr">
        <is>
          <t>Data Encrypted for Impact</t>
        </is>
      </c>
      <c r="D34" s="6" t="n"/>
      <c r="E34" s="6" t="n"/>
      <c r="F34" s="6" t="n"/>
      <c r="G34" s="6" t="n"/>
    </row>
    <row r="35">
      <c r="A35" s="5" t="inlineStr">
        <is>
          <t>T1489</t>
        </is>
      </c>
      <c r="B35" s="5" t="inlineStr">
        <is>
          <t>Impact</t>
        </is>
      </c>
      <c r="C35" s="5" t="inlineStr">
        <is>
          <t>Service Stop</t>
        </is>
      </c>
      <c r="D35" s="6" t="n"/>
      <c r="E35" s="6" t="n"/>
      <c r="F35" s="6" t="n"/>
      <c r="G35" s="6" t="n"/>
    </row>
    <row r="36">
      <c r="A36" s="5" t="inlineStr">
        <is>
          <t>T1490</t>
        </is>
      </c>
      <c r="B36" s="5" t="inlineStr">
        <is>
          <t>Impact</t>
        </is>
      </c>
      <c r="C36" s="5" t="inlineStr">
        <is>
          <t>Inhibit System Recovery</t>
        </is>
      </c>
      <c r="D36" s="6" t="n"/>
      <c r="E36" s="6" t="n"/>
      <c r="F36" s="6" t="n"/>
      <c r="G36" s="6" t="n"/>
    </row>
  </sheetData>
  <mergeCells count="1">
    <mergeCell ref="A1:G1"/>
  </mergeCells>
  <dataValidations count="2">
    <dataValidation sqref="D4:D36" showDropDown="0" showInputMessage="0" showErrorMessage="0" allowBlank="1" type="list">
      <formula1>"High,Medium,Low,N/A"</formula1>
    </dataValidation>
    <dataValidation sqref="E4:E36" showDropDown="0" showInputMessage="0" showErrorMessage="0" allowBlank="1" type="list">
      <formula1>"Yes,Partial,No"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5" customWidth="1" min="3" max="3"/>
    <col width="20" customWidth="1" min="4" max="4"/>
    <col width="15" customWidth="1" min="5" max="5"/>
    <col width="25" customWidth="1" min="6" max="6"/>
    <col width="15" customWidth="1" min="7" max="7"/>
    <col width="35" customWidth="1" min="8" max="8"/>
  </cols>
  <sheetData>
    <row r="1" ht="30" customHeight="1">
      <c r="A1" s="1" t="inlineStr">
        <is>
          <t>Threat Modelling - Organisational Threat Catalogue</t>
        </is>
      </c>
    </row>
    <row r="3">
      <c r="A3" s="1" t="inlineStr">
        <is>
          <t>Threat-ID</t>
        </is>
      </c>
      <c r="B3" s="1" t="inlineStr">
        <is>
          <t>Category</t>
        </is>
      </c>
      <c r="C3" s="1" t="inlineStr">
        <is>
          <t>ThreatActor</t>
        </is>
      </c>
      <c r="D3" s="1" t="inlineStr">
        <is>
          <t>Motivation</t>
        </is>
      </c>
      <c r="E3" s="1" t="inlineStr">
        <is>
          <t>Capability</t>
        </is>
      </c>
      <c r="F3" s="1" t="inlineStr">
        <is>
          <t>ATT&amp;CK_Ref</t>
        </is>
      </c>
      <c r="G3" s="1" t="inlineStr">
        <is>
          <t>Likelihood</t>
        </is>
      </c>
      <c r="H3" s="1" t="inlineStr">
        <is>
          <t>Countermeasures</t>
        </is>
      </c>
    </row>
    <row r="4">
      <c r="A4" s="5" t="inlineStr">
        <is>
          <t>THR-001</t>
        </is>
      </c>
      <c r="B4" s="5" t="inlineStr">
        <is>
          <t>Nation-State</t>
        </is>
      </c>
      <c r="C4" s="5" t="inlineStr">
        <is>
          <t>APT Groups</t>
        </is>
      </c>
      <c r="D4" s="5" t="inlineStr">
        <is>
          <t>Espionage</t>
        </is>
      </c>
      <c r="E4" s="5" t="inlineStr">
        <is>
          <t>Nation-State</t>
        </is>
      </c>
      <c r="F4" s="6" t="n"/>
      <c r="G4" s="6" t="n"/>
      <c r="H4" s="6" t="n"/>
    </row>
    <row r="5">
      <c r="A5" s="5" t="inlineStr">
        <is>
          <t>THR-002</t>
        </is>
      </c>
      <c r="B5" s="5" t="inlineStr">
        <is>
          <t>Nation-State</t>
        </is>
      </c>
      <c r="C5" s="5" t="inlineStr">
        <is>
          <t>State-Sponsored Hackers</t>
        </is>
      </c>
      <c r="D5" s="5" t="inlineStr">
        <is>
          <t>Disruption</t>
        </is>
      </c>
      <c r="E5" s="5" t="inlineStr">
        <is>
          <t>Nation-State</t>
        </is>
      </c>
      <c r="F5" s="6" t="n"/>
      <c r="G5" s="6" t="n"/>
      <c r="H5" s="6" t="n"/>
    </row>
    <row r="6">
      <c r="A6" s="5" t="inlineStr">
        <is>
          <t>THR-003</t>
        </is>
      </c>
      <c r="B6" s="5" t="inlineStr">
        <is>
          <t>Cybercriminal</t>
        </is>
      </c>
      <c r="C6" s="5" t="inlineStr">
        <is>
          <t>Ransomware Operators</t>
        </is>
      </c>
      <c r="D6" s="5" t="inlineStr">
        <is>
          <t>Financial</t>
        </is>
      </c>
      <c r="E6" s="5" t="inlineStr">
        <is>
          <t>High</t>
        </is>
      </c>
      <c r="F6" s="6" t="n"/>
      <c r="G6" s="6" t="n"/>
      <c r="H6" s="6" t="n"/>
    </row>
    <row r="7">
      <c r="A7" s="5" t="inlineStr">
        <is>
          <t>THR-004</t>
        </is>
      </c>
      <c r="B7" s="5" t="inlineStr">
        <is>
          <t>Cybercriminal</t>
        </is>
      </c>
      <c r="C7" s="5" t="inlineStr">
        <is>
          <t>Data Brokers</t>
        </is>
      </c>
      <c r="D7" s="5" t="inlineStr">
        <is>
          <t>Financial</t>
        </is>
      </c>
      <c r="E7" s="5" t="inlineStr">
        <is>
          <t>Moderate</t>
        </is>
      </c>
      <c r="F7" s="6" t="n"/>
      <c r="G7" s="6" t="n"/>
      <c r="H7" s="6" t="n"/>
    </row>
    <row r="8">
      <c r="A8" s="5" t="inlineStr">
        <is>
          <t>THR-005</t>
        </is>
      </c>
      <c r="B8" s="5" t="inlineStr">
        <is>
          <t>Cybercriminal</t>
        </is>
      </c>
      <c r="C8" s="5" t="inlineStr">
        <is>
          <t>Credential Thieves</t>
        </is>
      </c>
      <c r="D8" s="5" t="inlineStr">
        <is>
          <t>Financial</t>
        </is>
      </c>
      <c r="E8" s="5" t="inlineStr">
        <is>
          <t>Moderate</t>
        </is>
      </c>
      <c r="F8" s="6" t="n"/>
      <c r="G8" s="6" t="n"/>
      <c r="H8" s="6" t="n"/>
    </row>
    <row r="9">
      <c r="A9" s="5" t="inlineStr">
        <is>
          <t>THR-006</t>
        </is>
      </c>
      <c r="B9" s="5" t="inlineStr">
        <is>
          <t>Hacktivist</t>
        </is>
      </c>
      <c r="C9" s="5" t="inlineStr">
        <is>
          <t>Ideological Groups</t>
        </is>
      </c>
      <c r="D9" s="5" t="inlineStr">
        <is>
          <t>Ideology</t>
        </is>
      </c>
      <c r="E9" s="5" t="inlineStr">
        <is>
          <t>Moderate</t>
        </is>
      </c>
      <c r="F9" s="6" t="n"/>
      <c r="G9" s="6" t="n"/>
      <c r="H9" s="6" t="n"/>
    </row>
    <row r="10">
      <c r="A10" s="5" t="inlineStr">
        <is>
          <t>THR-007</t>
        </is>
      </c>
      <c r="B10" s="5" t="inlineStr">
        <is>
          <t>Hacktivist</t>
        </is>
      </c>
      <c r="C10" s="5" t="inlineStr">
        <is>
          <t>Environmental Activists</t>
        </is>
      </c>
      <c r="D10" s="5" t="inlineStr">
        <is>
          <t>Ideology</t>
        </is>
      </c>
      <c r="E10" s="5" t="inlineStr">
        <is>
          <t>Low</t>
        </is>
      </c>
      <c r="F10" s="6" t="n"/>
      <c r="G10" s="6" t="n"/>
      <c r="H10" s="6" t="n"/>
    </row>
    <row r="11">
      <c r="A11" s="5" t="inlineStr">
        <is>
          <t>THR-008</t>
        </is>
      </c>
      <c r="B11" s="5" t="inlineStr">
        <is>
          <t>Insider</t>
        </is>
      </c>
      <c r="C11" s="5" t="inlineStr">
        <is>
          <t>Malicious Employee</t>
        </is>
      </c>
      <c r="D11" s="5" t="inlineStr">
        <is>
          <t>Financial</t>
        </is>
      </c>
      <c r="E11" s="5" t="inlineStr">
        <is>
          <t>Moderate</t>
        </is>
      </c>
      <c r="F11" s="6" t="n"/>
      <c r="G11" s="6" t="n"/>
      <c r="H11" s="6" t="n"/>
    </row>
    <row r="12">
      <c r="A12" s="5" t="inlineStr">
        <is>
          <t>THR-009</t>
        </is>
      </c>
      <c r="B12" s="5" t="inlineStr">
        <is>
          <t>Insider</t>
        </is>
      </c>
      <c r="C12" s="5" t="inlineStr">
        <is>
          <t>Negligent Employee</t>
        </is>
      </c>
      <c r="D12" s="5" t="inlineStr">
        <is>
          <t>N/A</t>
        </is>
      </c>
      <c r="E12" s="5" t="inlineStr">
        <is>
          <t>Low</t>
        </is>
      </c>
      <c r="F12" s="6" t="n"/>
      <c r="G12" s="6" t="n"/>
      <c r="H12" s="6" t="n"/>
    </row>
    <row r="13">
      <c r="A13" s="5" t="inlineStr">
        <is>
          <t>THR-010</t>
        </is>
      </c>
      <c r="B13" s="5" t="inlineStr">
        <is>
          <t>Insider</t>
        </is>
      </c>
      <c r="C13" s="5" t="inlineStr">
        <is>
          <t>Departing Employee</t>
        </is>
      </c>
      <c r="D13" s="5" t="inlineStr">
        <is>
          <t>Revenge</t>
        </is>
      </c>
      <c r="E13" s="5" t="inlineStr">
        <is>
          <t>Moderate</t>
        </is>
      </c>
      <c r="F13" s="6" t="n"/>
      <c r="G13" s="6" t="n"/>
      <c r="H13" s="6" t="n"/>
    </row>
    <row r="14">
      <c r="A14" s="5" t="inlineStr">
        <is>
          <t>THR-011</t>
        </is>
      </c>
      <c r="B14" s="5" t="inlineStr">
        <is>
          <t>Competitor</t>
        </is>
      </c>
      <c r="C14" s="5" t="inlineStr">
        <is>
          <t>Corporate Espionage</t>
        </is>
      </c>
      <c r="D14" s="5" t="inlineStr">
        <is>
          <t>Espionage</t>
        </is>
      </c>
      <c r="E14" s="5" t="inlineStr">
        <is>
          <t>Moderate</t>
        </is>
      </c>
      <c r="F14" s="6" t="n"/>
      <c r="G14" s="6" t="n"/>
      <c r="H14" s="6" t="n"/>
    </row>
    <row r="15">
      <c r="A15" s="5" t="inlineStr">
        <is>
          <t>THR-012</t>
        </is>
      </c>
      <c r="B15" s="5" t="inlineStr">
        <is>
          <t>Competitor</t>
        </is>
      </c>
      <c r="C15" s="5" t="inlineStr">
        <is>
          <t>IP Theft</t>
        </is>
      </c>
      <c r="D15" s="5" t="inlineStr">
        <is>
          <t>Financial</t>
        </is>
      </c>
      <c r="E15" s="5" t="inlineStr">
        <is>
          <t>Moderate</t>
        </is>
      </c>
      <c r="F15" s="6" t="n"/>
      <c r="G15" s="6" t="n"/>
      <c r="H15" s="6" t="n"/>
    </row>
    <row r="16">
      <c r="A16" s="5" t="inlineStr">
        <is>
          <t>THR-013</t>
        </is>
      </c>
      <c r="B16" s="5" t="inlineStr">
        <is>
          <t>Script Kiddie</t>
        </is>
      </c>
      <c r="C16" s="5" t="inlineStr">
        <is>
          <t>Opportunistic Attacker</t>
        </is>
      </c>
      <c r="D16" s="5" t="inlineStr">
        <is>
          <t>Financial</t>
        </is>
      </c>
      <c r="E16" s="5" t="inlineStr">
        <is>
          <t>Low</t>
        </is>
      </c>
      <c r="F16" s="6" t="n"/>
      <c r="G16" s="6" t="n"/>
      <c r="H16" s="6" t="n"/>
    </row>
    <row r="17">
      <c r="A17" s="5" t="inlineStr">
        <is>
          <t>THR-014</t>
        </is>
      </c>
      <c r="B17" s="5" t="inlineStr">
        <is>
          <t>Supply Chain</t>
        </is>
      </c>
      <c r="C17" s="5" t="inlineStr">
        <is>
          <t>Compromised Vendor</t>
        </is>
      </c>
      <c r="D17" s="5" t="inlineStr">
        <is>
          <t>Financial</t>
        </is>
      </c>
      <c r="E17" s="5" t="inlineStr">
        <is>
          <t>Moderate</t>
        </is>
      </c>
      <c r="F17" s="6" t="n"/>
      <c r="G17" s="6" t="n"/>
      <c r="H17" s="6" t="n"/>
    </row>
    <row r="18">
      <c r="A18" s="5" t="inlineStr">
        <is>
          <t>THR-015</t>
        </is>
      </c>
      <c r="B18" s="5" t="inlineStr">
        <is>
          <t>Supply Chain</t>
        </is>
      </c>
      <c r="C18" s="5" t="inlineStr">
        <is>
          <t>Third-Party Breach</t>
        </is>
      </c>
      <c r="D18" s="5" t="inlineStr">
        <is>
          <t>Financial</t>
        </is>
      </c>
      <c r="E18" s="5" t="inlineStr">
        <is>
          <t>Moderate</t>
        </is>
      </c>
      <c r="F18" s="6" t="n"/>
      <c r="G18" s="6" t="n"/>
      <c r="H18" s="6" t="n"/>
    </row>
  </sheetData>
  <mergeCells count="1">
    <mergeCell ref="A1:H1"/>
  </mergeCells>
  <dataValidations count="3">
    <dataValidation sqref="D4:D18" showDropDown="0" showInputMessage="0" showErrorMessage="0" allowBlank="1" type="list">
      <formula1>"Financial,Espionage,Disruption,Ideology,Revenge"</formula1>
    </dataValidation>
    <dataValidation sqref="E4:E18" showDropDown="0" showInputMessage="0" showErrorMessage="0" allowBlank="1" type="list">
      <formula1>"Low,Moderate,High,Nation-State"</formula1>
    </dataValidation>
    <dataValidation sqref="G4:G18" showDropDown="0" showInputMessage="0" showErrorMessage="0" allowBlank="1" type="list">
      <formula1>"Rare,Unlikely,Possible,Likely,Almost Certain"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35" customWidth="1" min="3" max="3"/>
    <col width="10" customWidth="1" min="4" max="4"/>
    <col width="10" customWidth="1" min="5" max="5"/>
    <col width="25" customWidth="1" min="6" max="6"/>
    <col width="12" customWidth="1" min="7" max="7"/>
    <col width="30" customWidth="1" min="8" max="8"/>
  </cols>
  <sheetData>
    <row r="1" ht="30" customHeight="1">
      <c r="A1" s="1" t="inlineStr">
        <is>
          <t>Threat Modelling - Tools Assessment</t>
        </is>
      </c>
    </row>
    <row r="3">
      <c r="A3" s="1" t="inlineStr">
        <is>
          <t>Tool-ID</t>
        </is>
      </c>
      <c r="B3" s="1" t="inlineStr">
        <is>
          <t>Tool</t>
        </is>
      </c>
      <c r="C3" s="1" t="inlineStr">
        <is>
          <t>Purpose</t>
        </is>
      </c>
      <c r="D3" s="1" t="inlineStr">
        <is>
          <t>Licensed</t>
        </is>
      </c>
      <c r="E3" s="1" t="inlineStr">
        <is>
          <t>Users</t>
        </is>
      </c>
      <c r="F3" s="1" t="inlineStr">
        <is>
          <t>Integration</t>
        </is>
      </c>
      <c r="G3" s="1" t="inlineStr">
        <is>
          <t>Effectiveness</t>
        </is>
      </c>
      <c r="H3" s="1" t="inlineStr">
        <is>
          <t>Gaps</t>
        </is>
      </c>
    </row>
    <row r="4">
      <c r="A4" s="5" t="inlineStr">
        <is>
          <t>TOOL-001</t>
        </is>
      </c>
      <c r="B4" s="5" t="inlineStr">
        <is>
          <t>Microsoft Threat Modeling Tool</t>
        </is>
      </c>
      <c r="C4" s="5" t="inlineStr">
        <is>
          <t>DFD-based threat modelling</t>
        </is>
      </c>
      <c r="D4" s="6" t="n"/>
      <c r="E4" s="6" t="n"/>
      <c r="F4" s="6" t="n"/>
      <c r="G4" s="6" t="n"/>
      <c r="H4" s="6" t="n"/>
    </row>
    <row r="5">
      <c r="A5" s="5" t="inlineStr">
        <is>
          <t>TOOL-002</t>
        </is>
      </c>
      <c r="B5" s="5" t="inlineStr">
        <is>
          <t>OWASP Threat Dragon</t>
        </is>
      </c>
      <c r="C5" s="5" t="inlineStr">
        <is>
          <t>Open source threat modelling</t>
        </is>
      </c>
      <c r="D5" s="6" t="n"/>
      <c r="E5" s="6" t="n"/>
      <c r="F5" s="6" t="n"/>
      <c r="G5" s="6" t="n"/>
      <c r="H5" s="6" t="n"/>
    </row>
    <row r="6">
      <c r="A6" s="5" t="inlineStr">
        <is>
          <t>TOOL-003</t>
        </is>
      </c>
      <c r="B6" s="5" t="inlineStr">
        <is>
          <t>IriusRisk</t>
        </is>
      </c>
      <c r="C6" s="5" t="inlineStr">
        <is>
          <t>Enterprise threat modelling</t>
        </is>
      </c>
      <c r="D6" s="6" t="n"/>
      <c r="E6" s="6" t="n"/>
      <c r="F6" s="6" t="n"/>
      <c r="G6" s="6" t="n"/>
      <c r="H6" s="6" t="n"/>
    </row>
    <row r="7">
      <c r="A7" s="5" t="inlineStr">
        <is>
          <t>TOOL-004</t>
        </is>
      </c>
      <c r="B7" s="5" t="inlineStr">
        <is>
          <t>Threagile</t>
        </is>
      </c>
      <c r="C7" s="5" t="inlineStr">
        <is>
          <t>Threat model as code</t>
        </is>
      </c>
      <c r="D7" s="6" t="n"/>
      <c r="E7" s="6" t="n"/>
      <c r="F7" s="6" t="n"/>
      <c r="G7" s="6" t="n"/>
      <c r="H7" s="6" t="n"/>
    </row>
    <row r="8">
      <c r="A8" s="5" t="inlineStr">
        <is>
          <t>TOOL-005</t>
        </is>
      </c>
      <c r="B8" s="5" t="inlineStr">
        <is>
          <t>ThreatModeler</t>
        </is>
      </c>
      <c r="C8" s="5" t="inlineStr">
        <is>
          <t>Cloud-native threat modelling</t>
        </is>
      </c>
      <c r="D8" s="6" t="n"/>
      <c r="E8" s="6" t="n"/>
      <c r="F8" s="6" t="n"/>
      <c r="G8" s="6" t="n"/>
      <c r="H8" s="6" t="n"/>
    </row>
    <row r="9">
      <c r="A9" s="5" t="inlineStr">
        <is>
          <t>TOOL-006</t>
        </is>
      </c>
      <c r="B9" s="5" t="inlineStr">
        <is>
          <t>MITRE ATT&amp;CK Navigator</t>
        </is>
      </c>
      <c r="C9" s="5" t="inlineStr">
        <is>
          <t>Technique coverage mapping</t>
        </is>
      </c>
      <c r="D9" s="6" t="n"/>
      <c r="E9" s="6" t="n"/>
      <c r="F9" s="6" t="n"/>
      <c r="G9" s="6" t="n"/>
      <c r="H9" s="6" t="n"/>
    </row>
    <row r="10">
      <c r="A10" s="5" t="inlineStr">
        <is>
          <t>TOOL-007</t>
        </is>
      </c>
      <c r="B10" s="5" t="inlineStr">
        <is>
          <t>Draw.io / Lucidchart</t>
        </is>
      </c>
      <c r="C10" s="5" t="inlineStr">
        <is>
          <t>Architecture diagramming</t>
        </is>
      </c>
      <c r="D10" s="6" t="n"/>
      <c r="E10" s="6" t="n"/>
      <c r="F10" s="6" t="n"/>
      <c r="G10" s="6" t="n"/>
      <c r="H10" s="6" t="n"/>
    </row>
    <row r="11">
      <c r="A11" s="5" t="inlineStr">
        <is>
          <t>TOOL-008</t>
        </is>
      </c>
      <c r="B11" s="5" t="inlineStr">
        <is>
          <t>Custom Internal Tool</t>
        </is>
      </c>
      <c r="C11" s="5" t="inlineStr">
        <is>
          <t>Organisation-specific tool</t>
        </is>
      </c>
      <c r="D11" s="6" t="n"/>
      <c r="E11" s="6" t="n"/>
      <c r="F11" s="6" t="n"/>
      <c r="G11" s="6" t="n"/>
      <c r="H11" s="6" t="n"/>
    </row>
  </sheetData>
  <mergeCells count="1">
    <mergeCell ref="A1:H1"/>
  </mergeCells>
  <dataValidations count="2">
    <dataValidation sqref="D4:D11" showDropDown="0" showInputMessage="0" showErrorMessage="0" allowBlank="1" type="list">
      <formula1>"Yes,No,OSS"</formula1>
    </dataValidation>
    <dataValidation sqref="G4:G11" showDropDown="0" showInputMessage="0" showErrorMessage="0" allowBlank="1" type="list">
      <formula1>"1,2,3,4,5"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12" customWidth="1" min="4" max="4"/>
    <col width="10" customWidth="1" min="5" max="5"/>
    <col width="10" customWidth="1" min="6" max="6"/>
    <col width="10" customWidth="1" min="7" max="7"/>
    <col width="25" customWidth="1" min="8" max="8"/>
  </cols>
  <sheetData>
    <row r="1" ht="30" customHeight="1">
      <c r="A1" s="1" t="inlineStr">
        <is>
          <t>Threat Modelling - Team Competency Assessment</t>
        </is>
      </c>
    </row>
    <row r="3">
      <c r="A3" s="1" t="inlineStr">
        <is>
          <t>Comp-ID</t>
        </is>
      </c>
      <c r="B3" s="1" t="inlineStr">
        <is>
          <t>Role</t>
        </is>
      </c>
      <c r="C3" s="1" t="inlineStr">
        <is>
          <t>Competency</t>
        </is>
      </c>
      <c r="D3" s="1" t="inlineStr">
        <is>
          <t>Required</t>
        </is>
      </c>
      <c r="E3" s="1" t="inlineStr">
        <is>
          <t>Training</t>
        </is>
      </c>
      <c r="F3" s="1" t="inlineStr">
        <is>
          <t>Certified</t>
        </is>
      </c>
      <c r="G3" s="1" t="inlineStr">
        <is>
          <t>Target</t>
        </is>
      </c>
      <c r="H3" s="1" t="inlineStr">
        <is>
          <t>Gap</t>
        </is>
      </c>
    </row>
    <row r="4">
      <c r="A4" s="5" t="inlineStr">
        <is>
          <t>COMP-001</t>
        </is>
      </c>
      <c r="B4" s="5" t="inlineStr">
        <is>
          <t>Security Architect</t>
        </is>
      </c>
      <c r="C4" s="5" t="inlineStr">
        <is>
          <t>STRIDE Methodology</t>
        </is>
      </c>
      <c r="D4" s="6" t="n"/>
      <c r="E4" s="6" t="n"/>
      <c r="F4" s="6" t="n"/>
      <c r="G4" s="6" t="n"/>
      <c r="H4" s="6" t="n"/>
    </row>
    <row r="5">
      <c r="A5" s="5" t="inlineStr">
        <is>
          <t>COMP-002</t>
        </is>
      </c>
      <c r="B5" s="5" t="inlineStr">
        <is>
          <t>Security Architect</t>
        </is>
      </c>
      <c r="C5" s="5" t="inlineStr">
        <is>
          <t>PASTA Framework</t>
        </is>
      </c>
      <c r="D5" s="6" t="n"/>
      <c r="E5" s="6" t="n"/>
      <c r="F5" s="6" t="n"/>
      <c r="G5" s="6" t="n"/>
      <c r="H5" s="6" t="n"/>
    </row>
    <row r="6">
      <c r="A6" s="5" t="inlineStr">
        <is>
          <t>COMP-003</t>
        </is>
      </c>
      <c r="B6" s="5" t="inlineStr">
        <is>
          <t>Security Architect</t>
        </is>
      </c>
      <c r="C6" s="5" t="inlineStr">
        <is>
          <t>Attack Tree Analysis</t>
        </is>
      </c>
      <c r="D6" s="6" t="n"/>
      <c r="E6" s="6" t="n"/>
      <c r="F6" s="6" t="n"/>
      <c r="G6" s="6" t="n"/>
      <c r="H6" s="6" t="n"/>
    </row>
    <row r="7">
      <c r="A7" s="5" t="inlineStr">
        <is>
          <t>COMP-004</t>
        </is>
      </c>
      <c r="B7" s="5" t="inlineStr">
        <is>
          <t>Security Architect</t>
        </is>
      </c>
      <c r="C7" s="5" t="inlineStr">
        <is>
          <t>MITRE ATT&amp;CK Framework</t>
        </is>
      </c>
      <c r="D7" s="6" t="n"/>
      <c r="E7" s="6" t="n"/>
      <c r="F7" s="6" t="n"/>
      <c r="G7" s="6" t="n"/>
      <c r="H7" s="6" t="n"/>
    </row>
    <row r="8">
      <c r="A8" s="5" t="inlineStr">
        <is>
          <t>COMP-005</t>
        </is>
      </c>
      <c r="B8" s="5" t="inlineStr">
        <is>
          <t>Security Architect</t>
        </is>
      </c>
      <c r="C8" s="5" t="inlineStr">
        <is>
          <t>Data Flow Diagramming</t>
        </is>
      </c>
      <c r="D8" s="6" t="n"/>
      <c r="E8" s="6" t="n"/>
      <c r="F8" s="6" t="n"/>
      <c r="G8" s="6" t="n"/>
      <c r="H8" s="6" t="n"/>
    </row>
    <row r="9">
      <c r="A9" s="5" t="inlineStr">
        <is>
          <t>COMP-006</t>
        </is>
      </c>
      <c r="B9" s="5" t="inlineStr">
        <is>
          <t>Security Architect</t>
        </is>
      </c>
      <c r="C9" s="5" t="inlineStr">
        <is>
          <t>Risk Assessment</t>
        </is>
      </c>
      <c r="D9" s="6" t="n"/>
      <c r="E9" s="6" t="n"/>
      <c r="F9" s="6" t="n"/>
      <c r="G9" s="6" t="n"/>
      <c r="H9" s="6" t="n"/>
    </row>
    <row r="10">
      <c r="A10" s="5" t="inlineStr">
        <is>
          <t>COMP-007</t>
        </is>
      </c>
      <c r="B10" s="5" t="inlineStr">
        <is>
          <t>Senior Developer</t>
        </is>
      </c>
      <c r="C10" s="5" t="inlineStr">
        <is>
          <t>STRIDE Basics</t>
        </is>
      </c>
      <c r="D10" s="6" t="n"/>
      <c r="E10" s="6" t="n"/>
      <c r="F10" s="6" t="n"/>
      <c r="G10" s="6" t="n"/>
      <c r="H10" s="6" t="n"/>
    </row>
    <row r="11">
      <c r="A11" s="5" t="inlineStr">
        <is>
          <t>COMP-008</t>
        </is>
      </c>
      <c r="B11" s="5" t="inlineStr">
        <is>
          <t>Senior Developer</t>
        </is>
      </c>
      <c r="C11" s="5" t="inlineStr">
        <is>
          <t>Secure Design Principles</t>
        </is>
      </c>
      <c r="D11" s="6" t="n"/>
      <c r="E11" s="6" t="n"/>
      <c r="F11" s="6" t="n"/>
      <c r="G11" s="6" t="n"/>
      <c r="H11" s="6" t="n"/>
    </row>
    <row r="12">
      <c r="A12" s="5" t="inlineStr">
        <is>
          <t>COMP-009</t>
        </is>
      </c>
      <c r="B12" s="5" t="inlineStr">
        <is>
          <t>SOC Analyst</t>
        </is>
      </c>
      <c r="C12" s="5" t="inlineStr">
        <is>
          <t>MITRE ATT&amp;CK Navigation</t>
        </is>
      </c>
      <c r="D12" s="6" t="n"/>
      <c r="E12" s="6" t="n"/>
      <c r="F12" s="6" t="n"/>
      <c r="G12" s="6" t="n"/>
      <c r="H12" s="6" t="n"/>
    </row>
    <row r="13">
      <c r="A13" s="5" t="inlineStr">
        <is>
          <t>COMP-010</t>
        </is>
      </c>
      <c r="B13" s="5" t="inlineStr">
        <is>
          <t>SOC Analyst</t>
        </is>
      </c>
      <c r="C13" s="5" t="inlineStr">
        <is>
          <t>Threat Detection Mapping</t>
        </is>
      </c>
      <c r="D13" s="6" t="n"/>
      <c r="E13" s="6" t="n"/>
      <c r="F13" s="6" t="n"/>
      <c r="G13" s="6" t="n"/>
      <c r="H13" s="6" t="n"/>
    </row>
    <row r="14">
      <c r="A14" s="5" t="inlineStr">
        <is>
          <t>COMP-011</t>
        </is>
      </c>
      <c r="B14" s="5" t="inlineStr">
        <is>
          <t>Red Team</t>
        </is>
      </c>
      <c r="C14" s="5" t="inlineStr">
        <is>
          <t>Attack Path Analysis</t>
        </is>
      </c>
      <c r="D14" s="6" t="n"/>
      <c r="E14" s="6" t="n"/>
      <c r="F14" s="6" t="n"/>
      <c r="G14" s="6" t="n"/>
      <c r="H14" s="6" t="n"/>
    </row>
    <row r="15">
      <c r="A15" s="5" t="inlineStr">
        <is>
          <t>COMP-012</t>
        </is>
      </c>
      <c r="B15" s="5" t="inlineStr">
        <is>
          <t>Red Team</t>
        </is>
      </c>
      <c r="C15" s="5" t="inlineStr">
        <is>
          <t>MITRE ATT&amp;CK Adversary Emulation</t>
        </is>
      </c>
      <c r="D15" s="6" t="n"/>
      <c r="E15" s="6" t="n"/>
      <c r="F15" s="6" t="n"/>
      <c r="G15" s="6" t="n"/>
      <c r="H15" s="6" t="n"/>
    </row>
  </sheetData>
  <mergeCells count="1">
    <mergeCell ref="A1:H1"/>
  </mergeCells>
  <dataValidations count="2">
    <dataValidation sqref="D4:D15" showDropDown="0" showInputMessage="0" showErrorMessage="0" allowBlank="1" type="list">
      <formula1>"Mandatory,Recommended"</formula1>
    </dataValidation>
    <dataValidation sqref="E4:E15" showDropDown="0" showInputMessage="0" showErrorMessage="0" allowBlank="1" type="list">
      <formula1>"Yes,Partial,No"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2" customWidth="1" min="3" max="3"/>
    <col width="20" customWidth="1" min="4" max="4"/>
    <col width="15" customWidth="1" min="5" max="5"/>
    <col width="12" customWidth="1" min="6" max="6"/>
    <col width="12" customWidth="1" min="7" max="7"/>
    <col width="12" customWidth="1" min="8" max="8"/>
    <col width="10" customWidth="1" min="9" max="9"/>
    <col width="10" customWidth="1" min="10" max="10"/>
  </cols>
  <sheetData>
    <row r="1" ht="30" customHeight="1">
      <c r="A1" s="1" t="inlineStr">
        <is>
          <t>Threat Modelling - Sample Quality Review</t>
        </is>
      </c>
    </row>
    <row r="3">
      <c r="A3" s="1" t="inlineStr">
        <is>
          <t>Sample-ID</t>
        </is>
      </c>
      <c r="B3" s="1" t="inlineStr">
        <is>
          <t>System</t>
        </is>
      </c>
      <c r="C3" s="1" t="inlineStr">
        <is>
          <t>Date</t>
        </is>
      </c>
      <c r="D3" s="1" t="inlineStr">
        <is>
          <t>Author</t>
        </is>
      </c>
      <c r="E3" s="1" t="inlineStr">
        <is>
          <t>Methodology</t>
        </is>
      </c>
      <c r="F3" s="1" t="inlineStr">
        <is>
          <t>Completeness</t>
        </is>
      </c>
      <c r="G3" s="1" t="inlineStr">
        <is>
          <t>Quality</t>
        </is>
      </c>
      <c r="H3" s="1" t="inlineStr">
        <is>
          <t>ATT&amp;CK_Mapped</t>
        </is>
      </c>
      <c r="I3" s="1" t="inlineStr">
        <is>
          <t>Findings</t>
        </is>
      </c>
      <c r="J3" s="1" t="inlineStr">
        <is>
          <t>Mitigated</t>
        </is>
      </c>
    </row>
    <row r="4">
      <c r="A4" s="5" t="inlineStr">
        <is>
          <t>SAMP-001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</row>
    <row r="5">
      <c r="A5" s="5" t="inlineStr">
        <is>
          <t>SAMP-002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</row>
    <row r="6">
      <c r="A6" s="5" t="inlineStr">
        <is>
          <t>SAMP-003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</row>
    <row r="7">
      <c r="A7" s="5" t="inlineStr">
        <is>
          <t>SAMP-004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</row>
    <row r="8">
      <c r="A8" s="5" t="inlineStr">
        <is>
          <t>SAMP-005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>
      <c r="A9" s="5" t="inlineStr">
        <is>
          <t>SAMP-006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>
      <c r="A10" s="5" t="inlineStr">
        <is>
          <t>SAMP-007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>
      <c r="A11" s="5" t="inlineStr">
        <is>
          <t>SAMP-008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>
      <c r="A12" s="5" t="inlineStr">
        <is>
          <t>SAMP-009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>
      <c r="A13" s="5" t="inlineStr">
        <is>
          <t>SAMP-010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</sheetData>
  <mergeCells count="1">
    <mergeCell ref="A1:J1"/>
  </mergeCells>
  <dataValidations count="3">
    <dataValidation sqref="E4:E13" showDropDown="0" showInputMessage="0" showErrorMessage="0" allowBlank="1" type="list">
      <formula1>"STRIDE,PASTA,OCTAVE,Other"</formula1>
    </dataValidation>
    <dataValidation sqref="F4:G13" showDropDown="0" showInputMessage="0" showErrorMessage="0" allowBlank="1" type="list">
      <formula1>"1,2,3,4,5"</formula1>
    </dataValidation>
    <dataValidation sqref="H4:H13" showDropDown="0" showInputMessage="0" showErrorMessage="0" allowBlank="1" type="list">
      <formula1>"Yes,Partial,No"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20" customWidth="1" min="3" max="3"/>
    <col width="12" customWidth="1" min="4" max="4"/>
    <col width="35" customWidth="1" min="5" max="5"/>
    <col width="10" customWidth="1" min="6" max="6"/>
    <col width="25" customWidth="1" min="7" max="7"/>
  </cols>
  <sheetData>
    <row r="1" ht="30" customHeight="1">
      <c r="A1" s="1" t="inlineStr">
        <is>
          <t>Threat Modelling - Policy Compliance Scoring</t>
        </is>
      </c>
    </row>
    <row r="3">
      <c r="A3" s="1" t="inlineStr">
        <is>
          <t>Comp-ID</t>
        </is>
      </c>
      <c r="B3" s="1" t="inlineStr">
        <is>
          <t>Requirement</t>
        </is>
      </c>
      <c r="C3" s="1" t="inlineStr">
        <is>
          <t>Source</t>
        </is>
      </c>
      <c r="D3" s="1" t="inlineStr">
        <is>
          <t>Compliant</t>
        </is>
      </c>
      <c r="E3" s="1" t="inlineStr">
        <is>
          <t>Evidence</t>
        </is>
      </c>
      <c r="F3" s="1" t="inlineStr">
        <is>
          <t>Score</t>
        </is>
      </c>
      <c r="G3" s="1" t="inlineStr">
        <is>
          <t>Notes</t>
        </is>
      </c>
    </row>
    <row r="4">
      <c r="A4" s="5" t="inlineStr">
        <is>
          <t>COMP-001</t>
        </is>
      </c>
      <c r="B4" s="5" t="inlineStr">
        <is>
          <t>Threat modelling methodology adopted</t>
        </is>
      </c>
      <c r="C4" s="5" t="inlineStr">
        <is>
          <t>POL-A.8.27 §2.2.1</t>
        </is>
      </c>
      <c r="D4" s="6" t="n"/>
      <c r="E4" s="6" t="n"/>
      <c r="F4" s="7">
        <f>IF(D4="Yes",100,IF(D4="Partial",50,0))</f>
        <v/>
      </c>
      <c r="G4" s="6" t="n"/>
    </row>
    <row r="5">
      <c r="A5" s="5" t="inlineStr">
        <is>
          <t>COMP-002</t>
        </is>
      </c>
      <c r="B5" s="5" t="inlineStr">
        <is>
          <t>STRIDE or equivalent methodology used</t>
        </is>
      </c>
      <c r="C5" s="5" t="inlineStr">
        <is>
          <t>POL-A.8.27 §2.2.1</t>
        </is>
      </c>
      <c r="D5" s="6" t="n"/>
      <c r="E5" s="6" t="n"/>
      <c r="F5" s="7">
        <f>IF(D5="Yes",100,IF(D5="Partial",50,0))</f>
        <v/>
      </c>
      <c r="G5" s="6" t="n"/>
    </row>
    <row r="6">
      <c r="A6" s="5" t="inlineStr">
        <is>
          <t>COMP-003</t>
        </is>
      </c>
      <c r="B6" s="5" t="inlineStr">
        <is>
          <t>Threat models created for new systems</t>
        </is>
      </c>
      <c r="C6" s="5" t="inlineStr">
        <is>
          <t>POL-A.8.27 §2.2.1</t>
        </is>
      </c>
      <c r="D6" s="6" t="n"/>
      <c r="E6" s="6" t="n"/>
      <c r="F6" s="7">
        <f>IF(D6="Yes",100,IF(D6="Partial",50,0))</f>
        <v/>
      </c>
      <c r="G6" s="6" t="n"/>
    </row>
    <row r="7">
      <c r="A7" s="5" t="inlineStr">
        <is>
          <t>COMP-004</t>
        </is>
      </c>
      <c r="B7" s="5" t="inlineStr">
        <is>
          <t>Threat models updated for major changes</t>
        </is>
      </c>
      <c r="C7" s="5" t="inlineStr">
        <is>
          <t>POL-A.8.27 §2.2.1</t>
        </is>
      </c>
      <c r="D7" s="6" t="n"/>
      <c r="E7" s="6" t="n"/>
      <c r="F7" s="7">
        <f>IF(D7="Yes",100,IF(D7="Partial",50,0))</f>
        <v/>
      </c>
      <c r="G7" s="6" t="n"/>
    </row>
    <row r="8">
      <c r="A8" s="5" t="inlineStr">
        <is>
          <t>COMP-005</t>
        </is>
      </c>
      <c r="B8" s="5" t="inlineStr">
        <is>
          <t>MITRE ATT&amp;CK integrated into threat analysis</t>
        </is>
      </c>
      <c r="C8" s="5" t="inlineStr">
        <is>
          <t>POL-A.8.27 §2.2.1</t>
        </is>
      </c>
      <c r="D8" s="6" t="n"/>
      <c r="E8" s="6" t="n"/>
      <c r="F8" s="7">
        <f>IF(D8="Yes",100,IF(D8="Partial",50,0))</f>
        <v/>
      </c>
      <c r="G8" s="6" t="n"/>
    </row>
    <row r="9">
      <c r="A9" s="5" t="inlineStr">
        <is>
          <t>COMP-006</t>
        </is>
      </c>
      <c r="B9" s="5" t="inlineStr">
        <is>
          <t>Threat model documentation standards defined</t>
        </is>
      </c>
      <c r="C9" s="5" t="inlineStr">
        <is>
          <t>POL-A.8.27 §2.2.1</t>
        </is>
      </c>
      <c r="D9" s="6" t="n"/>
      <c r="E9" s="6" t="n"/>
      <c r="F9" s="7">
        <f>IF(D9="Yes",100,IF(D9="Partial",50,0))</f>
        <v/>
      </c>
      <c r="G9" s="6" t="n"/>
    </row>
    <row r="10">
      <c r="A10" s="5" t="inlineStr">
        <is>
          <t>COMP-007</t>
        </is>
      </c>
      <c r="B10" s="5" t="inlineStr">
        <is>
          <t>Threat model review process established</t>
        </is>
      </c>
      <c r="C10" s="5" t="inlineStr">
        <is>
          <t>POL-A.8.27 §2.2.1</t>
        </is>
      </c>
      <c r="D10" s="6" t="n"/>
      <c r="E10" s="6" t="n"/>
      <c r="F10" s="7">
        <f>IF(D10="Yes",100,IF(D10="Partial",50,0))</f>
        <v/>
      </c>
      <c r="G10" s="6" t="n"/>
    </row>
    <row r="11">
      <c r="A11" s="5" t="inlineStr">
        <is>
          <t>COMP-008</t>
        </is>
      </c>
      <c r="B11" s="5" t="inlineStr">
        <is>
          <t>Threat modelling training available</t>
        </is>
      </c>
      <c r="C11" s="5" t="inlineStr">
        <is>
          <t>POL-A.8.27 §4</t>
        </is>
      </c>
      <c r="D11" s="6" t="n"/>
      <c r="E11" s="6" t="n"/>
      <c r="F11" s="7">
        <f>IF(D11="Yes",100,IF(D11="Partial",50,0))</f>
        <v/>
      </c>
      <c r="G11" s="6" t="n"/>
    </row>
    <row r="12">
      <c r="A12" s="5" t="inlineStr">
        <is>
          <t>COMP-009</t>
        </is>
      </c>
      <c r="B12" s="5" t="inlineStr">
        <is>
          <t>Threat modelling tools provided</t>
        </is>
      </c>
      <c r="C12" s="5" t="inlineStr">
        <is>
          <t>POL-A.8.27 §4</t>
        </is>
      </c>
      <c r="D12" s="6" t="n"/>
      <c r="E12" s="6" t="n"/>
      <c r="F12" s="7">
        <f>IF(D12="Yes",100,IF(D12="Partial",50,0))</f>
        <v/>
      </c>
      <c r="G12" s="6" t="n"/>
    </row>
    <row r="13">
      <c r="A13" s="5" t="inlineStr">
        <is>
          <t>COMP-010</t>
        </is>
      </c>
      <c r="B13" s="5" t="inlineStr">
        <is>
          <t>Organisational threat catalogue maintained</t>
        </is>
      </c>
      <c r="C13" s="5" t="inlineStr">
        <is>
          <t>POL-A.8.27 §2.1</t>
        </is>
      </c>
      <c r="D13" s="6" t="n"/>
      <c r="E13" s="6" t="n"/>
      <c r="F13" s="7">
        <f>IF(D13="Yes",100,IF(D13="Partial",50,0))</f>
        <v/>
      </c>
      <c r="G13" s="6" t="n"/>
    </row>
    <row r="14">
      <c r="A14" s="5" t="inlineStr">
        <is>
          <t>COMP-011</t>
        </is>
      </c>
      <c r="B14" s="5" t="inlineStr">
        <is>
          <t>Threat model findings tracked</t>
        </is>
      </c>
      <c r="C14" s="5" t="inlineStr">
        <is>
          <t>POL-A.8.27 §2.2.1</t>
        </is>
      </c>
      <c r="D14" s="6" t="n"/>
      <c r="E14" s="6" t="n"/>
      <c r="F14" s="7">
        <f>IF(D14="Yes",100,IF(D14="Partial",50,0))</f>
        <v/>
      </c>
      <c r="G14" s="6" t="n"/>
    </row>
    <row r="15">
      <c r="A15" s="5" t="inlineStr">
        <is>
          <t>COMP-012</t>
        </is>
      </c>
      <c r="B15" s="5" t="inlineStr">
        <is>
          <t>Countermeasures mapped to threats</t>
        </is>
      </c>
      <c r="C15" s="5" t="inlineStr">
        <is>
          <t>POL-A.8.27 §2.2.1</t>
        </is>
      </c>
      <c r="D15" s="6" t="n"/>
      <c r="E15" s="6" t="n"/>
      <c r="F15" s="7">
        <f>IF(D15="Yes",100,IF(D15="Partial",50,0))</f>
        <v/>
      </c>
      <c r="G15" s="6" t="n"/>
    </row>
    <row r="16">
      <c r="A16" s="5" t="inlineStr">
        <is>
          <t>COMP-013</t>
        </is>
      </c>
      <c r="B16" s="5" t="inlineStr">
        <is>
          <t>Threat model quality reviews conducted</t>
        </is>
      </c>
      <c r="C16" s="5" t="inlineStr">
        <is>
          <t>POL-A.8.27 §4</t>
        </is>
      </c>
      <c r="D16" s="6" t="n"/>
      <c r="E16" s="6" t="n"/>
      <c r="F16" s="7">
        <f>IF(D16="Yes",100,IF(D16="Partial",50,0))</f>
        <v/>
      </c>
      <c r="G16" s="6" t="n"/>
    </row>
    <row r="17">
      <c r="A17" s="5" t="inlineStr">
        <is>
          <t>COMP-014</t>
        </is>
      </c>
      <c r="B17" s="5" t="inlineStr">
        <is>
          <t>ATT&amp;CK coverage measured</t>
        </is>
      </c>
      <c r="C17" s="5" t="inlineStr">
        <is>
          <t>POL-A.8.27 §4</t>
        </is>
      </c>
      <c r="D17" s="6" t="n"/>
      <c r="E17" s="6" t="n"/>
      <c r="F17" s="7">
        <f>IF(D17="Yes",100,IF(D17="Partial",50,0))</f>
        <v/>
      </c>
      <c r="G17" s="6" t="n"/>
    </row>
    <row r="18">
      <c r="A18" s="5" t="inlineStr">
        <is>
          <t>COMP-015</t>
        </is>
      </c>
      <c r="B18" s="5" t="inlineStr">
        <is>
          <t>Threat modelling effectiveness tracked</t>
        </is>
      </c>
      <c r="C18" s="5" t="inlineStr">
        <is>
          <t>POL-A.8.27 §4</t>
        </is>
      </c>
      <c r="D18" s="6" t="n"/>
      <c r="E18" s="6" t="n"/>
      <c r="F18" s="7">
        <f>IF(D18="Yes",100,IF(D18="Partial",50,0))</f>
        <v/>
      </c>
      <c r="G18" s="6" t="n"/>
    </row>
    <row r="20">
      <c r="E20" s="2" t="inlineStr">
        <is>
          <t>Overall Compliance Score:</t>
        </is>
      </c>
      <c r="F20" s="7">
        <f>AVERAGE(F4:F18)</f>
        <v/>
      </c>
    </row>
  </sheetData>
  <mergeCells count="1">
    <mergeCell ref="A1:G1"/>
  </mergeCells>
  <dataValidations count="1">
    <dataValidation sqref="D4:D18" showDropDown="0" showInputMessage="0" showErrorMessage="0" allowBlank="1" type="list">
      <formula1>"Yes,Partial,No"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40" customWidth="1" min="3" max="3"/>
    <col width="10" customWidth="1" min="4" max="4"/>
    <col width="40" customWidth="1" min="5" max="5"/>
    <col width="20" customWidth="1" min="6" max="6"/>
    <col width="12" customWidth="1" min="7" max="7"/>
    <col width="12" customWidth="1" min="8" max="8"/>
    <col width="12" customWidth="1" min="9" max="9"/>
    <col width="25" customWidth="1" min="10" max="10"/>
  </cols>
  <sheetData>
    <row r="1" ht="30" customHeight="1">
      <c r="A1" s="1" t="inlineStr">
        <is>
          <t>Threat Modelling - Gap Register</t>
        </is>
      </c>
    </row>
    <row r="3">
      <c r="A3" s="1" t="inlineStr">
        <is>
          <t>Gap-ID</t>
        </is>
      </c>
      <c r="B3" s="1" t="inlineStr">
        <is>
          <t>Source</t>
        </is>
      </c>
      <c r="C3" s="1" t="inlineStr">
        <is>
          <t>Description</t>
        </is>
      </c>
      <c r="D3" s="1" t="inlineStr">
        <is>
          <t>Risk</t>
        </is>
      </c>
      <c r="E3" s="1" t="inlineStr">
        <is>
          <t>Remediation</t>
        </is>
      </c>
      <c r="F3" s="1" t="inlineStr">
        <is>
          <t>Owner</t>
        </is>
      </c>
      <c r="G3" s="1" t="inlineStr">
        <is>
          <t>Due Date</t>
        </is>
      </c>
      <c r="H3" s="1" t="inlineStr">
        <is>
          <t>Status</t>
        </is>
      </c>
      <c r="I3" s="1" t="inlineStr">
        <is>
          <t>Closure Date</t>
        </is>
      </c>
      <c r="J3" s="1" t="inlineStr">
        <is>
          <t>Notes</t>
        </is>
      </c>
    </row>
    <row r="4">
      <c r="A4" s="5" t="inlineStr">
        <is>
          <t>GAP-001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</row>
    <row r="5">
      <c r="A5" s="5" t="inlineStr">
        <is>
          <t>GAP-002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</row>
    <row r="6">
      <c r="A6" s="5" t="inlineStr">
        <is>
          <t>GAP-003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</row>
    <row r="7">
      <c r="A7" s="5" t="inlineStr">
        <is>
          <t>GAP-004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</row>
    <row r="8">
      <c r="A8" s="5" t="inlineStr">
        <is>
          <t>GAP-005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>
      <c r="A9" s="5" t="inlineStr">
        <is>
          <t>GAP-006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>
      <c r="A10" s="5" t="inlineStr">
        <is>
          <t>GAP-007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>
      <c r="A11" s="5" t="inlineStr">
        <is>
          <t>GAP-008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>
      <c r="A12" s="5" t="inlineStr">
        <is>
          <t>GAP-009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>
      <c r="A13" s="5" t="inlineStr">
        <is>
          <t>GAP-010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>
      <c r="A14" s="5" t="inlineStr">
        <is>
          <t>GAP-011</t>
        </is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</row>
    <row r="15">
      <c r="A15" s="5" t="inlineStr">
        <is>
          <t>GAP-012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>
      <c r="A16" s="5" t="inlineStr">
        <is>
          <t>GAP-013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>
      <c r="A17" s="5" t="inlineStr">
        <is>
          <t>GAP-014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</row>
    <row r="18">
      <c r="A18" s="5" t="inlineStr">
        <is>
          <t>GAP-015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</row>
    <row r="19">
      <c r="A19" s="5" t="inlineStr">
        <is>
          <t>GAP-016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</row>
    <row r="20">
      <c r="A20" s="5" t="inlineStr">
        <is>
          <t>GAP-017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>
      <c r="A21" s="5" t="inlineStr">
        <is>
          <t>GAP-018</t>
        </is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</row>
    <row r="22">
      <c r="A22" s="5" t="inlineStr">
        <is>
          <t>GAP-019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</row>
    <row r="23">
      <c r="A23" s="5" t="inlineStr">
        <is>
          <t>GAP-020</t>
        </is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</row>
  </sheetData>
  <mergeCells count="1">
    <mergeCell ref="A1:J1"/>
  </mergeCells>
  <dataValidations count="2">
    <dataValidation sqref="D4:D23" showDropDown="0" showInputMessage="0" showErrorMessage="0" allowBlank="1" type="list">
      <formula1>"High,Medium,Low"</formula1>
    </dataValidation>
    <dataValidation sqref="H4:H23" showDropDown="0" showInputMessage="0" showErrorMessage="0" allowBlank="1" type="list">
      <formula1>"Open,In Progress,Closed"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 ht="30" customHeight="1">
      <c r="A1" s="1" t="inlineStr">
        <is>
          <t>Threat Modelling - Assessment Dashboard</t>
        </is>
      </c>
    </row>
    <row r="3">
      <c r="A3" s="2" t="inlineStr">
        <is>
          <t>Assessment Summary</t>
        </is>
      </c>
      <c r="B3" s="3" t="n"/>
      <c r="C3" s="3" t="n"/>
      <c r="D3" s="3" t="n"/>
      <c r="E3" s="3" t="n"/>
      <c r="F3" s="4" t="n"/>
    </row>
    <row r="4">
      <c r="A4" s="5" t="inlineStr">
        <is>
          <t>Assessment Date</t>
        </is>
      </c>
      <c r="B4" s="6" t="inlineStr">
        <is>
          <t>10.02.2026</t>
        </is>
      </c>
    </row>
    <row r="5">
      <c r="A5" s="5" t="inlineStr">
        <is>
          <t>Organisation</t>
        </is>
      </c>
      <c r="B5" s="6" t="inlineStr">
        <is>
          <t>[Organisation]</t>
        </is>
      </c>
    </row>
    <row r="6">
      <c r="A6" s="5" t="inlineStr">
        <is>
          <t>Control Reference</t>
        </is>
      </c>
      <c r="B6" s="6" t="inlineStr">
        <is>
          <t>ISO/IEC 27001:2022 - Control A.8.27: Secure System Architecture and Engineering Principles</t>
        </is>
      </c>
    </row>
    <row r="7">
      <c r="A7" s="5" t="inlineStr">
        <is>
          <t>Overall Compliance Score</t>
        </is>
      </c>
      <c r="B7" s="7">
        <f>Compliance!F20</f>
        <v/>
      </c>
    </row>
  </sheetData>
  <mergeCells count="2">
    <mergeCell ref="A3:F3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2026-02-10T16:06:42Z</dcterms:created>
  <dcterms:modified xmlns:dcterms="http://purl.org/dc/terms/" xmlns:xsi="http://www.w3.org/2001/XMLSchema-instance" xsi:type="dcterms:W3CDTF">2026-02-10T16:06:42Z</dcterms:modified>
</cp:coreProperties>
</file>