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Governance" sheetId="2" state="visible" r:id="rId2"/>
    <sheet xmlns:r="http://schemas.openxmlformats.org/officeDocument/2006/relationships" name="Process" sheetId="3" state="visible" r:id="rId3"/>
    <sheet xmlns:r="http://schemas.openxmlformats.org/officeDocument/2006/relationships" name="Templates" sheetId="4" state="visible" r:id="rId4"/>
    <sheet xmlns:r="http://schemas.openxmlformats.org/officeDocument/2006/relationships" name="Integration" sheetId="5" state="visible" r:id="rId5"/>
    <sheet xmlns:r="http://schemas.openxmlformats.org/officeDocument/2006/relationships" name="Metrics" sheetId="6" state="visible" r:id="rId6"/>
    <sheet xmlns:r="http://schemas.openxmlformats.org/officeDocument/2006/relationships" name="Compliance" sheetId="7" state="visible" r:id="rId7"/>
    <sheet xmlns:r="http://schemas.openxmlformats.org/officeDocument/2006/relationships" name="GapRegister" sheetId="8" state="visible" r:id="rId8"/>
    <sheet xmlns:r="http://schemas.openxmlformats.org/officeDocument/2006/relationships" name="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 ht="30" customHeight="1">
      <c r="A1" s="1" t="inlineStr">
        <is>
          <t>ISMS-IMP-A.8.27.1 - Security Architecture Review Process Assessment</t>
        </is>
      </c>
    </row>
    <row r="3">
      <c r="A3" s="2" t="inlineStr">
        <is>
          <t>Document Information</t>
        </is>
      </c>
      <c r="B3" s="3" t="n"/>
      <c r="C3" s="3" t="n"/>
      <c r="D3" s="3" t="n"/>
      <c r="E3" s="3" t="n"/>
      <c r="F3" s="3" t="n"/>
      <c r="G3" s="3" t="n"/>
      <c r="H3" s="4" t="n"/>
    </row>
    <row r="4">
      <c r="A4" s="5" t="inlineStr">
        <is>
          <t>Document ID</t>
        </is>
      </c>
      <c r="B4" s="6" t="inlineStr">
        <is>
          <t>ISMS-IMP-A.8.27.1</t>
        </is>
      </c>
      <c r="C4" s="3" t="n"/>
      <c r="D4" s="3" t="n"/>
      <c r="E4" s="3" t="n"/>
      <c r="F4" s="3" t="n"/>
      <c r="G4" s="3" t="n"/>
      <c r="H4" s="4" t="n"/>
    </row>
    <row r="5">
      <c r="A5" s="5" t="inlineStr">
        <is>
          <t>Control Reference</t>
        </is>
      </c>
      <c r="B5" s="6" t="inlineStr">
        <is>
          <t>ISO/IEC 27001:2022 - Control A.8.27: Secure System Architecture and Engineering Principles</t>
        </is>
      </c>
      <c r="C5" s="3" t="n"/>
      <c r="D5" s="3" t="n"/>
      <c r="E5" s="3" t="n"/>
      <c r="F5" s="3" t="n"/>
      <c r="G5" s="3" t="n"/>
      <c r="H5" s="4" t="n"/>
    </row>
    <row r="6">
      <c r="A6" s="5" t="inlineStr">
        <is>
          <t>Assessment Purpose</t>
        </is>
      </c>
      <c r="B6" s="6" t="inlineStr">
        <is>
          <t>Evaluate security architecture review process maturity and compliance</t>
        </is>
      </c>
      <c r="C6" s="3" t="n"/>
      <c r="D6" s="3" t="n"/>
      <c r="E6" s="3" t="n"/>
      <c r="F6" s="3" t="n"/>
      <c r="G6" s="3" t="n"/>
      <c r="H6" s="4" t="n"/>
    </row>
    <row r="7">
      <c r="A7" s="5" t="inlineStr">
        <is>
          <t>Generated Date</t>
        </is>
      </c>
      <c r="B7" s="6" t="inlineStr">
        <is>
          <t>10.02.2026</t>
        </is>
      </c>
      <c r="C7" s="3" t="n"/>
      <c r="D7" s="3" t="n"/>
      <c r="E7" s="3" t="n"/>
      <c r="F7" s="3" t="n"/>
      <c r="G7" s="3" t="n"/>
      <c r="H7" s="4" t="n"/>
    </row>
    <row r="8">
      <c r="A8" s="5" t="inlineStr">
        <is>
          <t>Organisation</t>
        </is>
      </c>
      <c r="B8" s="6" t="inlineStr">
        <is>
          <t>[Organisation]</t>
        </is>
      </c>
      <c r="C8" s="3" t="n"/>
      <c r="D8" s="3" t="n"/>
      <c r="E8" s="3" t="n"/>
      <c r="F8" s="3" t="n"/>
      <c r="G8" s="3" t="n"/>
      <c r="H8" s="4" t="n"/>
    </row>
    <row r="10">
      <c r="A10" s="2" t="inlineStr">
        <is>
          <t>Assessment Instructions</t>
        </is>
      </c>
      <c r="B10" s="3" t="n"/>
      <c r="C10" s="3" t="n"/>
      <c r="D10" s="3" t="n"/>
      <c r="E10" s="3" t="n"/>
      <c r="F10" s="3" t="n"/>
      <c r="G10" s="3" t="n"/>
      <c r="H10" s="4" t="n"/>
    </row>
    <row r="11">
      <c r="A11" s="5" t="inlineStr">
        <is>
          <t>1. Review the Instructions sheet to understand the assessment methodology</t>
        </is>
      </c>
      <c r="B11" s="3" t="n"/>
      <c r="C11" s="3" t="n"/>
      <c r="D11" s="3" t="n"/>
      <c r="E11" s="3" t="n"/>
      <c r="F11" s="3" t="n"/>
      <c r="G11" s="3" t="n"/>
      <c r="H11" s="4" t="n"/>
    </row>
    <row r="12">
      <c r="A12" s="5" t="inlineStr">
        <is>
          <t>2. Complete the Governance sheet to assess review governance framework</t>
        </is>
      </c>
      <c r="B12" s="3" t="n"/>
      <c r="C12" s="3" t="n"/>
      <c r="D12" s="3" t="n"/>
      <c r="E12" s="3" t="n"/>
      <c r="F12" s="3" t="n"/>
      <c r="G12" s="3" t="n"/>
      <c r="H12" s="4" t="n"/>
    </row>
    <row r="13">
      <c r="A13" s="5" t="inlineStr">
        <is>
          <t>3. Complete the Process sheet to evaluate review process maturity</t>
        </is>
      </c>
      <c r="B13" s="3" t="n"/>
      <c r="C13" s="3" t="n"/>
      <c r="D13" s="3" t="n"/>
      <c r="E13" s="3" t="n"/>
      <c r="F13" s="3" t="n"/>
      <c r="G13" s="3" t="n"/>
      <c r="H13" s="4" t="n"/>
    </row>
    <row r="14">
      <c r="A14" s="5" t="inlineStr">
        <is>
          <t>4. Complete the Templates sheet to assess documentation templates</t>
        </is>
      </c>
      <c r="B14" s="3" t="n"/>
      <c r="C14" s="3" t="n"/>
      <c r="D14" s="3" t="n"/>
      <c r="E14" s="3" t="n"/>
      <c r="F14" s="3" t="n"/>
      <c r="G14" s="3" t="n"/>
      <c r="H14" s="4" t="n"/>
    </row>
    <row r="15">
      <c r="A15" s="5" t="inlineStr">
        <is>
          <t>5. Complete the Integration sheet to evaluate SDLC integration</t>
        </is>
      </c>
      <c r="B15" s="3" t="n"/>
      <c r="C15" s="3" t="n"/>
      <c r="D15" s="3" t="n"/>
      <c r="E15" s="3" t="n"/>
      <c r="F15" s="3" t="n"/>
      <c r="G15" s="3" t="n"/>
      <c r="H15" s="4" t="n"/>
    </row>
    <row r="16">
      <c r="A16" s="5" t="inlineStr">
        <is>
          <t>6. Complete the Metrics sheet to document effectiveness metrics</t>
        </is>
      </c>
      <c r="B16" s="3" t="n"/>
      <c r="C16" s="3" t="n"/>
      <c r="D16" s="3" t="n"/>
      <c r="E16" s="3" t="n"/>
      <c r="F16" s="3" t="n"/>
      <c r="G16" s="3" t="n"/>
      <c r="H16" s="4" t="n"/>
    </row>
    <row r="17">
      <c r="A17" s="5" t="inlineStr">
        <is>
          <t>7. Complete the Compliance sheet to score policy compliance</t>
        </is>
      </c>
      <c r="B17" s="3" t="n"/>
      <c r="C17" s="3" t="n"/>
      <c r="D17" s="3" t="n"/>
      <c r="E17" s="3" t="n"/>
      <c r="F17" s="3" t="n"/>
      <c r="G17" s="3" t="n"/>
      <c r="H17" s="4" t="n"/>
    </row>
    <row r="18">
      <c r="A18" s="5" t="inlineStr">
        <is>
          <t>8. Document all gaps in the GapRegister sheet</t>
        </is>
      </c>
      <c r="B18" s="3" t="n"/>
      <c r="C18" s="3" t="n"/>
      <c r="D18" s="3" t="n"/>
      <c r="E18" s="3" t="n"/>
      <c r="F18" s="3" t="n"/>
      <c r="G18" s="3" t="n"/>
      <c r="H18" s="4" t="n"/>
    </row>
    <row r="19">
      <c r="A19" s="5" t="inlineStr">
        <is>
          <t>9. Review the Dashboard for summary status</t>
        </is>
      </c>
      <c r="B19" s="3" t="n"/>
      <c r="C19" s="3" t="n"/>
      <c r="D19" s="3" t="n"/>
      <c r="E19" s="3" t="n"/>
      <c r="F19" s="3" t="n"/>
      <c r="G19" s="3" t="n"/>
      <c r="H19" s="4" t="n"/>
    </row>
    <row r="21">
      <c r="A21" s="2" t="inlineStr">
        <is>
          <t>Rating Scale</t>
        </is>
      </c>
      <c r="B21" s="3" t="n"/>
      <c r="C21" s="3" t="n"/>
      <c r="D21" s="3" t="n"/>
      <c r="E21" s="3" t="n"/>
      <c r="F21" s="3" t="n"/>
      <c r="G21" s="3" t="n"/>
      <c r="H21" s="4" t="n"/>
    </row>
    <row r="22">
      <c r="A22" s="5" t="inlineStr">
        <is>
          <t>1</t>
        </is>
      </c>
      <c r="B22" s="5" t="inlineStr">
        <is>
          <t>Not performed or completely ineffective</t>
        </is>
      </c>
      <c r="C22" s="3" t="n"/>
      <c r="D22" s="3" t="n"/>
      <c r="E22" s="3" t="n"/>
      <c r="F22" s="3" t="n"/>
      <c r="G22" s="3" t="n"/>
      <c r="H22" s="4" t="n"/>
    </row>
    <row r="23">
      <c r="A23" s="5" t="inlineStr">
        <is>
          <t>2</t>
        </is>
      </c>
      <c r="B23" s="5" t="inlineStr">
        <is>
          <t>Performed ad-hoc, minimal effectiveness</t>
        </is>
      </c>
      <c r="C23" s="3" t="n"/>
      <c r="D23" s="3" t="n"/>
      <c r="E23" s="3" t="n"/>
      <c r="F23" s="3" t="n"/>
      <c r="G23" s="3" t="n"/>
      <c r="H23" s="4" t="n"/>
    </row>
    <row r="24">
      <c r="A24" s="5" t="inlineStr">
        <is>
          <t>3</t>
        </is>
      </c>
      <c r="B24" s="5" t="inlineStr">
        <is>
          <t>Defined process, moderate effectiveness</t>
        </is>
      </c>
      <c r="C24" s="3" t="n"/>
      <c r="D24" s="3" t="n"/>
      <c r="E24" s="3" t="n"/>
      <c r="F24" s="3" t="n"/>
      <c r="G24" s="3" t="n"/>
      <c r="H24" s="4" t="n"/>
    </row>
    <row r="25">
      <c r="A25" s="5" t="inlineStr">
        <is>
          <t>4</t>
        </is>
      </c>
      <c r="B25" s="5" t="inlineStr">
        <is>
          <t>Managed process, good effectiveness</t>
        </is>
      </c>
      <c r="C25" s="3" t="n"/>
      <c r="D25" s="3" t="n"/>
      <c r="E25" s="3" t="n"/>
      <c r="F25" s="3" t="n"/>
      <c r="G25" s="3" t="n"/>
      <c r="H25" s="4" t="n"/>
    </row>
    <row r="26">
      <c r="A26" s="5" t="inlineStr">
        <is>
          <t>5</t>
        </is>
      </c>
      <c r="B26" s="5" t="inlineStr">
        <is>
          <t>Optimised process, excellent effectiveness</t>
        </is>
      </c>
      <c r="C26" s="3" t="n"/>
      <c r="D26" s="3" t="n"/>
      <c r="E26" s="3" t="n"/>
      <c r="F26" s="3" t="n"/>
      <c r="G26" s="3" t="n"/>
      <c r="H26" s="4" t="n"/>
    </row>
  </sheetData>
  <mergeCells count="23">
    <mergeCell ref="A15:H15"/>
    <mergeCell ref="B6:H6"/>
    <mergeCell ref="B24:H24"/>
    <mergeCell ref="A11:H11"/>
    <mergeCell ref="A1:H1"/>
    <mergeCell ref="B5:H5"/>
    <mergeCell ref="B26:H26"/>
    <mergeCell ref="B4:H4"/>
    <mergeCell ref="A16:H16"/>
    <mergeCell ref="B7:H7"/>
    <mergeCell ref="B25:H25"/>
    <mergeCell ref="A12:H12"/>
    <mergeCell ref="A18:H18"/>
    <mergeCell ref="B22:H22"/>
    <mergeCell ref="A3:H3"/>
    <mergeCell ref="A21:H21"/>
    <mergeCell ref="A14:H14"/>
    <mergeCell ref="A17:H17"/>
    <mergeCell ref="B23:H23"/>
    <mergeCell ref="B8:H8"/>
    <mergeCell ref="A10:H10"/>
    <mergeCell ref="A13:H13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0" customWidth="1" min="3" max="3"/>
    <col width="15" customWidth="1" min="4" max="4"/>
    <col width="40" customWidth="1" min="5" max="5"/>
    <col width="40" customWidth="1" min="6" max="6"/>
    <col width="20" customWidth="1" min="7" max="7"/>
    <col width="30" customWidth="1" min="8" max="8"/>
  </cols>
  <sheetData>
    <row r="1" ht="30" customHeight="1">
      <c r="A1" s="1" t="inlineStr">
        <is>
          <t>Security Architecture Review - Governance Assessment</t>
        </is>
      </c>
    </row>
    <row r="3">
      <c r="A3" s="1" t="inlineStr">
        <is>
          <t>Gov-ID</t>
        </is>
      </c>
      <c r="B3" s="1" t="inlineStr">
        <is>
          <t>Category</t>
        </is>
      </c>
      <c r="C3" s="1" t="inlineStr">
        <is>
          <t>Requirement</t>
        </is>
      </c>
      <c r="D3" s="1" t="inlineStr">
        <is>
          <t>Status</t>
        </is>
      </c>
      <c r="E3" s="1" t="inlineStr">
        <is>
          <t>Evidence</t>
        </is>
      </c>
      <c r="F3" s="1" t="inlineStr">
        <is>
          <t>Gap</t>
        </is>
      </c>
      <c r="G3" s="1" t="inlineStr">
        <is>
          <t>Owner</t>
        </is>
      </c>
      <c r="H3" s="1" t="inlineStr">
        <is>
          <t>Notes</t>
        </is>
      </c>
    </row>
    <row r="4">
      <c r="A4" s="5" t="inlineStr">
        <is>
          <t>GOV-001</t>
        </is>
      </c>
      <c r="B4" s="5" t="inlineStr">
        <is>
          <t>Policy</t>
        </is>
      </c>
      <c r="C4" s="5" t="inlineStr">
        <is>
          <t>Architecture review policy documented</t>
        </is>
      </c>
      <c r="D4" s="6" t="n"/>
      <c r="E4" s="6" t="n"/>
      <c r="F4" s="6" t="n"/>
      <c r="G4" s="6" t="n"/>
      <c r="H4" s="6" t="n"/>
    </row>
    <row r="5">
      <c r="A5" s="5" t="inlineStr">
        <is>
          <t>GOV-002</t>
        </is>
      </c>
      <c r="B5" s="5" t="inlineStr">
        <is>
          <t>Policy</t>
        </is>
      </c>
      <c r="C5" s="5" t="inlineStr">
        <is>
          <t>Policy approved by CISO and Executive Management</t>
        </is>
      </c>
      <c r="D5" s="6" t="n"/>
      <c r="E5" s="6" t="n"/>
      <c r="F5" s="6" t="n"/>
      <c r="G5" s="6" t="n"/>
      <c r="H5" s="6" t="n"/>
    </row>
    <row r="6">
      <c r="A6" s="5" t="inlineStr">
        <is>
          <t>GOV-003</t>
        </is>
      </c>
      <c r="B6" s="5" t="inlineStr">
        <is>
          <t>Procedures</t>
        </is>
      </c>
      <c r="C6" s="5" t="inlineStr">
        <is>
          <t>Review procedures defined and maintained</t>
        </is>
      </c>
      <c r="D6" s="6" t="n"/>
      <c r="E6" s="6" t="n"/>
      <c r="F6" s="6" t="n"/>
      <c r="G6" s="6" t="n"/>
      <c r="H6" s="6" t="n"/>
    </row>
    <row r="7">
      <c r="A7" s="5" t="inlineStr">
        <is>
          <t>GOV-004</t>
        </is>
      </c>
      <c r="B7" s="5" t="inlineStr">
        <is>
          <t>Procedures</t>
        </is>
      </c>
      <c r="C7" s="5" t="inlineStr">
        <is>
          <t>Review methodology documented (STRIDE, etc.)</t>
        </is>
      </c>
      <c r="D7" s="6" t="n"/>
      <c r="E7" s="6" t="n"/>
      <c r="F7" s="6" t="n"/>
      <c r="G7" s="6" t="n"/>
      <c r="H7" s="6" t="n"/>
    </row>
    <row r="8">
      <c r="A8" s="5" t="inlineStr">
        <is>
          <t>GOV-005</t>
        </is>
      </c>
      <c r="B8" s="5" t="inlineStr">
        <is>
          <t>Roles</t>
        </is>
      </c>
      <c r="C8" s="5" t="inlineStr">
        <is>
          <t>Reviewer roles and responsibilities defined</t>
        </is>
      </c>
      <c r="D8" s="6" t="n"/>
      <c r="E8" s="6" t="n"/>
      <c r="F8" s="6" t="n"/>
      <c r="G8" s="6" t="n"/>
      <c r="H8" s="6" t="n"/>
    </row>
    <row r="9">
      <c r="A9" s="5" t="inlineStr">
        <is>
          <t>GOV-006</t>
        </is>
      </c>
      <c r="B9" s="5" t="inlineStr">
        <is>
          <t>Roles</t>
        </is>
      </c>
      <c r="C9" s="5" t="inlineStr">
        <is>
          <t>Approval authority documented</t>
        </is>
      </c>
      <c r="D9" s="6" t="n"/>
      <c r="E9" s="6" t="n"/>
      <c r="F9" s="6" t="n"/>
      <c r="G9" s="6" t="n"/>
      <c r="H9" s="6" t="n"/>
    </row>
    <row r="10">
      <c r="A10" s="5" t="inlineStr">
        <is>
          <t>GOV-007</t>
        </is>
      </c>
      <c r="B10" s="5" t="inlineStr">
        <is>
          <t>Authority</t>
        </is>
      </c>
      <c r="C10" s="5" t="inlineStr">
        <is>
          <t>CISO approval requirements specified</t>
        </is>
      </c>
      <c r="D10" s="6" t="n"/>
      <c r="E10" s="6" t="n"/>
      <c r="F10" s="6" t="n"/>
      <c r="G10" s="6" t="n"/>
      <c r="H10" s="6" t="n"/>
    </row>
    <row r="11">
      <c r="A11" s="5" t="inlineStr">
        <is>
          <t>GOV-008</t>
        </is>
      </c>
      <c r="B11" s="5" t="inlineStr">
        <is>
          <t>Authority</t>
        </is>
      </c>
      <c r="C11" s="5" t="inlineStr">
        <is>
          <t>Exception approval authority defined</t>
        </is>
      </c>
      <c r="D11" s="6" t="n"/>
      <c r="E11" s="6" t="n"/>
      <c r="F11" s="6" t="n"/>
      <c r="G11" s="6" t="n"/>
      <c r="H11" s="6" t="n"/>
    </row>
    <row r="12">
      <c r="A12" s="5" t="inlineStr">
        <is>
          <t>GOV-009</t>
        </is>
      </c>
      <c r="B12" s="5" t="inlineStr">
        <is>
          <t>Exceptions</t>
        </is>
      </c>
      <c r="C12" s="5" t="inlineStr">
        <is>
          <t>Exception process established</t>
        </is>
      </c>
      <c r="D12" s="6" t="n"/>
      <c r="E12" s="6" t="n"/>
      <c r="F12" s="6" t="n"/>
      <c r="G12" s="6" t="n"/>
      <c r="H12" s="6" t="n"/>
    </row>
    <row r="13">
      <c r="A13" s="5" t="inlineStr">
        <is>
          <t>GOV-010</t>
        </is>
      </c>
      <c r="B13" s="5" t="inlineStr">
        <is>
          <t>Exceptions</t>
        </is>
      </c>
      <c r="C13" s="5" t="inlineStr">
        <is>
          <t>Exception tracking and expiry defined</t>
        </is>
      </c>
      <c r="D13" s="6" t="n"/>
      <c r="E13" s="6" t="n"/>
      <c r="F13" s="6" t="n"/>
      <c r="G13" s="6" t="n"/>
      <c r="H13" s="6" t="n"/>
    </row>
    <row r="14">
      <c r="A14" s="5" t="inlineStr">
        <is>
          <t>GOV-011</t>
        </is>
      </c>
      <c r="B14" s="5" t="inlineStr">
        <is>
          <t>Procedures</t>
        </is>
      </c>
      <c r="C14" s="5" t="inlineStr">
        <is>
          <t>Review scope criteria defined</t>
        </is>
      </c>
      <c r="D14" s="6" t="n"/>
      <c r="E14" s="6" t="n"/>
      <c r="F14" s="6" t="n"/>
      <c r="G14" s="6" t="n"/>
      <c r="H14" s="6" t="n"/>
    </row>
    <row r="15">
      <c r="A15" s="5" t="inlineStr">
        <is>
          <t>GOV-012</t>
        </is>
      </c>
      <c r="B15" s="5" t="inlineStr">
        <is>
          <t>Procedures</t>
        </is>
      </c>
      <c r="C15" s="5" t="inlineStr">
        <is>
          <t>Mandatory review triggers documented</t>
        </is>
      </c>
      <c r="D15" s="6" t="n"/>
      <c r="E15" s="6" t="n"/>
      <c r="F15" s="6" t="n"/>
      <c r="G15" s="6" t="n"/>
      <c r="H15" s="6" t="n"/>
    </row>
    <row r="16">
      <c r="A16" s="5" t="inlineStr">
        <is>
          <t>GOV-013</t>
        </is>
      </c>
      <c r="B16" s="5" t="inlineStr">
        <is>
          <t>Procedures</t>
        </is>
      </c>
      <c r="C16" s="5" t="inlineStr">
        <is>
          <t>Documentation standards defined</t>
        </is>
      </c>
      <c r="D16" s="6" t="n"/>
      <c r="E16" s="6" t="n"/>
      <c r="F16" s="6" t="n"/>
      <c r="G16" s="6" t="n"/>
      <c r="H16" s="6" t="n"/>
    </row>
    <row r="17">
      <c r="A17" s="5" t="inlineStr">
        <is>
          <t>GOV-014</t>
        </is>
      </c>
      <c r="B17" s="5" t="inlineStr">
        <is>
          <t>Procedures</t>
        </is>
      </c>
      <c r="C17" s="5" t="inlineStr">
        <is>
          <t>Quality review process established</t>
        </is>
      </c>
      <c r="D17" s="6" t="n"/>
      <c r="E17" s="6" t="n"/>
      <c r="F17" s="6" t="n"/>
      <c r="G17" s="6" t="n"/>
      <c r="H17" s="6" t="n"/>
    </row>
    <row r="18">
      <c r="A18" s="5" t="inlineStr">
        <is>
          <t>GOV-015</t>
        </is>
      </c>
      <c r="B18" s="5" t="inlineStr">
        <is>
          <t>Procedures</t>
        </is>
      </c>
      <c r="C18" s="5" t="inlineStr">
        <is>
          <t>Continuous improvement process defined</t>
        </is>
      </c>
      <c r="D18" s="6" t="n"/>
      <c r="E18" s="6" t="n"/>
      <c r="F18" s="6" t="n"/>
      <c r="G18" s="6" t="n"/>
      <c r="H18" s="6" t="n"/>
    </row>
  </sheetData>
  <mergeCells count="1">
    <mergeCell ref="A1:H1"/>
  </mergeCells>
  <dataValidations count="2">
    <dataValidation sqref="D4:D18" showDropDown="0" showInputMessage="0" showErrorMessage="0" allowBlank="1" type="list">
      <formula1>"Implemented,Partial,Not Implemented,N/A"</formula1>
    </dataValidation>
    <dataValidation sqref="B4:B18" showDropDown="0" showInputMessage="0" showErrorMessage="0" allowBlank="1" type="list">
      <formula1>"Policy,Procedures,Roles,Authority,Exceptions"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40" customWidth="1" min="3" max="3"/>
    <col width="12" customWidth="1" min="4" max="4"/>
    <col width="12" customWidth="1" min="5" max="5"/>
    <col width="30" customWidth="1" min="6" max="6"/>
    <col width="12" customWidth="1" min="7" max="7"/>
    <col width="30" customWidth="1" min="8" max="8"/>
  </cols>
  <sheetData>
    <row r="1" ht="30" customHeight="1">
      <c r="A1" s="1" t="inlineStr">
        <is>
          <t>Security Architecture Review - Process Assessment</t>
        </is>
      </c>
    </row>
    <row r="3">
      <c r="A3" s="1" t="inlineStr">
        <is>
          <t>Proc-ID</t>
        </is>
      </c>
      <c r="B3" s="1" t="inlineStr">
        <is>
          <t>Phase</t>
        </is>
      </c>
      <c r="C3" s="1" t="inlineStr">
        <is>
          <t>Activity</t>
        </is>
      </c>
      <c r="D3" s="1" t="inlineStr">
        <is>
          <t>Documented</t>
        </is>
      </c>
      <c r="E3" s="1" t="inlineStr">
        <is>
          <t>Implemented</t>
        </is>
      </c>
      <c r="F3" s="1" t="inlineStr">
        <is>
          <t>Evidence</t>
        </is>
      </c>
      <c r="G3" s="1" t="inlineStr">
        <is>
          <t>Effectiveness</t>
        </is>
      </c>
      <c r="H3" s="1" t="inlineStr">
        <is>
          <t>Notes</t>
        </is>
      </c>
    </row>
    <row r="4">
      <c r="A4" s="5" t="inlineStr">
        <is>
          <t>PROC-001</t>
        </is>
      </c>
      <c r="B4" s="5" t="inlineStr">
        <is>
          <t>Trigger</t>
        </is>
      </c>
      <c r="C4" s="5" t="inlineStr">
        <is>
          <t>New system identification and intake</t>
        </is>
      </c>
      <c r="D4" s="6" t="n"/>
      <c r="E4" s="6" t="n"/>
      <c r="F4" s="6" t="n"/>
      <c r="G4" s="6" t="n"/>
      <c r="H4" s="6" t="n"/>
    </row>
    <row r="5">
      <c r="A5" s="5" t="inlineStr">
        <is>
          <t>PROC-002</t>
        </is>
      </c>
      <c r="B5" s="5" t="inlineStr">
        <is>
          <t>Trigger</t>
        </is>
      </c>
      <c r="C5" s="5" t="inlineStr">
        <is>
          <t>Major change request assessment</t>
        </is>
      </c>
      <c r="D5" s="6" t="n"/>
      <c r="E5" s="6" t="n"/>
      <c r="F5" s="6" t="n"/>
      <c r="G5" s="6" t="n"/>
      <c r="H5" s="6" t="n"/>
    </row>
    <row r="6">
      <c r="A6" s="5" t="inlineStr">
        <is>
          <t>PROC-003</t>
        </is>
      </c>
      <c r="B6" s="5" t="inlineStr">
        <is>
          <t>Trigger</t>
        </is>
      </c>
      <c r="C6" s="5" t="inlineStr">
        <is>
          <t>Architecture change impact evaluation</t>
        </is>
      </c>
      <c r="D6" s="6" t="n"/>
      <c r="E6" s="6" t="n"/>
      <c r="F6" s="6" t="n"/>
      <c r="G6" s="6" t="n"/>
      <c r="H6" s="6" t="n"/>
    </row>
    <row r="7">
      <c r="A7" s="5" t="inlineStr">
        <is>
          <t>PROC-004</t>
        </is>
      </c>
      <c r="B7" s="5" t="inlineStr">
        <is>
          <t>Trigger</t>
        </is>
      </c>
      <c r="C7" s="5" t="inlineStr">
        <is>
          <t>Third-party integration trigger assessment</t>
        </is>
      </c>
      <c r="D7" s="6" t="n"/>
      <c r="E7" s="6" t="n"/>
      <c r="F7" s="6" t="n"/>
      <c r="G7" s="6" t="n"/>
      <c r="H7" s="6" t="n"/>
    </row>
    <row r="8">
      <c r="A8" s="5" t="inlineStr">
        <is>
          <t>PROC-005</t>
        </is>
      </c>
      <c r="B8" s="5" t="inlineStr">
        <is>
          <t>Trigger</t>
        </is>
      </c>
      <c r="C8" s="5" t="inlineStr">
        <is>
          <t>Review threshold criteria application</t>
        </is>
      </c>
      <c r="D8" s="6" t="n"/>
      <c r="E8" s="6" t="n"/>
      <c r="F8" s="6" t="n"/>
      <c r="G8" s="6" t="n"/>
      <c r="H8" s="6" t="n"/>
    </row>
    <row r="9">
      <c r="A9" s="5" t="inlineStr">
        <is>
          <t>PROC-006</t>
        </is>
      </c>
      <c r="B9" s="5" t="inlineStr">
        <is>
          <t>Planning</t>
        </is>
      </c>
      <c r="C9" s="5" t="inlineStr">
        <is>
          <t>Review scope definition</t>
        </is>
      </c>
      <c r="D9" s="6" t="n"/>
      <c r="E9" s="6" t="n"/>
      <c r="F9" s="6" t="n"/>
      <c r="G9" s="6" t="n"/>
      <c r="H9" s="6" t="n"/>
    </row>
    <row r="10">
      <c r="A10" s="5" t="inlineStr">
        <is>
          <t>PROC-007</t>
        </is>
      </c>
      <c r="B10" s="5" t="inlineStr">
        <is>
          <t>Planning</t>
        </is>
      </c>
      <c r="C10" s="5" t="inlineStr">
        <is>
          <t>Reviewer assignment</t>
        </is>
      </c>
      <c r="D10" s="6" t="n"/>
      <c r="E10" s="6" t="n"/>
      <c r="F10" s="6" t="n"/>
      <c r="G10" s="6" t="n"/>
      <c r="H10" s="6" t="n"/>
    </row>
    <row r="11">
      <c r="A11" s="5" t="inlineStr">
        <is>
          <t>PROC-008</t>
        </is>
      </c>
      <c r="B11" s="5" t="inlineStr">
        <is>
          <t>Planning</t>
        </is>
      </c>
      <c r="C11" s="5" t="inlineStr">
        <is>
          <t>Timeline establishment</t>
        </is>
      </c>
      <c r="D11" s="6" t="n"/>
      <c r="E11" s="6" t="n"/>
      <c r="F11" s="6" t="n"/>
      <c r="G11" s="6" t="n"/>
      <c r="H11" s="6" t="n"/>
    </row>
    <row r="12">
      <c r="A12" s="5" t="inlineStr">
        <is>
          <t>PROC-009</t>
        </is>
      </c>
      <c r="B12" s="5" t="inlineStr">
        <is>
          <t>Planning</t>
        </is>
      </c>
      <c r="C12" s="5" t="inlineStr">
        <is>
          <t>Documentation gathering</t>
        </is>
      </c>
      <c r="D12" s="6" t="n"/>
      <c r="E12" s="6" t="n"/>
      <c r="F12" s="6" t="n"/>
      <c r="G12" s="6" t="n"/>
      <c r="H12" s="6" t="n"/>
    </row>
    <row r="13">
      <c r="A13" s="5" t="inlineStr">
        <is>
          <t>PROC-010</t>
        </is>
      </c>
      <c r="B13" s="5" t="inlineStr">
        <is>
          <t>Execution</t>
        </is>
      </c>
      <c r="C13" s="5" t="inlineStr">
        <is>
          <t>Architecture documentation review</t>
        </is>
      </c>
      <c r="D13" s="6" t="n"/>
      <c r="E13" s="6" t="n"/>
      <c r="F13" s="6" t="n"/>
      <c r="G13" s="6" t="n"/>
      <c r="H13" s="6" t="n"/>
    </row>
    <row r="14">
      <c r="A14" s="5" t="inlineStr">
        <is>
          <t>PROC-011</t>
        </is>
      </c>
      <c r="B14" s="5" t="inlineStr">
        <is>
          <t>Execution</t>
        </is>
      </c>
      <c r="C14" s="5" t="inlineStr">
        <is>
          <t>Threat modelling execution</t>
        </is>
      </c>
      <c r="D14" s="6" t="n"/>
      <c r="E14" s="6" t="n"/>
      <c r="F14" s="6" t="n"/>
      <c r="G14" s="6" t="n"/>
      <c r="H14" s="6" t="n"/>
    </row>
    <row r="15">
      <c r="A15" s="5" t="inlineStr">
        <is>
          <t>PROC-012</t>
        </is>
      </c>
      <c r="B15" s="5" t="inlineStr">
        <is>
          <t>Execution</t>
        </is>
      </c>
      <c r="C15" s="5" t="inlineStr">
        <is>
          <t>Security requirements validation</t>
        </is>
      </c>
      <c r="D15" s="6" t="n"/>
      <c r="E15" s="6" t="n"/>
      <c r="F15" s="6" t="n"/>
      <c r="G15" s="6" t="n"/>
      <c r="H15" s="6" t="n"/>
    </row>
    <row r="16">
      <c r="A16" s="5" t="inlineStr">
        <is>
          <t>PROC-013</t>
        </is>
      </c>
      <c r="B16" s="5" t="inlineStr">
        <is>
          <t>Execution</t>
        </is>
      </c>
      <c r="C16" s="5" t="inlineStr">
        <is>
          <t>Pattern compliance check</t>
        </is>
      </c>
      <c r="D16" s="6" t="n"/>
      <c r="E16" s="6" t="n"/>
      <c r="F16" s="6" t="n"/>
      <c r="G16" s="6" t="n"/>
      <c r="H16" s="6" t="n"/>
    </row>
    <row r="17">
      <c r="A17" s="5" t="inlineStr">
        <is>
          <t>PROC-014</t>
        </is>
      </c>
      <c r="B17" s="5" t="inlineStr">
        <is>
          <t>Execution</t>
        </is>
      </c>
      <c r="C17" s="5" t="inlineStr">
        <is>
          <t>Defence in depth assessment</t>
        </is>
      </c>
      <c r="D17" s="6" t="n"/>
      <c r="E17" s="6" t="n"/>
      <c r="F17" s="6" t="n"/>
      <c r="G17" s="6" t="n"/>
      <c r="H17" s="6" t="n"/>
    </row>
    <row r="18">
      <c r="A18" s="5" t="inlineStr">
        <is>
          <t>PROC-015</t>
        </is>
      </c>
      <c r="B18" s="5" t="inlineStr">
        <is>
          <t>Execution</t>
        </is>
      </c>
      <c r="C18" s="5" t="inlineStr">
        <is>
          <t>Risk assessment</t>
        </is>
      </c>
      <c r="D18" s="6" t="n"/>
      <c r="E18" s="6" t="n"/>
      <c r="F18" s="6" t="n"/>
      <c r="G18" s="6" t="n"/>
      <c r="H18" s="6" t="n"/>
    </row>
    <row r="19">
      <c r="A19" s="5" t="inlineStr">
        <is>
          <t>PROC-016</t>
        </is>
      </c>
      <c r="B19" s="5" t="inlineStr">
        <is>
          <t>Documentation</t>
        </is>
      </c>
      <c r="C19" s="5" t="inlineStr">
        <is>
          <t>Findings documentation</t>
        </is>
      </c>
      <c r="D19" s="6" t="n"/>
      <c r="E19" s="6" t="n"/>
      <c r="F19" s="6" t="n"/>
      <c r="G19" s="6" t="n"/>
      <c r="H19" s="6" t="n"/>
    </row>
    <row r="20">
      <c r="A20" s="5" t="inlineStr">
        <is>
          <t>PROC-017</t>
        </is>
      </c>
      <c r="B20" s="5" t="inlineStr">
        <is>
          <t>Documentation</t>
        </is>
      </c>
      <c r="C20" s="5" t="inlineStr">
        <is>
          <t>Risk rating assignment</t>
        </is>
      </c>
      <c r="D20" s="6" t="n"/>
      <c r="E20" s="6" t="n"/>
      <c r="F20" s="6" t="n"/>
      <c r="G20" s="6" t="n"/>
      <c r="H20" s="6" t="n"/>
    </row>
    <row r="21">
      <c r="A21" s="5" t="inlineStr">
        <is>
          <t>PROC-018</t>
        </is>
      </c>
      <c r="B21" s="5" t="inlineStr">
        <is>
          <t>Documentation</t>
        </is>
      </c>
      <c r="C21" s="5" t="inlineStr">
        <is>
          <t>Recommendations development</t>
        </is>
      </c>
      <c r="D21" s="6" t="n"/>
      <c r="E21" s="6" t="n"/>
      <c r="F21" s="6" t="n"/>
      <c r="G21" s="6" t="n"/>
      <c r="H21" s="6" t="n"/>
    </row>
    <row r="22">
      <c r="A22" s="5" t="inlineStr">
        <is>
          <t>PROC-019</t>
        </is>
      </c>
      <c r="B22" s="5" t="inlineStr">
        <is>
          <t>Documentation</t>
        </is>
      </c>
      <c r="C22" s="5" t="inlineStr">
        <is>
          <t>Review report completion</t>
        </is>
      </c>
      <c r="D22" s="6" t="n"/>
      <c r="E22" s="6" t="n"/>
      <c r="F22" s="6" t="n"/>
      <c r="G22" s="6" t="n"/>
      <c r="H22" s="6" t="n"/>
    </row>
    <row r="23">
      <c r="A23" s="5" t="inlineStr">
        <is>
          <t>PROC-020</t>
        </is>
      </c>
      <c r="B23" s="5" t="inlineStr">
        <is>
          <t>Approval</t>
        </is>
      </c>
      <c r="C23" s="5" t="inlineStr">
        <is>
          <t>Findings review with system owner</t>
        </is>
      </c>
      <c r="D23" s="6" t="n"/>
      <c r="E23" s="6" t="n"/>
      <c r="F23" s="6" t="n"/>
      <c r="G23" s="6" t="n"/>
      <c r="H23" s="6" t="n"/>
    </row>
    <row r="24">
      <c r="A24" s="5" t="inlineStr">
        <is>
          <t>PROC-021</t>
        </is>
      </c>
      <c r="B24" s="5" t="inlineStr">
        <is>
          <t>Approval</t>
        </is>
      </c>
      <c r="C24" s="5" t="inlineStr">
        <is>
          <t>Remediation plan agreement</t>
        </is>
      </c>
      <c r="D24" s="6" t="n"/>
      <c r="E24" s="6" t="n"/>
      <c r="F24" s="6" t="n"/>
      <c r="G24" s="6" t="n"/>
      <c r="H24" s="6" t="n"/>
    </row>
    <row r="25">
      <c r="A25" s="5" t="inlineStr">
        <is>
          <t>PROC-022</t>
        </is>
      </c>
      <c r="B25" s="5" t="inlineStr">
        <is>
          <t>Approval</t>
        </is>
      </c>
      <c r="C25" s="5" t="inlineStr">
        <is>
          <t>Approval decision and sign-off</t>
        </is>
      </c>
      <c r="D25" s="6" t="n"/>
      <c r="E25" s="6" t="n"/>
      <c r="F25" s="6" t="n"/>
      <c r="G25" s="6" t="n"/>
      <c r="H25" s="6" t="n"/>
    </row>
    <row r="26">
      <c r="A26" s="5" t="inlineStr">
        <is>
          <t>PROC-023</t>
        </is>
      </c>
      <c r="B26" s="5" t="inlineStr">
        <is>
          <t>Follow-up</t>
        </is>
      </c>
      <c r="C26" s="5" t="inlineStr">
        <is>
          <t>Finding tracking</t>
        </is>
      </c>
      <c r="D26" s="6" t="n"/>
      <c r="E26" s="6" t="n"/>
      <c r="F26" s="6" t="n"/>
      <c r="G26" s="6" t="n"/>
      <c r="H26" s="6" t="n"/>
    </row>
    <row r="27">
      <c r="A27" s="5" t="inlineStr">
        <is>
          <t>PROC-024</t>
        </is>
      </c>
      <c r="B27" s="5" t="inlineStr">
        <is>
          <t>Follow-up</t>
        </is>
      </c>
      <c r="C27" s="5" t="inlineStr">
        <is>
          <t>Remediation verification</t>
        </is>
      </c>
      <c r="D27" s="6" t="n"/>
      <c r="E27" s="6" t="n"/>
      <c r="F27" s="6" t="n"/>
      <c r="G27" s="6" t="n"/>
      <c r="H27" s="6" t="n"/>
    </row>
    <row r="28">
      <c r="A28" s="5" t="inlineStr">
        <is>
          <t>PROC-025</t>
        </is>
      </c>
      <c r="B28" s="5" t="inlineStr">
        <is>
          <t>Follow-up</t>
        </is>
      </c>
      <c r="C28" s="5" t="inlineStr">
        <is>
          <t>Lessons learned capture</t>
        </is>
      </c>
      <c r="D28" s="6" t="n"/>
      <c r="E28" s="6" t="n"/>
      <c r="F28" s="6" t="n"/>
      <c r="G28" s="6" t="n"/>
      <c r="H28" s="6" t="n"/>
    </row>
  </sheetData>
  <mergeCells count="1">
    <mergeCell ref="A1:H1"/>
  </mergeCells>
  <dataValidations count="3">
    <dataValidation sqref="D4:E28" showDropDown="0" showInputMessage="0" showErrorMessage="0" allowBlank="1" type="list">
      <formula1>"Yes,Partial,No"</formula1>
    </dataValidation>
    <dataValidation sqref="G4:G28" showDropDown="0" showInputMessage="0" showErrorMessage="0" allowBlank="1" type="list">
      <formula1>"1,2,3,4,5"</formula1>
    </dataValidation>
    <dataValidation sqref="B4:B28" showDropDown="0" showInputMessage="0" showErrorMessage="0" allowBlank="1" type="list">
      <formula1>"Trigger,Planning,Execution,Documentation,Approval,Follow-up"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12" customWidth="1" min="4" max="4"/>
    <col width="12" customWidth="1" min="5" max="5"/>
    <col width="12" customWidth="1" min="6" max="6"/>
    <col width="35" customWidth="1" min="7" max="7"/>
    <col width="25" customWidth="1" min="8" max="8"/>
  </cols>
  <sheetData>
    <row r="1" ht="30" customHeight="1">
      <c r="A1" s="1" t="inlineStr">
        <is>
          <t>Security Architecture Review - Templates Assessment</t>
        </is>
      </c>
    </row>
    <row r="3">
      <c r="A3" s="1" t="inlineStr">
        <is>
          <t>Temp-ID</t>
        </is>
      </c>
      <c r="B3" s="1" t="inlineStr">
        <is>
          <t>Template</t>
        </is>
      </c>
      <c r="C3" s="1" t="inlineStr">
        <is>
          <t>Version</t>
        </is>
      </c>
      <c r="D3" s="1" t="inlineStr">
        <is>
          <t>Last Updated</t>
        </is>
      </c>
      <c r="E3" s="1" t="inlineStr">
        <is>
          <t>Completeness</t>
        </is>
      </c>
      <c r="F3" s="1" t="inlineStr">
        <is>
          <t>Usability</t>
        </is>
      </c>
      <c r="G3" s="1" t="inlineStr">
        <is>
          <t>Gaps</t>
        </is>
      </c>
      <c r="H3" s="1" t="inlineStr">
        <is>
          <t>Notes</t>
        </is>
      </c>
    </row>
    <row r="4">
      <c r="A4" s="5" t="inlineStr">
        <is>
          <t>TEMP-001</t>
        </is>
      </c>
      <c r="B4" s="5" t="inlineStr">
        <is>
          <t>Security Architecture Document (SAD)</t>
        </is>
      </c>
      <c r="C4" s="6" t="n"/>
      <c r="D4" s="6" t="n"/>
      <c r="E4" s="6" t="n"/>
      <c r="F4" s="6" t="n"/>
      <c r="G4" s="6" t="n"/>
      <c r="H4" s="6" t="n"/>
    </row>
    <row r="5">
      <c r="A5" s="5" t="inlineStr">
        <is>
          <t>TEMP-002</t>
        </is>
      </c>
      <c r="B5" s="5" t="inlineStr">
        <is>
          <t>Threat Model Template</t>
        </is>
      </c>
      <c r="C5" s="6" t="n"/>
      <c r="D5" s="6" t="n"/>
      <c r="E5" s="6" t="n"/>
      <c r="F5" s="6" t="n"/>
      <c r="G5" s="6" t="n"/>
      <c r="H5" s="6" t="n"/>
    </row>
    <row r="6">
      <c r="A6" s="5" t="inlineStr">
        <is>
          <t>TEMP-003</t>
        </is>
      </c>
      <c r="B6" s="5" t="inlineStr">
        <is>
          <t>Architecture Review Checklist</t>
        </is>
      </c>
      <c r="C6" s="6" t="n"/>
      <c r="D6" s="6" t="n"/>
      <c r="E6" s="6" t="n"/>
      <c r="F6" s="6" t="n"/>
      <c r="G6" s="6" t="n"/>
      <c r="H6" s="6" t="n"/>
    </row>
    <row r="7">
      <c r="A7" s="5" t="inlineStr">
        <is>
          <t>TEMP-004</t>
        </is>
      </c>
      <c r="B7" s="5" t="inlineStr">
        <is>
          <t>Security Requirements Template</t>
        </is>
      </c>
      <c r="C7" s="6" t="n"/>
      <c r="D7" s="6" t="n"/>
      <c r="E7" s="6" t="n"/>
      <c r="F7" s="6" t="n"/>
      <c r="G7" s="6" t="n"/>
      <c r="H7" s="6" t="n"/>
    </row>
    <row r="8">
      <c r="A8" s="5" t="inlineStr">
        <is>
          <t>TEMP-005</t>
        </is>
      </c>
      <c r="B8" s="5" t="inlineStr">
        <is>
          <t>Risk Assessment Template</t>
        </is>
      </c>
      <c r="C8" s="6" t="n"/>
      <c r="D8" s="6" t="n"/>
      <c r="E8" s="6" t="n"/>
      <c r="F8" s="6" t="n"/>
      <c r="G8" s="6" t="n"/>
      <c r="H8" s="6" t="n"/>
    </row>
    <row r="9">
      <c r="A9" s="5" t="inlineStr">
        <is>
          <t>TEMP-006</t>
        </is>
      </c>
      <c r="B9" s="5" t="inlineStr">
        <is>
          <t>Architecture Decision Record (ADR)</t>
        </is>
      </c>
      <c r="C9" s="6" t="n"/>
      <c r="D9" s="6" t="n"/>
      <c r="E9" s="6" t="n"/>
      <c r="F9" s="6" t="n"/>
      <c r="G9" s="6" t="n"/>
      <c r="H9" s="6" t="n"/>
    </row>
    <row r="10">
      <c r="A10" s="5" t="inlineStr">
        <is>
          <t>TEMP-007</t>
        </is>
      </c>
      <c r="B10" s="5" t="inlineStr">
        <is>
          <t>Exception Request Form</t>
        </is>
      </c>
      <c r="C10" s="6" t="n"/>
      <c r="D10" s="6" t="n"/>
      <c r="E10" s="6" t="n"/>
      <c r="F10" s="6" t="n"/>
      <c r="G10" s="6" t="n"/>
      <c r="H10" s="6" t="n"/>
    </row>
    <row r="11">
      <c r="A11" s="5" t="inlineStr">
        <is>
          <t>TEMP-008</t>
        </is>
      </c>
      <c r="B11" s="5" t="inlineStr">
        <is>
          <t>Review Completion Report</t>
        </is>
      </c>
      <c r="C11" s="6" t="n"/>
      <c r="D11" s="6" t="n"/>
      <c r="E11" s="6" t="n"/>
      <c r="F11" s="6" t="n"/>
      <c r="G11" s="6" t="n"/>
      <c r="H11" s="6" t="n"/>
    </row>
  </sheetData>
  <mergeCells count="1">
    <mergeCell ref="A1:H1"/>
  </mergeCells>
  <dataValidations count="1">
    <dataValidation sqref="E4:F11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5" customWidth="1" min="3" max="3"/>
    <col width="12" customWidth="1" min="4" max="4"/>
    <col width="12" customWidth="1" min="5" max="5"/>
    <col width="12" customWidth="1" min="6" max="6"/>
    <col width="30" customWidth="1" min="7" max="7"/>
    <col width="25" customWidth="1" min="8" max="8"/>
  </cols>
  <sheetData>
    <row r="1" ht="30" customHeight="1">
      <c r="A1" s="1" t="inlineStr">
        <is>
          <t>Security Architecture Review - SDLC Integration Assessment</t>
        </is>
      </c>
    </row>
    <row r="3">
      <c r="A3" s="1" t="inlineStr">
        <is>
          <t>Int-ID</t>
        </is>
      </c>
      <c r="B3" s="1" t="inlineStr">
        <is>
          <t>Integration</t>
        </is>
      </c>
      <c r="C3" s="1" t="inlineStr">
        <is>
          <t>Trigger</t>
        </is>
      </c>
      <c r="D3" s="1" t="inlineStr">
        <is>
          <t>Automated</t>
        </is>
      </c>
      <c r="E3" s="1" t="inlineStr">
        <is>
          <t>Tracked</t>
        </is>
      </c>
      <c r="F3" s="1" t="inlineStr">
        <is>
          <t>Enforced</t>
        </is>
      </c>
      <c r="G3" s="1" t="inlineStr">
        <is>
          <t>Evidence</t>
        </is>
      </c>
      <c r="H3" s="1" t="inlineStr">
        <is>
          <t>Notes</t>
        </is>
      </c>
    </row>
    <row r="4">
      <c r="A4" s="5" t="inlineStr">
        <is>
          <t>INT-001</t>
        </is>
      </c>
      <c r="B4" s="5" t="inlineStr">
        <is>
          <t>Project initiation</t>
        </is>
      </c>
      <c r="C4" s="5" t="inlineStr">
        <is>
          <t>New project intake form triggers review assessment</t>
        </is>
      </c>
      <c r="D4" s="6" t="n"/>
      <c r="E4" s="6" t="n"/>
      <c r="F4" s="6" t="n"/>
      <c r="G4" s="6" t="n"/>
      <c r="H4" s="6" t="n"/>
    </row>
    <row r="5">
      <c r="A5" s="5" t="inlineStr">
        <is>
          <t>INT-002</t>
        </is>
      </c>
      <c r="B5" s="5" t="inlineStr">
        <is>
          <t>Architecture design phase</t>
        </is>
      </c>
      <c r="C5" s="5" t="inlineStr">
        <is>
          <t>Design milestone triggers security review</t>
        </is>
      </c>
      <c r="D5" s="6" t="n"/>
      <c r="E5" s="6" t="n"/>
      <c r="F5" s="6" t="n"/>
      <c r="G5" s="6" t="n"/>
      <c r="H5" s="6" t="n"/>
    </row>
    <row r="6">
      <c r="A6" s="5" t="inlineStr">
        <is>
          <t>INT-003</t>
        </is>
      </c>
      <c r="B6" s="5" t="inlineStr">
        <is>
          <t>Pre-development gate</t>
        </is>
      </c>
      <c r="C6" s="5" t="inlineStr">
        <is>
          <t>Development cannot start without review approval</t>
        </is>
      </c>
      <c r="D6" s="6" t="n"/>
      <c r="E6" s="6" t="n"/>
      <c r="F6" s="6" t="n"/>
      <c r="G6" s="6" t="n"/>
      <c r="H6" s="6" t="n"/>
    </row>
    <row r="7">
      <c r="A7" s="5" t="inlineStr">
        <is>
          <t>INT-004</t>
        </is>
      </c>
      <c r="B7" s="5" t="inlineStr">
        <is>
          <t>Pre-production release</t>
        </is>
      </c>
      <c r="C7" s="5" t="inlineStr">
        <is>
          <t>Release blocked without architecture sign-off</t>
        </is>
      </c>
      <c r="D7" s="6" t="n"/>
      <c r="E7" s="6" t="n"/>
      <c r="F7" s="6" t="n"/>
      <c r="G7" s="6" t="n"/>
      <c r="H7" s="6" t="n"/>
    </row>
    <row r="8">
      <c r="A8" s="5" t="inlineStr">
        <is>
          <t>INT-005</t>
        </is>
      </c>
      <c r="B8" s="5" t="inlineStr">
        <is>
          <t>Major change requests</t>
        </is>
      </c>
      <c r="C8" s="5" t="inlineStr">
        <is>
          <t>Significant changes trigger re-review</t>
        </is>
      </c>
      <c r="D8" s="6" t="n"/>
      <c r="E8" s="6" t="n"/>
      <c r="F8" s="6" t="n"/>
      <c r="G8" s="6" t="n"/>
      <c r="H8" s="6" t="n"/>
    </row>
    <row r="9">
      <c r="A9" s="5" t="inlineStr">
        <is>
          <t>INT-006</t>
        </is>
      </c>
      <c r="B9" s="5" t="inlineStr">
        <is>
          <t>Third-party integration</t>
        </is>
      </c>
      <c r="C9" s="5" t="inlineStr">
        <is>
          <t>External service integration requires review</t>
        </is>
      </c>
      <c r="D9" s="6" t="n"/>
      <c r="E9" s="6" t="n"/>
      <c r="F9" s="6" t="n"/>
      <c r="G9" s="6" t="n"/>
      <c r="H9" s="6" t="n"/>
    </row>
    <row r="10">
      <c r="A10" s="5" t="inlineStr">
        <is>
          <t>INT-007</t>
        </is>
      </c>
      <c r="B10" s="5" t="inlineStr">
        <is>
          <t>Cloud service adoption</t>
        </is>
      </c>
      <c r="C10" s="5" t="inlineStr">
        <is>
          <t>New cloud services require architecture review</t>
        </is>
      </c>
      <c r="D10" s="6" t="n"/>
      <c r="E10" s="6" t="n"/>
      <c r="F10" s="6" t="n"/>
      <c r="G10" s="6" t="n"/>
      <c r="H10" s="6" t="n"/>
    </row>
    <row r="11">
      <c r="A11" s="5" t="inlineStr">
        <is>
          <t>INT-008</t>
        </is>
      </c>
      <c r="B11" s="5" t="inlineStr">
        <is>
          <t>Post-incident review</t>
        </is>
      </c>
      <c r="C11" s="5" t="inlineStr">
        <is>
          <t>Security incidents may trigger architecture reassessment</t>
        </is>
      </c>
      <c r="D11" s="6" t="n"/>
      <c r="E11" s="6" t="n"/>
      <c r="F11" s="6" t="n"/>
      <c r="G11" s="6" t="n"/>
      <c r="H11" s="6" t="n"/>
    </row>
  </sheetData>
  <mergeCells count="1">
    <mergeCell ref="A1:H1"/>
  </mergeCells>
  <dataValidations count="1">
    <dataValidation sqref="D4:F11" showDropDown="0" showInputMessage="0" showErrorMessage="0" allowBlank="1" type="list">
      <formula1>"Yes,Partial,No"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12" customWidth="1" min="4" max="4"/>
    <col width="12" customWidth="1" min="5" max="5"/>
    <col width="10" customWidth="1" min="6" max="6"/>
    <col width="35" customWidth="1" min="7" max="7"/>
    <col width="25" customWidth="1" min="8" max="8"/>
  </cols>
  <sheetData>
    <row r="1" ht="30" customHeight="1">
      <c r="A1" s="1" t="inlineStr">
        <is>
          <t>Security Architecture Review - Effectiveness Metrics</t>
        </is>
      </c>
    </row>
    <row r="3">
      <c r="A3" s="1" t="inlineStr">
        <is>
          <t>Met-ID</t>
        </is>
      </c>
      <c r="B3" s="1" t="inlineStr">
        <is>
          <t>Metric</t>
        </is>
      </c>
      <c r="C3" s="1" t="inlineStr">
        <is>
          <t>Period</t>
        </is>
      </c>
      <c r="D3" s="1" t="inlineStr">
        <is>
          <t>Target</t>
        </is>
      </c>
      <c r="E3" s="1" t="inlineStr">
        <is>
          <t>Actual</t>
        </is>
      </c>
      <c r="F3" s="1" t="inlineStr">
        <is>
          <t>Trend</t>
        </is>
      </c>
      <c r="G3" s="1" t="inlineStr">
        <is>
          <t>Action</t>
        </is>
      </c>
      <c r="H3" s="1" t="inlineStr">
        <is>
          <t>Notes</t>
        </is>
      </c>
    </row>
    <row r="4">
      <c r="A4" s="5" t="inlineStr">
        <is>
          <t>MET-001</t>
        </is>
      </c>
      <c r="B4" s="5" t="inlineStr">
        <is>
          <t>Review coverage (% applicable projects reviewed)</t>
        </is>
      </c>
      <c r="C4" s="6" t="n"/>
      <c r="D4" s="6" t="inlineStr">
        <is>
          <t>100%</t>
        </is>
      </c>
      <c r="E4" s="6" t="n"/>
      <c r="F4" s="6" t="n"/>
      <c r="G4" s="6" t="n"/>
      <c r="H4" s="6" t="n"/>
    </row>
    <row r="5">
      <c r="A5" s="5" t="inlineStr">
        <is>
          <t>MET-002</t>
        </is>
      </c>
      <c r="B5" s="5" t="inlineStr">
        <is>
          <t>Review timeliness (days from trigger to completion)</t>
        </is>
      </c>
      <c r="C5" s="6" t="n"/>
      <c r="D5" s="6" t="inlineStr">
        <is>
          <t>&lt;10 days</t>
        </is>
      </c>
      <c r="E5" s="6" t="n"/>
      <c r="F5" s="6" t="n"/>
      <c r="G5" s="6" t="n"/>
      <c r="H5" s="6" t="n"/>
    </row>
    <row r="6">
      <c r="A6" s="5" t="inlineStr">
        <is>
          <t>MET-003</t>
        </is>
      </c>
      <c r="B6" s="5" t="inlineStr">
        <is>
          <t>Finding closure rate (% high findings closed before release)</t>
        </is>
      </c>
      <c r="C6" s="6" t="n"/>
      <c r="D6" s="6" t="inlineStr">
        <is>
          <t>100%</t>
        </is>
      </c>
      <c r="E6" s="6" t="n"/>
      <c r="F6" s="6" t="n"/>
      <c r="G6" s="6" t="n"/>
      <c r="H6" s="6" t="n"/>
    </row>
    <row r="7">
      <c r="A7" s="5" t="inlineStr">
        <is>
          <t>MET-004</t>
        </is>
      </c>
      <c r="B7" s="5" t="inlineStr">
        <is>
          <t>Bypass rate (% projects bypassing review)</t>
        </is>
      </c>
      <c r="C7" s="6" t="n"/>
      <c r="D7" s="6" t="inlineStr">
        <is>
          <t>0%</t>
        </is>
      </c>
      <c r="E7" s="6" t="n"/>
      <c r="F7" s="6" t="n"/>
      <c r="G7" s="6" t="n"/>
      <c r="H7" s="6" t="n"/>
    </row>
    <row r="8">
      <c r="A8" s="5" t="inlineStr">
        <is>
          <t>MET-005</t>
        </is>
      </c>
      <c r="B8" s="5" t="inlineStr">
        <is>
          <t>Rework rate (% requiring re-review)</t>
        </is>
      </c>
      <c r="C8" s="6" t="n"/>
      <c r="D8" s="6" t="inlineStr">
        <is>
          <t>&lt;10%</t>
        </is>
      </c>
      <c r="E8" s="6" t="n"/>
      <c r="F8" s="6" t="n"/>
      <c r="G8" s="6" t="n"/>
      <c r="H8" s="6" t="n"/>
    </row>
    <row r="9">
      <c r="A9" s="5" t="inlineStr">
        <is>
          <t>MET-006</t>
        </is>
      </c>
      <c r="B9" s="5" t="inlineStr">
        <is>
          <t>Template compliance (% using approved templates)</t>
        </is>
      </c>
      <c r="C9" s="6" t="n"/>
      <c r="D9" s="6" t="inlineStr">
        <is>
          <t>100%</t>
        </is>
      </c>
      <c r="E9" s="6" t="n"/>
      <c r="F9" s="6" t="n"/>
      <c r="G9" s="6" t="n"/>
      <c r="H9" s="6" t="n"/>
    </row>
    <row r="10">
      <c r="A10" s="5" t="inlineStr">
        <is>
          <t>MET-007</t>
        </is>
      </c>
      <c r="B10" s="5" t="inlineStr">
        <is>
          <t>Documentation completeness (average score)</t>
        </is>
      </c>
      <c r="C10" s="6" t="n"/>
      <c r="D10" s="6" t="inlineStr">
        <is>
          <t>4.0/5</t>
        </is>
      </c>
      <c r="E10" s="6" t="n"/>
      <c r="F10" s="6" t="n"/>
      <c r="G10" s="6" t="n"/>
      <c r="H10" s="6" t="n"/>
    </row>
    <row r="11">
      <c r="A11" s="5" t="inlineStr">
        <is>
          <t>MET-008</t>
        </is>
      </c>
      <c r="B11" s="5" t="inlineStr">
        <is>
          <t>Stakeholder satisfaction (survey score)</t>
        </is>
      </c>
      <c r="C11" s="6" t="n"/>
      <c r="D11" s="6" t="inlineStr">
        <is>
          <t>4.0/5</t>
        </is>
      </c>
      <c r="E11" s="6" t="n"/>
      <c r="F11" s="6" t="n"/>
      <c r="G11" s="6" t="n"/>
      <c r="H11" s="6" t="n"/>
    </row>
    <row r="12">
      <c r="A12" s="5" t="inlineStr">
        <is>
          <t>MET-009</t>
        </is>
      </c>
      <c r="B12" s="5" t="inlineStr">
        <is>
          <t>Time to approval (days from submission)</t>
        </is>
      </c>
      <c r="C12" s="6" t="n"/>
      <c r="D12" s="6" t="inlineStr">
        <is>
          <t>&lt;5 days</t>
        </is>
      </c>
      <c r="E12" s="6" t="n"/>
      <c r="F12" s="6" t="n"/>
      <c r="G12" s="6" t="n"/>
      <c r="H12" s="6" t="n"/>
    </row>
    <row r="13">
      <c r="A13" s="5" t="inlineStr">
        <is>
          <t>MET-010</t>
        </is>
      </c>
      <c r="B13" s="5" t="inlineStr">
        <is>
          <t>Finding recurrence (% findings repeating)</t>
        </is>
      </c>
      <c r="C13" s="6" t="n"/>
      <c r="D13" s="6" t="inlineStr">
        <is>
          <t>&lt;5%</t>
        </is>
      </c>
      <c r="E13" s="6" t="n"/>
      <c r="F13" s="6" t="n"/>
      <c r="G13" s="6" t="n"/>
      <c r="H13" s="6" t="n"/>
    </row>
  </sheetData>
  <mergeCells count="1">
    <mergeCell ref="A1:H1"/>
  </mergeCells>
  <dataValidations count="1">
    <dataValidation sqref="F4:F13" showDropDown="0" showInputMessage="0" showErrorMessage="0" allowBlank="1" type="list">
      <formula1>"Up,Down,Stable"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0" customWidth="1" min="3" max="3"/>
    <col width="12" customWidth="1" min="4" max="4"/>
    <col width="35" customWidth="1" min="5" max="5"/>
    <col width="10" customWidth="1" min="6" max="6"/>
    <col width="25" customWidth="1" min="7" max="7"/>
  </cols>
  <sheetData>
    <row r="1" ht="30" customHeight="1">
      <c r="A1" s="1" t="inlineStr">
        <is>
          <t>Security Architecture Review - Policy Compliance Scoring</t>
        </is>
      </c>
    </row>
    <row r="3">
      <c r="A3" s="1" t="inlineStr">
        <is>
          <t>Comp-ID</t>
        </is>
      </c>
      <c r="B3" s="1" t="inlineStr">
        <is>
          <t>Requirement</t>
        </is>
      </c>
      <c r="C3" s="1" t="inlineStr">
        <is>
          <t>Source</t>
        </is>
      </c>
      <c r="D3" s="1" t="inlineStr">
        <is>
          <t>Compliant</t>
        </is>
      </c>
      <c r="E3" s="1" t="inlineStr">
        <is>
          <t>Evidence</t>
        </is>
      </c>
      <c r="F3" s="1" t="inlineStr">
        <is>
          <t>Score</t>
        </is>
      </c>
      <c r="G3" s="1" t="inlineStr">
        <is>
          <t>Notes</t>
        </is>
      </c>
    </row>
    <row r="4">
      <c r="A4" s="5" t="inlineStr">
        <is>
          <t>COMP-001</t>
        </is>
      </c>
      <c r="B4" s="5" t="inlineStr">
        <is>
          <t>Security architecture review policy documented</t>
        </is>
      </c>
      <c r="C4" s="5" t="inlineStr">
        <is>
          <t>POL-A.8.27 §2.2</t>
        </is>
      </c>
      <c r="D4" s="6" t="n"/>
      <c r="E4" s="6" t="n"/>
      <c r="F4" s="7">
        <f>IF(D4="Yes",100,IF(D4="Partial",50,0))</f>
        <v/>
      </c>
      <c r="G4" s="6" t="n"/>
    </row>
    <row r="5">
      <c r="A5" s="5" t="inlineStr">
        <is>
          <t>COMP-002</t>
        </is>
      </c>
      <c r="B5" s="5" t="inlineStr">
        <is>
          <t>Review triggers defined for new systems</t>
        </is>
      </c>
      <c r="C5" s="5" t="inlineStr">
        <is>
          <t>POL-A.8.27 §2.2.1</t>
        </is>
      </c>
      <c r="D5" s="6" t="n"/>
      <c r="E5" s="6" t="n"/>
      <c r="F5" s="7">
        <f>IF(D5="Yes",100,IF(D5="Partial",50,0))</f>
        <v/>
      </c>
      <c r="G5" s="6" t="n"/>
    </row>
    <row r="6">
      <c r="A6" s="5" t="inlineStr">
        <is>
          <t>COMP-003</t>
        </is>
      </c>
      <c r="B6" s="5" t="inlineStr">
        <is>
          <t>Review triggers defined for major changes</t>
        </is>
      </c>
      <c r="C6" s="5" t="inlineStr">
        <is>
          <t>POL-A.8.27 §2.2.1</t>
        </is>
      </c>
      <c r="D6" s="6" t="n"/>
      <c r="E6" s="6" t="n"/>
      <c r="F6" s="7">
        <f>IF(D6="Yes",100,IF(D6="Partial",50,0))</f>
        <v/>
      </c>
      <c r="G6" s="6" t="n"/>
    </row>
    <row r="7">
      <c r="A7" s="5" t="inlineStr">
        <is>
          <t>COMP-004</t>
        </is>
      </c>
      <c r="B7" s="5" t="inlineStr">
        <is>
          <t>Threat modelling methodology adopted</t>
        </is>
      </c>
      <c r="C7" s="5" t="inlineStr">
        <is>
          <t>POL-A.8.27 §2.2.1</t>
        </is>
      </c>
      <c r="D7" s="6" t="n"/>
      <c r="E7" s="6" t="n"/>
      <c r="F7" s="7">
        <f>IF(D7="Yes",100,IF(D7="Partial",50,0))</f>
        <v/>
      </c>
      <c r="G7" s="6" t="n"/>
    </row>
    <row r="8">
      <c r="A8" s="5" t="inlineStr">
        <is>
          <t>COMP-005</t>
        </is>
      </c>
      <c r="B8" s="5" t="inlineStr">
        <is>
          <t>Security requirements validation required</t>
        </is>
      </c>
      <c r="C8" s="5" t="inlineStr">
        <is>
          <t>POL-A.8.27 §2.2.1</t>
        </is>
      </c>
      <c r="D8" s="6" t="n"/>
      <c r="E8" s="6" t="n"/>
      <c r="F8" s="7">
        <f>IF(D8="Yes",100,IF(D8="Partial",50,0))</f>
        <v/>
      </c>
      <c r="G8" s="6" t="n"/>
    </row>
    <row r="9">
      <c r="A9" s="5" t="inlineStr">
        <is>
          <t>COMP-006</t>
        </is>
      </c>
      <c r="B9" s="5" t="inlineStr">
        <is>
          <t>Pattern compliance review required</t>
        </is>
      </c>
      <c r="C9" s="5" t="inlineStr">
        <is>
          <t>POL-A.8.27 §2.2.1</t>
        </is>
      </c>
      <c r="D9" s="6" t="n"/>
      <c r="E9" s="6" t="n"/>
      <c r="F9" s="7">
        <f>IF(D9="Yes",100,IF(D9="Partial",50,0))</f>
        <v/>
      </c>
      <c r="G9" s="6" t="n"/>
    </row>
    <row r="10">
      <c r="A10" s="5" t="inlineStr">
        <is>
          <t>COMP-007</t>
        </is>
      </c>
      <c r="B10" s="5" t="inlineStr">
        <is>
          <t>Defence in depth assessment required</t>
        </is>
      </c>
      <c r="C10" s="5" t="inlineStr">
        <is>
          <t>POL-A.8.27 §2.2.1</t>
        </is>
      </c>
      <c r="D10" s="6" t="n"/>
      <c r="E10" s="6" t="n"/>
      <c r="F10" s="7">
        <f>IF(D10="Yes",100,IF(D10="Partial",50,0))</f>
        <v/>
      </c>
      <c r="G10" s="6" t="n"/>
    </row>
    <row r="11">
      <c r="A11" s="5" t="inlineStr">
        <is>
          <t>COMP-008</t>
        </is>
      </c>
      <c r="B11" s="5" t="inlineStr">
        <is>
          <t>Risk assessment and documentation required</t>
        </is>
      </c>
      <c r="C11" s="5" t="inlineStr">
        <is>
          <t>POL-A.8.27 §2.2.1</t>
        </is>
      </c>
      <c r="D11" s="6" t="n"/>
      <c r="E11" s="6" t="n"/>
      <c r="F11" s="7">
        <f>IF(D11="Yes",100,IF(D11="Partial",50,0))</f>
        <v/>
      </c>
      <c r="G11" s="6" t="n"/>
    </row>
    <row r="12">
      <c r="A12" s="5" t="inlineStr">
        <is>
          <t>COMP-009</t>
        </is>
      </c>
      <c r="B12" s="5" t="inlineStr">
        <is>
          <t>CISO/Security Architect approval required</t>
        </is>
      </c>
      <c r="C12" s="5" t="inlineStr">
        <is>
          <t>POL-A.8.27 §2.2.1</t>
        </is>
      </c>
      <c r="D12" s="6" t="n"/>
      <c r="E12" s="6" t="n"/>
      <c r="F12" s="7">
        <f>IF(D12="Yes",100,IF(D12="Partial",50,0))</f>
        <v/>
      </c>
      <c r="G12" s="6" t="n"/>
    </row>
    <row r="13">
      <c r="A13" s="5" t="inlineStr">
        <is>
          <t>COMP-010</t>
        </is>
      </c>
      <c r="B13" s="5" t="inlineStr">
        <is>
          <t>SAD documentation required</t>
        </is>
      </c>
      <c r="C13" s="5" t="inlineStr">
        <is>
          <t>POL-A.8.27 §2.2.1</t>
        </is>
      </c>
      <c r="D13" s="6" t="n"/>
      <c r="E13" s="6" t="n"/>
      <c r="F13" s="7">
        <f>IF(D13="Yes",100,IF(D13="Partial",50,0))</f>
        <v/>
      </c>
      <c r="G13" s="6" t="n"/>
    </row>
    <row r="14">
      <c r="A14" s="5" t="inlineStr">
        <is>
          <t>COMP-011</t>
        </is>
      </c>
      <c r="B14" s="5" t="inlineStr">
        <is>
          <t>Threat Model Report required</t>
        </is>
      </c>
      <c r="C14" s="5" t="inlineStr">
        <is>
          <t>POL-A.8.27 §2.2.1</t>
        </is>
      </c>
      <c r="D14" s="6" t="n"/>
      <c r="E14" s="6" t="n"/>
      <c r="F14" s="7">
        <f>IF(D14="Yes",100,IF(D14="Partial",50,0))</f>
        <v/>
      </c>
      <c r="G14" s="6" t="n"/>
    </row>
    <row r="15">
      <c r="A15" s="5" t="inlineStr">
        <is>
          <t>COMP-012</t>
        </is>
      </c>
      <c r="B15" s="5" t="inlineStr">
        <is>
          <t>Security Requirements Traceability Matrix</t>
        </is>
      </c>
      <c r="C15" s="5" t="inlineStr">
        <is>
          <t>POL-A.8.27 §2.2.1</t>
        </is>
      </c>
      <c r="D15" s="6" t="n"/>
      <c r="E15" s="6" t="n"/>
      <c r="F15" s="7">
        <f>IF(D15="Yes",100,IF(D15="Partial",50,0))</f>
        <v/>
      </c>
      <c r="G15" s="6" t="n"/>
    </row>
    <row r="16">
      <c r="A16" s="5" t="inlineStr">
        <is>
          <t>COMP-013</t>
        </is>
      </c>
      <c r="B16" s="5" t="inlineStr">
        <is>
          <t>Risk Assessment and Treatment Plan</t>
        </is>
      </c>
      <c r="C16" s="5" t="inlineStr">
        <is>
          <t>POL-A.8.27 §2.2.1</t>
        </is>
      </c>
      <c r="D16" s="6" t="n"/>
      <c r="E16" s="6" t="n"/>
      <c r="F16" s="7">
        <f>IF(D16="Yes",100,IF(D16="Partial",50,0))</f>
        <v/>
      </c>
      <c r="G16" s="6" t="n"/>
    </row>
    <row r="17">
      <c r="A17" s="5" t="inlineStr">
        <is>
          <t>COMP-014</t>
        </is>
      </c>
      <c r="B17" s="5" t="inlineStr">
        <is>
          <t>Architecture approval record</t>
        </is>
      </c>
      <c r="C17" s="5" t="inlineStr">
        <is>
          <t>POL-A.8.27 §2.2.1</t>
        </is>
      </c>
      <c r="D17" s="6" t="n"/>
      <c r="E17" s="6" t="n"/>
      <c r="F17" s="7">
        <f>IF(D17="Yes",100,IF(D17="Partial",50,0))</f>
        <v/>
      </c>
      <c r="G17" s="6" t="n"/>
    </row>
    <row r="18">
      <c r="A18" s="5" t="inlineStr">
        <is>
          <t>COMP-015</t>
        </is>
      </c>
      <c r="B18" s="5" t="inlineStr">
        <is>
          <t>Third-party architecture requirements</t>
        </is>
      </c>
      <c r="C18" s="5" t="inlineStr">
        <is>
          <t>POL-A.8.27 §2.2.3</t>
        </is>
      </c>
      <c r="D18" s="6" t="n"/>
      <c r="E18" s="6" t="n"/>
      <c r="F18" s="7">
        <f>IF(D18="Yes",100,IF(D18="Partial",50,0))</f>
        <v/>
      </c>
      <c r="G18" s="6" t="n"/>
    </row>
    <row r="19">
      <c r="A19" s="5" t="inlineStr">
        <is>
          <t>COMP-016</t>
        </is>
      </c>
      <c r="B19" s="5" t="inlineStr">
        <is>
          <t>Acquired systems security review</t>
        </is>
      </c>
      <c r="C19" s="5" t="inlineStr">
        <is>
          <t>POL-A.8.27 §2.2.3</t>
        </is>
      </c>
      <c r="D19" s="6" t="n"/>
      <c r="E19" s="6" t="n"/>
      <c r="F19" s="7">
        <f>IF(D19="Yes",100,IF(D19="Partial",50,0))</f>
        <v/>
      </c>
      <c r="G19" s="6" t="n"/>
    </row>
    <row r="20">
      <c r="A20" s="5" t="inlineStr">
        <is>
          <t>COMP-017</t>
        </is>
      </c>
      <c r="B20" s="5" t="inlineStr">
        <is>
          <t>Secure pattern catalogue maintained</t>
        </is>
      </c>
      <c r="C20" s="5" t="inlineStr">
        <is>
          <t>POL-A.8.27 §2.2.2</t>
        </is>
      </c>
      <c r="D20" s="6" t="n"/>
      <c r="E20" s="6" t="n"/>
      <c r="F20" s="7">
        <f>IF(D20="Yes",100,IF(D20="Partial",50,0))</f>
        <v/>
      </c>
      <c r="G20" s="6" t="n"/>
    </row>
    <row r="21">
      <c r="A21" s="5" t="inlineStr">
        <is>
          <t>COMP-018</t>
        </is>
      </c>
      <c r="B21" s="5" t="inlineStr">
        <is>
          <t>Pattern deviation requires approval</t>
        </is>
      </c>
      <c r="C21" s="5" t="inlineStr">
        <is>
          <t>POL-A.8.27 §2.2.2</t>
        </is>
      </c>
      <c r="D21" s="6" t="n"/>
      <c r="E21" s="6" t="n"/>
      <c r="F21" s="7">
        <f>IF(D21="Yes",100,IF(D21="Partial",50,0))</f>
        <v/>
      </c>
      <c r="G21" s="6" t="n"/>
    </row>
    <row r="22">
      <c r="A22" s="5" t="inlineStr">
        <is>
          <t>COMP-019</t>
        </is>
      </c>
      <c r="B22" s="5" t="inlineStr">
        <is>
          <t>Annual pattern review conducted</t>
        </is>
      </c>
      <c r="C22" s="5" t="inlineStr">
        <is>
          <t>POL-A.8.27 §2.2.2</t>
        </is>
      </c>
      <c r="D22" s="6" t="n"/>
      <c r="E22" s="6" t="n"/>
      <c r="F22" s="7">
        <f>IF(D22="Yes",100,IF(D22="Partial",50,0))</f>
        <v/>
      </c>
      <c r="G22" s="6" t="n"/>
    </row>
    <row r="23">
      <c r="A23" s="5" t="inlineStr">
        <is>
          <t>COMP-020</t>
        </is>
      </c>
      <c r="B23" s="5" t="inlineStr">
        <is>
          <t>Architecture review metrics tracked</t>
        </is>
      </c>
      <c r="C23" s="5" t="inlineStr">
        <is>
          <t>POL-A.8.27 §4</t>
        </is>
      </c>
      <c r="D23" s="6" t="n"/>
      <c r="E23" s="6" t="n"/>
      <c r="F23" s="7">
        <f>IF(D23="Yes",100,IF(D23="Partial",50,0))</f>
        <v/>
      </c>
      <c r="G23" s="6" t="n"/>
    </row>
    <row r="25">
      <c r="E25" s="2" t="inlineStr">
        <is>
          <t>Overall Compliance Score:</t>
        </is>
      </c>
      <c r="F25" s="7">
        <f>AVERAGE(F4:F23)</f>
        <v/>
      </c>
    </row>
  </sheetData>
  <mergeCells count="1">
    <mergeCell ref="A1:G1"/>
  </mergeCells>
  <dataValidations count="1">
    <dataValidation sqref="D4:D23" showDropDown="0" showInputMessage="0" showErrorMessage="0" allowBlank="1" type="list">
      <formula1>"Yes,Partial,No"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40" customWidth="1" min="3" max="3"/>
    <col width="10" customWidth="1" min="4" max="4"/>
    <col width="40" customWidth="1" min="5" max="5"/>
    <col width="20" customWidth="1" min="6" max="6"/>
    <col width="12" customWidth="1" min="7" max="7"/>
    <col width="12" customWidth="1" min="8" max="8"/>
    <col width="12" customWidth="1" min="9" max="9"/>
    <col width="25" customWidth="1" min="10" max="10"/>
  </cols>
  <sheetData>
    <row r="1" ht="30" customHeight="1">
      <c r="A1" s="1" t="inlineStr">
        <is>
          <t>Security Architecture Review - Gap Register</t>
        </is>
      </c>
    </row>
    <row r="3">
      <c r="A3" s="1" t="inlineStr">
        <is>
          <t>Gap-ID</t>
        </is>
      </c>
      <c r="B3" s="1" t="inlineStr">
        <is>
          <t>Source</t>
        </is>
      </c>
      <c r="C3" s="1" t="inlineStr">
        <is>
          <t>Description</t>
        </is>
      </c>
      <c r="D3" s="1" t="inlineStr">
        <is>
          <t>Risk</t>
        </is>
      </c>
      <c r="E3" s="1" t="inlineStr">
        <is>
          <t>Remediation</t>
        </is>
      </c>
      <c r="F3" s="1" t="inlineStr">
        <is>
          <t>Owner</t>
        </is>
      </c>
      <c r="G3" s="1" t="inlineStr">
        <is>
          <t>Due Date</t>
        </is>
      </c>
      <c r="H3" s="1" t="inlineStr">
        <is>
          <t>Status</t>
        </is>
      </c>
      <c r="I3" s="1" t="inlineStr">
        <is>
          <t>Closure Date</t>
        </is>
      </c>
      <c r="J3" s="1" t="inlineStr">
        <is>
          <t>Notes</t>
        </is>
      </c>
    </row>
    <row r="4">
      <c r="A4" s="5" t="inlineStr">
        <is>
          <t>GAP-001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>
      <c r="A5" s="5" t="inlineStr">
        <is>
          <t>GAP-002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5" t="inlineStr">
        <is>
          <t>GAP-003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5" t="inlineStr">
        <is>
          <t>GAP-004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5" t="inlineStr">
        <is>
          <t>GAP-005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5" t="inlineStr">
        <is>
          <t>GAP-006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5" t="inlineStr">
        <is>
          <t>GAP-007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5" t="inlineStr">
        <is>
          <t>GAP-008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5" t="inlineStr">
        <is>
          <t>GAP-009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5" t="inlineStr">
        <is>
          <t>GAP-010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5" t="inlineStr">
        <is>
          <t>GAP-011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5" t="inlineStr">
        <is>
          <t>GAP-012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5" t="inlineStr">
        <is>
          <t>GAP-013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5" t="inlineStr">
        <is>
          <t>GAP-014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5" t="inlineStr">
        <is>
          <t>GAP-015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5" t="inlineStr">
        <is>
          <t>GAP-016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5" t="inlineStr">
        <is>
          <t>GAP-017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5" t="inlineStr">
        <is>
          <t>GAP-018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5" t="inlineStr">
        <is>
          <t>GAP-019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5" t="inlineStr">
        <is>
          <t>GAP-020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</sheetData>
  <mergeCells count="1">
    <mergeCell ref="A1:J1"/>
  </mergeCells>
  <dataValidations count="3">
    <dataValidation sqref="D4:D23" showDropDown="0" showInputMessage="0" showErrorMessage="0" allowBlank="1" type="list">
      <formula1>"High,Medium,Low"</formula1>
    </dataValidation>
    <dataValidation sqref="H4:H23" showDropDown="0" showInputMessage="0" showErrorMessage="0" allowBlank="1" type="list">
      <formula1>"Open,In Progress,Closed"</formula1>
    </dataValidation>
    <dataValidation sqref="B4:B23" showDropDown="0" showInputMessage="0" showErrorMessage="0" allowBlank="1" type="list">
      <formula1>"Governance,Process,Templates,Integration,Metrics,Compliance"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30" customHeight="1">
      <c r="A1" s="1" t="inlineStr">
        <is>
          <t>Security Architecture Review - Assessment Dashboard</t>
        </is>
      </c>
    </row>
    <row r="3">
      <c r="A3" s="2" t="inlineStr">
        <is>
          <t>Assessment Summary</t>
        </is>
      </c>
      <c r="B3" s="3" t="n"/>
      <c r="C3" s="3" t="n"/>
      <c r="D3" s="3" t="n"/>
      <c r="E3" s="3" t="n"/>
      <c r="F3" s="4" t="n"/>
    </row>
    <row r="4">
      <c r="A4" s="5" t="inlineStr">
        <is>
          <t>Assessment Date</t>
        </is>
      </c>
      <c r="B4" s="6" t="inlineStr">
        <is>
          <t>10.02.2026</t>
        </is>
      </c>
    </row>
    <row r="5">
      <c r="A5" s="5" t="inlineStr">
        <is>
          <t>Organisation</t>
        </is>
      </c>
      <c r="B5" s="6" t="inlineStr">
        <is>
          <t>[Organisation]</t>
        </is>
      </c>
    </row>
    <row r="6">
      <c r="A6" s="5" t="inlineStr">
        <is>
          <t>Control Reference</t>
        </is>
      </c>
      <c r="B6" s="6" t="inlineStr">
        <is>
          <t>ISO/IEC 27001:2022 - Control A.8.27: Secure System Architecture and Engineering Principles</t>
        </is>
      </c>
    </row>
    <row r="7">
      <c r="A7" s="5" t="inlineStr">
        <is>
          <t>Overall Compliance Score</t>
        </is>
      </c>
      <c r="B7" s="7">
        <f>Compliance!F25</f>
        <v/>
      </c>
    </row>
    <row r="9">
      <c r="A9" s="2" t="inlineStr">
        <is>
          <t>Gap Summary</t>
        </is>
      </c>
      <c r="B9" s="3" t="n"/>
      <c r="C9" s="3" t="n"/>
      <c r="D9" s="3" t="n"/>
      <c r="E9" s="3" t="n"/>
      <c r="F9" s="4" t="n"/>
    </row>
    <row r="10">
      <c r="A10" s="5" t="inlineStr">
        <is>
          <t>High Risk Gaps</t>
        </is>
      </c>
      <c r="B10" s="7">
        <f>COUNTIF(GapRegister!D:D,"High")</f>
        <v/>
      </c>
    </row>
    <row r="11">
      <c r="A11" s="5" t="inlineStr">
        <is>
          <t>Medium Risk Gaps</t>
        </is>
      </c>
      <c r="B11" s="7">
        <f>COUNTIF(GapRegister!D:D,"Medium")</f>
        <v/>
      </c>
    </row>
    <row r="12">
      <c r="A12" s="5" t="inlineStr">
        <is>
          <t>Low Risk Gaps</t>
        </is>
      </c>
      <c r="B12" s="7">
        <f>COUNTIF(GapRegister!D:D,"Low")</f>
        <v/>
      </c>
    </row>
    <row r="13">
      <c r="A13" s="5" t="inlineStr">
        <is>
          <t>Open Gaps</t>
        </is>
      </c>
      <c r="B13" s="7">
        <f>COUNTIF(GapRegister!H:H,"Open")</f>
        <v/>
      </c>
    </row>
    <row r="14">
      <c r="A14" s="5" t="inlineStr">
        <is>
          <t>In Progress Gaps</t>
        </is>
      </c>
      <c r="B14" s="7">
        <f>COUNTIF(GapRegister!H:H,"In Progress")</f>
        <v/>
      </c>
    </row>
    <row r="15">
      <c r="A15" s="5" t="inlineStr">
        <is>
          <t>Closed Gaps</t>
        </is>
      </c>
      <c r="B15" s="7">
        <f>COUNTIF(GapRegister!H:H,"Closed")</f>
        <v/>
      </c>
    </row>
  </sheetData>
  <mergeCells count="3">
    <mergeCell ref="A3:F3"/>
    <mergeCell ref="A1:F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2026-02-10T16:06:42Z</dcterms:created>
  <dcterms:modified xmlns:dcterms="http://purl.org/dc/terms/" xmlns:xsi="http://www.w3.org/2001/XMLSchema-instance" xsi:type="dcterms:W3CDTF">2026-02-10T16:06:42Z</dcterms:modified>
</cp:coreProperties>
</file>