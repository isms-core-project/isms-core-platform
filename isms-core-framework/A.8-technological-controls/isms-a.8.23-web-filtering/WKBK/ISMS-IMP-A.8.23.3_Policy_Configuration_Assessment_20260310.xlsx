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hreat Protection" sheetId="2" state="visible" r:id="rId2"/>
    <sheet xmlns:r="http://schemas.openxmlformats.org/officeDocument/2006/relationships" name="Category Management" sheetId="3" state="visible" r:id="rId3"/>
    <sheet xmlns:r="http://schemas.openxmlformats.org/officeDocument/2006/relationships" name="Custom Lists" sheetId="4" state="visible" r:id="rId4"/>
    <sheet xmlns:r="http://schemas.openxmlformats.org/officeDocument/2006/relationships" name="Policy Exceptions" sheetId="5" state="visible" r:id="rId5"/>
    <sheet xmlns:r="http://schemas.openxmlformats.org/officeDocument/2006/relationships" name="User Group Policies" sheetId="6" state="visible" r:id="rId6"/>
    <sheet xmlns:r="http://schemas.openxmlformats.org/officeDocument/2006/relationships" name="Acceptable Use Alignment" sheetId="7" state="visible" r:id="rId7"/>
    <sheet xmlns:r="http://schemas.openxmlformats.org/officeDocument/2006/relationships" name="Policy Review Process" sheetId="8" state="visible" r:id="rId8"/>
    <sheet xmlns:r="http://schemas.openxmlformats.org/officeDocument/2006/relationships" name="Evidence Register" sheetId="9" state="visible" r:id="rId9"/>
    <sheet xmlns:r="http://schemas.openxmlformats.org/officeDocument/2006/relationships" name="Gap Analysis"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6">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sz val="9"/>
    </font>
    <font>
      <b val="1"/>
      <color rgb="00FFFFFF"/>
      <sz val="11"/>
    </font>
    <font>
      <b val="1"/>
    </font>
    <font>
      <b val="1"/>
      <color rgb="00C00000"/>
      <sz val="10"/>
    </font>
    <font>
      <b val="1"/>
      <color rgb="000000FF"/>
    </font>
    <font>
      <b val="1"/>
      <color rgb="00C00000"/>
    </font>
    <font>
      <b val="1"/>
      <sz val="10"/>
    </font>
    <font>
      <b val="1"/>
      <sz val="11"/>
    </font>
    <font>
      <b val="1"/>
      <color rgb="000000FF"/>
      <sz val="12"/>
    </font>
    <font>
      <b val="1"/>
      <color rgb="00000000"/>
    </font>
    <font>
      <name val="Calibri"/>
      <i val="1"/>
      <color rgb="00003366"/>
      <sz val="1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0" borderId="0" pivotButton="0" quotePrefix="0" xfId="0"/>
    <xf numFmtId="0" fontId="0" fillId="9" borderId="1" pivotButton="0" quotePrefix="0" xfId="0"/>
    <xf numFmtId="0" fontId="8" fillId="10" borderId="0" applyAlignment="1" pivotButton="0" quotePrefix="0" xfId="0">
      <alignment horizontal="center" vertical="center"/>
    </xf>
    <xf numFmtId="0" fontId="9" fillId="0" borderId="0" pivotButton="0" quotePrefix="0" xfId="0"/>
    <xf numFmtId="0" fontId="0" fillId="0" borderId="0" applyAlignment="1" pivotButton="0" quotePrefix="0" xfId="0">
      <alignment wrapText="1"/>
    </xf>
    <xf numFmtId="0" fontId="10" fillId="0" borderId="0" applyAlignment="1" pivotButton="0" quotePrefix="0" xfId="0">
      <alignment horizontal="center" vertical="center" wrapText="1"/>
    </xf>
    <xf numFmtId="0" fontId="9" fillId="11" borderId="0" pivotButton="0" quotePrefix="0" xfId="0"/>
    <xf numFmtId="0" fontId="11" fillId="0" borderId="0" pivotButton="0" quotePrefix="0" xfId="0"/>
    <xf numFmtId="0" fontId="12" fillId="0" borderId="0" pivotButton="0" quotePrefix="0" xfId="0"/>
    <xf numFmtId="0" fontId="13" fillId="0" borderId="0" applyAlignment="1" pivotButton="0" quotePrefix="0" xfId="0">
      <alignment wrapText="1"/>
    </xf>
    <xf numFmtId="0" fontId="14" fillId="0" borderId="0" pivotButton="0" quotePrefix="0" xfId="0"/>
    <xf numFmtId="0" fontId="15" fillId="0" borderId="0" pivotButton="0" quotePrefix="0" xfId="0"/>
    <xf numFmtId="0" fontId="22" fillId="0" borderId="0" applyAlignment="1" pivotButton="0" quotePrefix="0" xfId="0">
      <alignment horizontal="left" vertical="center"/>
    </xf>
    <xf numFmtId="0" fontId="23" fillId="8" borderId="1" applyAlignment="1" pivotButton="0" quotePrefix="0" xfId="0">
      <alignment horizontal="center" vertical="center" wrapText="1"/>
    </xf>
    <xf numFmtId="0" fontId="24" fillId="12" borderId="1" applyAlignment="1" pivotButton="0" quotePrefix="0" xfId="0">
      <alignment horizontal="center" vertical="center" wrapText="1"/>
    </xf>
    <xf numFmtId="0" fontId="24" fillId="12"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horizontal="left" vertical="center" wrapText="1"/>
    </xf>
    <xf numFmtId="0" fontId="7" fillId="12" borderId="1" pivotButton="0" quotePrefix="0" xfId="0"/>
    <xf numFmtId="0" fontId="0" fillId="12" borderId="1" pivotButton="0" quotePrefix="0" xfId="0"/>
    <xf numFmtId="0" fontId="6" fillId="13" borderId="0" pivotButton="0" quotePrefix="0" xfId="0"/>
    <xf numFmtId="0" fontId="16" fillId="14" borderId="0" pivotButton="0" quotePrefix="0" xfId="0"/>
    <xf numFmtId="0" fontId="16" fillId="15" borderId="0" pivotButton="0" quotePrefix="0" xfId="0"/>
    <xf numFmtId="0" fontId="16" fillId="16" borderId="0" pivotButton="0" quotePrefix="0" xfId="0"/>
    <xf numFmtId="0" fontId="1" fillId="8" borderId="1" applyAlignment="1" pivotButton="0" quotePrefix="0" xfId="0">
      <alignment horizontal="center" vertical="center" wrapText="1"/>
    </xf>
    <xf numFmtId="0" fontId="17" fillId="0" borderId="0" applyAlignment="1" pivotButton="0" quotePrefix="0" xfId="0">
      <alignment horizontal="left" vertical="center"/>
    </xf>
    <xf numFmtId="0" fontId="8" fillId="8" borderId="1" applyAlignment="1" pivotButton="0" quotePrefix="0" xfId="0">
      <alignment horizontal="left" vertical="center"/>
    </xf>
    <xf numFmtId="0" fontId="16" fillId="11" borderId="1" applyAlignment="1" pivotButton="0" quotePrefix="0" xfId="0">
      <alignment horizontal="center" vertical="center" wrapText="1"/>
    </xf>
    <xf numFmtId="0" fontId="18" fillId="0" borderId="1" applyAlignment="1" pivotButton="0" quotePrefix="0" xfId="0">
      <alignment horizontal="center" vertical="center"/>
    </xf>
    <xf numFmtId="164" fontId="9" fillId="0" borderId="1" applyAlignment="1" pivotButton="0" quotePrefix="0" xfId="0">
      <alignment horizontal="center" vertical="center"/>
    </xf>
    <xf numFmtId="0" fontId="9" fillId="4" borderId="1" pivotButton="0" quotePrefix="0" xfId="0"/>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9" fillId="11" borderId="1" applyAlignment="1" pivotButton="0" quotePrefix="0" xfId="0">
      <alignment horizontal="left" vertical="center" wrapText="1"/>
    </xf>
    <xf numFmtId="0" fontId="0" fillId="11" borderId="1" pivotButton="0" quotePrefix="0" xfId="0"/>
    <xf numFmtId="0" fontId="20" fillId="0" borderId="1" pivotButton="0" quotePrefix="0" xfId="0"/>
    <xf numFmtId="1" fontId="0" fillId="0" borderId="1" applyAlignment="1" pivotButton="0" quotePrefix="0" xfId="0">
      <alignment horizontal="center" vertical="center"/>
    </xf>
    <xf numFmtId="0" fontId="8" fillId="13" borderId="1" applyAlignment="1" pivotButton="0" quotePrefix="0" xfId="0">
      <alignment horizontal="left" vertical="center"/>
    </xf>
    <xf numFmtId="0" fontId="21" fillId="8" borderId="1" applyAlignment="1" pivotButton="0" quotePrefix="0" xfId="0">
      <alignment horizontal="left" vertical="center" wrapText="1"/>
    </xf>
    <xf numFmtId="0" fontId="17" fillId="0" borderId="1" applyAlignment="1" pivotButton="0" quotePrefix="0" xfId="0">
      <alignment horizontal="center" vertical="center"/>
    </xf>
    <xf numFmtId="0" fontId="5" fillId="10"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ISMS-IMP-A.8.23.3  -  Policy Configuration Assessment
ISO/IEC 27001:2022 - Control A.8.23: Web Filtering</t>
        </is>
      </c>
    </row>
    <row r="3">
      <c r="A3" s="2" t="inlineStr">
        <is>
          <t>Document Information</t>
        </is>
      </c>
    </row>
    <row r="4">
      <c r="A4" s="3" t="inlineStr">
        <is>
          <t>Document ID</t>
        </is>
      </c>
      <c r="B4" t="inlineStr">
        <is>
          <t>ISMS-IMP-A.8.23.3</t>
        </is>
      </c>
    </row>
    <row r="5">
      <c r="A5" s="3" t="inlineStr">
        <is>
          <t>Workbook Title</t>
        </is>
      </c>
      <c r="B5" t="inlineStr">
        <is>
          <t>Policy Configuration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filtering philosophy (restrictive, trust-based, or hybrid) for each policy area.</t>
        </is>
      </c>
    </row>
    <row r="14">
      <c r="A14" t="inlineStr">
        <is>
          <t>2. Complete the Threat Protection sheet for malware, phishing, and exploit protection policies.</t>
        </is>
      </c>
    </row>
    <row r="15">
      <c r="A15" t="inlineStr">
        <is>
          <t>3. Document category filtering rules in Category Management (skip if trust-based approach).</t>
        </is>
      </c>
    </row>
    <row r="16">
      <c r="A16" t="inlineStr">
        <is>
          <t>4. Inventory all custom block and allow lists with business justification in Custom Lists.</t>
        </is>
      </c>
    </row>
    <row r="17">
      <c r="A17" t="inlineStr">
        <is>
          <t>5. Register all policy exceptions with business justification and approval in Policy Exceptions.</t>
        </is>
      </c>
    </row>
    <row r="18">
      <c r="A18" t="inlineStr">
        <is>
          <t>6. Document user group and role-based policy differentiation in User Group Policies.</t>
        </is>
      </c>
    </row>
    <row r="19">
      <c r="A19" t="inlineStr">
        <is>
          <t>7. Map filtering policies to Acceptable Use Policy requirements in Acceptable Use Alignment.</t>
        </is>
      </c>
    </row>
    <row r="20">
      <c r="A20" t="inlineStr">
        <is>
          <t>8. Document policy review processes and update procedures in Policy Review Process.</t>
        </is>
      </c>
    </row>
    <row r="21">
      <c r="A21" t="inlineStr">
        <is>
          <t>9. Conduct gap analysis and define remediation actions in Gap Analysis.</t>
        </is>
      </c>
    </row>
    <row r="22">
      <c r="A22" t="inlineStr">
        <is>
          <t>10. Maintain the Evidence Register with all supporting documentation.</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30" customWidth="1" min="3" max="3"/>
    <col width="15" customWidth="1" min="4" max="4"/>
    <col width="15" customWidth="1" min="5" max="5"/>
    <col width="15" customWidth="1" min="6" max="6"/>
    <col width="35" customWidth="1" min="7" max="7"/>
  </cols>
  <sheetData>
    <row r="1" ht="35" customHeight="1">
      <c r="A1" s="11" t="inlineStr">
        <is>
          <t>THREAT PROTECTION POLICIES</t>
        </is>
      </c>
    </row>
    <row r="2">
      <c r="A2" s="12" t="inlineStr">
        <is>
          <t>Mandatory baseline protection - applies to all filtering approaches</t>
        </is>
      </c>
    </row>
    <row r="4">
      <c r="A4" s="13" t="inlineStr">
        <is>
          <t>Threat Type</t>
        </is>
      </c>
      <c r="B4" s="13" t="inlineStr">
        <is>
          <t>Policy Configured?</t>
        </is>
      </c>
      <c r="C4" s="13" t="inlineStr">
        <is>
          <t>Blocking Method</t>
        </is>
      </c>
      <c r="D4" s="13" t="inlineStr">
        <is>
          <t>Effectiveness</t>
        </is>
      </c>
      <c r="E4" s="13" t="inlineStr">
        <is>
          <t>False Positives</t>
        </is>
      </c>
      <c r="F4" s="13" t="inlineStr">
        <is>
          <t>Last Tested</t>
        </is>
      </c>
      <c r="G4" s="13" t="inlineStr">
        <is>
          <t>Evidence</t>
        </is>
      </c>
    </row>
    <row r="5">
      <c r="A5" s="14" t="inlineStr">
        <is>
          <t>Known Malicious URLs</t>
        </is>
      </c>
      <c r="B5" s="15" t="n"/>
      <c r="C5" s="15" t="n"/>
      <c r="D5" s="15" t="n"/>
      <c r="E5" s="15" t="n"/>
      <c r="F5" s="15" t="n"/>
      <c r="G5" s="15" t="n"/>
    </row>
    <row r="6">
      <c r="A6" s="14" t="inlineStr">
        <is>
          <t>Phishing Sites</t>
        </is>
      </c>
      <c r="B6" s="15" t="n"/>
      <c r="C6" s="15" t="n"/>
      <c r="D6" s="15" t="n"/>
      <c r="E6" s="15" t="n"/>
      <c r="F6" s="15" t="n"/>
      <c r="G6" s="15" t="n"/>
    </row>
    <row r="7">
      <c r="A7" s="14" t="inlineStr">
        <is>
          <t>Malware Downloads</t>
        </is>
      </c>
      <c r="B7" s="15" t="n"/>
      <c r="C7" s="15" t="n"/>
      <c r="D7" s="15" t="n"/>
      <c r="E7" s="15" t="n"/>
      <c r="F7" s="15" t="n"/>
      <c r="G7" s="15" t="n"/>
    </row>
    <row r="8">
      <c r="A8" s="14" t="inlineStr">
        <is>
          <t>Ransomware Delivery</t>
        </is>
      </c>
      <c r="B8" s="15" t="n"/>
      <c r="C8" s="15" t="n"/>
      <c r="D8" s="15" t="n"/>
      <c r="E8" s="15" t="n"/>
      <c r="F8" s="15" t="n"/>
      <c r="G8" s="15" t="n"/>
    </row>
    <row r="9">
      <c r="A9" s="14" t="inlineStr">
        <is>
          <t>Exploit Kits</t>
        </is>
      </c>
      <c r="B9" s="15" t="n"/>
      <c r="C9" s="15" t="n"/>
      <c r="D9" s="15" t="n"/>
      <c r="E9" s="15" t="n"/>
      <c r="F9" s="15" t="n"/>
      <c r="G9" s="15" t="n"/>
    </row>
    <row r="10">
      <c r="A10" s="14" t="inlineStr">
        <is>
          <t>Command &amp; Control (C2)</t>
        </is>
      </c>
      <c r="B10" s="15" t="n"/>
      <c r="C10" s="15" t="n"/>
      <c r="D10" s="15" t="n"/>
      <c r="E10" s="15" t="n"/>
      <c r="F10" s="15" t="n"/>
      <c r="G10" s="15" t="n"/>
    </row>
    <row r="11">
      <c r="A11" s="14" t="inlineStr">
        <is>
          <t>Cryptojacking Sites</t>
        </is>
      </c>
      <c r="B11" s="15" t="n"/>
      <c r="C11" s="15" t="n"/>
      <c r="D11" s="15" t="n"/>
      <c r="E11" s="15" t="n"/>
      <c r="F11" s="15" t="n"/>
      <c r="G11" s="15" t="n"/>
    </row>
    <row r="12">
      <c r="A12" s="14" t="inlineStr">
        <is>
          <t>Zero-Day Threats</t>
        </is>
      </c>
      <c r="B12" s="15" t="n"/>
      <c r="C12" s="15" t="n"/>
      <c r="D12" s="15" t="n"/>
      <c r="E12" s="15" t="n"/>
      <c r="F12" s="15" t="n"/>
      <c r="G12" s="15" t="n"/>
    </row>
    <row r="15">
      <c r="A15" s="16" t="inlineStr">
        <is>
          <t>THREAT INTELLIGENCE INTEGRATION</t>
        </is>
      </c>
    </row>
    <row r="16">
      <c r="A16" s="17" t="inlineStr">
        <is>
          <t>Feed Source 1:</t>
        </is>
      </c>
      <c r="B16" s="15" t="n"/>
    </row>
    <row r="17">
      <c r="A17" s="17" t="inlineStr">
        <is>
          <t>Feed Source 2:</t>
        </is>
      </c>
      <c r="B17" s="15" t="n"/>
    </row>
    <row r="18">
      <c r="A18" s="17" t="inlineStr">
        <is>
          <t>Feed Source 3:</t>
        </is>
      </c>
      <c r="B18" s="15" t="n"/>
    </row>
    <row r="19">
      <c r="A19" s="17" t="inlineStr">
        <is>
          <t>Update Frequency:</t>
        </is>
      </c>
      <c r="B19" s="15" t="n"/>
    </row>
    <row r="20">
      <c r="A20" s="17" t="inlineStr">
        <is>
          <t>Last Update:</t>
        </is>
      </c>
      <c r="B20" s="15" t="n"/>
    </row>
    <row r="21">
      <c r="A21" s="17" t="inlineStr">
        <is>
          <t>Auto-Update Enabled?:</t>
        </is>
      </c>
      <c r="B21" s="15" t="n"/>
    </row>
    <row r="24">
      <c r="A24" s="16" t="inlineStr">
        <is>
          <t>THREAT PROTECTION COMPLIANCE CHECKLIST</t>
        </is>
      </c>
    </row>
    <row r="25">
      <c r="A25" s="18" t="inlineStr">
        <is>
          <t>☐ Malicious URLs blocked (verified with test)</t>
        </is>
      </c>
    </row>
    <row r="26">
      <c r="A26" s="18" t="inlineStr">
        <is>
          <t>☐ Phishing sites blocked (verified with PhishTank samples)</t>
        </is>
      </c>
    </row>
    <row r="27">
      <c r="A27" s="18" t="inlineStr">
        <is>
          <t>☐ Malware downloads prevented (verified with EICAR test)</t>
        </is>
      </c>
    </row>
    <row r="28">
      <c r="A28" s="18" t="inlineStr">
        <is>
          <t>☐ Threat feeds updated regularly (within policy requirements)</t>
        </is>
      </c>
    </row>
    <row r="29">
      <c r="A29" s="18" t="inlineStr">
        <is>
          <t>☐ Zero-day protection enabled (if available)</t>
        </is>
      </c>
    </row>
    <row r="30">
      <c r="A30" s="18" t="inlineStr">
        <is>
          <t>☐ Logging of blocked threats active</t>
        </is>
      </c>
    </row>
    <row r="31">
      <c r="A31" s="18" t="inlineStr">
        <is>
          <t>☐ Alerts configured for critical threats</t>
        </is>
      </c>
    </row>
    <row r="32">
      <c r="A32" s="18" t="inlineStr">
        <is>
          <t>☐ Policy reviewed within last 90 days</t>
        </is>
      </c>
    </row>
  </sheetData>
  <mergeCells count="4">
    <mergeCell ref="A24:G24"/>
    <mergeCell ref="A2:G2"/>
    <mergeCell ref="A1:G1"/>
    <mergeCell ref="A15:G15"/>
  </mergeCells>
  <dataValidations count="4">
    <dataValidation sqref="B5 B6 B7 B8 B9 B10 B11 B12" showDropDown="0" showInputMessage="0" showErrorMessage="0" allowBlank="0" type="list">
      <formula1>"✅ Configured,⚠️ Partial,❌ Not Configured,⟳ Planned,N/A"</formula1>
    </dataValidation>
    <dataValidation sqref="D5 D6 D7 D8 D9 D10 D11 D12" showDropDown="0" showInputMessage="0" showErrorMessage="0" allowBlank="0" type="list">
      <formula1>"High,Medium,Low,Unknown"</formula1>
    </dataValidation>
    <dataValidation sqref="E5 E6 E7 E8 E9 E10 E11 E12" showDropDown="0" showInputMessage="0" showErrorMessage="0" allowBlank="0" type="list">
      <formula1>"Rare,Occasional,Frequent,Unknown"</formula1>
    </dataValidation>
    <dataValidation sqref="B19" showDropDown="0" showInputMessage="0" showErrorMessage="0" allowBlank="0" type="list">
      <formula1>"Real-time,Hourly,Daily,Weekly,Monthly"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showGridLines="0" workbookViewId="0">
      <pane ySplit="9" topLeftCell="A10" activePane="bottomLeft" state="frozen"/>
      <selection pane="bottomLeft" activeCell="A1" sqref="A1"/>
    </sheetView>
  </sheetViews>
  <sheetFormatPr baseColWidth="8" defaultRowHeight="15"/>
  <cols>
    <col width="25" customWidth="1" min="1" max="1"/>
    <col width="15" customWidth="1" min="2" max="2"/>
    <col width="20" customWidth="1" min="3" max="3"/>
    <col width="35" customWidth="1" min="4" max="4"/>
    <col width="12" customWidth="1" min="5" max="5"/>
    <col width="15" customWidth="1" min="6" max="6"/>
    <col width="15" customWidth="1" min="7" max="7"/>
    <col width="30" customWidth="1" min="8" max="8"/>
  </cols>
  <sheetData>
    <row r="1" ht="35" customHeight="1">
      <c r="A1" s="11" t="inlineStr">
        <is>
          <t>CATEGORY-BASED FILTERING POLICIES</t>
        </is>
      </c>
    </row>
    <row r="2">
      <c r="A2" s="12" t="inlineStr">
        <is>
          <t>Document category blocking/allowing (if applicable to your approach)</t>
        </is>
      </c>
    </row>
    <row r="4">
      <c r="A4" s="16" t="inlineStr">
        <is>
          <t>ORGANISATION'S FILTERING PHILOSOPHY</t>
        </is>
      </c>
    </row>
    <row r="5">
      <c r="A5" s="17" t="inlineStr">
        <is>
          <t>Select your approach:</t>
        </is>
      </c>
      <c r="B5" s="15" t="n"/>
    </row>
    <row r="6">
      <c r="A6" s="19" t="inlineStr">
        <is>
          <t>⚠️ If 'Trust-Based (Threats Only)' selected, mark all categories below as N/A</t>
        </is>
      </c>
    </row>
    <row r="8">
      <c r="A8" s="13" t="inlineStr">
        <is>
          <t>Category</t>
        </is>
      </c>
      <c r="B8" s="13" t="inlineStr">
        <is>
          <t>Policy Action</t>
        </is>
      </c>
      <c r="C8" s="13" t="inlineStr">
        <is>
          <t>Applied To</t>
        </is>
      </c>
      <c r="D8" s="13" t="inlineStr">
        <is>
          <t>Business Justification</t>
        </is>
      </c>
      <c r="E8" s="13" t="inlineStr">
        <is>
          <t>Exceptions?</t>
        </is>
      </c>
      <c r="F8" s="13" t="inlineStr">
        <is>
          <t>Exception Count</t>
        </is>
      </c>
      <c r="G8" s="13" t="inlineStr">
        <is>
          <t>Last Reviewed</t>
        </is>
      </c>
      <c r="H8" s="13" t="inlineStr">
        <is>
          <t>Evidence</t>
        </is>
      </c>
    </row>
    <row r="9">
      <c r="A9" s="14" t="inlineStr">
        <is>
          <t>Adult Content</t>
        </is>
      </c>
      <c r="B9" s="15" t="n"/>
      <c r="C9" s="15" t="n"/>
      <c r="D9" s="15" t="n"/>
      <c r="E9" s="15" t="n"/>
      <c r="F9" s="15" t="n"/>
      <c r="G9" s="15" t="n"/>
      <c r="H9" s="15" t="n"/>
    </row>
    <row r="10">
      <c r="A10" s="14" t="inlineStr">
        <is>
          <t>Gambling</t>
        </is>
      </c>
      <c r="B10" s="15" t="n"/>
      <c r="C10" s="15" t="n"/>
      <c r="D10" s="15" t="n"/>
      <c r="E10" s="15" t="n"/>
      <c r="F10" s="15" t="n"/>
      <c r="G10" s="15" t="n"/>
      <c r="H10" s="15" t="n"/>
    </row>
    <row r="11">
      <c r="A11" s="14" t="inlineStr">
        <is>
          <t>Illegal Activities</t>
        </is>
      </c>
      <c r="B11" s="15" t="n"/>
      <c r="C11" s="15" t="n"/>
      <c r="D11" s="15" t="n"/>
      <c r="E11" s="15" t="n"/>
      <c r="F11" s="15" t="n"/>
      <c r="G11" s="15" t="n"/>
      <c r="H11" s="15" t="n"/>
    </row>
    <row r="12">
      <c r="A12" s="14" t="inlineStr">
        <is>
          <t>Weapons</t>
        </is>
      </c>
      <c r="B12" s="15" t="n"/>
      <c r="C12" s="15" t="n"/>
      <c r="D12" s="15" t="n"/>
      <c r="E12" s="15" t="n"/>
      <c r="F12" s="15" t="n"/>
      <c r="G12" s="15" t="n"/>
      <c r="H12" s="15" t="n"/>
    </row>
    <row r="13">
      <c r="A13" s="14" t="inlineStr">
        <is>
          <t>Hate/Discrimination</t>
        </is>
      </c>
      <c r="B13" s="15" t="n"/>
      <c r="C13" s="15" t="n"/>
      <c r="D13" s="15" t="n"/>
      <c r="E13" s="15" t="n"/>
      <c r="F13" s="15" t="n"/>
      <c r="G13" s="15" t="n"/>
      <c r="H13" s="15" t="n"/>
    </row>
    <row r="14">
      <c r="A14" s="14" t="inlineStr">
        <is>
          <t>Violence/Gore</t>
        </is>
      </c>
      <c r="B14" s="15" t="n"/>
      <c r="C14" s="15" t="n"/>
      <c r="D14" s="15" t="n"/>
      <c r="E14" s="15" t="n"/>
      <c r="F14" s="15" t="n"/>
      <c r="G14" s="15" t="n"/>
      <c r="H14" s="15" t="n"/>
    </row>
    <row r="15">
      <c r="A15" s="14" t="inlineStr">
        <is>
          <t>Streaming Media</t>
        </is>
      </c>
      <c r="B15" s="15" t="n"/>
      <c r="C15" s="15" t="n"/>
      <c r="D15" s="15" t="n"/>
      <c r="E15" s="15" t="n"/>
      <c r="F15" s="15" t="n"/>
      <c r="G15" s="15" t="n"/>
      <c r="H15" s="15" t="n"/>
    </row>
    <row r="16">
      <c r="A16" s="14" t="inlineStr">
        <is>
          <t>Social Networks</t>
        </is>
      </c>
      <c r="B16" s="15" t="n"/>
      <c r="C16" s="15" t="n"/>
      <c r="D16" s="15" t="n"/>
      <c r="E16" s="15" t="n"/>
      <c r="F16" s="15" t="n"/>
      <c r="G16" s="15" t="n"/>
      <c r="H16" s="15" t="n"/>
    </row>
    <row r="17">
      <c r="A17" s="14" t="inlineStr">
        <is>
          <t>Personal Storage/Sharing</t>
        </is>
      </c>
      <c r="B17" s="15" t="n"/>
      <c r="C17" s="15" t="n"/>
      <c r="D17" s="15" t="n"/>
      <c r="E17" s="15" t="n"/>
      <c r="F17" s="15" t="n"/>
      <c r="G17" s="15" t="n"/>
      <c r="H17" s="15" t="n"/>
    </row>
    <row r="18">
      <c r="A18" s="14" t="inlineStr">
        <is>
          <t>Shopping</t>
        </is>
      </c>
      <c r="B18" s="15" t="n"/>
      <c r="C18" s="15" t="n"/>
      <c r="D18" s="15" t="n"/>
      <c r="E18" s="15" t="n"/>
      <c r="F18" s="15" t="n"/>
      <c r="G18" s="15" t="n"/>
      <c r="H18" s="15" t="n"/>
    </row>
    <row r="19">
      <c r="A19" s="14" t="inlineStr">
        <is>
          <t>Games</t>
        </is>
      </c>
      <c r="B19" s="15" t="n"/>
      <c r="C19" s="15" t="n"/>
      <c r="D19" s="15" t="n"/>
      <c r="E19" s="15" t="n"/>
      <c r="F19" s="15" t="n"/>
      <c r="G19" s="15" t="n"/>
      <c r="H19" s="15" t="n"/>
    </row>
    <row r="20">
      <c r="A20" s="14" t="inlineStr">
        <is>
          <t>Job Search</t>
        </is>
      </c>
      <c r="B20" s="15" t="n"/>
      <c r="C20" s="15" t="n"/>
      <c r="D20" s="15" t="n"/>
      <c r="E20" s="15" t="n"/>
      <c r="F20" s="15" t="n"/>
      <c r="G20" s="15" t="n"/>
      <c r="H20" s="15" t="n"/>
    </row>
    <row r="21">
      <c r="A21" s="14" t="inlineStr">
        <is>
          <t>Advertising</t>
        </is>
      </c>
      <c r="B21" s="15" t="n"/>
      <c r="C21" s="15" t="n"/>
      <c r="D21" s="15" t="n"/>
      <c r="E21" s="15" t="n"/>
      <c r="F21" s="15" t="n"/>
      <c r="G21" s="15" t="n"/>
      <c r="H21" s="15" t="n"/>
    </row>
    <row r="22">
      <c r="A22" s="14" t="inlineStr">
        <is>
          <t>Anonymous Proxies/VPN</t>
        </is>
      </c>
      <c r="B22" s="15" t="n"/>
      <c r="C22" s="15" t="n"/>
      <c r="D22" s="15" t="n"/>
      <c r="E22" s="15" t="n"/>
      <c r="F22" s="15" t="n"/>
      <c r="G22" s="15" t="n"/>
      <c r="H22" s="15" t="n"/>
    </row>
    <row r="23">
      <c r="A23" s="14" t="inlineStr">
        <is>
          <t>Peer-to-Peer/File Sharing</t>
        </is>
      </c>
      <c r="B23" s="15" t="n"/>
      <c r="C23" s="15" t="n"/>
      <c r="D23" s="15" t="n"/>
      <c r="E23" s="15" t="n"/>
      <c r="F23" s="15" t="n"/>
      <c r="G23" s="15" t="n"/>
      <c r="H23" s="15" t="n"/>
    </row>
    <row r="24">
      <c r="A24" s="14" t="inlineStr">
        <is>
          <t>Instant Messaging</t>
        </is>
      </c>
      <c r="B24" s="15" t="n"/>
      <c r="C24" s="15" t="n"/>
      <c r="D24" s="15" t="n"/>
      <c r="E24" s="15" t="n"/>
      <c r="F24" s="15" t="n"/>
      <c r="G24" s="15" t="n"/>
      <c r="H24" s="15" t="n"/>
    </row>
    <row r="25">
      <c r="A25" s="14" t="inlineStr">
        <is>
          <t>Blogs/Forums</t>
        </is>
      </c>
      <c r="B25" s="15" t="n"/>
      <c r="C25" s="15" t="n"/>
      <c r="D25" s="15" t="n"/>
      <c r="E25" s="15" t="n"/>
      <c r="F25" s="15" t="n"/>
      <c r="G25" s="15" t="n"/>
      <c r="H25" s="15" t="n"/>
    </row>
    <row r="26">
      <c r="A26" s="14" t="inlineStr">
        <is>
          <t>News/Media</t>
        </is>
      </c>
      <c r="B26" s="15" t="n"/>
      <c r="C26" s="15" t="n"/>
      <c r="D26" s="15" t="n"/>
      <c r="E26" s="15" t="n"/>
      <c r="F26" s="15" t="n"/>
      <c r="G26" s="15" t="n"/>
      <c r="H26" s="15" t="n"/>
    </row>
    <row r="27">
      <c r="A27" s="14" t="inlineStr">
        <is>
          <t>Education</t>
        </is>
      </c>
      <c r="B27" s="15" t="n"/>
      <c r="C27" s="15" t="n"/>
      <c r="D27" s="15" t="n"/>
      <c r="E27" s="15" t="n"/>
      <c r="F27" s="15" t="n"/>
      <c r="G27" s="15" t="n"/>
      <c r="H27" s="15" t="n"/>
    </row>
    <row r="28">
      <c r="A28" s="14" t="inlineStr">
        <is>
          <t>Travel</t>
        </is>
      </c>
      <c r="B28" s="15" t="n"/>
      <c r="C28" s="15" t="n"/>
      <c r="D28" s="15" t="n"/>
      <c r="E28" s="15" t="n"/>
      <c r="F28" s="15" t="n"/>
      <c r="G28" s="15" t="n"/>
      <c r="H28" s="15" t="n"/>
    </row>
    <row r="31">
      <c r="A31" s="16" t="inlineStr">
        <is>
          <t>CATEGORY SUMMARY</t>
        </is>
      </c>
    </row>
    <row r="32">
      <c r="A32" s="20" t="inlineStr">
        <is>
          <t>Policy Action</t>
        </is>
      </c>
      <c r="B32" s="20" t="inlineStr">
        <is>
          <t>Category Count</t>
        </is>
      </c>
      <c r="C32" s="20" t="inlineStr">
        <is>
          <t>% of Total</t>
        </is>
      </c>
    </row>
    <row r="33">
      <c r="A33" s="17" t="inlineStr">
        <is>
          <t>Block</t>
        </is>
      </c>
      <c r="B33" s="21">
        <f>COUNTIF(B10:B29,"Block")</f>
        <v/>
      </c>
      <c r="C33" s="21">
        <f>IF(B33=0,0,B33/COUNTA(B10:B29)*100)&amp;"%"</f>
        <v/>
      </c>
    </row>
    <row r="34">
      <c r="A34" s="17" t="inlineStr">
        <is>
          <t>Allow</t>
        </is>
      </c>
      <c r="B34" s="21">
        <f>COUNTIF(B10:B29,"Allow")</f>
        <v/>
      </c>
      <c r="C34" s="21">
        <f>IF(B34=0,0,B34/COUNTA(B10:B29)*100)&amp;"%"</f>
        <v/>
      </c>
    </row>
    <row r="35">
      <c r="A35" s="17" t="inlineStr">
        <is>
          <t>Warn</t>
        </is>
      </c>
      <c r="B35" s="21">
        <f>COUNTIF(B10:B29,"Warn")</f>
        <v/>
      </c>
      <c r="C35" s="21">
        <f>IF(B35=0,0,B35/COUNTA(B10:B29)*100)&amp;"%"</f>
        <v/>
      </c>
    </row>
    <row r="36">
      <c r="A36" s="17" t="inlineStr">
        <is>
          <t>Monitor Only</t>
        </is>
      </c>
      <c r="B36" s="21">
        <f>COUNTIF(B10:B29,"Monitor Only")</f>
        <v/>
      </c>
      <c r="C36" s="21">
        <f>IF(B36=0,0,B36/COUNTA(B10:B29)*100)&amp;"%"</f>
        <v/>
      </c>
    </row>
    <row r="37">
      <c r="A37" s="17" t="inlineStr">
        <is>
          <t>N/A</t>
        </is>
      </c>
      <c r="B37" s="21">
        <f>COUNTIF(B10:B29,"N/A")</f>
        <v/>
      </c>
      <c r="C37" s="21">
        <f>IF(B37=0,0,B37/COUNTA(B10:B29)*100)&amp;"%"</f>
        <v/>
      </c>
    </row>
  </sheetData>
  <mergeCells count="6">
    <mergeCell ref="A4:H4"/>
    <mergeCell ref="B5:D5"/>
    <mergeCell ref="A2:H2"/>
    <mergeCell ref="A1:H1"/>
    <mergeCell ref="A31:H31"/>
    <mergeCell ref="A6:H6"/>
  </mergeCells>
  <dataValidations count="3">
    <dataValidation sqref="E9 E10 E11 E12 E13 E14 E15 E16 E17 E18 E19 E20 E21 E22 E23 E24 E25 E26 E27 E28" showDropDown="0" showInputMessage="0" showErrorMessage="0" allowBlank="0" type="list">
      <formula1>"Yes,No"</formula1>
    </dataValidation>
    <dataValidation sqref="B9 B10 B11 B12 B13 B14 B15 B16 B17 B18 B19 B20 B21 B22 B23 B24 B25 B26 B27 B28" showDropDown="0" showInputMessage="0" showErrorMessage="0" allowBlank="0" type="list">
      <formula1>"⛔ Block,✅ Allow,⚠️ Warn,○ Monitor Only,N/A"</formula1>
    </dataValidation>
    <dataValidation sqref="C9 C10 C11 C12 C13 C14 C15 C16 C17 C18 C19 C20 C21 C22 C23 C24 C25 C26 C27 C28" showDropDown="0" showInputMessage="0" showErrorMessage="0" allowBlank="0" type="list">
      <formula1>"All Users,Specific Group,Specific User,Network Segment,Device Type"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12" customWidth="1" min="4" max="4"/>
    <col width="35" customWidth="1" min="5" max="5"/>
    <col width="20" customWidth="1" min="6" max="6"/>
    <col width="15" customWidth="1" min="7" max="7"/>
    <col width="18" customWidth="1" min="8" max="8"/>
    <col width="30" customWidth="1" min="9" max="9"/>
  </cols>
  <sheetData>
    <row r="1" ht="35" customHeight="1">
      <c r="A1" s="11" t="inlineStr">
        <is>
          <t>CUSTOM BLOCK/ALLOW LISTS</t>
        </is>
      </c>
    </row>
    <row r="2">
      <c r="A2" s="12" t="inlineStr">
        <is>
          <t>Organisation-maintained URL lists outside of vendor categories</t>
        </is>
      </c>
    </row>
    <row r="4">
      <c r="A4" s="13" t="inlineStr">
        <is>
          <t>List ID</t>
        </is>
      </c>
      <c r="B4" s="13" t="inlineStr">
        <is>
          <t>List Name</t>
        </is>
      </c>
      <c r="C4" s="13" t="inlineStr">
        <is>
          <t>List Type</t>
        </is>
      </c>
      <c r="D4" s="13" t="inlineStr">
        <is>
          <t>URL Count</t>
        </is>
      </c>
      <c r="E4" s="13" t="inlineStr">
        <is>
          <t>Purpose</t>
        </is>
      </c>
      <c r="F4" s="13" t="inlineStr">
        <is>
          <t>Maintained By</t>
        </is>
      </c>
      <c r="G4" s="13" t="inlineStr">
        <is>
          <t>Last Updated</t>
        </is>
      </c>
      <c r="H4" s="13" t="inlineStr">
        <is>
          <t>Review Frequency</t>
        </is>
      </c>
      <c r="I4" s="13" t="inlineStr">
        <is>
          <t>Evidence</t>
        </is>
      </c>
    </row>
    <row r="5">
      <c r="A5" s="14" t="inlineStr">
        <is>
          <t>LST-001</t>
        </is>
      </c>
      <c r="B5" s="15" t="n"/>
      <c r="C5" s="15" t="n"/>
      <c r="D5" s="15" t="n"/>
      <c r="E5" s="15" t="n"/>
      <c r="F5" s="15" t="n"/>
      <c r="G5" s="15" t="n"/>
      <c r="H5" s="15" t="n"/>
      <c r="I5" s="15" t="n"/>
    </row>
    <row r="6">
      <c r="B6" s="15" t="n"/>
      <c r="C6" s="15" t="n"/>
      <c r="D6" s="15" t="n"/>
      <c r="E6" s="15" t="n"/>
      <c r="F6" s="15" t="n"/>
      <c r="G6" s="15" t="n"/>
      <c r="H6" s="15" t="n"/>
      <c r="I6" s="15" t="n"/>
    </row>
    <row r="7">
      <c r="B7" s="15" t="n"/>
      <c r="C7" s="15" t="n"/>
      <c r="D7" s="15" t="n"/>
      <c r="E7" s="15" t="n"/>
      <c r="F7" s="15" t="n"/>
      <c r="G7" s="15" t="n"/>
      <c r="H7" s="15" t="n"/>
      <c r="I7" s="15" t="n"/>
    </row>
    <row r="8">
      <c r="B8" s="15" t="n"/>
      <c r="C8" s="15" t="n"/>
      <c r="D8" s="15" t="n"/>
      <c r="E8" s="15" t="n"/>
      <c r="F8" s="15" t="n"/>
      <c r="G8" s="15" t="n"/>
      <c r="H8" s="15" t="n"/>
      <c r="I8" s="15" t="n"/>
    </row>
    <row r="9">
      <c r="B9" s="15" t="n"/>
      <c r="C9" s="15" t="n"/>
      <c r="D9" s="15" t="n"/>
      <c r="E9" s="15" t="n"/>
      <c r="F9" s="15" t="n"/>
      <c r="G9" s="15" t="n"/>
      <c r="H9" s="15" t="n"/>
      <c r="I9" s="15" t="n"/>
    </row>
    <row r="10">
      <c r="B10" s="15" t="n"/>
      <c r="C10" s="15" t="n"/>
      <c r="D10" s="15" t="n"/>
      <c r="E10" s="15" t="n"/>
      <c r="F10" s="15" t="n"/>
      <c r="G10" s="15" t="n"/>
      <c r="H10" s="15" t="n"/>
      <c r="I10" s="15" t="n"/>
    </row>
    <row r="11">
      <c r="B11" s="15" t="n"/>
      <c r="C11" s="15" t="n"/>
      <c r="D11" s="15" t="n"/>
      <c r="E11" s="15" t="n"/>
      <c r="F11" s="15" t="n"/>
      <c r="G11" s="15" t="n"/>
      <c r="H11" s="15" t="n"/>
      <c r="I11" s="15" t="n"/>
    </row>
    <row r="12">
      <c r="B12" s="15" t="n"/>
      <c r="C12" s="15" t="n"/>
      <c r="D12" s="15" t="n"/>
      <c r="E12" s="15" t="n"/>
      <c r="F12" s="15" t="n"/>
      <c r="G12" s="15" t="n"/>
      <c r="H12" s="15" t="n"/>
      <c r="I12" s="15" t="n"/>
    </row>
    <row r="13">
      <c r="B13" s="15" t="n"/>
      <c r="C13" s="15" t="n"/>
      <c r="D13" s="15" t="n"/>
      <c r="E13" s="15" t="n"/>
      <c r="F13" s="15" t="n"/>
      <c r="G13" s="15" t="n"/>
      <c r="H13" s="15" t="n"/>
      <c r="I13" s="15" t="n"/>
    </row>
    <row r="14">
      <c r="B14" s="15" t="n"/>
      <c r="C14" s="15" t="n"/>
      <c r="D14" s="15" t="n"/>
      <c r="E14" s="15" t="n"/>
      <c r="F14" s="15" t="n"/>
      <c r="G14" s="15" t="n"/>
      <c r="H14" s="15" t="n"/>
      <c r="I14" s="15" t="n"/>
    </row>
    <row r="15">
      <c r="B15" s="15" t="n"/>
      <c r="C15" s="15" t="n"/>
      <c r="D15" s="15" t="n"/>
      <c r="E15" s="15" t="n"/>
      <c r="F15" s="15" t="n"/>
      <c r="G15" s="15" t="n"/>
      <c r="H15" s="15" t="n"/>
      <c r="I15" s="15" t="n"/>
    </row>
    <row r="16">
      <c r="B16" s="15" t="n"/>
      <c r="C16" s="15" t="n"/>
      <c r="D16" s="15" t="n"/>
      <c r="E16" s="15" t="n"/>
      <c r="F16" s="15" t="n"/>
      <c r="G16" s="15" t="n"/>
      <c r="H16" s="15" t="n"/>
      <c r="I16" s="15" t="n"/>
    </row>
    <row r="17">
      <c r="B17" s="15" t="n"/>
      <c r="C17" s="15" t="n"/>
      <c r="D17" s="15" t="n"/>
      <c r="E17" s="15" t="n"/>
      <c r="F17" s="15" t="n"/>
      <c r="G17" s="15" t="n"/>
      <c r="H17" s="15" t="n"/>
      <c r="I17" s="15" t="n"/>
    </row>
    <row r="18">
      <c r="B18" s="15" t="n"/>
      <c r="C18" s="15" t="n"/>
      <c r="D18" s="15" t="n"/>
      <c r="E18" s="15" t="n"/>
      <c r="F18" s="15" t="n"/>
      <c r="G18" s="15" t="n"/>
      <c r="H18" s="15" t="n"/>
      <c r="I18" s="15" t="n"/>
    </row>
    <row r="19">
      <c r="B19" s="15" t="n"/>
      <c r="C19" s="15" t="n"/>
      <c r="D19" s="15" t="n"/>
      <c r="E19" s="15" t="n"/>
      <c r="F19" s="15" t="n"/>
      <c r="G19" s="15" t="n"/>
      <c r="H19" s="15" t="n"/>
      <c r="I19" s="15" t="n"/>
    </row>
    <row r="20">
      <c r="B20" s="15" t="n"/>
      <c r="C20" s="15" t="n"/>
      <c r="D20" s="15" t="n"/>
      <c r="E20" s="15" t="n"/>
      <c r="F20" s="15" t="n"/>
      <c r="G20" s="15" t="n"/>
      <c r="H20" s="15" t="n"/>
      <c r="I20" s="15" t="n"/>
    </row>
    <row r="21">
      <c r="B21" s="15" t="n"/>
      <c r="C21" s="15" t="n"/>
      <c r="D21" s="15" t="n"/>
      <c r="E21" s="15" t="n"/>
      <c r="F21" s="15" t="n"/>
      <c r="G21" s="15" t="n"/>
      <c r="H21" s="15" t="n"/>
      <c r="I21" s="15" t="n"/>
    </row>
    <row r="22">
      <c r="B22" s="15" t="n"/>
      <c r="C22" s="15" t="n"/>
      <c r="D22" s="15" t="n"/>
      <c r="E22" s="15" t="n"/>
      <c r="F22" s="15" t="n"/>
      <c r="G22" s="15" t="n"/>
      <c r="H22" s="15" t="n"/>
      <c r="I22" s="15" t="n"/>
    </row>
    <row r="23">
      <c r="B23" s="15" t="n"/>
      <c r="C23" s="15" t="n"/>
      <c r="D23" s="15" t="n"/>
      <c r="E23" s="15" t="n"/>
      <c r="F23" s="15" t="n"/>
      <c r="G23" s="15" t="n"/>
      <c r="H23" s="15" t="n"/>
      <c r="I23" s="15" t="n"/>
    </row>
    <row r="24">
      <c r="B24" s="15" t="n"/>
      <c r="C24" s="15" t="n"/>
      <c r="D24" s="15" t="n"/>
      <c r="E24" s="15" t="n"/>
      <c r="F24" s="15" t="n"/>
      <c r="G24" s="15" t="n"/>
      <c r="H24" s="15" t="n"/>
      <c r="I24" s="15" t="n"/>
    </row>
    <row r="25">
      <c r="B25" s="15" t="n"/>
      <c r="C25" s="15" t="n"/>
      <c r="D25" s="15" t="n"/>
      <c r="E25" s="15" t="n"/>
      <c r="F25" s="15" t="n"/>
      <c r="G25" s="15" t="n"/>
      <c r="H25" s="15" t="n"/>
      <c r="I25" s="15" t="n"/>
    </row>
    <row r="26">
      <c r="B26" s="15" t="n"/>
      <c r="C26" s="15" t="n"/>
      <c r="D26" s="15" t="n"/>
      <c r="E26" s="15" t="n"/>
      <c r="F26" s="15" t="n"/>
      <c r="G26" s="15" t="n"/>
      <c r="H26" s="15" t="n"/>
      <c r="I26" s="15" t="n"/>
    </row>
    <row r="27">
      <c r="B27" s="15" t="n"/>
      <c r="C27" s="15" t="n"/>
      <c r="D27" s="15" t="n"/>
      <c r="E27" s="15" t="n"/>
      <c r="F27" s="15" t="n"/>
      <c r="G27" s="15" t="n"/>
      <c r="H27" s="15" t="n"/>
      <c r="I27" s="15" t="n"/>
    </row>
    <row r="28">
      <c r="B28" s="15" t="n"/>
      <c r="C28" s="15" t="n"/>
      <c r="D28" s="15" t="n"/>
      <c r="E28" s="15" t="n"/>
      <c r="F28" s="15" t="n"/>
      <c r="G28" s="15" t="n"/>
      <c r="H28" s="15" t="n"/>
      <c r="I28" s="15" t="n"/>
    </row>
    <row r="29">
      <c r="B29" s="15" t="n"/>
      <c r="C29" s="15" t="n"/>
      <c r="D29" s="15" t="n"/>
      <c r="E29" s="15" t="n"/>
      <c r="F29" s="15" t="n"/>
      <c r="G29" s="15" t="n"/>
      <c r="H29" s="15" t="n"/>
      <c r="I29" s="15" t="n"/>
    </row>
    <row r="30">
      <c r="B30" s="15" t="n"/>
      <c r="C30" s="15" t="n"/>
      <c r="D30" s="15" t="n"/>
      <c r="E30" s="15" t="n"/>
      <c r="F30" s="15" t="n"/>
      <c r="G30" s="15" t="n"/>
      <c r="H30" s="15" t="n"/>
      <c r="I30" s="15" t="n"/>
    </row>
    <row r="31">
      <c r="B31" s="15" t="n"/>
      <c r="C31" s="15" t="n"/>
      <c r="D31" s="15" t="n"/>
      <c r="E31" s="15" t="n"/>
      <c r="F31" s="15" t="n"/>
      <c r="G31" s="15" t="n"/>
      <c r="H31" s="15" t="n"/>
      <c r="I31" s="15" t="n"/>
    </row>
    <row r="32">
      <c r="B32" s="15" t="n"/>
      <c r="C32" s="15" t="n"/>
      <c r="D32" s="15" t="n"/>
      <c r="E32" s="15" t="n"/>
      <c r="F32" s="15" t="n"/>
      <c r="G32" s="15" t="n"/>
      <c r="H32" s="15" t="n"/>
      <c r="I32" s="15" t="n"/>
    </row>
    <row r="33">
      <c r="B33" s="15" t="n"/>
      <c r="C33" s="15" t="n"/>
      <c r="D33" s="15" t="n"/>
      <c r="E33" s="15" t="n"/>
      <c r="F33" s="15" t="n"/>
      <c r="G33" s="15" t="n"/>
      <c r="H33" s="15" t="n"/>
      <c r="I33" s="15" t="n"/>
    </row>
    <row r="34">
      <c r="B34" s="15" t="n"/>
      <c r="C34" s="15" t="n"/>
      <c r="D34" s="15" t="n"/>
      <c r="E34" s="15" t="n"/>
      <c r="F34" s="15" t="n"/>
      <c r="G34" s="15" t="n"/>
      <c r="H34" s="15" t="n"/>
      <c r="I34" s="15" t="n"/>
    </row>
    <row r="35">
      <c r="B35" s="15" t="n"/>
      <c r="C35" s="15" t="n"/>
      <c r="D35" s="15" t="n"/>
      <c r="E35" s="15" t="n"/>
      <c r="F35" s="15" t="n"/>
      <c r="G35" s="15" t="n"/>
      <c r="H35" s="15" t="n"/>
      <c r="I35" s="15" t="n"/>
    </row>
    <row r="36">
      <c r="B36" s="15" t="n"/>
      <c r="C36" s="15" t="n"/>
      <c r="D36" s="15" t="n"/>
      <c r="E36" s="15" t="n"/>
      <c r="F36" s="15" t="n"/>
      <c r="G36" s="15" t="n"/>
      <c r="H36" s="15" t="n"/>
      <c r="I36" s="15" t="n"/>
    </row>
    <row r="37">
      <c r="B37" s="15" t="n"/>
      <c r="C37" s="15" t="n"/>
      <c r="D37" s="15" t="n"/>
      <c r="E37" s="15" t="n"/>
      <c r="F37" s="15" t="n"/>
      <c r="G37" s="15" t="n"/>
      <c r="H37" s="15" t="n"/>
      <c r="I37" s="15" t="n"/>
    </row>
    <row r="38">
      <c r="B38" s="15" t="n"/>
      <c r="C38" s="15" t="n"/>
      <c r="D38" s="15" t="n"/>
      <c r="E38" s="15" t="n"/>
      <c r="F38" s="15" t="n"/>
      <c r="G38" s="15" t="n"/>
      <c r="H38" s="15" t="n"/>
      <c r="I38" s="15" t="n"/>
    </row>
    <row r="39">
      <c r="B39" s="15" t="n"/>
      <c r="C39" s="15" t="n"/>
      <c r="D39" s="15" t="n"/>
      <c r="E39" s="15" t="n"/>
      <c r="F39" s="15" t="n"/>
      <c r="G39" s="15" t="n"/>
      <c r="H39" s="15" t="n"/>
      <c r="I39" s="15" t="n"/>
    </row>
    <row r="40">
      <c r="B40" s="15" t="n"/>
      <c r="C40" s="15" t="n"/>
      <c r="D40" s="15" t="n"/>
      <c r="E40" s="15" t="n"/>
      <c r="F40" s="15" t="n"/>
      <c r="G40" s="15" t="n"/>
      <c r="H40" s="15" t="n"/>
      <c r="I40" s="15" t="n"/>
    </row>
    <row r="41">
      <c r="B41" s="15" t="n"/>
      <c r="C41" s="15" t="n"/>
      <c r="D41" s="15" t="n"/>
      <c r="E41" s="15" t="n"/>
      <c r="F41" s="15" t="n"/>
      <c r="G41" s="15" t="n"/>
      <c r="H41" s="15" t="n"/>
      <c r="I41" s="15" t="n"/>
    </row>
    <row r="42">
      <c r="B42" s="15" t="n"/>
      <c r="C42" s="15" t="n"/>
      <c r="D42" s="15" t="n"/>
      <c r="E42" s="15" t="n"/>
      <c r="F42" s="15" t="n"/>
      <c r="G42" s="15" t="n"/>
      <c r="H42" s="15" t="n"/>
      <c r="I42" s="15" t="n"/>
    </row>
    <row r="43">
      <c r="B43" s="15" t="n"/>
      <c r="C43" s="15" t="n"/>
      <c r="D43" s="15" t="n"/>
      <c r="E43" s="15" t="n"/>
      <c r="F43" s="15" t="n"/>
      <c r="G43" s="15" t="n"/>
      <c r="H43" s="15" t="n"/>
      <c r="I43" s="15" t="n"/>
    </row>
    <row r="44">
      <c r="B44" s="15" t="n"/>
      <c r="C44" s="15" t="n"/>
      <c r="D44" s="15" t="n"/>
      <c r="E44" s="15" t="n"/>
      <c r="F44" s="15" t="n"/>
      <c r="G44" s="15" t="n"/>
      <c r="H44" s="15" t="n"/>
      <c r="I44" s="15" t="n"/>
    </row>
    <row r="45">
      <c r="B45" s="15" t="n"/>
      <c r="C45" s="15" t="n"/>
      <c r="D45" s="15" t="n"/>
      <c r="E45" s="15" t="n"/>
      <c r="F45" s="15" t="n"/>
      <c r="G45" s="15" t="n"/>
      <c r="H45" s="15" t="n"/>
      <c r="I45" s="15" t="n"/>
    </row>
    <row r="46">
      <c r="B46" s="15" t="n"/>
      <c r="C46" s="15" t="n"/>
      <c r="D46" s="15" t="n"/>
      <c r="E46" s="15" t="n"/>
      <c r="F46" s="15" t="n"/>
      <c r="G46" s="15" t="n"/>
      <c r="H46" s="15" t="n"/>
      <c r="I46" s="15" t="n"/>
    </row>
    <row r="47">
      <c r="B47" s="15" t="n"/>
      <c r="C47" s="15" t="n"/>
      <c r="D47" s="15" t="n"/>
      <c r="E47" s="15" t="n"/>
      <c r="F47" s="15" t="n"/>
      <c r="G47" s="15" t="n"/>
      <c r="H47" s="15" t="n"/>
      <c r="I47" s="15" t="n"/>
    </row>
    <row r="48">
      <c r="B48" s="15" t="n"/>
      <c r="C48" s="15" t="n"/>
      <c r="D48" s="15" t="n"/>
      <c r="E48" s="15" t="n"/>
      <c r="F48" s="15" t="n"/>
      <c r="G48" s="15" t="n"/>
      <c r="H48" s="15" t="n"/>
      <c r="I48" s="15" t="n"/>
    </row>
    <row r="49">
      <c r="B49" s="15" t="n"/>
      <c r="C49" s="15" t="n"/>
      <c r="D49" s="15" t="n"/>
      <c r="E49" s="15" t="n"/>
      <c r="F49" s="15" t="n"/>
      <c r="G49" s="15" t="n"/>
      <c r="H49" s="15" t="n"/>
      <c r="I49" s="15" t="n"/>
    </row>
    <row r="50">
      <c r="B50" s="15" t="n"/>
      <c r="C50" s="15" t="n"/>
      <c r="D50" s="15" t="n"/>
      <c r="E50" s="15" t="n"/>
      <c r="F50" s="15" t="n"/>
      <c r="G50" s="15" t="n"/>
      <c r="H50" s="15" t="n"/>
      <c r="I50" s="15" t="n"/>
    </row>
    <row r="51">
      <c r="B51" s="15" t="n"/>
      <c r="C51" s="15" t="n"/>
      <c r="D51" s="15" t="n"/>
      <c r="E51" s="15" t="n"/>
      <c r="F51" s="15" t="n"/>
      <c r="G51" s="15" t="n"/>
      <c r="H51" s="15" t="n"/>
      <c r="I51" s="15" t="n"/>
    </row>
    <row r="52">
      <c r="B52" s="15" t="n"/>
      <c r="C52" s="15" t="n"/>
      <c r="D52" s="15" t="n"/>
      <c r="E52" s="15" t="n"/>
      <c r="F52" s="15" t="n"/>
      <c r="G52" s="15" t="n"/>
      <c r="H52" s="15" t="n"/>
      <c r="I52" s="15" t="n"/>
    </row>
    <row r="53">
      <c r="B53" s="15" t="n"/>
      <c r="C53" s="15" t="n"/>
      <c r="D53" s="15" t="n"/>
      <c r="E53" s="15" t="n"/>
      <c r="F53" s="15" t="n"/>
      <c r="G53" s="15" t="n"/>
      <c r="H53" s="15" t="n"/>
      <c r="I53" s="15" t="n"/>
    </row>
    <row r="54">
      <c r="B54" s="15" t="n"/>
      <c r="C54" s="15" t="n"/>
      <c r="D54" s="15" t="n"/>
      <c r="E54" s="15" t="n"/>
      <c r="F54" s="15" t="n"/>
      <c r="G54" s="15" t="n"/>
      <c r="H54" s="15" t="n"/>
      <c r="I54" s="15" t="n"/>
    </row>
    <row r="55">
      <c r="B55" s="15" t="n"/>
      <c r="C55" s="15" t="n"/>
      <c r="D55" s="15" t="n"/>
      <c r="E55" s="15" t="n"/>
      <c r="F55" s="15" t="n"/>
      <c r="G55" s="15" t="n"/>
      <c r="H55" s="15" t="n"/>
      <c r="I55" s="15" t="n"/>
    </row>
    <row r="58">
      <c r="A58" s="16" t="inlineStr">
        <is>
          <t>LIST MANAGEMENT PROCESS</t>
        </is>
      </c>
    </row>
    <row r="59">
      <c r="A59" s="17" t="inlineStr">
        <is>
          <t>List Creation Process:</t>
        </is>
      </c>
    </row>
    <row r="60">
      <c r="A60" s="14" t="inlineStr">
        <is>
          <t xml:space="preserve">  • Request Method:</t>
        </is>
      </c>
      <c r="B60" s="15" t="n"/>
    </row>
    <row r="61">
      <c r="A61" s="14" t="inlineStr">
        <is>
          <t xml:space="preserve">  • Approval Required?:</t>
        </is>
      </c>
      <c r="B61" s="15" t="n"/>
    </row>
    <row r="62">
      <c r="A62" s="14" t="inlineStr">
        <is>
          <t xml:space="preserve">  • Approver Role:</t>
        </is>
      </c>
      <c r="B62" s="15" t="n"/>
    </row>
    <row r="63">
      <c r="A63" s="14" t="inlineStr">
        <is>
          <t xml:space="preserve">  • Documentation:</t>
        </is>
      </c>
      <c r="B63" s="15" t="n"/>
    </row>
    <row r="64">
      <c r="A64" s="17" t="inlineStr"/>
    </row>
    <row r="65">
      <c r="A65" s="17" t="inlineStr">
        <is>
          <t>List Update Process:</t>
        </is>
      </c>
    </row>
    <row r="66">
      <c r="A66" s="14" t="inlineStr">
        <is>
          <t xml:space="preserve">  • Update Frequency:</t>
        </is>
      </c>
      <c r="B66" s="15" t="n"/>
    </row>
    <row r="67">
      <c r="A67" s="14" t="inlineStr">
        <is>
          <t xml:space="preserve">  • Responsible Party:</t>
        </is>
      </c>
      <c r="B67" s="15" t="n"/>
    </row>
    <row r="68">
      <c r="A68" s="14" t="inlineStr">
        <is>
          <t xml:space="preserve">  • Testing Required?:</t>
        </is>
      </c>
      <c r="B68" s="15" t="n"/>
    </row>
    <row r="69">
      <c r="A69" s="14" t="inlineStr">
        <is>
          <t xml:space="preserve">  • Change Management:</t>
        </is>
      </c>
      <c r="B69" s="15" t="n"/>
    </row>
    <row r="70">
      <c r="A70" s="17" t="inlineStr"/>
    </row>
    <row r="71">
      <c r="A71" s="17" t="inlineStr">
        <is>
          <t>List Review Process:</t>
        </is>
      </c>
    </row>
    <row r="72">
      <c r="A72" s="14" t="inlineStr">
        <is>
          <t xml:space="preserve">  • Review Frequency:</t>
        </is>
      </c>
      <c r="B72" s="15" t="n"/>
    </row>
    <row r="73">
      <c r="A73" s="14" t="inlineStr">
        <is>
          <t xml:space="preserve">  • Review Responsibility:</t>
        </is>
      </c>
      <c r="B73" s="15" t="n"/>
    </row>
    <row r="74">
      <c r="A74" s="14" t="inlineStr">
        <is>
          <t xml:space="preserve">  • Last Full Review:</t>
        </is>
      </c>
      <c r="B74" s="15" t="n"/>
    </row>
    <row r="75">
      <c r="A75" s="14" t="inlineStr">
        <is>
          <t xml:space="preserve">  • Next Scheduled Review:</t>
        </is>
      </c>
      <c r="B75" s="15" t="n"/>
    </row>
  </sheetData>
  <mergeCells count="15">
    <mergeCell ref="B72:D72"/>
    <mergeCell ref="B60:D60"/>
    <mergeCell ref="A2:I2"/>
    <mergeCell ref="B66:D66"/>
    <mergeCell ref="B63:D63"/>
    <mergeCell ref="B61:D61"/>
    <mergeCell ref="B67:D67"/>
    <mergeCell ref="B75:D75"/>
    <mergeCell ref="A1:I1"/>
    <mergeCell ref="B73:D73"/>
    <mergeCell ref="B74:D74"/>
    <mergeCell ref="B68:D68"/>
    <mergeCell ref="A58:I58"/>
    <mergeCell ref="B62:D62"/>
    <mergeCell ref="B69:D69"/>
  </mergeCells>
  <dataValidations count="3">
    <dataValidation sqref="B61 B68" showDropDown="0" showInputMessage="0" showErrorMessage="0" allowBlank="0" type="list">
      <formula1>"Yes,No"</formula1>
    </dataValidation>
    <dataValidation sqref="C5" showDropDown="0" showInputMessage="0" showErrorMessage="0" allowBlank="0" type="list">
      <formula1>"Block List,Allow List,Exception List"</formula1>
    </dataValidation>
    <dataValidation sqref="B66 B72 H5" showDropDown="0" showInputMessage="0" showErrorMessage="0" allowBlank="0" type="list">
      <formula1>"Daily,Weekly,Monthly,Quarterly,Annually,As-needed"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5" customWidth="1" min="4" max="4"/>
    <col width="35" customWidth="1" min="5" max="5"/>
    <col width="12" customWidth="1" min="6" max="6"/>
    <col width="30" customWidth="1" min="7" max="7"/>
    <col width="18" customWidth="1" min="8" max="8"/>
    <col width="18" customWidth="1" min="9" max="9"/>
    <col width="15" customWidth="1" min="10" max="10"/>
    <col width="15" customWidth="1" min="11" max="11"/>
    <col width="15" customWidth="1" min="12" max="12"/>
    <col width="30" customWidth="1" min="13" max="13"/>
  </cols>
  <sheetData>
    <row r="1" ht="35" customHeight="1">
      <c r="A1" s="11" t="inlineStr">
        <is>
          <t>POLICY EXCEPTION REGISTER</t>
        </is>
      </c>
    </row>
    <row r="2">
      <c r="A2" s="12" t="inlineStr">
        <is>
          <t>Track approved exceptions to filtering policies</t>
        </is>
      </c>
    </row>
    <row r="4">
      <c r="A4" s="13" t="inlineStr">
        <is>
          <t>Exception ID</t>
        </is>
      </c>
      <c r="B4" s="13" t="inlineStr">
        <is>
          <t>Exception Type</t>
        </is>
      </c>
      <c r="C4" s="13" t="inlineStr">
        <is>
          <t>Requested For</t>
        </is>
      </c>
      <c r="D4" s="13" t="inlineStr">
        <is>
          <t>URL/Category</t>
        </is>
      </c>
      <c r="E4" s="13" t="inlineStr">
        <is>
          <t>Business Justification</t>
        </is>
      </c>
      <c r="F4" s="13" t="inlineStr">
        <is>
          <t>Risk Level</t>
        </is>
      </c>
      <c r="G4" s="13" t="inlineStr">
        <is>
          <t>Compensating Controls</t>
        </is>
      </c>
      <c r="H4" s="13" t="inlineStr">
        <is>
          <t>Requested By</t>
        </is>
      </c>
      <c r="I4" s="13" t="inlineStr">
        <is>
          <t>Approved By</t>
        </is>
      </c>
      <c r="J4" s="13" t="inlineStr">
        <is>
          <t>Approval Date</t>
        </is>
      </c>
      <c r="K4" s="13" t="inlineStr">
        <is>
          <t>Expiry Date</t>
        </is>
      </c>
      <c r="L4" s="13" t="inlineStr">
        <is>
          <t>Status</t>
        </is>
      </c>
      <c r="M4" s="13" t="inlineStr">
        <is>
          <t>Evidence</t>
        </is>
      </c>
    </row>
    <row r="5">
      <c r="A5" s="14" t="inlineStr">
        <is>
          <t>EXC-001</t>
        </is>
      </c>
      <c r="B5" s="15" t="n"/>
      <c r="C5" s="15" t="n"/>
      <c r="D5" s="15" t="n"/>
      <c r="E5" s="15" t="n"/>
      <c r="F5" s="15" t="n"/>
      <c r="G5" s="15" t="n"/>
      <c r="H5" s="15" t="n"/>
      <c r="I5" s="15" t="n"/>
      <c r="J5" s="15" t="n"/>
      <c r="K5" s="15" t="n"/>
      <c r="L5" s="15" t="n"/>
      <c r="M5" s="15" t="n"/>
    </row>
    <row r="6">
      <c r="B6" s="15" t="n"/>
      <c r="C6" s="15" t="n"/>
      <c r="D6" s="15" t="n"/>
      <c r="E6" s="15" t="n"/>
      <c r="F6" s="15" t="n"/>
      <c r="G6" s="15" t="n"/>
      <c r="H6" s="15" t="n"/>
      <c r="I6" s="15" t="n"/>
      <c r="J6" s="15" t="n"/>
      <c r="K6" s="15" t="n"/>
      <c r="L6" s="15" t="n"/>
      <c r="M6" s="15" t="n"/>
    </row>
    <row r="7">
      <c r="B7" s="15" t="n"/>
      <c r="C7" s="15" t="n"/>
      <c r="D7" s="15" t="n"/>
      <c r="E7" s="15" t="n"/>
      <c r="F7" s="15" t="n"/>
      <c r="G7" s="15" t="n"/>
      <c r="H7" s="15" t="n"/>
      <c r="I7" s="15" t="n"/>
      <c r="J7" s="15" t="n"/>
      <c r="K7" s="15" t="n"/>
      <c r="L7" s="15" t="n"/>
      <c r="M7" s="15" t="n"/>
    </row>
    <row r="8">
      <c r="B8" s="15" t="n"/>
      <c r="C8" s="15" t="n"/>
      <c r="D8" s="15" t="n"/>
      <c r="E8" s="15" t="n"/>
      <c r="F8" s="15" t="n"/>
      <c r="G8" s="15" t="n"/>
      <c r="H8" s="15" t="n"/>
      <c r="I8" s="15" t="n"/>
      <c r="J8" s="15" t="n"/>
      <c r="K8" s="15" t="n"/>
      <c r="L8" s="15" t="n"/>
      <c r="M8" s="15" t="n"/>
    </row>
    <row r="9">
      <c r="B9" s="15" t="n"/>
      <c r="C9" s="15" t="n"/>
      <c r="D9" s="15" t="n"/>
      <c r="E9" s="15" t="n"/>
      <c r="F9" s="15" t="n"/>
      <c r="G9" s="15" t="n"/>
      <c r="H9" s="15" t="n"/>
      <c r="I9" s="15" t="n"/>
      <c r="J9" s="15" t="n"/>
      <c r="K9" s="15" t="n"/>
      <c r="L9" s="15" t="n"/>
      <c r="M9" s="15" t="n"/>
    </row>
    <row r="10">
      <c r="B10" s="15" t="n"/>
      <c r="C10" s="15" t="n"/>
      <c r="D10" s="15" t="n"/>
      <c r="E10" s="15" t="n"/>
      <c r="F10" s="15" t="n"/>
      <c r="G10" s="15" t="n"/>
      <c r="H10" s="15" t="n"/>
      <c r="I10" s="15" t="n"/>
      <c r="J10" s="15" t="n"/>
      <c r="K10" s="15" t="n"/>
      <c r="L10" s="15" t="n"/>
      <c r="M10" s="15" t="n"/>
    </row>
    <row r="11">
      <c r="B11" s="15" t="n"/>
      <c r="C11" s="15" t="n"/>
      <c r="D11" s="15" t="n"/>
      <c r="E11" s="15" t="n"/>
      <c r="F11" s="15" t="n"/>
      <c r="G11" s="15" t="n"/>
      <c r="H11" s="15" t="n"/>
      <c r="I11" s="15" t="n"/>
      <c r="J11" s="15" t="n"/>
      <c r="K11" s="15" t="n"/>
      <c r="L11" s="15" t="n"/>
      <c r="M11" s="15" t="n"/>
    </row>
    <row r="12">
      <c r="B12" s="15" t="n"/>
      <c r="C12" s="15" t="n"/>
      <c r="D12" s="15" t="n"/>
      <c r="E12" s="15" t="n"/>
      <c r="F12" s="15" t="n"/>
      <c r="G12" s="15" t="n"/>
      <c r="H12" s="15" t="n"/>
      <c r="I12" s="15" t="n"/>
      <c r="J12" s="15" t="n"/>
      <c r="K12" s="15" t="n"/>
      <c r="L12" s="15" t="n"/>
      <c r="M12" s="15" t="n"/>
    </row>
    <row r="13">
      <c r="B13" s="15" t="n"/>
      <c r="C13" s="15" t="n"/>
      <c r="D13" s="15" t="n"/>
      <c r="E13" s="15" t="n"/>
      <c r="F13" s="15" t="n"/>
      <c r="G13" s="15" t="n"/>
      <c r="H13" s="15" t="n"/>
      <c r="I13" s="15" t="n"/>
      <c r="J13" s="15" t="n"/>
      <c r="K13" s="15" t="n"/>
      <c r="L13" s="15" t="n"/>
      <c r="M13" s="15" t="n"/>
    </row>
    <row r="14">
      <c r="B14" s="15" t="n"/>
      <c r="C14" s="15" t="n"/>
      <c r="D14" s="15" t="n"/>
      <c r="E14" s="15" t="n"/>
      <c r="F14" s="15" t="n"/>
      <c r="G14" s="15" t="n"/>
      <c r="H14" s="15" t="n"/>
      <c r="I14" s="15" t="n"/>
      <c r="J14" s="15" t="n"/>
      <c r="K14" s="15" t="n"/>
      <c r="L14" s="15" t="n"/>
      <c r="M14" s="15" t="n"/>
    </row>
    <row r="15">
      <c r="B15" s="15" t="n"/>
      <c r="C15" s="15" t="n"/>
      <c r="D15" s="15" t="n"/>
      <c r="E15" s="15" t="n"/>
      <c r="F15" s="15" t="n"/>
      <c r="G15" s="15" t="n"/>
      <c r="H15" s="15" t="n"/>
      <c r="I15" s="15" t="n"/>
      <c r="J15" s="15" t="n"/>
      <c r="K15" s="15" t="n"/>
      <c r="L15" s="15" t="n"/>
      <c r="M15" s="15" t="n"/>
    </row>
    <row r="16">
      <c r="B16" s="15" t="n"/>
      <c r="C16" s="15" t="n"/>
      <c r="D16" s="15" t="n"/>
      <c r="E16" s="15" t="n"/>
      <c r="F16" s="15" t="n"/>
      <c r="G16" s="15" t="n"/>
      <c r="H16" s="15" t="n"/>
      <c r="I16" s="15" t="n"/>
      <c r="J16" s="15" t="n"/>
      <c r="K16" s="15" t="n"/>
      <c r="L16" s="15" t="n"/>
      <c r="M16" s="15" t="n"/>
    </row>
    <row r="17">
      <c r="B17" s="15" t="n"/>
      <c r="C17" s="15" t="n"/>
      <c r="D17" s="15" t="n"/>
      <c r="E17" s="15" t="n"/>
      <c r="F17" s="15" t="n"/>
      <c r="G17" s="15" t="n"/>
      <c r="H17" s="15" t="n"/>
      <c r="I17" s="15" t="n"/>
      <c r="J17" s="15" t="n"/>
      <c r="K17" s="15" t="n"/>
      <c r="L17" s="15" t="n"/>
      <c r="M17" s="15" t="n"/>
    </row>
    <row r="18">
      <c r="B18" s="15" t="n"/>
      <c r="C18" s="15" t="n"/>
      <c r="D18" s="15" t="n"/>
      <c r="E18" s="15" t="n"/>
      <c r="F18" s="15" t="n"/>
      <c r="G18" s="15" t="n"/>
      <c r="H18" s="15" t="n"/>
      <c r="I18" s="15" t="n"/>
      <c r="J18" s="15" t="n"/>
      <c r="K18" s="15" t="n"/>
      <c r="L18" s="15" t="n"/>
      <c r="M18" s="15" t="n"/>
    </row>
    <row r="19">
      <c r="B19" s="15" t="n"/>
      <c r="C19" s="15" t="n"/>
      <c r="D19" s="15" t="n"/>
      <c r="E19" s="15" t="n"/>
      <c r="F19" s="15" t="n"/>
      <c r="G19" s="15" t="n"/>
      <c r="H19" s="15" t="n"/>
      <c r="I19" s="15" t="n"/>
      <c r="J19" s="15" t="n"/>
      <c r="K19" s="15" t="n"/>
      <c r="L19" s="15" t="n"/>
      <c r="M19" s="15" t="n"/>
    </row>
    <row r="20">
      <c r="B20" s="15" t="n"/>
      <c r="C20" s="15" t="n"/>
      <c r="D20" s="15" t="n"/>
      <c r="E20" s="15" t="n"/>
      <c r="F20" s="15" t="n"/>
      <c r="G20" s="15" t="n"/>
      <c r="H20" s="15" t="n"/>
      <c r="I20" s="15" t="n"/>
      <c r="J20" s="15" t="n"/>
      <c r="K20" s="15" t="n"/>
      <c r="L20" s="15" t="n"/>
      <c r="M20" s="15" t="n"/>
    </row>
    <row r="21">
      <c r="B21" s="15" t="n"/>
      <c r="C21" s="15" t="n"/>
      <c r="D21" s="15" t="n"/>
      <c r="E21" s="15" t="n"/>
      <c r="F21" s="15" t="n"/>
      <c r="G21" s="15" t="n"/>
      <c r="H21" s="15" t="n"/>
      <c r="I21" s="15" t="n"/>
      <c r="J21" s="15" t="n"/>
      <c r="K21" s="15" t="n"/>
      <c r="L21" s="15" t="n"/>
      <c r="M21" s="15" t="n"/>
    </row>
    <row r="22">
      <c r="B22" s="15" t="n"/>
      <c r="C22" s="15" t="n"/>
      <c r="D22" s="15" t="n"/>
      <c r="E22" s="15" t="n"/>
      <c r="F22" s="15" t="n"/>
      <c r="G22" s="15" t="n"/>
      <c r="H22" s="15" t="n"/>
      <c r="I22" s="15" t="n"/>
      <c r="J22" s="15" t="n"/>
      <c r="K22" s="15" t="n"/>
      <c r="L22" s="15" t="n"/>
      <c r="M22" s="15" t="n"/>
    </row>
    <row r="23">
      <c r="B23" s="15" t="n"/>
      <c r="C23" s="15" t="n"/>
      <c r="D23" s="15" t="n"/>
      <c r="E23" s="15" t="n"/>
      <c r="F23" s="15" t="n"/>
      <c r="G23" s="15" t="n"/>
      <c r="H23" s="15" t="n"/>
      <c r="I23" s="15" t="n"/>
      <c r="J23" s="15" t="n"/>
      <c r="K23" s="15" t="n"/>
      <c r="L23" s="15" t="n"/>
      <c r="M23" s="15" t="n"/>
    </row>
    <row r="24">
      <c r="B24" s="15" t="n"/>
      <c r="C24" s="15" t="n"/>
      <c r="D24" s="15" t="n"/>
      <c r="E24" s="15" t="n"/>
      <c r="F24" s="15" t="n"/>
      <c r="G24" s="15" t="n"/>
      <c r="H24" s="15" t="n"/>
      <c r="I24" s="15" t="n"/>
      <c r="J24" s="15" t="n"/>
      <c r="K24" s="15" t="n"/>
      <c r="L24" s="15" t="n"/>
      <c r="M24" s="15" t="n"/>
    </row>
    <row r="25">
      <c r="B25" s="15" t="n"/>
      <c r="C25" s="15" t="n"/>
      <c r="D25" s="15" t="n"/>
      <c r="E25" s="15" t="n"/>
      <c r="F25" s="15" t="n"/>
      <c r="G25" s="15" t="n"/>
      <c r="H25" s="15" t="n"/>
      <c r="I25" s="15" t="n"/>
      <c r="J25" s="15" t="n"/>
      <c r="K25" s="15" t="n"/>
      <c r="L25" s="15" t="n"/>
      <c r="M25" s="15" t="n"/>
    </row>
    <row r="26">
      <c r="B26" s="15" t="n"/>
      <c r="C26" s="15" t="n"/>
      <c r="D26" s="15" t="n"/>
      <c r="E26" s="15" t="n"/>
      <c r="F26" s="15" t="n"/>
      <c r="G26" s="15" t="n"/>
      <c r="H26" s="15" t="n"/>
      <c r="I26" s="15" t="n"/>
      <c r="J26" s="15" t="n"/>
      <c r="K26" s="15" t="n"/>
      <c r="L26" s="15" t="n"/>
      <c r="M26" s="15" t="n"/>
    </row>
    <row r="27">
      <c r="B27" s="15" t="n"/>
      <c r="C27" s="15" t="n"/>
      <c r="D27" s="15" t="n"/>
      <c r="E27" s="15" t="n"/>
      <c r="F27" s="15" t="n"/>
      <c r="G27" s="15" t="n"/>
      <c r="H27" s="15" t="n"/>
      <c r="I27" s="15" t="n"/>
      <c r="J27" s="15" t="n"/>
      <c r="K27" s="15" t="n"/>
      <c r="L27" s="15" t="n"/>
      <c r="M27" s="15" t="n"/>
    </row>
    <row r="28">
      <c r="B28" s="15" t="n"/>
      <c r="C28" s="15" t="n"/>
      <c r="D28" s="15" t="n"/>
      <c r="E28" s="15" t="n"/>
      <c r="F28" s="15" t="n"/>
      <c r="G28" s="15" t="n"/>
      <c r="H28" s="15" t="n"/>
      <c r="I28" s="15" t="n"/>
      <c r="J28" s="15" t="n"/>
      <c r="K28" s="15" t="n"/>
      <c r="L28" s="15" t="n"/>
      <c r="M28" s="15" t="n"/>
    </row>
    <row r="29">
      <c r="B29" s="15" t="n"/>
      <c r="C29" s="15" t="n"/>
      <c r="D29" s="15" t="n"/>
      <c r="E29" s="15" t="n"/>
      <c r="F29" s="15" t="n"/>
      <c r="G29" s="15" t="n"/>
      <c r="H29" s="15" t="n"/>
      <c r="I29" s="15" t="n"/>
      <c r="J29" s="15" t="n"/>
      <c r="K29" s="15" t="n"/>
      <c r="L29" s="15" t="n"/>
      <c r="M29" s="15" t="n"/>
    </row>
    <row r="30">
      <c r="B30" s="15" t="n"/>
      <c r="C30" s="15" t="n"/>
      <c r="D30" s="15" t="n"/>
      <c r="E30" s="15" t="n"/>
      <c r="F30" s="15" t="n"/>
      <c r="G30" s="15" t="n"/>
      <c r="H30" s="15" t="n"/>
      <c r="I30" s="15" t="n"/>
      <c r="J30" s="15" t="n"/>
      <c r="K30" s="15" t="n"/>
      <c r="L30" s="15" t="n"/>
      <c r="M30" s="15" t="n"/>
    </row>
    <row r="31">
      <c r="B31" s="15" t="n"/>
      <c r="C31" s="15" t="n"/>
      <c r="D31" s="15" t="n"/>
      <c r="E31" s="15" t="n"/>
      <c r="F31" s="15" t="n"/>
      <c r="G31" s="15" t="n"/>
      <c r="H31" s="15" t="n"/>
      <c r="I31" s="15" t="n"/>
      <c r="J31" s="15" t="n"/>
      <c r="K31" s="15" t="n"/>
      <c r="L31" s="15" t="n"/>
      <c r="M31" s="15" t="n"/>
    </row>
    <row r="32">
      <c r="B32" s="15" t="n"/>
      <c r="C32" s="15" t="n"/>
      <c r="D32" s="15" t="n"/>
      <c r="E32" s="15" t="n"/>
      <c r="F32" s="15" t="n"/>
      <c r="G32" s="15" t="n"/>
      <c r="H32" s="15" t="n"/>
      <c r="I32" s="15" t="n"/>
      <c r="J32" s="15" t="n"/>
      <c r="K32" s="15" t="n"/>
      <c r="L32" s="15" t="n"/>
      <c r="M32" s="15" t="n"/>
    </row>
    <row r="33">
      <c r="B33" s="15" t="n"/>
      <c r="C33" s="15" t="n"/>
      <c r="D33" s="15" t="n"/>
      <c r="E33" s="15" t="n"/>
      <c r="F33" s="15" t="n"/>
      <c r="G33" s="15" t="n"/>
      <c r="H33" s="15" t="n"/>
      <c r="I33" s="15" t="n"/>
      <c r="J33" s="15" t="n"/>
      <c r="K33" s="15" t="n"/>
      <c r="L33" s="15" t="n"/>
      <c r="M33" s="15" t="n"/>
    </row>
    <row r="34">
      <c r="B34" s="15" t="n"/>
      <c r="C34" s="15" t="n"/>
      <c r="D34" s="15" t="n"/>
      <c r="E34" s="15" t="n"/>
      <c r="F34" s="15" t="n"/>
      <c r="G34" s="15" t="n"/>
      <c r="H34" s="15" t="n"/>
      <c r="I34" s="15" t="n"/>
      <c r="J34" s="15" t="n"/>
      <c r="K34" s="15" t="n"/>
      <c r="L34" s="15" t="n"/>
      <c r="M34" s="15" t="n"/>
    </row>
    <row r="35">
      <c r="B35" s="15" t="n"/>
      <c r="C35" s="15" t="n"/>
      <c r="D35" s="15" t="n"/>
      <c r="E35" s="15" t="n"/>
      <c r="F35" s="15" t="n"/>
      <c r="G35" s="15" t="n"/>
      <c r="H35" s="15" t="n"/>
      <c r="I35" s="15" t="n"/>
      <c r="J35" s="15" t="n"/>
      <c r="K35" s="15" t="n"/>
      <c r="L35" s="15" t="n"/>
      <c r="M35" s="15" t="n"/>
    </row>
    <row r="36">
      <c r="B36" s="15" t="n"/>
      <c r="C36" s="15" t="n"/>
      <c r="D36" s="15" t="n"/>
      <c r="E36" s="15" t="n"/>
      <c r="F36" s="15" t="n"/>
      <c r="G36" s="15" t="n"/>
      <c r="H36" s="15" t="n"/>
      <c r="I36" s="15" t="n"/>
      <c r="J36" s="15" t="n"/>
      <c r="K36" s="15" t="n"/>
      <c r="L36" s="15" t="n"/>
      <c r="M36" s="15" t="n"/>
    </row>
    <row r="37">
      <c r="B37" s="15" t="n"/>
      <c r="C37" s="15" t="n"/>
      <c r="D37" s="15" t="n"/>
      <c r="E37" s="15" t="n"/>
      <c r="F37" s="15" t="n"/>
      <c r="G37" s="15" t="n"/>
      <c r="H37" s="15" t="n"/>
      <c r="I37" s="15" t="n"/>
      <c r="J37" s="15" t="n"/>
      <c r="K37" s="15" t="n"/>
      <c r="L37" s="15" t="n"/>
      <c r="M37" s="15" t="n"/>
    </row>
    <row r="38">
      <c r="B38" s="15" t="n"/>
      <c r="C38" s="15" t="n"/>
      <c r="D38" s="15" t="n"/>
      <c r="E38" s="15" t="n"/>
      <c r="F38" s="15" t="n"/>
      <c r="G38" s="15" t="n"/>
      <c r="H38" s="15" t="n"/>
      <c r="I38" s="15" t="n"/>
      <c r="J38" s="15" t="n"/>
      <c r="K38" s="15" t="n"/>
      <c r="L38" s="15" t="n"/>
      <c r="M38" s="15" t="n"/>
    </row>
    <row r="39">
      <c r="B39" s="15" t="n"/>
      <c r="C39" s="15" t="n"/>
      <c r="D39" s="15" t="n"/>
      <c r="E39" s="15" t="n"/>
      <c r="F39" s="15" t="n"/>
      <c r="G39" s="15" t="n"/>
      <c r="H39" s="15" t="n"/>
      <c r="I39" s="15" t="n"/>
      <c r="J39" s="15" t="n"/>
      <c r="K39" s="15" t="n"/>
      <c r="L39" s="15" t="n"/>
      <c r="M39" s="15" t="n"/>
    </row>
    <row r="40">
      <c r="B40" s="15" t="n"/>
      <c r="C40" s="15" t="n"/>
      <c r="D40" s="15" t="n"/>
      <c r="E40" s="15" t="n"/>
      <c r="F40" s="15" t="n"/>
      <c r="G40" s="15" t="n"/>
      <c r="H40" s="15" t="n"/>
      <c r="I40" s="15" t="n"/>
      <c r="J40" s="15" t="n"/>
      <c r="K40" s="15" t="n"/>
      <c r="L40" s="15" t="n"/>
      <c r="M40" s="15" t="n"/>
    </row>
    <row r="41">
      <c r="B41" s="15" t="n"/>
      <c r="C41" s="15" t="n"/>
      <c r="D41" s="15" t="n"/>
      <c r="E41" s="15" t="n"/>
      <c r="F41" s="15" t="n"/>
      <c r="G41" s="15" t="n"/>
      <c r="H41" s="15" t="n"/>
      <c r="I41" s="15" t="n"/>
      <c r="J41" s="15" t="n"/>
      <c r="K41" s="15" t="n"/>
      <c r="L41" s="15" t="n"/>
      <c r="M41" s="15" t="n"/>
    </row>
    <row r="42">
      <c r="B42" s="15" t="n"/>
      <c r="C42" s="15" t="n"/>
      <c r="D42" s="15" t="n"/>
      <c r="E42" s="15" t="n"/>
      <c r="F42" s="15" t="n"/>
      <c r="G42" s="15" t="n"/>
      <c r="H42" s="15" t="n"/>
      <c r="I42" s="15" t="n"/>
      <c r="J42" s="15" t="n"/>
      <c r="K42" s="15" t="n"/>
      <c r="L42" s="15" t="n"/>
      <c r="M42" s="15" t="n"/>
    </row>
    <row r="43">
      <c r="B43" s="15" t="n"/>
      <c r="C43" s="15" t="n"/>
      <c r="D43" s="15" t="n"/>
      <c r="E43" s="15" t="n"/>
      <c r="F43" s="15" t="n"/>
      <c r="G43" s="15" t="n"/>
      <c r="H43" s="15" t="n"/>
      <c r="I43" s="15" t="n"/>
      <c r="J43" s="15" t="n"/>
      <c r="K43" s="15" t="n"/>
      <c r="L43" s="15" t="n"/>
      <c r="M43" s="15" t="n"/>
    </row>
    <row r="44">
      <c r="B44" s="15" t="n"/>
      <c r="C44" s="15" t="n"/>
      <c r="D44" s="15" t="n"/>
      <c r="E44" s="15" t="n"/>
      <c r="F44" s="15" t="n"/>
      <c r="G44" s="15" t="n"/>
      <c r="H44" s="15" t="n"/>
      <c r="I44" s="15" t="n"/>
      <c r="J44" s="15" t="n"/>
      <c r="K44" s="15" t="n"/>
      <c r="L44" s="15" t="n"/>
      <c r="M44" s="15" t="n"/>
    </row>
    <row r="45">
      <c r="B45" s="15" t="n"/>
      <c r="C45" s="15" t="n"/>
      <c r="D45" s="15" t="n"/>
      <c r="E45" s="15" t="n"/>
      <c r="F45" s="15" t="n"/>
      <c r="G45" s="15" t="n"/>
      <c r="H45" s="15" t="n"/>
      <c r="I45" s="15" t="n"/>
      <c r="J45" s="15" t="n"/>
      <c r="K45" s="15" t="n"/>
      <c r="L45" s="15" t="n"/>
      <c r="M45" s="15" t="n"/>
    </row>
    <row r="46">
      <c r="B46" s="15" t="n"/>
      <c r="C46" s="15" t="n"/>
      <c r="D46" s="15" t="n"/>
      <c r="E46" s="15" t="n"/>
      <c r="F46" s="15" t="n"/>
      <c r="G46" s="15" t="n"/>
      <c r="H46" s="15" t="n"/>
      <c r="I46" s="15" t="n"/>
      <c r="J46" s="15" t="n"/>
      <c r="K46" s="15" t="n"/>
      <c r="L46" s="15" t="n"/>
      <c r="M46" s="15" t="n"/>
    </row>
    <row r="47">
      <c r="B47" s="15" t="n"/>
      <c r="C47" s="15" t="n"/>
      <c r="D47" s="15" t="n"/>
      <c r="E47" s="15" t="n"/>
      <c r="F47" s="15" t="n"/>
      <c r="G47" s="15" t="n"/>
      <c r="H47" s="15" t="n"/>
      <c r="I47" s="15" t="n"/>
      <c r="J47" s="15" t="n"/>
      <c r="K47" s="15" t="n"/>
      <c r="L47" s="15" t="n"/>
      <c r="M47" s="15" t="n"/>
    </row>
    <row r="48">
      <c r="B48" s="15" t="n"/>
      <c r="C48" s="15" t="n"/>
      <c r="D48" s="15" t="n"/>
      <c r="E48" s="15" t="n"/>
      <c r="F48" s="15" t="n"/>
      <c r="G48" s="15" t="n"/>
      <c r="H48" s="15" t="n"/>
      <c r="I48" s="15" t="n"/>
      <c r="J48" s="15" t="n"/>
      <c r="K48" s="15" t="n"/>
      <c r="L48" s="15" t="n"/>
      <c r="M48" s="15" t="n"/>
    </row>
    <row r="49">
      <c r="B49" s="15" t="n"/>
      <c r="C49" s="15" t="n"/>
      <c r="D49" s="15" t="n"/>
      <c r="E49" s="15" t="n"/>
      <c r="F49" s="15" t="n"/>
      <c r="G49" s="15" t="n"/>
      <c r="H49" s="15" t="n"/>
      <c r="I49" s="15" t="n"/>
      <c r="J49" s="15" t="n"/>
      <c r="K49" s="15" t="n"/>
      <c r="L49" s="15" t="n"/>
      <c r="M49" s="15" t="n"/>
    </row>
    <row r="50">
      <c r="B50" s="15" t="n"/>
      <c r="C50" s="15" t="n"/>
      <c r="D50" s="15" t="n"/>
      <c r="E50" s="15" t="n"/>
      <c r="F50" s="15" t="n"/>
      <c r="G50" s="15" t="n"/>
      <c r="H50" s="15" t="n"/>
      <c r="I50" s="15" t="n"/>
      <c r="J50" s="15" t="n"/>
      <c r="K50" s="15" t="n"/>
      <c r="L50" s="15" t="n"/>
      <c r="M50" s="15" t="n"/>
    </row>
    <row r="51">
      <c r="B51" s="15" t="n"/>
      <c r="C51" s="15" t="n"/>
      <c r="D51" s="15" t="n"/>
      <c r="E51" s="15" t="n"/>
      <c r="F51" s="15" t="n"/>
      <c r="G51" s="15" t="n"/>
      <c r="H51" s="15" t="n"/>
      <c r="I51" s="15" t="n"/>
      <c r="J51" s="15" t="n"/>
      <c r="K51" s="15" t="n"/>
      <c r="L51" s="15" t="n"/>
      <c r="M51" s="15" t="n"/>
    </row>
    <row r="52">
      <c r="B52" s="15" t="n"/>
      <c r="C52" s="15" t="n"/>
      <c r="D52" s="15" t="n"/>
      <c r="E52" s="15" t="n"/>
      <c r="F52" s="15" t="n"/>
      <c r="G52" s="15" t="n"/>
      <c r="H52" s="15" t="n"/>
      <c r="I52" s="15" t="n"/>
      <c r="J52" s="15" t="n"/>
      <c r="K52" s="15" t="n"/>
      <c r="L52" s="15" t="n"/>
      <c r="M52" s="15" t="n"/>
    </row>
    <row r="53">
      <c r="B53" s="15" t="n"/>
      <c r="C53" s="15" t="n"/>
      <c r="D53" s="15" t="n"/>
      <c r="E53" s="15" t="n"/>
      <c r="F53" s="15" t="n"/>
      <c r="G53" s="15" t="n"/>
      <c r="H53" s="15" t="n"/>
      <c r="I53" s="15" t="n"/>
      <c r="J53" s="15" t="n"/>
      <c r="K53" s="15" t="n"/>
      <c r="L53" s="15" t="n"/>
      <c r="M53" s="15" t="n"/>
    </row>
    <row r="54">
      <c r="B54" s="15" t="n"/>
      <c r="C54" s="15" t="n"/>
      <c r="D54" s="15" t="n"/>
      <c r="E54" s="15" t="n"/>
      <c r="F54" s="15" t="n"/>
      <c r="G54" s="15" t="n"/>
      <c r="H54" s="15" t="n"/>
      <c r="I54" s="15" t="n"/>
      <c r="J54" s="15" t="n"/>
      <c r="K54" s="15" t="n"/>
      <c r="L54" s="15" t="n"/>
      <c r="M54" s="15" t="n"/>
    </row>
    <row r="55">
      <c r="B55" s="15" t="n"/>
      <c r="C55" s="15" t="n"/>
      <c r="D55" s="15" t="n"/>
      <c r="E55" s="15" t="n"/>
      <c r="F55" s="15" t="n"/>
      <c r="G55" s="15" t="n"/>
      <c r="H55" s="15" t="n"/>
      <c r="I55" s="15" t="n"/>
      <c r="J55" s="15" t="n"/>
      <c r="K55" s="15" t="n"/>
      <c r="L55" s="15" t="n"/>
      <c r="M55" s="15" t="n"/>
    </row>
    <row r="58">
      <c r="A58" s="16" t="inlineStr">
        <is>
          <t>EXCEPTION SUMMARY</t>
        </is>
      </c>
    </row>
    <row r="59">
      <c r="A59" s="20" t="inlineStr">
        <is>
          <t>Exception Type</t>
        </is>
      </c>
      <c r="B59" s="20" t="inlineStr">
        <is>
          <t>Active</t>
        </is>
      </c>
      <c r="C59" s="20" t="inlineStr">
        <is>
          <t>Expired</t>
        </is>
      </c>
    </row>
    <row r="60">
      <c r="A60" s="17" t="inlineStr">
        <is>
          <t>URL Exception</t>
        </is>
      </c>
      <c r="B60" s="21">
        <f>COUNTIFS(B5:B55,"URL Exception",L5:L55,"✅ Active")</f>
        <v/>
      </c>
      <c r="C60" s="22">
        <f>COUNTIFS(B5:B55,"URL Exception",L5:L55,"❌ Expired")</f>
        <v/>
      </c>
    </row>
    <row r="61">
      <c r="A61" s="17" t="inlineStr">
        <is>
          <t>Category Exception</t>
        </is>
      </c>
      <c r="B61" s="21">
        <f>COUNTIFS(B5:B55,"Category Exception",L5:L55,"✅ Active")</f>
        <v/>
      </c>
      <c r="C61" s="22">
        <f>COUNTIFS(B5:B55,"Category Exception",L5:L55,"❌ Expired")</f>
        <v/>
      </c>
    </row>
    <row r="62">
      <c r="A62" s="17" t="inlineStr">
        <is>
          <t>User Exception</t>
        </is>
      </c>
      <c r="B62" s="21">
        <f>COUNTIFS(B5:B55,"User Exception",L5:L55,"✅ Active")</f>
        <v/>
      </c>
      <c r="C62" s="22">
        <f>COUNTIFS(B5:B55,"User Exception",L5:L55,"❌ Expired")</f>
        <v/>
      </c>
    </row>
    <row r="63">
      <c r="A63" s="17" t="inlineStr">
        <is>
          <t>Group Exception</t>
        </is>
      </c>
      <c r="B63" s="21">
        <f>COUNTIFS(B5:B55,"Group Exception",L5:L55,"✅ Active")</f>
        <v/>
      </c>
      <c r="C63" s="22">
        <f>COUNTIFS(B5:B55,"Group Exception",L5:L55,"❌ Expired")</f>
        <v/>
      </c>
    </row>
    <row r="64">
      <c r="A64" s="17" t="inlineStr">
        <is>
          <t>Temporary Exception</t>
        </is>
      </c>
      <c r="B64" s="21">
        <f>COUNTIFS(B5:B55,"Temporary Exception",L5:L55,"✅ Active")</f>
        <v/>
      </c>
      <c r="C64" s="22">
        <f>COUNTIFS(B5:B55,"Temporary Exception",L5:L55,"❌ Expired")</f>
        <v/>
      </c>
    </row>
    <row r="65">
      <c r="A65" s="17" t="inlineStr">
        <is>
          <t>Permanent Exception</t>
        </is>
      </c>
      <c r="B65" s="21">
        <f>COUNTIFS(B5:B55,"Permanent Exception",L5:L55,"✅ Active")</f>
        <v/>
      </c>
      <c r="C65" s="22">
        <f>COUNTIFS(B5:B55,"Permanent Exception",L5:L55,"❌ Expired")</f>
        <v/>
      </c>
    </row>
    <row r="68">
      <c r="A68" s="19" t="inlineStr">
        <is>
          <t>⚠️ ALERTS: Exceptions &gt;12 months = re-approval required | No compensating controls = HIGH RISK | Permanent exceptions = justify annually</t>
        </is>
      </c>
    </row>
  </sheetData>
  <mergeCells count="4">
    <mergeCell ref="A68:M68"/>
    <mergeCell ref="A2:M2"/>
    <mergeCell ref="A58:M58"/>
    <mergeCell ref="A1:M1"/>
  </mergeCells>
  <dataValidations count="3">
    <dataValidation sqref="B5" showDropDown="0" showInputMessage="0" showErrorMessage="0" allowBlank="0" type="list">
      <formula1>"URL Exception,Category Exception,User Exception,Group Exception,Temporary Exception,Permanent Exception"</formula1>
    </dataValidation>
    <dataValidation sqref="L5" showDropDown="0" showInputMessage="0" showErrorMessage="0" allowBlank="0" type="list">
      <formula1>"✅ Active,❌ Expired,⛔ Revoked,⏳ Under Review"</formula1>
    </dataValidation>
    <dataValidation sqref="F5"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1"/>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15" customWidth="1" min="5" max="5"/>
    <col width="18" customWidth="1" min="6" max="6"/>
    <col width="30" customWidth="1" min="7" max="7"/>
    <col width="20" customWidth="1" min="8" max="8"/>
    <col width="15" customWidth="1" min="9" max="9"/>
    <col width="30" customWidth="1" min="10" max="10"/>
  </cols>
  <sheetData>
    <row r="1" ht="35" customHeight="1">
      <c r="A1" s="11" t="inlineStr">
        <is>
          <t>USER &amp; GROUP POLICY ASSIGNMENTS</t>
        </is>
      </c>
    </row>
    <row r="2">
      <c r="A2" s="12" t="inlineStr">
        <is>
          <t>Role-based filtering policies (if applicable)</t>
        </is>
      </c>
    </row>
    <row r="4">
      <c r="A4" s="13" t="inlineStr">
        <is>
          <t>Policy ID</t>
        </is>
      </c>
      <c r="B4" s="13" t="inlineStr">
        <is>
          <t>Policy Name</t>
        </is>
      </c>
      <c r="C4" s="13" t="inlineStr">
        <is>
          <t>Applied To</t>
        </is>
      </c>
      <c r="D4" s="13" t="inlineStr">
        <is>
          <t>User Count</t>
        </is>
      </c>
      <c r="E4" s="13" t="inlineStr">
        <is>
          <t>Policy Type</t>
        </is>
      </c>
      <c r="F4" s="13" t="inlineStr">
        <is>
          <t>Filtering Level</t>
        </is>
      </c>
      <c r="G4" s="13" t="inlineStr">
        <is>
          <t>Categories Blocked</t>
        </is>
      </c>
      <c r="H4" s="13" t="inlineStr">
        <is>
          <t>Time Restrictions</t>
        </is>
      </c>
      <c r="I4" s="13" t="inlineStr">
        <is>
          <t>HTTPS Inspection</t>
        </is>
      </c>
      <c r="J4" s="13" t="inlineStr">
        <is>
          <t>Evidence</t>
        </is>
      </c>
    </row>
    <row r="5">
      <c r="A5" s="14" t="inlineStr">
        <is>
          <t>POL-001</t>
        </is>
      </c>
      <c r="B5" s="15" t="n"/>
      <c r="C5" s="15" t="n"/>
      <c r="D5" s="15" t="n"/>
      <c r="E5" s="15" t="n"/>
      <c r="F5" s="15" t="n"/>
      <c r="G5" s="15" t="n"/>
      <c r="H5" s="15" t="n"/>
      <c r="I5" s="15" t="n"/>
      <c r="J5" s="15" t="n"/>
    </row>
    <row r="6">
      <c r="B6" s="15" t="n"/>
      <c r="C6" s="15" t="n"/>
      <c r="D6" s="15" t="n"/>
      <c r="E6" s="15" t="n"/>
      <c r="F6" s="15" t="n"/>
      <c r="G6" s="15" t="n"/>
      <c r="H6" s="15" t="n"/>
      <c r="I6" s="15" t="n"/>
      <c r="J6" s="15" t="n"/>
    </row>
    <row r="7">
      <c r="B7" s="15" t="n"/>
      <c r="C7" s="15" t="n"/>
      <c r="D7" s="15" t="n"/>
      <c r="E7" s="15" t="n"/>
      <c r="F7" s="15" t="n"/>
      <c r="G7" s="15" t="n"/>
      <c r="H7" s="15" t="n"/>
      <c r="I7" s="15" t="n"/>
      <c r="J7" s="15" t="n"/>
    </row>
    <row r="8">
      <c r="B8" s="15" t="n"/>
      <c r="C8" s="15" t="n"/>
      <c r="D8" s="15" t="n"/>
      <c r="E8" s="15" t="n"/>
      <c r="F8" s="15" t="n"/>
      <c r="G8" s="15" t="n"/>
      <c r="H8" s="15" t="n"/>
      <c r="I8" s="15" t="n"/>
      <c r="J8" s="15" t="n"/>
    </row>
    <row r="9">
      <c r="B9" s="15" t="n"/>
      <c r="C9" s="15" t="n"/>
      <c r="D9" s="15" t="n"/>
      <c r="E9" s="15" t="n"/>
      <c r="F9" s="15" t="n"/>
      <c r="G9" s="15" t="n"/>
      <c r="H9" s="15" t="n"/>
      <c r="I9" s="15" t="n"/>
      <c r="J9" s="15" t="n"/>
    </row>
    <row r="10">
      <c r="B10" s="15" t="n"/>
      <c r="C10" s="15" t="n"/>
      <c r="D10" s="15" t="n"/>
      <c r="E10" s="15" t="n"/>
      <c r="F10" s="15" t="n"/>
      <c r="G10" s="15" t="n"/>
      <c r="H10" s="15" t="n"/>
      <c r="I10" s="15" t="n"/>
      <c r="J10" s="15" t="n"/>
    </row>
    <row r="11">
      <c r="B11" s="15" t="n"/>
      <c r="C11" s="15" t="n"/>
      <c r="D11" s="15" t="n"/>
      <c r="E11" s="15" t="n"/>
      <c r="F11" s="15" t="n"/>
      <c r="G11" s="15" t="n"/>
      <c r="H11" s="15" t="n"/>
      <c r="I11" s="15" t="n"/>
      <c r="J11" s="15" t="n"/>
    </row>
    <row r="12">
      <c r="B12" s="15" t="n"/>
      <c r="C12" s="15" t="n"/>
      <c r="D12" s="15" t="n"/>
      <c r="E12" s="15" t="n"/>
      <c r="F12" s="15" t="n"/>
      <c r="G12" s="15" t="n"/>
      <c r="H12" s="15" t="n"/>
      <c r="I12" s="15" t="n"/>
      <c r="J12" s="15" t="n"/>
    </row>
    <row r="13">
      <c r="B13" s="15" t="n"/>
      <c r="C13" s="15" t="n"/>
      <c r="D13" s="15" t="n"/>
      <c r="E13" s="15" t="n"/>
      <c r="F13" s="15" t="n"/>
      <c r="G13" s="15" t="n"/>
      <c r="H13" s="15" t="n"/>
      <c r="I13" s="15" t="n"/>
      <c r="J13" s="15" t="n"/>
    </row>
    <row r="14">
      <c r="B14" s="15" t="n"/>
      <c r="C14" s="15" t="n"/>
      <c r="D14" s="15" t="n"/>
      <c r="E14" s="15" t="n"/>
      <c r="F14" s="15" t="n"/>
      <c r="G14" s="15" t="n"/>
      <c r="H14" s="15" t="n"/>
      <c r="I14" s="15" t="n"/>
      <c r="J14" s="15" t="n"/>
    </row>
    <row r="15">
      <c r="B15" s="15" t="n"/>
      <c r="C15" s="15" t="n"/>
      <c r="D15" s="15" t="n"/>
      <c r="E15" s="15" t="n"/>
      <c r="F15" s="15" t="n"/>
      <c r="G15" s="15" t="n"/>
      <c r="H15" s="15" t="n"/>
      <c r="I15" s="15" t="n"/>
      <c r="J15" s="15" t="n"/>
    </row>
    <row r="16">
      <c r="B16" s="15" t="n"/>
      <c r="C16" s="15" t="n"/>
      <c r="D16" s="15" t="n"/>
      <c r="E16" s="15" t="n"/>
      <c r="F16" s="15" t="n"/>
      <c r="G16" s="15" t="n"/>
      <c r="H16" s="15" t="n"/>
      <c r="I16" s="15" t="n"/>
      <c r="J16" s="15" t="n"/>
    </row>
    <row r="17">
      <c r="B17" s="15" t="n"/>
      <c r="C17" s="15" t="n"/>
      <c r="D17" s="15" t="n"/>
      <c r="E17" s="15" t="n"/>
      <c r="F17" s="15" t="n"/>
      <c r="G17" s="15" t="n"/>
      <c r="H17" s="15" t="n"/>
      <c r="I17" s="15" t="n"/>
      <c r="J17" s="15" t="n"/>
    </row>
    <row r="18">
      <c r="B18" s="15" t="n"/>
      <c r="C18" s="15" t="n"/>
      <c r="D18" s="15" t="n"/>
      <c r="E18" s="15" t="n"/>
      <c r="F18" s="15" t="n"/>
      <c r="G18" s="15" t="n"/>
      <c r="H18" s="15" t="n"/>
      <c r="I18" s="15" t="n"/>
      <c r="J18" s="15" t="n"/>
    </row>
    <row r="19">
      <c r="B19" s="15" t="n"/>
      <c r="C19" s="15" t="n"/>
      <c r="D19" s="15" t="n"/>
      <c r="E19" s="15" t="n"/>
      <c r="F19" s="15" t="n"/>
      <c r="G19" s="15" t="n"/>
      <c r="H19" s="15" t="n"/>
      <c r="I19" s="15" t="n"/>
      <c r="J19" s="15" t="n"/>
    </row>
    <row r="20">
      <c r="B20" s="15" t="n"/>
      <c r="C20" s="15" t="n"/>
      <c r="D20" s="15" t="n"/>
      <c r="E20" s="15" t="n"/>
      <c r="F20" s="15" t="n"/>
      <c r="G20" s="15" t="n"/>
      <c r="H20" s="15" t="n"/>
      <c r="I20" s="15" t="n"/>
      <c r="J20" s="15" t="n"/>
    </row>
    <row r="21">
      <c r="B21" s="15" t="n"/>
      <c r="C21" s="15" t="n"/>
      <c r="D21" s="15" t="n"/>
      <c r="E21" s="15" t="n"/>
      <c r="F21" s="15" t="n"/>
      <c r="G21" s="15" t="n"/>
      <c r="H21" s="15" t="n"/>
      <c r="I21" s="15" t="n"/>
      <c r="J21" s="15" t="n"/>
    </row>
    <row r="22">
      <c r="B22" s="15" t="n"/>
      <c r="C22" s="15" t="n"/>
      <c r="D22" s="15" t="n"/>
      <c r="E22" s="15" t="n"/>
      <c r="F22" s="15" t="n"/>
      <c r="G22" s="15" t="n"/>
      <c r="H22" s="15" t="n"/>
      <c r="I22" s="15" t="n"/>
      <c r="J22" s="15" t="n"/>
    </row>
    <row r="23">
      <c r="B23" s="15" t="n"/>
      <c r="C23" s="15" t="n"/>
      <c r="D23" s="15" t="n"/>
      <c r="E23" s="15" t="n"/>
      <c r="F23" s="15" t="n"/>
      <c r="G23" s="15" t="n"/>
      <c r="H23" s="15" t="n"/>
      <c r="I23" s="15" t="n"/>
      <c r="J23" s="15" t="n"/>
    </row>
    <row r="24">
      <c r="B24" s="15" t="n"/>
      <c r="C24" s="15" t="n"/>
      <c r="D24" s="15" t="n"/>
      <c r="E24" s="15" t="n"/>
      <c r="F24" s="15" t="n"/>
      <c r="G24" s="15" t="n"/>
      <c r="H24" s="15" t="n"/>
      <c r="I24" s="15" t="n"/>
      <c r="J24" s="15" t="n"/>
    </row>
    <row r="25">
      <c r="B25" s="15" t="n"/>
      <c r="C25" s="15" t="n"/>
      <c r="D25" s="15" t="n"/>
      <c r="E25" s="15" t="n"/>
      <c r="F25" s="15" t="n"/>
      <c r="G25" s="15" t="n"/>
      <c r="H25" s="15" t="n"/>
      <c r="I25" s="15" t="n"/>
      <c r="J25" s="15" t="n"/>
    </row>
    <row r="26">
      <c r="B26" s="15" t="n"/>
      <c r="C26" s="15" t="n"/>
      <c r="D26" s="15" t="n"/>
      <c r="E26" s="15" t="n"/>
      <c r="F26" s="15" t="n"/>
      <c r="G26" s="15" t="n"/>
      <c r="H26" s="15" t="n"/>
      <c r="I26" s="15" t="n"/>
      <c r="J26" s="15" t="n"/>
    </row>
    <row r="27">
      <c r="B27" s="15" t="n"/>
      <c r="C27" s="15" t="n"/>
      <c r="D27" s="15" t="n"/>
      <c r="E27" s="15" t="n"/>
      <c r="F27" s="15" t="n"/>
      <c r="G27" s="15" t="n"/>
      <c r="H27" s="15" t="n"/>
      <c r="I27" s="15" t="n"/>
      <c r="J27" s="15" t="n"/>
    </row>
    <row r="28">
      <c r="B28" s="15" t="n"/>
      <c r="C28" s="15" t="n"/>
      <c r="D28" s="15" t="n"/>
      <c r="E28" s="15" t="n"/>
      <c r="F28" s="15" t="n"/>
      <c r="G28" s="15" t="n"/>
      <c r="H28" s="15" t="n"/>
      <c r="I28" s="15" t="n"/>
      <c r="J28" s="15" t="n"/>
    </row>
    <row r="29">
      <c r="B29" s="15" t="n"/>
      <c r="C29" s="15" t="n"/>
      <c r="D29" s="15" t="n"/>
      <c r="E29" s="15" t="n"/>
      <c r="F29" s="15" t="n"/>
      <c r="G29" s="15" t="n"/>
      <c r="H29" s="15" t="n"/>
      <c r="I29" s="15" t="n"/>
      <c r="J29" s="15" t="n"/>
    </row>
    <row r="30">
      <c r="B30" s="15" t="n"/>
      <c r="C30" s="15" t="n"/>
      <c r="D30" s="15" t="n"/>
      <c r="E30" s="15" t="n"/>
      <c r="F30" s="15" t="n"/>
      <c r="G30" s="15" t="n"/>
      <c r="H30" s="15" t="n"/>
      <c r="I30" s="15" t="n"/>
      <c r="J30" s="15" t="n"/>
    </row>
    <row r="31">
      <c r="B31" s="15" t="n"/>
      <c r="C31" s="15" t="n"/>
      <c r="D31" s="15" t="n"/>
      <c r="E31" s="15" t="n"/>
      <c r="F31" s="15" t="n"/>
      <c r="G31" s="15" t="n"/>
      <c r="H31" s="15" t="n"/>
      <c r="I31" s="15" t="n"/>
      <c r="J31" s="15" t="n"/>
    </row>
    <row r="32">
      <c r="B32" s="15" t="n"/>
      <c r="C32" s="15" t="n"/>
      <c r="D32" s="15" t="n"/>
      <c r="E32" s="15" t="n"/>
      <c r="F32" s="15" t="n"/>
      <c r="G32" s="15" t="n"/>
      <c r="H32" s="15" t="n"/>
      <c r="I32" s="15" t="n"/>
      <c r="J32" s="15" t="n"/>
    </row>
    <row r="33">
      <c r="B33" s="15" t="n"/>
      <c r="C33" s="15" t="n"/>
      <c r="D33" s="15" t="n"/>
      <c r="E33" s="15" t="n"/>
      <c r="F33" s="15" t="n"/>
      <c r="G33" s="15" t="n"/>
      <c r="H33" s="15" t="n"/>
      <c r="I33" s="15" t="n"/>
      <c r="J33" s="15" t="n"/>
    </row>
    <row r="34">
      <c r="B34" s="15" t="n"/>
      <c r="C34" s="15" t="n"/>
      <c r="D34" s="15" t="n"/>
      <c r="E34" s="15" t="n"/>
      <c r="F34" s="15" t="n"/>
      <c r="G34" s="15" t="n"/>
      <c r="H34" s="15" t="n"/>
      <c r="I34" s="15" t="n"/>
      <c r="J34" s="15" t="n"/>
    </row>
    <row r="35">
      <c r="B35" s="15" t="n"/>
      <c r="C35" s="15" t="n"/>
      <c r="D35" s="15" t="n"/>
      <c r="E35" s="15" t="n"/>
      <c r="F35" s="15" t="n"/>
      <c r="G35" s="15" t="n"/>
      <c r="H35" s="15" t="n"/>
      <c r="I35" s="15" t="n"/>
      <c r="J35" s="15" t="n"/>
    </row>
    <row r="36">
      <c r="B36" s="15" t="n"/>
      <c r="C36" s="15" t="n"/>
      <c r="D36" s="15" t="n"/>
      <c r="E36" s="15" t="n"/>
      <c r="F36" s="15" t="n"/>
      <c r="G36" s="15" t="n"/>
      <c r="H36" s="15" t="n"/>
      <c r="I36" s="15" t="n"/>
      <c r="J36" s="15" t="n"/>
    </row>
    <row r="37">
      <c r="B37" s="15" t="n"/>
      <c r="C37" s="15" t="n"/>
      <c r="D37" s="15" t="n"/>
      <c r="E37" s="15" t="n"/>
      <c r="F37" s="15" t="n"/>
      <c r="G37" s="15" t="n"/>
      <c r="H37" s="15" t="n"/>
      <c r="I37" s="15" t="n"/>
      <c r="J37" s="15" t="n"/>
    </row>
    <row r="38">
      <c r="B38" s="15" t="n"/>
      <c r="C38" s="15" t="n"/>
      <c r="D38" s="15" t="n"/>
      <c r="E38" s="15" t="n"/>
      <c r="F38" s="15" t="n"/>
      <c r="G38" s="15" t="n"/>
      <c r="H38" s="15" t="n"/>
      <c r="I38" s="15" t="n"/>
      <c r="J38" s="15" t="n"/>
    </row>
    <row r="39">
      <c r="B39" s="15" t="n"/>
      <c r="C39" s="15" t="n"/>
      <c r="D39" s="15" t="n"/>
      <c r="E39" s="15" t="n"/>
      <c r="F39" s="15" t="n"/>
      <c r="G39" s="15" t="n"/>
      <c r="H39" s="15" t="n"/>
      <c r="I39" s="15" t="n"/>
      <c r="J39" s="15" t="n"/>
    </row>
    <row r="40">
      <c r="B40" s="15" t="n"/>
      <c r="C40" s="15" t="n"/>
      <c r="D40" s="15" t="n"/>
      <c r="E40" s="15" t="n"/>
      <c r="F40" s="15" t="n"/>
      <c r="G40" s="15" t="n"/>
      <c r="H40" s="15" t="n"/>
      <c r="I40" s="15" t="n"/>
      <c r="J40" s="15" t="n"/>
    </row>
    <row r="41">
      <c r="B41" s="15" t="n"/>
      <c r="C41" s="15" t="n"/>
      <c r="D41" s="15" t="n"/>
      <c r="E41" s="15" t="n"/>
      <c r="F41" s="15" t="n"/>
      <c r="G41" s="15" t="n"/>
      <c r="H41" s="15" t="n"/>
      <c r="I41" s="15" t="n"/>
      <c r="J41" s="15" t="n"/>
    </row>
    <row r="42">
      <c r="B42" s="15" t="n"/>
      <c r="C42" s="15" t="n"/>
      <c r="D42" s="15" t="n"/>
      <c r="E42" s="15" t="n"/>
      <c r="F42" s="15" t="n"/>
      <c r="G42" s="15" t="n"/>
      <c r="H42" s="15" t="n"/>
      <c r="I42" s="15" t="n"/>
      <c r="J42" s="15" t="n"/>
    </row>
    <row r="43">
      <c r="B43" s="15" t="n"/>
      <c r="C43" s="15" t="n"/>
      <c r="D43" s="15" t="n"/>
      <c r="E43" s="15" t="n"/>
      <c r="F43" s="15" t="n"/>
      <c r="G43" s="15" t="n"/>
      <c r="H43" s="15" t="n"/>
      <c r="I43" s="15" t="n"/>
      <c r="J43" s="15" t="n"/>
    </row>
    <row r="44">
      <c r="B44" s="15" t="n"/>
      <c r="C44" s="15" t="n"/>
      <c r="D44" s="15" t="n"/>
      <c r="E44" s="15" t="n"/>
      <c r="F44" s="15" t="n"/>
      <c r="G44" s="15" t="n"/>
      <c r="H44" s="15" t="n"/>
      <c r="I44" s="15" t="n"/>
      <c r="J44" s="15" t="n"/>
    </row>
    <row r="45">
      <c r="B45" s="15" t="n"/>
      <c r="C45" s="15" t="n"/>
      <c r="D45" s="15" t="n"/>
      <c r="E45" s="15" t="n"/>
      <c r="F45" s="15" t="n"/>
      <c r="G45" s="15" t="n"/>
      <c r="H45" s="15" t="n"/>
      <c r="I45" s="15" t="n"/>
      <c r="J45" s="15" t="n"/>
    </row>
    <row r="46">
      <c r="B46" s="15" t="n"/>
      <c r="C46" s="15" t="n"/>
      <c r="D46" s="15" t="n"/>
      <c r="E46" s="15" t="n"/>
      <c r="F46" s="15" t="n"/>
      <c r="G46" s="15" t="n"/>
      <c r="H46" s="15" t="n"/>
      <c r="I46" s="15" t="n"/>
      <c r="J46" s="15" t="n"/>
    </row>
    <row r="47">
      <c r="B47" s="15" t="n"/>
      <c r="C47" s="15" t="n"/>
      <c r="D47" s="15" t="n"/>
      <c r="E47" s="15" t="n"/>
      <c r="F47" s="15" t="n"/>
      <c r="G47" s="15" t="n"/>
      <c r="H47" s="15" t="n"/>
      <c r="I47" s="15" t="n"/>
      <c r="J47" s="15" t="n"/>
    </row>
    <row r="48">
      <c r="B48" s="15" t="n"/>
      <c r="C48" s="15" t="n"/>
      <c r="D48" s="15" t="n"/>
      <c r="E48" s="15" t="n"/>
      <c r="F48" s="15" t="n"/>
      <c r="G48" s="15" t="n"/>
      <c r="H48" s="15" t="n"/>
      <c r="I48" s="15" t="n"/>
      <c r="J48" s="15" t="n"/>
    </row>
    <row r="49">
      <c r="B49" s="15" t="n"/>
      <c r="C49" s="15" t="n"/>
      <c r="D49" s="15" t="n"/>
      <c r="E49" s="15" t="n"/>
      <c r="F49" s="15" t="n"/>
      <c r="G49" s="15" t="n"/>
      <c r="H49" s="15" t="n"/>
      <c r="I49" s="15" t="n"/>
      <c r="J49" s="15" t="n"/>
    </row>
    <row r="50">
      <c r="B50" s="15" t="n"/>
      <c r="C50" s="15" t="n"/>
      <c r="D50" s="15" t="n"/>
      <c r="E50" s="15" t="n"/>
      <c r="F50" s="15" t="n"/>
      <c r="G50" s="15" t="n"/>
      <c r="H50" s="15" t="n"/>
      <c r="I50" s="15" t="n"/>
      <c r="J50" s="15" t="n"/>
    </row>
    <row r="51">
      <c r="B51" s="15" t="n"/>
      <c r="C51" s="15" t="n"/>
      <c r="D51" s="15" t="n"/>
      <c r="E51" s="15" t="n"/>
      <c r="F51" s="15" t="n"/>
      <c r="G51" s="15" t="n"/>
      <c r="H51" s="15" t="n"/>
      <c r="I51" s="15" t="n"/>
      <c r="J51" s="15" t="n"/>
    </row>
    <row r="52">
      <c r="B52" s="15" t="n"/>
      <c r="C52" s="15" t="n"/>
      <c r="D52" s="15" t="n"/>
      <c r="E52" s="15" t="n"/>
      <c r="F52" s="15" t="n"/>
      <c r="G52" s="15" t="n"/>
      <c r="H52" s="15" t="n"/>
      <c r="I52" s="15" t="n"/>
      <c r="J52" s="15" t="n"/>
    </row>
    <row r="53">
      <c r="B53" s="15" t="n"/>
      <c r="C53" s="15" t="n"/>
      <c r="D53" s="15" t="n"/>
      <c r="E53" s="15" t="n"/>
      <c r="F53" s="15" t="n"/>
      <c r="G53" s="15" t="n"/>
      <c r="H53" s="15" t="n"/>
      <c r="I53" s="15" t="n"/>
      <c r="J53" s="15" t="n"/>
    </row>
    <row r="54">
      <c r="B54" s="15" t="n"/>
      <c r="C54" s="15" t="n"/>
      <c r="D54" s="15" t="n"/>
      <c r="E54" s="15" t="n"/>
      <c r="F54" s="15" t="n"/>
      <c r="G54" s="15" t="n"/>
      <c r="H54" s="15" t="n"/>
      <c r="I54" s="15" t="n"/>
      <c r="J54" s="15" t="n"/>
    </row>
    <row r="55">
      <c r="B55" s="15" t="n"/>
      <c r="C55" s="15" t="n"/>
      <c r="D55" s="15" t="n"/>
      <c r="E55" s="15" t="n"/>
      <c r="F55" s="15" t="n"/>
      <c r="G55" s="15" t="n"/>
      <c r="H55" s="15" t="n"/>
      <c r="I55" s="15" t="n"/>
      <c r="J55" s="15" t="n"/>
    </row>
    <row r="58">
      <c r="A58" s="16" t="inlineStr">
        <is>
          <t>EXAMPLE POLICY TEMPLATES (Customise to your organisation)</t>
        </is>
      </c>
    </row>
    <row r="59">
      <c r="A59" s="23" t="inlineStr">
        <is>
          <t>Standard Employee Policy:</t>
        </is>
      </c>
    </row>
    <row r="60">
      <c r="A60" s="18" t="inlineStr">
        <is>
          <t xml:space="preserve">  • Threat protection: ✅ Enabled</t>
        </is>
      </c>
    </row>
    <row r="61">
      <c r="A61" s="18" t="inlineStr">
        <is>
          <t xml:space="preserve">  • Category filtering: Medium (block inappropriate, allow business)</t>
        </is>
      </c>
    </row>
    <row r="62">
      <c r="A62" s="18" t="inlineStr">
        <is>
          <t xml:space="preserve">  • Custom lists: Applied</t>
        </is>
      </c>
    </row>
    <row r="63">
      <c r="A63" s="18" t="inlineStr">
        <is>
          <t xml:space="preserve">  • HTTPS inspection: Yes</t>
        </is>
      </c>
    </row>
    <row r="64">
      <c r="A64" s="18" t="inlineStr"/>
    </row>
    <row r="65">
      <c r="A65" s="23" t="inlineStr">
        <is>
          <t>Executive/VIP Policy:</t>
        </is>
      </c>
    </row>
    <row r="66">
      <c r="A66" s="18" t="inlineStr">
        <is>
          <t xml:space="preserve">  • Threat protection: ✅ Enabled</t>
        </is>
      </c>
    </row>
    <row r="67">
      <c r="A67" s="18" t="inlineStr">
        <is>
          <t xml:space="preserve">  • Category filtering: Low (threats only, minimal categories)</t>
        </is>
      </c>
    </row>
    <row r="68">
      <c r="A68" s="18" t="inlineStr">
        <is>
          <t xml:space="preserve">  • Custom lists: Selective</t>
        </is>
      </c>
    </row>
    <row r="69">
      <c r="A69" s="18" t="inlineStr">
        <is>
          <t xml:space="preserve">  • HTTPS inspection: Optional</t>
        </is>
      </c>
    </row>
    <row r="70">
      <c r="A70" s="18" t="inlineStr"/>
    </row>
    <row r="71">
      <c r="A71" s="23" t="inlineStr">
        <is>
          <t>Guest/Contractor Policy:</t>
        </is>
      </c>
    </row>
    <row r="72">
      <c r="A72" s="18" t="inlineStr">
        <is>
          <t xml:space="preserve">  • Threat protection: ✅ Enabled</t>
        </is>
      </c>
    </row>
    <row r="73">
      <c r="A73" s="18" t="inlineStr">
        <is>
          <t xml:space="preserve">  • Category filtering: High (restrictive, business-only)</t>
        </is>
      </c>
    </row>
    <row r="74">
      <c r="A74" s="18" t="inlineStr">
        <is>
          <t xml:space="preserve">  • Custom lists: Strict</t>
        </is>
      </c>
    </row>
    <row r="75">
      <c r="A75" s="18" t="inlineStr">
        <is>
          <t xml:space="preserve">  • HTTPS inspection: Yes</t>
        </is>
      </c>
    </row>
    <row r="76">
      <c r="A76" s="18" t="inlineStr"/>
    </row>
    <row r="77">
      <c r="A77" s="23" t="inlineStr">
        <is>
          <t>IT/Security Team Policy:</t>
        </is>
      </c>
    </row>
    <row r="78">
      <c r="A78" s="18" t="inlineStr">
        <is>
          <t xml:space="preserve">  • Threat protection: ✅ Enabled (can bypass for testing)</t>
        </is>
      </c>
    </row>
    <row r="79">
      <c r="A79" s="18" t="inlineStr">
        <is>
          <t xml:space="preserve">  • Category filtering: None (full access for security research)</t>
        </is>
      </c>
    </row>
    <row r="80">
      <c r="A80" s="18" t="inlineStr">
        <is>
          <t xml:space="preserve">  • Custom lists: Applied</t>
        </is>
      </c>
    </row>
    <row r="81">
      <c r="A81" s="18" t="inlineStr">
        <is>
          <t xml:space="preserve">  • HTTPS inspection: Yes (can decrypt for analysis)</t>
        </is>
      </c>
    </row>
  </sheetData>
  <mergeCells count="3">
    <mergeCell ref="A58:J58"/>
    <mergeCell ref="A1:J1"/>
    <mergeCell ref="A2:J2"/>
  </mergeCells>
  <dataValidations count="4">
    <dataValidation sqref="C5" showDropDown="0" showInputMessage="0" showErrorMessage="0" allowBlank="0" type="list">
      <formula1>"All Users,Specific Group,Specific User,Network Segment,Device Type"</formula1>
    </dataValidation>
    <dataValidation sqref="E5" showDropDown="0" showInputMessage="0" showErrorMessage="0" allowBlank="0" type="list">
      <formula1>"Standard,Restrictive,Relaxed,Executive,Guest,Contractor"</formula1>
    </dataValidation>
    <dataValidation sqref="F5" showDropDown="0" showInputMessage="0" showErrorMessage="0" allowBlank="0" type="list">
      <formula1>"High (Strict),Medium (Balanced),Low (Permissive)"</formula1>
    </dataValidation>
    <dataValidation sqref="I5" showDropDown="0" showInputMessage="0" showErrorMessage="0" allowBlank="0" type="list">
      <formula1>"Yes,No,Selective"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30" customWidth="1" min="3" max="3"/>
    <col width="15" customWidth="1" min="4" max="4"/>
    <col width="30" customWidth="1" min="5" max="5"/>
    <col width="30" customWidth="1" min="6" max="6"/>
    <col width="30" customWidth="1" min="7" max="7"/>
  </cols>
  <sheetData>
    <row r="1" ht="35" customHeight="1">
      <c r="A1" s="11" t="inlineStr">
        <is>
          <t>ACCEPTABLE USE POLICY ALIGNMENT</t>
        </is>
      </c>
    </row>
    <row r="2">
      <c r="A2" s="12" t="inlineStr">
        <is>
          <t>Verify filtering policies enforce Acceptable Use requirements</t>
        </is>
      </c>
    </row>
    <row r="4">
      <c r="A4" s="13" t="inlineStr">
        <is>
          <t>AUP Requirement</t>
        </is>
      </c>
      <c r="B4" s="13" t="inlineStr">
        <is>
          <t>Filtering Enforces This?</t>
        </is>
      </c>
      <c r="C4" s="13" t="inlineStr">
        <is>
          <t>How Enforced?</t>
        </is>
      </c>
      <c r="D4" s="13" t="inlineStr">
        <is>
          <t>Gaps Identified?</t>
        </is>
      </c>
      <c r="E4" s="13" t="inlineStr">
        <is>
          <t>Gap Description</t>
        </is>
      </c>
      <c r="F4" s="13" t="inlineStr">
        <is>
          <t>Remediation Plan</t>
        </is>
      </c>
      <c r="G4" s="13" t="inlineStr">
        <is>
          <t>Evidence</t>
        </is>
      </c>
    </row>
    <row r="5">
      <c r="A5" s="14" t="inlineStr">
        <is>
          <t>Prohibited: Accessing illegal content</t>
        </is>
      </c>
      <c r="B5" s="15" t="n"/>
      <c r="C5" s="15" t="n"/>
      <c r="D5" s="15" t="n"/>
      <c r="E5" s="15" t="n"/>
      <c r="F5" s="15" t="n"/>
      <c r="G5" s="15" t="n"/>
    </row>
    <row r="6">
      <c r="A6" s="14" t="inlineStr">
        <is>
          <t>Prohibited: Downloading pirated software</t>
        </is>
      </c>
      <c r="B6" s="15" t="n"/>
      <c r="C6" s="15" t="n"/>
      <c r="D6" s="15" t="n"/>
      <c r="E6" s="15" t="n"/>
      <c r="F6" s="15" t="n"/>
      <c r="G6" s="15" t="n"/>
    </row>
    <row r="7">
      <c r="A7" s="14" t="inlineStr">
        <is>
          <t>Prohibited: Accessing adult/inappropriate content</t>
        </is>
      </c>
      <c r="B7" s="15" t="n"/>
      <c r="C7" s="15" t="n"/>
      <c r="D7" s="15" t="n"/>
      <c r="E7" s="15" t="n"/>
      <c r="F7" s="15" t="n"/>
      <c r="G7" s="15" t="n"/>
    </row>
    <row r="8">
      <c r="A8" s="14" t="inlineStr">
        <is>
          <t>Prohibited: Using company resources for personal business</t>
        </is>
      </c>
      <c r="B8" s="15" t="n"/>
      <c r="C8" s="15" t="n"/>
      <c r="D8" s="15" t="n"/>
      <c r="E8" s="15" t="n"/>
      <c r="F8" s="15" t="n"/>
      <c r="G8" s="15" t="n"/>
    </row>
    <row r="9">
      <c r="A9" s="14" t="inlineStr">
        <is>
          <t>Prohibited: Bypassing security controls</t>
        </is>
      </c>
      <c r="B9" s="15" t="n"/>
      <c r="C9" s="15" t="n"/>
      <c r="D9" s="15" t="n"/>
      <c r="E9" s="15" t="n"/>
      <c r="F9" s="15" t="n"/>
      <c r="G9" s="15" t="n"/>
    </row>
    <row r="10">
      <c r="A10" s="14" t="inlineStr">
        <is>
          <t>Prohibited: Excessive personal use during work hours</t>
        </is>
      </c>
      <c r="B10" s="15" t="n"/>
      <c r="C10" s="15" t="n"/>
      <c r="D10" s="15" t="n"/>
      <c r="E10" s="15" t="n"/>
      <c r="F10" s="15" t="n"/>
      <c r="G10" s="15" t="n"/>
    </row>
    <row r="11">
      <c r="A11" s="14" t="inlineStr">
        <is>
          <t>Prohibited: Accessing gambling sites</t>
        </is>
      </c>
      <c r="B11" s="15" t="n"/>
      <c r="C11" s="15" t="n"/>
      <c r="D11" s="15" t="n"/>
      <c r="E11" s="15" t="n"/>
      <c r="F11" s="15" t="n"/>
      <c r="G11" s="15" t="n"/>
    </row>
    <row r="12">
      <c r="A12" s="14" t="inlineStr">
        <is>
          <t>Prohibited: Accessing hate/discrimination content</t>
        </is>
      </c>
      <c r="B12" s="15" t="n"/>
      <c r="C12" s="15" t="n"/>
      <c r="D12" s="15" t="n"/>
      <c r="E12" s="15" t="n"/>
      <c r="F12" s="15" t="n"/>
      <c r="G12" s="15" t="n"/>
    </row>
    <row r="13">
      <c r="A13" s="14" t="inlineStr">
        <is>
          <t>Prohibited: Downloading unauthorised software</t>
        </is>
      </c>
      <c r="B13" s="15" t="n"/>
      <c r="C13" s="15" t="n"/>
      <c r="D13" s="15" t="n"/>
      <c r="E13" s="15" t="n"/>
      <c r="F13" s="15" t="n"/>
      <c r="G13" s="15" t="n"/>
    </row>
    <row r="14">
      <c r="A14" s="14" t="inlineStr">
        <is>
          <t>Prohibited: Accessing malicious/phishing sites</t>
        </is>
      </c>
      <c r="B14" s="15" t="n"/>
      <c r="C14" s="15" t="n"/>
      <c r="D14" s="15" t="n"/>
      <c r="E14" s="15" t="n"/>
      <c r="F14" s="15" t="n"/>
      <c r="G14" s="15" t="n"/>
    </row>
    <row r="15">
      <c r="A15" s="14" t="inlineStr">
        <is>
          <t>Required: Reporting suspicious sites</t>
        </is>
      </c>
      <c r="B15" s="15" t="n"/>
      <c r="C15" s="15" t="n"/>
      <c r="D15" s="15" t="n"/>
      <c r="E15" s="15" t="n"/>
      <c r="F15" s="15" t="n"/>
      <c r="G15" s="15" t="n"/>
    </row>
    <row r="16">
      <c r="A16" s="14" t="inlineStr">
        <is>
          <t>Required: Not sharing credentials</t>
        </is>
      </c>
      <c r="B16" s="15" t="n"/>
      <c r="C16" s="15" t="n"/>
      <c r="D16" s="15" t="n"/>
      <c r="E16" s="15" t="n"/>
      <c r="F16" s="15" t="n"/>
      <c r="G16" s="15" t="n"/>
    </row>
    <row r="17">
      <c r="A17" s="14" t="inlineStr">
        <is>
          <t>Required: Following security policies</t>
        </is>
      </c>
      <c r="B17" s="15" t="n"/>
      <c r="C17" s="15" t="n"/>
      <c r="D17" s="15" t="n"/>
      <c r="E17" s="15" t="n"/>
      <c r="F17" s="15" t="n"/>
      <c r="G17" s="15" t="n"/>
    </row>
    <row r="18">
      <c r="A18" s="14" t="inlineStr">
        <is>
          <t>Permitted: Reasonable personal use</t>
        </is>
      </c>
      <c r="B18" s="15" t="n"/>
      <c r="C18" s="15" t="n"/>
      <c r="D18" s="15" t="n"/>
      <c r="E18" s="15" t="n"/>
      <c r="F18" s="15" t="n"/>
      <c r="G18" s="15" t="n"/>
    </row>
    <row r="19">
      <c r="A19" s="14" t="inlineStr">
        <is>
          <t>Permitted: Educational content</t>
        </is>
      </c>
      <c r="B19" s="15" t="n"/>
      <c r="C19" s="15" t="n"/>
      <c r="D19" s="15" t="n"/>
      <c r="E19" s="15" t="n"/>
      <c r="F19" s="15" t="n"/>
      <c r="G19" s="15" t="n"/>
    </row>
    <row r="20">
      <c r="A20" s="14" t="inlineStr">
        <is>
          <t>Permitted: News/information</t>
        </is>
      </c>
      <c r="B20" s="15" t="n"/>
      <c r="C20" s="15" t="n"/>
      <c r="D20" s="15" t="n"/>
      <c r="E20" s="15" t="n"/>
      <c r="F20" s="15" t="n"/>
      <c r="G20" s="15" t="n"/>
    </row>
    <row r="21">
      <c r="A21" s="14" t="inlineStr">
        <is>
          <t>Permitted: Work-related research</t>
        </is>
      </c>
      <c r="B21" s="15" t="n"/>
      <c r="C21" s="15" t="n"/>
      <c r="D21" s="15" t="n"/>
      <c r="E21" s="15" t="n"/>
      <c r="F21" s="15" t="n"/>
      <c r="G21" s="15" t="n"/>
    </row>
    <row r="22">
      <c r="A22" s="14" t="inlineStr">
        <is>
          <t>Permitted: Approved social media for business</t>
        </is>
      </c>
      <c r="B22" s="15" t="n"/>
      <c r="C22" s="15" t="n"/>
      <c r="D22" s="15" t="n"/>
      <c r="E22" s="15" t="n"/>
      <c r="F22" s="15" t="n"/>
      <c r="G22" s="15" t="n"/>
    </row>
    <row r="23">
      <c r="A23" s="14" t="inlineStr">
        <is>
          <t>Permitted: Cloud storage (approved services)</t>
        </is>
      </c>
      <c r="B23" s="15" t="n"/>
      <c r="C23" s="15" t="n"/>
      <c r="D23" s="15" t="n"/>
      <c r="E23" s="15" t="n"/>
      <c r="F23" s="15" t="n"/>
      <c r="G23" s="15" t="n"/>
    </row>
    <row r="24">
      <c r="A24" s="14" t="inlineStr">
        <is>
          <t>Permitted: Streaming for business presentations</t>
        </is>
      </c>
      <c r="B24" s="15" t="n"/>
      <c r="C24" s="15" t="n"/>
      <c r="D24" s="15" t="n"/>
      <c r="E24" s="15" t="n"/>
      <c r="F24" s="15" t="n"/>
      <c r="G24" s="15" t="n"/>
    </row>
    <row r="27">
      <c r="A27" s="16" t="inlineStr">
        <is>
          <t>AUP ALIGNMENT SUMMARY</t>
        </is>
      </c>
    </row>
    <row r="28">
      <c r="A28" s="20" t="inlineStr">
        <is>
          <t>Alignment Status</t>
        </is>
      </c>
      <c r="B28" s="20" t="inlineStr">
        <is>
          <t>Count</t>
        </is>
      </c>
      <c r="C28" s="20" t="inlineStr">
        <is>
          <t>% of Total</t>
        </is>
      </c>
    </row>
    <row r="29">
      <c r="A29" s="17" t="inlineStr">
        <is>
          <t>Fully Enforced (✅)</t>
        </is>
      </c>
      <c r="B29" s="21">
        <f>COUNTIF(B5:B24,"✅ Yes")</f>
        <v/>
      </c>
      <c r="C29" s="21">
        <f>IF(B29=0,0,B29/COUNTA(B5:B24)*100)&amp;"%"</f>
        <v/>
      </c>
    </row>
    <row r="30">
      <c r="A30" s="17" t="inlineStr">
        <is>
          <t>Partially Enforced (⚠️)</t>
        </is>
      </c>
      <c r="B30" s="21">
        <f>COUNTIF(B5:B24,"⚠️ Partial")</f>
        <v/>
      </c>
      <c r="C30" s="21">
        <f>IF(B30=0,0,B30/COUNTA(B5:B24)*100)&amp;"%"</f>
        <v/>
      </c>
    </row>
    <row r="31">
      <c r="A31" s="17" t="inlineStr">
        <is>
          <t>Not Enforced (❌)</t>
        </is>
      </c>
      <c r="B31" s="21">
        <f>COUNTIF(B5:B24,"❌ No")</f>
        <v/>
      </c>
      <c r="C31" s="21">
        <f>IF(B31=0,0,B31/COUNTA(B5:B24)*100)&amp;"%"</f>
        <v/>
      </c>
    </row>
    <row r="32">
      <c r="A32" s="17" t="inlineStr">
        <is>
          <t>N/A</t>
        </is>
      </c>
      <c r="B32" s="21">
        <f>COUNTIF(B5:B24,"N/A")</f>
        <v/>
      </c>
      <c r="C32" s="21">
        <f>IF(B32=0,0,B32/COUNTA(B5:B24)*100)&amp;"%"</f>
        <v/>
      </c>
    </row>
    <row r="34">
      <c r="A34" s="24" t="inlineStr">
        <is>
          <t>Overall AUP Alignment Score:</t>
        </is>
      </c>
      <c r="B34" s="25">
        <f>COUNTIF(B5:B24,"✅ Yes")/COUNTA(B5:B24)*100&amp;"%"</f>
        <v/>
      </c>
    </row>
  </sheetData>
  <mergeCells count="3">
    <mergeCell ref="A27:G27"/>
    <mergeCell ref="A2:G2"/>
    <mergeCell ref="A1:G1"/>
  </mergeCells>
  <dataValidations count="2">
    <dataValidation sqref="D5 D6 D7 D8 D9 D10 D11 D12 D13 D14 D15 D16 D17 D18 D19 D20 D21 D22 D23 D24" showDropDown="0" showInputMessage="0" showErrorMessage="0" allowBlank="0" type="list">
      <formula1>"Yes,No"</formula1>
    </dataValidation>
    <dataValidation sqref="B5 B6 B7 B8 B9 B10 B11 B12 B13 B14 B15 B16 B17 B18 B19 B20 B21 B22 B23 B24" showDropDown="0" showInputMessage="0" showErrorMessage="0" allowBlank="0" type="list">
      <formula1>"✅ Yes,⚠️ Partial,❌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30" customWidth="1" min="3" max="3"/>
    <col width="35" customWidth="1" min="4" max="4"/>
    <col width="20" customWidth="1" min="5" max="5"/>
    <col width="15" customWidth="1" min="6" max="6"/>
    <col width="30" customWidth="1" min="7" max="7"/>
  </cols>
  <sheetData>
    <row r="1" ht="35" customHeight="1">
      <c r="A1" s="11" t="inlineStr">
        <is>
          <t>POLICY REVIEW PROCESS &amp; TRACKING</t>
        </is>
      </c>
    </row>
    <row r="2">
      <c r="A2" s="12" t="inlineStr">
        <is>
          <t>Maintain regular policy reviews and updates</t>
        </is>
      </c>
    </row>
    <row r="4">
      <c r="A4" s="16" t="inlineStr">
        <is>
          <t>REVIEW SCHEDULE</t>
        </is>
      </c>
    </row>
    <row r="5">
      <c r="A5" s="17" t="inlineStr">
        <is>
          <t>Policy Review Frequency:</t>
        </is>
      </c>
      <c r="B5" s="15" t="n"/>
    </row>
    <row r="6">
      <c r="A6" s="17" t="inlineStr">
        <is>
          <t>Responsible Party:</t>
        </is>
      </c>
      <c r="B6" s="15" t="n"/>
    </row>
    <row r="7">
      <c r="A7" s="17" t="inlineStr">
        <is>
          <t>Last Full Review Date:</t>
        </is>
      </c>
      <c r="B7" s="15" t="n"/>
    </row>
    <row r="8">
      <c r="A8" s="17" t="inlineStr">
        <is>
          <t>Next Scheduled Review:</t>
        </is>
      </c>
      <c r="B8" s="15" t="n"/>
    </row>
    <row r="9">
      <c r="A9" s="17" t="inlineStr">
        <is>
          <t>Review Meeting Required?:</t>
        </is>
      </c>
      <c r="B9" s="15" t="n"/>
    </row>
    <row r="10">
      <c r="A10" s="17" t="inlineStr">
        <is>
          <t>Stakeholders Involved:</t>
        </is>
      </c>
      <c r="B10" s="15" t="n"/>
    </row>
    <row r="13">
      <c r="A13" s="16" t="inlineStr">
        <is>
          <t>REVIEW HISTORY LOG</t>
        </is>
      </c>
    </row>
    <row r="14">
      <c r="A14" s="20" t="inlineStr">
        <is>
          <t>Review Date</t>
        </is>
      </c>
      <c r="B14" s="20" t="inlineStr">
        <is>
          <t>Review Type</t>
        </is>
      </c>
      <c r="C14" s="20" t="inlineStr">
        <is>
          <t>Policies Reviewed</t>
        </is>
      </c>
      <c r="D14" s="20" t="inlineStr">
        <is>
          <t>Changes Made</t>
        </is>
      </c>
      <c r="E14" s="20" t="inlineStr">
        <is>
          <t>Approved By</t>
        </is>
      </c>
      <c r="F14" s="20" t="inlineStr">
        <is>
          <t>Next Review</t>
        </is>
      </c>
      <c r="G14" s="20" t="inlineStr">
        <is>
          <t>Evidence</t>
        </is>
      </c>
    </row>
    <row r="15">
      <c r="A15" s="15" t="inlineStr">
        <is>
          <t>01.01.2026</t>
        </is>
      </c>
      <c r="B15" s="15" t="inlineStr">
        <is>
          <t>Full Review</t>
        </is>
      </c>
      <c r="C15" s="15" t="inlineStr">
        <is>
          <t>All web filtering policies</t>
        </is>
      </c>
      <c r="D15" s="15" t="inlineStr">
        <is>
          <t>Updated threat category list, added AI/ML tool categories</t>
        </is>
      </c>
      <c r="E15" s="15" t="inlineStr">
        <is>
          <t>CISO</t>
        </is>
      </c>
      <c r="F15" s="15" t="inlineStr">
        <is>
          <t>01.04.2026</t>
        </is>
      </c>
      <c r="G15" s="15" t="inlineStr">
        <is>
          <t>PolicyReview_2026Q1_Minutes.pdf</t>
        </is>
      </c>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row r="56">
      <c r="A56" s="15" t="n"/>
      <c r="B56" s="15" t="n"/>
      <c r="C56" s="15" t="n"/>
      <c r="D56" s="15" t="n"/>
      <c r="E56" s="15" t="n"/>
      <c r="F56" s="15" t="n"/>
      <c r="G56" s="15" t="n"/>
    </row>
    <row r="57">
      <c r="A57" s="15" t="n"/>
      <c r="B57" s="15" t="n"/>
      <c r="C57" s="15" t="n"/>
      <c r="D57" s="15" t="n"/>
      <c r="E57" s="15" t="n"/>
      <c r="F57" s="15" t="n"/>
      <c r="G57" s="15" t="n"/>
    </row>
    <row r="58">
      <c r="A58" s="15" t="n"/>
      <c r="B58" s="15" t="n"/>
      <c r="C58" s="15" t="n"/>
      <c r="D58" s="15" t="n"/>
      <c r="E58" s="15" t="n"/>
      <c r="F58" s="15" t="n"/>
      <c r="G58" s="15" t="n"/>
    </row>
    <row r="59">
      <c r="A59" s="15" t="n"/>
      <c r="B59" s="15" t="n"/>
      <c r="C59" s="15" t="n"/>
      <c r="D59" s="15" t="n"/>
      <c r="E59" s="15" t="n"/>
      <c r="F59" s="15" t="n"/>
      <c r="G59" s="15" t="n"/>
    </row>
    <row r="60">
      <c r="A60" s="15" t="n"/>
      <c r="B60" s="15" t="n"/>
      <c r="C60" s="15" t="n"/>
      <c r="D60" s="15" t="n"/>
      <c r="E60" s="15" t="n"/>
      <c r="F60" s="15" t="n"/>
      <c r="G60" s="15" t="n"/>
    </row>
    <row r="61">
      <c r="A61" s="15" t="n"/>
      <c r="B61" s="15" t="n"/>
      <c r="C61" s="15" t="n"/>
      <c r="D61" s="15" t="n"/>
      <c r="E61" s="15" t="n"/>
      <c r="F61" s="15" t="n"/>
      <c r="G61" s="15" t="n"/>
    </row>
    <row r="62">
      <c r="A62" s="15" t="n"/>
      <c r="B62" s="15" t="n"/>
      <c r="C62" s="15" t="n"/>
      <c r="D62" s="15" t="n"/>
      <c r="E62" s="15" t="n"/>
      <c r="F62" s="15" t="n"/>
      <c r="G62" s="15" t="n"/>
    </row>
    <row r="63">
      <c r="A63" s="15" t="n"/>
      <c r="B63" s="15" t="n"/>
      <c r="C63" s="15" t="n"/>
      <c r="D63" s="15" t="n"/>
      <c r="E63" s="15" t="n"/>
      <c r="F63" s="15" t="n"/>
      <c r="G63" s="15" t="n"/>
    </row>
    <row r="64">
      <c r="A64" s="15" t="n"/>
      <c r="B64" s="15" t="n"/>
      <c r="C64" s="15" t="n"/>
      <c r="D64" s="15" t="n"/>
      <c r="E64" s="15" t="n"/>
      <c r="F64" s="15" t="n"/>
      <c r="G64" s="15" t="n"/>
    </row>
    <row r="65">
      <c r="A65" s="15" t="n"/>
      <c r="B65" s="15" t="n"/>
      <c r="C65" s="15" t="n"/>
      <c r="D65" s="15" t="n"/>
      <c r="E65" s="15" t="n"/>
      <c r="F65" s="15" t="n"/>
      <c r="G65" s="15" t="n"/>
    </row>
    <row r="68">
      <c r="A68" s="16" t="inlineStr">
        <is>
          <t>QUARTERLY POLICY REVIEW CHECKLIST</t>
        </is>
      </c>
    </row>
    <row r="69">
      <c r="A69" s="23" t="inlineStr">
        <is>
          <t>Threat Protection:</t>
        </is>
      </c>
    </row>
    <row r="70">
      <c r="A70" s="18" t="inlineStr">
        <is>
          <t xml:space="preserve">  ☐ Threat feeds updated and effective</t>
        </is>
      </c>
    </row>
    <row r="71">
      <c r="A71" s="18" t="inlineStr">
        <is>
          <t xml:space="preserve">  ☐ Zero-day protection working</t>
        </is>
      </c>
    </row>
    <row r="72">
      <c r="A72" s="18" t="inlineStr">
        <is>
          <t xml:space="preserve">  ☐ False positive rate acceptable</t>
        </is>
      </c>
    </row>
    <row r="73">
      <c r="A73" s="23" t="inlineStr"/>
    </row>
    <row r="74">
      <c r="A74" s="23" t="inlineStr">
        <is>
          <t>Category Filtering (if applicable):</t>
        </is>
      </c>
    </row>
    <row r="75">
      <c r="A75" s="18" t="inlineStr">
        <is>
          <t xml:space="preserve">  ☐ Category lists current and appropriate</t>
        </is>
      </c>
    </row>
    <row r="76">
      <c r="A76" s="18" t="inlineStr">
        <is>
          <t xml:space="preserve">  ☐ Business justifications still valid</t>
        </is>
      </c>
    </row>
    <row r="77">
      <c r="A77" s="18" t="inlineStr">
        <is>
          <t xml:space="preserve">  ☐ Exception count reasonable</t>
        </is>
      </c>
    </row>
    <row r="78">
      <c r="A78" s="23" t="inlineStr"/>
    </row>
    <row r="79">
      <c r="A79" s="23" t="inlineStr">
        <is>
          <t>Custom Lists:</t>
        </is>
      </c>
    </row>
    <row r="80">
      <c r="A80" s="18" t="inlineStr">
        <is>
          <t xml:space="preserve">  ☐ Block/allow lists reviewed</t>
        </is>
      </c>
    </row>
    <row r="81">
      <c r="A81" s="18" t="inlineStr">
        <is>
          <t xml:space="preserve">  ☐ Obsolete entries removed</t>
        </is>
      </c>
    </row>
    <row r="82">
      <c r="A82" s="18" t="inlineStr">
        <is>
          <t xml:space="preserve">  ☐ New entries justified</t>
        </is>
      </c>
    </row>
    <row r="83">
      <c r="A83" s="23" t="inlineStr"/>
    </row>
    <row r="84">
      <c r="A84" s="23" t="inlineStr">
        <is>
          <t>Exceptions:</t>
        </is>
      </c>
    </row>
    <row r="85">
      <c r="A85" s="18" t="inlineStr">
        <is>
          <t xml:space="preserve">  ☐ All exceptions reviewed</t>
        </is>
      </c>
    </row>
    <row r="86">
      <c r="A86" s="18" t="inlineStr">
        <is>
          <t xml:space="preserve">  ☐ Expired exceptions removed/renewed</t>
        </is>
      </c>
    </row>
    <row r="87">
      <c r="A87" s="18" t="inlineStr">
        <is>
          <t xml:space="preserve">  ☐ Compensating controls verified</t>
        </is>
      </c>
    </row>
    <row r="88">
      <c r="A88" s="23" t="inlineStr"/>
    </row>
    <row r="89">
      <c r="A89" s="23" t="inlineStr">
        <is>
          <t>User/Group Policies:</t>
        </is>
      </c>
    </row>
    <row r="90">
      <c r="A90" s="18" t="inlineStr">
        <is>
          <t xml:space="preserve">  ☐ Role assignments current</t>
        </is>
      </c>
    </row>
    <row r="91">
      <c r="A91" s="18" t="inlineStr">
        <is>
          <t xml:space="preserve">  ☐ Policy levels appropriate</t>
        </is>
      </c>
    </row>
    <row r="92">
      <c r="A92" s="18" t="inlineStr">
        <is>
          <t xml:space="preserve">  ☐ HTTPS inspection effective</t>
        </is>
      </c>
    </row>
    <row r="93">
      <c r="A93" s="23" t="inlineStr"/>
    </row>
    <row r="94">
      <c r="A94" s="23" t="inlineStr">
        <is>
          <t>AUP Alignment:</t>
        </is>
      </c>
    </row>
    <row r="95">
      <c r="A95" s="18" t="inlineStr">
        <is>
          <t xml:space="preserve">  ☐ Filtering enforces AUP</t>
        </is>
      </c>
    </row>
    <row r="96">
      <c r="A96" s="18" t="inlineStr">
        <is>
          <t xml:space="preserve">  ☐ Gaps identified and addressed</t>
        </is>
      </c>
    </row>
    <row r="97">
      <c r="A97" s="23" t="inlineStr"/>
    </row>
    <row r="98">
      <c r="A98" s="23" t="inlineStr">
        <is>
          <t>Overall:</t>
        </is>
      </c>
    </row>
    <row r="99">
      <c r="A99" s="18" t="inlineStr">
        <is>
          <t xml:space="preserve">  ☐ Metrics reviewed (blocks, allows, exceptions)</t>
        </is>
      </c>
    </row>
    <row r="100">
      <c r="A100" s="18" t="inlineStr">
        <is>
          <t xml:space="preserve">  ☐ Incidents analysed</t>
        </is>
      </c>
    </row>
    <row r="101">
      <c r="A101" s="18" t="inlineStr">
        <is>
          <t xml:space="preserve">  ☐ User complaints addressed</t>
        </is>
      </c>
    </row>
    <row r="102">
      <c r="A102" s="18" t="inlineStr">
        <is>
          <t xml:space="preserve">  ☐ Compliance verified</t>
        </is>
      </c>
    </row>
    <row r="103">
      <c r="A103" s="18" t="inlineStr">
        <is>
          <t xml:space="preserve">  ☐ Documentation updated</t>
        </is>
      </c>
    </row>
  </sheetData>
  <mergeCells count="11">
    <mergeCell ref="B10:D10"/>
    <mergeCell ref="A13:G13"/>
    <mergeCell ref="B5:D5"/>
    <mergeCell ref="A1:G1"/>
    <mergeCell ref="B8:D8"/>
    <mergeCell ref="A4:G4"/>
    <mergeCell ref="B9:D9"/>
    <mergeCell ref="A2:G2"/>
    <mergeCell ref="B7:D7"/>
    <mergeCell ref="A68:G68"/>
    <mergeCell ref="B6:D6"/>
  </mergeCells>
  <dataValidations count="3">
    <dataValidation sqref="B9" showDropDown="0" showInputMessage="0" showErrorMessage="0" allowBlank="0" type="list">
      <formula1>"Yes,No"</formula1>
    </dataValidation>
    <dataValidation sqref="B5" showDropDown="0" showInputMessage="0" showErrorMessage="0" allowBlank="0" type="list">
      <formula1>"Daily,Weekly,Monthly,Quarterly,Annually,As-needed"</formula1>
    </dataValidation>
    <dataValidation sqref="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"Full Review,Partial Review,Ad-hoc,Incident-Driven,Regulatory Change"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Web Filtering Policy Configuration</t>
        </is>
      </c>
      <c r="C5" s="29" t="inlineStr">
        <is>
          <t>Configuration file</t>
        </is>
      </c>
      <c r="D5" s="29" t="inlineStr">
        <is>
          <t>Filtering policy configuration export from management console</t>
        </is>
      </c>
      <c r="E5" s="29" t="inlineStr">
        <is>
          <t>/evidence/A.8.23/</t>
        </is>
      </c>
      <c r="F5" s="29" t="inlineStr">
        <is>
          <t>15.01.2026</t>
        </is>
      </c>
      <c r="G5" s="29" t="inlineStr">
        <is>
          <t>Assessor Name</t>
        </is>
      </c>
      <c r="H5" s="29" t="inlineStr">
        <is>
          <t>✅ Verified</t>
        </is>
      </c>
    </row>
    <row r="6">
      <c r="A6" s="30" t="n"/>
      <c r="B6" s="31" t="n"/>
      <c r="C6" s="31" t="n"/>
      <c r="D6" s="31" t="n"/>
      <c r="E6" s="31" t="n"/>
      <c r="F6" s="31" t="n"/>
      <c r="G6" s="31" t="n"/>
      <c r="H6" s="31" t="n"/>
    </row>
    <row r="7">
      <c r="A7" s="30" t="n"/>
      <c r="B7" s="31" t="n"/>
      <c r="C7" s="31" t="n"/>
      <c r="D7" s="31" t="n"/>
      <c r="E7" s="31" t="n"/>
      <c r="F7" s="31" t="n"/>
      <c r="G7" s="31" t="n"/>
      <c r="H7" s="31" t="n"/>
    </row>
    <row r="8">
      <c r="A8" s="30" t="n"/>
      <c r="B8" s="31" t="n"/>
      <c r="C8" s="31" t="n"/>
      <c r="D8" s="31" t="n"/>
      <c r="E8" s="31" t="n"/>
      <c r="F8" s="31" t="n"/>
      <c r="G8" s="31" t="n"/>
      <c r="H8" s="31" t="n"/>
    </row>
    <row r="9">
      <c r="A9" s="30" t="n"/>
      <c r="B9" s="31" t="n"/>
      <c r="C9" s="31" t="n"/>
      <c r="D9" s="31" t="n"/>
      <c r="E9" s="31" t="n"/>
      <c r="F9" s="31" t="n"/>
      <c r="G9" s="31" t="n"/>
      <c r="H9" s="31" t="n"/>
    </row>
    <row r="10">
      <c r="A10" s="30" t="n"/>
      <c r="B10" s="31" t="n"/>
      <c r="C10" s="31" t="n"/>
      <c r="D10" s="31" t="n"/>
      <c r="E10" s="31" t="n"/>
      <c r="F10" s="31" t="n"/>
      <c r="G10" s="31" t="n"/>
      <c r="H10" s="31" t="n"/>
    </row>
    <row r="11">
      <c r="A11" s="30" t="n"/>
      <c r="B11" s="31" t="n"/>
      <c r="C11" s="31" t="n"/>
      <c r="D11" s="31" t="n"/>
      <c r="E11" s="31" t="n"/>
      <c r="F11" s="31" t="n"/>
      <c r="G11" s="31" t="n"/>
      <c r="H11" s="31" t="n"/>
    </row>
    <row r="12">
      <c r="A12" s="30" t="n"/>
      <c r="B12" s="31" t="n"/>
      <c r="C12" s="31" t="n"/>
      <c r="D12" s="31" t="n"/>
      <c r="E12" s="31" t="n"/>
      <c r="F12" s="31" t="n"/>
      <c r="G12" s="31" t="n"/>
      <c r="H12" s="31" t="n"/>
    </row>
    <row r="13">
      <c r="A13" s="30" t="n"/>
      <c r="B13" s="31" t="n"/>
      <c r="C13" s="31" t="n"/>
      <c r="D13" s="31" t="n"/>
      <c r="E13" s="31" t="n"/>
      <c r="F13" s="31" t="n"/>
      <c r="G13" s="31" t="n"/>
      <c r="H13" s="31" t="n"/>
    </row>
    <row r="14">
      <c r="A14" s="30" t="n"/>
      <c r="B14" s="31" t="n"/>
      <c r="C14" s="31" t="n"/>
      <c r="D14" s="31" t="n"/>
      <c r="E14" s="31" t="n"/>
      <c r="F14" s="31" t="n"/>
      <c r="G14" s="31" t="n"/>
      <c r="H14" s="31" t="n"/>
    </row>
    <row r="15">
      <c r="A15" s="30" t="n"/>
      <c r="B15" s="31" t="n"/>
      <c r="C15" s="31" t="n"/>
      <c r="D15" s="31" t="n"/>
      <c r="E15" s="31" t="n"/>
      <c r="F15" s="31" t="n"/>
      <c r="G15" s="31" t="n"/>
      <c r="H15" s="31" t="n"/>
    </row>
    <row r="16">
      <c r="A16" s="30" t="n"/>
      <c r="B16" s="31" t="n"/>
      <c r="C16" s="31" t="n"/>
      <c r="D16" s="31" t="n"/>
      <c r="E16" s="31" t="n"/>
      <c r="F16" s="31" t="n"/>
      <c r="G16" s="31" t="n"/>
      <c r="H16" s="31" t="n"/>
    </row>
    <row r="17">
      <c r="A17" s="30" t="n"/>
      <c r="B17" s="31" t="n"/>
      <c r="C17" s="31" t="n"/>
      <c r="D17" s="31" t="n"/>
      <c r="E17" s="31" t="n"/>
      <c r="F17" s="31" t="n"/>
      <c r="G17" s="31" t="n"/>
      <c r="H17" s="31" t="n"/>
    </row>
    <row r="18">
      <c r="A18" s="30" t="n"/>
      <c r="B18" s="31" t="n"/>
      <c r="C18" s="31" t="n"/>
      <c r="D18" s="31" t="n"/>
      <c r="E18" s="31" t="n"/>
      <c r="F18" s="31" t="n"/>
      <c r="G18" s="31" t="n"/>
      <c r="H18" s="31" t="n"/>
    </row>
    <row r="19">
      <c r="A19" s="30" t="n"/>
      <c r="B19" s="31" t="n"/>
      <c r="C19" s="31" t="n"/>
      <c r="D19" s="31" t="n"/>
      <c r="E19" s="31" t="n"/>
      <c r="F19" s="31" t="n"/>
      <c r="G19" s="31" t="n"/>
      <c r="H19" s="31" t="n"/>
    </row>
    <row r="20">
      <c r="A20" s="30" t="n"/>
      <c r="B20" s="31" t="n"/>
      <c r="C20" s="31" t="n"/>
      <c r="D20" s="31" t="n"/>
      <c r="E20" s="31" t="n"/>
      <c r="F20" s="31" t="n"/>
      <c r="G20" s="31" t="n"/>
      <c r="H20" s="31" t="n"/>
    </row>
    <row r="21">
      <c r="A21" s="30" t="n"/>
      <c r="B21" s="31" t="n"/>
      <c r="C21" s="31" t="n"/>
      <c r="D21" s="31" t="n"/>
      <c r="E21" s="31" t="n"/>
      <c r="F21" s="31" t="n"/>
      <c r="G21" s="31" t="n"/>
      <c r="H21" s="31" t="n"/>
    </row>
    <row r="22">
      <c r="A22" s="30" t="n"/>
      <c r="B22" s="31" t="n"/>
      <c r="C22" s="31" t="n"/>
      <c r="D22" s="31" t="n"/>
      <c r="E22" s="31" t="n"/>
      <c r="F22" s="31" t="n"/>
      <c r="G22" s="31" t="n"/>
      <c r="H22" s="31" t="n"/>
    </row>
    <row r="23">
      <c r="A23" s="30" t="n"/>
      <c r="B23" s="31" t="n"/>
      <c r="C23" s="31" t="n"/>
      <c r="D23" s="31" t="n"/>
      <c r="E23" s="31" t="n"/>
      <c r="F23" s="31" t="n"/>
      <c r="G23" s="31" t="n"/>
      <c r="H23" s="31" t="n"/>
    </row>
    <row r="24">
      <c r="A24" s="30" t="n"/>
      <c r="B24" s="31" t="n"/>
      <c r="C24" s="31" t="n"/>
      <c r="D24" s="31" t="n"/>
      <c r="E24" s="31" t="n"/>
      <c r="F24" s="31" t="n"/>
      <c r="G24" s="31" t="n"/>
      <c r="H24" s="31" t="n"/>
    </row>
    <row r="25">
      <c r="A25" s="30" t="n"/>
      <c r="B25" s="31" t="n"/>
      <c r="C25" s="31" t="n"/>
      <c r="D25" s="31" t="n"/>
      <c r="E25" s="31" t="n"/>
      <c r="F25" s="31" t="n"/>
      <c r="G25" s="31" t="n"/>
      <c r="H25" s="31" t="n"/>
    </row>
    <row r="26">
      <c r="A26" s="30" t="n"/>
      <c r="B26" s="31" t="n"/>
      <c r="C26" s="31" t="n"/>
      <c r="D26" s="31" t="n"/>
      <c r="E26" s="31" t="n"/>
      <c r="F26" s="31" t="n"/>
      <c r="G26" s="31" t="n"/>
      <c r="H26" s="31" t="n"/>
    </row>
    <row r="27">
      <c r="A27" s="30" t="n"/>
      <c r="B27" s="31" t="n"/>
      <c r="C27" s="31" t="n"/>
      <c r="D27" s="31" t="n"/>
      <c r="E27" s="31" t="n"/>
      <c r="F27" s="31" t="n"/>
      <c r="G27" s="31" t="n"/>
      <c r="H27" s="31" t="n"/>
    </row>
    <row r="28">
      <c r="A28" s="30" t="n"/>
      <c r="B28" s="31" t="n"/>
      <c r="C28" s="31" t="n"/>
      <c r="D28" s="31" t="n"/>
      <c r="E28" s="31" t="n"/>
      <c r="F28" s="31" t="n"/>
      <c r="G28" s="31" t="n"/>
      <c r="H28" s="31" t="n"/>
    </row>
    <row r="29">
      <c r="A29" s="30" t="n"/>
      <c r="B29" s="31" t="n"/>
      <c r="C29" s="31" t="n"/>
      <c r="D29" s="31" t="n"/>
      <c r="E29" s="31" t="n"/>
      <c r="F29" s="31" t="n"/>
      <c r="G29" s="31" t="n"/>
      <c r="H29" s="31" t="n"/>
    </row>
    <row r="30">
      <c r="A30" s="30" t="n"/>
      <c r="B30" s="31" t="n"/>
      <c r="C30" s="31" t="n"/>
      <c r="D30" s="31" t="n"/>
      <c r="E30" s="31" t="n"/>
      <c r="F30" s="31" t="n"/>
      <c r="G30" s="31" t="n"/>
      <c r="H30" s="31" t="n"/>
    </row>
    <row r="31">
      <c r="A31" s="30" t="n"/>
      <c r="B31" s="31" t="n"/>
      <c r="C31" s="31" t="n"/>
      <c r="D31" s="31" t="n"/>
      <c r="E31" s="31" t="n"/>
      <c r="F31" s="31" t="n"/>
      <c r="G31" s="31" t="n"/>
      <c r="H31" s="31" t="n"/>
    </row>
    <row r="32">
      <c r="A32" s="30" t="n"/>
      <c r="B32" s="31" t="n"/>
      <c r="C32" s="31" t="n"/>
      <c r="D32" s="31" t="n"/>
      <c r="E32" s="31" t="n"/>
      <c r="F32" s="31" t="n"/>
      <c r="G32" s="31" t="n"/>
      <c r="H32" s="31" t="n"/>
    </row>
    <row r="33">
      <c r="A33" s="30" t="n"/>
      <c r="B33" s="31" t="n"/>
      <c r="C33" s="31" t="n"/>
      <c r="D33" s="31" t="n"/>
      <c r="E33" s="31" t="n"/>
      <c r="F33" s="31" t="n"/>
      <c r="G33" s="31" t="n"/>
      <c r="H33" s="31" t="n"/>
    </row>
    <row r="34">
      <c r="A34" s="30" t="n"/>
      <c r="B34" s="31" t="n"/>
      <c r="C34" s="31" t="n"/>
      <c r="D34" s="31" t="n"/>
      <c r="E34" s="31" t="n"/>
      <c r="F34" s="31" t="n"/>
      <c r="G34" s="31" t="n"/>
      <c r="H34" s="31" t="n"/>
    </row>
    <row r="35">
      <c r="A35" s="30" t="n"/>
      <c r="B35" s="31" t="n"/>
      <c r="C35" s="31" t="n"/>
      <c r="D35" s="31" t="n"/>
      <c r="E35" s="31" t="n"/>
      <c r="F35" s="31" t="n"/>
      <c r="G35" s="31" t="n"/>
      <c r="H35" s="31" t="n"/>
    </row>
    <row r="36">
      <c r="A36" s="30" t="n"/>
      <c r="B36" s="31" t="n"/>
      <c r="C36" s="31" t="n"/>
      <c r="D36" s="31" t="n"/>
      <c r="E36" s="31" t="n"/>
      <c r="F36" s="31" t="n"/>
      <c r="G36" s="31" t="n"/>
      <c r="H36" s="31" t="n"/>
    </row>
    <row r="37">
      <c r="A37" s="30" t="n"/>
      <c r="B37" s="31" t="n"/>
      <c r="C37" s="31" t="n"/>
      <c r="D37" s="31" t="n"/>
      <c r="E37" s="31" t="n"/>
      <c r="F37" s="31" t="n"/>
      <c r="G37" s="31" t="n"/>
      <c r="H37" s="31" t="n"/>
    </row>
    <row r="38">
      <c r="A38" s="30" t="n"/>
      <c r="B38" s="31" t="n"/>
      <c r="C38" s="31" t="n"/>
      <c r="D38" s="31" t="n"/>
      <c r="E38" s="31" t="n"/>
      <c r="F38" s="31" t="n"/>
      <c r="G38" s="31" t="n"/>
      <c r="H38" s="31" t="n"/>
    </row>
    <row r="39">
      <c r="A39" s="30" t="n"/>
      <c r="B39" s="31" t="n"/>
      <c r="C39" s="31" t="n"/>
      <c r="D39" s="31" t="n"/>
      <c r="E39" s="31" t="n"/>
      <c r="F39" s="31" t="n"/>
      <c r="G39" s="31" t="n"/>
      <c r="H39" s="31" t="n"/>
    </row>
    <row r="40">
      <c r="A40" s="30" t="n"/>
      <c r="B40" s="31" t="n"/>
      <c r="C40" s="31" t="n"/>
      <c r="D40" s="31" t="n"/>
      <c r="E40" s="31" t="n"/>
      <c r="F40" s="31" t="n"/>
      <c r="G40" s="31" t="n"/>
      <c r="H40" s="31" t="n"/>
    </row>
    <row r="41">
      <c r="A41" s="30" t="n"/>
      <c r="B41" s="31" t="n"/>
      <c r="C41" s="31" t="n"/>
      <c r="D41" s="31" t="n"/>
      <c r="E41" s="31" t="n"/>
      <c r="F41" s="31" t="n"/>
      <c r="G41" s="31" t="n"/>
      <c r="H41" s="31" t="n"/>
    </row>
    <row r="42">
      <c r="A42" s="30" t="n"/>
      <c r="B42" s="31" t="n"/>
      <c r="C42" s="31" t="n"/>
      <c r="D42" s="31" t="n"/>
      <c r="E42" s="31" t="n"/>
      <c r="F42" s="31" t="n"/>
      <c r="G42" s="31" t="n"/>
      <c r="H42" s="31" t="n"/>
    </row>
    <row r="43">
      <c r="A43" s="30" t="n"/>
      <c r="B43" s="31" t="n"/>
      <c r="C43" s="31" t="n"/>
      <c r="D43" s="31" t="n"/>
      <c r="E43" s="31" t="n"/>
      <c r="F43" s="31" t="n"/>
      <c r="G43" s="31" t="n"/>
      <c r="H43" s="31" t="n"/>
    </row>
    <row r="44">
      <c r="A44" s="30" t="n"/>
      <c r="B44" s="31" t="n"/>
      <c r="C44" s="31" t="n"/>
      <c r="D44" s="31" t="n"/>
      <c r="E44" s="31" t="n"/>
      <c r="F44" s="31" t="n"/>
      <c r="G44" s="31" t="n"/>
      <c r="H44" s="31" t="n"/>
    </row>
    <row r="45">
      <c r="A45" s="30" t="n"/>
      <c r="B45" s="31" t="n"/>
      <c r="C45" s="31" t="n"/>
      <c r="D45" s="31" t="n"/>
      <c r="E45" s="31" t="n"/>
      <c r="F45" s="31" t="n"/>
      <c r="G45" s="31" t="n"/>
      <c r="H45" s="31" t="n"/>
    </row>
    <row r="46">
      <c r="A46" s="30" t="n"/>
      <c r="B46" s="31" t="n"/>
      <c r="C46" s="31" t="n"/>
      <c r="D46" s="31" t="n"/>
      <c r="E46" s="31" t="n"/>
      <c r="F46" s="31" t="n"/>
      <c r="G46" s="31" t="n"/>
      <c r="H46" s="31" t="n"/>
    </row>
    <row r="47">
      <c r="A47" s="30" t="n"/>
      <c r="B47" s="31" t="n"/>
      <c r="C47" s="31" t="n"/>
      <c r="D47" s="31" t="n"/>
      <c r="E47" s="31" t="n"/>
      <c r="F47" s="31" t="n"/>
      <c r="G47" s="31" t="n"/>
      <c r="H47" s="31" t="n"/>
    </row>
    <row r="48">
      <c r="A48" s="30" t="n"/>
      <c r="B48" s="31" t="n"/>
      <c r="C48" s="31" t="n"/>
      <c r="D48" s="31" t="n"/>
      <c r="E48" s="31" t="n"/>
      <c r="F48" s="31" t="n"/>
      <c r="G48" s="31" t="n"/>
      <c r="H48" s="31" t="n"/>
    </row>
    <row r="49">
      <c r="A49" s="30" t="n"/>
      <c r="B49" s="31" t="n"/>
      <c r="C49" s="31" t="n"/>
      <c r="D49" s="31" t="n"/>
      <c r="E49" s="31" t="n"/>
      <c r="F49" s="31" t="n"/>
      <c r="G49" s="31" t="n"/>
      <c r="H49" s="31" t="n"/>
    </row>
    <row r="50">
      <c r="A50" s="30" t="n"/>
      <c r="B50" s="31" t="n"/>
      <c r="C50" s="31" t="n"/>
      <c r="D50" s="31" t="n"/>
      <c r="E50" s="31" t="n"/>
      <c r="F50" s="31" t="n"/>
      <c r="G50" s="31" t="n"/>
      <c r="H50" s="31" t="n"/>
    </row>
    <row r="51">
      <c r="A51" s="30" t="n"/>
      <c r="B51" s="31" t="n"/>
      <c r="C51" s="31" t="n"/>
      <c r="D51" s="31" t="n"/>
      <c r="E51" s="31" t="n"/>
      <c r="F51" s="31" t="n"/>
      <c r="G51" s="31" t="n"/>
      <c r="H51" s="31" t="n"/>
    </row>
    <row r="52">
      <c r="A52" s="30" t="n"/>
      <c r="B52" s="31" t="n"/>
      <c r="C52" s="31" t="n"/>
      <c r="D52" s="31" t="n"/>
      <c r="E52" s="31" t="n"/>
      <c r="F52" s="31" t="n"/>
      <c r="G52" s="31" t="n"/>
      <c r="H52" s="31" t="n"/>
    </row>
    <row r="53">
      <c r="A53" s="30" t="n"/>
      <c r="B53" s="31" t="n"/>
      <c r="C53" s="31" t="n"/>
      <c r="D53" s="31" t="n"/>
      <c r="E53" s="31" t="n"/>
      <c r="F53" s="31" t="n"/>
      <c r="G53" s="31" t="n"/>
      <c r="H53" s="31" t="n"/>
    </row>
    <row r="54">
      <c r="A54" s="30" t="n"/>
      <c r="B54" s="31" t="n"/>
      <c r="C54" s="31" t="n"/>
      <c r="D54" s="31" t="n"/>
      <c r="E54" s="31" t="n"/>
      <c r="F54" s="31" t="n"/>
      <c r="G54" s="31" t="n"/>
      <c r="H54" s="31" t="n"/>
    </row>
    <row r="55">
      <c r="A55" s="30" t="n"/>
      <c r="B55" s="31" t="n"/>
      <c r="C55" s="31" t="n"/>
      <c r="D55" s="31" t="n"/>
      <c r="E55" s="31" t="n"/>
      <c r="F55" s="31" t="n"/>
      <c r="G55" s="31" t="n"/>
      <c r="H55" s="31" t="n"/>
    </row>
    <row r="56">
      <c r="A56" s="30" t="n"/>
      <c r="B56" s="31" t="n"/>
      <c r="C56" s="31" t="n"/>
      <c r="D56" s="31" t="n"/>
      <c r="E56" s="31" t="n"/>
      <c r="F56" s="31" t="n"/>
      <c r="G56" s="31" t="n"/>
      <c r="H56" s="31" t="n"/>
    </row>
    <row r="57">
      <c r="A57" s="30" t="n"/>
      <c r="B57" s="31" t="n"/>
      <c r="C57" s="31" t="n"/>
      <c r="D57" s="31" t="n"/>
      <c r="E57" s="31" t="n"/>
      <c r="F57" s="31" t="n"/>
      <c r="G57" s="31" t="n"/>
      <c r="H57" s="31" t="n"/>
    </row>
    <row r="58">
      <c r="A58" s="30" t="n"/>
      <c r="B58" s="31" t="n"/>
      <c r="C58" s="31" t="n"/>
      <c r="D58" s="31" t="n"/>
      <c r="E58" s="31" t="n"/>
      <c r="F58" s="31" t="n"/>
      <c r="G58" s="31" t="n"/>
      <c r="H58" s="31" t="n"/>
    </row>
    <row r="59">
      <c r="A59" s="30" t="n"/>
      <c r="B59" s="31" t="n"/>
      <c r="C59" s="31" t="n"/>
      <c r="D59" s="31" t="n"/>
      <c r="E59" s="31" t="n"/>
      <c r="F59" s="31" t="n"/>
      <c r="G59" s="31" t="n"/>
      <c r="H59" s="31" t="n"/>
    </row>
    <row r="60">
      <c r="A60" s="30" t="n"/>
      <c r="B60" s="31" t="n"/>
      <c r="C60" s="31" t="n"/>
      <c r="D60" s="31" t="n"/>
      <c r="E60" s="31" t="n"/>
      <c r="F60" s="31" t="n"/>
      <c r="G60" s="31" t="n"/>
      <c r="H60" s="31" t="n"/>
    </row>
    <row r="61">
      <c r="A61" s="30" t="n"/>
      <c r="B61" s="31" t="n"/>
      <c r="C61" s="31" t="n"/>
      <c r="D61" s="31" t="n"/>
      <c r="E61" s="31" t="n"/>
      <c r="F61" s="31" t="n"/>
      <c r="G61" s="31" t="n"/>
      <c r="H61" s="31" t="n"/>
    </row>
    <row r="62">
      <c r="A62" s="30" t="n"/>
      <c r="B62" s="31" t="n"/>
      <c r="C62" s="31" t="n"/>
      <c r="D62" s="31" t="n"/>
      <c r="E62" s="31" t="n"/>
      <c r="F62" s="31" t="n"/>
      <c r="G62" s="31" t="n"/>
      <c r="H62" s="31" t="n"/>
    </row>
    <row r="63">
      <c r="A63" s="30" t="n"/>
      <c r="B63" s="31" t="n"/>
      <c r="C63" s="31" t="n"/>
      <c r="D63" s="31" t="n"/>
      <c r="E63" s="31" t="n"/>
      <c r="F63" s="31" t="n"/>
      <c r="G63" s="31" t="n"/>
      <c r="H63" s="31" t="n"/>
    </row>
    <row r="64">
      <c r="A64" s="30" t="n"/>
      <c r="B64" s="31" t="n"/>
      <c r="C64" s="31" t="n"/>
      <c r="D64" s="31" t="n"/>
      <c r="E64" s="31" t="n"/>
      <c r="F64" s="31" t="n"/>
      <c r="G64" s="31" t="n"/>
      <c r="H64" s="31" t="n"/>
    </row>
    <row r="65">
      <c r="A65" s="30" t="n"/>
      <c r="B65" s="31" t="n"/>
      <c r="C65" s="31" t="n"/>
      <c r="D65" s="31" t="n"/>
      <c r="E65" s="31" t="n"/>
      <c r="F65" s="31" t="n"/>
      <c r="G65" s="31" t="n"/>
      <c r="H65" s="31" t="n"/>
    </row>
    <row r="66">
      <c r="A66" s="30" t="n"/>
      <c r="B66" s="31" t="n"/>
      <c r="C66" s="31" t="n"/>
      <c r="D66" s="31" t="n"/>
      <c r="E66" s="31" t="n"/>
      <c r="F66" s="31" t="n"/>
      <c r="G66" s="31" t="n"/>
      <c r="H66" s="31" t="n"/>
    </row>
    <row r="67">
      <c r="A67" s="30" t="n"/>
      <c r="B67" s="31" t="n"/>
      <c r="C67" s="31" t="n"/>
      <c r="D67" s="31" t="n"/>
      <c r="E67" s="31" t="n"/>
      <c r="F67" s="31" t="n"/>
      <c r="G67" s="31" t="n"/>
      <c r="H67" s="31" t="n"/>
    </row>
    <row r="68">
      <c r="A68" s="30" t="n"/>
      <c r="B68" s="31" t="n"/>
      <c r="C68" s="31" t="n"/>
      <c r="D68" s="31" t="n"/>
      <c r="E68" s="31" t="n"/>
      <c r="F68" s="31" t="n"/>
      <c r="G68" s="31" t="n"/>
      <c r="H68" s="31" t="n"/>
    </row>
    <row r="69">
      <c r="A69" s="30" t="n"/>
      <c r="B69" s="31" t="n"/>
      <c r="C69" s="31" t="n"/>
      <c r="D69" s="31" t="n"/>
      <c r="E69" s="31" t="n"/>
      <c r="F69" s="31" t="n"/>
      <c r="G69" s="31" t="n"/>
      <c r="H69" s="31" t="n"/>
    </row>
    <row r="70">
      <c r="A70" s="30" t="n"/>
      <c r="B70" s="31" t="n"/>
      <c r="C70" s="31" t="n"/>
      <c r="D70" s="31" t="n"/>
      <c r="E70" s="31" t="n"/>
      <c r="F70" s="31" t="n"/>
      <c r="G70" s="31" t="n"/>
      <c r="H70" s="31" t="n"/>
    </row>
    <row r="71">
      <c r="A71" s="30" t="n"/>
      <c r="B71" s="31" t="n"/>
      <c r="C71" s="31" t="n"/>
      <c r="D71" s="31" t="n"/>
      <c r="E71" s="31" t="n"/>
      <c r="F71" s="31" t="n"/>
      <c r="G71" s="31" t="n"/>
      <c r="H71" s="31" t="n"/>
    </row>
    <row r="72">
      <c r="A72" s="30" t="n"/>
      <c r="B72" s="31" t="n"/>
      <c r="C72" s="31" t="n"/>
      <c r="D72" s="31" t="n"/>
      <c r="E72" s="31" t="n"/>
      <c r="F72" s="31" t="n"/>
      <c r="G72" s="31" t="n"/>
      <c r="H72" s="31" t="n"/>
    </row>
    <row r="73">
      <c r="A73" s="30" t="n"/>
      <c r="B73" s="31" t="n"/>
      <c r="C73" s="31" t="n"/>
      <c r="D73" s="31" t="n"/>
      <c r="E73" s="31" t="n"/>
      <c r="F73" s="31" t="n"/>
      <c r="G73" s="31" t="n"/>
      <c r="H73" s="31" t="n"/>
    </row>
    <row r="74">
      <c r="A74" s="30" t="n"/>
      <c r="B74" s="31" t="n"/>
      <c r="C74" s="31" t="n"/>
      <c r="D74" s="31" t="n"/>
      <c r="E74" s="31" t="n"/>
      <c r="F74" s="31" t="n"/>
      <c r="G74" s="31" t="n"/>
      <c r="H74" s="31" t="n"/>
    </row>
    <row r="75">
      <c r="A75" s="30" t="n"/>
      <c r="B75" s="31" t="n"/>
      <c r="C75" s="31" t="n"/>
      <c r="D75" s="31" t="n"/>
      <c r="E75" s="31" t="n"/>
      <c r="F75" s="31" t="n"/>
      <c r="G75" s="31" t="n"/>
      <c r="H75" s="31" t="n"/>
    </row>
    <row r="76">
      <c r="A76" s="30" t="n"/>
      <c r="B76" s="31" t="n"/>
      <c r="C76" s="31" t="n"/>
      <c r="D76" s="31" t="n"/>
      <c r="E76" s="31" t="n"/>
      <c r="F76" s="31" t="n"/>
      <c r="G76" s="31" t="n"/>
      <c r="H76" s="31" t="n"/>
    </row>
    <row r="77">
      <c r="A77" s="30" t="n"/>
      <c r="B77" s="31" t="n"/>
      <c r="C77" s="31" t="n"/>
      <c r="D77" s="31" t="n"/>
      <c r="E77" s="31" t="n"/>
      <c r="F77" s="31" t="n"/>
      <c r="G77" s="31" t="n"/>
      <c r="H77" s="31" t="n"/>
    </row>
    <row r="78">
      <c r="A78" s="30" t="n"/>
      <c r="B78" s="31" t="n"/>
      <c r="C78" s="31" t="n"/>
      <c r="D78" s="31" t="n"/>
      <c r="E78" s="31" t="n"/>
      <c r="F78" s="31" t="n"/>
      <c r="G78" s="31" t="n"/>
      <c r="H78" s="31" t="n"/>
    </row>
    <row r="79">
      <c r="A79" s="30" t="n"/>
      <c r="B79" s="31" t="n"/>
      <c r="C79" s="31" t="n"/>
      <c r="D79" s="31" t="n"/>
      <c r="E79" s="31" t="n"/>
      <c r="F79" s="31" t="n"/>
      <c r="G79" s="31" t="n"/>
      <c r="H79" s="31" t="n"/>
    </row>
    <row r="80">
      <c r="A80" s="30" t="n"/>
      <c r="B80" s="31" t="n"/>
      <c r="C80" s="31" t="n"/>
      <c r="D80" s="31" t="n"/>
      <c r="E80" s="31" t="n"/>
      <c r="F80" s="31" t="n"/>
      <c r="G80" s="31" t="n"/>
      <c r="H80" s="31" t="n"/>
    </row>
    <row r="81">
      <c r="A81" s="30" t="n"/>
      <c r="B81" s="31" t="n"/>
      <c r="C81" s="31" t="n"/>
      <c r="D81" s="31" t="n"/>
      <c r="E81" s="31" t="n"/>
      <c r="F81" s="31" t="n"/>
      <c r="G81" s="31" t="n"/>
      <c r="H81" s="31" t="n"/>
    </row>
    <row r="82">
      <c r="A82" s="30" t="n"/>
      <c r="B82" s="31" t="n"/>
      <c r="C82" s="31" t="n"/>
      <c r="D82" s="31" t="n"/>
      <c r="E82" s="31" t="n"/>
      <c r="F82" s="31" t="n"/>
      <c r="G82" s="31" t="n"/>
      <c r="H82" s="31" t="n"/>
    </row>
    <row r="83">
      <c r="A83" s="30" t="n"/>
      <c r="B83" s="31" t="n"/>
      <c r="C83" s="31" t="n"/>
      <c r="D83" s="31" t="n"/>
      <c r="E83" s="31" t="n"/>
      <c r="F83" s="31" t="n"/>
      <c r="G83" s="31" t="n"/>
      <c r="H83" s="31" t="n"/>
    </row>
    <row r="84">
      <c r="A84" s="30" t="n"/>
      <c r="B84" s="31" t="n"/>
      <c r="C84" s="31" t="n"/>
      <c r="D84" s="31" t="n"/>
      <c r="E84" s="31" t="n"/>
      <c r="F84" s="31" t="n"/>
      <c r="G84" s="31" t="n"/>
      <c r="H84" s="31" t="n"/>
    </row>
    <row r="85">
      <c r="A85" s="30" t="n"/>
      <c r="B85" s="31" t="n"/>
      <c r="C85" s="31" t="n"/>
      <c r="D85" s="31" t="n"/>
      <c r="E85" s="31" t="n"/>
      <c r="F85" s="31" t="n"/>
      <c r="G85" s="31" t="n"/>
      <c r="H85" s="31" t="n"/>
    </row>
    <row r="86">
      <c r="A86" s="30" t="n"/>
      <c r="B86" s="31" t="n"/>
      <c r="C86" s="31" t="n"/>
      <c r="D86" s="31" t="n"/>
      <c r="E86" s="31" t="n"/>
      <c r="F86" s="31" t="n"/>
      <c r="G86" s="31" t="n"/>
      <c r="H86" s="31" t="n"/>
    </row>
    <row r="87">
      <c r="A87" s="30" t="n"/>
      <c r="B87" s="31" t="n"/>
      <c r="C87" s="31" t="n"/>
      <c r="D87" s="31" t="n"/>
      <c r="E87" s="31" t="n"/>
      <c r="F87" s="31" t="n"/>
      <c r="G87" s="31" t="n"/>
      <c r="H87" s="31" t="n"/>
    </row>
    <row r="88">
      <c r="A88" s="30" t="n"/>
      <c r="B88" s="31" t="n"/>
      <c r="C88" s="31" t="n"/>
      <c r="D88" s="31" t="n"/>
      <c r="E88" s="31" t="n"/>
      <c r="F88" s="31" t="n"/>
      <c r="G88" s="31" t="n"/>
      <c r="H88" s="31" t="n"/>
    </row>
    <row r="89">
      <c r="A89" s="30" t="n"/>
      <c r="B89" s="31" t="n"/>
      <c r="C89" s="31" t="n"/>
      <c r="D89" s="31" t="n"/>
      <c r="E89" s="31" t="n"/>
      <c r="F89" s="31" t="n"/>
      <c r="G89" s="31" t="n"/>
      <c r="H89" s="31" t="n"/>
    </row>
    <row r="90">
      <c r="A90" s="30" t="n"/>
      <c r="B90" s="31" t="n"/>
      <c r="C90" s="31" t="n"/>
      <c r="D90" s="31" t="n"/>
      <c r="E90" s="31" t="n"/>
      <c r="F90" s="31" t="n"/>
      <c r="G90" s="31" t="n"/>
      <c r="H90" s="31" t="n"/>
    </row>
    <row r="91">
      <c r="A91" s="30" t="n"/>
      <c r="B91" s="31" t="n"/>
      <c r="C91" s="31" t="n"/>
      <c r="D91" s="31" t="n"/>
      <c r="E91" s="31" t="n"/>
      <c r="F91" s="31" t="n"/>
      <c r="G91" s="31" t="n"/>
      <c r="H91" s="31" t="n"/>
    </row>
    <row r="92">
      <c r="A92" s="30" t="n"/>
      <c r="B92" s="31" t="n"/>
      <c r="C92" s="31" t="n"/>
      <c r="D92" s="31" t="n"/>
      <c r="E92" s="31" t="n"/>
      <c r="F92" s="31" t="n"/>
      <c r="G92" s="31" t="n"/>
      <c r="H92" s="31" t="n"/>
    </row>
    <row r="93">
      <c r="A93" s="30" t="n"/>
      <c r="B93" s="31" t="n"/>
      <c r="C93" s="31" t="n"/>
      <c r="D93" s="31" t="n"/>
      <c r="E93" s="31" t="n"/>
      <c r="F93" s="31" t="n"/>
      <c r="G93" s="31" t="n"/>
      <c r="H93" s="31" t="n"/>
    </row>
    <row r="94">
      <c r="A94" s="30" t="n"/>
      <c r="B94" s="31" t="n"/>
      <c r="C94" s="31" t="n"/>
      <c r="D94" s="31" t="n"/>
      <c r="E94" s="31" t="n"/>
      <c r="F94" s="31" t="n"/>
      <c r="G94" s="31" t="n"/>
      <c r="H94" s="31" t="n"/>
    </row>
    <row r="95">
      <c r="A95" s="30" t="n"/>
      <c r="B95" s="31" t="n"/>
      <c r="C95" s="31" t="n"/>
      <c r="D95" s="31" t="n"/>
      <c r="E95" s="31" t="n"/>
      <c r="F95" s="31" t="n"/>
      <c r="G95" s="31" t="n"/>
      <c r="H95" s="31" t="n"/>
    </row>
    <row r="96">
      <c r="A96" s="30" t="n"/>
      <c r="B96" s="31" t="n"/>
      <c r="C96" s="31" t="n"/>
      <c r="D96" s="31" t="n"/>
      <c r="E96" s="31" t="n"/>
      <c r="F96" s="31" t="n"/>
      <c r="G96" s="31" t="n"/>
      <c r="H96" s="31" t="n"/>
    </row>
    <row r="97">
      <c r="A97" s="30" t="n"/>
      <c r="B97" s="31" t="n"/>
      <c r="C97" s="31" t="n"/>
      <c r="D97" s="31" t="n"/>
      <c r="E97" s="31" t="n"/>
      <c r="F97" s="31" t="n"/>
      <c r="G97" s="31" t="n"/>
      <c r="H97" s="31" t="n"/>
    </row>
    <row r="98">
      <c r="A98" s="30" t="n"/>
      <c r="B98" s="31" t="n"/>
      <c r="C98" s="31" t="n"/>
      <c r="D98" s="31" t="n"/>
      <c r="E98" s="31" t="n"/>
      <c r="F98" s="31" t="n"/>
      <c r="G98" s="31" t="n"/>
      <c r="H98" s="31" t="n"/>
    </row>
    <row r="99">
      <c r="A99" s="30" t="n"/>
      <c r="B99" s="31" t="n"/>
      <c r="C99" s="31" t="n"/>
      <c r="D99" s="31" t="n"/>
      <c r="E99" s="31" t="n"/>
      <c r="F99" s="31" t="n"/>
      <c r="G99" s="31" t="n"/>
      <c r="H99" s="31" t="n"/>
    </row>
    <row r="100">
      <c r="A100" s="30" t="n"/>
      <c r="B100" s="31" t="n"/>
      <c r="C100" s="31" t="n"/>
      <c r="D100" s="31" t="n"/>
      <c r="E100" s="31" t="n"/>
      <c r="F100" s="31" t="n"/>
      <c r="G100" s="31" t="n"/>
      <c r="H100" s="31" t="n"/>
    </row>
    <row r="101">
      <c r="A101" s="30" t="n"/>
      <c r="B101" s="31" t="n"/>
      <c r="C101" s="31" t="n"/>
      <c r="D101" s="31" t="n"/>
      <c r="E101" s="31" t="n"/>
      <c r="F101" s="31" t="n"/>
      <c r="G101" s="31" t="n"/>
      <c r="H101" s="31" t="n"/>
    </row>
    <row r="102">
      <c r="A102" s="30" t="n"/>
      <c r="B102" s="31" t="n"/>
      <c r="C102" s="31" t="n"/>
      <c r="D102" s="31" t="n"/>
      <c r="E102" s="31" t="n"/>
      <c r="F102" s="31" t="n"/>
      <c r="G102" s="31" t="n"/>
      <c r="H102" s="31" t="n"/>
    </row>
    <row r="103">
      <c r="A103" s="30" t="n"/>
      <c r="B103" s="31" t="n"/>
      <c r="C103" s="31" t="n"/>
      <c r="D103" s="31" t="n"/>
      <c r="E103" s="31" t="n"/>
      <c r="F103" s="31" t="n"/>
      <c r="G103" s="31" t="n"/>
      <c r="H103" s="31" t="n"/>
    </row>
    <row r="104">
      <c r="A104" s="30" t="n"/>
      <c r="B104" s="31" t="n"/>
      <c r="C104" s="31" t="n"/>
      <c r="D104" s="31" t="n"/>
      <c r="E104" s="31" t="n"/>
      <c r="F104" s="31" t="n"/>
      <c r="G104" s="31" t="n"/>
      <c r="H104" s="31" t="n"/>
    </row>
    <row r="105">
      <c r="A105" s="30" t="n"/>
      <c r="B105" s="31" t="n"/>
      <c r="C105" s="31" t="n"/>
      <c r="D105" s="31" t="n"/>
      <c r="E105" s="31" t="n"/>
      <c r="F105" s="31" t="n"/>
      <c r="G105" s="31" t="n"/>
      <c r="H105" s="31"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0" customWidth="1" min="5" max="5"/>
    <col width="25" customWidth="1" min="6" max="6"/>
    <col width="25" customWidth="1" min="7" max="7"/>
    <col width="30" customWidth="1" min="8" max="8"/>
    <col width="20" customWidth="1" min="9" max="9"/>
    <col width="15" customWidth="1" min="10" max="10"/>
    <col width="15" customWidth="1" min="11" max="11"/>
  </cols>
  <sheetData>
    <row r="1" ht="35" customHeight="1">
      <c r="A1" s="11" t="inlineStr">
        <is>
          <t>POLICY CONFIGURATION GAPS</t>
        </is>
      </c>
    </row>
    <row r="2">
      <c r="A2" s="12" t="inlineStr">
        <is>
          <t>Identify missing or inadequate policy configurations</t>
        </is>
      </c>
    </row>
    <row r="4">
      <c r="A4" s="13" t="inlineStr">
        <is>
          <t>Gap ID</t>
        </is>
      </c>
      <c r="B4" s="13" t="inlineStr">
        <is>
          <t>Policy Area</t>
        </is>
      </c>
      <c r="C4" s="13" t="inlineStr">
        <is>
          <t>Gap Description</t>
        </is>
      </c>
      <c r="D4" s="13" t="inlineStr">
        <is>
          <t>Risk Level</t>
        </is>
      </c>
      <c r="E4" s="13" t="inlineStr">
        <is>
          <t>Impact</t>
        </is>
      </c>
      <c r="F4" s="13" t="inlineStr">
        <is>
          <t>Current State</t>
        </is>
      </c>
      <c r="G4" s="13" t="inlineStr">
        <is>
          <t>Target State</t>
        </is>
      </c>
      <c r="H4" s="13" t="inlineStr">
        <is>
          <t>Remediation Plan</t>
        </is>
      </c>
      <c r="I4" s="13" t="inlineStr">
        <is>
          <t>Owner</t>
        </is>
      </c>
      <c r="J4" s="13" t="inlineStr">
        <is>
          <t>Target Date</t>
        </is>
      </c>
      <c r="K4" s="13" t="inlineStr">
        <is>
          <t>Status</t>
        </is>
      </c>
    </row>
    <row r="5">
      <c r="A5" s="32" t="inlineStr">
        <is>
          <t>GAP-001</t>
        </is>
      </c>
      <c r="B5" s="33" t="n"/>
      <c r="C5" s="33" t="n"/>
      <c r="D5" s="33" t="n"/>
      <c r="E5" s="33" t="n"/>
      <c r="F5" s="33" t="n"/>
      <c r="G5" s="33" t="n"/>
      <c r="H5" s="33" t="n"/>
      <c r="I5" s="33" t="n"/>
      <c r="J5" s="33" t="n"/>
      <c r="K5" s="33"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6" t="inlineStr">
        <is>
          <t>GAP SUMMARY METRICS</t>
        </is>
      </c>
    </row>
    <row r="59">
      <c r="A59" s="20" t="inlineStr">
        <is>
          <t>Risk Level</t>
        </is>
      </c>
      <c r="B59" s="20" t="inlineStr">
        <is>
          <t>Gap Count</t>
        </is>
      </c>
      <c r="C59" s="20" t="inlineStr">
        <is>
          <t>% of Total</t>
        </is>
      </c>
    </row>
    <row r="60">
      <c r="A60" s="34" t="inlineStr">
        <is>
          <t>Critical</t>
        </is>
      </c>
      <c r="B60" s="21">
        <f>COUNTIF(D5:D55,"Critical")</f>
        <v/>
      </c>
      <c r="C60" s="21">
        <f>IF(B60=0,0,B60/COUNTA(D5:D55)*100)&amp;"%"</f>
        <v/>
      </c>
    </row>
    <row r="61">
      <c r="A61" s="35" t="inlineStr">
        <is>
          <t>High</t>
        </is>
      </c>
      <c r="B61" s="21">
        <f>COUNTIF(D5:D55,"High")</f>
        <v/>
      </c>
      <c r="C61" s="21">
        <f>IF(B61=0,0,B61/COUNTA(D5:D55)*100)&amp;"%"</f>
        <v/>
      </c>
    </row>
    <row r="62">
      <c r="A62" s="36" t="inlineStr">
        <is>
          <t>Medium</t>
        </is>
      </c>
      <c r="B62" s="21">
        <f>COUNTIF(D5:D55,"Medium")</f>
        <v/>
      </c>
      <c r="C62" s="21">
        <f>IF(B62=0,0,B62/COUNTA(D5:D55)*100)&amp;"%"</f>
        <v/>
      </c>
    </row>
    <row r="63">
      <c r="A63" s="37" t="inlineStr">
        <is>
          <t>Low</t>
        </is>
      </c>
      <c r="B63" s="21">
        <f>COUNTIF(D5:D55,"Low")</f>
        <v/>
      </c>
      <c r="C63" s="21">
        <f>IF(B63=0,0,B63/COUNTA(D5:D55)*100)&amp;"%"</f>
        <v/>
      </c>
    </row>
  </sheetData>
  <mergeCells count="3">
    <mergeCell ref="A2:K2"/>
    <mergeCell ref="A58:K58"/>
    <mergeCell ref="A1:K1"/>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 Open,⟳ In Progress,✅ Resolved,⚠️ Accepted Risk"</formula1>
    </dataValidation>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"Threat Protection,Category Filtering,Custom Lists,Exceptions,User Policies,AUP Alignment,Review Process"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38" t="inlineStr">
        <is>
          <t>POLICY CONFIGURATION ASSESSMENT — SUMMARY DASHBOARD</t>
        </is>
      </c>
      <c r="B1" s="6" t="n"/>
      <c r="C1" s="6" t="n"/>
      <c r="D1" s="6" t="n"/>
      <c r="E1" s="6" t="n"/>
      <c r="F1" s="6" t="n"/>
      <c r="G1" s="6" t="n"/>
    </row>
    <row r="2">
      <c r="A2" s="39" t="inlineStr">
        <is>
          <t>ISO/IEC 27001:2022 - Control A.8.23: Web Filtering</t>
        </is>
      </c>
    </row>
    <row r="4">
      <c r="A4" s="40" t="inlineStr">
        <is>
          <t>TABLE 1: ASSESSMENT AREA COMPLIANCE OVERVIEW</t>
        </is>
      </c>
      <c r="B4" s="6" t="n"/>
      <c r="C4" s="6" t="n"/>
      <c r="D4" s="6" t="n"/>
      <c r="E4" s="6" t="n"/>
      <c r="F4" s="6" t="n"/>
      <c r="G4" s="6" t="n"/>
    </row>
    <row r="5">
      <c r="A5" s="41" t="inlineStr">
        <is>
          <t>Assessment Area</t>
        </is>
      </c>
      <c r="B5" s="41" t="inlineStr">
        <is>
          <t>Total Items</t>
        </is>
      </c>
      <c r="C5" s="41" t="inlineStr">
        <is>
          <t>Compliant</t>
        </is>
      </c>
      <c r="D5" s="41" t="inlineStr">
        <is>
          <t>Partial</t>
        </is>
      </c>
      <c r="E5" s="41" t="inlineStr">
        <is>
          <t>Non-Compliant</t>
        </is>
      </c>
      <c r="F5" s="41" t="inlineStr">
        <is>
          <t>N/A</t>
        </is>
      </c>
      <c r="G5" s="41" t="inlineStr">
        <is>
          <t>Compliance %</t>
        </is>
      </c>
    </row>
    <row r="6">
      <c r="A6" s="6" t="inlineStr">
        <is>
          <t>Threat Protection</t>
        </is>
      </c>
      <c r="B6" s="42">
        <f>C6+D6+E6+F6</f>
        <v/>
      </c>
      <c r="C6" s="42">
        <f>COUNTIF('Threat Protection'!B5:B21,"✅ Configured")</f>
        <v/>
      </c>
      <c r="D6" s="42">
        <f>COUNTIF('Threat Protection'!B5:B21,"⚠️ Partial")</f>
        <v/>
      </c>
      <c r="E6" s="42">
        <f>COUNTIF('Threat Protection'!B5:B21,"❌ Not Configured")+COUNTIF('Threat Protection'!B5:B21,"⟳ Planned")</f>
        <v/>
      </c>
      <c r="F6" s="42">
        <f>COUNTIF('Threat Protection'!B5:B21,"N/A")</f>
        <v/>
      </c>
      <c r="G6" s="43">
        <f>IF((B6-F6)=0,0,C6/(B6-F6))</f>
        <v/>
      </c>
    </row>
    <row r="7">
      <c r="A7" s="6" t="inlineStr">
        <is>
          <t>Category Management</t>
        </is>
      </c>
      <c r="B7" s="42">
        <f>C7+D7+E7+F7</f>
        <v/>
      </c>
      <c r="C7" s="42">
        <f>COUNTIF('Category Management'!B9:B28,"⛔ Block")+COUNTIF('Category Management'!B9:B28,"✅ Allow")+COUNTIF('Category Management'!B9:B28,"⚠️ Warn")</f>
        <v/>
      </c>
      <c r="D7" s="42">
        <f>COUNTIF('Category Management'!B9:B28,"○ Monitor Only")</f>
        <v/>
      </c>
      <c r="E7" s="42">
        <f>0</f>
        <v/>
      </c>
      <c r="F7" s="42">
        <f>COUNTIF('Category Management'!B9:B28,"N/A")</f>
        <v/>
      </c>
      <c r="G7" s="43">
        <f>IF((B7-F7)=0,0,C7/(B7-F7))</f>
        <v/>
      </c>
    </row>
    <row r="8">
      <c r="A8" s="6" t="inlineStr">
        <is>
          <t>Open Policy Gaps</t>
        </is>
      </c>
      <c r="B8" s="42">
        <f>C8+D8+E8+F8</f>
        <v/>
      </c>
      <c r="C8" s="42">
        <f>COUNTIF('Gap Analysis'!K5:K55,"✅ Resolved")+COUNTIF('Gap Analysis'!K5:K55,"⚠️ Accepted Risk")</f>
        <v/>
      </c>
      <c r="D8" s="42">
        <f>COUNTIF('Gap Analysis'!K5:K55,"⟳ In Progress")</f>
        <v/>
      </c>
      <c r="E8" s="42">
        <f>COUNTIF('Gap Analysis'!K5:K55,"○ Open")</f>
        <v/>
      </c>
      <c r="F8" s="42">
        <f>0</f>
        <v/>
      </c>
      <c r="G8" s="43">
        <f>IF((B8-F8)=0,0,C8/(B8-F8))</f>
        <v/>
      </c>
    </row>
    <row r="9">
      <c r="A9" s="44" t="inlineStr">
        <is>
          <t>TOTAL</t>
        </is>
      </c>
      <c r="B9" s="45">
        <f>SUM(B6:B8)</f>
        <v/>
      </c>
      <c r="C9" s="45">
        <f>SUM(C6:C8)</f>
        <v/>
      </c>
      <c r="D9" s="45">
        <f>SUM(D6:D8)</f>
        <v/>
      </c>
      <c r="E9" s="45">
        <f>SUM(E6:E8)</f>
        <v/>
      </c>
      <c r="F9" s="45">
        <f>SUM(F6:F8)</f>
        <v/>
      </c>
      <c r="G9" s="46">
        <f>IF((B9-F9)=0,0,C9/(B9-F9))</f>
        <v/>
      </c>
    </row>
    <row r="12">
      <c r="A12" s="40" t="inlineStr">
        <is>
          <t>TABLE 2: KEY METRICS</t>
        </is>
      </c>
      <c r="B12" s="6" t="n"/>
      <c r="C12" s="6" t="n"/>
      <c r="D12" s="6" t="n"/>
      <c r="E12" s="6" t="n"/>
      <c r="F12" s="6" t="n"/>
      <c r="G12" s="6" t="n"/>
    </row>
    <row r="13">
      <c r="A13" s="47" t="inlineStr">
        <is>
          <t>Metric</t>
        </is>
      </c>
      <c r="B13" s="47" t="inlineStr">
        <is>
          <t>Count</t>
        </is>
      </c>
      <c r="C13" s="48" t="n"/>
      <c r="D13" s="48" t="n"/>
      <c r="E13" s="48" t="n"/>
      <c r="F13" s="48" t="n"/>
      <c r="G13" s="48" t="n"/>
    </row>
    <row r="14">
      <c r="A14" s="49" t="inlineStr">
        <is>
          <t>Threat Types ✅ Configured</t>
        </is>
      </c>
      <c r="B14" s="50">
        <f>COUNTIF('Threat Protection'!B5:B21,"✅ Configured")</f>
        <v/>
      </c>
      <c r="C14" s="6" t="n"/>
      <c r="D14" s="6" t="n"/>
      <c r="E14" s="6" t="n"/>
      <c r="F14" s="6" t="n"/>
      <c r="G14" s="6" t="n"/>
    </row>
    <row r="15">
      <c r="A15" s="49" t="inlineStr">
        <is>
          <t>Threat Types ❌ Not Configured / ⟳ Planned</t>
        </is>
      </c>
      <c r="B15" s="50">
        <f>COUNTIF('Threat Protection'!B5:B21,"❌ Not Configured")+COUNTIF('Threat Protection'!B5:B21,"⟳ Planned")</f>
        <v/>
      </c>
      <c r="C15" s="6" t="n"/>
      <c r="D15" s="6" t="n"/>
      <c r="E15" s="6" t="n"/>
      <c r="F15" s="6" t="n"/>
      <c r="G15" s="6" t="n"/>
    </row>
    <row r="16">
      <c r="A16" s="49" t="inlineStr">
        <is>
          <t>Categories ⛔ Blocked</t>
        </is>
      </c>
      <c r="B16" s="50">
        <f>COUNTIF('Category Management'!B9:B28,"⛔ Block")</f>
        <v/>
      </c>
      <c r="C16" s="6" t="n"/>
      <c r="D16" s="6" t="n"/>
      <c r="E16" s="6" t="n"/>
      <c r="F16" s="6" t="n"/>
      <c r="G16" s="6" t="n"/>
    </row>
    <row r="17">
      <c r="A17" s="49" t="inlineStr">
        <is>
          <t>Categories ✅ Allowed</t>
        </is>
      </c>
      <c r="B17" s="50">
        <f>COUNTIF('Category Management'!B9:B28,"✅ Allow")</f>
        <v/>
      </c>
      <c r="C17" s="6" t="n"/>
      <c r="D17" s="6" t="n"/>
      <c r="E17" s="6" t="n"/>
      <c r="F17" s="6" t="n"/>
      <c r="G17" s="6" t="n"/>
    </row>
    <row r="18">
      <c r="A18" s="49" t="inlineStr">
        <is>
          <t>Policy Exceptions ✅ Active</t>
        </is>
      </c>
      <c r="B18" s="50">
        <f>COUNTIF('Policy Exceptions'!L5:L55,"✅ Active")</f>
        <v/>
      </c>
      <c r="C18" s="6" t="n"/>
      <c r="D18" s="6" t="n"/>
      <c r="E18" s="6" t="n"/>
      <c r="F18" s="6" t="n"/>
      <c r="G18" s="6" t="n"/>
    </row>
    <row r="19">
      <c r="A19" s="49" t="inlineStr">
        <is>
          <t>Policy Exceptions ⏳ Under Review</t>
        </is>
      </c>
      <c r="B19" s="50">
        <f>COUNTIF('Policy Exceptions'!L5:L55,"⏳ Under Review")</f>
        <v/>
      </c>
      <c r="C19" s="6" t="n"/>
      <c r="D19" s="6" t="n"/>
      <c r="E19" s="6" t="n"/>
      <c r="F19" s="6" t="n"/>
      <c r="G19" s="6" t="n"/>
    </row>
    <row r="20">
      <c r="A20" s="49" t="inlineStr">
        <is>
          <t>Open Policy Gaps ○</t>
        </is>
      </c>
      <c r="B20" s="50">
        <f>COUNTIF('Gap Analysis'!K5:K55,"○ Open")</f>
        <v/>
      </c>
      <c r="C20" s="6" t="n"/>
      <c r="D20" s="6" t="n"/>
      <c r="E20" s="6" t="n"/>
      <c r="F20" s="6" t="n"/>
      <c r="G20" s="6" t="n"/>
    </row>
    <row r="21">
      <c r="A21" s="49" t="inlineStr">
        <is>
          <t>Policy Gaps ✅ Resolved</t>
        </is>
      </c>
      <c r="B21" s="50">
        <f>COUNTIF('Gap Analysis'!K5:K55,"✅ Resolved")</f>
        <v/>
      </c>
      <c r="C21" s="6" t="n"/>
      <c r="D21" s="6" t="n"/>
      <c r="E21" s="6" t="n"/>
      <c r="F21" s="6" t="n"/>
      <c r="G21" s="6" t="n"/>
    </row>
    <row r="24">
      <c r="A24" s="51" t="inlineStr">
        <is>
          <t>TABLE 3: CRITICAL FINDINGS &amp; OPEN GAPS</t>
        </is>
      </c>
      <c r="B24" s="6" t="n"/>
      <c r="C24" s="6" t="n"/>
      <c r="D24" s="6" t="n"/>
      <c r="E24" s="6" t="n"/>
      <c r="F24" s="6" t="n"/>
      <c r="G24" s="6" t="n"/>
    </row>
    <row r="25">
      <c r="A25" s="52" t="inlineStr">
        <is>
          <t>Gap ID</t>
        </is>
      </c>
      <c r="B25" s="52" t="inlineStr">
        <is>
          <t>Policy Area</t>
        </is>
      </c>
      <c r="C25" s="52" t="inlineStr">
        <is>
          <t>Gap Description</t>
        </is>
      </c>
      <c r="D25" s="52" t="inlineStr">
        <is>
          <t>Risk Level</t>
        </is>
      </c>
      <c r="E25" s="52" t="inlineStr">
        <is>
          <t>Owner</t>
        </is>
      </c>
      <c r="F25" s="52" t="inlineStr">
        <is>
          <t>Target Date</t>
        </is>
      </c>
      <c r="G25" s="52" t="inlineStr">
        <is>
          <t>Status</t>
        </is>
      </c>
    </row>
    <row r="26">
      <c r="A26" s="15">
        <f>IFERROR(INDEX('Gap Analysis'!A$5:A$55,SMALL(IF('Gap Analysis'!K$5:K$55="○ Open",ROW('Gap Analysis'!K$5:K$55)-ROW('Gap Analysis'!K$5)+1),1)),"")</f>
        <v/>
      </c>
      <c r="B26" s="15">
        <f>IFERROR(INDEX('Gap Analysis'!B$5:B$55,SMALL(IF('Gap Analysis'!K$5:K$55="○ Open",ROW('Gap Analysis'!K$5:K$55)-ROW('Gap Analysis'!K$5)+1),1)),"")</f>
        <v/>
      </c>
      <c r="C26" s="15">
        <f>IFERROR(INDEX('Gap Analysis'!C$5:C$55,SMALL(IF('Gap Analysis'!K$5:K$55="○ Open",ROW('Gap Analysis'!K$5:K$55)-ROW('Gap Analysis'!K$5)+1),1)),"")</f>
        <v/>
      </c>
      <c r="D26" s="15">
        <f>IFERROR(INDEX('Gap Analysis'!D$5:D$55,SMALL(IF('Gap Analysis'!K$5:K$55="○ Open",ROW('Gap Analysis'!K$5:K$55)-ROW('Gap Analysis'!K$5)+1),1)),"")</f>
        <v/>
      </c>
      <c r="E26" s="15">
        <f>IFERROR(INDEX('Gap Analysis'!I$5:I$55,SMALL(IF('Gap Analysis'!K$5:K$55="○ Open",ROW('Gap Analysis'!K$5:K$55)-ROW('Gap Analysis'!K$5)+1),1)),"")</f>
        <v/>
      </c>
      <c r="F26" s="15">
        <f>IFERROR(INDEX('Gap Analysis'!J$5:J$55,SMALL(IF('Gap Analysis'!K$5:K$55="○ Open",ROW('Gap Analysis'!K$5:K$55)-ROW('Gap Analysis'!K$5)+1),1)),"")</f>
        <v/>
      </c>
      <c r="G26" s="15">
        <f>IFERROR(INDEX('Gap Analysis'!K$5:K$55,SMALL(IF('Gap Analysis'!K$5:K$55="○ Open",ROW('Gap Analysis'!K$5:K$55)-ROW('Gap Analysis'!K$5)+1),1)),"")</f>
        <v/>
      </c>
    </row>
    <row r="27">
      <c r="A27" s="15">
        <f>IFERROR(INDEX('Gap Analysis'!A$5:A$55,SMALL(IF('Gap Analysis'!K$5:K$55="○ Open",ROW('Gap Analysis'!K$5:K$55)-ROW('Gap Analysis'!K$5)+1),2)),"")</f>
        <v/>
      </c>
      <c r="B27" s="15">
        <f>IFERROR(INDEX('Gap Analysis'!B$5:B$55,SMALL(IF('Gap Analysis'!K$5:K$55="○ Open",ROW('Gap Analysis'!K$5:K$55)-ROW('Gap Analysis'!K$5)+1),2)),"")</f>
        <v/>
      </c>
      <c r="C27" s="15">
        <f>IFERROR(INDEX('Gap Analysis'!C$5:C$55,SMALL(IF('Gap Analysis'!K$5:K$55="○ Open",ROW('Gap Analysis'!K$5:K$55)-ROW('Gap Analysis'!K$5)+1),2)),"")</f>
        <v/>
      </c>
      <c r="D27" s="15">
        <f>IFERROR(INDEX('Gap Analysis'!D$5:D$55,SMALL(IF('Gap Analysis'!K$5:K$55="○ Open",ROW('Gap Analysis'!K$5:K$55)-ROW('Gap Analysis'!K$5)+1),2)),"")</f>
        <v/>
      </c>
      <c r="E27" s="15">
        <f>IFERROR(INDEX('Gap Analysis'!I$5:I$55,SMALL(IF('Gap Analysis'!K$5:K$55="○ Open",ROW('Gap Analysis'!K$5:K$55)-ROW('Gap Analysis'!K$5)+1),2)),"")</f>
        <v/>
      </c>
      <c r="F27" s="15">
        <f>IFERROR(INDEX('Gap Analysis'!J$5:J$55,SMALL(IF('Gap Analysis'!K$5:K$55="○ Open",ROW('Gap Analysis'!K$5:K$55)-ROW('Gap Analysis'!K$5)+1),2)),"")</f>
        <v/>
      </c>
      <c r="G27" s="15">
        <f>IFERROR(INDEX('Gap Analysis'!K$5:K$55,SMALL(IF('Gap Analysis'!K$5:K$55="○ Open",ROW('Gap Analysis'!K$5:K$55)-ROW('Gap Analysis'!K$5)+1),2)),"")</f>
        <v/>
      </c>
    </row>
    <row r="28">
      <c r="A28" s="15">
        <f>IFERROR(INDEX('Gap Analysis'!A$5:A$55,SMALL(IF('Gap Analysis'!K$5:K$55="○ Open",ROW('Gap Analysis'!K$5:K$55)-ROW('Gap Analysis'!K$5)+1),3)),"")</f>
        <v/>
      </c>
      <c r="B28" s="15">
        <f>IFERROR(INDEX('Gap Analysis'!B$5:B$55,SMALL(IF('Gap Analysis'!K$5:K$55="○ Open",ROW('Gap Analysis'!K$5:K$55)-ROW('Gap Analysis'!K$5)+1),3)),"")</f>
        <v/>
      </c>
      <c r="C28" s="15">
        <f>IFERROR(INDEX('Gap Analysis'!C$5:C$55,SMALL(IF('Gap Analysis'!K$5:K$55="○ Open",ROW('Gap Analysis'!K$5:K$55)-ROW('Gap Analysis'!K$5)+1),3)),"")</f>
        <v/>
      </c>
      <c r="D28" s="15">
        <f>IFERROR(INDEX('Gap Analysis'!D$5:D$55,SMALL(IF('Gap Analysis'!K$5:K$55="○ Open",ROW('Gap Analysis'!K$5:K$55)-ROW('Gap Analysis'!K$5)+1),3)),"")</f>
        <v/>
      </c>
      <c r="E28" s="15">
        <f>IFERROR(INDEX('Gap Analysis'!I$5:I$55,SMALL(IF('Gap Analysis'!K$5:K$55="○ Open",ROW('Gap Analysis'!K$5:K$55)-ROW('Gap Analysis'!K$5)+1),3)),"")</f>
        <v/>
      </c>
      <c r="F28" s="15">
        <f>IFERROR(INDEX('Gap Analysis'!J$5:J$55,SMALL(IF('Gap Analysis'!K$5:K$55="○ Open",ROW('Gap Analysis'!K$5:K$55)-ROW('Gap Analysis'!K$5)+1),3)),"")</f>
        <v/>
      </c>
      <c r="G28" s="15">
        <f>IFERROR(INDEX('Gap Analysis'!K$5:K$55,SMALL(IF('Gap Analysis'!K$5:K$55="○ Open",ROW('Gap Analysis'!K$5:K$55)-ROW('Gap Analysis'!K$5)+1),3)),"")</f>
        <v/>
      </c>
    </row>
    <row r="29">
      <c r="A29" s="15">
        <f>IFERROR(INDEX('Gap Analysis'!A$5:A$55,SMALL(IF('Gap Analysis'!K$5:K$55="○ Open",ROW('Gap Analysis'!K$5:K$55)-ROW('Gap Analysis'!K$5)+1),4)),"")</f>
        <v/>
      </c>
      <c r="B29" s="15">
        <f>IFERROR(INDEX('Gap Analysis'!B$5:B$55,SMALL(IF('Gap Analysis'!K$5:K$55="○ Open",ROW('Gap Analysis'!K$5:K$55)-ROW('Gap Analysis'!K$5)+1),4)),"")</f>
        <v/>
      </c>
      <c r="C29" s="15">
        <f>IFERROR(INDEX('Gap Analysis'!C$5:C$55,SMALL(IF('Gap Analysis'!K$5:K$55="○ Open",ROW('Gap Analysis'!K$5:K$55)-ROW('Gap Analysis'!K$5)+1),4)),"")</f>
        <v/>
      </c>
      <c r="D29" s="15">
        <f>IFERROR(INDEX('Gap Analysis'!D$5:D$55,SMALL(IF('Gap Analysis'!K$5:K$55="○ Open",ROW('Gap Analysis'!K$5:K$55)-ROW('Gap Analysis'!K$5)+1),4)),"")</f>
        <v/>
      </c>
      <c r="E29" s="15">
        <f>IFERROR(INDEX('Gap Analysis'!I$5:I$55,SMALL(IF('Gap Analysis'!K$5:K$55="○ Open",ROW('Gap Analysis'!K$5:K$55)-ROW('Gap Analysis'!K$5)+1),4)),"")</f>
        <v/>
      </c>
      <c r="F29" s="15">
        <f>IFERROR(INDEX('Gap Analysis'!J$5:J$55,SMALL(IF('Gap Analysis'!K$5:K$55="○ Open",ROW('Gap Analysis'!K$5:K$55)-ROW('Gap Analysis'!K$5)+1),4)),"")</f>
        <v/>
      </c>
      <c r="G29" s="15">
        <f>IFERROR(INDEX('Gap Analysis'!K$5:K$55,SMALL(IF('Gap Analysis'!K$5:K$55="○ Open",ROW('Gap Analysis'!K$5:K$55)-ROW('Gap Analysis'!K$5)+1),4)),"")</f>
        <v/>
      </c>
    </row>
    <row r="30">
      <c r="A30" s="15">
        <f>IFERROR(INDEX('Gap Analysis'!A$5:A$55,SMALL(IF('Gap Analysis'!K$5:K$55="○ Open",ROW('Gap Analysis'!K$5:K$55)-ROW('Gap Analysis'!K$5)+1),5)),"")</f>
        <v/>
      </c>
      <c r="B30" s="15">
        <f>IFERROR(INDEX('Gap Analysis'!B$5:B$55,SMALL(IF('Gap Analysis'!K$5:K$55="○ Open",ROW('Gap Analysis'!K$5:K$55)-ROW('Gap Analysis'!K$5)+1),5)),"")</f>
        <v/>
      </c>
      <c r="C30" s="15">
        <f>IFERROR(INDEX('Gap Analysis'!C$5:C$55,SMALL(IF('Gap Analysis'!K$5:K$55="○ Open",ROW('Gap Analysis'!K$5:K$55)-ROW('Gap Analysis'!K$5)+1),5)),"")</f>
        <v/>
      </c>
      <c r="D30" s="15">
        <f>IFERROR(INDEX('Gap Analysis'!D$5:D$55,SMALL(IF('Gap Analysis'!K$5:K$55="○ Open",ROW('Gap Analysis'!K$5:K$55)-ROW('Gap Analysis'!K$5)+1),5)),"")</f>
        <v/>
      </c>
      <c r="E30" s="15">
        <f>IFERROR(INDEX('Gap Analysis'!I$5:I$55,SMALL(IF('Gap Analysis'!K$5:K$55="○ Open",ROW('Gap Analysis'!K$5:K$55)-ROW('Gap Analysis'!K$5)+1),5)),"")</f>
        <v/>
      </c>
      <c r="F30" s="15">
        <f>IFERROR(INDEX('Gap Analysis'!J$5:J$55,SMALL(IF('Gap Analysis'!K$5:K$55="○ Open",ROW('Gap Analysis'!K$5:K$55)-ROW('Gap Analysis'!K$5)+1),5)),"")</f>
        <v/>
      </c>
      <c r="G30" s="15">
        <f>IFERROR(INDEX('Gap Analysis'!K$5:K$55,SMALL(IF('Gap Analysis'!K$5:K$55="○ Open",ROW('Gap Analysis'!K$5:K$55)-ROW('Gap Analysis'!K$5)+1),5)),"")</f>
        <v/>
      </c>
    </row>
    <row r="31">
      <c r="A31" s="15">
        <f>IFERROR(INDEX('Gap Analysis'!A$5:A$55,SMALL(IF('Gap Analysis'!K$5:K$55="○ Open",ROW('Gap Analysis'!K$5:K$55)-ROW('Gap Analysis'!K$5)+1),6)),"")</f>
        <v/>
      </c>
      <c r="B31" s="15">
        <f>IFERROR(INDEX('Gap Analysis'!B$5:B$55,SMALL(IF('Gap Analysis'!K$5:K$55="○ Open",ROW('Gap Analysis'!K$5:K$55)-ROW('Gap Analysis'!K$5)+1),6)),"")</f>
        <v/>
      </c>
      <c r="C31" s="15">
        <f>IFERROR(INDEX('Gap Analysis'!C$5:C$55,SMALL(IF('Gap Analysis'!K$5:K$55="○ Open",ROW('Gap Analysis'!K$5:K$55)-ROW('Gap Analysis'!K$5)+1),6)),"")</f>
        <v/>
      </c>
      <c r="D31" s="15">
        <f>IFERROR(INDEX('Gap Analysis'!D$5:D$55,SMALL(IF('Gap Analysis'!K$5:K$55="○ Open",ROW('Gap Analysis'!K$5:K$55)-ROW('Gap Analysis'!K$5)+1),6)),"")</f>
        <v/>
      </c>
      <c r="E31" s="15">
        <f>IFERROR(INDEX('Gap Analysis'!I$5:I$55,SMALL(IF('Gap Analysis'!K$5:K$55="○ Open",ROW('Gap Analysis'!K$5:K$55)-ROW('Gap Analysis'!K$5)+1),6)),"")</f>
        <v/>
      </c>
      <c r="F31" s="15">
        <f>IFERROR(INDEX('Gap Analysis'!J$5:J$55,SMALL(IF('Gap Analysis'!K$5:K$55="○ Open",ROW('Gap Analysis'!K$5:K$55)-ROW('Gap Analysis'!K$5)+1),6)),"")</f>
        <v/>
      </c>
      <c r="G31" s="15">
        <f>IFERROR(INDEX('Gap Analysis'!K$5:K$55,SMALL(IF('Gap Analysis'!K$5:K$55="○ Open",ROW('Gap Analysis'!K$5:K$55)-ROW('Gap Analysis'!K$5)+1),6)),"")</f>
        <v/>
      </c>
    </row>
    <row r="32">
      <c r="A32" s="15">
        <f>IFERROR(INDEX('Gap Analysis'!A$5:A$55,SMALL(IF('Gap Analysis'!K$5:K$55="○ Open",ROW('Gap Analysis'!K$5:K$55)-ROW('Gap Analysis'!K$5)+1),7)),"")</f>
        <v/>
      </c>
      <c r="B32" s="15">
        <f>IFERROR(INDEX('Gap Analysis'!B$5:B$55,SMALL(IF('Gap Analysis'!K$5:K$55="○ Open",ROW('Gap Analysis'!K$5:K$55)-ROW('Gap Analysis'!K$5)+1),7)),"")</f>
        <v/>
      </c>
      <c r="C32" s="15">
        <f>IFERROR(INDEX('Gap Analysis'!C$5:C$55,SMALL(IF('Gap Analysis'!K$5:K$55="○ Open",ROW('Gap Analysis'!K$5:K$55)-ROW('Gap Analysis'!K$5)+1),7)),"")</f>
        <v/>
      </c>
      <c r="D32" s="15">
        <f>IFERROR(INDEX('Gap Analysis'!D$5:D$55,SMALL(IF('Gap Analysis'!K$5:K$55="○ Open",ROW('Gap Analysis'!K$5:K$55)-ROW('Gap Analysis'!K$5)+1),7)),"")</f>
        <v/>
      </c>
      <c r="E32" s="15">
        <f>IFERROR(INDEX('Gap Analysis'!I$5:I$55,SMALL(IF('Gap Analysis'!K$5:K$55="○ Open",ROW('Gap Analysis'!K$5:K$55)-ROW('Gap Analysis'!K$5)+1),7)),"")</f>
        <v/>
      </c>
      <c r="F32" s="15">
        <f>IFERROR(INDEX('Gap Analysis'!J$5:J$55,SMALL(IF('Gap Analysis'!K$5:K$55="○ Open",ROW('Gap Analysis'!K$5:K$55)-ROW('Gap Analysis'!K$5)+1),7)),"")</f>
        <v/>
      </c>
      <c r="G32" s="15">
        <f>IFERROR(INDEX('Gap Analysis'!K$5:K$55,SMALL(IF('Gap Analysis'!K$5:K$55="○ Open",ROW('Gap Analysis'!K$5:K$55)-ROW('Gap Analysis'!K$5)+1),7)),"")</f>
        <v/>
      </c>
    </row>
    <row r="33">
      <c r="A33" s="15">
        <f>IFERROR(INDEX('Gap Analysis'!A$5:A$55,SMALL(IF('Gap Analysis'!K$5:K$55="○ Open",ROW('Gap Analysis'!K$5:K$55)-ROW('Gap Analysis'!K$5)+1),8)),"")</f>
        <v/>
      </c>
      <c r="B33" s="15">
        <f>IFERROR(INDEX('Gap Analysis'!B$5:B$55,SMALL(IF('Gap Analysis'!K$5:K$55="○ Open",ROW('Gap Analysis'!K$5:K$55)-ROW('Gap Analysis'!K$5)+1),8)),"")</f>
        <v/>
      </c>
      <c r="C33" s="15">
        <f>IFERROR(INDEX('Gap Analysis'!C$5:C$55,SMALL(IF('Gap Analysis'!K$5:K$55="○ Open",ROW('Gap Analysis'!K$5:K$55)-ROW('Gap Analysis'!K$5)+1),8)),"")</f>
        <v/>
      </c>
      <c r="D33" s="15">
        <f>IFERROR(INDEX('Gap Analysis'!D$5:D$55,SMALL(IF('Gap Analysis'!K$5:K$55="○ Open",ROW('Gap Analysis'!K$5:K$55)-ROW('Gap Analysis'!K$5)+1),8)),"")</f>
        <v/>
      </c>
      <c r="E33" s="15">
        <f>IFERROR(INDEX('Gap Analysis'!I$5:I$55,SMALL(IF('Gap Analysis'!K$5:K$55="○ Open",ROW('Gap Analysis'!K$5:K$55)-ROW('Gap Analysis'!K$5)+1),8)),"")</f>
        <v/>
      </c>
      <c r="F33" s="15">
        <f>IFERROR(INDEX('Gap Analysis'!J$5:J$55,SMALL(IF('Gap Analysis'!K$5:K$55="○ Open",ROW('Gap Analysis'!K$5:K$55)-ROW('Gap Analysis'!K$5)+1),8)),"")</f>
        <v/>
      </c>
      <c r="G33" s="15">
        <f>IFERROR(INDEX('Gap Analysis'!K$5:K$55,SMALL(IF('Gap Analysis'!K$5:K$55="○ Open",ROW('Gap Analysis'!K$5:K$55)-ROW('Gap Analysis'!K$5)+1),8)),"")</f>
        <v/>
      </c>
    </row>
    <row r="34">
      <c r="A34" s="15">
        <f>IFERROR(INDEX('Gap Analysis'!A$5:A$55,SMALL(IF('Gap Analysis'!K$5:K$55="○ Open",ROW('Gap Analysis'!K$5:K$55)-ROW('Gap Analysis'!K$5)+1),9)),"")</f>
        <v/>
      </c>
      <c r="B34" s="15">
        <f>IFERROR(INDEX('Gap Analysis'!B$5:B$55,SMALL(IF('Gap Analysis'!K$5:K$55="○ Open",ROW('Gap Analysis'!K$5:K$55)-ROW('Gap Analysis'!K$5)+1),9)),"")</f>
        <v/>
      </c>
      <c r="C34" s="15">
        <f>IFERROR(INDEX('Gap Analysis'!C$5:C$55,SMALL(IF('Gap Analysis'!K$5:K$55="○ Open",ROW('Gap Analysis'!K$5:K$55)-ROW('Gap Analysis'!K$5)+1),9)),"")</f>
        <v/>
      </c>
      <c r="D34" s="15">
        <f>IFERROR(INDEX('Gap Analysis'!D$5:D$55,SMALL(IF('Gap Analysis'!K$5:K$55="○ Open",ROW('Gap Analysis'!K$5:K$55)-ROW('Gap Analysis'!K$5)+1),9)),"")</f>
        <v/>
      </c>
      <c r="E34" s="15">
        <f>IFERROR(INDEX('Gap Analysis'!I$5:I$55,SMALL(IF('Gap Analysis'!K$5:K$55="○ Open",ROW('Gap Analysis'!K$5:K$55)-ROW('Gap Analysis'!K$5)+1),9)),"")</f>
        <v/>
      </c>
      <c r="F34" s="15">
        <f>IFERROR(INDEX('Gap Analysis'!J$5:J$55,SMALL(IF('Gap Analysis'!K$5:K$55="○ Open",ROW('Gap Analysis'!K$5:K$55)-ROW('Gap Analysis'!K$5)+1),9)),"")</f>
        <v/>
      </c>
      <c r="G34" s="15">
        <f>IFERROR(INDEX('Gap Analysis'!K$5:K$55,SMALL(IF('Gap Analysis'!K$5:K$55="○ Open",ROW('Gap Analysis'!K$5:K$55)-ROW('Gap Analysis'!K$5)+1),9)),"")</f>
        <v/>
      </c>
    </row>
    <row r="35">
      <c r="A35" s="15">
        <f>IFERROR(INDEX('Gap Analysis'!A$5:A$55,SMALL(IF('Gap Analysis'!K$5:K$55="○ Open",ROW('Gap Analysis'!K$5:K$55)-ROW('Gap Analysis'!K$5)+1),10)),"")</f>
        <v/>
      </c>
      <c r="B35" s="15">
        <f>IFERROR(INDEX('Gap Analysis'!B$5:B$55,SMALL(IF('Gap Analysis'!K$5:K$55="○ Open",ROW('Gap Analysis'!K$5:K$55)-ROW('Gap Analysis'!K$5)+1),10)),"")</f>
        <v/>
      </c>
      <c r="C35" s="15">
        <f>IFERROR(INDEX('Gap Analysis'!C$5:C$55,SMALL(IF('Gap Analysis'!K$5:K$55="○ Open",ROW('Gap Analysis'!K$5:K$55)-ROW('Gap Analysis'!K$5)+1),10)),"")</f>
        <v/>
      </c>
      <c r="D35" s="15">
        <f>IFERROR(INDEX('Gap Analysis'!D$5:D$55,SMALL(IF('Gap Analysis'!K$5:K$55="○ Open",ROW('Gap Analysis'!K$5:K$55)-ROW('Gap Analysis'!K$5)+1),10)),"")</f>
        <v/>
      </c>
      <c r="E35" s="15">
        <f>IFERROR(INDEX('Gap Analysis'!I$5:I$55,SMALL(IF('Gap Analysis'!K$5:K$55="○ Open",ROW('Gap Analysis'!K$5:K$55)-ROW('Gap Analysis'!K$5)+1),10)),"")</f>
        <v/>
      </c>
      <c r="F35" s="15">
        <f>IFERROR(INDEX('Gap Analysis'!J$5:J$55,SMALL(IF('Gap Analysis'!K$5:K$55="○ Open",ROW('Gap Analysis'!K$5:K$55)-ROW('Gap Analysis'!K$5)+1),10)),"")</f>
        <v/>
      </c>
      <c r="G35" s="15">
        <f>IFERROR(INDEX('Gap Analysis'!K$5:K$55,SMALL(IF('Gap Analysis'!K$5:K$55="○ Open",ROW('Gap Analysis'!K$5:K$55)-ROW('Gap Analysis'!K$5)+1),10)),"")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c r="B1" s="6" t="n"/>
      <c r="C1" s="6" t="n"/>
      <c r="D1" s="6" t="n"/>
      <c r="E1" s="6" t="n"/>
    </row>
    <row r="2">
      <c r="A2" s="53" t="inlineStr">
        <is>
          <t>ISO/IEC 27001:2022 - Control A.8.23: Web Filtering</t>
        </is>
      </c>
      <c r="B2" s="6" t="n"/>
      <c r="C2" s="6" t="n"/>
      <c r="D2" s="6" t="n"/>
      <c r="E2" s="6" t="n"/>
    </row>
    <row r="3">
      <c r="A3" s="54" t="inlineStr">
        <is>
          <t>ASSESSMENT SUMMARY</t>
        </is>
      </c>
      <c r="B3" s="6" t="n"/>
      <c r="C3" s="6" t="n"/>
      <c r="D3" s="6" t="n"/>
      <c r="E3" s="6" t="n"/>
    </row>
    <row r="4">
      <c r="A4" s="55" t="inlineStr">
        <is>
          <t>Document:</t>
        </is>
      </c>
      <c r="B4" s="6" t="inlineStr">
        <is>
          <t>ISMS-IMP-A.8.23.3 - Policy Configuration Assessment</t>
        </is>
      </c>
      <c r="C4" s="6" t="n"/>
      <c r="D4" s="6" t="n"/>
      <c r="E4" s="6" t="n"/>
    </row>
    <row r="5">
      <c r="A5" s="55" t="inlineStr">
        <is>
          <t>Assessment Period:</t>
        </is>
      </c>
      <c r="B5" s="15" t="inlineStr"/>
      <c r="C5" s="15" t="n"/>
      <c r="D5" s="15" t="n"/>
      <c r="E5" s="15" t="n"/>
    </row>
    <row r="6">
      <c r="A6" s="55" t="inlineStr">
        <is>
          <t>Overall Compliance Rating:</t>
        </is>
      </c>
      <c r="B6" s="15">
        <f>'Summary Dashboard'!G9</f>
        <v/>
      </c>
      <c r="C6" s="15" t="n"/>
      <c r="D6" s="15" t="n"/>
      <c r="E6" s="15" t="n"/>
    </row>
    <row r="7">
      <c r="A7" s="55" t="inlineStr">
        <is>
          <t>Assessment Status:</t>
        </is>
      </c>
      <c r="B7" s="15" t="inlineStr"/>
      <c r="C7" s="15" t="n"/>
      <c r="D7" s="15" t="n"/>
      <c r="E7" s="15" t="n"/>
    </row>
    <row r="8">
      <c r="A8" s="55" t="inlineStr">
        <is>
          <t>Assessed By:</t>
        </is>
      </c>
      <c r="B8" s="15" t="inlineStr"/>
      <c r="C8" s="15" t="n"/>
      <c r="D8" s="15" t="n"/>
      <c r="E8" s="15" t="n"/>
    </row>
    <row r="11">
      <c r="A11" s="54" t="inlineStr">
        <is>
          <t>COMPLETED BY (ASSESSOR)</t>
        </is>
      </c>
      <c r="B11" s="6" t="n"/>
      <c r="C11" s="6" t="n"/>
      <c r="D11" s="6" t="n"/>
      <c r="E11" s="6" t="n"/>
    </row>
    <row r="12">
      <c r="A12" s="55" t="inlineStr">
        <is>
          <t>Name:</t>
        </is>
      </c>
      <c r="B12" s="15" t="n"/>
      <c r="C12" s="15" t="n"/>
      <c r="D12" s="15" t="n"/>
      <c r="E12" s="15" t="n"/>
    </row>
    <row r="13">
      <c r="A13" s="55" t="inlineStr">
        <is>
          <t>Title:</t>
        </is>
      </c>
      <c r="B13" s="15" t="n"/>
      <c r="C13" s="15" t="n"/>
      <c r="D13" s="15" t="n"/>
      <c r="E13" s="15" t="n"/>
    </row>
    <row r="14">
      <c r="A14" s="55" t="inlineStr">
        <is>
          <t>Date:</t>
        </is>
      </c>
      <c r="B14" s="15" t="n"/>
      <c r="C14" s="15" t="n"/>
      <c r="D14" s="15" t="n"/>
      <c r="E14" s="15" t="n"/>
    </row>
    <row r="15">
      <c r="A15" s="55" t="inlineStr">
        <is>
          <t>Signature:</t>
        </is>
      </c>
      <c r="B15" s="15" t="n"/>
      <c r="C15" s="15" t="n"/>
      <c r="D15" s="15" t="n"/>
      <c r="E15" s="15" t="n"/>
    </row>
    <row r="16">
      <c r="A16" s="55" t="inlineStr">
        <is>
          <t>Comments:</t>
        </is>
      </c>
      <c r="B16" s="15" t="n"/>
      <c r="C16" s="15" t="n"/>
      <c r="D16" s="15" t="n"/>
      <c r="E16" s="15" t="n"/>
    </row>
    <row r="18">
      <c r="A18" s="54" t="inlineStr">
        <is>
          <t>REVIEWED BY (INFORMATION SECURITY OFFICER)</t>
        </is>
      </c>
      <c r="B18" s="6" t="n"/>
      <c r="C18" s="6" t="n"/>
      <c r="D18" s="6" t="n"/>
      <c r="E18" s="6" t="n"/>
    </row>
    <row r="19">
      <c r="A19" s="55" t="inlineStr">
        <is>
          <t>Name:</t>
        </is>
      </c>
      <c r="B19" s="15" t="n"/>
      <c r="C19" s="15" t="n"/>
      <c r="D19" s="15" t="n"/>
      <c r="E19" s="15" t="n"/>
    </row>
    <row r="20">
      <c r="A20" s="55" t="inlineStr">
        <is>
          <t>Title:</t>
        </is>
      </c>
      <c r="B20" s="15" t="n"/>
      <c r="C20" s="15" t="n"/>
      <c r="D20" s="15" t="n"/>
      <c r="E20" s="15" t="n"/>
    </row>
    <row r="21">
      <c r="A21" s="55" t="inlineStr">
        <is>
          <t>Date:</t>
        </is>
      </c>
      <c r="B21" s="15" t="n"/>
      <c r="C21" s="15" t="n"/>
      <c r="D21" s="15" t="n"/>
      <c r="E21" s="15" t="n"/>
    </row>
    <row r="22">
      <c r="A22" s="55" t="inlineStr">
        <is>
          <t>Signature:</t>
        </is>
      </c>
      <c r="B22" s="15" t="n"/>
      <c r="C22" s="15" t="n"/>
      <c r="D22" s="15" t="n"/>
      <c r="E22" s="15" t="n"/>
    </row>
    <row r="23">
      <c r="A23" s="55" t="inlineStr">
        <is>
          <t>Comments:</t>
        </is>
      </c>
      <c r="B23" s="15" t="n"/>
      <c r="C23" s="15" t="n"/>
      <c r="D23" s="15" t="n"/>
      <c r="E23" s="15" t="n"/>
    </row>
    <row r="25">
      <c r="A25" s="56" t="inlineStr">
        <is>
          <t>APPROVED BY (CISO)</t>
        </is>
      </c>
      <c r="B25" s="6" t="n"/>
      <c r="C25" s="6" t="n"/>
      <c r="D25" s="6" t="n"/>
      <c r="E25" s="6" t="n"/>
    </row>
    <row r="26">
      <c r="A26" s="55" t="inlineStr">
        <is>
          <t>Name:</t>
        </is>
      </c>
      <c r="B26" s="15" t="n"/>
      <c r="C26" s="15" t="n"/>
      <c r="D26" s="15" t="n"/>
      <c r="E26" s="15" t="n"/>
    </row>
    <row r="27">
      <c r="A27" s="55" t="inlineStr">
        <is>
          <t>Title:</t>
        </is>
      </c>
      <c r="B27" s="15" t="n"/>
      <c r="C27" s="15" t="n"/>
      <c r="D27" s="15" t="n"/>
      <c r="E27" s="15" t="n"/>
    </row>
    <row r="28">
      <c r="A28" s="55" t="inlineStr">
        <is>
          <t>Date:</t>
        </is>
      </c>
      <c r="B28" s="15" t="n"/>
      <c r="C28" s="15" t="n"/>
      <c r="D28" s="15" t="n"/>
      <c r="E28" s="15" t="n"/>
    </row>
    <row r="29">
      <c r="A29" s="55" t="inlineStr">
        <is>
          <t>Signature:</t>
        </is>
      </c>
      <c r="B29" s="15" t="n"/>
      <c r="C29" s="15" t="n"/>
      <c r="D29" s="15" t="n"/>
      <c r="E29" s="15" t="n"/>
    </row>
    <row r="30">
      <c r="A30" s="55" t="inlineStr">
        <is>
          <t>Comments:</t>
        </is>
      </c>
      <c r="B30" s="15" t="n"/>
      <c r="C30" s="15" t="n"/>
      <c r="D30" s="15" t="n"/>
      <c r="E30" s="15" t="n"/>
    </row>
    <row r="32">
      <c r="A32" s="57" t="inlineStr">
        <is>
          <t>FINAL DECISION:</t>
        </is>
      </c>
      <c r="B32" s="15" t="n"/>
      <c r="C32" s="15" t="n"/>
      <c r="D32" s="15" t="n"/>
      <c r="E32" s="15" t="n"/>
    </row>
    <row r="35">
      <c r="A35" s="54" t="inlineStr">
        <is>
          <t>NEXT REVIEW DETAILS</t>
        </is>
      </c>
      <c r="B35" s="6" t="n"/>
      <c r="C35" s="6" t="n"/>
      <c r="D35" s="6" t="n"/>
      <c r="E35" s="6" t="n"/>
    </row>
    <row r="36">
      <c r="A36" s="55" t="inlineStr">
        <is>
          <t>Next Review Date:</t>
        </is>
      </c>
      <c r="B36" s="15" t="n"/>
      <c r="C36" s="15" t="n"/>
      <c r="D36" s="15" t="n"/>
      <c r="E36" s="15" t="n"/>
    </row>
    <row r="37">
      <c r="A37" s="55" t="inlineStr">
        <is>
          <t>Review Responsible:</t>
        </is>
      </c>
      <c r="B37" s="15" t="n"/>
      <c r="C37" s="15" t="n"/>
      <c r="D37" s="15" t="n"/>
      <c r="E37" s="15" t="n"/>
    </row>
    <row r="38">
      <c r="A38" s="55"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ISMS-IMP-A.8.23.3 — Policy Configuration Assessment</dc:title>
  <dc:description xmlns:dc="http://purl.org/dc/elements/1.1/">ISMS Implementation Workbook — ISMS-IMP-A.8.23.3</dc:description>
  <dc:subject xmlns:dc="http://purl.org/dc/elements/1.1/">ISO/IEC 27001:2022 — Control A.8.23: Web Filtering</dc:subject>
  <dcterms:created xmlns:dcterms="http://purl.org/dc/terms/" xmlns:xsi="http://www.w3.org/2001/XMLSchema-instance" xsi:type="dcterms:W3CDTF">2026-03-10T18:49:32Z</dcterms:created>
  <dcterms:modified xmlns:dcterms="http://purl.org/dc/terms/" xmlns:xsi="http://www.w3.org/2001/XMLSchema-instance" xsi:type="dcterms:W3CDTF">2026-03-10T18:49:32Z</dcterms:modified>
</cp:coreProperties>
</file>