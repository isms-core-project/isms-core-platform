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Log_Collection" sheetId="2" state="visible" r:id="rId2"/>
    <sheet xmlns:r="http://schemas.openxmlformats.org/officeDocument/2006/relationships" name="Alert_Configuration" sheetId="3" state="visible" r:id="rId3"/>
    <sheet xmlns:r="http://schemas.openxmlformats.org/officeDocument/2006/relationships" name="Monitoring_Dashboard" sheetId="4" state="visible" r:id="rId4"/>
    <sheet xmlns:r="http://schemas.openxmlformats.org/officeDocument/2006/relationships" name="Incident_Response" sheetId="5" state="visible" r:id="rId5"/>
    <sheet xmlns:r="http://schemas.openxmlformats.org/officeDocument/2006/relationships" name="Blocked_Events_Analysis" sheetId="6" state="visible" r:id="rId6"/>
    <sheet xmlns:r="http://schemas.openxmlformats.org/officeDocument/2006/relationships" name="False_Positive_Mgmt" sheetId="7" state="visible" r:id="rId7"/>
    <sheet xmlns:r="http://schemas.openxmlformats.org/officeDocument/2006/relationships" name="Reporting_Schedule"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sz val="14"/>
    </font>
    <font>
      <b val="1"/>
      <color rgb="00003366"/>
      <sz val="11"/>
    </font>
    <font>
      <b val="1"/>
      <color rgb="00000000"/>
      <sz val="11"/>
    </font>
    <font>
      <b val="1"/>
      <sz val="10"/>
    </font>
    <font>
      <sz val="10"/>
    </font>
    <font>
      <b val="1"/>
      <color rgb="00FFFFFF"/>
      <sz val="11"/>
    </font>
    <font>
      <b val="1"/>
      <i val="1"/>
      <sz val="10"/>
    </font>
    <font>
      <i val="1"/>
      <sz val="9"/>
    </font>
    <font>
      <i val="1"/>
      <color rgb="00666666"/>
      <sz val="9"/>
    </font>
    <font>
      <i val="1"/>
      <sz val="10"/>
    </font>
    <font>
      <b val="1"/>
    </font>
  </fonts>
  <fills count="11">
    <fill>
      <patternFill/>
    </fill>
    <fill>
      <patternFill patternType="gray125"/>
    </fill>
    <fill>
      <patternFill patternType="solid">
        <fgColor rgb="00003366"/>
        <bgColor rgb="00003366"/>
      </patternFill>
    </fill>
    <fill>
      <patternFill patternType="solid">
        <fgColor rgb="008FAADC"/>
        <bgColor rgb="008FAADC"/>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pivotButton="0" quotePrefix="0" xfId="0"/>
    <xf numFmtId="0" fontId="4" fillId="0" borderId="0" pivotButton="0" quotePrefix="0" xfId="0"/>
    <xf numFmtId="0" fontId="0" fillId="4" borderId="1" pivotButton="0" quotePrefix="0" xfId="0"/>
    <xf numFmtId="0" fontId="5" fillId="0" borderId="0" applyAlignment="1" pivotButton="0" quotePrefix="0" xfId="0">
      <alignment horizontal="left" vertical="center" wrapText="1"/>
    </xf>
    <xf numFmtId="0" fontId="6"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6" fillId="5" borderId="1" applyAlignment="1" pivotButton="0" quotePrefix="0" xfId="0">
      <alignment horizontal="center" vertical="center" wrapText="1"/>
    </xf>
    <xf numFmtId="0" fontId="11" fillId="0" borderId="0" pivotButton="0" quotePrefix="0" xfId="0"/>
    <xf numFmtId="0" fontId="0" fillId="4" borderId="1" applyAlignment="1" pivotButton="0" quotePrefix="0" xfId="0">
      <alignment horizontal="left" vertical="center" wrapText="1"/>
    </xf>
    <xf numFmtId="0" fontId="0" fillId="0" borderId="1" pivotButton="0" quotePrefix="0" xfId="0"/>
    <xf numFmtId="164" fontId="0" fillId="0" borderId="1" pivotButton="0" quotePrefix="0" xfId="0"/>
    <xf numFmtId="0" fontId="6" fillId="5" borderId="1" pivotButton="0" quotePrefix="0" xfId="0"/>
    <xf numFmtId="0" fontId="0" fillId="0" borderId="1" applyAlignment="1" pivotButton="0" quotePrefix="0" xfId="0">
      <alignment horizontal="left" vertical="center" wrapText="1"/>
    </xf>
    <xf numFmtId="0" fontId="11" fillId="0" borderId="0" applyAlignment="1" pivotButton="0" quotePrefix="0" xfId="0">
      <alignment horizontal="center"/>
    </xf>
    <xf numFmtId="0" fontId="4" fillId="0" borderId="1" pivotButton="0" quotePrefix="0" xfId="0"/>
    <xf numFmtId="0" fontId="11" fillId="0" borderId="1" pivotButton="0" quotePrefix="0" xfId="0"/>
    <xf numFmtId="9"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pane ySplit="3" topLeftCell="A4" activePane="bottomLeft" state="frozen"/>
      <selection pane="bottomLeft" activeCell="A1" sqref="A1"/>
    </sheetView>
  </sheetViews>
  <sheetFormatPr baseColWidth="8" defaultRowHeight="15"/>
  <cols>
    <col width="25" customWidth="1" min="1" max="1"/>
    <col width="40" customWidth="1" min="2" max="2"/>
    <col width="20" customWidth="1" min="3" max="3"/>
    <col width="50" customWidth="1" min="4" max="4"/>
  </cols>
  <sheetData>
    <row r="1" ht="30" customHeight="1">
      <c r="A1" s="1" t="inlineStr">
        <is>
          <t>ISMS-IMP-A.8.23.4 – Monitoring &amp; Response Assessment</t>
        </is>
      </c>
    </row>
    <row r="2">
      <c r="A2" s="2" t="inlineStr">
        <is>
          <t>ISO/IEC 27001:2022 - Control A.8.23: Web Filtering</t>
        </is>
      </c>
    </row>
    <row r="4">
      <c r="A4" s="3" t="inlineStr">
        <is>
          <t>DOCUMENT INFORMATION</t>
        </is>
      </c>
    </row>
    <row r="5">
      <c r="A5" s="4" t="inlineStr">
        <is>
          <t>Document ID:</t>
        </is>
      </c>
      <c r="B5" t="inlineStr">
        <is>
          <t>ISMS-IMP-A.8.23.4</t>
        </is>
      </c>
    </row>
    <row r="6">
      <c r="A6" s="4" t="inlineStr">
        <is>
          <t>Assessment Area:</t>
        </is>
      </c>
      <c r="B6" t="inlineStr">
        <is>
          <t>Monitoring, Logging &amp; Incident Response</t>
        </is>
      </c>
    </row>
    <row r="7">
      <c r="A7" s="4" t="inlineStr">
        <is>
          <t>Related Policy:</t>
        </is>
      </c>
      <c r="B7" t="inlineStr">
        <is>
          <t>ISMS-POL-A.8.23-S2.3, S5.C</t>
        </is>
      </c>
    </row>
    <row r="8">
      <c r="A8" s="4" t="inlineStr">
        <is>
          <t>Version:</t>
        </is>
      </c>
      <c r="B8" t="inlineStr">
        <is>
          <t>1.0</t>
        </is>
      </c>
    </row>
    <row r="9">
      <c r="A9" s="4" t="inlineStr">
        <is>
          <t>Assessment Date:</t>
        </is>
      </c>
      <c r="B9" s="5" t="inlineStr"/>
    </row>
    <row r="10">
      <c r="A10" s="4" t="inlineStr">
        <is>
          <t>Completed By:</t>
        </is>
      </c>
      <c r="B10" s="5" t="inlineStr"/>
    </row>
    <row r="11">
      <c r="A11" s="4" t="inlineStr">
        <is>
          <t>Organization:</t>
        </is>
      </c>
      <c r="B11" s="5" t="inlineStr"/>
    </row>
    <row r="12">
      <c r="A12" s="4" t="inlineStr">
        <is>
          <t>Review Cycle:</t>
        </is>
      </c>
      <c r="B12" t="inlineStr">
        <is>
          <t>Quarterly</t>
        </is>
      </c>
    </row>
    <row r="14">
      <c r="A14" s="3" t="inlineStr">
        <is>
          <t>HOW TO USE THIS WORKBOOK</t>
        </is>
      </c>
    </row>
    <row r="15">
      <c r="A15" s="6" t="inlineStr">
        <is>
          <t>1. Navigate through each worksheet tab to assess monitoring &amp; response capabilities</t>
        </is>
      </c>
    </row>
    <row r="16">
      <c r="A16" s="6" t="inlineStr">
        <is>
          <t>2. Use dropdown menus for standardized entries (Status, Severity, Priority, etc.)</t>
        </is>
      </c>
    </row>
    <row r="17">
      <c r="A17" s="6" t="inlineStr">
        <is>
          <t>3. Fill in yellow-highlighted cells with your organization-specific information</t>
        </is>
      </c>
    </row>
    <row r="18">
      <c r="A18" s="6" t="inlineStr">
        <is>
          <t>4. Document all log sources, alert rules, dashboards, and incident procedures</t>
        </is>
      </c>
    </row>
    <row r="19">
      <c r="A19" s="6" t="inlineStr">
        <is>
          <t>5. Track false positives and analyze blocked event trends</t>
        </is>
      </c>
    </row>
    <row r="20">
      <c r="A20" s="6" t="inlineStr">
        <is>
          <t>6. Identify gaps in Sheet 9 (Gap_Analysis) with remediation plans</t>
        </is>
      </c>
    </row>
    <row r="21">
      <c r="A21" s="6" t="inlineStr">
        <is>
          <t>7. Link evidence in the Evidence_Register for audit traceability</t>
        </is>
      </c>
    </row>
    <row r="22">
      <c r="A22" s="6" t="inlineStr">
        <is>
          <t>8. Obtain required approvals in Sheet 11 (Approval_Sign_Off)</t>
        </is>
      </c>
    </row>
    <row r="23">
      <c r="A23" s="6" t="inlineStr">
        <is>
          <t>9. Review quarterly or after significant changes to monitoring infrastructure</t>
        </is>
      </c>
    </row>
    <row r="25">
      <c r="A25" s="3" t="inlineStr">
        <is>
          <t>STATUS LEGEND</t>
        </is>
      </c>
    </row>
    <row r="26">
      <c r="A26" s="7" t="inlineStr">
        <is>
          <t>Status</t>
        </is>
      </c>
      <c r="B26" s="7" t="inlineStr">
        <is>
          <t>Color</t>
        </is>
      </c>
      <c r="C26" s="7" t="inlineStr">
        <is>
          <t>Meaning</t>
        </is>
      </c>
    </row>
    <row r="27">
      <c r="A27" t="inlineStr">
        <is>
          <t>Implemented</t>
        </is>
      </c>
      <c r="B27" s="8" t="inlineStr"/>
      <c r="C27" t="inlineStr">
        <is>
          <t>Fully operational and documented</t>
        </is>
      </c>
    </row>
    <row r="28">
      <c r="A28" t="inlineStr">
        <is>
          <t>Partial</t>
        </is>
      </c>
      <c r="B28" s="9" t="inlineStr"/>
      <c r="C28" t="inlineStr">
        <is>
          <t>Partially implemented, gaps exist</t>
        </is>
      </c>
    </row>
    <row r="29">
      <c r="A29" t="inlineStr">
        <is>
          <t>Planned</t>
        </is>
      </c>
      <c r="B29" s="10" t="inlineStr"/>
      <c r="C29" t="inlineStr">
        <is>
          <t>Scheduled for implementation</t>
        </is>
      </c>
    </row>
    <row r="30">
      <c r="A30" t="inlineStr">
        <is>
          <t>Not_Implemented</t>
        </is>
      </c>
      <c r="B30" s="11" t="inlineStr"/>
      <c r="C30" t="inlineStr">
        <is>
          <t>Not in place</t>
        </is>
      </c>
    </row>
    <row r="31">
      <c r="A31" t="inlineStr">
        <is>
          <t>N/A</t>
        </is>
      </c>
      <c r="B31" s="12" t="inlineStr"/>
      <c r="C31" t="inlineStr">
        <is>
          <t>Not applicable to this environment</t>
        </is>
      </c>
    </row>
    <row r="33">
      <c r="A33" s="3" t="inlineStr">
        <is>
          <t>PRIORITY LEGEND (for Gaps/Actions)</t>
        </is>
      </c>
    </row>
    <row r="34">
      <c r="A34" t="inlineStr">
        <is>
          <t>Critical</t>
        </is>
      </c>
      <c r="B34" t="inlineStr">
        <is>
          <t>Must address within 30 days</t>
        </is>
      </c>
    </row>
    <row r="35">
      <c r="A35" t="inlineStr">
        <is>
          <t>High</t>
        </is>
      </c>
      <c r="B35" t="inlineStr">
        <is>
          <t>Address within 90 days</t>
        </is>
      </c>
    </row>
    <row r="36">
      <c r="A36" t="inlineStr">
        <is>
          <t>Medium</t>
        </is>
      </c>
      <c r="B36" t="inlineStr">
        <is>
          <t>Address within 180 days</t>
        </is>
      </c>
    </row>
    <row r="37">
      <c r="A37" t="inlineStr">
        <is>
          <t>Low</t>
        </is>
      </c>
      <c r="B37" t="inlineStr">
        <is>
          <t>Address within 12 months</t>
        </is>
      </c>
    </row>
    <row r="39">
      <c r="A39" s="3" t="inlineStr">
        <is>
          <t>WORKBOOK CONTENTS</t>
        </is>
      </c>
    </row>
    <row r="40">
      <c r="A40" s="4" t="inlineStr">
        <is>
          <t>Sheet 2: Log_Collection</t>
        </is>
      </c>
      <c r="B40" t="inlineStr">
        <is>
          <t>Document log sources, storage, and retention</t>
        </is>
      </c>
    </row>
    <row r="41">
      <c r="A41" s="4" t="inlineStr">
        <is>
          <t>Sheet 3: Alert_Configuration</t>
        </is>
      </c>
      <c r="B41" t="inlineStr">
        <is>
          <t>Alert rules, thresholds, and notifications</t>
        </is>
      </c>
    </row>
    <row r="42">
      <c r="A42" s="4" t="inlineStr">
        <is>
          <t>Sheet 4: Monitoring_Dashboard</t>
        </is>
      </c>
      <c r="B42" t="inlineStr">
        <is>
          <t>Dashboards, KPIs, and review frequency</t>
        </is>
      </c>
    </row>
    <row r="43">
      <c r="A43" s="4" t="inlineStr">
        <is>
          <t>Sheet 5: Incident_Response</t>
        </is>
      </c>
      <c r="B43" t="inlineStr">
        <is>
          <t>Incident handling procedures and SLAs</t>
        </is>
      </c>
    </row>
    <row r="44">
      <c r="A44" s="4" t="inlineStr">
        <is>
          <t>Sheet 6: Blocked_Events_Analysis</t>
        </is>
      </c>
      <c r="B44" t="inlineStr">
        <is>
          <t>Trend analysis of blocked events</t>
        </is>
      </c>
    </row>
    <row r="45">
      <c r="A45" s="4" t="inlineStr">
        <is>
          <t>Sheet 7: False_Positive_Mgmt</t>
        </is>
      </c>
      <c r="B45" t="inlineStr">
        <is>
          <t>False positive tracking and tuning</t>
        </is>
      </c>
    </row>
    <row r="46">
      <c r="A46" s="4" t="inlineStr">
        <is>
          <t>Sheet 8: Reporting_Schedule</t>
        </is>
      </c>
      <c r="B46" t="inlineStr">
        <is>
          <t>Regular reports and distribution</t>
        </is>
      </c>
    </row>
    <row r="47">
      <c r="A47" s="4" t="inlineStr">
        <is>
          <t>Sheet 9: Gap_Analysis</t>
        </is>
      </c>
      <c r="B47" t="inlineStr">
        <is>
          <t>Identified gaps with remediation plans</t>
        </is>
      </c>
    </row>
    <row r="48">
      <c r="A48" s="4" t="inlineStr">
        <is>
          <t>Sheet 10: Evidence_Register</t>
        </is>
      </c>
      <c r="B48" t="inlineStr">
        <is>
          <t>Evidence catalog for audit</t>
        </is>
      </c>
    </row>
    <row r="49">
      <c r="A49" s="4" t="inlineStr">
        <is>
          <t>Sheet 11: Approval_Sign_Off</t>
        </is>
      </c>
      <c r="B49" t="inlineStr">
        <is>
          <t>Assessment approval workflow</t>
        </is>
      </c>
    </row>
    <row r="52">
      <c r="A52" s="13" t="inlineStr">
        <is>
          <t>💡 Remember:</t>
        </is>
      </c>
    </row>
    <row r="53">
      <c r="A53" s="14" t="inlineStr">
        <is>
          <t>"The first principle is that you must not fool yourself — and you are the easiest person to fool."</t>
        </is>
      </c>
    </row>
    <row r="54">
      <c r="A54" s="15" t="inlineStr">
        <is>
          <t>— Richard Feynman (applies to monitoring dashboards that nobody looks at)</t>
        </is>
      </c>
    </row>
  </sheetData>
  <mergeCells count="17">
    <mergeCell ref="A1:D1"/>
    <mergeCell ref="A17:D17"/>
    <mergeCell ref="A18:D18"/>
    <mergeCell ref="A23:D23"/>
    <mergeCell ref="A22:D22"/>
    <mergeCell ref="A53:D53"/>
    <mergeCell ref="A4:D4"/>
    <mergeCell ref="A20:D20"/>
    <mergeCell ref="A21:D21"/>
    <mergeCell ref="A39:D39"/>
    <mergeCell ref="A15:D15"/>
    <mergeCell ref="A25:D25"/>
    <mergeCell ref="A2:D2"/>
    <mergeCell ref="A16:D16"/>
    <mergeCell ref="A19:D19"/>
    <mergeCell ref="A33:D3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
  <sheetViews>
    <sheetView workbookViewId="0">
      <pane ySplit="5" topLeftCell="A6" activePane="bottomLeft" state="frozen"/>
      <selection pane="bottomLeft" activeCell="A1" sqref="A1"/>
    </sheetView>
  </sheetViews>
  <sheetFormatPr baseColWidth="8" defaultRowHeight="15"/>
  <cols>
    <col width="14" customWidth="1" min="1" max="1"/>
    <col width="28" customWidth="1" min="2" max="2"/>
    <col width="22" customWidth="1" min="3" max="3"/>
    <col width="25" customWidth="1" min="4" max="4"/>
    <col width="20" customWidth="1" min="5" max="5"/>
    <col width="22" customWidth="1" min="6" max="6"/>
    <col width="14" customWidth="1" min="7" max="7"/>
    <col width="16" customWidth="1" min="8" max="8"/>
    <col width="18" customWidth="1" min="9" max="9"/>
    <col width="18" customWidth="1" min="10" max="10"/>
    <col width="14" customWidth="1" min="11" max="11"/>
    <col width="18" customWidth="1" min="12" max="12"/>
    <col width="35" customWidth="1" min="13" max="13"/>
  </cols>
  <sheetData>
    <row r="1" ht="30" customHeight="1">
      <c r="A1" s="1" t="inlineStr">
        <is>
          <t>LOG COLLECTION ASSESSMENT</t>
        </is>
      </c>
    </row>
    <row r="2">
      <c r="A2" s="16" t="inlineStr">
        <is>
          <t>Document all web filtering log sources, collection methods, storage, and retention compliance</t>
        </is>
      </c>
    </row>
    <row r="4">
      <c r="A4" s="3" t="inlineStr">
        <is>
          <t>SECTION A: LOG SOURCE INVENTORY</t>
        </is>
      </c>
    </row>
    <row r="5">
      <c r="A5" s="17" t="inlineStr">
        <is>
          <t>Log_Source_ID</t>
        </is>
      </c>
      <c r="B5" s="17" t="inlineStr">
        <is>
          <t>Log_Source_Name</t>
        </is>
      </c>
      <c r="C5" s="17" t="inlineStr">
        <is>
          <t>Log_Type</t>
        </is>
      </c>
      <c r="D5" s="17" t="inlineStr">
        <is>
          <t>Source_System</t>
        </is>
      </c>
      <c r="E5" s="17" t="inlineStr">
        <is>
          <t>Collection_Method</t>
        </is>
      </c>
      <c r="F5" s="17" t="inlineStr">
        <is>
          <t>Destination</t>
        </is>
      </c>
      <c r="G5" s="17" t="inlineStr">
        <is>
          <t>Format</t>
        </is>
      </c>
      <c r="H5" s="17" t="inlineStr">
        <is>
          <t>Retention_Days</t>
        </is>
      </c>
      <c r="I5" s="17" t="inlineStr">
        <is>
          <t>Retention_Compliant</t>
        </is>
      </c>
      <c r="J5" s="17" t="inlineStr">
        <is>
          <t>Volume_Daily</t>
        </is>
      </c>
      <c r="K5" s="17" t="inlineStr">
        <is>
          <t>Status</t>
        </is>
      </c>
      <c r="L5" s="17" t="inlineStr">
        <is>
          <t>Evidence_Ref</t>
        </is>
      </c>
      <c r="M5" s="17" t="inlineStr">
        <is>
          <t>Notes</t>
        </is>
      </c>
    </row>
    <row r="6">
      <c r="A6" s="18" t="inlineStr">
        <is>
          <t>LOG-001</t>
        </is>
      </c>
      <c r="B6" s="19" t="n"/>
      <c r="C6" s="19" t="n"/>
      <c r="D6" s="19" t="n"/>
      <c r="E6" s="19" t="n"/>
      <c r="F6" s="19" t="n"/>
      <c r="G6" s="19" t="n"/>
      <c r="H6" s="19" t="n"/>
      <c r="I6" s="19" t="n"/>
      <c r="J6" s="19" t="n"/>
      <c r="K6" s="19" t="n"/>
      <c r="L6" s="19" t="n"/>
      <c r="M6" s="19" t="n"/>
    </row>
    <row r="7">
      <c r="A7" s="18" t="inlineStr">
        <is>
          <t>LOG-002</t>
        </is>
      </c>
      <c r="B7" s="19" t="n"/>
      <c r="C7" s="19" t="n"/>
      <c r="D7" s="19" t="n"/>
      <c r="E7" s="19" t="n"/>
      <c r="F7" s="19" t="n"/>
      <c r="G7" s="19" t="n"/>
      <c r="H7" s="19" t="n"/>
      <c r="I7" s="19" t="n"/>
      <c r="J7" s="19" t="n"/>
      <c r="K7" s="19" t="n"/>
      <c r="L7" s="19" t="n"/>
      <c r="M7" s="19" t="n"/>
    </row>
    <row r="8">
      <c r="A8" s="18" t="inlineStr">
        <is>
          <t>LOG-003</t>
        </is>
      </c>
      <c r="B8" s="19" t="n"/>
      <c r="C8" s="19" t="n"/>
      <c r="D8" s="19" t="n"/>
      <c r="E8" s="19" t="n"/>
      <c r="F8" s="19" t="n"/>
      <c r="G8" s="19" t="n"/>
      <c r="H8" s="19" t="n"/>
      <c r="I8" s="19" t="n"/>
      <c r="J8" s="19" t="n"/>
      <c r="K8" s="19" t="n"/>
      <c r="L8" s="19" t="n"/>
      <c r="M8" s="19" t="n"/>
    </row>
    <row r="9">
      <c r="A9" s="18" t="inlineStr">
        <is>
          <t>LOG-004</t>
        </is>
      </c>
      <c r="B9" s="19" t="n"/>
      <c r="C9" s="19" t="n"/>
      <c r="D9" s="19" t="n"/>
      <c r="E9" s="19" t="n"/>
      <c r="F9" s="19" t="n"/>
      <c r="G9" s="19" t="n"/>
      <c r="H9" s="19" t="n"/>
      <c r="I9" s="19" t="n"/>
      <c r="J9" s="19" t="n"/>
      <c r="K9" s="19" t="n"/>
      <c r="L9" s="19" t="n"/>
      <c r="M9" s="19" t="n"/>
    </row>
    <row r="10">
      <c r="A10" s="18" t="inlineStr">
        <is>
          <t>LOG-005</t>
        </is>
      </c>
      <c r="B10" s="19" t="n"/>
      <c r="C10" s="19" t="n"/>
      <c r="D10" s="19" t="n"/>
      <c r="E10" s="19" t="n"/>
      <c r="F10" s="19" t="n"/>
      <c r="G10" s="19" t="n"/>
      <c r="H10" s="19" t="n"/>
      <c r="I10" s="19" t="n"/>
      <c r="J10" s="19" t="n"/>
      <c r="K10" s="19" t="n"/>
      <c r="L10" s="19" t="n"/>
      <c r="M10" s="19" t="n"/>
    </row>
    <row r="11">
      <c r="A11" s="18" t="inlineStr">
        <is>
          <t>LOG-006</t>
        </is>
      </c>
      <c r="B11" s="19" t="n"/>
      <c r="C11" s="19" t="n"/>
      <c r="D11" s="19" t="n"/>
      <c r="E11" s="19" t="n"/>
      <c r="F11" s="19" t="n"/>
      <c r="G11" s="19" t="n"/>
      <c r="H11" s="19" t="n"/>
      <c r="I11" s="19" t="n"/>
      <c r="J11" s="19" t="n"/>
      <c r="K11" s="19" t="n"/>
      <c r="L11" s="19" t="n"/>
      <c r="M11" s="19" t="n"/>
    </row>
    <row r="12">
      <c r="A12" s="18" t="inlineStr">
        <is>
          <t>LOG-007</t>
        </is>
      </c>
      <c r="B12" s="19" t="n"/>
      <c r="C12" s="19" t="n"/>
      <c r="D12" s="19" t="n"/>
      <c r="E12" s="19" t="n"/>
      <c r="F12" s="19" t="n"/>
      <c r="G12" s="19" t="n"/>
      <c r="H12" s="19" t="n"/>
      <c r="I12" s="19" t="n"/>
      <c r="J12" s="19" t="n"/>
      <c r="K12" s="19" t="n"/>
      <c r="L12" s="19" t="n"/>
      <c r="M12" s="19" t="n"/>
    </row>
    <row r="13">
      <c r="A13" s="18" t="inlineStr">
        <is>
          <t>LOG-008</t>
        </is>
      </c>
      <c r="B13" s="19" t="n"/>
      <c r="C13" s="19" t="n"/>
      <c r="D13" s="19" t="n"/>
      <c r="E13" s="19" t="n"/>
      <c r="F13" s="19" t="n"/>
      <c r="G13" s="19" t="n"/>
      <c r="H13" s="19" t="n"/>
      <c r="I13" s="19" t="n"/>
      <c r="J13" s="19" t="n"/>
      <c r="K13" s="19" t="n"/>
      <c r="L13" s="19" t="n"/>
      <c r="M13" s="19" t="n"/>
    </row>
    <row r="14">
      <c r="A14" s="18" t="inlineStr">
        <is>
          <t>LOG-009</t>
        </is>
      </c>
      <c r="B14" s="19" t="n"/>
      <c r="C14" s="19" t="n"/>
      <c r="D14" s="19" t="n"/>
      <c r="E14" s="19" t="n"/>
      <c r="F14" s="19" t="n"/>
      <c r="G14" s="19" t="n"/>
      <c r="H14" s="19" t="n"/>
      <c r="I14" s="19" t="n"/>
      <c r="J14" s="19" t="n"/>
      <c r="K14" s="19" t="n"/>
      <c r="L14" s="19" t="n"/>
      <c r="M14" s="19" t="n"/>
    </row>
    <row r="15">
      <c r="A15" s="18" t="inlineStr">
        <is>
          <t>LOG-010</t>
        </is>
      </c>
      <c r="B15" s="19" t="n"/>
      <c r="C15" s="19" t="n"/>
      <c r="D15" s="19" t="n"/>
      <c r="E15" s="19" t="n"/>
      <c r="F15" s="19" t="n"/>
      <c r="G15" s="19" t="n"/>
      <c r="H15" s="19" t="n"/>
      <c r="I15" s="19" t="n"/>
      <c r="J15" s="19" t="n"/>
      <c r="K15" s="19" t="n"/>
      <c r="L15" s="19" t="n"/>
      <c r="M15" s="19" t="n"/>
    </row>
    <row r="16">
      <c r="A16" s="18" t="inlineStr">
        <is>
          <t>LOG-011</t>
        </is>
      </c>
      <c r="B16" s="19" t="n"/>
      <c r="C16" s="19" t="n"/>
      <c r="D16" s="19" t="n"/>
      <c r="E16" s="19" t="n"/>
      <c r="F16" s="19" t="n"/>
      <c r="G16" s="19" t="n"/>
      <c r="H16" s="19" t="n"/>
      <c r="I16" s="19" t="n"/>
      <c r="J16" s="19" t="n"/>
      <c r="K16" s="19" t="n"/>
      <c r="L16" s="19" t="n"/>
      <c r="M16" s="19" t="n"/>
    </row>
    <row r="17">
      <c r="A17" s="18" t="inlineStr">
        <is>
          <t>LOG-012</t>
        </is>
      </c>
      <c r="B17" s="19" t="n"/>
      <c r="C17" s="19" t="n"/>
      <c r="D17" s="19" t="n"/>
      <c r="E17" s="19" t="n"/>
      <c r="F17" s="19" t="n"/>
      <c r="G17" s="19" t="n"/>
      <c r="H17" s="19" t="n"/>
      <c r="I17" s="19" t="n"/>
      <c r="J17" s="19" t="n"/>
      <c r="K17" s="19" t="n"/>
      <c r="L17" s="19" t="n"/>
      <c r="M17" s="19" t="n"/>
    </row>
    <row r="18">
      <c r="A18" s="18" t="inlineStr">
        <is>
          <t>LOG-013</t>
        </is>
      </c>
      <c r="B18" s="19" t="n"/>
      <c r="C18" s="19" t="n"/>
      <c r="D18" s="19" t="n"/>
      <c r="E18" s="19" t="n"/>
      <c r="F18" s="19" t="n"/>
      <c r="G18" s="19" t="n"/>
      <c r="H18" s="19" t="n"/>
      <c r="I18" s="19" t="n"/>
      <c r="J18" s="19" t="n"/>
      <c r="K18" s="19" t="n"/>
      <c r="L18" s="19" t="n"/>
      <c r="M18" s="19" t="n"/>
    </row>
    <row r="19">
      <c r="A19" s="18" t="inlineStr">
        <is>
          <t>LOG-014</t>
        </is>
      </c>
      <c r="B19" s="19" t="n"/>
      <c r="C19" s="19" t="n"/>
      <c r="D19" s="19" t="n"/>
      <c r="E19" s="19" t="n"/>
      <c r="F19" s="19" t="n"/>
      <c r="G19" s="19" t="n"/>
      <c r="H19" s="19" t="n"/>
      <c r="I19" s="19" t="n"/>
      <c r="J19" s="19" t="n"/>
      <c r="K19" s="19" t="n"/>
      <c r="L19" s="19" t="n"/>
      <c r="M19" s="19" t="n"/>
    </row>
    <row r="20">
      <c r="A20" s="18" t="inlineStr">
        <is>
          <t>LOG-015</t>
        </is>
      </c>
      <c r="B20" s="19" t="n"/>
      <c r="C20" s="19" t="n"/>
      <c r="D20" s="19" t="n"/>
      <c r="E20" s="19" t="n"/>
      <c r="F20" s="19" t="n"/>
      <c r="G20" s="19" t="n"/>
      <c r="H20" s="19" t="n"/>
      <c r="I20" s="19" t="n"/>
      <c r="J20" s="19" t="n"/>
      <c r="K20" s="19" t="n"/>
      <c r="L20" s="19" t="n"/>
      <c r="M20" s="19" t="n"/>
    </row>
    <row r="21">
      <c r="A21" s="18" t="inlineStr">
        <is>
          <t>LOG-016</t>
        </is>
      </c>
      <c r="B21" s="19" t="n"/>
      <c r="C21" s="19" t="n"/>
      <c r="D21" s="19" t="n"/>
      <c r="E21" s="19" t="n"/>
      <c r="F21" s="19" t="n"/>
      <c r="G21" s="19" t="n"/>
      <c r="H21" s="19" t="n"/>
      <c r="I21" s="19" t="n"/>
      <c r="J21" s="19" t="n"/>
      <c r="K21" s="19" t="n"/>
      <c r="L21" s="19" t="n"/>
      <c r="M21" s="19" t="n"/>
    </row>
    <row r="22">
      <c r="A22" s="18" t="inlineStr">
        <is>
          <t>LOG-017</t>
        </is>
      </c>
      <c r="B22" s="19" t="n"/>
      <c r="C22" s="19" t="n"/>
      <c r="D22" s="19" t="n"/>
      <c r="E22" s="19" t="n"/>
      <c r="F22" s="19" t="n"/>
      <c r="G22" s="19" t="n"/>
      <c r="H22" s="19" t="n"/>
      <c r="I22" s="19" t="n"/>
      <c r="J22" s="19" t="n"/>
      <c r="K22" s="19" t="n"/>
      <c r="L22" s="19" t="n"/>
      <c r="M22" s="19" t="n"/>
    </row>
    <row r="23">
      <c r="A23" s="18" t="inlineStr">
        <is>
          <t>LOG-018</t>
        </is>
      </c>
      <c r="B23" s="19" t="n"/>
      <c r="C23" s="19" t="n"/>
      <c r="D23" s="19" t="n"/>
      <c r="E23" s="19" t="n"/>
      <c r="F23" s="19" t="n"/>
      <c r="G23" s="19" t="n"/>
      <c r="H23" s="19" t="n"/>
      <c r="I23" s="19" t="n"/>
      <c r="J23" s="19" t="n"/>
      <c r="K23" s="19" t="n"/>
      <c r="L23" s="19" t="n"/>
      <c r="M23" s="19" t="n"/>
    </row>
    <row r="24">
      <c r="A24" s="18" t="inlineStr">
        <is>
          <t>LOG-019</t>
        </is>
      </c>
      <c r="B24" s="19" t="n"/>
      <c r="C24" s="19" t="n"/>
      <c r="D24" s="19" t="n"/>
      <c r="E24" s="19" t="n"/>
      <c r="F24" s="19" t="n"/>
      <c r="G24" s="19" t="n"/>
      <c r="H24" s="19" t="n"/>
      <c r="I24" s="19" t="n"/>
      <c r="J24" s="19" t="n"/>
      <c r="K24" s="19" t="n"/>
      <c r="L24" s="19" t="n"/>
      <c r="M24" s="19" t="n"/>
    </row>
    <row r="25">
      <c r="A25" s="18" t="inlineStr">
        <is>
          <t>LOG-020</t>
        </is>
      </c>
      <c r="B25" s="19" t="n"/>
      <c r="C25" s="19" t="n"/>
      <c r="D25" s="19" t="n"/>
      <c r="E25" s="19" t="n"/>
      <c r="F25" s="19" t="n"/>
      <c r="G25" s="19" t="n"/>
      <c r="H25" s="19" t="n"/>
      <c r="I25" s="19" t="n"/>
      <c r="J25" s="19" t="n"/>
      <c r="K25" s="19" t="n"/>
      <c r="L25" s="19" t="n"/>
      <c r="M25" s="19" t="n"/>
    </row>
    <row r="26">
      <c r="A26" s="18" t="inlineStr">
        <is>
          <t>LOG-021</t>
        </is>
      </c>
      <c r="B26" s="19" t="n"/>
      <c r="C26" s="19" t="n"/>
      <c r="D26" s="19" t="n"/>
      <c r="E26" s="19" t="n"/>
      <c r="F26" s="19" t="n"/>
      <c r="G26" s="19" t="n"/>
      <c r="H26" s="19" t="n"/>
      <c r="I26" s="19" t="n"/>
      <c r="J26" s="19" t="n"/>
      <c r="K26" s="19" t="n"/>
      <c r="L26" s="19" t="n"/>
      <c r="M26" s="19" t="n"/>
    </row>
    <row r="27">
      <c r="A27" s="18" t="inlineStr">
        <is>
          <t>LOG-022</t>
        </is>
      </c>
      <c r="B27" s="19" t="n"/>
      <c r="C27" s="19" t="n"/>
      <c r="D27" s="19" t="n"/>
      <c r="E27" s="19" t="n"/>
      <c r="F27" s="19" t="n"/>
      <c r="G27" s="19" t="n"/>
      <c r="H27" s="19" t="n"/>
      <c r="I27" s="19" t="n"/>
      <c r="J27" s="19" t="n"/>
      <c r="K27" s="19" t="n"/>
      <c r="L27" s="19" t="n"/>
      <c r="M27" s="19" t="n"/>
    </row>
    <row r="28">
      <c r="A28" s="18" t="inlineStr">
        <is>
          <t>LOG-023</t>
        </is>
      </c>
      <c r="B28" s="19" t="n"/>
      <c r="C28" s="19" t="n"/>
      <c r="D28" s="19" t="n"/>
      <c r="E28" s="19" t="n"/>
      <c r="F28" s="19" t="n"/>
      <c r="G28" s="19" t="n"/>
      <c r="H28" s="19" t="n"/>
      <c r="I28" s="19" t="n"/>
      <c r="J28" s="19" t="n"/>
      <c r="K28" s="19" t="n"/>
      <c r="L28" s="19" t="n"/>
      <c r="M28" s="19" t="n"/>
    </row>
    <row r="29">
      <c r="A29" s="18" t="inlineStr">
        <is>
          <t>LOG-024</t>
        </is>
      </c>
      <c r="B29" s="19" t="n"/>
      <c r="C29" s="19" t="n"/>
      <c r="D29" s="19" t="n"/>
      <c r="E29" s="19" t="n"/>
      <c r="F29" s="19" t="n"/>
      <c r="G29" s="19" t="n"/>
      <c r="H29" s="19" t="n"/>
      <c r="I29" s="19" t="n"/>
      <c r="J29" s="19" t="n"/>
      <c r="K29" s="19" t="n"/>
      <c r="L29" s="19" t="n"/>
      <c r="M29" s="19" t="n"/>
    </row>
    <row r="30">
      <c r="A30" s="18" t="inlineStr">
        <is>
          <t>LOG-025</t>
        </is>
      </c>
      <c r="B30" s="19" t="n"/>
      <c r="C30" s="19" t="n"/>
      <c r="D30" s="19" t="n"/>
      <c r="E30" s="19" t="n"/>
      <c r="F30" s="19" t="n"/>
      <c r="G30" s="19" t="n"/>
      <c r="H30" s="19" t="n"/>
      <c r="I30" s="19" t="n"/>
      <c r="J30" s="19" t="n"/>
      <c r="K30" s="19" t="n"/>
      <c r="L30" s="19" t="n"/>
      <c r="M30" s="19" t="n"/>
    </row>
    <row r="31">
      <c r="A31" s="18" t="inlineStr">
        <is>
          <t>LOG-026</t>
        </is>
      </c>
      <c r="B31" s="19" t="n"/>
      <c r="C31" s="19" t="n"/>
      <c r="D31" s="19" t="n"/>
      <c r="E31" s="19" t="n"/>
      <c r="F31" s="19" t="n"/>
      <c r="G31" s="19" t="n"/>
      <c r="H31" s="19" t="n"/>
      <c r="I31" s="19" t="n"/>
      <c r="J31" s="19" t="n"/>
      <c r="K31" s="19" t="n"/>
      <c r="L31" s="19" t="n"/>
      <c r="M31" s="19" t="n"/>
    </row>
    <row r="32">
      <c r="A32" s="18" t="inlineStr">
        <is>
          <t>LOG-027</t>
        </is>
      </c>
      <c r="B32" s="19" t="n"/>
      <c r="C32" s="19" t="n"/>
      <c r="D32" s="19" t="n"/>
      <c r="E32" s="19" t="n"/>
      <c r="F32" s="19" t="n"/>
      <c r="G32" s="19" t="n"/>
      <c r="H32" s="19" t="n"/>
      <c r="I32" s="19" t="n"/>
      <c r="J32" s="19" t="n"/>
      <c r="K32" s="19" t="n"/>
      <c r="L32" s="19" t="n"/>
      <c r="M32" s="19" t="n"/>
    </row>
    <row r="33">
      <c r="A33" s="18" t="inlineStr">
        <is>
          <t>LOG-028</t>
        </is>
      </c>
      <c r="B33" s="19" t="n"/>
      <c r="C33" s="19" t="n"/>
      <c r="D33" s="19" t="n"/>
      <c r="E33" s="19" t="n"/>
      <c r="F33" s="19" t="n"/>
      <c r="G33" s="19" t="n"/>
      <c r="H33" s="19" t="n"/>
      <c r="I33" s="19" t="n"/>
      <c r="J33" s="19" t="n"/>
      <c r="K33" s="19" t="n"/>
      <c r="L33" s="19" t="n"/>
      <c r="M33" s="19" t="n"/>
    </row>
    <row r="34">
      <c r="A34" s="18" t="inlineStr">
        <is>
          <t>LOG-029</t>
        </is>
      </c>
      <c r="B34" s="19" t="n"/>
      <c r="C34" s="19" t="n"/>
      <c r="D34" s="19" t="n"/>
      <c r="E34" s="19" t="n"/>
      <c r="F34" s="19" t="n"/>
      <c r="G34" s="19" t="n"/>
      <c r="H34" s="19" t="n"/>
      <c r="I34" s="19" t="n"/>
      <c r="J34" s="19" t="n"/>
      <c r="K34" s="19" t="n"/>
      <c r="L34" s="19" t="n"/>
      <c r="M34" s="19" t="n"/>
    </row>
    <row r="35">
      <c r="A35" s="18" t="inlineStr">
        <is>
          <t>LOG-030</t>
        </is>
      </c>
      <c r="B35" s="19" t="n"/>
      <c r="C35" s="19" t="n"/>
      <c r="D35" s="19" t="n"/>
      <c r="E35" s="19" t="n"/>
      <c r="F35" s="19" t="n"/>
      <c r="G35" s="19" t="n"/>
      <c r="H35" s="19" t="n"/>
      <c r="I35" s="19" t="n"/>
      <c r="J35" s="19" t="n"/>
      <c r="K35" s="19" t="n"/>
      <c r="L35" s="19" t="n"/>
      <c r="M35" s="19" t="n"/>
    </row>
    <row r="38">
      <c r="A38" s="3" t="inlineStr">
        <is>
          <t>SECTION B: RETENTION REQUIREMENTS</t>
        </is>
      </c>
    </row>
    <row r="39">
      <c r="A39" s="17" t="inlineStr">
        <is>
          <t>Requirement_ID</t>
        </is>
      </c>
      <c r="B39" s="17" t="inlineStr">
        <is>
          <t>Requirement_Source</t>
        </is>
      </c>
      <c r="C39" s="17" t="inlineStr">
        <is>
          <t>Log_Type_Affected</t>
        </is>
      </c>
      <c r="D39" s="17" t="inlineStr">
        <is>
          <t>Min_Retention_Days</t>
        </is>
      </c>
      <c r="E39" s="17" t="inlineStr">
        <is>
          <t>Current_Retention</t>
        </is>
      </c>
      <c r="F39" s="17" t="inlineStr">
        <is>
          <t>Compliant</t>
        </is>
      </c>
      <c r="G39" s="17" t="inlineStr">
        <is>
          <t>Notes</t>
        </is>
      </c>
    </row>
    <row r="40">
      <c r="A40" s="18" t="inlineStr">
        <is>
          <t>RET-001</t>
        </is>
      </c>
      <c r="B40" s="5" t="n"/>
      <c r="C40" s="5" t="n"/>
      <c r="D40" s="5" t="n"/>
      <c r="E40" s="5" t="n"/>
      <c r="F40" s="5" t="n"/>
      <c r="G40" s="5" t="n"/>
    </row>
    <row r="41">
      <c r="A41" s="18" t="inlineStr">
        <is>
          <t>RET-002</t>
        </is>
      </c>
      <c r="B41" s="5" t="n"/>
      <c r="C41" s="5" t="n"/>
      <c r="D41" s="5" t="n"/>
      <c r="E41" s="5" t="n"/>
      <c r="F41" s="5" t="n"/>
      <c r="G41" s="5" t="n"/>
    </row>
    <row r="42">
      <c r="A42" s="18" t="inlineStr">
        <is>
          <t>RET-003</t>
        </is>
      </c>
      <c r="B42" s="5" t="n"/>
      <c r="C42" s="5" t="n"/>
      <c r="D42" s="5" t="n"/>
      <c r="E42" s="5" t="n"/>
      <c r="F42" s="5" t="n"/>
      <c r="G42" s="5" t="n"/>
    </row>
    <row r="43">
      <c r="A43" s="18" t="inlineStr">
        <is>
          <t>RET-004</t>
        </is>
      </c>
      <c r="B43" s="5" t="n"/>
      <c r="C43" s="5" t="n"/>
      <c r="D43" s="5" t="n"/>
      <c r="E43" s="5" t="n"/>
      <c r="F43" s="5" t="n"/>
      <c r="G43" s="5" t="n"/>
    </row>
    <row r="44">
      <c r="A44" s="18" t="inlineStr">
        <is>
          <t>RET-005</t>
        </is>
      </c>
      <c r="B44" s="5" t="n"/>
      <c r="C44" s="5" t="n"/>
      <c r="D44" s="5" t="n"/>
      <c r="E44" s="5" t="n"/>
      <c r="F44" s="5" t="n"/>
      <c r="G44" s="5" t="n"/>
    </row>
    <row r="45">
      <c r="A45" s="18" t="inlineStr">
        <is>
          <t>RET-006</t>
        </is>
      </c>
      <c r="B45" s="5" t="n"/>
      <c r="C45" s="5" t="n"/>
      <c r="D45" s="5" t="n"/>
      <c r="E45" s="5" t="n"/>
      <c r="F45" s="5" t="n"/>
      <c r="G45" s="5" t="n"/>
    </row>
    <row r="46">
      <c r="A46" s="18" t="inlineStr">
        <is>
          <t>RET-007</t>
        </is>
      </c>
      <c r="B46" s="5" t="n"/>
      <c r="C46" s="5" t="n"/>
      <c r="D46" s="5" t="n"/>
      <c r="E46" s="5" t="n"/>
      <c r="F46" s="5" t="n"/>
      <c r="G46" s="5" t="n"/>
    </row>
    <row r="47">
      <c r="A47" s="18" t="inlineStr">
        <is>
          <t>RET-008</t>
        </is>
      </c>
      <c r="B47" s="5" t="n"/>
      <c r="C47" s="5" t="n"/>
      <c r="D47" s="5" t="n"/>
      <c r="E47" s="5" t="n"/>
      <c r="F47" s="5" t="n"/>
      <c r="G47" s="5" t="n"/>
    </row>
    <row r="48">
      <c r="A48" s="18" t="inlineStr">
        <is>
          <t>RET-009</t>
        </is>
      </c>
      <c r="B48" s="5" t="n"/>
      <c r="C48" s="5" t="n"/>
      <c r="D48" s="5" t="n"/>
      <c r="E48" s="5" t="n"/>
      <c r="F48" s="5" t="n"/>
      <c r="G48" s="5" t="n"/>
    </row>
    <row r="49">
      <c r="A49" s="18" t="inlineStr">
        <is>
          <t>RET-010</t>
        </is>
      </c>
      <c r="B49" s="5" t="n"/>
      <c r="C49" s="5" t="n"/>
      <c r="D49" s="5" t="n"/>
      <c r="E49" s="5" t="n"/>
      <c r="F49" s="5" t="n"/>
      <c r="G49" s="5" t="n"/>
    </row>
    <row r="52">
      <c r="A52" s="3" t="inlineStr">
        <is>
          <t>SECTION C: SUMMARY METRICS</t>
        </is>
      </c>
    </row>
    <row r="53">
      <c r="A53" s="4" t="inlineStr">
        <is>
          <t>Total log sources configured:</t>
        </is>
      </c>
      <c r="B53" s="20">
        <f>COUNTA(B6:B35)</f>
        <v/>
      </c>
    </row>
    <row r="54">
      <c r="A54" s="4" t="inlineStr">
        <is>
          <t>Blocked request log sources:</t>
        </is>
      </c>
      <c r="B54" s="20">
        <f>COUNTIF(C6:C35,"Blocked_Requests")</f>
        <v/>
      </c>
    </row>
    <row r="55">
      <c r="A55" s="4" t="inlineStr">
        <is>
          <t>Sources meeting retention:</t>
        </is>
      </c>
      <c r="B55" s="20">
        <f>COUNTIF(I6:I35,"Yes")</f>
        <v/>
      </c>
    </row>
    <row r="56">
      <c r="A56" s="4" t="inlineStr">
        <is>
          <t>Retention compliance rate:</t>
        </is>
      </c>
      <c r="B56" s="21">
        <f>IF(COUNTA(I6:I35)&gt;0,COUNTIF(I6:I35,"Yes")/COUNTA(I6:I35),0)</f>
        <v/>
      </c>
    </row>
    <row r="57">
      <c r="A57" s="4" t="inlineStr">
        <is>
          <t>Implemented sources:</t>
        </is>
      </c>
      <c r="B57" s="20">
        <f>COUNTIF(K6:K35,"Implemented")</f>
        <v/>
      </c>
    </row>
    <row r="58">
      <c r="A58" s="4" t="inlineStr">
        <is>
          <t>Sources needing attention:</t>
        </is>
      </c>
      <c r="B58" s="20">
        <f>COUNTIF(K6:K35,"Partial")+COUNTIF(K6:K35,"Not_Implemented")</f>
        <v/>
      </c>
    </row>
  </sheetData>
  <mergeCells count="5">
    <mergeCell ref="A1:M1"/>
    <mergeCell ref="A4:M4"/>
    <mergeCell ref="A52:D52"/>
    <mergeCell ref="A38:G38"/>
    <mergeCell ref="A2:M2"/>
  </mergeCells>
  <dataValidations count="8">
    <dataValidation sqref="C6:C35" showDropDown="0" showInputMessage="0" showErrorMessage="0" allowBlank="1" errorTitle="Invalid Entry" error="Please select from dropdown" promptTitle="Available Options" prompt="Select from list" type="list">
      <formula1>"Blocked_Requests,Allowed_Requests,Bypass_Attempts,Policy_Violations,Authentication,Configuration_Changes,System_Events"</formula1>
    </dataValidation>
    <dataValidation sqref="E6:E35" showDropDown="0" showInputMessage="0" showErrorMessage="0" allowBlank="1" errorTitle="Invalid Entry" error="Please select from dropdown" promptTitle="Available Options" prompt="Select from list" type="list">
      <formula1>"Syslog,API,Agent,File_Transfer,Direct_Query,SNMP,Other"</formula1>
    </dataValidation>
    <dataValidation sqref="F6:F35" showDropDown="0" showInputMessage="0" showErrorMessage="0" allowBlank="1" errorTitle="Invalid Entry" error="Please select from dropdown" promptTitle="Available Options" prompt="Select from list" type="list">
      <formula1>"SIEM,Log_Server,Cloud_SIEM,Local_Storage,Archive,Multiple"</formula1>
    </dataValidation>
    <dataValidation sqref="G6:G35" showDropDown="0" showInputMessage="0" showErrorMessage="0" allowBlank="1" errorTitle="Invalid Entry" error="Please select from dropdown" promptTitle="Available Options" prompt="Select from list" type="list">
      <formula1>"CEF,JSON,Syslog,CSV,Proprietary,XML,Other"</formula1>
    </dataValidation>
    <dataValidation sqref="I6:I35" showDropDown="0" showInputMessage="0" showErrorMessage="0" allowBlank="1" errorTitle="Invalid Entry" error="Please select from dropdown" promptTitle="Available Options" prompt="Select from list" type="list">
      <formula1>"Yes,No,Partial"</formula1>
    </dataValidation>
    <dataValidation sqref="K6:K35" showDropDown="0" showInputMessage="0" showErrorMessage="0" allowBlank="1" errorTitle="Invalid Entry" error="Please select from dropdown" promptTitle="Available Options" prompt="Select from list" type="list">
      <formula1>"Implemented,Partial,Planned,Not_Implemented,N/A"</formula1>
    </dataValidation>
    <dataValidation sqref="B40:B49" showDropDown="0" showInputMessage="0" showErrorMessage="0" allowBlank="1" type="list">
      <formula1>"Regulatory,Policy,Contractual,Best_Practice"</formula1>
    </dataValidation>
    <dataValidation sqref="F40:F49" showDropDown="0" showInputMessage="0" showErrorMessage="0" allowBlank="1" errorTitle="Invalid Entry" error="Please select from dropdown" promptTitle="Available Options" prompt="Select from list"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4"/>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20" customWidth="1" min="3" max="3"/>
    <col width="38" customWidth="1" min="4" max="4"/>
    <col width="18" customWidth="1" min="5" max="5"/>
    <col width="14" customWidth="1" min="6" max="6"/>
    <col width="22" customWidth="1" min="7" max="7"/>
    <col width="25" customWidth="1" min="8" max="8"/>
    <col width="20" customWidth="1" min="9" max="9"/>
    <col width="25" customWidth="1" min="10" max="10"/>
    <col width="15" customWidth="1" min="11" max="11"/>
    <col width="14" customWidth="1" min="12" max="12"/>
    <col width="14" customWidth="1" min="13" max="13"/>
    <col width="15" customWidth="1" min="14" max="14"/>
  </cols>
  <sheetData>
    <row r="1" ht="30" customHeight="1">
      <c r="A1" s="1" t="inlineStr">
        <is>
          <t>ALERT CONFIGURATION ASSESSMENT</t>
        </is>
      </c>
    </row>
    <row r="2">
      <c r="A2" s="16" t="inlineStr">
        <is>
          <t>Document alerting rules, thresholds, notification methods, and escalation paths</t>
        </is>
      </c>
    </row>
    <row r="4">
      <c r="A4" s="3" t="inlineStr">
        <is>
          <t>SECTION A: ALERT RULES INVENTORY</t>
        </is>
      </c>
    </row>
    <row r="5">
      <c r="A5" s="17" t="inlineStr">
        <is>
          <t>Alert_ID</t>
        </is>
      </c>
      <c r="B5" s="17" t="inlineStr">
        <is>
          <t>Alert_Name</t>
        </is>
      </c>
      <c r="C5" s="17" t="inlineStr">
        <is>
          <t>Alert_Category</t>
        </is>
      </c>
      <c r="D5" s="17" t="inlineStr">
        <is>
          <t>Trigger_Condition</t>
        </is>
      </c>
      <c r="E5" s="17" t="inlineStr">
        <is>
          <t>Threshold_Value</t>
        </is>
      </c>
      <c r="F5" s="17" t="inlineStr">
        <is>
          <t>Severity</t>
        </is>
      </c>
      <c r="G5" s="17" t="inlineStr">
        <is>
          <t>Notification_Method</t>
        </is>
      </c>
      <c r="H5" s="17" t="inlineStr">
        <is>
          <t>Recipients</t>
        </is>
      </c>
      <c r="I5" s="17" t="inlineStr">
        <is>
          <t>Response_SLA_Min</t>
        </is>
      </c>
      <c r="J5" s="17" t="inlineStr">
        <is>
          <t>Escalation_Path</t>
        </is>
      </c>
      <c r="K5" s="17" t="inlineStr">
        <is>
          <t>Auto_Response</t>
        </is>
      </c>
      <c r="L5" s="17" t="inlineStr">
        <is>
          <t>Status</t>
        </is>
      </c>
      <c r="M5" s="17" t="inlineStr">
        <is>
          <t>Last_Triggered</t>
        </is>
      </c>
      <c r="N5" s="17" t="inlineStr">
        <is>
          <t>Evidence_Ref</t>
        </is>
      </c>
    </row>
    <row r="6">
      <c r="A6" s="18" t="inlineStr">
        <is>
          <t>ALR-001</t>
        </is>
      </c>
      <c r="B6" s="19" t="n"/>
      <c r="C6" s="19" t="n"/>
      <c r="D6" s="19" t="n"/>
      <c r="E6" s="19" t="n"/>
      <c r="F6" s="19" t="n"/>
      <c r="G6" s="19" t="n"/>
      <c r="H6" s="19" t="n"/>
      <c r="I6" s="19" t="n"/>
      <c r="J6" s="19" t="n"/>
      <c r="K6" s="19" t="n"/>
      <c r="L6" s="19" t="n"/>
      <c r="M6" s="19" t="n"/>
      <c r="N6" s="19" t="n"/>
    </row>
    <row r="7">
      <c r="A7" s="18" t="inlineStr">
        <is>
          <t>ALR-002</t>
        </is>
      </c>
      <c r="B7" s="19" t="n"/>
      <c r="C7" s="19" t="n"/>
      <c r="D7" s="19" t="n"/>
      <c r="E7" s="19" t="n"/>
      <c r="F7" s="19" t="n"/>
      <c r="G7" s="19" t="n"/>
      <c r="H7" s="19" t="n"/>
      <c r="I7" s="19" t="n"/>
      <c r="J7" s="19" t="n"/>
      <c r="K7" s="19" t="n"/>
      <c r="L7" s="19" t="n"/>
      <c r="M7" s="19" t="n"/>
      <c r="N7" s="19" t="n"/>
    </row>
    <row r="8">
      <c r="A8" s="18" t="inlineStr">
        <is>
          <t>ALR-003</t>
        </is>
      </c>
      <c r="B8" s="19" t="n"/>
      <c r="C8" s="19" t="n"/>
      <c r="D8" s="19" t="n"/>
      <c r="E8" s="19" t="n"/>
      <c r="F8" s="19" t="n"/>
      <c r="G8" s="19" t="n"/>
      <c r="H8" s="19" t="n"/>
      <c r="I8" s="19" t="n"/>
      <c r="J8" s="19" t="n"/>
      <c r="K8" s="19" t="n"/>
      <c r="L8" s="19" t="n"/>
      <c r="M8" s="19" t="n"/>
      <c r="N8" s="19" t="n"/>
    </row>
    <row r="9">
      <c r="A9" s="18" t="inlineStr">
        <is>
          <t>ALR-004</t>
        </is>
      </c>
      <c r="B9" s="19" t="n"/>
      <c r="C9" s="19" t="n"/>
      <c r="D9" s="19" t="n"/>
      <c r="E9" s="19" t="n"/>
      <c r="F9" s="19" t="n"/>
      <c r="G9" s="19" t="n"/>
      <c r="H9" s="19" t="n"/>
      <c r="I9" s="19" t="n"/>
      <c r="J9" s="19" t="n"/>
      <c r="K9" s="19" t="n"/>
      <c r="L9" s="19" t="n"/>
      <c r="M9" s="19" t="n"/>
      <c r="N9" s="19" t="n"/>
    </row>
    <row r="10">
      <c r="A10" s="18" t="inlineStr">
        <is>
          <t>ALR-005</t>
        </is>
      </c>
      <c r="B10" s="19" t="n"/>
      <c r="C10" s="19" t="n"/>
      <c r="D10" s="19" t="n"/>
      <c r="E10" s="19" t="n"/>
      <c r="F10" s="19" t="n"/>
      <c r="G10" s="19" t="n"/>
      <c r="H10" s="19" t="n"/>
      <c r="I10" s="19" t="n"/>
      <c r="J10" s="19" t="n"/>
      <c r="K10" s="19" t="n"/>
      <c r="L10" s="19" t="n"/>
      <c r="M10" s="19" t="n"/>
      <c r="N10" s="19" t="n"/>
    </row>
    <row r="11">
      <c r="A11" s="18" t="inlineStr">
        <is>
          <t>ALR-006</t>
        </is>
      </c>
      <c r="B11" s="19" t="n"/>
      <c r="C11" s="19" t="n"/>
      <c r="D11" s="19" t="n"/>
      <c r="E11" s="19" t="n"/>
      <c r="F11" s="19" t="n"/>
      <c r="G11" s="19" t="n"/>
      <c r="H11" s="19" t="n"/>
      <c r="I11" s="19" t="n"/>
      <c r="J11" s="19" t="n"/>
      <c r="K11" s="19" t="n"/>
      <c r="L11" s="19" t="n"/>
      <c r="M11" s="19" t="n"/>
      <c r="N11" s="19" t="n"/>
    </row>
    <row r="12">
      <c r="A12" s="18" t="inlineStr">
        <is>
          <t>ALR-007</t>
        </is>
      </c>
      <c r="B12" s="19" t="n"/>
      <c r="C12" s="19" t="n"/>
      <c r="D12" s="19" t="n"/>
      <c r="E12" s="19" t="n"/>
      <c r="F12" s="19" t="n"/>
      <c r="G12" s="19" t="n"/>
      <c r="H12" s="19" t="n"/>
      <c r="I12" s="19" t="n"/>
      <c r="J12" s="19" t="n"/>
      <c r="K12" s="19" t="n"/>
      <c r="L12" s="19" t="n"/>
      <c r="M12" s="19" t="n"/>
      <c r="N12" s="19" t="n"/>
    </row>
    <row r="13">
      <c r="A13" s="18" t="inlineStr">
        <is>
          <t>ALR-008</t>
        </is>
      </c>
      <c r="B13" s="19" t="n"/>
      <c r="C13" s="19" t="n"/>
      <c r="D13" s="19" t="n"/>
      <c r="E13" s="19" t="n"/>
      <c r="F13" s="19" t="n"/>
      <c r="G13" s="19" t="n"/>
      <c r="H13" s="19" t="n"/>
      <c r="I13" s="19" t="n"/>
      <c r="J13" s="19" t="n"/>
      <c r="K13" s="19" t="n"/>
      <c r="L13" s="19" t="n"/>
      <c r="M13" s="19" t="n"/>
      <c r="N13" s="19" t="n"/>
    </row>
    <row r="14">
      <c r="A14" s="18" t="inlineStr">
        <is>
          <t>ALR-009</t>
        </is>
      </c>
      <c r="B14" s="19" t="n"/>
      <c r="C14" s="19" t="n"/>
      <c r="D14" s="19" t="n"/>
      <c r="E14" s="19" t="n"/>
      <c r="F14" s="19" t="n"/>
      <c r="G14" s="19" t="n"/>
      <c r="H14" s="19" t="n"/>
      <c r="I14" s="19" t="n"/>
      <c r="J14" s="19" t="n"/>
      <c r="K14" s="19" t="n"/>
      <c r="L14" s="19" t="n"/>
      <c r="M14" s="19" t="n"/>
      <c r="N14" s="19" t="n"/>
    </row>
    <row r="15">
      <c r="A15" s="18" t="inlineStr">
        <is>
          <t>ALR-010</t>
        </is>
      </c>
      <c r="B15" s="19" t="n"/>
      <c r="C15" s="19" t="n"/>
      <c r="D15" s="19" t="n"/>
      <c r="E15" s="19" t="n"/>
      <c r="F15" s="19" t="n"/>
      <c r="G15" s="19" t="n"/>
      <c r="H15" s="19" t="n"/>
      <c r="I15" s="19" t="n"/>
      <c r="J15" s="19" t="n"/>
      <c r="K15" s="19" t="n"/>
      <c r="L15" s="19" t="n"/>
      <c r="M15" s="19" t="n"/>
      <c r="N15" s="19" t="n"/>
    </row>
    <row r="16">
      <c r="A16" s="18" t="inlineStr">
        <is>
          <t>ALR-011</t>
        </is>
      </c>
      <c r="B16" s="19" t="n"/>
      <c r="C16" s="19" t="n"/>
      <c r="D16" s="19" t="n"/>
      <c r="E16" s="19" t="n"/>
      <c r="F16" s="19" t="n"/>
      <c r="G16" s="19" t="n"/>
      <c r="H16" s="19" t="n"/>
      <c r="I16" s="19" t="n"/>
      <c r="J16" s="19" t="n"/>
      <c r="K16" s="19" t="n"/>
      <c r="L16" s="19" t="n"/>
      <c r="M16" s="19" t="n"/>
      <c r="N16" s="19" t="n"/>
    </row>
    <row r="17">
      <c r="A17" s="18" t="inlineStr">
        <is>
          <t>ALR-012</t>
        </is>
      </c>
      <c r="B17" s="19" t="n"/>
      <c r="C17" s="19" t="n"/>
      <c r="D17" s="19" t="n"/>
      <c r="E17" s="19" t="n"/>
      <c r="F17" s="19" t="n"/>
      <c r="G17" s="19" t="n"/>
      <c r="H17" s="19" t="n"/>
      <c r="I17" s="19" t="n"/>
      <c r="J17" s="19" t="n"/>
      <c r="K17" s="19" t="n"/>
      <c r="L17" s="19" t="n"/>
      <c r="M17" s="19" t="n"/>
      <c r="N17" s="19" t="n"/>
    </row>
    <row r="18">
      <c r="A18" s="18" t="inlineStr">
        <is>
          <t>ALR-013</t>
        </is>
      </c>
      <c r="B18" s="19" t="n"/>
      <c r="C18" s="19" t="n"/>
      <c r="D18" s="19" t="n"/>
      <c r="E18" s="19" t="n"/>
      <c r="F18" s="19" t="n"/>
      <c r="G18" s="19" t="n"/>
      <c r="H18" s="19" t="n"/>
      <c r="I18" s="19" t="n"/>
      <c r="J18" s="19" t="n"/>
      <c r="K18" s="19" t="n"/>
      <c r="L18" s="19" t="n"/>
      <c r="M18" s="19" t="n"/>
      <c r="N18" s="19" t="n"/>
    </row>
    <row r="19">
      <c r="A19" s="18" t="inlineStr">
        <is>
          <t>ALR-014</t>
        </is>
      </c>
      <c r="B19" s="19" t="n"/>
      <c r="C19" s="19" t="n"/>
      <c r="D19" s="19" t="n"/>
      <c r="E19" s="19" t="n"/>
      <c r="F19" s="19" t="n"/>
      <c r="G19" s="19" t="n"/>
      <c r="H19" s="19" t="n"/>
      <c r="I19" s="19" t="n"/>
      <c r="J19" s="19" t="n"/>
      <c r="K19" s="19" t="n"/>
      <c r="L19" s="19" t="n"/>
      <c r="M19" s="19" t="n"/>
      <c r="N19" s="19" t="n"/>
    </row>
    <row r="20">
      <c r="A20" s="18" t="inlineStr">
        <is>
          <t>ALR-015</t>
        </is>
      </c>
      <c r="B20" s="19" t="n"/>
      <c r="C20" s="19" t="n"/>
      <c r="D20" s="19" t="n"/>
      <c r="E20" s="19" t="n"/>
      <c r="F20" s="19" t="n"/>
      <c r="G20" s="19" t="n"/>
      <c r="H20" s="19" t="n"/>
      <c r="I20" s="19" t="n"/>
      <c r="J20" s="19" t="n"/>
      <c r="K20" s="19" t="n"/>
      <c r="L20" s="19" t="n"/>
      <c r="M20" s="19" t="n"/>
      <c r="N20" s="19" t="n"/>
    </row>
    <row r="21">
      <c r="A21" s="18" t="inlineStr">
        <is>
          <t>ALR-016</t>
        </is>
      </c>
      <c r="B21" s="19" t="n"/>
      <c r="C21" s="19" t="n"/>
      <c r="D21" s="19" t="n"/>
      <c r="E21" s="19" t="n"/>
      <c r="F21" s="19" t="n"/>
      <c r="G21" s="19" t="n"/>
      <c r="H21" s="19" t="n"/>
      <c r="I21" s="19" t="n"/>
      <c r="J21" s="19" t="n"/>
      <c r="K21" s="19" t="n"/>
      <c r="L21" s="19" t="n"/>
      <c r="M21" s="19" t="n"/>
      <c r="N21" s="19" t="n"/>
    </row>
    <row r="22">
      <c r="A22" s="18" t="inlineStr">
        <is>
          <t>ALR-017</t>
        </is>
      </c>
      <c r="B22" s="19" t="n"/>
      <c r="C22" s="19" t="n"/>
      <c r="D22" s="19" t="n"/>
      <c r="E22" s="19" t="n"/>
      <c r="F22" s="19" t="n"/>
      <c r="G22" s="19" t="n"/>
      <c r="H22" s="19" t="n"/>
      <c r="I22" s="19" t="n"/>
      <c r="J22" s="19" t="n"/>
      <c r="K22" s="19" t="n"/>
      <c r="L22" s="19" t="n"/>
      <c r="M22" s="19" t="n"/>
      <c r="N22" s="19" t="n"/>
    </row>
    <row r="23">
      <c r="A23" s="18" t="inlineStr">
        <is>
          <t>ALR-018</t>
        </is>
      </c>
      <c r="B23" s="19" t="n"/>
      <c r="C23" s="19" t="n"/>
      <c r="D23" s="19" t="n"/>
      <c r="E23" s="19" t="n"/>
      <c r="F23" s="19" t="n"/>
      <c r="G23" s="19" t="n"/>
      <c r="H23" s="19" t="n"/>
      <c r="I23" s="19" t="n"/>
      <c r="J23" s="19" t="n"/>
      <c r="K23" s="19" t="n"/>
      <c r="L23" s="19" t="n"/>
      <c r="M23" s="19" t="n"/>
      <c r="N23" s="19" t="n"/>
    </row>
    <row r="24">
      <c r="A24" s="18" t="inlineStr">
        <is>
          <t>ALR-019</t>
        </is>
      </c>
      <c r="B24" s="19" t="n"/>
      <c r="C24" s="19" t="n"/>
      <c r="D24" s="19" t="n"/>
      <c r="E24" s="19" t="n"/>
      <c r="F24" s="19" t="n"/>
      <c r="G24" s="19" t="n"/>
      <c r="H24" s="19" t="n"/>
      <c r="I24" s="19" t="n"/>
      <c r="J24" s="19" t="n"/>
      <c r="K24" s="19" t="n"/>
      <c r="L24" s="19" t="n"/>
      <c r="M24" s="19" t="n"/>
      <c r="N24" s="19" t="n"/>
    </row>
    <row r="25">
      <c r="A25" s="18" t="inlineStr">
        <is>
          <t>ALR-020</t>
        </is>
      </c>
      <c r="B25" s="19" t="n"/>
      <c r="C25" s="19" t="n"/>
      <c r="D25" s="19" t="n"/>
      <c r="E25" s="19" t="n"/>
      <c r="F25" s="19" t="n"/>
      <c r="G25" s="19" t="n"/>
      <c r="H25" s="19" t="n"/>
      <c r="I25" s="19" t="n"/>
      <c r="J25" s="19" t="n"/>
      <c r="K25" s="19" t="n"/>
      <c r="L25" s="19" t="n"/>
      <c r="M25" s="19" t="n"/>
      <c r="N25" s="19" t="n"/>
    </row>
    <row r="26">
      <c r="A26" s="18" t="inlineStr">
        <is>
          <t>ALR-021</t>
        </is>
      </c>
      <c r="B26" s="19" t="n"/>
      <c r="C26" s="19" t="n"/>
      <c r="D26" s="19" t="n"/>
      <c r="E26" s="19" t="n"/>
      <c r="F26" s="19" t="n"/>
      <c r="G26" s="19" t="n"/>
      <c r="H26" s="19" t="n"/>
      <c r="I26" s="19" t="n"/>
      <c r="J26" s="19" t="n"/>
      <c r="K26" s="19" t="n"/>
      <c r="L26" s="19" t="n"/>
      <c r="M26" s="19" t="n"/>
      <c r="N26" s="19" t="n"/>
    </row>
    <row r="27">
      <c r="A27" s="18" t="inlineStr">
        <is>
          <t>ALR-022</t>
        </is>
      </c>
      <c r="B27" s="19" t="n"/>
      <c r="C27" s="19" t="n"/>
      <c r="D27" s="19" t="n"/>
      <c r="E27" s="19" t="n"/>
      <c r="F27" s="19" t="n"/>
      <c r="G27" s="19" t="n"/>
      <c r="H27" s="19" t="n"/>
      <c r="I27" s="19" t="n"/>
      <c r="J27" s="19" t="n"/>
      <c r="K27" s="19" t="n"/>
      <c r="L27" s="19" t="n"/>
      <c r="M27" s="19" t="n"/>
      <c r="N27" s="19" t="n"/>
    </row>
    <row r="28">
      <c r="A28" s="18" t="inlineStr">
        <is>
          <t>ALR-023</t>
        </is>
      </c>
      <c r="B28" s="19" t="n"/>
      <c r="C28" s="19" t="n"/>
      <c r="D28" s="19" t="n"/>
      <c r="E28" s="19" t="n"/>
      <c r="F28" s="19" t="n"/>
      <c r="G28" s="19" t="n"/>
      <c r="H28" s="19" t="n"/>
      <c r="I28" s="19" t="n"/>
      <c r="J28" s="19" t="n"/>
      <c r="K28" s="19" t="n"/>
      <c r="L28" s="19" t="n"/>
      <c r="M28" s="19" t="n"/>
      <c r="N28" s="19" t="n"/>
    </row>
    <row r="29">
      <c r="A29" s="18" t="inlineStr">
        <is>
          <t>ALR-024</t>
        </is>
      </c>
      <c r="B29" s="19" t="n"/>
      <c r="C29" s="19" t="n"/>
      <c r="D29" s="19" t="n"/>
      <c r="E29" s="19" t="n"/>
      <c r="F29" s="19" t="n"/>
      <c r="G29" s="19" t="n"/>
      <c r="H29" s="19" t="n"/>
      <c r="I29" s="19" t="n"/>
      <c r="J29" s="19" t="n"/>
      <c r="K29" s="19" t="n"/>
      <c r="L29" s="19" t="n"/>
      <c r="M29" s="19" t="n"/>
      <c r="N29" s="19" t="n"/>
    </row>
    <row r="30">
      <c r="A30" s="18" t="inlineStr">
        <is>
          <t>ALR-025</t>
        </is>
      </c>
      <c r="B30" s="19" t="n"/>
      <c r="C30" s="19" t="n"/>
      <c r="D30" s="19" t="n"/>
      <c r="E30" s="19" t="n"/>
      <c r="F30" s="19" t="n"/>
      <c r="G30" s="19" t="n"/>
      <c r="H30" s="19" t="n"/>
      <c r="I30" s="19" t="n"/>
      <c r="J30" s="19" t="n"/>
      <c r="K30" s="19" t="n"/>
      <c r="L30" s="19" t="n"/>
      <c r="M30" s="19" t="n"/>
      <c r="N30" s="19" t="n"/>
    </row>
    <row r="31">
      <c r="A31" s="18" t="inlineStr">
        <is>
          <t>ALR-026</t>
        </is>
      </c>
      <c r="B31" s="19" t="n"/>
      <c r="C31" s="19" t="n"/>
      <c r="D31" s="19" t="n"/>
      <c r="E31" s="19" t="n"/>
      <c r="F31" s="19" t="n"/>
      <c r="G31" s="19" t="n"/>
      <c r="H31" s="19" t="n"/>
      <c r="I31" s="19" t="n"/>
      <c r="J31" s="19" t="n"/>
      <c r="K31" s="19" t="n"/>
      <c r="L31" s="19" t="n"/>
      <c r="M31" s="19" t="n"/>
      <c r="N31" s="19" t="n"/>
    </row>
    <row r="32">
      <c r="A32" s="18" t="inlineStr">
        <is>
          <t>ALR-027</t>
        </is>
      </c>
      <c r="B32" s="19" t="n"/>
      <c r="C32" s="19" t="n"/>
      <c r="D32" s="19" t="n"/>
      <c r="E32" s="19" t="n"/>
      <c r="F32" s="19" t="n"/>
      <c r="G32" s="19" t="n"/>
      <c r="H32" s="19" t="n"/>
      <c r="I32" s="19" t="n"/>
      <c r="J32" s="19" t="n"/>
      <c r="K32" s="19" t="n"/>
      <c r="L32" s="19" t="n"/>
      <c r="M32" s="19" t="n"/>
      <c r="N32" s="19" t="n"/>
    </row>
    <row r="33">
      <c r="A33" s="18" t="inlineStr">
        <is>
          <t>ALR-028</t>
        </is>
      </c>
      <c r="B33" s="19" t="n"/>
      <c r="C33" s="19" t="n"/>
      <c r="D33" s="19" t="n"/>
      <c r="E33" s="19" t="n"/>
      <c r="F33" s="19" t="n"/>
      <c r="G33" s="19" t="n"/>
      <c r="H33" s="19" t="n"/>
      <c r="I33" s="19" t="n"/>
      <c r="J33" s="19" t="n"/>
      <c r="K33" s="19" t="n"/>
      <c r="L33" s="19" t="n"/>
      <c r="M33" s="19" t="n"/>
      <c r="N33" s="19" t="n"/>
    </row>
    <row r="34">
      <c r="A34" s="18" t="inlineStr">
        <is>
          <t>ALR-029</t>
        </is>
      </c>
      <c r="B34" s="19" t="n"/>
      <c r="C34" s="19" t="n"/>
      <c r="D34" s="19" t="n"/>
      <c r="E34" s="19" t="n"/>
      <c r="F34" s="19" t="n"/>
      <c r="G34" s="19" t="n"/>
      <c r="H34" s="19" t="n"/>
      <c r="I34" s="19" t="n"/>
      <c r="J34" s="19" t="n"/>
      <c r="K34" s="19" t="n"/>
      <c r="L34" s="19" t="n"/>
      <c r="M34" s="19" t="n"/>
      <c r="N34" s="19" t="n"/>
    </row>
    <row r="35">
      <c r="A35" s="18" t="inlineStr">
        <is>
          <t>ALR-030</t>
        </is>
      </c>
      <c r="B35" s="19" t="n"/>
      <c r="C35" s="19" t="n"/>
      <c r="D35" s="19" t="n"/>
      <c r="E35" s="19" t="n"/>
      <c r="F35" s="19" t="n"/>
      <c r="G35" s="19" t="n"/>
      <c r="H35" s="19" t="n"/>
      <c r="I35" s="19" t="n"/>
      <c r="J35" s="19" t="n"/>
      <c r="K35" s="19" t="n"/>
      <c r="L35" s="19" t="n"/>
      <c r="M35" s="19" t="n"/>
      <c r="N35" s="19" t="n"/>
    </row>
    <row r="36">
      <c r="A36" s="18" t="inlineStr">
        <is>
          <t>ALR-031</t>
        </is>
      </c>
      <c r="B36" s="19" t="n"/>
      <c r="C36" s="19" t="n"/>
      <c r="D36" s="19" t="n"/>
      <c r="E36" s="19" t="n"/>
      <c r="F36" s="19" t="n"/>
      <c r="G36" s="19" t="n"/>
      <c r="H36" s="19" t="n"/>
      <c r="I36" s="19" t="n"/>
      <c r="J36" s="19" t="n"/>
      <c r="K36" s="19" t="n"/>
      <c r="L36" s="19" t="n"/>
      <c r="M36" s="19" t="n"/>
      <c r="N36" s="19" t="n"/>
    </row>
    <row r="37">
      <c r="A37" s="18" t="inlineStr">
        <is>
          <t>ALR-032</t>
        </is>
      </c>
      <c r="B37" s="19" t="n"/>
      <c r="C37" s="19" t="n"/>
      <c r="D37" s="19" t="n"/>
      <c r="E37" s="19" t="n"/>
      <c r="F37" s="19" t="n"/>
      <c r="G37" s="19" t="n"/>
      <c r="H37" s="19" t="n"/>
      <c r="I37" s="19" t="n"/>
      <c r="J37" s="19" t="n"/>
      <c r="K37" s="19" t="n"/>
      <c r="L37" s="19" t="n"/>
      <c r="M37" s="19" t="n"/>
      <c r="N37" s="19" t="n"/>
    </row>
    <row r="38">
      <c r="A38" s="18" t="inlineStr">
        <is>
          <t>ALR-033</t>
        </is>
      </c>
      <c r="B38" s="19" t="n"/>
      <c r="C38" s="19" t="n"/>
      <c r="D38" s="19" t="n"/>
      <c r="E38" s="19" t="n"/>
      <c r="F38" s="19" t="n"/>
      <c r="G38" s="19" t="n"/>
      <c r="H38" s="19" t="n"/>
      <c r="I38" s="19" t="n"/>
      <c r="J38" s="19" t="n"/>
      <c r="K38" s="19" t="n"/>
      <c r="L38" s="19" t="n"/>
      <c r="M38" s="19" t="n"/>
      <c r="N38" s="19" t="n"/>
    </row>
    <row r="39">
      <c r="A39" s="18" t="inlineStr">
        <is>
          <t>ALR-034</t>
        </is>
      </c>
      <c r="B39" s="19" t="n"/>
      <c r="C39" s="19" t="n"/>
      <c r="D39" s="19" t="n"/>
      <c r="E39" s="19" t="n"/>
      <c r="F39" s="19" t="n"/>
      <c r="G39" s="19" t="n"/>
      <c r="H39" s="19" t="n"/>
      <c r="I39" s="19" t="n"/>
      <c r="J39" s="19" t="n"/>
      <c r="K39" s="19" t="n"/>
      <c r="L39" s="19" t="n"/>
      <c r="M39" s="19" t="n"/>
      <c r="N39" s="19" t="n"/>
    </row>
    <row r="40">
      <c r="A40" s="18" t="inlineStr">
        <is>
          <t>ALR-035</t>
        </is>
      </c>
      <c r="B40" s="19" t="n"/>
      <c r="C40" s="19" t="n"/>
      <c r="D40" s="19" t="n"/>
      <c r="E40" s="19" t="n"/>
      <c r="F40" s="19" t="n"/>
      <c r="G40" s="19" t="n"/>
      <c r="H40" s="19" t="n"/>
      <c r="I40" s="19" t="n"/>
      <c r="J40" s="19" t="n"/>
      <c r="K40" s="19" t="n"/>
      <c r="L40" s="19" t="n"/>
      <c r="M40" s="19" t="n"/>
      <c r="N40" s="19" t="n"/>
    </row>
    <row r="41">
      <c r="A41" s="18" t="inlineStr">
        <is>
          <t>ALR-036</t>
        </is>
      </c>
      <c r="B41" s="19" t="n"/>
      <c r="C41" s="19" t="n"/>
      <c r="D41" s="19" t="n"/>
      <c r="E41" s="19" t="n"/>
      <c r="F41" s="19" t="n"/>
      <c r="G41" s="19" t="n"/>
      <c r="H41" s="19" t="n"/>
      <c r="I41" s="19" t="n"/>
      <c r="J41" s="19" t="n"/>
      <c r="K41" s="19" t="n"/>
      <c r="L41" s="19" t="n"/>
      <c r="M41" s="19" t="n"/>
      <c r="N41" s="19" t="n"/>
    </row>
    <row r="42">
      <c r="A42" s="18" t="inlineStr">
        <is>
          <t>ALR-037</t>
        </is>
      </c>
      <c r="B42" s="19" t="n"/>
      <c r="C42" s="19" t="n"/>
      <c r="D42" s="19" t="n"/>
      <c r="E42" s="19" t="n"/>
      <c r="F42" s="19" t="n"/>
      <c r="G42" s="19" t="n"/>
      <c r="H42" s="19" t="n"/>
      <c r="I42" s="19" t="n"/>
      <c r="J42" s="19" t="n"/>
      <c r="K42" s="19" t="n"/>
      <c r="L42" s="19" t="n"/>
      <c r="M42" s="19" t="n"/>
      <c r="N42" s="19" t="n"/>
    </row>
    <row r="43">
      <c r="A43" s="18" t="inlineStr">
        <is>
          <t>ALR-038</t>
        </is>
      </c>
      <c r="B43" s="19" t="n"/>
      <c r="C43" s="19" t="n"/>
      <c r="D43" s="19" t="n"/>
      <c r="E43" s="19" t="n"/>
      <c r="F43" s="19" t="n"/>
      <c r="G43" s="19" t="n"/>
      <c r="H43" s="19" t="n"/>
      <c r="I43" s="19" t="n"/>
      <c r="J43" s="19" t="n"/>
      <c r="K43" s="19" t="n"/>
      <c r="L43" s="19" t="n"/>
      <c r="M43" s="19" t="n"/>
      <c r="N43" s="19" t="n"/>
    </row>
    <row r="44">
      <c r="A44" s="18" t="inlineStr">
        <is>
          <t>ALR-039</t>
        </is>
      </c>
      <c r="B44" s="19" t="n"/>
      <c r="C44" s="19" t="n"/>
      <c r="D44" s="19" t="n"/>
      <c r="E44" s="19" t="n"/>
      <c r="F44" s="19" t="n"/>
      <c r="G44" s="19" t="n"/>
      <c r="H44" s="19" t="n"/>
      <c r="I44" s="19" t="n"/>
      <c r="J44" s="19" t="n"/>
      <c r="K44" s="19" t="n"/>
      <c r="L44" s="19" t="n"/>
      <c r="M44" s="19" t="n"/>
      <c r="N44" s="19" t="n"/>
    </row>
    <row r="45">
      <c r="A45" s="18" t="inlineStr">
        <is>
          <t>ALR-040</t>
        </is>
      </c>
      <c r="B45" s="19" t="n"/>
      <c r="C45" s="19" t="n"/>
      <c r="D45" s="19" t="n"/>
      <c r="E45" s="19" t="n"/>
      <c r="F45" s="19" t="n"/>
      <c r="G45" s="19" t="n"/>
      <c r="H45" s="19" t="n"/>
      <c r="I45" s="19" t="n"/>
      <c r="J45" s="19" t="n"/>
      <c r="K45" s="19" t="n"/>
      <c r="L45" s="19" t="n"/>
      <c r="M45" s="19" t="n"/>
      <c r="N45" s="19" t="n"/>
    </row>
    <row r="48">
      <c r="A48" s="3" t="inlineStr">
        <is>
          <t>SECTION B: ALERT CATEGORIES SUMMARY</t>
        </is>
      </c>
    </row>
    <row r="49">
      <c r="A49" s="22" t="inlineStr">
        <is>
          <t>Category</t>
        </is>
      </c>
      <c r="B49" s="22" t="inlineStr">
        <is>
          <t>Count</t>
        </is>
      </c>
      <c r="C49" s="22" t="inlineStr">
        <is>
          <t>Active</t>
        </is>
      </c>
      <c r="D49" s="22" t="inlineStr">
        <is>
          <t>Critical_Count</t>
        </is>
      </c>
      <c r="E49" s="22" t="inlineStr">
        <is>
          <t>Notes</t>
        </is>
      </c>
    </row>
    <row r="50">
      <c r="A50" s="20" t="inlineStr">
        <is>
          <t>Threat_Detection</t>
        </is>
      </c>
      <c r="B50" s="20">
        <f>COUNTIF(C6:C45,"Threat_Detection")</f>
        <v/>
      </c>
      <c r="C50" s="20">
        <f>COUNTIFS(C6:C45,"Threat_Detection",L6:L45,"Implemented")</f>
        <v/>
      </c>
      <c r="D50" s="20">
        <f>COUNTIFS(C6:C45,"Threat_Detection",F6:F45,"Critical")</f>
        <v/>
      </c>
      <c r="E50" s="5" t="n"/>
    </row>
    <row r="51">
      <c r="A51" s="20" t="inlineStr">
        <is>
          <t>Policy_Violation</t>
        </is>
      </c>
      <c r="B51" s="20">
        <f>COUNTIF(C6:C45,"Policy_Violation")</f>
        <v/>
      </c>
      <c r="C51" s="20">
        <f>COUNTIFS(C6:C45,"Policy_Violation",L6:L45,"Implemented")</f>
        <v/>
      </c>
      <c r="D51" s="20">
        <f>COUNTIFS(C6:C45,"Policy_Violation",F6:F45,"Critical")</f>
        <v/>
      </c>
      <c r="E51" s="5" t="n"/>
    </row>
    <row r="52">
      <c r="A52" s="20" t="inlineStr">
        <is>
          <t>System_Health</t>
        </is>
      </c>
      <c r="B52" s="20">
        <f>COUNTIF(C6:C45,"System_Health")</f>
        <v/>
      </c>
      <c r="C52" s="20">
        <f>COUNTIFS(C6:C45,"System_Health",L6:L45,"Implemented")</f>
        <v/>
      </c>
      <c r="D52" s="20">
        <f>COUNTIFS(C6:C45,"System_Health",F6:F45,"Critical")</f>
        <v/>
      </c>
      <c r="E52" s="5" t="n"/>
    </row>
    <row r="53">
      <c r="A53" s="20" t="inlineStr">
        <is>
          <t>Threshold_Breach</t>
        </is>
      </c>
      <c r="B53" s="20">
        <f>COUNTIF(C6:C45,"Threshold_Breach")</f>
        <v/>
      </c>
      <c r="C53" s="20">
        <f>COUNTIFS(C6:C45,"Threshold_Breach",L6:L45,"Implemented")</f>
        <v/>
      </c>
      <c r="D53" s="20">
        <f>COUNTIFS(C6:C45,"Threshold_Breach",F6:F45,"Critical")</f>
        <v/>
      </c>
      <c r="E53" s="5" t="n"/>
    </row>
    <row r="54">
      <c r="A54" s="20" t="inlineStr">
        <is>
          <t>Anomaly</t>
        </is>
      </c>
      <c r="B54" s="20">
        <f>COUNTIF(C6:C45,"Anomaly")</f>
        <v/>
      </c>
      <c r="C54" s="20">
        <f>COUNTIFS(C6:C45,"Anomaly",L6:L45,"Implemented")</f>
        <v/>
      </c>
      <c r="D54" s="20">
        <f>COUNTIFS(C6:C45,"Anomaly",F6:F45,"Critical")</f>
        <v/>
      </c>
      <c r="E54" s="5" t="n"/>
    </row>
    <row r="55">
      <c r="A55" s="20" t="inlineStr">
        <is>
          <t>Compliance</t>
        </is>
      </c>
      <c r="B55" s="20">
        <f>COUNTIF(C6:C45,"Compliance")</f>
        <v/>
      </c>
      <c r="C55" s="20">
        <f>COUNTIFS(C6:C45,"Compliance",L6:L45,"Implemented")</f>
        <v/>
      </c>
      <c r="D55" s="20">
        <f>COUNTIFS(C6:C45,"Compliance",F6:F45,"Critical")</f>
        <v/>
      </c>
      <c r="E55" s="5" t="n"/>
    </row>
    <row r="58">
      <c r="A58" s="3" t="inlineStr">
        <is>
          <t>SECTION C: SUMMARY METRICS</t>
        </is>
      </c>
    </row>
    <row r="59">
      <c r="A59" s="4" t="inlineStr">
        <is>
          <t>Total alert rules configured:</t>
        </is>
      </c>
      <c r="B59" s="20">
        <f>COUNTA(B6:B45)</f>
        <v/>
      </c>
    </row>
    <row r="60">
      <c r="A60" s="4" t="inlineStr">
        <is>
          <t>Implemented alerts:</t>
        </is>
      </c>
      <c r="B60" s="20">
        <f>COUNTIF(L6:L45,"Implemented")</f>
        <v/>
      </c>
    </row>
    <row r="61">
      <c r="A61" s="4" t="inlineStr">
        <is>
          <t>Critical severity alerts:</t>
        </is>
      </c>
      <c r="B61" s="20">
        <f>COUNTIF(F6:F45,"Critical")</f>
        <v/>
      </c>
    </row>
    <row r="62">
      <c r="A62" s="4" t="inlineStr">
        <is>
          <t>High severity alerts:</t>
        </is>
      </c>
      <c r="B62" s="20">
        <f>COUNTIF(F6:F45,"High")</f>
        <v/>
      </c>
    </row>
    <row r="63">
      <c r="A63" s="4" t="inlineStr">
        <is>
          <t>Alerts with auto-response:</t>
        </is>
      </c>
      <c r="B63" s="20">
        <f>COUNTIF(K6:K45,"Yes")</f>
        <v/>
      </c>
    </row>
    <row r="64">
      <c r="A64" s="4" t="inlineStr">
        <is>
          <t>Alert coverage score:</t>
        </is>
      </c>
      <c r="B64" s="21">
        <f>IF(COUNTA(B6:B45)&gt;0,COUNTIF(L6:L45,"Implemented")/COUNTA(B6:B45),0)</f>
        <v/>
      </c>
    </row>
  </sheetData>
  <mergeCells count="5">
    <mergeCell ref="A48:E48"/>
    <mergeCell ref="A58:D58"/>
    <mergeCell ref="A4:N4"/>
    <mergeCell ref="A2:N2"/>
    <mergeCell ref="A1:N1"/>
  </mergeCells>
  <dataValidations count="5">
    <dataValidation sqref="C6:C45" showDropDown="0" showInputMessage="0" showErrorMessage="0" allowBlank="1" errorTitle="Invalid Entry" error="Please select from dropdown" promptTitle="Available Options" prompt="Select from list" type="list">
      <formula1>"Threat_Detection,Policy_Violation,System_Health,Threshold_Breach,Anomaly,Compliance"</formula1>
    </dataValidation>
    <dataValidation sqref="F6:F45" showDropDown="0" showInputMessage="0" showErrorMessage="0" allowBlank="1" errorTitle="Invalid Entry" error="Please select from dropdown" promptTitle="Available Options" prompt="Select from list" type="list">
      <formula1>"Critical,High,Medium,Low,Informational"</formula1>
    </dataValidation>
    <dataValidation sqref="G6:G45" showDropDown="0" showInputMessage="0" showErrorMessage="0" allowBlank="1" errorTitle="Invalid Entry" error="Please select from dropdown" promptTitle="Available Options" prompt="Select from list" type="list">
      <formula1>"Email,SMS,SIEM_Alert,Ticket,Dashboard,Webhook,PagerDuty,Teams,Slack"</formula1>
    </dataValidation>
    <dataValidation sqref="K6:K45" showDropDown="0" showInputMessage="0" showErrorMessage="0" allowBlank="1" errorTitle="Invalid Entry" error="Please select from dropdown" promptTitle="Available Options" prompt="Select from list" type="list">
      <formula1>"Yes,No,Partial"</formula1>
    </dataValidation>
    <dataValidation sqref="L6:L45"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20" customWidth="1" min="3" max="3"/>
    <col width="20" customWidth="1" min="4" max="4"/>
    <col width="18" customWidth="1" min="5" max="5"/>
    <col width="18" customWidth="1" min="6" max="6"/>
    <col width="45" customWidth="1" min="7" max="7"/>
    <col width="18" customWidth="1" min="8" max="8"/>
    <col width="14" customWidth="1" min="9" max="9"/>
    <col width="18" customWidth="1" min="10" max="10"/>
  </cols>
  <sheetData>
    <row r="1" ht="30" customHeight="1">
      <c r="A1" s="1" t="inlineStr">
        <is>
          <t>MONITORING DASHBOARD ASSESSMENT</t>
        </is>
      </c>
    </row>
    <row r="2">
      <c r="A2" s="16" t="inlineStr">
        <is>
          <t>Document monitoring dashboards, KPIs tracked, and review frequency</t>
        </is>
      </c>
    </row>
    <row r="4">
      <c r="A4" s="3" t="inlineStr">
        <is>
          <t>SECTION A: DASHBOARD INVENTORY</t>
        </is>
      </c>
    </row>
    <row r="5">
      <c r="A5" s="17" t="inlineStr">
        <is>
          <t>Dashboard_ID</t>
        </is>
      </c>
      <c r="B5" s="17" t="inlineStr">
        <is>
          <t>Dashboard_Name</t>
        </is>
      </c>
      <c r="C5" s="17" t="inlineStr">
        <is>
          <t>Platform</t>
        </is>
      </c>
      <c r="D5" s="17" t="inlineStr">
        <is>
          <t>Primary_Audience</t>
        </is>
      </c>
      <c r="E5" s="17" t="inlineStr">
        <is>
          <t>Update_Frequency</t>
        </is>
      </c>
      <c r="F5" s="17" t="inlineStr">
        <is>
          <t>Review_Frequency</t>
        </is>
      </c>
      <c r="G5" s="17" t="inlineStr">
        <is>
          <t>Key_Metrics_Displayed</t>
        </is>
      </c>
      <c r="H5" s="17" t="inlineStr">
        <is>
          <t>Alerting_Integrated</t>
        </is>
      </c>
      <c r="I5" s="17" t="inlineStr">
        <is>
          <t>Status</t>
        </is>
      </c>
      <c r="J5" s="17" t="inlineStr">
        <is>
          <t>Evidence_Ref</t>
        </is>
      </c>
    </row>
    <row r="6">
      <c r="A6" s="18" t="inlineStr">
        <is>
          <t>DSH-001</t>
        </is>
      </c>
      <c r="B6" s="19" t="n"/>
      <c r="C6" s="19" t="n"/>
      <c r="D6" s="19" t="n"/>
      <c r="E6" s="19" t="n"/>
      <c r="F6" s="19" t="n"/>
      <c r="G6" s="19" t="n"/>
      <c r="H6" s="19" t="n"/>
      <c r="I6" s="19" t="n"/>
      <c r="J6" s="19" t="n"/>
    </row>
    <row r="7">
      <c r="A7" s="18" t="inlineStr">
        <is>
          <t>DSH-002</t>
        </is>
      </c>
      <c r="B7" s="19" t="n"/>
      <c r="C7" s="19" t="n"/>
      <c r="D7" s="19" t="n"/>
      <c r="E7" s="19" t="n"/>
      <c r="F7" s="19" t="n"/>
      <c r="G7" s="19" t="n"/>
      <c r="H7" s="19" t="n"/>
      <c r="I7" s="19" t="n"/>
      <c r="J7" s="19" t="n"/>
    </row>
    <row r="8">
      <c r="A8" s="18" t="inlineStr">
        <is>
          <t>DSH-003</t>
        </is>
      </c>
      <c r="B8" s="19" t="n"/>
      <c r="C8" s="19" t="n"/>
      <c r="D8" s="19" t="n"/>
      <c r="E8" s="19" t="n"/>
      <c r="F8" s="19" t="n"/>
      <c r="G8" s="19" t="n"/>
      <c r="H8" s="19" t="n"/>
      <c r="I8" s="19" t="n"/>
      <c r="J8" s="19" t="n"/>
    </row>
    <row r="9">
      <c r="A9" s="18" t="inlineStr">
        <is>
          <t>DSH-004</t>
        </is>
      </c>
      <c r="B9" s="19" t="n"/>
      <c r="C9" s="19" t="n"/>
      <c r="D9" s="19" t="n"/>
      <c r="E9" s="19" t="n"/>
      <c r="F9" s="19" t="n"/>
      <c r="G9" s="19" t="n"/>
      <c r="H9" s="19" t="n"/>
      <c r="I9" s="19" t="n"/>
      <c r="J9" s="19" t="n"/>
    </row>
    <row r="10">
      <c r="A10" s="18" t="inlineStr">
        <is>
          <t>DSH-005</t>
        </is>
      </c>
      <c r="B10" s="19" t="n"/>
      <c r="C10" s="19" t="n"/>
      <c r="D10" s="19" t="n"/>
      <c r="E10" s="19" t="n"/>
      <c r="F10" s="19" t="n"/>
      <c r="G10" s="19" t="n"/>
      <c r="H10" s="19" t="n"/>
      <c r="I10" s="19" t="n"/>
      <c r="J10" s="19" t="n"/>
    </row>
    <row r="11">
      <c r="A11" s="18" t="inlineStr">
        <is>
          <t>DSH-006</t>
        </is>
      </c>
      <c r="B11" s="19" t="n"/>
      <c r="C11" s="19" t="n"/>
      <c r="D11" s="19" t="n"/>
      <c r="E11" s="19" t="n"/>
      <c r="F11" s="19" t="n"/>
      <c r="G11" s="19" t="n"/>
      <c r="H11" s="19" t="n"/>
      <c r="I11" s="19" t="n"/>
      <c r="J11" s="19" t="n"/>
    </row>
    <row r="12">
      <c r="A12" s="18" t="inlineStr">
        <is>
          <t>DSH-007</t>
        </is>
      </c>
      <c r="B12" s="19" t="n"/>
      <c r="C12" s="19" t="n"/>
      <c r="D12" s="19" t="n"/>
      <c r="E12" s="19" t="n"/>
      <c r="F12" s="19" t="n"/>
      <c r="G12" s="19" t="n"/>
      <c r="H12" s="19" t="n"/>
      <c r="I12" s="19" t="n"/>
      <c r="J12" s="19" t="n"/>
    </row>
    <row r="13">
      <c r="A13" s="18" t="inlineStr">
        <is>
          <t>DSH-008</t>
        </is>
      </c>
      <c r="B13" s="19" t="n"/>
      <c r="C13" s="19" t="n"/>
      <c r="D13" s="19" t="n"/>
      <c r="E13" s="19" t="n"/>
      <c r="F13" s="19" t="n"/>
      <c r="G13" s="19" t="n"/>
      <c r="H13" s="19" t="n"/>
      <c r="I13" s="19" t="n"/>
      <c r="J13" s="19" t="n"/>
    </row>
    <row r="14">
      <c r="A14" s="18" t="inlineStr">
        <is>
          <t>DSH-009</t>
        </is>
      </c>
      <c r="B14" s="19" t="n"/>
      <c r="C14" s="19" t="n"/>
      <c r="D14" s="19" t="n"/>
      <c r="E14" s="19" t="n"/>
      <c r="F14" s="19" t="n"/>
      <c r="G14" s="19" t="n"/>
      <c r="H14" s="19" t="n"/>
      <c r="I14" s="19" t="n"/>
      <c r="J14" s="19" t="n"/>
    </row>
    <row r="15">
      <c r="A15" s="18" t="inlineStr">
        <is>
          <t>DSH-010</t>
        </is>
      </c>
      <c r="B15" s="19" t="n"/>
      <c r="C15" s="19" t="n"/>
      <c r="D15" s="19" t="n"/>
      <c r="E15" s="19" t="n"/>
      <c r="F15" s="19" t="n"/>
      <c r="G15" s="19" t="n"/>
      <c r="H15" s="19" t="n"/>
      <c r="I15" s="19" t="n"/>
      <c r="J15" s="19" t="n"/>
    </row>
    <row r="16">
      <c r="A16" s="18" t="inlineStr">
        <is>
          <t>DSH-011</t>
        </is>
      </c>
      <c r="B16" s="19" t="n"/>
      <c r="C16" s="19" t="n"/>
      <c r="D16" s="19" t="n"/>
      <c r="E16" s="19" t="n"/>
      <c r="F16" s="19" t="n"/>
      <c r="G16" s="19" t="n"/>
      <c r="H16" s="19" t="n"/>
      <c r="I16" s="19" t="n"/>
      <c r="J16" s="19" t="n"/>
    </row>
    <row r="17">
      <c r="A17" s="18" t="inlineStr">
        <is>
          <t>DSH-012</t>
        </is>
      </c>
      <c r="B17" s="19" t="n"/>
      <c r="C17" s="19" t="n"/>
      <c r="D17" s="19" t="n"/>
      <c r="E17" s="19" t="n"/>
      <c r="F17" s="19" t="n"/>
      <c r="G17" s="19" t="n"/>
      <c r="H17" s="19" t="n"/>
      <c r="I17" s="19" t="n"/>
      <c r="J17" s="19" t="n"/>
    </row>
    <row r="18">
      <c r="A18" s="18" t="inlineStr">
        <is>
          <t>DSH-013</t>
        </is>
      </c>
      <c r="B18" s="19" t="n"/>
      <c r="C18" s="19" t="n"/>
      <c r="D18" s="19" t="n"/>
      <c r="E18" s="19" t="n"/>
      <c r="F18" s="19" t="n"/>
      <c r="G18" s="19" t="n"/>
      <c r="H18" s="19" t="n"/>
      <c r="I18" s="19" t="n"/>
      <c r="J18" s="19" t="n"/>
    </row>
    <row r="19">
      <c r="A19" s="18" t="inlineStr">
        <is>
          <t>DSH-014</t>
        </is>
      </c>
      <c r="B19" s="19" t="n"/>
      <c r="C19" s="19" t="n"/>
      <c r="D19" s="19" t="n"/>
      <c r="E19" s="19" t="n"/>
      <c r="F19" s="19" t="n"/>
      <c r="G19" s="19" t="n"/>
      <c r="H19" s="19" t="n"/>
      <c r="I19" s="19" t="n"/>
      <c r="J19" s="19" t="n"/>
    </row>
    <row r="20">
      <c r="A20" s="18" t="inlineStr">
        <is>
          <t>DSH-015</t>
        </is>
      </c>
      <c r="B20" s="19" t="n"/>
      <c r="C20" s="19" t="n"/>
      <c r="D20" s="19" t="n"/>
      <c r="E20" s="19" t="n"/>
      <c r="F20" s="19" t="n"/>
      <c r="G20" s="19" t="n"/>
      <c r="H20" s="19" t="n"/>
      <c r="I20" s="19" t="n"/>
      <c r="J20" s="19" t="n"/>
    </row>
    <row r="21">
      <c r="A21" s="18" t="inlineStr">
        <is>
          <t>DSH-016</t>
        </is>
      </c>
      <c r="B21" s="19" t="n"/>
      <c r="C21" s="19" t="n"/>
      <c r="D21" s="19" t="n"/>
      <c r="E21" s="19" t="n"/>
      <c r="F21" s="19" t="n"/>
      <c r="G21" s="19" t="n"/>
      <c r="H21" s="19" t="n"/>
      <c r="I21" s="19" t="n"/>
      <c r="J21" s="19" t="n"/>
    </row>
    <row r="22">
      <c r="A22" s="18" t="inlineStr">
        <is>
          <t>DSH-017</t>
        </is>
      </c>
      <c r="B22" s="19" t="n"/>
      <c r="C22" s="19" t="n"/>
      <c r="D22" s="19" t="n"/>
      <c r="E22" s="19" t="n"/>
      <c r="F22" s="19" t="n"/>
      <c r="G22" s="19" t="n"/>
      <c r="H22" s="19" t="n"/>
      <c r="I22" s="19" t="n"/>
      <c r="J22" s="19" t="n"/>
    </row>
    <row r="23">
      <c r="A23" s="18" t="inlineStr">
        <is>
          <t>DSH-018</t>
        </is>
      </c>
      <c r="B23" s="19" t="n"/>
      <c r="C23" s="19" t="n"/>
      <c r="D23" s="19" t="n"/>
      <c r="E23" s="19" t="n"/>
      <c r="F23" s="19" t="n"/>
      <c r="G23" s="19" t="n"/>
      <c r="H23" s="19" t="n"/>
      <c r="I23" s="19" t="n"/>
      <c r="J23" s="19" t="n"/>
    </row>
    <row r="24">
      <c r="A24" s="18" t="inlineStr">
        <is>
          <t>DSH-019</t>
        </is>
      </c>
      <c r="B24" s="19" t="n"/>
      <c r="C24" s="19" t="n"/>
      <c r="D24" s="19" t="n"/>
      <c r="E24" s="19" t="n"/>
      <c r="F24" s="19" t="n"/>
      <c r="G24" s="19" t="n"/>
      <c r="H24" s="19" t="n"/>
      <c r="I24" s="19" t="n"/>
      <c r="J24" s="19" t="n"/>
    </row>
    <row r="25">
      <c r="A25" s="18" t="inlineStr">
        <is>
          <t>DSH-020</t>
        </is>
      </c>
      <c r="B25" s="19" t="n"/>
      <c r="C25" s="19" t="n"/>
      <c r="D25" s="19" t="n"/>
      <c r="E25" s="19" t="n"/>
      <c r="F25" s="19" t="n"/>
      <c r="G25" s="19" t="n"/>
      <c r="H25" s="19" t="n"/>
      <c r="I25" s="19" t="n"/>
      <c r="J25" s="19" t="n"/>
    </row>
    <row r="28">
      <c r="A28" s="3" t="inlineStr">
        <is>
          <t>SECTION B: KEY PERFORMANCE INDICATORS (KPIs)</t>
        </is>
      </c>
    </row>
    <row r="29">
      <c r="A29" s="17" t="inlineStr">
        <is>
          <t>KPI_ID</t>
        </is>
      </c>
      <c r="B29" s="17" t="inlineStr">
        <is>
          <t>KPI_Name</t>
        </is>
      </c>
      <c r="C29" s="17" t="inlineStr">
        <is>
          <t>Category</t>
        </is>
      </c>
      <c r="D29" s="17" t="inlineStr">
        <is>
          <t>Measurement_Unit</t>
        </is>
      </c>
      <c r="E29" s="17" t="inlineStr">
        <is>
          <t>Target_Value</t>
        </is>
      </c>
      <c r="F29" s="17" t="inlineStr">
        <is>
          <t>Current_Value</t>
        </is>
      </c>
      <c r="G29" s="17" t="inlineStr">
        <is>
          <t>Trend</t>
        </is>
      </c>
      <c r="H29" s="17" t="inlineStr">
        <is>
          <t>Review_Freq</t>
        </is>
      </c>
      <c r="I29" s="17" t="inlineStr">
        <is>
          <t>Owner_Role</t>
        </is>
      </c>
      <c r="J29" s="17" t="inlineStr">
        <is>
          <t>Status</t>
        </is>
      </c>
    </row>
    <row r="30">
      <c r="A30" s="18" t="inlineStr">
        <is>
          <t>KPI-001</t>
        </is>
      </c>
      <c r="B30" s="23" t="inlineStr">
        <is>
          <t>Total blocked requests (daily)</t>
        </is>
      </c>
      <c r="C30" s="23" t="inlineStr">
        <is>
          <t>Volume</t>
        </is>
      </c>
      <c r="D30" s="23" t="inlineStr">
        <is>
          <t>Count</t>
        </is>
      </c>
      <c r="E30" s="19" t="n"/>
      <c r="F30" s="19" t="n"/>
      <c r="G30" s="19" t="n"/>
      <c r="H30" s="19" t="n"/>
      <c r="I30" s="19" t="n"/>
      <c r="J30" s="19" t="n"/>
    </row>
    <row r="31">
      <c r="A31" s="18" t="inlineStr">
        <is>
          <t>KPI-002</t>
        </is>
      </c>
      <c r="B31" s="23" t="inlineStr">
        <is>
          <t>Block rate percentage</t>
        </is>
      </c>
      <c r="C31" s="23" t="inlineStr">
        <is>
          <t>Security</t>
        </is>
      </c>
      <c r="D31" s="23" t="inlineStr">
        <is>
          <t>Percentage</t>
        </is>
      </c>
      <c r="E31" s="19" t="n"/>
      <c r="F31" s="19" t="n"/>
      <c r="G31" s="19" t="n"/>
      <c r="H31" s="19" t="n"/>
      <c r="I31" s="19" t="n"/>
      <c r="J31" s="19" t="n"/>
    </row>
    <row r="32">
      <c r="A32" s="18" t="inlineStr">
        <is>
          <t>KPI-003</t>
        </is>
      </c>
      <c r="B32" s="23" t="inlineStr">
        <is>
          <t>Malware blocks (daily)</t>
        </is>
      </c>
      <c r="C32" s="23" t="inlineStr">
        <is>
          <t>Security</t>
        </is>
      </c>
      <c r="D32" s="23" t="inlineStr">
        <is>
          <t>Count</t>
        </is>
      </c>
      <c r="E32" s="19" t="n"/>
      <c r="F32" s="19" t="n"/>
      <c r="G32" s="19" t="n"/>
      <c r="H32" s="19" t="n"/>
      <c r="I32" s="19" t="n"/>
      <c r="J32" s="19" t="n"/>
    </row>
    <row r="33">
      <c r="A33" s="18" t="inlineStr">
        <is>
          <t>KPI-004</t>
        </is>
      </c>
      <c r="B33" s="23" t="inlineStr">
        <is>
          <t>Phishing blocks (daily)</t>
        </is>
      </c>
      <c r="C33" s="23" t="inlineStr">
        <is>
          <t>Security</t>
        </is>
      </c>
      <c r="D33" s="23" t="inlineStr">
        <is>
          <t>Count</t>
        </is>
      </c>
      <c r="E33" s="19" t="n"/>
      <c r="F33" s="19" t="n"/>
      <c r="G33" s="19" t="n"/>
      <c r="H33" s="19" t="n"/>
      <c r="I33" s="19" t="n"/>
      <c r="J33" s="19" t="n"/>
    </row>
    <row r="34">
      <c r="A34" s="18" t="inlineStr">
        <is>
          <t>KPI-005</t>
        </is>
      </c>
      <c r="B34" s="23" t="inlineStr">
        <is>
          <t>Policy violation blocks</t>
        </is>
      </c>
      <c r="C34" s="23" t="inlineStr">
        <is>
          <t>Compliance</t>
        </is>
      </c>
      <c r="D34" s="23" t="inlineStr">
        <is>
          <t>Count</t>
        </is>
      </c>
      <c r="E34" s="19" t="n"/>
      <c r="F34" s="19" t="n"/>
      <c r="G34" s="19" t="n"/>
      <c r="H34" s="19" t="n"/>
      <c r="I34" s="19" t="n"/>
      <c r="J34" s="19" t="n"/>
    </row>
    <row r="35">
      <c r="A35" s="18" t="inlineStr">
        <is>
          <t>KPI-006</t>
        </is>
      </c>
      <c r="B35" s="23" t="inlineStr">
        <is>
          <t>Bypass attempts detected</t>
        </is>
      </c>
      <c r="C35" s="23" t="inlineStr">
        <is>
          <t>Security</t>
        </is>
      </c>
      <c r="D35" s="23" t="inlineStr">
        <is>
          <t>Count</t>
        </is>
      </c>
      <c r="E35" s="19" t="n"/>
      <c r="F35" s="19" t="n"/>
      <c r="G35" s="19" t="n"/>
      <c r="H35" s="19" t="n"/>
      <c r="I35" s="19" t="n"/>
      <c r="J35" s="19" t="n"/>
    </row>
    <row r="36">
      <c r="A36" s="18" t="inlineStr">
        <is>
          <t>KPI-007</t>
        </is>
      </c>
      <c r="B36" s="23" t="inlineStr">
        <is>
          <t>False positive rate</t>
        </is>
      </c>
      <c r="C36" s="23" t="inlineStr">
        <is>
          <t>Operational</t>
        </is>
      </c>
      <c r="D36" s="23" t="inlineStr">
        <is>
          <t>Percentage</t>
        </is>
      </c>
      <c r="E36" s="19" t="n"/>
      <c r="F36" s="19" t="n"/>
      <c r="G36" s="19" t="n"/>
      <c r="H36" s="19" t="n"/>
      <c r="I36" s="19" t="n"/>
      <c r="J36" s="19" t="n"/>
    </row>
    <row r="37">
      <c r="A37" s="18" t="inlineStr">
        <is>
          <t>KPI-008</t>
        </is>
      </c>
      <c r="B37" s="23" t="inlineStr">
        <is>
          <t>False positive resolution time</t>
        </is>
      </c>
      <c r="C37" s="23" t="inlineStr">
        <is>
          <t>Operational</t>
        </is>
      </c>
      <c r="D37" s="23" t="inlineStr">
        <is>
          <t>Hours</t>
        </is>
      </c>
      <c r="E37" s="19" t="n"/>
      <c r="F37" s="19" t="n"/>
      <c r="G37" s="19" t="n"/>
      <c r="H37" s="19" t="n"/>
      <c r="I37" s="19" t="n"/>
      <c r="J37" s="19" t="n"/>
    </row>
    <row r="38">
      <c r="A38" s="18" t="inlineStr">
        <is>
          <t>KPI-009</t>
        </is>
      </c>
      <c r="B38" s="23" t="inlineStr">
        <is>
          <t>Alert response time (avg)</t>
        </is>
      </c>
      <c r="C38" s="23" t="inlineStr">
        <is>
          <t>Performance</t>
        </is>
      </c>
      <c r="D38" s="23" t="inlineStr">
        <is>
          <t>Minutes</t>
        </is>
      </c>
      <c r="E38" s="19" t="n"/>
      <c r="F38" s="19" t="n"/>
      <c r="G38" s="19" t="n"/>
      <c r="H38" s="19" t="n"/>
      <c r="I38" s="19" t="n"/>
      <c r="J38" s="19" t="n"/>
    </row>
    <row r="39">
      <c r="A39" s="18" t="inlineStr">
        <is>
          <t>KPI-010</t>
        </is>
      </c>
      <c r="B39" s="23" t="inlineStr">
        <is>
          <t>Critical incident response time</t>
        </is>
      </c>
      <c r="C39" s="23" t="inlineStr">
        <is>
          <t>Performance</t>
        </is>
      </c>
      <c r="D39" s="23" t="inlineStr">
        <is>
          <t>Minutes</t>
        </is>
      </c>
      <c r="E39" s="19" t="n"/>
      <c r="F39" s="19" t="n"/>
      <c r="G39" s="19" t="n"/>
      <c r="H39" s="19" t="n"/>
      <c r="I39" s="19" t="n"/>
      <c r="J39" s="19" t="n"/>
    </row>
    <row r="40">
      <c r="A40" s="18" t="inlineStr">
        <is>
          <t>KPI-011</t>
        </is>
      </c>
      <c r="B40" s="23" t="inlineStr">
        <is>
          <t>User complaints (weekly)</t>
        </is>
      </c>
      <c r="C40" s="23" t="inlineStr">
        <is>
          <t>Operational</t>
        </is>
      </c>
      <c r="D40" s="23" t="inlineStr">
        <is>
          <t>Count</t>
        </is>
      </c>
      <c r="E40" s="19" t="n"/>
      <c r="F40" s="19" t="n"/>
      <c r="G40" s="19" t="n"/>
      <c r="H40" s="19" t="n"/>
      <c r="I40" s="19" t="n"/>
      <c r="J40" s="19" t="n"/>
    </row>
    <row r="41">
      <c r="A41" s="18" t="inlineStr">
        <is>
          <t>KPI-012</t>
        </is>
      </c>
      <c r="B41" s="23" t="inlineStr">
        <is>
          <t>Exception requests (monthly)</t>
        </is>
      </c>
      <c r="C41" s="23" t="inlineStr">
        <is>
          <t>Compliance</t>
        </is>
      </c>
      <c r="D41" s="23" t="inlineStr">
        <is>
          <t>Count</t>
        </is>
      </c>
      <c r="E41" s="19" t="n"/>
      <c r="F41" s="19" t="n"/>
      <c r="G41" s="19" t="n"/>
      <c r="H41" s="19" t="n"/>
      <c r="I41" s="19" t="n"/>
      <c r="J41" s="19" t="n"/>
    </row>
    <row r="42">
      <c r="A42" s="18" t="inlineStr">
        <is>
          <t>KPI-013</t>
        </is>
      </c>
      <c r="B42" s="23" t="inlineStr">
        <is>
          <t>Log collection uptime</t>
        </is>
      </c>
      <c r="C42" s="23" t="inlineStr">
        <is>
          <t>Performance</t>
        </is>
      </c>
      <c r="D42" s="23" t="inlineStr">
        <is>
          <t>Percentage</t>
        </is>
      </c>
      <c r="E42" s="19" t="n"/>
      <c r="F42" s="19" t="n"/>
      <c r="G42" s="19" t="n"/>
      <c r="H42" s="19" t="n"/>
      <c r="I42" s="19" t="n"/>
      <c r="J42" s="19" t="n"/>
    </row>
    <row r="43">
      <c r="A43" s="18" t="inlineStr">
        <is>
          <t>KPI-014</t>
        </is>
      </c>
      <c r="B43" s="23" t="inlineStr">
        <is>
          <t>Dashboard availability</t>
        </is>
      </c>
      <c r="C43" s="23" t="inlineStr">
        <is>
          <t>Performance</t>
        </is>
      </c>
      <c r="D43" s="23" t="inlineStr">
        <is>
          <t>Percentage</t>
        </is>
      </c>
      <c r="E43" s="19" t="n"/>
      <c r="F43" s="19" t="n"/>
      <c r="G43" s="19" t="n"/>
      <c r="H43" s="19" t="n"/>
      <c r="I43" s="19" t="n"/>
      <c r="J43" s="19" t="n"/>
    </row>
    <row r="44">
      <c r="A44" s="18" t="inlineStr">
        <is>
          <t>KPI-015</t>
        </is>
      </c>
      <c r="B44" s="23" t="inlineStr">
        <is>
          <t>Report delivery on-time rate</t>
        </is>
      </c>
      <c r="C44" s="23" t="inlineStr">
        <is>
          <t>Operational</t>
        </is>
      </c>
      <c r="D44" s="23" t="inlineStr">
        <is>
          <t>Percentage</t>
        </is>
      </c>
      <c r="E44" s="19" t="n"/>
      <c r="F44" s="19" t="n"/>
      <c r="G44" s="19" t="n"/>
      <c r="H44" s="19" t="n"/>
      <c r="I44" s="19" t="n"/>
      <c r="J44" s="19" t="n"/>
    </row>
    <row r="45">
      <c r="A45" s="18" t="inlineStr">
        <is>
          <t>KPI-016</t>
        </is>
      </c>
      <c r="B45" s="23" t="inlineStr">
        <is>
          <t>SLA compliance rate</t>
        </is>
      </c>
      <c r="C45" s="23" t="inlineStr">
        <is>
          <t>Compliance</t>
        </is>
      </c>
      <c r="D45" s="23" t="inlineStr">
        <is>
          <t>Percentage</t>
        </is>
      </c>
      <c r="E45" s="19" t="n"/>
      <c r="F45" s="19" t="n"/>
      <c r="G45" s="19" t="n"/>
      <c r="H45" s="19" t="n"/>
      <c r="I45" s="19" t="n"/>
      <c r="J45" s="19" t="n"/>
    </row>
    <row r="46">
      <c r="A46" s="18" t="inlineStr">
        <is>
          <t>KPI-017</t>
        </is>
      </c>
      <c r="B46" s="23" t="inlineStr">
        <is>
          <t>Unique users blocked (daily)</t>
        </is>
      </c>
      <c r="C46" s="23" t="inlineStr">
        <is>
          <t>Volume</t>
        </is>
      </c>
      <c r="D46" s="23" t="inlineStr">
        <is>
          <t>Count</t>
        </is>
      </c>
      <c r="E46" s="19" t="n"/>
      <c r="F46" s="19" t="n"/>
      <c r="G46" s="19" t="n"/>
      <c r="H46" s="19" t="n"/>
      <c r="I46" s="19" t="n"/>
      <c r="J46" s="19" t="n"/>
    </row>
    <row r="47">
      <c r="A47" s="18" t="inlineStr">
        <is>
          <t>KPI-018</t>
        </is>
      </c>
      <c r="B47" s="23" t="inlineStr">
        <is>
          <t>Top category blocks</t>
        </is>
      </c>
      <c r="C47" s="23" t="inlineStr">
        <is>
          <t>Volume</t>
        </is>
      </c>
      <c r="D47" s="23" t="inlineStr">
        <is>
          <t>Category</t>
        </is>
      </c>
      <c r="E47" s="19" t="n"/>
      <c r="F47" s="19" t="n"/>
      <c r="G47" s="19" t="n"/>
      <c r="H47" s="19" t="n"/>
      <c r="I47" s="19" t="n"/>
      <c r="J47" s="19" t="n"/>
    </row>
    <row r="48">
      <c r="A48" s="18" t="inlineStr">
        <is>
          <t>KPI-019</t>
        </is>
      </c>
      <c r="B48" s="23" t="inlineStr">
        <is>
          <t>Threat intelligence hits</t>
        </is>
      </c>
      <c r="C48" s="23" t="inlineStr">
        <is>
          <t>Security</t>
        </is>
      </c>
      <c r="D48" s="23" t="inlineStr">
        <is>
          <t>Count</t>
        </is>
      </c>
      <c r="E48" s="19" t="n"/>
      <c r="F48" s="19" t="n"/>
      <c r="G48" s="19" t="n"/>
      <c r="H48" s="19" t="n"/>
      <c r="I48" s="19" t="n"/>
      <c r="J48" s="19" t="n"/>
    </row>
    <row r="49">
      <c r="A49" s="18" t="inlineStr">
        <is>
          <t>KPI-020</t>
        </is>
      </c>
      <c r="B49" s="23" t="inlineStr">
        <is>
          <t>Configuration change count</t>
        </is>
      </c>
      <c r="C49" s="23" t="inlineStr">
        <is>
          <t>Operational</t>
        </is>
      </c>
      <c r="D49" s="23" t="inlineStr">
        <is>
          <t>Count</t>
        </is>
      </c>
      <c r="E49" s="19" t="n"/>
      <c r="F49" s="19" t="n"/>
      <c r="G49" s="19" t="n"/>
      <c r="H49" s="19" t="n"/>
      <c r="I49" s="19" t="n"/>
      <c r="J49" s="19" t="n"/>
    </row>
    <row r="52">
      <c r="A52" s="3" t="inlineStr">
        <is>
          <t>SECTION C: SUMMARY METRICS</t>
        </is>
      </c>
    </row>
    <row r="53">
      <c r="A53" s="4" t="inlineStr">
        <is>
          <t>Total dashboards configured:</t>
        </is>
      </c>
      <c r="B53" s="20">
        <f>COUNTA(B6:B25)</f>
        <v/>
      </c>
    </row>
    <row r="54">
      <c r="A54" s="4" t="inlineStr">
        <is>
          <t>Dashboards with alerting:</t>
        </is>
      </c>
      <c r="B54" s="20">
        <f>COUNTIF(H6:H25,"Yes")</f>
        <v/>
      </c>
    </row>
    <row r="55">
      <c r="A55" s="4" t="inlineStr">
        <is>
          <t>Real-time dashboards:</t>
        </is>
      </c>
      <c r="B55" s="20">
        <f>COUNTIF(E6:E25,"Real-Time")</f>
        <v/>
      </c>
    </row>
    <row r="56">
      <c r="A56" s="4" t="inlineStr">
        <is>
          <t>KPIs defined:</t>
        </is>
      </c>
      <c r="B56" s="20">
        <f>COUNTA(B30:B49)</f>
        <v/>
      </c>
    </row>
    <row r="57">
      <c r="A57" s="4" t="inlineStr">
        <is>
          <t>KPIs meeting target:</t>
        </is>
      </c>
      <c r="B57" s="20">
        <f>COUNTIF(J30:J49,"Met")</f>
        <v/>
      </c>
    </row>
    <row r="58">
      <c r="A58" s="4" t="inlineStr">
        <is>
          <t>KPIs at risk:</t>
        </is>
      </c>
      <c r="B58" s="20">
        <f>COUNTIF(J30:J49,"At_Risk")+COUNTIF(J30:J49,"Not_Met")</f>
        <v/>
      </c>
    </row>
  </sheetData>
  <mergeCells count="5">
    <mergeCell ref="A1:J1"/>
    <mergeCell ref="A52:D52"/>
    <mergeCell ref="A4:J4"/>
    <mergeCell ref="A2:J2"/>
    <mergeCell ref="A28:J28"/>
  </mergeCells>
  <dataValidations count="10">
    <dataValidation sqref="C6:C25" showDropDown="0" showInputMessage="0" showErrorMessage="0" allowBlank="1" errorTitle="Invalid Entry" error="Please select from dropdown" promptTitle="Available Options" prompt="Select from list" type="list">
      <formula1>"SIEM,Filtering_Console,Custom,PowerBI,Grafana,Splunk,Cloud_Native,Excel,Other"</formula1>
    </dataValidation>
    <dataValidation sqref="D6:D25" showDropDown="0" showInputMessage="0" showErrorMessage="0" allowBlank="1" errorTitle="Invalid Entry" error="Please select from dropdown" promptTitle="Available Options" prompt="Select from list" type="list">
      <formula1>"SOC,Management,IT_Ops,Compliance,CISO,All,Security_Team"</formula1>
    </dataValidation>
    <dataValidation sqref="E6:E25" showDropDown="0" showInputMessage="0" showErrorMessage="0" allowBlank="1" errorTitle="Invalid Entry" error="Please select from dropdown" promptTitle="Available Options" prompt="Select from list" type="list">
      <formula1>"Real-Time,Hourly,Daily,Weekly,Monthly"</formula1>
    </dataValidation>
    <dataValidation sqref="F6:F25" showDropDown="0" showInputMessage="0" showErrorMessage="0" allowBlank="1" errorTitle="Invalid Entry" error="Please select from dropdown" promptTitle="Available Options" prompt="Select from list" type="list">
      <formula1>"Real-Time,Hourly,Daily,Weekly,Monthly"</formula1>
    </dataValidation>
    <dataValidation sqref="H6:H25" showDropDown="0" showInputMessage="0" showErrorMessage="0" allowBlank="1" errorTitle="Invalid Entry" error="Please select from dropdown" promptTitle="Available Options" prompt="Select from list" type="list">
      <formula1>"Yes,No"</formula1>
    </dataValidation>
    <dataValidation sqref="I6:I25" showDropDown="0" showInputMessage="0" showErrorMessage="0" allowBlank="1" errorTitle="Invalid Entry" error="Please select from dropdown" promptTitle="Available Options" prompt="Select from list" type="list">
      <formula1>"Implemented,Partial,Planned,Not_Implemented,N/A"</formula1>
    </dataValidation>
    <dataValidation sqref="C30:C49" showDropDown="0" showInputMessage="0" showErrorMessage="0" allowBlank="1" errorTitle="Invalid Entry" error="Please select from dropdown" promptTitle="Available Options" prompt="Select from list" type="list">
      <formula1>"Volume,Security,Performance,Compliance,Operational"</formula1>
    </dataValidation>
    <dataValidation sqref="G30:G49"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H30:H49" showDropDown="0" showInputMessage="0" showErrorMessage="0" allowBlank="1" errorTitle="Invalid Entry" error="Please select from dropdown" promptTitle="Available Options" prompt="Select from list" type="list">
      <formula1>"Daily,Weekly,Monthly,Quarterly,Annual,Ad-hoc"</formula1>
    </dataValidation>
    <dataValidation sqref="J30:J49"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16" customWidth="1" min="3" max="3"/>
    <col width="20" customWidth="1" min="4" max="4"/>
    <col width="20" customWidth="1" min="5" max="5"/>
    <col width="20" customWidth="1" min="6" max="6"/>
    <col width="30" customWidth="1" min="7" max="7"/>
    <col width="20" customWidth="1" min="8" max="8"/>
    <col width="14" customWidth="1" min="9" max="9"/>
    <col width="20" customWidth="1" min="10" max="10"/>
  </cols>
  <sheetData>
    <row r="1" ht="30" customHeight="1">
      <c r="A1" s="1" t="inlineStr">
        <is>
          <t>INCIDENT RESPONSE ASSESSMENT</t>
        </is>
      </c>
    </row>
    <row r="2">
      <c r="A2" s="16" t="inlineStr">
        <is>
          <t>Document incident categories, SLAs, response procedures, and performance metrics</t>
        </is>
      </c>
    </row>
    <row r="4">
      <c r="A4" s="3" t="inlineStr">
        <is>
          <t>SECTION A: INCIDENT CATEGORIES &amp; SLAs</t>
        </is>
      </c>
    </row>
    <row r="5">
      <c r="A5" s="17" t="inlineStr">
        <is>
          <t>Category_ID</t>
        </is>
      </c>
      <c r="B5" s="17" t="inlineStr">
        <is>
          <t>Incident_Category</t>
        </is>
      </c>
      <c r="C5" s="17" t="inlineStr">
        <is>
          <t>Default_Severity</t>
        </is>
      </c>
      <c r="D5" s="17" t="inlineStr">
        <is>
          <t>Response_SLA_Min</t>
        </is>
      </c>
      <c r="E5" s="17" t="inlineStr">
        <is>
          <t>Resolution_SLA_Hrs</t>
        </is>
      </c>
      <c r="F5" s="17" t="inlineStr">
        <is>
          <t>Escalation_Threshold</t>
        </is>
      </c>
      <c r="G5" s="17" t="inlineStr">
        <is>
          <t>Response_Procedure</t>
        </is>
      </c>
      <c r="H5" s="17" t="inlineStr">
        <is>
          <t>Owner_Role</t>
        </is>
      </c>
      <c r="I5" s="17" t="inlineStr">
        <is>
          <t>Status</t>
        </is>
      </c>
    </row>
    <row r="6">
      <c r="A6" s="18" t="inlineStr">
        <is>
          <t>CAT-001</t>
        </is>
      </c>
      <c r="B6" s="23" t="inlineStr">
        <is>
          <t>Malware delivery attempt</t>
        </is>
      </c>
      <c r="C6" s="23" t="inlineStr">
        <is>
          <t>Critical</t>
        </is>
      </c>
      <c r="D6" s="23" t="n">
        <v>15</v>
      </c>
      <c r="E6" s="23" t="n">
        <v>4</v>
      </c>
      <c r="F6" s="19" t="n"/>
      <c r="G6" s="19" t="n"/>
      <c r="H6" s="19" t="n"/>
      <c r="I6" s="19" t="n"/>
    </row>
    <row r="7">
      <c r="A7" s="18" t="inlineStr">
        <is>
          <t>CAT-002</t>
        </is>
      </c>
      <c r="B7" s="23" t="inlineStr">
        <is>
          <t>Phishing site access</t>
        </is>
      </c>
      <c r="C7" s="23" t="inlineStr">
        <is>
          <t>Critical</t>
        </is>
      </c>
      <c r="D7" s="23" t="n">
        <v>15</v>
      </c>
      <c r="E7" s="23" t="n">
        <v>4</v>
      </c>
      <c r="F7" s="19" t="n"/>
      <c r="G7" s="19" t="n"/>
      <c r="H7" s="19" t="n"/>
      <c r="I7" s="19" t="n"/>
    </row>
    <row r="8">
      <c r="A8" s="18" t="inlineStr">
        <is>
          <t>CAT-003</t>
        </is>
      </c>
      <c r="B8" s="23" t="inlineStr">
        <is>
          <t>Command &amp; Control communication</t>
        </is>
      </c>
      <c r="C8" s="23" t="inlineStr">
        <is>
          <t>Critical</t>
        </is>
      </c>
      <c r="D8" s="23" t="n">
        <v>15</v>
      </c>
      <c r="E8" s="23" t="n">
        <v>2</v>
      </c>
      <c r="F8" s="19" t="n"/>
      <c r="G8" s="19" t="n"/>
      <c r="H8" s="19" t="n"/>
      <c r="I8" s="19" t="n"/>
    </row>
    <row r="9">
      <c r="A9" s="18" t="inlineStr">
        <is>
          <t>CAT-004</t>
        </is>
      </c>
      <c r="B9" s="23" t="inlineStr">
        <is>
          <t>Data exfiltration attempt</t>
        </is>
      </c>
      <c r="C9" s="23" t="inlineStr">
        <is>
          <t>Critical</t>
        </is>
      </c>
      <c r="D9" s="23" t="n">
        <v>15</v>
      </c>
      <c r="E9" s="23" t="n">
        <v>4</v>
      </c>
      <c r="F9" s="19" t="n"/>
      <c r="G9" s="19" t="n"/>
      <c r="H9" s="19" t="n"/>
      <c r="I9" s="19" t="n"/>
    </row>
    <row r="10">
      <c r="A10" s="18" t="inlineStr">
        <is>
          <t>CAT-005</t>
        </is>
      </c>
      <c r="B10" s="23" t="inlineStr">
        <is>
          <t>Exploit kit encounter</t>
        </is>
      </c>
      <c r="C10" s="23" t="inlineStr">
        <is>
          <t>High</t>
        </is>
      </c>
      <c r="D10" s="23" t="n">
        <v>30</v>
      </c>
      <c r="E10" s="23" t="n">
        <v>8</v>
      </c>
      <c r="F10" s="19" t="n"/>
      <c r="G10" s="19" t="n"/>
      <c r="H10" s="19" t="n"/>
      <c r="I10" s="19" t="n"/>
    </row>
    <row r="11">
      <c r="A11" s="18" t="inlineStr">
        <is>
          <t>CAT-006</t>
        </is>
      </c>
      <c r="B11" s="23" t="inlineStr">
        <is>
          <t>Policy violation - gambling</t>
        </is>
      </c>
      <c r="C11" s="23" t="inlineStr">
        <is>
          <t>Medium</t>
        </is>
      </c>
      <c r="D11" s="23" t="n">
        <v>60</v>
      </c>
      <c r="E11" s="23" t="n">
        <v>24</v>
      </c>
      <c r="F11" s="19" t="n"/>
      <c r="G11" s="19" t="n"/>
      <c r="H11" s="19" t="n"/>
      <c r="I11" s="19" t="n"/>
    </row>
    <row r="12">
      <c r="A12" s="18" t="inlineStr">
        <is>
          <t>CAT-007</t>
        </is>
      </c>
      <c r="B12" s="23" t="inlineStr">
        <is>
          <t>Policy violation - adult content</t>
        </is>
      </c>
      <c r="C12" s="23" t="inlineStr">
        <is>
          <t>Medium</t>
        </is>
      </c>
      <c r="D12" s="23" t="n">
        <v>60</v>
      </c>
      <c r="E12" s="23" t="n">
        <v>24</v>
      </c>
      <c r="F12" s="19" t="n"/>
      <c r="G12" s="19" t="n"/>
      <c r="H12" s="19" t="n"/>
      <c r="I12" s="19" t="n"/>
    </row>
    <row r="13">
      <c r="A13" s="18" t="inlineStr">
        <is>
          <t>CAT-008</t>
        </is>
      </c>
      <c r="B13" s="23" t="inlineStr">
        <is>
          <t>Unauthorized bypass attempt</t>
        </is>
      </c>
      <c r="C13" s="23" t="inlineStr">
        <is>
          <t>High</t>
        </is>
      </c>
      <c r="D13" s="23" t="n">
        <v>30</v>
      </c>
      <c r="E13" s="23" t="n">
        <v>8</v>
      </c>
      <c r="F13" s="19" t="n"/>
      <c r="G13" s="19" t="n"/>
      <c r="H13" s="19" t="n"/>
      <c r="I13" s="19" t="n"/>
    </row>
    <row r="14">
      <c r="A14" s="18" t="inlineStr">
        <is>
          <t>CAT-009</t>
        </is>
      </c>
      <c r="B14" s="23" t="inlineStr">
        <is>
          <t>Web filter system failure</t>
        </is>
      </c>
      <c r="C14" s="23" t="inlineStr">
        <is>
          <t>Critical</t>
        </is>
      </c>
      <c r="D14" s="23" t="n">
        <v>15</v>
      </c>
      <c r="E14" s="23" t="n">
        <v>4</v>
      </c>
      <c r="F14" s="19" t="n"/>
      <c r="G14" s="19" t="n"/>
      <c r="H14" s="19" t="n"/>
      <c r="I14" s="19" t="n"/>
    </row>
    <row r="15">
      <c r="A15" s="18" t="inlineStr">
        <is>
          <t>CAT-010</t>
        </is>
      </c>
      <c r="B15" s="23" t="inlineStr">
        <is>
          <t>Log collection failure</t>
        </is>
      </c>
      <c r="C15" s="23" t="inlineStr">
        <is>
          <t>High</t>
        </is>
      </c>
      <c r="D15" s="23" t="n">
        <v>30</v>
      </c>
      <c r="E15" s="23" t="n">
        <v>8</v>
      </c>
      <c r="F15" s="19" t="n"/>
      <c r="G15" s="19" t="n"/>
      <c r="H15" s="19" t="n"/>
      <c r="I15" s="19" t="n"/>
    </row>
    <row r="16">
      <c r="A16" s="18" t="inlineStr">
        <is>
          <t>CAT-011</t>
        </is>
      </c>
      <c r="B16" s="23" t="inlineStr">
        <is>
          <t>False positive - business impact</t>
        </is>
      </c>
      <c r="C16" s="23" t="inlineStr">
        <is>
          <t>Medium</t>
        </is>
      </c>
      <c r="D16" s="23" t="n">
        <v>60</v>
      </c>
      <c r="E16" s="23" t="n">
        <v>24</v>
      </c>
      <c r="F16" s="19" t="n"/>
      <c r="G16" s="19" t="n"/>
      <c r="H16" s="19" t="n"/>
      <c r="I16" s="19" t="n"/>
    </row>
    <row r="17">
      <c r="A17" s="18" t="inlineStr">
        <is>
          <t>CAT-012</t>
        </is>
      </c>
      <c r="B17" s="23" t="inlineStr">
        <is>
          <t>User access exception request</t>
        </is>
      </c>
      <c r="C17" s="23" t="inlineStr">
        <is>
          <t>Low</t>
        </is>
      </c>
      <c r="D17" s="23" t="n">
        <v>240</v>
      </c>
      <c r="E17" s="23" t="n">
        <v>72</v>
      </c>
      <c r="F17" s="19" t="n"/>
      <c r="G17" s="19" t="n"/>
      <c r="H17" s="19" t="n"/>
      <c r="I17" s="19" t="n"/>
    </row>
    <row r="18">
      <c r="A18" s="18" t="inlineStr">
        <is>
          <t>CAT-013</t>
        </is>
      </c>
      <c r="B18" s="23" t="inlineStr">
        <is>
          <t>Suspicious URL reported</t>
        </is>
      </c>
      <c r="C18" s="23" t="inlineStr">
        <is>
          <t>Medium</t>
        </is>
      </c>
      <c r="D18" s="23" t="n">
        <v>60</v>
      </c>
      <c r="E18" s="23" t="n">
        <v>24</v>
      </c>
      <c r="F18" s="19" t="n"/>
      <c r="G18" s="19" t="n"/>
      <c r="H18" s="19" t="n"/>
      <c r="I18" s="19" t="n"/>
    </row>
    <row r="19">
      <c r="A19" s="18" t="inlineStr">
        <is>
          <t>CAT-014</t>
        </is>
      </c>
      <c r="B19" s="23" t="inlineStr">
        <is>
          <t>Category misclassification</t>
        </is>
      </c>
      <c r="C19" s="23" t="inlineStr">
        <is>
          <t>Low</t>
        </is>
      </c>
      <c r="D19" s="23" t="n">
        <v>240</v>
      </c>
      <c r="E19" s="23" t="n">
        <v>72</v>
      </c>
      <c r="F19" s="19" t="n"/>
      <c r="G19" s="19" t="n"/>
      <c r="H19" s="19" t="n"/>
      <c r="I19" s="19" t="n"/>
    </row>
    <row r="20">
      <c r="A20" s="18" t="inlineStr">
        <is>
          <t>CAT-015</t>
        </is>
      </c>
      <c r="B20" s="23" t="inlineStr">
        <is>
          <t>Performance degradation</t>
        </is>
      </c>
      <c r="C20" s="23" t="inlineStr">
        <is>
          <t>Medium</t>
        </is>
      </c>
      <c r="D20" s="23" t="n">
        <v>60</v>
      </c>
      <c r="E20" s="23" t="n">
        <v>24</v>
      </c>
      <c r="F20" s="19" t="n"/>
      <c r="G20" s="19" t="n"/>
      <c r="H20" s="19" t="n"/>
      <c r="I20" s="19" t="n"/>
    </row>
    <row r="24">
      <c r="A24" s="3" t="inlineStr">
        <is>
          <t>SECTION B: SLA PERFORMANCE (Last 90 Days)</t>
        </is>
      </c>
    </row>
    <row r="25">
      <c r="A25" s="22" t="inlineStr">
        <is>
          <t>Metric</t>
        </is>
      </c>
      <c r="B25" s="22" t="inlineStr">
        <is>
          <t>Target</t>
        </is>
      </c>
      <c r="C25" s="22" t="inlineStr">
        <is>
          <t>Actual</t>
        </is>
      </c>
      <c r="D25" s="22" t="inlineStr">
        <is>
          <t>Status</t>
        </is>
      </c>
      <c r="E25" s="22" t="inlineStr">
        <is>
          <t>Notes</t>
        </is>
      </c>
    </row>
    <row r="26">
      <c r="A26" s="20" t="inlineStr">
        <is>
          <t>Critical incident response time</t>
        </is>
      </c>
      <c r="B26" s="20" t="inlineStr">
        <is>
          <t>&lt;15 min</t>
        </is>
      </c>
      <c r="C26" s="5" t="n"/>
      <c r="D26" s="5" t="n"/>
      <c r="E26" s="5" t="n"/>
    </row>
    <row r="27">
      <c r="A27" s="20" t="inlineStr">
        <is>
          <t>High incident response time</t>
        </is>
      </c>
      <c r="B27" s="20" t="inlineStr">
        <is>
          <t>&lt;30 min</t>
        </is>
      </c>
      <c r="C27" s="5" t="n"/>
      <c r="D27" s="5" t="n"/>
      <c r="E27" s="5" t="n"/>
    </row>
    <row r="28">
      <c r="A28" s="20" t="inlineStr">
        <is>
          <t>Medium incident response time</t>
        </is>
      </c>
      <c r="B28" s="20" t="inlineStr">
        <is>
          <t>&lt;60 min</t>
        </is>
      </c>
      <c r="C28" s="5" t="n"/>
      <c r="D28" s="5" t="n"/>
      <c r="E28" s="5" t="n"/>
    </row>
    <row r="29">
      <c r="A29" s="20" t="inlineStr">
        <is>
          <t>Low incident response time</t>
        </is>
      </c>
      <c r="B29" s="20" t="inlineStr">
        <is>
          <t>&lt;4 hours</t>
        </is>
      </c>
      <c r="C29" s="5" t="n"/>
      <c r="D29" s="5" t="n"/>
      <c r="E29" s="5" t="n"/>
    </row>
    <row r="30">
      <c r="A30" s="20" t="inlineStr">
        <is>
          <t>Critical resolution time</t>
        </is>
      </c>
      <c r="B30" s="20" t="inlineStr">
        <is>
          <t>&lt;4 hours</t>
        </is>
      </c>
      <c r="C30" s="5" t="n"/>
      <c r="D30" s="5" t="n"/>
      <c r="E30" s="5" t="n"/>
    </row>
    <row r="31">
      <c r="A31" s="20" t="inlineStr">
        <is>
          <t>High resolution time</t>
        </is>
      </c>
      <c r="B31" s="20" t="inlineStr">
        <is>
          <t>&lt;8 hours</t>
        </is>
      </c>
      <c r="C31" s="5" t="n"/>
      <c r="D31" s="5" t="n"/>
      <c r="E31" s="5" t="n"/>
    </row>
    <row r="32">
      <c r="A32" s="20" t="inlineStr">
        <is>
          <t>Medium resolution time</t>
        </is>
      </c>
      <c r="B32" s="20" t="inlineStr">
        <is>
          <t>&lt;24 hours</t>
        </is>
      </c>
      <c r="C32" s="5" t="n"/>
      <c r="D32" s="5" t="n"/>
      <c r="E32" s="5" t="n"/>
    </row>
    <row r="33">
      <c r="A33" s="20" t="inlineStr">
        <is>
          <t>Overall SLA compliance rate</t>
        </is>
      </c>
      <c r="B33" s="20" t="inlineStr">
        <is>
          <t>&gt;95%</t>
        </is>
      </c>
      <c r="C33" s="5" t="n"/>
      <c r="D33" s="5" t="n"/>
      <c r="E33" s="5" t="n"/>
    </row>
    <row r="34">
      <c r="A34" s="20" t="inlineStr">
        <is>
          <t>Mean time to detect (MTTD)</t>
        </is>
      </c>
      <c r="B34" s="20" t="inlineStr">
        <is>
          <t>&lt;5 min</t>
        </is>
      </c>
      <c r="C34" s="5" t="n"/>
      <c r="D34" s="5" t="n"/>
      <c r="E34" s="5" t="n"/>
    </row>
    <row r="35">
      <c r="A35" s="20" t="inlineStr">
        <is>
          <t>Mean time to respond (MTTR)</t>
        </is>
      </c>
      <c r="B35" s="20" t="inlineStr">
        <is>
          <t>&lt;30 min</t>
        </is>
      </c>
      <c r="C35" s="5" t="n"/>
      <c r="D35" s="5" t="n"/>
      <c r="E35" s="5" t="n"/>
    </row>
    <row r="38">
      <c r="A38" s="3" t="inlineStr">
        <is>
          <t>SECTION C: RECENT INCIDENT SUMMARY (Last 20 Incidents)</t>
        </is>
      </c>
    </row>
    <row r="39">
      <c r="A39" s="17" t="inlineStr">
        <is>
          <t>Incident_ID</t>
        </is>
      </c>
      <c r="B39" s="17" t="inlineStr">
        <is>
          <t>Date_Detected</t>
        </is>
      </c>
      <c r="C39" s="17" t="inlineStr">
        <is>
          <t>Category</t>
        </is>
      </c>
      <c r="D39" s="17" t="inlineStr">
        <is>
          <t>Severity</t>
        </is>
      </c>
      <c r="E39" s="17" t="inlineStr">
        <is>
          <t>Response_Time_Min</t>
        </is>
      </c>
      <c r="F39" s="17" t="inlineStr">
        <is>
          <t>Resolution_Time_Hrs</t>
        </is>
      </c>
      <c r="G39" s="17" t="inlineStr">
        <is>
          <t>SLA_Met</t>
        </is>
      </c>
      <c r="H39" s="17" t="inlineStr">
        <is>
          <t>Root_Cause</t>
        </is>
      </c>
      <c r="I39" s="17" t="inlineStr">
        <is>
          <t>Lessons_Learned</t>
        </is>
      </c>
      <c r="J39" s="17" t="inlineStr">
        <is>
          <t>Evidence_Ref</t>
        </is>
      </c>
    </row>
    <row r="40">
      <c r="A40" s="18" t="inlineStr">
        <is>
          <t>INC-001</t>
        </is>
      </c>
      <c r="B40" s="19" t="n"/>
      <c r="C40" s="19" t="n"/>
      <c r="D40" s="19" t="n"/>
      <c r="E40" s="19" t="n"/>
      <c r="F40" s="19" t="n"/>
      <c r="G40" s="19" t="n"/>
      <c r="H40" s="19" t="n"/>
      <c r="I40" s="19" t="n"/>
      <c r="J40" s="19" t="n"/>
    </row>
    <row r="41">
      <c r="A41" s="18" t="inlineStr">
        <is>
          <t>INC-002</t>
        </is>
      </c>
      <c r="B41" s="19" t="n"/>
      <c r="C41" s="19" t="n"/>
      <c r="D41" s="19" t="n"/>
      <c r="E41" s="19" t="n"/>
      <c r="F41" s="19" t="n"/>
      <c r="G41" s="19" t="n"/>
      <c r="H41" s="19" t="n"/>
      <c r="I41" s="19" t="n"/>
      <c r="J41" s="19" t="n"/>
    </row>
    <row r="42">
      <c r="A42" s="18" t="inlineStr">
        <is>
          <t>INC-003</t>
        </is>
      </c>
      <c r="B42" s="19" t="n"/>
      <c r="C42" s="19" t="n"/>
      <c r="D42" s="19" t="n"/>
      <c r="E42" s="19" t="n"/>
      <c r="F42" s="19" t="n"/>
      <c r="G42" s="19" t="n"/>
      <c r="H42" s="19" t="n"/>
      <c r="I42" s="19" t="n"/>
      <c r="J42" s="19" t="n"/>
    </row>
    <row r="43">
      <c r="A43" s="18" t="inlineStr">
        <is>
          <t>INC-004</t>
        </is>
      </c>
      <c r="B43" s="19" t="n"/>
      <c r="C43" s="19" t="n"/>
      <c r="D43" s="19" t="n"/>
      <c r="E43" s="19" t="n"/>
      <c r="F43" s="19" t="n"/>
      <c r="G43" s="19" t="n"/>
      <c r="H43" s="19" t="n"/>
      <c r="I43" s="19" t="n"/>
      <c r="J43" s="19" t="n"/>
    </row>
    <row r="44">
      <c r="A44" s="18" t="inlineStr">
        <is>
          <t>INC-005</t>
        </is>
      </c>
      <c r="B44" s="19" t="n"/>
      <c r="C44" s="19" t="n"/>
      <c r="D44" s="19" t="n"/>
      <c r="E44" s="19" t="n"/>
      <c r="F44" s="19" t="n"/>
      <c r="G44" s="19" t="n"/>
      <c r="H44" s="19" t="n"/>
      <c r="I44" s="19" t="n"/>
      <c r="J44" s="19" t="n"/>
    </row>
    <row r="45">
      <c r="A45" s="18" t="inlineStr">
        <is>
          <t>INC-006</t>
        </is>
      </c>
      <c r="B45" s="19" t="n"/>
      <c r="C45" s="19" t="n"/>
      <c r="D45" s="19" t="n"/>
      <c r="E45" s="19" t="n"/>
      <c r="F45" s="19" t="n"/>
      <c r="G45" s="19" t="n"/>
      <c r="H45" s="19" t="n"/>
      <c r="I45" s="19" t="n"/>
      <c r="J45" s="19" t="n"/>
    </row>
    <row r="46">
      <c r="A46" s="18" t="inlineStr">
        <is>
          <t>INC-007</t>
        </is>
      </c>
      <c r="B46" s="19" t="n"/>
      <c r="C46" s="19" t="n"/>
      <c r="D46" s="19" t="n"/>
      <c r="E46" s="19" t="n"/>
      <c r="F46" s="19" t="n"/>
      <c r="G46" s="19" t="n"/>
      <c r="H46" s="19" t="n"/>
      <c r="I46" s="19" t="n"/>
      <c r="J46" s="19" t="n"/>
    </row>
    <row r="47">
      <c r="A47" s="18" t="inlineStr">
        <is>
          <t>INC-008</t>
        </is>
      </c>
      <c r="B47" s="19" t="n"/>
      <c r="C47" s="19" t="n"/>
      <c r="D47" s="19" t="n"/>
      <c r="E47" s="19" t="n"/>
      <c r="F47" s="19" t="n"/>
      <c r="G47" s="19" t="n"/>
      <c r="H47" s="19" t="n"/>
      <c r="I47" s="19" t="n"/>
      <c r="J47" s="19" t="n"/>
    </row>
    <row r="48">
      <c r="A48" s="18" t="inlineStr">
        <is>
          <t>INC-009</t>
        </is>
      </c>
      <c r="B48" s="19" t="n"/>
      <c r="C48" s="19" t="n"/>
      <c r="D48" s="19" t="n"/>
      <c r="E48" s="19" t="n"/>
      <c r="F48" s="19" t="n"/>
      <c r="G48" s="19" t="n"/>
      <c r="H48" s="19" t="n"/>
      <c r="I48" s="19" t="n"/>
      <c r="J48" s="19" t="n"/>
    </row>
    <row r="49">
      <c r="A49" s="18" t="inlineStr">
        <is>
          <t>INC-010</t>
        </is>
      </c>
      <c r="B49" s="19" t="n"/>
      <c r="C49" s="19" t="n"/>
      <c r="D49" s="19" t="n"/>
      <c r="E49" s="19" t="n"/>
      <c r="F49" s="19" t="n"/>
      <c r="G49" s="19" t="n"/>
      <c r="H49" s="19" t="n"/>
      <c r="I49" s="19" t="n"/>
      <c r="J49" s="19" t="n"/>
    </row>
    <row r="50">
      <c r="A50" s="18" t="inlineStr">
        <is>
          <t>INC-011</t>
        </is>
      </c>
      <c r="B50" s="19" t="n"/>
      <c r="C50" s="19" t="n"/>
      <c r="D50" s="19" t="n"/>
      <c r="E50" s="19" t="n"/>
      <c r="F50" s="19" t="n"/>
      <c r="G50" s="19" t="n"/>
      <c r="H50" s="19" t="n"/>
      <c r="I50" s="19" t="n"/>
      <c r="J50" s="19" t="n"/>
    </row>
    <row r="51">
      <c r="A51" s="18" t="inlineStr">
        <is>
          <t>INC-012</t>
        </is>
      </c>
      <c r="B51" s="19" t="n"/>
      <c r="C51" s="19" t="n"/>
      <c r="D51" s="19" t="n"/>
      <c r="E51" s="19" t="n"/>
      <c r="F51" s="19" t="n"/>
      <c r="G51" s="19" t="n"/>
      <c r="H51" s="19" t="n"/>
      <c r="I51" s="19" t="n"/>
      <c r="J51" s="19" t="n"/>
    </row>
    <row r="52">
      <c r="A52" s="18" t="inlineStr">
        <is>
          <t>INC-013</t>
        </is>
      </c>
      <c r="B52" s="19" t="n"/>
      <c r="C52" s="19" t="n"/>
      <c r="D52" s="19" t="n"/>
      <c r="E52" s="19" t="n"/>
      <c r="F52" s="19" t="n"/>
      <c r="G52" s="19" t="n"/>
      <c r="H52" s="19" t="n"/>
      <c r="I52" s="19" t="n"/>
      <c r="J52" s="19" t="n"/>
    </row>
    <row r="53">
      <c r="A53" s="18" t="inlineStr">
        <is>
          <t>INC-014</t>
        </is>
      </c>
      <c r="B53" s="19" t="n"/>
      <c r="C53" s="19" t="n"/>
      <c r="D53" s="19" t="n"/>
      <c r="E53" s="19" t="n"/>
      <c r="F53" s="19" t="n"/>
      <c r="G53" s="19" t="n"/>
      <c r="H53" s="19" t="n"/>
      <c r="I53" s="19" t="n"/>
      <c r="J53" s="19" t="n"/>
    </row>
    <row r="54">
      <c r="A54" s="18" t="inlineStr">
        <is>
          <t>INC-015</t>
        </is>
      </c>
      <c r="B54" s="19" t="n"/>
      <c r="C54" s="19" t="n"/>
      <c r="D54" s="19" t="n"/>
      <c r="E54" s="19" t="n"/>
      <c r="F54" s="19" t="n"/>
      <c r="G54" s="19" t="n"/>
      <c r="H54" s="19" t="n"/>
      <c r="I54" s="19" t="n"/>
      <c r="J54" s="19" t="n"/>
    </row>
    <row r="55">
      <c r="A55" s="18" t="inlineStr">
        <is>
          <t>INC-016</t>
        </is>
      </c>
      <c r="B55" s="19" t="n"/>
      <c r="C55" s="19" t="n"/>
      <c r="D55" s="19" t="n"/>
      <c r="E55" s="19" t="n"/>
      <c r="F55" s="19" t="n"/>
      <c r="G55" s="19" t="n"/>
      <c r="H55" s="19" t="n"/>
      <c r="I55" s="19" t="n"/>
      <c r="J55" s="19" t="n"/>
    </row>
    <row r="56">
      <c r="A56" s="18" t="inlineStr">
        <is>
          <t>INC-017</t>
        </is>
      </c>
      <c r="B56" s="19" t="n"/>
      <c r="C56" s="19" t="n"/>
      <c r="D56" s="19" t="n"/>
      <c r="E56" s="19" t="n"/>
      <c r="F56" s="19" t="n"/>
      <c r="G56" s="19" t="n"/>
      <c r="H56" s="19" t="n"/>
      <c r="I56" s="19" t="n"/>
      <c r="J56" s="19" t="n"/>
    </row>
    <row r="57">
      <c r="A57" s="18" t="inlineStr">
        <is>
          <t>INC-018</t>
        </is>
      </c>
      <c r="B57" s="19" t="n"/>
      <c r="C57" s="19" t="n"/>
      <c r="D57" s="19" t="n"/>
      <c r="E57" s="19" t="n"/>
      <c r="F57" s="19" t="n"/>
      <c r="G57" s="19" t="n"/>
      <c r="H57" s="19" t="n"/>
      <c r="I57" s="19" t="n"/>
      <c r="J57" s="19" t="n"/>
    </row>
    <row r="58">
      <c r="A58" s="18" t="inlineStr">
        <is>
          <t>INC-019</t>
        </is>
      </c>
      <c r="B58" s="19" t="n"/>
      <c r="C58" s="19" t="n"/>
      <c r="D58" s="19" t="n"/>
      <c r="E58" s="19" t="n"/>
      <c r="F58" s="19" t="n"/>
      <c r="G58" s="19" t="n"/>
      <c r="H58" s="19" t="n"/>
      <c r="I58" s="19" t="n"/>
      <c r="J58" s="19" t="n"/>
    </row>
    <row r="59">
      <c r="A59" s="18" t="inlineStr">
        <is>
          <t>INC-020</t>
        </is>
      </c>
      <c r="B59" s="19" t="n"/>
      <c r="C59" s="19" t="n"/>
      <c r="D59" s="19" t="n"/>
      <c r="E59" s="19" t="n"/>
      <c r="F59" s="19" t="n"/>
      <c r="G59" s="19" t="n"/>
      <c r="H59" s="19" t="n"/>
      <c r="I59" s="19" t="n"/>
      <c r="J59" s="19" t="n"/>
    </row>
  </sheetData>
  <mergeCells count="5">
    <mergeCell ref="A1:J1"/>
    <mergeCell ref="A24:E24"/>
    <mergeCell ref="A38:J38"/>
    <mergeCell ref="A2:J2"/>
    <mergeCell ref="A4:I4"/>
  </mergeCells>
  <dataValidations count="5">
    <dataValidation sqref="C6:C20" showDropDown="0" showInputMessage="0" showErrorMessage="0" allowBlank="1" errorTitle="Invalid Entry" error="Please select from dropdown" promptTitle="Available Options" prompt="Select from list" type="list">
      <formula1>"Critical,High,Medium,Low,Informational"</formula1>
    </dataValidation>
    <dataValidation sqref="I6:I20" showDropDown="0" showInputMessage="0" showErrorMessage="0" allowBlank="1" errorTitle="Invalid Entry" error="Please select from dropdown" promptTitle="Available Options" prompt="Select from list" type="list">
      <formula1>"Implemented,Partial,Planned,Not_Implemented,N/A"</formula1>
    </dataValidation>
    <dataValidation sqref="D26:D35" showDropDown="0" showInputMessage="0" showErrorMessage="0" allowBlank="1" errorTitle="Invalid Entry" error="Please select from dropdown" promptTitle="Available Options" prompt="Select from list" type="list">
      <formula1>"Met,Not_Met,At_Risk,New"</formula1>
    </dataValidation>
    <dataValidation sqref="D40:D59" showDropDown="0" showInputMessage="0" showErrorMessage="0" allowBlank="1" errorTitle="Invalid Entry" error="Please select from dropdown" promptTitle="Available Options" prompt="Select from list" type="list">
      <formula1>"Critical,High,Medium,Low,Informational"</formula1>
    </dataValidation>
    <dataValidation sqref="G40:G59" showDropDown="0" showInputMessage="0" showErrorMessage="0" allowBlank="1" errorTitle="Invalid Entry" error="Please select from dropdown" promptTitle="Available Options" prompt="Select from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6" customWidth="1" min="5" max="5"/>
    <col width="25" customWidth="1" min="6" max="6"/>
    <col width="14" customWidth="1" min="7" max="7"/>
    <col width="16" customWidth="1" min="8" max="8"/>
    <col width="35" customWidth="1" min="9" max="9"/>
  </cols>
  <sheetData>
    <row r="1" ht="30" customHeight="1">
      <c r="A1" s="1" t="inlineStr">
        <is>
          <t>BLOCKED EVENTS ANALYSIS</t>
        </is>
      </c>
    </row>
    <row r="2">
      <c r="A2" s="16" t="inlineStr">
        <is>
          <t>Analyze patterns, trends, and categories of blocked web filtering events</t>
        </is>
      </c>
    </row>
    <row r="4">
      <c r="A4" s="3" t="inlineStr">
        <is>
          <t>SECTION A: BLOCKED EVENT CATEGORIES</t>
        </is>
      </c>
    </row>
    <row r="5">
      <c r="A5" s="17" t="inlineStr">
        <is>
          <t>Category_ID</t>
        </is>
      </c>
      <c r="B5" s="17" t="inlineStr">
        <is>
          <t>Block_Category</t>
        </is>
      </c>
      <c r="C5" s="17" t="inlineStr">
        <is>
          <t>Events_30_Days</t>
        </is>
      </c>
      <c r="D5" s="17" t="inlineStr">
        <is>
          <t>Events_90_Days</t>
        </is>
      </c>
      <c r="E5" s="17" t="inlineStr">
        <is>
          <t>Trend</t>
        </is>
      </c>
      <c r="F5" s="17" t="inlineStr">
        <is>
          <t>Top_Source</t>
        </is>
      </c>
      <c r="G5" s="17" t="inlineStr">
        <is>
          <t>Risk_Level</t>
        </is>
      </c>
      <c r="H5" s="17" t="inlineStr">
        <is>
          <t>Action_Required</t>
        </is>
      </c>
      <c r="I5" s="17" t="inlineStr">
        <is>
          <t>Notes</t>
        </is>
      </c>
    </row>
    <row r="6">
      <c r="A6" s="18" t="inlineStr">
        <is>
          <t>BLK-001</t>
        </is>
      </c>
      <c r="B6" s="23" t="inlineStr">
        <is>
          <t>Malware</t>
        </is>
      </c>
      <c r="C6" s="19" t="n"/>
      <c r="D6" s="19" t="n"/>
      <c r="E6" s="19" t="n"/>
      <c r="F6" s="19" t="n"/>
      <c r="G6" s="19" t="n"/>
      <c r="H6" s="19" t="n"/>
      <c r="I6" s="19" t="n"/>
    </row>
    <row r="7">
      <c r="A7" s="18" t="inlineStr">
        <is>
          <t>BLK-002</t>
        </is>
      </c>
      <c r="B7" s="23" t="inlineStr">
        <is>
          <t>Phishing</t>
        </is>
      </c>
      <c r="C7" s="19" t="n"/>
      <c r="D7" s="19" t="n"/>
      <c r="E7" s="19" t="n"/>
      <c r="F7" s="19" t="n"/>
      <c r="G7" s="19" t="n"/>
      <c r="H7" s="19" t="n"/>
      <c r="I7" s="19" t="n"/>
    </row>
    <row r="8">
      <c r="A8" s="18" t="inlineStr">
        <is>
          <t>BLK-003</t>
        </is>
      </c>
      <c r="B8" s="23" t="inlineStr">
        <is>
          <t>Command &amp; Control</t>
        </is>
      </c>
      <c r="C8" s="19" t="n"/>
      <c r="D8" s="19" t="n"/>
      <c r="E8" s="19" t="n"/>
      <c r="F8" s="19" t="n"/>
      <c r="G8" s="19" t="n"/>
      <c r="H8" s="19" t="n"/>
      <c r="I8" s="19" t="n"/>
    </row>
    <row r="9">
      <c r="A9" s="18" t="inlineStr">
        <is>
          <t>BLK-004</t>
        </is>
      </c>
      <c r="B9" s="23" t="inlineStr">
        <is>
          <t>Exploit Kits</t>
        </is>
      </c>
      <c r="C9" s="19" t="n"/>
      <c r="D9" s="19" t="n"/>
      <c r="E9" s="19" t="n"/>
      <c r="F9" s="19" t="n"/>
      <c r="G9" s="19" t="n"/>
      <c r="H9" s="19" t="n"/>
      <c r="I9" s="19" t="n"/>
    </row>
    <row r="10">
      <c r="A10" s="18" t="inlineStr">
        <is>
          <t>BLK-005</t>
        </is>
      </c>
      <c r="B10" s="23" t="inlineStr">
        <is>
          <t>Ransomware</t>
        </is>
      </c>
      <c r="C10" s="19" t="n"/>
      <c r="D10" s="19" t="n"/>
      <c r="E10" s="19" t="n"/>
      <c r="F10" s="19" t="n"/>
      <c r="G10" s="19" t="n"/>
      <c r="H10" s="19" t="n"/>
      <c r="I10" s="19" t="n"/>
    </row>
    <row r="11">
      <c r="A11" s="18" t="inlineStr">
        <is>
          <t>BLK-006</t>
        </is>
      </c>
      <c r="B11" s="23" t="inlineStr">
        <is>
          <t>Cryptomining</t>
        </is>
      </c>
      <c r="C11" s="19" t="n"/>
      <c r="D11" s="19" t="n"/>
      <c r="E11" s="19" t="n"/>
      <c r="F11" s="19" t="n"/>
      <c r="G11" s="19" t="n"/>
      <c r="H11" s="19" t="n"/>
      <c r="I11" s="19" t="n"/>
    </row>
    <row r="12">
      <c r="A12" s="18" t="inlineStr">
        <is>
          <t>BLK-007</t>
        </is>
      </c>
      <c r="B12" s="23" t="inlineStr">
        <is>
          <t>Spam URLs</t>
        </is>
      </c>
      <c r="C12" s="19" t="n"/>
      <c r="D12" s="19" t="n"/>
      <c r="E12" s="19" t="n"/>
      <c r="F12" s="19" t="n"/>
      <c r="G12" s="19" t="n"/>
      <c r="H12" s="19" t="n"/>
      <c r="I12" s="19" t="n"/>
    </row>
    <row r="13">
      <c r="A13" s="18" t="inlineStr">
        <is>
          <t>BLK-008</t>
        </is>
      </c>
      <c r="B13" s="23" t="inlineStr">
        <is>
          <t>Adult Content</t>
        </is>
      </c>
      <c r="C13" s="19" t="n"/>
      <c r="D13" s="19" t="n"/>
      <c r="E13" s="19" t="n"/>
      <c r="F13" s="19" t="n"/>
      <c r="G13" s="19" t="n"/>
      <c r="H13" s="19" t="n"/>
      <c r="I13" s="19" t="n"/>
    </row>
    <row r="14">
      <c r="A14" s="18" t="inlineStr">
        <is>
          <t>BLK-009</t>
        </is>
      </c>
      <c r="B14" s="23" t="inlineStr">
        <is>
          <t>Gambling</t>
        </is>
      </c>
      <c r="C14" s="19" t="n"/>
      <c r="D14" s="19" t="n"/>
      <c r="E14" s="19" t="n"/>
      <c r="F14" s="19" t="n"/>
      <c r="G14" s="19" t="n"/>
      <c r="H14" s="19" t="n"/>
      <c r="I14" s="19" t="n"/>
    </row>
    <row r="15">
      <c r="A15" s="18" t="inlineStr">
        <is>
          <t>BLK-010</t>
        </is>
      </c>
      <c r="B15" s="23" t="inlineStr">
        <is>
          <t>Social Media (if blocked)</t>
        </is>
      </c>
      <c r="C15" s="19" t="n"/>
      <c r="D15" s="19" t="n"/>
      <c r="E15" s="19" t="n"/>
      <c r="F15" s="19" t="n"/>
      <c r="G15" s="19" t="n"/>
      <c r="H15" s="19" t="n"/>
      <c r="I15" s="19" t="n"/>
    </row>
    <row r="16">
      <c r="A16" s="18" t="inlineStr">
        <is>
          <t>BLK-011</t>
        </is>
      </c>
      <c r="B16" s="23" t="inlineStr">
        <is>
          <t>Streaming Media (if blocked)</t>
        </is>
      </c>
      <c r="C16" s="19" t="n"/>
      <c r="D16" s="19" t="n"/>
      <c r="E16" s="19" t="n"/>
      <c r="F16" s="19" t="n"/>
      <c r="G16" s="19" t="n"/>
      <c r="H16" s="19" t="n"/>
      <c r="I16" s="19" t="n"/>
    </row>
    <row r="17">
      <c r="A17" s="18" t="inlineStr">
        <is>
          <t>BLK-012</t>
        </is>
      </c>
      <c r="B17" s="23" t="inlineStr">
        <is>
          <t>File Sharing</t>
        </is>
      </c>
      <c r="C17" s="19" t="n"/>
      <c r="D17" s="19" t="n"/>
      <c r="E17" s="19" t="n"/>
      <c r="F17" s="19" t="n"/>
      <c r="G17" s="19" t="n"/>
      <c r="H17" s="19" t="n"/>
      <c r="I17" s="19" t="n"/>
    </row>
    <row r="18">
      <c r="A18" s="18" t="inlineStr">
        <is>
          <t>BLK-013</t>
        </is>
      </c>
      <c r="B18" s="23" t="inlineStr">
        <is>
          <t>Proxy/Anonymizer</t>
        </is>
      </c>
      <c r="C18" s="19" t="n"/>
      <c r="D18" s="19" t="n"/>
      <c r="E18" s="19" t="n"/>
      <c r="F18" s="19" t="n"/>
      <c r="G18" s="19" t="n"/>
      <c r="H18" s="19" t="n"/>
      <c r="I18" s="19" t="n"/>
    </row>
    <row r="19">
      <c r="A19" s="18" t="inlineStr">
        <is>
          <t>BLK-014</t>
        </is>
      </c>
      <c r="B19" s="23" t="inlineStr">
        <is>
          <t>Hacking Tools</t>
        </is>
      </c>
      <c r="C19" s="19" t="n"/>
      <c r="D19" s="19" t="n"/>
      <c r="E19" s="19" t="n"/>
      <c r="F19" s="19" t="n"/>
      <c r="G19" s="19" t="n"/>
      <c r="H19" s="19" t="n"/>
      <c r="I19" s="19" t="n"/>
    </row>
    <row r="20">
      <c r="A20" s="18" t="inlineStr">
        <is>
          <t>BLK-015</t>
        </is>
      </c>
      <c r="B20" s="23" t="inlineStr">
        <is>
          <t>Policy Violations - Other</t>
        </is>
      </c>
      <c r="C20" s="19" t="n"/>
      <c r="D20" s="19" t="n"/>
      <c r="E20" s="19" t="n"/>
      <c r="F20" s="19" t="n"/>
      <c r="G20" s="19" t="n"/>
      <c r="H20" s="19" t="n"/>
      <c r="I20" s="19" t="n"/>
    </row>
    <row r="21">
      <c r="A21" s="18" t="inlineStr">
        <is>
          <t>BLK-016</t>
        </is>
      </c>
      <c r="B21" s="23" t="inlineStr">
        <is>
          <t>Uncategorized High-Risk</t>
        </is>
      </c>
      <c r="C21" s="19" t="n"/>
      <c r="D21" s="19" t="n"/>
      <c r="E21" s="19" t="n"/>
      <c r="F21" s="19" t="n"/>
      <c r="G21" s="19" t="n"/>
      <c r="H21" s="19" t="n"/>
      <c r="I21" s="19" t="n"/>
    </row>
    <row r="22">
      <c r="A22" s="18" t="inlineStr">
        <is>
          <t>BLK-017</t>
        </is>
      </c>
      <c r="B22" s="23" t="inlineStr">
        <is>
          <t>User-Reported Blocks</t>
        </is>
      </c>
      <c r="C22" s="19" t="n"/>
      <c r="D22" s="19" t="n"/>
      <c r="E22" s="19" t="n"/>
      <c r="F22" s="19" t="n"/>
      <c r="G22" s="19" t="n"/>
      <c r="H22" s="19" t="n"/>
      <c r="I22" s="19" t="n"/>
    </row>
    <row r="23">
      <c r="A23" s="18" t="inlineStr">
        <is>
          <t>BLK-018</t>
        </is>
      </c>
      <c r="B23" s="23" t="inlineStr">
        <is>
          <t>Geo-Blocked Content</t>
        </is>
      </c>
      <c r="C23" s="19" t="n"/>
      <c r="D23" s="19" t="n"/>
      <c r="E23" s="19" t="n"/>
      <c r="F23" s="19" t="n"/>
      <c r="G23" s="19" t="n"/>
      <c r="H23" s="19" t="n"/>
      <c r="I23" s="19" t="n"/>
    </row>
    <row r="24">
      <c r="A24" s="18" t="inlineStr">
        <is>
          <t>BLK-019</t>
        </is>
      </c>
      <c r="B24" s="23" t="inlineStr">
        <is>
          <t>Bandwidth Abuse</t>
        </is>
      </c>
      <c r="C24" s="19" t="n"/>
      <c r="D24" s="19" t="n"/>
      <c r="E24" s="19" t="n"/>
      <c r="F24" s="19" t="n"/>
      <c r="G24" s="19" t="n"/>
      <c r="H24" s="19" t="n"/>
      <c r="I24" s="19" t="n"/>
    </row>
    <row r="25">
      <c r="A25" s="18" t="inlineStr">
        <is>
          <t>BLK-020</t>
        </is>
      </c>
      <c r="B25" s="23" t="inlineStr">
        <is>
          <t>Other</t>
        </is>
      </c>
      <c r="C25" s="19" t="n"/>
      <c r="D25" s="19" t="n"/>
      <c r="E25" s="19" t="n"/>
      <c r="F25" s="19" t="n"/>
      <c r="G25" s="19" t="n"/>
      <c r="H25" s="19" t="n"/>
      <c r="I25" s="19" t="n"/>
    </row>
    <row r="28">
      <c r="A28" s="3" t="inlineStr">
        <is>
          <t>SECTION B: TOP 10 BLOCKED THREATS (Last 30 Days)</t>
        </is>
      </c>
    </row>
    <row r="29">
      <c r="A29" s="22" t="inlineStr">
        <is>
          <t>Rank</t>
        </is>
      </c>
      <c r="B29" s="22" t="inlineStr">
        <is>
          <t>Threat_Type/URL</t>
        </is>
      </c>
      <c r="C29" s="22" t="inlineStr">
        <is>
          <t>Count_30_Days</t>
        </is>
      </c>
      <c r="D29" s="22" t="inlineStr">
        <is>
          <t>Percentage</t>
        </is>
      </c>
      <c r="E29" s="22" t="inlineStr">
        <is>
          <t>Mitigation_Status</t>
        </is>
      </c>
      <c r="F29" s="22" t="inlineStr">
        <is>
          <t>Notes</t>
        </is>
      </c>
    </row>
    <row r="30">
      <c r="A30" s="24" t="n">
        <v>1</v>
      </c>
      <c r="B30" s="5" t="n"/>
      <c r="C30" s="5" t="n"/>
      <c r="D30" s="5" t="n"/>
      <c r="E30" s="5" t="n"/>
      <c r="F30" s="5" t="n"/>
    </row>
    <row r="31">
      <c r="A31" s="24" t="n">
        <v>2</v>
      </c>
      <c r="B31" s="5" t="n"/>
      <c r="C31" s="5" t="n"/>
      <c r="D31" s="5" t="n"/>
      <c r="E31" s="5" t="n"/>
      <c r="F31" s="5" t="n"/>
    </row>
    <row r="32">
      <c r="A32" s="24" t="n">
        <v>3</v>
      </c>
      <c r="B32" s="5" t="n"/>
      <c r="C32" s="5" t="n"/>
      <c r="D32" s="5" t="n"/>
      <c r="E32" s="5" t="n"/>
      <c r="F32" s="5" t="n"/>
    </row>
    <row r="33">
      <c r="A33" s="24" t="n">
        <v>4</v>
      </c>
      <c r="B33" s="5" t="n"/>
      <c r="C33" s="5" t="n"/>
      <c r="D33" s="5" t="n"/>
      <c r="E33" s="5" t="n"/>
      <c r="F33" s="5" t="n"/>
    </row>
    <row r="34">
      <c r="A34" s="24" t="n">
        <v>5</v>
      </c>
      <c r="B34" s="5" t="n"/>
      <c r="C34" s="5" t="n"/>
      <c r="D34" s="5" t="n"/>
      <c r="E34" s="5" t="n"/>
      <c r="F34" s="5" t="n"/>
    </row>
    <row r="35">
      <c r="A35" s="24" t="n">
        <v>6</v>
      </c>
      <c r="B35" s="5" t="n"/>
      <c r="C35" s="5" t="n"/>
      <c r="D35" s="5" t="n"/>
      <c r="E35" s="5" t="n"/>
      <c r="F35" s="5" t="n"/>
    </row>
    <row r="36">
      <c r="A36" s="24" t="n">
        <v>7</v>
      </c>
      <c r="B36" s="5" t="n"/>
      <c r="C36" s="5" t="n"/>
      <c r="D36" s="5" t="n"/>
      <c r="E36" s="5" t="n"/>
      <c r="F36" s="5" t="n"/>
    </row>
    <row r="37">
      <c r="A37" s="24" t="n">
        <v>8</v>
      </c>
      <c r="B37" s="5" t="n"/>
      <c r="C37" s="5" t="n"/>
      <c r="D37" s="5" t="n"/>
      <c r="E37" s="5" t="n"/>
      <c r="F37" s="5" t="n"/>
    </row>
    <row r="38">
      <c r="A38" s="24" t="n">
        <v>9</v>
      </c>
      <c r="B38" s="5" t="n"/>
      <c r="C38" s="5" t="n"/>
      <c r="D38" s="5" t="n"/>
      <c r="E38" s="5" t="n"/>
      <c r="F38" s="5" t="n"/>
    </row>
    <row r="39">
      <c r="A39" s="24" t="n">
        <v>10</v>
      </c>
      <c r="B39" s="5" t="n"/>
      <c r="C39" s="5" t="n"/>
      <c r="D39" s="5" t="n"/>
      <c r="E39" s="5" t="n"/>
      <c r="F39" s="5" t="n"/>
    </row>
    <row r="42">
      <c r="A42" s="3" t="inlineStr">
        <is>
          <t>SECTION C: 6-MONTH TREND ANALYSIS</t>
        </is>
      </c>
    </row>
    <row r="43">
      <c r="A43" s="22" t="inlineStr">
        <is>
          <t>Month</t>
        </is>
      </c>
      <c r="B43" s="22" t="inlineStr">
        <is>
          <t>Total_Blocked</t>
        </is>
      </c>
      <c r="C43" s="22" t="inlineStr">
        <is>
          <t>Malware</t>
        </is>
      </c>
      <c r="D43" s="22" t="inlineStr">
        <is>
          <t>Phishing</t>
        </is>
      </c>
      <c r="E43" s="22" t="inlineStr">
        <is>
          <t>Policy_Violation</t>
        </is>
      </c>
      <c r="F43" s="22" t="inlineStr">
        <is>
          <t>Other</t>
        </is>
      </c>
      <c r="G43" s="22" t="inlineStr">
        <is>
          <t>Notes</t>
        </is>
      </c>
    </row>
    <row r="44">
      <c r="A44" s="18" t="inlineStr">
        <is>
          <t>Month-6</t>
        </is>
      </c>
      <c r="B44" s="5" t="n"/>
      <c r="C44" s="5" t="n"/>
      <c r="D44" s="5" t="n"/>
      <c r="E44" s="5" t="n"/>
      <c r="F44" s="5" t="n"/>
      <c r="G44" s="5" t="n"/>
    </row>
    <row r="45">
      <c r="A45" s="18" t="inlineStr">
        <is>
          <t>Month-5</t>
        </is>
      </c>
      <c r="B45" s="5" t="n"/>
      <c r="C45" s="5" t="n"/>
      <c r="D45" s="5" t="n"/>
      <c r="E45" s="5" t="n"/>
      <c r="F45" s="5" t="n"/>
      <c r="G45" s="5" t="n"/>
    </row>
    <row r="46">
      <c r="A46" s="18" t="inlineStr">
        <is>
          <t>Month-4</t>
        </is>
      </c>
      <c r="B46" s="5" t="n"/>
      <c r="C46" s="5" t="n"/>
      <c r="D46" s="5" t="n"/>
      <c r="E46" s="5" t="n"/>
      <c r="F46" s="5" t="n"/>
      <c r="G46" s="5" t="n"/>
    </row>
    <row r="47">
      <c r="A47" s="18" t="inlineStr">
        <is>
          <t>Month-3</t>
        </is>
      </c>
      <c r="B47" s="5" t="n"/>
      <c r="C47" s="5" t="n"/>
      <c r="D47" s="5" t="n"/>
      <c r="E47" s="5" t="n"/>
      <c r="F47" s="5" t="n"/>
      <c r="G47" s="5" t="n"/>
    </row>
    <row r="48">
      <c r="A48" s="18" t="inlineStr">
        <is>
          <t>Month-2</t>
        </is>
      </c>
      <c r="B48" s="5" t="n"/>
      <c r="C48" s="5" t="n"/>
      <c r="D48" s="5" t="n"/>
      <c r="E48" s="5" t="n"/>
      <c r="F48" s="5" t="n"/>
      <c r="G48" s="5" t="n"/>
    </row>
    <row r="49">
      <c r="A49" s="18" t="inlineStr">
        <is>
          <t>Current</t>
        </is>
      </c>
      <c r="B49" s="5" t="n"/>
      <c r="C49" s="5" t="n"/>
      <c r="D49" s="5" t="n"/>
      <c r="E49" s="5" t="n"/>
      <c r="F49" s="5" t="n"/>
      <c r="G49" s="5" t="n"/>
    </row>
    <row r="52">
      <c r="A52" s="3" t="inlineStr">
        <is>
          <t>SECTION D: SUMMARY METRICS</t>
        </is>
      </c>
    </row>
    <row r="53">
      <c r="A53" s="4" t="inlineStr">
        <is>
          <t>Categories tracked:</t>
        </is>
      </c>
      <c r="B53" s="20">
        <f>COUNTA(B6:B25)</f>
        <v/>
      </c>
    </row>
    <row r="54">
      <c r="A54" s="4" t="inlineStr">
        <is>
          <t>Categories requiring action:</t>
        </is>
      </c>
      <c r="B54" s="20">
        <f>COUNTIF(H6:H25,"Yes")</f>
        <v/>
      </c>
    </row>
    <row r="55">
      <c r="A55" s="4" t="inlineStr">
        <is>
          <t>High-risk categories:</t>
        </is>
      </c>
      <c r="B55" s="20">
        <f>COUNTIF(G6:G25,"Critical")+COUNTIF(G6:G25,"High")</f>
        <v/>
      </c>
    </row>
    <row r="56">
      <c r="A56" s="4" t="inlineStr">
        <is>
          <t>Categories with increasing trend:</t>
        </is>
      </c>
      <c r="B56" s="20">
        <f>COUNTIF(E6:E25,"Increasing")</f>
        <v/>
      </c>
    </row>
  </sheetData>
  <mergeCells count="6">
    <mergeCell ref="A28:F28"/>
    <mergeCell ref="A2:I2"/>
    <mergeCell ref="A1:I1"/>
    <mergeCell ref="A52:D52"/>
    <mergeCell ref="A4:I4"/>
    <mergeCell ref="A42:G42"/>
  </mergeCells>
  <dataValidations count="4">
    <dataValidation sqref="E6:E25"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G6:G25" showDropDown="0" showInputMessage="0" showErrorMessage="0" allowBlank="1" errorTitle="Invalid Entry" error="Please select from dropdown" promptTitle="Available Options" prompt="Select from list" type="list">
      <formula1>"Critical,High,Medium,Low"</formula1>
    </dataValidation>
    <dataValidation sqref="H6:H25" showDropDown="0" showInputMessage="0" showErrorMessage="0" allowBlank="1" errorTitle="Invalid Entry" error="Please select from dropdown" promptTitle="Available Options" prompt="Select from list" type="list">
      <formula1>"Yes,No"</formula1>
    </dataValidation>
    <dataValidation sqref="E30:E39"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20" customWidth="1" min="3" max="3"/>
    <col width="28" customWidth="1" min="4" max="4"/>
    <col width="35" customWidth="1" min="5" max="5"/>
    <col width="20" customWidth="1" min="6" max="6"/>
    <col width="22" customWidth="1" min="7" max="7"/>
    <col width="14" customWidth="1" min="8" max="8"/>
    <col width="20" customWidth="1" min="9" max="9"/>
    <col width="14" customWidth="1" min="10" max="10"/>
    <col width="14" customWidth="1" min="11" max="11"/>
    <col width="15" customWidth="1" min="12" max="12"/>
  </cols>
  <sheetData>
    <row r="1" ht="30" customHeight="1">
      <c r="A1" s="1" t="inlineStr">
        <is>
          <t>FALSE POSITIVE MANAGEMENT</t>
        </is>
      </c>
    </row>
    <row r="2">
      <c r="A2" s="16" t="inlineStr">
        <is>
          <t>Track false positives, tuning actions, and resolution effectiveness</t>
        </is>
      </c>
    </row>
    <row r="4">
      <c r="A4" s="3" t="inlineStr">
        <is>
          <t>SECTION A: FALSE POSITIVE LOG</t>
        </is>
      </c>
    </row>
    <row r="5">
      <c r="A5" s="17" t="inlineStr">
        <is>
          <t>FP_ID</t>
        </is>
      </c>
      <c r="B5" s="17" t="inlineStr">
        <is>
          <t>Date_Reported</t>
        </is>
      </c>
      <c r="C5" s="17" t="inlineStr">
        <is>
          <t>Reported_By</t>
        </is>
      </c>
      <c r="D5" s="17" t="inlineStr">
        <is>
          <t>Blocked_URL_Category</t>
        </is>
      </c>
      <c r="E5" s="17" t="inlineStr">
        <is>
          <t>Business_Justification</t>
        </is>
      </c>
      <c r="F5" s="17" t="inlineStr">
        <is>
          <t>Investigation_Result</t>
        </is>
      </c>
      <c r="G5" s="17" t="inlineStr">
        <is>
          <t>Resolution_Action</t>
        </is>
      </c>
      <c r="H5" s="17" t="inlineStr">
        <is>
          <t>Resolution_Date</t>
        </is>
      </c>
      <c r="I5" s="17" t="inlineStr">
        <is>
          <t>Resolution_Time_Hrs</t>
        </is>
      </c>
      <c r="J5" s="17" t="inlineStr">
        <is>
          <t>Recurrence</t>
        </is>
      </c>
      <c r="K5" s="17" t="inlineStr">
        <is>
          <t>Status</t>
        </is>
      </c>
      <c r="L5" s="17" t="inlineStr">
        <is>
          <t>Evidence_Ref</t>
        </is>
      </c>
    </row>
    <row r="6">
      <c r="A6" s="18" t="inlineStr">
        <is>
          <t>FP-001</t>
        </is>
      </c>
      <c r="B6" s="19" t="n"/>
      <c r="C6" s="19" t="n"/>
      <c r="D6" s="19" t="n"/>
      <c r="E6" s="19" t="n"/>
      <c r="F6" s="19" t="n"/>
      <c r="G6" s="19" t="n"/>
      <c r="H6" s="19" t="n"/>
      <c r="I6" s="19" t="n"/>
      <c r="J6" s="19" t="n"/>
      <c r="K6" s="19" t="n"/>
      <c r="L6" s="19" t="n"/>
    </row>
    <row r="7">
      <c r="A7" s="18" t="inlineStr">
        <is>
          <t>FP-002</t>
        </is>
      </c>
      <c r="B7" s="19" t="n"/>
      <c r="C7" s="19" t="n"/>
      <c r="D7" s="19" t="n"/>
      <c r="E7" s="19" t="n"/>
      <c r="F7" s="19" t="n"/>
      <c r="G7" s="19" t="n"/>
      <c r="H7" s="19" t="n"/>
      <c r="I7" s="19" t="n"/>
      <c r="J7" s="19" t="n"/>
      <c r="K7" s="19" t="n"/>
      <c r="L7" s="19" t="n"/>
    </row>
    <row r="8">
      <c r="A8" s="18" t="inlineStr">
        <is>
          <t>FP-003</t>
        </is>
      </c>
      <c r="B8" s="19" t="n"/>
      <c r="C8" s="19" t="n"/>
      <c r="D8" s="19" t="n"/>
      <c r="E8" s="19" t="n"/>
      <c r="F8" s="19" t="n"/>
      <c r="G8" s="19" t="n"/>
      <c r="H8" s="19" t="n"/>
      <c r="I8" s="19" t="n"/>
      <c r="J8" s="19" t="n"/>
      <c r="K8" s="19" t="n"/>
      <c r="L8" s="19" t="n"/>
    </row>
    <row r="9">
      <c r="A9" s="18" t="inlineStr">
        <is>
          <t>FP-004</t>
        </is>
      </c>
      <c r="B9" s="19" t="n"/>
      <c r="C9" s="19" t="n"/>
      <c r="D9" s="19" t="n"/>
      <c r="E9" s="19" t="n"/>
      <c r="F9" s="19" t="n"/>
      <c r="G9" s="19" t="n"/>
      <c r="H9" s="19" t="n"/>
      <c r="I9" s="19" t="n"/>
      <c r="J9" s="19" t="n"/>
      <c r="K9" s="19" t="n"/>
      <c r="L9" s="19" t="n"/>
    </row>
    <row r="10">
      <c r="A10" s="18" t="inlineStr">
        <is>
          <t>FP-005</t>
        </is>
      </c>
      <c r="B10" s="19" t="n"/>
      <c r="C10" s="19" t="n"/>
      <c r="D10" s="19" t="n"/>
      <c r="E10" s="19" t="n"/>
      <c r="F10" s="19" t="n"/>
      <c r="G10" s="19" t="n"/>
      <c r="H10" s="19" t="n"/>
      <c r="I10" s="19" t="n"/>
      <c r="J10" s="19" t="n"/>
      <c r="K10" s="19" t="n"/>
      <c r="L10" s="19" t="n"/>
    </row>
    <row r="11">
      <c r="A11" s="18" t="inlineStr">
        <is>
          <t>FP-006</t>
        </is>
      </c>
      <c r="B11" s="19" t="n"/>
      <c r="C11" s="19" t="n"/>
      <c r="D11" s="19" t="n"/>
      <c r="E11" s="19" t="n"/>
      <c r="F11" s="19" t="n"/>
      <c r="G11" s="19" t="n"/>
      <c r="H11" s="19" t="n"/>
      <c r="I11" s="19" t="n"/>
      <c r="J11" s="19" t="n"/>
      <c r="K11" s="19" t="n"/>
      <c r="L11" s="19" t="n"/>
    </row>
    <row r="12">
      <c r="A12" s="18" t="inlineStr">
        <is>
          <t>FP-007</t>
        </is>
      </c>
      <c r="B12" s="19" t="n"/>
      <c r="C12" s="19" t="n"/>
      <c r="D12" s="19" t="n"/>
      <c r="E12" s="19" t="n"/>
      <c r="F12" s="19" t="n"/>
      <c r="G12" s="19" t="n"/>
      <c r="H12" s="19" t="n"/>
      <c r="I12" s="19" t="n"/>
      <c r="J12" s="19" t="n"/>
      <c r="K12" s="19" t="n"/>
      <c r="L12" s="19" t="n"/>
    </row>
    <row r="13">
      <c r="A13" s="18" t="inlineStr">
        <is>
          <t>FP-008</t>
        </is>
      </c>
      <c r="B13" s="19" t="n"/>
      <c r="C13" s="19" t="n"/>
      <c r="D13" s="19" t="n"/>
      <c r="E13" s="19" t="n"/>
      <c r="F13" s="19" t="n"/>
      <c r="G13" s="19" t="n"/>
      <c r="H13" s="19" t="n"/>
      <c r="I13" s="19" t="n"/>
      <c r="J13" s="19" t="n"/>
      <c r="K13" s="19" t="n"/>
      <c r="L13" s="19" t="n"/>
    </row>
    <row r="14">
      <c r="A14" s="18" t="inlineStr">
        <is>
          <t>FP-009</t>
        </is>
      </c>
      <c r="B14" s="19" t="n"/>
      <c r="C14" s="19" t="n"/>
      <c r="D14" s="19" t="n"/>
      <c r="E14" s="19" t="n"/>
      <c r="F14" s="19" t="n"/>
      <c r="G14" s="19" t="n"/>
      <c r="H14" s="19" t="n"/>
      <c r="I14" s="19" t="n"/>
      <c r="J14" s="19" t="n"/>
      <c r="K14" s="19" t="n"/>
      <c r="L14" s="19" t="n"/>
    </row>
    <row r="15">
      <c r="A15" s="18" t="inlineStr">
        <is>
          <t>FP-010</t>
        </is>
      </c>
      <c r="B15" s="19" t="n"/>
      <c r="C15" s="19" t="n"/>
      <c r="D15" s="19" t="n"/>
      <c r="E15" s="19" t="n"/>
      <c r="F15" s="19" t="n"/>
      <c r="G15" s="19" t="n"/>
      <c r="H15" s="19" t="n"/>
      <c r="I15" s="19" t="n"/>
      <c r="J15" s="19" t="n"/>
      <c r="K15" s="19" t="n"/>
      <c r="L15" s="19" t="n"/>
    </row>
    <row r="16">
      <c r="A16" s="18" t="inlineStr">
        <is>
          <t>FP-011</t>
        </is>
      </c>
      <c r="B16" s="19" t="n"/>
      <c r="C16" s="19" t="n"/>
      <c r="D16" s="19" t="n"/>
      <c r="E16" s="19" t="n"/>
      <c r="F16" s="19" t="n"/>
      <c r="G16" s="19" t="n"/>
      <c r="H16" s="19" t="n"/>
      <c r="I16" s="19" t="n"/>
      <c r="J16" s="19" t="n"/>
      <c r="K16" s="19" t="n"/>
      <c r="L16" s="19" t="n"/>
    </row>
    <row r="17">
      <c r="A17" s="18" t="inlineStr">
        <is>
          <t>FP-012</t>
        </is>
      </c>
      <c r="B17" s="19" t="n"/>
      <c r="C17" s="19" t="n"/>
      <c r="D17" s="19" t="n"/>
      <c r="E17" s="19" t="n"/>
      <c r="F17" s="19" t="n"/>
      <c r="G17" s="19" t="n"/>
      <c r="H17" s="19" t="n"/>
      <c r="I17" s="19" t="n"/>
      <c r="J17" s="19" t="n"/>
      <c r="K17" s="19" t="n"/>
      <c r="L17" s="19" t="n"/>
    </row>
    <row r="18">
      <c r="A18" s="18" t="inlineStr">
        <is>
          <t>FP-013</t>
        </is>
      </c>
      <c r="B18" s="19" t="n"/>
      <c r="C18" s="19" t="n"/>
      <c r="D18" s="19" t="n"/>
      <c r="E18" s="19" t="n"/>
      <c r="F18" s="19" t="n"/>
      <c r="G18" s="19" t="n"/>
      <c r="H18" s="19" t="n"/>
      <c r="I18" s="19" t="n"/>
      <c r="J18" s="19" t="n"/>
      <c r="K18" s="19" t="n"/>
      <c r="L18" s="19" t="n"/>
    </row>
    <row r="19">
      <c r="A19" s="18" t="inlineStr">
        <is>
          <t>FP-014</t>
        </is>
      </c>
      <c r="B19" s="19" t="n"/>
      <c r="C19" s="19" t="n"/>
      <c r="D19" s="19" t="n"/>
      <c r="E19" s="19" t="n"/>
      <c r="F19" s="19" t="n"/>
      <c r="G19" s="19" t="n"/>
      <c r="H19" s="19" t="n"/>
      <c r="I19" s="19" t="n"/>
      <c r="J19" s="19" t="n"/>
      <c r="K19" s="19" t="n"/>
      <c r="L19" s="19" t="n"/>
    </row>
    <row r="20">
      <c r="A20" s="18" t="inlineStr">
        <is>
          <t>FP-015</t>
        </is>
      </c>
      <c r="B20" s="19" t="n"/>
      <c r="C20" s="19" t="n"/>
      <c r="D20" s="19" t="n"/>
      <c r="E20" s="19" t="n"/>
      <c r="F20" s="19" t="n"/>
      <c r="G20" s="19" t="n"/>
      <c r="H20" s="19" t="n"/>
      <c r="I20" s="19" t="n"/>
      <c r="J20" s="19" t="n"/>
      <c r="K20" s="19" t="n"/>
      <c r="L20" s="19" t="n"/>
    </row>
    <row r="21">
      <c r="A21" s="18" t="inlineStr">
        <is>
          <t>FP-016</t>
        </is>
      </c>
      <c r="B21" s="19" t="n"/>
      <c r="C21" s="19" t="n"/>
      <c r="D21" s="19" t="n"/>
      <c r="E21" s="19" t="n"/>
      <c r="F21" s="19" t="n"/>
      <c r="G21" s="19" t="n"/>
      <c r="H21" s="19" t="n"/>
      <c r="I21" s="19" t="n"/>
      <c r="J21" s="19" t="n"/>
      <c r="K21" s="19" t="n"/>
      <c r="L21" s="19" t="n"/>
    </row>
    <row r="22">
      <c r="A22" s="18" t="inlineStr">
        <is>
          <t>FP-017</t>
        </is>
      </c>
      <c r="B22" s="19" t="n"/>
      <c r="C22" s="19" t="n"/>
      <c r="D22" s="19" t="n"/>
      <c r="E22" s="19" t="n"/>
      <c r="F22" s="19" t="n"/>
      <c r="G22" s="19" t="n"/>
      <c r="H22" s="19" t="n"/>
      <c r="I22" s="19" t="n"/>
      <c r="J22" s="19" t="n"/>
      <c r="K22" s="19" t="n"/>
      <c r="L22" s="19" t="n"/>
    </row>
    <row r="23">
      <c r="A23" s="18" t="inlineStr">
        <is>
          <t>FP-018</t>
        </is>
      </c>
      <c r="B23" s="19" t="n"/>
      <c r="C23" s="19" t="n"/>
      <c r="D23" s="19" t="n"/>
      <c r="E23" s="19" t="n"/>
      <c r="F23" s="19" t="n"/>
      <c r="G23" s="19" t="n"/>
      <c r="H23" s="19" t="n"/>
      <c r="I23" s="19" t="n"/>
      <c r="J23" s="19" t="n"/>
      <c r="K23" s="19" t="n"/>
      <c r="L23" s="19" t="n"/>
    </row>
    <row r="24">
      <c r="A24" s="18" t="inlineStr">
        <is>
          <t>FP-019</t>
        </is>
      </c>
      <c r="B24" s="19" t="n"/>
      <c r="C24" s="19" t="n"/>
      <c r="D24" s="19" t="n"/>
      <c r="E24" s="19" t="n"/>
      <c r="F24" s="19" t="n"/>
      <c r="G24" s="19" t="n"/>
      <c r="H24" s="19" t="n"/>
      <c r="I24" s="19" t="n"/>
      <c r="J24" s="19" t="n"/>
      <c r="K24" s="19" t="n"/>
      <c r="L24" s="19" t="n"/>
    </row>
    <row r="25">
      <c r="A25" s="18" t="inlineStr">
        <is>
          <t>FP-020</t>
        </is>
      </c>
      <c r="B25" s="19" t="n"/>
      <c r="C25" s="19" t="n"/>
      <c r="D25" s="19" t="n"/>
      <c r="E25" s="19" t="n"/>
      <c r="F25" s="19" t="n"/>
      <c r="G25" s="19" t="n"/>
      <c r="H25" s="19" t="n"/>
      <c r="I25" s="19" t="n"/>
      <c r="J25" s="19" t="n"/>
      <c r="K25" s="19" t="n"/>
      <c r="L25" s="19" t="n"/>
    </row>
    <row r="26">
      <c r="A26" s="18" t="inlineStr">
        <is>
          <t>FP-021</t>
        </is>
      </c>
      <c r="B26" s="19" t="n"/>
      <c r="C26" s="19" t="n"/>
      <c r="D26" s="19" t="n"/>
      <c r="E26" s="19" t="n"/>
      <c r="F26" s="19" t="n"/>
      <c r="G26" s="19" t="n"/>
      <c r="H26" s="19" t="n"/>
      <c r="I26" s="19" t="n"/>
      <c r="J26" s="19" t="n"/>
      <c r="K26" s="19" t="n"/>
      <c r="L26" s="19" t="n"/>
    </row>
    <row r="27">
      <c r="A27" s="18" t="inlineStr">
        <is>
          <t>FP-022</t>
        </is>
      </c>
      <c r="B27" s="19" t="n"/>
      <c r="C27" s="19" t="n"/>
      <c r="D27" s="19" t="n"/>
      <c r="E27" s="19" t="n"/>
      <c r="F27" s="19" t="n"/>
      <c r="G27" s="19" t="n"/>
      <c r="H27" s="19" t="n"/>
      <c r="I27" s="19" t="n"/>
      <c r="J27" s="19" t="n"/>
      <c r="K27" s="19" t="n"/>
      <c r="L27" s="19" t="n"/>
    </row>
    <row r="28">
      <c r="A28" s="18" t="inlineStr">
        <is>
          <t>FP-023</t>
        </is>
      </c>
      <c r="B28" s="19" t="n"/>
      <c r="C28" s="19" t="n"/>
      <c r="D28" s="19" t="n"/>
      <c r="E28" s="19" t="n"/>
      <c r="F28" s="19" t="n"/>
      <c r="G28" s="19" t="n"/>
      <c r="H28" s="19" t="n"/>
      <c r="I28" s="19" t="n"/>
      <c r="J28" s="19" t="n"/>
      <c r="K28" s="19" t="n"/>
      <c r="L28" s="19" t="n"/>
    </row>
    <row r="29">
      <c r="A29" s="18" t="inlineStr">
        <is>
          <t>FP-024</t>
        </is>
      </c>
      <c r="B29" s="19" t="n"/>
      <c r="C29" s="19" t="n"/>
      <c r="D29" s="19" t="n"/>
      <c r="E29" s="19" t="n"/>
      <c r="F29" s="19" t="n"/>
      <c r="G29" s="19" t="n"/>
      <c r="H29" s="19" t="n"/>
      <c r="I29" s="19" t="n"/>
      <c r="J29" s="19" t="n"/>
      <c r="K29" s="19" t="n"/>
      <c r="L29" s="19" t="n"/>
    </row>
    <row r="30">
      <c r="A30" s="18" t="inlineStr">
        <is>
          <t>FP-025</t>
        </is>
      </c>
      <c r="B30" s="19" t="n"/>
      <c r="C30" s="19" t="n"/>
      <c r="D30" s="19" t="n"/>
      <c r="E30" s="19" t="n"/>
      <c r="F30" s="19" t="n"/>
      <c r="G30" s="19" t="n"/>
      <c r="H30" s="19" t="n"/>
      <c r="I30" s="19" t="n"/>
      <c r="J30" s="19" t="n"/>
      <c r="K30" s="19" t="n"/>
      <c r="L30" s="19" t="n"/>
    </row>
    <row r="31">
      <c r="A31" s="18" t="inlineStr">
        <is>
          <t>FP-026</t>
        </is>
      </c>
      <c r="B31" s="19" t="n"/>
      <c r="C31" s="19" t="n"/>
      <c r="D31" s="19" t="n"/>
      <c r="E31" s="19" t="n"/>
      <c r="F31" s="19" t="n"/>
      <c r="G31" s="19" t="n"/>
      <c r="H31" s="19" t="n"/>
      <c r="I31" s="19" t="n"/>
      <c r="J31" s="19" t="n"/>
      <c r="K31" s="19" t="n"/>
      <c r="L31" s="19" t="n"/>
    </row>
    <row r="32">
      <c r="A32" s="18" t="inlineStr">
        <is>
          <t>FP-027</t>
        </is>
      </c>
      <c r="B32" s="19" t="n"/>
      <c r="C32" s="19" t="n"/>
      <c r="D32" s="19" t="n"/>
      <c r="E32" s="19" t="n"/>
      <c r="F32" s="19" t="n"/>
      <c r="G32" s="19" t="n"/>
      <c r="H32" s="19" t="n"/>
      <c r="I32" s="19" t="n"/>
      <c r="J32" s="19" t="n"/>
      <c r="K32" s="19" t="n"/>
      <c r="L32" s="19" t="n"/>
    </row>
    <row r="33">
      <c r="A33" s="18" t="inlineStr">
        <is>
          <t>FP-028</t>
        </is>
      </c>
      <c r="B33" s="19" t="n"/>
      <c r="C33" s="19" t="n"/>
      <c r="D33" s="19" t="n"/>
      <c r="E33" s="19" t="n"/>
      <c r="F33" s="19" t="n"/>
      <c r="G33" s="19" t="n"/>
      <c r="H33" s="19" t="n"/>
      <c r="I33" s="19" t="n"/>
      <c r="J33" s="19" t="n"/>
      <c r="K33" s="19" t="n"/>
      <c r="L33" s="19" t="n"/>
    </row>
    <row r="34">
      <c r="A34" s="18" t="inlineStr">
        <is>
          <t>FP-029</t>
        </is>
      </c>
      <c r="B34" s="19" t="n"/>
      <c r="C34" s="19" t="n"/>
      <c r="D34" s="19" t="n"/>
      <c r="E34" s="19" t="n"/>
      <c r="F34" s="19" t="n"/>
      <c r="G34" s="19" t="n"/>
      <c r="H34" s="19" t="n"/>
      <c r="I34" s="19" t="n"/>
      <c r="J34" s="19" t="n"/>
      <c r="K34" s="19" t="n"/>
      <c r="L34" s="19" t="n"/>
    </row>
    <row r="35">
      <c r="A35" s="18" t="inlineStr">
        <is>
          <t>FP-030</t>
        </is>
      </c>
      <c r="B35" s="19" t="n"/>
      <c r="C35" s="19" t="n"/>
      <c r="D35" s="19" t="n"/>
      <c r="E35" s="19" t="n"/>
      <c r="F35" s="19" t="n"/>
      <c r="G35" s="19" t="n"/>
      <c r="H35" s="19" t="n"/>
      <c r="I35" s="19" t="n"/>
      <c r="J35" s="19" t="n"/>
      <c r="K35" s="19" t="n"/>
      <c r="L35" s="19" t="n"/>
    </row>
    <row r="36">
      <c r="A36" s="18" t="inlineStr">
        <is>
          <t>FP-031</t>
        </is>
      </c>
      <c r="B36" s="19" t="n"/>
      <c r="C36" s="19" t="n"/>
      <c r="D36" s="19" t="n"/>
      <c r="E36" s="19" t="n"/>
      <c r="F36" s="19" t="n"/>
      <c r="G36" s="19" t="n"/>
      <c r="H36" s="19" t="n"/>
      <c r="I36" s="19" t="n"/>
      <c r="J36" s="19" t="n"/>
      <c r="K36" s="19" t="n"/>
      <c r="L36" s="19" t="n"/>
    </row>
    <row r="37">
      <c r="A37" s="18" t="inlineStr">
        <is>
          <t>FP-032</t>
        </is>
      </c>
      <c r="B37" s="19" t="n"/>
      <c r="C37" s="19" t="n"/>
      <c r="D37" s="19" t="n"/>
      <c r="E37" s="19" t="n"/>
      <c r="F37" s="19" t="n"/>
      <c r="G37" s="19" t="n"/>
      <c r="H37" s="19" t="n"/>
      <c r="I37" s="19" t="n"/>
      <c r="J37" s="19" t="n"/>
      <c r="K37" s="19" t="n"/>
      <c r="L37" s="19" t="n"/>
    </row>
    <row r="38">
      <c r="A38" s="18" t="inlineStr">
        <is>
          <t>FP-033</t>
        </is>
      </c>
      <c r="B38" s="19" t="n"/>
      <c r="C38" s="19" t="n"/>
      <c r="D38" s="19" t="n"/>
      <c r="E38" s="19" t="n"/>
      <c r="F38" s="19" t="n"/>
      <c r="G38" s="19" t="n"/>
      <c r="H38" s="19" t="n"/>
      <c r="I38" s="19" t="n"/>
      <c r="J38" s="19" t="n"/>
      <c r="K38" s="19" t="n"/>
      <c r="L38" s="19" t="n"/>
    </row>
    <row r="39">
      <c r="A39" s="18" t="inlineStr">
        <is>
          <t>FP-034</t>
        </is>
      </c>
      <c r="B39" s="19" t="n"/>
      <c r="C39" s="19" t="n"/>
      <c r="D39" s="19" t="n"/>
      <c r="E39" s="19" t="n"/>
      <c r="F39" s="19" t="n"/>
      <c r="G39" s="19" t="n"/>
      <c r="H39" s="19" t="n"/>
      <c r="I39" s="19" t="n"/>
      <c r="J39" s="19" t="n"/>
      <c r="K39" s="19" t="n"/>
      <c r="L39" s="19" t="n"/>
    </row>
    <row r="40">
      <c r="A40" s="18" t="inlineStr">
        <is>
          <t>FP-035</t>
        </is>
      </c>
      <c r="B40" s="19" t="n"/>
      <c r="C40" s="19" t="n"/>
      <c r="D40" s="19" t="n"/>
      <c r="E40" s="19" t="n"/>
      <c r="F40" s="19" t="n"/>
      <c r="G40" s="19" t="n"/>
      <c r="H40" s="19" t="n"/>
      <c r="I40" s="19" t="n"/>
      <c r="J40" s="19" t="n"/>
      <c r="K40" s="19" t="n"/>
      <c r="L40" s="19" t="n"/>
    </row>
    <row r="41">
      <c r="A41" s="18" t="inlineStr">
        <is>
          <t>FP-036</t>
        </is>
      </c>
      <c r="B41" s="19" t="n"/>
      <c r="C41" s="19" t="n"/>
      <c r="D41" s="19" t="n"/>
      <c r="E41" s="19" t="n"/>
      <c r="F41" s="19" t="n"/>
      <c r="G41" s="19" t="n"/>
      <c r="H41" s="19" t="n"/>
      <c r="I41" s="19" t="n"/>
      <c r="J41" s="19" t="n"/>
      <c r="K41" s="19" t="n"/>
      <c r="L41" s="19" t="n"/>
    </row>
    <row r="42">
      <c r="A42" s="18" t="inlineStr">
        <is>
          <t>FP-037</t>
        </is>
      </c>
      <c r="B42" s="19" t="n"/>
      <c r="C42" s="19" t="n"/>
      <c r="D42" s="19" t="n"/>
      <c r="E42" s="19" t="n"/>
      <c r="F42" s="19" t="n"/>
      <c r="G42" s="19" t="n"/>
      <c r="H42" s="19" t="n"/>
      <c r="I42" s="19" t="n"/>
      <c r="J42" s="19" t="n"/>
      <c r="K42" s="19" t="n"/>
      <c r="L42" s="19" t="n"/>
    </row>
    <row r="43">
      <c r="A43" s="18" t="inlineStr">
        <is>
          <t>FP-038</t>
        </is>
      </c>
      <c r="B43" s="19" t="n"/>
      <c r="C43" s="19" t="n"/>
      <c r="D43" s="19" t="n"/>
      <c r="E43" s="19" t="n"/>
      <c r="F43" s="19" t="n"/>
      <c r="G43" s="19" t="n"/>
      <c r="H43" s="19" t="n"/>
      <c r="I43" s="19" t="n"/>
      <c r="J43" s="19" t="n"/>
      <c r="K43" s="19" t="n"/>
      <c r="L43" s="19" t="n"/>
    </row>
    <row r="44">
      <c r="A44" s="18" t="inlineStr">
        <is>
          <t>FP-039</t>
        </is>
      </c>
      <c r="B44" s="19" t="n"/>
      <c r="C44" s="19" t="n"/>
      <c r="D44" s="19" t="n"/>
      <c r="E44" s="19" t="n"/>
      <c r="F44" s="19" t="n"/>
      <c r="G44" s="19" t="n"/>
      <c r="H44" s="19" t="n"/>
      <c r="I44" s="19" t="n"/>
      <c r="J44" s="19" t="n"/>
      <c r="K44" s="19" t="n"/>
      <c r="L44" s="19" t="n"/>
    </row>
    <row r="45">
      <c r="A45" s="18" t="inlineStr">
        <is>
          <t>FP-040</t>
        </is>
      </c>
      <c r="B45" s="19" t="n"/>
      <c r="C45" s="19" t="n"/>
      <c r="D45" s="19" t="n"/>
      <c r="E45" s="19" t="n"/>
      <c r="F45" s="19" t="n"/>
      <c r="G45" s="19" t="n"/>
      <c r="H45" s="19" t="n"/>
      <c r="I45" s="19" t="n"/>
      <c r="J45" s="19" t="n"/>
      <c r="K45" s="19" t="n"/>
      <c r="L45" s="19" t="n"/>
    </row>
    <row r="46">
      <c r="A46" s="18" t="inlineStr">
        <is>
          <t>FP-041</t>
        </is>
      </c>
      <c r="B46" s="19" t="n"/>
      <c r="C46" s="19" t="n"/>
      <c r="D46" s="19" t="n"/>
      <c r="E46" s="19" t="n"/>
      <c r="F46" s="19" t="n"/>
      <c r="G46" s="19" t="n"/>
      <c r="H46" s="19" t="n"/>
      <c r="I46" s="19" t="n"/>
      <c r="J46" s="19" t="n"/>
      <c r="K46" s="19" t="n"/>
      <c r="L46" s="19" t="n"/>
    </row>
    <row r="47">
      <c r="A47" s="18" t="inlineStr">
        <is>
          <t>FP-042</t>
        </is>
      </c>
      <c r="B47" s="19" t="n"/>
      <c r="C47" s="19" t="n"/>
      <c r="D47" s="19" t="n"/>
      <c r="E47" s="19" t="n"/>
      <c r="F47" s="19" t="n"/>
      <c r="G47" s="19" t="n"/>
      <c r="H47" s="19" t="n"/>
      <c r="I47" s="19" t="n"/>
      <c r="J47" s="19" t="n"/>
      <c r="K47" s="19" t="n"/>
      <c r="L47" s="19" t="n"/>
    </row>
    <row r="48">
      <c r="A48" s="18" t="inlineStr">
        <is>
          <t>FP-043</t>
        </is>
      </c>
      <c r="B48" s="19" t="n"/>
      <c r="C48" s="19" t="n"/>
      <c r="D48" s="19" t="n"/>
      <c r="E48" s="19" t="n"/>
      <c r="F48" s="19" t="n"/>
      <c r="G48" s="19" t="n"/>
      <c r="H48" s="19" t="n"/>
      <c r="I48" s="19" t="n"/>
      <c r="J48" s="19" t="n"/>
      <c r="K48" s="19" t="n"/>
      <c r="L48" s="19" t="n"/>
    </row>
    <row r="49">
      <c r="A49" s="18" t="inlineStr">
        <is>
          <t>FP-044</t>
        </is>
      </c>
      <c r="B49" s="19" t="n"/>
      <c r="C49" s="19" t="n"/>
      <c r="D49" s="19" t="n"/>
      <c r="E49" s="19" t="n"/>
      <c r="F49" s="19" t="n"/>
      <c r="G49" s="19" t="n"/>
      <c r="H49" s="19" t="n"/>
      <c r="I49" s="19" t="n"/>
      <c r="J49" s="19" t="n"/>
      <c r="K49" s="19" t="n"/>
      <c r="L49" s="19" t="n"/>
    </row>
    <row r="50">
      <c r="A50" s="18" t="inlineStr">
        <is>
          <t>FP-045</t>
        </is>
      </c>
      <c r="B50" s="19" t="n"/>
      <c r="C50" s="19" t="n"/>
      <c r="D50" s="19" t="n"/>
      <c r="E50" s="19" t="n"/>
      <c r="F50" s="19" t="n"/>
      <c r="G50" s="19" t="n"/>
      <c r="H50" s="19" t="n"/>
      <c r="I50" s="19" t="n"/>
      <c r="J50" s="19" t="n"/>
      <c r="K50" s="19" t="n"/>
      <c r="L50" s="19" t="n"/>
    </row>
    <row r="51">
      <c r="A51" s="18" t="inlineStr">
        <is>
          <t>FP-046</t>
        </is>
      </c>
      <c r="B51" s="19" t="n"/>
      <c r="C51" s="19" t="n"/>
      <c r="D51" s="19" t="n"/>
      <c r="E51" s="19" t="n"/>
      <c r="F51" s="19" t="n"/>
      <c r="G51" s="19" t="n"/>
      <c r="H51" s="19" t="n"/>
      <c r="I51" s="19" t="n"/>
      <c r="J51" s="19" t="n"/>
      <c r="K51" s="19" t="n"/>
      <c r="L51" s="19" t="n"/>
    </row>
    <row r="52">
      <c r="A52" s="18" t="inlineStr">
        <is>
          <t>FP-047</t>
        </is>
      </c>
      <c r="B52" s="19" t="n"/>
      <c r="C52" s="19" t="n"/>
      <c r="D52" s="19" t="n"/>
      <c r="E52" s="19" t="n"/>
      <c r="F52" s="19" t="n"/>
      <c r="G52" s="19" t="n"/>
      <c r="H52" s="19" t="n"/>
      <c r="I52" s="19" t="n"/>
      <c r="J52" s="19" t="n"/>
      <c r="K52" s="19" t="n"/>
      <c r="L52" s="19" t="n"/>
    </row>
    <row r="53">
      <c r="A53" s="18" t="inlineStr">
        <is>
          <t>FP-048</t>
        </is>
      </c>
      <c r="B53" s="19" t="n"/>
      <c r="C53" s="19" t="n"/>
      <c r="D53" s="19" t="n"/>
      <c r="E53" s="19" t="n"/>
      <c r="F53" s="19" t="n"/>
      <c r="G53" s="19" t="n"/>
      <c r="H53" s="19" t="n"/>
      <c r="I53" s="19" t="n"/>
      <c r="J53" s="19" t="n"/>
      <c r="K53" s="19" t="n"/>
      <c r="L53" s="19" t="n"/>
    </row>
    <row r="54">
      <c r="A54" s="18" t="inlineStr">
        <is>
          <t>FP-049</t>
        </is>
      </c>
      <c r="B54" s="19" t="n"/>
      <c r="C54" s="19" t="n"/>
      <c r="D54" s="19" t="n"/>
      <c r="E54" s="19" t="n"/>
      <c r="F54" s="19" t="n"/>
      <c r="G54" s="19" t="n"/>
      <c r="H54" s="19" t="n"/>
      <c r="I54" s="19" t="n"/>
      <c r="J54" s="19" t="n"/>
      <c r="K54" s="19" t="n"/>
      <c r="L54" s="19" t="n"/>
    </row>
    <row r="55">
      <c r="A55" s="18" t="inlineStr">
        <is>
          <t>FP-050</t>
        </is>
      </c>
      <c r="B55" s="19" t="n"/>
      <c r="C55" s="19" t="n"/>
      <c r="D55" s="19" t="n"/>
      <c r="E55" s="19" t="n"/>
      <c r="F55" s="19" t="n"/>
      <c r="G55" s="19" t="n"/>
      <c r="H55" s="19" t="n"/>
      <c r="I55" s="19" t="n"/>
      <c r="J55" s="19" t="n"/>
      <c r="K55" s="19" t="n"/>
      <c r="L55" s="19" t="n"/>
    </row>
    <row r="58">
      <c r="A58" s="3" t="inlineStr">
        <is>
          <t>SECTION B: FALSE POSITIVE METRICS</t>
        </is>
      </c>
    </row>
    <row r="59">
      <c r="A59" s="22" t="inlineStr">
        <is>
          <t>Metric</t>
        </is>
      </c>
      <c r="B59" s="22" t="inlineStr">
        <is>
          <t>Value</t>
        </is>
      </c>
      <c r="C59" s="22" t="inlineStr">
        <is>
          <t>Target</t>
        </is>
      </c>
      <c r="D59" s="22" t="inlineStr">
        <is>
          <t>Status</t>
        </is>
      </c>
      <c r="E59" s="22" t="inlineStr">
        <is>
          <t>Notes</t>
        </is>
      </c>
    </row>
    <row r="60">
      <c r="A60" s="25" t="inlineStr">
        <is>
          <t>Total FPs reported (last 90 days)</t>
        </is>
      </c>
      <c r="B60" s="20">
        <f>COUNTA(B6:B55)</f>
        <v/>
      </c>
      <c r="C60" s="20" t="inlineStr">
        <is>
          <t>&lt;50</t>
        </is>
      </c>
      <c r="D60" s="5" t="n"/>
      <c r="E60" s="5" t="n"/>
    </row>
    <row r="61">
      <c r="A61" s="25" t="inlineStr">
        <is>
          <t>Average resolution time (hours)</t>
        </is>
      </c>
      <c r="B61" s="20">
        <f>IFERROR(AVERAGE(I6:I55),"N/A")</f>
        <v/>
      </c>
      <c r="C61" s="20" t="inlineStr">
        <is>
          <t>&lt;24</t>
        </is>
      </c>
      <c r="D61" s="5" t="n"/>
      <c r="E61" s="5" t="n"/>
    </row>
    <row r="62">
      <c r="A62" s="25" t="inlineStr">
        <is>
          <t>Open FPs</t>
        </is>
      </c>
      <c r="B62" s="20">
        <f>COUNTIF(K6:K55,"Open")</f>
        <v/>
      </c>
      <c r="C62" s="20" t="inlineStr">
        <is>
          <t>&lt;10</t>
        </is>
      </c>
      <c r="D62" s="5" t="n"/>
      <c r="E62" s="5" t="n"/>
    </row>
    <row r="63">
      <c r="A63" s="25" t="inlineStr">
        <is>
          <t>Confirmed FP rate</t>
        </is>
      </c>
      <c r="B63" s="20">
        <f>IFERROR(COUNTIF(F6:F55,"Confirmed_FP")/COUNTA(F6:F55),"N/A")</f>
        <v/>
      </c>
      <c r="C63" s="20" t="inlineStr">
        <is>
          <t>&gt;80%</t>
        </is>
      </c>
      <c r="D63" s="5" t="n"/>
      <c r="E63" s="5" t="n"/>
    </row>
    <row r="64">
      <c r="A64" s="25" t="inlineStr">
        <is>
          <t>Recurring FP percentage</t>
        </is>
      </c>
      <c r="B64" s="20">
        <f>IFERROR((COUNTIF(J6:J55,"Recurring")+COUNTIF(J6:J55,"Chronic"))/COUNTA(J6:J55),"N/A")</f>
        <v/>
      </c>
      <c r="C64" s="20" t="inlineStr">
        <is>
          <t>&lt;10%</t>
        </is>
      </c>
      <c r="D64" s="5" t="n"/>
      <c r="E64" s="5" t="n"/>
    </row>
    <row r="65">
      <c r="A65" s="25" t="inlineStr">
        <is>
          <t>FPs escalated</t>
        </is>
      </c>
      <c r="B65" s="20">
        <f>COUNTIF(K6:K55,"Escalated")</f>
        <v/>
      </c>
      <c r="C65" s="20" t="inlineStr">
        <is>
          <t>&lt;5</t>
        </is>
      </c>
      <c r="D65" s="5" t="n"/>
      <c r="E65" s="5" t="n"/>
    </row>
    <row r="66">
      <c r="A66" s="25" t="inlineStr">
        <is>
          <t>FPs resolved via whitelist</t>
        </is>
      </c>
      <c r="B66" s="20">
        <f>COUNTIF(G6:G55,"Whitelist")</f>
        <v/>
      </c>
      <c r="C66" s="20" t="inlineStr">
        <is>
          <t>Monitor</t>
        </is>
      </c>
      <c r="D66" s="5" t="n"/>
      <c r="E66" s="5" t="n"/>
    </row>
    <row r="67">
      <c r="A67" s="25" t="inlineStr">
        <is>
          <t>FPs resolved via tuning</t>
        </is>
      </c>
      <c r="B67" s="20">
        <f>COUNTIF(G6:G55,"Policy_Tuning")</f>
        <v/>
      </c>
      <c r="C67" s="20" t="inlineStr">
        <is>
          <t>Monitor</t>
        </is>
      </c>
      <c r="D67" s="5" t="n"/>
      <c r="E67" s="5" t="n"/>
    </row>
  </sheetData>
  <mergeCells count="4">
    <mergeCell ref="A58:E58"/>
    <mergeCell ref="A2:L2"/>
    <mergeCell ref="A1:L1"/>
    <mergeCell ref="A4:L4"/>
  </mergeCells>
  <dataValidations count="5">
    <dataValidation sqref="F6:F55" showDropDown="0" showInputMessage="0" showErrorMessage="0" allowBlank="1" errorTitle="Invalid Entry" error="Please select from dropdown" promptTitle="Available Options" prompt="Select from list" type="list">
      <formula1>"Confirmed_FP,True_Positive,Inconclusive,Pending"</formula1>
    </dataValidation>
    <dataValidation sqref="G6:G55" showDropDown="0" showInputMessage="0" showErrorMessage="0" allowBlank="1" errorTitle="Invalid Entry" error="Please select from dropdown" promptTitle="Available Options" prompt="Select from list" type="list">
      <formula1>"Whitelist,Policy_Tuning,Category_Update,No_Action,Escalated,Vendor_Update"</formula1>
    </dataValidation>
    <dataValidation sqref="J6:J55" showDropDown="0" showInputMessage="0" showErrorMessage="0" allowBlank="1" errorTitle="Invalid Entry" error="Please select from dropdown" promptTitle="Available Options" prompt="Select from list" type="list">
      <formula1>"First_Time,Recurring,Chronic"</formula1>
    </dataValidation>
    <dataValidation sqref="K6:K55" showDropDown="0" showInputMessage="0" showErrorMessage="0" allowBlank="1" errorTitle="Invalid Entry" error="Please select from dropdown" promptTitle="Available Options" prompt="Select from list" type="list">
      <formula1>"Open,Resolved,Escalated,Pending"</formula1>
    </dataValidation>
    <dataValidation sqref="D60:D67"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18" customWidth="1" min="3" max="3"/>
    <col width="14" customWidth="1" min="4" max="4"/>
    <col width="18" customWidth="1" min="5" max="5"/>
    <col width="28" customWidth="1" min="6" max="6"/>
    <col width="18" customWidth="1" min="7" max="7"/>
    <col width="40" customWidth="1" min="8" max="8"/>
    <col width="14" customWidth="1" min="9" max="9"/>
    <col width="14" customWidth="1" min="10" max="10"/>
    <col width="15" customWidth="1" min="11" max="11"/>
  </cols>
  <sheetData>
    <row r="1" ht="30" customHeight="1">
      <c r="A1" s="1" t="inlineStr">
        <is>
          <t>REPORTING SCHEDULE</t>
        </is>
      </c>
    </row>
    <row r="2">
      <c r="A2" s="16" t="inlineStr">
        <is>
          <t>Document regular reports generated for web filtering operations</t>
        </is>
      </c>
    </row>
    <row r="4">
      <c r="A4" s="3" t="inlineStr">
        <is>
          <t>SECTION A: REPORT INVENTORY</t>
        </is>
      </c>
    </row>
    <row r="5">
      <c r="A5" s="17" t="inlineStr">
        <is>
          <t>Report_ID</t>
        </is>
      </c>
      <c r="B5" s="17" t="inlineStr">
        <is>
          <t>Report_Name</t>
        </is>
      </c>
      <c r="C5" s="17" t="inlineStr">
        <is>
          <t>Report_Type</t>
        </is>
      </c>
      <c r="D5" s="17" t="inlineStr">
        <is>
          <t>Frequency</t>
        </is>
      </c>
      <c r="E5" s="17" t="inlineStr">
        <is>
          <t>Generation_Method</t>
        </is>
      </c>
      <c r="F5" s="17" t="inlineStr">
        <is>
          <t>Distribution_List</t>
        </is>
      </c>
      <c r="G5" s="17" t="inlineStr">
        <is>
          <t>Delivery_Method</t>
        </is>
      </c>
      <c r="H5" s="17" t="inlineStr">
        <is>
          <t>Content_Summary</t>
        </is>
      </c>
      <c r="I5" s="17" t="inlineStr">
        <is>
          <t>Last_Generated</t>
        </is>
      </c>
      <c r="J5" s="17" t="inlineStr">
        <is>
          <t>Status</t>
        </is>
      </c>
      <c r="K5" s="17" t="inlineStr">
        <is>
          <t>Evidence_Ref</t>
        </is>
      </c>
    </row>
    <row r="6">
      <c r="A6" s="18" t="inlineStr">
        <is>
          <t>RPT-001</t>
        </is>
      </c>
      <c r="B6" s="23" t="inlineStr">
        <is>
          <t>Daily Threat Summary</t>
        </is>
      </c>
      <c r="C6" s="23" t="inlineStr">
        <is>
          <t>Operational</t>
        </is>
      </c>
      <c r="D6" s="23" t="inlineStr">
        <is>
          <t>Daily</t>
        </is>
      </c>
      <c r="E6" s="19" t="n"/>
      <c r="F6" s="19" t="n"/>
      <c r="G6" s="19" t="n"/>
      <c r="H6" s="19" t="n"/>
      <c r="I6" s="19" t="n"/>
      <c r="J6" s="19" t="n"/>
      <c r="K6" s="19" t="n"/>
    </row>
    <row r="7">
      <c r="A7" s="18" t="inlineStr">
        <is>
          <t>RPT-002</t>
        </is>
      </c>
      <c r="B7" s="23" t="inlineStr">
        <is>
          <t>Weekly Block Statistics</t>
        </is>
      </c>
      <c r="C7" s="23" t="inlineStr">
        <is>
          <t>Operational</t>
        </is>
      </c>
      <c r="D7" s="23" t="inlineStr">
        <is>
          <t>Weekly</t>
        </is>
      </c>
      <c r="E7" s="19" t="n"/>
      <c r="F7" s="19" t="n"/>
      <c r="G7" s="19" t="n"/>
      <c r="H7" s="19" t="n"/>
      <c r="I7" s="19" t="n"/>
      <c r="J7" s="19" t="n"/>
      <c r="K7" s="19" t="n"/>
    </row>
    <row r="8">
      <c r="A8" s="18" t="inlineStr">
        <is>
          <t>RPT-003</t>
        </is>
      </c>
      <c r="B8" s="23" t="inlineStr">
        <is>
          <t>Monthly Executive Dashboard</t>
        </is>
      </c>
      <c r="C8" s="23" t="inlineStr">
        <is>
          <t>Executive</t>
        </is>
      </c>
      <c r="D8" s="23" t="inlineStr">
        <is>
          <t>Monthly</t>
        </is>
      </c>
      <c r="E8" s="19" t="n"/>
      <c r="F8" s="19" t="n"/>
      <c r="G8" s="19" t="n"/>
      <c r="H8" s="19" t="n"/>
      <c r="I8" s="19" t="n"/>
      <c r="J8" s="19" t="n"/>
      <c r="K8" s="19" t="n"/>
    </row>
    <row r="9">
      <c r="A9" s="18" t="inlineStr">
        <is>
          <t>RPT-004</t>
        </is>
      </c>
      <c r="B9" s="23" t="inlineStr">
        <is>
          <t>Quarterly Compliance Report</t>
        </is>
      </c>
      <c r="C9" s="23" t="inlineStr">
        <is>
          <t>Compliance</t>
        </is>
      </c>
      <c r="D9" s="23" t="inlineStr">
        <is>
          <t>Quarterly</t>
        </is>
      </c>
      <c r="E9" s="19" t="n"/>
      <c r="F9" s="19" t="n"/>
      <c r="G9" s="19" t="n"/>
      <c r="H9" s="19" t="n"/>
      <c r="I9" s="19" t="n"/>
      <c r="J9" s="19" t="n"/>
      <c r="K9" s="19" t="n"/>
    </row>
    <row r="10">
      <c r="A10" s="18" t="inlineStr">
        <is>
          <t>RPT-005</t>
        </is>
      </c>
      <c r="B10" s="23" t="inlineStr">
        <is>
          <t>Annual Security Review</t>
        </is>
      </c>
      <c r="C10" s="23" t="inlineStr">
        <is>
          <t>Audit</t>
        </is>
      </c>
      <c r="D10" s="23" t="inlineStr">
        <is>
          <t>Annual</t>
        </is>
      </c>
      <c r="E10" s="19" t="n"/>
      <c r="F10" s="19" t="n"/>
      <c r="G10" s="19" t="n"/>
      <c r="H10" s="19" t="n"/>
      <c r="I10" s="19" t="n"/>
      <c r="J10" s="19" t="n"/>
      <c r="K10" s="19" t="n"/>
    </row>
    <row r="11">
      <c r="A11" s="18" t="inlineStr">
        <is>
          <t>RPT-006</t>
        </is>
      </c>
      <c r="B11" s="23" t="inlineStr">
        <is>
          <t>Incident Summary Report</t>
        </is>
      </c>
      <c r="C11" s="23" t="inlineStr">
        <is>
          <t>Incident</t>
        </is>
      </c>
      <c r="D11" s="23" t="inlineStr">
        <is>
          <t>Weekly</t>
        </is>
      </c>
      <c r="E11" s="19" t="n"/>
      <c r="F11" s="19" t="n"/>
      <c r="G11" s="19" t="n"/>
      <c r="H11" s="19" t="n"/>
      <c r="I11" s="19" t="n"/>
      <c r="J11" s="19" t="n"/>
      <c r="K11" s="19" t="n"/>
    </row>
    <row r="12">
      <c r="A12" s="18" t="inlineStr">
        <is>
          <t>RPT-007</t>
        </is>
      </c>
      <c r="B12" s="23" t="inlineStr">
        <is>
          <t>False Positive Analysis</t>
        </is>
      </c>
      <c r="C12" s="23" t="inlineStr">
        <is>
          <t>Operational</t>
        </is>
      </c>
      <c r="D12" s="23" t="inlineStr">
        <is>
          <t>Monthly</t>
        </is>
      </c>
      <c r="E12" s="19" t="n"/>
      <c r="F12" s="19" t="n"/>
      <c r="G12" s="19" t="n"/>
      <c r="H12" s="19" t="n"/>
      <c r="I12" s="19" t="n"/>
      <c r="J12" s="19" t="n"/>
      <c r="K12" s="19" t="n"/>
    </row>
    <row r="13">
      <c r="A13" s="18" t="inlineStr">
        <is>
          <t>RPT-008</t>
        </is>
      </c>
      <c r="B13" s="23" t="inlineStr">
        <is>
          <t>User Activity Report</t>
        </is>
      </c>
      <c r="C13" s="23" t="inlineStr">
        <is>
          <t>Compliance</t>
        </is>
      </c>
      <c r="D13" s="23" t="inlineStr">
        <is>
          <t>Monthly</t>
        </is>
      </c>
      <c r="E13" s="19" t="n"/>
      <c r="F13" s="19" t="n"/>
      <c r="G13" s="19" t="n"/>
      <c r="H13" s="19" t="n"/>
      <c r="I13" s="19" t="n"/>
      <c r="J13" s="19" t="n"/>
      <c r="K13" s="19" t="n"/>
    </row>
    <row r="14">
      <c r="A14" s="18" t="inlineStr">
        <is>
          <t>RPT-009</t>
        </is>
      </c>
      <c r="B14" s="23" t="inlineStr">
        <is>
          <t>Policy Exception Report</t>
        </is>
      </c>
      <c r="C14" s="23" t="inlineStr">
        <is>
          <t>Compliance</t>
        </is>
      </c>
      <c r="D14" s="23" t="inlineStr">
        <is>
          <t>Monthly</t>
        </is>
      </c>
      <c r="E14" s="19" t="n"/>
      <c r="F14" s="19" t="n"/>
      <c r="G14" s="19" t="n"/>
      <c r="H14" s="19" t="n"/>
      <c r="I14" s="19" t="n"/>
      <c r="J14" s="19" t="n"/>
      <c r="K14" s="19" t="n"/>
    </row>
    <row r="15">
      <c r="A15" s="18" t="inlineStr">
        <is>
          <t>RPT-010</t>
        </is>
      </c>
      <c r="B15" s="23" t="inlineStr">
        <is>
          <t>Top Blocked Sites Report</t>
        </is>
      </c>
      <c r="C15" s="23" t="inlineStr">
        <is>
          <t>Trend</t>
        </is>
      </c>
      <c r="D15" s="23" t="inlineStr">
        <is>
          <t>Weekly</t>
        </is>
      </c>
      <c r="E15" s="19" t="n"/>
      <c r="F15" s="19" t="n"/>
      <c r="G15" s="19" t="n"/>
      <c r="H15" s="19" t="n"/>
      <c r="I15" s="19" t="n"/>
      <c r="J15" s="19" t="n"/>
      <c r="K15" s="19" t="n"/>
    </row>
    <row r="16">
      <c r="A16" s="18" t="inlineStr">
        <is>
          <t>RPT-011</t>
        </is>
      </c>
      <c r="B16" s="23" t="inlineStr">
        <is>
          <t>Bandwidth Usage Report</t>
        </is>
      </c>
      <c r="C16" s="23" t="inlineStr">
        <is>
          <t>Operational</t>
        </is>
      </c>
      <c r="D16" s="23" t="inlineStr">
        <is>
          <t>Weekly</t>
        </is>
      </c>
      <c r="E16" s="19" t="n"/>
      <c r="F16" s="19" t="n"/>
      <c r="G16" s="19" t="n"/>
      <c r="H16" s="19" t="n"/>
      <c r="I16" s="19" t="n"/>
      <c r="J16" s="19" t="n"/>
      <c r="K16" s="19" t="n"/>
    </row>
    <row r="17">
      <c r="A17" s="18" t="inlineStr">
        <is>
          <t>RPT-012</t>
        </is>
      </c>
      <c r="B17" s="23" t="inlineStr">
        <is>
          <t>SLA Performance Report</t>
        </is>
      </c>
      <c r="C17" s="23" t="inlineStr">
        <is>
          <t>Operational</t>
        </is>
      </c>
      <c r="D17" s="23" t="inlineStr">
        <is>
          <t>Monthly</t>
        </is>
      </c>
      <c r="E17" s="19" t="n"/>
      <c r="F17" s="19" t="n"/>
      <c r="G17" s="19" t="n"/>
      <c r="H17" s="19" t="n"/>
      <c r="I17" s="19" t="n"/>
      <c r="J17" s="19" t="n"/>
      <c r="K17" s="19" t="n"/>
    </row>
    <row r="18">
      <c r="A18" s="18" t="inlineStr">
        <is>
          <t>RPT-013</t>
        </is>
      </c>
      <c r="B18" s="23" t="inlineStr">
        <is>
          <t>Category Statistics</t>
        </is>
      </c>
      <c r="C18" s="23" t="inlineStr">
        <is>
          <t>Trend</t>
        </is>
      </c>
      <c r="D18" s="23" t="inlineStr">
        <is>
          <t>Monthly</t>
        </is>
      </c>
      <c r="E18" s="19" t="n"/>
      <c r="F18" s="19" t="n"/>
      <c r="G18" s="19" t="n"/>
      <c r="H18" s="19" t="n"/>
      <c r="I18" s="19" t="n"/>
      <c r="J18" s="19" t="n"/>
      <c r="K18" s="19" t="n"/>
    </row>
    <row r="19">
      <c r="A19" s="18" t="inlineStr">
        <is>
          <t>RPT-014</t>
        </is>
      </c>
      <c r="B19" s="23" t="inlineStr">
        <is>
          <t>Alert Summary Report</t>
        </is>
      </c>
      <c r="C19" s="23" t="inlineStr">
        <is>
          <t>Operational</t>
        </is>
      </c>
      <c r="D19" s="23" t="inlineStr">
        <is>
          <t>Daily</t>
        </is>
      </c>
      <c r="E19" s="19" t="n"/>
      <c r="F19" s="19" t="n"/>
      <c r="G19" s="19" t="n"/>
      <c r="H19" s="19" t="n"/>
      <c r="I19" s="19" t="n"/>
      <c r="J19" s="19" t="n"/>
      <c r="K19" s="19" t="n"/>
    </row>
    <row r="20">
      <c r="A20" s="18" t="inlineStr">
        <is>
          <t>RPT-015</t>
        </is>
      </c>
      <c r="B20" s="23" t="inlineStr">
        <is>
          <t>System Health Report</t>
        </is>
      </c>
      <c r="C20" s="23" t="inlineStr">
        <is>
          <t>Operational</t>
        </is>
      </c>
      <c r="D20" s="23" t="inlineStr">
        <is>
          <t>Daily</t>
        </is>
      </c>
      <c r="E20" s="19" t="n"/>
      <c r="F20" s="19" t="n"/>
      <c r="G20" s="19" t="n"/>
      <c r="H20" s="19" t="n"/>
      <c r="I20" s="19" t="n"/>
      <c r="J20" s="19" t="n"/>
      <c r="K20" s="19" t="n"/>
    </row>
    <row r="21">
      <c r="A21" s="18" t="inlineStr">
        <is>
          <t>RPT-016</t>
        </is>
      </c>
      <c r="B21" s="23" t="inlineStr">
        <is>
          <t>Audit Trail Report</t>
        </is>
      </c>
      <c r="C21" s="23" t="inlineStr">
        <is>
          <t>Audit</t>
        </is>
      </c>
      <c r="D21" s="23" t="inlineStr">
        <is>
          <t>Monthly</t>
        </is>
      </c>
      <c r="E21" s="19" t="n"/>
      <c r="F21" s="19" t="n"/>
      <c r="G21" s="19" t="n"/>
      <c r="H21" s="19" t="n"/>
      <c r="I21" s="19" t="n"/>
      <c r="J21" s="19" t="n"/>
      <c r="K21" s="19" t="n"/>
    </row>
    <row r="22">
      <c r="A22" s="18" t="inlineStr">
        <is>
          <t>RPT-017</t>
        </is>
      </c>
      <c r="B22" s="23" t="inlineStr">
        <is>
          <t>User Training Status</t>
        </is>
      </c>
      <c r="C22" s="23" t="inlineStr">
        <is>
          <t>Compliance</t>
        </is>
      </c>
      <c r="D22" s="23" t="inlineStr">
        <is>
          <t>Quarterly</t>
        </is>
      </c>
      <c r="E22" s="19" t="n"/>
      <c r="F22" s="19" t="n"/>
      <c r="G22" s="19" t="n"/>
      <c r="H22" s="19" t="n"/>
      <c r="I22" s="19" t="n"/>
      <c r="J22" s="19" t="n"/>
      <c r="K22" s="19" t="n"/>
    </row>
    <row r="23">
      <c r="A23" s="18" t="inlineStr">
        <is>
          <t>RPT-018</t>
        </is>
      </c>
      <c r="B23" s="23" t="inlineStr">
        <is>
          <t>Risk Assessment Update</t>
        </is>
      </c>
      <c r="C23" s="23" t="inlineStr">
        <is>
          <t>Executive</t>
        </is>
      </c>
      <c r="D23" s="23" t="inlineStr">
        <is>
          <t>Quarterly</t>
        </is>
      </c>
      <c r="E23" s="19" t="n"/>
      <c r="F23" s="19" t="n"/>
      <c r="G23" s="19" t="n"/>
      <c r="H23" s="19" t="n"/>
      <c r="I23" s="19" t="n"/>
      <c r="J23" s="19" t="n"/>
      <c r="K23" s="19" t="n"/>
    </row>
    <row r="24">
      <c r="A24" s="18" t="inlineStr">
        <is>
          <t>RPT-019</t>
        </is>
      </c>
      <c r="B24" s="23" t="inlineStr">
        <is>
          <t>Vendor Update Summary</t>
        </is>
      </c>
      <c r="C24" s="23" t="inlineStr">
        <is>
          <t>Operational</t>
        </is>
      </c>
      <c r="D24" s="23" t="inlineStr">
        <is>
          <t>Monthly</t>
        </is>
      </c>
      <c r="E24" s="19" t="n"/>
      <c r="F24" s="19" t="n"/>
      <c r="G24" s="19" t="n"/>
      <c r="H24" s="19" t="n"/>
      <c r="I24" s="19" t="n"/>
      <c r="J24" s="19" t="n"/>
      <c r="K24" s="19" t="n"/>
    </row>
    <row r="25">
      <c r="A25" s="18" t="inlineStr">
        <is>
          <t>RPT-020</t>
        </is>
      </c>
      <c r="B25" s="23" t="inlineStr">
        <is>
          <t>Custom Ad-hoc Report</t>
        </is>
      </c>
      <c r="C25" s="23" t="inlineStr">
        <is>
          <t>Ad-hoc</t>
        </is>
      </c>
      <c r="D25" s="23" t="inlineStr">
        <is>
          <t>Ad-hoc</t>
        </is>
      </c>
      <c r="E25" s="19" t="n"/>
      <c r="F25" s="19" t="n"/>
      <c r="G25" s="19" t="n"/>
      <c r="H25" s="19" t="n"/>
      <c r="I25" s="19" t="n"/>
      <c r="J25" s="19" t="n"/>
      <c r="K25" s="19" t="n"/>
    </row>
    <row r="28">
      <c r="A28" s="3" t="inlineStr">
        <is>
          <t>SECTION B: STAKEHOLDER REPORTING COVERAGE</t>
        </is>
      </c>
    </row>
    <row r="29">
      <c r="A29" s="22" t="inlineStr">
        <is>
          <t>Stakeholder</t>
        </is>
      </c>
      <c r="B29" s="22" t="inlineStr">
        <is>
          <t>Required_Reports</t>
        </is>
      </c>
      <c r="C29" s="22" t="inlineStr">
        <is>
          <t>Reports_Received</t>
        </is>
      </c>
      <c r="D29" s="22" t="inlineStr">
        <is>
          <t>Coverage_%</t>
        </is>
      </c>
      <c r="E29" s="22" t="inlineStr">
        <is>
          <t>Notes</t>
        </is>
      </c>
    </row>
    <row r="30">
      <c r="A30" s="26" t="inlineStr">
        <is>
          <t>CISO</t>
        </is>
      </c>
      <c r="B30" s="5" t="n"/>
      <c r="C30" s="5" t="n"/>
      <c r="D30" s="27">
        <f>IFERROR(C30/B30,0)</f>
        <v/>
      </c>
      <c r="E30" s="5" t="n"/>
    </row>
    <row r="31">
      <c r="A31" s="26" t="inlineStr">
        <is>
          <t>IT Management</t>
        </is>
      </c>
      <c r="B31" s="5" t="n"/>
      <c r="C31" s="5" t="n"/>
      <c r="D31" s="27">
        <f>IFERROR(C31/B31,0)</f>
        <v/>
      </c>
      <c r="E31" s="5" t="n"/>
    </row>
    <row r="32">
      <c r="A32" s="26" t="inlineStr">
        <is>
          <t>Compliance Team</t>
        </is>
      </c>
      <c r="B32" s="5" t="n"/>
      <c r="C32" s="5" t="n"/>
      <c r="D32" s="27">
        <f>IFERROR(C32/B32,0)</f>
        <v/>
      </c>
      <c r="E32" s="5" t="n"/>
    </row>
    <row r="33">
      <c r="A33" s="26" t="inlineStr">
        <is>
          <t>SOC</t>
        </is>
      </c>
      <c r="B33" s="5" t="n"/>
      <c r="C33" s="5" t="n"/>
      <c r="D33" s="27">
        <f>IFERROR(C33/B33,0)</f>
        <v/>
      </c>
      <c r="E33" s="5" t="n"/>
    </row>
    <row r="34">
      <c r="A34" s="26" t="inlineStr">
        <is>
          <t>Internal Audit</t>
        </is>
      </c>
      <c r="B34" s="5" t="n"/>
      <c r="C34" s="5" t="n"/>
      <c r="D34" s="27">
        <f>IFERROR(C34/B34,0)</f>
        <v/>
      </c>
      <c r="E34" s="5" t="n"/>
    </row>
    <row r="35">
      <c r="A35" s="26" t="inlineStr">
        <is>
          <t>External Auditors</t>
        </is>
      </c>
      <c r="B35" s="5" t="n"/>
      <c r="C35" s="5" t="n"/>
      <c r="D35" s="27">
        <f>IFERROR(C35/B35,0)</f>
        <v/>
      </c>
      <c r="E35" s="5" t="n"/>
    </row>
    <row r="36">
      <c r="A36" s="26" t="inlineStr">
        <is>
          <t>HR</t>
        </is>
      </c>
      <c r="B36" s="5" t="n"/>
      <c r="C36" s="5" t="n"/>
      <c r="D36" s="27">
        <f>IFERROR(C36/B36,0)</f>
        <v/>
      </c>
      <c r="E36" s="5" t="n"/>
    </row>
    <row r="37">
      <c r="A37" s="26" t="inlineStr">
        <is>
          <t>Legal</t>
        </is>
      </c>
      <c r="B37" s="5" t="n"/>
      <c r="C37" s="5" t="n"/>
      <c r="D37" s="27">
        <f>IFERROR(C37/B37,0)</f>
        <v/>
      </c>
      <c r="E37" s="5" t="n"/>
    </row>
    <row r="40">
      <c r="A40" s="3" t="inlineStr">
        <is>
          <t>SECTION C: SUMMARY METRICS</t>
        </is>
      </c>
    </row>
    <row r="41">
      <c r="A41" s="4" t="inlineStr">
        <is>
          <t>Total reports configured:</t>
        </is>
      </c>
      <c r="B41" s="20">
        <f>COUNTA(B6:B25)</f>
        <v/>
      </c>
    </row>
    <row r="42">
      <c r="A42" s="4" t="inlineStr">
        <is>
          <t>Automated reports:</t>
        </is>
      </c>
      <c r="B42" s="20">
        <f>COUNTIF(E6:E25,"Automated")</f>
        <v/>
      </c>
    </row>
    <row r="43">
      <c r="A43" s="4" t="inlineStr">
        <is>
          <t>Reports implemented:</t>
        </is>
      </c>
      <c r="B43" s="20">
        <f>COUNTIF(J6:J25,"Implemented")</f>
        <v/>
      </c>
    </row>
    <row r="44">
      <c r="A44" s="4" t="inlineStr">
        <is>
          <t>Daily reports:</t>
        </is>
      </c>
      <c r="B44" s="20">
        <f>COUNTIF(D6:D25,"Daily")</f>
        <v/>
      </c>
    </row>
    <row r="45">
      <c r="A45" s="4" t="inlineStr">
        <is>
          <t>Stakeholders with full coverage:</t>
        </is>
      </c>
      <c r="B45" s="20">
        <f>COUNTIF(D30:D37,"&gt;=100%")</f>
        <v/>
      </c>
    </row>
  </sheetData>
  <mergeCells count="5">
    <mergeCell ref="A40:D40"/>
    <mergeCell ref="A4:K4"/>
    <mergeCell ref="A28:E28"/>
    <mergeCell ref="A2:K2"/>
    <mergeCell ref="A1:K1"/>
  </mergeCells>
  <dataValidations count="5">
    <dataValidation sqref="C6:C25" showDropDown="0" showInputMessage="0" showErrorMessage="0" allowBlank="1" errorTitle="Invalid Entry" error="Please select from dropdown" promptTitle="Available Options" prompt="Select from list" type="list">
      <formula1>"Operational,Compliance,Executive,Incident,Trend,Audit,Ad-hoc"</formula1>
    </dataValidation>
    <dataValidation sqref="D6:D25" showDropDown="0" showInputMessage="0" showErrorMessage="0" allowBlank="1" errorTitle="Invalid Entry" error="Please select from dropdown" promptTitle="Available Options" prompt="Select from list" type="list">
      <formula1>"Daily,Weekly,Monthly,Quarterly,Annual,Ad-hoc"</formula1>
    </dataValidation>
    <dataValidation sqref="E6:E25" showDropDown="0" showInputMessage="0" showErrorMessage="0" allowBlank="1" errorTitle="Invalid Entry" error="Please select from dropdown" promptTitle="Available Options" prompt="Select from list" type="list">
      <formula1>"Automated,Manual,Semi-Automated"</formula1>
    </dataValidation>
    <dataValidation sqref="G6:G25" showDropDown="0" showInputMessage="0" showErrorMessage="0" allowBlank="1" errorTitle="Invalid Entry" error="Please select from dropdown" promptTitle="Available Options" prompt="Select from list" type="list">
      <formula1>"Email,Portal,Dashboard,File_Share,Meeting,API"</formula1>
    </dataValidation>
    <dataValidation sqref="J6:J25"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40" customWidth="1" min="3" max="3"/>
    <col width="30" customWidth="1" min="4" max="4"/>
    <col width="30" customWidth="1" min="5" max="5"/>
    <col width="14" customWidth="1" min="6" max="6"/>
    <col width="25" customWidth="1" min="7" max="7"/>
    <col width="35" customWidth="1" min="8" max="8"/>
    <col width="20" customWidth="1" min="9" max="9"/>
    <col width="14" customWidth="1" min="10" max="10"/>
    <col width="15" customWidth="1" min="11" max="11"/>
    <col width="12" customWidth="1" min="12" max="12"/>
    <col width="15" customWidth="1" min="13" max="13"/>
  </cols>
  <sheetData>
    <row r="1" ht="30" customHeight="1">
      <c r="A1" s="1" t="inlineStr">
        <is>
          <t>GAP ANALYSIS - MONITORING &amp; RESPONSE</t>
        </is>
      </c>
    </row>
    <row r="2">
      <c r="A2" s="16" t="inlineStr">
        <is>
          <t>Identify and prioritize monitoring and incident response gaps for remediation</t>
        </is>
      </c>
    </row>
    <row r="4">
      <c r="A4" s="3" t="inlineStr">
        <is>
          <t>GAP REGISTER</t>
        </is>
      </c>
    </row>
    <row r="5">
      <c r="A5" s="17" t="inlineStr">
        <is>
          <t>Gap_ID</t>
        </is>
      </c>
      <c r="B5" s="17" t="inlineStr">
        <is>
          <t>Gap_Category</t>
        </is>
      </c>
      <c r="C5" s="17" t="inlineStr">
        <is>
          <t>Gap_Description</t>
        </is>
      </c>
      <c r="D5" s="17" t="inlineStr">
        <is>
          <t>Current_State</t>
        </is>
      </c>
      <c r="E5" s="17" t="inlineStr">
        <is>
          <t>Target_State</t>
        </is>
      </c>
      <c r="F5" s="17" t="inlineStr">
        <is>
          <t>Risk_Impact</t>
        </is>
      </c>
      <c r="G5" s="17" t="inlineStr">
        <is>
          <t>Affected_Systems</t>
        </is>
      </c>
      <c r="H5" s="17" t="inlineStr">
        <is>
          <t>Remediation_Action</t>
        </is>
      </c>
      <c r="I5" s="17" t="inlineStr">
        <is>
          <t>Owner</t>
        </is>
      </c>
      <c r="J5" s="17" t="inlineStr">
        <is>
          <t>Target_Date</t>
        </is>
      </c>
      <c r="K5" s="17" t="inlineStr">
        <is>
          <t>Status</t>
        </is>
      </c>
      <c r="L5" s="17" t="inlineStr">
        <is>
          <t>Priority</t>
        </is>
      </c>
      <c r="M5" s="17" t="inlineStr">
        <is>
          <t>Evidence_Ref</t>
        </is>
      </c>
    </row>
    <row r="6">
      <c r="A6" s="18" t="inlineStr">
        <is>
          <t>GAP4-001</t>
        </is>
      </c>
      <c r="B6" s="19" t="n"/>
      <c r="C6" s="19" t="n"/>
      <c r="D6" s="19" t="n"/>
      <c r="E6" s="19" t="n"/>
      <c r="F6" s="19" t="n"/>
      <c r="G6" s="19" t="n"/>
      <c r="H6" s="19" t="n"/>
      <c r="I6" s="19" t="n"/>
      <c r="J6" s="19" t="n"/>
      <c r="K6" s="19" t="n"/>
      <c r="L6" s="19" t="n"/>
      <c r="M6" s="19" t="n"/>
    </row>
    <row r="7">
      <c r="A7" s="18" t="inlineStr">
        <is>
          <t>GAP4-002</t>
        </is>
      </c>
      <c r="B7" s="19" t="n"/>
      <c r="C7" s="19" t="n"/>
      <c r="D7" s="19" t="n"/>
      <c r="E7" s="19" t="n"/>
      <c r="F7" s="19" t="n"/>
      <c r="G7" s="19" t="n"/>
      <c r="H7" s="19" t="n"/>
      <c r="I7" s="19" t="n"/>
      <c r="J7" s="19" t="n"/>
      <c r="K7" s="19" t="n"/>
      <c r="L7" s="19" t="n"/>
      <c r="M7" s="19" t="n"/>
    </row>
    <row r="8">
      <c r="A8" s="18" t="inlineStr">
        <is>
          <t>GAP4-003</t>
        </is>
      </c>
      <c r="B8" s="19" t="n"/>
      <c r="C8" s="19" t="n"/>
      <c r="D8" s="19" t="n"/>
      <c r="E8" s="19" t="n"/>
      <c r="F8" s="19" t="n"/>
      <c r="G8" s="19" t="n"/>
      <c r="H8" s="19" t="n"/>
      <c r="I8" s="19" t="n"/>
      <c r="J8" s="19" t="n"/>
      <c r="K8" s="19" t="n"/>
      <c r="L8" s="19" t="n"/>
      <c r="M8" s="19" t="n"/>
    </row>
    <row r="9">
      <c r="A9" s="18" t="inlineStr">
        <is>
          <t>GAP4-004</t>
        </is>
      </c>
      <c r="B9" s="19" t="n"/>
      <c r="C9" s="19" t="n"/>
      <c r="D9" s="19" t="n"/>
      <c r="E9" s="19" t="n"/>
      <c r="F9" s="19" t="n"/>
      <c r="G9" s="19" t="n"/>
      <c r="H9" s="19" t="n"/>
      <c r="I9" s="19" t="n"/>
      <c r="J9" s="19" t="n"/>
      <c r="K9" s="19" t="n"/>
      <c r="L9" s="19" t="n"/>
      <c r="M9" s="19" t="n"/>
    </row>
    <row r="10">
      <c r="A10" s="18" t="inlineStr">
        <is>
          <t>GAP4-005</t>
        </is>
      </c>
      <c r="B10" s="19" t="n"/>
      <c r="C10" s="19" t="n"/>
      <c r="D10" s="19" t="n"/>
      <c r="E10" s="19" t="n"/>
      <c r="F10" s="19" t="n"/>
      <c r="G10" s="19" t="n"/>
      <c r="H10" s="19" t="n"/>
      <c r="I10" s="19" t="n"/>
      <c r="J10" s="19" t="n"/>
      <c r="K10" s="19" t="n"/>
      <c r="L10" s="19" t="n"/>
      <c r="M10" s="19" t="n"/>
    </row>
    <row r="11">
      <c r="A11" s="18" t="inlineStr">
        <is>
          <t>GAP4-006</t>
        </is>
      </c>
      <c r="B11" s="19" t="n"/>
      <c r="C11" s="19" t="n"/>
      <c r="D11" s="19" t="n"/>
      <c r="E11" s="19" t="n"/>
      <c r="F11" s="19" t="n"/>
      <c r="G11" s="19" t="n"/>
      <c r="H11" s="19" t="n"/>
      <c r="I11" s="19" t="n"/>
      <c r="J11" s="19" t="n"/>
      <c r="K11" s="19" t="n"/>
      <c r="L11" s="19" t="n"/>
      <c r="M11" s="19" t="n"/>
    </row>
    <row r="12">
      <c r="A12" s="18" t="inlineStr">
        <is>
          <t>GAP4-007</t>
        </is>
      </c>
      <c r="B12" s="19" t="n"/>
      <c r="C12" s="19" t="n"/>
      <c r="D12" s="19" t="n"/>
      <c r="E12" s="19" t="n"/>
      <c r="F12" s="19" t="n"/>
      <c r="G12" s="19" t="n"/>
      <c r="H12" s="19" t="n"/>
      <c r="I12" s="19" t="n"/>
      <c r="J12" s="19" t="n"/>
      <c r="K12" s="19" t="n"/>
      <c r="L12" s="19" t="n"/>
      <c r="M12" s="19" t="n"/>
    </row>
    <row r="13">
      <c r="A13" s="18" t="inlineStr">
        <is>
          <t>GAP4-008</t>
        </is>
      </c>
      <c r="B13" s="19" t="n"/>
      <c r="C13" s="19" t="n"/>
      <c r="D13" s="19" t="n"/>
      <c r="E13" s="19" t="n"/>
      <c r="F13" s="19" t="n"/>
      <c r="G13" s="19" t="n"/>
      <c r="H13" s="19" t="n"/>
      <c r="I13" s="19" t="n"/>
      <c r="J13" s="19" t="n"/>
      <c r="K13" s="19" t="n"/>
      <c r="L13" s="19" t="n"/>
      <c r="M13" s="19" t="n"/>
    </row>
    <row r="14">
      <c r="A14" s="18" t="inlineStr">
        <is>
          <t>GAP4-009</t>
        </is>
      </c>
      <c r="B14" s="19" t="n"/>
      <c r="C14" s="19" t="n"/>
      <c r="D14" s="19" t="n"/>
      <c r="E14" s="19" t="n"/>
      <c r="F14" s="19" t="n"/>
      <c r="G14" s="19" t="n"/>
      <c r="H14" s="19" t="n"/>
      <c r="I14" s="19" t="n"/>
      <c r="J14" s="19" t="n"/>
      <c r="K14" s="19" t="n"/>
      <c r="L14" s="19" t="n"/>
      <c r="M14" s="19" t="n"/>
    </row>
    <row r="15">
      <c r="A15" s="18" t="inlineStr">
        <is>
          <t>GAP4-010</t>
        </is>
      </c>
      <c r="B15" s="19" t="n"/>
      <c r="C15" s="19" t="n"/>
      <c r="D15" s="19" t="n"/>
      <c r="E15" s="19" t="n"/>
      <c r="F15" s="19" t="n"/>
      <c r="G15" s="19" t="n"/>
      <c r="H15" s="19" t="n"/>
      <c r="I15" s="19" t="n"/>
      <c r="J15" s="19" t="n"/>
      <c r="K15" s="19" t="n"/>
      <c r="L15" s="19" t="n"/>
      <c r="M15" s="19" t="n"/>
    </row>
    <row r="16">
      <c r="A16" s="18" t="inlineStr">
        <is>
          <t>GAP4-011</t>
        </is>
      </c>
      <c r="B16" s="19" t="n"/>
      <c r="C16" s="19" t="n"/>
      <c r="D16" s="19" t="n"/>
      <c r="E16" s="19" t="n"/>
      <c r="F16" s="19" t="n"/>
      <c r="G16" s="19" t="n"/>
      <c r="H16" s="19" t="n"/>
      <c r="I16" s="19" t="n"/>
      <c r="J16" s="19" t="n"/>
      <c r="K16" s="19" t="n"/>
      <c r="L16" s="19" t="n"/>
      <c r="M16" s="19" t="n"/>
    </row>
    <row r="17">
      <c r="A17" s="18" t="inlineStr">
        <is>
          <t>GAP4-012</t>
        </is>
      </c>
      <c r="B17" s="19" t="n"/>
      <c r="C17" s="19" t="n"/>
      <c r="D17" s="19" t="n"/>
      <c r="E17" s="19" t="n"/>
      <c r="F17" s="19" t="n"/>
      <c r="G17" s="19" t="n"/>
      <c r="H17" s="19" t="n"/>
      <c r="I17" s="19" t="n"/>
      <c r="J17" s="19" t="n"/>
      <c r="K17" s="19" t="n"/>
      <c r="L17" s="19" t="n"/>
      <c r="M17" s="19" t="n"/>
    </row>
    <row r="18">
      <c r="A18" s="18" t="inlineStr">
        <is>
          <t>GAP4-013</t>
        </is>
      </c>
      <c r="B18" s="19" t="n"/>
      <c r="C18" s="19" t="n"/>
      <c r="D18" s="19" t="n"/>
      <c r="E18" s="19" t="n"/>
      <c r="F18" s="19" t="n"/>
      <c r="G18" s="19" t="n"/>
      <c r="H18" s="19" t="n"/>
      <c r="I18" s="19" t="n"/>
      <c r="J18" s="19" t="n"/>
      <c r="K18" s="19" t="n"/>
      <c r="L18" s="19" t="n"/>
      <c r="M18" s="19" t="n"/>
    </row>
    <row r="19">
      <c r="A19" s="18" t="inlineStr">
        <is>
          <t>GAP4-014</t>
        </is>
      </c>
      <c r="B19" s="19" t="n"/>
      <c r="C19" s="19" t="n"/>
      <c r="D19" s="19" t="n"/>
      <c r="E19" s="19" t="n"/>
      <c r="F19" s="19" t="n"/>
      <c r="G19" s="19" t="n"/>
      <c r="H19" s="19" t="n"/>
      <c r="I19" s="19" t="n"/>
      <c r="J19" s="19" t="n"/>
      <c r="K19" s="19" t="n"/>
      <c r="L19" s="19" t="n"/>
      <c r="M19" s="19" t="n"/>
    </row>
    <row r="20">
      <c r="A20" s="18" t="inlineStr">
        <is>
          <t>GAP4-015</t>
        </is>
      </c>
      <c r="B20" s="19" t="n"/>
      <c r="C20" s="19" t="n"/>
      <c r="D20" s="19" t="n"/>
      <c r="E20" s="19" t="n"/>
      <c r="F20" s="19" t="n"/>
      <c r="G20" s="19" t="n"/>
      <c r="H20" s="19" t="n"/>
      <c r="I20" s="19" t="n"/>
      <c r="J20" s="19" t="n"/>
      <c r="K20" s="19" t="n"/>
      <c r="L20" s="19" t="n"/>
      <c r="M20" s="19" t="n"/>
    </row>
    <row r="21">
      <c r="A21" s="18" t="inlineStr">
        <is>
          <t>GAP4-016</t>
        </is>
      </c>
      <c r="B21" s="19" t="n"/>
      <c r="C21" s="19" t="n"/>
      <c r="D21" s="19" t="n"/>
      <c r="E21" s="19" t="n"/>
      <c r="F21" s="19" t="n"/>
      <c r="G21" s="19" t="n"/>
      <c r="H21" s="19" t="n"/>
      <c r="I21" s="19" t="n"/>
      <c r="J21" s="19" t="n"/>
      <c r="K21" s="19" t="n"/>
      <c r="L21" s="19" t="n"/>
      <c r="M21" s="19" t="n"/>
    </row>
    <row r="22">
      <c r="A22" s="18" t="inlineStr">
        <is>
          <t>GAP4-017</t>
        </is>
      </c>
      <c r="B22" s="19" t="n"/>
      <c r="C22" s="19" t="n"/>
      <c r="D22" s="19" t="n"/>
      <c r="E22" s="19" t="n"/>
      <c r="F22" s="19" t="n"/>
      <c r="G22" s="19" t="n"/>
      <c r="H22" s="19" t="n"/>
      <c r="I22" s="19" t="n"/>
      <c r="J22" s="19" t="n"/>
      <c r="K22" s="19" t="n"/>
      <c r="L22" s="19" t="n"/>
      <c r="M22" s="19" t="n"/>
    </row>
    <row r="23">
      <c r="A23" s="18" t="inlineStr">
        <is>
          <t>GAP4-018</t>
        </is>
      </c>
      <c r="B23" s="19" t="n"/>
      <c r="C23" s="19" t="n"/>
      <c r="D23" s="19" t="n"/>
      <c r="E23" s="19" t="n"/>
      <c r="F23" s="19" t="n"/>
      <c r="G23" s="19" t="n"/>
      <c r="H23" s="19" t="n"/>
      <c r="I23" s="19" t="n"/>
      <c r="J23" s="19" t="n"/>
      <c r="K23" s="19" t="n"/>
      <c r="L23" s="19" t="n"/>
      <c r="M23" s="19" t="n"/>
    </row>
    <row r="24">
      <c r="A24" s="18" t="inlineStr">
        <is>
          <t>GAP4-019</t>
        </is>
      </c>
      <c r="B24" s="19" t="n"/>
      <c r="C24" s="19" t="n"/>
      <c r="D24" s="19" t="n"/>
      <c r="E24" s="19" t="n"/>
      <c r="F24" s="19" t="n"/>
      <c r="G24" s="19" t="n"/>
      <c r="H24" s="19" t="n"/>
      <c r="I24" s="19" t="n"/>
      <c r="J24" s="19" t="n"/>
      <c r="K24" s="19" t="n"/>
      <c r="L24" s="19" t="n"/>
      <c r="M24" s="19" t="n"/>
    </row>
    <row r="25">
      <c r="A25" s="18" t="inlineStr">
        <is>
          <t>GAP4-020</t>
        </is>
      </c>
      <c r="B25" s="19" t="n"/>
      <c r="C25" s="19" t="n"/>
      <c r="D25" s="19" t="n"/>
      <c r="E25" s="19" t="n"/>
      <c r="F25" s="19" t="n"/>
      <c r="G25" s="19" t="n"/>
      <c r="H25" s="19" t="n"/>
      <c r="I25" s="19" t="n"/>
      <c r="J25" s="19" t="n"/>
      <c r="K25" s="19" t="n"/>
      <c r="L25" s="19" t="n"/>
      <c r="M25" s="19" t="n"/>
    </row>
    <row r="26">
      <c r="A26" s="18" t="inlineStr">
        <is>
          <t>GAP4-021</t>
        </is>
      </c>
      <c r="B26" s="19" t="n"/>
      <c r="C26" s="19" t="n"/>
      <c r="D26" s="19" t="n"/>
      <c r="E26" s="19" t="n"/>
      <c r="F26" s="19" t="n"/>
      <c r="G26" s="19" t="n"/>
      <c r="H26" s="19" t="n"/>
      <c r="I26" s="19" t="n"/>
      <c r="J26" s="19" t="n"/>
      <c r="K26" s="19" t="n"/>
      <c r="L26" s="19" t="n"/>
      <c r="M26" s="19" t="n"/>
    </row>
    <row r="27">
      <c r="A27" s="18" t="inlineStr">
        <is>
          <t>GAP4-022</t>
        </is>
      </c>
      <c r="B27" s="19" t="n"/>
      <c r="C27" s="19" t="n"/>
      <c r="D27" s="19" t="n"/>
      <c r="E27" s="19" t="n"/>
      <c r="F27" s="19" t="n"/>
      <c r="G27" s="19" t="n"/>
      <c r="H27" s="19" t="n"/>
      <c r="I27" s="19" t="n"/>
      <c r="J27" s="19" t="n"/>
      <c r="K27" s="19" t="n"/>
      <c r="L27" s="19" t="n"/>
      <c r="M27" s="19" t="n"/>
    </row>
    <row r="28">
      <c r="A28" s="18" t="inlineStr">
        <is>
          <t>GAP4-023</t>
        </is>
      </c>
      <c r="B28" s="19" t="n"/>
      <c r="C28" s="19" t="n"/>
      <c r="D28" s="19" t="n"/>
      <c r="E28" s="19" t="n"/>
      <c r="F28" s="19" t="n"/>
      <c r="G28" s="19" t="n"/>
      <c r="H28" s="19" t="n"/>
      <c r="I28" s="19" t="n"/>
      <c r="J28" s="19" t="n"/>
      <c r="K28" s="19" t="n"/>
      <c r="L28" s="19" t="n"/>
      <c r="M28" s="19" t="n"/>
    </row>
    <row r="29">
      <c r="A29" s="18" t="inlineStr">
        <is>
          <t>GAP4-024</t>
        </is>
      </c>
      <c r="B29" s="19" t="n"/>
      <c r="C29" s="19" t="n"/>
      <c r="D29" s="19" t="n"/>
      <c r="E29" s="19" t="n"/>
      <c r="F29" s="19" t="n"/>
      <c r="G29" s="19" t="n"/>
      <c r="H29" s="19" t="n"/>
      <c r="I29" s="19" t="n"/>
      <c r="J29" s="19" t="n"/>
      <c r="K29" s="19" t="n"/>
      <c r="L29" s="19" t="n"/>
      <c r="M29" s="19" t="n"/>
    </row>
    <row r="30">
      <c r="A30" s="18" t="inlineStr">
        <is>
          <t>GAP4-025</t>
        </is>
      </c>
      <c r="B30" s="19" t="n"/>
      <c r="C30" s="19" t="n"/>
      <c r="D30" s="19" t="n"/>
      <c r="E30" s="19" t="n"/>
      <c r="F30" s="19" t="n"/>
      <c r="G30" s="19" t="n"/>
      <c r="H30" s="19" t="n"/>
      <c r="I30" s="19" t="n"/>
      <c r="J30" s="19" t="n"/>
      <c r="K30" s="19" t="n"/>
      <c r="L30" s="19" t="n"/>
      <c r="M30" s="19" t="n"/>
    </row>
    <row r="31">
      <c r="A31" s="18" t="inlineStr">
        <is>
          <t>GAP4-026</t>
        </is>
      </c>
      <c r="B31" s="19" t="n"/>
      <c r="C31" s="19" t="n"/>
      <c r="D31" s="19" t="n"/>
      <c r="E31" s="19" t="n"/>
      <c r="F31" s="19" t="n"/>
      <c r="G31" s="19" t="n"/>
      <c r="H31" s="19" t="n"/>
      <c r="I31" s="19" t="n"/>
      <c r="J31" s="19" t="n"/>
      <c r="K31" s="19" t="n"/>
      <c r="L31" s="19" t="n"/>
      <c r="M31" s="19" t="n"/>
    </row>
    <row r="32">
      <c r="A32" s="18" t="inlineStr">
        <is>
          <t>GAP4-027</t>
        </is>
      </c>
      <c r="B32" s="19" t="n"/>
      <c r="C32" s="19" t="n"/>
      <c r="D32" s="19" t="n"/>
      <c r="E32" s="19" t="n"/>
      <c r="F32" s="19" t="n"/>
      <c r="G32" s="19" t="n"/>
      <c r="H32" s="19" t="n"/>
      <c r="I32" s="19" t="n"/>
      <c r="J32" s="19" t="n"/>
      <c r="K32" s="19" t="n"/>
      <c r="L32" s="19" t="n"/>
      <c r="M32" s="19" t="n"/>
    </row>
    <row r="33">
      <c r="A33" s="18" t="inlineStr">
        <is>
          <t>GAP4-028</t>
        </is>
      </c>
      <c r="B33" s="19" t="n"/>
      <c r="C33" s="19" t="n"/>
      <c r="D33" s="19" t="n"/>
      <c r="E33" s="19" t="n"/>
      <c r="F33" s="19" t="n"/>
      <c r="G33" s="19" t="n"/>
      <c r="H33" s="19" t="n"/>
      <c r="I33" s="19" t="n"/>
      <c r="J33" s="19" t="n"/>
      <c r="K33" s="19" t="n"/>
      <c r="L33" s="19" t="n"/>
      <c r="M33" s="19" t="n"/>
    </row>
    <row r="34">
      <c r="A34" s="18" t="inlineStr">
        <is>
          <t>GAP4-029</t>
        </is>
      </c>
      <c r="B34" s="19" t="n"/>
      <c r="C34" s="19" t="n"/>
      <c r="D34" s="19" t="n"/>
      <c r="E34" s="19" t="n"/>
      <c r="F34" s="19" t="n"/>
      <c r="G34" s="19" t="n"/>
      <c r="H34" s="19" t="n"/>
      <c r="I34" s="19" t="n"/>
      <c r="J34" s="19" t="n"/>
      <c r="K34" s="19" t="n"/>
      <c r="L34" s="19" t="n"/>
      <c r="M34" s="19" t="n"/>
    </row>
    <row r="35">
      <c r="A35" s="18" t="inlineStr">
        <is>
          <t>GAP4-030</t>
        </is>
      </c>
      <c r="B35" s="19" t="n"/>
      <c r="C35" s="19" t="n"/>
      <c r="D35" s="19" t="n"/>
      <c r="E35" s="19" t="n"/>
      <c r="F35" s="19" t="n"/>
      <c r="G35" s="19" t="n"/>
      <c r="H35" s="19" t="n"/>
      <c r="I35" s="19" t="n"/>
      <c r="J35" s="19" t="n"/>
      <c r="K35" s="19" t="n"/>
      <c r="L35" s="19" t="n"/>
      <c r="M35" s="19" t="n"/>
    </row>
    <row r="38">
      <c r="A38" s="3" t="inlineStr">
        <is>
          <t>SUMMARY METRICS</t>
        </is>
      </c>
    </row>
    <row r="39">
      <c r="A39" s="4" t="inlineStr">
        <is>
          <t>Total gaps identified:</t>
        </is>
      </c>
      <c r="B39" s="20">
        <f>COUNTA(C6:C35)</f>
        <v/>
      </c>
    </row>
    <row r="40">
      <c r="A40" s="4" t="inlineStr">
        <is>
          <t>Critical gaps:</t>
        </is>
      </c>
      <c r="B40" s="20">
        <f>COUNTIF(F6:F35,"Critical")</f>
        <v/>
      </c>
    </row>
    <row r="41">
      <c r="A41" s="4" t="inlineStr">
        <is>
          <t>High gaps:</t>
        </is>
      </c>
      <c r="B41" s="20">
        <f>COUNTIF(F6:F35,"High")</f>
        <v/>
      </c>
    </row>
    <row r="42">
      <c r="A42" s="4" t="inlineStr">
        <is>
          <t>Open gaps:</t>
        </is>
      </c>
      <c r="B42" s="20">
        <f>COUNTIF(K6:K35,"Open")</f>
        <v/>
      </c>
    </row>
    <row r="43">
      <c r="A43" s="4" t="inlineStr">
        <is>
          <t>In Progress gaps:</t>
        </is>
      </c>
      <c r="B43" s="20">
        <f>COUNTIF(K6:K35,"In_Progress")</f>
        <v/>
      </c>
    </row>
    <row r="44">
      <c r="A44" s="4" t="inlineStr">
        <is>
          <t>Resolved gaps:</t>
        </is>
      </c>
      <c r="B44" s="20">
        <f>COUNTIF(K6:K35,"Resolved")</f>
        <v/>
      </c>
    </row>
    <row r="45">
      <c r="A45" s="4" t="inlineStr">
        <is>
          <t>Gaps past target date:</t>
        </is>
      </c>
      <c r="B45" s="20">
        <f>COUNTIFS(K6:K35,"&lt;&gt;Resolved",J6:J35,"&lt;"&amp;TODAY())</f>
        <v/>
      </c>
    </row>
    <row r="48">
      <c r="A48" s="3" t="inlineStr">
        <is>
          <t>GAP CATEGORIES BREAKDOWN</t>
        </is>
      </c>
    </row>
    <row r="49">
      <c r="A49" s="22" t="inlineStr">
        <is>
          <t>Category</t>
        </is>
      </c>
      <c r="B49" s="22" t="inlineStr">
        <is>
          <t>Count</t>
        </is>
      </c>
      <c r="C49" s="22" t="inlineStr">
        <is>
          <t>Open</t>
        </is>
      </c>
      <c r="D49" s="22" t="inlineStr">
        <is>
          <t>Critical/High</t>
        </is>
      </c>
    </row>
    <row r="50">
      <c r="A50" s="20" t="inlineStr">
        <is>
          <t>Logging</t>
        </is>
      </c>
      <c r="B50" s="20">
        <f>COUNTIF(B6:B35,"Logging")</f>
        <v/>
      </c>
      <c r="C50" s="20">
        <f>COUNTIFS(B6:B35,"Logging",K6:K35,"Open")</f>
        <v/>
      </c>
      <c r="D50" s="20">
        <f>COUNTIFS(B6:B35,"Logging",F6:F35,"Critical")+COUNTIFS(B6:B35,"Logging",F6:F35,"High")</f>
        <v/>
      </c>
    </row>
    <row r="51">
      <c r="A51" s="20" t="inlineStr">
        <is>
          <t>Alerting</t>
        </is>
      </c>
      <c r="B51" s="20">
        <f>COUNTIF(B6:B35,"Alerting")</f>
        <v/>
      </c>
      <c r="C51" s="20">
        <f>COUNTIFS(B6:B35,"Alerting",K6:K35,"Open")</f>
        <v/>
      </c>
      <c r="D51" s="20">
        <f>COUNTIFS(B6:B35,"Alerting",F6:F35,"Critical")+COUNTIFS(B6:B35,"Alerting",F6:F35,"High")</f>
        <v/>
      </c>
    </row>
    <row r="52">
      <c r="A52" s="20" t="inlineStr">
        <is>
          <t>Monitoring</t>
        </is>
      </c>
      <c r="B52" s="20">
        <f>COUNTIF(B6:B35,"Monitoring")</f>
        <v/>
      </c>
      <c r="C52" s="20">
        <f>COUNTIFS(B6:B35,"Monitoring",K6:K35,"Open")</f>
        <v/>
      </c>
      <c r="D52" s="20">
        <f>COUNTIFS(B6:B35,"Monitoring",F6:F35,"Critical")+COUNTIFS(B6:B35,"Monitoring",F6:F35,"High")</f>
        <v/>
      </c>
    </row>
    <row r="53">
      <c r="A53" s="20" t="inlineStr">
        <is>
          <t>Incident_Response</t>
        </is>
      </c>
      <c r="B53" s="20">
        <f>COUNTIF(B6:B35,"Incident_Response")</f>
        <v/>
      </c>
      <c r="C53" s="20">
        <f>COUNTIFS(B6:B35,"Incident_Response",K6:K35,"Open")</f>
        <v/>
      </c>
      <c r="D53" s="20">
        <f>COUNTIFS(B6:B35,"Incident_Response",F6:F35,"Critical")+COUNTIFS(B6:B35,"Incident_Response",F6:F35,"High")</f>
        <v/>
      </c>
    </row>
    <row r="54">
      <c r="A54" s="20" t="inlineStr">
        <is>
          <t>Reporting</t>
        </is>
      </c>
      <c r="B54" s="20">
        <f>COUNTIF(B6:B35,"Reporting")</f>
        <v/>
      </c>
      <c r="C54" s="20">
        <f>COUNTIFS(B6:B35,"Reporting",K6:K35,"Open")</f>
        <v/>
      </c>
      <c r="D54" s="20">
        <f>COUNTIFS(B6:B35,"Reporting",F6:F35,"Critical")+COUNTIFS(B6:B35,"Reporting",F6:F35,"High")</f>
        <v/>
      </c>
    </row>
    <row r="55">
      <c r="A55" s="20" t="inlineStr">
        <is>
          <t>Integration</t>
        </is>
      </c>
      <c r="B55" s="20">
        <f>COUNTIF(B6:B35,"Integration")</f>
        <v/>
      </c>
      <c r="C55" s="20">
        <f>COUNTIFS(B6:B35,"Integration",K6:K35,"Open")</f>
        <v/>
      </c>
      <c r="D55" s="20">
        <f>COUNTIFS(B6:B35,"Integration",F6:F35,"Critical")+COUNTIFS(B6:B35,"Integration",F6:F35,"High")</f>
        <v/>
      </c>
    </row>
    <row r="56">
      <c r="A56" s="20" t="inlineStr">
        <is>
          <t>Retention</t>
        </is>
      </c>
      <c r="B56" s="20">
        <f>COUNTIF(B6:B35,"Retention")</f>
        <v/>
      </c>
      <c r="C56" s="20">
        <f>COUNTIFS(B6:B35,"Retention",K6:K35,"Open")</f>
        <v/>
      </c>
      <c r="D56" s="20">
        <f>COUNTIFS(B6:B35,"Retention",F6:F35,"Critical")+COUNTIFS(B6:B35,"Retention",F6:F35,"High")</f>
        <v/>
      </c>
    </row>
    <row r="57">
      <c r="A57" s="20" t="inlineStr">
        <is>
          <t>Process</t>
        </is>
      </c>
      <c r="B57" s="20">
        <f>COUNTIF(B6:B35,"Process")</f>
        <v/>
      </c>
      <c r="C57" s="20">
        <f>COUNTIFS(B6:B35,"Process",K6:K35,"Open")</f>
        <v/>
      </c>
      <c r="D57" s="20">
        <f>COUNTIFS(B6:B35,"Process",F6:F35,"Critical")+COUNTIFS(B6:B35,"Process",F6:F35,"High")</f>
        <v/>
      </c>
    </row>
  </sheetData>
  <mergeCells count="5">
    <mergeCell ref="A1:M1"/>
    <mergeCell ref="A48:D48"/>
    <mergeCell ref="A38:D38"/>
    <mergeCell ref="A4:M4"/>
    <mergeCell ref="A2:M2"/>
  </mergeCells>
  <dataValidations count="4">
    <dataValidation sqref="B6:B35" showDropDown="0" showInputMessage="0" showErrorMessage="0" allowBlank="1" errorTitle="Invalid Entry" error="Please select from dropdown" promptTitle="Available Options" prompt="Select from list" type="list">
      <formula1>"Logging,Alerting,Monitoring,Incident_Response,Reporting,Integration,Retention,Process"</formula1>
    </dataValidation>
    <dataValidation sqref="F6:F35" showDropDown="0" showInputMessage="0" showErrorMessage="0" allowBlank="1" errorTitle="Invalid Entry" error="Please select from dropdown" promptTitle="Available Options" prompt="Select from list" type="list">
      <formula1>"Critical,High,Medium,Low"</formula1>
    </dataValidation>
    <dataValidation sqref="K6:K35" showDropDown="0" showInputMessage="0" showErrorMessage="0" allowBlank="1" errorTitle="Invalid Entry" error="Please select from dropdown" promptTitle="Available Options" prompt="Select from list" type="list">
      <formula1>"Open,In_Progress,Resolved,Accepted,Deferred"</formula1>
    </dataValidation>
    <dataValidation sqref="L6:L35" showDropDown="0" showInputMessage="0" showErrorMessage="0" allowBlank="1" errorTitle="Invalid Entry" error="Please select from dropdown" promptTitle="Available Options" prompt="Select from list"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pane ySplit="5" topLeftCell="A6" activePane="bottomLeft" state="frozen"/>
      <selection pane="bottomLeft" activeCell="A1" sqref="A1"/>
    </sheetView>
  </sheetViews>
  <sheetFormatPr baseColWidth="8" defaultRowHeight="15"/>
  <cols>
    <col width="14" customWidth="1" min="1" max="1"/>
    <col width="35" customWidth="1" min="2" max="2"/>
    <col width="22" customWidth="1" min="3" max="3"/>
    <col width="20" customWidth="1" min="4" max="4"/>
    <col width="16" customWidth="1" min="5" max="5"/>
    <col width="14" customWidth="1" min="6" max="6"/>
    <col width="18" customWidth="1" min="7" max="7"/>
    <col width="40" customWidth="1" min="8" max="8"/>
    <col width="14" customWidth="1" min="9" max="9"/>
    <col width="18" customWidth="1" min="10" max="10"/>
    <col width="30" customWidth="1" min="11" max="11"/>
  </cols>
  <sheetData>
    <row r="1" ht="30" customHeight="1">
      <c r="A1" s="1" t="inlineStr">
        <is>
          <t>EVIDENCE REGISTER - MONITORING &amp; RESPONSE</t>
        </is>
      </c>
    </row>
    <row r="2">
      <c r="A2" s="16" t="inlineStr">
        <is>
          <t>Catalog all evidence supporting monitoring and incident response assessment claims</t>
        </is>
      </c>
    </row>
    <row r="4">
      <c r="A4" s="3" t="inlineStr">
        <is>
          <t>EVIDENCE CATALOG</t>
        </is>
      </c>
    </row>
    <row r="5">
      <c r="A5" s="17" t="inlineStr">
        <is>
          <t>Evidence_ID</t>
        </is>
      </c>
      <c r="B5" s="17" t="inlineStr">
        <is>
          <t>Evidence_Title</t>
        </is>
      </c>
      <c r="C5" s="17" t="inlineStr">
        <is>
          <t>Evidence_Type</t>
        </is>
      </c>
      <c r="D5" s="17" t="inlineStr">
        <is>
          <t>Related_Sheet</t>
        </is>
      </c>
      <c r="E5" s="17" t="inlineStr">
        <is>
          <t>Related_Item_ID</t>
        </is>
      </c>
      <c r="F5" s="17" t="inlineStr">
        <is>
          <t>Date_Collected</t>
        </is>
      </c>
      <c r="G5" s="17" t="inlineStr">
        <is>
          <t>Collected_By</t>
        </is>
      </c>
      <c r="H5" s="17" t="inlineStr">
        <is>
          <t>Storage_Location</t>
        </is>
      </c>
      <c r="I5" s="17" t="inlineStr">
        <is>
          <t>Retention_Until</t>
        </is>
      </c>
      <c r="J5" s="17" t="inlineStr">
        <is>
          <t>Verification_Status</t>
        </is>
      </c>
      <c r="K5" s="17" t="inlineStr">
        <is>
          <t>Notes</t>
        </is>
      </c>
    </row>
    <row r="6">
      <c r="A6" s="18" t="inlineStr">
        <is>
          <t>EV4-001</t>
        </is>
      </c>
      <c r="B6" s="19" t="n"/>
      <c r="C6" s="19" t="n"/>
      <c r="D6" s="19" t="n"/>
      <c r="E6" s="19" t="n"/>
      <c r="F6" s="19" t="n"/>
      <c r="G6" s="19" t="n"/>
      <c r="H6" s="19" t="n"/>
      <c r="I6" s="19" t="n"/>
      <c r="J6" s="19" t="n"/>
      <c r="K6" s="19" t="n"/>
    </row>
    <row r="7">
      <c r="A7" s="18" t="inlineStr">
        <is>
          <t>EV4-002</t>
        </is>
      </c>
      <c r="B7" s="19" t="n"/>
      <c r="C7" s="19" t="n"/>
      <c r="D7" s="19" t="n"/>
      <c r="E7" s="19" t="n"/>
      <c r="F7" s="19" t="n"/>
      <c r="G7" s="19" t="n"/>
      <c r="H7" s="19" t="n"/>
      <c r="I7" s="19" t="n"/>
      <c r="J7" s="19" t="n"/>
      <c r="K7" s="19" t="n"/>
    </row>
    <row r="8">
      <c r="A8" s="18" t="inlineStr">
        <is>
          <t>EV4-003</t>
        </is>
      </c>
      <c r="B8" s="19" t="n"/>
      <c r="C8" s="19" t="n"/>
      <c r="D8" s="19" t="n"/>
      <c r="E8" s="19" t="n"/>
      <c r="F8" s="19" t="n"/>
      <c r="G8" s="19" t="n"/>
      <c r="H8" s="19" t="n"/>
      <c r="I8" s="19" t="n"/>
      <c r="J8" s="19" t="n"/>
      <c r="K8" s="19" t="n"/>
    </row>
    <row r="9">
      <c r="A9" s="18" t="inlineStr">
        <is>
          <t>EV4-004</t>
        </is>
      </c>
      <c r="B9" s="19" t="n"/>
      <c r="C9" s="19" t="n"/>
      <c r="D9" s="19" t="n"/>
      <c r="E9" s="19" t="n"/>
      <c r="F9" s="19" t="n"/>
      <c r="G9" s="19" t="n"/>
      <c r="H9" s="19" t="n"/>
      <c r="I9" s="19" t="n"/>
      <c r="J9" s="19" t="n"/>
      <c r="K9" s="19" t="n"/>
    </row>
    <row r="10">
      <c r="A10" s="18" t="inlineStr">
        <is>
          <t>EV4-005</t>
        </is>
      </c>
      <c r="B10" s="19" t="n"/>
      <c r="C10" s="19" t="n"/>
      <c r="D10" s="19" t="n"/>
      <c r="E10" s="19" t="n"/>
      <c r="F10" s="19" t="n"/>
      <c r="G10" s="19" t="n"/>
      <c r="H10" s="19" t="n"/>
      <c r="I10" s="19" t="n"/>
      <c r="J10" s="19" t="n"/>
      <c r="K10" s="19" t="n"/>
    </row>
    <row r="11">
      <c r="A11" s="18" t="inlineStr">
        <is>
          <t>EV4-006</t>
        </is>
      </c>
      <c r="B11" s="19" t="n"/>
      <c r="C11" s="19" t="n"/>
      <c r="D11" s="19" t="n"/>
      <c r="E11" s="19" t="n"/>
      <c r="F11" s="19" t="n"/>
      <c r="G11" s="19" t="n"/>
      <c r="H11" s="19" t="n"/>
      <c r="I11" s="19" t="n"/>
      <c r="J11" s="19" t="n"/>
      <c r="K11" s="19" t="n"/>
    </row>
    <row r="12">
      <c r="A12" s="18" t="inlineStr">
        <is>
          <t>EV4-007</t>
        </is>
      </c>
      <c r="B12" s="19" t="n"/>
      <c r="C12" s="19" t="n"/>
      <c r="D12" s="19" t="n"/>
      <c r="E12" s="19" t="n"/>
      <c r="F12" s="19" t="n"/>
      <c r="G12" s="19" t="n"/>
      <c r="H12" s="19" t="n"/>
      <c r="I12" s="19" t="n"/>
      <c r="J12" s="19" t="n"/>
      <c r="K12" s="19" t="n"/>
    </row>
    <row r="13">
      <c r="A13" s="18" t="inlineStr">
        <is>
          <t>EV4-008</t>
        </is>
      </c>
      <c r="B13" s="19" t="n"/>
      <c r="C13" s="19" t="n"/>
      <c r="D13" s="19" t="n"/>
      <c r="E13" s="19" t="n"/>
      <c r="F13" s="19" t="n"/>
      <c r="G13" s="19" t="n"/>
      <c r="H13" s="19" t="n"/>
      <c r="I13" s="19" t="n"/>
      <c r="J13" s="19" t="n"/>
      <c r="K13" s="19" t="n"/>
    </row>
    <row r="14">
      <c r="A14" s="18" t="inlineStr">
        <is>
          <t>EV4-009</t>
        </is>
      </c>
      <c r="B14" s="19" t="n"/>
      <c r="C14" s="19" t="n"/>
      <c r="D14" s="19" t="n"/>
      <c r="E14" s="19" t="n"/>
      <c r="F14" s="19" t="n"/>
      <c r="G14" s="19" t="n"/>
      <c r="H14" s="19" t="n"/>
      <c r="I14" s="19" t="n"/>
      <c r="J14" s="19" t="n"/>
      <c r="K14" s="19" t="n"/>
    </row>
    <row r="15">
      <c r="A15" s="18" t="inlineStr">
        <is>
          <t>EV4-010</t>
        </is>
      </c>
      <c r="B15" s="19" t="n"/>
      <c r="C15" s="19" t="n"/>
      <c r="D15" s="19" t="n"/>
      <c r="E15" s="19" t="n"/>
      <c r="F15" s="19" t="n"/>
      <c r="G15" s="19" t="n"/>
      <c r="H15" s="19" t="n"/>
      <c r="I15" s="19" t="n"/>
      <c r="J15" s="19" t="n"/>
      <c r="K15" s="19" t="n"/>
    </row>
    <row r="16">
      <c r="A16" s="18" t="inlineStr">
        <is>
          <t>EV4-011</t>
        </is>
      </c>
      <c r="B16" s="19" t="n"/>
      <c r="C16" s="19" t="n"/>
      <c r="D16" s="19" t="n"/>
      <c r="E16" s="19" t="n"/>
      <c r="F16" s="19" t="n"/>
      <c r="G16" s="19" t="n"/>
      <c r="H16" s="19" t="n"/>
      <c r="I16" s="19" t="n"/>
      <c r="J16" s="19" t="n"/>
      <c r="K16" s="19" t="n"/>
    </row>
    <row r="17">
      <c r="A17" s="18" t="inlineStr">
        <is>
          <t>EV4-012</t>
        </is>
      </c>
      <c r="B17" s="19" t="n"/>
      <c r="C17" s="19" t="n"/>
      <c r="D17" s="19" t="n"/>
      <c r="E17" s="19" t="n"/>
      <c r="F17" s="19" t="n"/>
      <c r="G17" s="19" t="n"/>
      <c r="H17" s="19" t="n"/>
      <c r="I17" s="19" t="n"/>
      <c r="J17" s="19" t="n"/>
      <c r="K17" s="19" t="n"/>
    </row>
    <row r="18">
      <c r="A18" s="18" t="inlineStr">
        <is>
          <t>EV4-013</t>
        </is>
      </c>
      <c r="B18" s="19" t="n"/>
      <c r="C18" s="19" t="n"/>
      <c r="D18" s="19" t="n"/>
      <c r="E18" s="19" t="n"/>
      <c r="F18" s="19" t="n"/>
      <c r="G18" s="19" t="n"/>
      <c r="H18" s="19" t="n"/>
      <c r="I18" s="19" t="n"/>
      <c r="J18" s="19" t="n"/>
      <c r="K18" s="19" t="n"/>
    </row>
    <row r="19">
      <c r="A19" s="18" t="inlineStr">
        <is>
          <t>EV4-014</t>
        </is>
      </c>
      <c r="B19" s="19" t="n"/>
      <c r="C19" s="19" t="n"/>
      <c r="D19" s="19" t="n"/>
      <c r="E19" s="19" t="n"/>
      <c r="F19" s="19" t="n"/>
      <c r="G19" s="19" t="n"/>
      <c r="H19" s="19" t="n"/>
      <c r="I19" s="19" t="n"/>
      <c r="J19" s="19" t="n"/>
      <c r="K19" s="19" t="n"/>
    </row>
    <row r="20">
      <c r="A20" s="18" t="inlineStr">
        <is>
          <t>EV4-015</t>
        </is>
      </c>
      <c r="B20" s="19" t="n"/>
      <c r="C20" s="19" t="n"/>
      <c r="D20" s="19" t="n"/>
      <c r="E20" s="19" t="n"/>
      <c r="F20" s="19" t="n"/>
      <c r="G20" s="19" t="n"/>
      <c r="H20" s="19" t="n"/>
      <c r="I20" s="19" t="n"/>
      <c r="J20" s="19" t="n"/>
      <c r="K20" s="19" t="n"/>
    </row>
    <row r="21">
      <c r="A21" s="18" t="inlineStr">
        <is>
          <t>EV4-016</t>
        </is>
      </c>
      <c r="B21" s="19" t="n"/>
      <c r="C21" s="19" t="n"/>
      <c r="D21" s="19" t="n"/>
      <c r="E21" s="19" t="n"/>
      <c r="F21" s="19" t="n"/>
      <c r="G21" s="19" t="n"/>
      <c r="H21" s="19" t="n"/>
      <c r="I21" s="19" t="n"/>
      <c r="J21" s="19" t="n"/>
      <c r="K21" s="19" t="n"/>
    </row>
    <row r="22">
      <c r="A22" s="18" t="inlineStr">
        <is>
          <t>EV4-017</t>
        </is>
      </c>
      <c r="B22" s="19" t="n"/>
      <c r="C22" s="19" t="n"/>
      <c r="D22" s="19" t="n"/>
      <c r="E22" s="19" t="n"/>
      <c r="F22" s="19" t="n"/>
      <c r="G22" s="19" t="n"/>
      <c r="H22" s="19" t="n"/>
      <c r="I22" s="19" t="n"/>
      <c r="J22" s="19" t="n"/>
      <c r="K22" s="19" t="n"/>
    </row>
    <row r="23">
      <c r="A23" s="18" t="inlineStr">
        <is>
          <t>EV4-018</t>
        </is>
      </c>
      <c r="B23" s="19" t="n"/>
      <c r="C23" s="19" t="n"/>
      <c r="D23" s="19" t="n"/>
      <c r="E23" s="19" t="n"/>
      <c r="F23" s="19" t="n"/>
      <c r="G23" s="19" t="n"/>
      <c r="H23" s="19" t="n"/>
      <c r="I23" s="19" t="n"/>
      <c r="J23" s="19" t="n"/>
      <c r="K23" s="19" t="n"/>
    </row>
    <row r="24">
      <c r="A24" s="18" t="inlineStr">
        <is>
          <t>EV4-019</t>
        </is>
      </c>
      <c r="B24" s="19" t="n"/>
      <c r="C24" s="19" t="n"/>
      <c r="D24" s="19" t="n"/>
      <c r="E24" s="19" t="n"/>
      <c r="F24" s="19" t="n"/>
      <c r="G24" s="19" t="n"/>
      <c r="H24" s="19" t="n"/>
      <c r="I24" s="19" t="n"/>
      <c r="J24" s="19" t="n"/>
      <c r="K24" s="19" t="n"/>
    </row>
    <row r="25">
      <c r="A25" s="18" t="inlineStr">
        <is>
          <t>EV4-020</t>
        </is>
      </c>
      <c r="B25" s="19" t="n"/>
      <c r="C25" s="19" t="n"/>
      <c r="D25" s="19" t="n"/>
      <c r="E25" s="19" t="n"/>
      <c r="F25" s="19" t="n"/>
      <c r="G25" s="19" t="n"/>
      <c r="H25" s="19" t="n"/>
      <c r="I25" s="19" t="n"/>
      <c r="J25" s="19" t="n"/>
      <c r="K25" s="19" t="n"/>
    </row>
    <row r="26">
      <c r="A26" s="18" t="inlineStr">
        <is>
          <t>EV4-021</t>
        </is>
      </c>
      <c r="B26" s="19" t="n"/>
      <c r="C26" s="19" t="n"/>
      <c r="D26" s="19" t="n"/>
      <c r="E26" s="19" t="n"/>
      <c r="F26" s="19" t="n"/>
      <c r="G26" s="19" t="n"/>
      <c r="H26" s="19" t="n"/>
      <c r="I26" s="19" t="n"/>
      <c r="J26" s="19" t="n"/>
      <c r="K26" s="19" t="n"/>
    </row>
    <row r="27">
      <c r="A27" s="18" t="inlineStr">
        <is>
          <t>EV4-022</t>
        </is>
      </c>
      <c r="B27" s="19" t="n"/>
      <c r="C27" s="19" t="n"/>
      <c r="D27" s="19" t="n"/>
      <c r="E27" s="19" t="n"/>
      <c r="F27" s="19" t="n"/>
      <c r="G27" s="19" t="n"/>
      <c r="H27" s="19" t="n"/>
      <c r="I27" s="19" t="n"/>
      <c r="J27" s="19" t="n"/>
      <c r="K27" s="19" t="n"/>
    </row>
    <row r="28">
      <c r="A28" s="18" t="inlineStr">
        <is>
          <t>EV4-023</t>
        </is>
      </c>
      <c r="B28" s="19" t="n"/>
      <c r="C28" s="19" t="n"/>
      <c r="D28" s="19" t="n"/>
      <c r="E28" s="19" t="n"/>
      <c r="F28" s="19" t="n"/>
      <c r="G28" s="19" t="n"/>
      <c r="H28" s="19" t="n"/>
      <c r="I28" s="19" t="n"/>
      <c r="J28" s="19" t="n"/>
      <c r="K28" s="19" t="n"/>
    </row>
    <row r="29">
      <c r="A29" s="18" t="inlineStr">
        <is>
          <t>EV4-024</t>
        </is>
      </c>
      <c r="B29" s="19" t="n"/>
      <c r="C29" s="19" t="n"/>
      <c r="D29" s="19" t="n"/>
      <c r="E29" s="19" t="n"/>
      <c r="F29" s="19" t="n"/>
      <c r="G29" s="19" t="n"/>
      <c r="H29" s="19" t="n"/>
      <c r="I29" s="19" t="n"/>
      <c r="J29" s="19" t="n"/>
      <c r="K29" s="19" t="n"/>
    </row>
    <row r="30">
      <c r="A30" s="18" t="inlineStr">
        <is>
          <t>EV4-025</t>
        </is>
      </c>
      <c r="B30" s="19" t="n"/>
      <c r="C30" s="19" t="n"/>
      <c r="D30" s="19" t="n"/>
      <c r="E30" s="19" t="n"/>
      <c r="F30" s="19" t="n"/>
      <c r="G30" s="19" t="n"/>
      <c r="H30" s="19" t="n"/>
      <c r="I30" s="19" t="n"/>
      <c r="J30" s="19" t="n"/>
      <c r="K30" s="19" t="n"/>
    </row>
    <row r="31">
      <c r="A31" s="18" t="inlineStr">
        <is>
          <t>EV4-026</t>
        </is>
      </c>
      <c r="B31" s="19" t="n"/>
      <c r="C31" s="19" t="n"/>
      <c r="D31" s="19" t="n"/>
      <c r="E31" s="19" t="n"/>
      <c r="F31" s="19" t="n"/>
      <c r="G31" s="19" t="n"/>
      <c r="H31" s="19" t="n"/>
      <c r="I31" s="19" t="n"/>
      <c r="J31" s="19" t="n"/>
      <c r="K31" s="19" t="n"/>
    </row>
    <row r="32">
      <c r="A32" s="18" t="inlineStr">
        <is>
          <t>EV4-027</t>
        </is>
      </c>
      <c r="B32" s="19" t="n"/>
      <c r="C32" s="19" t="n"/>
      <c r="D32" s="19" t="n"/>
      <c r="E32" s="19" t="n"/>
      <c r="F32" s="19" t="n"/>
      <c r="G32" s="19" t="n"/>
      <c r="H32" s="19" t="n"/>
      <c r="I32" s="19" t="n"/>
      <c r="J32" s="19" t="n"/>
      <c r="K32" s="19" t="n"/>
    </row>
    <row r="33">
      <c r="A33" s="18" t="inlineStr">
        <is>
          <t>EV4-028</t>
        </is>
      </c>
      <c r="B33" s="19" t="n"/>
      <c r="C33" s="19" t="n"/>
      <c r="D33" s="19" t="n"/>
      <c r="E33" s="19" t="n"/>
      <c r="F33" s="19" t="n"/>
      <c r="G33" s="19" t="n"/>
      <c r="H33" s="19" t="n"/>
      <c r="I33" s="19" t="n"/>
      <c r="J33" s="19" t="n"/>
      <c r="K33" s="19" t="n"/>
    </row>
    <row r="34">
      <c r="A34" s="18" t="inlineStr">
        <is>
          <t>EV4-029</t>
        </is>
      </c>
      <c r="B34" s="19" t="n"/>
      <c r="C34" s="19" t="n"/>
      <c r="D34" s="19" t="n"/>
      <c r="E34" s="19" t="n"/>
      <c r="F34" s="19" t="n"/>
      <c r="G34" s="19" t="n"/>
      <c r="H34" s="19" t="n"/>
      <c r="I34" s="19" t="n"/>
      <c r="J34" s="19" t="n"/>
      <c r="K34" s="19" t="n"/>
    </row>
    <row r="35">
      <c r="A35" s="18" t="inlineStr">
        <is>
          <t>EV4-030</t>
        </is>
      </c>
      <c r="B35" s="19" t="n"/>
      <c r="C35" s="19" t="n"/>
      <c r="D35" s="19" t="n"/>
      <c r="E35" s="19" t="n"/>
      <c r="F35" s="19" t="n"/>
      <c r="G35" s="19" t="n"/>
      <c r="H35" s="19" t="n"/>
      <c r="I35" s="19" t="n"/>
      <c r="J35" s="19" t="n"/>
      <c r="K35" s="19" t="n"/>
    </row>
    <row r="36">
      <c r="A36" s="18" t="inlineStr">
        <is>
          <t>EV4-031</t>
        </is>
      </c>
      <c r="B36" s="19" t="n"/>
      <c r="C36" s="19" t="n"/>
      <c r="D36" s="19" t="n"/>
      <c r="E36" s="19" t="n"/>
      <c r="F36" s="19" t="n"/>
      <c r="G36" s="19" t="n"/>
      <c r="H36" s="19" t="n"/>
      <c r="I36" s="19" t="n"/>
      <c r="J36" s="19" t="n"/>
      <c r="K36" s="19" t="n"/>
    </row>
    <row r="37">
      <c r="A37" s="18" t="inlineStr">
        <is>
          <t>EV4-032</t>
        </is>
      </c>
      <c r="B37" s="19" t="n"/>
      <c r="C37" s="19" t="n"/>
      <c r="D37" s="19" t="n"/>
      <c r="E37" s="19" t="n"/>
      <c r="F37" s="19" t="n"/>
      <c r="G37" s="19" t="n"/>
      <c r="H37" s="19" t="n"/>
      <c r="I37" s="19" t="n"/>
      <c r="J37" s="19" t="n"/>
      <c r="K37" s="19" t="n"/>
    </row>
    <row r="38">
      <c r="A38" s="18" t="inlineStr">
        <is>
          <t>EV4-033</t>
        </is>
      </c>
      <c r="B38" s="19" t="n"/>
      <c r="C38" s="19" t="n"/>
      <c r="D38" s="19" t="n"/>
      <c r="E38" s="19" t="n"/>
      <c r="F38" s="19" t="n"/>
      <c r="G38" s="19" t="n"/>
      <c r="H38" s="19" t="n"/>
      <c r="I38" s="19" t="n"/>
      <c r="J38" s="19" t="n"/>
      <c r="K38" s="19" t="n"/>
    </row>
    <row r="39">
      <c r="A39" s="18" t="inlineStr">
        <is>
          <t>EV4-034</t>
        </is>
      </c>
      <c r="B39" s="19" t="n"/>
      <c r="C39" s="19" t="n"/>
      <c r="D39" s="19" t="n"/>
      <c r="E39" s="19" t="n"/>
      <c r="F39" s="19" t="n"/>
      <c r="G39" s="19" t="n"/>
      <c r="H39" s="19" t="n"/>
      <c r="I39" s="19" t="n"/>
      <c r="J39" s="19" t="n"/>
      <c r="K39" s="19" t="n"/>
    </row>
    <row r="40">
      <c r="A40" s="18" t="inlineStr">
        <is>
          <t>EV4-035</t>
        </is>
      </c>
      <c r="B40" s="19" t="n"/>
      <c r="C40" s="19" t="n"/>
      <c r="D40" s="19" t="n"/>
      <c r="E40" s="19" t="n"/>
      <c r="F40" s="19" t="n"/>
      <c r="G40" s="19" t="n"/>
      <c r="H40" s="19" t="n"/>
      <c r="I40" s="19" t="n"/>
      <c r="J40" s="19" t="n"/>
      <c r="K40" s="19" t="n"/>
    </row>
    <row r="41">
      <c r="A41" s="18" t="inlineStr">
        <is>
          <t>EV4-036</t>
        </is>
      </c>
      <c r="B41" s="19" t="n"/>
      <c r="C41" s="19" t="n"/>
      <c r="D41" s="19" t="n"/>
      <c r="E41" s="19" t="n"/>
      <c r="F41" s="19" t="n"/>
      <c r="G41" s="19" t="n"/>
      <c r="H41" s="19" t="n"/>
      <c r="I41" s="19" t="n"/>
      <c r="J41" s="19" t="n"/>
      <c r="K41" s="19" t="n"/>
    </row>
    <row r="42">
      <c r="A42" s="18" t="inlineStr">
        <is>
          <t>EV4-037</t>
        </is>
      </c>
      <c r="B42" s="19" t="n"/>
      <c r="C42" s="19" t="n"/>
      <c r="D42" s="19" t="n"/>
      <c r="E42" s="19" t="n"/>
      <c r="F42" s="19" t="n"/>
      <c r="G42" s="19" t="n"/>
      <c r="H42" s="19" t="n"/>
      <c r="I42" s="19" t="n"/>
      <c r="J42" s="19" t="n"/>
      <c r="K42" s="19" t="n"/>
    </row>
    <row r="43">
      <c r="A43" s="18" t="inlineStr">
        <is>
          <t>EV4-038</t>
        </is>
      </c>
      <c r="B43" s="19" t="n"/>
      <c r="C43" s="19" t="n"/>
      <c r="D43" s="19" t="n"/>
      <c r="E43" s="19" t="n"/>
      <c r="F43" s="19" t="n"/>
      <c r="G43" s="19" t="n"/>
      <c r="H43" s="19" t="n"/>
      <c r="I43" s="19" t="n"/>
      <c r="J43" s="19" t="n"/>
      <c r="K43" s="19" t="n"/>
    </row>
    <row r="44">
      <c r="A44" s="18" t="inlineStr">
        <is>
          <t>EV4-039</t>
        </is>
      </c>
      <c r="B44" s="19" t="n"/>
      <c r="C44" s="19" t="n"/>
      <c r="D44" s="19" t="n"/>
      <c r="E44" s="19" t="n"/>
      <c r="F44" s="19" t="n"/>
      <c r="G44" s="19" t="n"/>
      <c r="H44" s="19" t="n"/>
      <c r="I44" s="19" t="n"/>
      <c r="J44" s="19" t="n"/>
      <c r="K44" s="19" t="n"/>
    </row>
    <row r="45">
      <c r="A45" s="18" t="inlineStr">
        <is>
          <t>EV4-040</t>
        </is>
      </c>
      <c r="B45" s="19" t="n"/>
      <c r="C45" s="19" t="n"/>
      <c r="D45" s="19" t="n"/>
      <c r="E45" s="19" t="n"/>
      <c r="F45" s="19" t="n"/>
      <c r="G45" s="19" t="n"/>
      <c r="H45" s="19" t="n"/>
      <c r="I45" s="19" t="n"/>
      <c r="J45" s="19" t="n"/>
      <c r="K45" s="19" t="n"/>
    </row>
    <row r="46">
      <c r="A46" s="18" t="inlineStr">
        <is>
          <t>EV4-041</t>
        </is>
      </c>
      <c r="B46" s="19" t="n"/>
      <c r="C46" s="19" t="n"/>
      <c r="D46" s="19" t="n"/>
      <c r="E46" s="19" t="n"/>
      <c r="F46" s="19" t="n"/>
      <c r="G46" s="19" t="n"/>
      <c r="H46" s="19" t="n"/>
      <c r="I46" s="19" t="n"/>
      <c r="J46" s="19" t="n"/>
      <c r="K46" s="19" t="n"/>
    </row>
    <row r="47">
      <c r="A47" s="18" t="inlineStr">
        <is>
          <t>EV4-042</t>
        </is>
      </c>
      <c r="B47" s="19" t="n"/>
      <c r="C47" s="19" t="n"/>
      <c r="D47" s="19" t="n"/>
      <c r="E47" s="19" t="n"/>
      <c r="F47" s="19" t="n"/>
      <c r="G47" s="19" t="n"/>
      <c r="H47" s="19" t="n"/>
      <c r="I47" s="19" t="n"/>
      <c r="J47" s="19" t="n"/>
      <c r="K47" s="19" t="n"/>
    </row>
    <row r="48">
      <c r="A48" s="18" t="inlineStr">
        <is>
          <t>EV4-043</t>
        </is>
      </c>
      <c r="B48" s="19" t="n"/>
      <c r="C48" s="19" t="n"/>
      <c r="D48" s="19" t="n"/>
      <c r="E48" s="19" t="n"/>
      <c r="F48" s="19" t="n"/>
      <c r="G48" s="19" t="n"/>
      <c r="H48" s="19" t="n"/>
      <c r="I48" s="19" t="n"/>
      <c r="J48" s="19" t="n"/>
      <c r="K48" s="19" t="n"/>
    </row>
    <row r="49">
      <c r="A49" s="18" t="inlineStr">
        <is>
          <t>EV4-044</t>
        </is>
      </c>
      <c r="B49" s="19" t="n"/>
      <c r="C49" s="19" t="n"/>
      <c r="D49" s="19" t="n"/>
      <c r="E49" s="19" t="n"/>
      <c r="F49" s="19" t="n"/>
      <c r="G49" s="19" t="n"/>
      <c r="H49" s="19" t="n"/>
      <c r="I49" s="19" t="n"/>
      <c r="J49" s="19" t="n"/>
      <c r="K49" s="19" t="n"/>
    </row>
    <row r="50">
      <c r="A50" s="18" t="inlineStr">
        <is>
          <t>EV4-045</t>
        </is>
      </c>
      <c r="B50" s="19" t="n"/>
      <c r="C50" s="19" t="n"/>
      <c r="D50" s="19" t="n"/>
      <c r="E50" s="19" t="n"/>
      <c r="F50" s="19" t="n"/>
      <c r="G50" s="19" t="n"/>
      <c r="H50" s="19" t="n"/>
      <c r="I50" s="19" t="n"/>
      <c r="J50" s="19" t="n"/>
      <c r="K50" s="19" t="n"/>
    </row>
    <row r="51">
      <c r="A51" s="18" t="inlineStr">
        <is>
          <t>EV4-046</t>
        </is>
      </c>
      <c r="B51" s="19" t="n"/>
      <c r="C51" s="19" t="n"/>
      <c r="D51" s="19" t="n"/>
      <c r="E51" s="19" t="n"/>
      <c r="F51" s="19" t="n"/>
      <c r="G51" s="19" t="n"/>
      <c r="H51" s="19" t="n"/>
      <c r="I51" s="19" t="n"/>
      <c r="J51" s="19" t="n"/>
      <c r="K51" s="19" t="n"/>
    </row>
    <row r="52">
      <c r="A52" s="18" t="inlineStr">
        <is>
          <t>EV4-047</t>
        </is>
      </c>
      <c r="B52" s="19" t="n"/>
      <c r="C52" s="19" t="n"/>
      <c r="D52" s="19" t="n"/>
      <c r="E52" s="19" t="n"/>
      <c r="F52" s="19" t="n"/>
      <c r="G52" s="19" t="n"/>
      <c r="H52" s="19" t="n"/>
      <c r="I52" s="19" t="n"/>
      <c r="J52" s="19" t="n"/>
      <c r="K52" s="19" t="n"/>
    </row>
    <row r="53">
      <c r="A53" s="18" t="inlineStr">
        <is>
          <t>EV4-048</t>
        </is>
      </c>
      <c r="B53" s="19" t="n"/>
      <c r="C53" s="19" t="n"/>
      <c r="D53" s="19" t="n"/>
      <c r="E53" s="19" t="n"/>
      <c r="F53" s="19" t="n"/>
      <c r="G53" s="19" t="n"/>
      <c r="H53" s="19" t="n"/>
      <c r="I53" s="19" t="n"/>
      <c r="J53" s="19" t="n"/>
      <c r="K53" s="19" t="n"/>
    </row>
    <row r="54">
      <c r="A54" s="18" t="inlineStr">
        <is>
          <t>EV4-049</t>
        </is>
      </c>
      <c r="B54" s="19" t="n"/>
      <c r="C54" s="19" t="n"/>
      <c r="D54" s="19" t="n"/>
      <c r="E54" s="19" t="n"/>
      <c r="F54" s="19" t="n"/>
      <c r="G54" s="19" t="n"/>
      <c r="H54" s="19" t="n"/>
      <c r="I54" s="19" t="n"/>
      <c r="J54" s="19" t="n"/>
      <c r="K54" s="19" t="n"/>
    </row>
    <row r="55">
      <c r="A55" s="18" t="inlineStr">
        <is>
          <t>EV4-050</t>
        </is>
      </c>
      <c r="B55" s="19" t="n"/>
      <c r="C55" s="19" t="n"/>
      <c r="D55" s="19" t="n"/>
      <c r="E55" s="19" t="n"/>
      <c r="F55" s="19" t="n"/>
      <c r="G55" s="19" t="n"/>
      <c r="H55" s="19" t="n"/>
      <c r="I55" s="19" t="n"/>
      <c r="J55" s="19" t="n"/>
      <c r="K55" s="19" t="n"/>
    </row>
    <row r="56">
      <c r="A56" s="18" t="inlineStr">
        <is>
          <t>EV4-051</t>
        </is>
      </c>
      <c r="B56" s="19" t="n"/>
      <c r="C56" s="19" t="n"/>
      <c r="D56" s="19" t="n"/>
      <c r="E56" s="19" t="n"/>
      <c r="F56" s="19" t="n"/>
      <c r="G56" s="19" t="n"/>
      <c r="H56" s="19" t="n"/>
      <c r="I56" s="19" t="n"/>
      <c r="J56" s="19" t="n"/>
      <c r="K56" s="19" t="n"/>
    </row>
    <row r="57">
      <c r="A57" s="18" t="inlineStr">
        <is>
          <t>EV4-052</t>
        </is>
      </c>
      <c r="B57" s="19" t="n"/>
      <c r="C57" s="19" t="n"/>
      <c r="D57" s="19" t="n"/>
      <c r="E57" s="19" t="n"/>
      <c r="F57" s="19" t="n"/>
      <c r="G57" s="19" t="n"/>
      <c r="H57" s="19" t="n"/>
      <c r="I57" s="19" t="n"/>
      <c r="J57" s="19" t="n"/>
      <c r="K57" s="19" t="n"/>
    </row>
    <row r="58">
      <c r="A58" s="18" t="inlineStr">
        <is>
          <t>EV4-053</t>
        </is>
      </c>
      <c r="B58" s="19" t="n"/>
      <c r="C58" s="19" t="n"/>
      <c r="D58" s="19" t="n"/>
      <c r="E58" s="19" t="n"/>
      <c r="F58" s="19" t="n"/>
      <c r="G58" s="19" t="n"/>
      <c r="H58" s="19" t="n"/>
      <c r="I58" s="19" t="n"/>
      <c r="J58" s="19" t="n"/>
      <c r="K58" s="19" t="n"/>
    </row>
    <row r="59">
      <c r="A59" s="18" t="inlineStr">
        <is>
          <t>EV4-054</t>
        </is>
      </c>
      <c r="B59" s="19" t="n"/>
      <c r="C59" s="19" t="n"/>
      <c r="D59" s="19" t="n"/>
      <c r="E59" s="19" t="n"/>
      <c r="F59" s="19" t="n"/>
      <c r="G59" s="19" t="n"/>
      <c r="H59" s="19" t="n"/>
      <c r="I59" s="19" t="n"/>
      <c r="J59" s="19" t="n"/>
      <c r="K59" s="19" t="n"/>
    </row>
    <row r="60">
      <c r="A60" s="18" t="inlineStr">
        <is>
          <t>EV4-055</t>
        </is>
      </c>
      <c r="B60" s="19" t="n"/>
      <c r="C60" s="19" t="n"/>
      <c r="D60" s="19" t="n"/>
      <c r="E60" s="19" t="n"/>
      <c r="F60" s="19" t="n"/>
      <c r="G60" s="19" t="n"/>
      <c r="H60" s="19" t="n"/>
      <c r="I60" s="19" t="n"/>
      <c r="J60" s="19" t="n"/>
      <c r="K60" s="19" t="n"/>
    </row>
    <row r="61">
      <c r="A61" s="18" t="inlineStr">
        <is>
          <t>EV4-056</t>
        </is>
      </c>
      <c r="B61" s="19" t="n"/>
      <c r="C61" s="19" t="n"/>
      <c r="D61" s="19" t="n"/>
      <c r="E61" s="19" t="n"/>
      <c r="F61" s="19" t="n"/>
      <c r="G61" s="19" t="n"/>
      <c r="H61" s="19" t="n"/>
      <c r="I61" s="19" t="n"/>
      <c r="J61" s="19" t="n"/>
      <c r="K61" s="19" t="n"/>
    </row>
    <row r="62">
      <c r="A62" s="18" t="inlineStr">
        <is>
          <t>EV4-057</t>
        </is>
      </c>
      <c r="B62" s="19" t="n"/>
      <c r="C62" s="19" t="n"/>
      <c r="D62" s="19" t="n"/>
      <c r="E62" s="19" t="n"/>
      <c r="F62" s="19" t="n"/>
      <c r="G62" s="19" t="n"/>
      <c r="H62" s="19" t="n"/>
      <c r="I62" s="19" t="n"/>
      <c r="J62" s="19" t="n"/>
      <c r="K62" s="19" t="n"/>
    </row>
    <row r="63">
      <c r="A63" s="18" t="inlineStr">
        <is>
          <t>EV4-058</t>
        </is>
      </c>
      <c r="B63" s="19" t="n"/>
      <c r="C63" s="19" t="n"/>
      <c r="D63" s="19" t="n"/>
      <c r="E63" s="19" t="n"/>
      <c r="F63" s="19" t="n"/>
      <c r="G63" s="19" t="n"/>
      <c r="H63" s="19" t="n"/>
      <c r="I63" s="19" t="n"/>
      <c r="J63" s="19" t="n"/>
      <c r="K63" s="19" t="n"/>
    </row>
    <row r="64">
      <c r="A64" s="18" t="inlineStr">
        <is>
          <t>EV4-059</t>
        </is>
      </c>
      <c r="B64" s="19" t="n"/>
      <c r="C64" s="19" t="n"/>
      <c r="D64" s="19" t="n"/>
      <c r="E64" s="19" t="n"/>
      <c r="F64" s="19" t="n"/>
      <c r="G64" s="19" t="n"/>
      <c r="H64" s="19" t="n"/>
      <c r="I64" s="19" t="n"/>
      <c r="J64" s="19" t="n"/>
      <c r="K64" s="19" t="n"/>
    </row>
    <row r="65">
      <c r="A65" s="18" t="inlineStr">
        <is>
          <t>EV4-060</t>
        </is>
      </c>
      <c r="B65" s="19" t="n"/>
      <c r="C65" s="19" t="n"/>
      <c r="D65" s="19" t="n"/>
      <c r="E65" s="19" t="n"/>
      <c r="F65" s="19" t="n"/>
      <c r="G65" s="19" t="n"/>
      <c r="H65" s="19" t="n"/>
      <c r="I65" s="19" t="n"/>
      <c r="J65" s="19" t="n"/>
      <c r="K65" s="19" t="n"/>
    </row>
    <row r="66">
      <c r="A66" s="18" t="inlineStr">
        <is>
          <t>EV4-061</t>
        </is>
      </c>
      <c r="B66" s="19" t="n"/>
      <c r="C66" s="19" t="n"/>
      <c r="D66" s="19" t="n"/>
      <c r="E66" s="19" t="n"/>
      <c r="F66" s="19" t="n"/>
      <c r="G66" s="19" t="n"/>
      <c r="H66" s="19" t="n"/>
      <c r="I66" s="19" t="n"/>
      <c r="J66" s="19" t="n"/>
      <c r="K66" s="19" t="n"/>
    </row>
    <row r="67">
      <c r="A67" s="18" t="inlineStr">
        <is>
          <t>EV4-062</t>
        </is>
      </c>
      <c r="B67" s="19" t="n"/>
      <c r="C67" s="19" t="n"/>
      <c r="D67" s="19" t="n"/>
      <c r="E67" s="19" t="n"/>
      <c r="F67" s="19" t="n"/>
      <c r="G67" s="19" t="n"/>
      <c r="H67" s="19" t="n"/>
      <c r="I67" s="19" t="n"/>
      <c r="J67" s="19" t="n"/>
      <c r="K67" s="19" t="n"/>
    </row>
    <row r="68">
      <c r="A68" s="18" t="inlineStr">
        <is>
          <t>EV4-063</t>
        </is>
      </c>
      <c r="B68" s="19" t="n"/>
      <c r="C68" s="19" t="n"/>
      <c r="D68" s="19" t="n"/>
      <c r="E68" s="19" t="n"/>
      <c r="F68" s="19" t="n"/>
      <c r="G68" s="19" t="n"/>
      <c r="H68" s="19" t="n"/>
      <c r="I68" s="19" t="n"/>
      <c r="J68" s="19" t="n"/>
      <c r="K68" s="19" t="n"/>
    </row>
    <row r="69">
      <c r="A69" s="18" t="inlineStr">
        <is>
          <t>EV4-064</t>
        </is>
      </c>
      <c r="B69" s="19" t="n"/>
      <c r="C69" s="19" t="n"/>
      <c r="D69" s="19" t="n"/>
      <c r="E69" s="19" t="n"/>
      <c r="F69" s="19" t="n"/>
      <c r="G69" s="19" t="n"/>
      <c r="H69" s="19" t="n"/>
      <c r="I69" s="19" t="n"/>
      <c r="J69" s="19" t="n"/>
      <c r="K69" s="19" t="n"/>
    </row>
    <row r="70">
      <c r="A70" s="18" t="inlineStr">
        <is>
          <t>EV4-065</t>
        </is>
      </c>
      <c r="B70" s="19" t="n"/>
      <c r="C70" s="19" t="n"/>
      <c r="D70" s="19" t="n"/>
      <c r="E70" s="19" t="n"/>
      <c r="F70" s="19" t="n"/>
      <c r="G70" s="19" t="n"/>
      <c r="H70" s="19" t="n"/>
      <c r="I70" s="19" t="n"/>
      <c r="J70" s="19" t="n"/>
      <c r="K70" s="19" t="n"/>
    </row>
    <row r="71">
      <c r="A71" s="18" t="inlineStr">
        <is>
          <t>EV4-066</t>
        </is>
      </c>
      <c r="B71" s="19" t="n"/>
      <c r="C71" s="19" t="n"/>
      <c r="D71" s="19" t="n"/>
      <c r="E71" s="19" t="n"/>
      <c r="F71" s="19" t="n"/>
      <c r="G71" s="19" t="n"/>
      <c r="H71" s="19" t="n"/>
      <c r="I71" s="19" t="n"/>
      <c r="J71" s="19" t="n"/>
      <c r="K71" s="19" t="n"/>
    </row>
    <row r="72">
      <c r="A72" s="18" t="inlineStr">
        <is>
          <t>EV4-067</t>
        </is>
      </c>
      <c r="B72" s="19" t="n"/>
      <c r="C72" s="19" t="n"/>
      <c r="D72" s="19" t="n"/>
      <c r="E72" s="19" t="n"/>
      <c r="F72" s="19" t="n"/>
      <c r="G72" s="19" t="n"/>
      <c r="H72" s="19" t="n"/>
      <c r="I72" s="19" t="n"/>
      <c r="J72" s="19" t="n"/>
      <c r="K72" s="19" t="n"/>
    </row>
    <row r="73">
      <c r="A73" s="18" t="inlineStr">
        <is>
          <t>EV4-068</t>
        </is>
      </c>
      <c r="B73" s="19" t="n"/>
      <c r="C73" s="19" t="n"/>
      <c r="D73" s="19" t="n"/>
      <c r="E73" s="19" t="n"/>
      <c r="F73" s="19" t="n"/>
      <c r="G73" s="19" t="n"/>
      <c r="H73" s="19" t="n"/>
      <c r="I73" s="19" t="n"/>
      <c r="J73" s="19" t="n"/>
      <c r="K73" s="19" t="n"/>
    </row>
    <row r="74">
      <c r="A74" s="18" t="inlineStr">
        <is>
          <t>EV4-069</t>
        </is>
      </c>
      <c r="B74" s="19" t="n"/>
      <c r="C74" s="19" t="n"/>
      <c r="D74" s="19" t="n"/>
      <c r="E74" s="19" t="n"/>
      <c r="F74" s="19" t="n"/>
      <c r="G74" s="19" t="n"/>
      <c r="H74" s="19" t="n"/>
      <c r="I74" s="19" t="n"/>
      <c r="J74" s="19" t="n"/>
      <c r="K74" s="19" t="n"/>
    </row>
    <row r="75">
      <c r="A75" s="18" t="inlineStr">
        <is>
          <t>EV4-070</t>
        </is>
      </c>
      <c r="B75" s="19" t="n"/>
      <c r="C75" s="19" t="n"/>
      <c r="D75" s="19" t="n"/>
      <c r="E75" s="19" t="n"/>
      <c r="F75" s="19" t="n"/>
      <c r="G75" s="19" t="n"/>
      <c r="H75" s="19" t="n"/>
      <c r="I75" s="19" t="n"/>
      <c r="J75" s="19" t="n"/>
      <c r="K75" s="19" t="n"/>
    </row>
    <row r="76">
      <c r="A76" s="18" t="inlineStr">
        <is>
          <t>EV4-071</t>
        </is>
      </c>
      <c r="B76" s="19" t="n"/>
      <c r="C76" s="19" t="n"/>
      <c r="D76" s="19" t="n"/>
      <c r="E76" s="19" t="n"/>
      <c r="F76" s="19" t="n"/>
      <c r="G76" s="19" t="n"/>
      <c r="H76" s="19" t="n"/>
      <c r="I76" s="19" t="n"/>
      <c r="J76" s="19" t="n"/>
      <c r="K76" s="19" t="n"/>
    </row>
    <row r="77">
      <c r="A77" s="18" t="inlineStr">
        <is>
          <t>EV4-072</t>
        </is>
      </c>
      <c r="B77" s="19" t="n"/>
      <c r="C77" s="19" t="n"/>
      <c r="D77" s="19" t="n"/>
      <c r="E77" s="19" t="n"/>
      <c r="F77" s="19" t="n"/>
      <c r="G77" s="19" t="n"/>
      <c r="H77" s="19" t="n"/>
      <c r="I77" s="19" t="n"/>
      <c r="J77" s="19" t="n"/>
      <c r="K77" s="19" t="n"/>
    </row>
    <row r="78">
      <c r="A78" s="18" t="inlineStr">
        <is>
          <t>EV4-073</t>
        </is>
      </c>
      <c r="B78" s="19" t="n"/>
      <c r="C78" s="19" t="n"/>
      <c r="D78" s="19" t="n"/>
      <c r="E78" s="19" t="n"/>
      <c r="F78" s="19" t="n"/>
      <c r="G78" s="19" t="n"/>
      <c r="H78" s="19" t="n"/>
      <c r="I78" s="19" t="n"/>
      <c r="J78" s="19" t="n"/>
      <c r="K78" s="19" t="n"/>
    </row>
    <row r="79">
      <c r="A79" s="18" t="inlineStr">
        <is>
          <t>EV4-074</t>
        </is>
      </c>
      <c r="B79" s="19" t="n"/>
      <c r="C79" s="19" t="n"/>
      <c r="D79" s="19" t="n"/>
      <c r="E79" s="19" t="n"/>
      <c r="F79" s="19" t="n"/>
      <c r="G79" s="19" t="n"/>
      <c r="H79" s="19" t="n"/>
      <c r="I79" s="19" t="n"/>
      <c r="J79" s="19" t="n"/>
      <c r="K79" s="19" t="n"/>
    </row>
    <row r="80">
      <c r="A80" s="18" t="inlineStr">
        <is>
          <t>EV4-075</t>
        </is>
      </c>
      <c r="B80" s="19" t="n"/>
      <c r="C80" s="19" t="n"/>
      <c r="D80" s="19" t="n"/>
      <c r="E80" s="19" t="n"/>
      <c r="F80" s="19" t="n"/>
      <c r="G80" s="19" t="n"/>
      <c r="H80" s="19" t="n"/>
      <c r="I80" s="19" t="n"/>
      <c r="J80" s="19" t="n"/>
      <c r="K80" s="19" t="n"/>
    </row>
    <row r="81">
      <c r="A81" s="18" t="inlineStr">
        <is>
          <t>EV4-076</t>
        </is>
      </c>
      <c r="B81" s="19" t="n"/>
      <c r="C81" s="19" t="n"/>
      <c r="D81" s="19" t="n"/>
      <c r="E81" s="19" t="n"/>
      <c r="F81" s="19" t="n"/>
      <c r="G81" s="19" t="n"/>
      <c r="H81" s="19" t="n"/>
      <c r="I81" s="19" t="n"/>
      <c r="J81" s="19" t="n"/>
      <c r="K81" s="19" t="n"/>
    </row>
    <row r="82">
      <c r="A82" s="18" t="inlineStr">
        <is>
          <t>EV4-077</t>
        </is>
      </c>
      <c r="B82" s="19" t="n"/>
      <c r="C82" s="19" t="n"/>
      <c r="D82" s="19" t="n"/>
      <c r="E82" s="19" t="n"/>
      <c r="F82" s="19" t="n"/>
      <c r="G82" s="19" t="n"/>
      <c r="H82" s="19" t="n"/>
      <c r="I82" s="19" t="n"/>
      <c r="J82" s="19" t="n"/>
      <c r="K82" s="19" t="n"/>
    </row>
    <row r="83">
      <c r="A83" s="18" t="inlineStr">
        <is>
          <t>EV4-078</t>
        </is>
      </c>
      <c r="B83" s="19" t="n"/>
      <c r="C83" s="19" t="n"/>
      <c r="D83" s="19" t="n"/>
      <c r="E83" s="19" t="n"/>
      <c r="F83" s="19" t="n"/>
      <c r="G83" s="19" t="n"/>
      <c r="H83" s="19" t="n"/>
      <c r="I83" s="19" t="n"/>
      <c r="J83" s="19" t="n"/>
      <c r="K83" s="19" t="n"/>
    </row>
    <row r="84">
      <c r="A84" s="18" t="inlineStr">
        <is>
          <t>EV4-079</t>
        </is>
      </c>
      <c r="B84" s="19" t="n"/>
      <c r="C84" s="19" t="n"/>
      <c r="D84" s="19" t="n"/>
      <c r="E84" s="19" t="n"/>
      <c r="F84" s="19" t="n"/>
      <c r="G84" s="19" t="n"/>
      <c r="H84" s="19" t="n"/>
      <c r="I84" s="19" t="n"/>
      <c r="J84" s="19" t="n"/>
      <c r="K84" s="19" t="n"/>
    </row>
    <row r="85">
      <c r="A85" s="18" t="inlineStr">
        <is>
          <t>EV4-080</t>
        </is>
      </c>
      <c r="B85" s="19" t="n"/>
      <c r="C85" s="19" t="n"/>
      <c r="D85" s="19" t="n"/>
      <c r="E85" s="19" t="n"/>
      <c r="F85" s="19" t="n"/>
      <c r="G85" s="19" t="n"/>
      <c r="H85" s="19" t="n"/>
      <c r="I85" s="19" t="n"/>
      <c r="J85" s="19" t="n"/>
      <c r="K85" s="19" t="n"/>
    </row>
    <row r="86">
      <c r="A86" s="18" t="inlineStr">
        <is>
          <t>EV4-081</t>
        </is>
      </c>
      <c r="B86" s="19" t="n"/>
      <c r="C86" s="19" t="n"/>
      <c r="D86" s="19" t="n"/>
      <c r="E86" s="19" t="n"/>
      <c r="F86" s="19" t="n"/>
      <c r="G86" s="19" t="n"/>
      <c r="H86" s="19" t="n"/>
      <c r="I86" s="19" t="n"/>
      <c r="J86" s="19" t="n"/>
      <c r="K86" s="19" t="n"/>
    </row>
    <row r="87">
      <c r="A87" s="18" t="inlineStr">
        <is>
          <t>EV4-082</t>
        </is>
      </c>
      <c r="B87" s="19" t="n"/>
      <c r="C87" s="19" t="n"/>
      <c r="D87" s="19" t="n"/>
      <c r="E87" s="19" t="n"/>
      <c r="F87" s="19" t="n"/>
      <c r="G87" s="19" t="n"/>
      <c r="H87" s="19" t="n"/>
      <c r="I87" s="19" t="n"/>
      <c r="J87" s="19" t="n"/>
      <c r="K87" s="19" t="n"/>
    </row>
    <row r="88">
      <c r="A88" s="18" t="inlineStr">
        <is>
          <t>EV4-083</t>
        </is>
      </c>
      <c r="B88" s="19" t="n"/>
      <c r="C88" s="19" t="n"/>
      <c r="D88" s="19" t="n"/>
      <c r="E88" s="19" t="n"/>
      <c r="F88" s="19" t="n"/>
      <c r="G88" s="19" t="n"/>
      <c r="H88" s="19" t="n"/>
      <c r="I88" s="19" t="n"/>
      <c r="J88" s="19" t="n"/>
      <c r="K88" s="19" t="n"/>
    </row>
    <row r="89">
      <c r="A89" s="18" t="inlineStr">
        <is>
          <t>EV4-084</t>
        </is>
      </c>
      <c r="B89" s="19" t="n"/>
      <c r="C89" s="19" t="n"/>
      <c r="D89" s="19" t="n"/>
      <c r="E89" s="19" t="n"/>
      <c r="F89" s="19" t="n"/>
      <c r="G89" s="19" t="n"/>
      <c r="H89" s="19" t="n"/>
      <c r="I89" s="19" t="n"/>
      <c r="J89" s="19" t="n"/>
      <c r="K89" s="19" t="n"/>
    </row>
    <row r="90">
      <c r="A90" s="18" t="inlineStr">
        <is>
          <t>EV4-085</t>
        </is>
      </c>
      <c r="B90" s="19" t="n"/>
      <c r="C90" s="19" t="n"/>
      <c r="D90" s="19" t="n"/>
      <c r="E90" s="19" t="n"/>
      <c r="F90" s="19" t="n"/>
      <c r="G90" s="19" t="n"/>
      <c r="H90" s="19" t="n"/>
      <c r="I90" s="19" t="n"/>
      <c r="J90" s="19" t="n"/>
      <c r="K90" s="19" t="n"/>
    </row>
    <row r="91">
      <c r="A91" s="18" t="inlineStr">
        <is>
          <t>EV4-086</t>
        </is>
      </c>
      <c r="B91" s="19" t="n"/>
      <c r="C91" s="19" t="n"/>
      <c r="D91" s="19" t="n"/>
      <c r="E91" s="19" t="n"/>
      <c r="F91" s="19" t="n"/>
      <c r="G91" s="19" t="n"/>
      <c r="H91" s="19" t="n"/>
      <c r="I91" s="19" t="n"/>
      <c r="J91" s="19" t="n"/>
      <c r="K91" s="19" t="n"/>
    </row>
    <row r="92">
      <c r="A92" s="18" t="inlineStr">
        <is>
          <t>EV4-087</t>
        </is>
      </c>
      <c r="B92" s="19" t="n"/>
      <c r="C92" s="19" t="n"/>
      <c r="D92" s="19" t="n"/>
      <c r="E92" s="19" t="n"/>
      <c r="F92" s="19" t="n"/>
      <c r="G92" s="19" t="n"/>
      <c r="H92" s="19" t="n"/>
      <c r="I92" s="19" t="n"/>
      <c r="J92" s="19" t="n"/>
      <c r="K92" s="19" t="n"/>
    </row>
    <row r="93">
      <c r="A93" s="18" t="inlineStr">
        <is>
          <t>EV4-088</t>
        </is>
      </c>
      <c r="B93" s="19" t="n"/>
      <c r="C93" s="19" t="n"/>
      <c r="D93" s="19" t="n"/>
      <c r="E93" s="19" t="n"/>
      <c r="F93" s="19" t="n"/>
      <c r="G93" s="19" t="n"/>
      <c r="H93" s="19" t="n"/>
      <c r="I93" s="19" t="n"/>
      <c r="J93" s="19" t="n"/>
      <c r="K93" s="19" t="n"/>
    </row>
    <row r="94">
      <c r="A94" s="18" t="inlineStr">
        <is>
          <t>EV4-089</t>
        </is>
      </c>
      <c r="B94" s="19" t="n"/>
      <c r="C94" s="19" t="n"/>
      <c r="D94" s="19" t="n"/>
      <c r="E94" s="19" t="n"/>
      <c r="F94" s="19" t="n"/>
      <c r="G94" s="19" t="n"/>
      <c r="H94" s="19" t="n"/>
      <c r="I94" s="19" t="n"/>
      <c r="J94" s="19" t="n"/>
      <c r="K94" s="19" t="n"/>
    </row>
    <row r="95">
      <c r="A95" s="18" t="inlineStr">
        <is>
          <t>EV4-090</t>
        </is>
      </c>
      <c r="B95" s="19" t="n"/>
      <c r="C95" s="19" t="n"/>
      <c r="D95" s="19" t="n"/>
      <c r="E95" s="19" t="n"/>
      <c r="F95" s="19" t="n"/>
      <c r="G95" s="19" t="n"/>
      <c r="H95" s="19" t="n"/>
      <c r="I95" s="19" t="n"/>
      <c r="J95" s="19" t="n"/>
      <c r="K95" s="19" t="n"/>
    </row>
    <row r="96">
      <c r="A96" s="18" t="inlineStr">
        <is>
          <t>EV4-091</t>
        </is>
      </c>
      <c r="B96" s="19" t="n"/>
      <c r="C96" s="19" t="n"/>
      <c r="D96" s="19" t="n"/>
      <c r="E96" s="19" t="n"/>
      <c r="F96" s="19" t="n"/>
      <c r="G96" s="19" t="n"/>
      <c r="H96" s="19" t="n"/>
      <c r="I96" s="19" t="n"/>
      <c r="J96" s="19" t="n"/>
      <c r="K96" s="19" t="n"/>
    </row>
    <row r="97">
      <c r="A97" s="18" t="inlineStr">
        <is>
          <t>EV4-092</t>
        </is>
      </c>
      <c r="B97" s="19" t="n"/>
      <c r="C97" s="19" t="n"/>
      <c r="D97" s="19" t="n"/>
      <c r="E97" s="19" t="n"/>
      <c r="F97" s="19" t="n"/>
      <c r="G97" s="19" t="n"/>
      <c r="H97" s="19" t="n"/>
      <c r="I97" s="19" t="n"/>
      <c r="J97" s="19" t="n"/>
      <c r="K97" s="19" t="n"/>
    </row>
    <row r="98">
      <c r="A98" s="18" t="inlineStr">
        <is>
          <t>EV4-093</t>
        </is>
      </c>
      <c r="B98" s="19" t="n"/>
      <c r="C98" s="19" t="n"/>
      <c r="D98" s="19" t="n"/>
      <c r="E98" s="19" t="n"/>
      <c r="F98" s="19" t="n"/>
      <c r="G98" s="19" t="n"/>
      <c r="H98" s="19" t="n"/>
      <c r="I98" s="19" t="n"/>
      <c r="J98" s="19" t="n"/>
      <c r="K98" s="19" t="n"/>
    </row>
    <row r="99">
      <c r="A99" s="18" t="inlineStr">
        <is>
          <t>EV4-094</t>
        </is>
      </c>
      <c r="B99" s="19" t="n"/>
      <c r="C99" s="19" t="n"/>
      <c r="D99" s="19" t="n"/>
      <c r="E99" s="19" t="n"/>
      <c r="F99" s="19" t="n"/>
      <c r="G99" s="19" t="n"/>
      <c r="H99" s="19" t="n"/>
      <c r="I99" s="19" t="n"/>
      <c r="J99" s="19" t="n"/>
      <c r="K99" s="19" t="n"/>
    </row>
    <row r="100">
      <c r="A100" s="18" t="inlineStr">
        <is>
          <t>EV4-095</t>
        </is>
      </c>
      <c r="B100" s="19" t="n"/>
      <c r="C100" s="19" t="n"/>
      <c r="D100" s="19" t="n"/>
      <c r="E100" s="19" t="n"/>
      <c r="F100" s="19" t="n"/>
      <c r="G100" s="19" t="n"/>
      <c r="H100" s="19" t="n"/>
      <c r="I100" s="19" t="n"/>
      <c r="J100" s="19" t="n"/>
      <c r="K100" s="19" t="n"/>
    </row>
    <row r="101">
      <c r="A101" s="18" t="inlineStr">
        <is>
          <t>EV4-096</t>
        </is>
      </c>
      <c r="B101" s="19" t="n"/>
      <c r="C101" s="19" t="n"/>
      <c r="D101" s="19" t="n"/>
      <c r="E101" s="19" t="n"/>
      <c r="F101" s="19" t="n"/>
      <c r="G101" s="19" t="n"/>
      <c r="H101" s="19" t="n"/>
      <c r="I101" s="19" t="n"/>
      <c r="J101" s="19" t="n"/>
      <c r="K101" s="19" t="n"/>
    </row>
    <row r="102">
      <c r="A102" s="18" t="inlineStr">
        <is>
          <t>EV4-097</t>
        </is>
      </c>
      <c r="B102" s="19" t="n"/>
      <c r="C102" s="19" t="n"/>
      <c r="D102" s="19" t="n"/>
      <c r="E102" s="19" t="n"/>
      <c r="F102" s="19" t="n"/>
      <c r="G102" s="19" t="n"/>
      <c r="H102" s="19" t="n"/>
      <c r="I102" s="19" t="n"/>
      <c r="J102" s="19" t="n"/>
      <c r="K102" s="19" t="n"/>
    </row>
    <row r="103">
      <c r="A103" s="18" t="inlineStr">
        <is>
          <t>EV4-098</t>
        </is>
      </c>
      <c r="B103" s="19" t="n"/>
      <c r="C103" s="19" t="n"/>
      <c r="D103" s="19" t="n"/>
      <c r="E103" s="19" t="n"/>
      <c r="F103" s="19" t="n"/>
      <c r="G103" s="19" t="n"/>
      <c r="H103" s="19" t="n"/>
      <c r="I103" s="19" t="n"/>
      <c r="J103" s="19" t="n"/>
      <c r="K103" s="19" t="n"/>
    </row>
    <row r="104">
      <c r="A104" s="18" t="inlineStr">
        <is>
          <t>EV4-099</t>
        </is>
      </c>
      <c r="B104" s="19" t="n"/>
      <c r="C104" s="19" t="n"/>
      <c r="D104" s="19" t="n"/>
      <c r="E104" s="19" t="n"/>
      <c r="F104" s="19" t="n"/>
      <c r="G104" s="19" t="n"/>
      <c r="H104" s="19" t="n"/>
      <c r="I104" s="19" t="n"/>
      <c r="J104" s="19" t="n"/>
      <c r="K104" s="19" t="n"/>
    </row>
    <row r="105">
      <c r="A105" s="18" t="inlineStr">
        <is>
          <t>EV4-100</t>
        </is>
      </c>
      <c r="B105" s="19" t="n"/>
      <c r="C105" s="19" t="n"/>
      <c r="D105" s="19" t="n"/>
      <c r="E105" s="19" t="n"/>
      <c r="F105" s="19" t="n"/>
      <c r="G105" s="19" t="n"/>
      <c r="H105" s="19" t="n"/>
      <c r="I105" s="19" t="n"/>
      <c r="J105" s="19" t="n"/>
      <c r="K105" s="19" t="n"/>
    </row>
    <row r="108">
      <c r="A108" s="3" t="inlineStr">
        <is>
          <t>EVIDENCE SUMMARY</t>
        </is>
      </c>
    </row>
    <row r="109">
      <c r="A109" s="4" t="inlineStr">
        <is>
          <t>Total evidence items:</t>
        </is>
      </c>
      <c r="B109" s="20">
        <f>COUNTA(B6:B105)</f>
        <v/>
      </c>
    </row>
    <row r="110">
      <c r="A110" s="4" t="inlineStr">
        <is>
          <t>Verified evidence:</t>
        </is>
      </c>
      <c r="B110" s="20">
        <f>COUNTIF(J6:J105,"Verified")</f>
        <v/>
      </c>
    </row>
    <row r="111">
      <c r="A111" s="4" t="inlineStr">
        <is>
          <t>Pending verification:</t>
        </is>
      </c>
      <c r="B111" s="20">
        <f>COUNTIF(J6:J105,"Pending")</f>
        <v/>
      </c>
    </row>
    <row r="112">
      <c r="A112" s="4" t="inlineStr">
        <is>
          <t>Evidence by Log_Collection:</t>
        </is>
      </c>
      <c r="B112" s="20">
        <f>COUNTIF(D6:D105,"Log_Collection")</f>
        <v/>
      </c>
    </row>
    <row r="113">
      <c r="A113" s="4" t="inlineStr">
        <is>
          <t>Evidence by Alert_Configuration:</t>
        </is>
      </c>
      <c r="B113" s="20">
        <f>COUNTIF(D6:D105,"Alert_Configuration")</f>
        <v/>
      </c>
    </row>
    <row r="114">
      <c r="A114" s="4" t="inlineStr">
        <is>
          <t>Evidence by Incident_Response:</t>
        </is>
      </c>
      <c r="B114" s="20">
        <f>COUNTIF(D6:D105,"Incident_Response")</f>
        <v/>
      </c>
    </row>
  </sheetData>
  <mergeCells count="4">
    <mergeCell ref="A2:K2"/>
    <mergeCell ref="A1:K1"/>
    <mergeCell ref="A108:D108"/>
    <mergeCell ref="A4:K4"/>
  </mergeCells>
  <dataValidations count="3">
    <dataValidation sqref="C6:C105" showDropDown="0" showInputMessage="0" showErrorMessage="0" allowBlank="1" errorTitle="Invalid Entry" error="Please select from dropdown" promptTitle="Available Options" prompt="Select from list" type="list">
      <formula1>"Screenshot,Configuration_Export,Log_Sample,Report,Procedure_Document,Email_Confirmation,Audit_Report,Test_Results,Policy_Document,Meeting_Minutes,Other"</formula1>
    </dataValidation>
    <dataValidation sqref="D6:D105" showDropDown="0" showInputMessage="0" showErrorMessage="0" allowBlank="1" type="list">
      <formula1>"Log_Collection,Alert_Configuration,Monitoring_Dashboard,Incident_Response,Blocked_Events_Analysis,False_Positive_Mgmt,Reporting_Schedule,Gap_Analysis"</formula1>
    </dataValidation>
    <dataValidation sqref="J6:J105" showDropDown="0" showInputMessage="0" showErrorMessage="0" allowBlank="1" errorTitle="Invalid Entry" error="Please select from dropdown" promptTitle="Available Options" prompt="Select from list" type="list">
      <formula1>"Verified,Pending,Not_Verified,Expired"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25" customWidth="1" min="4" max="4"/>
    <col width="40" customWidth="1" min="5" max="5"/>
  </cols>
  <sheetData>
    <row r="1" ht="30" customHeight="1">
      <c r="A1" s="1" t="inlineStr">
        <is>
          <t>ASSESSMENT APPROVAL - MONITORING &amp; RESPONSE</t>
        </is>
      </c>
    </row>
    <row r="2">
      <c r="A2" s="2" t="inlineStr">
        <is>
          <t>ISMS-IMP-A.8.23.4 - ISO/IEC 27001:2022 Control A.8.23</t>
        </is>
      </c>
    </row>
    <row r="4">
      <c r="A4" s="3" t="inlineStr">
        <is>
          <t>ASSESSMENT SUMMARY</t>
        </is>
      </c>
    </row>
    <row r="5">
      <c r="A5" s="4" t="inlineStr">
        <is>
          <t>Assessment Date:</t>
        </is>
      </c>
      <c r="B5" s="20">
        <f>Instructions_Legend!B9</f>
        <v/>
      </c>
    </row>
    <row r="6">
      <c r="A6" s="4" t="inlineStr">
        <is>
          <t>Completed By:</t>
        </is>
      </c>
      <c r="B6" s="20">
        <f>Instructions_Legend!B10</f>
        <v/>
      </c>
    </row>
    <row r="7">
      <c r="A7" s="4" t="inlineStr">
        <is>
          <t>Organization:</t>
        </is>
      </c>
      <c r="B7" s="20">
        <f>Instructions_Legend!B11</f>
        <v/>
      </c>
    </row>
    <row r="8">
      <c r="A8" s="4" t="inlineStr">
        <is>
          <t>Total Log Sources:</t>
        </is>
      </c>
      <c r="B8" s="20">
        <f>Log_Collection!B53</f>
        <v/>
      </c>
    </row>
    <row r="9">
      <c r="A9" s="4" t="inlineStr">
        <is>
          <t>Total Alert Rules:</t>
        </is>
      </c>
      <c r="B9" s="20">
        <f>Alert_Configuration!B64</f>
        <v/>
      </c>
    </row>
    <row r="10">
      <c r="A10" s="4" t="inlineStr">
        <is>
          <t>Total KPIs Tracked:</t>
        </is>
      </c>
      <c r="B10" s="20">
        <f>Monitoring_Dashboard!B73</f>
        <v/>
      </c>
    </row>
    <row r="11">
      <c r="A11" s="4" t="inlineStr">
        <is>
          <t>Open Incidents:</t>
        </is>
      </c>
      <c r="B11" s="20">
        <f>COUNTIF(Incident_Response!G40:G59,"No")</f>
        <v/>
      </c>
    </row>
    <row r="12">
      <c r="A12" s="4" t="inlineStr">
        <is>
          <t>Open False Positives:</t>
        </is>
      </c>
      <c r="B12" s="20">
        <f>'False_Positive_Mgmt'!B63</f>
        <v/>
      </c>
    </row>
    <row r="13">
      <c r="A13" s="4" t="inlineStr">
        <is>
          <t>Open Gaps:</t>
        </is>
      </c>
      <c r="B13" s="20">
        <f>Gap_Analysis!B40</f>
        <v/>
      </c>
    </row>
    <row r="14">
      <c r="A14" s="4" t="inlineStr">
        <is>
          <t>Evidence Items:</t>
        </is>
      </c>
      <c r="B14" s="20">
        <f>Evidence_Register!B109</f>
        <v/>
      </c>
    </row>
    <row r="16">
      <c r="A16" s="3" t="inlineStr">
        <is>
          <t>APPROVAL WORKFLOW</t>
        </is>
      </c>
    </row>
    <row r="17">
      <c r="A17" s="17" t="inlineStr">
        <is>
          <t>Role</t>
        </is>
      </c>
      <c r="B17" s="17" t="inlineStr">
        <is>
          <t>Name</t>
        </is>
      </c>
      <c r="C17" s="17" t="inlineStr">
        <is>
          <t>Date</t>
        </is>
      </c>
      <c r="D17" s="17" t="inlineStr">
        <is>
          <t>Signature</t>
        </is>
      </c>
      <c r="E17" s="17" t="inlineStr">
        <is>
          <t>Comments</t>
        </is>
      </c>
    </row>
    <row r="18">
      <c r="A18" s="26" t="inlineStr">
        <is>
          <t>Completed By (Assessor)</t>
        </is>
      </c>
      <c r="B18" s="5" t="n"/>
      <c r="C18" s="5" t="n"/>
      <c r="D18" s="5" t="n"/>
      <c r="E18" s="5" t="n"/>
    </row>
    <row r="19">
      <c r="A19" s="26" t="inlineStr">
        <is>
          <t>Reviewed By (Security Manager)</t>
        </is>
      </c>
      <c r="B19" s="5" t="n"/>
      <c r="C19" s="5" t="n"/>
      <c r="D19" s="5" t="n"/>
      <c r="E19" s="5" t="n"/>
    </row>
    <row r="20">
      <c r="A20" s="26" t="inlineStr">
        <is>
          <t>Approved By (CISO)</t>
        </is>
      </c>
      <c r="B20" s="5" t="n"/>
      <c r="C20" s="5" t="n"/>
      <c r="D20" s="5" t="n"/>
      <c r="E20" s="5" t="n"/>
    </row>
    <row r="22">
      <c r="A22" s="3" t="inlineStr">
        <is>
          <t>CERTIFICATION STATEMENT</t>
        </is>
      </c>
    </row>
    <row r="23" ht="60" customHeight="1">
      <c r="A23" s="28" t="inlineStr">
        <is>
          <t>This assessment accurately reflects the current state of web filtering monitoring, logging, alerting, and incident response capabilities. All findings have been verified against actual system configurations and operational evidence. Identified gaps have been documented with remediation plans and assigned to responsible owners.</t>
        </is>
      </c>
    </row>
    <row r="25">
      <c r="A25" s="3" t="inlineStr">
        <is>
          <t>NEXT REVIEW</t>
        </is>
      </c>
    </row>
    <row r="26">
      <c r="A26" s="4" t="inlineStr">
        <is>
          <t>Scheduled Review Date:</t>
        </is>
      </c>
      <c r="B26" s="5" t="n"/>
    </row>
    <row r="27">
      <c r="A27" s="4" t="inlineStr">
        <is>
          <t>Review Frequency:</t>
        </is>
      </c>
      <c r="B27" s="20" t="inlineStr">
        <is>
          <t>Quarterly</t>
        </is>
      </c>
    </row>
    <row r="30">
      <c r="A30" s="13" t="inlineStr">
        <is>
          <t>💡 Assessment Philosophy:</t>
        </is>
      </c>
    </row>
    <row r="31">
      <c r="A31" s="14" t="inlineStr">
        <is>
          <t>"Theater says 'we monitor.' Engineering says 'we detected 47,392 blocked threats last quarter with 0.3% false positive rate and 15-minute average response time.'"</t>
        </is>
      </c>
    </row>
  </sheetData>
  <mergeCells count="8">
    <mergeCell ref="A4:E4"/>
    <mergeCell ref="A2:E2"/>
    <mergeCell ref="A16:E16"/>
    <mergeCell ref="A25:E25"/>
    <mergeCell ref="A1:E1"/>
    <mergeCell ref="A23:E23"/>
    <mergeCell ref="A31:E31"/>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2026-02-08T11:26:23Z</dcterms:created>
  <dcterms:modified xmlns:dcterms="http://purl.org/dc/terms/" xmlns:xsi="http://www.w3.org/2001/XMLSchema-instance" xsi:type="dcterms:W3CDTF">2026-02-08T11:26:23Z</dcterms:modified>
</cp:coreProperties>
</file>