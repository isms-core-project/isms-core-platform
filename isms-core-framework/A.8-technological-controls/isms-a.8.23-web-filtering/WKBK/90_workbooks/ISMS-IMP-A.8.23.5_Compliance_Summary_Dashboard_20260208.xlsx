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emediation Roadmap" sheetId="4" state="visible" r:id="rId4"/>
    <sheet xmlns:r="http://schemas.openxmlformats.org/officeDocument/2006/relationships" name="KPIs &amp; Metrics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Action Items &amp; Follow-up" sheetId="7" state="visible" r:id="rId7"/>
    <sheet xmlns:r="http://schemas.openxmlformats.org/officeDocument/2006/relationships" name="Audit &amp; Compliance Log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color rgb="000000FF"/>
    </font>
    <font>
      <name val="Calibri"/>
      <b val="1"/>
      <color rgb="00FFFFFF"/>
      <sz val="12"/>
    </font>
    <font>
      <name val="Calibri"/>
      <b val="1"/>
      <sz val="10"/>
    </font>
    <font>
      <b val="1"/>
      <color rgb="000000FF"/>
    </font>
    <font>
      <i val="1"/>
      <color rgb="000000FF"/>
      <sz val="9"/>
    </font>
    <font>
      <i val="1"/>
      <color rgb="00666666"/>
      <sz val="9"/>
    </font>
    <font>
      <b val="1"/>
      <sz val="11"/>
    </font>
    <font>
      <i val="1"/>
      <sz val="9"/>
    </font>
    <font>
      <b val="1"/>
      <i val="1"/>
      <color rgb="00003366"/>
      <sz val="10"/>
    </font>
    <font>
      <b val="1"/>
      <i val="1"/>
      <color rgb="00666666"/>
      <sz val="10"/>
    </font>
    <font>
      <b val="1"/>
      <color rgb="00FFFFFF"/>
      <sz val="11"/>
    </font>
    <font>
      <b val="1"/>
      <sz val="9"/>
    </font>
    <font>
      <b val="1"/>
      <sz val="10"/>
    </font>
    <font>
      <name val="Calibri"/>
      <b val="1"/>
      <color rgb="00FFFFFF"/>
      <sz val="11"/>
    </font>
    <font>
      <b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pivotButton="0" quotePrefix="0" xfId="0"/>
    <xf numFmtId="164" fontId="8" fillId="5" borderId="1" pivotButton="0" quotePrefix="0" xfId="0"/>
    <xf numFmtId="0" fontId="8" fillId="5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0" fontId="4" fillId="0" borderId="1" pivotButton="0" quotePrefix="0" xfId="0"/>
    <xf numFmtId="0" fontId="14" fillId="6" borderId="0" applyAlignment="1" pivotButton="0" quotePrefix="0" xfId="0">
      <alignment horizontal="center"/>
    </xf>
    <xf numFmtId="0" fontId="15" fillId="4" borderId="1" pivotButton="0" quotePrefix="0" xfId="0"/>
    <xf numFmtId="0" fontId="15" fillId="0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4" fillId="3" borderId="1" pivotButton="0" quotePrefix="0" xfId="0"/>
    <xf numFmtId="0" fontId="3" fillId="0" borderId="1" pivotButton="0" quotePrefix="0" xfId="0"/>
    <xf numFmtId="164" fontId="7" fillId="0" borderId="1" pivotButton="0" quotePrefix="0" xfId="0"/>
    <xf numFmtId="0" fontId="16" fillId="0" borderId="1" pivotButton="0" quotePrefix="0" xfId="0"/>
    <xf numFmtId="0" fontId="11" fillId="0" borderId="1" pivotButton="0" quotePrefix="0" xfId="0"/>
    <xf numFmtId="0" fontId="6" fillId="4" borderId="1" pivotButton="0" quotePrefix="0" xfId="0"/>
    <xf numFmtId="164" fontId="4" fillId="0" borderId="1" pivotButton="0" quotePrefix="0" xfId="0"/>
    <xf numFmtId="0" fontId="9" fillId="0" borderId="0" pivotButton="0" quotePrefix="0" xfId="0"/>
    <xf numFmtId="0" fontId="17" fillId="6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2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 ht="50" customHeight="1">
      <c r="A1" s="1" t="inlineStr">
        <is>
          <t>ISMS-IMP-A.8.23.5 – Web Filtering Compliance Summary Dashboard
ISO/IEC 27001:2022 - Control A.8.23: Web Filtering - Executive Overview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ISMS-IMP-A.8.23.5</t>
        </is>
      </c>
    </row>
    <row r="5">
      <c r="A5" s="3" t="inlineStr">
        <is>
          <t>Report Type</t>
        </is>
      </c>
      <c r="B5" t="inlineStr">
        <is>
          <t>Compliance Summary Dashboard</t>
        </is>
      </c>
    </row>
    <row r="6">
      <c r="A6" s="3" t="inlineStr">
        <is>
          <t>Related Policy</t>
        </is>
      </c>
      <c r="B6" t="inlineStr">
        <is>
          <t>ISMS-POL-A.8.23 (Web Filtering)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Report Date</t>
        </is>
      </c>
      <c r="B8" s="4" t="inlineStr"/>
    </row>
    <row r="9">
      <c r="A9" s="3" t="inlineStr">
        <is>
          <t>Reporting Period</t>
        </is>
      </c>
      <c r="B9" s="4" t="inlineStr"/>
    </row>
    <row r="10">
      <c r="A10" s="3" t="inlineStr">
        <is>
          <t>Prepared By</t>
        </is>
      </c>
      <c r="B10" s="4" t="inlineStr"/>
    </row>
    <row r="11">
      <c r="A11" s="3" t="inlineStr">
        <is>
          <t>Organization</t>
        </is>
      </c>
      <c r="B11" s="4" t="inlineStr"/>
    </row>
    <row r="12">
      <c r="A12" s="3" t="inlineStr">
        <is>
          <t>Review Cycle</t>
        </is>
      </c>
      <c r="B12" t="inlineStr">
        <is>
          <t>Quarterly</t>
        </is>
      </c>
    </row>
    <row r="13">
      <c r="A13" s="3" t="inlineStr">
        <is>
          <t>Last Updated</t>
        </is>
      </c>
      <c r="B13" s="5">
        <f>TODAY()</f>
        <v/>
      </c>
    </row>
    <row r="16">
      <c r="A16" s="6" t="inlineStr">
        <is>
          <t>OVERALL WEB FILTERING COMPLIANCE STATUS</t>
        </is>
      </c>
    </row>
    <row r="17">
      <c r="A17" s="7" t="inlineStr">
        <is>
          <t>Metric</t>
        </is>
      </c>
      <c r="B17" s="7" t="inlineStr">
        <is>
          <t>Score</t>
        </is>
      </c>
      <c r="C17" s="7" t="inlineStr">
        <is>
          <t>Target</t>
        </is>
      </c>
      <c r="D17" s="7" t="inlineStr">
        <is>
          <t>Status</t>
        </is>
      </c>
    </row>
    <row r="18">
      <c r="A18" s="8" t="inlineStr">
        <is>
          <t>Overall Compliance Rate</t>
        </is>
      </c>
      <c r="B18" s="9">
        <f>AVERAGE(C25:C28)</f>
        <v/>
      </c>
      <c r="C18" s="8" t="inlineStr">
        <is>
          <t>≥95%</t>
        </is>
      </c>
      <c r="D18" s="4" t="n"/>
    </row>
    <row r="19">
      <c r="A19" s="8" t="inlineStr">
        <is>
          <t>Critical Gaps</t>
        </is>
      </c>
      <c r="B19" s="9">
        <f>COUNTIFS('Gap Analysis'!I8:I207,"Critical",'Gap Analysis'!R8:R207,"&lt;&gt;Closed")</f>
        <v/>
      </c>
      <c r="C19" s="8" t="inlineStr">
        <is>
          <t>0</t>
        </is>
      </c>
      <c r="D19" s="4" t="n"/>
    </row>
    <row r="20">
      <c r="A20" s="8" t="inlineStr">
        <is>
          <t>High-Risk Items</t>
        </is>
      </c>
      <c r="B20" s="9">
        <f>COUNTIFS('Risk Register'!N21:N119,"&gt;=15",'Risk Register'!Q21:Q119,"&lt;&gt;Closed")</f>
        <v/>
      </c>
      <c r="C20" s="8" t="inlineStr">
        <is>
          <t>≤5</t>
        </is>
      </c>
      <c r="D20" s="4" t="n"/>
    </row>
    <row r="21">
      <c r="A21" s="8" t="inlineStr">
        <is>
          <t>Remediation Progress</t>
        </is>
      </c>
      <c r="B21" s="9">
        <f>COUNTIF('Remediation Roadmap'!H37:H236,"Completed")/COUNTA('Remediation Roadmap'!H37:H236)*100&amp;"%"</f>
        <v/>
      </c>
      <c r="C21" s="8" t="inlineStr">
        <is>
          <t>≥80%</t>
        </is>
      </c>
      <c r="D21" s="4" t="n"/>
    </row>
    <row r="24">
      <c r="A24" s="6" t="inlineStr">
        <is>
          <t>DOMAIN COMPLIANCE SCORES (from Source Workbooks)</t>
        </is>
      </c>
    </row>
    <row r="25">
      <c r="A25" s="7" t="inlineStr">
        <is>
          <t>#</t>
        </is>
      </c>
      <c r="B25" s="7" t="inlineStr">
        <is>
          <t>Assessment Domain</t>
        </is>
      </c>
      <c r="C25" s="7" t="inlineStr">
        <is>
          <t>Compliance Score</t>
        </is>
      </c>
      <c r="D25" s="7" t="inlineStr">
        <is>
          <t>Status</t>
        </is>
      </c>
      <c r="E25" s="7" t="inlineStr">
        <is>
          <t>Critical Gaps</t>
        </is>
      </c>
      <c r="F25" s="7" t="inlineStr">
        <is>
          <t>Evidence Count</t>
        </is>
      </c>
      <c r="G25" s="7" t="inlineStr">
        <is>
          <t>Last Updated</t>
        </is>
      </c>
      <c r="H25" s="7" t="inlineStr">
        <is>
          <t>Assessor</t>
        </is>
      </c>
    </row>
    <row r="26">
      <c r="A26" s="8" t="inlineStr">
        <is>
          <t>1</t>
        </is>
      </c>
      <c r="B26" s="8" t="inlineStr">
        <is>
          <t>Filtering Infrastructure</t>
        </is>
      </c>
      <c r="C26" s="10">
        <f>'[ISMS-IMP-A.8.23.1.xlsx]Gap_Analysis'!B5</f>
        <v/>
      </c>
      <c r="D26" s="11">
        <f>'[ISMS-IMP-A.8.23.1.xlsx]Gap_Analysis'!C5</f>
        <v/>
      </c>
      <c r="E26" s="11">
        <f>COUNTIF('[ISMS-IMP-A.8.23.1.xlsx]Gap_Analysis'!F10:F109,"Critical")</f>
        <v/>
      </c>
      <c r="F26" s="11">
        <f>COUNTA('[ISMS-IMP-A.8.23.1.xlsx]Evidence_Register'!A10:A209)</f>
        <v/>
      </c>
      <c r="G26" s="11">
        <f>'[ISMS-IMP-A.8.23.1.xlsx]Instructions &amp; Legend'!B9</f>
        <v/>
      </c>
      <c r="H26" s="11">
        <f>'[ISMS-IMP-A.8.23.1.xlsx]Instructions &amp; Legend'!B10</f>
        <v/>
      </c>
    </row>
    <row r="27">
      <c r="A27" s="8" t="inlineStr">
        <is>
          <t>2</t>
        </is>
      </c>
      <c r="B27" s="8" t="inlineStr">
        <is>
          <t>Network Coverage</t>
        </is>
      </c>
      <c r="C27" s="10">
        <f>'[ISMS-IMP-A.8.23.2.xlsx]Gap_Identification'!B5</f>
        <v/>
      </c>
      <c r="D27" s="11">
        <f>'[ISMS-IMP-A.8.23.2.xlsx]Gap_Identification'!C5</f>
        <v/>
      </c>
      <c r="E27" s="11">
        <f>COUNTIF('[ISMS-IMP-A.8.23.2.xlsx]Gap_Identification'!F10:F109,"Critical")</f>
        <v/>
      </c>
      <c r="F27" s="11">
        <f>COUNTA('[ISMS-IMP-A.8.23.2.xlsx]Evidence_Register'!A10:A209)</f>
        <v/>
      </c>
      <c r="G27" s="11">
        <f>'[ISMS-IMP-A.8.23.2.xlsx]Instructions &amp; Legend'!B9</f>
        <v/>
      </c>
      <c r="H27" s="11">
        <f>'[ISMS-IMP-A.8.23.2.xlsx]Instructions &amp; Legend'!B10</f>
        <v/>
      </c>
    </row>
    <row r="28">
      <c r="A28" s="8" t="inlineStr">
        <is>
          <t>3</t>
        </is>
      </c>
      <c r="B28" s="8" t="inlineStr">
        <is>
          <t>Policy Configuration</t>
        </is>
      </c>
      <c r="C28" s="10">
        <f>'[ISMS-IMP-A.8.23.3.xlsx]Gap_Analysis'!B5</f>
        <v/>
      </c>
      <c r="D28" s="11">
        <f>'[ISMS-IMP-A.8.23.3.xlsx]Gap_Analysis'!C5</f>
        <v/>
      </c>
      <c r="E28" s="11">
        <f>COUNTIF('[ISMS-IMP-A.8.23.3.xlsx]Gap_Analysis'!F10:F109,"Critical")</f>
        <v/>
      </c>
      <c r="F28" s="11">
        <f>COUNTA('[ISMS-IMP-A.8.23.3.xlsx]Evidence_Register'!A10:A209)</f>
        <v/>
      </c>
      <c r="G28" s="11">
        <f>'[ISMS-IMP-A.8.23.3.xlsx]Instructions &amp; Legend'!B9</f>
        <v/>
      </c>
      <c r="H28" s="11">
        <f>'[ISMS-IMP-A.8.23.3.xlsx]Instructions &amp; Legend'!B10</f>
        <v/>
      </c>
    </row>
    <row r="29">
      <c r="A29" s="8" t="inlineStr">
        <is>
          <t>4</t>
        </is>
      </c>
      <c r="B29" s="8" t="inlineStr">
        <is>
          <t>Monitoring &amp; Response</t>
        </is>
      </c>
      <c r="C29" s="10">
        <f>'[ISMS-IMP-A.8.23.4.xlsx]Gap_Analysis'!B5</f>
        <v/>
      </c>
      <c r="D29" s="11">
        <f>'[ISMS-IMP-A.8.23.4.xlsx]Gap_Analysis'!C5</f>
        <v/>
      </c>
      <c r="E29" s="11">
        <f>COUNTIF('[ISMS-IMP-A.8.23.4.xlsx]Gap_Analysis'!F10:F109,"Critical")</f>
        <v/>
      </c>
      <c r="F29" s="11">
        <f>COUNTA('[ISMS-IMP-A.8.23.4.xlsx]Evidence_Register'!A10:A209)</f>
        <v/>
      </c>
      <c r="G29" s="11">
        <f>'[ISMS-IMP-A.8.23.4.xlsx]Instructions_Legend'!B9</f>
        <v/>
      </c>
      <c r="H29" s="11">
        <f>'[ISMS-IMP-A.8.23.4.xlsx]Instructions_Legend'!B10</f>
        <v/>
      </c>
    </row>
    <row r="32">
      <c r="A32" s="6" t="inlineStr">
        <is>
          <t>KEY PERFORMANCE INDICATORS (Consolidated)</t>
        </is>
      </c>
    </row>
    <row r="33">
      <c r="A33" s="7" t="inlineStr">
        <is>
          <t>Category</t>
        </is>
      </c>
      <c r="B33" s="7" t="inlineStr">
        <is>
          <t>Metric</t>
        </is>
      </c>
      <c r="C33" s="7" t="inlineStr">
        <is>
          <t>Current Value</t>
        </is>
      </c>
      <c r="D33" s="7" t="inlineStr">
        <is>
          <t>Target</t>
        </is>
      </c>
      <c r="E33" s="7" t="inlineStr">
        <is>
          <t>Status</t>
        </is>
      </c>
      <c r="F33" s="7" t="inlineStr">
        <is>
          <t>Trend</t>
        </is>
      </c>
      <c r="G33" s="7" t="inlineStr">
        <is>
          <t>Notes</t>
        </is>
      </c>
    </row>
    <row r="34">
      <c r="A34" s="8" t="inlineStr">
        <is>
          <t>Infrastructure</t>
        </is>
      </c>
      <c r="B34" s="8" t="inlineStr">
        <is>
          <t>Filtering Solutions Deployed</t>
        </is>
      </c>
      <c r="C34" s="11">
        <f>COUNTA('[ISMS-IMP-A.8.23.1.xlsx]Solution_Details_Template'!B8:B27)</f>
        <v/>
      </c>
      <c r="D34" s="8" t="inlineStr">
        <is>
          <t>≥1</t>
        </is>
      </c>
      <c r="E34" s="4" t="n"/>
      <c r="F34" s="4" t="n"/>
      <c r="G34" s="12" t="inlineStr">
        <is>
          <t>From A.8.23.1</t>
        </is>
      </c>
    </row>
    <row r="35">
      <c r="A35" s="8" t="inlineStr">
        <is>
          <t>Infrastructure</t>
        </is>
      </c>
      <c r="B35" s="8" t="inlineStr">
        <is>
          <t>Solutions Fully Implemented</t>
        </is>
      </c>
      <c r="C35" s="11">
        <f>COUNTIF('[ISMS-IMP-A.8.23.1.xlsx]Solution_Details_Template'!I8:I27,"Deployed")/COUNTA('[ISMS-IMP-A.8.23.1.xlsx]Solution_Details_Template'!B8:B27)</f>
        <v/>
      </c>
      <c r="D35" s="8" t="inlineStr">
        <is>
          <t>100%</t>
        </is>
      </c>
      <c r="E35" s="4" t="n"/>
      <c r="F35" s="4" t="n"/>
      <c r="G35" s="12" t="inlineStr"/>
    </row>
    <row r="36">
      <c r="A36" s="8" t="inlineStr">
        <is>
          <t>Coverage</t>
        </is>
      </c>
      <c r="B36" s="8" t="inlineStr">
        <is>
          <t>Network Segments Covered</t>
        </is>
      </c>
      <c r="C36" s="11">
        <f>COUNTIF('[ISMS-IMP-A.8.23.2.xlsx]Coverage_Matrix'!D10:D109,"✅ Covered")/COUNTA('[ISMS-IMP-A.8.23.2.xlsx]Network_Segment_Inventory'!A10:A59)</f>
        <v/>
      </c>
      <c r="D36" s="8" t="inlineStr">
        <is>
          <t>100%</t>
        </is>
      </c>
      <c r="E36" s="4" t="n"/>
      <c r="F36" s="4" t="n"/>
      <c r="G36" s="12" t="inlineStr">
        <is>
          <t>From A.8.23.2</t>
        </is>
      </c>
    </row>
    <row r="37">
      <c r="A37" s="8" t="inlineStr">
        <is>
          <t>Coverage</t>
        </is>
      </c>
      <c r="B37" s="8" t="inlineStr">
        <is>
          <t>Critical Bypass Risks</t>
        </is>
      </c>
      <c r="C37" s="11">
        <f>COUNTIF('[ISMS-IMP-A.8.23.2.xlsx]Gap_Identification'!F10:F109,"Critical")</f>
        <v/>
      </c>
      <c r="D37" s="8" t="inlineStr">
        <is>
          <t>0</t>
        </is>
      </c>
      <c r="E37" s="4" t="n"/>
      <c r="F37" s="4" t="n"/>
      <c r="G37" s="12" t="inlineStr"/>
    </row>
    <row r="38">
      <c r="A38" s="8" t="inlineStr">
        <is>
          <t>Policy</t>
        </is>
      </c>
      <c r="B38" s="8" t="inlineStr">
        <is>
          <t>Threat Categories Blocked</t>
        </is>
      </c>
      <c r="C38" s="11">
        <f>COUNTIF('[ISMS-IMP-A.8.23.3.xlsx]Threat_Protection'!E10:E59,"Blocked")/COUNTA('[ISMS-IMP-A.8.23.3.xlsx]Threat_Protection'!A10:A59)</f>
        <v/>
      </c>
      <c r="D38" s="8" t="inlineStr">
        <is>
          <t>≥95%</t>
        </is>
      </c>
      <c r="E38" s="4" t="n"/>
      <c r="F38" s="4" t="n"/>
      <c r="G38" s="12" t="inlineStr">
        <is>
          <t>From A.8.23.3</t>
        </is>
      </c>
    </row>
    <row r="39">
      <c r="A39" s="8" t="inlineStr">
        <is>
          <t>Policy</t>
        </is>
      </c>
      <c r="B39" s="8" t="inlineStr">
        <is>
          <t>Active Exceptions</t>
        </is>
      </c>
      <c r="C39" s="11">
        <f>COUNTIF('[ISMS-IMP-A.8.23.3.xlsx]Policy_Exceptions'!G10:G109,"Active")</f>
        <v/>
      </c>
      <c r="D39" s="8" t="inlineStr">
        <is>
          <t>&lt;10</t>
        </is>
      </c>
      <c r="E39" s="4" t="n"/>
      <c r="F39" s="4" t="n"/>
      <c r="G39" s="12" t="inlineStr"/>
    </row>
    <row r="40">
      <c r="A40" s="8" t="inlineStr">
        <is>
          <t>Monitoring</t>
        </is>
      </c>
      <c r="B40" s="8" t="inlineStr">
        <is>
          <t>Alert Rules Configured</t>
        </is>
      </c>
      <c r="C40" s="11">
        <f>COUNTA('[ISMS-IMP-A.8.23.4.xlsx]Alert_Configuration'!A10:A109)</f>
        <v/>
      </c>
      <c r="D40" s="8" t="inlineStr">
        <is>
          <t>≥20</t>
        </is>
      </c>
      <c r="E40" s="4" t="n"/>
      <c r="F40" s="4" t="n"/>
      <c r="G40" s="12" t="inlineStr">
        <is>
          <t>From A.8.23.4</t>
        </is>
      </c>
    </row>
    <row r="41">
      <c r="A41" s="8" t="inlineStr">
        <is>
          <t>Monitoring</t>
        </is>
      </c>
      <c r="B41" s="8" t="inlineStr">
        <is>
          <t>SLA Compliance Rate</t>
        </is>
      </c>
      <c r="C41" s="11">
        <f>COUNTIF('[ISMS-IMP-A.8.23.4.xlsx]Incident_Response'!K10:K109,"Met")/COUNTA('[ISMS-IMP-A.8.23.4.xlsx]Incident_Response'!K10:K109)</f>
        <v/>
      </c>
      <c r="D41" s="8" t="inlineStr">
        <is>
          <t>≥95%</t>
        </is>
      </c>
      <c r="E41" s="4" t="n"/>
      <c r="F41" s="4" t="n"/>
      <c r="G41" s="12" t="inlineStr"/>
    </row>
    <row r="42">
      <c r="A42" s="8" t="inlineStr">
        <is>
          <t>Response</t>
        </is>
      </c>
      <c r="B42" s="8" t="inlineStr">
        <is>
          <t>Open Critical Incidents</t>
        </is>
      </c>
      <c r="C42" s="11">
        <f>COUNTIFS('[ISMS-IMP-A.8.23.4.xlsx]Incident_Response'!D10:D109,"Critical",'[ISMS-IMP-A.8.23.4.xlsx]Incident_Response'!I10:I109,"Open")</f>
        <v/>
      </c>
      <c r="D42" s="8" t="inlineStr">
        <is>
          <t>0</t>
        </is>
      </c>
      <c r="E42" s="4" t="n"/>
      <c r="F42" s="4" t="n"/>
      <c r="G42" s="12" t="inlineStr"/>
    </row>
    <row r="43">
      <c r="A43" s="8" t="inlineStr">
        <is>
          <t>Response</t>
        </is>
      </c>
      <c r="B43" s="8" t="inlineStr">
        <is>
          <t>False Positive Rate</t>
        </is>
      </c>
      <c r="C43" s="11">
        <f>COUNTIF('[ISMS-IMP-A.8.23.4.xlsx]False_Positive_Mgmt'!H10:H109,"Confirmed_FP")/COUNTA('[ISMS-IMP-A.8.23.4.xlsx]Blocked_Events_Analysis'!A10:A109)</f>
        <v/>
      </c>
      <c r="D43" s="8" t="inlineStr">
        <is>
          <t>&lt;1%</t>
        </is>
      </c>
      <c r="E43" s="4" t="n"/>
      <c r="F43" s="4" t="n"/>
      <c r="G43" s="12" t="inlineStr"/>
    </row>
    <row r="46">
      <c r="A46" s="13" t="inlineStr">
        <is>
          <t>📊 DASHBOARD NOTES</t>
        </is>
      </c>
    </row>
    <row r="47">
      <c r="A47" s="14" t="inlineStr">
        <is>
          <t>• This dashboard consolidates data from 4 assessment workbooks via external links</t>
        </is>
      </c>
    </row>
    <row r="48">
      <c r="A48" s="14" t="inlineStr">
        <is>
          <t>• Blue italic formulas pull live data from normalized source files</t>
        </is>
      </c>
    </row>
    <row r="49">
      <c r="A49" s="14" t="inlineStr">
        <is>
          <t>• Click 'Update Links' when opening to refresh all data</t>
        </is>
      </c>
    </row>
    <row r="50">
      <c r="A50" s="14" t="inlineStr">
        <is>
          <t>• Yellow cells are for manual status/trend assessment</t>
        </is>
      </c>
    </row>
    <row r="51">
      <c r="A51" s="14" t="inlineStr">
        <is>
          <t>• Place this dashboard in same folder as ISMS-IMP-A.8.23.[1-4].xlsx files</t>
        </is>
      </c>
    </row>
    <row r="52">
      <c r="A52" s="14" t="inlineStr">
        <is>
          <t>• Review quarterly or after significant changes to filtering infrastructure</t>
        </is>
      </c>
    </row>
    <row r="54">
      <c r="A54" s="15" t="inlineStr">
        <is>
          <t>🎯 "Evidence &gt; Theater" - This is Systems Engineering, not Cargo Cult Compliance</t>
        </is>
      </c>
    </row>
  </sheetData>
  <mergeCells count="12">
    <mergeCell ref="A50:H50"/>
    <mergeCell ref="A48:H48"/>
    <mergeCell ref="A24:H24"/>
    <mergeCell ref="A16:H16"/>
    <mergeCell ref="A51:H51"/>
    <mergeCell ref="A52:H52"/>
    <mergeCell ref="A54:H54"/>
    <mergeCell ref="A49:H49"/>
    <mergeCell ref="A47:H47"/>
    <mergeCell ref="A1:H1"/>
    <mergeCell ref="A46:H46"/>
    <mergeCell ref="A32:H32"/>
  </mergeCells>
  <dataValidations count="3">
    <dataValidation sqref="D18:D21" showDropDown="0" showInputMessage="0" showErrorMessage="0" allowBlank="0" type="list">
      <formula1>"Green,Amber,Red"</formula1>
    </dataValidation>
    <dataValidation sqref="E34:E43" showDropDown="0" showInputMessage="0" showErrorMessage="0" allowBlank="0" type="list">
      <formula1>"Green,Amber,Red"</formula1>
    </dataValidation>
    <dataValidation sqref="F34:F43" showDropDown="0" showInputMessage="0" showErrorMessage="0" allowBlank="1" type="list">
      <formula1>"Improving,Stable,Degrading"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0" customWidth="1" min="4" max="4"/>
    <col width="30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  <col width="35" customWidth="1" min="11" max="11"/>
    <col width="20" customWidth="1" min="12" max="12"/>
    <col width="15" customWidth="1" min="13" max="13"/>
    <col width="15" customWidth="1" min="14" max="14"/>
    <col width="12" customWidth="1" min="15" max="15"/>
    <col width="15" customWidth="1" min="16" max="16"/>
    <col width="25" customWidth="1" min="17" max="17"/>
    <col width="25" customWidth="1" min="18" max="18"/>
    <col width="30" customWidth="1" min="19" max="19"/>
  </cols>
  <sheetData>
    <row r="1" ht="30" customHeight="1">
      <c r="A1" s="1" t="inlineStr">
        <is>
          <t>CONSOLIDATED GAP ANALYSIS - A.8.23 WEB FILTERING</t>
        </is>
      </c>
    </row>
    <row r="2">
      <c r="A2" s="16" t="inlineStr">
        <is>
          <t>Aggregated gaps from all 4 assessment workbooks</t>
        </is>
      </c>
    </row>
    <row r="4">
      <c r="A4" s="7" t="inlineStr">
        <is>
          <t>Gap ID</t>
        </is>
      </c>
      <c r="B4" s="7" t="inlineStr">
        <is>
          <t>Source Assessment</t>
        </is>
      </c>
      <c r="C4" s="7" t="inlineStr">
        <is>
          <t>Gap Category</t>
        </is>
      </c>
      <c r="D4" s="7" t="inlineStr">
        <is>
          <t>Gap Description</t>
        </is>
      </c>
      <c r="E4" s="7" t="inlineStr">
        <is>
          <t>Current State</t>
        </is>
      </c>
      <c r="F4" s="7" t="inlineStr">
        <is>
          <t>Target State</t>
        </is>
      </c>
      <c r="G4" s="7" t="inlineStr">
        <is>
          <t>Impact</t>
        </is>
      </c>
      <c r="H4" s="7" t="inlineStr">
        <is>
          <t>Likelihood</t>
        </is>
      </c>
      <c r="I4" s="7" t="inlineStr">
        <is>
          <t>Risk Score</t>
        </is>
      </c>
      <c r="J4" s="7" t="inlineStr">
        <is>
          <t>Priority</t>
        </is>
      </c>
      <c r="K4" s="7" t="inlineStr">
        <is>
          <t>Remediation Action</t>
        </is>
      </c>
      <c r="L4" s="7" t="inlineStr">
        <is>
          <t>Owner</t>
        </is>
      </c>
      <c r="M4" s="7" t="inlineStr">
        <is>
          <t>Target Date</t>
        </is>
      </c>
      <c r="N4" s="7" t="inlineStr">
        <is>
          <t>Status</t>
        </is>
      </c>
      <c r="O4" s="7" t="inlineStr">
        <is>
          <t>Progress %</t>
        </is>
      </c>
      <c r="P4" s="7" t="inlineStr">
        <is>
          <t>Cost Estimate</t>
        </is>
      </c>
      <c r="Q4" s="7" t="inlineStr">
        <is>
          <t>Dependencies</t>
        </is>
      </c>
      <c r="R4" s="7" t="inlineStr">
        <is>
          <t>Verification Method</t>
        </is>
      </c>
      <c r="S4" s="7" t="inlineStr">
        <is>
          <t>Status Notes</t>
        </is>
      </c>
    </row>
    <row r="5" ht="30" customHeight="1">
      <c r="A5" s="17" t="inlineStr">
        <is>
          <t>INSTRUCTIONS: Consolidate gaps from all 4 source workbooks. Each gap should reference its source assessment. Use this sheet for executive-level gap tracking across all web filtering domains.</t>
        </is>
      </c>
    </row>
    <row r="6">
      <c r="A6" s="8" t="inlineStr">
        <is>
          <t>A.8.23.1-GAP-001</t>
        </is>
      </c>
      <c r="B6" s="8" t="inlineStr">
        <is>
          <t>Filtering Infrastructure</t>
        </is>
      </c>
      <c r="C6" s="8" t="inlineStr">
        <is>
          <t>Technology</t>
        </is>
      </c>
      <c r="D6" s="4" t="inlineStr"/>
      <c r="E6" s="4" t="inlineStr"/>
      <c r="F6" s="4" t="inlineStr"/>
      <c r="G6" s="8" t="inlineStr">
        <is>
          <t>High</t>
        </is>
      </c>
      <c r="H6" s="8" t="inlineStr">
        <is>
          <t>Medium</t>
        </is>
      </c>
      <c r="I6" s="18">
        <f>G7*H7</f>
        <v/>
      </c>
      <c r="J6" s="8" t="inlineStr">
        <is>
          <t>High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</row>
    <row r="7">
      <c r="A7" s="8" t="inlineStr">
        <is>
          <t>A.8.23.2-GAP-001</t>
        </is>
      </c>
      <c r="B7" s="8" t="inlineStr">
        <is>
          <t>Network Coverage</t>
        </is>
      </c>
      <c r="C7" s="8" t="inlineStr">
        <is>
          <t>Coverage</t>
        </is>
      </c>
      <c r="D7" s="4" t="inlineStr"/>
      <c r="E7" s="4" t="inlineStr"/>
      <c r="F7" s="4" t="inlineStr"/>
      <c r="G7" s="8" t="inlineStr">
        <is>
          <t>Critical</t>
        </is>
      </c>
      <c r="H7" s="8" t="inlineStr">
        <is>
          <t>High</t>
        </is>
      </c>
      <c r="I7" s="18">
        <f>G8*H8</f>
        <v/>
      </c>
      <c r="J7" s="8" t="inlineStr">
        <is>
          <t>Critical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</row>
    <row r="8">
      <c r="A8" s="8" t="inlineStr">
        <is>
          <t>A.8.23.3-GAP-001</t>
        </is>
      </c>
      <c r="B8" s="8" t="inlineStr">
        <is>
          <t>Policy Configuration</t>
        </is>
      </c>
      <c r="C8" s="8" t="inlineStr">
        <is>
          <t>Policy</t>
        </is>
      </c>
      <c r="D8" s="4" t="inlineStr"/>
      <c r="E8" s="4" t="inlineStr"/>
      <c r="F8" s="4" t="inlineStr"/>
      <c r="G8" s="8" t="inlineStr">
        <is>
          <t>Medium</t>
        </is>
      </c>
      <c r="H8" s="8" t="inlineStr">
        <is>
          <t>Low</t>
        </is>
      </c>
      <c r="I8" s="18">
        <f>G9*H9</f>
        <v/>
      </c>
      <c r="J8" s="8" t="inlineStr">
        <is>
          <t>Medium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</row>
    <row r="9">
      <c r="A9" s="8" t="inlineStr">
        <is>
          <t>A.8.23.4-GAP-001</t>
        </is>
      </c>
      <c r="B9" s="8" t="inlineStr">
        <is>
          <t>Monitoring &amp; Response</t>
        </is>
      </c>
      <c r="C9" s="8" t="inlineStr">
        <is>
          <t>Monitoring</t>
        </is>
      </c>
      <c r="D9" s="4" t="inlineStr"/>
      <c r="E9" s="4" t="inlineStr"/>
      <c r="F9" s="4" t="inlineStr"/>
      <c r="G9" s="8" t="inlineStr">
        <is>
          <t>High</t>
        </is>
      </c>
      <c r="H9" s="8" t="inlineStr">
        <is>
          <t>Medium</t>
        </is>
      </c>
      <c r="I9" s="18">
        <f>G10*H10</f>
        <v/>
      </c>
      <c r="J9" s="8" t="inlineStr">
        <is>
          <t>High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</sheetData>
  <mergeCells count="3">
    <mergeCell ref="A2:S2"/>
    <mergeCell ref="A1:S1"/>
    <mergeCell ref="A5:S5"/>
  </mergeCells>
  <dataValidations count="2">
    <dataValidation sqref="J7:J55" showDropDown="0" showInputMessage="0" showErrorMessage="0" allowBlank="1" type="list">
      <formula1>"Critical,High,Medium,Low"</formula1>
    </dataValidation>
    <dataValidation sqref="N7:N55" showDropDown="0" showInputMessage="0" showErrorMessage="0" allowBlank="1" type="list">
      <formula1>"Open,In_Progress,Resolved,Accepted,Deferred,Closed"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25" customWidth="1" min="5" max="5"/>
    <col width="25" customWidth="1" min="6" max="6"/>
    <col width="10" customWidth="1" min="7" max="7"/>
    <col width="12" customWidth="1" min="8" max="8"/>
    <col width="12" customWidth="1" min="9" max="9"/>
    <col width="30" customWidth="1" min="10" max="10"/>
    <col width="15" customWidth="1" min="11" max="11"/>
    <col width="10" customWidth="1" min="12" max="12"/>
    <col width="12" customWidth="1" min="13" max="13"/>
    <col width="12" customWidth="1" min="14" max="14"/>
    <col width="15" customWidth="1" min="15" max="15"/>
    <col width="20" customWidth="1" min="16" max="16"/>
    <col width="15" customWidth="1" min="17" max="17"/>
  </cols>
  <sheetData>
    <row r="1" ht="30" customHeight="1">
      <c r="A1" s="1" t="inlineStr">
        <is>
          <t>RISK REGISTER - A.8.23 WEB FILTERING</t>
        </is>
      </c>
    </row>
    <row r="3">
      <c r="A3" s="19" t="inlineStr">
        <is>
          <t>RISK SCORING MATRIX</t>
        </is>
      </c>
    </row>
    <row r="4">
      <c r="A4" s="20" t="inlineStr">
        <is>
          <t>Impact / Likelihood</t>
        </is>
      </c>
      <c r="B4" s="20" t="inlineStr">
        <is>
          <t>Low (1)</t>
        </is>
      </c>
      <c r="C4" s="20" t="inlineStr">
        <is>
          <t>Medium (2)</t>
        </is>
      </c>
      <c r="D4" s="20" t="inlineStr">
        <is>
          <t>High (3)</t>
        </is>
      </c>
      <c r="E4" s="20" t="inlineStr">
        <is>
          <t>Critical (4)</t>
        </is>
      </c>
    </row>
    <row r="5">
      <c r="A5" s="21" t="inlineStr">
        <is>
          <t>Critical (4)</t>
        </is>
      </c>
      <c r="B5" s="22" t="n">
        <v>4</v>
      </c>
      <c r="C5" s="23" t="n">
        <v>8</v>
      </c>
      <c r="D5" s="24" t="n">
        <v>12</v>
      </c>
      <c r="E5" s="24" t="n">
        <v>16</v>
      </c>
    </row>
    <row r="6">
      <c r="A6" s="21" t="inlineStr">
        <is>
          <t>High (3)</t>
        </is>
      </c>
      <c r="B6" s="22" t="n">
        <v>3</v>
      </c>
      <c r="C6" s="23" t="n">
        <v>6</v>
      </c>
      <c r="D6" s="23" t="n">
        <v>9</v>
      </c>
      <c r="E6" s="24" t="n">
        <v>12</v>
      </c>
    </row>
    <row r="7">
      <c r="A7" s="21" t="inlineStr">
        <is>
          <t>Medium (2)</t>
        </is>
      </c>
      <c r="B7" s="22" t="n">
        <v>2</v>
      </c>
      <c r="C7" s="22" t="n">
        <v>4</v>
      </c>
      <c r="D7" s="23" t="n">
        <v>6</v>
      </c>
      <c r="E7" s="23" t="n">
        <v>8</v>
      </c>
    </row>
    <row r="8">
      <c r="A8" s="21" t="inlineStr">
        <is>
          <t>Low (1)</t>
        </is>
      </c>
      <c r="B8" s="22" t="n">
        <v>1</v>
      </c>
      <c r="C8" s="22" t="n">
        <v>2</v>
      </c>
      <c r="D8" s="22" t="n">
        <v>3</v>
      </c>
      <c r="E8" s="22" t="n">
        <v>4</v>
      </c>
    </row>
    <row r="11">
      <c r="A11" s="6" t="inlineStr">
        <is>
          <t>IDENTIFIED RISKS</t>
        </is>
      </c>
    </row>
    <row r="12">
      <c r="A12" s="7" t="inlineStr">
        <is>
          <t>Risk ID</t>
        </is>
      </c>
      <c r="B12" s="7" t="inlineStr">
        <is>
          <t>Source</t>
        </is>
      </c>
      <c r="C12" s="7" t="inlineStr">
        <is>
          <t>Risk Category</t>
        </is>
      </c>
      <c r="D12" s="7" t="inlineStr">
        <is>
          <t>Risk Description</t>
        </is>
      </c>
      <c r="E12" s="7" t="inlineStr">
        <is>
          <t>Threat Source</t>
        </is>
      </c>
      <c r="F12" s="7" t="inlineStr">
        <is>
          <t>Vulnerability</t>
        </is>
      </c>
      <c r="G12" s="7" t="inlineStr">
        <is>
          <t>Impact</t>
        </is>
      </c>
      <c r="H12" s="7" t="inlineStr">
        <is>
          <t>Likelihood</t>
        </is>
      </c>
      <c r="I12" s="7" t="inlineStr">
        <is>
          <t>Inherent Risk</t>
        </is>
      </c>
      <c r="J12" s="7" t="inlineStr">
        <is>
          <t>Controls</t>
        </is>
      </c>
      <c r="K12" s="7" t="inlineStr">
        <is>
          <t>Control Effectiveness</t>
        </is>
      </c>
      <c r="L12" s="7" t="inlineStr">
        <is>
          <t>Residual Impact</t>
        </is>
      </c>
      <c r="M12" s="7" t="inlineStr">
        <is>
          <t>Residual Likelihood</t>
        </is>
      </c>
      <c r="N12" s="7" t="inlineStr">
        <is>
          <t>Residual Risk</t>
        </is>
      </c>
      <c r="O12" s="7" t="inlineStr">
        <is>
          <t>Treatment</t>
        </is>
      </c>
      <c r="P12" s="7" t="inlineStr">
        <is>
          <t>Owner</t>
        </is>
      </c>
      <c r="Q12" s="7" t="inlineStr">
        <is>
          <t>Status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25">
        <f>G13*H13</f>
        <v/>
      </c>
      <c r="J13" s="4" t="n"/>
      <c r="K13" s="4" t="n"/>
      <c r="L13" s="4" t="n"/>
      <c r="M13" s="4" t="n"/>
      <c r="N13" s="25">
        <f>L13*M13</f>
        <v/>
      </c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25">
        <f>G14*H14</f>
        <v/>
      </c>
      <c r="J14" s="4" t="n"/>
      <c r="K14" s="4" t="n"/>
      <c r="L14" s="4" t="n"/>
      <c r="M14" s="4" t="n"/>
      <c r="N14" s="25">
        <f>L14*M14</f>
        <v/>
      </c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25">
        <f>G15*H15</f>
        <v/>
      </c>
      <c r="J15" s="4" t="n"/>
      <c r="K15" s="4" t="n"/>
      <c r="L15" s="4" t="n"/>
      <c r="M15" s="4" t="n"/>
      <c r="N15" s="25">
        <f>L15*M15</f>
        <v/>
      </c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25">
        <f>G16*H16</f>
        <v/>
      </c>
      <c r="J16" s="4" t="n"/>
      <c r="K16" s="4" t="n"/>
      <c r="L16" s="4" t="n"/>
      <c r="M16" s="4" t="n"/>
      <c r="N16" s="25">
        <f>L16*M16</f>
        <v/>
      </c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25">
        <f>G17*H17</f>
        <v/>
      </c>
      <c r="J17" s="4" t="n"/>
      <c r="K17" s="4" t="n"/>
      <c r="L17" s="4" t="n"/>
      <c r="M17" s="4" t="n"/>
      <c r="N17" s="25">
        <f>L17*M17</f>
        <v/>
      </c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25">
        <f>G18*H18</f>
        <v/>
      </c>
      <c r="J18" s="4" t="n"/>
      <c r="K18" s="4" t="n"/>
      <c r="L18" s="4" t="n"/>
      <c r="M18" s="4" t="n"/>
      <c r="N18" s="25">
        <f>L18*M18</f>
        <v/>
      </c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25">
        <f>G19*H19</f>
        <v/>
      </c>
      <c r="J19" s="4" t="n"/>
      <c r="K19" s="4" t="n"/>
      <c r="L19" s="4" t="n"/>
      <c r="M19" s="4" t="n"/>
      <c r="N19" s="25">
        <f>L19*M19</f>
        <v/>
      </c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25">
        <f>G20*H20</f>
        <v/>
      </c>
      <c r="J20" s="4" t="n"/>
      <c r="K20" s="4" t="n"/>
      <c r="L20" s="4" t="n"/>
      <c r="M20" s="4" t="n"/>
      <c r="N20" s="25">
        <f>L20*M20</f>
        <v/>
      </c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25">
        <f>G21*H21</f>
        <v/>
      </c>
      <c r="J21" s="4" t="n"/>
      <c r="K21" s="4" t="n"/>
      <c r="L21" s="4" t="n"/>
      <c r="M21" s="4" t="n"/>
      <c r="N21" s="25">
        <f>L21*M21</f>
        <v/>
      </c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25">
        <f>G22*H22</f>
        <v/>
      </c>
      <c r="J22" s="4" t="n"/>
      <c r="K22" s="4" t="n"/>
      <c r="L22" s="4" t="n"/>
      <c r="M22" s="4" t="n"/>
      <c r="N22" s="25">
        <f>L22*M22</f>
        <v/>
      </c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25">
        <f>G23*H23</f>
        <v/>
      </c>
      <c r="J23" s="4" t="n"/>
      <c r="K23" s="4" t="n"/>
      <c r="L23" s="4" t="n"/>
      <c r="M23" s="4" t="n"/>
      <c r="N23" s="25">
        <f>L23*M23</f>
        <v/>
      </c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25">
        <f>G24*H24</f>
        <v/>
      </c>
      <c r="J24" s="4" t="n"/>
      <c r="K24" s="4" t="n"/>
      <c r="L24" s="4" t="n"/>
      <c r="M24" s="4" t="n"/>
      <c r="N24" s="25">
        <f>L24*M24</f>
        <v/>
      </c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25">
        <f>G25*H25</f>
        <v/>
      </c>
      <c r="J25" s="4" t="n"/>
      <c r="K25" s="4" t="n"/>
      <c r="L25" s="4" t="n"/>
      <c r="M25" s="4" t="n"/>
      <c r="N25" s="25">
        <f>L25*M25</f>
        <v/>
      </c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25">
        <f>G26*H26</f>
        <v/>
      </c>
      <c r="J26" s="4" t="n"/>
      <c r="K26" s="4" t="n"/>
      <c r="L26" s="4" t="n"/>
      <c r="M26" s="4" t="n"/>
      <c r="N26" s="25">
        <f>L26*M26</f>
        <v/>
      </c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25">
        <f>G27*H27</f>
        <v/>
      </c>
      <c r="J27" s="4" t="n"/>
      <c r="K27" s="4" t="n"/>
      <c r="L27" s="4" t="n"/>
      <c r="M27" s="4" t="n"/>
      <c r="N27" s="25">
        <f>L27*M27</f>
        <v/>
      </c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25">
        <f>G28*H28</f>
        <v/>
      </c>
      <c r="J28" s="4" t="n"/>
      <c r="K28" s="4" t="n"/>
      <c r="L28" s="4" t="n"/>
      <c r="M28" s="4" t="n"/>
      <c r="N28" s="25">
        <f>L28*M28</f>
        <v/>
      </c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25">
        <f>G29*H29</f>
        <v/>
      </c>
      <c r="J29" s="4" t="n"/>
      <c r="K29" s="4" t="n"/>
      <c r="L29" s="4" t="n"/>
      <c r="M29" s="4" t="n"/>
      <c r="N29" s="25">
        <f>L29*M29</f>
        <v/>
      </c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25">
        <f>G30*H30</f>
        <v/>
      </c>
      <c r="J30" s="4" t="n"/>
      <c r="K30" s="4" t="n"/>
      <c r="L30" s="4" t="n"/>
      <c r="M30" s="4" t="n"/>
      <c r="N30" s="25">
        <f>L30*M30</f>
        <v/>
      </c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25">
        <f>G31*H31</f>
        <v/>
      </c>
      <c r="J31" s="4" t="n"/>
      <c r="K31" s="4" t="n"/>
      <c r="L31" s="4" t="n"/>
      <c r="M31" s="4" t="n"/>
      <c r="N31" s="25">
        <f>L31*M31</f>
        <v/>
      </c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25">
        <f>G32*H32</f>
        <v/>
      </c>
      <c r="J32" s="4" t="n"/>
      <c r="K32" s="4" t="n"/>
      <c r="L32" s="4" t="n"/>
      <c r="M32" s="4" t="n"/>
      <c r="N32" s="25">
        <f>L32*M32</f>
        <v/>
      </c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25">
        <f>G33*H33</f>
        <v/>
      </c>
      <c r="J33" s="4" t="n"/>
      <c r="K33" s="4" t="n"/>
      <c r="L33" s="4" t="n"/>
      <c r="M33" s="4" t="n"/>
      <c r="N33" s="25">
        <f>L33*M33</f>
        <v/>
      </c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25">
        <f>G34*H34</f>
        <v/>
      </c>
      <c r="J34" s="4" t="n"/>
      <c r="K34" s="4" t="n"/>
      <c r="L34" s="4" t="n"/>
      <c r="M34" s="4" t="n"/>
      <c r="N34" s="25">
        <f>L34*M34</f>
        <v/>
      </c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25">
        <f>G35*H35</f>
        <v/>
      </c>
      <c r="J35" s="4" t="n"/>
      <c r="K35" s="4" t="n"/>
      <c r="L35" s="4" t="n"/>
      <c r="M35" s="4" t="n"/>
      <c r="N35" s="25">
        <f>L35*M35</f>
        <v/>
      </c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25">
        <f>G36*H36</f>
        <v/>
      </c>
      <c r="J36" s="4" t="n"/>
      <c r="K36" s="4" t="n"/>
      <c r="L36" s="4" t="n"/>
      <c r="M36" s="4" t="n"/>
      <c r="N36" s="25">
        <f>L36*M36</f>
        <v/>
      </c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25">
        <f>G37*H37</f>
        <v/>
      </c>
      <c r="J37" s="4" t="n"/>
      <c r="K37" s="4" t="n"/>
      <c r="L37" s="4" t="n"/>
      <c r="M37" s="4" t="n"/>
      <c r="N37" s="25">
        <f>L37*M37</f>
        <v/>
      </c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25">
        <f>G38*H38</f>
        <v/>
      </c>
      <c r="J38" s="4" t="n"/>
      <c r="K38" s="4" t="n"/>
      <c r="L38" s="4" t="n"/>
      <c r="M38" s="4" t="n"/>
      <c r="N38" s="25">
        <f>L38*M38</f>
        <v/>
      </c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25">
        <f>G39*H39</f>
        <v/>
      </c>
      <c r="J39" s="4" t="n"/>
      <c r="K39" s="4" t="n"/>
      <c r="L39" s="4" t="n"/>
      <c r="M39" s="4" t="n"/>
      <c r="N39" s="25">
        <f>L39*M39</f>
        <v/>
      </c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25">
        <f>G40*H40</f>
        <v/>
      </c>
      <c r="J40" s="4" t="n"/>
      <c r="K40" s="4" t="n"/>
      <c r="L40" s="4" t="n"/>
      <c r="M40" s="4" t="n"/>
      <c r="N40" s="25">
        <f>L40*M40</f>
        <v/>
      </c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25">
        <f>G41*H41</f>
        <v/>
      </c>
      <c r="J41" s="4" t="n"/>
      <c r="K41" s="4" t="n"/>
      <c r="L41" s="4" t="n"/>
      <c r="M41" s="4" t="n"/>
      <c r="N41" s="25">
        <f>L41*M41</f>
        <v/>
      </c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25">
        <f>G42*H42</f>
        <v/>
      </c>
      <c r="J42" s="4" t="n"/>
      <c r="K42" s="4" t="n"/>
      <c r="L42" s="4" t="n"/>
      <c r="M42" s="4" t="n"/>
      <c r="N42" s="25">
        <f>L42*M42</f>
        <v/>
      </c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25">
        <f>G43*H43</f>
        <v/>
      </c>
      <c r="J43" s="4" t="n"/>
      <c r="K43" s="4" t="n"/>
      <c r="L43" s="4" t="n"/>
      <c r="M43" s="4" t="n"/>
      <c r="N43" s="25">
        <f>L43*M43</f>
        <v/>
      </c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25">
        <f>G44*H44</f>
        <v/>
      </c>
      <c r="J44" s="4" t="n"/>
      <c r="K44" s="4" t="n"/>
      <c r="L44" s="4" t="n"/>
      <c r="M44" s="4" t="n"/>
      <c r="N44" s="25">
        <f>L44*M44</f>
        <v/>
      </c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25">
        <f>G45*H45</f>
        <v/>
      </c>
      <c r="J45" s="4" t="n"/>
      <c r="K45" s="4" t="n"/>
      <c r="L45" s="4" t="n"/>
      <c r="M45" s="4" t="n"/>
      <c r="N45" s="25">
        <f>L45*M45</f>
        <v/>
      </c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25">
        <f>G46*H46</f>
        <v/>
      </c>
      <c r="J46" s="4" t="n"/>
      <c r="K46" s="4" t="n"/>
      <c r="L46" s="4" t="n"/>
      <c r="M46" s="4" t="n"/>
      <c r="N46" s="25">
        <f>L46*M46</f>
        <v/>
      </c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25">
        <f>G47*H47</f>
        <v/>
      </c>
      <c r="J47" s="4" t="n"/>
      <c r="K47" s="4" t="n"/>
      <c r="L47" s="4" t="n"/>
      <c r="M47" s="4" t="n"/>
      <c r="N47" s="25">
        <f>L47*M47</f>
        <v/>
      </c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25">
        <f>G48*H48</f>
        <v/>
      </c>
      <c r="J48" s="4" t="n"/>
      <c r="K48" s="4" t="n"/>
      <c r="L48" s="4" t="n"/>
      <c r="M48" s="4" t="n"/>
      <c r="N48" s="25">
        <f>L48*M48</f>
        <v/>
      </c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25">
        <f>G49*H49</f>
        <v/>
      </c>
      <c r="J49" s="4" t="n"/>
      <c r="K49" s="4" t="n"/>
      <c r="L49" s="4" t="n"/>
      <c r="M49" s="4" t="n"/>
      <c r="N49" s="25">
        <f>L49*M49</f>
        <v/>
      </c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25">
        <f>G50*H50</f>
        <v/>
      </c>
      <c r="J50" s="4" t="n"/>
      <c r="K50" s="4" t="n"/>
      <c r="L50" s="4" t="n"/>
      <c r="M50" s="4" t="n"/>
      <c r="N50" s="25">
        <f>L50*M50</f>
        <v/>
      </c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25">
        <f>G51*H51</f>
        <v/>
      </c>
      <c r="J51" s="4" t="n"/>
      <c r="K51" s="4" t="n"/>
      <c r="L51" s="4" t="n"/>
      <c r="M51" s="4" t="n"/>
      <c r="N51" s="25">
        <f>L51*M51</f>
        <v/>
      </c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25">
        <f>G52*H52</f>
        <v/>
      </c>
      <c r="J52" s="4" t="n"/>
      <c r="K52" s="4" t="n"/>
      <c r="L52" s="4" t="n"/>
      <c r="M52" s="4" t="n"/>
      <c r="N52" s="25">
        <f>L52*M52</f>
        <v/>
      </c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25">
        <f>G53*H53</f>
        <v/>
      </c>
      <c r="J53" s="4" t="n"/>
      <c r="K53" s="4" t="n"/>
      <c r="L53" s="4" t="n"/>
      <c r="M53" s="4" t="n"/>
      <c r="N53" s="25">
        <f>L53*M53</f>
        <v/>
      </c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25">
        <f>G54*H54</f>
        <v/>
      </c>
      <c r="J54" s="4" t="n"/>
      <c r="K54" s="4" t="n"/>
      <c r="L54" s="4" t="n"/>
      <c r="M54" s="4" t="n"/>
      <c r="N54" s="25">
        <f>L54*M54</f>
        <v/>
      </c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25">
        <f>G55*H55</f>
        <v/>
      </c>
      <c r="J55" s="4" t="n"/>
      <c r="K55" s="4" t="n"/>
      <c r="L55" s="4" t="n"/>
      <c r="M55" s="4" t="n"/>
      <c r="N55" s="25">
        <f>L55*M55</f>
        <v/>
      </c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25">
        <f>G56*H56</f>
        <v/>
      </c>
      <c r="J56" s="4" t="n"/>
      <c r="K56" s="4" t="n"/>
      <c r="L56" s="4" t="n"/>
      <c r="M56" s="4" t="n"/>
      <c r="N56" s="25">
        <f>L56*M56</f>
        <v/>
      </c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25">
        <f>G57*H57</f>
        <v/>
      </c>
      <c r="J57" s="4" t="n"/>
      <c r="K57" s="4" t="n"/>
      <c r="L57" s="4" t="n"/>
      <c r="M57" s="4" t="n"/>
      <c r="N57" s="25">
        <f>L57*M57</f>
        <v/>
      </c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25">
        <f>G58*H58</f>
        <v/>
      </c>
      <c r="J58" s="4" t="n"/>
      <c r="K58" s="4" t="n"/>
      <c r="L58" s="4" t="n"/>
      <c r="M58" s="4" t="n"/>
      <c r="N58" s="25">
        <f>L58*M58</f>
        <v/>
      </c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25">
        <f>G59*H59</f>
        <v/>
      </c>
      <c r="J59" s="4" t="n"/>
      <c r="K59" s="4" t="n"/>
      <c r="L59" s="4" t="n"/>
      <c r="M59" s="4" t="n"/>
      <c r="N59" s="25">
        <f>L59*M59</f>
        <v/>
      </c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25">
        <f>G60*H60</f>
        <v/>
      </c>
      <c r="J60" s="4" t="n"/>
      <c r="K60" s="4" t="n"/>
      <c r="L60" s="4" t="n"/>
      <c r="M60" s="4" t="n"/>
      <c r="N60" s="25">
        <f>L60*M60</f>
        <v/>
      </c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25">
        <f>G61*H61</f>
        <v/>
      </c>
      <c r="J61" s="4" t="n"/>
      <c r="K61" s="4" t="n"/>
      <c r="L61" s="4" t="n"/>
      <c r="M61" s="4" t="n"/>
      <c r="N61" s="25">
        <f>L61*M61</f>
        <v/>
      </c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25">
        <f>G62*H62</f>
        <v/>
      </c>
      <c r="J62" s="4" t="n"/>
      <c r="K62" s="4" t="n"/>
      <c r="L62" s="4" t="n"/>
      <c r="M62" s="4" t="n"/>
      <c r="N62" s="25">
        <f>L62*M62</f>
        <v/>
      </c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25">
        <f>G63*H63</f>
        <v/>
      </c>
      <c r="J63" s="4" t="n"/>
      <c r="K63" s="4" t="n"/>
      <c r="L63" s="4" t="n"/>
      <c r="M63" s="4" t="n"/>
      <c r="N63" s="25">
        <f>L63*M63</f>
        <v/>
      </c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25">
        <f>G64*H64</f>
        <v/>
      </c>
      <c r="J64" s="4" t="n"/>
      <c r="K64" s="4" t="n"/>
      <c r="L64" s="4" t="n"/>
      <c r="M64" s="4" t="n"/>
      <c r="N64" s="25">
        <f>L64*M64</f>
        <v/>
      </c>
      <c r="O64" s="4" t="n"/>
      <c r="P64" s="4" t="n"/>
      <c r="Q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25">
        <f>G65*H65</f>
        <v/>
      </c>
      <c r="J65" s="4" t="n"/>
      <c r="K65" s="4" t="n"/>
      <c r="L65" s="4" t="n"/>
      <c r="M65" s="4" t="n"/>
      <c r="N65" s="25">
        <f>L65*M65</f>
        <v/>
      </c>
      <c r="O65" s="4" t="n"/>
      <c r="P65" s="4" t="n"/>
      <c r="Q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25">
        <f>G66*H66</f>
        <v/>
      </c>
      <c r="J66" s="4" t="n"/>
      <c r="K66" s="4" t="n"/>
      <c r="L66" s="4" t="n"/>
      <c r="M66" s="4" t="n"/>
      <c r="N66" s="25">
        <f>L66*M66</f>
        <v/>
      </c>
      <c r="O66" s="4" t="n"/>
      <c r="P66" s="4" t="n"/>
      <c r="Q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25">
        <f>G67*H67</f>
        <v/>
      </c>
      <c r="J67" s="4" t="n"/>
      <c r="K67" s="4" t="n"/>
      <c r="L67" s="4" t="n"/>
      <c r="M67" s="4" t="n"/>
      <c r="N67" s="25">
        <f>L67*M67</f>
        <v/>
      </c>
      <c r="O67" s="4" t="n"/>
      <c r="P67" s="4" t="n"/>
      <c r="Q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25">
        <f>G68*H68</f>
        <v/>
      </c>
      <c r="J68" s="4" t="n"/>
      <c r="K68" s="4" t="n"/>
      <c r="L68" s="4" t="n"/>
      <c r="M68" s="4" t="n"/>
      <c r="N68" s="25">
        <f>L68*M68</f>
        <v/>
      </c>
      <c r="O68" s="4" t="n"/>
      <c r="P68" s="4" t="n"/>
      <c r="Q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25">
        <f>G69*H69</f>
        <v/>
      </c>
      <c r="J69" s="4" t="n"/>
      <c r="K69" s="4" t="n"/>
      <c r="L69" s="4" t="n"/>
      <c r="M69" s="4" t="n"/>
      <c r="N69" s="25">
        <f>L69*M69</f>
        <v/>
      </c>
      <c r="O69" s="4" t="n"/>
      <c r="P69" s="4" t="n"/>
      <c r="Q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25">
        <f>G70*H70</f>
        <v/>
      </c>
      <c r="J70" s="4" t="n"/>
      <c r="K70" s="4" t="n"/>
      <c r="L70" s="4" t="n"/>
      <c r="M70" s="4" t="n"/>
      <c r="N70" s="25">
        <f>L70*M70</f>
        <v/>
      </c>
      <c r="O70" s="4" t="n"/>
      <c r="P70" s="4" t="n"/>
      <c r="Q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25">
        <f>G71*H71</f>
        <v/>
      </c>
      <c r="J71" s="4" t="n"/>
      <c r="K71" s="4" t="n"/>
      <c r="L71" s="4" t="n"/>
      <c r="M71" s="4" t="n"/>
      <c r="N71" s="25">
        <f>L71*M71</f>
        <v/>
      </c>
      <c r="O71" s="4" t="n"/>
      <c r="P71" s="4" t="n"/>
      <c r="Q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25">
        <f>G72*H72</f>
        <v/>
      </c>
      <c r="J72" s="4" t="n"/>
      <c r="K72" s="4" t="n"/>
      <c r="L72" s="4" t="n"/>
      <c r="M72" s="4" t="n"/>
      <c r="N72" s="25">
        <f>L72*M72</f>
        <v/>
      </c>
      <c r="O72" s="4" t="n"/>
      <c r="P72" s="4" t="n"/>
      <c r="Q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25">
        <f>G73*H73</f>
        <v/>
      </c>
      <c r="J73" s="4" t="n"/>
      <c r="K73" s="4" t="n"/>
      <c r="L73" s="4" t="n"/>
      <c r="M73" s="4" t="n"/>
      <c r="N73" s="25">
        <f>L73*M73</f>
        <v/>
      </c>
      <c r="O73" s="4" t="n"/>
      <c r="P73" s="4" t="n"/>
      <c r="Q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25">
        <f>G74*H74</f>
        <v/>
      </c>
      <c r="J74" s="4" t="n"/>
      <c r="K74" s="4" t="n"/>
      <c r="L74" s="4" t="n"/>
      <c r="M74" s="4" t="n"/>
      <c r="N74" s="25">
        <f>L74*M74</f>
        <v/>
      </c>
      <c r="O74" s="4" t="n"/>
      <c r="P74" s="4" t="n"/>
      <c r="Q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25">
        <f>G75*H75</f>
        <v/>
      </c>
      <c r="J75" s="4" t="n"/>
      <c r="K75" s="4" t="n"/>
      <c r="L75" s="4" t="n"/>
      <c r="M75" s="4" t="n"/>
      <c r="N75" s="25">
        <f>L75*M75</f>
        <v/>
      </c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25">
        <f>G76*H76</f>
        <v/>
      </c>
      <c r="J76" s="4" t="n"/>
      <c r="K76" s="4" t="n"/>
      <c r="L76" s="4" t="n"/>
      <c r="M76" s="4" t="n"/>
      <c r="N76" s="25">
        <f>L76*M76</f>
        <v/>
      </c>
      <c r="O76" s="4" t="n"/>
      <c r="P76" s="4" t="n"/>
      <c r="Q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25">
        <f>G77*H77</f>
        <v/>
      </c>
      <c r="J77" s="4" t="n"/>
      <c r="K77" s="4" t="n"/>
      <c r="L77" s="4" t="n"/>
      <c r="M77" s="4" t="n"/>
      <c r="N77" s="25">
        <f>L77*M77</f>
        <v/>
      </c>
      <c r="O77" s="4" t="n"/>
      <c r="P77" s="4" t="n"/>
      <c r="Q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25">
        <f>G78*H78</f>
        <v/>
      </c>
      <c r="J78" s="4" t="n"/>
      <c r="K78" s="4" t="n"/>
      <c r="L78" s="4" t="n"/>
      <c r="M78" s="4" t="n"/>
      <c r="N78" s="25">
        <f>L78*M78</f>
        <v/>
      </c>
      <c r="O78" s="4" t="n"/>
      <c r="P78" s="4" t="n"/>
      <c r="Q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25">
        <f>G79*H79</f>
        <v/>
      </c>
      <c r="J79" s="4" t="n"/>
      <c r="K79" s="4" t="n"/>
      <c r="L79" s="4" t="n"/>
      <c r="M79" s="4" t="n"/>
      <c r="N79" s="25">
        <f>L79*M79</f>
        <v/>
      </c>
      <c r="O79" s="4" t="n"/>
      <c r="P79" s="4" t="n"/>
      <c r="Q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25">
        <f>G80*H80</f>
        <v/>
      </c>
      <c r="J80" s="4" t="n"/>
      <c r="K80" s="4" t="n"/>
      <c r="L80" s="4" t="n"/>
      <c r="M80" s="4" t="n"/>
      <c r="N80" s="25">
        <f>L80*M80</f>
        <v/>
      </c>
      <c r="O80" s="4" t="n"/>
      <c r="P80" s="4" t="n"/>
      <c r="Q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25">
        <f>G81*H81</f>
        <v/>
      </c>
      <c r="J81" s="4" t="n"/>
      <c r="K81" s="4" t="n"/>
      <c r="L81" s="4" t="n"/>
      <c r="M81" s="4" t="n"/>
      <c r="N81" s="25">
        <f>L81*M81</f>
        <v/>
      </c>
      <c r="O81" s="4" t="n"/>
      <c r="P81" s="4" t="n"/>
      <c r="Q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25">
        <f>G82*H82</f>
        <v/>
      </c>
      <c r="J82" s="4" t="n"/>
      <c r="K82" s="4" t="n"/>
      <c r="L82" s="4" t="n"/>
      <c r="M82" s="4" t="n"/>
      <c r="N82" s="25">
        <f>L82*M82</f>
        <v/>
      </c>
      <c r="O82" s="4" t="n"/>
      <c r="P82" s="4" t="n"/>
      <c r="Q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25">
        <f>G83*H83</f>
        <v/>
      </c>
      <c r="J83" s="4" t="n"/>
      <c r="K83" s="4" t="n"/>
      <c r="L83" s="4" t="n"/>
      <c r="M83" s="4" t="n"/>
      <c r="N83" s="25">
        <f>L83*M83</f>
        <v/>
      </c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25">
        <f>G84*H84</f>
        <v/>
      </c>
      <c r="J84" s="4" t="n"/>
      <c r="K84" s="4" t="n"/>
      <c r="L84" s="4" t="n"/>
      <c r="M84" s="4" t="n"/>
      <c r="N84" s="25">
        <f>L84*M84</f>
        <v/>
      </c>
      <c r="O84" s="4" t="n"/>
      <c r="P84" s="4" t="n"/>
      <c r="Q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25">
        <f>G85*H85</f>
        <v/>
      </c>
      <c r="J85" s="4" t="n"/>
      <c r="K85" s="4" t="n"/>
      <c r="L85" s="4" t="n"/>
      <c r="M85" s="4" t="n"/>
      <c r="N85" s="25">
        <f>L85*M85</f>
        <v/>
      </c>
      <c r="O85" s="4" t="n"/>
      <c r="P85" s="4" t="n"/>
      <c r="Q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25">
        <f>G86*H86</f>
        <v/>
      </c>
      <c r="J86" s="4" t="n"/>
      <c r="K86" s="4" t="n"/>
      <c r="L86" s="4" t="n"/>
      <c r="M86" s="4" t="n"/>
      <c r="N86" s="25">
        <f>L86*M86</f>
        <v/>
      </c>
      <c r="O86" s="4" t="n"/>
      <c r="P86" s="4" t="n"/>
      <c r="Q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25">
        <f>G87*H87</f>
        <v/>
      </c>
      <c r="J87" s="4" t="n"/>
      <c r="K87" s="4" t="n"/>
      <c r="L87" s="4" t="n"/>
      <c r="M87" s="4" t="n"/>
      <c r="N87" s="25">
        <f>L87*M87</f>
        <v/>
      </c>
      <c r="O87" s="4" t="n"/>
      <c r="P87" s="4" t="n"/>
      <c r="Q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25">
        <f>G88*H88</f>
        <v/>
      </c>
      <c r="J88" s="4" t="n"/>
      <c r="K88" s="4" t="n"/>
      <c r="L88" s="4" t="n"/>
      <c r="M88" s="4" t="n"/>
      <c r="N88" s="25">
        <f>L88*M88</f>
        <v/>
      </c>
      <c r="O88" s="4" t="n"/>
      <c r="P88" s="4" t="n"/>
      <c r="Q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25">
        <f>G89*H89</f>
        <v/>
      </c>
      <c r="J89" s="4" t="n"/>
      <c r="K89" s="4" t="n"/>
      <c r="L89" s="4" t="n"/>
      <c r="M89" s="4" t="n"/>
      <c r="N89" s="25">
        <f>L89*M89</f>
        <v/>
      </c>
      <c r="O89" s="4" t="n"/>
      <c r="P89" s="4" t="n"/>
      <c r="Q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25">
        <f>G90*H90</f>
        <v/>
      </c>
      <c r="J90" s="4" t="n"/>
      <c r="K90" s="4" t="n"/>
      <c r="L90" s="4" t="n"/>
      <c r="M90" s="4" t="n"/>
      <c r="N90" s="25">
        <f>L90*M90</f>
        <v/>
      </c>
      <c r="O90" s="4" t="n"/>
      <c r="P90" s="4" t="n"/>
      <c r="Q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25">
        <f>G91*H91</f>
        <v/>
      </c>
      <c r="J91" s="4" t="n"/>
      <c r="K91" s="4" t="n"/>
      <c r="L91" s="4" t="n"/>
      <c r="M91" s="4" t="n"/>
      <c r="N91" s="25">
        <f>L91*M91</f>
        <v/>
      </c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25">
        <f>G92*H92</f>
        <v/>
      </c>
      <c r="J92" s="4" t="n"/>
      <c r="K92" s="4" t="n"/>
      <c r="L92" s="4" t="n"/>
      <c r="M92" s="4" t="n"/>
      <c r="N92" s="25">
        <f>L92*M92</f>
        <v/>
      </c>
      <c r="O92" s="4" t="n"/>
      <c r="P92" s="4" t="n"/>
      <c r="Q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25">
        <f>G93*H93</f>
        <v/>
      </c>
      <c r="J93" s="4" t="n"/>
      <c r="K93" s="4" t="n"/>
      <c r="L93" s="4" t="n"/>
      <c r="M93" s="4" t="n"/>
      <c r="N93" s="25">
        <f>L93*M93</f>
        <v/>
      </c>
      <c r="O93" s="4" t="n"/>
      <c r="P93" s="4" t="n"/>
      <c r="Q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25">
        <f>G94*H94</f>
        <v/>
      </c>
      <c r="J94" s="4" t="n"/>
      <c r="K94" s="4" t="n"/>
      <c r="L94" s="4" t="n"/>
      <c r="M94" s="4" t="n"/>
      <c r="N94" s="25">
        <f>L94*M94</f>
        <v/>
      </c>
      <c r="O94" s="4" t="n"/>
      <c r="P94" s="4" t="n"/>
      <c r="Q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25">
        <f>G95*H95</f>
        <v/>
      </c>
      <c r="J95" s="4" t="n"/>
      <c r="K95" s="4" t="n"/>
      <c r="L95" s="4" t="n"/>
      <c r="M95" s="4" t="n"/>
      <c r="N95" s="25">
        <f>L95*M95</f>
        <v/>
      </c>
      <c r="O95" s="4" t="n"/>
      <c r="P95" s="4" t="n"/>
      <c r="Q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25">
        <f>G96*H96</f>
        <v/>
      </c>
      <c r="J96" s="4" t="n"/>
      <c r="K96" s="4" t="n"/>
      <c r="L96" s="4" t="n"/>
      <c r="M96" s="4" t="n"/>
      <c r="N96" s="25">
        <f>L96*M96</f>
        <v/>
      </c>
      <c r="O96" s="4" t="n"/>
      <c r="P96" s="4" t="n"/>
      <c r="Q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25">
        <f>G97*H97</f>
        <v/>
      </c>
      <c r="J97" s="4" t="n"/>
      <c r="K97" s="4" t="n"/>
      <c r="L97" s="4" t="n"/>
      <c r="M97" s="4" t="n"/>
      <c r="N97" s="25">
        <f>L97*M97</f>
        <v/>
      </c>
      <c r="O97" s="4" t="n"/>
      <c r="P97" s="4" t="n"/>
      <c r="Q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25">
        <f>G98*H98</f>
        <v/>
      </c>
      <c r="J98" s="4" t="n"/>
      <c r="K98" s="4" t="n"/>
      <c r="L98" s="4" t="n"/>
      <c r="M98" s="4" t="n"/>
      <c r="N98" s="25">
        <f>L98*M98</f>
        <v/>
      </c>
      <c r="O98" s="4" t="n"/>
      <c r="P98" s="4" t="n"/>
      <c r="Q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25">
        <f>G99*H99</f>
        <v/>
      </c>
      <c r="J99" s="4" t="n"/>
      <c r="K99" s="4" t="n"/>
      <c r="L99" s="4" t="n"/>
      <c r="M99" s="4" t="n"/>
      <c r="N99" s="25">
        <f>L99*M99</f>
        <v/>
      </c>
      <c r="O99" s="4" t="n"/>
      <c r="P99" s="4" t="n"/>
      <c r="Q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25">
        <f>G100*H100</f>
        <v/>
      </c>
      <c r="J100" s="4" t="n"/>
      <c r="K100" s="4" t="n"/>
      <c r="L100" s="4" t="n"/>
      <c r="M100" s="4" t="n"/>
      <c r="N100" s="25">
        <f>L100*M100</f>
        <v/>
      </c>
      <c r="O100" s="4" t="n"/>
      <c r="P100" s="4" t="n"/>
      <c r="Q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25">
        <f>G101*H101</f>
        <v/>
      </c>
      <c r="J101" s="4" t="n"/>
      <c r="K101" s="4" t="n"/>
      <c r="L101" s="4" t="n"/>
      <c r="M101" s="4" t="n"/>
      <c r="N101" s="25">
        <f>L101*M101</f>
        <v/>
      </c>
      <c r="O101" s="4" t="n"/>
      <c r="P101" s="4" t="n"/>
      <c r="Q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25">
        <f>G102*H102</f>
        <v/>
      </c>
      <c r="J102" s="4" t="n"/>
      <c r="K102" s="4" t="n"/>
      <c r="L102" s="4" t="n"/>
      <c r="M102" s="4" t="n"/>
      <c r="N102" s="25">
        <f>L102*M102</f>
        <v/>
      </c>
      <c r="O102" s="4" t="n"/>
      <c r="P102" s="4" t="n"/>
      <c r="Q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25">
        <f>G103*H103</f>
        <v/>
      </c>
      <c r="J103" s="4" t="n"/>
      <c r="K103" s="4" t="n"/>
      <c r="L103" s="4" t="n"/>
      <c r="M103" s="4" t="n"/>
      <c r="N103" s="25">
        <f>L103*M103</f>
        <v/>
      </c>
      <c r="O103" s="4" t="n"/>
      <c r="P103" s="4" t="n"/>
      <c r="Q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25">
        <f>G104*H104</f>
        <v/>
      </c>
      <c r="J104" s="4" t="n"/>
      <c r="K104" s="4" t="n"/>
      <c r="L104" s="4" t="n"/>
      <c r="M104" s="4" t="n"/>
      <c r="N104" s="25">
        <f>L104*M104</f>
        <v/>
      </c>
      <c r="O104" s="4" t="n"/>
      <c r="P104" s="4" t="n"/>
      <c r="Q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25">
        <f>G105*H105</f>
        <v/>
      </c>
      <c r="J105" s="4" t="n"/>
      <c r="K105" s="4" t="n"/>
      <c r="L105" s="4" t="n"/>
      <c r="M105" s="4" t="n"/>
      <c r="N105" s="25">
        <f>L105*M105</f>
        <v/>
      </c>
      <c r="O105" s="4" t="n"/>
      <c r="P105" s="4" t="n"/>
      <c r="Q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25">
        <f>G106*H106</f>
        <v/>
      </c>
      <c r="J106" s="4" t="n"/>
      <c r="K106" s="4" t="n"/>
      <c r="L106" s="4" t="n"/>
      <c r="M106" s="4" t="n"/>
      <c r="N106" s="25">
        <f>L106*M106</f>
        <v/>
      </c>
      <c r="O106" s="4" t="n"/>
      <c r="P106" s="4" t="n"/>
      <c r="Q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25">
        <f>G107*H107</f>
        <v/>
      </c>
      <c r="J107" s="4" t="n"/>
      <c r="K107" s="4" t="n"/>
      <c r="L107" s="4" t="n"/>
      <c r="M107" s="4" t="n"/>
      <c r="N107" s="25">
        <f>L107*M107</f>
        <v/>
      </c>
      <c r="O107" s="4" t="n"/>
      <c r="P107" s="4" t="n"/>
      <c r="Q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25">
        <f>G108*H108</f>
        <v/>
      </c>
      <c r="J108" s="4" t="n"/>
      <c r="K108" s="4" t="n"/>
      <c r="L108" s="4" t="n"/>
      <c r="M108" s="4" t="n"/>
      <c r="N108" s="25">
        <f>L108*M108</f>
        <v/>
      </c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25">
        <f>G109*H109</f>
        <v/>
      </c>
      <c r="J109" s="4" t="n"/>
      <c r="K109" s="4" t="n"/>
      <c r="L109" s="4" t="n"/>
      <c r="M109" s="4" t="n"/>
      <c r="N109" s="25">
        <f>L109*M109</f>
        <v/>
      </c>
      <c r="O109" s="4" t="n"/>
      <c r="P109" s="4" t="n"/>
      <c r="Q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25">
        <f>G110*H110</f>
        <v/>
      </c>
      <c r="J110" s="4" t="n"/>
      <c r="K110" s="4" t="n"/>
      <c r="L110" s="4" t="n"/>
      <c r="M110" s="4" t="n"/>
      <c r="N110" s="25">
        <f>L110*M110</f>
        <v/>
      </c>
      <c r="O110" s="4" t="n"/>
      <c r="P110" s="4" t="n"/>
      <c r="Q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25">
        <f>G111*H111</f>
        <v/>
      </c>
      <c r="J111" s="4" t="n"/>
      <c r="K111" s="4" t="n"/>
      <c r="L111" s="4" t="n"/>
      <c r="M111" s="4" t="n"/>
      <c r="N111" s="25">
        <f>L111*M111</f>
        <v/>
      </c>
      <c r="O111" s="4" t="n"/>
      <c r="P111" s="4" t="n"/>
      <c r="Q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25">
        <f>G112*H112</f>
        <v/>
      </c>
      <c r="J112" s="4" t="n"/>
      <c r="K112" s="4" t="n"/>
      <c r="L112" s="4" t="n"/>
      <c r="M112" s="4" t="n"/>
      <c r="N112" s="25">
        <f>L112*M112</f>
        <v/>
      </c>
      <c r="O112" s="4" t="n"/>
      <c r="P112" s="4" t="n"/>
      <c r="Q112" s="4" t="n"/>
    </row>
  </sheetData>
  <mergeCells count="3">
    <mergeCell ref="A11:Q11"/>
    <mergeCell ref="A1:Q1"/>
    <mergeCell ref="A3:E3"/>
  </mergeCells>
  <dataValidations count="4">
    <dataValidation sqref="G13:G112 L13:L112" showDropDown="0" showInputMessage="0" showErrorMessage="0" allowBlank="1" type="list">
      <formula1>"1,2,3,4"</formula1>
    </dataValidation>
    <dataValidation sqref="H13:H112 M13:M112" showDropDown="0" showInputMessage="0" showErrorMessage="0" allowBlank="1" type="list">
      <formula1>"1,2,3,4"</formula1>
    </dataValidation>
    <dataValidation sqref="O13:O112" showDropDown="0" showInputMessage="0" showErrorMessage="0" allowBlank="1" type="list">
      <formula1>"Accept,Mitigate,Transfer,Avoid"</formula1>
    </dataValidation>
    <dataValidation sqref="Q13:Q112" showDropDown="0" showInputMessage="0" showErrorMessage="0" allowBlank="1" type="list">
      <formula1>"Open,Monitoring,Resolved,Closed"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40" customWidth="1" min="4" max="4"/>
    <col width="15" customWidth="1" min="5" max="5"/>
    <col width="2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25" customWidth="1" min="12" max="12"/>
    <col width="30" customWidth="1" min="13" max="13"/>
    <col width="20" customWidth="1" min="14" max="14"/>
    <col width="30" customWidth="1" min="15" max="15"/>
    <col width="15" customWidth="1" min="16" max="16"/>
  </cols>
  <sheetData>
    <row r="1" ht="30" customHeight="1">
      <c r="A1" s="1" t="inlineStr">
        <is>
          <t>REMEDIATION ROADMAP - A.8.23 WEB FILTERING</t>
        </is>
      </c>
    </row>
    <row r="2">
      <c r="A2" s="16" t="inlineStr">
        <is>
          <t>Action plan for closing identified gaps and reducing risks</t>
        </is>
      </c>
    </row>
    <row r="4">
      <c r="A4" s="6" t="inlineStr">
        <is>
          <t>REMEDIATION SUMMARY</t>
        </is>
      </c>
    </row>
    <row r="5">
      <c r="A5" s="26" t="inlineStr">
        <is>
          <t>Total Action Items</t>
        </is>
      </c>
      <c r="B5" s="9">
        <f>COUNTA(A37:A236)</f>
        <v/>
      </c>
    </row>
    <row r="6">
      <c r="A6" s="26" t="inlineStr">
        <is>
          <t>Completed</t>
        </is>
      </c>
      <c r="B6" s="9">
        <f>COUNTIF(H37:H236,"Completed")</f>
        <v/>
      </c>
    </row>
    <row r="7">
      <c r="A7" s="26" t="inlineStr">
        <is>
          <t>In Progress</t>
        </is>
      </c>
      <c r="B7" s="27">
        <f>COUNTIF(H37:H236,"In Progress")</f>
        <v/>
      </c>
    </row>
    <row r="8">
      <c r="A8" s="26" t="inlineStr">
        <is>
          <t>Not Started</t>
        </is>
      </c>
      <c r="B8" s="9">
        <f>COUNTIF(H37:H236,"Not Started")</f>
        <v/>
      </c>
    </row>
    <row r="9">
      <c r="A9" s="26" t="inlineStr">
        <is>
          <t>Overdue</t>
        </is>
      </c>
      <c r="B9" s="9">
        <f>COUNTIFS(H37:H236,"&lt;&gt;Completed",E37:E236,"&lt;"&amp;TODAY())</f>
        <v/>
      </c>
    </row>
    <row r="10">
      <c r="A10" s="26" t="inlineStr">
        <is>
          <t>Overall Progress</t>
        </is>
      </c>
      <c r="B10" s="27">
        <f>COUNTIF(H37:H236,"Completed")/COUNTA(A37:A236)</f>
        <v/>
      </c>
    </row>
    <row r="13">
      <c r="A13" s="6" t="inlineStr">
        <is>
          <t>IMPLEMENTATION PHASES</t>
        </is>
      </c>
    </row>
    <row r="14">
      <c r="A14" s="28" t="inlineStr">
        <is>
          <t>Phase 1: Critical (0-30 days)</t>
        </is>
      </c>
      <c r="B14" s="8" t="inlineStr">
        <is>
          <t>Immediate action required</t>
        </is>
      </c>
      <c r="C14" s="29" t="inlineStr">
        <is>
          <t>Critical gaps, security risks</t>
        </is>
      </c>
    </row>
    <row r="15">
      <c r="A15" s="28" t="inlineStr">
        <is>
          <t>Phase 2: High (30-90 days)</t>
        </is>
      </c>
      <c r="B15" s="8" t="inlineStr">
        <is>
          <t>Quick wins, high impact</t>
        </is>
      </c>
      <c r="C15" s="29" t="inlineStr">
        <is>
          <t>Infrastructure, coverage gaps</t>
        </is>
      </c>
    </row>
    <row r="16">
      <c r="A16" s="28" t="inlineStr">
        <is>
          <t>Phase 3: Medium (90-180 days)</t>
        </is>
      </c>
      <c r="B16" s="8" t="inlineStr">
        <is>
          <t>Process improvements</t>
        </is>
      </c>
      <c r="C16" s="29" t="inlineStr">
        <is>
          <t>Policy, monitoring enhancements</t>
        </is>
      </c>
    </row>
    <row r="17">
      <c r="A17" s="28" t="inlineStr">
        <is>
          <t>Phase 4: Low (180-365 days)</t>
        </is>
      </c>
      <c r="B17" s="8" t="inlineStr">
        <is>
          <t>Optimization</t>
        </is>
      </c>
      <c r="C17" s="29" t="inlineStr">
        <is>
          <t>Fine-tuning, documentation</t>
        </is>
      </c>
    </row>
    <row r="20">
      <c r="A20" s="6" t="inlineStr">
        <is>
          <t>ACTION ITEMS</t>
        </is>
      </c>
    </row>
    <row r="21">
      <c r="A21" s="7" t="inlineStr">
        <is>
          <t>Action ID</t>
        </is>
      </c>
      <c r="B21" s="7" t="inlineStr">
        <is>
          <t>Phase</t>
        </is>
      </c>
      <c r="C21" s="7" t="inlineStr">
        <is>
          <t>Related Gap/Risk</t>
        </is>
      </c>
      <c r="D21" s="7" t="inlineStr">
        <is>
          <t>Action Description</t>
        </is>
      </c>
      <c r="E21" s="7" t="inlineStr">
        <is>
          <t>Target Date</t>
        </is>
      </c>
      <c r="F21" s="7" t="inlineStr">
        <is>
          <t>Assigned Owner</t>
        </is>
      </c>
      <c r="G21" s="7" t="inlineStr">
        <is>
          <t>Department</t>
        </is>
      </c>
      <c r="H21" s="7" t="inlineStr">
        <is>
          <t>Status</t>
        </is>
      </c>
      <c r="I21" s="7" t="inlineStr">
        <is>
          <t>Progress %</t>
        </is>
      </c>
      <c r="J21" s="7" t="inlineStr">
        <is>
          <t>Actual Completion</t>
        </is>
      </c>
      <c r="K21" s="7" t="inlineStr">
        <is>
          <t>Budget</t>
        </is>
      </c>
      <c r="L21" s="7" t="inlineStr">
        <is>
          <t>Dependencies</t>
        </is>
      </c>
      <c r="M21" s="7" t="inlineStr">
        <is>
          <t>Success Criteria</t>
        </is>
      </c>
      <c r="N21" s="7" t="inlineStr">
        <is>
          <t>Verification</t>
        </is>
      </c>
      <c r="O21" s="7" t="inlineStr">
        <is>
          <t>Notes</t>
        </is>
      </c>
      <c r="P21" s="7" t="inlineStr">
        <is>
          <t>Last Updated</t>
        </is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</sheetData>
  <mergeCells count="9">
    <mergeCell ref="C17:F17"/>
    <mergeCell ref="A13:F13"/>
    <mergeCell ref="A1:P1"/>
    <mergeCell ref="A4:D4"/>
    <mergeCell ref="C16:F16"/>
    <mergeCell ref="C15:F15"/>
    <mergeCell ref="A20:P20"/>
    <mergeCell ref="C14:F14"/>
    <mergeCell ref="A2:P2"/>
  </mergeCells>
  <dataValidations count="2">
    <dataValidation sqref="B37:B236" showDropDown="0" showInputMessage="0" showErrorMessage="0" allowBlank="1" type="list">
      <formula1>"Phase 1,Phase 2,Phase 3,Phase 4"</formula1>
    </dataValidation>
    <dataValidation sqref="H37:H236" showDropDown="0" showInputMessage="0" showErrorMessage="0" allowBlank="1" type="list">
      <formula1>"Not Started,In Progress,Completed,Blocked,Cancelled"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25" customWidth="1" min="9" max="9"/>
    <col width="18" customWidth="1" min="10" max="10"/>
    <col width="20" customWidth="1" min="11" max="11"/>
    <col width="20" customWidth="1" min="12" max="12"/>
    <col width="30" customWidth="1" min="13" max="13"/>
  </cols>
  <sheetData>
    <row r="1" ht="30" customHeight="1">
      <c r="A1" s="1" t="inlineStr">
        <is>
          <t>KPIs &amp; METRICS - A.8.23 WEB FILTERING</t>
        </is>
      </c>
    </row>
    <row r="3">
      <c r="A3" s="6" t="inlineStr">
        <is>
          <t>INFRASTRUCTURE METRICS</t>
        </is>
      </c>
    </row>
    <row r="4">
      <c r="A4" s="7" t="inlineStr">
        <is>
          <t>KPI Name</t>
        </is>
      </c>
      <c r="B4" s="7" t="inlineStr">
        <is>
          <t>Unit</t>
        </is>
      </c>
      <c r="C4" s="7" t="inlineStr">
        <is>
          <t>Current Value</t>
        </is>
      </c>
      <c r="D4" s="7" t="inlineStr">
        <is>
          <t>Target</t>
        </is>
      </c>
      <c r="E4" s="7" t="inlineStr">
        <is>
          <t>Status</t>
        </is>
      </c>
      <c r="F4" s="7" t="inlineStr">
        <is>
          <t>Trend</t>
        </is>
      </c>
      <c r="G4" s="7" t="inlineStr">
        <is>
          <t>Last Month</t>
        </is>
      </c>
      <c r="H4" s="7" t="inlineStr">
        <is>
          <t>YTD Average</t>
        </is>
      </c>
      <c r="I4" s="7" t="inlineStr">
        <is>
          <t>Data Source</t>
        </is>
      </c>
      <c r="J4" s="7" t="inlineStr">
        <is>
          <t>Update Frequency</t>
        </is>
      </c>
      <c r="K4" s="7" t="inlineStr">
        <is>
          <t>Owner</t>
        </is>
      </c>
      <c r="L4" s="7" t="inlineStr">
        <is>
          <t>Collection Method</t>
        </is>
      </c>
      <c r="M4" s="7" t="inlineStr">
        <is>
          <t>Notes</t>
        </is>
      </c>
    </row>
    <row r="5">
      <c r="A5" s="8" t="inlineStr">
        <is>
          <t>Total Filtering Solutions</t>
        </is>
      </c>
      <c r="B5" s="8" t="inlineStr">
        <is>
          <t>Count</t>
        </is>
      </c>
      <c r="C5" s="4" t="n"/>
      <c r="D5" s="8" t="inlineStr">
        <is>
          <t>≥1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8" t="inlineStr">
        <is>
          <t>Deployment Coverage</t>
        </is>
      </c>
      <c r="B6" s="8" t="inlineStr">
        <is>
          <t>%</t>
        </is>
      </c>
      <c r="C6" s="4" t="n"/>
      <c r="D6" s="8" t="inlineStr">
        <is>
          <t>100%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8" t="inlineStr">
        <is>
          <t>Solution Availability</t>
        </is>
      </c>
      <c r="B7" s="8" t="inlineStr">
        <is>
          <t>%</t>
        </is>
      </c>
      <c r="C7" s="4" t="n"/>
      <c r="D7" s="8" t="inlineStr">
        <is>
          <t>≥99%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8" t="inlineStr">
        <is>
          <t>Performance - Latency</t>
        </is>
      </c>
      <c r="B8" s="8" t="inlineStr">
        <is>
          <t>ms</t>
        </is>
      </c>
      <c r="C8" s="4" t="n"/>
      <c r="D8" s="8" t="inlineStr">
        <is>
          <t>≤100ms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8" t="inlineStr">
        <is>
          <t>Licensing Compliance</t>
        </is>
      </c>
      <c r="B9" s="8" t="inlineStr">
        <is>
          <t>%</t>
        </is>
      </c>
      <c r="C9" s="4" t="n"/>
      <c r="D9" s="8" t="inlineStr">
        <is>
          <t>100%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1">
      <c r="A11" s="6" t="inlineStr">
        <is>
          <t>COVERAGE METRICS</t>
        </is>
      </c>
    </row>
    <row r="12">
      <c r="A12" s="7" t="inlineStr">
        <is>
          <t>KPI Name</t>
        </is>
      </c>
      <c r="B12" s="7" t="inlineStr">
        <is>
          <t>Unit</t>
        </is>
      </c>
      <c r="C12" s="7" t="inlineStr">
        <is>
          <t>Current Value</t>
        </is>
      </c>
      <c r="D12" s="7" t="inlineStr">
        <is>
          <t>Target</t>
        </is>
      </c>
      <c r="E12" s="7" t="inlineStr">
        <is>
          <t>Status</t>
        </is>
      </c>
      <c r="F12" s="7" t="inlineStr">
        <is>
          <t>Trend</t>
        </is>
      </c>
      <c r="G12" s="7" t="inlineStr">
        <is>
          <t>Last Month</t>
        </is>
      </c>
      <c r="H12" s="7" t="inlineStr">
        <is>
          <t>YTD Average</t>
        </is>
      </c>
      <c r="I12" s="7" t="inlineStr">
        <is>
          <t>Data Source</t>
        </is>
      </c>
      <c r="J12" s="7" t="inlineStr">
        <is>
          <t>Update Frequency</t>
        </is>
      </c>
      <c r="K12" s="7" t="inlineStr">
        <is>
          <t>Owner</t>
        </is>
      </c>
      <c r="L12" s="7" t="inlineStr">
        <is>
          <t>Collection Method</t>
        </is>
      </c>
      <c r="M12" s="7" t="inlineStr">
        <is>
          <t>Notes</t>
        </is>
      </c>
    </row>
    <row r="13">
      <c r="A13" s="8" t="inlineStr">
        <is>
          <t>Network Segments Covered</t>
        </is>
      </c>
      <c r="B13" s="8" t="inlineStr">
        <is>
          <t>%</t>
        </is>
      </c>
      <c r="C13" s="4" t="n"/>
      <c r="D13" s="8" t="inlineStr">
        <is>
          <t>100%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8" t="inlineStr">
        <is>
          <t>Users Protected</t>
        </is>
      </c>
      <c r="B14" s="8" t="inlineStr">
        <is>
          <t>Count</t>
        </is>
      </c>
      <c r="C14" s="4" t="n"/>
      <c r="D14" s="8" t="inlineStr">
        <is>
          <t>All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8" t="inlineStr">
        <is>
          <t>Devices Protected</t>
        </is>
      </c>
      <c r="B15" s="8" t="inlineStr">
        <is>
          <t>Count</t>
        </is>
      </c>
      <c r="C15" s="4" t="n"/>
      <c r="D15" s="8" t="inlineStr">
        <is>
          <t>All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8" t="inlineStr">
        <is>
          <t>Bypass Vulnerabilities</t>
        </is>
      </c>
      <c r="B16" s="8" t="inlineStr">
        <is>
          <t>Count</t>
        </is>
      </c>
      <c r="C16" s="4" t="n"/>
      <c r="D16" s="8" t="inlineStr">
        <is>
          <t>0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8" t="inlineStr">
        <is>
          <t>Coverage Verification Rate</t>
        </is>
      </c>
      <c r="B17" s="8" t="inlineStr">
        <is>
          <t>%</t>
        </is>
      </c>
      <c r="C17" s="4" t="n"/>
      <c r="D17" s="8" t="inlineStr">
        <is>
          <t>100%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9">
      <c r="A19" s="6" t="inlineStr">
        <is>
          <t>POLICY METRICS</t>
        </is>
      </c>
    </row>
    <row r="20">
      <c r="A20" s="7" t="inlineStr">
        <is>
          <t>KPI Name</t>
        </is>
      </c>
      <c r="B20" s="7" t="inlineStr">
        <is>
          <t>Unit</t>
        </is>
      </c>
      <c r="C20" s="7" t="inlineStr">
        <is>
          <t>Current Value</t>
        </is>
      </c>
      <c r="D20" s="7" t="inlineStr">
        <is>
          <t>Target</t>
        </is>
      </c>
      <c r="E20" s="7" t="inlineStr">
        <is>
          <t>Status</t>
        </is>
      </c>
      <c r="F20" s="7" t="inlineStr">
        <is>
          <t>Trend</t>
        </is>
      </c>
      <c r="G20" s="7" t="inlineStr">
        <is>
          <t>Last Month</t>
        </is>
      </c>
      <c r="H20" s="7" t="inlineStr">
        <is>
          <t>YTD Average</t>
        </is>
      </c>
      <c r="I20" s="7" t="inlineStr">
        <is>
          <t>Data Source</t>
        </is>
      </c>
      <c r="J20" s="7" t="inlineStr">
        <is>
          <t>Update Frequency</t>
        </is>
      </c>
      <c r="K20" s="7" t="inlineStr">
        <is>
          <t>Owner</t>
        </is>
      </c>
      <c r="L20" s="7" t="inlineStr">
        <is>
          <t>Collection Method</t>
        </is>
      </c>
      <c r="M20" s="7" t="inlineStr">
        <is>
          <t>Notes</t>
        </is>
      </c>
    </row>
    <row r="21">
      <c r="A21" s="8" t="inlineStr">
        <is>
          <t>Threat Categories Blocked</t>
        </is>
      </c>
      <c r="B21" s="8" t="inlineStr">
        <is>
          <t>%</t>
        </is>
      </c>
      <c r="C21" s="4" t="n"/>
      <c r="D21" s="8" t="inlineStr">
        <is>
          <t>≥95%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8" t="inlineStr">
        <is>
          <t>Content Categories Configured</t>
        </is>
      </c>
      <c r="B22" s="8" t="inlineStr">
        <is>
          <t>Count</t>
        </is>
      </c>
      <c r="C22" s="4" t="n"/>
      <c r="D22" s="8" t="inlineStr">
        <is>
          <t>≥30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8" t="inlineStr">
        <is>
          <t>Active Policy Exceptions</t>
        </is>
      </c>
      <c r="B23" s="8" t="inlineStr">
        <is>
          <t>Count</t>
        </is>
      </c>
      <c r="C23" s="4" t="n"/>
      <c r="D23" s="8" t="inlineStr">
        <is>
          <t>≤10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8" t="inlineStr">
        <is>
          <t>Exception Review Compliance</t>
        </is>
      </c>
      <c r="B24" s="8" t="inlineStr">
        <is>
          <t>%</t>
        </is>
      </c>
      <c r="C24" s="4" t="n"/>
      <c r="D24" s="8" t="inlineStr">
        <is>
          <t>100%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8" t="inlineStr">
        <is>
          <t>Policy Update Frequency</t>
        </is>
      </c>
      <c r="B25" s="8" t="inlineStr">
        <is>
          <t>Days</t>
        </is>
      </c>
      <c r="C25" s="4" t="n"/>
      <c r="D25" s="8" t="inlineStr">
        <is>
          <t>≤90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7">
      <c r="A27" s="6" t="inlineStr">
        <is>
          <t>MONITORING METRICS</t>
        </is>
      </c>
    </row>
    <row r="28">
      <c r="A28" s="7" t="inlineStr">
        <is>
          <t>KPI Name</t>
        </is>
      </c>
      <c r="B28" s="7" t="inlineStr">
        <is>
          <t>Unit</t>
        </is>
      </c>
      <c r="C28" s="7" t="inlineStr">
        <is>
          <t>Current Value</t>
        </is>
      </c>
      <c r="D28" s="7" t="inlineStr">
        <is>
          <t>Target</t>
        </is>
      </c>
      <c r="E28" s="7" t="inlineStr">
        <is>
          <t>Status</t>
        </is>
      </c>
      <c r="F28" s="7" t="inlineStr">
        <is>
          <t>Trend</t>
        </is>
      </c>
      <c r="G28" s="7" t="inlineStr">
        <is>
          <t>Last Month</t>
        </is>
      </c>
      <c r="H28" s="7" t="inlineStr">
        <is>
          <t>YTD Average</t>
        </is>
      </c>
      <c r="I28" s="7" t="inlineStr">
        <is>
          <t>Data Source</t>
        </is>
      </c>
      <c r="J28" s="7" t="inlineStr">
        <is>
          <t>Update Frequency</t>
        </is>
      </c>
      <c r="K28" s="7" t="inlineStr">
        <is>
          <t>Owner</t>
        </is>
      </c>
      <c r="L28" s="7" t="inlineStr">
        <is>
          <t>Collection Method</t>
        </is>
      </c>
      <c r="M28" s="7" t="inlineStr">
        <is>
          <t>Notes</t>
        </is>
      </c>
    </row>
    <row r="29">
      <c r="A29" s="8" t="inlineStr">
        <is>
          <t>Log Collection Rate</t>
        </is>
      </c>
      <c r="B29" s="8" t="inlineStr">
        <is>
          <t>%</t>
        </is>
      </c>
      <c r="C29" s="4" t="n"/>
      <c r="D29" s="8" t="inlineStr">
        <is>
          <t>100%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8" t="inlineStr">
        <is>
          <t>Alert Rules Active</t>
        </is>
      </c>
      <c r="B30" s="8" t="inlineStr">
        <is>
          <t>Count</t>
        </is>
      </c>
      <c r="C30" s="4" t="n"/>
      <c r="D30" s="8" t="inlineStr">
        <is>
          <t>≥20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8" t="inlineStr">
        <is>
          <t>Alert Response Time</t>
        </is>
      </c>
      <c r="B31" s="8" t="inlineStr">
        <is>
          <t>Minutes</t>
        </is>
      </c>
      <c r="C31" s="4" t="n"/>
      <c r="D31" s="8" t="inlineStr">
        <is>
          <t>≤30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8" t="inlineStr">
        <is>
          <t>Dashboard Availability</t>
        </is>
      </c>
      <c r="B32" s="8" t="inlineStr">
        <is>
          <t>%</t>
        </is>
      </c>
      <c r="C32" s="4" t="n"/>
      <c r="D32" s="8" t="inlineStr">
        <is>
          <t>≥99%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8" t="inlineStr">
        <is>
          <t>SIEM Integration Health</t>
        </is>
      </c>
      <c r="B33" s="8" t="inlineStr">
        <is>
          <t>%</t>
        </is>
      </c>
      <c r="C33" s="4" t="n"/>
      <c r="D33" s="8" t="inlineStr">
        <is>
          <t>100%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5">
      <c r="A35" s="6" t="inlineStr">
        <is>
          <t>INCIDENT METRICS</t>
        </is>
      </c>
    </row>
    <row r="36">
      <c r="A36" s="7" t="inlineStr">
        <is>
          <t>KPI Name</t>
        </is>
      </c>
      <c r="B36" s="7" t="inlineStr">
        <is>
          <t>Unit</t>
        </is>
      </c>
      <c r="C36" s="7" t="inlineStr">
        <is>
          <t>Current Value</t>
        </is>
      </c>
      <c r="D36" s="7" t="inlineStr">
        <is>
          <t>Target</t>
        </is>
      </c>
      <c r="E36" s="7" t="inlineStr">
        <is>
          <t>Status</t>
        </is>
      </c>
      <c r="F36" s="7" t="inlineStr">
        <is>
          <t>Trend</t>
        </is>
      </c>
      <c r="G36" s="7" t="inlineStr">
        <is>
          <t>Last Month</t>
        </is>
      </c>
      <c r="H36" s="7" t="inlineStr">
        <is>
          <t>YTD Average</t>
        </is>
      </c>
      <c r="I36" s="7" t="inlineStr">
        <is>
          <t>Data Source</t>
        </is>
      </c>
      <c r="J36" s="7" t="inlineStr">
        <is>
          <t>Update Frequency</t>
        </is>
      </c>
      <c r="K36" s="7" t="inlineStr">
        <is>
          <t>Owner</t>
        </is>
      </c>
      <c r="L36" s="7" t="inlineStr">
        <is>
          <t>Collection Method</t>
        </is>
      </c>
      <c r="M36" s="7" t="inlineStr">
        <is>
          <t>Notes</t>
        </is>
      </c>
    </row>
    <row r="37">
      <c r="A37" s="8" t="inlineStr">
        <is>
          <t>Open Critical Incidents</t>
        </is>
      </c>
      <c r="B37" s="8" t="inlineStr">
        <is>
          <t>Count</t>
        </is>
      </c>
      <c r="C37" s="4" t="n"/>
      <c r="D37" s="8" t="inlineStr">
        <is>
          <t>0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8" t="inlineStr">
        <is>
          <t>Mean Time to Detect (MTTD)</t>
        </is>
      </c>
      <c r="B38" s="8" t="inlineStr">
        <is>
          <t>Minutes</t>
        </is>
      </c>
      <c r="C38" s="4" t="n"/>
      <c r="D38" s="8" t="inlineStr">
        <is>
          <t>≤15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8" t="inlineStr">
        <is>
          <t>Mean Time to Respond (MTTR)</t>
        </is>
      </c>
      <c r="B39" s="8" t="inlineStr">
        <is>
          <t>Hours</t>
        </is>
      </c>
      <c r="C39" s="4" t="n"/>
      <c r="D39" s="8" t="inlineStr">
        <is>
          <t>≤4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8" t="inlineStr">
        <is>
          <t>SLA Compliance Rate</t>
        </is>
      </c>
      <c r="B40" s="8" t="inlineStr">
        <is>
          <t>%</t>
        </is>
      </c>
      <c r="C40" s="4" t="n"/>
      <c r="D40" s="8" t="inlineStr">
        <is>
          <t>≥95%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8" t="inlineStr">
        <is>
          <t>False Positive Rate</t>
        </is>
      </c>
      <c r="B41" s="8" t="inlineStr">
        <is>
          <t>%</t>
        </is>
      </c>
      <c r="C41" s="4" t="n"/>
      <c r="D41" s="8" t="inlineStr">
        <is>
          <t>≤1%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3">
      <c r="A43" s="6" t="inlineStr">
        <is>
          <t>COMPLIANCE METRICS</t>
        </is>
      </c>
    </row>
    <row r="44">
      <c r="A44" s="7" t="inlineStr">
        <is>
          <t>KPI Name</t>
        </is>
      </c>
      <c r="B44" s="7" t="inlineStr">
        <is>
          <t>Unit</t>
        </is>
      </c>
      <c r="C44" s="7" t="inlineStr">
        <is>
          <t>Current Value</t>
        </is>
      </c>
      <c r="D44" s="7" t="inlineStr">
        <is>
          <t>Target</t>
        </is>
      </c>
      <c r="E44" s="7" t="inlineStr">
        <is>
          <t>Status</t>
        </is>
      </c>
      <c r="F44" s="7" t="inlineStr">
        <is>
          <t>Trend</t>
        </is>
      </c>
      <c r="G44" s="7" t="inlineStr">
        <is>
          <t>Last Month</t>
        </is>
      </c>
      <c r="H44" s="7" t="inlineStr">
        <is>
          <t>YTD Average</t>
        </is>
      </c>
      <c r="I44" s="7" t="inlineStr">
        <is>
          <t>Data Source</t>
        </is>
      </c>
      <c r="J44" s="7" t="inlineStr">
        <is>
          <t>Update Frequency</t>
        </is>
      </c>
      <c r="K44" s="7" t="inlineStr">
        <is>
          <t>Owner</t>
        </is>
      </c>
      <c r="L44" s="7" t="inlineStr">
        <is>
          <t>Collection Method</t>
        </is>
      </c>
      <c r="M44" s="7" t="inlineStr">
        <is>
          <t>Notes</t>
        </is>
      </c>
    </row>
    <row r="45">
      <c r="A45" s="8" t="inlineStr">
        <is>
          <t>Overall Compliance Score</t>
        </is>
      </c>
      <c r="B45" s="8" t="inlineStr">
        <is>
          <t>%</t>
        </is>
      </c>
      <c r="C45" s="4" t="n"/>
      <c r="D45" s="8" t="inlineStr">
        <is>
          <t>≥95%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8" t="inlineStr">
        <is>
          <t>Critical Gaps Open</t>
        </is>
      </c>
      <c r="B46" s="8" t="inlineStr">
        <is>
          <t>Count</t>
        </is>
      </c>
      <c r="C46" s="4" t="n"/>
      <c r="D46" s="8" t="inlineStr">
        <is>
          <t>0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8" t="inlineStr">
        <is>
          <t>Evidence Collection Rate</t>
        </is>
      </c>
      <c r="B47" s="8" t="inlineStr">
        <is>
          <t>%</t>
        </is>
      </c>
      <c r="C47" s="4" t="n"/>
      <c r="D47" s="8" t="inlineStr">
        <is>
          <t>100%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8" t="inlineStr">
        <is>
          <t>Audit Readiness</t>
        </is>
      </c>
      <c r="B48" s="8" t="inlineStr">
        <is>
          <t>Status</t>
        </is>
      </c>
      <c r="C48" s="4" t="n"/>
      <c r="D48" s="8" t="inlineStr">
        <is>
          <t>Ready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8" t="inlineStr">
        <is>
          <t>Policy Review Currency</t>
        </is>
      </c>
      <c r="B49" s="8" t="inlineStr">
        <is>
          <t>Days</t>
        </is>
      </c>
      <c r="C49" s="4" t="n"/>
      <c r="D49" s="8" t="inlineStr">
        <is>
          <t>≤90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</sheetData>
  <mergeCells count="7">
    <mergeCell ref="A19:M19"/>
    <mergeCell ref="A1:M1"/>
    <mergeCell ref="A27:M27"/>
    <mergeCell ref="A35:M35"/>
    <mergeCell ref="A3:M3"/>
    <mergeCell ref="A43:M43"/>
    <mergeCell ref="A11:M11"/>
  </mergeCells>
  <dataValidations count="3">
    <dataValidation sqref="E4:E100" showDropDown="0" showInputMessage="0" showErrorMessage="0" allowBlank="1" type="list">
      <formula1>"Green,Amber,Red"</formula1>
    </dataValidation>
    <dataValidation sqref="F4:F100" showDropDown="0" showInputMessage="0" showErrorMessage="0" allowBlank="1" type="list">
      <formula1>"Improving,Stable,Degrading,New"</formula1>
    </dataValidation>
    <dataValidation sqref="J4:J100" showDropDown="0" showInputMessage="0" showErrorMessage="0" allowBlank="1" type="list">
      <formula1>"Real-Time,Hourly,Daily,Weekly,Monthly"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8" customWidth="1" min="4" max="4"/>
    <col width="20" customWidth="1" min="5" max="5"/>
    <col width="40" customWidth="1" min="6" max="6"/>
    <col width="30" customWidth="1" min="7" max="7"/>
    <col width="15" customWidth="1" min="8" max="8"/>
    <col width="20" customWidth="1" min="9" max="9"/>
    <col width="15" customWidth="1" min="10" max="10"/>
    <col width="15" customWidth="1" min="11" max="11"/>
    <col width="18" customWidth="1" min="12" max="12"/>
    <col width="20" customWidth="1" min="13" max="13"/>
    <col width="15" customWidth="1" min="14" max="14"/>
    <col width="30" customWidth="1" min="15" max="15"/>
  </cols>
  <sheetData>
    <row r="1" ht="30" customHeight="1">
      <c r="A1" s="1" t="inlineStr">
        <is>
          <t>EVIDENCE REGISTER - A.8.23 WEB FILTERING</t>
        </is>
      </c>
    </row>
    <row r="2">
      <c r="A2" s="16" t="inlineStr">
        <is>
          <t>Centralized evidence tracking for audit and compliance verification</t>
        </is>
      </c>
    </row>
    <row r="4">
      <c r="A4" s="6" t="inlineStr">
        <is>
          <t>EVIDENCE SUMMARY</t>
        </is>
      </c>
    </row>
    <row r="5">
      <c r="A5" s="26" t="inlineStr">
        <is>
          <t>Total Evidence Items</t>
        </is>
      </c>
      <c r="B5" s="9">
        <f>COUNTA(A20:A519)</f>
        <v/>
      </c>
    </row>
    <row r="6">
      <c r="A6" s="26" t="inlineStr">
        <is>
          <t>Verified</t>
        </is>
      </c>
      <c r="B6" s="9">
        <f>COUNTIF(L21:L519,"Verified")</f>
        <v/>
      </c>
    </row>
    <row r="7">
      <c r="A7" s="26" t="inlineStr">
        <is>
          <t>Pending Verification</t>
        </is>
      </c>
      <c r="B7" s="9">
        <f>COUNTIF(L21:L519,"Pending")</f>
        <v/>
      </c>
    </row>
    <row r="8">
      <c r="A8" s="26" t="inlineStr">
        <is>
          <t>Expired/Missing</t>
        </is>
      </c>
      <c r="B8" s="9">
        <f>COUNTIF(L21:L519,"Expired")</f>
        <v/>
      </c>
    </row>
    <row r="9">
      <c r="A9" s="26" t="inlineStr">
        <is>
          <t>Verification Rate</t>
        </is>
      </c>
      <c r="B9" s="27">
        <f>COUNTIF(L21:L519,"Verified")/COUNTA(A20:A519)</f>
        <v/>
      </c>
    </row>
    <row r="12">
      <c r="A12" s="13" t="inlineStr">
        <is>
          <t>EVIDENCE BY CATEGORY</t>
        </is>
      </c>
    </row>
    <row r="13">
      <c r="A13" s="30" t="inlineStr">
        <is>
          <t>Category</t>
        </is>
      </c>
      <c r="B13" s="30" t="inlineStr">
        <is>
          <t>Count</t>
        </is>
      </c>
      <c r="C13" s="30" t="inlineStr">
        <is>
          <t>Verified</t>
        </is>
      </c>
      <c r="D13" s="30" t="inlineStr">
        <is>
          <t>Verification %</t>
        </is>
      </c>
    </row>
    <row r="14">
      <c r="A14" s="8" t="inlineStr">
        <is>
          <t>Infrastructure</t>
        </is>
      </c>
      <c r="B14" s="18">
        <f>COUNTIF(D21:D519,"Infrastructure")</f>
        <v/>
      </c>
      <c r="C14" s="18">
        <f>COUNTIFS(D21:D519,"Infrastructure",L21:L519,"Verified")</f>
        <v/>
      </c>
      <c r="D14" s="31">
        <f>C14/B14</f>
        <v/>
      </c>
    </row>
    <row r="15">
      <c r="A15" s="8" t="inlineStr">
        <is>
          <t>Coverage</t>
        </is>
      </c>
      <c r="B15" s="18">
        <f>COUNTIF(D21:D519,"Coverage")</f>
        <v/>
      </c>
      <c r="C15" s="18">
        <f>COUNTIFS(D21:D519,"Coverage",L21:L519,"Verified")</f>
        <v/>
      </c>
      <c r="D15" s="31">
        <f>C15/B15</f>
        <v/>
      </c>
    </row>
    <row r="16">
      <c r="A16" s="8" t="inlineStr">
        <is>
          <t>Policy</t>
        </is>
      </c>
      <c r="B16" s="18">
        <f>COUNTIF(D21:D519,"Policy")</f>
        <v/>
      </c>
      <c r="C16" s="18">
        <f>COUNTIFS(D21:D519,"Policy",L21:L519,"Verified")</f>
        <v/>
      </c>
      <c r="D16" s="31">
        <f>C16/B16</f>
        <v/>
      </c>
    </row>
    <row r="17">
      <c r="A17" s="8" t="inlineStr">
        <is>
          <t>Monitoring</t>
        </is>
      </c>
      <c r="B17" s="18">
        <f>COUNTIF(D21:D519,"Monitoring")</f>
        <v/>
      </c>
      <c r="C17" s="18">
        <f>COUNTIFS(D21:D519,"Monitoring",L21:L519,"Verified")</f>
        <v/>
      </c>
      <c r="D17" s="31">
        <f>C17/B17</f>
        <v/>
      </c>
    </row>
    <row r="18">
      <c r="A18" s="8" t="inlineStr">
        <is>
          <t>Incident Response</t>
        </is>
      </c>
      <c r="B18" s="18">
        <f>COUNTIF(D21:D519,"Incident Response")</f>
        <v/>
      </c>
      <c r="C18" s="18">
        <f>COUNTIFS(D21:D519,"Incident Response",L21:L519,"Verified")</f>
        <v/>
      </c>
      <c r="D18" s="31">
        <f>C18/B18</f>
        <v/>
      </c>
    </row>
    <row r="19">
      <c r="A19" s="8" t="inlineStr">
        <is>
          <t>Compliance</t>
        </is>
      </c>
      <c r="B19" s="18">
        <f>COUNTIF(D21:D519,"Compliance")</f>
        <v/>
      </c>
      <c r="C19" s="18">
        <f>COUNTIFS(D21:D519,"Compliance",L21:L519,"Verified")</f>
        <v/>
      </c>
      <c r="D19" s="31">
        <f>C19/B19</f>
        <v/>
      </c>
    </row>
    <row r="20">
      <c r="A20" s="8" t="inlineStr">
        <is>
          <t>Audit</t>
        </is>
      </c>
      <c r="B20" s="18">
        <f>COUNTIF(D21:D519,"Audit")</f>
        <v/>
      </c>
      <c r="C20" s="18">
        <f>COUNTIFS(D21:D519,"Audit",L21:L519,"Verified")</f>
        <v/>
      </c>
      <c r="D20" s="31">
        <f>C20/B20</f>
        <v/>
      </c>
    </row>
    <row r="22">
      <c r="A22" s="6" t="inlineStr">
        <is>
          <t>EVIDENCE ITEMS</t>
        </is>
      </c>
    </row>
    <row r="23">
      <c r="A23" s="7" t="inlineStr">
        <is>
          <t>Evidence ID</t>
        </is>
      </c>
      <c r="B23" s="7" t="inlineStr">
        <is>
          <t>Source Assessment</t>
        </is>
      </c>
      <c r="C23" s="7" t="inlineStr">
        <is>
          <t>Related Requirement</t>
        </is>
      </c>
      <c r="D23" s="7" t="inlineStr">
        <is>
          <t>Category</t>
        </is>
      </c>
      <c r="E23" s="7" t="inlineStr">
        <is>
          <t>Evidence Type</t>
        </is>
      </c>
      <c r="F23" s="7" t="inlineStr">
        <is>
          <t>Description</t>
        </is>
      </c>
      <c r="G23" s="7" t="inlineStr">
        <is>
          <t>File Location</t>
        </is>
      </c>
      <c r="H23" s="7" t="inlineStr">
        <is>
          <t>Collection Date</t>
        </is>
      </c>
      <c r="I23" s="7" t="inlineStr">
        <is>
          <t>Collected By</t>
        </is>
      </c>
      <c r="J23" s="7" t="inlineStr">
        <is>
          <t>Retention Period</t>
        </is>
      </c>
      <c r="K23" s="7" t="inlineStr">
        <is>
          <t>Expiry Date</t>
        </is>
      </c>
      <c r="L23" s="7" t="inlineStr">
        <is>
          <t>Verification Status</t>
        </is>
      </c>
      <c r="M23" s="7" t="inlineStr">
        <is>
          <t>Verified By</t>
        </is>
      </c>
      <c r="N23" s="7" t="inlineStr">
        <is>
          <t>Verification Date</t>
        </is>
      </c>
      <c r="O23" s="7" t="inlineStr">
        <is>
          <t>Notes</t>
        </is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25">
        <f>H24+J24</f>
        <v/>
      </c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25">
        <f>H25+J25</f>
        <v/>
      </c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25">
        <f>H26+J26</f>
        <v/>
      </c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25">
        <f>H27+J27</f>
        <v/>
      </c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25">
        <f>H28+J28</f>
        <v/>
      </c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25">
        <f>H29+J29</f>
        <v/>
      </c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25">
        <f>H30+J30</f>
        <v/>
      </c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25">
        <f>H31+J31</f>
        <v/>
      </c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25">
        <f>H32+J32</f>
        <v/>
      </c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25">
        <f>H33+J33</f>
        <v/>
      </c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25">
        <f>H34+J34</f>
        <v/>
      </c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25">
        <f>H35+J35</f>
        <v/>
      </c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25">
        <f>H36+J36</f>
        <v/>
      </c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25">
        <f>H37+J37</f>
        <v/>
      </c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25">
        <f>H38+J38</f>
        <v/>
      </c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25">
        <f>H39+J39</f>
        <v/>
      </c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25">
        <f>H40+J40</f>
        <v/>
      </c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25">
        <f>H41+J41</f>
        <v/>
      </c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25">
        <f>H42+J42</f>
        <v/>
      </c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25">
        <f>H43+J43</f>
        <v/>
      </c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25">
        <f>H44+J44</f>
        <v/>
      </c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25">
        <f>H45+J45</f>
        <v/>
      </c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25">
        <f>H46+J46</f>
        <v/>
      </c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25">
        <f>H47+J47</f>
        <v/>
      </c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25">
        <f>H48+J48</f>
        <v/>
      </c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25">
        <f>H49+J49</f>
        <v/>
      </c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25">
        <f>H50+J50</f>
        <v/>
      </c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25">
        <f>H51+J51</f>
        <v/>
      </c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25">
        <f>H52+J52</f>
        <v/>
      </c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25">
        <f>H53+J53</f>
        <v/>
      </c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25">
        <f>H54+J54</f>
        <v/>
      </c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25">
        <f>H55+J55</f>
        <v/>
      </c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25">
        <f>H56+J56</f>
        <v/>
      </c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25">
        <f>H57+J57</f>
        <v/>
      </c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25">
        <f>H58+J58</f>
        <v/>
      </c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25">
        <f>H59+J59</f>
        <v/>
      </c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25">
        <f>H60+J60</f>
        <v/>
      </c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25">
        <f>H61+J61</f>
        <v/>
      </c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25">
        <f>H62+J62</f>
        <v/>
      </c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25">
        <f>H63+J63</f>
        <v/>
      </c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25">
        <f>H64+J64</f>
        <v/>
      </c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25">
        <f>H65+J65</f>
        <v/>
      </c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25">
        <f>H66+J66</f>
        <v/>
      </c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25">
        <f>H67+J67</f>
        <v/>
      </c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25">
        <f>H68+J68</f>
        <v/>
      </c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25">
        <f>H69+J69</f>
        <v/>
      </c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25">
        <f>H70+J70</f>
        <v/>
      </c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25">
        <f>H71+J71</f>
        <v/>
      </c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25">
        <f>H72+J72</f>
        <v/>
      </c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25">
        <f>H73+J73</f>
        <v/>
      </c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25">
        <f>H74+J74</f>
        <v/>
      </c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25">
        <f>H75+J75</f>
        <v/>
      </c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25">
        <f>H76+J76</f>
        <v/>
      </c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25">
        <f>H77+J77</f>
        <v/>
      </c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25">
        <f>H78+J78</f>
        <v/>
      </c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25">
        <f>H79+J79</f>
        <v/>
      </c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25">
        <f>H80+J80</f>
        <v/>
      </c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25">
        <f>H81+J81</f>
        <v/>
      </c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25">
        <f>H82+J82</f>
        <v/>
      </c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25">
        <f>H83+J83</f>
        <v/>
      </c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25">
        <f>H84+J84</f>
        <v/>
      </c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25">
        <f>H85+J85</f>
        <v/>
      </c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25">
        <f>H86+J86</f>
        <v/>
      </c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25">
        <f>H87+J87</f>
        <v/>
      </c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25">
        <f>H88+J88</f>
        <v/>
      </c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25">
        <f>H89+J89</f>
        <v/>
      </c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25">
        <f>H90+J90</f>
        <v/>
      </c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25">
        <f>H91+J91</f>
        <v/>
      </c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25">
        <f>H92+J92</f>
        <v/>
      </c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25">
        <f>H93+J93</f>
        <v/>
      </c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25">
        <f>H94+J94</f>
        <v/>
      </c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25">
        <f>H95+J95</f>
        <v/>
      </c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25">
        <f>H96+J96</f>
        <v/>
      </c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25">
        <f>H97+J97</f>
        <v/>
      </c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25">
        <f>H98+J98</f>
        <v/>
      </c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25">
        <f>H99+J99</f>
        <v/>
      </c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25">
        <f>H100+J100</f>
        <v/>
      </c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25">
        <f>H101+J101</f>
        <v/>
      </c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25">
        <f>H102+J102</f>
        <v/>
      </c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25">
        <f>H103+J103</f>
        <v/>
      </c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25">
        <f>H104+J104</f>
        <v/>
      </c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25">
        <f>H105+J105</f>
        <v/>
      </c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25">
        <f>H106+J106</f>
        <v/>
      </c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25">
        <f>H107+J107</f>
        <v/>
      </c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25">
        <f>H108+J108</f>
        <v/>
      </c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25">
        <f>H109+J109</f>
        <v/>
      </c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25">
        <f>H110+J110</f>
        <v/>
      </c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25">
        <f>H111+J111</f>
        <v/>
      </c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25">
        <f>H112+J112</f>
        <v/>
      </c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25">
        <f>H113+J113</f>
        <v/>
      </c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25">
        <f>H114+J114</f>
        <v/>
      </c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25">
        <f>H115+J115</f>
        <v/>
      </c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25">
        <f>H116+J116</f>
        <v/>
      </c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25">
        <f>H117+J117</f>
        <v/>
      </c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25">
        <f>H118+J118</f>
        <v/>
      </c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25">
        <f>H119+J119</f>
        <v/>
      </c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25">
        <f>H120+J120</f>
        <v/>
      </c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25">
        <f>H121+J121</f>
        <v/>
      </c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25">
        <f>H122+J122</f>
        <v/>
      </c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25">
        <f>H123+J123</f>
        <v/>
      </c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25">
        <f>H124+J124</f>
        <v/>
      </c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25">
        <f>H125+J125</f>
        <v/>
      </c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25">
        <f>H126+J126</f>
        <v/>
      </c>
      <c r="L126" s="4" t="n"/>
      <c r="M126" s="4" t="n"/>
      <c r="N126" s="4" t="n"/>
      <c r="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25">
        <f>H127+J127</f>
        <v/>
      </c>
      <c r="L127" s="4" t="n"/>
      <c r="M127" s="4" t="n"/>
      <c r="N127" s="4" t="n"/>
      <c r="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25">
        <f>H128+J128</f>
        <v/>
      </c>
      <c r="L128" s="4" t="n"/>
      <c r="M128" s="4" t="n"/>
      <c r="N128" s="4" t="n"/>
      <c r="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25">
        <f>H129+J129</f>
        <v/>
      </c>
      <c r="L129" s="4" t="n"/>
      <c r="M129" s="4" t="n"/>
      <c r="N129" s="4" t="n"/>
      <c r="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25">
        <f>H130+J130</f>
        <v/>
      </c>
      <c r="L130" s="4" t="n"/>
      <c r="M130" s="4" t="n"/>
      <c r="N130" s="4" t="n"/>
      <c r="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25">
        <f>H131+J131</f>
        <v/>
      </c>
      <c r="L131" s="4" t="n"/>
      <c r="M131" s="4" t="n"/>
      <c r="N131" s="4" t="n"/>
      <c r="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25">
        <f>H132+J132</f>
        <v/>
      </c>
      <c r="L132" s="4" t="n"/>
      <c r="M132" s="4" t="n"/>
      <c r="N132" s="4" t="n"/>
      <c r="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25">
        <f>H133+J133</f>
        <v/>
      </c>
      <c r="L133" s="4" t="n"/>
      <c r="M133" s="4" t="n"/>
      <c r="N133" s="4" t="n"/>
      <c r="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25">
        <f>H134+J134</f>
        <v/>
      </c>
      <c r="L134" s="4" t="n"/>
      <c r="M134" s="4" t="n"/>
      <c r="N134" s="4" t="n"/>
      <c r="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25">
        <f>H135+J135</f>
        <v/>
      </c>
      <c r="L135" s="4" t="n"/>
      <c r="M135" s="4" t="n"/>
      <c r="N135" s="4" t="n"/>
      <c r="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25">
        <f>H136+J136</f>
        <v/>
      </c>
      <c r="L136" s="4" t="n"/>
      <c r="M136" s="4" t="n"/>
      <c r="N136" s="4" t="n"/>
      <c r="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25">
        <f>H137+J137</f>
        <v/>
      </c>
      <c r="L137" s="4" t="n"/>
      <c r="M137" s="4" t="n"/>
      <c r="N137" s="4" t="n"/>
      <c r="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25">
        <f>H138+J138</f>
        <v/>
      </c>
      <c r="L138" s="4" t="n"/>
      <c r="M138" s="4" t="n"/>
      <c r="N138" s="4" t="n"/>
      <c r="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25">
        <f>H139+J139</f>
        <v/>
      </c>
      <c r="L139" s="4" t="n"/>
      <c r="M139" s="4" t="n"/>
      <c r="N139" s="4" t="n"/>
      <c r="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25">
        <f>H140+J140</f>
        <v/>
      </c>
      <c r="L140" s="4" t="n"/>
      <c r="M140" s="4" t="n"/>
      <c r="N140" s="4" t="n"/>
      <c r="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25">
        <f>H141+J141</f>
        <v/>
      </c>
      <c r="L141" s="4" t="n"/>
      <c r="M141" s="4" t="n"/>
      <c r="N141" s="4" t="n"/>
      <c r="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25">
        <f>H142+J142</f>
        <v/>
      </c>
      <c r="L142" s="4" t="n"/>
      <c r="M142" s="4" t="n"/>
      <c r="N142" s="4" t="n"/>
      <c r="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25">
        <f>H143+J143</f>
        <v/>
      </c>
      <c r="L143" s="4" t="n"/>
      <c r="M143" s="4" t="n"/>
      <c r="N143" s="4" t="n"/>
      <c r="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25">
        <f>H144+J144</f>
        <v/>
      </c>
      <c r="L144" s="4" t="n"/>
      <c r="M144" s="4" t="n"/>
      <c r="N144" s="4" t="n"/>
      <c r="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25">
        <f>H145+J145</f>
        <v/>
      </c>
      <c r="L145" s="4" t="n"/>
      <c r="M145" s="4" t="n"/>
      <c r="N145" s="4" t="n"/>
      <c r="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25">
        <f>H146+J146</f>
        <v/>
      </c>
      <c r="L146" s="4" t="n"/>
      <c r="M146" s="4" t="n"/>
      <c r="N146" s="4" t="n"/>
      <c r="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25">
        <f>H147+J147</f>
        <v/>
      </c>
      <c r="L147" s="4" t="n"/>
      <c r="M147" s="4" t="n"/>
      <c r="N147" s="4" t="n"/>
      <c r="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25">
        <f>H148+J148</f>
        <v/>
      </c>
      <c r="L148" s="4" t="n"/>
      <c r="M148" s="4" t="n"/>
      <c r="N148" s="4" t="n"/>
      <c r="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25">
        <f>H149+J149</f>
        <v/>
      </c>
      <c r="L149" s="4" t="n"/>
      <c r="M149" s="4" t="n"/>
      <c r="N149" s="4" t="n"/>
      <c r="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25">
        <f>H150+J150</f>
        <v/>
      </c>
      <c r="L150" s="4" t="n"/>
      <c r="M150" s="4" t="n"/>
      <c r="N150" s="4" t="n"/>
      <c r="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25">
        <f>H151+J151</f>
        <v/>
      </c>
      <c r="L151" s="4" t="n"/>
      <c r="M151" s="4" t="n"/>
      <c r="N151" s="4" t="n"/>
      <c r="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25">
        <f>H152+J152</f>
        <v/>
      </c>
      <c r="L152" s="4" t="n"/>
      <c r="M152" s="4" t="n"/>
      <c r="N152" s="4" t="n"/>
      <c r="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25">
        <f>H153+J153</f>
        <v/>
      </c>
      <c r="L153" s="4" t="n"/>
      <c r="M153" s="4" t="n"/>
      <c r="N153" s="4" t="n"/>
      <c r="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25">
        <f>H154+J154</f>
        <v/>
      </c>
      <c r="L154" s="4" t="n"/>
      <c r="M154" s="4" t="n"/>
      <c r="N154" s="4" t="n"/>
      <c r="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25">
        <f>H155+J155</f>
        <v/>
      </c>
      <c r="L155" s="4" t="n"/>
      <c r="M155" s="4" t="n"/>
      <c r="N155" s="4" t="n"/>
      <c r="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25">
        <f>H156+J156</f>
        <v/>
      </c>
      <c r="L156" s="4" t="n"/>
      <c r="M156" s="4" t="n"/>
      <c r="N156" s="4" t="n"/>
      <c r="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25">
        <f>H157+J157</f>
        <v/>
      </c>
      <c r="L157" s="4" t="n"/>
      <c r="M157" s="4" t="n"/>
      <c r="N157" s="4" t="n"/>
      <c r="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25">
        <f>H158+J158</f>
        <v/>
      </c>
      <c r="L158" s="4" t="n"/>
      <c r="M158" s="4" t="n"/>
      <c r="N158" s="4" t="n"/>
      <c r="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25">
        <f>H159+J159</f>
        <v/>
      </c>
      <c r="L159" s="4" t="n"/>
      <c r="M159" s="4" t="n"/>
      <c r="N159" s="4" t="n"/>
      <c r="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25">
        <f>H160+J160</f>
        <v/>
      </c>
      <c r="L160" s="4" t="n"/>
      <c r="M160" s="4" t="n"/>
      <c r="N160" s="4" t="n"/>
      <c r="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25">
        <f>H161+J161</f>
        <v/>
      </c>
      <c r="L161" s="4" t="n"/>
      <c r="M161" s="4" t="n"/>
      <c r="N161" s="4" t="n"/>
      <c r="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25">
        <f>H162+J162</f>
        <v/>
      </c>
      <c r="L162" s="4" t="n"/>
      <c r="M162" s="4" t="n"/>
      <c r="N162" s="4" t="n"/>
      <c r="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25">
        <f>H163+J163</f>
        <v/>
      </c>
      <c r="L163" s="4" t="n"/>
      <c r="M163" s="4" t="n"/>
      <c r="N163" s="4" t="n"/>
      <c r="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25">
        <f>H164+J164</f>
        <v/>
      </c>
      <c r="L164" s="4" t="n"/>
      <c r="M164" s="4" t="n"/>
      <c r="N164" s="4" t="n"/>
      <c r="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25">
        <f>H165+J165</f>
        <v/>
      </c>
      <c r="L165" s="4" t="n"/>
      <c r="M165" s="4" t="n"/>
      <c r="N165" s="4" t="n"/>
      <c r="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25">
        <f>H166+J166</f>
        <v/>
      </c>
      <c r="L166" s="4" t="n"/>
      <c r="M166" s="4" t="n"/>
      <c r="N166" s="4" t="n"/>
      <c r="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25">
        <f>H167+J167</f>
        <v/>
      </c>
      <c r="L167" s="4" t="n"/>
      <c r="M167" s="4" t="n"/>
      <c r="N167" s="4" t="n"/>
      <c r="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25">
        <f>H168+J168</f>
        <v/>
      </c>
      <c r="L168" s="4" t="n"/>
      <c r="M168" s="4" t="n"/>
      <c r="N168" s="4" t="n"/>
      <c r="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25">
        <f>H169+J169</f>
        <v/>
      </c>
      <c r="L169" s="4" t="n"/>
      <c r="M169" s="4" t="n"/>
      <c r="N169" s="4" t="n"/>
      <c r="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25">
        <f>H170+J170</f>
        <v/>
      </c>
      <c r="L170" s="4" t="n"/>
      <c r="M170" s="4" t="n"/>
      <c r="N170" s="4" t="n"/>
      <c r="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25">
        <f>H171+J171</f>
        <v/>
      </c>
      <c r="L171" s="4" t="n"/>
      <c r="M171" s="4" t="n"/>
      <c r="N171" s="4" t="n"/>
      <c r="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25">
        <f>H172+J172</f>
        <v/>
      </c>
      <c r="L172" s="4" t="n"/>
      <c r="M172" s="4" t="n"/>
      <c r="N172" s="4" t="n"/>
      <c r="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25">
        <f>H173+J173</f>
        <v/>
      </c>
      <c r="L173" s="4" t="n"/>
      <c r="M173" s="4" t="n"/>
      <c r="N173" s="4" t="n"/>
      <c r="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25">
        <f>H174+J174</f>
        <v/>
      </c>
      <c r="L174" s="4" t="n"/>
      <c r="M174" s="4" t="n"/>
      <c r="N174" s="4" t="n"/>
      <c r="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25">
        <f>H175+J175</f>
        <v/>
      </c>
      <c r="L175" s="4" t="n"/>
      <c r="M175" s="4" t="n"/>
      <c r="N175" s="4" t="n"/>
      <c r="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25">
        <f>H176+J176</f>
        <v/>
      </c>
      <c r="L176" s="4" t="n"/>
      <c r="M176" s="4" t="n"/>
      <c r="N176" s="4" t="n"/>
      <c r="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25">
        <f>H177+J177</f>
        <v/>
      </c>
      <c r="L177" s="4" t="n"/>
      <c r="M177" s="4" t="n"/>
      <c r="N177" s="4" t="n"/>
      <c r="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25">
        <f>H178+J178</f>
        <v/>
      </c>
      <c r="L178" s="4" t="n"/>
      <c r="M178" s="4" t="n"/>
      <c r="N178" s="4" t="n"/>
      <c r="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25">
        <f>H179+J179</f>
        <v/>
      </c>
      <c r="L179" s="4" t="n"/>
      <c r="M179" s="4" t="n"/>
      <c r="N179" s="4" t="n"/>
      <c r="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25">
        <f>H180+J180</f>
        <v/>
      </c>
      <c r="L180" s="4" t="n"/>
      <c r="M180" s="4" t="n"/>
      <c r="N180" s="4" t="n"/>
      <c r="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25">
        <f>H181+J181</f>
        <v/>
      </c>
      <c r="L181" s="4" t="n"/>
      <c r="M181" s="4" t="n"/>
      <c r="N181" s="4" t="n"/>
      <c r="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25">
        <f>H182+J182</f>
        <v/>
      </c>
      <c r="L182" s="4" t="n"/>
      <c r="M182" s="4" t="n"/>
      <c r="N182" s="4" t="n"/>
      <c r="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25">
        <f>H183+J183</f>
        <v/>
      </c>
      <c r="L183" s="4" t="n"/>
      <c r="M183" s="4" t="n"/>
      <c r="N183" s="4" t="n"/>
      <c r="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25">
        <f>H184+J184</f>
        <v/>
      </c>
      <c r="L184" s="4" t="n"/>
      <c r="M184" s="4" t="n"/>
      <c r="N184" s="4" t="n"/>
      <c r="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25">
        <f>H185+J185</f>
        <v/>
      </c>
      <c r="L185" s="4" t="n"/>
      <c r="M185" s="4" t="n"/>
      <c r="N185" s="4" t="n"/>
      <c r="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25">
        <f>H186+J186</f>
        <v/>
      </c>
      <c r="L186" s="4" t="n"/>
      <c r="M186" s="4" t="n"/>
      <c r="N186" s="4" t="n"/>
      <c r="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25">
        <f>H187+J187</f>
        <v/>
      </c>
      <c r="L187" s="4" t="n"/>
      <c r="M187" s="4" t="n"/>
      <c r="N187" s="4" t="n"/>
      <c r="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25">
        <f>H188+J188</f>
        <v/>
      </c>
      <c r="L188" s="4" t="n"/>
      <c r="M188" s="4" t="n"/>
      <c r="N188" s="4" t="n"/>
      <c r="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25">
        <f>H189+J189</f>
        <v/>
      </c>
      <c r="L189" s="4" t="n"/>
      <c r="M189" s="4" t="n"/>
      <c r="N189" s="4" t="n"/>
      <c r="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25">
        <f>H190+J190</f>
        <v/>
      </c>
      <c r="L190" s="4" t="n"/>
      <c r="M190" s="4" t="n"/>
      <c r="N190" s="4" t="n"/>
      <c r="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25">
        <f>H191+J191</f>
        <v/>
      </c>
      <c r="L191" s="4" t="n"/>
      <c r="M191" s="4" t="n"/>
      <c r="N191" s="4" t="n"/>
      <c r="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25">
        <f>H192+J192</f>
        <v/>
      </c>
      <c r="L192" s="4" t="n"/>
      <c r="M192" s="4" t="n"/>
      <c r="N192" s="4" t="n"/>
      <c r="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25">
        <f>H193+J193</f>
        <v/>
      </c>
      <c r="L193" s="4" t="n"/>
      <c r="M193" s="4" t="n"/>
      <c r="N193" s="4" t="n"/>
      <c r="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25">
        <f>H194+J194</f>
        <v/>
      </c>
      <c r="L194" s="4" t="n"/>
      <c r="M194" s="4" t="n"/>
      <c r="N194" s="4" t="n"/>
      <c r="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25">
        <f>H195+J195</f>
        <v/>
      </c>
      <c r="L195" s="4" t="n"/>
      <c r="M195" s="4" t="n"/>
      <c r="N195" s="4" t="n"/>
      <c r="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25">
        <f>H196+J196</f>
        <v/>
      </c>
      <c r="L196" s="4" t="n"/>
      <c r="M196" s="4" t="n"/>
      <c r="N196" s="4" t="n"/>
      <c r="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25">
        <f>H197+J197</f>
        <v/>
      </c>
      <c r="L197" s="4" t="n"/>
      <c r="M197" s="4" t="n"/>
      <c r="N197" s="4" t="n"/>
      <c r="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25">
        <f>H198+J198</f>
        <v/>
      </c>
      <c r="L198" s="4" t="n"/>
      <c r="M198" s="4" t="n"/>
      <c r="N198" s="4" t="n"/>
      <c r="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25">
        <f>H199+J199</f>
        <v/>
      </c>
      <c r="L199" s="4" t="n"/>
      <c r="M199" s="4" t="n"/>
      <c r="N199" s="4" t="n"/>
      <c r="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25">
        <f>H200+J200</f>
        <v/>
      </c>
      <c r="L200" s="4" t="n"/>
      <c r="M200" s="4" t="n"/>
      <c r="N200" s="4" t="n"/>
      <c r="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25">
        <f>H201+J201</f>
        <v/>
      </c>
      <c r="L201" s="4" t="n"/>
      <c r="M201" s="4" t="n"/>
      <c r="N201" s="4" t="n"/>
      <c r="O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25">
        <f>H202+J202</f>
        <v/>
      </c>
      <c r="L202" s="4" t="n"/>
      <c r="M202" s="4" t="n"/>
      <c r="N202" s="4" t="n"/>
      <c r="O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25">
        <f>H203+J203</f>
        <v/>
      </c>
      <c r="L203" s="4" t="n"/>
      <c r="M203" s="4" t="n"/>
      <c r="N203" s="4" t="n"/>
      <c r="O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25">
        <f>H204+J204</f>
        <v/>
      </c>
      <c r="L204" s="4" t="n"/>
      <c r="M204" s="4" t="n"/>
      <c r="N204" s="4" t="n"/>
      <c r="O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25">
        <f>H205+J205</f>
        <v/>
      </c>
      <c r="L205" s="4" t="n"/>
      <c r="M205" s="4" t="n"/>
      <c r="N205" s="4" t="n"/>
      <c r="O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25">
        <f>H206+J206</f>
        <v/>
      </c>
      <c r="L206" s="4" t="n"/>
      <c r="M206" s="4" t="n"/>
      <c r="N206" s="4" t="n"/>
      <c r="O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25">
        <f>H207+J207</f>
        <v/>
      </c>
      <c r="L207" s="4" t="n"/>
      <c r="M207" s="4" t="n"/>
      <c r="N207" s="4" t="n"/>
      <c r="O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25">
        <f>H208+J208</f>
        <v/>
      </c>
      <c r="L208" s="4" t="n"/>
      <c r="M208" s="4" t="n"/>
      <c r="N208" s="4" t="n"/>
      <c r="O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25">
        <f>H209+J209</f>
        <v/>
      </c>
      <c r="L209" s="4" t="n"/>
      <c r="M209" s="4" t="n"/>
      <c r="N209" s="4" t="n"/>
      <c r="O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25">
        <f>H210+J210</f>
        <v/>
      </c>
      <c r="L210" s="4" t="n"/>
      <c r="M210" s="4" t="n"/>
      <c r="N210" s="4" t="n"/>
      <c r="O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25">
        <f>H211+J211</f>
        <v/>
      </c>
      <c r="L211" s="4" t="n"/>
      <c r="M211" s="4" t="n"/>
      <c r="N211" s="4" t="n"/>
      <c r="O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25">
        <f>H212+J212</f>
        <v/>
      </c>
      <c r="L212" s="4" t="n"/>
      <c r="M212" s="4" t="n"/>
      <c r="N212" s="4" t="n"/>
      <c r="O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25">
        <f>H213+J213</f>
        <v/>
      </c>
      <c r="L213" s="4" t="n"/>
      <c r="M213" s="4" t="n"/>
      <c r="N213" s="4" t="n"/>
      <c r="O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25">
        <f>H214+J214</f>
        <v/>
      </c>
      <c r="L214" s="4" t="n"/>
      <c r="M214" s="4" t="n"/>
      <c r="N214" s="4" t="n"/>
      <c r="O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25">
        <f>H215+J215</f>
        <v/>
      </c>
      <c r="L215" s="4" t="n"/>
      <c r="M215" s="4" t="n"/>
      <c r="N215" s="4" t="n"/>
      <c r="O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25">
        <f>H216+J216</f>
        <v/>
      </c>
      <c r="L216" s="4" t="n"/>
      <c r="M216" s="4" t="n"/>
      <c r="N216" s="4" t="n"/>
      <c r="O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25">
        <f>H217+J217</f>
        <v/>
      </c>
      <c r="L217" s="4" t="n"/>
      <c r="M217" s="4" t="n"/>
      <c r="N217" s="4" t="n"/>
      <c r="O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25">
        <f>H218+J218</f>
        <v/>
      </c>
      <c r="L218" s="4" t="n"/>
      <c r="M218" s="4" t="n"/>
      <c r="N218" s="4" t="n"/>
      <c r="O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25">
        <f>H219+J219</f>
        <v/>
      </c>
      <c r="L219" s="4" t="n"/>
      <c r="M219" s="4" t="n"/>
      <c r="N219" s="4" t="n"/>
      <c r="O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25">
        <f>H220+J220</f>
        <v/>
      </c>
      <c r="L220" s="4" t="n"/>
      <c r="M220" s="4" t="n"/>
      <c r="N220" s="4" t="n"/>
      <c r="O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25">
        <f>H221+J221</f>
        <v/>
      </c>
      <c r="L221" s="4" t="n"/>
      <c r="M221" s="4" t="n"/>
      <c r="N221" s="4" t="n"/>
      <c r="O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25">
        <f>H222+J222</f>
        <v/>
      </c>
      <c r="L222" s="4" t="n"/>
      <c r="M222" s="4" t="n"/>
      <c r="N222" s="4" t="n"/>
      <c r="O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25">
        <f>H223+J223</f>
        <v/>
      </c>
      <c r="L223" s="4" t="n"/>
      <c r="M223" s="4" t="n"/>
      <c r="N223" s="4" t="n"/>
      <c r="O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25">
        <f>H224+J224</f>
        <v/>
      </c>
      <c r="L224" s="4" t="n"/>
      <c r="M224" s="4" t="n"/>
      <c r="N224" s="4" t="n"/>
      <c r="O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25">
        <f>H225+J225</f>
        <v/>
      </c>
      <c r="L225" s="4" t="n"/>
      <c r="M225" s="4" t="n"/>
      <c r="N225" s="4" t="n"/>
      <c r="O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25">
        <f>H226+J226</f>
        <v/>
      </c>
      <c r="L226" s="4" t="n"/>
      <c r="M226" s="4" t="n"/>
      <c r="N226" s="4" t="n"/>
      <c r="O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25">
        <f>H227+J227</f>
        <v/>
      </c>
      <c r="L227" s="4" t="n"/>
      <c r="M227" s="4" t="n"/>
      <c r="N227" s="4" t="n"/>
      <c r="O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25">
        <f>H228+J228</f>
        <v/>
      </c>
      <c r="L228" s="4" t="n"/>
      <c r="M228" s="4" t="n"/>
      <c r="N228" s="4" t="n"/>
      <c r="O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25">
        <f>H229+J229</f>
        <v/>
      </c>
      <c r="L229" s="4" t="n"/>
      <c r="M229" s="4" t="n"/>
      <c r="N229" s="4" t="n"/>
      <c r="O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25">
        <f>H230+J230</f>
        <v/>
      </c>
      <c r="L230" s="4" t="n"/>
      <c r="M230" s="4" t="n"/>
      <c r="N230" s="4" t="n"/>
      <c r="O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25">
        <f>H231+J231</f>
        <v/>
      </c>
      <c r="L231" s="4" t="n"/>
      <c r="M231" s="4" t="n"/>
      <c r="N231" s="4" t="n"/>
      <c r="O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25">
        <f>H232+J232</f>
        <v/>
      </c>
      <c r="L232" s="4" t="n"/>
      <c r="M232" s="4" t="n"/>
      <c r="N232" s="4" t="n"/>
      <c r="O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25">
        <f>H233+J233</f>
        <v/>
      </c>
      <c r="L233" s="4" t="n"/>
      <c r="M233" s="4" t="n"/>
      <c r="N233" s="4" t="n"/>
      <c r="O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25">
        <f>H234+J234</f>
        <v/>
      </c>
      <c r="L234" s="4" t="n"/>
      <c r="M234" s="4" t="n"/>
      <c r="N234" s="4" t="n"/>
      <c r="O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25">
        <f>H235+J235</f>
        <v/>
      </c>
      <c r="L235" s="4" t="n"/>
      <c r="M235" s="4" t="n"/>
      <c r="N235" s="4" t="n"/>
      <c r="O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25">
        <f>H236+J236</f>
        <v/>
      </c>
      <c r="L236" s="4" t="n"/>
      <c r="M236" s="4" t="n"/>
      <c r="N236" s="4" t="n"/>
      <c r="O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25">
        <f>H237+J237</f>
        <v/>
      </c>
      <c r="L237" s="4" t="n"/>
      <c r="M237" s="4" t="n"/>
      <c r="N237" s="4" t="n"/>
      <c r="O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25">
        <f>H238+J238</f>
        <v/>
      </c>
      <c r="L238" s="4" t="n"/>
      <c r="M238" s="4" t="n"/>
      <c r="N238" s="4" t="n"/>
      <c r="O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25">
        <f>H239+J239</f>
        <v/>
      </c>
      <c r="L239" s="4" t="n"/>
      <c r="M239" s="4" t="n"/>
      <c r="N239" s="4" t="n"/>
      <c r="O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25">
        <f>H240+J240</f>
        <v/>
      </c>
      <c r="L240" s="4" t="n"/>
      <c r="M240" s="4" t="n"/>
      <c r="N240" s="4" t="n"/>
      <c r="O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25">
        <f>H241+J241</f>
        <v/>
      </c>
      <c r="L241" s="4" t="n"/>
      <c r="M241" s="4" t="n"/>
      <c r="N241" s="4" t="n"/>
      <c r="O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25">
        <f>H242+J242</f>
        <v/>
      </c>
      <c r="L242" s="4" t="n"/>
      <c r="M242" s="4" t="n"/>
      <c r="N242" s="4" t="n"/>
      <c r="O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25">
        <f>H243+J243</f>
        <v/>
      </c>
      <c r="L243" s="4" t="n"/>
      <c r="M243" s="4" t="n"/>
      <c r="N243" s="4" t="n"/>
      <c r="O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25">
        <f>H244+J244</f>
        <v/>
      </c>
      <c r="L244" s="4" t="n"/>
      <c r="M244" s="4" t="n"/>
      <c r="N244" s="4" t="n"/>
      <c r="O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25">
        <f>H245+J245</f>
        <v/>
      </c>
      <c r="L245" s="4" t="n"/>
      <c r="M245" s="4" t="n"/>
      <c r="N245" s="4" t="n"/>
      <c r="O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25">
        <f>H246+J246</f>
        <v/>
      </c>
      <c r="L246" s="4" t="n"/>
      <c r="M246" s="4" t="n"/>
      <c r="N246" s="4" t="n"/>
      <c r="O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25">
        <f>H247+J247</f>
        <v/>
      </c>
      <c r="L247" s="4" t="n"/>
      <c r="M247" s="4" t="n"/>
      <c r="N247" s="4" t="n"/>
      <c r="O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25">
        <f>H248+J248</f>
        <v/>
      </c>
      <c r="L248" s="4" t="n"/>
      <c r="M248" s="4" t="n"/>
      <c r="N248" s="4" t="n"/>
      <c r="O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25">
        <f>H249+J249</f>
        <v/>
      </c>
      <c r="L249" s="4" t="n"/>
      <c r="M249" s="4" t="n"/>
      <c r="N249" s="4" t="n"/>
      <c r="O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25">
        <f>H250+J250</f>
        <v/>
      </c>
      <c r="L250" s="4" t="n"/>
      <c r="M250" s="4" t="n"/>
      <c r="N250" s="4" t="n"/>
      <c r="O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25">
        <f>H251+J251</f>
        <v/>
      </c>
      <c r="L251" s="4" t="n"/>
      <c r="M251" s="4" t="n"/>
      <c r="N251" s="4" t="n"/>
      <c r="O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25">
        <f>H252+J252</f>
        <v/>
      </c>
      <c r="L252" s="4" t="n"/>
      <c r="M252" s="4" t="n"/>
      <c r="N252" s="4" t="n"/>
      <c r="O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25">
        <f>H253+J253</f>
        <v/>
      </c>
      <c r="L253" s="4" t="n"/>
      <c r="M253" s="4" t="n"/>
      <c r="N253" s="4" t="n"/>
      <c r="O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25">
        <f>H254+J254</f>
        <v/>
      </c>
      <c r="L254" s="4" t="n"/>
      <c r="M254" s="4" t="n"/>
      <c r="N254" s="4" t="n"/>
      <c r="O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25">
        <f>H255+J255</f>
        <v/>
      </c>
      <c r="L255" s="4" t="n"/>
      <c r="M255" s="4" t="n"/>
      <c r="N255" s="4" t="n"/>
      <c r="O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25">
        <f>H256+J256</f>
        <v/>
      </c>
      <c r="L256" s="4" t="n"/>
      <c r="M256" s="4" t="n"/>
      <c r="N256" s="4" t="n"/>
      <c r="O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25">
        <f>H257+J257</f>
        <v/>
      </c>
      <c r="L257" s="4" t="n"/>
      <c r="M257" s="4" t="n"/>
      <c r="N257" s="4" t="n"/>
      <c r="O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25">
        <f>H258+J258</f>
        <v/>
      </c>
      <c r="L258" s="4" t="n"/>
      <c r="M258" s="4" t="n"/>
      <c r="N258" s="4" t="n"/>
      <c r="O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25">
        <f>H259+J259</f>
        <v/>
      </c>
      <c r="L259" s="4" t="n"/>
      <c r="M259" s="4" t="n"/>
      <c r="N259" s="4" t="n"/>
      <c r="O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25">
        <f>H260+J260</f>
        <v/>
      </c>
      <c r="L260" s="4" t="n"/>
      <c r="M260" s="4" t="n"/>
      <c r="N260" s="4" t="n"/>
      <c r="O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25">
        <f>H261+J261</f>
        <v/>
      </c>
      <c r="L261" s="4" t="n"/>
      <c r="M261" s="4" t="n"/>
      <c r="N261" s="4" t="n"/>
      <c r="O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25">
        <f>H262+J262</f>
        <v/>
      </c>
      <c r="L262" s="4" t="n"/>
      <c r="M262" s="4" t="n"/>
      <c r="N262" s="4" t="n"/>
      <c r="O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25">
        <f>H263+J263</f>
        <v/>
      </c>
      <c r="L263" s="4" t="n"/>
      <c r="M263" s="4" t="n"/>
      <c r="N263" s="4" t="n"/>
      <c r="O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25">
        <f>H264+J264</f>
        <v/>
      </c>
      <c r="L264" s="4" t="n"/>
      <c r="M264" s="4" t="n"/>
      <c r="N264" s="4" t="n"/>
      <c r="O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25">
        <f>H265+J265</f>
        <v/>
      </c>
      <c r="L265" s="4" t="n"/>
      <c r="M265" s="4" t="n"/>
      <c r="N265" s="4" t="n"/>
      <c r="O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25">
        <f>H266+J266</f>
        <v/>
      </c>
      <c r="L266" s="4" t="n"/>
      <c r="M266" s="4" t="n"/>
      <c r="N266" s="4" t="n"/>
      <c r="O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25">
        <f>H267+J267</f>
        <v/>
      </c>
      <c r="L267" s="4" t="n"/>
      <c r="M267" s="4" t="n"/>
      <c r="N267" s="4" t="n"/>
      <c r="O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25">
        <f>H268+J268</f>
        <v/>
      </c>
      <c r="L268" s="4" t="n"/>
      <c r="M268" s="4" t="n"/>
      <c r="N268" s="4" t="n"/>
      <c r="O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25">
        <f>H269+J269</f>
        <v/>
      </c>
      <c r="L269" s="4" t="n"/>
      <c r="M269" s="4" t="n"/>
      <c r="N269" s="4" t="n"/>
      <c r="O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25">
        <f>H270+J270</f>
        <v/>
      </c>
      <c r="L270" s="4" t="n"/>
      <c r="M270" s="4" t="n"/>
      <c r="N270" s="4" t="n"/>
      <c r="O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25">
        <f>H271+J271</f>
        <v/>
      </c>
      <c r="L271" s="4" t="n"/>
      <c r="M271" s="4" t="n"/>
      <c r="N271" s="4" t="n"/>
      <c r="O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25">
        <f>H272+J272</f>
        <v/>
      </c>
      <c r="L272" s="4" t="n"/>
      <c r="M272" s="4" t="n"/>
      <c r="N272" s="4" t="n"/>
      <c r="O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25">
        <f>H273+J273</f>
        <v/>
      </c>
      <c r="L273" s="4" t="n"/>
      <c r="M273" s="4" t="n"/>
      <c r="N273" s="4" t="n"/>
      <c r="O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25">
        <f>H274+J274</f>
        <v/>
      </c>
      <c r="L274" s="4" t="n"/>
      <c r="M274" s="4" t="n"/>
      <c r="N274" s="4" t="n"/>
      <c r="O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25">
        <f>H275+J275</f>
        <v/>
      </c>
      <c r="L275" s="4" t="n"/>
      <c r="M275" s="4" t="n"/>
      <c r="N275" s="4" t="n"/>
      <c r="O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25">
        <f>H276+J276</f>
        <v/>
      </c>
      <c r="L276" s="4" t="n"/>
      <c r="M276" s="4" t="n"/>
      <c r="N276" s="4" t="n"/>
      <c r="O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25">
        <f>H277+J277</f>
        <v/>
      </c>
      <c r="L277" s="4" t="n"/>
      <c r="M277" s="4" t="n"/>
      <c r="N277" s="4" t="n"/>
      <c r="O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25">
        <f>H278+J278</f>
        <v/>
      </c>
      <c r="L278" s="4" t="n"/>
      <c r="M278" s="4" t="n"/>
      <c r="N278" s="4" t="n"/>
      <c r="O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25">
        <f>H279+J279</f>
        <v/>
      </c>
      <c r="L279" s="4" t="n"/>
      <c r="M279" s="4" t="n"/>
      <c r="N279" s="4" t="n"/>
      <c r="O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25">
        <f>H280+J280</f>
        <v/>
      </c>
      <c r="L280" s="4" t="n"/>
      <c r="M280" s="4" t="n"/>
      <c r="N280" s="4" t="n"/>
      <c r="O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25">
        <f>H281+J281</f>
        <v/>
      </c>
      <c r="L281" s="4" t="n"/>
      <c r="M281" s="4" t="n"/>
      <c r="N281" s="4" t="n"/>
      <c r="O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25">
        <f>H282+J282</f>
        <v/>
      </c>
      <c r="L282" s="4" t="n"/>
      <c r="M282" s="4" t="n"/>
      <c r="N282" s="4" t="n"/>
      <c r="O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25">
        <f>H283+J283</f>
        <v/>
      </c>
      <c r="L283" s="4" t="n"/>
      <c r="M283" s="4" t="n"/>
      <c r="N283" s="4" t="n"/>
      <c r="O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25">
        <f>H284+J284</f>
        <v/>
      </c>
      <c r="L284" s="4" t="n"/>
      <c r="M284" s="4" t="n"/>
      <c r="N284" s="4" t="n"/>
      <c r="O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25">
        <f>H285+J285</f>
        <v/>
      </c>
      <c r="L285" s="4" t="n"/>
      <c r="M285" s="4" t="n"/>
      <c r="N285" s="4" t="n"/>
      <c r="O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25">
        <f>H286+J286</f>
        <v/>
      </c>
      <c r="L286" s="4" t="n"/>
      <c r="M286" s="4" t="n"/>
      <c r="N286" s="4" t="n"/>
      <c r="O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25">
        <f>H287+J287</f>
        <v/>
      </c>
      <c r="L287" s="4" t="n"/>
      <c r="M287" s="4" t="n"/>
      <c r="N287" s="4" t="n"/>
      <c r="O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25">
        <f>H288+J288</f>
        <v/>
      </c>
      <c r="L288" s="4" t="n"/>
      <c r="M288" s="4" t="n"/>
      <c r="N288" s="4" t="n"/>
      <c r="O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25">
        <f>H289+J289</f>
        <v/>
      </c>
      <c r="L289" s="4" t="n"/>
      <c r="M289" s="4" t="n"/>
      <c r="N289" s="4" t="n"/>
      <c r="O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25">
        <f>H290+J290</f>
        <v/>
      </c>
      <c r="L290" s="4" t="n"/>
      <c r="M290" s="4" t="n"/>
      <c r="N290" s="4" t="n"/>
      <c r="O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25">
        <f>H291+J291</f>
        <v/>
      </c>
      <c r="L291" s="4" t="n"/>
      <c r="M291" s="4" t="n"/>
      <c r="N291" s="4" t="n"/>
      <c r="O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25">
        <f>H292+J292</f>
        <v/>
      </c>
      <c r="L292" s="4" t="n"/>
      <c r="M292" s="4" t="n"/>
      <c r="N292" s="4" t="n"/>
      <c r="O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25">
        <f>H293+J293</f>
        <v/>
      </c>
      <c r="L293" s="4" t="n"/>
      <c r="M293" s="4" t="n"/>
      <c r="N293" s="4" t="n"/>
      <c r="O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25">
        <f>H294+J294</f>
        <v/>
      </c>
      <c r="L294" s="4" t="n"/>
      <c r="M294" s="4" t="n"/>
      <c r="N294" s="4" t="n"/>
      <c r="O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25">
        <f>H295+J295</f>
        <v/>
      </c>
      <c r="L295" s="4" t="n"/>
      <c r="M295" s="4" t="n"/>
      <c r="N295" s="4" t="n"/>
      <c r="O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25">
        <f>H296+J296</f>
        <v/>
      </c>
      <c r="L296" s="4" t="n"/>
      <c r="M296" s="4" t="n"/>
      <c r="N296" s="4" t="n"/>
      <c r="O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25">
        <f>H297+J297</f>
        <v/>
      </c>
      <c r="L297" s="4" t="n"/>
      <c r="M297" s="4" t="n"/>
      <c r="N297" s="4" t="n"/>
      <c r="O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25">
        <f>H298+J298</f>
        <v/>
      </c>
      <c r="L298" s="4" t="n"/>
      <c r="M298" s="4" t="n"/>
      <c r="N298" s="4" t="n"/>
      <c r="O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25">
        <f>H299+J299</f>
        <v/>
      </c>
      <c r="L299" s="4" t="n"/>
      <c r="M299" s="4" t="n"/>
      <c r="N299" s="4" t="n"/>
      <c r="O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25">
        <f>H300+J300</f>
        <v/>
      </c>
      <c r="L300" s="4" t="n"/>
      <c r="M300" s="4" t="n"/>
      <c r="N300" s="4" t="n"/>
      <c r="O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25">
        <f>H301+J301</f>
        <v/>
      </c>
      <c r="L301" s="4" t="n"/>
      <c r="M301" s="4" t="n"/>
      <c r="N301" s="4" t="n"/>
      <c r="O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25">
        <f>H302+J302</f>
        <v/>
      </c>
      <c r="L302" s="4" t="n"/>
      <c r="M302" s="4" t="n"/>
      <c r="N302" s="4" t="n"/>
      <c r="O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25">
        <f>H303+J303</f>
        <v/>
      </c>
      <c r="L303" s="4" t="n"/>
      <c r="M303" s="4" t="n"/>
      <c r="N303" s="4" t="n"/>
      <c r="O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25">
        <f>H304+J304</f>
        <v/>
      </c>
      <c r="L304" s="4" t="n"/>
      <c r="M304" s="4" t="n"/>
      <c r="N304" s="4" t="n"/>
      <c r="O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25">
        <f>H305+J305</f>
        <v/>
      </c>
      <c r="L305" s="4" t="n"/>
      <c r="M305" s="4" t="n"/>
      <c r="N305" s="4" t="n"/>
      <c r="O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25">
        <f>H306+J306</f>
        <v/>
      </c>
      <c r="L306" s="4" t="n"/>
      <c r="M306" s="4" t="n"/>
      <c r="N306" s="4" t="n"/>
      <c r="O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25">
        <f>H307+J307</f>
        <v/>
      </c>
      <c r="L307" s="4" t="n"/>
      <c r="M307" s="4" t="n"/>
      <c r="N307" s="4" t="n"/>
      <c r="O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25">
        <f>H308+J308</f>
        <v/>
      </c>
      <c r="L308" s="4" t="n"/>
      <c r="M308" s="4" t="n"/>
      <c r="N308" s="4" t="n"/>
      <c r="O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25">
        <f>H309+J309</f>
        <v/>
      </c>
      <c r="L309" s="4" t="n"/>
      <c r="M309" s="4" t="n"/>
      <c r="N309" s="4" t="n"/>
      <c r="O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25">
        <f>H310+J310</f>
        <v/>
      </c>
      <c r="L310" s="4" t="n"/>
      <c r="M310" s="4" t="n"/>
      <c r="N310" s="4" t="n"/>
      <c r="O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25">
        <f>H311+J311</f>
        <v/>
      </c>
      <c r="L311" s="4" t="n"/>
      <c r="M311" s="4" t="n"/>
      <c r="N311" s="4" t="n"/>
      <c r="O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25">
        <f>H312+J312</f>
        <v/>
      </c>
      <c r="L312" s="4" t="n"/>
      <c r="M312" s="4" t="n"/>
      <c r="N312" s="4" t="n"/>
      <c r="O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25">
        <f>H313+J313</f>
        <v/>
      </c>
      <c r="L313" s="4" t="n"/>
      <c r="M313" s="4" t="n"/>
      <c r="N313" s="4" t="n"/>
      <c r="O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25">
        <f>H314+J314</f>
        <v/>
      </c>
      <c r="L314" s="4" t="n"/>
      <c r="M314" s="4" t="n"/>
      <c r="N314" s="4" t="n"/>
      <c r="O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25">
        <f>H315+J315</f>
        <v/>
      </c>
      <c r="L315" s="4" t="n"/>
      <c r="M315" s="4" t="n"/>
      <c r="N315" s="4" t="n"/>
      <c r="O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25">
        <f>H316+J316</f>
        <v/>
      </c>
      <c r="L316" s="4" t="n"/>
      <c r="M316" s="4" t="n"/>
      <c r="N316" s="4" t="n"/>
      <c r="O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25">
        <f>H317+J317</f>
        <v/>
      </c>
      <c r="L317" s="4" t="n"/>
      <c r="M317" s="4" t="n"/>
      <c r="N317" s="4" t="n"/>
      <c r="O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25">
        <f>H318+J318</f>
        <v/>
      </c>
      <c r="L318" s="4" t="n"/>
      <c r="M318" s="4" t="n"/>
      <c r="N318" s="4" t="n"/>
      <c r="O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25">
        <f>H319+J319</f>
        <v/>
      </c>
      <c r="L319" s="4" t="n"/>
      <c r="M319" s="4" t="n"/>
      <c r="N319" s="4" t="n"/>
      <c r="O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25">
        <f>H320+J320</f>
        <v/>
      </c>
      <c r="L320" s="4" t="n"/>
      <c r="M320" s="4" t="n"/>
      <c r="N320" s="4" t="n"/>
      <c r="O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25">
        <f>H321+J321</f>
        <v/>
      </c>
      <c r="L321" s="4" t="n"/>
      <c r="M321" s="4" t="n"/>
      <c r="N321" s="4" t="n"/>
      <c r="O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25">
        <f>H322+J322</f>
        <v/>
      </c>
      <c r="L322" s="4" t="n"/>
      <c r="M322" s="4" t="n"/>
      <c r="N322" s="4" t="n"/>
      <c r="O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25">
        <f>H323+J323</f>
        <v/>
      </c>
      <c r="L323" s="4" t="n"/>
      <c r="M323" s="4" t="n"/>
      <c r="N323" s="4" t="n"/>
      <c r="O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25">
        <f>H324+J324</f>
        <v/>
      </c>
      <c r="L324" s="4" t="n"/>
      <c r="M324" s="4" t="n"/>
      <c r="N324" s="4" t="n"/>
      <c r="O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25">
        <f>H325+J325</f>
        <v/>
      </c>
      <c r="L325" s="4" t="n"/>
      <c r="M325" s="4" t="n"/>
      <c r="N325" s="4" t="n"/>
      <c r="O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25">
        <f>H326+J326</f>
        <v/>
      </c>
      <c r="L326" s="4" t="n"/>
      <c r="M326" s="4" t="n"/>
      <c r="N326" s="4" t="n"/>
      <c r="O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25">
        <f>H327+J327</f>
        <v/>
      </c>
      <c r="L327" s="4" t="n"/>
      <c r="M327" s="4" t="n"/>
      <c r="N327" s="4" t="n"/>
      <c r="O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25">
        <f>H328+J328</f>
        <v/>
      </c>
      <c r="L328" s="4" t="n"/>
      <c r="M328" s="4" t="n"/>
      <c r="N328" s="4" t="n"/>
      <c r="O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25">
        <f>H329+J329</f>
        <v/>
      </c>
      <c r="L329" s="4" t="n"/>
      <c r="M329" s="4" t="n"/>
      <c r="N329" s="4" t="n"/>
      <c r="O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25">
        <f>H330+J330</f>
        <v/>
      </c>
      <c r="L330" s="4" t="n"/>
      <c r="M330" s="4" t="n"/>
      <c r="N330" s="4" t="n"/>
      <c r="O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25">
        <f>H331+J331</f>
        <v/>
      </c>
      <c r="L331" s="4" t="n"/>
      <c r="M331" s="4" t="n"/>
      <c r="N331" s="4" t="n"/>
      <c r="O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25">
        <f>H332+J332</f>
        <v/>
      </c>
      <c r="L332" s="4" t="n"/>
      <c r="M332" s="4" t="n"/>
      <c r="N332" s="4" t="n"/>
      <c r="O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25">
        <f>H333+J333</f>
        <v/>
      </c>
      <c r="L333" s="4" t="n"/>
      <c r="M333" s="4" t="n"/>
      <c r="N333" s="4" t="n"/>
      <c r="O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25">
        <f>H334+J334</f>
        <v/>
      </c>
      <c r="L334" s="4" t="n"/>
      <c r="M334" s="4" t="n"/>
      <c r="N334" s="4" t="n"/>
      <c r="O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25">
        <f>H335+J335</f>
        <v/>
      </c>
      <c r="L335" s="4" t="n"/>
      <c r="M335" s="4" t="n"/>
      <c r="N335" s="4" t="n"/>
      <c r="O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25">
        <f>H336+J336</f>
        <v/>
      </c>
      <c r="L336" s="4" t="n"/>
      <c r="M336" s="4" t="n"/>
      <c r="N336" s="4" t="n"/>
      <c r="O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25">
        <f>H337+J337</f>
        <v/>
      </c>
      <c r="L337" s="4" t="n"/>
      <c r="M337" s="4" t="n"/>
      <c r="N337" s="4" t="n"/>
      <c r="O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25">
        <f>H338+J338</f>
        <v/>
      </c>
      <c r="L338" s="4" t="n"/>
      <c r="M338" s="4" t="n"/>
      <c r="N338" s="4" t="n"/>
      <c r="O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25">
        <f>H339+J339</f>
        <v/>
      </c>
      <c r="L339" s="4" t="n"/>
      <c r="M339" s="4" t="n"/>
      <c r="N339" s="4" t="n"/>
      <c r="O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25">
        <f>H340+J340</f>
        <v/>
      </c>
      <c r="L340" s="4" t="n"/>
      <c r="M340" s="4" t="n"/>
      <c r="N340" s="4" t="n"/>
      <c r="O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25">
        <f>H341+J341</f>
        <v/>
      </c>
      <c r="L341" s="4" t="n"/>
      <c r="M341" s="4" t="n"/>
      <c r="N341" s="4" t="n"/>
      <c r="O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25">
        <f>H342+J342</f>
        <v/>
      </c>
      <c r="L342" s="4" t="n"/>
      <c r="M342" s="4" t="n"/>
      <c r="N342" s="4" t="n"/>
      <c r="O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25">
        <f>H343+J343</f>
        <v/>
      </c>
      <c r="L343" s="4" t="n"/>
      <c r="M343" s="4" t="n"/>
      <c r="N343" s="4" t="n"/>
      <c r="O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25">
        <f>H344+J344</f>
        <v/>
      </c>
      <c r="L344" s="4" t="n"/>
      <c r="M344" s="4" t="n"/>
      <c r="N344" s="4" t="n"/>
      <c r="O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25">
        <f>H345+J345</f>
        <v/>
      </c>
      <c r="L345" s="4" t="n"/>
      <c r="M345" s="4" t="n"/>
      <c r="N345" s="4" t="n"/>
      <c r="O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25">
        <f>H346+J346</f>
        <v/>
      </c>
      <c r="L346" s="4" t="n"/>
      <c r="M346" s="4" t="n"/>
      <c r="N346" s="4" t="n"/>
      <c r="O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25">
        <f>H347+J347</f>
        <v/>
      </c>
      <c r="L347" s="4" t="n"/>
      <c r="M347" s="4" t="n"/>
      <c r="N347" s="4" t="n"/>
      <c r="O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25">
        <f>H348+J348</f>
        <v/>
      </c>
      <c r="L348" s="4" t="n"/>
      <c r="M348" s="4" t="n"/>
      <c r="N348" s="4" t="n"/>
      <c r="O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25">
        <f>H349+J349</f>
        <v/>
      </c>
      <c r="L349" s="4" t="n"/>
      <c r="M349" s="4" t="n"/>
      <c r="N349" s="4" t="n"/>
      <c r="O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25">
        <f>H350+J350</f>
        <v/>
      </c>
      <c r="L350" s="4" t="n"/>
      <c r="M350" s="4" t="n"/>
      <c r="N350" s="4" t="n"/>
      <c r="O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25">
        <f>H351+J351</f>
        <v/>
      </c>
      <c r="L351" s="4" t="n"/>
      <c r="M351" s="4" t="n"/>
      <c r="N351" s="4" t="n"/>
      <c r="O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25">
        <f>H352+J352</f>
        <v/>
      </c>
      <c r="L352" s="4" t="n"/>
      <c r="M352" s="4" t="n"/>
      <c r="N352" s="4" t="n"/>
      <c r="O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25">
        <f>H353+J353</f>
        <v/>
      </c>
      <c r="L353" s="4" t="n"/>
      <c r="M353" s="4" t="n"/>
      <c r="N353" s="4" t="n"/>
      <c r="O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25">
        <f>H354+J354</f>
        <v/>
      </c>
      <c r="L354" s="4" t="n"/>
      <c r="M354" s="4" t="n"/>
      <c r="N354" s="4" t="n"/>
      <c r="O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25">
        <f>H355+J355</f>
        <v/>
      </c>
      <c r="L355" s="4" t="n"/>
      <c r="M355" s="4" t="n"/>
      <c r="N355" s="4" t="n"/>
      <c r="O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25">
        <f>H356+J356</f>
        <v/>
      </c>
      <c r="L356" s="4" t="n"/>
      <c r="M356" s="4" t="n"/>
      <c r="N356" s="4" t="n"/>
      <c r="O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25">
        <f>H357+J357</f>
        <v/>
      </c>
      <c r="L357" s="4" t="n"/>
      <c r="M357" s="4" t="n"/>
      <c r="N357" s="4" t="n"/>
      <c r="O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25">
        <f>H358+J358</f>
        <v/>
      </c>
      <c r="L358" s="4" t="n"/>
      <c r="M358" s="4" t="n"/>
      <c r="N358" s="4" t="n"/>
      <c r="O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25">
        <f>H359+J359</f>
        <v/>
      </c>
      <c r="L359" s="4" t="n"/>
      <c r="M359" s="4" t="n"/>
      <c r="N359" s="4" t="n"/>
      <c r="O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25">
        <f>H360+J360</f>
        <v/>
      </c>
      <c r="L360" s="4" t="n"/>
      <c r="M360" s="4" t="n"/>
      <c r="N360" s="4" t="n"/>
      <c r="O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25">
        <f>H361+J361</f>
        <v/>
      </c>
      <c r="L361" s="4" t="n"/>
      <c r="M361" s="4" t="n"/>
      <c r="N361" s="4" t="n"/>
      <c r="O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25">
        <f>H362+J362</f>
        <v/>
      </c>
      <c r="L362" s="4" t="n"/>
      <c r="M362" s="4" t="n"/>
      <c r="N362" s="4" t="n"/>
      <c r="O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25">
        <f>H363+J363</f>
        <v/>
      </c>
      <c r="L363" s="4" t="n"/>
      <c r="M363" s="4" t="n"/>
      <c r="N363" s="4" t="n"/>
      <c r="O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25">
        <f>H364+J364</f>
        <v/>
      </c>
      <c r="L364" s="4" t="n"/>
      <c r="M364" s="4" t="n"/>
      <c r="N364" s="4" t="n"/>
      <c r="O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25">
        <f>H365+J365</f>
        <v/>
      </c>
      <c r="L365" s="4" t="n"/>
      <c r="M365" s="4" t="n"/>
      <c r="N365" s="4" t="n"/>
      <c r="O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25">
        <f>H366+J366</f>
        <v/>
      </c>
      <c r="L366" s="4" t="n"/>
      <c r="M366" s="4" t="n"/>
      <c r="N366" s="4" t="n"/>
      <c r="O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25">
        <f>H367+J367</f>
        <v/>
      </c>
      <c r="L367" s="4" t="n"/>
      <c r="M367" s="4" t="n"/>
      <c r="N367" s="4" t="n"/>
      <c r="O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25">
        <f>H368+J368</f>
        <v/>
      </c>
      <c r="L368" s="4" t="n"/>
      <c r="M368" s="4" t="n"/>
      <c r="N368" s="4" t="n"/>
      <c r="O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25">
        <f>H369+J369</f>
        <v/>
      </c>
      <c r="L369" s="4" t="n"/>
      <c r="M369" s="4" t="n"/>
      <c r="N369" s="4" t="n"/>
      <c r="O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25">
        <f>H370+J370</f>
        <v/>
      </c>
      <c r="L370" s="4" t="n"/>
      <c r="M370" s="4" t="n"/>
      <c r="N370" s="4" t="n"/>
      <c r="O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25">
        <f>H371+J371</f>
        <v/>
      </c>
      <c r="L371" s="4" t="n"/>
      <c r="M371" s="4" t="n"/>
      <c r="N371" s="4" t="n"/>
      <c r="O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25">
        <f>H372+J372</f>
        <v/>
      </c>
      <c r="L372" s="4" t="n"/>
      <c r="M372" s="4" t="n"/>
      <c r="N372" s="4" t="n"/>
      <c r="O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25">
        <f>H373+J373</f>
        <v/>
      </c>
      <c r="L373" s="4" t="n"/>
      <c r="M373" s="4" t="n"/>
      <c r="N373" s="4" t="n"/>
      <c r="O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25">
        <f>H374+J374</f>
        <v/>
      </c>
      <c r="L374" s="4" t="n"/>
      <c r="M374" s="4" t="n"/>
      <c r="N374" s="4" t="n"/>
      <c r="O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25">
        <f>H375+J375</f>
        <v/>
      </c>
      <c r="L375" s="4" t="n"/>
      <c r="M375" s="4" t="n"/>
      <c r="N375" s="4" t="n"/>
      <c r="O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25">
        <f>H376+J376</f>
        <v/>
      </c>
      <c r="L376" s="4" t="n"/>
      <c r="M376" s="4" t="n"/>
      <c r="N376" s="4" t="n"/>
      <c r="O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25">
        <f>H377+J377</f>
        <v/>
      </c>
      <c r="L377" s="4" t="n"/>
      <c r="M377" s="4" t="n"/>
      <c r="N377" s="4" t="n"/>
      <c r="O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25">
        <f>H378+J378</f>
        <v/>
      </c>
      <c r="L378" s="4" t="n"/>
      <c r="M378" s="4" t="n"/>
      <c r="N378" s="4" t="n"/>
      <c r="O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25">
        <f>H379+J379</f>
        <v/>
      </c>
      <c r="L379" s="4" t="n"/>
      <c r="M379" s="4" t="n"/>
      <c r="N379" s="4" t="n"/>
      <c r="O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25">
        <f>H380+J380</f>
        <v/>
      </c>
      <c r="L380" s="4" t="n"/>
      <c r="M380" s="4" t="n"/>
      <c r="N380" s="4" t="n"/>
      <c r="O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25">
        <f>H381+J381</f>
        <v/>
      </c>
      <c r="L381" s="4" t="n"/>
      <c r="M381" s="4" t="n"/>
      <c r="N381" s="4" t="n"/>
      <c r="O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25">
        <f>H382+J382</f>
        <v/>
      </c>
      <c r="L382" s="4" t="n"/>
      <c r="M382" s="4" t="n"/>
      <c r="N382" s="4" t="n"/>
      <c r="O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25">
        <f>H383+J383</f>
        <v/>
      </c>
      <c r="L383" s="4" t="n"/>
      <c r="M383" s="4" t="n"/>
      <c r="N383" s="4" t="n"/>
      <c r="O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25">
        <f>H384+J384</f>
        <v/>
      </c>
      <c r="L384" s="4" t="n"/>
      <c r="M384" s="4" t="n"/>
      <c r="N384" s="4" t="n"/>
      <c r="O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25">
        <f>H385+J385</f>
        <v/>
      </c>
      <c r="L385" s="4" t="n"/>
      <c r="M385" s="4" t="n"/>
      <c r="N385" s="4" t="n"/>
      <c r="O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25">
        <f>H386+J386</f>
        <v/>
      </c>
      <c r="L386" s="4" t="n"/>
      <c r="M386" s="4" t="n"/>
      <c r="N386" s="4" t="n"/>
      <c r="O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25">
        <f>H387+J387</f>
        <v/>
      </c>
      <c r="L387" s="4" t="n"/>
      <c r="M387" s="4" t="n"/>
      <c r="N387" s="4" t="n"/>
      <c r="O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25">
        <f>H388+J388</f>
        <v/>
      </c>
      <c r="L388" s="4" t="n"/>
      <c r="M388" s="4" t="n"/>
      <c r="N388" s="4" t="n"/>
      <c r="O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25">
        <f>H389+J389</f>
        <v/>
      </c>
      <c r="L389" s="4" t="n"/>
      <c r="M389" s="4" t="n"/>
      <c r="N389" s="4" t="n"/>
      <c r="O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25">
        <f>H390+J390</f>
        <v/>
      </c>
      <c r="L390" s="4" t="n"/>
      <c r="M390" s="4" t="n"/>
      <c r="N390" s="4" t="n"/>
      <c r="O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25">
        <f>H391+J391</f>
        <v/>
      </c>
      <c r="L391" s="4" t="n"/>
      <c r="M391" s="4" t="n"/>
      <c r="N391" s="4" t="n"/>
      <c r="O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25">
        <f>H392+J392</f>
        <v/>
      </c>
      <c r="L392" s="4" t="n"/>
      <c r="M392" s="4" t="n"/>
      <c r="N392" s="4" t="n"/>
      <c r="O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25">
        <f>H393+J393</f>
        <v/>
      </c>
      <c r="L393" s="4" t="n"/>
      <c r="M393" s="4" t="n"/>
      <c r="N393" s="4" t="n"/>
      <c r="O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25">
        <f>H394+J394</f>
        <v/>
      </c>
      <c r="L394" s="4" t="n"/>
      <c r="M394" s="4" t="n"/>
      <c r="N394" s="4" t="n"/>
      <c r="O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25">
        <f>H395+J395</f>
        <v/>
      </c>
      <c r="L395" s="4" t="n"/>
      <c r="M395" s="4" t="n"/>
      <c r="N395" s="4" t="n"/>
      <c r="O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25">
        <f>H396+J396</f>
        <v/>
      </c>
      <c r="L396" s="4" t="n"/>
      <c r="M396" s="4" t="n"/>
      <c r="N396" s="4" t="n"/>
      <c r="O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25">
        <f>H397+J397</f>
        <v/>
      </c>
      <c r="L397" s="4" t="n"/>
      <c r="M397" s="4" t="n"/>
      <c r="N397" s="4" t="n"/>
      <c r="O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25">
        <f>H398+J398</f>
        <v/>
      </c>
      <c r="L398" s="4" t="n"/>
      <c r="M398" s="4" t="n"/>
      <c r="N398" s="4" t="n"/>
      <c r="O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25">
        <f>H399+J399</f>
        <v/>
      </c>
      <c r="L399" s="4" t="n"/>
      <c r="M399" s="4" t="n"/>
      <c r="N399" s="4" t="n"/>
      <c r="O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25">
        <f>H400+J400</f>
        <v/>
      </c>
      <c r="L400" s="4" t="n"/>
      <c r="M400" s="4" t="n"/>
      <c r="N400" s="4" t="n"/>
      <c r="O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25">
        <f>H401+J401</f>
        <v/>
      </c>
      <c r="L401" s="4" t="n"/>
      <c r="M401" s="4" t="n"/>
      <c r="N401" s="4" t="n"/>
      <c r="O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25">
        <f>H402+J402</f>
        <v/>
      </c>
      <c r="L402" s="4" t="n"/>
      <c r="M402" s="4" t="n"/>
      <c r="N402" s="4" t="n"/>
      <c r="O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25">
        <f>H403+J403</f>
        <v/>
      </c>
      <c r="L403" s="4" t="n"/>
      <c r="M403" s="4" t="n"/>
      <c r="N403" s="4" t="n"/>
      <c r="O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25">
        <f>H404+J404</f>
        <v/>
      </c>
      <c r="L404" s="4" t="n"/>
      <c r="M404" s="4" t="n"/>
      <c r="N404" s="4" t="n"/>
      <c r="O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25">
        <f>H405+J405</f>
        <v/>
      </c>
      <c r="L405" s="4" t="n"/>
      <c r="M405" s="4" t="n"/>
      <c r="N405" s="4" t="n"/>
      <c r="O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25">
        <f>H406+J406</f>
        <v/>
      </c>
      <c r="L406" s="4" t="n"/>
      <c r="M406" s="4" t="n"/>
      <c r="N406" s="4" t="n"/>
      <c r="O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25">
        <f>H407+J407</f>
        <v/>
      </c>
      <c r="L407" s="4" t="n"/>
      <c r="M407" s="4" t="n"/>
      <c r="N407" s="4" t="n"/>
      <c r="O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25">
        <f>H408+J408</f>
        <v/>
      </c>
      <c r="L408" s="4" t="n"/>
      <c r="M408" s="4" t="n"/>
      <c r="N408" s="4" t="n"/>
      <c r="O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25">
        <f>H409+J409</f>
        <v/>
      </c>
      <c r="L409" s="4" t="n"/>
      <c r="M409" s="4" t="n"/>
      <c r="N409" s="4" t="n"/>
      <c r="O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25">
        <f>H410+J410</f>
        <v/>
      </c>
      <c r="L410" s="4" t="n"/>
      <c r="M410" s="4" t="n"/>
      <c r="N410" s="4" t="n"/>
      <c r="O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25">
        <f>H411+J411</f>
        <v/>
      </c>
      <c r="L411" s="4" t="n"/>
      <c r="M411" s="4" t="n"/>
      <c r="N411" s="4" t="n"/>
      <c r="O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25">
        <f>H412+J412</f>
        <v/>
      </c>
      <c r="L412" s="4" t="n"/>
      <c r="M412" s="4" t="n"/>
      <c r="N412" s="4" t="n"/>
      <c r="O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25">
        <f>H413+J413</f>
        <v/>
      </c>
      <c r="L413" s="4" t="n"/>
      <c r="M413" s="4" t="n"/>
      <c r="N413" s="4" t="n"/>
      <c r="O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25">
        <f>H414+J414</f>
        <v/>
      </c>
      <c r="L414" s="4" t="n"/>
      <c r="M414" s="4" t="n"/>
      <c r="N414" s="4" t="n"/>
      <c r="O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25">
        <f>H415+J415</f>
        <v/>
      </c>
      <c r="L415" s="4" t="n"/>
      <c r="M415" s="4" t="n"/>
      <c r="N415" s="4" t="n"/>
      <c r="O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25">
        <f>H416+J416</f>
        <v/>
      </c>
      <c r="L416" s="4" t="n"/>
      <c r="M416" s="4" t="n"/>
      <c r="N416" s="4" t="n"/>
      <c r="O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25">
        <f>H417+J417</f>
        <v/>
      </c>
      <c r="L417" s="4" t="n"/>
      <c r="M417" s="4" t="n"/>
      <c r="N417" s="4" t="n"/>
      <c r="O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25">
        <f>H418+J418</f>
        <v/>
      </c>
      <c r="L418" s="4" t="n"/>
      <c r="M418" s="4" t="n"/>
      <c r="N418" s="4" t="n"/>
      <c r="O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25">
        <f>H419+J419</f>
        <v/>
      </c>
      <c r="L419" s="4" t="n"/>
      <c r="M419" s="4" t="n"/>
      <c r="N419" s="4" t="n"/>
      <c r="O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25">
        <f>H420+J420</f>
        <v/>
      </c>
      <c r="L420" s="4" t="n"/>
      <c r="M420" s="4" t="n"/>
      <c r="N420" s="4" t="n"/>
      <c r="O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25">
        <f>H421+J421</f>
        <v/>
      </c>
      <c r="L421" s="4" t="n"/>
      <c r="M421" s="4" t="n"/>
      <c r="N421" s="4" t="n"/>
      <c r="O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25">
        <f>H422+J422</f>
        <v/>
      </c>
      <c r="L422" s="4" t="n"/>
      <c r="M422" s="4" t="n"/>
      <c r="N422" s="4" t="n"/>
      <c r="O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25">
        <f>H423+J423</f>
        <v/>
      </c>
      <c r="L423" s="4" t="n"/>
      <c r="M423" s="4" t="n"/>
      <c r="N423" s="4" t="n"/>
      <c r="O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25">
        <f>H424+J424</f>
        <v/>
      </c>
      <c r="L424" s="4" t="n"/>
      <c r="M424" s="4" t="n"/>
      <c r="N424" s="4" t="n"/>
      <c r="O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25">
        <f>H425+J425</f>
        <v/>
      </c>
      <c r="L425" s="4" t="n"/>
      <c r="M425" s="4" t="n"/>
      <c r="N425" s="4" t="n"/>
      <c r="O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25">
        <f>H426+J426</f>
        <v/>
      </c>
      <c r="L426" s="4" t="n"/>
      <c r="M426" s="4" t="n"/>
      <c r="N426" s="4" t="n"/>
      <c r="O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25">
        <f>H427+J427</f>
        <v/>
      </c>
      <c r="L427" s="4" t="n"/>
      <c r="M427" s="4" t="n"/>
      <c r="N427" s="4" t="n"/>
      <c r="O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25">
        <f>H428+J428</f>
        <v/>
      </c>
      <c r="L428" s="4" t="n"/>
      <c r="M428" s="4" t="n"/>
      <c r="N428" s="4" t="n"/>
      <c r="O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25">
        <f>H429+J429</f>
        <v/>
      </c>
      <c r="L429" s="4" t="n"/>
      <c r="M429" s="4" t="n"/>
      <c r="N429" s="4" t="n"/>
      <c r="O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25">
        <f>H430+J430</f>
        <v/>
      </c>
      <c r="L430" s="4" t="n"/>
      <c r="M430" s="4" t="n"/>
      <c r="N430" s="4" t="n"/>
      <c r="O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25">
        <f>H431+J431</f>
        <v/>
      </c>
      <c r="L431" s="4" t="n"/>
      <c r="M431" s="4" t="n"/>
      <c r="N431" s="4" t="n"/>
      <c r="O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25">
        <f>H432+J432</f>
        <v/>
      </c>
      <c r="L432" s="4" t="n"/>
      <c r="M432" s="4" t="n"/>
      <c r="N432" s="4" t="n"/>
      <c r="O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25">
        <f>H433+J433</f>
        <v/>
      </c>
      <c r="L433" s="4" t="n"/>
      <c r="M433" s="4" t="n"/>
      <c r="N433" s="4" t="n"/>
      <c r="O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25">
        <f>H434+J434</f>
        <v/>
      </c>
      <c r="L434" s="4" t="n"/>
      <c r="M434" s="4" t="n"/>
      <c r="N434" s="4" t="n"/>
      <c r="O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25">
        <f>H435+J435</f>
        <v/>
      </c>
      <c r="L435" s="4" t="n"/>
      <c r="M435" s="4" t="n"/>
      <c r="N435" s="4" t="n"/>
      <c r="O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25">
        <f>H436+J436</f>
        <v/>
      </c>
      <c r="L436" s="4" t="n"/>
      <c r="M436" s="4" t="n"/>
      <c r="N436" s="4" t="n"/>
      <c r="O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25">
        <f>H437+J437</f>
        <v/>
      </c>
      <c r="L437" s="4" t="n"/>
      <c r="M437" s="4" t="n"/>
      <c r="N437" s="4" t="n"/>
      <c r="O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25">
        <f>H438+J438</f>
        <v/>
      </c>
      <c r="L438" s="4" t="n"/>
      <c r="M438" s="4" t="n"/>
      <c r="N438" s="4" t="n"/>
      <c r="O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25">
        <f>H439+J439</f>
        <v/>
      </c>
      <c r="L439" s="4" t="n"/>
      <c r="M439" s="4" t="n"/>
      <c r="N439" s="4" t="n"/>
      <c r="O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25">
        <f>H440+J440</f>
        <v/>
      </c>
      <c r="L440" s="4" t="n"/>
      <c r="M440" s="4" t="n"/>
      <c r="N440" s="4" t="n"/>
      <c r="O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25">
        <f>H441+J441</f>
        <v/>
      </c>
      <c r="L441" s="4" t="n"/>
      <c r="M441" s="4" t="n"/>
      <c r="N441" s="4" t="n"/>
      <c r="O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25">
        <f>H442+J442</f>
        <v/>
      </c>
      <c r="L442" s="4" t="n"/>
      <c r="M442" s="4" t="n"/>
      <c r="N442" s="4" t="n"/>
      <c r="O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25">
        <f>H443+J443</f>
        <v/>
      </c>
      <c r="L443" s="4" t="n"/>
      <c r="M443" s="4" t="n"/>
      <c r="N443" s="4" t="n"/>
      <c r="O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25">
        <f>H444+J444</f>
        <v/>
      </c>
      <c r="L444" s="4" t="n"/>
      <c r="M444" s="4" t="n"/>
      <c r="N444" s="4" t="n"/>
      <c r="O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25">
        <f>H445+J445</f>
        <v/>
      </c>
      <c r="L445" s="4" t="n"/>
      <c r="M445" s="4" t="n"/>
      <c r="N445" s="4" t="n"/>
      <c r="O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25">
        <f>H446+J446</f>
        <v/>
      </c>
      <c r="L446" s="4" t="n"/>
      <c r="M446" s="4" t="n"/>
      <c r="N446" s="4" t="n"/>
      <c r="O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25">
        <f>H447+J447</f>
        <v/>
      </c>
      <c r="L447" s="4" t="n"/>
      <c r="M447" s="4" t="n"/>
      <c r="N447" s="4" t="n"/>
      <c r="O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25">
        <f>H448+J448</f>
        <v/>
      </c>
      <c r="L448" s="4" t="n"/>
      <c r="M448" s="4" t="n"/>
      <c r="N448" s="4" t="n"/>
      <c r="O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25">
        <f>H449+J449</f>
        <v/>
      </c>
      <c r="L449" s="4" t="n"/>
      <c r="M449" s="4" t="n"/>
      <c r="N449" s="4" t="n"/>
      <c r="O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25">
        <f>H450+J450</f>
        <v/>
      </c>
      <c r="L450" s="4" t="n"/>
      <c r="M450" s="4" t="n"/>
      <c r="N450" s="4" t="n"/>
      <c r="O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25">
        <f>H451+J451</f>
        <v/>
      </c>
      <c r="L451" s="4" t="n"/>
      <c r="M451" s="4" t="n"/>
      <c r="N451" s="4" t="n"/>
      <c r="O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25">
        <f>H452+J452</f>
        <v/>
      </c>
      <c r="L452" s="4" t="n"/>
      <c r="M452" s="4" t="n"/>
      <c r="N452" s="4" t="n"/>
      <c r="O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25">
        <f>H453+J453</f>
        <v/>
      </c>
      <c r="L453" s="4" t="n"/>
      <c r="M453" s="4" t="n"/>
      <c r="N453" s="4" t="n"/>
      <c r="O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25">
        <f>H454+J454</f>
        <v/>
      </c>
      <c r="L454" s="4" t="n"/>
      <c r="M454" s="4" t="n"/>
      <c r="N454" s="4" t="n"/>
      <c r="O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25">
        <f>H455+J455</f>
        <v/>
      </c>
      <c r="L455" s="4" t="n"/>
      <c r="M455" s="4" t="n"/>
      <c r="N455" s="4" t="n"/>
      <c r="O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25">
        <f>H456+J456</f>
        <v/>
      </c>
      <c r="L456" s="4" t="n"/>
      <c r="M456" s="4" t="n"/>
      <c r="N456" s="4" t="n"/>
      <c r="O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25">
        <f>H457+J457</f>
        <v/>
      </c>
      <c r="L457" s="4" t="n"/>
      <c r="M457" s="4" t="n"/>
      <c r="N457" s="4" t="n"/>
      <c r="O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25">
        <f>H458+J458</f>
        <v/>
      </c>
      <c r="L458" s="4" t="n"/>
      <c r="M458" s="4" t="n"/>
      <c r="N458" s="4" t="n"/>
      <c r="O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25">
        <f>H459+J459</f>
        <v/>
      </c>
      <c r="L459" s="4" t="n"/>
      <c r="M459" s="4" t="n"/>
      <c r="N459" s="4" t="n"/>
      <c r="O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25">
        <f>H460+J460</f>
        <v/>
      </c>
      <c r="L460" s="4" t="n"/>
      <c r="M460" s="4" t="n"/>
      <c r="N460" s="4" t="n"/>
      <c r="O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25">
        <f>H461+J461</f>
        <v/>
      </c>
      <c r="L461" s="4" t="n"/>
      <c r="M461" s="4" t="n"/>
      <c r="N461" s="4" t="n"/>
      <c r="O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25">
        <f>H462+J462</f>
        <v/>
      </c>
      <c r="L462" s="4" t="n"/>
      <c r="M462" s="4" t="n"/>
      <c r="N462" s="4" t="n"/>
      <c r="O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25">
        <f>H463+J463</f>
        <v/>
      </c>
      <c r="L463" s="4" t="n"/>
      <c r="M463" s="4" t="n"/>
      <c r="N463" s="4" t="n"/>
      <c r="O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25">
        <f>H464+J464</f>
        <v/>
      </c>
      <c r="L464" s="4" t="n"/>
      <c r="M464" s="4" t="n"/>
      <c r="N464" s="4" t="n"/>
      <c r="O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25">
        <f>H465+J465</f>
        <v/>
      </c>
      <c r="L465" s="4" t="n"/>
      <c r="M465" s="4" t="n"/>
      <c r="N465" s="4" t="n"/>
      <c r="O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25">
        <f>H466+J466</f>
        <v/>
      </c>
      <c r="L466" s="4" t="n"/>
      <c r="M466" s="4" t="n"/>
      <c r="N466" s="4" t="n"/>
      <c r="O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25">
        <f>H467+J467</f>
        <v/>
      </c>
      <c r="L467" s="4" t="n"/>
      <c r="M467" s="4" t="n"/>
      <c r="N467" s="4" t="n"/>
      <c r="O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25">
        <f>H468+J468</f>
        <v/>
      </c>
      <c r="L468" s="4" t="n"/>
      <c r="M468" s="4" t="n"/>
      <c r="N468" s="4" t="n"/>
      <c r="O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25">
        <f>H469+J469</f>
        <v/>
      </c>
      <c r="L469" s="4" t="n"/>
      <c r="M469" s="4" t="n"/>
      <c r="N469" s="4" t="n"/>
      <c r="O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25">
        <f>H470+J470</f>
        <v/>
      </c>
      <c r="L470" s="4" t="n"/>
      <c r="M470" s="4" t="n"/>
      <c r="N470" s="4" t="n"/>
      <c r="O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25">
        <f>H471+J471</f>
        <v/>
      </c>
      <c r="L471" s="4" t="n"/>
      <c r="M471" s="4" t="n"/>
      <c r="N471" s="4" t="n"/>
      <c r="O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25">
        <f>H472+J472</f>
        <v/>
      </c>
      <c r="L472" s="4" t="n"/>
      <c r="M472" s="4" t="n"/>
      <c r="N472" s="4" t="n"/>
      <c r="O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25">
        <f>H473+J473</f>
        <v/>
      </c>
      <c r="L473" s="4" t="n"/>
      <c r="M473" s="4" t="n"/>
      <c r="N473" s="4" t="n"/>
      <c r="O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25">
        <f>H474+J474</f>
        <v/>
      </c>
      <c r="L474" s="4" t="n"/>
      <c r="M474" s="4" t="n"/>
      <c r="N474" s="4" t="n"/>
      <c r="O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25">
        <f>H475+J475</f>
        <v/>
      </c>
      <c r="L475" s="4" t="n"/>
      <c r="M475" s="4" t="n"/>
      <c r="N475" s="4" t="n"/>
      <c r="O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25">
        <f>H476+J476</f>
        <v/>
      </c>
      <c r="L476" s="4" t="n"/>
      <c r="M476" s="4" t="n"/>
      <c r="N476" s="4" t="n"/>
      <c r="O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25">
        <f>H477+J477</f>
        <v/>
      </c>
      <c r="L477" s="4" t="n"/>
      <c r="M477" s="4" t="n"/>
      <c r="N477" s="4" t="n"/>
      <c r="O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25">
        <f>H478+J478</f>
        <v/>
      </c>
      <c r="L478" s="4" t="n"/>
      <c r="M478" s="4" t="n"/>
      <c r="N478" s="4" t="n"/>
      <c r="O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25">
        <f>H479+J479</f>
        <v/>
      </c>
      <c r="L479" s="4" t="n"/>
      <c r="M479" s="4" t="n"/>
      <c r="N479" s="4" t="n"/>
      <c r="O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25">
        <f>H480+J480</f>
        <v/>
      </c>
      <c r="L480" s="4" t="n"/>
      <c r="M480" s="4" t="n"/>
      <c r="N480" s="4" t="n"/>
      <c r="O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25">
        <f>H481+J481</f>
        <v/>
      </c>
      <c r="L481" s="4" t="n"/>
      <c r="M481" s="4" t="n"/>
      <c r="N481" s="4" t="n"/>
      <c r="O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25">
        <f>H482+J482</f>
        <v/>
      </c>
      <c r="L482" s="4" t="n"/>
      <c r="M482" s="4" t="n"/>
      <c r="N482" s="4" t="n"/>
      <c r="O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25">
        <f>H483+J483</f>
        <v/>
      </c>
      <c r="L483" s="4" t="n"/>
      <c r="M483" s="4" t="n"/>
      <c r="N483" s="4" t="n"/>
      <c r="O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25">
        <f>H484+J484</f>
        <v/>
      </c>
      <c r="L484" s="4" t="n"/>
      <c r="M484" s="4" t="n"/>
      <c r="N484" s="4" t="n"/>
      <c r="O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25">
        <f>H485+J485</f>
        <v/>
      </c>
      <c r="L485" s="4" t="n"/>
      <c r="M485" s="4" t="n"/>
      <c r="N485" s="4" t="n"/>
      <c r="O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25">
        <f>H486+J486</f>
        <v/>
      </c>
      <c r="L486" s="4" t="n"/>
      <c r="M486" s="4" t="n"/>
      <c r="N486" s="4" t="n"/>
      <c r="O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25">
        <f>H487+J487</f>
        <v/>
      </c>
      <c r="L487" s="4" t="n"/>
      <c r="M487" s="4" t="n"/>
      <c r="N487" s="4" t="n"/>
      <c r="O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25">
        <f>H488+J488</f>
        <v/>
      </c>
      <c r="L488" s="4" t="n"/>
      <c r="M488" s="4" t="n"/>
      <c r="N488" s="4" t="n"/>
      <c r="O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25">
        <f>H489+J489</f>
        <v/>
      </c>
      <c r="L489" s="4" t="n"/>
      <c r="M489" s="4" t="n"/>
      <c r="N489" s="4" t="n"/>
      <c r="O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25">
        <f>H490+J490</f>
        <v/>
      </c>
      <c r="L490" s="4" t="n"/>
      <c r="M490" s="4" t="n"/>
      <c r="N490" s="4" t="n"/>
      <c r="O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25">
        <f>H491+J491</f>
        <v/>
      </c>
      <c r="L491" s="4" t="n"/>
      <c r="M491" s="4" t="n"/>
      <c r="N491" s="4" t="n"/>
      <c r="O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25">
        <f>H492+J492</f>
        <v/>
      </c>
      <c r="L492" s="4" t="n"/>
      <c r="M492" s="4" t="n"/>
      <c r="N492" s="4" t="n"/>
      <c r="O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25">
        <f>H493+J493</f>
        <v/>
      </c>
      <c r="L493" s="4" t="n"/>
      <c r="M493" s="4" t="n"/>
      <c r="N493" s="4" t="n"/>
      <c r="O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25">
        <f>H494+J494</f>
        <v/>
      </c>
      <c r="L494" s="4" t="n"/>
      <c r="M494" s="4" t="n"/>
      <c r="N494" s="4" t="n"/>
      <c r="O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25">
        <f>H495+J495</f>
        <v/>
      </c>
      <c r="L495" s="4" t="n"/>
      <c r="M495" s="4" t="n"/>
      <c r="N495" s="4" t="n"/>
      <c r="O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25">
        <f>H496+J496</f>
        <v/>
      </c>
      <c r="L496" s="4" t="n"/>
      <c r="M496" s="4" t="n"/>
      <c r="N496" s="4" t="n"/>
      <c r="O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25">
        <f>H497+J497</f>
        <v/>
      </c>
      <c r="L497" s="4" t="n"/>
      <c r="M497" s="4" t="n"/>
      <c r="N497" s="4" t="n"/>
      <c r="O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25">
        <f>H498+J498</f>
        <v/>
      </c>
      <c r="L498" s="4" t="n"/>
      <c r="M498" s="4" t="n"/>
      <c r="N498" s="4" t="n"/>
      <c r="O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25">
        <f>H499+J499</f>
        <v/>
      </c>
      <c r="L499" s="4" t="n"/>
      <c r="M499" s="4" t="n"/>
      <c r="N499" s="4" t="n"/>
      <c r="O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25">
        <f>H500+J500</f>
        <v/>
      </c>
      <c r="L500" s="4" t="n"/>
      <c r="M500" s="4" t="n"/>
      <c r="N500" s="4" t="n"/>
      <c r="O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25">
        <f>H501+J501</f>
        <v/>
      </c>
      <c r="L501" s="4" t="n"/>
      <c r="M501" s="4" t="n"/>
      <c r="N501" s="4" t="n"/>
      <c r="O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25">
        <f>H502+J502</f>
        <v/>
      </c>
      <c r="L502" s="4" t="n"/>
      <c r="M502" s="4" t="n"/>
      <c r="N502" s="4" t="n"/>
      <c r="O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25">
        <f>H503+J503</f>
        <v/>
      </c>
      <c r="L503" s="4" t="n"/>
      <c r="M503" s="4" t="n"/>
      <c r="N503" s="4" t="n"/>
      <c r="O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25">
        <f>H504+J504</f>
        <v/>
      </c>
      <c r="L504" s="4" t="n"/>
      <c r="M504" s="4" t="n"/>
      <c r="N504" s="4" t="n"/>
      <c r="O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25">
        <f>H505+J505</f>
        <v/>
      </c>
      <c r="L505" s="4" t="n"/>
      <c r="M505" s="4" t="n"/>
      <c r="N505" s="4" t="n"/>
      <c r="O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25">
        <f>H506+J506</f>
        <v/>
      </c>
      <c r="L506" s="4" t="n"/>
      <c r="M506" s="4" t="n"/>
      <c r="N506" s="4" t="n"/>
      <c r="O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25">
        <f>H507+J507</f>
        <v/>
      </c>
      <c r="L507" s="4" t="n"/>
      <c r="M507" s="4" t="n"/>
      <c r="N507" s="4" t="n"/>
      <c r="O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25">
        <f>H508+J508</f>
        <v/>
      </c>
      <c r="L508" s="4" t="n"/>
      <c r="M508" s="4" t="n"/>
      <c r="N508" s="4" t="n"/>
      <c r="O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25">
        <f>H509+J509</f>
        <v/>
      </c>
      <c r="L509" s="4" t="n"/>
      <c r="M509" s="4" t="n"/>
      <c r="N509" s="4" t="n"/>
      <c r="O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25">
        <f>H510+J510</f>
        <v/>
      </c>
      <c r="L510" s="4" t="n"/>
      <c r="M510" s="4" t="n"/>
      <c r="N510" s="4" t="n"/>
      <c r="O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25">
        <f>H511+J511</f>
        <v/>
      </c>
      <c r="L511" s="4" t="n"/>
      <c r="M511" s="4" t="n"/>
      <c r="N511" s="4" t="n"/>
      <c r="O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25">
        <f>H512+J512</f>
        <v/>
      </c>
      <c r="L512" s="4" t="n"/>
      <c r="M512" s="4" t="n"/>
      <c r="N512" s="4" t="n"/>
      <c r="O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25">
        <f>H513+J513</f>
        <v/>
      </c>
      <c r="L513" s="4" t="n"/>
      <c r="M513" s="4" t="n"/>
      <c r="N513" s="4" t="n"/>
      <c r="O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25">
        <f>H514+J514</f>
        <v/>
      </c>
      <c r="L514" s="4" t="n"/>
      <c r="M514" s="4" t="n"/>
      <c r="N514" s="4" t="n"/>
      <c r="O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25">
        <f>H515+J515</f>
        <v/>
      </c>
      <c r="L515" s="4" t="n"/>
      <c r="M515" s="4" t="n"/>
      <c r="N515" s="4" t="n"/>
      <c r="O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25">
        <f>H516+J516</f>
        <v/>
      </c>
      <c r="L516" s="4" t="n"/>
      <c r="M516" s="4" t="n"/>
      <c r="N516" s="4" t="n"/>
      <c r="O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25">
        <f>H517+J517</f>
        <v/>
      </c>
      <c r="L517" s="4" t="n"/>
      <c r="M517" s="4" t="n"/>
      <c r="N517" s="4" t="n"/>
      <c r="O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25">
        <f>H518+J518</f>
        <v/>
      </c>
      <c r="L518" s="4" t="n"/>
      <c r="M518" s="4" t="n"/>
      <c r="N518" s="4" t="n"/>
      <c r="O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25">
        <f>H519+J519</f>
        <v/>
      </c>
      <c r="L519" s="4" t="n"/>
      <c r="M519" s="4" t="n"/>
      <c r="N519" s="4" t="n"/>
      <c r="O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25">
        <f>H520+J520</f>
        <v/>
      </c>
      <c r="L520" s="4" t="n"/>
      <c r="M520" s="4" t="n"/>
      <c r="N520" s="4" t="n"/>
      <c r="O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25">
        <f>H521+J521</f>
        <v/>
      </c>
      <c r="L521" s="4" t="n"/>
      <c r="M521" s="4" t="n"/>
      <c r="N521" s="4" t="n"/>
      <c r="O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25">
        <f>H522+J522</f>
        <v/>
      </c>
      <c r="L522" s="4" t="n"/>
      <c r="M522" s="4" t="n"/>
      <c r="N522" s="4" t="n"/>
      <c r="O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25">
        <f>H523+J523</f>
        <v/>
      </c>
      <c r="L523" s="4" t="n"/>
      <c r="M523" s="4" t="n"/>
      <c r="N523" s="4" t="n"/>
      <c r="O523" s="4" t="n"/>
    </row>
  </sheetData>
  <mergeCells count="5">
    <mergeCell ref="A12:E12"/>
    <mergeCell ref="A2:O2"/>
    <mergeCell ref="A4:D4"/>
    <mergeCell ref="A1:O1"/>
    <mergeCell ref="A22:O22"/>
  </mergeCells>
  <dataValidations count="3">
    <dataValidation sqref="D21:D519" showDropDown="0" showInputMessage="0" showErrorMessage="0" allowBlank="1" type="list">
      <formula1>"Infrastructure,Coverage,Policy,Monitoring,Incident Response,Compliance,Audit"</formula1>
    </dataValidation>
    <dataValidation sqref="E20:E519" showDropDown="0" showInputMessage="0" showErrorMessage="0" allowBlank="1" type="list">
      <formula1>"Screenshot,Configuration_Export,Log_Sample,Report,Procedure,Email,Audit_Report,Test_Results,Policy_Document,Meeting_Minutes,Other"</formula1>
    </dataValidation>
    <dataValidation sqref="L21:L519" showDropDown="0" showInputMessage="0" showErrorMessage="0" allowBlank="1" type="list">
      <formula1>"Verified,Pending,Not_Verified,Expired"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12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35" customWidth="1" min="11" max="11"/>
    <col width="10" customWidth="1" min="12" max="12"/>
    <col width="30" customWidth="1" min="13" max="13"/>
    <col width="15" customWidth="1" min="14" max="14"/>
  </cols>
  <sheetData>
    <row r="1" ht="30" customHeight="1">
      <c r="A1" s="1" t="inlineStr">
        <is>
          <t>ACTION ITEMS &amp; FOLLOW-UP - A.8.23 WEB FILTERING</t>
        </is>
      </c>
    </row>
    <row r="3">
      <c r="A3" s="6" t="inlineStr">
        <is>
          <t>ACTION SUMMARY</t>
        </is>
      </c>
    </row>
    <row r="4">
      <c r="A4" s="26" t="inlineStr">
        <is>
          <t>Total Actions</t>
        </is>
      </c>
      <c r="B4" s="9">
        <f>COUNTA(A20:A219)</f>
        <v/>
      </c>
    </row>
    <row r="5">
      <c r="A5" s="26" t="inlineStr">
        <is>
          <t>Overdue</t>
        </is>
      </c>
      <c r="B5" s="9">
        <f>COUNTIFS(F20:F219,"&lt;"&amp;TODAY(),G20:G219,"&lt;&gt;Completed")</f>
        <v/>
      </c>
    </row>
    <row r="6">
      <c r="A6" s="26" t="inlineStr">
        <is>
          <t>Due This Week</t>
        </is>
      </c>
      <c r="B6" s="9">
        <f>COUNTIFS(F20:F219,"&gt;="&amp;TODAY(),F20:F219,"&lt;="&amp;TODAY()+7,G20:G219,"&lt;&gt;Completed")</f>
        <v/>
      </c>
    </row>
    <row r="7">
      <c r="A7" s="26" t="inlineStr">
        <is>
          <t>Completed This Month</t>
        </is>
      </c>
      <c r="B7" s="9">
        <f>COUNTIFS(G20:G219,"Completed",H20:H219,"&gt;="&amp;EOMONTH(TODAY(),-1)+1)</f>
        <v/>
      </c>
    </row>
    <row r="8">
      <c r="A8" s="26" t="inlineStr">
        <is>
          <t>Completion Rate</t>
        </is>
      </c>
      <c r="B8" s="27">
        <f>COUNTIF(G20:G219,"Completed")/COUNTA(A20:A219)</f>
        <v/>
      </c>
    </row>
    <row r="11">
      <c r="A11" s="13" t="inlineStr">
        <is>
          <t>ACTIONS BY PRIORITY</t>
        </is>
      </c>
    </row>
    <row r="12">
      <c r="A12" s="30" t="inlineStr">
        <is>
          <t>Priority</t>
        </is>
      </c>
      <c r="B12" s="30" t="inlineStr">
        <is>
          <t>Total</t>
        </is>
      </c>
      <c r="C12" s="30" t="inlineStr">
        <is>
          <t>Open</t>
        </is>
      </c>
      <c r="D12" s="30" t="inlineStr">
        <is>
          <t>Overdue</t>
        </is>
      </c>
      <c r="E12" s="30" t="inlineStr">
        <is>
          <t>Completed</t>
        </is>
      </c>
    </row>
    <row r="13">
      <c r="A13" s="8" t="inlineStr">
        <is>
          <t>Critical</t>
        </is>
      </c>
      <c r="B13" s="18">
        <f>COUNTIF(E20:E219,"Critical")</f>
        <v/>
      </c>
      <c r="C13" s="18">
        <f>COUNTIFS(E20:E219,"Critical",G20:G219,"&lt;&gt;Completed")</f>
        <v/>
      </c>
      <c r="D13" s="18">
        <f>COUNTIFS(E20:E219,"Critical",F20:F219,"&lt;"&amp;TODAY(),G20:G219,"&lt;&gt;Completed")</f>
        <v/>
      </c>
      <c r="E13" s="18">
        <f>COUNTIFS(E20:E219,"Critical",G20:G219,"Completed")</f>
        <v/>
      </c>
    </row>
    <row r="14">
      <c r="A14" s="8" t="inlineStr">
        <is>
          <t>High</t>
        </is>
      </c>
      <c r="B14" s="18">
        <f>COUNTIF(E20:E219,"High")</f>
        <v/>
      </c>
      <c r="C14" s="18">
        <f>COUNTIFS(E20:E219,"High",G20:G219,"&lt;&gt;Completed")</f>
        <v/>
      </c>
      <c r="D14" s="18">
        <f>COUNTIFS(E20:E219,"High",F20:F219,"&lt;"&amp;TODAY(),G20:G219,"&lt;&gt;Completed")</f>
        <v/>
      </c>
      <c r="E14" s="18">
        <f>COUNTIFS(E20:E219,"High",G20:G219,"Completed")</f>
        <v/>
      </c>
    </row>
    <row r="15">
      <c r="A15" s="8" t="inlineStr">
        <is>
          <t>Medium</t>
        </is>
      </c>
      <c r="B15" s="18">
        <f>COUNTIF(E20:E219,"Medium")</f>
        <v/>
      </c>
      <c r="C15" s="18">
        <f>COUNTIFS(E20:E219,"Medium",G20:G219,"&lt;&gt;Completed")</f>
        <v/>
      </c>
      <c r="D15" s="18">
        <f>COUNTIFS(E20:E219,"Medium",F20:F219,"&lt;"&amp;TODAY(),G20:G219,"&lt;&gt;Completed")</f>
        <v/>
      </c>
      <c r="E15" s="18">
        <f>COUNTIFS(E20:E219,"Medium",G20:G219,"Completed")</f>
        <v/>
      </c>
    </row>
    <row r="16">
      <c r="A16" s="8" t="inlineStr">
        <is>
          <t>Low</t>
        </is>
      </c>
      <c r="B16" s="18">
        <f>COUNTIF(E20:E219,"Low")</f>
        <v/>
      </c>
      <c r="C16" s="18">
        <f>COUNTIFS(E20:E219,"Low",G20:G219,"&lt;&gt;Completed")</f>
        <v/>
      </c>
      <c r="D16" s="18">
        <f>COUNTIFS(E20:E219,"Low",F20:F219,"&lt;"&amp;TODAY(),G20:G219,"&lt;&gt;Completed")</f>
        <v/>
      </c>
      <c r="E16" s="18">
        <f>COUNTIFS(E20:E219,"Low",G20:G219,"Completed")</f>
        <v/>
      </c>
    </row>
    <row r="18">
      <c r="A18" s="6" t="inlineStr">
        <is>
          <t>ACTION ITEMS</t>
        </is>
      </c>
    </row>
    <row r="19">
      <c r="A19" s="7" t="inlineStr">
        <is>
          <t>Action ID</t>
        </is>
      </c>
      <c r="B19" s="7" t="inlineStr">
        <is>
          <t>Source</t>
        </is>
      </c>
      <c r="C19" s="7" t="inlineStr">
        <is>
          <t>Related Gap/Risk</t>
        </is>
      </c>
      <c r="D19" s="7" t="inlineStr">
        <is>
          <t>Action Description</t>
        </is>
      </c>
      <c r="E19" s="7" t="inlineStr">
        <is>
          <t>Priority</t>
        </is>
      </c>
      <c r="F19" s="7" t="inlineStr">
        <is>
          <t>Due Date</t>
        </is>
      </c>
      <c r="G19" s="7" t="inlineStr">
        <is>
          <t>Status</t>
        </is>
      </c>
      <c r="H19" s="7" t="inlineStr">
        <is>
          <t>Completion Date</t>
        </is>
      </c>
      <c r="I19" s="7" t="inlineStr">
        <is>
          <t>Assigned To</t>
        </is>
      </c>
      <c r="J19" s="7" t="inlineStr">
        <is>
          <t>Department</t>
        </is>
      </c>
      <c r="K19" s="7" t="inlineStr">
        <is>
          <t>Progress Notes</t>
        </is>
      </c>
      <c r="L19" s="7" t="inlineStr">
        <is>
          <t>Blocker</t>
        </is>
      </c>
      <c r="M19" s="7" t="inlineStr">
        <is>
          <t>Next Steps</t>
        </is>
      </c>
      <c r="N19" s="7" t="inlineStr">
        <is>
          <t>Last Updated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</sheetData>
  <mergeCells count="4">
    <mergeCell ref="A11:E11"/>
    <mergeCell ref="A18:N18"/>
    <mergeCell ref="A3:D3"/>
    <mergeCell ref="A1:N1"/>
  </mergeCells>
  <dataValidations count="3">
    <dataValidation sqref="E20:E219" showDropDown="0" showInputMessage="0" showErrorMessage="0" allowBlank="1" type="list">
      <formula1>"Critical,High,Medium,Low"</formula1>
    </dataValidation>
    <dataValidation sqref="G20:G219" showDropDown="0" showInputMessage="0" showErrorMessage="0" allowBlank="1" type="list">
      <formula1>"Not Started,In Progress,Blocked,Completed,Cancelled"</formula1>
    </dataValidation>
    <dataValidation sqref="L20:L2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20" customWidth="1" min="5" max="5"/>
    <col width="40" customWidth="1" min="6" max="6"/>
    <col width="15" customWidth="1" min="7" max="7"/>
    <col width="25" customWidth="1" min="8" max="8"/>
    <col width="18" customWidth="1" min="9" max="9"/>
    <col width="15" customWidth="1" min="10" max="10"/>
    <col width="15" customWidth="1" min="11" max="11"/>
    <col width="35" customWidth="1" min="12" max="12"/>
    <col width="30" customWidth="1" min="13" max="13"/>
  </cols>
  <sheetData>
    <row r="1" ht="30" customHeight="1">
      <c r="A1" s="1" t="inlineStr">
        <is>
          <t>AUDIT &amp; COMPLIANCE LOG - A.8.23 WEB FILTERING</t>
        </is>
      </c>
    </row>
    <row r="2">
      <c r="A2" s="16" t="inlineStr">
        <is>
          <t>Tracking audit activities, findings, and compliance verification</t>
        </is>
      </c>
    </row>
    <row r="4">
      <c r="A4" s="6" t="inlineStr">
        <is>
          <t>AUDIT SUMMARY</t>
        </is>
      </c>
    </row>
    <row r="5">
      <c r="A5" s="26" t="inlineStr">
        <is>
          <t>Last Internal Audit</t>
        </is>
      </c>
      <c r="B5" s="4" t="n"/>
    </row>
    <row r="6">
      <c r="A6" s="26" t="inlineStr">
        <is>
          <t>Last External Audit</t>
        </is>
      </c>
      <c r="B6" s="4" t="n"/>
    </row>
    <row r="7">
      <c r="A7" s="26" t="inlineStr">
        <is>
          <t>Next Scheduled Audit</t>
        </is>
      </c>
      <c r="B7" s="4" t="n"/>
    </row>
    <row r="8">
      <c r="A8" s="26" t="inlineStr">
        <is>
          <t>Total Findings (All Time)</t>
        </is>
      </c>
      <c r="B8" s="9">
        <f>COUNTA(A20:A119)</f>
        <v/>
      </c>
    </row>
    <row r="9">
      <c r="A9" s="26" t="inlineStr">
        <is>
          <t>Open Findings</t>
        </is>
      </c>
      <c r="B9" s="9">
        <f>COUNTIF(I21:I119,"Open")</f>
        <v/>
      </c>
    </row>
    <row r="10">
      <c r="A10" s="26" t="inlineStr">
        <is>
          <t>Closed Findings</t>
        </is>
      </c>
      <c r="B10" s="9">
        <f>COUNTIF(I21:I119,"Closed")</f>
        <v/>
      </c>
    </row>
    <row r="11">
      <c r="A11" s="26" t="inlineStr">
        <is>
          <t>Average Resolution Time (Days)</t>
        </is>
      </c>
      <c r="B11" s="9">
        <f>AVERAGE(J20:J119)</f>
        <v/>
      </c>
    </row>
    <row r="14">
      <c r="A14" s="13" t="inlineStr">
        <is>
          <t>FINDINGS BY SEVERITY</t>
        </is>
      </c>
    </row>
    <row r="15">
      <c r="A15" s="30" t="inlineStr">
        <is>
          <t>Severity</t>
        </is>
      </c>
      <c r="B15" s="30" t="inlineStr">
        <is>
          <t>Total</t>
        </is>
      </c>
      <c r="C15" s="30" t="inlineStr">
        <is>
          <t>Open</t>
        </is>
      </c>
      <c r="D15" s="30" t="inlineStr">
        <is>
          <t>Closed</t>
        </is>
      </c>
      <c r="E15" s="30" t="inlineStr">
        <is>
          <t>Closure Rate</t>
        </is>
      </c>
    </row>
    <row r="16">
      <c r="A16" s="8" t="inlineStr">
        <is>
          <t>Critical</t>
        </is>
      </c>
      <c r="B16" s="18">
        <f>COUNTIF(G21:G119,"Critical")</f>
        <v/>
      </c>
      <c r="C16" s="18">
        <f>COUNTIFS(G21:G119,"Critical",I21:I119,"Open")</f>
        <v/>
      </c>
      <c r="D16" s="18">
        <f>COUNTIFS(G21:G119,"Critical",I21:I119,"Closed")</f>
        <v/>
      </c>
      <c r="E16" s="31">
        <f>D16/B16</f>
        <v/>
      </c>
    </row>
    <row r="17">
      <c r="A17" s="8" t="inlineStr">
        <is>
          <t>High</t>
        </is>
      </c>
      <c r="B17" s="18">
        <f>COUNTIF(G21:G119,"High")</f>
        <v/>
      </c>
      <c r="C17" s="18">
        <f>COUNTIFS(G21:G119,"High",I21:I119,"Open")</f>
        <v/>
      </c>
      <c r="D17" s="18">
        <f>COUNTIFS(G21:G119,"High",I21:I119,"Closed")</f>
        <v/>
      </c>
      <c r="E17" s="31">
        <f>D17/B17</f>
        <v/>
      </c>
    </row>
    <row r="18">
      <c r="A18" s="8" t="inlineStr">
        <is>
          <t>Medium</t>
        </is>
      </c>
      <c r="B18" s="18">
        <f>COUNTIF(G21:G119,"Medium")</f>
        <v/>
      </c>
      <c r="C18" s="18">
        <f>COUNTIFS(G21:G119,"Medium",I21:I119,"Open")</f>
        <v/>
      </c>
      <c r="D18" s="18">
        <f>COUNTIFS(G21:G119,"Medium",I21:I119,"Closed")</f>
        <v/>
      </c>
      <c r="E18" s="31">
        <f>D18/B18</f>
        <v/>
      </c>
    </row>
    <row r="19">
      <c r="A19" s="8" t="inlineStr">
        <is>
          <t>Low</t>
        </is>
      </c>
      <c r="B19" s="18">
        <f>COUNTIF(G21:G119,"Low")</f>
        <v/>
      </c>
      <c r="C19" s="18">
        <f>COUNTIFS(G21:G119,"Low",I21:I119,"Open")</f>
        <v/>
      </c>
      <c r="D19" s="18">
        <f>COUNTIFS(G21:G119,"Low",I21:I119,"Closed")</f>
        <v/>
      </c>
      <c r="E19" s="31">
        <f>D19/B19</f>
        <v/>
      </c>
    </row>
    <row r="20">
      <c r="A20" s="8" t="inlineStr">
        <is>
          <t>Observation</t>
        </is>
      </c>
      <c r="B20" s="18">
        <f>COUNTIF(G21:G119,"Observation")</f>
        <v/>
      </c>
      <c r="C20" s="18">
        <f>COUNTIFS(G21:G119,"Observation",I21:I119,"Open")</f>
        <v/>
      </c>
      <c r="D20" s="18">
        <f>COUNTIFS(G21:G119,"Observation",I21:I119,"Closed")</f>
        <v/>
      </c>
      <c r="E20" s="31">
        <f>D20/B20</f>
        <v/>
      </c>
    </row>
    <row r="22">
      <c r="A22" s="6" t="inlineStr">
        <is>
          <t>AUDIT FINDINGS &amp; COMPLIANCE RECORDS</t>
        </is>
      </c>
    </row>
    <row r="23">
      <c r="A23" s="7" t="inlineStr">
        <is>
          <t>Finding ID</t>
        </is>
      </c>
      <c r="B23" s="7" t="inlineStr">
        <is>
          <t>Audit Date</t>
        </is>
      </c>
      <c r="C23" s="7" t="inlineStr">
        <is>
          <t>Audit Type</t>
        </is>
      </c>
      <c r="D23" s="7" t="inlineStr">
        <is>
          <t>Auditor/Source</t>
        </is>
      </c>
      <c r="E23" s="7" t="inlineStr">
        <is>
          <t>Finding Category</t>
        </is>
      </c>
      <c r="F23" s="7" t="inlineStr">
        <is>
          <t>Finding Description</t>
        </is>
      </c>
      <c r="G23" s="7" t="inlineStr">
        <is>
          <t>Severity</t>
        </is>
      </c>
      <c r="H23" s="7" t="inlineStr">
        <is>
          <t>Affected Area</t>
        </is>
      </c>
      <c r="I23" s="7" t="inlineStr">
        <is>
          <t>Status</t>
        </is>
      </c>
      <c r="J23" s="7" t="inlineStr">
        <is>
          <t>Resolution Days</t>
        </is>
      </c>
      <c r="K23" s="7" t="inlineStr">
        <is>
          <t>Resolution Date</t>
        </is>
      </c>
      <c r="L23" s="7" t="inlineStr">
        <is>
          <t>Remediation Action</t>
        </is>
      </c>
      <c r="M23" s="7" t="inlineStr">
        <is>
          <t>Notes</t>
        </is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25">
        <f>IF(K24="","",K24-B24)</f>
        <v/>
      </c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25">
        <f>IF(K25="","",K25-B25)</f>
        <v/>
      </c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25">
        <f>IF(K26="","",K26-B26)</f>
        <v/>
      </c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25">
        <f>IF(K27="","",K27-B27)</f>
        <v/>
      </c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25">
        <f>IF(K28="","",K28-B28)</f>
        <v/>
      </c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25">
        <f>IF(K29="","",K29-B29)</f>
        <v/>
      </c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25">
        <f>IF(K30="","",K30-B30)</f>
        <v/>
      </c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25">
        <f>IF(K31="","",K31-B31)</f>
        <v/>
      </c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25">
        <f>IF(K32="","",K32-B32)</f>
        <v/>
      </c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25">
        <f>IF(K33="","",K33-B33)</f>
        <v/>
      </c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25">
        <f>IF(K34="","",K34-B34)</f>
        <v/>
      </c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25">
        <f>IF(K35="","",K35-B35)</f>
        <v/>
      </c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25">
        <f>IF(K36="","",K36-B36)</f>
        <v/>
      </c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25">
        <f>IF(K37="","",K37-B37)</f>
        <v/>
      </c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25">
        <f>IF(K38="","",K38-B38)</f>
        <v/>
      </c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25">
        <f>IF(K39="","",K39-B39)</f>
        <v/>
      </c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25">
        <f>IF(K40="","",K40-B40)</f>
        <v/>
      </c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25">
        <f>IF(K41="","",K41-B41)</f>
        <v/>
      </c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25">
        <f>IF(K42="","",K42-B42)</f>
        <v/>
      </c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25">
        <f>IF(K43="","",K43-B43)</f>
        <v/>
      </c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25">
        <f>IF(K44="","",K44-B44)</f>
        <v/>
      </c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25">
        <f>IF(K45="","",K45-B45)</f>
        <v/>
      </c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25">
        <f>IF(K46="","",K46-B46)</f>
        <v/>
      </c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25">
        <f>IF(K47="","",K47-B47)</f>
        <v/>
      </c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25">
        <f>IF(K48="","",K48-B48)</f>
        <v/>
      </c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25">
        <f>IF(K49="","",K49-B49)</f>
        <v/>
      </c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25">
        <f>IF(K50="","",K50-B50)</f>
        <v/>
      </c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25">
        <f>IF(K51="","",K51-B51)</f>
        <v/>
      </c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25">
        <f>IF(K52="","",K52-B52)</f>
        <v/>
      </c>
      <c r="K52" s="4" t="n"/>
      <c r="L52" s="4" t="n"/>
      <c r="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25">
        <f>IF(K53="","",K53-B53)</f>
        <v/>
      </c>
      <c r="K53" s="4" t="n"/>
      <c r="L53" s="4" t="n"/>
      <c r="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25">
        <f>IF(K54="","",K54-B54)</f>
        <v/>
      </c>
      <c r="K54" s="4" t="n"/>
      <c r="L54" s="4" t="n"/>
      <c r="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25">
        <f>IF(K55="","",K55-B55)</f>
        <v/>
      </c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25">
        <f>IF(K56="","",K56-B56)</f>
        <v/>
      </c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25">
        <f>IF(K57="","",K57-B57)</f>
        <v/>
      </c>
      <c r="K57" s="4" t="n"/>
      <c r="L57" s="4" t="n"/>
      <c r="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25">
        <f>IF(K58="","",K58-B58)</f>
        <v/>
      </c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25">
        <f>IF(K59="","",K59-B59)</f>
        <v/>
      </c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25">
        <f>IF(K60="","",K60-B60)</f>
        <v/>
      </c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25">
        <f>IF(K61="","",K61-B61)</f>
        <v/>
      </c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25">
        <f>IF(K62="","",K62-B62)</f>
        <v/>
      </c>
      <c r="K62" s="4" t="n"/>
      <c r="L62" s="4" t="n"/>
      <c r="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25">
        <f>IF(K63="","",K63-B63)</f>
        <v/>
      </c>
      <c r="K63" s="4" t="n"/>
      <c r="L63" s="4" t="n"/>
      <c r="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25">
        <f>IF(K64="","",K64-B64)</f>
        <v/>
      </c>
      <c r="K64" s="4" t="n"/>
      <c r="L64" s="4" t="n"/>
      <c r="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25">
        <f>IF(K65="","",K65-B65)</f>
        <v/>
      </c>
      <c r="K65" s="4" t="n"/>
      <c r="L65" s="4" t="n"/>
      <c r="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25">
        <f>IF(K66="","",K66-B66)</f>
        <v/>
      </c>
      <c r="K66" s="4" t="n"/>
      <c r="L66" s="4" t="n"/>
      <c r="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25">
        <f>IF(K67="","",K67-B67)</f>
        <v/>
      </c>
      <c r="K67" s="4" t="n"/>
      <c r="L67" s="4" t="n"/>
      <c r="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25">
        <f>IF(K68="","",K68-B68)</f>
        <v/>
      </c>
      <c r="K68" s="4" t="n"/>
      <c r="L68" s="4" t="n"/>
      <c r="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25">
        <f>IF(K69="","",K69-B69)</f>
        <v/>
      </c>
      <c r="K69" s="4" t="n"/>
      <c r="L69" s="4" t="n"/>
      <c r="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25">
        <f>IF(K70="","",K70-B70)</f>
        <v/>
      </c>
      <c r="K70" s="4" t="n"/>
      <c r="L70" s="4" t="n"/>
      <c r="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25">
        <f>IF(K71="","",K71-B71)</f>
        <v/>
      </c>
      <c r="K71" s="4" t="n"/>
      <c r="L71" s="4" t="n"/>
      <c r="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25">
        <f>IF(K72="","",K72-B72)</f>
        <v/>
      </c>
      <c r="K72" s="4" t="n"/>
      <c r="L72" s="4" t="n"/>
      <c r="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25">
        <f>IF(K73="","",K73-B73)</f>
        <v/>
      </c>
      <c r="K73" s="4" t="n"/>
      <c r="L73" s="4" t="n"/>
      <c r="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25">
        <f>IF(K74="","",K74-B74)</f>
        <v/>
      </c>
      <c r="K74" s="4" t="n"/>
      <c r="L74" s="4" t="n"/>
      <c r="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25">
        <f>IF(K75="","",K75-B75)</f>
        <v/>
      </c>
      <c r="K75" s="4" t="n"/>
      <c r="L75" s="4" t="n"/>
      <c r="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25">
        <f>IF(K76="","",K76-B76)</f>
        <v/>
      </c>
      <c r="K76" s="4" t="n"/>
      <c r="L76" s="4" t="n"/>
      <c r="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25">
        <f>IF(K77="","",K77-B77)</f>
        <v/>
      </c>
      <c r="K77" s="4" t="n"/>
      <c r="L77" s="4" t="n"/>
      <c r="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25">
        <f>IF(K78="","",K78-B78)</f>
        <v/>
      </c>
      <c r="K78" s="4" t="n"/>
      <c r="L78" s="4" t="n"/>
      <c r="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25">
        <f>IF(K79="","",K79-B79)</f>
        <v/>
      </c>
      <c r="K79" s="4" t="n"/>
      <c r="L79" s="4" t="n"/>
      <c r="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25">
        <f>IF(K80="","",K80-B80)</f>
        <v/>
      </c>
      <c r="K80" s="4" t="n"/>
      <c r="L80" s="4" t="n"/>
      <c r="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25">
        <f>IF(K81="","",K81-B81)</f>
        <v/>
      </c>
      <c r="K81" s="4" t="n"/>
      <c r="L81" s="4" t="n"/>
      <c r="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25">
        <f>IF(K82="","",K82-B82)</f>
        <v/>
      </c>
      <c r="K82" s="4" t="n"/>
      <c r="L82" s="4" t="n"/>
      <c r="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25">
        <f>IF(K83="","",K83-B83)</f>
        <v/>
      </c>
      <c r="K83" s="4" t="n"/>
      <c r="L83" s="4" t="n"/>
      <c r="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25">
        <f>IF(K84="","",K84-B84)</f>
        <v/>
      </c>
      <c r="K84" s="4" t="n"/>
      <c r="L84" s="4" t="n"/>
      <c r="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25">
        <f>IF(K85="","",K85-B85)</f>
        <v/>
      </c>
      <c r="K85" s="4" t="n"/>
      <c r="L85" s="4" t="n"/>
      <c r="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25">
        <f>IF(K86="","",K86-B86)</f>
        <v/>
      </c>
      <c r="K86" s="4" t="n"/>
      <c r="L86" s="4" t="n"/>
      <c r="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25">
        <f>IF(K87="","",K87-B87)</f>
        <v/>
      </c>
      <c r="K87" s="4" t="n"/>
      <c r="L87" s="4" t="n"/>
      <c r="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25">
        <f>IF(K88="","",K88-B88)</f>
        <v/>
      </c>
      <c r="K88" s="4" t="n"/>
      <c r="L88" s="4" t="n"/>
      <c r="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25">
        <f>IF(K89="","",K89-B89)</f>
        <v/>
      </c>
      <c r="K89" s="4" t="n"/>
      <c r="L89" s="4" t="n"/>
      <c r="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25">
        <f>IF(K90="","",K90-B90)</f>
        <v/>
      </c>
      <c r="K90" s="4" t="n"/>
      <c r="L90" s="4" t="n"/>
      <c r="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25">
        <f>IF(K91="","",K91-B91)</f>
        <v/>
      </c>
      <c r="K91" s="4" t="n"/>
      <c r="L91" s="4" t="n"/>
      <c r="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25">
        <f>IF(K92="","",K92-B92)</f>
        <v/>
      </c>
      <c r="K92" s="4" t="n"/>
      <c r="L92" s="4" t="n"/>
      <c r="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25">
        <f>IF(K93="","",K93-B93)</f>
        <v/>
      </c>
      <c r="K93" s="4" t="n"/>
      <c r="L93" s="4" t="n"/>
      <c r="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25">
        <f>IF(K94="","",K94-B94)</f>
        <v/>
      </c>
      <c r="K94" s="4" t="n"/>
      <c r="L94" s="4" t="n"/>
      <c r="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25">
        <f>IF(K95="","",K95-B95)</f>
        <v/>
      </c>
      <c r="K95" s="4" t="n"/>
      <c r="L95" s="4" t="n"/>
      <c r="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25">
        <f>IF(K96="","",K96-B96)</f>
        <v/>
      </c>
      <c r="K96" s="4" t="n"/>
      <c r="L96" s="4" t="n"/>
      <c r="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25">
        <f>IF(K97="","",K97-B97)</f>
        <v/>
      </c>
      <c r="K97" s="4" t="n"/>
      <c r="L97" s="4" t="n"/>
      <c r="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25">
        <f>IF(K98="","",K98-B98)</f>
        <v/>
      </c>
      <c r="K98" s="4" t="n"/>
      <c r="L98" s="4" t="n"/>
      <c r="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25">
        <f>IF(K99="","",K99-B99)</f>
        <v/>
      </c>
      <c r="K99" s="4" t="n"/>
      <c r="L99" s="4" t="n"/>
      <c r="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25">
        <f>IF(K100="","",K100-B100)</f>
        <v/>
      </c>
      <c r="K100" s="4" t="n"/>
      <c r="L100" s="4" t="n"/>
      <c r="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25">
        <f>IF(K101="","",K101-B101)</f>
        <v/>
      </c>
      <c r="K101" s="4" t="n"/>
      <c r="L101" s="4" t="n"/>
      <c r="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25">
        <f>IF(K102="","",K102-B102)</f>
        <v/>
      </c>
      <c r="K102" s="4" t="n"/>
      <c r="L102" s="4" t="n"/>
      <c r="M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25">
        <f>IF(K103="","",K103-B103)</f>
        <v/>
      </c>
      <c r="K103" s="4" t="n"/>
      <c r="L103" s="4" t="n"/>
      <c r="M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25">
        <f>IF(K104="","",K104-B104)</f>
        <v/>
      </c>
      <c r="K104" s="4" t="n"/>
      <c r="L104" s="4" t="n"/>
      <c r="M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25">
        <f>IF(K105="","",K105-B105)</f>
        <v/>
      </c>
      <c r="K105" s="4" t="n"/>
      <c r="L105" s="4" t="n"/>
      <c r="M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25">
        <f>IF(K106="","",K106-B106)</f>
        <v/>
      </c>
      <c r="K106" s="4" t="n"/>
      <c r="L106" s="4" t="n"/>
      <c r="M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25">
        <f>IF(K107="","",K107-B107)</f>
        <v/>
      </c>
      <c r="K107" s="4" t="n"/>
      <c r="L107" s="4" t="n"/>
      <c r="M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25">
        <f>IF(K108="","",K108-B108)</f>
        <v/>
      </c>
      <c r="K108" s="4" t="n"/>
      <c r="L108" s="4" t="n"/>
      <c r="M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25">
        <f>IF(K109="","",K109-B109)</f>
        <v/>
      </c>
      <c r="K109" s="4" t="n"/>
      <c r="L109" s="4" t="n"/>
      <c r="M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25">
        <f>IF(K110="","",K110-B110)</f>
        <v/>
      </c>
      <c r="K110" s="4" t="n"/>
      <c r="L110" s="4" t="n"/>
      <c r="M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25">
        <f>IF(K111="","",K111-B111)</f>
        <v/>
      </c>
      <c r="K111" s="4" t="n"/>
      <c r="L111" s="4" t="n"/>
      <c r="M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25">
        <f>IF(K112="","",K112-B112)</f>
        <v/>
      </c>
      <c r="K112" s="4" t="n"/>
      <c r="L112" s="4" t="n"/>
      <c r="M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25">
        <f>IF(K113="","",K113-B113)</f>
        <v/>
      </c>
      <c r="K113" s="4" t="n"/>
      <c r="L113" s="4" t="n"/>
      <c r="M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25">
        <f>IF(K114="","",K114-B114)</f>
        <v/>
      </c>
      <c r="K114" s="4" t="n"/>
      <c r="L114" s="4" t="n"/>
      <c r="M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25">
        <f>IF(K115="","",K115-B115)</f>
        <v/>
      </c>
      <c r="K115" s="4" t="n"/>
      <c r="L115" s="4" t="n"/>
      <c r="M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25">
        <f>IF(K116="","",K116-B116)</f>
        <v/>
      </c>
      <c r="K116" s="4" t="n"/>
      <c r="L116" s="4" t="n"/>
      <c r="M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25">
        <f>IF(K117="","",K117-B117)</f>
        <v/>
      </c>
      <c r="K117" s="4" t="n"/>
      <c r="L117" s="4" t="n"/>
      <c r="M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25">
        <f>IF(K118="","",K118-B118)</f>
        <v/>
      </c>
      <c r="K118" s="4" t="n"/>
      <c r="L118" s="4" t="n"/>
      <c r="M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25">
        <f>IF(K119="","",K119-B119)</f>
        <v/>
      </c>
      <c r="K119" s="4" t="n"/>
      <c r="L119" s="4" t="n"/>
      <c r="M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25">
        <f>IF(K120="","",K120-B120)</f>
        <v/>
      </c>
      <c r="K120" s="4" t="n"/>
      <c r="L120" s="4" t="n"/>
      <c r="M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25">
        <f>IF(K121="","",K121-B121)</f>
        <v/>
      </c>
      <c r="K121" s="4" t="n"/>
      <c r="L121" s="4" t="n"/>
      <c r="M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25">
        <f>IF(K122="","",K122-B122)</f>
        <v/>
      </c>
      <c r="K122" s="4" t="n"/>
      <c r="L122" s="4" t="n"/>
      <c r="M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25">
        <f>IF(K123="","",K123-B123)</f>
        <v/>
      </c>
      <c r="K123" s="4" t="n"/>
      <c r="L123" s="4" t="n"/>
      <c r="M123" s="4" t="n"/>
    </row>
  </sheetData>
  <mergeCells count="5">
    <mergeCell ref="A1:M1"/>
    <mergeCell ref="A4:D4"/>
    <mergeCell ref="A22:M22"/>
    <mergeCell ref="A14:E14"/>
    <mergeCell ref="A2:M2"/>
  </mergeCells>
  <dataValidations count="4">
    <dataValidation sqref="C20:C119" showDropDown="0" showInputMessage="0" showErrorMessage="0" allowBlank="1" type="list">
      <formula1>"Internal,External,Certification,Surveillance,Self-Assessment"</formula1>
    </dataValidation>
    <dataValidation sqref="E20:E119" showDropDown="0" showInputMessage="0" showErrorMessage="0" allowBlank="1" type="list">
      <formula1>"Infrastructure,Coverage,Policy,Monitoring,Documentation,Process,Technical,Organizational"</formula1>
    </dataValidation>
    <dataValidation sqref="G21:G119" showDropDown="0" showInputMessage="0" showErrorMessage="0" allowBlank="1" type="list">
      <formula1>"Critical,High,Medium,Low,Observation"</formula1>
    </dataValidation>
    <dataValidation sqref="I21:I119" showDropDown="0" showInputMessage="0" showErrorMessage="0" allowBlank="1" type="list">
      <formula1>"Open,In Progress,Pending Verification,Closed,Accepted 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APPROVAL SIGN-OFF - A.8.23 WEB FILTERING</t>
        </is>
      </c>
    </row>
    <row r="2">
      <c r="A2" s="16" t="inlineStr">
        <is>
          <t>Multi-level approval workflow for compliance dashboard</t>
        </is>
      </c>
    </row>
    <row r="4">
      <c r="A4" s="6" t="inlineStr">
        <is>
          <t>ASSESSMENT SUMMARY FOR APPROVAL</t>
        </is>
      </c>
    </row>
    <row r="5">
      <c r="A5" s="26" t="inlineStr">
        <is>
          <t>Overall Compliance Score</t>
        </is>
      </c>
      <c r="B5" s="9">
        <f>'Executive Dashboard'!B17</f>
        <v/>
      </c>
    </row>
    <row r="6">
      <c r="A6" s="26" t="inlineStr">
        <is>
          <t>Total Critical Gaps</t>
        </is>
      </c>
      <c r="B6" s="9">
        <f>'Executive Dashboard'!B18</f>
        <v/>
      </c>
    </row>
    <row r="7">
      <c r="A7" s="26" t="inlineStr">
        <is>
          <t>Total High-Risk Items</t>
        </is>
      </c>
      <c r="B7" s="9">
        <f>'Executive Dashboard'!B19</f>
        <v/>
      </c>
    </row>
    <row r="8">
      <c r="A8" s="26" t="inlineStr">
        <is>
          <t>Evidence Items Collected</t>
        </is>
      </c>
      <c r="B8" s="9">
        <f>'Evidence Register'!B5</f>
        <v/>
      </c>
    </row>
    <row r="9">
      <c r="A9" s="26" t="inlineStr">
        <is>
          <t>Open Action Items</t>
        </is>
      </c>
      <c r="B9" s="9">
        <f>'Action Items &amp; Follow-up'!B6</f>
        <v/>
      </c>
    </row>
    <row r="10">
      <c r="A10" s="26" t="inlineStr">
        <is>
          <t>Audit Readiness Status</t>
        </is>
      </c>
      <c r="B10" s="4" t="n"/>
      <c r="C10" s="32" t="inlineStr">
        <is>
          <t>Ready/Conditional/Not Ready</t>
        </is>
      </c>
    </row>
    <row r="13">
      <c r="A13" s="33" t="inlineStr">
        <is>
          <t>ASSESSMENT STATUS</t>
        </is>
      </c>
    </row>
    <row r="14">
      <c r="A14" s="3" t="inlineStr">
        <is>
          <t>Assessment Status:</t>
        </is>
      </c>
      <c r="B14" s="4" t="n"/>
    </row>
    <row r="16">
      <c r="A16" s="33" t="inlineStr">
        <is>
          <t>ASSESSMENT COMPLETED BY</t>
        </is>
      </c>
    </row>
    <row r="17">
      <c r="A17" s="3" t="inlineStr">
        <is>
          <t>Name:</t>
        </is>
      </c>
      <c r="B17" s="4" t="n"/>
    </row>
    <row r="18">
      <c r="A18" s="3" t="inlineStr">
        <is>
          <t>Role/Title:</t>
        </is>
      </c>
      <c r="B18" s="4" t="n"/>
    </row>
    <row r="19">
      <c r="A19" s="3" t="inlineStr">
        <is>
          <t>Department:</t>
        </is>
      </c>
      <c r="B19" s="4" t="n"/>
    </row>
    <row r="20">
      <c r="A20" s="3" t="inlineStr">
        <is>
          <t>Email:</t>
        </is>
      </c>
      <c r="B20" s="4" t="n"/>
    </row>
    <row r="21">
      <c r="A21" s="3" t="inlineStr">
        <is>
          <t>Date:</t>
        </is>
      </c>
      <c r="B21" s="4" t="n"/>
    </row>
    <row r="24">
      <c r="A24" s="33" t="inlineStr">
        <is>
          <t>REVIEWED BY (INFORMATION SECURITY OFFICER)</t>
        </is>
      </c>
    </row>
    <row r="25">
      <c r="A25" s="3" t="inlineStr">
        <is>
          <t>Name:</t>
        </is>
      </c>
      <c r="B25" s="4" t="n"/>
    </row>
    <row r="26">
      <c r="A26" s="3" t="inlineStr">
        <is>
          <t>Date:</t>
        </is>
      </c>
      <c r="B26" s="4" t="n"/>
    </row>
    <row r="27">
      <c r="A27" s="3" t="inlineStr">
        <is>
          <t>Review Notes:</t>
        </is>
      </c>
      <c r="B27" s="4" t="n"/>
    </row>
    <row r="30">
      <c r="A30" s="34" t="inlineStr">
        <is>
          <t>APPROVED BY (CISO)</t>
        </is>
      </c>
    </row>
    <row r="31">
      <c r="A31" s="3" t="inlineStr">
        <is>
          <t>Name:</t>
        </is>
      </c>
      <c r="B31" s="4" t="n"/>
    </row>
    <row r="32">
      <c r="A32" s="3" t="inlineStr">
        <is>
          <t>Date:</t>
        </is>
      </c>
      <c r="B32" s="4" t="n"/>
    </row>
    <row r="33">
      <c r="A33" s="3" t="inlineStr">
        <is>
          <t>Approval Decision:</t>
        </is>
      </c>
      <c r="B33" s="4" t="n"/>
    </row>
    <row r="34">
      <c r="A34" s="3" t="inlineStr">
        <is>
          <t>Conditions/Notes:</t>
        </is>
      </c>
      <c r="B34" s="4" t="n"/>
    </row>
    <row r="37">
      <c r="A37" s="13" t="inlineStr">
        <is>
          <t>NEXT REVIEW DETAILS</t>
        </is>
      </c>
    </row>
    <row r="38">
      <c r="A38" s="3" t="inlineStr">
        <is>
          <t>Next Review Date:</t>
        </is>
      </c>
      <c r="B38" s="4" t="n"/>
    </row>
    <row r="39">
      <c r="A39" s="3" t="inlineStr">
        <is>
          <t>Review Responsible:</t>
        </is>
      </c>
      <c r="B39" s="4" t="n"/>
    </row>
    <row r="40">
      <c r="A40" s="3" t="inlineStr">
        <is>
          <t>Special Considerations:</t>
        </is>
      </c>
      <c r="B40" s="4" t="n"/>
    </row>
    <row r="43">
      <c r="A43" s="13" t="inlineStr">
        <is>
          <t>CISO CERTIFICATION STATEMENT</t>
        </is>
      </c>
    </row>
    <row r="44" ht="90" customHeight="1">
      <c r="A44" s="35" t="inlineStr">
        <is>
          <t>I certify that this consolidated assessment of ISO/IEC 27001:2022 Control A.8.23 (Web Filtering) has been reviewed and represents an accurate view of our organization's compliance status across all four assessment domains (Infrastructure, Coverage, Policy, Monitoring &amp; Response). Identified gaps have remediation plans with assigned owners and target dates. This dashboard consolidates data from completed assessments and is suitable for presentation to internal and external auditors.</t>
        </is>
      </c>
    </row>
    <row r="46">
      <c r="A46" s="36" t="inlineStr">
        <is>
          <t>🎯 "The first principle is that you must not fool yourself – and you are the easiest person to fool." – Richard Feynman</t>
        </is>
      </c>
    </row>
    <row r="47">
      <c r="A47" s="37" t="inlineStr">
        <is>
          <t>This is Systems Engineering. This is Evidence &gt; Theater.</t>
        </is>
      </c>
    </row>
  </sheetData>
  <mergeCells count="28">
    <mergeCell ref="A30:E30"/>
    <mergeCell ref="B40:E40"/>
    <mergeCell ref="A24:E24"/>
    <mergeCell ref="B34:E34"/>
    <mergeCell ref="B33:E33"/>
    <mergeCell ref="A1:E1"/>
    <mergeCell ref="B20:E20"/>
    <mergeCell ref="B32:E32"/>
    <mergeCell ref="B26:E26"/>
    <mergeCell ref="A16:E16"/>
    <mergeCell ref="B25:E25"/>
    <mergeCell ref="A37:E37"/>
    <mergeCell ref="A46:E46"/>
    <mergeCell ref="B31:E31"/>
    <mergeCell ref="B18:E18"/>
    <mergeCell ref="B27:E27"/>
    <mergeCell ref="A2:E2"/>
    <mergeCell ref="B21:E21"/>
    <mergeCell ref="B39:E39"/>
    <mergeCell ref="A47:E47"/>
    <mergeCell ref="B17:E17"/>
    <mergeCell ref="A4:E4"/>
    <mergeCell ref="A43:E43"/>
    <mergeCell ref="B38:E38"/>
    <mergeCell ref="A13:E13"/>
    <mergeCell ref="B19:E19"/>
    <mergeCell ref="A44:E44"/>
    <mergeCell ref="C10:E10"/>
  </mergeCells>
  <dataValidations count="2">
    <dataValidation sqref="B14" showDropDown="0" showInputMessage="0" showErrorMessage="0" allowBlank="0" type="list">
      <formula1>"Draft,Under Review,Approved,Rejected"</formula1>
    </dataValidation>
    <dataValidation sqref="B33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2026-02-08T11:26:24Z</dcterms:created>
  <dcterms:modified xmlns:dcterms="http://purl.org/dc/terms/" xmlns:xsi="http://www.w3.org/2001/XMLSchema-instance" xsi:type="dcterms:W3CDTF">2026-02-08T11:26:24Z</dcterms:modified>
</cp:coreProperties>
</file>