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Network_Segment_Inventory" sheetId="2" state="visible" r:id="rId2"/>
    <sheet xmlns:r="http://schemas.openxmlformats.org/officeDocument/2006/relationships" name="Coverage_Matrix" sheetId="3" state="visible" r:id="rId3"/>
    <sheet xmlns:r="http://schemas.openxmlformats.org/officeDocument/2006/relationships" name="Gap_Identification" sheetId="4" state="visible" r:id="rId4"/>
    <sheet xmlns:r="http://schemas.openxmlformats.org/officeDocument/2006/relationships" name="Device_Inventory" sheetId="5" state="visible" r:id="rId5"/>
    <sheet xmlns:r="http://schemas.openxmlformats.org/officeDocument/2006/relationships" name="Exemption_Register" sheetId="6" state="visible" r:id="rId6"/>
    <sheet xmlns:r="http://schemas.openxmlformats.org/officeDocument/2006/relationships" name="Coverage_Verification" sheetId="7" state="visible" r:id="rId7"/>
    <sheet xmlns:r="http://schemas.openxmlformats.org/officeDocument/2006/relationships" name="Evidence_Register" sheetId="8" state="visible" r:id="rId8"/>
    <sheet xmlns:r="http://schemas.openxmlformats.org/officeDocument/2006/relationships" name="Approval_Sign_Off" sheetId="9" state="visible" r:id="rId9"/>
  </sheets>
  <definedNames/>
  <calcPr calcId="124519" fullCalcOnLoad="1"/>
</workbook>
</file>

<file path=xl/styles.xml><?xml version="1.0" encoding="utf-8"?>
<styleSheet xmlns="http://schemas.openxmlformats.org/spreadsheetml/2006/main">
  <numFmts count="2">
    <numFmt numFmtId="164" formatCode="0&quot;%&quot;"/>
    <numFmt numFmtId="165" formatCode="DD.MM.YYYY"/>
  </numFmts>
  <fonts count="15">
    <font>
      <name val="Calibri"/>
      <family val="2"/>
      <color theme="1"/>
      <sz val="11"/>
      <scheme val="minor"/>
    </font>
    <font>
      <name val="Calibri"/>
      <b val="1"/>
      <color rgb="00FFFFFF"/>
      <sz val="14"/>
    </font>
    <font>
      <name val="Calibri"/>
      <b val="1"/>
      <color rgb="00FFFFFF"/>
      <sz val="11"/>
    </font>
    <font>
      <b val="1"/>
      <sz val="11"/>
    </font>
    <font>
      <b val="1"/>
    </font>
    <font>
      <b val="1"/>
      <color rgb="00FFFFFF"/>
      <sz val="12"/>
    </font>
    <font>
      <b val="1"/>
      <color rgb="00FFFFFF"/>
    </font>
    <font>
      <b val="1"/>
      <sz val="9"/>
    </font>
    <font>
      <b val="1"/>
      <color rgb="000000FF"/>
    </font>
    <font>
      <b val="1"/>
      <color rgb="00FFFFFF"/>
      <sz val="11"/>
    </font>
    <font>
      <b val="1"/>
      <color rgb="000000FF"/>
      <sz val="11"/>
    </font>
    <font>
      <b val="1"/>
      <color rgb="00000000"/>
    </font>
    <font>
      <b val="1"/>
      <color rgb="00C00000"/>
      <sz val="11"/>
    </font>
    <font>
      <b val="1"/>
      <color rgb="00C00000"/>
    </font>
    <font>
      <b val="1"/>
      <color rgb="00C00000"/>
      <sz val="10"/>
    </font>
  </fonts>
  <fills count="12">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B4C7E7"/>
        <bgColor rgb="00B4C7E7"/>
      </patternFill>
    </fill>
    <fill>
      <patternFill patternType="solid">
        <fgColor rgb="00C00000"/>
        <bgColor rgb="00C00000"/>
      </patternFill>
    </fill>
    <fill>
      <patternFill patternType="solid">
        <fgColor rgb="00FF6666"/>
        <bgColor rgb="00FF6666"/>
      </patternFill>
    </fill>
  </fills>
  <borders count="1">
    <border>
      <left/>
      <right/>
      <top/>
      <bottom/>
      <diagonal/>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4" fillId="0" borderId="0" pivotButton="0" quotePrefix="0" xfId="0"/>
    <xf numFmtId="0" fontId="0" fillId="4" borderId="0" pivotButton="0" quotePrefix="0" xfId="0"/>
    <xf numFmtId="0" fontId="5" fillId="3" borderId="0" applyAlignment="1" pivotButton="0" quotePrefix="0" xfId="0">
      <alignment horizontal="center" vertical="center"/>
    </xf>
    <xf numFmtId="0" fontId="0" fillId="0" borderId="0" applyAlignment="1" pivotButton="0" quotePrefix="0" xfId="0">
      <alignment wrapText="1"/>
    </xf>
    <xf numFmtId="0" fontId="4"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5" borderId="0" pivotButton="0" quotePrefix="0" xfId="0"/>
    <xf numFmtId="0" fontId="6" fillId="2" borderId="0" applyAlignment="1" pivotButton="0" quotePrefix="0" xfId="0">
      <alignment horizontal="center" vertical="center" wrapText="1"/>
    </xf>
    <xf numFmtId="0" fontId="7" fillId="0" borderId="0" pivotButton="0" quotePrefix="0" xfId="0"/>
    <xf numFmtId="0" fontId="0" fillId="4" borderId="0" applyAlignment="1" pivotButton="0" quotePrefix="0" xfId="0">
      <alignment horizontal="center" vertical="center"/>
    </xf>
    <xf numFmtId="164" fontId="8" fillId="0" borderId="0" pivotButton="0" quotePrefix="0" xfId="0"/>
    <xf numFmtId="0" fontId="9" fillId="3" borderId="0" applyAlignment="1" pivotButton="0" quotePrefix="0" xfId="0">
      <alignment horizontal="center" vertical="center"/>
    </xf>
    <xf numFmtId="0" fontId="10" fillId="0" borderId="0" pivotButton="0" quotePrefix="0" xfId="0"/>
    <xf numFmtId="0" fontId="8" fillId="0" borderId="0" pivotButton="0" quotePrefix="0" xfId="0"/>
    <xf numFmtId="0" fontId="6" fillId="10" borderId="0" pivotButton="0" quotePrefix="0" xfId="0"/>
    <xf numFmtId="0" fontId="11" fillId="11" borderId="0" pivotButton="0" quotePrefix="0" xfId="0"/>
    <xf numFmtId="0" fontId="11" fillId="7" borderId="0" pivotButton="0" quotePrefix="0" xfId="0"/>
    <xf numFmtId="0" fontId="11" fillId="6" borderId="0" pivotButton="0" quotePrefix="0" xfId="0"/>
    <xf numFmtId="0" fontId="12" fillId="0" borderId="0" pivotButton="0" quotePrefix="0" xfId="0"/>
    <xf numFmtId="0" fontId="13" fillId="0" borderId="0" pivotButton="0" quotePrefix="0" xfId="0"/>
    <xf numFmtId="0" fontId="14" fillId="0" borderId="0" applyAlignment="1" pivotButton="0" quotePrefix="0" xfId="0">
      <alignment horizontal="center" vertical="center" wrapText="1"/>
    </xf>
    <xf numFmtId="165" fontId="0" fillId="0" borderId="0" pivotButton="0" quotePrefix="0" xfId="0"/>
    <xf numFmtId="0" fontId="0" fillId="4" borderId="0" applyAlignment="1" pivotButton="0" quotePrefix="0" xfId="0">
      <alignment horizontal="left" vertical="top" wrapText="1"/>
    </xf>
    <xf numFmtId="0" fontId="9" fillId="2" borderId="0" applyAlignment="1" pivotButton="0" quotePrefix="0" xfId="0">
      <alignment horizontal="center" vertical="center"/>
    </xf>
    <xf numFmtId="165"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pane ySplit="3" topLeftCell="A4" activePane="bottomLeft" state="frozen"/>
      <selection pane="bottomLeft" activeCell="A1" sqref="A1"/>
    </sheetView>
  </sheetViews>
  <sheetFormatPr baseColWidth="8" defaultRowHeight="15"/>
  <cols>
    <col width="50" customWidth="1" min="1" max="1"/>
    <col width="30" customWidth="1" min="2" max="2"/>
    <col width="40" customWidth="1" min="3" max="3"/>
    <col width="15" customWidth="1" min="4" max="4"/>
    <col width="15" customWidth="1" min="5" max="5"/>
    <col width="15" customWidth="1" min="6" max="6"/>
  </cols>
  <sheetData>
    <row r="1" ht="30" customHeight="1">
      <c r="A1" s="1" t="inlineStr">
        <is>
          <t>ISMS-IMP-A.8.23.2 – Network Coverage Assessment</t>
        </is>
      </c>
    </row>
    <row r="2">
      <c r="A2" s="2" t="inlineStr">
        <is>
          <t>ISO/IEC 27001:2022 - Control A.8.23: Web Filtering</t>
        </is>
      </c>
    </row>
    <row r="4">
      <c r="A4" s="3" t="inlineStr">
        <is>
          <t>DOCUMENT INFORMATION</t>
        </is>
      </c>
    </row>
    <row r="5">
      <c r="A5" s="4" t="inlineStr">
        <is>
          <t>Document ID:</t>
        </is>
      </c>
      <c r="B5" t="inlineStr">
        <is>
          <t>ISMS-IMP-A.8.23.2</t>
        </is>
      </c>
    </row>
    <row r="6">
      <c r="A6" s="4" t="inlineStr">
        <is>
          <t>Assessment Area:</t>
        </is>
      </c>
      <c r="B6" t="inlineStr">
        <is>
          <t>Network Coverage &amp; Deployment Topology</t>
        </is>
      </c>
    </row>
    <row r="7">
      <c r="A7" s="4" t="inlineStr">
        <is>
          <t>Related Policy:</t>
        </is>
      </c>
      <c r="B7" t="inlineStr">
        <is>
          <t>ISMS-POL-A.8.23-S2.1</t>
        </is>
      </c>
    </row>
    <row r="8">
      <c r="A8" s="4" t="inlineStr">
        <is>
          <t>Version:</t>
        </is>
      </c>
      <c r="B8" t="inlineStr">
        <is>
          <t>1.0</t>
        </is>
      </c>
    </row>
    <row r="9">
      <c r="A9" s="4" t="inlineStr">
        <is>
          <t>Assessment Date:</t>
        </is>
      </c>
      <c r="B9" s="5" t="inlineStr">
        <is>
          <t>[USER INPUT]</t>
        </is>
      </c>
    </row>
    <row r="10">
      <c r="A10" s="4" t="inlineStr">
        <is>
          <t>Completed By:</t>
        </is>
      </c>
      <c r="B10" s="5" t="inlineStr">
        <is>
          <t>[USER INPUT]</t>
        </is>
      </c>
    </row>
    <row r="11">
      <c r="A11" s="4" t="inlineStr">
        <is>
          <t>Organization:</t>
        </is>
      </c>
      <c r="B11" s="5" t="inlineStr">
        <is>
          <t>[USER INPUT]</t>
        </is>
      </c>
    </row>
    <row r="12">
      <c r="A12" s="4" t="inlineStr">
        <is>
          <t>Review Cycle:</t>
        </is>
      </c>
      <c r="B12" t="inlineStr">
        <is>
          <t>Quarterly</t>
        </is>
      </c>
    </row>
    <row r="15">
      <c r="A15" s="6" t="inlineStr">
        <is>
          <t>HOW TO USE THIS WORKBOOK</t>
        </is>
      </c>
    </row>
    <row r="16" ht="30" customHeight="1">
      <c r="A16" s="7" t="inlineStr">
        <is>
          <t>1. Complete Network_Segment_Inventory for EVERY network segment in your environment</t>
        </is>
      </c>
    </row>
    <row r="17" ht="30" customHeight="1">
      <c r="A17" s="7" t="inlineStr">
        <is>
          <t>2. Document YOUR specific network architecture (office LANs, WLANs, VPN, cloud, etc.)</t>
        </is>
      </c>
    </row>
    <row r="18" ht="30" customHeight="1">
      <c r="A18" s="7" t="inlineStr">
        <is>
          <t>3. Map filtering solutions to network segments in Coverage_Matrix</t>
        </is>
      </c>
    </row>
    <row r="19" ht="30" customHeight="1">
      <c r="A19" s="7" t="inlineStr">
        <is>
          <t>4. Calculate coverage percentages and identify gaps</t>
        </is>
      </c>
    </row>
    <row r="20" ht="30" customHeight="1">
      <c r="A20" s="7" t="inlineStr">
        <is>
          <t>5. Document any devices/segments exempt from filtering in Exemption_Register</t>
        </is>
      </c>
    </row>
    <row r="21" ht="30" customHeight="1">
      <c r="A21" s="7" t="inlineStr">
        <is>
          <t>6. Track evidence in Evidence_Register</t>
        </is>
      </c>
    </row>
    <row r="22" ht="30" customHeight="1">
      <c r="A22" s="7" t="inlineStr">
        <is>
          <t>7. Review and approve via Approval_Sign_Off</t>
        </is>
      </c>
    </row>
    <row r="23" ht="30" customHeight="1">
      <c r="A23" s="7" t="inlineStr">
        <is>
          <t>8. Update quarterly or after network topology changes</t>
        </is>
      </c>
    </row>
    <row r="24" ht="30" customHeight="1">
      <c r="A24" s="7" t="inlineStr">
        <is>
          <t>9. Coordinate with ISMS-IMP-A.8.23.1 (Infrastructure Assessment)</t>
        </is>
      </c>
    </row>
    <row r="27">
      <c r="A27" s="6" t="inlineStr">
        <is>
          <t>STATUS LEGEND</t>
        </is>
      </c>
    </row>
    <row r="28">
      <c r="A28" s="8" t="inlineStr">
        <is>
          <t>Symbol</t>
        </is>
      </c>
      <c r="B28" s="8" t="inlineStr">
        <is>
          <t>Status</t>
        </is>
      </c>
      <c r="C28" s="8" t="inlineStr">
        <is>
          <t>Description</t>
        </is>
      </c>
      <c r="D28" s="8" t="inlineStr">
        <is>
          <t>Color</t>
        </is>
      </c>
    </row>
    <row r="29">
      <c r="A29" t="inlineStr">
        <is>
          <t>✅</t>
        </is>
      </c>
      <c r="B29" t="inlineStr">
        <is>
          <t>Protected</t>
        </is>
      </c>
      <c r="C29" t="inlineStr">
        <is>
          <t>Web filtering active and operational</t>
        </is>
      </c>
      <c r="D29" s="9" t="inlineStr">
        <is>
          <t>Green</t>
        </is>
      </c>
    </row>
    <row r="30">
      <c r="A30" t="inlineStr">
        <is>
          <t>⚠️</t>
        </is>
      </c>
      <c r="B30" t="inlineStr">
        <is>
          <t>Partial</t>
        </is>
      </c>
      <c r="C30" t="inlineStr">
        <is>
          <t>Partial coverage or limited protection</t>
        </is>
      </c>
      <c r="D30" s="10" t="inlineStr">
        <is>
          <t>Yellow</t>
        </is>
      </c>
    </row>
    <row r="31">
      <c r="A31" t="inlineStr">
        <is>
          <t>❌</t>
        </is>
      </c>
      <c r="B31" t="inlineStr">
        <is>
          <t>Unprotected</t>
        </is>
      </c>
      <c r="C31" t="inlineStr">
        <is>
          <t>No web filtering deployed</t>
        </is>
      </c>
      <c r="D31" s="11" t="inlineStr">
        <is>
          <t>Red</t>
        </is>
      </c>
    </row>
    <row r="32">
      <c r="A32" t="inlineStr">
        <is>
          <t>🔄</t>
        </is>
      </c>
      <c r="B32" t="inlineStr">
        <is>
          <t>Planned</t>
        </is>
      </c>
      <c r="C32" t="inlineStr">
        <is>
          <t>Protection planned with target date</t>
        </is>
      </c>
      <c r="D32" s="12" t="inlineStr">
        <is>
          <t>Blue</t>
        </is>
      </c>
    </row>
    <row r="33">
      <c r="A33" t="inlineStr">
        <is>
          <t>🚫</t>
        </is>
      </c>
      <c r="B33" t="inlineStr">
        <is>
          <t>Exempt</t>
        </is>
      </c>
      <c r="C33" t="inlineStr">
        <is>
          <t>Approved exemption (documented)</t>
        </is>
      </c>
      <c r="D33" s="13" t="inlineStr">
        <is>
          <t>Gray</t>
        </is>
      </c>
    </row>
    <row r="36">
      <c r="A36" s="6" t="inlineStr">
        <is>
          <t>NETWORK SEGMENT TYPES (Examples - Map YOUR environment)</t>
        </is>
      </c>
    </row>
    <row r="37">
      <c r="A37" t="inlineStr">
        <is>
          <t>• On-Premises LANs (corporate office networks)</t>
        </is>
      </c>
    </row>
    <row r="38">
      <c r="A38" t="inlineStr">
        <is>
          <t>• Wireless Networks (WLAN) - corporate WiFi, guest WiFi</t>
        </is>
      </c>
    </row>
    <row r="39">
      <c r="A39" t="inlineStr">
        <is>
          <t>• Remote Access / VPN (remote workers, site-to-site)</t>
        </is>
      </c>
    </row>
    <row r="40">
      <c r="A40" t="inlineStr">
        <is>
          <t>• Cloud-Based Endpoints (VDI, DaaS, Windows 365, virtual desktops)</t>
        </is>
      </c>
    </row>
    <row r="41">
      <c r="A41" t="inlineStr">
        <is>
          <t>• Guest/Partner Networks (visitor access, vendor access)</t>
        </is>
      </c>
    </row>
    <row r="42">
      <c r="A42" t="inlineStr">
        <is>
          <t>• DMZ / Extranet (public-facing services, partner connections)</t>
        </is>
      </c>
    </row>
    <row r="43">
      <c r="A43" t="inlineStr">
        <is>
          <t>• Branch Offices (remote sites, field offices)</t>
        </is>
      </c>
    </row>
    <row r="44">
      <c r="A44" t="inlineStr">
        <is>
          <t>• Mobile Devices (smartphones, tablets, laptops outside VPN)</t>
        </is>
      </c>
    </row>
    <row r="45">
      <c r="A45" t="inlineStr">
        <is>
          <t>• IoT/OT Networks (building systems, manufacturing)</t>
        </is>
      </c>
    </row>
    <row r="46">
      <c r="A46" t="inlineStr">
        <is>
          <t>• Development/Test Networks (staging, labs)</t>
        </is>
      </c>
    </row>
    <row r="49">
      <c r="A49" s="6" t="inlineStr">
        <is>
          <t>ACCEPTABLE EVIDENCE (Examples)</t>
        </is>
      </c>
    </row>
    <row r="50">
      <c r="A50" t="inlineStr">
        <is>
          <t>✓ Network topology diagrams</t>
        </is>
      </c>
    </row>
    <row r="51">
      <c r="A51" t="inlineStr">
        <is>
          <t>✓ VLAN configurations and documentation</t>
        </is>
      </c>
    </row>
    <row r="52">
      <c r="A52" t="inlineStr">
        <is>
          <t>✓ Firewall/routing policies showing filtering enforcement</t>
        </is>
      </c>
    </row>
    <row r="53">
      <c r="A53" t="inlineStr">
        <is>
          <t>✓ DHCP configurations (DNS redirection, proxy settings)</t>
        </is>
      </c>
    </row>
    <row r="54">
      <c r="A54" t="inlineStr">
        <is>
          <t>✓ VPN concentrator configurations</t>
        </is>
      </c>
    </row>
    <row r="55">
      <c r="A55" t="inlineStr">
        <is>
          <t>✓ Cloud service dashboards (endpoint protection)</t>
        </is>
      </c>
    </row>
    <row r="56">
      <c r="A56" t="inlineStr">
        <is>
          <t>✓ WiFi controller configurations</t>
        </is>
      </c>
    </row>
    <row r="57">
      <c r="A57" t="inlineStr">
        <is>
          <t>✓ Network access control (NAC) policies</t>
        </is>
      </c>
    </row>
    <row r="58">
      <c r="A58" t="inlineStr">
        <is>
          <t>✓ Exemption request approvals</t>
        </is>
      </c>
    </row>
    <row r="59">
      <c r="A59" t="inlineStr">
        <is>
          <t>✓ Coverage verification tests/reports</t>
        </is>
      </c>
    </row>
    <row r="60">
      <c r="A60" t="inlineStr">
        <is>
          <t>✓ Network monitoring dashboards</t>
        </is>
      </c>
    </row>
    <row r="61">
      <c r="A61" t="inlineStr">
        <is>
          <t>✓ Change management records for network modifications</t>
        </is>
      </c>
    </row>
  </sheetData>
  <mergeCells count="6">
    <mergeCell ref="A2:F2"/>
    <mergeCell ref="A49:F49"/>
    <mergeCell ref="A27:D27"/>
    <mergeCell ref="A36:F36"/>
    <mergeCell ref="A1:F1"/>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4"/>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25" customWidth="1" min="3" max="3"/>
    <col width="25" customWidth="1" min="4" max="4"/>
    <col width="20" customWidth="1" min="5" max="5"/>
    <col width="12" customWidth="1" min="6" max="6"/>
    <col width="12" customWidth="1" min="7" max="7"/>
    <col width="15" customWidth="1" min="8" max="8"/>
    <col width="15" customWidth="1" min="9" max="9"/>
    <col width="18" customWidth="1" min="10" max="10"/>
    <col width="30" customWidth="1" min="11" max="11"/>
    <col width="12" customWidth="1" min="12" max="12"/>
    <col width="25" customWidth="1" min="13" max="13"/>
    <col width="15" customWidth="1" min="14" max="14"/>
    <col width="35" customWidth="1" min="15" max="15"/>
  </cols>
  <sheetData>
    <row r="1" ht="30" customHeight="1">
      <c r="A1" s="1" t="inlineStr">
        <is>
          <t>NETWORK SEGMENT INVENTORY</t>
        </is>
      </c>
    </row>
    <row r="2">
      <c r="A2" s="2" t="inlineStr">
        <is>
          <t>Document all network segments requiring web filtering protection</t>
        </is>
      </c>
    </row>
    <row r="4">
      <c r="A4" s="14" t="inlineStr">
        <is>
          <t>Segment ID</t>
        </is>
      </c>
      <c r="B4" s="14" t="inlineStr">
        <is>
          <t>Segment Name</t>
        </is>
      </c>
      <c r="C4" s="14" t="inlineStr">
        <is>
          <t>Segment Type</t>
        </is>
      </c>
      <c r="D4" s="14" t="inlineStr">
        <is>
          <t>Location/Site</t>
        </is>
      </c>
      <c r="E4" s="14" t="inlineStr">
        <is>
          <t>Subnet/VLAN</t>
        </is>
      </c>
      <c r="F4" s="14" t="inlineStr">
        <is>
          <t>User Count</t>
        </is>
      </c>
      <c r="G4" s="14" t="inlineStr">
        <is>
          <t>Device Count</t>
        </is>
      </c>
      <c r="H4" s="14" t="inlineStr">
        <is>
          <t>Internet Access?</t>
        </is>
      </c>
      <c r="I4" s="14" t="inlineStr">
        <is>
          <t>Filtering Required?</t>
        </is>
      </c>
      <c r="J4" s="14" t="inlineStr">
        <is>
          <t>Filtering Status</t>
        </is>
      </c>
      <c r="K4" s="14" t="inlineStr">
        <is>
          <t>Filtering Solution(s)</t>
        </is>
      </c>
      <c r="L4" s="14" t="inlineStr">
        <is>
          <t>Coverage %</t>
        </is>
      </c>
      <c r="M4" s="14" t="inlineStr">
        <is>
          <t>Bypass Methods</t>
        </is>
      </c>
      <c r="N4" s="14" t="inlineStr">
        <is>
          <t>Exemption ID</t>
        </is>
      </c>
      <c r="O4" s="14" t="inlineStr">
        <is>
          <t>Evidence</t>
        </is>
      </c>
    </row>
    <row r="5">
      <c r="A5" s="15" t="inlineStr">
        <is>
          <t>SEG-001</t>
        </is>
      </c>
      <c r="B5" s="5" t="n"/>
      <c r="C5" s="5" t="n"/>
      <c r="D5" s="5" t="n"/>
      <c r="E5" s="5" t="n"/>
      <c r="F5" s="5" t="n"/>
      <c r="G5" s="5" t="n"/>
      <c r="H5" s="5" t="n"/>
      <c r="I5" s="5" t="n"/>
      <c r="J5" s="5" t="n"/>
      <c r="K5" s="5" t="n"/>
      <c r="L5" s="5" t="n"/>
      <c r="M5" s="5" t="n"/>
      <c r="N5" s="5" t="n"/>
      <c r="O5" s="5" t="n"/>
    </row>
    <row r="6">
      <c r="A6" s="15" t="inlineStr">
        <is>
          <t>SEG-002</t>
        </is>
      </c>
      <c r="B6" s="5" t="n"/>
      <c r="C6" s="5" t="n"/>
      <c r="D6" s="5" t="n"/>
      <c r="E6" s="5" t="n"/>
      <c r="F6" s="5" t="n"/>
      <c r="G6" s="5" t="n"/>
      <c r="H6" s="5" t="n"/>
      <c r="I6" s="5" t="n"/>
      <c r="J6" s="5" t="n"/>
      <c r="K6" s="5" t="n"/>
      <c r="L6" s="5" t="n"/>
      <c r="M6" s="5" t="n"/>
      <c r="N6" s="5" t="n"/>
      <c r="O6" s="5" t="n"/>
    </row>
    <row r="7">
      <c r="A7" s="15" t="inlineStr">
        <is>
          <t>SEG-003</t>
        </is>
      </c>
      <c r="B7" s="5" t="n"/>
      <c r="C7" s="5" t="n"/>
      <c r="D7" s="5" t="n"/>
      <c r="E7" s="5" t="n"/>
      <c r="F7" s="5" t="n"/>
      <c r="G7" s="5" t="n"/>
      <c r="H7" s="5" t="n"/>
      <c r="I7" s="5" t="n"/>
      <c r="J7" s="5" t="n"/>
      <c r="K7" s="5" t="n"/>
      <c r="L7" s="5" t="n"/>
      <c r="M7" s="5" t="n"/>
      <c r="N7" s="5" t="n"/>
      <c r="O7" s="5" t="n"/>
    </row>
    <row r="8">
      <c r="A8" s="15" t="inlineStr">
        <is>
          <t>SEG-004</t>
        </is>
      </c>
      <c r="B8" s="5" t="n"/>
      <c r="C8" s="5" t="n"/>
      <c r="D8" s="5" t="n"/>
      <c r="E8" s="5" t="n"/>
      <c r="F8" s="5" t="n"/>
      <c r="G8" s="5" t="n"/>
      <c r="H8" s="5" t="n"/>
      <c r="I8" s="5" t="n"/>
      <c r="J8" s="5" t="n"/>
      <c r="K8" s="5" t="n"/>
      <c r="L8" s="5" t="n"/>
      <c r="M8" s="5" t="n"/>
      <c r="N8" s="5" t="n"/>
      <c r="O8" s="5" t="n"/>
    </row>
    <row r="9">
      <c r="A9" s="15" t="inlineStr">
        <is>
          <t>SEG-005</t>
        </is>
      </c>
      <c r="B9" s="5" t="n"/>
      <c r="C9" s="5" t="n"/>
      <c r="D9" s="5" t="n"/>
      <c r="E9" s="5" t="n"/>
      <c r="F9" s="5" t="n"/>
      <c r="G9" s="5" t="n"/>
      <c r="H9" s="5" t="n"/>
      <c r="I9" s="5" t="n"/>
      <c r="J9" s="5" t="n"/>
      <c r="K9" s="5" t="n"/>
      <c r="L9" s="5" t="n"/>
      <c r="M9" s="5" t="n"/>
      <c r="N9" s="5" t="n"/>
      <c r="O9" s="5" t="n"/>
    </row>
    <row r="10">
      <c r="A10" s="15" t="inlineStr">
        <is>
          <t>SEG-006</t>
        </is>
      </c>
      <c r="B10" s="5" t="n"/>
      <c r="C10" s="5" t="n"/>
      <c r="D10" s="5" t="n"/>
      <c r="E10" s="5" t="n"/>
      <c r="F10" s="5" t="n"/>
      <c r="G10" s="5" t="n"/>
      <c r="H10" s="5" t="n"/>
      <c r="I10" s="5" t="n"/>
      <c r="J10" s="5" t="n"/>
      <c r="K10" s="5" t="n"/>
      <c r="L10" s="5" t="n"/>
      <c r="M10" s="5" t="n"/>
      <c r="N10" s="5" t="n"/>
      <c r="O10" s="5" t="n"/>
    </row>
    <row r="11">
      <c r="A11" s="15" t="inlineStr">
        <is>
          <t>SEG-007</t>
        </is>
      </c>
      <c r="B11" s="5" t="n"/>
      <c r="C11" s="5" t="n"/>
      <c r="D11" s="5" t="n"/>
      <c r="E11" s="5" t="n"/>
      <c r="F11" s="5" t="n"/>
      <c r="G11" s="5" t="n"/>
      <c r="H11" s="5" t="n"/>
      <c r="I11" s="5" t="n"/>
      <c r="J11" s="5" t="n"/>
      <c r="K11" s="5" t="n"/>
      <c r="L11" s="5" t="n"/>
      <c r="M11" s="5" t="n"/>
      <c r="N11" s="5" t="n"/>
      <c r="O11" s="5" t="n"/>
    </row>
    <row r="12">
      <c r="A12" s="15" t="inlineStr">
        <is>
          <t>SEG-008</t>
        </is>
      </c>
      <c r="B12" s="5" t="n"/>
      <c r="C12" s="5" t="n"/>
      <c r="D12" s="5" t="n"/>
      <c r="E12" s="5" t="n"/>
      <c r="F12" s="5" t="n"/>
      <c r="G12" s="5" t="n"/>
      <c r="H12" s="5" t="n"/>
      <c r="I12" s="5" t="n"/>
      <c r="J12" s="5" t="n"/>
      <c r="K12" s="5" t="n"/>
      <c r="L12" s="5" t="n"/>
      <c r="M12" s="5" t="n"/>
      <c r="N12" s="5" t="n"/>
      <c r="O12" s="5" t="n"/>
    </row>
    <row r="13">
      <c r="A13" s="15" t="inlineStr">
        <is>
          <t>SEG-009</t>
        </is>
      </c>
      <c r="B13" s="5" t="n"/>
      <c r="C13" s="5" t="n"/>
      <c r="D13" s="5" t="n"/>
      <c r="E13" s="5" t="n"/>
      <c r="F13" s="5" t="n"/>
      <c r="G13" s="5" t="n"/>
      <c r="H13" s="5" t="n"/>
      <c r="I13" s="5" t="n"/>
      <c r="J13" s="5" t="n"/>
      <c r="K13" s="5" t="n"/>
      <c r="L13" s="5" t="n"/>
      <c r="M13" s="5" t="n"/>
      <c r="N13" s="5" t="n"/>
      <c r="O13" s="5" t="n"/>
    </row>
    <row r="14">
      <c r="A14" s="15" t="inlineStr">
        <is>
          <t>SEG-010</t>
        </is>
      </c>
      <c r="B14" s="5" t="n"/>
      <c r="C14" s="5" t="n"/>
      <c r="D14" s="5" t="n"/>
      <c r="E14" s="5" t="n"/>
      <c r="F14" s="5" t="n"/>
      <c r="G14" s="5" t="n"/>
      <c r="H14" s="5" t="n"/>
      <c r="I14" s="5" t="n"/>
      <c r="J14" s="5" t="n"/>
      <c r="K14" s="5" t="n"/>
      <c r="L14" s="5" t="n"/>
      <c r="M14" s="5" t="n"/>
      <c r="N14" s="5" t="n"/>
      <c r="O14" s="5" t="n"/>
    </row>
    <row r="15">
      <c r="A15" s="15" t="inlineStr">
        <is>
          <t>SEG-011</t>
        </is>
      </c>
      <c r="B15" s="5" t="n"/>
      <c r="C15" s="5" t="n"/>
      <c r="D15" s="5" t="n"/>
      <c r="E15" s="5" t="n"/>
      <c r="F15" s="5" t="n"/>
      <c r="G15" s="5" t="n"/>
      <c r="H15" s="5" t="n"/>
      <c r="I15" s="5" t="n"/>
      <c r="J15" s="5" t="n"/>
      <c r="K15" s="5" t="n"/>
      <c r="L15" s="5" t="n"/>
      <c r="M15" s="5" t="n"/>
      <c r="N15" s="5" t="n"/>
      <c r="O15" s="5" t="n"/>
    </row>
    <row r="16">
      <c r="A16" s="15" t="inlineStr">
        <is>
          <t>SEG-012</t>
        </is>
      </c>
      <c r="B16" s="5" t="n"/>
      <c r="C16" s="5" t="n"/>
      <c r="D16" s="5" t="n"/>
      <c r="E16" s="5" t="n"/>
      <c r="F16" s="5" t="n"/>
      <c r="G16" s="5" t="n"/>
      <c r="H16" s="5" t="n"/>
      <c r="I16" s="5" t="n"/>
      <c r="J16" s="5" t="n"/>
      <c r="K16" s="5" t="n"/>
      <c r="L16" s="5" t="n"/>
      <c r="M16" s="5" t="n"/>
      <c r="N16" s="5" t="n"/>
      <c r="O16" s="5" t="n"/>
    </row>
    <row r="17">
      <c r="A17" s="15" t="inlineStr">
        <is>
          <t>SEG-013</t>
        </is>
      </c>
      <c r="B17" s="5" t="n"/>
      <c r="C17" s="5" t="n"/>
      <c r="D17" s="5" t="n"/>
      <c r="E17" s="5" t="n"/>
      <c r="F17" s="5" t="n"/>
      <c r="G17" s="5" t="n"/>
      <c r="H17" s="5" t="n"/>
      <c r="I17" s="5" t="n"/>
      <c r="J17" s="5" t="n"/>
      <c r="K17" s="5" t="n"/>
      <c r="L17" s="5" t="n"/>
      <c r="M17" s="5" t="n"/>
      <c r="N17" s="5" t="n"/>
      <c r="O17" s="5" t="n"/>
    </row>
    <row r="18">
      <c r="A18" s="15" t="inlineStr">
        <is>
          <t>SEG-014</t>
        </is>
      </c>
      <c r="B18" s="5" t="n"/>
      <c r="C18" s="5" t="n"/>
      <c r="D18" s="5" t="n"/>
      <c r="E18" s="5" t="n"/>
      <c r="F18" s="5" t="n"/>
      <c r="G18" s="5" t="n"/>
      <c r="H18" s="5" t="n"/>
      <c r="I18" s="5" t="n"/>
      <c r="J18" s="5" t="n"/>
      <c r="K18" s="5" t="n"/>
      <c r="L18" s="5" t="n"/>
      <c r="M18" s="5" t="n"/>
      <c r="N18" s="5" t="n"/>
      <c r="O18" s="5" t="n"/>
    </row>
    <row r="19">
      <c r="A19" s="15" t="inlineStr">
        <is>
          <t>SEG-015</t>
        </is>
      </c>
      <c r="B19" s="5" t="n"/>
      <c r="C19" s="5" t="n"/>
      <c r="D19" s="5" t="n"/>
      <c r="E19" s="5" t="n"/>
      <c r="F19" s="5" t="n"/>
      <c r="G19" s="5" t="n"/>
      <c r="H19" s="5" t="n"/>
      <c r="I19" s="5" t="n"/>
      <c r="J19" s="5" t="n"/>
      <c r="K19" s="5" t="n"/>
      <c r="L19" s="5" t="n"/>
      <c r="M19" s="5" t="n"/>
      <c r="N19" s="5" t="n"/>
      <c r="O19" s="5" t="n"/>
    </row>
    <row r="20">
      <c r="A20" s="15" t="inlineStr">
        <is>
          <t>SEG-016</t>
        </is>
      </c>
      <c r="B20" s="5" t="n"/>
      <c r="C20" s="5" t="n"/>
      <c r="D20" s="5" t="n"/>
      <c r="E20" s="5" t="n"/>
      <c r="F20" s="5" t="n"/>
      <c r="G20" s="5" t="n"/>
      <c r="H20" s="5" t="n"/>
      <c r="I20" s="5" t="n"/>
      <c r="J20" s="5" t="n"/>
      <c r="K20" s="5" t="n"/>
      <c r="L20" s="5" t="n"/>
      <c r="M20" s="5" t="n"/>
      <c r="N20" s="5" t="n"/>
      <c r="O20" s="5" t="n"/>
    </row>
    <row r="21">
      <c r="A21" s="15" t="inlineStr">
        <is>
          <t>SEG-017</t>
        </is>
      </c>
      <c r="B21" s="5" t="n"/>
      <c r="C21" s="5" t="n"/>
      <c r="D21" s="5" t="n"/>
      <c r="E21" s="5" t="n"/>
      <c r="F21" s="5" t="n"/>
      <c r="G21" s="5" t="n"/>
      <c r="H21" s="5" t="n"/>
      <c r="I21" s="5" t="n"/>
      <c r="J21" s="5" t="n"/>
      <c r="K21" s="5" t="n"/>
      <c r="L21" s="5" t="n"/>
      <c r="M21" s="5" t="n"/>
      <c r="N21" s="5" t="n"/>
      <c r="O21" s="5" t="n"/>
    </row>
    <row r="22">
      <c r="A22" s="15" t="inlineStr">
        <is>
          <t>SEG-018</t>
        </is>
      </c>
      <c r="B22" s="5" t="n"/>
      <c r="C22" s="5" t="n"/>
      <c r="D22" s="5" t="n"/>
      <c r="E22" s="5" t="n"/>
      <c r="F22" s="5" t="n"/>
      <c r="G22" s="5" t="n"/>
      <c r="H22" s="5" t="n"/>
      <c r="I22" s="5" t="n"/>
      <c r="J22" s="5" t="n"/>
      <c r="K22" s="5" t="n"/>
      <c r="L22" s="5" t="n"/>
      <c r="M22" s="5" t="n"/>
      <c r="N22" s="5" t="n"/>
      <c r="O22" s="5" t="n"/>
    </row>
    <row r="23">
      <c r="A23" s="15" t="inlineStr">
        <is>
          <t>SEG-019</t>
        </is>
      </c>
      <c r="B23" s="5" t="n"/>
      <c r="C23" s="5" t="n"/>
      <c r="D23" s="5" t="n"/>
      <c r="E23" s="5" t="n"/>
      <c r="F23" s="5" t="n"/>
      <c r="G23" s="5" t="n"/>
      <c r="H23" s="5" t="n"/>
      <c r="I23" s="5" t="n"/>
      <c r="J23" s="5" t="n"/>
      <c r="K23" s="5" t="n"/>
      <c r="L23" s="5" t="n"/>
      <c r="M23" s="5" t="n"/>
      <c r="N23" s="5" t="n"/>
      <c r="O23" s="5" t="n"/>
    </row>
    <row r="24">
      <c r="A24" s="15" t="inlineStr">
        <is>
          <t>SEG-020</t>
        </is>
      </c>
      <c r="B24" s="5" t="n"/>
      <c r="C24" s="5" t="n"/>
      <c r="D24" s="5" t="n"/>
      <c r="E24" s="5" t="n"/>
      <c r="F24" s="5" t="n"/>
      <c r="G24" s="5" t="n"/>
      <c r="H24" s="5" t="n"/>
      <c r="I24" s="5" t="n"/>
      <c r="J24" s="5" t="n"/>
      <c r="K24" s="5" t="n"/>
      <c r="L24" s="5" t="n"/>
      <c r="M24" s="5" t="n"/>
      <c r="N24" s="5" t="n"/>
      <c r="O24" s="5" t="n"/>
    </row>
    <row r="25">
      <c r="A25" s="15" t="inlineStr">
        <is>
          <t>SEG-021</t>
        </is>
      </c>
      <c r="B25" s="5" t="n"/>
      <c r="C25" s="5" t="n"/>
      <c r="D25" s="5" t="n"/>
      <c r="E25" s="5" t="n"/>
      <c r="F25" s="5" t="n"/>
      <c r="G25" s="5" t="n"/>
      <c r="H25" s="5" t="n"/>
      <c r="I25" s="5" t="n"/>
      <c r="J25" s="5" t="n"/>
      <c r="K25" s="5" t="n"/>
      <c r="L25" s="5" t="n"/>
      <c r="M25" s="5" t="n"/>
      <c r="N25" s="5" t="n"/>
      <c r="O25" s="5" t="n"/>
    </row>
    <row r="26">
      <c r="A26" s="15" t="inlineStr">
        <is>
          <t>SEG-022</t>
        </is>
      </c>
      <c r="B26" s="5" t="n"/>
      <c r="C26" s="5" t="n"/>
      <c r="D26" s="5" t="n"/>
      <c r="E26" s="5" t="n"/>
      <c r="F26" s="5" t="n"/>
      <c r="G26" s="5" t="n"/>
      <c r="H26" s="5" t="n"/>
      <c r="I26" s="5" t="n"/>
      <c r="J26" s="5" t="n"/>
      <c r="K26" s="5" t="n"/>
      <c r="L26" s="5" t="n"/>
      <c r="M26" s="5" t="n"/>
      <c r="N26" s="5" t="n"/>
      <c r="O26" s="5" t="n"/>
    </row>
    <row r="27">
      <c r="A27" s="15" t="inlineStr">
        <is>
          <t>SEG-023</t>
        </is>
      </c>
      <c r="B27" s="5" t="n"/>
      <c r="C27" s="5" t="n"/>
      <c r="D27" s="5" t="n"/>
      <c r="E27" s="5" t="n"/>
      <c r="F27" s="5" t="n"/>
      <c r="G27" s="5" t="n"/>
      <c r="H27" s="5" t="n"/>
      <c r="I27" s="5" t="n"/>
      <c r="J27" s="5" t="n"/>
      <c r="K27" s="5" t="n"/>
      <c r="L27" s="5" t="n"/>
      <c r="M27" s="5" t="n"/>
      <c r="N27" s="5" t="n"/>
      <c r="O27" s="5" t="n"/>
    </row>
    <row r="28">
      <c r="A28" s="15" t="inlineStr">
        <is>
          <t>SEG-024</t>
        </is>
      </c>
      <c r="B28" s="5" t="n"/>
      <c r="C28" s="5" t="n"/>
      <c r="D28" s="5" t="n"/>
      <c r="E28" s="5" t="n"/>
      <c r="F28" s="5" t="n"/>
      <c r="G28" s="5" t="n"/>
      <c r="H28" s="5" t="n"/>
      <c r="I28" s="5" t="n"/>
      <c r="J28" s="5" t="n"/>
      <c r="K28" s="5" t="n"/>
      <c r="L28" s="5" t="n"/>
      <c r="M28" s="5" t="n"/>
      <c r="N28" s="5" t="n"/>
      <c r="O28" s="5" t="n"/>
    </row>
    <row r="29">
      <c r="A29" s="15" t="inlineStr">
        <is>
          <t>SEG-025</t>
        </is>
      </c>
      <c r="B29" s="5" t="n"/>
      <c r="C29" s="5" t="n"/>
      <c r="D29" s="5" t="n"/>
      <c r="E29" s="5" t="n"/>
      <c r="F29" s="5" t="n"/>
      <c r="G29" s="5" t="n"/>
      <c r="H29" s="5" t="n"/>
      <c r="I29" s="5" t="n"/>
      <c r="J29" s="5" t="n"/>
      <c r="K29" s="5" t="n"/>
      <c r="L29" s="5" t="n"/>
      <c r="M29" s="5" t="n"/>
      <c r="N29" s="5" t="n"/>
      <c r="O29" s="5" t="n"/>
    </row>
    <row r="30">
      <c r="A30" s="15" t="inlineStr">
        <is>
          <t>SEG-026</t>
        </is>
      </c>
      <c r="B30" s="5" t="n"/>
      <c r="C30" s="5" t="n"/>
      <c r="D30" s="5" t="n"/>
      <c r="E30" s="5" t="n"/>
      <c r="F30" s="5" t="n"/>
      <c r="G30" s="5" t="n"/>
      <c r="H30" s="5" t="n"/>
      <c r="I30" s="5" t="n"/>
      <c r="J30" s="5" t="n"/>
      <c r="K30" s="5" t="n"/>
      <c r="L30" s="5" t="n"/>
      <c r="M30" s="5" t="n"/>
      <c r="N30" s="5" t="n"/>
      <c r="O30" s="5" t="n"/>
    </row>
    <row r="31">
      <c r="A31" s="15" t="inlineStr">
        <is>
          <t>SEG-027</t>
        </is>
      </c>
      <c r="B31" s="5" t="n"/>
      <c r="C31" s="5" t="n"/>
      <c r="D31" s="5" t="n"/>
      <c r="E31" s="5" t="n"/>
      <c r="F31" s="5" t="n"/>
      <c r="G31" s="5" t="n"/>
      <c r="H31" s="5" t="n"/>
      <c r="I31" s="5" t="n"/>
      <c r="J31" s="5" t="n"/>
      <c r="K31" s="5" t="n"/>
      <c r="L31" s="5" t="n"/>
      <c r="M31" s="5" t="n"/>
      <c r="N31" s="5" t="n"/>
      <c r="O31" s="5" t="n"/>
    </row>
    <row r="32">
      <c r="A32" s="15" t="inlineStr">
        <is>
          <t>SEG-028</t>
        </is>
      </c>
      <c r="B32" s="5" t="n"/>
      <c r="C32" s="5" t="n"/>
      <c r="D32" s="5" t="n"/>
      <c r="E32" s="5" t="n"/>
      <c r="F32" s="5" t="n"/>
      <c r="G32" s="5" t="n"/>
      <c r="H32" s="5" t="n"/>
      <c r="I32" s="5" t="n"/>
      <c r="J32" s="5" t="n"/>
      <c r="K32" s="5" t="n"/>
      <c r="L32" s="5" t="n"/>
      <c r="M32" s="5" t="n"/>
      <c r="N32" s="5" t="n"/>
      <c r="O32" s="5" t="n"/>
    </row>
    <row r="33">
      <c r="A33" s="15" t="inlineStr">
        <is>
          <t>SEG-029</t>
        </is>
      </c>
      <c r="B33" s="5" t="n"/>
      <c r="C33" s="5" t="n"/>
      <c r="D33" s="5" t="n"/>
      <c r="E33" s="5" t="n"/>
      <c r="F33" s="5" t="n"/>
      <c r="G33" s="5" t="n"/>
      <c r="H33" s="5" t="n"/>
      <c r="I33" s="5" t="n"/>
      <c r="J33" s="5" t="n"/>
      <c r="K33" s="5" t="n"/>
      <c r="L33" s="5" t="n"/>
      <c r="M33" s="5" t="n"/>
      <c r="N33" s="5" t="n"/>
      <c r="O33" s="5" t="n"/>
    </row>
    <row r="34">
      <c r="A34" s="15" t="inlineStr">
        <is>
          <t>SEG-030</t>
        </is>
      </c>
      <c r="B34" s="5" t="n"/>
      <c r="C34" s="5" t="n"/>
      <c r="D34" s="5" t="n"/>
      <c r="E34" s="5" t="n"/>
      <c r="F34" s="5" t="n"/>
      <c r="G34" s="5" t="n"/>
      <c r="H34" s="5" t="n"/>
      <c r="I34" s="5" t="n"/>
      <c r="J34" s="5" t="n"/>
      <c r="K34" s="5" t="n"/>
      <c r="L34" s="5" t="n"/>
      <c r="M34" s="5" t="n"/>
      <c r="N34" s="5" t="n"/>
      <c r="O34" s="5" t="n"/>
    </row>
    <row r="35">
      <c r="A35" s="15" t="inlineStr">
        <is>
          <t>SEG-031</t>
        </is>
      </c>
      <c r="B35" s="5" t="n"/>
      <c r="C35" s="5" t="n"/>
      <c r="D35" s="5" t="n"/>
      <c r="E35" s="5" t="n"/>
      <c r="F35" s="5" t="n"/>
      <c r="G35" s="5" t="n"/>
      <c r="H35" s="5" t="n"/>
      <c r="I35" s="5" t="n"/>
      <c r="J35" s="5" t="n"/>
      <c r="K35" s="5" t="n"/>
      <c r="L35" s="5" t="n"/>
      <c r="M35" s="5" t="n"/>
      <c r="N35" s="5" t="n"/>
      <c r="O35" s="5" t="n"/>
    </row>
    <row r="36">
      <c r="A36" s="15" t="inlineStr">
        <is>
          <t>SEG-032</t>
        </is>
      </c>
      <c r="B36" s="5" t="n"/>
      <c r="C36" s="5" t="n"/>
      <c r="D36" s="5" t="n"/>
      <c r="E36" s="5" t="n"/>
      <c r="F36" s="5" t="n"/>
      <c r="G36" s="5" t="n"/>
      <c r="H36" s="5" t="n"/>
      <c r="I36" s="5" t="n"/>
      <c r="J36" s="5" t="n"/>
      <c r="K36" s="5" t="n"/>
      <c r="L36" s="5" t="n"/>
      <c r="M36" s="5" t="n"/>
      <c r="N36" s="5" t="n"/>
      <c r="O36" s="5" t="n"/>
    </row>
    <row r="37">
      <c r="A37" s="15" t="inlineStr">
        <is>
          <t>SEG-033</t>
        </is>
      </c>
      <c r="B37" s="5" t="n"/>
      <c r="C37" s="5" t="n"/>
      <c r="D37" s="5" t="n"/>
      <c r="E37" s="5" t="n"/>
      <c r="F37" s="5" t="n"/>
      <c r="G37" s="5" t="n"/>
      <c r="H37" s="5" t="n"/>
      <c r="I37" s="5" t="n"/>
      <c r="J37" s="5" t="n"/>
      <c r="K37" s="5" t="n"/>
      <c r="L37" s="5" t="n"/>
      <c r="M37" s="5" t="n"/>
      <c r="N37" s="5" t="n"/>
      <c r="O37" s="5" t="n"/>
    </row>
    <row r="38">
      <c r="A38" s="15" t="inlineStr">
        <is>
          <t>SEG-034</t>
        </is>
      </c>
      <c r="B38" s="5" t="n"/>
      <c r="C38" s="5" t="n"/>
      <c r="D38" s="5" t="n"/>
      <c r="E38" s="5" t="n"/>
      <c r="F38" s="5" t="n"/>
      <c r="G38" s="5" t="n"/>
      <c r="H38" s="5" t="n"/>
      <c r="I38" s="5" t="n"/>
      <c r="J38" s="5" t="n"/>
      <c r="K38" s="5" t="n"/>
      <c r="L38" s="5" t="n"/>
      <c r="M38" s="5" t="n"/>
      <c r="N38" s="5" t="n"/>
      <c r="O38" s="5" t="n"/>
    </row>
    <row r="39">
      <c r="A39" s="15" t="inlineStr">
        <is>
          <t>SEG-035</t>
        </is>
      </c>
      <c r="B39" s="5" t="n"/>
      <c r="C39" s="5" t="n"/>
      <c r="D39" s="5" t="n"/>
      <c r="E39" s="5" t="n"/>
      <c r="F39" s="5" t="n"/>
      <c r="G39" s="5" t="n"/>
      <c r="H39" s="5" t="n"/>
      <c r="I39" s="5" t="n"/>
      <c r="J39" s="5" t="n"/>
      <c r="K39" s="5" t="n"/>
      <c r="L39" s="5" t="n"/>
      <c r="M39" s="5" t="n"/>
      <c r="N39" s="5" t="n"/>
      <c r="O39" s="5" t="n"/>
    </row>
    <row r="40">
      <c r="A40" s="15" t="inlineStr">
        <is>
          <t>SEG-036</t>
        </is>
      </c>
      <c r="B40" s="5" t="n"/>
      <c r="C40" s="5" t="n"/>
      <c r="D40" s="5" t="n"/>
      <c r="E40" s="5" t="n"/>
      <c r="F40" s="5" t="n"/>
      <c r="G40" s="5" t="n"/>
      <c r="H40" s="5" t="n"/>
      <c r="I40" s="5" t="n"/>
      <c r="J40" s="5" t="n"/>
      <c r="K40" s="5" t="n"/>
      <c r="L40" s="5" t="n"/>
      <c r="M40" s="5" t="n"/>
      <c r="N40" s="5" t="n"/>
      <c r="O40" s="5" t="n"/>
    </row>
    <row r="41">
      <c r="A41" s="15" t="inlineStr">
        <is>
          <t>SEG-037</t>
        </is>
      </c>
      <c r="B41" s="5" t="n"/>
      <c r="C41" s="5" t="n"/>
      <c r="D41" s="5" t="n"/>
      <c r="E41" s="5" t="n"/>
      <c r="F41" s="5" t="n"/>
      <c r="G41" s="5" t="n"/>
      <c r="H41" s="5" t="n"/>
      <c r="I41" s="5" t="n"/>
      <c r="J41" s="5" t="n"/>
      <c r="K41" s="5" t="n"/>
      <c r="L41" s="5" t="n"/>
      <c r="M41" s="5" t="n"/>
      <c r="N41" s="5" t="n"/>
      <c r="O41" s="5" t="n"/>
    </row>
    <row r="42">
      <c r="A42" s="15" t="inlineStr">
        <is>
          <t>SEG-038</t>
        </is>
      </c>
      <c r="B42" s="5" t="n"/>
      <c r="C42" s="5" t="n"/>
      <c r="D42" s="5" t="n"/>
      <c r="E42" s="5" t="n"/>
      <c r="F42" s="5" t="n"/>
      <c r="G42" s="5" t="n"/>
      <c r="H42" s="5" t="n"/>
      <c r="I42" s="5" t="n"/>
      <c r="J42" s="5" t="n"/>
      <c r="K42" s="5" t="n"/>
      <c r="L42" s="5" t="n"/>
      <c r="M42" s="5" t="n"/>
      <c r="N42" s="5" t="n"/>
      <c r="O42" s="5" t="n"/>
    </row>
    <row r="43">
      <c r="A43" s="15" t="inlineStr">
        <is>
          <t>SEG-039</t>
        </is>
      </c>
      <c r="B43" s="5" t="n"/>
      <c r="C43" s="5" t="n"/>
      <c r="D43" s="5" t="n"/>
      <c r="E43" s="5" t="n"/>
      <c r="F43" s="5" t="n"/>
      <c r="G43" s="5" t="n"/>
      <c r="H43" s="5" t="n"/>
      <c r="I43" s="5" t="n"/>
      <c r="J43" s="5" t="n"/>
      <c r="K43" s="5" t="n"/>
      <c r="L43" s="5" t="n"/>
      <c r="M43" s="5" t="n"/>
      <c r="N43" s="5" t="n"/>
      <c r="O43" s="5" t="n"/>
    </row>
    <row r="44">
      <c r="A44" s="15" t="inlineStr">
        <is>
          <t>SEG-040</t>
        </is>
      </c>
      <c r="B44" s="5" t="n"/>
      <c r="C44" s="5" t="n"/>
      <c r="D44" s="5" t="n"/>
      <c r="E44" s="5" t="n"/>
      <c r="F44" s="5" t="n"/>
      <c r="G44" s="5" t="n"/>
      <c r="H44" s="5" t="n"/>
      <c r="I44" s="5" t="n"/>
      <c r="J44" s="5" t="n"/>
      <c r="K44" s="5" t="n"/>
      <c r="L44" s="5" t="n"/>
      <c r="M44" s="5" t="n"/>
      <c r="N44" s="5" t="n"/>
      <c r="O44" s="5" t="n"/>
    </row>
    <row r="45">
      <c r="A45" s="15" t="inlineStr">
        <is>
          <t>SEG-041</t>
        </is>
      </c>
      <c r="B45" s="5" t="n"/>
      <c r="C45" s="5" t="n"/>
      <c r="D45" s="5" t="n"/>
      <c r="E45" s="5" t="n"/>
      <c r="F45" s="5" t="n"/>
      <c r="G45" s="5" t="n"/>
      <c r="H45" s="5" t="n"/>
      <c r="I45" s="5" t="n"/>
      <c r="J45" s="5" t="n"/>
      <c r="K45" s="5" t="n"/>
      <c r="L45" s="5" t="n"/>
      <c r="M45" s="5" t="n"/>
      <c r="N45" s="5" t="n"/>
      <c r="O45" s="5" t="n"/>
    </row>
    <row r="46">
      <c r="A46" s="15" t="inlineStr">
        <is>
          <t>SEG-042</t>
        </is>
      </c>
      <c r="B46" s="5" t="n"/>
      <c r="C46" s="5" t="n"/>
      <c r="D46" s="5" t="n"/>
      <c r="E46" s="5" t="n"/>
      <c r="F46" s="5" t="n"/>
      <c r="G46" s="5" t="n"/>
      <c r="H46" s="5" t="n"/>
      <c r="I46" s="5" t="n"/>
      <c r="J46" s="5" t="n"/>
      <c r="K46" s="5" t="n"/>
      <c r="L46" s="5" t="n"/>
      <c r="M46" s="5" t="n"/>
      <c r="N46" s="5" t="n"/>
      <c r="O46" s="5" t="n"/>
    </row>
    <row r="47">
      <c r="A47" s="15" t="inlineStr">
        <is>
          <t>SEG-043</t>
        </is>
      </c>
      <c r="B47" s="5" t="n"/>
      <c r="C47" s="5" t="n"/>
      <c r="D47" s="5" t="n"/>
      <c r="E47" s="5" t="n"/>
      <c r="F47" s="5" t="n"/>
      <c r="G47" s="5" t="n"/>
      <c r="H47" s="5" t="n"/>
      <c r="I47" s="5" t="n"/>
      <c r="J47" s="5" t="n"/>
      <c r="K47" s="5" t="n"/>
      <c r="L47" s="5" t="n"/>
      <c r="M47" s="5" t="n"/>
      <c r="N47" s="5" t="n"/>
      <c r="O47" s="5" t="n"/>
    </row>
    <row r="48">
      <c r="A48" s="15" t="inlineStr">
        <is>
          <t>SEG-044</t>
        </is>
      </c>
      <c r="B48" s="5" t="n"/>
      <c r="C48" s="5" t="n"/>
      <c r="D48" s="5" t="n"/>
      <c r="E48" s="5" t="n"/>
      <c r="F48" s="5" t="n"/>
      <c r="G48" s="5" t="n"/>
      <c r="H48" s="5" t="n"/>
      <c r="I48" s="5" t="n"/>
      <c r="J48" s="5" t="n"/>
      <c r="K48" s="5" t="n"/>
      <c r="L48" s="5" t="n"/>
      <c r="M48" s="5" t="n"/>
      <c r="N48" s="5" t="n"/>
      <c r="O48" s="5" t="n"/>
    </row>
    <row r="49">
      <c r="A49" s="15" t="inlineStr">
        <is>
          <t>SEG-045</t>
        </is>
      </c>
      <c r="B49" s="5" t="n"/>
      <c r="C49" s="5" t="n"/>
      <c r="D49" s="5" t="n"/>
      <c r="E49" s="5" t="n"/>
      <c r="F49" s="5" t="n"/>
      <c r="G49" s="5" t="n"/>
      <c r="H49" s="5" t="n"/>
      <c r="I49" s="5" t="n"/>
      <c r="J49" s="5" t="n"/>
      <c r="K49" s="5" t="n"/>
      <c r="L49" s="5" t="n"/>
      <c r="M49" s="5" t="n"/>
      <c r="N49" s="5" t="n"/>
      <c r="O49" s="5" t="n"/>
    </row>
    <row r="50">
      <c r="A50" s="15" t="inlineStr">
        <is>
          <t>SEG-046</t>
        </is>
      </c>
      <c r="B50" s="5" t="n"/>
      <c r="C50" s="5" t="n"/>
      <c r="D50" s="5" t="n"/>
      <c r="E50" s="5" t="n"/>
      <c r="F50" s="5" t="n"/>
      <c r="G50" s="5" t="n"/>
      <c r="H50" s="5" t="n"/>
      <c r="I50" s="5" t="n"/>
      <c r="J50" s="5" t="n"/>
      <c r="K50" s="5" t="n"/>
      <c r="L50" s="5" t="n"/>
      <c r="M50" s="5" t="n"/>
      <c r="N50" s="5" t="n"/>
      <c r="O50" s="5" t="n"/>
    </row>
    <row r="51">
      <c r="A51" s="15" t="inlineStr">
        <is>
          <t>SEG-047</t>
        </is>
      </c>
      <c r="B51" s="5" t="n"/>
      <c r="C51" s="5" t="n"/>
      <c r="D51" s="5" t="n"/>
      <c r="E51" s="5" t="n"/>
      <c r="F51" s="5" t="n"/>
      <c r="G51" s="5" t="n"/>
      <c r="H51" s="5" t="n"/>
      <c r="I51" s="5" t="n"/>
      <c r="J51" s="5" t="n"/>
      <c r="K51" s="5" t="n"/>
      <c r="L51" s="5" t="n"/>
      <c r="M51" s="5" t="n"/>
      <c r="N51" s="5" t="n"/>
      <c r="O51" s="5" t="n"/>
    </row>
    <row r="52">
      <c r="A52" s="15" t="inlineStr">
        <is>
          <t>SEG-048</t>
        </is>
      </c>
      <c r="B52" s="5" t="n"/>
      <c r="C52" s="5" t="n"/>
      <c r="D52" s="5" t="n"/>
      <c r="E52" s="5" t="n"/>
      <c r="F52" s="5" t="n"/>
      <c r="G52" s="5" t="n"/>
      <c r="H52" s="5" t="n"/>
      <c r="I52" s="5" t="n"/>
      <c r="J52" s="5" t="n"/>
      <c r="K52" s="5" t="n"/>
      <c r="L52" s="5" t="n"/>
      <c r="M52" s="5" t="n"/>
      <c r="N52" s="5" t="n"/>
      <c r="O52" s="5" t="n"/>
    </row>
    <row r="53">
      <c r="A53" s="15" t="inlineStr">
        <is>
          <t>SEG-049</t>
        </is>
      </c>
      <c r="B53" s="5" t="n"/>
      <c r="C53" s="5" t="n"/>
      <c r="D53" s="5" t="n"/>
      <c r="E53" s="5" t="n"/>
      <c r="F53" s="5" t="n"/>
      <c r="G53" s="5" t="n"/>
      <c r="H53" s="5" t="n"/>
      <c r="I53" s="5" t="n"/>
      <c r="J53" s="5" t="n"/>
      <c r="K53" s="5" t="n"/>
      <c r="L53" s="5" t="n"/>
      <c r="M53" s="5" t="n"/>
      <c r="N53" s="5" t="n"/>
      <c r="O53" s="5" t="n"/>
    </row>
    <row r="54">
      <c r="A54" s="15" t="inlineStr">
        <is>
          <t>SEG-050</t>
        </is>
      </c>
      <c r="B54" s="5" t="n"/>
      <c r="C54" s="5" t="n"/>
      <c r="D54" s="5" t="n"/>
      <c r="E54" s="5" t="n"/>
      <c r="F54" s="5" t="n"/>
      <c r="G54" s="5" t="n"/>
      <c r="H54" s="5" t="n"/>
      <c r="I54" s="5" t="n"/>
      <c r="J54" s="5" t="n"/>
      <c r="K54" s="5" t="n"/>
      <c r="L54" s="5" t="n"/>
      <c r="M54" s="5" t="n"/>
      <c r="N54" s="5" t="n"/>
      <c r="O54" s="5" t="n"/>
    </row>
  </sheetData>
  <mergeCells count="2">
    <mergeCell ref="A1:O1"/>
    <mergeCell ref="A2:O2"/>
  </mergeCells>
  <dataValidations count="4">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"Yes,No,Restricted"</formula1>
    </dataValidation>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"On-Premises LAN,WLAN,VPN,Cloud Endpoints,Guest,DMZ,Branch,Mobile,IoT/OT,Dev/Test,Other"</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"Yes,No,N/A"</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 Protected,⚠️ Partial,❌ Unprotected,🔄 Planned,🚫 Exempt"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1"/>
  <sheetViews>
    <sheetView workbookViewId="0">
      <pane ySplit="4" topLeftCell="A5"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8" customWidth="1" min="6" max="6"/>
    <col width="18" customWidth="1" min="7" max="7"/>
  </cols>
  <sheetData>
    <row r="1" ht="30" customHeight="1">
      <c r="A1" s="1" t="inlineStr">
        <is>
          <t>NETWORK COVERAGE MATRIX</t>
        </is>
      </c>
    </row>
    <row r="2">
      <c r="A2" s="2" t="inlineStr">
        <is>
          <t>Map filtering solutions to network segments</t>
        </is>
      </c>
    </row>
    <row r="4">
      <c r="A4" s="14" t="inlineStr">
        <is>
          <t>Network Segment</t>
        </is>
      </c>
      <c r="B4" s="14" t="inlineStr">
        <is>
          <t>Solution 1</t>
        </is>
      </c>
      <c r="C4" s="14" t="inlineStr">
        <is>
          <t>Solution 2</t>
        </is>
      </c>
      <c r="D4" s="14" t="inlineStr">
        <is>
          <t>Solution 3</t>
        </is>
      </c>
      <c r="E4" s="14" t="inlineStr">
        <is>
          <t>Solution 4</t>
        </is>
      </c>
      <c r="F4" s="14" t="inlineStr">
        <is>
          <t>Total Coverage</t>
        </is>
      </c>
      <c r="G4" s="14" t="inlineStr">
        <is>
          <t>Status</t>
        </is>
      </c>
    </row>
    <row r="5">
      <c r="A5" s="15" t="inlineStr">
        <is>
          <t>SEG-001 [Segment Name]</t>
        </is>
      </c>
      <c r="B5" s="16" t="n"/>
      <c r="C5" s="16" t="n"/>
      <c r="D5" s="16" t="n"/>
      <c r="E5" s="16" t="n"/>
      <c r="F5" s="17">
        <f>SUM(B5:E5)</f>
        <v/>
      </c>
      <c r="G5" s="5" t="n"/>
    </row>
    <row r="6">
      <c r="A6" s="15" t="inlineStr">
        <is>
          <t>SEG-002 [Segment Name]</t>
        </is>
      </c>
      <c r="B6" s="16" t="n"/>
      <c r="C6" s="16" t="n"/>
      <c r="D6" s="16" t="n"/>
      <c r="E6" s="16" t="n"/>
      <c r="F6" s="17">
        <f>SUM(B6:E6)</f>
        <v/>
      </c>
      <c r="G6" s="5" t="n"/>
    </row>
    <row r="7">
      <c r="A7" s="15" t="inlineStr">
        <is>
          <t>SEG-003 [Segment Name]</t>
        </is>
      </c>
      <c r="B7" s="16" t="n"/>
      <c r="C7" s="16" t="n"/>
      <c r="D7" s="16" t="n"/>
      <c r="E7" s="16" t="n"/>
      <c r="F7" s="17">
        <f>SUM(B7:E7)</f>
        <v/>
      </c>
      <c r="G7" s="5" t="n"/>
    </row>
    <row r="8">
      <c r="A8" s="15" t="inlineStr">
        <is>
          <t>SEG-004 [Segment Name]</t>
        </is>
      </c>
      <c r="B8" s="16" t="n"/>
      <c r="C8" s="16" t="n"/>
      <c r="D8" s="16" t="n"/>
      <c r="E8" s="16" t="n"/>
      <c r="F8" s="17">
        <f>SUM(B8:E8)</f>
        <v/>
      </c>
      <c r="G8" s="5" t="n"/>
    </row>
    <row r="9">
      <c r="A9" s="15" t="inlineStr">
        <is>
          <t>SEG-005 [Segment Name]</t>
        </is>
      </c>
      <c r="B9" s="16" t="n"/>
      <c r="C9" s="16" t="n"/>
      <c r="D9" s="16" t="n"/>
      <c r="E9" s="16" t="n"/>
      <c r="F9" s="17">
        <f>SUM(B9:E9)</f>
        <v/>
      </c>
      <c r="G9" s="5" t="n"/>
    </row>
    <row r="10">
      <c r="A10" s="15" t="inlineStr">
        <is>
          <t>SEG-006 [Segment Name]</t>
        </is>
      </c>
      <c r="B10" s="16" t="n"/>
      <c r="C10" s="16" t="n"/>
      <c r="D10" s="16" t="n"/>
      <c r="E10" s="16" t="n"/>
      <c r="F10" s="17">
        <f>SUM(B10:E10)</f>
        <v/>
      </c>
      <c r="G10" s="5" t="n"/>
    </row>
    <row r="11">
      <c r="A11" s="15" t="inlineStr">
        <is>
          <t>SEG-007 [Segment Name]</t>
        </is>
      </c>
      <c r="B11" s="16" t="n"/>
      <c r="C11" s="16" t="n"/>
      <c r="D11" s="16" t="n"/>
      <c r="E11" s="16" t="n"/>
      <c r="F11" s="17">
        <f>SUM(B11:E11)</f>
        <v/>
      </c>
      <c r="G11" s="5" t="n"/>
    </row>
    <row r="12">
      <c r="A12" s="15" t="inlineStr">
        <is>
          <t>SEG-008 [Segment Name]</t>
        </is>
      </c>
      <c r="B12" s="16" t="n"/>
      <c r="C12" s="16" t="n"/>
      <c r="D12" s="16" t="n"/>
      <c r="E12" s="16" t="n"/>
      <c r="F12" s="17">
        <f>SUM(B12:E12)</f>
        <v/>
      </c>
      <c r="G12" s="5" t="n"/>
    </row>
    <row r="13">
      <c r="A13" s="15" t="inlineStr">
        <is>
          <t>SEG-009 [Segment Name]</t>
        </is>
      </c>
      <c r="B13" s="16" t="n"/>
      <c r="C13" s="16" t="n"/>
      <c r="D13" s="16" t="n"/>
      <c r="E13" s="16" t="n"/>
      <c r="F13" s="17">
        <f>SUM(B13:E13)</f>
        <v/>
      </c>
      <c r="G13" s="5" t="n"/>
    </row>
    <row r="14">
      <c r="A14" s="15" t="inlineStr">
        <is>
          <t>SEG-010 [Segment Name]</t>
        </is>
      </c>
      <c r="B14" s="16" t="n"/>
      <c r="C14" s="16" t="n"/>
      <c r="D14" s="16" t="n"/>
      <c r="E14" s="16" t="n"/>
      <c r="F14" s="17">
        <f>SUM(B14:E14)</f>
        <v/>
      </c>
      <c r="G14" s="5" t="n"/>
    </row>
    <row r="15">
      <c r="A15" s="15" t="inlineStr">
        <is>
          <t>SEG-011 [Segment Name]</t>
        </is>
      </c>
      <c r="B15" s="16" t="n"/>
      <c r="C15" s="16" t="n"/>
      <c r="D15" s="16" t="n"/>
      <c r="E15" s="16" t="n"/>
      <c r="F15" s="17">
        <f>SUM(B15:E15)</f>
        <v/>
      </c>
      <c r="G15" s="5" t="n"/>
    </row>
    <row r="16">
      <c r="A16" s="15" t="inlineStr">
        <is>
          <t>SEG-012 [Segment Name]</t>
        </is>
      </c>
      <c r="B16" s="16" t="n"/>
      <c r="C16" s="16" t="n"/>
      <c r="D16" s="16" t="n"/>
      <c r="E16" s="16" t="n"/>
      <c r="F16" s="17">
        <f>SUM(B16:E16)</f>
        <v/>
      </c>
      <c r="G16" s="5" t="n"/>
    </row>
    <row r="17">
      <c r="A17" s="15" t="inlineStr">
        <is>
          <t>SEG-013 [Segment Name]</t>
        </is>
      </c>
      <c r="B17" s="16" t="n"/>
      <c r="C17" s="16" t="n"/>
      <c r="D17" s="16" t="n"/>
      <c r="E17" s="16" t="n"/>
      <c r="F17" s="17">
        <f>SUM(B17:E17)</f>
        <v/>
      </c>
      <c r="G17" s="5" t="n"/>
    </row>
    <row r="18">
      <c r="A18" s="15" t="inlineStr">
        <is>
          <t>SEG-014 [Segment Name]</t>
        </is>
      </c>
      <c r="B18" s="16" t="n"/>
      <c r="C18" s="16" t="n"/>
      <c r="D18" s="16" t="n"/>
      <c r="E18" s="16" t="n"/>
      <c r="F18" s="17">
        <f>SUM(B18:E18)</f>
        <v/>
      </c>
      <c r="G18" s="5" t="n"/>
    </row>
    <row r="19">
      <c r="A19" s="15" t="inlineStr">
        <is>
          <t>SEG-015 [Segment Name]</t>
        </is>
      </c>
      <c r="B19" s="16" t="n"/>
      <c r="C19" s="16" t="n"/>
      <c r="D19" s="16" t="n"/>
      <c r="E19" s="16" t="n"/>
      <c r="F19" s="17">
        <f>SUM(B19:E19)</f>
        <v/>
      </c>
      <c r="G19" s="5" t="n"/>
    </row>
    <row r="20">
      <c r="A20" s="15" t="inlineStr">
        <is>
          <t>SEG-016 [Segment Name]</t>
        </is>
      </c>
      <c r="B20" s="16" t="n"/>
      <c r="C20" s="16" t="n"/>
      <c r="D20" s="16" t="n"/>
      <c r="E20" s="16" t="n"/>
      <c r="F20" s="17">
        <f>SUM(B20:E20)</f>
        <v/>
      </c>
      <c r="G20" s="5" t="n"/>
    </row>
    <row r="21">
      <c r="A21" s="15" t="inlineStr">
        <is>
          <t>SEG-017 [Segment Name]</t>
        </is>
      </c>
      <c r="B21" s="16" t="n"/>
      <c r="C21" s="16" t="n"/>
      <c r="D21" s="16" t="n"/>
      <c r="E21" s="16" t="n"/>
      <c r="F21" s="17">
        <f>SUM(B21:E21)</f>
        <v/>
      </c>
      <c r="G21" s="5" t="n"/>
    </row>
    <row r="22">
      <c r="A22" s="15" t="inlineStr">
        <is>
          <t>SEG-018 [Segment Name]</t>
        </is>
      </c>
      <c r="B22" s="16" t="n"/>
      <c r="C22" s="16" t="n"/>
      <c r="D22" s="16" t="n"/>
      <c r="E22" s="16" t="n"/>
      <c r="F22" s="17">
        <f>SUM(B22:E22)</f>
        <v/>
      </c>
      <c r="G22" s="5" t="n"/>
    </row>
    <row r="23">
      <c r="A23" s="15" t="inlineStr">
        <is>
          <t>SEG-019 [Segment Name]</t>
        </is>
      </c>
      <c r="B23" s="16" t="n"/>
      <c r="C23" s="16" t="n"/>
      <c r="D23" s="16" t="n"/>
      <c r="E23" s="16" t="n"/>
      <c r="F23" s="17">
        <f>SUM(B23:E23)</f>
        <v/>
      </c>
      <c r="G23" s="5" t="n"/>
    </row>
    <row r="24">
      <c r="A24" s="15" t="inlineStr">
        <is>
          <t>SEG-020 [Segment Name]</t>
        </is>
      </c>
      <c r="B24" s="16" t="n"/>
      <c r="C24" s="16" t="n"/>
      <c r="D24" s="16" t="n"/>
      <c r="E24" s="16" t="n"/>
      <c r="F24" s="17">
        <f>SUM(B24:E24)</f>
        <v/>
      </c>
      <c r="G24" s="5" t="n"/>
    </row>
    <row r="25">
      <c r="A25" s="15" t="inlineStr">
        <is>
          <t>SEG-021 [Segment Name]</t>
        </is>
      </c>
      <c r="B25" s="16" t="n"/>
      <c r="C25" s="16" t="n"/>
      <c r="D25" s="16" t="n"/>
      <c r="E25" s="16" t="n"/>
      <c r="F25" s="17">
        <f>SUM(B25:E25)</f>
        <v/>
      </c>
      <c r="G25" s="5" t="n"/>
    </row>
    <row r="26">
      <c r="A26" s="15" t="inlineStr">
        <is>
          <t>SEG-022 [Segment Name]</t>
        </is>
      </c>
      <c r="B26" s="16" t="n"/>
      <c r="C26" s="16" t="n"/>
      <c r="D26" s="16" t="n"/>
      <c r="E26" s="16" t="n"/>
      <c r="F26" s="17">
        <f>SUM(B26:E26)</f>
        <v/>
      </c>
      <c r="G26" s="5" t="n"/>
    </row>
    <row r="27">
      <c r="A27" s="15" t="inlineStr">
        <is>
          <t>SEG-023 [Segment Name]</t>
        </is>
      </c>
      <c r="B27" s="16" t="n"/>
      <c r="C27" s="16" t="n"/>
      <c r="D27" s="16" t="n"/>
      <c r="E27" s="16" t="n"/>
      <c r="F27" s="17">
        <f>SUM(B27:E27)</f>
        <v/>
      </c>
      <c r="G27" s="5" t="n"/>
    </row>
    <row r="28">
      <c r="A28" s="15" t="inlineStr">
        <is>
          <t>SEG-024 [Segment Name]</t>
        </is>
      </c>
      <c r="B28" s="16" t="n"/>
      <c r="C28" s="16" t="n"/>
      <c r="D28" s="16" t="n"/>
      <c r="E28" s="16" t="n"/>
      <c r="F28" s="17">
        <f>SUM(B28:E28)</f>
        <v/>
      </c>
      <c r="G28" s="5" t="n"/>
    </row>
    <row r="29">
      <c r="A29" s="15" t="inlineStr">
        <is>
          <t>SEG-025 [Segment Name]</t>
        </is>
      </c>
      <c r="B29" s="16" t="n"/>
      <c r="C29" s="16" t="n"/>
      <c r="D29" s="16" t="n"/>
      <c r="E29" s="16" t="n"/>
      <c r="F29" s="17">
        <f>SUM(B29:E29)</f>
        <v/>
      </c>
      <c r="G29" s="5" t="n"/>
    </row>
    <row r="30">
      <c r="A30" s="15" t="inlineStr">
        <is>
          <t>SEG-026 [Segment Name]</t>
        </is>
      </c>
      <c r="B30" s="16" t="n"/>
      <c r="C30" s="16" t="n"/>
      <c r="D30" s="16" t="n"/>
      <c r="E30" s="16" t="n"/>
      <c r="F30" s="17">
        <f>SUM(B30:E30)</f>
        <v/>
      </c>
      <c r="G30" s="5" t="n"/>
    </row>
    <row r="31">
      <c r="A31" s="15" t="inlineStr">
        <is>
          <t>SEG-027 [Segment Name]</t>
        </is>
      </c>
      <c r="B31" s="16" t="n"/>
      <c r="C31" s="16" t="n"/>
      <c r="D31" s="16" t="n"/>
      <c r="E31" s="16" t="n"/>
      <c r="F31" s="17">
        <f>SUM(B31:E31)</f>
        <v/>
      </c>
      <c r="G31" s="5" t="n"/>
    </row>
    <row r="32">
      <c r="A32" s="15" t="inlineStr">
        <is>
          <t>SEG-028 [Segment Name]</t>
        </is>
      </c>
      <c r="B32" s="16" t="n"/>
      <c r="C32" s="16" t="n"/>
      <c r="D32" s="16" t="n"/>
      <c r="E32" s="16" t="n"/>
      <c r="F32" s="17">
        <f>SUM(B32:E32)</f>
        <v/>
      </c>
      <c r="G32" s="5" t="n"/>
    </row>
    <row r="33">
      <c r="A33" s="15" t="inlineStr">
        <is>
          <t>SEG-029 [Segment Name]</t>
        </is>
      </c>
      <c r="B33" s="16" t="n"/>
      <c r="C33" s="16" t="n"/>
      <c r="D33" s="16" t="n"/>
      <c r="E33" s="16" t="n"/>
      <c r="F33" s="17">
        <f>SUM(B33:E33)</f>
        <v/>
      </c>
      <c r="G33" s="5" t="n"/>
    </row>
    <row r="34">
      <c r="A34" s="15" t="inlineStr">
        <is>
          <t>SEG-030 [Segment Name]</t>
        </is>
      </c>
      <c r="B34" s="16" t="n"/>
      <c r="C34" s="16" t="n"/>
      <c r="D34" s="16" t="n"/>
      <c r="E34" s="16" t="n"/>
      <c r="F34" s="17">
        <f>SUM(B34:E34)</f>
        <v/>
      </c>
      <c r="G34" s="5" t="n"/>
    </row>
    <row r="35">
      <c r="A35" s="15" t="inlineStr">
        <is>
          <t>SEG-031 [Segment Name]</t>
        </is>
      </c>
      <c r="B35" s="16" t="n"/>
      <c r="C35" s="16" t="n"/>
      <c r="D35" s="16" t="n"/>
      <c r="E35" s="16" t="n"/>
      <c r="F35" s="17">
        <f>SUM(B35:E35)</f>
        <v/>
      </c>
      <c r="G35" s="5" t="n"/>
    </row>
    <row r="36">
      <c r="A36" s="15" t="inlineStr">
        <is>
          <t>SEG-032 [Segment Name]</t>
        </is>
      </c>
      <c r="B36" s="16" t="n"/>
      <c r="C36" s="16" t="n"/>
      <c r="D36" s="16" t="n"/>
      <c r="E36" s="16" t="n"/>
      <c r="F36" s="17">
        <f>SUM(B36:E36)</f>
        <v/>
      </c>
      <c r="G36" s="5" t="n"/>
    </row>
    <row r="37">
      <c r="A37" s="15" t="inlineStr">
        <is>
          <t>SEG-033 [Segment Name]</t>
        </is>
      </c>
      <c r="B37" s="16" t="n"/>
      <c r="C37" s="16" t="n"/>
      <c r="D37" s="16" t="n"/>
      <c r="E37" s="16" t="n"/>
      <c r="F37" s="17">
        <f>SUM(B37:E37)</f>
        <v/>
      </c>
      <c r="G37" s="5" t="n"/>
    </row>
    <row r="38">
      <c r="A38" s="15" t="inlineStr">
        <is>
          <t>SEG-034 [Segment Name]</t>
        </is>
      </c>
      <c r="B38" s="16" t="n"/>
      <c r="C38" s="16" t="n"/>
      <c r="D38" s="16" t="n"/>
      <c r="E38" s="16" t="n"/>
      <c r="F38" s="17">
        <f>SUM(B38:E38)</f>
        <v/>
      </c>
      <c r="G38" s="5" t="n"/>
    </row>
    <row r="39">
      <c r="A39" s="15" t="inlineStr">
        <is>
          <t>SEG-035 [Segment Name]</t>
        </is>
      </c>
      <c r="B39" s="16" t="n"/>
      <c r="C39" s="16" t="n"/>
      <c r="D39" s="16" t="n"/>
      <c r="E39" s="16" t="n"/>
      <c r="F39" s="17">
        <f>SUM(B39:E39)</f>
        <v/>
      </c>
      <c r="G39" s="5" t="n"/>
    </row>
    <row r="40">
      <c r="A40" s="15" t="inlineStr">
        <is>
          <t>SEG-036 [Segment Name]</t>
        </is>
      </c>
      <c r="B40" s="16" t="n"/>
      <c r="C40" s="16" t="n"/>
      <c r="D40" s="16" t="n"/>
      <c r="E40" s="16" t="n"/>
      <c r="F40" s="17">
        <f>SUM(B40:E40)</f>
        <v/>
      </c>
      <c r="G40" s="5" t="n"/>
    </row>
    <row r="41">
      <c r="A41" s="15" t="inlineStr">
        <is>
          <t>SEG-037 [Segment Name]</t>
        </is>
      </c>
      <c r="B41" s="16" t="n"/>
      <c r="C41" s="16" t="n"/>
      <c r="D41" s="16" t="n"/>
      <c r="E41" s="16" t="n"/>
      <c r="F41" s="17">
        <f>SUM(B41:E41)</f>
        <v/>
      </c>
      <c r="G41" s="5" t="n"/>
    </row>
    <row r="42">
      <c r="A42" s="15" t="inlineStr">
        <is>
          <t>SEG-038 [Segment Name]</t>
        </is>
      </c>
      <c r="B42" s="16" t="n"/>
      <c r="C42" s="16" t="n"/>
      <c r="D42" s="16" t="n"/>
      <c r="E42" s="16" t="n"/>
      <c r="F42" s="17">
        <f>SUM(B42:E42)</f>
        <v/>
      </c>
      <c r="G42" s="5" t="n"/>
    </row>
    <row r="43">
      <c r="A43" s="15" t="inlineStr">
        <is>
          <t>SEG-039 [Segment Name]</t>
        </is>
      </c>
      <c r="B43" s="16" t="n"/>
      <c r="C43" s="16" t="n"/>
      <c r="D43" s="16" t="n"/>
      <c r="E43" s="16" t="n"/>
      <c r="F43" s="17">
        <f>SUM(B43:E43)</f>
        <v/>
      </c>
      <c r="G43" s="5" t="n"/>
    </row>
    <row r="44">
      <c r="A44" s="15" t="inlineStr">
        <is>
          <t>SEG-040 [Segment Name]</t>
        </is>
      </c>
      <c r="B44" s="16" t="n"/>
      <c r="C44" s="16" t="n"/>
      <c r="D44" s="16" t="n"/>
      <c r="E44" s="16" t="n"/>
      <c r="F44" s="17">
        <f>SUM(B44:E44)</f>
        <v/>
      </c>
      <c r="G44" s="5" t="n"/>
    </row>
    <row r="45">
      <c r="A45" s="15" t="inlineStr">
        <is>
          <t>SEG-041 [Segment Name]</t>
        </is>
      </c>
      <c r="B45" s="16" t="n"/>
      <c r="C45" s="16" t="n"/>
      <c r="D45" s="16" t="n"/>
      <c r="E45" s="16" t="n"/>
      <c r="F45" s="17">
        <f>SUM(B45:E45)</f>
        <v/>
      </c>
      <c r="G45" s="5" t="n"/>
    </row>
    <row r="46">
      <c r="A46" s="15" t="inlineStr">
        <is>
          <t>SEG-042 [Segment Name]</t>
        </is>
      </c>
      <c r="B46" s="16" t="n"/>
      <c r="C46" s="16" t="n"/>
      <c r="D46" s="16" t="n"/>
      <c r="E46" s="16" t="n"/>
      <c r="F46" s="17">
        <f>SUM(B46:E46)</f>
        <v/>
      </c>
      <c r="G46" s="5" t="n"/>
    </row>
    <row r="47">
      <c r="A47" s="15" t="inlineStr">
        <is>
          <t>SEG-043 [Segment Name]</t>
        </is>
      </c>
      <c r="B47" s="16" t="n"/>
      <c r="C47" s="16" t="n"/>
      <c r="D47" s="16" t="n"/>
      <c r="E47" s="16" t="n"/>
      <c r="F47" s="17">
        <f>SUM(B47:E47)</f>
        <v/>
      </c>
      <c r="G47" s="5" t="n"/>
    </row>
    <row r="48">
      <c r="A48" s="15" t="inlineStr">
        <is>
          <t>SEG-044 [Segment Name]</t>
        </is>
      </c>
      <c r="B48" s="16" t="n"/>
      <c r="C48" s="16" t="n"/>
      <c r="D48" s="16" t="n"/>
      <c r="E48" s="16" t="n"/>
      <c r="F48" s="17">
        <f>SUM(B48:E48)</f>
        <v/>
      </c>
      <c r="G48" s="5" t="n"/>
    </row>
    <row r="49">
      <c r="A49" s="15" t="inlineStr">
        <is>
          <t>SEG-045 [Segment Name]</t>
        </is>
      </c>
      <c r="B49" s="16" t="n"/>
      <c r="C49" s="16" t="n"/>
      <c r="D49" s="16" t="n"/>
      <c r="E49" s="16" t="n"/>
      <c r="F49" s="17">
        <f>SUM(B49:E49)</f>
        <v/>
      </c>
      <c r="G49" s="5" t="n"/>
    </row>
    <row r="50">
      <c r="A50" s="15" t="inlineStr">
        <is>
          <t>SEG-046 [Segment Name]</t>
        </is>
      </c>
      <c r="B50" s="16" t="n"/>
      <c r="C50" s="16" t="n"/>
      <c r="D50" s="16" t="n"/>
      <c r="E50" s="16" t="n"/>
      <c r="F50" s="17">
        <f>SUM(B50:E50)</f>
        <v/>
      </c>
      <c r="G50" s="5" t="n"/>
    </row>
    <row r="51">
      <c r="A51" s="15" t="inlineStr">
        <is>
          <t>SEG-047 [Segment Name]</t>
        </is>
      </c>
      <c r="B51" s="16" t="n"/>
      <c r="C51" s="16" t="n"/>
      <c r="D51" s="16" t="n"/>
      <c r="E51" s="16" t="n"/>
      <c r="F51" s="17">
        <f>SUM(B51:E51)</f>
        <v/>
      </c>
      <c r="G51" s="5" t="n"/>
    </row>
    <row r="52">
      <c r="A52" s="15" t="inlineStr">
        <is>
          <t>SEG-048 [Segment Name]</t>
        </is>
      </c>
      <c r="B52" s="16" t="n"/>
      <c r="C52" s="16" t="n"/>
      <c r="D52" s="16" t="n"/>
      <c r="E52" s="16" t="n"/>
      <c r="F52" s="17">
        <f>SUM(B52:E52)</f>
        <v/>
      </c>
      <c r="G52" s="5" t="n"/>
    </row>
    <row r="53">
      <c r="A53" s="15" t="inlineStr">
        <is>
          <t>SEG-049 [Segment Name]</t>
        </is>
      </c>
      <c r="B53" s="16" t="n"/>
      <c r="C53" s="16" t="n"/>
      <c r="D53" s="16" t="n"/>
      <c r="E53" s="16" t="n"/>
      <c r="F53" s="17">
        <f>SUM(B53:E53)</f>
        <v/>
      </c>
      <c r="G53" s="5" t="n"/>
    </row>
    <row r="54">
      <c r="A54" s="15" t="inlineStr">
        <is>
          <t>SEG-050 [Segment Name]</t>
        </is>
      </c>
      <c r="B54" s="16" t="n"/>
      <c r="C54" s="16" t="n"/>
      <c r="D54" s="16" t="n"/>
      <c r="E54" s="16" t="n"/>
      <c r="F54" s="17">
        <f>SUM(B54:E54)</f>
        <v/>
      </c>
      <c r="G54" s="5" t="n"/>
    </row>
    <row r="57">
      <c r="A57" s="18" t="inlineStr">
        <is>
          <t>COVERAGE SUMMARY METRICS</t>
        </is>
      </c>
    </row>
    <row r="58">
      <c r="A58" s="4" t="inlineStr">
        <is>
          <t>Total segments assessed:</t>
        </is>
      </c>
      <c r="B58" s="19">
        <f>COUNTA(A5:A54)</f>
        <v/>
      </c>
    </row>
    <row r="59">
      <c r="A59" s="4" t="inlineStr">
        <is>
          <t>Fully protected (100%):</t>
        </is>
      </c>
      <c r="B59" s="19">
        <f>COUNTIF(F5:F54,"&gt;=100")</f>
        <v/>
      </c>
    </row>
    <row r="60">
      <c r="A60" s="4" t="inlineStr">
        <is>
          <t>Partially protected (&lt;100%):</t>
        </is>
      </c>
      <c r="B60" s="19">
        <f>COUNTIFS(F5:F54,"&gt;0",F5:F54,"&lt;100")</f>
        <v/>
      </c>
    </row>
    <row r="61">
      <c r="A61" s="4" t="inlineStr">
        <is>
          <t>Unprotected (0%):</t>
        </is>
      </c>
      <c r="B61" s="19">
        <f>COUNTIF(F5:F54,0)</f>
        <v/>
      </c>
    </row>
    <row r="62">
      <c r="A62" s="4" t="inlineStr">
        <is>
          <t>Overall Coverage Score:</t>
        </is>
      </c>
      <c r="B62" s="19">
        <f>AVERAGE(F5:F54)&amp;"%"</f>
        <v/>
      </c>
    </row>
    <row r="65">
      <c r="A65" s="18" t="inlineStr">
        <is>
          <t>COVERAGE HEATMAP</t>
        </is>
      </c>
    </row>
    <row r="66">
      <c r="A66" s="8" t="inlineStr">
        <is>
          <t>Coverage Level</t>
        </is>
      </c>
      <c r="B66" s="8" t="inlineStr">
        <is>
          <t>Segment Count</t>
        </is>
      </c>
      <c r="C66" s="8" t="inlineStr">
        <is>
          <t>% of Total</t>
        </is>
      </c>
      <c r="D66" s="8" t="inlineStr">
        <is>
          <t>Status</t>
        </is>
      </c>
    </row>
    <row r="67">
      <c r="A67" s="4" t="inlineStr">
        <is>
          <t>100% Coverage</t>
        </is>
      </c>
      <c r="B67" s="20">
        <f>COUNTIF(F5:F54,100)</f>
        <v/>
      </c>
      <c r="C67" s="20">
        <f>IF(B67=0,0,B67/SUM(B5:B9)*100)&amp;"%"</f>
        <v/>
      </c>
      <c r="D67" s="9" t="inlineStr">
        <is>
          <t>✅ Good</t>
        </is>
      </c>
    </row>
    <row r="68">
      <c r="A68" s="4" t="inlineStr">
        <is>
          <t>75-99% Coverage</t>
        </is>
      </c>
      <c r="B68" s="20">
        <f>COUNTIFS(F5:F54,"&gt;=75",F5:F54,"&lt;100")</f>
        <v/>
      </c>
      <c r="C68" s="20">
        <f>IF(B68=0,0,B68/SUM(B5:B9)*100)&amp;"%"</f>
        <v/>
      </c>
      <c r="D68" s="10" t="inlineStr">
        <is>
          <t>⚠️ Needs Attention</t>
        </is>
      </c>
    </row>
    <row r="69">
      <c r="A69" s="4" t="inlineStr">
        <is>
          <t>50-74% Coverage</t>
        </is>
      </c>
      <c r="B69" s="20">
        <f>COUNTIFS(F5:F54,"&gt;=50",F5:F54,"&lt;75")</f>
        <v/>
      </c>
      <c r="C69" s="20">
        <f>IF(B69=0,0,B69/SUM(B5:B9)*100)&amp;"%"</f>
        <v/>
      </c>
      <c r="D69" s="10" t="inlineStr">
        <is>
          <t>⚠️ Risk</t>
        </is>
      </c>
    </row>
    <row r="70">
      <c r="A70" s="4" t="inlineStr">
        <is>
          <t>&lt;50% Coverage</t>
        </is>
      </c>
      <c r="B70" s="20">
        <f>COUNTIFS(F5:F54,"&gt;0",F5:F54,"&lt;50")</f>
        <v/>
      </c>
      <c r="C70" s="20">
        <f>IF(B70=0,0,B70/SUM(B5:B9)*100)&amp;"%"</f>
        <v/>
      </c>
      <c r="D70" s="11" t="inlineStr">
        <is>
          <t>❌ Critical</t>
        </is>
      </c>
    </row>
    <row r="71">
      <c r="A71" s="4" t="inlineStr">
        <is>
          <t>0% Coverage</t>
        </is>
      </c>
      <c r="B71" s="20">
        <f>COUNTIF(F5:F54,0)</f>
        <v/>
      </c>
      <c r="C71" s="20">
        <f>IF(B71=0,0,B71/SUM(B5:B9)*100)&amp;"%"</f>
        <v/>
      </c>
      <c r="D71" s="11" t="inlineStr">
        <is>
          <t>❌ Urgent</t>
        </is>
      </c>
    </row>
  </sheetData>
  <mergeCells count="4">
    <mergeCell ref="A57:G57"/>
    <mergeCell ref="A65:D65"/>
    <mergeCell ref="A2:G2"/>
    <mergeCell ref="A1:G1"/>
  </mergeCells>
  <dataValidations count="1">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 Protected,⚠️ Partial,❌ Unprotected,🔄 Planned,🚫 Exempt"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6"/>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25" customWidth="1" min="3" max="3"/>
    <col width="15" customWidth="1" min="4" max="4"/>
    <col width="35" customWidth="1" min="5" max="5"/>
    <col width="12" customWidth="1" min="6" max="6"/>
    <col width="30" customWidth="1" min="7" max="7"/>
    <col width="30" customWidth="1" min="8" max="8"/>
    <col width="20" customWidth="1" min="9" max="9"/>
    <col width="15" customWidth="1" min="10" max="10"/>
    <col width="15" customWidth="1" min="11" max="11"/>
  </cols>
  <sheetData>
    <row r="1" ht="30" customHeight="1">
      <c r="A1" s="1" t="inlineStr">
        <is>
          <t>COVERAGE GAPS &amp; REMEDIATION TRACKING</t>
        </is>
      </c>
    </row>
    <row r="2">
      <c r="A2" s="2" t="inlineStr">
        <is>
          <t>Identify unprotected/partially protected segments and plan remediation</t>
        </is>
      </c>
    </row>
    <row r="4">
      <c r="A4" s="14" t="inlineStr">
        <is>
          <t>Gap ID</t>
        </is>
      </c>
      <c r="B4" s="14" t="inlineStr">
        <is>
          <t>Segment ID</t>
        </is>
      </c>
      <c r="C4" s="14" t="inlineStr">
        <is>
          <t>Segment Name</t>
        </is>
      </c>
      <c r="D4" s="14" t="inlineStr">
        <is>
          <t>Current Coverage</t>
        </is>
      </c>
      <c r="E4" s="14" t="inlineStr">
        <is>
          <t>Gap Description</t>
        </is>
      </c>
      <c r="F4" s="14" t="inlineStr">
        <is>
          <t>Risk Level</t>
        </is>
      </c>
      <c r="G4" s="14" t="inlineStr">
        <is>
          <t>Impact</t>
        </is>
      </c>
      <c r="H4" s="14" t="inlineStr">
        <is>
          <t>Remediation Plan</t>
        </is>
      </c>
      <c r="I4" s="14" t="inlineStr">
        <is>
          <t>Owner</t>
        </is>
      </c>
      <c r="J4" s="14" t="inlineStr">
        <is>
          <t>Target Date</t>
        </is>
      </c>
      <c r="K4" s="14" t="inlineStr">
        <is>
          <t>Status</t>
        </is>
      </c>
    </row>
    <row r="5">
      <c r="A5" s="15" t="inlineStr">
        <is>
          <t>GAP-001</t>
        </is>
      </c>
      <c r="B5" s="5" t="n"/>
      <c r="C5" s="5" t="n"/>
      <c r="D5" s="5" t="n"/>
      <c r="E5" s="5" t="n"/>
      <c r="F5" s="5" t="n"/>
      <c r="G5" s="5" t="n"/>
      <c r="H5" s="5" t="n"/>
      <c r="I5" s="5" t="n"/>
      <c r="J5" s="5" t="n"/>
      <c r="K5" s="5" t="n"/>
    </row>
    <row r="6">
      <c r="A6" s="15" t="inlineStr">
        <is>
          <t>GAP-002</t>
        </is>
      </c>
      <c r="B6" s="5" t="n"/>
      <c r="C6" s="5" t="n"/>
      <c r="D6" s="5" t="n"/>
      <c r="E6" s="5" t="n"/>
      <c r="F6" s="5" t="n"/>
      <c r="G6" s="5" t="n"/>
      <c r="H6" s="5" t="n"/>
      <c r="I6" s="5" t="n"/>
      <c r="J6" s="5" t="n"/>
      <c r="K6" s="5" t="n"/>
    </row>
    <row r="7">
      <c r="A7" s="15" t="inlineStr">
        <is>
          <t>GAP-003</t>
        </is>
      </c>
      <c r="B7" s="5" t="n"/>
      <c r="C7" s="5" t="n"/>
      <c r="D7" s="5" t="n"/>
      <c r="E7" s="5" t="n"/>
      <c r="F7" s="5" t="n"/>
      <c r="G7" s="5" t="n"/>
      <c r="H7" s="5" t="n"/>
      <c r="I7" s="5" t="n"/>
      <c r="J7" s="5" t="n"/>
      <c r="K7" s="5" t="n"/>
    </row>
    <row r="8">
      <c r="A8" s="15" t="inlineStr">
        <is>
          <t>GAP-004</t>
        </is>
      </c>
      <c r="B8" s="5" t="n"/>
      <c r="C8" s="5" t="n"/>
      <c r="D8" s="5" t="n"/>
      <c r="E8" s="5" t="n"/>
      <c r="F8" s="5" t="n"/>
      <c r="G8" s="5" t="n"/>
      <c r="H8" s="5" t="n"/>
      <c r="I8" s="5" t="n"/>
      <c r="J8" s="5" t="n"/>
      <c r="K8" s="5" t="n"/>
    </row>
    <row r="9">
      <c r="A9" s="15" t="inlineStr">
        <is>
          <t>GAP-005</t>
        </is>
      </c>
      <c r="B9" s="5" t="n"/>
      <c r="C9" s="5" t="n"/>
      <c r="D9" s="5" t="n"/>
      <c r="E9" s="5" t="n"/>
      <c r="F9" s="5" t="n"/>
      <c r="G9" s="5" t="n"/>
      <c r="H9" s="5" t="n"/>
      <c r="I9" s="5" t="n"/>
      <c r="J9" s="5" t="n"/>
      <c r="K9" s="5" t="n"/>
    </row>
    <row r="10">
      <c r="A10" s="15" t="inlineStr">
        <is>
          <t>GAP-006</t>
        </is>
      </c>
      <c r="B10" s="5" t="n"/>
      <c r="C10" s="5" t="n"/>
      <c r="D10" s="5" t="n"/>
      <c r="E10" s="5" t="n"/>
      <c r="F10" s="5" t="n"/>
      <c r="G10" s="5" t="n"/>
      <c r="H10" s="5" t="n"/>
      <c r="I10" s="5" t="n"/>
      <c r="J10" s="5" t="n"/>
      <c r="K10" s="5" t="n"/>
    </row>
    <row r="11">
      <c r="A11" s="15" t="inlineStr">
        <is>
          <t>GAP-007</t>
        </is>
      </c>
      <c r="B11" s="5" t="n"/>
      <c r="C11" s="5" t="n"/>
      <c r="D11" s="5" t="n"/>
      <c r="E11" s="5" t="n"/>
      <c r="F11" s="5" t="n"/>
      <c r="G11" s="5" t="n"/>
      <c r="H11" s="5" t="n"/>
      <c r="I11" s="5" t="n"/>
      <c r="J11" s="5" t="n"/>
      <c r="K11" s="5" t="n"/>
    </row>
    <row r="12">
      <c r="A12" s="15" t="inlineStr">
        <is>
          <t>GAP-008</t>
        </is>
      </c>
      <c r="B12" s="5" t="n"/>
      <c r="C12" s="5" t="n"/>
      <c r="D12" s="5" t="n"/>
      <c r="E12" s="5" t="n"/>
      <c r="F12" s="5" t="n"/>
      <c r="G12" s="5" t="n"/>
      <c r="H12" s="5" t="n"/>
      <c r="I12" s="5" t="n"/>
      <c r="J12" s="5" t="n"/>
      <c r="K12" s="5" t="n"/>
    </row>
    <row r="13">
      <c r="A13" s="15" t="inlineStr">
        <is>
          <t>GAP-009</t>
        </is>
      </c>
      <c r="B13" s="5" t="n"/>
      <c r="C13" s="5" t="n"/>
      <c r="D13" s="5" t="n"/>
      <c r="E13" s="5" t="n"/>
      <c r="F13" s="5" t="n"/>
      <c r="G13" s="5" t="n"/>
      <c r="H13" s="5" t="n"/>
      <c r="I13" s="5" t="n"/>
      <c r="J13" s="5" t="n"/>
      <c r="K13" s="5" t="n"/>
    </row>
    <row r="14">
      <c r="A14" s="15" t="inlineStr">
        <is>
          <t>GAP-010</t>
        </is>
      </c>
      <c r="B14" s="5" t="n"/>
      <c r="C14" s="5" t="n"/>
      <c r="D14" s="5" t="n"/>
      <c r="E14" s="5" t="n"/>
      <c r="F14" s="5" t="n"/>
      <c r="G14" s="5" t="n"/>
      <c r="H14" s="5" t="n"/>
      <c r="I14" s="5" t="n"/>
      <c r="J14" s="5" t="n"/>
      <c r="K14" s="5" t="n"/>
    </row>
    <row r="15">
      <c r="A15" s="15" t="inlineStr">
        <is>
          <t>GAP-011</t>
        </is>
      </c>
      <c r="B15" s="5" t="n"/>
      <c r="C15" s="5" t="n"/>
      <c r="D15" s="5" t="n"/>
      <c r="E15" s="5" t="n"/>
      <c r="F15" s="5" t="n"/>
      <c r="G15" s="5" t="n"/>
      <c r="H15" s="5" t="n"/>
      <c r="I15" s="5" t="n"/>
      <c r="J15" s="5" t="n"/>
      <c r="K15" s="5" t="n"/>
    </row>
    <row r="16">
      <c r="A16" s="15" t="inlineStr">
        <is>
          <t>GAP-012</t>
        </is>
      </c>
      <c r="B16" s="5" t="n"/>
      <c r="C16" s="5" t="n"/>
      <c r="D16" s="5" t="n"/>
      <c r="E16" s="5" t="n"/>
      <c r="F16" s="5" t="n"/>
      <c r="G16" s="5" t="n"/>
      <c r="H16" s="5" t="n"/>
      <c r="I16" s="5" t="n"/>
      <c r="J16" s="5" t="n"/>
      <c r="K16" s="5" t="n"/>
    </row>
    <row r="17">
      <c r="A17" s="15" t="inlineStr">
        <is>
          <t>GAP-013</t>
        </is>
      </c>
      <c r="B17" s="5" t="n"/>
      <c r="C17" s="5" t="n"/>
      <c r="D17" s="5" t="n"/>
      <c r="E17" s="5" t="n"/>
      <c r="F17" s="5" t="n"/>
      <c r="G17" s="5" t="n"/>
      <c r="H17" s="5" t="n"/>
      <c r="I17" s="5" t="n"/>
      <c r="J17" s="5" t="n"/>
      <c r="K17" s="5" t="n"/>
    </row>
    <row r="18">
      <c r="A18" s="15" t="inlineStr">
        <is>
          <t>GAP-014</t>
        </is>
      </c>
      <c r="B18" s="5" t="n"/>
      <c r="C18" s="5" t="n"/>
      <c r="D18" s="5" t="n"/>
      <c r="E18" s="5" t="n"/>
      <c r="F18" s="5" t="n"/>
      <c r="G18" s="5" t="n"/>
      <c r="H18" s="5" t="n"/>
      <c r="I18" s="5" t="n"/>
      <c r="J18" s="5" t="n"/>
      <c r="K18" s="5" t="n"/>
    </row>
    <row r="19">
      <c r="A19" s="15" t="inlineStr">
        <is>
          <t>GAP-015</t>
        </is>
      </c>
      <c r="B19" s="5" t="n"/>
      <c r="C19" s="5" t="n"/>
      <c r="D19" s="5" t="n"/>
      <c r="E19" s="5" t="n"/>
      <c r="F19" s="5" t="n"/>
      <c r="G19" s="5" t="n"/>
      <c r="H19" s="5" t="n"/>
      <c r="I19" s="5" t="n"/>
      <c r="J19" s="5" t="n"/>
      <c r="K19" s="5" t="n"/>
    </row>
    <row r="20">
      <c r="A20" s="15" t="inlineStr">
        <is>
          <t>GAP-016</t>
        </is>
      </c>
      <c r="B20" s="5" t="n"/>
      <c r="C20" s="5" t="n"/>
      <c r="D20" s="5" t="n"/>
      <c r="E20" s="5" t="n"/>
      <c r="F20" s="5" t="n"/>
      <c r="G20" s="5" t="n"/>
      <c r="H20" s="5" t="n"/>
      <c r="I20" s="5" t="n"/>
      <c r="J20" s="5" t="n"/>
      <c r="K20" s="5" t="n"/>
    </row>
    <row r="21">
      <c r="A21" s="15" t="inlineStr">
        <is>
          <t>GAP-017</t>
        </is>
      </c>
      <c r="B21" s="5" t="n"/>
      <c r="C21" s="5" t="n"/>
      <c r="D21" s="5" t="n"/>
      <c r="E21" s="5" t="n"/>
      <c r="F21" s="5" t="n"/>
      <c r="G21" s="5" t="n"/>
      <c r="H21" s="5" t="n"/>
      <c r="I21" s="5" t="n"/>
      <c r="J21" s="5" t="n"/>
      <c r="K21" s="5" t="n"/>
    </row>
    <row r="22">
      <c r="A22" s="15" t="inlineStr">
        <is>
          <t>GAP-018</t>
        </is>
      </c>
      <c r="B22" s="5" t="n"/>
      <c r="C22" s="5" t="n"/>
      <c r="D22" s="5" t="n"/>
      <c r="E22" s="5" t="n"/>
      <c r="F22" s="5" t="n"/>
      <c r="G22" s="5" t="n"/>
      <c r="H22" s="5" t="n"/>
      <c r="I22" s="5" t="n"/>
      <c r="J22" s="5" t="n"/>
      <c r="K22" s="5" t="n"/>
    </row>
    <row r="23">
      <c r="A23" s="15" t="inlineStr">
        <is>
          <t>GAP-019</t>
        </is>
      </c>
      <c r="B23" s="5" t="n"/>
      <c r="C23" s="5" t="n"/>
      <c r="D23" s="5" t="n"/>
      <c r="E23" s="5" t="n"/>
      <c r="F23" s="5" t="n"/>
      <c r="G23" s="5" t="n"/>
      <c r="H23" s="5" t="n"/>
      <c r="I23" s="5" t="n"/>
      <c r="J23" s="5" t="n"/>
      <c r="K23" s="5" t="n"/>
    </row>
    <row r="24">
      <c r="A24" s="15" t="inlineStr">
        <is>
          <t>GAP-020</t>
        </is>
      </c>
      <c r="B24" s="5" t="n"/>
      <c r="C24" s="5" t="n"/>
      <c r="D24" s="5" t="n"/>
      <c r="E24" s="5" t="n"/>
      <c r="F24" s="5" t="n"/>
      <c r="G24" s="5" t="n"/>
      <c r="H24" s="5" t="n"/>
      <c r="I24" s="5" t="n"/>
      <c r="J24" s="5" t="n"/>
      <c r="K24" s="5" t="n"/>
    </row>
    <row r="25">
      <c r="A25" s="15" t="inlineStr">
        <is>
          <t>GAP-021</t>
        </is>
      </c>
      <c r="B25" s="5" t="n"/>
      <c r="C25" s="5" t="n"/>
      <c r="D25" s="5" t="n"/>
      <c r="E25" s="5" t="n"/>
      <c r="F25" s="5" t="n"/>
      <c r="G25" s="5" t="n"/>
      <c r="H25" s="5" t="n"/>
      <c r="I25" s="5" t="n"/>
      <c r="J25" s="5" t="n"/>
      <c r="K25" s="5" t="n"/>
    </row>
    <row r="26">
      <c r="A26" s="15" t="inlineStr">
        <is>
          <t>GAP-022</t>
        </is>
      </c>
      <c r="B26" s="5" t="n"/>
      <c r="C26" s="5" t="n"/>
      <c r="D26" s="5" t="n"/>
      <c r="E26" s="5" t="n"/>
      <c r="F26" s="5" t="n"/>
      <c r="G26" s="5" t="n"/>
      <c r="H26" s="5" t="n"/>
      <c r="I26" s="5" t="n"/>
      <c r="J26" s="5" t="n"/>
      <c r="K26" s="5" t="n"/>
    </row>
    <row r="27">
      <c r="A27" s="15" t="inlineStr">
        <is>
          <t>GAP-023</t>
        </is>
      </c>
      <c r="B27" s="5" t="n"/>
      <c r="C27" s="5" t="n"/>
      <c r="D27" s="5" t="n"/>
      <c r="E27" s="5" t="n"/>
      <c r="F27" s="5" t="n"/>
      <c r="G27" s="5" t="n"/>
      <c r="H27" s="5" t="n"/>
      <c r="I27" s="5" t="n"/>
      <c r="J27" s="5" t="n"/>
      <c r="K27" s="5" t="n"/>
    </row>
    <row r="28">
      <c r="A28" s="15" t="inlineStr">
        <is>
          <t>GAP-024</t>
        </is>
      </c>
      <c r="B28" s="5" t="n"/>
      <c r="C28" s="5" t="n"/>
      <c r="D28" s="5" t="n"/>
      <c r="E28" s="5" t="n"/>
      <c r="F28" s="5" t="n"/>
      <c r="G28" s="5" t="n"/>
      <c r="H28" s="5" t="n"/>
      <c r="I28" s="5" t="n"/>
      <c r="J28" s="5" t="n"/>
      <c r="K28" s="5" t="n"/>
    </row>
    <row r="29">
      <c r="A29" s="15" t="inlineStr">
        <is>
          <t>GAP-025</t>
        </is>
      </c>
      <c r="B29" s="5" t="n"/>
      <c r="C29" s="5" t="n"/>
      <c r="D29" s="5" t="n"/>
      <c r="E29" s="5" t="n"/>
      <c r="F29" s="5" t="n"/>
      <c r="G29" s="5" t="n"/>
      <c r="H29" s="5" t="n"/>
      <c r="I29" s="5" t="n"/>
      <c r="J29" s="5" t="n"/>
      <c r="K29" s="5" t="n"/>
    </row>
    <row r="30">
      <c r="A30" s="15" t="inlineStr">
        <is>
          <t>GAP-026</t>
        </is>
      </c>
      <c r="B30" s="5" t="n"/>
      <c r="C30" s="5" t="n"/>
      <c r="D30" s="5" t="n"/>
      <c r="E30" s="5" t="n"/>
      <c r="F30" s="5" t="n"/>
      <c r="G30" s="5" t="n"/>
      <c r="H30" s="5" t="n"/>
      <c r="I30" s="5" t="n"/>
      <c r="J30" s="5" t="n"/>
      <c r="K30" s="5" t="n"/>
    </row>
    <row r="31">
      <c r="A31" s="15" t="inlineStr">
        <is>
          <t>GAP-027</t>
        </is>
      </c>
      <c r="B31" s="5" t="n"/>
      <c r="C31" s="5" t="n"/>
      <c r="D31" s="5" t="n"/>
      <c r="E31" s="5" t="n"/>
      <c r="F31" s="5" t="n"/>
      <c r="G31" s="5" t="n"/>
      <c r="H31" s="5" t="n"/>
      <c r="I31" s="5" t="n"/>
      <c r="J31" s="5" t="n"/>
      <c r="K31" s="5" t="n"/>
    </row>
    <row r="32">
      <c r="A32" s="15" t="inlineStr">
        <is>
          <t>GAP-028</t>
        </is>
      </c>
      <c r="B32" s="5" t="n"/>
      <c r="C32" s="5" t="n"/>
      <c r="D32" s="5" t="n"/>
      <c r="E32" s="5" t="n"/>
      <c r="F32" s="5" t="n"/>
      <c r="G32" s="5" t="n"/>
      <c r="H32" s="5" t="n"/>
      <c r="I32" s="5" t="n"/>
      <c r="J32" s="5" t="n"/>
      <c r="K32" s="5" t="n"/>
    </row>
    <row r="33">
      <c r="A33" s="15" t="inlineStr">
        <is>
          <t>GAP-029</t>
        </is>
      </c>
      <c r="B33" s="5" t="n"/>
      <c r="C33" s="5" t="n"/>
      <c r="D33" s="5" t="n"/>
      <c r="E33" s="5" t="n"/>
      <c r="F33" s="5" t="n"/>
      <c r="G33" s="5" t="n"/>
      <c r="H33" s="5" t="n"/>
      <c r="I33" s="5" t="n"/>
      <c r="J33" s="5" t="n"/>
      <c r="K33" s="5" t="n"/>
    </row>
    <row r="34">
      <c r="A34" s="15" t="inlineStr">
        <is>
          <t>GAP-030</t>
        </is>
      </c>
      <c r="B34" s="5" t="n"/>
      <c r="C34" s="5" t="n"/>
      <c r="D34" s="5" t="n"/>
      <c r="E34" s="5" t="n"/>
      <c r="F34" s="5" t="n"/>
      <c r="G34" s="5" t="n"/>
      <c r="H34" s="5" t="n"/>
      <c r="I34" s="5" t="n"/>
      <c r="J34" s="5" t="n"/>
      <c r="K34" s="5" t="n"/>
    </row>
    <row r="37">
      <c r="A37" s="18" t="inlineStr">
        <is>
          <t>GAP SUMMARY METRICS</t>
        </is>
      </c>
    </row>
    <row r="38">
      <c r="A38" s="8" t="inlineStr">
        <is>
          <t>Risk Level</t>
        </is>
      </c>
      <c r="B38" s="8" t="inlineStr">
        <is>
          <t>Gap Count</t>
        </is>
      </c>
      <c r="C38" s="8" t="inlineStr">
        <is>
          <t>% of Total</t>
        </is>
      </c>
    </row>
    <row r="39">
      <c r="A39" s="21" t="inlineStr">
        <is>
          <t>Critical</t>
        </is>
      </c>
      <c r="B39" s="20">
        <f>COUNTIF(F5:F34,"Critical")</f>
        <v/>
      </c>
      <c r="C39" s="20">
        <f>IF(B39=0,0,B39/COUNTA(F5:F34)*100)&amp;"%"</f>
        <v/>
      </c>
    </row>
    <row r="40">
      <c r="A40" s="22" t="inlineStr">
        <is>
          <t>High</t>
        </is>
      </c>
      <c r="B40" s="20">
        <f>COUNTIF(F5:F34,"High")</f>
        <v/>
      </c>
      <c r="C40" s="20">
        <f>IF(B40=0,0,B40/COUNTA(F5:F34)*100)&amp;"%"</f>
        <v/>
      </c>
    </row>
    <row r="41">
      <c r="A41" s="23" t="inlineStr">
        <is>
          <t>Medium</t>
        </is>
      </c>
      <c r="B41" s="20">
        <f>COUNTIF(F5:F34,"Medium")</f>
        <v/>
      </c>
      <c r="C41" s="20">
        <f>IF(B41=0,0,B41/COUNTA(F5:F34)*100)&amp;"%"</f>
        <v/>
      </c>
    </row>
    <row r="42">
      <c r="A42" s="24" t="inlineStr">
        <is>
          <t>Low</t>
        </is>
      </c>
      <c r="B42" s="20">
        <f>COUNTIF(F5:F34,"Low")</f>
        <v/>
      </c>
      <c r="C42" s="20">
        <f>IF(B42=0,0,B42/COUNTA(F5:F34)*100)&amp;"%"</f>
        <v/>
      </c>
    </row>
    <row r="44">
      <c r="A44" s="4" t="inlineStr">
        <is>
          <t>Total gaps identified:</t>
        </is>
      </c>
      <c r="B44" s="19">
        <f>COUNTA(B5:B34)</f>
        <v/>
      </c>
    </row>
    <row r="45">
      <c r="A45" s="4" t="inlineStr">
        <is>
          <t>Gaps resolved:</t>
        </is>
      </c>
      <c r="B45" s="19">
        <f>COUNTIF(K5:K34,"Resolved")</f>
        <v/>
      </c>
    </row>
    <row r="46">
      <c r="A46" s="4" t="inlineStr">
        <is>
          <t>Gaps remaining:</t>
        </is>
      </c>
      <c r="B46" s="25">
        <f>COUNTA(B5:B34)-COUNTIF(K5:K34,"Resolved")</f>
        <v/>
      </c>
    </row>
  </sheetData>
  <mergeCells count="3">
    <mergeCell ref="A2:K2"/>
    <mergeCell ref="A1:K1"/>
    <mergeCell ref="A37:K37"/>
  </mergeCells>
  <dataValidations count="2">
    <dataValidation sqref="F5 F6 F7 F8 F9 F10 F11 F12 F13 F14 F15 F16 F17 F18 F19 F20 F21 F22 F23 F24 F25 F26 F27 F28 F29 F30 F31 F32 F33 F34" showDropDown="0" showInputMessage="0" showErrorMessage="0" allowBlank="0" type="list">
      <formula1>"Critical,High,Medium,Low"</formula1>
    </dataValidation>
    <dataValidation sqref="K5 K6 K7 K8 K9 K10 K11 K12 K13 K14 K15 K16 K17 K18 K19 K20 K21 K22 K23 K24 K25 K26 K27 K28 K29 K30 K31 K32 K33 K34" showDropDown="0" showInputMessage="0" showErrorMessage="0" allowBlank="0" type="list">
      <formula1>"Open,In Progress,Resolved,Accepted Risk,Exempt"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4"/>
  <sheetViews>
    <sheetView workbookViewId="0">
      <pane ySplit="4" topLeftCell="A5" activePane="bottomLeft" state="frozen"/>
      <selection pane="bottomLeft" activeCell="A1" sqref="A1"/>
    </sheetView>
  </sheetViews>
  <sheetFormatPr baseColWidth="8" defaultRowHeight="15"/>
  <cols>
    <col width="12" customWidth="1" min="1" max="1"/>
    <col width="15" customWidth="1" min="2" max="2"/>
    <col width="15" customWidth="1" min="3" max="3"/>
    <col width="25" customWidth="1" min="4" max="4"/>
    <col width="25" customWidth="1" min="5" max="5"/>
    <col width="25" customWidth="1" min="6" max="6"/>
    <col width="18" customWidth="1" min="7" max="7"/>
    <col width="15" customWidth="1" min="8" max="8"/>
    <col width="15" customWidth="1" min="9" max="9"/>
    <col width="35" customWidth="1" min="10" max="10"/>
  </cols>
  <sheetData>
    <row r="1" ht="30" customHeight="1">
      <c r="A1" s="1" t="inlineStr">
        <is>
          <t>DEVICE-LEVEL FILTERING INVENTORY</t>
        </is>
      </c>
    </row>
    <row r="2">
      <c r="A2" s="2" t="inlineStr">
        <is>
          <t>Track endpoint protection for mobile/remote devices</t>
        </is>
      </c>
    </row>
    <row r="4">
      <c r="A4" s="14" t="inlineStr">
        <is>
          <t>Device ID</t>
        </is>
      </c>
      <c r="B4" s="14" t="inlineStr">
        <is>
          <t>Device Type</t>
        </is>
      </c>
      <c r="C4" s="14" t="inlineStr">
        <is>
          <t>OS</t>
        </is>
      </c>
      <c r="D4" s="14" t="inlineStr">
        <is>
          <t>User/Owner</t>
        </is>
      </c>
      <c r="E4" s="14" t="inlineStr">
        <is>
          <t>Primary Network</t>
        </is>
      </c>
      <c r="F4" s="14" t="inlineStr">
        <is>
          <t>Filtering Solution</t>
        </is>
      </c>
      <c r="G4" s="14" t="inlineStr">
        <is>
          <t>Agent-Based?</t>
        </is>
      </c>
      <c r="H4" s="14" t="inlineStr">
        <is>
          <t>Status</t>
        </is>
      </c>
      <c r="I4" s="14" t="inlineStr">
        <is>
          <t>Last Verified</t>
        </is>
      </c>
      <c r="J4" s="14" t="inlineStr">
        <is>
          <t>Evidence</t>
        </is>
      </c>
    </row>
    <row r="5">
      <c r="A5" s="15" t="inlineStr">
        <is>
          <t>DEV-001</t>
        </is>
      </c>
      <c r="B5" s="5" t="n"/>
      <c r="C5" s="5" t="n"/>
      <c r="D5" s="5" t="n"/>
      <c r="E5" s="5" t="n"/>
      <c r="F5" s="5" t="n"/>
      <c r="G5" s="5" t="n"/>
      <c r="H5" s="5" t="n"/>
      <c r="I5" s="5" t="n"/>
      <c r="J5" s="5" t="n"/>
    </row>
    <row r="6">
      <c r="A6" s="15" t="inlineStr">
        <is>
          <t>DEV-002</t>
        </is>
      </c>
      <c r="B6" s="5" t="n"/>
      <c r="C6" s="5" t="n"/>
      <c r="D6" s="5" t="n"/>
      <c r="E6" s="5" t="n"/>
      <c r="F6" s="5" t="n"/>
      <c r="G6" s="5" t="n"/>
      <c r="H6" s="5" t="n"/>
      <c r="I6" s="5" t="n"/>
      <c r="J6" s="5" t="n"/>
    </row>
    <row r="7">
      <c r="A7" s="15" t="inlineStr">
        <is>
          <t>DEV-003</t>
        </is>
      </c>
      <c r="B7" s="5" t="n"/>
      <c r="C7" s="5" t="n"/>
      <c r="D7" s="5" t="n"/>
      <c r="E7" s="5" t="n"/>
      <c r="F7" s="5" t="n"/>
      <c r="G7" s="5" t="n"/>
      <c r="H7" s="5" t="n"/>
      <c r="I7" s="5" t="n"/>
      <c r="J7" s="5" t="n"/>
    </row>
    <row r="8">
      <c r="A8" s="15" t="inlineStr">
        <is>
          <t>DEV-004</t>
        </is>
      </c>
      <c r="B8" s="5" t="n"/>
      <c r="C8" s="5" t="n"/>
      <c r="D8" s="5" t="n"/>
      <c r="E8" s="5" t="n"/>
      <c r="F8" s="5" t="n"/>
      <c r="G8" s="5" t="n"/>
      <c r="H8" s="5" t="n"/>
      <c r="I8" s="5" t="n"/>
      <c r="J8" s="5" t="n"/>
    </row>
    <row r="9">
      <c r="A9" s="15" t="inlineStr">
        <is>
          <t>DEV-005</t>
        </is>
      </c>
      <c r="B9" s="5" t="n"/>
      <c r="C9" s="5" t="n"/>
      <c r="D9" s="5" t="n"/>
      <c r="E9" s="5" t="n"/>
      <c r="F9" s="5" t="n"/>
      <c r="G9" s="5" t="n"/>
      <c r="H9" s="5" t="n"/>
      <c r="I9" s="5" t="n"/>
      <c r="J9" s="5" t="n"/>
    </row>
    <row r="10">
      <c r="A10" s="15" t="inlineStr">
        <is>
          <t>DEV-006</t>
        </is>
      </c>
      <c r="B10" s="5" t="n"/>
      <c r="C10" s="5" t="n"/>
      <c r="D10" s="5" t="n"/>
      <c r="E10" s="5" t="n"/>
      <c r="F10" s="5" t="n"/>
      <c r="G10" s="5" t="n"/>
      <c r="H10" s="5" t="n"/>
      <c r="I10" s="5" t="n"/>
      <c r="J10" s="5" t="n"/>
    </row>
    <row r="11">
      <c r="A11" s="15" t="inlineStr">
        <is>
          <t>DEV-007</t>
        </is>
      </c>
      <c r="B11" s="5" t="n"/>
      <c r="C11" s="5" t="n"/>
      <c r="D11" s="5" t="n"/>
      <c r="E11" s="5" t="n"/>
      <c r="F11" s="5" t="n"/>
      <c r="G11" s="5" t="n"/>
      <c r="H11" s="5" t="n"/>
      <c r="I11" s="5" t="n"/>
      <c r="J11" s="5" t="n"/>
    </row>
    <row r="12">
      <c r="A12" s="15" t="inlineStr">
        <is>
          <t>DEV-008</t>
        </is>
      </c>
      <c r="B12" s="5" t="n"/>
      <c r="C12" s="5" t="n"/>
      <c r="D12" s="5" t="n"/>
      <c r="E12" s="5" t="n"/>
      <c r="F12" s="5" t="n"/>
      <c r="G12" s="5" t="n"/>
      <c r="H12" s="5" t="n"/>
      <c r="I12" s="5" t="n"/>
      <c r="J12" s="5" t="n"/>
    </row>
    <row r="13">
      <c r="A13" s="15" t="inlineStr">
        <is>
          <t>DEV-009</t>
        </is>
      </c>
      <c r="B13" s="5" t="n"/>
      <c r="C13" s="5" t="n"/>
      <c r="D13" s="5" t="n"/>
      <c r="E13" s="5" t="n"/>
      <c r="F13" s="5" t="n"/>
      <c r="G13" s="5" t="n"/>
      <c r="H13" s="5" t="n"/>
      <c r="I13" s="5" t="n"/>
      <c r="J13" s="5" t="n"/>
    </row>
    <row r="14">
      <c r="A14" s="15" t="inlineStr">
        <is>
          <t>DEV-010</t>
        </is>
      </c>
      <c r="B14" s="5" t="n"/>
      <c r="C14" s="5" t="n"/>
      <c r="D14" s="5" t="n"/>
      <c r="E14" s="5" t="n"/>
      <c r="F14" s="5" t="n"/>
      <c r="G14" s="5" t="n"/>
      <c r="H14" s="5" t="n"/>
      <c r="I14" s="5" t="n"/>
      <c r="J14" s="5" t="n"/>
    </row>
    <row r="15">
      <c r="A15" s="15" t="inlineStr">
        <is>
          <t>DEV-011</t>
        </is>
      </c>
      <c r="B15" s="5" t="n"/>
      <c r="C15" s="5" t="n"/>
      <c r="D15" s="5" t="n"/>
      <c r="E15" s="5" t="n"/>
      <c r="F15" s="5" t="n"/>
      <c r="G15" s="5" t="n"/>
      <c r="H15" s="5" t="n"/>
      <c r="I15" s="5" t="n"/>
      <c r="J15" s="5" t="n"/>
    </row>
    <row r="16">
      <c r="A16" s="15" t="inlineStr">
        <is>
          <t>DEV-012</t>
        </is>
      </c>
      <c r="B16" s="5" t="n"/>
      <c r="C16" s="5" t="n"/>
      <c r="D16" s="5" t="n"/>
      <c r="E16" s="5" t="n"/>
      <c r="F16" s="5" t="n"/>
      <c r="G16" s="5" t="n"/>
      <c r="H16" s="5" t="n"/>
      <c r="I16" s="5" t="n"/>
      <c r="J16" s="5" t="n"/>
    </row>
    <row r="17">
      <c r="A17" s="15" t="inlineStr">
        <is>
          <t>DEV-013</t>
        </is>
      </c>
      <c r="B17" s="5" t="n"/>
      <c r="C17" s="5" t="n"/>
      <c r="D17" s="5" t="n"/>
      <c r="E17" s="5" t="n"/>
      <c r="F17" s="5" t="n"/>
      <c r="G17" s="5" t="n"/>
      <c r="H17" s="5" t="n"/>
      <c r="I17" s="5" t="n"/>
      <c r="J17" s="5" t="n"/>
    </row>
    <row r="18">
      <c r="A18" s="15" t="inlineStr">
        <is>
          <t>DEV-014</t>
        </is>
      </c>
      <c r="B18" s="5" t="n"/>
      <c r="C18" s="5" t="n"/>
      <c r="D18" s="5" t="n"/>
      <c r="E18" s="5" t="n"/>
      <c r="F18" s="5" t="n"/>
      <c r="G18" s="5" t="n"/>
      <c r="H18" s="5" t="n"/>
      <c r="I18" s="5" t="n"/>
      <c r="J18" s="5" t="n"/>
    </row>
    <row r="19">
      <c r="A19" s="15" t="inlineStr">
        <is>
          <t>DEV-015</t>
        </is>
      </c>
      <c r="B19" s="5" t="n"/>
      <c r="C19" s="5" t="n"/>
      <c r="D19" s="5" t="n"/>
      <c r="E19" s="5" t="n"/>
      <c r="F19" s="5" t="n"/>
      <c r="G19" s="5" t="n"/>
      <c r="H19" s="5" t="n"/>
      <c r="I19" s="5" t="n"/>
      <c r="J19" s="5" t="n"/>
    </row>
    <row r="20">
      <c r="A20" s="15" t="inlineStr">
        <is>
          <t>DEV-016</t>
        </is>
      </c>
      <c r="B20" s="5" t="n"/>
      <c r="C20" s="5" t="n"/>
      <c r="D20" s="5" t="n"/>
      <c r="E20" s="5" t="n"/>
      <c r="F20" s="5" t="n"/>
      <c r="G20" s="5" t="n"/>
      <c r="H20" s="5" t="n"/>
      <c r="I20" s="5" t="n"/>
      <c r="J20" s="5" t="n"/>
    </row>
    <row r="21">
      <c r="A21" s="15" t="inlineStr">
        <is>
          <t>DEV-017</t>
        </is>
      </c>
      <c r="B21" s="5" t="n"/>
      <c r="C21" s="5" t="n"/>
      <c r="D21" s="5" t="n"/>
      <c r="E21" s="5" t="n"/>
      <c r="F21" s="5" t="n"/>
      <c r="G21" s="5" t="n"/>
      <c r="H21" s="5" t="n"/>
      <c r="I21" s="5" t="n"/>
      <c r="J21" s="5" t="n"/>
    </row>
    <row r="22">
      <c r="A22" s="15" t="inlineStr">
        <is>
          <t>DEV-018</t>
        </is>
      </c>
      <c r="B22" s="5" t="n"/>
      <c r="C22" s="5" t="n"/>
      <c r="D22" s="5" t="n"/>
      <c r="E22" s="5" t="n"/>
      <c r="F22" s="5" t="n"/>
      <c r="G22" s="5" t="n"/>
      <c r="H22" s="5" t="n"/>
      <c r="I22" s="5" t="n"/>
      <c r="J22" s="5" t="n"/>
    </row>
    <row r="23">
      <c r="A23" s="15" t="inlineStr">
        <is>
          <t>DEV-019</t>
        </is>
      </c>
      <c r="B23" s="5" t="n"/>
      <c r="C23" s="5" t="n"/>
      <c r="D23" s="5" t="n"/>
      <c r="E23" s="5" t="n"/>
      <c r="F23" s="5" t="n"/>
      <c r="G23" s="5" t="n"/>
      <c r="H23" s="5" t="n"/>
      <c r="I23" s="5" t="n"/>
      <c r="J23" s="5" t="n"/>
    </row>
    <row r="24">
      <c r="A24" s="15" t="inlineStr">
        <is>
          <t>DEV-020</t>
        </is>
      </c>
      <c r="B24" s="5" t="n"/>
      <c r="C24" s="5" t="n"/>
      <c r="D24" s="5" t="n"/>
      <c r="E24" s="5" t="n"/>
      <c r="F24" s="5" t="n"/>
      <c r="G24" s="5" t="n"/>
      <c r="H24" s="5" t="n"/>
      <c r="I24" s="5" t="n"/>
      <c r="J24" s="5" t="n"/>
    </row>
    <row r="25">
      <c r="A25" s="15" t="inlineStr">
        <is>
          <t>DEV-021</t>
        </is>
      </c>
      <c r="B25" s="5" t="n"/>
      <c r="C25" s="5" t="n"/>
      <c r="D25" s="5" t="n"/>
      <c r="E25" s="5" t="n"/>
      <c r="F25" s="5" t="n"/>
      <c r="G25" s="5" t="n"/>
      <c r="H25" s="5" t="n"/>
      <c r="I25" s="5" t="n"/>
      <c r="J25" s="5" t="n"/>
    </row>
    <row r="26">
      <c r="A26" s="15" t="inlineStr">
        <is>
          <t>DEV-022</t>
        </is>
      </c>
      <c r="B26" s="5" t="n"/>
      <c r="C26" s="5" t="n"/>
      <c r="D26" s="5" t="n"/>
      <c r="E26" s="5" t="n"/>
      <c r="F26" s="5" t="n"/>
      <c r="G26" s="5" t="n"/>
      <c r="H26" s="5" t="n"/>
      <c r="I26" s="5" t="n"/>
      <c r="J26" s="5" t="n"/>
    </row>
    <row r="27">
      <c r="A27" s="15" t="inlineStr">
        <is>
          <t>DEV-023</t>
        </is>
      </c>
      <c r="B27" s="5" t="n"/>
      <c r="C27" s="5" t="n"/>
      <c r="D27" s="5" t="n"/>
      <c r="E27" s="5" t="n"/>
      <c r="F27" s="5" t="n"/>
      <c r="G27" s="5" t="n"/>
      <c r="H27" s="5" t="n"/>
      <c r="I27" s="5" t="n"/>
      <c r="J27" s="5" t="n"/>
    </row>
    <row r="28">
      <c r="A28" s="15" t="inlineStr">
        <is>
          <t>DEV-024</t>
        </is>
      </c>
      <c r="B28" s="5" t="n"/>
      <c r="C28" s="5" t="n"/>
      <c r="D28" s="5" t="n"/>
      <c r="E28" s="5" t="n"/>
      <c r="F28" s="5" t="n"/>
      <c r="G28" s="5" t="n"/>
      <c r="H28" s="5" t="n"/>
      <c r="I28" s="5" t="n"/>
      <c r="J28" s="5" t="n"/>
    </row>
    <row r="29">
      <c r="A29" s="15" t="inlineStr">
        <is>
          <t>DEV-025</t>
        </is>
      </c>
      <c r="B29" s="5" t="n"/>
      <c r="C29" s="5" t="n"/>
      <c r="D29" s="5" t="n"/>
      <c r="E29" s="5" t="n"/>
      <c r="F29" s="5" t="n"/>
      <c r="G29" s="5" t="n"/>
      <c r="H29" s="5" t="n"/>
      <c r="I29" s="5" t="n"/>
      <c r="J29" s="5" t="n"/>
    </row>
    <row r="30">
      <c r="A30" s="15" t="inlineStr">
        <is>
          <t>DEV-026</t>
        </is>
      </c>
      <c r="B30" s="5" t="n"/>
      <c r="C30" s="5" t="n"/>
      <c r="D30" s="5" t="n"/>
      <c r="E30" s="5" t="n"/>
      <c r="F30" s="5" t="n"/>
      <c r="G30" s="5" t="n"/>
      <c r="H30" s="5" t="n"/>
      <c r="I30" s="5" t="n"/>
      <c r="J30" s="5" t="n"/>
    </row>
    <row r="31">
      <c r="A31" s="15" t="inlineStr">
        <is>
          <t>DEV-027</t>
        </is>
      </c>
      <c r="B31" s="5" t="n"/>
      <c r="C31" s="5" t="n"/>
      <c r="D31" s="5" t="n"/>
      <c r="E31" s="5" t="n"/>
      <c r="F31" s="5" t="n"/>
      <c r="G31" s="5" t="n"/>
      <c r="H31" s="5" t="n"/>
      <c r="I31" s="5" t="n"/>
      <c r="J31" s="5" t="n"/>
    </row>
    <row r="32">
      <c r="A32" s="15" t="inlineStr">
        <is>
          <t>DEV-028</t>
        </is>
      </c>
      <c r="B32" s="5" t="n"/>
      <c r="C32" s="5" t="n"/>
      <c r="D32" s="5" t="n"/>
      <c r="E32" s="5" t="n"/>
      <c r="F32" s="5" t="n"/>
      <c r="G32" s="5" t="n"/>
      <c r="H32" s="5" t="n"/>
      <c r="I32" s="5" t="n"/>
      <c r="J32" s="5" t="n"/>
    </row>
    <row r="33">
      <c r="A33" s="15" t="inlineStr">
        <is>
          <t>DEV-029</t>
        </is>
      </c>
      <c r="B33" s="5" t="n"/>
      <c r="C33" s="5" t="n"/>
      <c r="D33" s="5" t="n"/>
      <c r="E33" s="5" t="n"/>
      <c r="F33" s="5" t="n"/>
      <c r="G33" s="5" t="n"/>
      <c r="H33" s="5" t="n"/>
      <c r="I33" s="5" t="n"/>
      <c r="J33" s="5" t="n"/>
    </row>
    <row r="34">
      <c r="A34" s="15" t="inlineStr">
        <is>
          <t>DEV-030</t>
        </is>
      </c>
      <c r="B34" s="5" t="n"/>
      <c r="C34" s="5" t="n"/>
      <c r="D34" s="5" t="n"/>
      <c r="E34" s="5" t="n"/>
      <c r="F34" s="5" t="n"/>
      <c r="G34" s="5" t="n"/>
      <c r="H34" s="5" t="n"/>
      <c r="I34" s="5" t="n"/>
      <c r="J34" s="5" t="n"/>
    </row>
    <row r="35">
      <c r="A35" s="15" t="inlineStr">
        <is>
          <t>DEV-031</t>
        </is>
      </c>
      <c r="B35" s="5" t="n"/>
      <c r="C35" s="5" t="n"/>
      <c r="D35" s="5" t="n"/>
      <c r="E35" s="5" t="n"/>
      <c r="F35" s="5" t="n"/>
      <c r="G35" s="5" t="n"/>
      <c r="H35" s="5" t="n"/>
      <c r="I35" s="5" t="n"/>
      <c r="J35" s="5" t="n"/>
    </row>
    <row r="36">
      <c r="A36" s="15" t="inlineStr">
        <is>
          <t>DEV-032</t>
        </is>
      </c>
      <c r="B36" s="5" t="n"/>
      <c r="C36" s="5" t="n"/>
      <c r="D36" s="5" t="n"/>
      <c r="E36" s="5" t="n"/>
      <c r="F36" s="5" t="n"/>
      <c r="G36" s="5" t="n"/>
      <c r="H36" s="5" t="n"/>
      <c r="I36" s="5" t="n"/>
      <c r="J36" s="5" t="n"/>
    </row>
    <row r="37">
      <c r="A37" s="15" t="inlineStr">
        <is>
          <t>DEV-033</t>
        </is>
      </c>
      <c r="B37" s="5" t="n"/>
      <c r="C37" s="5" t="n"/>
      <c r="D37" s="5" t="n"/>
      <c r="E37" s="5" t="n"/>
      <c r="F37" s="5" t="n"/>
      <c r="G37" s="5" t="n"/>
      <c r="H37" s="5" t="n"/>
      <c r="I37" s="5" t="n"/>
      <c r="J37" s="5" t="n"/>
    </row>
    <row r="38">
      <c r="A38" s="15" t="inlineStr">
        <is>
          <t>DEV-034</t>
        </is>
      </c>
      <c r="B38" s="5" t="n"/>
      <c r="C38" s="5" t="n"/>
      <c r="D38" s="5" t="n"/>
      <c r="E38" s="5" t="n"/>
      <c r="F38" s="5" t="n"/>
      <c r="G38" s="5" t="n"/>
      <c r="H38" s="5" t="n"/>
      <c r="I38" s="5" t="n"/>
      <c r="J38" s="5" t="n"/>
    </row>
    <row r="39">
      <c r="A39" s="15" t="inlineStr">
        <is>
          <t>DEV-035</t>
        </is>
      </c>
      <c r="B39" s="5" t="n"/>
      <c r="C39" s="5" t="n"/>
      <c r="D39" s="5" t="n"/>
      <c r="E39" s="5" t="n"/>
      <c r="F39" s="5" t="n"/>
      <c r="G39" s="5" t="n"/>
      <c r="H39" s="5" t="n"/>
      <c r="I39" s="5" t="n"/>
      <c r="J39" s="5" t="n"/>
    </row>
    <row r="40">
      <c r="A40" s="15" t="inlineStr">
        <is>
          <t>DEV-036</t>
        </is>
      </c>
      <c r="B40" s="5" t="n"/>
      <c r="C40" s="5" t="n"/>
      <c r="D40" s="5" t="n"/>
      <c r="E40" s="5" t="n"/>
      <c r="F40" s="5" t="n"/>
      <c r="G40" s="5" t="n"/>
      <c r="H40" s="5" t="n"/>
      <c r="I40" s="5" t="n"/>
      <c r="J40" s="5" t="n"/>
    </row>
    <row r="41">
      <c r="A41" s="15" t="inlineStr">
        <is>
          <t>DEV-037</t>
        </is>
      </c>
      <c r="B41" s="5" t="n"/>
      <c r="C41" s="5" t="n"/>
      <c r="D41" s="5" t="n"/>
      <c r="E41" s="5" t="n"/>
      <c r="F41" s="5" t="n"/>
      <c r="G41" s="5" t="n"/>
      <c r="H41" s="5" t="n"/>
      <c r="I41" s="5" t="n"/>
      <c r="J41" s="5" t="n"/>
    </row>
    <row r="42">
      <c r="A42" s="15" t="inlineStr">
        <is>
          <t>DEV-038</t>
        </is>
      </c>
      <c r="B42" s="5" t="n"/>
      <c r="C42" s="5" t="n"/>
      <c r="D42" s="5" t="n"/>
      <c r="E42" s="5" t="n"/>
      <c r="F42" s="5" t="n"/>
      <c r="G42" s="5" t="n"/>
      <c r="H42" s="5" t="n"/>
      <c r="I42" s="5" t="n"/>
      <c r="J42" s="5" t="n"/>
    </row>
    <row r="43">
      <c r="A43" s="15" t="inlineStr">
        <is>
          <t>DEV-039</t>
        </is>
      </c>
      <c r="B43" s="5" t="n"/>
      <c r="C43" s="5" t="n"/>
      <c r="D43" s="5" t="n"/>
      <c r="E43" s="5" t="n"/>
      <c r="F43" s="5" t="n"/>
      <c r="G43" s="5" t="n"/>
      <c r="H43" s="5" t="n"/>
      <c r="I43" s="5" t="n"/>
      <c r="J43" s="5" t="n"/>
    </row>
    <row r="44">
      <c r="A44" s="15" t="inlineStr">
        <is>
          <t>DEV-040</t>
        </is>
      </c>
      <c r="B44" s="5" t="n"/>
      <c r="C44" s="5" t="n"/>
      <c r="D44" s="5" t="n"/>
      <c r="E44" s="5" t="n"/>
      <c r="F44" s="5" t="n"/>
      <c r="G44" s="5" t="n"/>
      <c r="H44" s="5" t="n"/>
      <c r="I44" s="5" t="n"/>
      <c r="J44" s="5" t="n"/>
    </row>
    <row r="45">
      <c r="A45" s="15" t="inlineStr">
        <is>
          <t>DEV-041</t>
        </is>
      </c>
      <c r="B45" s="5" t="n"/>
      <c r="C45" s="5" t="n"/>
      <c r="D45" s="5" t="n"/>
      <c r="E45" s="5" t="n"/>
      <c r="F45" s="5" t="n"/>
      <c r="G45" s="5" t="n"/>
      <c r="H45" s="5" t="n"/>
      <c r="I45" s="5" t="n"/>
      <c r="J45" s="5" t="n"/>
    </row>
    <row r="46">
      <c r="A46" s="15" t="inlineStr">
        <is>
          <t>DEV-042</t>
        </is>
      </c>
      <c r="B46" s="5" t="n"/>
      <c r="C46" s="5" t="n"/>
      <c r="D46" s="5" t="n"/>
      <c r="E46" s="5" t="n"/>
      <c r="F46" s="5" t="n"/>
      <c r="G46" s="5" t="n"/>
      <c r="H46" s="5" t="n"/>
      <c r="I46" s="5" t="n"/>
      <c r="J46" s="5" t="n"/>
    </row>
    <row r="47">
      <c r="A47" s="15" t="inlineStr">
        <is>
          <t>DEV-043</t>
        </is>
      </c>
      <c r="B47" s="5" t="n"/>
      <c r="C47" s="5" t="n"/>
      <c r="D47" s="5" t="n"/>
      <c r="E47" s="5" t="n"/>
      <c r="F47" s="5" t="n"/>
      <c r="G47" s="5" t="n"/>
      <c r="H47" s="5" t="n"/>
      <c r="I47" s="5" t="n"/>
      <c r="J47" s="5" t="n"/>
    </row>
    <row r="48">
      <c r="A48" s="15" t="inlineStr">
        <is>
          <t>DEV-044</t>
        </is>
      </c>
      <c r="B48" s="5" t="n"/>
      <c r="C48" s="5" t="n"/>
      <c r="D48" s="5" t="n"/>
      <c r="E48" s="5" t="n"/>
      <c r="F48" s="5" t="n"/>
      <c r="G48" s="5" t="n"/>
      <c r="H48" s="5" t="n"/>
      <c r="I48" s="5" t="n"/>
      <c r="J48" s="5" t="n"/>
    </row>
    <row r="49">
      <c r="A49" s="15" t="inlineStr">
        <is>
          <t>DEV-045</t>
        </is>
      </c>
      <c r="B49" s="5" t="n"/>
      <c r="C49" s="5" t="n"/>
      <c r="D49" s="5" t="n"/>
      <c r="E49" s="5" t="n"/>
      <c r="F49" s="5" t="n"/>
      <c r="G49" s="5" t="n"/>
      <c r="H49" s="5" t="n"/>
      <c r="I49" s="5" t="n"/>
      <c r="J49" s="5" t="n"/>
    </row>
    <row r="50">
      <c r="A50" s="15" t="inlineStr">
        <is>
          <t>DEV-046</t>
        </is>
      </c>
      <c r="B50" s="5" t="n"/>
      <c r="C50" s="5" t="n"/>
      <c r="D50" s="5" t="n"/>
      <c r="E50" s="5" t="n"/>
      <c r="F50" s="5" t="n"/>
      <c r="G50" s="5" t="n"/>
      <c r="H50" s="5" t="n"/>
      <c r="I50" s="5" t="n"/>
      <c r="J50" s="5" t="n"/>
    </row>
    <row r="51">
      <c r="A51" s="15" t="inlineStr">
        <is>
          <t>DEV-047</t>
        </is>
      </c>
      <c r="B51" s="5" t="n"/>
      <c r="C51" s="5" t="n"/>
      <c r="D51" s="5" t="n"/>
      <c r="E51" s="5" t="n"/>
      <c r="F51" s="5" t="n"/>
      <c r="G51" s="5" t="n"/>
      <c r="H51" s="5" t="n"/>
      <c r="I51" s="5" t="n"/>
      <c r="J51" s="5" t="n"/>
    </row>
    <row r="52">
      <c r="A52" s="15" t="inlineStr">
        <is>
          <t>DEV-048</t>
        </is>
      </c>
      <c r="B52" s="5" t="n"/>
      <c r="C52" s="5" t="n"/>
      <c r="D52" s="5" t="n"/>
      <c r="E52" s="5" t="n"/>
      <c r="F52" s="5" t="n"/>
      <c r="G52" s="5" t="n"/>
      <c r="H52" s="5" t="n"/>
      <c r="I52" s="5" t="n"/>
      <c r="J52" s="5" t="n"/>
    </row>
    <row r="53">
      <c r="A53" s="15" t="inlineStr">
        <is>
          <t>DEV-049</t>
        </is>
      </c>
      <c r="B53" s="5" t="n"/>
      <c r="C53" s="5" t="n"/>
      <c r="D53" s="5" t="n"/>
      <c r="E53" s="5" t="n"/>
      <c r="F53" s="5" t="n"/>
      <c r="G53" s="5" t="n"/>
      <c r="H53" s="5" t="n"/>
      <c r="I53" s="5" t="n"/>
      <c r="J53" s="5" t="n"/>
    </row>
    <row r="54">
      <c r="A54" s="15" t="inlineStr">
        <is>
          <t>DEV-050</t>
        </is>
      </c>
      <c r="B54" s="5" t="n"/>
      <c r="C54" s="5" t="n"/>
      <c r="D54" s="5" t="n"/>
      <c r="E54" s="5" t="n"/>
      <c r="F54" s="5" t="n"/>
      <c r="G54" s="5" t="n"/>
      <c r="H54" s="5" t="n"/>
      <c r="I54" s="5" t="n"/>
      <c r="J54" s="5" t="n"/>
    </row>
    <row r="55">
      <c r="A55" s="15" t="inlineStr">
        <is>
          <t>DEV-051</t>
        </is>
      </c>
      <c r="B55" s="5" t="n"/>
      <c r="C55" s="5" t="n"/>
      <c r="D55" s="5" t="n"/>
      <c r="E55" s="5" t="n"/>
      <c r="F55" s="5" t="n"/>
      <c r="G55" s="5" t="n"/>
      <c r="H55" s="5" t="n"/>
      <c r="I55" s="5" t="n"/>
      <c r="J55" s="5" t="n"/>
    </row>
    <row r="56">
      <c r="A56" s="15" t="inlineStr">
        <is>
          <t>DEV-052</t>
        </is>
      </c>
      <c r="B56" s="5" t="n"/>
      <c r="C56" s="5" t="n"/>
      <c r="D56" s="5" t="n"/>
      <c r="E56" s="5" t="n"/>
      <c r="F56" s="5" t="n"/>
      <c r="G56" s="5" t="n"/>
      <c r="H56" s="5" t="n"/>
      <c r="I56" s="5" t="n"/>
      <c r="J56" s="5" t="n"/>
    </row>
    <row r="57">
      <c r="A57" s="15" t="inlineStr">
        <is>
          <t>DEV-053</t>
        </is>
      </c>
      <c r="B57" s="5" t="n"/>
      <c r="C57" s="5" t="n"/>
      <c r="D57" s="5" t="n"/>
      <c r="E57" s="5" t="n"/>
      <c r="F57" s="5" t="n"/>
      <c r="G57" s="5" t="n"/>
      <c r="H57" s="5" t="n"/>
      <c r="I57" s="5" t="n"/>
      <c r="J57" s="5" t="n"/>
    </row>
    <row r="58">
      <c r="A58" s="15" t="inlineStr">
        <is>
          <t>DEV-054</t>
        </is>
      </c>
      <c r="B58" s="5" t="n"/>
      <c r="C58" s="5" t="n"/>
      <c r="D58" s="5" t="n"/>
      <c r="E58" s="5" t="n"/>
      <c r="F58" s="5" t="n"/>
      <c r="G58" s="5" t="n"/>
      <c r="H58" s="5" t="n"/>
      <c r="I58" s="5" t="n"/>
      <c r="J58" s="5" t="n"/>
    </row>
    <row r="59">
      <c r="A59" s="15" t="inlineStr">
        <is>
          <t>DEV-055</t>
        </is>
      </c>
      <c r="B59" s="5" t="n"/>
      <c r="C59" s="5" t="n"/>
      <c r="D59" s="5" t="n"/>
      <c r="E59" s="5" t="n"/>
      <c r="F59" s="5" t="n"/>
      <c r="G59" s="5" t="n"/>
      <c r="H59" s="5" t="n"/>
      <c r="I59" s="5" t="n"/>
      <c r="J59" s="5" t="n"/>
    </row>
    <row r="60">
      <c r="A60" s="15" t="inlineStr">
        <is>
          <t>DEV-056</t>
        </is>
      </c>
      <c r="B60" s="5" t="n"/>
      <c r="C60" s="5" t="n"/>
      <c r="D60" s="5" t="n"/>
      <c r="E60" s="5" t="n"/>
      <c r="F60" s="5" t="n"/>
      <c r="G60" s="5" t="n"/>
      <c r="H60" s="5" t="n"/>
      <c r="I60" s="5" t="n"/>
      <c r="J60" s="5" t="n"/>
    </row>
    <row r="61">
      <c r="A61" s="15" t="inlineStr">
        <is>
          <t>DEV-057</t>
        </is>
      </c>
      <c r="B61" s="5" t="n"/>
      <c r="C61" s="5" t="n"/>
      <c r="D61" s="5" t="n"/>
      <c r="E61" s="5" t="n"/>
      <c r="F61" s="5" t="n"/>
      <c r="G61" s="5" t="n"/>
      <c r="H61" s="5" t="n"/>
      <c r="I61" s="5" t="n"/>
      <c r="J61" s="5" t="n"/>
    </row>
    <row r="62">
      <c r="A62" s="15" t="inlineStr">
        <is>
          <t>DEV-058</t>
        </is>
      </c>
      <c r="B62" s="5" t="n"/>
      <c r="C62" s="5" t="n"/>
      <c r="D62" s="5" t="n"/>
      <c r="E62" s="5" t="n"/>
      <c r="F62" s="5" t="n"/>
      <c r="G62" s="5" t="n"/>
      <c r="H62" s="5" t="n"/>
      <c r="I62" s="5" t="n"/>
      <c r="J62" s="5" t="n"/>
    </row>
    <row r="63">
      <c r="A63" s="15" t="inlineStr">
        <is>
          <t>DEV-059</t>
        </is>
      </c>
      <c r="B63" s="5" t="n"/>
      <c r="C63" s="5" t="n"/>
      <c r="D63" s="5" t="n"/>
      <c r="E63" s="5" t="n"/>
      <c r="F63" s="5" t="n"/>
      <c r="G63" s="5" t="n"/>
      <c r="H63" s="5" t="n"/>
      <c r="I63" s="5" t="n"/>
      <c r="J63" s="5" t="n"/>
    </row>
    <row r="64">
      <c r="A64" s="15" t="inlineStr">
        <is>
          <t>DEV-060</t>
        </is>
      </c>
      <c r="B64" s="5" t="n"/>
      <c r="C64" s="5" t="n"/>
      <c r="D64" s="5" t="n"/>
      <c r="E64" s="5" t="n"/>
      <c r="F64" s="5" t="n"/>
      <c r="G64" s="5" t="n"/>
      <c r="H64" s="5" t="n"/>
      <c r="I64" s="5" t="n"/>
      <c r="J64" s="5" t="n"/>
    </row>
    <row r="65">
      <c r="A65" s="15" t="inlineStr">
        <is>
          <t>DEV-061</t>
        </is>
      </c>
      <c r="B65" s="5" t="n"/>
      <c r="C65" s="5" t="n"/>
      <c r="D65" s="5" t="n"/>
      <c r="E65" s="5" t="n"/>
      <c r="F65" s="5" t="n"/>
      <c r="G65" s="5" t="n"/>
      <c r="H65" s="5" t="n"/>
      <c r="I65" s="5" t="n"/>
      <c r="J65" s="5" t="n"/>
    </row>
    <row r="66">
      <c r="A66" s="15" t="inlineStr">
        <is>
          <t>DEV-062</t>
        </is>
      </c>
      <c r="B66" s="5" t="n"/>
      <c r="C66" s="5" t="n"/>
      <c r="D66" s="5" t="n"/>
      <c r="E66" s="5" t="n"/>
      <c r="F66" s="5" t="n"/>
      <c r="G66" s="5" t="n"/>
      <c r="H66" s="5" t="n"/>
      <c r="I66" s="5" t="n"/>
      <c r="J66" s="5" t="n"/>
    </row>
    <row r="67">
      <c r="A67" s="15" t="inlineStr">
        <is>
          <t>DEV-063</t>
        </is>
      </c>
      <c r="B67" s="5" t="n"/>
      <c r="C67" s="5" t="n"/>
      <c r="D67" s="5" t="n"/>
      <c r="E67" s="5" t="n"/>
      <c r="F67" s="5" t="n"/>
      <c r="G67" s="5" t="n"/>
      <c r="H67" s="5" t="n"/>
      <c r="I67" s="5" t="n"/>
      <c r="J67" s="5" t="n"/>
    </row>
    <row r="68">
      <c r="A68" s="15" t="inlineStr">
        <is>
          <t>DEV-064</t>
        </is>
      </c>
      <c r="B68" s="5" t="n"/>
      <c r="C68" s="5" t="n"/>
      <c r="D68" s="5" t="n"/>
      <c r="E68" s="5" t="n"/>
      <c r="F68" s="5" t="n"/>
      <c r="G68" s="5" t="n"/>
      <c r="H68" s="5" t="n"/>
      <c r="I68" s="5" t="n"/>
      <c r="J68" s="5" t="n"/>
    </row>
    <row r="69">
      <c r="A69" s="15" t="inlineStr">
        <is>
          <t>DEV-065</t>
        </is>
      </c>
      <c r="B69" s="5" t="n"/>
      <c r="C69" s="5" t="n"/>
      <c r="D69" s="5" t="n"/>
      <c r="E69" s="5" t="n"/>
      <c r="F69" s="5" t="n"/>
      <c r="G69" s="5" t="n"/>
      <c r="H69" s="5" t="n"/>
      <c r="I69" s="5" t="n"/>
      <c r="J69" s="5" t="n"/>
    </row>
    <row r="70">
      <c r="A70" s="15" t="inlineStr">
        <is>
          <t>DEV-066</t>
        </is>
      </c>
      <c r="B70" s="5" t="n"/>
      <c r="C70" s="5" t="n"/>
      <c r="D70" s="5" t="n"/>
      <c r="E70" s="5" t="n"/>
      <c r="F70" s="5" t="n"/>
      <c r="G70" s="5" t="n"/>
      <c r="H70" s="5" t="n"/>
      <c r="I70" s="5" t="n"/>
      <c r="J70" s="5" t="n"/>
    </row>
    <row r="71">
      <c r="A71" s="15" t="inlineStr">
        <is>
          <t>DEV-067</t>
        </is>
      </c>
      <c r="B71" s="5" t="n"/>
      <c r="C71" s="5" t="n"/>
      <c r="D71" s="5" t="n"/>
      <c r="E71" s="5" t="n"/>
      <c r="F71" s="5" t="n"/>
      <c r="G71" s="5" t="n"/>
      <c r="H71" s="5" t="n"/>
      <c r="I71" s="5" t="n"/>
      <c r="J71" s="5" t="n"/>
    </row>
    <row r="72">
      <c r="A72" s="15" t="inlineStr">
        <is>
          <t>DEV-068</t>
        </is>
      </c>
      <c r="B72" s="5" t="n"/>
      <c r="C72" s="5" t="n"/>
      <c r="D72" s="5" t="n"/>
      <c r="E72" s="5" t="n"/>
      <c r="F72" s="5" t="n"/>
      <c r="G72" s="5" t="n"/>
      <c r="H72" s="5" t="n"/>
      <c r="I72" s="5" t="n"/>
      <c r="J72" s="5" t="n"/>
    </row>
    <row r="73">
      <c r="A73" s="15" t="inlineStr">
        <is>
          <t>DEV-069</t>
        </is>
      </c>
      <c r="B73" s="5" t="n"/>
      <c r="C73" s="5" t="n"/>
      <c r="D73" s="5" t="n"/>
      <c r="E73" s="5" t="n"/>
      <c r="F73" s="5" t="n"/>
      <c r="G73" s="5" t="n"/>
      <c r="H73" s="5" t="n"/>
      <c r="I73" s="5" t="n"/>
      <c r="J73" s="5" t="n"/>
    </row>
    <row r="74">
      <c r="A74" s="15" t="inlineStr">
        <is>
          <t>DEV-070</t>
        </is>
      </c>
      <c r="B74" s="5" t="n"/>
      <c r="C74" s="5" t="n"/>
      <c r="D74" s="5" t="n"/>
      <c r="E74" s="5" t="n"/>
      <c r="F74" s="5" t="n"/>
      <c r="G74" s="5" t="n"/>
      <c r="H74" s="5" t="n"/>
      <c r="I74" s="5" t="n"/>
      <c r="J74" s="5" t="n"/>
    </row>
    <row r="75">
      <c r="A75" s="15" t="inlineStr">
        <is>
          <t>DEV-071</t>
        </is>
      </c>
      <c r="B75" s="5" t="n"/>
      <c r="C75" s="5" t="n"/>
      <c r="D75" s="5" t="n"/>
      <c r="E75" s="5" t="n"/>
      <c r="F75" s="5" t="n"/>
      <c r="G75" s="5" t="n"/>
      <c r="H75" s="5" t="n"/>
      <c r="I75" s="5" t="n"/>
      <c r="J75" s="5" t="n"/>
    </row>
    <row r="76">
      <c r="A76" s="15" t="inlineStr">
        <is>
          <t>DEV-072</t>
        </is>
      </c>
      <c r="B76" s="5" t="n"/>
      <c r="C76" s="5" t="n"/>
      <c r="D76" s="5" t="n"/>
      <c r="E76" s="5" t="n"/>
      <c r="F76" s="5" t="n"/>
      <c r="G76" s="5" t="n"/>
      <c r="H76" s="5" t="n"/>
      <c r="I76" s="5" t="n"/>
      <c r="J76" s="5" t="n"/>
    </row>
    <row r="77">
      <c r="A77" s="15" t="inlineStr">
        <is>
          <t>DEV-073</t>
        </is>
      </c>
      <c r="B77" s="5" t="n"/>
      <c r="C77" s="5" t="n"/>
      <c r="D77" s="5" t="n"/>
      <c r="E77" s="5" t="n"/>
      <c r="F77" s="5" t="n"/>
      <c r="G77" s="5" t="n"/>
      <c r="H77" s="5" t="n"/>
      <c r="I77" s="5" t="n"/>
      <c r="J77" s="5" t="n"/>
    </row>
    <row r="78">
      <c r="A78" s="15" t="inlineStr">
        <is>
          <t>DEV-074</t>
        </is>
      </c>
      <c r="B78" s="5" t="n"/>
      <c r="C78" s="5" t="n"/>
      <c r="D78" s="5" t="n"/>
      <c r="E78" s="5" t="n"/>
      <c r="F78" s="5" t="n"/>
      <c r="G78" s="5" t="n"/>
      <c r="H78" s="5" t="n"/>
      <c r="I78" s="5" t="n"/>
      <c r="J78" s="5" t="n"/>
    </row>
    <row r="79">
      <c r="A79" s="15" t="inlineStr">
        <is>
          <t>DEV-075</t>
        </is>
      </c>
      <c r="B79" s="5" t="n"/>
      <c r="C79" s="5" t="n"/>
      <c r="D79" s="5" t="n"/>
      <c r="E79" s="5" t="n"/>
      <c r="F79" s="5" t="n"/>
      <c r="G79" s="5" t="n"/>
      <c r="H79" s="5" t="n"/>
      <c r="I79" s="5" t="n"/>
      <c r="J79" s="5" t="n"/>
    </row>
    <row r="80">
      <c r="A80" s="15" t="inlineStr">
        <is>
          <t>DEV-076</t>
        </is>
      </c>
      <c r="B80" s="5" t="n"/>
      <c r="C80" s="5" t="n"/>
      <c r="D80" s="5" t="n"/>
      <c r="E80" s="5" t="n"/>
      <c r="F80" s="5" t="n"/>
      <c r="G80" s="5" t="n"/>
      <c r="H80" s="5" t="n"/>
      <c r="I80" s="5" t="n"/>
      <c r="J80" s="5" t="n"/>
    </row>
    <row r="81">
      <c r="A81" s="15" t="inlineStr">
        <is>
          <t>DEV-077</t>
        </is>
      </c>
      <c r="B81" s="5" t="n"/>
      <c r="C81" s="5" t="n"/>
      <c r="D81" s="5" t="n"/>
      <c r="E81" s="5" t="n"/>
      <c r="F81" s="5" t="n"/>
      <c r="G81" s="5" t="n"/>
      <c r="H81" s="5" t="n"/>
      <c r="I81" s="5" t="n"/>
      <c r="J81" s="5" t="n"/>
    </row>
    <row r="82">
      <c r="A82" s="15" t="inlineStr">
        <is>
          <t>DEV-078</t>
        </is>
      </c>
      <c r="B82" s="5" t="n"/>
      <c r="C82" s="5" t="n"/>
      <c r="D82" s="5" t="n"/>
      <c r="E82" s="5" t="n"/>
      <c r="F82" s="5" t="n"/>
      <c r="G82" s="5" t="n"/>
      <c r="H82" s="5" t="n"/>
      <c r="I82" s="5" t="n"/>
      <c r="J82" s="5" t="n"/>
    </row>
    <row r="83">
      <c r="A83" s="15" t="inlineStr">
        <is>
          <t>DEV-079</t>
        </is>
      </c>
      <c r="B83" s="5" t="n"/>
      <c r="C83" s="5" t="n"/>
      <c r="D83" s="5" t="n"/>
      <c r="E83" s="5" t="n"/>
      <c r="F83" s="5" t="n"/>
      <c r="G83" s="5" t="n"/>
      <c r="H83" s="5" t="n"/>
      <c r="I83" s="5" t="n"/>
      <c r="J83" s="5" t="n"/>
    </row>
    <row r="84">
      <c r="A84" s="15" t="inlineStr">
        <is>
          <t>DEV-080</t>
        </is>
      </c>
      <c r="B84" s="5" t="n"/>
      <c r="C84" s="5" t="n"/>
      <c r="D84" s="5" t="n"/>
      <c r="E84" s="5" t="n"/>
      <c r="F84" s="5" t="n"/>
      <c r="G84" s="5" t="n"/>
      <c r="H84" s="5" t="n"/>
      <c r="I84" s="5" t="n"/>
      <c r="J84" s="5" t="n"/>
    </row>
    <row r="85">
      <c r="A85" s="15" t="inlineStr">
        <is>
          <t>DEV-081</t>
        </is>
      </c>
      <c r="B85" s="5" t="n"/>
      <c r="C85" s="5" t="n"/>
      <c r="D85" s="5" t="n"/>
      <c r="E85" s="5" t="n"/>
      <c r="F85" s="5" t="n"/>
      <c r="G85" s="5" t="n"/>
      <c r="H85" s="5" t="n"/>
      <c r="I85" s="5" t="n"/>
      <c r="J85" s="5" t="n"/>
    </row>
    <row r="86">
      <c r="A86" s="15" t="inlineStr">
        <is>
          <t>DEV-082</t>
        </is>
      </c>
      <c r="B86" s="5" t="n"/>
      <c r="C86" s="5" t="n"/>
      <c r="D86" s="5" t="n"/>
      <c r="E86" s="5" t="n"/>
      <c r="F86" s="5" t="n"/>
      <c r="G86" s="5" t="n"/>
      <c r="H86" s="5" t="n"/>
      <c r="I86" s="5" t="n"/>
      <c r="J86" s="5" t="n"/>
    </row>
    <row r="87">
      <c r="A87" s="15" t="inlineStr">
        <is>
          <t>DEV-083</t>
        </is>
      </c>
      <c r="B87" s="5" t="n"/>
      <c r="C87" s="5" t="n"/>
      <c r="D87" s="5" t="n"/>
      <c r="E87" s="5" t="n"/>
      <c r="F87" s="5" t="n"/>
      <c r="G87" s="5" t="n"/>
      <c r="H87" s="5" t="n"/>
      <c r="I87" s="5" t="n"/>
      <c r="J87" s="5" t="n"/>
    </row>
    <row r="88">
      <c r="A88" s="15" t="inlineStr">
        <is>
          <t>DEV-084</t>
        </is>
      </c>
      <c r="B88" s="5" t="n"/>
      <c r="C88" s="5" t="n"/>
      <c r="D88" s="5" t="n"/>
      <c r="E88" s="5" t="n"/>
      <c r="F88" s="5" t="n"/>
      <c r="G88" s="5" t="n"/>
      <c r="H88" s="5" t="n"/>
      <c r="I88" s="5" t="n"/>
      <c r="J88" s="5" t="n"/>
    </row>
    <row r="89">
      <c r="A89" s="15" t="inlineStr">
        <is>
          <t>DEV-085</t>
        </is>
      </c>
      <c r="B89" s="5" t="n"/>
      <c r="C89" s="5" t="n"/>
      <c r="D89" s="5" t="n"/>
      <c r="E89" s="5" t="n"/>
      <c r="F89" s="5" t="n"/>
      <c r="G89" s="5" t="n"/>
      <c r="H89" s="5" t="n"/>
      <c r="I89" s="5" t="n"/>
      <c r="J89" s="5" t="n"/>
    </row>
    <row r="90">
      <c r="A90" s="15" t="inlineStr">
        <is>
          <t>DEV-086</t>
        </is>
      </c>
      <c r="B90" s="5" t="n"/>
      <c r="C90" s="5" t="n"/>
      <c r="D90" s="5" t="n"/>
      <c r="E90" s="5" t="n"/>
      <c r="F90" s="5" t="n"/>
      <c r="G90" s="5" t="n"/>
      <c r="H90" s="5" t="n"/>
      <c r="I90" s="5" t="n"/>
      <c r="J90" s="5" t="n"/>
    </row>
    <row r="91">
      <c r="A91" s="15" t="inlineStr">
        <is>
          <t>DEV-087</t>
        </is>
      </c>
      <c r="B91" s="5" t="n"/>
      <c r="C91" s="5" t="n"/>
      <c r="D91" s="5" t="n"/>
      <c r="E91" s="5" t="n"/>
      <c r="F91" s="5" t="n"/>
      <c r="G91" s="5" t="n"/>
      <c r="H91" s="5" t="n"/>
      <c r="I91" s="5" t="n"/>
      <c r="J91" s="5" t="n"/>
    </row>
    <row r="92">
      <c r="A92" s="15" t="inlineStr">
        <is>
          <t>DEV-088</t>
        </is>
      </c>
      <c r="B92" s="5" t="n"/>
      <c r="C92" s="5" t="n"/>
      <c r="D92" s="5" t="n"/>
      <c r="E92" s="5" t="n"/>
      <c r="F92" s="5" t="n"/>
      <c r="G92" s="5" t="n"/>
      <c r="H92" s="5" t="n"/>
      <c r="I92" s="5" t="n"/>
      <c r="J92" s="5" t="n"/>
    </row>
    <row r="93">
      <c r="A93" s="15" t="inlineStr">
        <is>
          <t>DEV-089</t>
        </is>
      </c>
      <c r="B93" s="5" t="n"/>
      <c r="C93" s="5" t="n"/>
      <c r="D93" s="5" t="n"/>
      <c r="E93" s="5" t="n"/>
      <c r="F93" s="5" t="n"/>
      <c r="G93" s="5" t="n"/>
      <c r="H93" s="5" t="n"/>
      <c r="I93" s="5" t="n"/>
      <c r="J93" s="5" t="n"/>
    </row>
    <row r="94">
      <c r="A94" s="15" t="inlineStr">
        <is>
          <t>DEV-090</t>
        </is>
      </c>
      <c r="B94" s="5" t="n"/>
      <c r="C94" s="5" t="n"/>
      <c r="D94" s="5" t="n"/>
      <c r="E94" s="5" t="n"/>
      <c r="F94" s="5" t="n"/>
      <c r="G94" s="5" t="n"/>
      <c r="H94" s="5" t="n"/>
      <c r="I94" s="5" t="n"/>
      <c r="J94" s="5" t="n"/>
    </row>
    <row r="95">
      <c r="A95" s="15" t="inlineStr">
        <is>
          <t>DEV-091</t>
        </is>
      </c>
      <c r="B95" s="5" t="n"/>
      <c r="C95" s="5" t="n"/>
      <c r="D95" s="5" t="n"/>
      <c r="E95" s="5" t="n"/>
      <c r="F95" s="5" t="n"/>
      <c r="G95" s="5" t="n"/>
      <c r="H95" s="5" t="n"/>
      <c r="I95" s="5" t="n"/>
      <c r="J95" s="5" t="n"/>
    </row>
    <row r="96">
      <c r="A96" s="15" t="inlineStr">
        <is>
          <t>DEV-092</t>
        </is>
      </c>
      <c r="B96" s="5" t="n"/>
      <c r="C96" s="5" t="n"/>
      <c r="D96" s="5" t="n"/>
      <c r="E96" s="5" t="n"/>
      <c r="F96" s="5" t="n"/>
      <c r="G96" s="5" t="n"/>
      <c r="H96" s="5" t="n"/>
      <c r="I96" s="5" t="n"/>
      <c r="J96" s="5" t="n"/>
    </row>
    <row r="97">
      <c r="A97" s="15" t="inlineStr">
        <is>
          <t>DEV-093</t>
        </is>
      </c>
      <c r="B97" s="5" t="n"/>
      <c r="C97" s="5" t="n"/>
      <c r="D97" s="5" t="n"/>
      <c r="E97" s="5" t="n"/>
      <c r="F97" s="5" t="n"/>
      <c r="G97" s="5" t="n"/>
      <c r="H97" s="5" t="n"/>
      <c r="I97" s="5" t="n"/>
      <c r="J97" s="5" t="n"/>
    </row>
    <row r="98">
      <c r="A98" s="15" t="inlineStr">
        <is>
          <t>DEV-094</t>
        </is>
      </c>
      <c r="B98" s="5" t="n"/>
      <c r="C98" s="5" t="n"/>
      <c r="D98" s="5" t="n"/>
      <c r="E98" s="5" t="n"/>
      <c r="F98" s="5" t="n"/>
      <c r="G98" s="5" t="n"/>
      <c r="H98" s="5" t="n"/>
      <c r="I98" s="5" t="n"/>
      <c r="J98" s="5" t="n"/>
    </row>
    <row r="99">
      <c r="A99" s="15" t="inlineStr">
        <is>
          <t>DEV-095</t>
        </is>
      </c>
      <c r="B99" s="5" t="n"/>
      <c r="C99" s="5" t="n"/>
      <c r="D99" s="5" t="n"/>
      <c r="E99" s="5" t="n"/>
      <c r="F99" s="5" t="n"/>
      <c r="G99" s="5" t="n"/>
      <c r="H99" s="5" t="n"/>
      <c r="I99" s="5" t="n"/>
      <c r="J99" s="5" t="n"/>
    </row>
    <row r="100">
      <c r="A100" s="15" t="inlineStr">
        <is>
          <t>DEV-096</t>
        </is>
      </c>
      <c r="B100" s="5" t="n"/>
      <c r="C100" s="5" t="n"/>
      <c r="D100" s="5" t="n"/>
      <c r="E100" s="5" t="n"/>
      <c r="F100" s="5" t="n"/>
      <c r="G100" s="5" t="n"/>
      <c r="H100" s="5" t="n"/>
      <c r="I100" s="5" t="n"/>
      <c r="J100" s="5" t="n"/>
    </row>
    <row r="101">
      <c r="A101" s="15" t="inlineStr">
        <is>
          <t>DEV-097</t>
        </is>
      </c>
      <c r="B101" s="5" t="n"/>
      <c r="C101" s="5" t="n"/>
      <c r="D101" s="5" t="n"/>
      <c r="E101" s="5" t="n"/>
      <c r="F101" s="5" t="n"/>
      <c r="G101" s="5" t="n"/>
      <c r="H101" s="5" t="n"/>
      <c r="I101" s="5" t="n"/>
      <c r="J101" s="5" t="n"/>
    </row>
    <row r="102">
      <c r="A102" s="15" t="inlineStr">
        <is>
          <t>DEV-098</t>
        </is>
      </c>
      <c r="B102" s="5" t="n"/>
      <c r="C102" s="5" t="n"/>
      <c r="D102" s="5" t="n"/>
      <c r="E102" s="5" t="n"/>
      <c r="F102" s="5" t="n"/>
      <c r="G102" s="5" t="n"/>
      <c r="H102" s="5" t="n"/>
      <c r="I102" s="5" t="n"/>
      <c r="J102" s="5" t="n"/>
    </row>
    <row r="103">
      <c r="A103" s="15" t="inlineStr">
        <is>
          <t>DEV-099</t>
        </is>
      </c>
      <c r="B103" s="5" t="n"/>
      <c r="C103" s="5" t="n"/>
      <c r="D103" s="5" t="n"/>
      <c r="E103" s="5" t="n"/>
      <c r="F103" s="5" t="n"/>
      <c r="G103" s="5" t="n"/>
      <c r="H103" s="5" t="n"/>
      <c r="I103" s="5" t="n"/>
      <c r="J103" s="5" t="n"/>
    </row>
    <row r="104">
      <c r="A104" s="15" t="inlineStr">
        <is>
          <t>DEV-100</t>
        </is>
      </c>
      <c r="B104" s="5" t="n"/>
      <c r="C104" s="5" t="n"/>
      <c r="D104" s="5" t="n"/>
      <c r="E104" s="5" t="n"/>
      <c r="F104" s="5" t="n"/>
      <c r="G104" s="5" t="n"/>
      <c r="H104" s="5" t="n"/>
      <c r="I104" s="5" t="n"/>
      <c r="J104" s="5" t="n"/>
    </row>
    <row r="107">
      <c r="A107" s="18" t="inlineStr">
        <is>
          <t>DEVICE SUMMARY BY TYPE</t>
        </is>
      </c>
    </row>
    <row r="108">
      <c r="A108" s="8" t="inlineStr">
        <is>
          <t>Device Type</t>
        </is>
      </c>
      <c r="B108" s="8" t="inlineStr">
        <is>
          <t>Total</t>
        </is>
      </c>
      <c r="C108" s="8" t="inlineStr">
        <is>
          <t>Protected</t>
        </is>
      </c>
      <c r="D108" s="8" t="inlineStr">
        <is>
          <t>Unprotected</t>
        </is>
      </c>
      <c r="E108" s="8" t="inlineStr">
        <is>
          <t>Coverage %</t>
        </is>
      </c>
    </row>
    <row r="109">
      <c r="A109" s="4" t="inlineStr">
        <is>
          <t>Laptop</t>
        </is>
      </c>
      <c r="B109" s="20">
        <f>COUNTIF(B5:B104,"Laptop")</f>
        <v/>
      </c>
      <c r="C109" s="20">
        <f>COUNTIFS(B5:B104,"Laptop",H5:H104,"✅ Protected")</f>
        <v/>
      </c>
      <c r="D109" s="20">
        <f>COUNTIFS(B5:B104,"Laptop",H5:H104,"❌ Unprotected")</f>
        <v/>
      </c>
      <c r="E109" s="20">
        <f>IF(B109=0,0,C109/B109*100)&amp;"%"</f>
        <v/>
      </c>
    </row>
    <row r="110">
      <c r="A110" s="4" t="inlineStr">
        <is>
          <t>Desktop</t>
        </is>
      </c>
      <c r="B110" s="20">
        <f>COUNTIF(B5:B104,"Desktop")</f>
        <v/>
      </c>
      <c r="C110" s="20">
        <f>COUNTIFS(B5:B104,"Desktop",H5:H104,"✅ Protected")</f>
        <v/>
      </c>
      <c r="D110" s="20">
        <f>COUNTIFS(B5:B104,"Desktop",H5:H104,"❌ Unprotected")</f>
        <v/>
      </c>
      <c r="E110" s="20">
        <f>IF(B110=0,0,C110/B110*100)&amp;"%"</f>
        <v/>
      </c>
    </row>
    <row r="111">
      <c r="A111" s="4" t="inlineStr">
        <is>
          <t>Smartphone</t>
        </is>
      </c>
      <c r="B111" s="20">
        <f>COUNTIF(B5:B104,"Smartphone")</f>
        <v/>
      </c>
      <c r="C111" s="20">
        <f>COUNTIFS(B5:B104,"Smartphone",H5:H104,"✅ Protected")</f>
        <v/>
      </c>
      <c r="D111" s="20">
        <f>COUNTIFS(B5:B104,"Smartphone",H5:H104,"❌ Unprotected")</f>
        <v/>
      </c>
      <c r="E111" s="20">
        <f>IF(B111=0,0,C111/B111*100)&amp;"%"</f>
        <v/>
      </c>
    </row>
    <row r="112">
      <c r="A112" s="4" t="inlineStr">
        <is>
          <t>Tablet</t>
        </is>
      </c>
      <c r="B112" s="20">
        <f>COUNTIF(B5:B104,"Tablet")</f>
        <v/>
      </c>
      <c r="C112" s="20">
        <f>COUNTIFS(B5:B104,"Tablet",H5:H104,"✅ Protected")</f>
        <v/>
      </c>
      <c r="D112" s="20">
        <f>COUNTIFS(B5:B104,"Tablet",H5:H104,"❌ Unprotected")</f>
        <v/>
      </c>
      <c r="E112" s="20">
        <f>IF(B112=0,0,C112/B112*100)&amp;"%"</f>
        <v/>
      </c>
    </row>
    <row r="113">
      <c r="A113" s="4" t="inlineStr">
        <is>
          <t>Virtual Desktop</t>
        </is>
      </c>
      <c r="B113" s="20">
        <f>COUNTIF(B5:B104,"Virtual Desktop")</f>
        <v/>
      </c>
      <c r="C113" s="20">
        <f>COUNTIFS(B5:B104,"Virtual Desktop",H5:H104,"✅ Protected")</f>
        <v/>
      </c>
      <c r="D113" s="20">
        <f>COUNTIFS(B5:B104,"Virtual Desktop",H5:H104,"❌ Unprotected")</f>
        <v/>
      </c>
      <c r="E113" s="20">
        <f>IF(B113=0,0,C113/B113*100)&amp;"%"</f>
        <v/>
      </c>
    </row>
    <row r="114">
      <c r="A114" s="4" t="inlineStr">
        <is>
          <t>Other</t>
        </is>
      </c>
      <c r="B114" s="20">
        <f>COUNTIF(B5:B104,"Other")</f>
        <v/>
      </c>
      <c r="C114" s="20">
        <f>COUNTIFS(B5:B104,"Other",H5:H104,"✅ Protected")</f>
        <v/>
      </c>
      <c r="D114" s="20">
        <f>COUNTIFS(B5:B104,"Other",H5:H104,"❌ Unprotected")</f>
        <v/>
      </c>
      <c r="E114" s="20">
        <f>IF(B114=0,0,C114/B114*100)&amp;"%"</f>
        <v/>
      </c>
    </row>
  </sheetData>
  <mergeCells count="3">
    <mergeCell ref="A107:J107"/>
    <mergeCell ref="A1:J1"/>
    <mergeCell ref="A2:J2"/>
  </mergeCells>
  <dataValidations count="3">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Protected,⚠️ Partial,❌ Unprotected,🔄 Planned,🚫 Exempt"</formula1>
    </dataValidation>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"Laptop,Desktop,Smartphone,Tablet,Virtual Desktop,Other"</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"Yes (endpoint agent),No (network-based),Hybrid"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6"/>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0" customWidth="1" min="3" max="3"/>
    <col width="35" customWidth="1" min="4" max="4"/>
    <col width="30" customWidth="1" min="5" max="5"/>
    <col width="30" customWidth="1" min="6" max="6"/>
    <col width="20" customWidth="1" min="7" max="7"/>
    <col width="15" customWidth="1" min="8" max="8"/>
    <col width="15" customWidth="1" min="9" max="9"/>
    <col width="15" customWidth="1" min="10" max="10"/>
    <col width="30" customWidth="1" min="11" max="11"/>
  </cols>
  <sheetData>
    <row r="1" ht="30" customHeight="1">
      <c r="A1" s="1" t="inlineStr">
        <is>
          <t>FILTERING EXEMPTION REGISTER</t>
        </is>
      </c>
    </row>
    <row r="2">
      <c r="A2" s="2" t="inlineStr">
        <is>
          <t>Document approved exceptions to web filtering requirements</t>
        </is>
      </c>
    </row>
    <row r="4">
      <c r="A4" s="14" t="inlineStr">
        <is>
          <t>Exemption ID</t>
        </is>
      </c>
      <c r="B4" s="14" t="inlineStr">
        <is>
          <t>Segment/Device</t>
        </is>
      </c>
      <c r="C4" s="14" t="inlineStr">
        <is>
          <t>Exemption Type</t>
        </is>
      </c>
      <c r="D4" s="14" t="inlineStr">
        <is>
          <t>Business Justification</t>
        </is>
      </c>
      <c r="E4" s="14" t="inlineStr">
        <is>
          <t>Risk Assessment</t>
        </is>
      </c>
      <c r="F4" s="14" t="inlineStr">
        <is>
          <t>Compensating Controls</t>
        </is>
      </c>
      <c r="G4" s="14" t="inlineStr">
        <is>
          <t>Approved By</t>
        </is>
      </c>
      <c r="H4" s="14" t="inlineStr">
        <is>
          <t>Approval Date</t>
        </is>
      </c>
      <c r="I4" s="14" t="inlineStr">
        <is>
          <t>Review Date</t>
        </is>
      </c>
      <c r="J4" s="14" t="inlineStr">
        <is>
          <t>Status</t>
        </is>
      </c>
      <c r="K4" s="14" t="inlineStr">
        <is>
          <t>Evidence</t>
        </is>
      </c>
    </row>
    <row r="5">
      <c r="A5" s="15" t="inlineStr">
        <is>
          <t>EXM-001</t>
        </is>
      </c>
      <c r="B5" s="5" t="n"/>
      <c r="C5" s="5" t="n"/>
      <c r="D5" s="5" t="n"/>
      <c r="E5" s="5" t="n"/>
      <c r="F5" s="5" t="n"/>
      <c r="G5" s="5" t="n"/>
      <c r="H5" s="5" t="n"/>
      <c r="I5" s="5" t="n"/>
      <c r="J5" s="5" t="n"/>
      <c r="K5" s="5" t="n"/>
    </row>
    <row r="6">
      <c r="A6" s="15" t="inlineStr">
        <is>
          <t>EXM-002</t>
        </is>
      </c>
      <c r="B6" s="5" t="n"/>
      <c r="C6" s="5" t="n"/>
      <c r="D6" s="5" t="n"/>
      <c r="E6" s="5" t="n"/>
      <c r="F6" s="5" t="n"/>
      <c r="G6" s="5" t="n"/>
      <c r="H6" s="5" t="n"/>
      <c r="I6" s="5" t="n"/>
      <c r="J6" s="5" t="n"/>
      <c r="K6" s="5" t="n"/>
    </row>
    <row r="7">
      <c r="A7" s="15" t="inlineStr">
        <is>
          <t>EXM-003</t>
        </is>
      </c>
      <c r="B7" s="5" t="n"/>
      <c r="C7" s="5" t="n"/>
      <c r="D7" s="5" t="n"/>
      <c r="E7" s="5" t="n"/>
      <c r="F7" s="5" t="n"/>
      <c r="G7" s="5" t="n"/>
      <c r="H7" s="5" t="n"/>
      <c r="I7" s="5" t="n"/>
      <c r="J7" s="5" t="n"/>
      <c r="K7" s="5" t="n"/>
    </row>
    <row r="8">
      <c r="A8" s="15" t="inlineStr">
        <is>
          <t>EXM-004</t>
        </is>
      </c>
      <c r="B8" s="5" t="n"/>
      <c r="C8" s="5" t="n"/>
      <c r="D8" s="5" t="n"/>
      <c r="E8" s="5" t="n"/>
      <c r="F8" s="5" t="n"/>
      <c r="G8" s="5" t="n"/>
      <c r="H8" s="5" t="n"/>
      <c r="I8" s="5" t="n"/>
      <c r="J8" s="5" t="n"/>
      <c r="K8" s="5" t="n"/>
    </row>
    <row r="9">
      <c r="A9" s="15" t="inlineStr">
        <is>
          <t>EXM-005</t>
        </is>
      </c>
      <c r="B9" s="5" t="n"/>
      <c r="C9" s="5" t="n"/>
      <c r="D9" s="5" t="n"/>
      <c r="E9" s="5" t="n"/>
      <c r="F9" s="5" t="n"/>
      <c r="G9" s="5" t="n"/>
      <c r="H9" s="5" t="n"/>
      <c r="I9" s="5" t="n"/>
      <c r="J9" s="5" t="n"/>
      <c r="K9" s="5" t="n"/>
    </row>
    <row r="10">
      <c r="A10" s="15" t="inlineStr">
        <is>
          <t>EXM-006</t>
        </is>
      </c>
      <c r="B10" s="5" t="n"/>
      <c r="C10" s="5" t="n"/>
      <c r="D10" s="5" t="n"/>
      <c r="E10" s="5" t="n"/>
      <c r="F10" s="5" t="n"/>
      <c r="G10" s="5" t="n"/>
      <c r="H10" s="5" t="n"/>
      <c r="I10" s="5" t="n"/>
      <c r="J10" s="5" t="n"/>
      <c r="K10" s="5" t="n"/>
    </row>
    <row r="11">
      <c r="A11" s="15" t="inlineStr">
        <is>
          <t>EXM-007</t>
        </is>
      </c>
      <c r="B11" s="5" t="n"/>
      <c r="C11" s="5" t="n"/>
      <c r="D11" s="5" t="n"/>
      <c r="E11" s="5" t="n"/>
      <c r="F11" s="5" t="n"/>
      <c r="G11" s="5" t="n"/>
      <c r="H11" s="5" t="n"/>
      <c r="I11" s="5" t="n"/>
      <c r="J11" s="5" t="n"/>
      <c r="K11" s="5" t="n"/>
    </row>
    <row r="12">
      <c r="A12" s="15" t="inlineStr">
        <is>
          <t>EXM-008</t>
        </is>
      </c>
      <c r="B12" s="5" t="n"/>
      <c r="C12" s="5" t="n"/>
      <c r="D12" s="5" t="n"/>
      <c r="E12" s="5" t="n"/>
      <c r="F12" s="5" t="n"/>
      <c r="G12" s="5" t="n"/>
      <c r="H12" s="5" t="n"/>
      <c r="I12" s="5" t="n"/>
      <c r="J12" s="5" t="n"/>
      <c r="K12" s="5" t="n"/>
    </row>
    <row r="13">
      <c r="A13" s="15" t="inlineStr">
        <is>
          <t>EXM-009</t>
        </is>
      </c>
      <c r="B13" s="5" t="n"/>
      <c r="C13" s="5" t="n"/>
      <c r="D13" s="5" t="n"/>
      <c r="E13" s="5" t="n"/>
      <c r="F13" s="5" t="n"/>
      <c r="G13" s="5" t="n"/>
      <c r="H13" s="5" t="n"/>
      <c r="I13" s="5" t="n"/>
      <c r="J13" s="5" t="n"/>
      <c r="K13" s="5" t="n"/>
    </row>
    <row r="14">
      <c r="A14" s="15" t="inlineStr">
        <is>
          <t>EXM-010</t>
        </is>
      </c>
      <c r="B14" s="5" t="n"/>
      <c r="C14" s="5" t="n"/>
      <c r="D14" s="5" t="n"/>
      <c r="E14" s="5" t="n"/>
      <c r="F14" s="5" t="n"/>
      <c r="G14" s="5" t="n"/>
      <c r="H14" s="5" t="n"/>
      <c r="I14" s="5" t="n"/>
      <c r="J14" s="5" t="n"/>
      <c r="K14" s="5" t="n"/>
    </row>
    <row r="15">
      <c r="A15" s="15" t="inlineStr">
        <is>
          <t>EXM-011</t>
        </is>
      </c>
      <c r="B15" s="5" t="n"/>
      <c r="C15" s="5" t="n"/>
      <c r="D15" s="5" t="n"/>
      <c r="E15" s="5" t="n"/>
      <c r="F15" s="5" t="n"/>
      <c r="G15" s="5" t="n"/>
      <c r="H15" s="5" t="n"/>
      <c r="I15" s="5" t="n"/>
      <c r="J15" s="5" t="n"/>
      <c r="K15" s="5" t="n"/>
    </row>
    <row r="16">
      <c r="A16" s="15" t="inlineStr">
        <is>
          <t>EXM-012</t>
        </is>
      </c>
      <c r="B16" s="5" t="n"/>
      <c r="C16" s="5" t="n"/>
      <c r="D16" s="5" t="n"/>
      <c r="E16" s="5" t="n"/>
      <c r="F16" s="5" t="n"/>
      <c r="G16" s="5" t="n"/>
      <c r="H16" s="5" t="n"/>
      <c r="I16" s="5" t="n"/>
      <c r="J16" s="5" t="n"/>
      <c r="K16" s="5" t="n"/>
    </row>
    <row r="17">
      <c r="A17" s="15" t="inlineStr">
        <is>
          <t>EXM-013</t>
        </is>
      </c>
      <c r="B17" s="5" t="n"/>
      <c r="C17" s="5" t="n"/>
      <c r="D17" s="5" t="n"/>
      <c r="E17" s="5" t="n"/>
      <c r="F17" s="5" t="n"/>
      <c r="G17" s="5" t="n"/>
      <c r="H17" s="5" t="n"/>
      <c r="I17" s="5" t="n"/>
      <c r="J17" s="5" t="n"/>
      <c r="K17" s="5" t="n"/>
    </row>
    <row r="18">
      <c r="A18" s="15" t="inlineStr">
        <is>
          <t>EXM-014</t>
        </is>
      </c>
      <c r="B18" s="5" t="n"/>
      <c r="C18" s="5" t="n"/>
      <c r="D18" s="5" t="n"/>
      <c r="E18" s="5" t="n"/>
      <c r="F18" s="5" t="n"/>
      <c r="G18" s="5" t="n"/>
      <c r="H18" s="5" t="n"/>
      <c r="I18" s="5" t="n"/>
      <c r="J18" s="5" t="n"/>
      <c r="K18" s="5" t="n"/>
    </row>
    <row r="19">
      <c r="A19" s="15" t="inlineStr">
        <is>
          <t>EXM-015</t>
        </is>
      </c>
      <c r="B19" s="5" t="n"/>
      <c r="C19" s="5" t="n"/>
      <c r="D19" s="5" t="n"/>
      <c r="E19" s="5" t="n"/>
      <c r="F19" s="5" t="n"/>
      <c r="G19" s="5" t="n"/>
      <c r="H19" s="5" t="n"/>
      <c r="I19" s="5" t="n"/>
      <c r="J19" s="5" t="n"/>
      <c r="K19" s="5" t="n"/>
    </row>
    <row r="20">
      <c r="A20" s="15" t="inlineStr">
        <is>
          <t>EXM-016</t>
        </is>
      </c>
      <c r="B20" s="5" t="n"/>
      <c r="C20" s="5" t="n"/>
      <c r="D20" s="5" t="n"/>
      <c r="E20" s="5" t="n"/>
      <c r="F20" s="5" t="n"/>
      <c r="G20" s="5" t="n"/>
      <c r="H20" s="5" t="n"/>
      <c r="I20" s="5" t="n"/>
      <c r="J20" s="5" t="n"/>
      <c r="K20" s="5" t="n"/>
    </row>
    <row r="21">
      <c r="A21" s="15" t="inlineStr">
        <is>
          <t>EXM-017</t>
        </is>
      </c>
      <c r="B21" s="5" t="n"/>
      <c r="C21" s="5" t="n"/>
      <c r="D21" s="5" t="n"/>
      <c r="E21" s="5" t="n"/>
      <c r="F21" s="5" t="n"/>
      <c r="G21" s="5" t="n"/>
      <c r="H21" s="5" t="n"/>
      <c r="I21" s="5" t="n"/>
      <c r="J21" s="5" t="n"/>
      <c r="K21" s="5" t="n"/>
    </row>
    <row r="22">
      <c r="A22" s="15" t="inlineStr">
        <is>
          <t>EXM-018</t>
        </is>
      </c>
      <c r="B22" s="5" t="n"/>
      <c r="C22" s="5" t="n"/>
      <c r="D22" s="5" t="n"/>
      <c r="E22" s="5" t="n"/>
      <c r="F22" s="5" t="n"/>
      <c r="G22" s="5" t="n"/>
      <c r="H22" s="5" t="n"/>
      <c r="I22" s="5" t="n"/>
      <c r="J22" s="5" t="n"/>
      <c r="K22" s="5" t="n"/>
    </row>
    <row r="23">
      <c r="A23" s="15" t="inlineStr">
        <is>
          <t>EXM-019</t>
        </is>
      </c>
      <c r="B23" s="5" t="n"/>
      <c r="C23" s="5" t="n"/>
      <c r="D23" s="5" t="n"/>
      <c r="E23" s="5" t="n"/>
      <c r="F23" s="5" t="n"/>
      <c r="G23" s="5" t="n"/>
      <c r="H23" s="5" t="n"/>
      <c r="I23" s="5" t="n"/>
      <c r="J23" s="5" t="n"/>
      <c r="K23" s="5" t="n"/>
    </row>
    <row r="24">
      <c r="A24" s="15" t="inlineStr">
        <is>
          <t>EXM-020</t>
        </is>
      </c>
      <c r="B24" s="5" t="n"/>
      <c r="C24" s="5" t="n"/>
      <c r="D24" s="5" t="n"/>
      <c r="E24" s="5" t="n"/>
      <c r="F24" s="5" t="n"/>
      <c r="G24" s="5" t="n"/>
      <c r="H24" s="5" t="n"/>
      <c r="I24" s="5" t="n"/>
      <c r="J24" s="5" t="n"/>
      <c r="K24" s="5" t="n"/>
    </row>
    <row r="27">
      <c r="A27" s="18" t="inlineStr">
        <is>
          <t>EXEMPTION SUMMARY</t>
        </is>
      </c>
    </row>
    <row r="28">
      <c r="A28" s="8" t="inlineStr">
        <is>
          <t>Exemption Type</t>
        </is>
      </c>
      <c r="B28" s="8" t="inlineStr">
        <is>
          <t>Active Count</t>
        </is>
      </c>
      <c r="C28" s="8" t="inlineStr">
        <is>
          <t>Expired/Overdue</t>
        </is>
      </c>
    </row>
    <row r="29">
      <c r="A29" s="4" t="inlineStr">
        <is>
          <t>Full Exemption</t>
        </is>
      </c>
      <c r="B29" s="20">
        <f>COUNTIFS(C5:C24,"Full Exemption",J5:J24,"Active")</f>
        <v/>
      </c>
      <c r="C29" s="26">
        <f>COUNTIFS(C5:C24,"Full Exemption",J5:J24,"Expired")</f>
        <v/>
      </c>
    </row>
    <row r="30">
      <c r="A30" s="4" t="inlineStr">
        <is>
          <t>Partial Exemption</t>
        </is>
      </c>
      <c r="B30" s="20">
        <f>COUNTIFS(C5:C24,"Partial Exemption",J5:J24,"Active")</f>
        <v/>
      </c>
      <c r="C30" s="26">
        <f>COUNTIFS(C5:C24,"Partial Exemption",J5:J24,"Expired")</f>
        <v/>
      </c>
    </row>
    <row r="31">
      <c r="A31" s="4" t="inlineStr">
        <is>
          <t>Temporary Exemption</t>
        </is>
      </c>
      <c r="B31" s="20">
        <f>COUNTIFS(C5:C24,"Temporary Exemption",J5:J24,"Active")</f>
        <v/>
      </c>
      <c r="C31" s="26">
        <f>COUNTIFS(C5:C24,"Temporary Exemption",J5:J24,"Expired")</f>
        <v/>
      </c>
    </row>
    <row r="32">
      <c r="A32" s="4" t="inlineStr">
        <is>
          <t>Category Exemption</t>
        </is>
      </c>
      <c r="B32" s="20">
        <f>COUNTIFS(C5:C24,"Category Exemption",J5:J24,"Active")</f>
        <v/>
      </c>
      <c r="C32" s="26">
        <f>COUNTIFS(C5:C24,"Category Exemption",J5:J24,"Expired")</f>
        <v/>
      </c>
    </row>
    <row r="33">
      <c r="A33" s="4" t="inlineStr">
        <is>
          <t>Technical Exemption</t>
        </is>
      </c>
      <c r="B33" s="20">
        <f>COUNTIFS(C5:C24,"Technical Exemption",J5:J24,"Active")</f>
        <v/>
      </c>
      <c r="C33" s="26">
        <f>COUNTIFS(C5:C24,"Technical Exemption",J5:J24,"Expired")</f>
        <v/>
      </c>
    </row>
    <row r="36">
      <c r="A36" s="27" t="inlineStr">
        <is>
          <t>⚠️ ALERT: Exemptions &gt;12 months old require re-approval | &gt;10% of segments exempt = escalate to CISO</t>
        </is>
      </c>
    </row>
  </sheetData>
  <mergeCells count="4">
    <mergeCell ref="A2:K2"/>
    <mergeCell ref="A1:K1"/>
    <mergeCell ref="A27:K27"/>
    <mergeCell ref="A36:K36"/>
  </mergeCells>
  <dataValidations count="2">
    <dataValidation sqref="C5 C6 C7 C8 C9 C10 C11 C12 C13 C14 C15 C16 C17 C18 C19 C20 C21 C22 C23 C24" showDropDown="0" showInputMessage="0" showErrorMessage="0" allowBlank="0" type="list">
      <formula1>"Full Exemption,Partial Exemption,Temporary Exemption,Category Exemption,Technical Exemption"</formula1>
    </dataValidation>
    <dataValidation sqref="J5 J6 J7 J8 J9 J10 J11 J12 J13 J14 J15 J16 J17 J18 J19 J20 J21 J22 J23 J24" showDropDown="0" showInputMessage="0" showErrorMessage="0" allowBlank="0" type="list">
      <formula1>"Active,Expired,Revoked,Under Review"</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5"/>
  <sheetViews>
    <sheetView workbookViewId="0">
      <pane ySplit="4" topLeftCell="A5" activePane="bottomLeft" state="frozen"/>
      <selection pane="bottomLeft" activeCell="A1" sqref="A1"/>
    </sheetView>
  </sheetViews>
  <sheetFormatPr baseColWidth="8" defaultRowHeight="15"/>
  <cols>
    <col width="15" customWidth="1" min="1" max="1"/>
    <col width="12" customWidth="1" min="2" max="2"/>
    <col width="25" customWidth="1" min="3" max="3"/>
    <col width="15" customWidth="1" min="4" max="4"/>
    <col width="20" customWidth="1" min="5" max="5"/>
    <col width="20" customWidth="1" min="6" max="6"/>
    <col width="30" customWidth="1" min="7" max="7"/>
    <col width="35" customWidth="1" min="8" max="8"/>
    <col width="15" customWidth="1" min="9" max="9"/>
    <col width="15" customWidth="1" min="10" max="10"/>
  </cols>
  <sheetData>
    <row r="1" ht="30" customHeight="1">
      <c r="A1" s="1" t="inlineStr">
        <is>
          <t>COVERAGE VERIFICATION LOG</t>
        </is>
      </c>
    </row>
    <row r="2">
      <c r="A2" s="2" t="inlineStr">
        <is>
          <t>Test and verify filtering effectiveness per network segment</t>
        </is>
      </c>
    </row>
    <row r="4">
      <c r="A4" s="14" t="inlineStr">
        <is>
          <t>Verification ID</t>
        </is>
      </c>
      <c r="B4" s="14" t="inlineStr">
        <is>
          <t>Segment ID</t>
        </is>
      </c>
      <c r="C4" s="14" t="inlineStr">
        <is>
          <t>Segment Name</t>
        </is>
      </c>
      <c r="D4" s="14" t="inlineStr">
        <is>
          <t>Test Date</t>
        </is>
      </c>
      <c r="E4" s="14" t="inlineStr">
        <is>
          <t>Tester</t>
        </is>
      </c>
      <c r="F4" s="14" t="inlineStr">
        <is>
          <t>Test Method</t>
        </is>
      </c>
      <c r="G4" s="14" t="inlineStr">
        <is>
          <t>Test Results</t>
        </is>
      </c>
      <c r="H4" s="14" t="inlineStr">
        <is>
          <t>Issues Found</t>
        </is>
      </c>
      <c r="I4" s="14" t="inlineStr">
        <is>
          <t>Status</t>
        </is>
      </c>
      <c r="J4" s="14" t="inlineStr">
        <is>
          <t>Next Test Date</t>
        </is>
      </c>
    </row>
    <row r="5">
      <c r="A5" s="15" t="inlineStr">
        <is>
          <t>VER-001</t>
        </is>
      </c>
      <c r="B5" s="5" t="n"/>
      <c r="C5" s="5" t="n"/>
      <c r="D5" s="5" t="n"/>
      <c r="E5" s="5" t="n"/>
      <c r="F5" s="5" t="n"/>
      <c r="G5" s="5" t="n"/>
      <c r="H5" s="5" t="n"/>
      <c r="I5" s="5" t="n"/>
      <c r="J5" s="28">
        <f>IF(D5="","",D5+90)</f>
        <v/>
      </c>
    </row>
    <row r="6">
      <c r="A6" s="15" t="inlineStr">
        <is>
          <t>VER-002</t>
        </is>
      </c>
      <c r="B6" s="5" t="n"/>
      <c r="C6" s="5" t="n"/>
      <c r="D6" s="5" t="n"/>
      <c r="E6" s="5" t="n"/>
      <c r="F6" s="5" t="n"/>
      <c r="G6" s="5" t="n"/>
      <c r="H6" s="5" t="n"/>
      <c r="I6" s="5" t="n"/>
      <c r="J6" s="28">
        <f>IF(D6="","",D6+90)</f>
        <v/>
      </c>
    </row>
    <row r="7">
      <c r="A7" s="15" t="inlineStr">
        <is>
          <t>VER-003</t>
        </is>
      </c>
      <c r="B7" s="5" t="n"/>
      <c r="C7" s="5" t="n"/>
      <c r="D7" s="5" t="n"/>
      <c r="E7" s="5" t="n"/>
      <c r="F7" s="5" t="n"/>
      <c r="G7" s="5" t="n"/>
      <c r="H7" s="5" t="n"/>
      <c r="I7" s="5" t="n"/>
      <c r="J7" s="28">
        <f>IF(D7="","",D7+90)</f>
        <v/>
      </c>
    </row>
    <row r="8">
      <c r="A8" s="15" t="inlineStr">
        <is>
          <t>VER-004</t>
        </is>
      </c>
      <c r="B8" s="5" t="n"/>
      <c r="C8" s="5" t="n"/>
      <c r="D8" s="5" t="n"/>
      <c r="E8" s="5" t="n"/>
      <c r="F8" s="5" t="n"/>
      <c r="G8" s="5" t="n"/>
      <c r="H8" s="5" t="n"/>
      <c r="I8" s="5" t="n"/>
      <c r="J8" s="28">
        <f>IF(D8="","",D8+90)</f>
        <v/>
      </c>
    </row>
    <row r="9">
      <c r="A9" s="15" t="inlineStr">
        <is>
          <t>VER-005</t>
        </is>
      </c>
      <c r="B9" s="5" t="n"/>
      <c r="C9" s="5" t="n"/>
      <c r="D9" s="5" t="n"/>
      <c r="E9" s="5" t="n"/>
      <c r="F9" s="5" t="n"/>
      <c r="G9" s="5" t="n"/>
      <c r="H9" s="5" t="n"/>
      <c r="I9" s="5" t="n"/>
      <c r="J9" s="28">
        <f>IF(D9="","",D9+90)</f>
        <v/>
      </c>
    </row>
    <row r="10">
      <c r="A10" s="15" t="inlineStr">
        <is>
          <t>VER-006</t>
        </is>
      </c>
      <c r="B10" s="5" t="n"/>
      <c r="C10" s="5" t="n"/>
      <c r="D10" s="5" t="n"/>
      <c r="E10" s="5" t="n"/>
      <c r="F10" s="5" t="n"/>
      <c r="G10" s="5" t="n"/>
      <c r="H10" s="5" t="n"/>
      <c r="I10" s="5" t="n"/>
      <c r="J10" s="28">
        <f>IF(D10="","",D10+90)</f>
        <v/>
      </c>
    </row>
    <row r="11">
      <c r="A11" s="15" t="inlineStr">
        <is>
          <t>VER-007</t>
        </is>
      </c>
      <c r="B11" s="5" t="n"/>
      <c r="C11" s="5" t="n"/>
      <c r="D11" s="5" t="n"/>
      <c r="E11" s="5" t="n"/>
      <c r="F11" s="5" t="n"/>
      <c r="G11" s="5" t="n"/>
      <c r="H11" s="5" t="n"/>
      <c r="I11" s="5" t="n"/>
      <c r="J11" s="28">
        <f>IF(D11="","",D11+90)</f>
        <v/>
      </c>
    </row>
    <row r="12">
      <c r="A12" s="15" t="inlineStr">
        <is>
          <t>VER-008</t>
        </is>
      </c>
      <c r="B12" s="5" t="n"/>
      <c r="C12" s="5" t="n"/>
      <c r="D12" s="5" t="n"/>
      <c r="E12" s="5" t="n"/>
      <c r="F12" s="5" t="n"/>
      <c r="G12" s="5" t="n"/>
      <c r="H12" s="5" t="n"/>
      <c r="I12" s="5" t="n"/>
      <c r="J12" s="28">
        <f>IF(D12="","",D12+90)</f>
        <v/>
      </c>
    </row>
    <row r="13">
      <c r="A13" s="15" t="inlineStr">
        <is>
          <t>VER-009</t>
        </is>
      </c>
      <c r="B13" s="5" t="n"/>
      <c r="C13" s="5" t="n"/>
      <c r="D13" s="5" t="n"/>
      <c r="E13" s="5" t="n"/>
      <c r="F13" s="5" t="n"/>
      <c r="G13" s="5" t="n"/>
      <c r="H13" s="5" t="n"/>
      <c r="I13" s="5" t="n"/>
      <c r="J13" s="28">
        <f>IF(D13="","",D13+90)</f>
        <v/>
      </c>
    </row>
    <row r="14">
      <c r="A14" s="15" t="inlineStr">
        <is>
          <t>VER-010</t>
        </is>
      </c>
      <c r="B14" s="5" t="n"/>
      <c r="C14" s="5" t="n"/>
      <c r="D14" s="5" t="n"/>
      <c r="E14" s="5" t="n"/>
      <c r="F14" s="5" t="n"/>
      <c r="G14" s="5" t="n"/>
      <c r="H14" s="5" t="n"/>
      <c r="I14" s="5" t="n"/>
      <c r="J14" s="28">
        <f>IF(D14="","",D14+90)</f>
        <v/>
      </c>
    </row>
    <row r="15">
      <c r="A15" s="15" t="inlineStr">
        <is>
          <t>VER-011</t>
        </is>
      </c>
      <c r="B15" s="5" t="n"/>
      <c r="C15" s="5" t="n"/>
      <c r="D15" s="5" t="n"/>
      <c r="E15" s="5" t="n"/>
      <c r="F15" s="5" t="n"/>
      <c r="G15" s="5" t="n"/>
      <c r="H15" s="5" t="n"/>
      <c r="I15" s="5" t="n"/>
      <c r="J15" s="28">
        <f>IF(D15="","",D15+90)</f>
        <v/>
      </c>
    </row>
    <row r="16">
      <c r="A16" s="15" t="inlineStr">
        <is>
          <t>VER-012</t>
        </is>
      </c>
      <c r="B16" s="5" t="n"/>
      <c r="C16" s="5" t="n"/>
      <c r="D16" s="5" t="n"/>
      <c r="E16" s="5" t="n"/>
      <c r="F16" s="5" t="n"/>
      <c r="G16" s="5" t="n"/>
      <c r="H16" s="5" t="n"/>
      <c r="I16" s="5" t="n"/>
      <c r="J16" s="28">
        <f>IF(D16="","",D16+90)</f>
        <v/>
      </c>
    </row>
    <row r="17">
      <c r="A17" s="15" t="inlineStr">
        <is>
          <t>VER-013</t>
        </is>
      </c>
      <c r="B17" s="5" t="n"/>
      <c r="C17" s="5" t="n"/>
      <c r="D17" s="5" t="n"/>
      <c r="E17" s="5" t="n"/>
      <c r="F17" s="5" t="n"/>
      <c r="G17" s="5" t="n"/>
      <c r="H17" s="5" t="n"/>
      <c r="I17" s="5" t="n"/>
      <c r="J17" s="28">
        <f>IF(D17="","",D17+90)</f>
        <v/>
      </c>
    </row>
    <row r="18">
      <c r="A18" s="15" t="inlineStr">
        <is>
          <t>VER-014</t>
        </is>
      </c>
      <c r="B18" s="5" t="n"/>
      <c r="C18" s="5" t="n"/>
      <c r="D18" s="5" t="n"/>
      <c r="E18" s="5" t="n"/>
      <c r="F18" s="5" t="n"/>
      <c r="G18" s="5" t="n"/>
      <c r="H18" s="5" t="n"/>
      <c r="I18" s="5" t="n"/>
      <c r="J18" s="28">
        <f>IF(D18="","",D18+90)</f>
        <v/>
      </c>
    </row>
    <row r="19">
      <c r="A19" s="15" t="inlineStr">
        <is>
          <t>VER-015</t>
        </is>
      </c>
      <c r="B19" s="5" t="n"/>
      <c r="C19" s="5" t="n"/>
      <c r="D19" s="5" t="n"/>
      <c r="E19" s="5" t="n"/>
      <c r="F19" s="5" t="n"/>
      <c r="G19" s="5" t="n"/>
      <c r="H19" s="5" t="n"/>
      <c r="I19" s="5" t="n"/>
      <c r="J19" s="28">
        <f>IF(D19="","",D19+90)</f>
        <v/>
      </c>
    </row>
    <row r="20">
      <c r="A20" s="15" t="inlineStr">
        <is>
          <t>VER-016</t>
        </is>
      </c>
      <c r="B20" s="5" t="n"/>
      <c r="C20" s="5" t="n"/>
      <c r="D20" s="5" t="n"/>
      <c r="E20" s="5" t="n"/>
      <c r="F20" s="5" t="n"/>
      <c r="G20" s="5" t="n"/>
      <c r="H20" s="5" t="n"/>
      <c r="I20" s="5" t="n"/>
      <c r="J20" s="28">
        <f>IF(D20="","",D20+90)</f>
        <v/>
      </c>
    </row>
    <row r="21">
      <c r="A21" s="15" t="inlineStr">
        <is>
          <t>VER-017</t>
        </is>
      </c>
      <c r="B21" s="5" t="n"/>
      <c r="C21" s="5" t="n"/>
      <c r="D21" s="5" t="n"/>
      <c r="E21" s="5" t="n"/>
      <c r="F21" s="5" t="n"/>
      <c r="G21" s="5" t="n"/>
      <c r="H21" s="5" t="n"/>
      <c r="I21" s="5" t="n"/>
      <c r="J21" s="28">
        <f>IF(D21="","",D21+90)</f>
        <v/>
      </c>
    </row>
    <row r="22">
      <c r="A22" s="15" t="inlineStr">
        <is>
          <t>VER-018</t>
        </is>
      </c>
      <c r="B22" s="5" t="n"/>
      <c r="C22" s="5" t="n"/>
      <c r="D22" s="5" t="n"/>
      <c r="E22" s="5" t="n"/>
      <c r="F22" s="5" t="n"/>
      <c r="G22" s="5" t="n"/>
      <c r="H22" s="5" t="n"/>
      <c r="I22" s="5" t="n"/>
      <c r="J22" s="28">
        <f>IF(D22="","",D22+90)</f>
        <v/>
      </c>
    </row>
    <row r="23">
      <c r="A23" s="15" t="inlineStr">
        <is>
          <t>VER-019</t>
        </is>
      </c>
      <c r="B23" s="5" t="n"/>
      <c r="C23" s="5" t="n"/>
      <c r="D23" s="5" t="n"/>
      <c r="E23" s="5" t="n"/>
      <c r="F23" s="5" t="n"/>
      <c r="G23" s="5" t="n"/>
      <c r="H23" s="5" t="n"/>
      <c r="I23" s="5" t="n"/>
      <c r="J23" s="28">
        <f>IF(D23="","",D23+90)</f>
        <v/>
      </c>
    </row>
    <row r="24">
      <c r="A24" s="15" t="inlineStr">
        <is>
          <t>VER-020</t>
        </is>
      </c>
      <c r="B24" s="5" t="n"/>
      <c r="C24" s="5" t="n"/>
      <c r="D24" s="5" t="n"/>
      <c r="E24" s="5" t="n"/>
      <c r="F24" s="5" t="n"/>
      <c r="G24" s="5" t="n"/>
      <c r="H24" s="5" t="n"/>
      <c r="I24" s="5" t="n"/>
      <c r="J24" s="28">
        <f>IF(D24="","",D24+90)</f>
        <v/>
      </c>
    </row>
    <row r="25">
      <c r="A25" s="15" t="inlineStr">
        <is>
          <t>VER-021</t>
        </is>
      </c>
      <c r="B25" s="5" t="n"/>
      <c r="C25" s="5" t="n"/>
      <c r="D25" s="5" t="n"/>
      <c r="E25" s="5" t="n"/>
      <c r="F25" s="5" t="n"/>
      <c r="G25" s="5" t="n"/>
      <c r="H25" s="5" t="n"/>
      <c r="I25" s="5" t="n"/>
      <c r="J25" s="28">
        <f>IF(D25="","",D25+90)</f>
        <v/>
      </c>
    </row>
    <row r="26">
      <c r="A26" s="15" t="inlineStr">
        <is>
          <t>VER-022</t>
        </is>
      </c>
      <c r="B26" s="5" t="n"/>
      <c r="C26" s="5" t="n"/>
      <c r="D26" s="5" t="n"/>
      <c r="E26" s="5" t="n"/>
      <c r="F26" s="5" t="n"/>
      <c r="G26" s="5" t="n"/>
      <c r="H26" s="5" t="n"/>
      <c r="I26" s="5" t="n"/>
      <c r="J26" s="28">
        <f>IF(D26="","",D26+90)</f>
        <v/>
      </c>
    </row>
    <row r="27">
      <c r="A27" s="15" t="inlineStr">
        <is>
          <t>VER-023</t>
        </is>
      </c>
      <c r="B27" s="5" t="n"/>
      <c r="C27" s="5" t="n"/>
      <c r="D27" s="5" t="n"/>
      <c r="E27" s="5" t="n"/>
      <c r="F27" s="5" t="n"/>
      <c r="G27" s="5" t="n"/>
      <c r="H27" s="5" t="n"/>
      <c r="I27" s="5" t="n"/>
      <c r="J27" s="28">
        <f>IF(D27="","",D27+90)</f>
        <v/>
      </c>
    </row>
    <row r="28">
      <c r="A28" s="15" t="inlineStr">
        <is>
          <t>VER-024</t>
        </is>
      </c>
      <c r="B28" s="5" t="n"/>
      <c r="C28" s="5" t="n"/>
      <c r="D28" s="5" t="n"/>
      <c r="E28" s="5" t="n"/>
      <c r="F28" s="5" t="n"/>
      <c r="G28" s="5" t="n"/>
      <c r="H28" s="5" t="n"/>
      <c r="I28" s="5" t="n"/>
      <c r="J28" s="28">
        <f>IF(D28="","",D28+90)</f>
        <v/>
      </c>
    </row>
    <row r="29">
      <c r="A29" s="15" t="inlineStr">
        <is>
          <t>VER-025</t>
        </is>
      </c>
      <c r="B29" s="5" t="n"/>
      <c r="C29" s="5" t="n"/>
      <c r="D29" s="5" t="n"/>
      <c r="E29" s="5" t="n"/>
      <c r="F29" s="5" t="n"/>
      <c r="G29" s="5" t="n"/>
      <c r="H29" s="5" t="n"/>
      <c r="I29" s="5" t="n"/>
      <c r="J29" s="28">
        <f>IF(D29="","",D29+90)</f>
        <v/>
      </c>
    </row>
    <row r="30">
      <c r="A30" s="15" t="inlineStr">
        <is>
          <t>VER-026</t>
        </is>
      </c>
      <c r="B30" s="5" t="n"/>
      <c r="C30" s="5" t="n"/>
      <c r="D30" s="5" t="n"/>
      <c r="E30" s="5" t="n"/>
      <c r="F30" s="5" t="n"/>
      <c r="G30" s="5" t="n"/>
      <c r="H30" s="5" t="n"/>
      <c r="I30" s="5" t="n"/>
      <c r="J30" s="28">
        <f>IF(D30="","",D30+90)</f>
        <v/>
      </c>
    </row>
    <row r="31">
      <c r="A31" s="15" t="inlineStr">
        <is>
          <t>VER-027</t>
        </is>
      </c>
      <c r="B31" s="5" t="n"/>
      <c r="C31" s="5" t="n"/>
      <c r="D31" s="5" t="n"/>
      <c r="E31" s="5" t="n"/>
      <c r="F31" s="5" t="n"/>
      <c r="G31" s="5" t="n"/>
      <c r="H31" s="5" t="n"/>
      <c r="I31" s="5" t="n"/>
      <c r="J31" s="28">
        <f>IF(D31="","",D31+90)</f>
        <v/>
      </c>
    </row>
    <row r="32">
      <c r="A32" s="15" t="inlineStr">
        <is>
          <t>VER-028</t>
        </is>
      </c>
      <c r="B32" s="5" t="n"/>
      <c r="C32" s="5" t="n"/>
      <c r="D32" s="5" t="n"/>
      <c r="E32" s="5" t="n"/>
      <c r="F32" s="5" t="n"/>
      <c r="G32" s="5" t="n"/>
      <c r="H32" s="5" t="n"/>
      <c r="I32" s="5" t="n"/>
      <c r="J32" s="28">
        <f>IF(D32="","",D32+90)</f>
        <v/>
      </c>
    </row>
    <row r="33">
      <c r="A33" s="15" t="inlineStr">
        <is>
          <t>VER-029</t>
        </is>
      </c>
      <c r="B33" s="5" t="n"/>
      <c r="C33" s="5" t="n"/>
      <c r="D33" s="5" t="n"/>
      <c r="E33" s="5" t="n"/>
      <c r="F33" s="5" t="n"/>
      <c r="G33" s="5" t="n"/>
      <c r="H33" s="5" t="n"/>
      <c r="I33" s="5" t="n"/>
      <c r="J33" s="28">
        <f>IF(D33="","",D33+90)</f>
        <v/>
      </c>
    </row>
    <row r="34">
      <c r="A34" s="15" t="inlineStr">
        <is>
          <t>VER-030</t>
        </is>
      </c>
      <c r="B34" s="5" t="n"/>
      <c r="C34" s="5" t="n"/>
      <c r="D34" s="5" t="n"/>
      <c r="E34" s="5" t="n"/>
      <c r="F34" s="5" t="n"/>
      <c r="G34" s="5" t="n"/>
      <c r="H34" s="5" t="n"/>
      <c r="I34" s="5" t="n"/>
      <c r="J34" s="28">
        <f>IF(D34="","",D34+90)</f>
        <v/>
      </c>
    </row>
    <row r="35">
      <c r="A35" s="15" t="inlineStr">
        <is>
          <t>VER-031</t>
        </is>
      </c>
      <c r="B35" s="5" t="n"/>
      <c r="C35" s="5" t="n"/>
      <c r="D35" s="5" t="n"/>
      <c r="E35" s="5" t="n"/>
      <c r="F35" s="5" t="n"/>
      <c r="G35" s="5" t="n"/>
      <c r="H35" s="5" t="n"/>
      <c r="I35" s="5" t="n"/>
      <c r="J35" s="28">
        <f>IF(D35="","",D35+90)</f>
        <v/>
      </c>
    </row>
    <row r="36">
      <c r="A36" s="15" t="inlineStr">
        <is>
          <t>VER-032</t>
        </is>
      </c>
      <c r="B36" s="5" t="n"/>
      <c r="C36" s="5" t="n"/>
      <c r="D36" s="5" t="n"/>
      <c r="E36" s="5" t="n"/>
      <c r="F36" s="5" t="n"/>
      <c r="G36" s="5" t="n"/>
      <c r="H36" s="5" t="n"/>
      <c r="I36" s="5" t="n"/>
      <c r="J36" s="28">
        <f>IF(D36="","",D36+90)</f>
        <v/>
      </c>
    </row>
    <row r="37">
      <c r="A37" s="15" t="inlineStr">
        <is>
          <t>VER-033</t>
        </is>
      </c>
      <c r="B37" s="5" t="n"/>
      <c r="C37" s="5" t="n"/>
      <c r="D37" s="5" t="n"/>
      <c r="E37" s="5" t="n"/>
      <c r="F37" s="5" t="n"/>
      <c r="G37" s="5" t="n"/>
      <c r="H37" s="5" t="n"/>
      <c r="I37" s="5" t="n"/>
      <c r="J37" s="28">
        <f>IF(D37="","",D37+90)</f>
        <v/>
      </c>
    </row>
    <row r="38">
      <c r="A38" s="15" t="inlineStr">
        <is>
          <t>VER-034</t>
        </is>
      </c>
      <c r="B38" s="5" t="n"/>
      <c r="C38" s="5" t="n"/>
      <c r="D38" s="5" t="n"/>
      <c r="E38" s="5" t="n"/>
      <c r="F38" s="5" t="n"/>
      <c r="G38" s="5" t="n"/>
      <c r="H38" s="5" t="n"/>
      <c r="I38" s="5" t="n"/>
      <c r="J38" s="28">
        <f>IF(D38="","",D38+90)</f>
        <v/>
      </c>
    </row>
    <row r="39">
      <c r="A39" s="15" t="inlineStr">
        <is>
          <t>VER-035</t>
        </is>
      </c>
      <c r="B39" s="5" t="n"/>
      <c r="C39" s="5" t="n"/>
      <c r="D39" s="5" t="n"/>
      <c r="E39" s="5" t="n"/>
      <c r="F39" s="5" t="n"/>
      <c r="G39" s="5" t="n"/>
      <c r="H39" s="5" t="n"/>
      <c r="I39" s="5" t="n"/>
      <c r="J39" s="28">
        <f>IF(D39="","",D39+90)</f>
        <v/>
      </c>
    </row>
    <row r="40">
      <c r="A40" s="15" t="inlineStr">
        <is>
          <t>VER-036</t>
        </is>
      </c>
      <c r="B40" s="5" t="n"/>
      <c r="C40" s="5" t="n"/>
      <c r="D40" s="5" t="n"/>
      <c r="E40" s="5" t="n"/>
      <c r="F40" s="5" t="n"/>
      <c r="G40" s="5" t="n"/>
      <c r="H40" s="5" t="n"/>
      <c r="I40" s="5" t="n"/>
      <c r="J40" s="28">
        <f>IF(D40="","",D40+90)</f>
        <v/>
      </c>
    </row>
    <row r="41">
      <c r="A41" s="15" t="inlineStr">
        <is>
          <t>VER-037</t>
        </is>
      </c>
      <c r="B41" s="5" t="n"/>
      <c r="C41" s="5" t="n"/>
      <c r="D41" s="5" t="n"/>
      <c r="E41" s="5" t="n"/>
      <c r="F41" s="5" t="n"/>
      <c r="G41" s="5" t="n"/>
      <c r="H41" s="5" t="n"/>
      <c r="I41" s="5" t="n"/>
      <c r="J41" s="28">
        <f>IF(D41="","",D41+90)</f>
        <v/>
      </c>
    </row>
    <row r="42">
      <c r="A42" s="15" t="inlineStr">
        <is>
          <t>VER-038</t>
        </is>
      </c>
      <c r="B42" s="5" t="n"/>
      <c r="C42" s="5" t="n"/>
      <c r="D42" s="5" t="n"/>
      <c r="E42" s="5" t="n"/>
      <c r="F42" s="5" t="n"/>
      <c r="G42" s="5" t="n"/>
      <c r="H42" s="5" t="n"/>
      <c r="I42" s="5" t="n"/>
      <c r="J42" s="28">
        <f>IF(D42="","",D42+90)</f>
        <v/>
      </c>
    </row>
    <row r="43">
      <c r="A43" s="15" t="inlineStr">
        <is>
          <t>VER-039</t>
        </is>
      </c>
      <c r="B43" s="5" t="n"/>
      <c r="C43" s="5" t="n"/>
      <c r="D43" s="5" t="n"/>
      <c r="E43" s="5" t="n"/>
      <c r="F43" s="5" t="n"/>
      <c r="G43" s="5" t="n"/>
      <c r="H43" s="5" t="n"/>
      <c r="I43" s="5" t="n"/>
      <c r="J43" s="28">
        <f>IF(D43="","",D43+90)</f>
        <v/>
      </c>
    </row>
    <row r="44">
      <c r="A44" s="15" t="inlineStr">
        <is>
          <t>VER-040</t>
        </is>
      </c>
      <c r="B44" s="5" t="n"/>
      <c r="C44" s="5" t="n"/>
      <c r="D44" s="5" t="n"/>
      <c r="E44" s="5" t="n"/>
      <c r="F44" s="5" t="n"/>
      <c r="G44" s="5" t="n"/>
      <c r="H44" s="5" t="n"/>
      <c r="I44" s="5" t="n"/>
      <c r="J44" s="28">
        <f>IF(D44="","",D44+90)</f>
        <v/>
      </c>
    </row>
    <row r="45">
      <c r="A45" s="15" t="inlineStr">
        <is>
          <t>VER-041</t>
        </is>
      </c>
      <c r="B45" s="5" t="n"/>
      <c r="C45" s="5" t="n"/>
      <c r="D45" s="5" t="n"/>
      <c r="E45" s="5" t="n"/>
      <c r="F45" s="5" t="n"/>
      <c r="G45" s="5" t="n"/>
      <c r="H45" s="5" t="n"/>
      <c r="I45" s="5" t="n"/>
      <c r="J45" s="28">
        <f>IF(D45="","",D45+90)</f>
        <v/>
      </c>
    </row>
    <row r="46">
      <c r="A46" s="15" t="inlineStr">
        <is>
          <t>VER-042</t>
        </is>
      </c>
      <c r="B46" s="5" t="n"/>
      <c r="C46" s="5" t="n"/>
      <c r="D46" s="5" t="n"/>
      <c r="E46" s="5" t="n"/>
      <c r="F46" s="5" t="n"/>
      <c r="G46" s="5" t="n"/>
      <c r="H46" s="5" t="n"/>
      <c r="I46" s="5" t="n"/>
      <c r="J46" s="28">
        <f>IF(D46="","",D46+90)</f>
        <v/>
      </c>
    </row>
    <row r="47">
      <c r="A47" s="15" t="inlineStr">
        <is>
          <t>VER-043</t>
        </is>
      </c>
      <c r="B47" s="5" t="n"/>
      <c r="C47" s="5" t="n"/>
      <c r="D47" s="5" t="n"/>
      <c r="E47" s="5" t="n"/>
      <c r="F47" s="5" t="n"/>
      <c r="G47" s="5" t="n"/>
      <c r="H47" s="5" t="n"/>
      <c r="I47" s="5" t="n"/>
      <c r="J47" s="28">
        <f>IF(D47="","",D47+90)</f>
        <v/>
      </c>
    </row>
    <row r="48">
      <c r="A48" s="15" t="inlineStr">
        <is>
          <t>VER-044</t>
        </is>
      </c>
      <c r="B48" s="5" t="n"/>
      <c r="C48" s="5" t="n"/>
      <c r="D48" s="5" t="n"/>
      <c r="E48" s="5" t="n"/>
      <c r="F48" s="5" t="n"/>
      <c r="G48" s="5" t="n"/>
      <c r="H48" s="5" t="n"/>
      <c r="I48" s="5" t="n"/>
      <c r="J48" s="28">
        <f>IF(D48="","",D48+90)</f>
        <v/>
      </c>
    </row>
    <row r="49">
      <c r="A49" s="15" t="inlineStr">
        <is>
          <t>VER-045</t>
        </is>
      </c>
      <c r="B49" s="5" t="n"/>
      <c r="C49" s="5" t="n"/>
      <c r="D49" s="5" t="n"/>
      <c r="E49" s="5" t="n"/>
      <c r="F49" s="5" t="n"/>
      <c r="G49" s="5" t="n"/>
      <c r="H49" s="5" t="n"/>
      <c r="I49" s="5" t="n"/>
      <c r="J49" s="28">
        <f>IF(D49="","",D49+90)</f>
        <v/>
      </c>
    </row>
    <row r="50">
      <c r="A50" s="15" t="inlineStr">
        <is>
          <t>VER-046</t>
        </is>
      </c>
      <c r="B50" s="5" t="n"/>
      <c r="C50" s="5" t="n"/>
      <c r="D50" s="5" t="n"/>
      <c r="E50" s="5" t="n"/>
      <c r="F50" s="5" t="n"/>
      <c r="G50" s="5" t="n"/>
      <c r="H50" s="5" t="n"/>
      <c r="I50" s="5" t="n"/>
      <c r="J50" s="28">
        <f>IF(D50="","",D50+90)</f>
        <v/>
      </c>
    </row>
    <row r="51">
      <c r="A51" s="15" t="inlineStr">
        <is>
          <t>VER-047</t>
        </is>
      </c>
      <c r="B51" s="5" t="n"/>
      <c r="C51" s="5" t="n"/>
      <c r="D51" s="5" t="n"/>
      <c r="E51" s="5" t="n"/>
      <c r="F51" s="5" t="n"/>
      <c r="G51" s="5" t="n"/>
      <c r="H51" s="5" t="n"/>
      <c r="I51" s="5" t="n"/>
      <c r="J51" s="28">
        <f>IF(D51="","",D51+90)</f>
        <v/>
      </c>
    </row>
    <row r="52">
      <c r="A52" s="15" t="inlineStr">
        <is>
          <t>VER-048</t>
        </is>
      </c>
      <c r="B52" s="5" t="n"/>
      <c r="C52" s="5" t="n"/>
      <c r="D52" s="5" t="n"/>
      <c r="E52" s="5" t="n"/>
      <c r="F52" s="5" t="n"/>
      <c r="G52" s="5" t="n"/>
      <c r="H52" s="5" t="n"/>
      <c r="I52" s="5" t="n"/>
      <c r="J52" s="28">
        <f>IF(D52="","",D52+90)</f>
        <v/>
      </c>
    </row>
    <row r="53">
      <c r="A53" s="15" t="inlineStr">
        <is>
          <t>VER-049</t>
        </is>
      </c>
      <c r="B53" s="5" t="n"/>
      <c r="C53" s="5" t="n"/>
      <c r="D53" s="5" t="n"/>
      <c r="E53" s="5" t="n"/>
      <c r="F53" s="5" t="n"/>
      <c r="G53" s="5" t="n"/>
      <c r="H53" s="5" t="n"/>
      <c r="I53" s="5" t="n"/>
      <c r="J53" s="28">
        <f>IF(D53="","",D53+90)</f>
        <v/>
      </c>
    </row>
    <row r="54">
      <c r="A54" s="15" t="inlineStr">
        <is>
          <t>VER-050</t>
        </is>
      </c>
      <c r="B54" s="5" t="n"/>
      <c r="C54" s="5" t="n"/>
      <c r="D54" s="5" t="n"/>
      <c r="E54" s="5" t="n"/>
      <c r="F54" s="5" t="n"/>
      <c r="G54" s="5" t="n"/>
      <c r="H54" s="5" t="n"/>
      <c r="I54" s="5" t="n"/>
      <c r="J54" s="28">
        <f>IF(D54="","",D54+90)</f>
        <v/>
      </c>
    </row>
    <row r="57">
      <c r="A57" s="18" t="inlineStr">
        <is>
          <t>TEST CHECKLIST (Verify for each segment)</t>
        </is>
      </c>
    </row>
    <row r="58" ht="20" customHeight="1">
      <c r="A58" s="7" t="inlineStr">
        <is>
          <t>☐ Malicious URL blocked (test with EICAR or known bad domains)</t>
        </is>
      </c>
    </row>
    <row r="59" ht="20" customHeight="1">
      <c r="A59" s="7" t="inlineStr">
        <is>
          <t>☐ Phishing site blocked (test with PhishTank samples)</t>
        </is>
      </c>
    </row>
    <row r="60" ht="20" customHeight="1">
      <c r="A60" s="7" t="inlineStr">
        <is>
          <t>☐ Known malware download blocked</t>
        </is>
      </c>
    </row>
    <row r="61" ht="20" customHeight="1">
      <c r="A61" s="7" t="inlineStr">
        <is>
          <t>☐ HTTPS sites properly filtered (if HTTPS inspection enabled)</t>
        </is>
      </c>
    </row>
    <row r="62" ht="20" customHeight="1">
      <c r="A62" s="7" t="inlineStr">
        <is>
          <t>☐ Logging working (blocked attempts logged)</t>
        </is>
      </c>
    </row>
    <row r="63" ht="20" customHeight="1">
      <c r="A63" s="7" t="inlineStr">
        <is>
          <t>☐ Bypass methods ineffective (proxy bypass, VPN bypass, etc.)</t>
        </is>
      </c>
    </row>
    <row r="64" ht="20" customHeight="1">
      <c r="A64" s="7" t="inlineStr">
        <is>
          <t>☐ User experience acceptable (latency, false positives)</t>
        </is>
      </c>
    </row>
    <row r="65" ht="20" customHeight="1">
      <c r="A65" s="7" t="inlineStr">
        <is>
          <t>☐ Exemptions working as intended</t>
        </is>
      </c>
    </row>
  </sheetData>
  <mergeCells count="3">
    <mergeCell ref="A1:J1"/>
    <mergeCell ref="A57:J57"/>
    <mergeCell ref="A2:J2"/>
  </mergeCells>
  <dataValidations count="2">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"Manual Browse Test,Automated Scan,Curl/wget Test,Browser Extension,Vendor Tool,Penetration Test,Other"</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 Verified,❌ Failed,⚠️ Needs Retest"</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20" customWidth="1" min="4" max="4"/>
    <col width="50" customWidth="1" min="5" max="5"/>
    <col width="15" customWidth="1" min="6" max="6"/>
    <col width="20" customWidth="1" min="7" max="7"/>
    <col width="18" customWidth="1" min="8" max="8"/>
  </cols>
  <sheetData>
    <row r="1" ht="30" customHeight="1">
      <c r="A1" s="1" t="inlineStr">
        <is>
          <t>EVIDENCE REGISTER</t>
        </is>
      </c>
    </row>
    <row r="2">
      <c r="A2" s="2" t="inlineStr">
        <is>
          <t>Document all evidence supporting network coverage assessment</t>
        </is>
      </c>
    </row>
    <row r="4">
      <c r="A4" s="14" t="inlineStr">
        <is>
          <t>Evidence ID</t>
        </is>
      </c>
      <c r="B4" s="14" t="inlineStr">
        <is>
          <t>Evidence Type</t>
        </is>
      </c>
      <c r="C4" s="14" t="inlineStr">
        <is>
          <t>Description</t>
        </is>
      </c>
      <c r="D4" s="14" t="inlineStr">
        <is>
          <t>Related Sheet/Row</t>
        </is>
      </c>
      <c r="E4" s="14" t="inlineStr">
        <is>
          <t>Location/Path</t>
        </is>
      </c>
      <c r="F4" s="14" t="inlineStr">
        <is>
          <t>Date Collected</t>
        </is>
      </c>
      <c r="G4" s="14" t="inlineStr">
        <is>
          <t>Collected By</t>
        </is>
      </c>
      <c r="H4" s="14" t="inlineStr">
        <is>
          <t>Verification Status</t>
        </is>
      </c>
    </row>
    <row r="5">
      <c r="A5" s="15" t="inlineStr">
        <is>
          <t>EVD-001</t>
        </is>
      </c>
      <c r="B5" s="5" t="n"/>
      <c r="C5" s="5" t="n"/>
      <c r="D5" s="5" t="n"/>
      <c r="E5" s="5" t="n"/>
      <c r="F5" s="5" t="n"/>
      <c r="G5" s="5" t="n"/>
      <c r="H5" s="5" t="n"/>
    </row>
    <row r="6">
      <c r="A6" s="15" t="inlineStr">
        <is>
          <t>EVD-002</t>
        </is>
      </c>
      <c r="B6" s="5" t="n"/>
      <c r="C6" s="5" t="n"/>
      <c r="D6" s="5" t="n"/>
      <c r="E6" s="5" t="n"/>
      <c r="F6" s="5" t="n"/>
      <c r="G6" s="5" t="n"/>
      <c r="H6" s="5" t="n"/>
    </row>
    <row r="7">
      <c r="A7" s="15" t="inlineStr">
        <is>
          <t>EVD-003</t>
        </is>
      </c>
      <c r="B7" s="5" t="n"/>
      <c r="C7" s="5" t="n"/>
      <c r="D7" s="5" t="n"/>
      <c r="E7" s="5" t="n"/>
      <c r="F7" s="5" t="n"/>
      <c r="G7" s="5" t="n"/>
      <c r="H7" s="5" t="n"/>
    </row>
    <row r="8">
      <c r="A8" s="15" t="inlineStr">
        <is>
          <t>EVD-004</t>
        </is>
      </c>
      <c r="B8" s="5" t="n"/>
      <c r="C8" s="5" t="n"/>
      <c r="D8" s="5" t="n"/>
      <c r="E8" s="5" t="n"/>
      <c r="F8" s="5" t="n"/>
      <c r="G8" s="5" t="n"/>
      <c r="H8" s="5" t="n"/>
    </row>
    <row r="9">
      <c r="A9" s="15" t="inlineStr">
        <is>
          <t>EVD-005</t>
        </is>
      </c>
      <c r="B9" s="5" t="n"/>
      <c r="C9" s="5" t="n"/>
      <c r="D9" s="5" t="n"/>
      <c r="E9" s="5" t="n"/>
      <c r="F9" s="5" t="n"/>
      <c r="G9" s="5" t="n"/>
      <c r="H9" s="5" t="n"/>
    </row>
    <row r="10">
      <c r="A10" s="15" t="inlineStr">
        <is>
          <t>EVD-006</t>
        </is>
      </c>
      <c r="B10" s="5" t="n"/>
      <c r="C10" s="5" t="n"/>
      <c r="D10" s="5" t="n"/>
      <c r="E10" s="5" t="n"/>
      <c r="F10" s="5" t="n"/>
      <c r="G10" s="5" t="n"/>
      <c r="H10" s="5" t="n"/>
    </row>
    <row r="11">
      <c r="A11" s="15" t="inlineStr">
        <is>
          <t>EVD-007</t>
        </is>
      </c>
      <c r="B11" s="5" t="n"/>
      <c r="C11" s="5" t="n"/>
      <c r="D11" s="5" t="n"/>
      <c r="E11" s="5" t="n"/>
      <c r="F11" s="5" t="n"/>
      <c r="G11" s="5" t="n"/>
      <c r="H11" s="5" t="n"/>
    </row>
    <row r="12">
      <c r="A12" s="15" t="inlineStr">
        <is>
          <t>EVD-008</t>
        </is>
      </c>
      <c r="B12" s="5" t="n"/>
      <c r="C12" s="5" t="n"/>
      <c r="D12" s="5" t="n"/>
      <c r="E12" s="5" t="n"/>
      <c r="F12" s="5" t="n"/>
      <c r="G12" s="5" t="n"/>
      <c r="H12" s="5" t="n"/>
    </row>
    <row r="13">
      <c r="A13" s="15" t="inlineStr">
        <is>
          <t>EVD-009</t>
        </is>
      </c>
      <c r="B13" s="5" t="n"/>
      <c r="C13" s="5" t="n"/>
      <c r="D13" s="5" t="n"/>
      <c r="E13" s="5" t="n"/>
      <c r="F13" s="5" t="n"/>
      <c r="G13" s="5" t="n"/>
      <c r="H13" s="5" t="n"/>
    </row>
    <row r="14">
      <c r="A14" s="15" t="inlineStr">
        <is>
          <t>EVD-010</t>
        </is>
      </c>
      <c r="B14" s="5" t="n"/>
      <c r="C14" s="5" t="n"/>
      <c r="D14" s="5" t="n"/>
      <c r="E14" s="5" t="n"/>
      <c r="F14" s="5" t="n"/>
      <c r="G14" s="5" t="n"/>
      <c r="H14" s="5" t="n"/>
    </row>
    <row r="15">
      <c r="A15" s="15" t="inlineStr">
        <is>
          <t>EVD-011</t>
        </is>
      </c>
      <c r="B15" s="5" t="n"/>
      <c r="C15" s="5" t="n"/>
      <c r="D15" s="5" t="n"/>
      <c r="E15" s="5" t="n"/>
      <c r="F15" s="5" t="n"/>
      <c r="G15" s="5" t="n"/>
      <c r="H15" s="5" t="n"/>
    </row>
    <row r="16">
      <c r="A16" s="15" t="inlineStr">
        <is>
          <t>EVD-012</t>
        </is>
      </c>
      <c r="B16" s="5" t="n"/>
      <c r="C16" s="5" t="n"/>
      <c r="D16" s="5" t="n"/>
      <c r="E16" s="5" t="n"/>
      <c r="F16" s="5" t="n"/>
      <c r="G16" s="5" t="n"/>
      <c r="H16" s="5" t="n"/>
    </row>
    <row r="17">
      <c r="A17" s="15" t="inlineStr">
        <is>
          <t>EVD-013</t>
        </is>
      </c>
      <c r="B17" s="5" t="n"/>
      <c r="C17" s="5" t="n"/>
      <c r="D17" s="5" t="n"/>
      <c r="E17" s="5" t="n"/>
      <c r="F17" s="5" t="n"/>
      <c r="G17" s="5" t="n"/>
      <c r="H17" s="5" t="n"/>
    </row>
    <row r="18">
      <c r="A18" s="15" t="inlineStr">
        <is>
          <t>EVD-014</t>
        </is>
      </c>
      <c r="B18" s="5" t="n"/>
      <c r="C18" s="5" t="n"/>
      <c r="D18" s="5" t="n"/>
      <c r="E18" s="5" t="n"/>
      <c r="F18" s="5" t="n"/>
      <c r="G18" s="5" t="n"/>
      <c r="H18" s="5" t="n"/>
    </row>
    <row r="19">
      <c r="A19" s="15" t="inlineStr">
        <is>
          <t>EVD-015</t>
        </is>
      </c>
      <c r="B19" s="5" t="n"/>
      <c r="C19" s="5" t="n"/>
      <c r="D19" s="5" t="n"/>
      <c r="E19" s="5" t="n"/>
      <c r="F19" s="5" t="n"/>
      <c r="G19" s="5" t="n"/>
      <c r="H19" s="5" t="n"/>
    </row>
    <row r="20">
      <c r="A20" s="15" t="inlineStr">
        <is>
          <t>EVD-016</t>
        </is>
      </c>
      <c r="B20" s="5" t="n"/>
      <c r="C20" s="5" t="n"/>
      <c r="D20" s="5" t="n"/>
      <c r="E20" s="5" t="n"/>
      <c r="F20" s="5" t="n"/>
      <c r="G20" s="5" t="n"/>
      <c r="H20" s="5" t="n"/>
    </row>
    <row r="21">
      <c r="A21" s="15" t="inlineStr">
        <is>
          <t>EVD-017</t>
        </is>
      </c>
      <c r="B21" s="5" t="n"/>
      <c r="C21" s="5" t="n"/>
      <c r="D21" s="5" t="n"/>
      <c r="E21" s="5" t="n"/>
      <c r="F21" s="5" t="n"/>
      <c r="G21" s="5" t="n"/>
      <c r="H21" s="5" t="n"/>
    </row>
    <row r="22">
      <c r="A22" s="15" t="inlineStr">
        <is>
          <t>EVD-018</t>
        </is>
      </c>
      <c r="B22" s="5" t="n"/>
      <c r="C22" s="5" t="n"/>
      <c r="D22" s="5" t="n"/>
      <c r="E22" s="5" t="n"/>
      <c r="F22" s="5" t="n"/>
      <c r="G22" s="5" t="n"/>
      <c r="H22" s="5" t="n"/>
    </row>
    <row r="23">
      <c r="A23" s="15" t="inlineStr">
        <is>
          <t>EVD-019</t>
        </is>
      </c>
      <c r="B23" s="5" t="n"/>
      <c r="C23" s="5" t="n"/>
      <c r="D23" s="5" t="n"/>
      <c r="E23" s="5" t="n"/>
      <c r="F23" s="5" t="n"/>
      <c r="G23" s="5" t="n"/>
      <c r="H23" s="5" t="n"/>
    </row>
    <row r="24">
      <c r="A24" s="15" t="inlineStr">
        <is>
          <t>EVD-020</t>
        </is>
      </c>
      <c r="B24" s="5" t="n"/>
      <c r="C24" s="5" t="n"/>
      <c r="D24" s="5" t="n"/>
      <c r="E24" s="5" t="n"/>
      <c r="F24" s="5" t="n"/>
      <c r="G24" s="5" t="n"/>
      <c r="H24" s="5" t="n"/>
    </row>
    <row r="25">
      <c r="A25" s="15" t="inlineStr">
        <is>
          <t>EVD-021</t>
        </is>
      </c>
      <c r="B25" s="5" t="n"/>
      <c r="C25" s="5" t="n"/>
      <c r="D25" s="5" t="n"/>
      <c r="E25" s="5" t="n"/>
      <c r="F25" s="5" t="n"/>
      <c r="G25" s="5" t="n"/>
      <c r="H25" s="5" t="n"/>
    </row>
    <row r="26">
      <c r="A26" s="15" t="inlineStr">
        <is>
          <t>EVD-022</t>
        </is>
      </c>
      <c r="B26" s="5" t="n"/>
      <c r="C26" s="5" t="n"/>
      <c r="D26" s="5" t="n"/>
      <c r="E26" s="5" t="n"/>
      <c r="F26" s="5" t="n"/>
      <c r="G26" s="5" t="n"/>
      <c r="H26" s="5" t="n"/>
    </row>
    <row r="27">
      <c r="A27" s="15" t="inlineStr">
        <is>
          <t>EVD-023</t>
        </is>
      </c>
      <c r="B27" s="5" t="n"/>
      <c r="C27" s="5" t="n"/>
      <c r="D27" s="5" t="n"/>
      <c r="E27" s="5" t="n"/>
      <c r="F27" s="5" t="n"/>
      <c r="G27" s="5" t="n"/>
      <c r="H27" s="5" t="n"/>
    </row>
    <row r="28">
      <c r="A28" s="15" t="inlineStr">
        <is>
          <t>EVD-024</t>
        </is>
      </c>
      <c r="B28" s="5" t="n"/>
      <c r="C28" s="5" t="n"/>
      <c r="D28" s="5" t="n"/>
      <c r="E28" s="5" t="n"/>
      <c r="F28" s="5" t="n"/>
      <c r="G28" s="5" t="n"/>
      <c r="H28" s="5" t="n"/>
    </row>
    <row r="29">
      <c r="A29" s="15" t="inlineStr">
        <is>
          <t>EVD-025</t>
        </is>
      </c>
      <c r="B29" s="5" t="n"/>
      <c r="C29" s="5" t="n"/>
      <c r="D29" s="5" t="n"/>
      <c r="E29" s="5" t="n"/>
      <c r="F29" s="5" t="n"/>
      <c r="G29" s="5" t="n"/>
      <c r="H29" s="5" t="n"/>
    </row>
    <row r="30">
      <c r="A30" s="15" t="inlineStr">
        <is>
          <t>EVD-026</t>
        </is>
      </c>
      <c r="B30" s="5" t="n"/>
      <c r="C30" s="5" t="n"/>
      <c r="D30" s="5" t="n"/>
      <c r="E30" s="5" t="n"/>
      <c r="F30" s="5" t="n"/>
      <c r="G30" s="5" t="n"/>
      <c r="H30" s="5" t="n"/>
    </row>
    <row r="31">
      <c r="A31" s="15" t="inlineStr">
        <is>
          <t>EVD-027</t>
        </is>
      </c>
      <c r="B31" s="5" t="n"/>
      <c r="C31" s="5" t="n"/>
      <c r="D31" s="5" t="n"/>
      <c r="E31" s="5" t="n"/>
      <c r="F31" s="5" t="n"/>
      <c r="G31" s="5" t="n"/>
      <c r="H31" s="5" t="n"/>
    </row>
    <row r="32">
      <c r="A32" s="15" t="inlineStr">
        <is>
          <t>EVD-028</t>
        </is>
      </c>
      <c r="B32" s="5" t="n"/>
      <c r="C32" s="5" t="n"/>
      <c r="D32" s="5" t="n"/>
      <c r="E32" s="5" t="n"/>
      <c r="F32" s="5" t="n"/>
      <c r="G32" s="5" t="n"/>
      <c r="H32" s="5" t="n"/>
    </row>
    <row r="33">
      <c r="A33" s="15" t="inlineStr">
        <is>
          <t>EVD-029</t>
        </is>
      </c>
      <c r="B33" s="5" t="n"/>
      <c r="C33" s="5" t="n"/>
      <c r="D33" s="5" t="n"/>
      <c r="E33" s="5" t="n"/>
      <c r="F33" s="5" t="n"/>
      <c r="G33" s="5" t="n"/>
      <c r="H33" s="5" t="n"/>
    </row>
    <row r="34">
      <c r="A34" s="15" t="inlineStr">
        <is>
          <t>EVD-030</t>
        </is>
      </c>
      <c r="B34" s="5" t="n"/>
      <c r="C34" s="5" t="n"/>
      <c r="D34" s="5" t="n"/>
      <c r="E34" s="5" t="n"/>
      <c r="F34" s="5" t="n"/>
      <c r="G34" s="5" t="n"/>
      <c r="H34" s="5" t="n"/>
    </row>
    <row r="35">
      <c r="A35" s="15" t="inlineStr">
        <is>
          <t>EVD-031</t>
        </is>
      </c>
      <c r="B35" s="5" t="n"/>
      <c r="C35" s="5" t="n"/>
      <c r="D35" s="5" t="n"/>
      <c r="E35" s="5" t="n"/>
      <c r="F35" s="5" t="n"/>
      <c r="G35" s="5" t="n"/>
      <c r="H35" s="5" t="n"/>
    </row>
    <row r="36">
      <c r="A36" s="15" t="inlineStr">
        <is>
          <t>EVD-032</t>
        </is>
      </c>
      <c r="B36" s="5" t="n"/>
      <c r="C36" s="5" t="n"/>
      <c r="D36" s="5" t="n"/>
      <c r="E36" s="5" t="n"/>
      <c r="F36" s="5" t="n"/>
      <c r="G36" s="5" t="n"/>
      <c r="H36" s="5" t="n"/>
    </row>
    <row r="37">
      <c r="A37" s="15" t="inlineStr">
        <is>
          <t>EVD-033</t>
        </is>
      </c>
      <c r="B37" s="5" t="n"/>
      <c r="C37" s="5" t="n"/>
      <c r="D37" s="5" t="n"/>
      <c r="E37" s="5" t="n"/>
      <c r="F37" s="5" t="n"/>
      <c r="G37" s="5" t="n"/>
      <c r="H37" s="5" t="n"/>
    </row>
    <row r="38">
      <c r="A38" s="15" t="inlineStr">
        <is>
          <t>EVD-034</t>
        </is>
      </c>
      <c r="B38" s="5" t="n"/>
      <c r="C38" s="5" t="n"/>
      <c r="D38" s="5" t="n"/>
      <c r="E38" s="5" t="n"/>
      <c r="F38" s="5" t="n"/>
      <c r="G38" s="5" t="n"/>
      <c r="H38" s="5" t="n"/>
    </row>
    <row r="39">
      <c r="A39" s="15" t="inlineStr">
        <is>
          <t>EVD-035</t>
        </is>
      </c>
      <c r="B39" s="5" t="n"/>
      <c r="C39" s="5" t="n"/>
      <c r="D39" s="5" t="n"/>
      <c r="E39" s="5" t="n"/>
      <c r="F39" s="5" t="n"/>
      <c r="G39" s="5" t="n"/>
      <c r="H39" s="5" t="n"/>
    </row>
    <row r="40">
      <c r="A40" s="15" t="inlineStr">
        <is>
          <t>EVD-036</t>
        </is>
      </c>
      <c r="B40" s="5" t="n"/>
      <c r="C40" s="5" t="n"/>
      <c r="D40" s="5" t="n"/>
      <c r="E40" s="5" t="n"/>
      <c r="F40" s="5" t="n"/>
      <c r="G40" s="5" t="n"/>
      <c r="H40" s="5" t="n"/>
    </row>
    <row r="41">
      <c r="A41" s="15" t="inlineStr">
        <is>
          <t>EVD-037</t>
        </is>
      </c>
      <c r="B41" s="5" t="n"/>
      <c r="C41" s="5" t="n"/>
      <c r="D41" s="5" t="n"/>
      <c r="E41" s="5" t="n"/>
      <c r="F41" s="5" t="n"/>
      <c r="G41" s="5" t="n"/>
      <c r="H41" s="5" t="n"/>
    </row>
    <row r="42">
      <c r="A42" s="15" t="inlineStr">
        <is>
          <t>EVD-038</t>
        </is>
      </c>
      <c r="B42" s="5" t="n"/>
      <c r="C42" s="5" t="n"/>
      <c r="D42" s="5" t="n"/>
      <c r="E42" s="5" t="n"/>
      <c r="F42" s="5" t="n"/>
      <c r="G42" s="5" t="n"/>
      <c r="H42" s="5" t="n"/>
    </row>
    <row r="43">
      <c r="A43" s="15" t="inlineStr">
        <is>
          <t>EVD-039</t>
        </is>
      </c>
      <c r="B43" s="5" t="n"/>
      <c r="C43" s="5" t="n"/>
      <c r="D43" s="5" t="n"/>
      <c r="E43" s="5" t="n"/>
      <c r="F43" s="5" t="n"/>
      <c r="G43" s="5" t="n"/>
      <c r="H43" s="5" t="n"/>
    </row>
    <row r="44">
      <c r="A44" s="15" t="inlineStr">
        <is>
          <t>EVD-040</t>
        </is>
      </c>
      <c r="B44" s="5" t="n"/>
      <c r="C44" s="5" t="n"/>
      <c r="D44" s="5" t="n"/>
      <c r="E44" s="5" t="n"/>
      <c r="F44" s="5" t="n"/>
      <c r="G44" s="5" t="n"/>
      <c r="H44" s="5" t="n"/>
    </row>
    <row r="45">
      <c r="A45" s="15" t="inlineStr">
        <is>
          <t>EVD-041</t>
        </is>
      </c>
      <c r="B45" s="5" t="n"/>
      <c r="C45" s="5" t="n"/>
      <c r="D45" s="5" t="n"/>
      <c r="E45" s="5" t="n"/>
      <c r="F45" s="5" t="n"/>
      <c r="G45" s="5" t="n"/>
      <c r="H45" s="5" t="n"/>
    </row>
    <row r="46">
      <c r="A46" s="15" t="inlineStr">
        <is>
          <t>EVD-042</t>
        </is>
      </c>
      <c r="B46" s="5" t="n"/>
      <c r="C46" s="5" t="n"/>
      <c r="D46" s="5" t="n"/>
      <c r="E46" s="5" t="n"/>
      <c r="F46" s="5" t="n"/>
      <c r="G46" s="5" t="n"/>
      <c r="H46" s="5" t="n"/>
    </row>
    <row r="47">
      <c r="A47" s="15" t="inlineStr">
        <is>
          <t>EVD-043</t>
        </is>
      </c>
      <c r="B47" s="5" t="n"/>
      <c r="C47" s="5" t="n"/>
      <c r="D47" s="5" t="n"/>
      <c r="E47" s="5" t="n"/>
      <c r="F47" s="5" t="n"/>
      <c r="G47" s="5" t="n"/>
      <c r="H47" s="5" t="n"/>
    </row>
    <row r="48">
      <c r="A48" s="15" t="inlineStr">
        <is>
          <t>EVD-044</t>
        </is>
      </c>
      <c r="B48" s="5" t="n"/>
      <c r="C48" s="5" t="n"/>
      <c r="D48" s="5" t="n"/>
      <c r="E48" s="5" t="n"/>
      <c r="F48" s="5" t="n"/>
      <c r="G48" s="5" t="n"/>
      <c r="H48" s="5" t="n"/>
    </row>
    <row r="49">
      <c r="A49" s="15" t="inlineStr">
        <is>
          <t>EVD-045</t>
        </is>
      </c>
      <c r="B49" s="5" t="n"/>
      <c r="C49" s="5" t="n"/>
      <c r="D49" s="5" t="n"/>
      <c r="E49" s="5" t="n"/>
      <c r="F49" s="5" t="n"/>
      <c r="G49" s="5" t="n"/>
      <c r="H49" s="5" t="n"/>
    </row>
    <row r="50">
      <c r="A50" s="15" t="inlineStr">
        <is>
          <t>EVD-046</t>
        </is>
      </c>
      <c r="B50" s="5" t="n"/>
      <c r="C50" s="5" t="n"/>
      <c r="D50" s="5" t="n"/>
      <c r="E50" s="5" t="n"/>
      <c r="F50" s="5" t="n"/>
      <c r="G50" s="5" t="n"/>
      <c r="H50" s="5" t="n"/>
    </row>
    <row r="51">
      <c r="A51" s="15" t="inlineStr">
        <is>
          <t>EVD-047</t>
        </is>
      </c>
      <c r="B51" s="5" t="n"/>
      <c r="C51" s="5" t="n"/>
      <c r="D51" s="5" t="n"/>
      <c r="E51" s="5" t="n"/>
      <c r="F51" s="5" t="n"/>
      <c r="G51" s="5" t="n"/>
      <c r="H51" s="5" t="n"/>
    </row>
    <row r="52">
      <c r="A52" s="15" t="inlineStr">
        <is>
          <t>EVD-048</t>
        </is>
      </c>
      <c r="B52" s="5" t="n"/>
      <c r="C52" s="5" t="n"/>
      <c r="D52" s="5" t="n"/>
      <c r="E52" s="5" t="n"/>
      <c r="F52" s="5" t="n"/>
      <c r="G52" s="5" t="n"/>
      <c r="H52" s="5" t="n"/>
    </row>
    <row r="53">
      <c r="A53" s="15" t="inlineStr">
        <is>
          <t>EVD-049</t>
        </is>
      </c>
      <c r="B53" s="5" t="n"/>
      <c r="C53" s="5" t="n"/>
      <c r="D53" s="5" t="n"/>
      <c r="E53" s="5" t="n"/>
      <c r="F53" s="5" t="n"/>
      <c r="G53" s="5" t="n"/>
      <c r="H53" s="5" t="n"/>
    </row>
    <row r="54">
      <c r="A54" s="15" t="inlineStr">
        <is>
          <t>EVD-050</t>
        </is>
      </c>
      <c r="B54" s="5" t="n"/>
      <c r="C54" s="5" t="n"/>
      <c r="D54" s="5" t="n"/>
      <c r="E54" s="5" t="n"/>
      <c r="F54" s="5" t="n"/>
      <c r="G54" s="5" t="n"/>
      <c r="H54" s="5" t="n"/>
    </row>
    <row r="55">
      <c r="A55" s="15" t="inlineStr">
        <is>
          <t>EVD-051</t>
        </is>
      </c>
      <c r="B55" s="5" t="n"/>
      <c r="C55" s="5" t="n"/>
      <c r="D55" s="5" t="n"/>
      <c r="E55" s="5" t="n"/>
      <c r="F55" s="5" t="n"/>
      <c r="G55" s="5" t="n"/>
      <c r="H55" s="5" t="n"/>
    </row>
    <row r="56">
      <c r="A56" s="15" t="inlineStr">
        <is>
          <t>EVD-052</t>
        </is>
      </c>
      <c r="B56" s="5" t="n"/>
      <c r="C56" s="5" t="n"/>
      <c r="D56" s="5" t="n"/>
      <c r="E56" s="5" t="n"/>
      <c r="F56" s="5" t="n"/>
      <c r="G56" s="5" t="n"/>
      <c r="H56" s="5" t="n"/>
    </row>
    <row r="57">
      <c r="A57" s="15" t="inlineStr">
        <is>
          <t>EVD-053</t>
        </is>
      </c>
      <c r="B57" s="5" t="n"/>
      <c r="C57" s="5" t="n"/>
      <c r="D57" s="5" t="n"/>
      <c r="E57" s="5" t="n"/>
      <c r="F57" s="5" t="n"/>
      <c r="G57" s="5" t="n"/>
      <c r="H57" s="5" t="n"/>
    </row>
    <row r="58">
      <c r="A58" s="15" t="inlineStr">
        <is>
          <t>EVD-054</t>
        </is>
      </c>
      <c r="B58" s="5" t="n"/>
      <c r="C58" s="5" t="n"/>
      <c r="D58" s="5" t="n"/>
      <c r="E58" s="5" t="n"/>
      <c r="F58" s="5" t="n"/>
      <c r="G58" s="5" t="n"/>
      <c r="H58" s="5" t="n"/>
    </row>
    <row r="59">
      <c r="A59" s="15" t="inlineStr">
        <is>
          <t>EVD-055</t>
        </is>
      </c>
      <c r="B59" s="5" t="n"/>
      <c r="C59" s="5" t="n"/>
      <c r="D59" s="5" t="n"/>
      <c r="E59" s="5" t="n"/>
      <c r="F59" s="5" t="n"/>
      <c r="G59" s="5" t="n"/>
      <c r="H59" s="5" t="n"/>
    </row>
    <row r="60">
      <c r="A60" s="15" t="inlineStr">
        <is>
          <t>EVD-056</t>
        </is>
      </c>
      <c r="B60" s="5" t="n"/>
      <c r="C60" s="5" t="n"/>
      <c r="D60" s="5" t="n"/>
      <c r="E60" s="5" t="n"/>
      <c r="F60" s="5" t="n"/>
      <c r="G60" s="5" t="n"/>
      <c r="H60" s="5" t="n"/>
    </row>
    <row r="61">
      <c r="A61" s="15" t="inlineStr">
        <is>
          <t>EVD-057</t>
        </is>
      </c>
      <c r="B61" s="5" t="n"/>
      <c r="C61" s="5" t="n"/>
      <c r="D61" s="5" t="n"/>
      <c r="E61" s="5" t="n"/>
      <c r="F61" s="5" t="n"/>
      <c r="G61" s="5" t="n"/>
      <c r="H61" s="5" t="n"/>
    </row>
    <row r="62">
      <c r="A62" s="15" t="inlineStr">
        <is>
          <t>EVD-058</t>
        </is>
      </c>
      <c r="B62" s="5" t="n"/>
      <c r="C62" s="5" t="n"/>
      <c r="D62" s="5" t="n"/>
      <c r="E62" s="5" t="n"/>
      <c r="F62" s="5" t="n"/>
      <c r="G62" s="5" t="n"/>
      <c r="H62" s="5" t="n"/>
    </row>
    <row r="63">
      <c r="A63" s="15" t="inlineStr">
        <is>
          <t>EVD-059</t>
        </is>
      </c>
      <c r="B63" s="5" t="n"/>
      <c r="C63" s="5" t="n"/>
      <c r="D63" s="5" t="n"/>
      <c r="E63" s="5" t="n"/>
      <c r="F63" s="5" t="n"/>
      <c r="G63" s="5" t="n"/>
      <c r="H63" s="5" t="n"/>
    </row>
    <row r="64">
      <c r="A64" s="15" t="inlineStr">
        <is>
          <t>EVD-060</t>
        </is>
      </c>
      <c r="B64" s="5" t="n"/>
      <c r="C64" s="5" t="n"/>
      <c r="D64" s="5" t="n"/>
      <c r="E64" s="5" t="n"/>
      <c r="F64" s="5" t="n"/>
      <c r="G64" s="5" t="n"/>
      <c r="H64" s="5" t="n"/>
    </row>
    <row r="65">
      <c r="A65" s="15" t="inlineStr">
        <is>
          <t>EVD-061</t>
        </is>
      </c>
      <c r="B65" s="5" t="n"/>
      <c r="C65" s="5" t="n"/>
      <c r="D65" s="5" t="n"/>
      <c r="E65" s="5" t="n"/>
      <c r="F65" s="5" t="n"/>
      <c r="G65" s="5" t="n"/>
      <c r="H65" s="5" t="n"/>
    </row>
    <row r="66">
      <c r="A66" s="15" t="inlineStr">
        <is>
          <t>EVD-062</t>
        </is>
      </c>
      <c r="B66" s="5" t="n"/>
      <c r="C66" s="5" t="n"/>
      <c r="D66" s="5" t="n"/>
      <c r="E66" s="5" t="n"/>
      <c r="F66" s="5" t="n"/>
      <c r="G66" s="5" t="n"/>
      <c r="H66" s="5" t="n"/>
    </row>
    <row r="67">
      <c r="A67" s="15" t="inlineStr">
        <is>
          <t>EVD-063</t>
        </is>
      </c>
      <c r="B67" s="5" t="n"/>
      <c r="C67" s="5" t="n"/>
      <c r="D67" s="5" t="n"/>
      <c r="E67" s="5" t="n"/>
      <c r="F67" s="5" t="n"/>
      <c r="G67" s="5" t="n"/>
      <c r="H67" s="5" t="n"/>
    </row>
    <row r="68">
      <c r="A68" s="15" t="inlineStr">
        <is>
          <t>EVD-064</t>
        </is>
      </c>
      <c r="B68" s="5" t="n"/>
      <c r="C68" s="5" t="n"/>
      <c r="D68" s="5" t="n"/>
      <c r="E68" s="5" t="n"/>
      <c r="F68" s="5" t="n"/>
      <c r="G68" s="5" t="n"/>
      <c r="H68" s="5" t="n"/>
    </row>
    <row r="69">
      <c r="A69" s="15" t="inlineStr">
        <is>
          <t>EVD-065</t>
        </is>
      </c>
      <c r="B69" s="5" t="n"/>
      <c r="C69" s="5" t="n"/>
      <c r="D69" s="5" t="n"/>
      <c r="E69" s="5" t="n"/>
      <c r="F69" s="5" t="n"/>
      <c r="G69" s="5" t="n"/>
      <c r="H69" s="5" t="n"/>
    </row>
    <row r="70">
      <c r="A70" s="15" t="inlineStr">
        <is>
          <t>EVD-066</t>
        </is>
      </c>
      <c r="B70" s="5" t="n"/>
      <c r="C70" s="5" t="n"/>
      <c r="D70" s="5" t="n"/>
      <c r="E70" s="5" t="n"/>
      <c r="F70" s="5" t="n"/>
      <c r="G70" s="5" t="n"/>
      <c r="H70" s="5" t="n"/>
    </row>
    <row r="71">
      <c r="A71" s="15" t="inlineStr">
        <is>
          <t>EVD-067</t>
        </is>
      </c>
      <c r="B71" s="5" t="n"/>
      <c r="C71" s="5" t="n"/>
      <c r="D71" s="5" t="n"/>
      <c r="E71" s="5" t="n"/>
      <c r="F71" s="5" t="n"/>
      <c r="G71" s="5" t="n"/>
      <c r="H71" s="5" t="n"/>
    </row>
    <row r="72">
      <c r="A72" s="15" t="inlineStr">
        <is>
          <t>EVD-068</t>
        </is>
      </c>
      <c r="B72" s="5" t="n"/>
      <c r="C72" s="5" t="n"/>
      <c r="D72" s="5" t="n"/>
      <c r="E72" s="5" t="n"/>
      <c r="F72" s="5" t="n"/>
      <c r="G72" s="5" t="n"/>
      <c r="H72" s="5" t="n"/>
    </row>
    <row r="73">
      <c r="A73" s="15" t="inlineStr">
        <is>
          <t>EVD-069</t>
        </is>
      </c>
      <c r="B73" s="5" t="n"/>
      <c r="C73" s="5" t="n"/>
      <c r="D73" s="5" t="n"/>
      <c r="E73" s="5" t="n"/>
      <c r="F73" s="5" t="n"/>
      <c r="G73" s="5" t="n"/>
      <c r="H73" s="5" t="n"/>
    </row>
    <row r="74">
      <c r="A74" s="15" t="inlineStr">
        <is>
          <t>EVD-070</t>
        </is>
      </c>
      <c r="B74" s="5" t="n"/>
      <c r="C74" s="5" t="n"/>
      <c r="D74" s="5" t="n"/>
      <c r="E74" s="5" t="n"/>
      <c r="F74" s="5" t="n"/>
      <c r="G74" s="5" t="n"/>
      <c r="H74" s="5" t="n"/>
    </row>
    <row r="75">
      <c r="A75" s="15" t="inlineStr">
        <is>
          <t>EVD-071</t>
        </is>
      </c>
      <c r="B75" s="5" t="n"/>
      <c r="C75" s="5" t="n"/>
      <c r="D75" s="5" t="n"/>
      <c r="E75" s="5" t="n"/>
      <c r="F75" s="5" t="n"/>
      <c r="G75" s="5" t="n"/>
      <c r="H75" s="5" t="n"/>
    </row>
    <row r="76">
      <c r="A76" s="15" t="inlineStr">
        <is>
          <t>EVD-072</t>
        </is>
      </c>
      <c r="B76" s="5" t="n"/>
      <c r="C76" s="5" t="n"/>
      <c r="D76" s="5" t="n"/>
      <c r="E76" s="5" t="n"/>
      <c r="F76" s="5" t="n"/>
      <c r="G76" s="5" t="n"/>
      <c r="H76" s="5" t="n"/>
    </row>
    <row r="77">
      <c r="A77" s="15" t="inlineStr">
        <is>
          <t>EVD-073</t>
        </is>
      </c>
      <c r="B77" s="5" t="n"/>
      <c r="C77" s="5" t="n"/>
      <c r="D77" s="5" t="n"/>
      <c r="E77" s="5" t="n"/>
      <c r="F77" s="5" t="n"/>
      <c r="G77" s="5" t="n"/>
      <c r="H77" s="5" t="n"/>
    </row>
    <row r="78">
      <c r="A78" s="15" t="inlineStr">
        <is>
          <t>EVD-074</t>
        </is>
      </c>
      <c r="B78" s="5" t="n"/>
      <c r="C78" s="5" t="n"/>
      <c r="D78" s="5" t="n"/>
      <c r="E78" s="5" t="n"/>
      <c r="F78" s="5" t="n"/>
      <c r="G78" s="5" t="n"/>
      <c r="H78" s="5" t="n"/>
    </row>
    <row r="79">
      <c r="A79" s="15" t="inlineStr">
        <is>
          <t>EVD-075</t>
        </is>
      </c>
      <c r="B79" s="5" t="n"/>
      <c r="C79" s="5" t="n"/>
      <c r="D79" s="5" t="n"/>
      <c r="E79" s="5" t="n"/>
      <c r="F79" s="5" t="n"/>
      <c r="G79" s="5" t="n"/>
      <c r="H79" s="5" t="n"/>
    </row>
    <row r="80">
      <c r="A80" s="15" t="inlineStr">
        <is>
          <t>EVD-076</t>
        </is>
      </c>
      <c r="B80" s="5" t="n"/>
      <c r="C80" s="5" t="n"/>
      <c r="D80" s="5" t="n"/>
      <c r="E80" s="5" t="n"/>
      <c r="F80" s="5" t="n"/>
      <c r="G80" s="5" t="n"/>
      <c r="H80" s="5" t="n"/>
    </row>
    <row r="81">
      <c r="A81" s="15" t="inlineStr">
        <is>
          <t>EVD-077</t>
        </is>
      </c>
      <c r="B81" s="5" t="n"/>
      <c r="C81" s="5" t="n"/>
      <c r="D81" s="5" t="n"/>
      <c r="E81" s="5" t="n"/>
      <c r="F81" s="5" t="n"/>
      <c r="G81" s="5" t="n"/>
      <c r="H81" s="5" t="n"/>
    </row>
    <row r="82">
      <c r="A82" s="15" t="inlineStr">
        <is>
          <t>EVD-078</t>
        </is>
      </c>
      <c r="B82" s="5" t="n"/>
      <c r="C82" s="5" t="n"/>
      <c r="D82" s="5" t="n"/>
      <c r="E82" s="5" t="n"/>
      <c r="F82" s="5" t="n"/>
      <c r="G82" s="5" t="n"/>
      <c r="H82" s="5" t="n"/>
    </row>
    <row r="83">
      <c r="A83" s="15" t="inlineStr">
        <is>
          <t>EVD-079</t>
        </is>
      </c>
      <c r="B83" s="5" t="n"/>
      <c r="C83" s="5" t="n"/>
      <c r="D83" s="5" t="n"/>
      <c r="E83" s="5" t="n"/>
      <c r="F83" s="5" t="n"/>
      <c r="G83" s="5" t="n"/>
      <c r="H83" s="5" t="n"/>
    </row>
    <row r="84">
      <c r="A84" s="15" t="inlineStr">
        <is>
          <t>EVD-080</t>
        </is>
      </c>
      <c r="B84" s="5" t="n"/>
      <c r="C84" s="5" t="n"/>
      <c r="D84" s="5" t="n"/>
      <c r="E84" s="5" t="n"/>
      <c r="F84" s="5" t="n"/>
      <c r="G84" s="5" t="n"/>
      <c r="H84" s="5" t="n"/>
    </row>
    <row r="85">
      <c r="A85" s="15" t="inlineStr">
        <is>
          <t>EVD-081</t>
        </is>
      </c>
      <c r="B85" s="5" t="n"/>
      <c r="C85" s="5" t="n"/>
      <c r="D85" s="5" t="n"/>
      <c r="E85" s="5" t="n"/>
      <c r="F85" s="5" t="n"/>
      <c r="G85" s="5" t="n"/>
      <c r="H85" s="5" t="n"/>
    </row>
    <row r="86">
      <c r="A86" s="15" t="inlineStr">
        <is>
          <t>EVD-082</t>
        </is>
      </c>
      <c r="B86" s="5" t="n"/>
      <c r="C86" s="5" t="n"/>
      <c r="D86" s="5" t="n"/>
      <c r="E86" s="5" t="n"/>
      <c r="F86" s="5" t="n"/>
      <c r="G86" s="5" t="n"/>
      <c r="H86" s="5" t="n"/>
    </row>
    <row r="87">
      <c r="A87" s="15" t="inlineStr">
        <is>
          <t>EVD-083</t>
        </is>
      </c>
      <c r="B87" s="5" t="n"/>
      <c r="C87" s="5" t="n"/>
      <c r="D87" s="5" t="n"/>
      <c r="E87" s="5" t="n"/>
      <c r="F87" s="5" t="n"/>
      <c r="G87" s="5" t="n"/>
      <c r="H87" s="5" t="n"/>
    </row>
    <row r="88">
      <c r="A88" s="15" t="inlineStr">
        <is>
          <t>EVD-084</t>
        </is>
      </c>
      <c r="B88" s="5" t="n"/>
      <c r="C88" s="5" t="n"/>
      <c r="D88" s="5" t="n"/>
      <c r="E88" s="5" t="n"/>
      <c r="F88" s="5" t="n"/>
      <c r="G88" s="5" t="n"/>
      <c r="H88" s="5" t="n"/>
    </row>
    <row r="89">
      <c r="A89" s="15" t="inlineStr">
        <is>
          <t>EVD-085</t>
        </is>
      </c>
      <c r="B89" s="5" t="n"/>
      <c r="C89" s="5" t="n"/>
      <c r="D89" s="5" t="n"/>
      <c r="E89" s="5" t="n"/>
      <c r="F89" s="5" t="n"/>
      <c r="G89" s="5" t="n"/>
      <c r="H89" s="5" t="n"/>
    </row>
    <row r="90">
      <c r="A90" s="15" t="inlineStr">
        <is>
          <t>EVD-086</t>
        </is>
      </c>
      <c r="B90" s="5" t="n"/>
      <c r="C90" s="5" t="n"/>
      <c r="D90" s="5" t="n"/>
      <c r="E90" s="5" t="n"/>
      <c r="F90" s="5" t="n"/>
      <c r="G90" s="5" t="n"/>
      <c r="H90" s="5" t="n"/>
    </row>
    <row r="91">
      <c r="A91" s="15" t="inlineStr">
        <is>
          <t>EVD-087</t>
        </is>
      </c>
      <c r="B91" s="5" t="n"/>
      <c r="C91" s="5" t="n"/>
      <c r="D91" s="5" t="n"/>
      <c r="E91" s="5" t="n"/>
      <c r="F91" s="5" t="n"/>
      <c r="G91" s="5" t="n"/>
      <c r="H91" s="5" t="n"/>
    </row>
    <row r="92">
      <c r="A92" s="15" t="inlineStr">
        <is>
          <t>EVD-088</t>
        </is>
      </c>
      <c r="B92" s="5" t="n"/>
      <c r="C92" s="5" t="n"/>
      <c r="D92" s="5" t="n"/>
      <c r="E92" s="5" t="n"/>
      <c r="F92" s="5" t="n"/>
      <c r="G92" s="5" t="n"/>
      <c r="H92" s="5" t="n"/>
    </row>
    <row r="93">
      <c r="A93" s="15" t="inlineStr">
        <is>
          <t>EVD-089</t>
        </is>
      </c>
      <c r="B93" s="5" t="n"/>
      <c r="C93" s="5" t="n"/>
      <c r="D93" s="5" t="n"/>
      <c r="E93" s="5" t="n"/>
      <c r="F93" s="5" t="n"/>
      <c r="G93" s="5" t="n"/>
      <c r="H93" s="5" t="n"/>
    </row>
    <row r="94">
      <c r="A94" s="15" t="inlineStr">
        <is>
          <t>EVD-090</t>
        </is>
      </c>
      <c r="B94" s="5" t="n"/>
      <c r="C94" s="5" t="n"/>
      <c r="D94" s="5" t="n"/>
      <c r="E94" s="5" t="n"/>
      <c r="F94" s="5" t="n"/>
      <c r="G94" s="5" t="n"/>
      <c r="H94" s="5" t="n"/>
    </row>
    <row r="95">
      <c r="A95" s="15" t="inlineStr">
        <is>
          <t>EVD-091</t>
        </is>
      </c>
      <c r="B95" s="5" t="n"/>
      <c r="C95" s="5" t="n"/>
      <c r="D95" s="5" t="n"/>
      <c r="E95" s="5" t="n"/>
      <c r="F95" s="5" t="n"/>
      <c r="G95" s="5" t="n"/>
      <c r="H95" s="5" t="n"/>
    </row>
    <row r="96">
      <c r="A96" s="15" t="inlineStr">
        <is>
          <t>EVD-092</t>
        </is>
      </c>
      <c r="B96" s="5" t="n"/>
      <c r="C96" s="5" t="n"/>
      <c r="D96" s="5" t="n"/>
      <c r="E96" s="5" t="n"/>
      <c r="F96" s="5" t="n"/>
      <c r="G96" s="5" t="n"/>
      <c r="H96" s="5" t="n"/>
    </row>
    <row r="97">
      <c r="A97" s="15" t="inlineStr">
        <is>
          <t>EVD-093</t>
        </is>
      </c>
      <c r="B97" s="5" t="n"/>
      <c r="C97" s="5" t="n"/>
      <c r="D97" s="5" t="n"/>
      <c r="E97" s="5" t="n"/>
      <c r="F97" s="5" t="n"/>
      <c r="G97" s="5" t="n"/>
      <c r="H97" s="5" t="n"/>
    </row>
    <row r="98">
      <c r="A98" s="15" t="inlineStr">
        <is>
          <t>EVD-094</t>
        </is>
      </c>
      <c r="B98" s="5" t="n"/>
      <c r="C98" s="5" t="n"/>
      <c r="D98" s="5" t="n"/>
      <c r="E98" s="5" t="n"/>
      <c r="F98" s="5" t="n"/>
      <c r="G98" s="5" t="n"/>
      <c r="H98" s="5" t="n"/>
    </row>
    <row r="99">
      <c r="A99" s="15" t="inlineStr">
        <is>
          <t>EVD-095</t>
        </is>
      </c>
      <c r="B99" s="5" t="n"/>
      <c r="C99" s="5" t="n"/>
      <c r="D99" s="5" t="n"/>
      <c r="E99" s="5" t="n"/>
      <c r="F99" s="5" t="n"/>
      <c r="G99" s="5" t="n"/>
      <c r="H99" s="5" t="n"/>
    </row>
    <row r="100">
      <c r="A100" s="15" t="inlineStr">
        <is>
          <t>EVD-096</t>
        </is>
      </c>
      <c r="B100" s="5" t="n"/>
      <c r="C100" s="5" t="n"/>
      <c r="D100" s="5" t="n"/>
      <c r="E100" s="5" t="n"/>
      <c r="F100" s="5" t="n"/>
      <c r="G100" s="5" t="n"/>
      <c r="H100" s="5" t="n"/>
    </row>
    <row r="101">
      <c r="A101" s="15" t="inlineStr">
        <is>
          <t>EVD-097</t>
        </is>
      </c>
      <c r="B101" s="5" t="n"/>
      <c r="C101" s="5" t="n"/>
      <c r="D101" s="5" t="n"/>
      <c r="E101" s="5" t="n"/>
      <c r="F101" s="5" t="n"/>
      <c r="G101" s="5" t="n"/>
      <c r="H101" s="5" t="n"/>
    </row>
    <row r="102">
      <c r="A102" s="15" t="inlineStr">
        <is>
          <t>EVD-098</t>
        </is>
      </c>
      <c r="B102" s="5" t="n"/>
      <c r="C102" s="5" t="n"/>
      <c r="D102" s="5" t="n"/>
      <c r="E102" s="5" t="n"/>
      <c r="F102" s="5" t="n"/>
      <c r="G102" s="5" t="n"/>
      <c r="H102" s="5" t="n"/>
    </row>
    <row r="103">
      <c r="A103" s="15" t="inlineStr">
        <is>
          <t>EVD-099</t>
        </is>
      </c>
      <c r="B103" s="5" t="n"/>
      <c r="C103" s="5" t="n"/>
      <c r="D103" s="5" t="n"/>
      <c r="E103" s="5" t="n"/>
      <c r="F103" s="5" t="n"/>
      <c r="G103" s="5" t="n"/>
      <c r="H103" s="5" t="n"/>
    </row>
    <row r="104">
      <c r="A104" s="15" t="inlineStr">
        <is>
          <t>EVD-100</t>
        </is>
      </c>
      <c r="B104" s="5" t="n"/>
      <c r="C104" s="5" t="n"/>
      <c r="D104" s="5" t="n"/>
      <c r="E104" s="5" t="n"/>
      <c r="F104" s="5" t="n"/>
      <c r="G104" s="5" t="n"/>
      <c r="H104" s="5" t="n"/>
    </row>
  </sheetData>
  <mergeCells count="2">
    <mergeCell ref="A2:H2"/>
    <mergeCell ref="A1:H1"/>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"Network Diagram,VLAN Config,Firewall Policy,VPN Config,WiFi Config,Cloud Dashboard,NAC Policy,Exemption Approval,Test Results,Monitoring Report,Change Record,Other"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"Verified,Pending,Not Verified"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5"/>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 width="18" customWidth="1" min="3" max="3"/>
    <col width="18" customWidth="1" min="4" max="4"/>
    <col width="18" customWidth="1" min="5" max="5"/>
  </cols>
  <sheetData>
    <row r="1" ht="30" customHeight="1">
      <c r="A1" s="1" t="inlineStr">
        <is>
          <t>ASSESSMENT APPROVAL &amp; SIGN-OFF</t>
        </is>
      </c>
    </row>
    <row r="3">
      <c r="A3" s="18" t="inlineStr">
        <is>
          <t>ASSESSMENT SUMMARY</t>
        </is>
      </c>
    </row>
    <row r="4">
      <c r="A4" s="4" t="inlineStr">
        <is>
          <t>Assessment Document:</t>
        </is>
      </c>
      <c r="B4" t="inlineStr">
        <is>
          <t>ISMS-IMP-A.8.23.2 - Network Coverage</t>
        </is>
      </c>
    </row>
    <row r="5">
      <c r="A5" s="4" t="inlineStr">
        <is>
          <t>Assessment Period:</t>
        </is>
      </c>
      <c r="B5" s="5" t="inlineStr">
        <is>
          <t>[USER INPUT]</t>
        </is>
      </c>
    </row>
    <row r="6">
      <c r="A6" s="4" t="inlineStr">
        <is>
          <t>Total Segments Assessed:</t>
        </is>
      </c>
      <c r="B6" t="inlineStr">
        <is>
          <t>[Formula from Network_Segment_Inventory]</t>
        </is>
      </c>
    </row>
    <row r="7">
      <c r="A7" s="4" t="inlineStr">
        <is>
          <t>Fully Protected:</t>
        </is>
      </c>
      <c r="B7" t="inlineStr">
        <is>
          <t>[Formula - 100% coverage]</t>
        </is>
      </c>
    </row>
    <row r="8">
      <c r="A8" s="4" t="inlineStr">
        <is>
          <t>Partially Protected:</t>
        </is>
      </c>
      <c r="B8" t="inlineStr">
        <is>
          <t>[Formula - &lt;100% coverage]</t>
        </is>
      </c>
    </row>
    <row r="9">
      <c r="A9" s="4" t="inlineStr">
        <is>
          <t>Unprotected:</t>
        </is>
      </c>
      <c r="B9" t="inlineStr">
        <is>
          <t>[Formula - 0% coverage]</t>
        </is>
      </c>
    </row>
    <row r="10">
      <c r="A10" s="4" t="inlineStr">
        <is>
          <t>Exempted:</t>
        </is>
      </c>
      <c r="B10" t="inlineStr">
        <is>
          <t>[Formula from Exemption_Register]</t>
        </is>
      </c>
    </row>
    <row r="11">
      <c r="A11" s="4" t="inlineStr">
        <is>
          <t>Overall Coverage Score:</t>
        </is>
      </c>
      <c r="B11" t="inlineStr">
        <is>
          <t>[Formula]%</t>
        </is>
      </c>
    </row>
    <row r="12">
      <c r="A12" s="4" t="inlineStr">
        <is>
          <t>Critical Gaps:</t>
        </is>
      </c>
      <c r="B12" t="inlineStr">
        <is>
          <t>[Formula from Gap_Identification]</t>
        </is>
      </c>
    </row>
    <row r="13">
      <c r="A13" s="4" t="inlineStr">
        <is>
          <t>Assessment Status:</t>
        </is>
      </c>
      <c r="B13" s="5" t="inlineStr">
        <is>
          <t>[Dropdown]</t>
        </is>
      </c>
    </row>
    <row r="16">
      <c r="A16" s="18" t="inlineStr">
        <is>
          <t>ASSESSMENT COMPLETED BY</t>
        </is>
      </c>
    </row>
    <row r="17">
      <c r="A17" s="4" t="inlineStr">
        <is>
          <t>Name:</t>
        </is>
      </c>
      <c r="B17" s="5" t="n"/>
    </row>
    <row r="18">
      <c r="A18" s="4" t="inlineStr">
        <is>
          <t>Role/Title:</t>
        </is>
      </c>
      <c r="B18" s="5" t="n"/>
    </row>
    <row r="19">
      <c r="A19" s="4" t="inlineStr">
        <is>
          <t>Department:</t>
        </is>
      </c>
      <c r="B19" s="5" t="n"/>
    </row>
    <row r="20">
      <c r="A20" s="4" t="inlineStr">
        <is>
          <t>Email:</t>
        </is>
      </c>
      <c r="B20" s="5" t="n"/>
    </row>
    <row r="21">
      <c r="A21" s="4" t="inlineStr">
        <is>
          <t>Date:</t>
        </is>
      </c>
      <c r="B21" s="5" t="n"/>
    </row>
    <row r="22">
      <c r="A22" s="4" t="inlineStr">
        <is>
          <t>Signature:</t>
        </is>
      </c>
      <c r="B22" s="5" t="n"/>
    </row>
    <row r="25">
      <c r="A25" s="18" t="inlineStr">
        <is>
          <t>REVIEWED BY (NETWORK ADMINISTRATOR)</t>
        </is>
      </c>
    </row>
    <row r="26">
      <c r="A26" s="4" t="inlineStr">
        <is>
          <t>Name:</t>
        </is>
      </c>
      <c r="B26" s="5" t="n"/>
    </row>
    <row r="27">
      <c r="A27" s="4" t="inlineStr">
        <is>
          <t>Date:</t>
        </is>
      </c>
      <c r="B27" s="5" t="n"/>
    </row>
    <row r="28">
      <c r="A28" s="4" t="inlineStr">
        <is>
          <t>Review Notes:</t>
        </is>
      </c>
      <c r="B28" s="29" t="n"/>
    </row>
    <row r="29"/>
    <row r="30"/>
    <row r="31">
      <c r="A31" s="4" t="inlineStr">
        <is>
          <t>Recommendation:</t>
        </is>
      </c>
      <c r="B31" s="5" t="n"/>
    </row>
    <row r="34">
      <c r="A34" s="18" t="inlineStr">
        <is>
          <t>REVIEWED BY (INFORMATION SECURITY OFFICER)</t>
        </is>
      </c>
    </row>
    <row r="35">
      <c r="A35" s="4" t="inlineStr">
        <is>
          <t>Name:</t>
        </is>
      </c>
      <c r="B35" s="5" t="n"/>
    </row>
    <row r="36">
      <c r="A36" s="4" t="inlineStr">
        <is>
          <t>Date:</t>
        </is>
      </c>
      <c r="B36" s="5" t="n"/>
    </row>
    <row r="37">
      <c r="A37" s="4" t="inlineStr">
        <is>
          <t>Review Notes:</t>
        </is>
      </c>
      <c r="B37" s="29" t="n"/>
    </row>
    <row r="38"/>
    <row r="39"/>
    <row r="40">
      <c r="A40" s="4" t="inlineStr">
        <is>
          <t>Recommendation:</t>
        </is>
      </c>
      <c r="B40" s="5" t="n"/>
    </row>
    <row r="43">
      <c r="A43" s="30" t="inlineStr">
        <is>
          <t>APPROVED BY (CISO)</t>
        </is>
      </c>
    </row>
    <row r="44">
      <c r="A44" s="4" t="inlineStr">
        <is>
          <t>Name:</t>
        </is>
      </c>
      <c r="B44" s="5" t="n"/>
    </row>
    <row r="45">
      <c r="A45" s="4" t="inlineStr">
        <is>
          <t>Date:</t>
        </is>
      </c>
      <c r="B45" s="5" t="n"/>
    </row>
    <row r="46">
      <c r="A46" s="4" t="inlineStr">
        <is>
          <t>Approval Decision:</t>
        </is>
      </c>
      <c r="B46" s="5" t="n"/>
    </row>
    <row r="47">
      <c r="A47" s="4" t="inlineStr">
        <is>
          <t>Conditions/Notes:</t>
        </is>
      </c>
      <c r="B47" s="29" t="n"/>
    </row>
    <row r="48"/>
    <row r="49"/>
    <row r="52">
      <c r="A52" s="18" t="inlineStr">
        <is>
          <t>NEXT REVIEW DETAILS</t>
        </is>
      </c>
    </row>
    <row r="53">
      <c r="A53" s="4" t="inlineStr">
        <is>
          <t>Next Review Date:</t>
        </is>
      </c>
      <c r="B53" s="31">
        <f>TODAY()+90</f>
        <v/>
      </c>
    </row>
    <row r="54">
      <c r="A54" s="4" t="inlineStr">
        <is>
          <t>Review Responsible:</t>
        </is>
      </c>
      <c r="B54" s="5" t="n"/>
    </row>
    <row r="55">
      <c r="A55" s="4" t="inlineStr">
        <is>
          <t>Special Considerations:</t>
        </is>
      </c>
      <c r="B55" s="5" t="n"/>
    </row>
  </sheetData>
  <mergeCells count="30">
    <mergeCell ref="A34:E34"/>
    <mergeCell ref="B40:E40"/>
    <mergeCell ref="A1:E1"/>
    <mergeCell ref="B55:E55"/>
    <mergeCell ref="B20:E20"/>
    <mergeCell ref="B36:E36"/>
    <mergeCell ref="B45:E45"/>
    <mergeCell ref="B26:E26"/>
    <mergeCell ref="B35:E35"/>
    <mergeCell ref="A16:E16"/>
    <mergeCell ref="A25:E25"/>
    <mergeCell ref="B54:E54"/>
    <mergeCell ref="B47:E49"/>
    <mergeCell ref="B46:E46"/>
    <mergeCell ref="B22:E22"/>
    <mergeCell ref="A3:E3"/>
    <mergeCell ref="B31:E31"/>
    <mergeCell ref="B18:E18"/>
    <mergeCell ref="B27:E27"/>
    <mergeCell ref="B21:E21"/>
    <mergeCell ref="B17:E17"/>
    <mergeCell ref="A43:E43"/>
    <mergeCell ref="B53:E53"/>
    <mergeCell ref="A52:E52"/>
    <mergeCell ref="B44:E44"/>
    <mergeCell ref="B19:E19"/>
    <mergeCell ref="B37:E37"/>
    <mergeCell ref="B28:E28"/>
    <mergeCell ref="B37:E39"/>
    <mergeCell ref="B28:E30"/>
  </mergeCells>
  <dataValidations count="3">
    <dataValidation sqref="B13" showDropDown="0" showInputMessage="0" showErrorMessage="0" allowBlank="0" type="list">
      <formula1>"Draft,Final,Requires Remediation,Re-assessment Required"</formula1>
    </dataValidation>
    <dataValidation sqref="B46" showDropDown="0" showInputMessage="0" showErrorMessage="0" allowBlank="0" type="list">
      <formula1>"Approved,Approved with Conditions,Rejected"</formula1>
    </dataValidation>
    <dataValidation sqref="B31 B40" showDropDown="0" showInputMessage="0" showErrorMessage="0" allowBlank="0" type="list">
      <formula1>"Approve,Approve with Conditions,Reject,Require Rework"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2026-02-08T10:49:55Z</dcterms:created>
  <dcterms:modified xmlns:dcterms="http://purl.org/dc/terms/" xmlns:xsi="http://www.w3.org/2001/XMLSchema-instance" xsi:type="dcterms:W3CDTF">2026-02-08T10:49:55Z</dcterms:modified>
</cp:coreProperties>
</file>