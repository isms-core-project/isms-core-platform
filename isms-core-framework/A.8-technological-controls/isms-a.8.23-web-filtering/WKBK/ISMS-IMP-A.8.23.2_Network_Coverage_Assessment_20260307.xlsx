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Network Segment Inventory" sheetId="2" state="visible" r:id="rId2"/>
    <sheet xmlns:r="http://schemas.openxmlformats.org/officeDocument/2006/relationships" name="Coverage Matrix" sheetId="3" state="visible" r:id="rId3"/>
    <sheet xmlns:r="http://schemas.openxmlformats.org/officeDocument/2006/relationships" name="Gap Analysis" sheetId="4" state="visible" r:id="rId4"/>
    <sheet xmlns:r="http://schemas.openxmlformats.org/officeDocument/2006/relationships" name="Device Inventory" sheetId="5" state="visible" r:id="rId5"/>
    <sheet xmlns:r="http://schemas.openxmlformats.org/officeDocument/2006/relationships" name="Exemption Register" sheetId="6" state="visible" r:id="rId6"/>
    <sheet xmlns:r="http://schemas.openxmlformats.org/officeDocument/2006/relationships" name="Coverage Verification"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3">
    <numFmt numFmtId="164" formatCode="0&quot;%&quot;"/>
    <numFmt numFmtId="165" formatCode="DD.MM.YYYY"/>
    <numFmt numFmtId="166" formatCode="0.0%"/>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sz val="9"/>
    </font>
    <font>
      <b val="1"/>
      <color rgb="000000FF"/>
    </font>
    <font>
      <b val="1"/>
      <color rgb="00FFFFFF"/>
      <sz val="11"/>
    </font>
    <font>
      <b val="1"/>
    </font>
    <font>
      <b val="1"/>
      <color rgb="000000FF"/>
      <sz val="11"/>
    </font>
    <font>
      <b val="1"/>
      <color rgb="00000000"/>
    </font>
    <font>
      <b val="1"/>
      <color rgb="00C00000"/>
      <sz val="11"/>
    </font>
    <font>
      <b val="1"/>
      <color rgb="00C00000"/>
    </font>
    <font>
      <b val="1"/>
      <color rgb="00C00000"/>
      <sz val="10"/>
    </font>
    <font>
      <name val="Calibri"/>
      <i val="1"/>
      <color rgb="00003366"/>
      <sz val="10"/>
    </font>
    <font>
      <color rgb="00000000"/>
    </font>
    <font>
      <b val="1"/>
      <color rgb="00000000"/>
      <sz val="10"/>
    </font>
    <font>
      <name val="Calibri"/>
    </font>
    <font>
      <b val="1"/>
      <color rgb="00FFFFFF"/>
      <sz val="10"/>
    </font>
    <font>
      <name val="Calibri"/>
      <i val="1"/>
    </font>
    <font>
      <name val="Calibri"/>
      <b val="1"/>
      <color rgb="00FFFFFF"/>
    </font>
    <font>
      <name val="Calibri"/>
      <sz val="10"/>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0" borderId="0" pivotButton="0" quotePrefix="0" xfId="0"/>
    <xf numFmtId="0" fontId="0" fillId="9" borderId="1" pivotButton="0" quotePrefix="0" xfId="0"/>
    <xf numFmtId="0" fontId="0" fillId="9" borderId="1" applyAlignment="1" pivotButton="0" quotePrefix="0" xfId="0">
      <alignment horizontal="center" vertical="center"/>
    </xf>
    <xf numFmtId="164" fontId="8" fillId="0" borderId="0" pivotButton="0" quotePrefix="0" xfId="0"/>
    <xf numFmtId="0" fontId="9" fillId="10" borderId="0" applyAlignment="1" pivotButton="0" quotePrefix="0" xfId="0">
      <alignment horizontal="center" vertical="center"/>
    </xf>
    <xf numFmtId="0" fontId="10" fillId="0" borderId="0" pivotButton="0" quotePrefix="0" xfId="0"/>
    <xf numFmtId="0" fontId="11" fillId="0" borderId="0" pivotButton="0" quotePrefix="0" xfId="0"/>
    <xf numFmtId="0" fontId="10" fillId="11" borderId="0" pivotButton="0" quotePrefix="0" xfId="0"/>
    <xf numFmtId="0" fontId="8" fillId="0" borderId="0" pivotButton="0" quotePrefix="0" xfId="0"/>
    <xf numFmtId="0" fontId="0" fillId="12" borderId="0" pivotButton="0" quotePrefix="0" xfId="0"/>
    <xf numFmtId="0" fontId="0" fillId="13" borderId="0" pivotButton="0" quotePrefix="0" xfId="0"/>
    <xf numFmtId="0" fontId="0" fillId="14" borderId="0" pivotButton="0" quotePrefix="0" xfId="0"/>
    <xf numFmtId="0" fontId="7" fillId="15" borderId="1" pivotButton="0" quotePrefix="0" xfId="0"/>
    <xf numFmtId="0" fontId="0" fillId="15" borderId="1" pivotButton="0" quotePrefix="0" xfId="0"/>
    <xf numFmtId="0" fontId="6" fillId="16" borderId="0" pivotButton="0" quotePrefix="0" xfId="0"/>
    <xf numFmtId="0" fontId="12" fillId="14" borderId="0" pivotButton="0" quotePrefix="0" xfId="0"/>
    <xf numFmtId="0" fontId="12" fillId="13" borderId="0" pivotButton="0" quotePrefix="0" xfId="0"/>
    <xf numFmtId="0" fontId="12" fillId="12" borderId="0" pivotButton="0" quotePrefix="0" xfId="0"/>
    <xf numFmtId="0" fontId="13" fillId="0" borderId="0" pivotButton="0" quotePrefix="0" xfId="0"/>
    <xf numFmtId="0" fontId="14" fillId="0" borderId="0" pivotButton="0" quotePrefix="0" xfId="0"/>
    <xf numFmtId="0" fontId="15" fillId="0" borderId="0" applyAlignment="1" pivotButton="0" quotePrefix="0" xfId="0">
      <alignment horizontal="center" vertical="center" wrapText="1"/>
    </xf>
    <xf numFmtId="165" fontId="0" fillId="0" borderId="0" pivotButton="0" quotePrefix="0" xfId="0"/>
    <xf numFmtId="0" fontId="0" fillId="0" borderId="0" applyAlignment="1" pivotButton="0" quotePrefix="0" xfId="0">
      <alignment wrapText="1"/>
    </xf>
    <xf numFmtId="0" fontId="21" fillId="0" borderId="0" applyAlignment="1" pivotButton="0" quotePrefix="0" xfId="0">
      <alignment horizontal="left" vertical="center"/>
    </xf>
    <xf numFmtId="0" fontId="22" fillId="8" borderId="1" applyAlignment="1" pivotButton="0" quotePrefix="0" xfId="0">
      <alignment horizontal="center" vertical="center" wrapText="1"/>
    </xf>
    <xf numFmtId="0" fontId="23" fillId="15" borderId="1" applyAlignment="1" pivotButton="0" quotePrefix="0" xfId="0">
      <alignment horizontal="center" vertical="center" wrapText="1"/>
    </xf>
    <xf numFmtId="0" fontId="23" fillId="15" borderId="1" applyAlignment="1" pivotButton="0" quotePrefix="0" xfId="0">
      <alignment horizontal="left" vertical="center" wrapText="1"/>
    </xf>
    <xf numFmtId="0" fontId="0" fillId="9" borderId="1" applyAlignment="1" pivotButton="0" quotePrefix="0" xfId="0">
      <alignment horizontal="center" vertical="center" wrapText="1"/>
    </xf>
    <xf numFmtId="0" fontId="0" fillId="9" borderId="1" applyAlignment="1" pivotButton="0" quotePrefix="0" xfId="0">
      <alignment horizontal="left" vertical="center" wrapText="1"/>
    </xf>
    <xf numFmtId="0" fontId="1" fillId="8" borderId="1" applyAlignment="1" pivotButton="0" quotePrefix="0" xfId="0">
      <alignment horizontal="center" vertical="center" wrapText="1"/>
    </xf>
    <xf numFmtId="0" fontId="16" fillId="0" borderId="0" applyAlignment="1" pivotButton="0" quotePrefix="0" xfId="0">
      <alignment horizontal="left" vertical="center"/>
    </xf>
    <xf numFmtId="0" fontId="9" fillId="8" borderId="1" applyAlignment="1" pivotButton="0" quotePrefix="0" xfId="0">
      <alignment horizontal="left" vertical="center"/>
    </xf>
    <xf numFmtId="0" fontId="12" fillId="11" borderId="1" applyAlignment="1" pivotButton="0" quotePrefix="0" xfId="0">
      <alignment horizontal="center" vertical="center" wrapText="1"/>
    </xf>
    <xf numFmtId="0" fontId="17" fillId="0" borderId="1" applyAlignment="1" pivotButton="0" quotePrefix="0" xfId="0">
      <alignment horizontal="center" vertical="center"/>
    </xf>
    <xf numFmtId="166" fontId="10" fillId="0" borderId="1" applyAlignment="1" pivotButton="0" quotePrefix="0" xfId="0">
      <alignment horizontal="center" vertical="center"/>
    </xf>
    <xf numFmtId="0" fontId="10" fillId="4" borderId="1" pivotButton="0" quotePrefix="0" xfId="0"/>
    <xf numFmtId="0" fontId="10" fillId="4" borderId="1" applyAlignment="1" pivotButton="0" quotePrefix="0" xfId="0">
      <alignment horizontal="center" vertical="center"/>
    </xf>
    <xf numFmtId="166" fontId="10" fillId="4" borderId="1" applyAlignment="1" pivotButton="0" quotePrefix="0" xfId="0">
      <alignment horizontal="center" vertical="center"/>
    </xf>
    <xf numFmtId="0" fontId="18" fillId="11" borderId="1" applyAlignment="1" pivotButton="0" quotePrefix="0" xfId="0">
      <alignment horizontal="left" vertical="center" wrapText="1"/>
    </xf>
    <xf numFmtId="0" fontId="0" fillId="11" borderId="1" pivotButton="0" quotePrefix="0" xfId="0"/>
    <xf numFmtId="0" fontId="19" fillId="0" borderId="1" pivotButton="0" quotePrefix="0" xfId="0"/>
    <xf numFmtId="1" fontId="0" fillId="0" borderId="1" applyAlignment="1" pivotButton="0" quotePrefix="0" xfId="0">
      <alignment horizontal="center" vertical="center"/>
    </xf>
    <xf numFmtId="0" fontId="9" fillId="16" borderId="1" applyAlignment="1" pivotButton="0" quotePrefix="0" xfId="0">
      <alignment horizontal="left" vertical="center"/>
    </xf>
    <xf numFmtId="0" fontId="20" fillId="8" borderId="1" applyAlignment="1" pivotButton="0" quotePrefix="0" xfId="0">
      <alignment horizontal="left" vertical="center" wrapText="1"/>
    </xf>
    <xf numFmtId="0" fontId="16" fillId="0" borderId="1" applyAlignment="1" pivotButton="0" quotePrefix="0" xfId="0">
      <alignment horizontal="center" vertical="center"/>
    </xf>
    <xf numFmtId="0" fontId="5" fillId="10" borderId="1" applyAlignment="1" pivotButton="0" quotePrefix="0" xfId="0">
      <alignment horizontal="left" vertical="center"/>
    </xf>
    <xf numFmtId="0" fontId="4" fillId="0" borderId="1" pivotButton="0" quotePrefix="0" xfId="0"/>
    <xf numFmtId="0" fontId="5" fillId="8" borderId="1" applyAlignment="1" pivotButton="0" quotePrefix="0" xfId="0">
      <alignment horizontal="left" vertical="center"/>
    </xf>
    <xf numFmtId="0" fontId="2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ISMS-IMP-A.8.23.2  -  Network Coverage Assessment
ISO/IEC 27001:2022 - Control A.8.23: Web Filtering</t>
        </is>
      </c>
    </row>
    <row r="3">
      <c r="A3" s="2" t="inlineStr">
        <is>
          <t>Document Information</t>
        </is>
      </c>
    </row>
    <row r="4">
      <c r="A4" s="3" t="inlineStr">
        <is>
          <t>Document ID</t>
        </is>
      </c>
      <c r="B4" t="inlineStr">
        <is>
          <t>ISMS-IMP-A.8.23.2</t>
        </is>
      </c>
    </row>
    <row r="5">
      <c r="A5" s="3" t="inlineStr">
        <is>
          <t>Workbook Title</t>
        </is>
      </c>
      <c r="B5" t="inlineStr">
        <is>
          <t>Network Coverage Assessment</t>
        </is>
      </c>
    </row>
    <row r="6">
      <c r="A6" s="3" t="inlineStr">
        <is>
          <t>Control Reference</t>
        </is>
      </c>
      <c r="B6" t="inlineStr">
        <is>
          <t>ISO/IEC 27001:2022 - Control A.8.23: Web Filtering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Network Segment Inventory for every segment in your environment.</t>
        </is>
      </c>
    </row>
    <row r="14">
      <c r="A14" t="inlineStr">
        <is>
          <t>2. Document your specific network architecture (office LANs, WLANs, VPN, cloud endpoints, etc.).</t>
        </is>
      </c>
    </row>
    <row r="15">
      <c r="A15" t="inlineStr">
        <is>
          <t>3. Map filtering solutions to network segments in the Coverage Matrix.</t>
        </is>
      </c>
    </row>
    <row r="16">
      <c r="A16" t="inlineStr">
        <is>
          <t>4. Calculate coverage percentages and identify gaps in the Gap Analysis sheet.</t>
        </is>
      </c>
    </row>
    <row r="17">
      <c r="A17" t="inlineStr">
        <is>
          <t>5. Document any devices or segments exempt from filtering in the Exemption Register.</t>
        </is>
      </c>
    </row>
    <row r="18">
      <c r="A18" t="inlineStr">
        <is>
          <t>6. Perform technical verification tests and record results in Coverage Verification.</t>
        </is>
      </c>
    </row>
    <row r="19">
      <c r="A19" t="inlineStr">
        <is>
          <t>7. Track all supporting evidence in the Evidence Register.</t>
        </is>
      </c>
    </row>
    <row r="20">
      <c r="A20" t="inlineStr">
        <is>
          <t>8. Obtain network security and CISO approval via the Approval Sign-Off sheet.</t>
        </is>
      </c>
    </row>
    <row r="21">
      <c r="A21" t="inlineStr">
        <is>
          <t>9. Update quarterly or after any network topology changes.</t>
        </is>
      </c>
    </row>
    <row r="22">
      <c r="A22" t="inlineStr">
        <is>
          <t>10. Coordinate with ISMS-IMP-A.8.23.1 (Infrastructure Assessment) for cross-reference.</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5"/>
  <sheetViews>
    <sheetView showGridLines="0" workbookViewId="0">
      <pane ySplit="4" topLeftCell="A5" activePane="bottomLeft" state="frozen"/>
      <selection pane="bottomLeft" activeCell="A1" sqref="A1"/>
    </sheetView>
  </sheetViews>
  <sheetFormatPr baseColWidth="8" defaultRowHeight="15"/>
  <cols>
    <col width="15" customWidth="1" min="1" max="1"/>
    <col width="30" customWidth="1" min="2" max="2"/>
    <col width="25" customWidth="1" min="3" max="3"/>
    <col width="25" customWidth="1" min="4" max="4"/>
    <col width="20" customWidth="1" min="5" max="5"/>
    <col width="12" customWidth="1" min="6" max="6"/>
    <col width="12" customWidth="1" min="7" max="7"/>
    <col width="15" customWidth="1" min="8" max="8"/>
    <col width="15" customWidth="1" min="9" max="9"/>
    <col width="18" customWidth="1" min="10" max="10"/>
    <col width="30" customWidth="1" min="11" max="11"/>
    <col width="12" customWidth="1" min="12" max="12"/>
    <col width="25" customWidth="1" min="13" max="13"/>
    <col width="15" customWidth="1" min="14" max="14"/>
    <col width="35" customWidth="1" min="15" max="15"/>
  </cols>
  <sheetData>
    <row r="1" ht="35" customHeight="1">
      <c r="A1" s="11" t="inlineStr">
        <is>
          <t>NETWORK SEGMENT INVENTORY</t>
        </is>
      </c>
    </row>
    <row r="2">
      <c r="A2" s="12" t="inlineStr">
        <is>
          <t>Document all network segments requiring web filtering protection</t>
        </is>
      </c>
    </row>
    <row r="4">
      <c r="A4" s="13" t="inlineStr">
        <is>
          <t>Segment ID</t>
        </is>
      </c>
      <c r="B4" s="13" t="inlineStr">
        <is>
          <t>Segment Name</t>
        </is>
      </c>
      <c r="C4" s="13" t="inlineStr">
        <is>
          <t>Segment Type</t>
        </is>
      </c>
      <c r="D4" s="13" t="inlineStr">
        <is>
          <t>Location/Site</t>
        </is>
      </c>
      <c r="E4" s="13" t="inlineStr">
        <is>
          <t>Subnet/VLAN</t>
        </is>
      </c>
      <c r="F4" s="13" t="inlineStr">
        <is>
          <t>User Count</t>
        </is>
      </c>
      <c r="G4" s="13" t="inlineStr">
        <is>
          <t>Device Count</t>
        </is>
      </c>
      <c r="H4" s="13" t="inlineStr">
        <is>
          <t>Internet Access?</t>
        </is>
      </c>
      <c r="I4" s="13" t="inlineStr">
        <is>
          <t>Filtering Required?</t>
        </is>
      </c>
      <c r="J4" s="13" t="inlineStr">
        <is>
          <t>Filtering Status</t>
        </is>
      </c>
      <c r="K4" s="13" t="inlineStr">
        <is>
          <t>Filtering Solution(s)</t>
        </is>
      </c>
      <c r="L4" s="13" t="inlineStr">
        <is>
          <t>Coverage %</t>
        </is>
      </c>
      <c r="M4" s="13" t="inlineStr">
        <is>
          <t>Bypass Methods</t>
        </is>
      </c>
      <c r="N4" s="13" t="inlineStr">
        <is>
          <t>Exemption ID</t>
        </is>
      </c>
      <c r="O4" s="13" t="inlineStr">
        <is>
          <t>Evidence</t>
        </is>
      </c>
    </row>
    <row r="5">
      <c r="A5" s="14" t="inlineStr">
        <is>
          <t>SEG-001</t>
        </is>
      </c>
      <c r="B5" s="15" t="n"/>
      <c r="C5" s="15" t="n"/>
      <c r="D5" s="15" t="n"/>
      <c r="E5" s="15" t="n"/>
      <c r="F5" s="15" t="n"/>
      <c r="G5" s="15" t="n"/>
      <c r="H5" s="15" t="n"/>
      <c r="I5" s="15" t="n"/>
      <c r="J5" s="15" t="n"/>
      <c r="K5" s="15" t="n"/>
      <c r="L5" s="15" t="n"/>
      <c r="M5" s="15" t="n"/>
      <c r="N5" s="15" t="n"/>
      <c r="O5" s="15" t="n"/>
    </row>
    <row r="6">
      <c r="B6" s="15" t="n"/>
      <c r="C6" s="15" t="n"/>
      <c r="D6" s="15" t="n"/>
      <c r="E6" s="15" t="n"/>
      <c r="F6" s="15" t="n"/>
      <c r="G6" s="15" t="n"/>
      <c r="H6" s="15" t="n"/>
      <c r="I6" s="15" t="n"/>
      <c r="J6" s="15" t="n"/>
      <c r="K6" s="15" t="n"/>
      <c r="L6" s="15" t="n"/>
      <c r="M6" s="15" t="n"/>
      <c r="N6" s="15" t="n"/>
      <c r="O6" s="15" t="n"/>
    </row>
    <row r="7">
      <c r="B7" s="15" t="n"/>
      <c r="C7" s="15" t="n"/>
      <c r="D7" s="15" t="n"/>
      <c r="E7" s="15" t="n"/>
      <c r="F7" s="15" t="n"/>
      <c r="G7" s="15" t="n"/>
      <c r="H7" s="15" t="n"/>
      <c r="I7" s="15" t="n"/>
      <c r="J7" s="15" t="n"/>
      <c r="K7" s="15" t="n"/>
      <c r="L7" s="15" t="n"/>
      <c r="M7" s="15" t="n"/>
      <c r="N7" s="15" t="n"/>
      <c r="O7" s="15" t="n"/>
    </row>
    <row r="8">
      <c r="B8" s="15" t="n"/>
      <c r="C8" s="15" t="n"/>
      <c r="D8" s="15" t="n"/>
      <c r="E8" s="15" t="n"/>
      <c r="F8" s="15" t="n"/>
      <c r="G8" s="15" t="n"/>
      <c r="H8" s="15" t="n"/>
      <c r="I8" s="15" t="n"/>
      <c r="J8" s="15" t="n"/>
      <c r="K8" s="15" t="n"/>
      <c r="L8" s="15" t="n"/>
      <c r="M8" s="15" t="n"/>
      <c r="N8" s="15" t="n"/>
      <c r="O8" s="15" t="n"/>
    </row>
    <row r="9">
      <c r="B9" s="15" t="n"/>
      <c r="C9" s="15" t="n"/>
      <c r="D9" s="15" t="n"/>
      <c r="E9" s="15" t="n"/>
      <c r="F9" s="15" t="n"/>
      <c r="G9" s="15" t="n"/>
      <c r="H9" s="15" t="n"/>
      <c r="I9" s="15" t="n"/>
      <c r="J9" s="15" t="n"/>
      <c r="K9" s="15" t="n"/>
      <c r="L9" s="15" t="n"/>
      <c r="M9" s="15" t="n"/>
      <c r="N9" s="15" t="n"/>
      <c r="O9" s="15" t="n"/>
    </row>
    <row r="10">
      <c r="B10" s="15" t="n"/>
      <c r="C10" s="15" t="n"/>
      <c r="D10" s="15" t="n"/>
      <c r="E10" s="15" t="n"/>
      <c r="F10" s="15" t="n"/>
      <c r="G10" s="15" t="n"/>
      <c r="H10" s="15" t="n"/>
      <c r="I10" s="15" t="n"/>
      <c r="J10" s="15" t="n"/>
      <c r="K10" s="15" t="n"/>
      <c r="L10" s="15" t="n"/>
      <c r="M10" s="15" t="n"/>
      <c r="N10" s="15" t="n"/>
      <c r="O10" s="15" t="n"/>
    </row>
    <row r="11">
      <c r="B11" s="15" t="n"/>
      <c r="C11" s="15" t="n"/>
      <c r="D11" s="15" t="n"/>
      <c r="E11" s="15" t="n"/>
      <c r="F11" s="15" t="n"/>
      <c r="G11" s="15" t="n"/>
      <c r="H11" s="15" t="n"/>
      <c r="I11" s="15" t="n"/>
      <c r="J11" s="15" t="n"/>
      <c r="K11" s="15" t="n"/>
      <c r="L11" s="15" t="n"/>
      <c r="M11" s="15" t="n"/>
      <c r="N11" s="15" t="n"/>
      <c r="O11" s="15" t="n"/>
    </row>
    <row r="12">
      <c r="B12" s="15" t="n"/>
      <c r="C12" s="15" t="n"/>
      <c r="D12" s="15" t="n"/>
      <c r="E12" s="15" t="n"/>
      <c r="F12" s="15" t="n"/>
      <c r="G12" s="15" t="n"/>
      <c r="H12" s="15" t="n"/>
      <c r="I12" s="15" t="n"/>
      <c r="J12" s="15" t="n"/>
      <c r="K12" s="15" t="n"/>
      <c r="L12" s="15" t="n"/>
      <c r="M12" s="15" t="n"/>
      <c r="N12" s="15" t="n"/>
      <c r="O12" s="15" t="n"/>
    </row>
    <row r="13">
      <c r="B13" s="15" t="n"/>
      <c r="C13" s="15" t="n"/>
      <c r="D13" s="15" t="n"/>
      <c r="E13" s="15" t="n"/>
      <c r="F13" s="15" t="n"/>
      <c r="G13" s="15" t="n"/>
      <c r="H13" s="15" t="n"/>
      <c r="I13" s="15" t="n"/>
      <c r="J13" s="15" t="n"/>
      <c r="K13" s="15" t="n"/>
      <c r="L13" s="15" t="n"/>
      <c r="M13" s="15" t="n"/>
      <c r="N13" s="15" t="n"/>
      <c r="O13" s="15" t="n"/>
    </row>
    <row r="14">
      <c r="B14" s="15" t="n"/>
      <c r="C14" s="15" t="n"/>
      <c r="D14" s="15" t="n"/>
      <c r="E14" s="15" t="n"/>
      <c r="F14" s="15" t="n"/>
      <c r="G14" s="15" t="n"/>
      <c r="H14" s="15" t="n"/>
      <c r="I14" s="15" t="n"/>
      <c r="J14" s="15" t="n"/>
      <c r="K14" s="15" t="n"/>
      <c r="L14" s="15" t="n"/>
      <c r="M14" s="15" t="n"/>
      <c r="N14" s="15" t="n"/>
      <c r="O14" s="15" t="n"/>
    </row>
    <row r="15">
      <c r="B15" s="15" t="n"/>
      <c r="C15" s="15" t="n"/>
      <c r="D15" s="15" t="n"/>
      <c r="E15" s="15" t="n"/>
      <c r="F15" s="15" t="n"/>
      <c r="G15" s="15" t="n"/>
      <c r="H15" s="15" t="n"/>
      <c r="I15" s="15" t="n"/>
      <c r="J15" s="15" t="n"/>
      <c r="K15" s="15" t="n"/>
      <c r="L15" s="15" t="n"/>
      <c r="M15" s="15" t="n"/>
      <c r="N15" s="15" t="n"/>
      <c r="O15" s="15" t="n"/>
    </row>
    <row r="16">
      <c r="B16" s="15" t="n"/>
      <c r="C16" s="15" t="n"/>
      <c r="D16" s="15" t="n"/>
      <c r="E16" s="15" t="n"/>
      <c r="F16" s="15" t="n"/>
      <c r="G16" s="15" t="n"/>
      <c r="H16" s="15" t="n"/>
      <c r="I16" s="15" t="n"/>
      <c r="J16" s="15" t="n"/>
      <c r="K16" s="15" t="n"/>
      <c r="L16" s="15" t="n"/>
      <c r="M16" s="15" t="n"/>
      <c r="N16" s="15" t="n"/>
      <c r="O16" s="15" t="n"/>
    </row>
    <row r="17">
      <c r="B17" s="15" t="n"/>
      <c r="C17" s="15" t="n"/>
      <c r="D17" s="15" t="n"/>
      <c r="E17" s="15" t="n"/>
      <c r="F17" s="15" t="n"/>
      <c r="G17" s="15" t="n"/>
      <c r="H17" s="15" t="n"/>
      <c r="I17" s="15" t="n"/>
      <c r="J17" s="15" t="n"/>
      <c r="K17" s="15" t="n"/>
      <c r="L17" s="15" t="n"/>
      <c r="M17" s="15" t="n"/>
      <c r="N17" s="15" t="n"/>
      <c r="O17" s="15" t="n"/>
    </row>
    <row r="18">
      <c r="B18" s="15" t="n"/>
      <c r="C18" s="15" t="n"/>
      <c r="D18" s="15" t="n"/>
      <c r="E18" s="15" t="n"/>
      <c r="F18" s="15" t="n"/>
      <c r="G18" s="15" t="n"/>
      <c r="H18" s="15" t="n"/>
      <c r="I18" s="15" t="n"/>
      <c r="J18" s="15" t="n"/>
      <c r="K18" s="15" t="n"/>
      <c r="L18" s="15" t="n"/>
      <c r="M18" s="15" t="n"/>
      <c r="N18" s="15" t="n"/>
      <c r="O18" s="15" t="n"/>
    </row>
    <row r="19">
      <c r="B19" s="15" t="n"/>
      <c r="C19" s="15" t="n"/>
      <c r="D19" s="15" t="n"/>
      <c r="E19" s="15" t="n"/>
      <c r="F19" s="15" t="n"/>
      <c r="G19" s="15" t="n"/>
      <c r="H19" s="15" t="n"/>
      <c r="I19" s="15" t="n"/>
      <c r="J19" s="15" t="n"/>
      <c r="K19" s="15" t="n"/>
      <c r="L19" s="15" t="n"/>
      <c r="M19" s="15" t="n"/>
      <c r="N19" s="15" t="n"/>
      <c r="O19" s="15" t="n"/>
    </row>
    <row r="20">
      <c r="B20" s="15" t="n"/>
      <c r="C20" s="15" t="n"/>
      <c r="D20" s="15" t="n"/>
      <c r="E20" s="15" t="n"/>
      <c r="F20" s="15" t="n"/>
      <c r="G20" s="15" t="n"/>
      <c r="H20" s="15" t="n"/>
      <c r="I20" s="15" t="n"/>
      <c r="J20" s="15" t="n"/>
      <c r="K20" s="15" t="n"/>
      <c r="L20" s="15" t="n"/>
      <c r="M20" s="15" t="n"/>
      <c r="N20" s="15" t="n"/>
      <c r="O20" s="15" t="n"/>
    </row>
    <row r="21">
      <c r="B21" s="15" t="n"/>
      <c r="C21" s="15" t="n"/>
      <c r="D21" s="15" t="n"/>
      <c r="E21" s="15" t="n"/>
      <c r="F21" s="15" t="n"/>
      <c r="G21" s="15" t="n"/>
      <c r="H21" s="15" t="n"/>
      <c r="I21" s="15" t="n"/>
      <c r="J21" s="15" t="n"/>
      <c r="K21" s="15" t="n"/>
      <c r="L21" s="15" t="n"/>
      <c r="M21" s="15" t="n"/>
      <c r="N21" s="15" t="n"/>
      <c r="O21" s="15" t="n"/>
    </row>
    <row r="22">
      <c r="B22" s="15" t="n"/>
      <c r="C22" s="15" t="n"/>
      <c r="D22" s="15" t="n"/>
      <c r="E22" s="15" t="n"/>
      <c r="F22" s="15" t="n"/>
      <c r="G22" s="15" t="n"/>
      <c r="H22" s="15" t="n"/>
      <c r="I22" s="15" t="n"/>
      <c r="J22" s="15" t="n"/>
      <c r="K22" s="15" t="n"/>
      <c r="L22" s="15" t="n"/>
      <c r="M22" s="15" t="n"/>
      <c r="N22" s="15" t="n"/>
      <c r="O22" s="15" t="n"/>
    </row>
    <row r="23">
      <c r="B23" s="15" t="n"/>
      <c r="C23" s="15" t="n"/>
      <c r="D23" s="15" t="n"/>
      <c r="E23" s="15" t="n"/>
      <c r="F23" s="15" t="n"/>
      <c r="G23" s="15" t="n"/>
      <c r="H23" s="15" t="n"/>
      <c r="I23" s="15" t="n"/>
      <c r="J23" s="15" t="n"/>
      <c r="K23" s="15" t="n"/>
      <c r="L23" s="15" t="n"/>
      <c r="M23" s="15" t="n"/>
      <c r="N23" s="15" t="n"/>
      <c r="O23" s="15" t="n"/>
    </row>
    <row r="24">
      <c r="B24" s="15" t="n"/>
      <c r="C24" s="15" t="n"/>
      <c r="D24" s="15" t="n"/>
      <c r="E24" s="15" t="n"/>
      <c r="F24" s="15" t="n"/>
      <c r="G24" s="15" t="n"/>
      <c r="H24" s="15" t="n"/>
      <c r="I24" s="15" t="n"/>
      <c r="J24" s="15" t="n"/>
      <c r="K24" s="15" t="n"/>
      <c r="L24" s="15" t="n"/>
      <c r="M24" s="15" t="n"/>
      <c r="N24" s="15" t="n"/>
      <c r="O24" s="15" t="n"/>
    </row>
    <row r="25">
      <c r="B25" s="15" t="n"/>
      <c r="C25" s="15" t="n"/>
      <c r="D25" s="15" t="n"/>
      <c r="E25" s="15" t="n"/>
      <c r="F25" s="15" t="n"/>
      <c r="G25" s="15" t="n"/>
      <c r="H25" s="15" t="n"/>
      <c r="I25" s="15" t="n"/>
      <c r="J25" s="15" t="n"/>
      <c r="K25" s="15" t="n"/>
      <c r="L25" s="15" t="n"/>
      <c r="M25" s="15" t="n"/>
      <c r="N25" s="15" t="n"/>
      <c r="O25" s="15" t="n"/>
    </row>
    <row r="26">
      <c r="B26" s="15" t="n"/>
      <c r="C26" s="15" t="n"/>
      <c r="D26" s="15" t="n"/>
      <c r="E26" s="15" t="n"/>
      <c r="F26" s="15" t="n"/>
      <c r="G26" s="15" t="n"/>
      <c r="H26" s="15" t="n"/>
      <c r="I26" s="15" t="n"/>
      <c r="J26" s="15" t="n"/>
      <c r="K26" s="15" t="n"/>
      <c r="L26" s="15" t="n"/>
      <c r="M26" s="15" t="n"/>
      <c r="N26" s="15" t="n"/>
      <c r="O26" s="15" t="n"/>
    </row>
    <row r="27">
      <c r="B27" s="15" t="n"/>
      <c r="C27" s="15" t="n"/>
      <c r="D27" s="15" t="n"/>
      <c r="E27" s="15" t="n"/>
      <c r="F27" s="15" t="n"/>
      <c r="G27" s="15" t="n"/>
      <c r="H27" s="15" t="n"/>
      <c r="I27" s="15" t="n"/>
      <c r="J27" s="15" t="n"/>
      <c r="K27" s="15" t="n"/>
      <c r="L27" s="15" t="n"/>
      <c r="M27" s="15" t="n"/>
      <c r="N27" s="15" t="n"/>
      <c r="O27" s="15" t="n"/>
    </row>
    <row r="28">
      <c r="B28" s="15" t="n"/>
      <c r="C28" s="15" t="n"/>
      <c r="D28" s="15" t="n"/>
      <c r="E28" s="15" t="n"/>
      <c r="F28" s="15" t="n"/>
      <c r="G28" s="15" t="n"/>
      <c r="H28" s="15" t="n"/>
      <c r="I28" s="15" t="n"/>
      <c r="J28" s="15" t="n"/>
      <c r="K28" s="15" t="n"/>
      <c r="L28" s="15" t="n"/>
      <c r="M28" s="15" t="n"/>
      <c r="N28" s="15" t="n"/>
      <c r="O28" s="15" t="n"/>
    </row>
    <row r="29">
      <c r="B29" s="15" t="n"/>
      <c r="C29" s="15" t="n"/>
      <c r="D29" s="15" t="n"/>
      <c r="E29" s="15" t="n"/>
      <c r="F29" s="15" t="n"/>
      <c r="G29" s="15" t="n"/>
      <c r="H29" s="15" t="n"/>
      <c r="I29" s="15" t="n"/>
      <c r="J29" s="15" t="n"/>
      <c r="K29" s="15" t="n"/>
      <c r="L29" s="15" t="n"/>
      <c r="M29" s="15" t="n"/>
      <c r="N29" s="15" t="n"/>
      <c r="O29" s="15" t="n"/>
    </row>
    <row r="30">
      <c r="B30" s="15" t="n"/>
      <c r="C30" s="15" t="n"/>
      <c r="D30" s="15" t="n"/>
      <c r="E30" s="15" t="n"/>
      <c r="F30" s="15" t="n"/>
      <c r="G30" s="15" t="n"/>
      <c r="H30" s="15" t="n"/>
      <c r="I30" s="15" t="n"/>
      <c r="J30" s="15" t="n"/>
      <c r="K30" s="15" t="n"/>
      <c r="L30" s="15" t="n"/>
      <c r="M30" s="15" t="n"/>
      <c r="N30" s="15" t="n"/>
      <c r="O30" s="15" t="n"/>
    </row>
    <row r="31">
      <c r="B31" s="15" t="n"/>
      <c r="C31" s="15" t="n"/>
      <c r="D31" s="15" t="n"/>
      <c r="E31" s="15" t="n"/>
      <c r="F31" s="15" t="n"/>
      <c r="G31" s="15" t="n"/>
      <c r="H31" s="15" t="n"/>
      <c r="I31" s="15" t="n"/>
      <c r="J31" s="15" t="n"/>
      <c r="K31" s="15" t="n"/>
      <c r="L31" s="15" t="n"/>
      <c r="M31" s="15" t="n"/>
      <c r="N31" s="15" t="n"/>
      <c r="O31" s="15" t="n"/>
    </row>
    <row r="32">
      <c r="B32" s="15" t="n"/>
      <c r="C32" s="15" t="n"/>
      <c r="D32" s="15" t="n"/>
      <c r="E32" s="15" t="n"/>
      <c r="F32" s="15" t="n"/>
      <c r="G32" s="15" t="n"/>
      <c r="H32" s="15" t="n"/>
      <c r="I32" s="15" t="n"/>
      <c r="J32" s="15" t="n"/>
      <c r="K32" s="15" t="n"/>
      <c r="L32" s="15" t="n"/>
      <c r="M32" s="15" t="n"/>
      <c r="N32" s="15" t="n"/>
      <c r="O32" s="15" t="n"/>
    </row>
    <row r="33">
      <c r="B33" s="15" t="n"/>
      <c r="C33" s="15" t="n"/>
      <c r="D33" s="15" t="n"/>
      <c r="E33" s="15" t="n"/>
      <c r="F33" s="15" t="n"/>
      <c r="G33" s="15" t="n"/>
      <c r="H33" s="15" t="n"/>
      <c r="I33" s="15" t="n"/>
      <c r="J33" s="15" t="n"/>
      <c r="K33" s="15" t="n"/>
      <c r="L33" s="15" t="n"/>
      <c r="M33" s="15" t="n"/>
      <c r="N33" s="15" t="n"/>
      <c r="O33" s="15" t="n"/>
    </row>
    <row r="34">
      <c r="B34" s="15" t="n"/>
      <c r="C34" s="15" t="n"/>
      <c r="D34" s="15" t="n"/>
      <c r="E34" s="15" t="n"/>
      <c r="F34" s="15" t="n"/>
      <c r="G34" s="15" t="n"/>
      <c r="H34" s="15" t="n"/>
      <c r="I34" s="15" t="n"/>
      <c r="J34" s="15" t="n"/>
      <c r="K34" s="15" t="n"/>
      <c r="L34" s="15" t="n"/>
      <c r="M34" s="15" t="n"/>
      <c r="N34" s="15" t="n"/>
      <c r="O34" s="15" t="n"/>
    </row>
    <row r="35">
      <c r="B35" s="15" t="n"/>
      <c r="C35" s="15" t="n"/>
      <c r="D35" s="15" t="n"/>
      <c r="E35" s="15" t="n"/>
      <c r="F35" s="15" t="n"/>
      <c r="G35" s="15" t="n"/>
      <c r="H35" s="15" t="n"/>
      <c r="I35" s="15" t="n"/>
      <c r="J35" s="15" t="n"/>
      <c r="K35" s="15" t="n"/>
      <c r="L35" s="15" t="n"/>
      <c r="M35" s="15" t="n"/>
      <c r="N35" s="15" t="n"/>
      <c r="O35" s="15" t="n"/>
    </row>
    <row r="36">
      <c r="B36" s="15" t="n"/>
      <c r="C36" s="15" t="n"/>
      <c r="D36" s="15" t="n"/>
      <c r="E36" s="15" t="n"/>
      <c r="F36" s="15" t="n"/>
      <c r="G36" s="15" t="n"/>
      <c r="H36" s="15" t="n"/>
      <c r="I36" s="15" t="n"/>
      <c r="J36" s="15" t="n"/>
      <c r="K36" s="15" t="n"/>
      <c r="L36" s="15" t="n"/>
      <c r="M36" s="15" t="n"/>
      <c r="N36" s="15" t="n"/>
      <c r="O36" s="15" t="n"/>
    </row>
    <row r="37">
      <c r="B37" s="15" t="n"/>
      <c r="C37" s="15" t="n"/>
      <c r="D37" s="15" t="n"/>
      <c r="E37" s="15" t="n"/>
      <c r="F37" s="15" t="n"/>
      <c r="G37" s="15" t="n"/>
      <c r="H37" s="15" t="n"/>
      <c r="I37" s="15" t="n"/>
      <c r="J37" s="15" t="n"/>
      <c r="K37" s="15" t="n"/>
      <c r="L37" s="15" t="n"/>
      <c r="M37" s="15" t="n"/>
      <c r="N37" s="15" t="n"/>
      <c r="O37" s="15" t="n"/>
    </row>
    <row r="38">
      <c r="B38" s="15" t="n"/>
      <c r="C38" s="15" t="n"/>
      <c r="D38" s="15" t="n"/>
      <c r="E38" s="15" t="n"/>
      <c r="F38" s="15" t="n"/>
      <c r="G38" s="15" t="n"/>
      <c r="H38" s="15" t="n"/>
      <c r="I38" s="15" t="n"/>
      <c r="J38" s="15" t="n"/>
      <c r="K38" s="15" t="n"/>
      <c r="L38" s="15" t="n"/>
      <c r="M38" s="15" t="n"/>
      <c r="N38" s="15" t="n"/>
      <c r="O38" s="15" t="n"/>
    </row>
    <row r="39">
      <c r="B39" s="15" t="n"/>
      <c r="C39" s="15" t="n"/>
      <c r="D39" s="15" t="n"/>
      <c r="E39" s="15" t="n"/>
      <c r="F39" s="15" t="n"/>
      <c r="G39" s="15" t="n"/>
      <c r="H39" s="15" t="n"/>
      <c r="I39" s="15" t="n"/>
      <c r="J39" s="15" t="n"/>
      <c r="K39" s="15" t="n"/>
      <c r="L39" s="15" t="n"/>
      <c r="M39" s="15" t="n"/>
      <c r="N39" s="15" t="n"/>
      <c r="O39" s="15" t="n"/>
    </row>
    <row r="40">
      <c r="B40" s="15" t="n"/>
      <c r="C40" s="15" t="n"/>
      <c r="D40" s="15" t="n"/>
      <c r="E40" s="15" t="n"/>
      <c r="F40" s="15" t="n"/>
      <c r="G40" s="15" t="n"/>
      <c r="H40" s="15" t="n"/>
      <c r="I40" s="15" t="n"/>
      <c r="J40" s="15" t="n"/>
      <c r="K40" s="15" t="n"/>
      <c r="L40" s="15" t="n"/>
      <c r="M40" s="15" t="n"/>
      <c r="N40" s="15" t="n"/>
      <c r="O40" s="15" t="n"/>
    </row>
    <row r="41">
      <c r="B41" s="15" t="n"/>
      <c r="C41" s="15" t="n"/>
      <c r="D41" s="15" t="n"/>
      <c r="E41" s="15" t="n"/>
      <c r="F41" s="15" t="n"/>
      <c r="G41" s="15" t="n"/>
      <c r="H41" s="15" t="n"/>
      <c r="I41" s="15" t="n"/>
      <c r="J41" s="15" t="n"/>
      <c r="K41" s="15" t="n"/>
      <c r="L41" s="15" t="n"/>
      <c r="M41" s="15" t="n"/>
      <c r="N41" s="15" t="n"/>
      <c r="O41" s="15" t="n"/>
    </row>
    <row r="42">
      <c r="B42" s="15" t="n"/>
      <c r="C42" s="15" t="n"/>
      <c r="D42" s="15" t="n"/>
      <c r="E42" s="15" t="n"/>
      <c r="F42" s="15" t="n"/>
      <c r="G42" s="15" t="n"/>
      <c r="H42" s="15" t="n"/>
      <c r="I42" s="15" t="n"/>
      <c r="J42" s="15" t="n"/>
      <c r="K42" s="15" t="n"/>
      <c r="L42" s="15" t="n"/>
      <c r="M42" s="15" t="n"/>
      <c r="N42" s="15" t="n"/>
      <c r="O42" s="15" t="n"/>
    </row>
    <row r="43">
      <c r="B43" s="15" t="n"/>
      <c r="C43" s="15" t="n"/>
      <c r="D43" s="15" t="n"/>
      <c r="E43" s="15" t="n"/>
      <c r="F43" s="15" t="n"/>
      <c r="G43" s="15" t="n"/>
      <c r="H43" s="15" t="n"/>
      <c r="I43" s="15" t="n"/>
      <c r="J43" s="15" t="n"/>
      <c r="K43" s="15" t="n"/>
      <c r="L43" s="15" t="n"/>
      <c r="M43" s="15" t="n"/>
      <c r="N43" s="15" t="n"/>
      <c r="O43" s="15" t="n"/>
    </row>
    <row r="44">
      <c r="B44" s="15" t="n"/>
      <c r="C44" s="15" t="n"/>
      <c r="D44" s="15" t="n"/>
      <c r="E44" s="15" t="n"/>
      <c r="F44" s="15" t="n"/>
      <c r="G44" s="15" t="n"/>
      <c r="H44" s="15" t="n"/>
      <c r="I44" s="15" t="n"/>
      <c r="J44" s="15" t="n"/>
      <c r="K44" s="15" t="n"/>
      <c r="L44" s="15" t="n"/>
      <c r="M44" s="15" t="n"/>
      <c r="N44" s="15" t="n"/>
      <c r="O44" s="15" t="n"/>
    </row>
    <row r="45">
      <c r="B45" s="15" t="n"/>
      <c r="C45" s="15" t="n"/>
      <c r="D45" s="15" t="n"/>
      <c r="E45" s="15" t="n"/>
      <c r="F45" s="15" t="n"/>
      <c r="G45" s="15" t="n"/>
      <c r="H45" s="15" t="n"/>
      <c r="I45" s="15" t="n"/>
      <c r="J45" s="15" t="n"/>
      <c r="K45" s="15" t="n"/>
      <c r="L45" s="15" t="n"/>
      <c r="M45" s="15" t="n"/>
      <c r="N45" s="15" t="n"/>
      <c r="O45" s="15" t="n"/>
    </row>
    <row r="46">
      <c r="B46" s="15" t="n"/>
      <c r="C46" s="15" t="n"/>
      <c r="D46" s="15" t="n"/>
      <c r="E46" s="15" t="n"/>
      <c r="F46" s="15" t="n"/>
      <c r="G46" s="15" t="n"/>
      <c r="H46" s="15" t="n"/>
      <c r="I46" s="15" t="n"/>
      <c r="J46" s="15" t="n"/>
      <c r="K46" s="15" t="n"/>
      <c r="L46" s="15" t="n"/>
      <c r="M46" s="15" t="n"/>
      <c r="N46" s="15" t="n"/>
      <c r="O46" s="15" t="n"/>
    </row>
    <row r="47">
      <c r="B47" s="15" t="n"/>
      <c r="C47" s="15" t="n"/>
      <c r="D47" s="15" t="n"/>
      <c r="E47" s="15" t="n"/>
      <c r="F47" s="15" t="n"/>
      <c r="G47" s="15" t="n"/>
      <c r="H47" s="15" t="n"/>
      <c r="I47" s="15" t="n"/>
      <c r="J47" s="15" t="n"/>
      <c r="K47" s="15" t="n"/>
      <c r="L47" s="15" t="n"/>
      <c r="M47" s="15" t="n"/>
      <c r="N47" s="15" t="n"/>
      <c r="O47" s="15" t="n"/>
    </row>
    <row r="48">
      <c r="B48" s="15" t="n"/>
      <c r="C48" s="15" t="n"/>
      <c r="D48" s="15" t="n"/>
      <c r="E48" s="15" t="n"/>
      <c r="F48" s="15" t="n"/>
      <c r="G48" s="15" t="n"/>
      <c r="H48" s="15" t="n"/>
      <c r="I48" s="15" t="n"/>
      <c r="J48" s="15" t="n"/>
      <c r="K48" s="15" t="n"/>
      <c r="L48" s="15" t="n"/>
      <c r="M48" s="15" t="n"/>
      <c r="N48" s="15" t="n"/>
      <c r="O48" s="15" t="n"/>
    </row>
    <row r="49">
      <c r="B49" s="15" t="n"/>
      <c r="C49" s="15" t="n"/>
      <c r="D49" s="15" t="n"/>
      <c r="E49" s="15" t="n"/>
      <c r="F49" s="15" t="n"/>
      <c r="G49" s="15" t="n"/>
      <c r="H49" s="15" t="n"/>
      <c r="I49" s="15" t="n"/>
      <c r="J49" s="15" t="n"/>
      <c r="K49" s="15" t="n"/>
      <c r="L49" s="15" t="n"/>
      <c r="M49" s="15" t="n"/>
      <c r="N49" s="15" t="n"/>
      <c r="O49" s="15" t="n"/>
    </row>
    <row r="50">
      <c r="B50" s="15" t="n"/>
      <c r="C50" s="15" t="n"/>
      <c r="D50" s="15" t="n"/>
      <c r="E50" s="15" t="n"/>
      <c r="F50" s="15" t="n"/>
      <c r="G50" s="15" t="n"/>
      <c r="H50" s="15" t="n"/>
      <c r="I50" s="15" t="n"/>
      <c r="J50" s="15" t="n"/>
      <c r="K50" s="15" t="n"/>
      <c r="L50" s="15" t="n"/>
      <c r="M50" s="15" t="n"/>
      <c r="N50" s="15" t="n"/>
      <c r="O50" s="15" t="n"/>
    </row>
    <row r="51">
      <c r="B51" s="15" t="n"/>
      <c r="C51" s="15" t="n"/>
      <c r="D51" s="15" t="n"/>
      <c r="E51" s="15" t="n"/>
      <c r="F51" s="15" t="n"/>
      <c r="G51" s="15" t="n"/>
      <c r="H51" s="15" t="n"/>
      <c r="I51" s="15" t="n"/>
      <c r="J51" s="15" t="n"/>
      <c r="K51" s="15" t="n"/>
      <c r="L51" s="15" t="n"/>
      <c r="M51" s="15" t="n"/>
      <c r="N51" s="15" t="n"/>
      <c r="O51" s="15" t="n"/>
    </row>
    <row r="52">
      <c r="B52" s="15" t="n"/>
      <c r="C52" s="15" t="n"/>
      <c r="D52" s="15" t="n"/>
      <c r="E52" s="15" t="n"/>
      <c r="F52" s="15" t="n"/>
      <c r="G52" s="15" t="n"/>
      <c r="H52" s="15" t="n"/>
      <c r="I52" s="15" t="n"/>
      <c r="J52" s="15" t="n"/>
      <c r="K52" s="15" t="n"/>
      <c r="L52" s="15" t="n"/>
      <c r="M52" s="15" t="n"/>
      <c r="N52" s="15" t="n"/>
      <c r="O52" s="15" t="n"/>
    </row>
    <row r="53">
      <c r="B53" s="15" t="n"/>
      <c r="C53" s="15" t="n"/>
      <c r="D53" s="15" t="n"/>
      <c r="E53" s="15" t="n"/>
      <c r="F53" s="15" t="n"/>
      <c r="G53" s="15" t="n"/>
      <c r="H53" s="15" t="n"/>
      <c r="I53" s="15" t="n"/>
      <c r="J53" s="15" t="n"/>
      <c r="K53" s="15" t="n"/>
      <c r="L53" s="15" t="n"/>
      <c r="M53" s="15" t="n"/>
      <c r="N53" s="15" t="n"/>
      <c r="O53" s="15" t="n"/>
    </row>
    <row r="54">
      <c r="B54" s="15" t="n"/>
      <c r="C54" s="15" t="n"/>
      <c r="D54" s="15" t="n"/>
      <c r="E54" s="15" t="n"/>
      <c r="F54" s="15" t="n"/>
      <c r="G54" s="15" t="n"/>
      <c r="H54" s="15" t="n"/>
      <c r="I54" s="15" t="n"/>
      <c r="J54" s="15" t="n"/>
      <c r="K54" s="15" t="n"/>
      <c r="L54" s="15" t="n"/>
      <c r="M54" s="15" t="n"/>
      <c r="N54" s="15" t="n"/>
      <c r="O54" s="15" t="n"/>
    </row>
    <row r="55">
      <c r="B55" s="15" t="n"/>
      <c r="C55" s="15" t="n"/>
      <c r="D55" s="15" t="n"/>
      <c r="E55" s="15" t="n"/>
      <c r="F55" s="15" t="n"/>
      <c r="G55" s="15" t="n"/>
      <c r="H55" s="15" t="n"/>
      <c r="I55" s="15" t="n"/>
      <c r="J55" s="15" t="n"/>
      <c r="K55" s="15" t="n"/>
      <c r="L55" s="15" t="n"/>
      <c r="M55" s="15" t="n"/>
      <c r="N55" s="15" t="n"/>
      <c r="O55" s="15" t="n"/>
    </row>
  </sheetData>
  <mergeCells count="2">
    <mergeCell ref="A1:O1"/>
    <mergeCell ref="A2:O2"/>
  </mergeCells>
  <dataValidations count="4">
    <dataValidation sqref="H5" showDropDown="0" showInputMessage="0" showErrorMessage="0" allowBlank="0" type="list">
      <formula1>"Yes,No,Restricted"</formula1>
    </dataValidation>
    <dataValidation sqref="C5" showDropDown="0" showInputMessage="0" showErrorMessage="0" allowBlank="0" type="list">
      <formula1>"On-Premises LAN,WLAN,VPN,Cloud Endpoints,Guest,DMZ,Branch,Mobile,IoT/OT,Dev/Test,Other"</formula1>
    </dataValidation>
    <dataValidation sqref="I5" showDropDown="0" showInputMessage="0" showErrorMessage="0" allowBlank="0" type="list">
      <formula1>"Yes,No,N/A"</formula1>
    </dataValidation>
    <dataValidation sqref="J5" showDropDown="0" showInputMessage="0" showErrorMessage="0" allowBlank="0" type="list">
      <formula1>"✅ Protected,⚠️ Partial,❌ Unprotected,⟳ Planned,⊘ Exempt"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1"/>
  <sheetViews>
    <sheetView showGridLines="0" workbookViewId="0">
      <pane ySplit="4" topLeftCell="A5"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8" customWidth="1" min="6" max="6"/>
    <col width="18" customWidth="1" min="7" max="7"/>
  </cols>
  <sheetData>
    <row r="1" ht="35" customHeight="1">
      <c r="A1" s="11" t="inlineStr">
        <is>
          <t>NETWORK COVERAGE MATRIX</t>
        </is>
      </c>
    </row>
    <row r="2">
      <c r="A2" s="12" t="inlineStr">
        <is>
          <t>Map filtering solutions to network segments</t>
        </is>
      </c>
    </row>
    <row r="4">
      <c r="A4" s="13" t="inlineStr">
        <is>
          <t>Network Segment</t>
        </is>
      </c>
      <c r="B4" s="13" t="inlineStr">
        <is>
          <t>Solution 1</t>
        </is>
      </c>
      <c r="C4" s="13" t="inlineStr">
        <is>
          <t>Solution 2</t>
        </is>
      </c>
      <c r="D4" s="13" t="inlineStr">
        <is>
          <t>Solution 3</t>
        </is>
      </c>
      <c r="E4" s="13" t="inlineStr">
        <is>
          <t>Solution 4</t>
        </is>
      </c>
      <c r="F4" s="13" t="inlineStr">
        <is>
          <t>Total Coverage</t>
        </is>
      </c>
      <c r="G4" s="13" t="inlineStr">
        <is>
          <t>Status</t>
        </is>
      </c>
    </row>
    <row r="5">
      <c r="A5" s="14" t="inlineStr">
        <is>
          <t>SEG-001 [Segment Name]</t>
        </is>
      </c>
      <c r="B5" s="16" t="n"/>
      <c r="C5" s="16" t="n"/>
      <c r="D5" s="16" t="n"/>
      <c r="E5" s="16" t="n"/>
      <c r="F5" s="17">
        <f>SUM(B5:E5)</f>
        <v/>
      </c>
      <c r="G5" s="15" t="n"/>
    </row>
    <row r="6">
      <c r="B6" s="16" t="n"/>
      <c r="C6" s="16" t="n"/>
      <c r="D6" s="16" t="n"/>
      <c r="E6" s="16" t="n"/>
      <c r="F6" s="17">
        <f>SUM(B6:E6)</f>
        <v/>
      </c>
      <c r="G6" s="15" t="n"/>
    </row>
    <row r="7">
      <c r="B7" s="16" t="n"/>
      <c r="C7" s="16" t="n"/>
      <c r="D7" s="16" t="n"/>
      <c r="E7" s="16" t="n"/>
      <c r="F7" s="17">
        <f>SUM(B7:E7)</f>
        <v/>
      </c>
      <c r="G7" s="15" t="n"/>
    </row>
    <row r="8">
      <c r="B8" s="16" t="n"/>
      <c r="C8" s="16" t="n"/>
      <c r="D8" s="16" t="n"/>
      <c r="E8" s="16" t="n"/>
      <c r="F8" s="17">
        <f>SUM(B8:E8)</f>
        <v/>
      </c>
      <c r="G8" s="15" t="n"/>
    </row>
    <row r="9">
      <c r="B9" s="16" t="n"/>
      <c r="C9" s="16" t="n"/>
      <c r="D9" s="16" t="n"/>
      <c r="E9" s="16" t="n"/>
      <c r="F9" s="17">
        <f>SUM(B9:E9)</f>
        <v/>
      </c>
      <c r="G9" s="15" t="n"/>
    </row>
    <row r="10">
      <c r="B10" s="16" t="n"/>
      <c r="C10" s="16" t="n"/>
      <c r="D10" s="16" t="n"/>
      <c r="E10" s="16" t="n"/>
      <c r="F10" s="17">
        <f>SUM(B10:E10)</f>
        <v/>
      </c>
      <c r="G10" s="15" t="n"/>
    </row>
    <row r="11">
      <c r="B11" s="16" t="n"/>
      <c r="C11" s="16" t="n"/>
      <c r="D11" s="16" t="n"/>
      <c r="E11" s="16" t="n"/>
      <c r="F11" s="17">
        <f>SUM(B11:E11)</f>
        <v/>
      </c>
      <c r="G11" s="15" t="n"/>
    </row>
    <row r="12">
      <c r="B12" s="16" t="n"/>
      <c r="C12" s="16" t="n"/>
      <c r="D12" s="16" t="n"/>
      <c r="E12" s="16" t="n"/>
      <c r="F12" s="17">
        <f>SUM(B12:E12)</f>
        <v/>
      </c>
      <c r="G12" s="15" t="n"/>
    </row>
    <row r="13">
      <c r="B13" s="16" t="n"/>
      <c r="C13" s="16" t="n"/>
      <c r="D13" s="16" t="n"/>
      <c r="E13" s="16" t="n"/>
      <c r="F13" s="17">
        <f>SUM(B13:E13)</f>
        <v/>
      </c>
      <c r="G13" s="15" t="n"/>
    </row>
    <row r="14">
      <c r="B14" s="16" t="n"/>
      <c r="C14" s="16" t="n"/>
      <c r="D14" s="16" t="n"/>
      <c r="E14" s="16" t="n"/>
      <c r="F14" s="17">
        <f>SUM(B14:E14)</f>
        <v/>
      </c>
      <c r="G14" s="15" t="n"/>
    </row>
    <row r="15">
      <c r="B15" s="16" t="n"/>
      <c r="C15" s="16" t="n"/>
      <c r="D15" s="16" t="n"/>
      <c r="E15" s="16" t="n"/>
      <c r="F15" s="17">
        <f>SUM(B15:E15)</f>
        <v/>
      </c>
      <c r="G15" s="15" t="n"/>
    </row>
    <row r="16">
      <c r="B16" s="16" t="n"/>
      <c r="C16" s="16" t="n"/>
      <c r="D16" s="16" t="n"/>
      <c r="E16" s="16" t="n"/>
      <c r="F16" s="17">
        <f>SUM(B16:E16)</f>
        <v/>
      </c>
      <c r="G16" s="15" t="n"/>
    </row>
    <row r="17">
      <c r="B17" s="16" t="n"/>
      <c r="C17" s="16" t="n"/>
      <c r="D17" s="16" t="n"/>
      <c r="E17" s="16" t="n"/>
      <c r="F17" s="17">
        <f>SUM(B17:E17)</f>
        <v/>
      </c>
      <c r="G17" s="15" t="n"/>
    </row>
    <row r="18">
      <c r="B18" s="16" t="n"/>
      <c r="C18" s="16" t="n"/>
      <c r="D18" s="16" t="n"/>
      <c r="E18" s="16" t="n"/>
      <c r="F18" s="17">
        <f>SUM(B18:E18)</f>
        <v/>
      </c>
      <c r="G18" s="15" t="n"/>
    </row>
    <row r="19">
      <c r="B19" s="16" t="n"/>
      <c r="C19" s="16" t="n"/>
      <c r="D19" s="16" t="n"/>
      <c r="E19" s="16" t="n"/>
      <c r="F19" s="17">
        <f>SUM(B19:E19)</f>
        <v/>
      </c>
      <c r="G19" s="15" t="n"/>
    </row>
    <row r="20">
      <c r="B20" s="16" t="n"/>
      <c r="C20" s="16" t="n"/>
      <c r="D20" s="16" t="n"/>
      <c r="E20" s="16" t="n"/>
      <c r="F20" s="17">
        <f>SUM(B20:E20)</f>
        <v/>
      </c>
      <c r="G20" s="15" t="n"/>
    </row>
    <row r="21">
      <c r="B21" s="16" t="n"/>
      <c r="C21" s="16" t="n"/>
      <c r="D21" s="16" t="n"/>
      <c r="E21" s="16" t="n"/>
      <c r="F21" s="17">
        <f>SUM(B21:E21)</f>
        <v/>
      </c>
      <c r="G21" s="15" t="n"/>
    </row>
    <row r="22">
      <c r="B22" s="16" t="n"/>
      <c r="C22" s="16" t="n"/>
      <c r="D22" s="16" t="n"/>
      <c r="E22" s="16" t="n"/>
      <c r="F22" s="17">
        <f>SUM(B22:E22)</f>
        <v/>
      </c>
      <c r="G22" s="15" t="n"/>
    </row>
    <row r="23">
      <c r="B23" s="16" t="n"/>
      <c r="C23" s="16" t="n"/>
      <c r="D23" s="16" t="n"/>
      <c r="E23" s="16" t="n"/>
      <c r="F23" s="17">
        <f>SUM(B23:E23)</f>
        <v/>
      </c>
      <c r="G23" s="15" t="n"/>
    </row>
    <row r="24">
      <c r="B24" s="16" t="n"/>
      <c r="C24" s="16" t="n"/>
      <c r="D24" s="16" t="n"/>
      <c r="E24" s="16" t="n"/>
      <c r="F24" s="17">
        <f>SUM(B24:E24)</f>
        <v/>
      </c>
      <c r="G24" s="15" t="n"/>
    </row>
    <row r="25">
      <c r="B25" s="16" t="n"/>
      <c r="C25" s="16" t="n"/>
      <c r="D25" s="16" t="n"/>
      <c r="E25" s="16" t="n"/>
      <c r="F25" s="17">
        <f>SUM(B25:E25)</f>
        <v/>
      </c>
      <c r="G25" s="15" t="n"/>
    </row>
    <row r="26">
      <c r="B26" s="16" t="n"/>
      <c r="C26" s="16" t="n"/>
      <c r="D26" s="16" t="n"/>
      <c r="E26" s="16" t="n"/>
      <c r="F26" s="17">
        <f>SUM(B26:E26)</f>
        <v/>
      </c>
      <c r="G26" s="15" t="n"/>
    </row>
    <row r="27">
      <c r="B27" s="16" t="n"/>
      <c r="C27" s="16" t="n"/>
      <c r="D27" s="16" t="n"/>
      <c r="E27" s="16" t="n"/>
      <c r="F27" s="17">
        <f>SUM(B27:E27)</f>
        <v/>
      </c>
      <c r="G27" s="15" t="n"/>
    </row>
    <row r="28">
      <c r="B28" s="16" t="n"/>
      <c r="C28" s="16" t="n"/>
      <c r="D28" s="16" t="n"/>
      <c r="E28" s="16" t="n"/>
      <c r="F28" s="17">
        <f>SUM(B28:E28)</f>
        <v/>
      </c>
      <c r="G28" s="15" t="n"/>
    </row>
    <row r="29">
      <c r="B29" s="16" t="n"/>
      <c r="C29" s="16" t="n"/>
      <c r="D29" s="16" t="n"/>
      <c r="E29" s="16" t="n"/>
      <c r="F29" s="17">
        <f>SUM(B29:E29)</f>
        <v/>
      </c>
      <c r="G29" s="15" t="n"/>
    </row>
    <row r="30">
      <c r="B30" s="16" t="n"/>
      <c r="C30" s="16" t="n"/>
      <c r="D30" s="16" t="n"/>
      <c r="E30" s="16" t="n"/>
      <c r="F30" s="17">
        <f>SUM(B30:E30)</f>
        <v/>
      </c>
      <c r="G30" s="15" t="n"/>
    </row>
    <row r="31">
      <c r="B31" s="16" t="n"/>
      <c r="C31" s="16" t="n"/>
      <c r="D31" s="16" t="n"/>
      <c r="E31" s="16" t="n"/>
      <c r="F31" s="17">
        <f>SUM(B31:E31)</f>
        <v/>
      </c>
      <c r="G31" s="15" t="n"/>
    </row>
    <row r="32">
      <c r="B32" s="16" t="n"/>
      <c r="C32" s="16" t="n"/>
      <c r="D32" s="16" t="n"/>
      <c r="E32" s="16" t="n"/>
      <c r="F32" s="17">
        <f>SUM(B32:E32)</f>
        <v/>
      </c>
      <c r="G32" s="15" t="n"/>
    </row>
    <row r="33">
      <c r="B33" s="16" t="n"/>
      <c r="C33" s="16" t="n"/>
      <c r="D33" s="16" t="n"/>
      <c r="E33" s="16" t="n"/>
      <c r="F33" s="17">
        <f>SUM(B33:E33)</f>
        <v/>
      </c>
      <c r="G33" s="15" t="n"/>
    </row>
    <row r="34">
      <c r="B34" s="16" t="n"/>
      <c r="C34" s="16" t="n"/>
      <c r="D34" s="16" t="n"/>
      <c r="E34" s="16" t="n"/>
      <c r="F34" s="17">
        <f>SUM(B34:E34)</f>
        <v/>
      </c>
      <c r="G34" s="15" t="n"/>
    </row>
    <row r="35">
      <c r="B35" s="16" t="n"/>
      <c r="C35" s="16" t="n"/>
      <c r="D35" s="16" t="n"/>
      <c r="E35" s="16" t="n"/>
      <c r="F35" s="17">
        <f>SUM(B35:E35)</f>
        <v/>
      </c>
      <c r="G35" s="15" t="n"/>
    </row>
    <row r="36">
      <c r="B36" s="16" t="n"/>
      <c r="C36" s="16" t="n"/>
      <c r="D36" s="16" t="n"/>
      <c r="E36" s="16" t="n"/>
      <c r="F36" s="17">
        <f>SUM(B36:E36)</f>
        <v/>
      </c>
      <c r="G36" s="15" t="n"/>
    </row>
    <row r="37">
      <c r="B37" s="16" t="n"/>
      <c r="C37" s="16" t="n"/>
      <c r="D37" s="16" t="n"/>
      <c r="E37" s="16" t="n"/>
      <c r="F37" s="17">
        <f>SUM(B37:E37)</f>
        <v/>
      </c>
      <c r="G37" s="15" t="n"/>
    </row>
    <row r="38">
      <c r="B38" s="16" t="n"/>
      <c r="C38" s="16" t="n"/>
      <c r="D38" s="16" t="n"/>
      <c r="E38" s="16" t="n"/>
      <c r="F38" s="17">
        <f>SUM(B38:E38)</f>
        <v/>
      </c>
      <c r="G38" s="15" t="n"/>
    </row>
    <row r="39">
      <c r="B39" s="16" t="n"/>
      <c r="C39" s="16" t="n"/>
      <c r="D39" s="16" t="n"/>
      <c r="E39" s="16" t="n"/>
      <c r="F39" s="17">
        <f>SUM(B39:E39)</f>
        <v/>
      </c>
      <c r="G39" s="15" t="n"/>
    </row>
    <row r="40">
      <c r="B40" s="16" t="n"/>
      <c r="C40" s="16" t="n"/>
      <c r="D40" s="16" t="n"/>
      <c r="E40" s="16" t="n"/>
      <c r="F40" s="17">
        <f>SUM(B40:E40)</f>
        <v/>
      </c>
      <c r="G40" s="15" t="n"/>
    </row>
    <row r="41">
      <c r="B41" s="16" t="n"/>
      <c r="C41" s="16" t="n"/>
      <c r="D41" s="16" t="n"/>
      <c r="E41" s="16" t="n"/>
      <c r="F41" s="17">
        <f>SUM(B41:E41)</f>
        <v/>
      </c>
      <c r="G41" s="15" t="n"/>
    </row>
    <row r="42">
      <c r="B42" s="16" t="n"/>
      <c r="C42" s="16" t="n"/>
      <c r="D42" s="16" t="n"/>
      <c r="E42" s="16" t="n"/>
      <c r="F42" s="17">
        <f>SUM(B42:E42)</f>
        <v/>
      </c>
      <c r="G42" s="15" t="n"/>
    </row>
    <row r="43">
      <c r="B43" s="16" t="n"/>
      <c r="C43" s="16" t="n"/>
      <c r="D43" s="16" t="n"/>
      <c r="E43" s="16" t="n"/>
      <c r="F43" s="17">
        <f>SUM(B43:E43)</f>
        <v/>
      </c>
      <c r="G43" s="15" t="n"/>
    </row>
    <row r="44">
      <c r="B44" s="16" t="n"/>
      <c r="C44" s="16" t="n"/>
      <c r="D44" s="16" t="n"/>
      <c r="E44" s="16" t="n"/>
      <c r="F44" s="17">
        <f>SUM(B44:E44)</f>
        <v/>
      </c>
      <c r="G44" s="15" t="n"/>
    </row>
    <row r="45">
      <c r="B45" s="16" t="n"/>
      <c r="C45" s="16" t="n"/>
      <c r="D45" s="16" t="n"/>
      <c r="E45" s="16" t="n"/>
      <c r="F45" s="17">
        <f>SUM(B45:E45)</f>
        <v/>
      </c>
      <c r="G45" s="15" t="n"/>
    </row>
    <row r="46">
      <c r="B46" s="16" t="n"/>
      <c r="C46" s="16" t="n"/>
      <c r="D46" s="16" t="n"/>
      <c r="E46" s="16" t="n"/>
      <c r="F46" s="17">
        <f>SUM(B46:E46)</f>
        <v/>
      </c>
      <c r="G46" s="15" t="n"/>
    </row>
    <row r="47">
      <c r="B47" s="16" t="n"/>
      <c r="C47" s="16" t="n"/>
      <c r="D47" s="16" t="n"/>
      <c r="E47" s="16" t="n"/>
      <c r="F47" s="17">
        <f>SUM(B47:E47)</f>
        <v/>
      </c>
      <c r="G47" s="15" t="n"/>
    </row>
    <row r="48">
      <c r="B48" s="16" t="n"/>
      <c r="C48" s="16" t="n"/>
      <c r="D48" s="16" t="n"/>
      <c r="E48" s="16" t="n"/>
      <c r="F48" s="17">
        <f>SUM(B48:E48)</f>
        <v/>
      </c>
      <c r="G48" s="15" t="n"/>
    </row>
    <row r="49">
      <c r="B49" s="16" t="n"/>
      <c r="C49" s="16" t="n"/>
      <c r="D49" s="16" t="n"/>
      <c r="E49" s="16" t="n"/>
      <c r="F49" s="17">
        <f>SUM(B49:E49)</f>
        <v/>
      </c>
      <c r="G49" s="15" t="n"/>
    </row>
    <row r="50">
      <c r="B50" s="16" t="n"/>
      <c r="C50" s="16" t="n"/>
      <c r="D50" s="16" t="n"/>
      <c r="E50" s="16" t="n"/>
      <c r="F50" s="17">
        <f>SUM(B50:E50)</f>
        <v/>
      </c>
      <c r="G50" s="15" t="n"/>
    </row>
    <row r="51">
      <c r="B51" s="16" t="n"/>
      <c r="C51" s="16" t="n"/>
      <c r="D51" s="16" t="n"/>
      <c r="E51" s="16" t="n"/>
      <c r="F51" s="17">
        <f>SUM(B51:E51)</f>
        <v/>
      </c>
      <c r="G51" s="15" t="n"/>
    </row>
    <row r="52">
      <c r="B52" s="16" t="n"/>
      <c r="C52" s="16" t="n"/>
      <c r="D52" s="16" t="n"/>
      <c r="E52" s="16" t="n"/>
      <c r="F52" s="17">
        <f>SUM(B52:E52)</f>
        <v/>
      </c>
      <c r="G52" s="15" t="n"/>
    </row>
    <row r="53">
      <c r="B53" s="16" t="n"/>
      <c r="C53" s="16" t="n"/>
      <c r="D53" s="16" t="n"/>
      <c r="E53" s="16" t="n"/>
      <c r="F53" s="17">
        <f>SUM(B53:E53)</f>
        <v/>
      </c>
      <c r="G53" s="15" t="n"/>
    </row>
    <row r="54">
      <c r="B54" s="16" t="n"/>
      <c r="C54" s="16" t="n"/>
      <c r="D54" s="16" t="n"/>
      <c r="E54" s="16" t="n"/>
      <c r="F54" s="17">
        <f>SUM(B54:E54)</f>
        <v/>
      </c>
      <c r="G54" s="15" t="n"/>
    </row>
    <row r="57">
      <c r="A57" s="18" t="inlineStr">
        <is>
          <t>COVERAGE SUMMARY METRICS</t>
        </is>
      </c>
    </row>
    <row r="58">
      <c r="A58" s="19" t="inlineStr">
        <is>
          <t>Total segments assessed:</t>
        </is>
      </c>
      <c r="B58" s="20">
        <f>COUNTA(A5:A54)</f>
        <v/>
      </c>
    </row>
    <row r="59">
      <c r="A59" s="19" t="inlineStr">
        <is>
          <t>Fully protected (100%):</t>
        </is>
      </c>
      <c r="B59" s="20">
        <f>COUNTIF(F5:F54,"&gt;=100")</f>
        <v/>
      </c>
    </row>
    <row r="60">
      <c r="A60" s="19" t="inlineStr">
        <is>
          <t>Partially protected (&lt;100%):</t>
        </is>
      </c>
      <c r="B60" s="20">
        <f>COUNTIFS(F5:F54,"&gt;0",F5:F54,"&lt;100")</f>
        <v/>
      </c>
    </row>
    <row r="61">
      <c r="A61" s="19" t="inlineStr">
        <is>
          <t>Unprotected (0%):</t>
        </is>
      </c>
      <c r="B61" s="20">
        <f>COUNTIF(F5:F54,0)</f>
        <v/>
      </c>
    </row>
    <row r="62">
      <c r="A62" s="19" t="inlineStr">
        <is>
          <t>Overall Coverage Score:</t>
        </is>
      </c>
      <c r="B62" s="20">
        <f>AVERAGE(F5:F54)&amp;"%"</f>
        <v/>
      </c>
    </row>
    <row r="65">
      <c r="A65" s="18" t="inlineStr">
        <is>
          <t>COVERAGE HEATMAP</t>
        </is>
      </c>
    </row>
    <row r="66">
      <c r="A66" s="21" t="inlineStr">
        <is>
          <t>Coverage Level</t>
        </is>
      </c>
      <c r="B66" s="21" t="inlineStr">
        <is>
          <t>Segment Count</t>
        </is>
      </c>
      <c r="C66" s="21" t="inlineStr">
        <is>
          <t>% of Total</t>
        </is>
      </c>
      <c r="D66" s="21" t="inlineStr">
        <is>
          <t>Status</t>
        </is>
      </c>
    </row>
    <row r="67">
      <c r="A67" s="19" t="inlineStr">
        <is>
          <t>100% Coverage</t>
        </is>
      </c>
      <c r="B67" s="22">
        <f>COUNTIF(F5:F54,100)</f>
        <v/>
      </c>
      <c r="C67" s="22">
        <f>IF(B67=0,0,B67/SUM(B67:B71)*100)&amp;"%"</f>
        <v/>
      </c>
      <c r="D67" s="23" t="inlineStr">
        <is>
          <t>✅ Good</t>
        </is>
      </c>
    </row>
    <row r="68">
      <c r="A68" s="19" t="inlineStr">
        <is>
          <t>75-99% Coverage</t>
        </is>
      </c>
      <c r="B68" s="22">
        <f>COUNTIFS(F5:F54,"&gt;=75",F5:F54,"&lt;100")</f>
        <v/>
      </c>
      <c r="C68" s="22">
        <f>IF(B68=0,0,B68/SUM(B67:B71)*100)&amp;"%"</f>
        <v/>
      </c>
      <c r="D68" s="24" t="inlineStr">
        <is>
          <t>⚠️ Needs Attention</t>
        </is>
      </c>
    </row>
    <row r="69">
      <c r="A69" s="19" t="inlineStr">
        <is>
          <t>50-74% Coverage</t>
        </is>
      </c>
      <c r="B69" s="22">
        <f>COUNTIFS(F5:F54,"&gt;=50",F5:F54,"&lt;75")</f>
        <v/>
      </c>
      <c r="C69" s="22">
        <f>IF(B69=0,0,B69/SUM(B67:B71)*100)&amp;"%"</f>
        <v/>
      </c>
      <c r="D69" s="24" t="inlineStr">
        <is>
          <t>⚠️ Risk</t>
        </is>
      </c>
    </row>
    <row r="70">
      <c r="A70" s="19" t="inlineStr">
        <is>
          <t>&lt;50% Coverage</t>
        </is>
      </c>
      <c r="B70" s="22">
        <f>COUNTIFS(F5:F54,"&gt;0",F5:F54,"&lt;50")</f>
        <v/>
      </c>
      <c r="C70" s="22">
        <f>IF(B70=0,0,B70/SUM(B67:B71)*100)&amp;"%"</f>
        <v/>
      </c>
      <c r="D70" s="25" t="inlineStr">
        <is>
          <t>❌ Critical</t>
        </is>
      </c>
    </row>
    <row r="71">
      <c r="A71" s="19" t="inlineStr">
        <is>
          <t>0% Coverage</t>
        </is>
      </c>
      <c r="B71" s="22">
        <f>COUNTIF(F5:F54,0)</f>
        <v/>
      </c>
      <c r="C71" s="22">
        <f>IF(B71=0,0,B71/SUM(B67:B71)*100)&amp;"%"</f>
        <v/>
      </c>
      <c r="D71" s="25" t="inlineStr">
        <is>
          <t>❌ Urgent</t>
        </is>
      </c>
    </row>
  </sheetData>
  <mergeCells count="4">
    <mergeCell ref="A57:G57"/>
    <mergeCell ref="A65:D65"/>
    <mergeCell ref="A2:G2"/>
    <mergeCell ref="A1:G1"/>
  </mergeCells>
  <dataValidations count="1">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 Protected,⚠️ Partial,❌ Unprotected,⟳ Planned,⊘ Exempt"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7"/>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25" customWidth="1" min="3" max="3"/>
    <col width="15" customWidth="1" min="4" max="4"/>
    <col width="35" customWidth="1" min="5" max="5"/>
    <col width="12" customWidth="1" min="6" max="6"/>
    <col width="30" customWidth="1" min="7" max="7"/>
    <col width="30" customWidth="1" min="8" max="8"/>
    <col width="20" customWidth="1" min="9" max="9"/>
    <col width="15" customWidth="1" min="10" max="10"/>
    <col width="15" customWidth="1" min="11" max="11"/>
  </cols>
  <sheetData>
    <row r="1" ht="35" customHeight="1">
      <c r="A1" s="11" t="inlineStr">
        <is>
          <t>COVERAGE GAPS &amp; REMEDIATION TRACKING</t>
        </is>
      </c>
    </row>
    <row r="2">
      <c r="A2" s="12" t="inlineStr">
        <is>
          <t>Identify unprotected/partially protected segments and plan remediation</t>
        </is>
      </c>
    </row>
    <row r="4">
      <c r="A4" s="13" t="inlineStr">
        <is>
          <t>Gap ID</t>
        </is>
      </c>
      <c r="B4" s="13" t="inlineStr">
        <is>
          <t>Segment ID</t>
        </is>
      </c>
      <c r="C4" s="13" t="inlineStr">
        <is>
          <t>Segment Name</t>
        </is>
      </c>
      <c r="D4" s="13" t="inlineStr">
        <is>
          <t>Current Coverage</t>
        </is>
      </c>
      <c r="E4" s="13" t="inlineStr">
        <is>
          <t>Gap Description</t>
        </is>
      </c>
      <c r="F4" s="13" t="inlineStr">
        <is>
          <t>Risk Level</t>
        </is>
      </c>
      <c r="G4" s="13" t="inlineStr">
        <is>
          <t>Impact</t>
        </is>
      </c>
      <c r="H4" s="13" t="inlineStr">
        <is>
          <t>Remediation Plan</t>
        </is>
      </c>
      <c r="I4" s="13" t="inlineStr">
        <is>
          <t>Owner</t>
        </is>
      </c>
      <c r="J4" s="13" t="inlineStr">
        <is>
          <t>Target Date</t>
        </is>
      </c>
      <c r="K4" s="13" t="inlineStr">
        <is>
          <t>Status</t>
        </is>
      </c>
    </row>
    <row r="5">
      <c r="A5" s="26" t="inlineStr">
        <is>
          <t>GAP-001</t>
        </is>
      </c>
      <c r="B5" s="27" t="n"/>
      <c r="C5" s="27" t="n"/>
      <c r="D5" s="27" t="n"/>
      <c r="E5" s="27" t="n"/>
      <c r="F5" s="27" t="n"/>
      <c r="G5" s="27" t="n"/>
      <c r="H5" s="27" t="n"/>
      <c r="I5" s="27" t="n"/>
      <c r="J5" s="27" t="n"/>
      <c r="K5" s="27"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8">
      <c r="A58" s="18" t="inlineStr">
        <is>
          <t>GAP SUMMARY METRICS</t>
        </is>
      </c>
    </row>
    <row r="59">
      <c r="A59" s="21" t="inlineStr">
        <is>
          <t>Risk Level</t>
        </is>
      </c>
      <c r="B59" s="21" t="inlineStr">
        <is>
          <t>Gap Count</t>
        </is>
      </c>
      <c r="C59" s="21" t="inlineStr">
        <is>
          <t>% of Total</t>
        </is>
      </c>
    </row>
    <row r="60">
      <c r="A60" s="28" t="inlineStr">
        <is>
          <t>Critical</t>
        </is>
      </c>
      <c r="B60" s="22">
        <f>COUNTIF(F5:F55,"Critical")</f>
        <v/>
      </c>
      <c r="C60" s="22">
        <f>IF(B60=0,0,B60/COUNTA(F5:F55)*100)&amp;"%"</f>
        <v/>
      </c>
    </row>
    <row r="61">
      <c r="A61" s="29" t="inlineStr">
        <is>
          <t>High</t>
        </is>
      </c>
      <c r="B61" s="22">
        <f>COUNTIF(F5:F55,"High")</f>
        <v/>
      </c>
      <c r="C61" s="22">
        <f>IF(B61=0,0,B61/COUNTA(F5:F55)*100)&amp;"%"</f>
        <v/>
      </c>
    </row>
    <row r="62">
      <c r="A62" s="30" t="inlineStr">
        <is>
          <t>Medium</t>
        </is>
      </c>
      <c r="B62" s="22">
        <f>COUNTIF(F5:F55,"Medium")</f>
        <v/>
      </c>
      <c r="C62" s="22">
        <f>IF(B62=0,0,B62/COUNTA(F5:F55)*100)&amp;"%"</f>
        <v/>
      </c>
    </row>
    <row r="63">
      <c r="A63" s="31" t="inlineStr">
        <is>
          <t>Low</t>
        </is>
      </c>
      <c r="B63" s="22">
        <f>COUNTIF(F5:F55,"Low")</f>
        <v/>
      </c>
      <c r="C63" s="22">
        <f>IF(B63=0,0,B63/COUNTA(F5:F55)*100)&amp;"%"</f>
        <v/>
      </c>
    </row>
    <row r="65">
      <c r="A65" s="19" t="inlineStr">
        <is>
          <t>Total gaps identified:</t>
        </is>
      </c>
      <c r="B65" s="20">
        <f>COUNTA(B5:B55)</f>
        <v/>
      </c>
    </row>
    <row r="66">
      <c r="A66" s="19" t="inlineStr">
        <is>
          <t>Gaps resolved:</t>
        </is>
      </c>
      <c r="B66" s="20">
        <f>COUNTIF(K5:K55,"✅ Resolved")</f>
        <v/>
      </c>
    </row>
    <row r="67">
      <c r="A67" s="19" t="inlineStr">
        <is>
          <t>Gaps remaining:</t>
        </is>
      </c>
      <c r="B67" s="32">
        <f>COUNTA(B5:B55)-COUNTIF(K5:K55,"✅ Resolved")</f>
        <v/>
      </c>
    </row>
  </sheetData>
  <mergeCells count="3">
    <mergeCell ref="A2:K2"/>
    <mergeCell ref="A58:K58"/>
    <mergeCell ref="A1:K1"/>
  </mergeCells>
  <dataValidations count="2">
    <dataValidation sqref="F5" showDropDown="0" showInputMessage="0" showErrorMessage="0" allowBlank="0" type="list">
      <formula1>"Critical,High,Medium,Low"</formula1>
    </dataValidation>
    <dataValidation sqref="K5" showDropDown="0" showInputMessage="0" showErrorMessage="0" allowBlank="0" type="list">
      <formula1>"○ Open,⟳ In Progress,✅ Resolved,⚠️ Accepted Risk,⊘ Exempt"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5"/>
  <sheetViews>
    <sheetView showGridLines="0"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25" customWidth="1" min="4" max="4"/>
    <col width="25" customWidth="1" min="5" max="5"/>
    <col width="25" customWidth="1" min="6" max="6"/>
    <col width="18" customWidth="1" min="7" max="7"/>
    <col width="15" customWidth="1" min="8" max="8"/>
    <col width="15" customWidth="1" min="9" max="9"/>
    <col width="35" customWidth="1" min="10" max="10"/>
  </cols>
  <sheetData>
    <row r="1" ht="35" customHeight="1">
      <c r="A1" s="11" t="inlineStr">
        <is>
          <t>DEVICE-LEVEL FILTERING INVENTORY</t>
        </is>
      </c>
    </row>
    <row r="2">
      <c r="A2" s="12" t="inlineStr">
        <is>
          <t>Track endpoint protection for mobile/remote devices</t>
        </is>
      </c>
    </row>
    <row r="4">
      <c r="A4" s="13" t="inlineStr">
        <is>
          <t>Device ID</t>
        </is>
      </c>
      <c r="B4" s="13" t="inlineStr">
        <is>
          <t>Device Type</t>
        </is>
      </c>
      <c r="C4" s="13" t="inlineStr">
        <is>
          <t>OS</t>
        </is>
      </c>
      <c r="D4" s="13" t="inlineStr">
        <is>
          <t>User/Owner</t>
        </is>
      </c>
      <c r="E4" s="13" t="inlineStr">
        <is>
          <t>Primary Network</t>
        </is>
      </c>
      <c r="F4" s="13" t="inlineStr">
        <is>
          <t>Filtering Solution</t>
        </is>
      </c>
      <c r="G4" s="13" t="inlineStr">
        <is>
          <t>Agent-Based?</t>
        </is>
      </c>
      <c r="H4" s="13" t="inlineStr">
        <is>
          <t>Status</t>
        </is>
      </c>
      <c r="I4" s="13" t="inlineStr">
        <is>
          <t>Last Verified</t>
        </is>
      </c>
      <c r="J4" s="13" t="inlineStr">
        <is>
          <t>Evidence</t>
        </is>
      </c>
    </row>
    <row r="5">
      <c r="A5" s="14" t="inlineStr">
        <is>
          <t>DEV-001</t>
        </is>
      </c>
      <c r="B5" s="15" t="n"/>
      <c r="C5" s="15" t="n"/>
      <c r="D5" s="15" t="n"/>
      <c r="E5" s="15" t="n"/>
      <c r="F5" s="15" t="n"/>
      <c r="G5" s="15" t="n"/>
      <c r="H5" s="15" t="n"/>
      <c r="I5" s="15" t="n"/>
      <c r="J5" s="15" t="n"/>
    </row>
    <row r="6">
      <c r="B6" s="15" t="n"/>
      <c r="C6" s="15" t="n"/>
      <c r="D6" s="15" t="n"/>
      <c r="E6" s="15" t="n"/>
      <c r="F6" s="15" t="n"/>
      <c r="G6" s="15" t="n"/>
      <c r="H6" s="15" t="n"/>
      <c r="I6" s="15" t="n"/>
      <c r="J6" s="15" t="n"/>
    </row>
    <row r="7">
      <c r="B7" s="15" t="n"/>
      <c r="C7" s="15" t="n"/>
      <c r="D7" s="15" t="n"/>
      <c r="E7" s="15" t="n"/>
      <c r="F7" s="15" t="n"/>
      <c r="G7" s="15" t="n"/>
      <c r="H7" s="15" t="n"/>
      <c r="I7" s="15" t="n"/>
      <c r="J7" s="15" t="n"/>
    </row>
    <row r="8">
      <c r="B8" s="15" t="n"/>
      <c r="C8" s="15" t="n"/>
      <c r="D8" s="15" t="n"/>
      <c r="E8" s="15" t="n"/>
      <c r="F8" s="15" t="n"/>
      <c r="G8" s="15" t="n"/>
      <c r="H8" s="15" t="n"/>
      <c r="I8" s="15" t="n"/>
      <c r="J8" s="15" t="n"/>
    </row>
    <row r="9">
      <c r="B9" s="15" t="n"/>
      <c r="C9" s="15" t="n"/>
      <c r="D9" s="15" t="n"/>
      <c r="E9" s="15" t="n"/>
      <c r="F9" s="15" t="n"/>
      <c r="G9" s="15" t="n"/>
      <c r="H9" s="15" t="n"/>
      <c r="I9" s="15" t="n"/>
      <c r="J9" s="15" t="n"/>
    </row>
    <row r="10">
      <c r="B10" s="15" t="n"/>
      <c r="C10" s="15" t="n"/>
      <c r="D10" s="15" t="n"/>
      <c r="E10" s="15" t="n"/>
      <c r="F10" s="15" t="n"/>
      <c r="G10" s="15" t="n"/>
      <c r="H10" s="15" t="n"/>
      <c r="I10" s="15" t="n"/>
      <c r="J10" s="15" t="n"/>
    </row>
    <row r="11">
      <c r="B11" s="15" t="n"/>
      <c r="C11" s="15" t="n"/>
      <c r="D11" s="15" t="n"/>
      <c r="E11" s="15" t="n"/>
      <c r="F11" s="15" t="n"/>
      <c r="G11" s="15" t="n"/>
      <c r="H11" s="15" t="n"/>
      <c r="I11" s="15" t="n"/>
      <c r="J11" s="15" t="n"/>
    </row>
    <row r="12">
      <c r="B12" s="15" t="n"/>
      <c r="C12" s="15" t="n"/>
      <c r="D12" s="15" t="n"/>
      <c r="E12" s="15" t="n"/>
      <c r="F12" s="15" t="n"/>
      <c r="G12" s="15" t="n"/>
      <c r="H12" s="15" t="n"/>
      <c r="I12" s="15" t="n"/>
      <c r="J12" s="15" t="n"/>
    </row>
    <row r="13">
      <c r="B13" s="15" t="n"/>
      <c r="C13" s="15" t="n"/>
      <c r="D13" s="15" t="n"/>
      <c r="E13" s="15" t="n"/>
      <c r="F13" s="15" t="n"/>
      <c r="G13" s="15" t="n"/>
      <c r="H13" s="15" t="n"/>
      <c r="I13" s="15" t="n"/>
      <c r="J13" s="15" t="n"/>
    </row>
    <row r="14">
      <c r="B14" s="15" t="n"/>
      <c r="C14" s="15" t="n"/>
      <c r="D14" s="15" t="n"/>
      <c r="E14" s="15" t="n"/>
      <c r="F14" s="15" t="n"/>
      <c r="G14" s="15" t="n"/>
      <c r="H14" s="15" t="n"/>
      <c r="I14" s="15" t="n"/>
      <c r="J14" s="15" t="n"/>
    </row>
    <row r="15">
      <c r="B15" s="15" t="n"/>
      <c r="C15" s="15" t="n"/>
      <c r="D15" s="15" t="n"/>
      <c r="E15" s="15" t="n"/>
      <c r="F15" s="15" t="n"/>
      <c r="G15" s="15" t="n"/>
      <c r="H15" s="15" t="n"/>
      <c r="I15" s="15" t="n"/>
      <c r="J15" s="15" t="n"/>
    </row>
    <row r="16">
      <c r="B16" s="15" t="n"/>
      <c r="C16" s="15" t="n"/>
      <c r="D16" s="15" t="n"/>
      <c r="E16" s="15" t="n"/>
      <c r="F16" s="15" t="n"/>
      <c r="G16" s="15" t="n"/>
      <c r="H16" s="15" t="n"/>
      <c r="I16" s="15" t="n"/>
      <c r="J16" s="15" t="n"/>
    </row>
    <row r="17">
      <c r="B17" s="15" t="n"/>
      <c r="C17" s="15" t="n"/>
      <c r="D17" s="15" t="n"/>
      <c r="E17" s="15" t="n"/>
      <c r="F17" s="15" t="n"/>
      <c r="G17" s="15" t="n"/>
      <c r="H17" s="15" t="n"/>
      <c r="I17" s="15" t="n"/>
      <c r="J17" s="15" t="n"/>
    </row>
    <row r="18">
      <c r="B18" s="15" t="n"/>
      <c r="C18" s="15" t="n"/>
      <c r="D18" s="15" t="n"/>
      <c r="E18" s="15" t="n"/>
      <c r="F18" s="15" t="n"/>
      <c r="G18" s="15" t="n"/>
      <c r="H18" s="15" t="n"/>
      <c r="I18" s="15" t="n"/>
      <c r="J18" s="15" t="n"/>
    </row>
    <row r="19">
      <c r="B19" s="15" t="n"/>
      <c r="C19" s="15" t="n"/>
      <c r="D19" s="15" t="n"/>
      <c r="E19" s="15" t="n"/>
      <c r="F19" s="15" t="n"/>
      <c r="G19" s="15" t="n"/>
      <c r="H19" s="15" t="n"/>
      <c r="I19" s="15" t="n"/>
      <c r="J19" s="15" t="n"/>
    </row>
    <row r="20">
      <c r="B20" s="15" t="n"/>
      <c r="C20" s="15" t="n"/>
      <c r="D20" s="15" t="n"/>
      <c r="E20" s="15" t="n"/>
      <c r="F20" s="15" t="n"/>
      <c r="G20" s="15" t="n"/>
      <c r="H20" s="15" t="n"/>
      <c r="I20" s="15" t="n"/>
      <c r="J20" s="15" t="n"/>
    </row>
    <row r="21">
      <c r="B21" s="15" t="n"/>
      <c r="C21" s="15" t="n"/>
      <c r="D21" s="15" t="n"/>
      <c r="E21" s="15" t="n"/>
      <c r="F21" s="15" t="n"/>
      <c r="G21" s="15" t="n"/>
      <c r="H21" s="15" t="n"/>
      <c r="I21" s="15" t="n"/>
      <c r="J21" s="15" t="n"/>
    </row>
    <row r="22">
      <c r="B22" s="15" t="n"/>
      <c r="C22" s="15" t="n"/>
      <c r="D22" s="15" t="n"/>
      <c r="E22" s="15" t="n"/>
      <c r="F22" s="15" t="n"/>
      <c r="G22" s="15" t="n"/>
      <c r="H22" s="15" t="n"/>
      <c r="I22" s="15" t="n"/>
      <c r="J22" s="15" t="n"/>
    </row>
    <row r="23">
      <c r="B23" s="15" t="n"/>
      <c r="C23" s="15" t="n"/>
      <c r="D23" s="15" t="n"/>
      <c r="E23" s="15" t="n"/>
      <c r="F23" s="15" t="n"/>
      <c r="G23" s="15" t="n"/>
      <c r="H23" s="15" t="n"/>
      <c r="I23" s="15" t="n"/>
      <c r="J23" s="15" t="n"/>
    </row>
    <row r="24">
      <c r="B24" s="15" t="n"/>
      <c r="C24" s="15" t="n"/>
      <c r="D24" s="15" t="n"/>
      <c r="E24" s="15" t="n"/>
      <c r="F24" s="15" t="n"/>
      <c r="G24" s="15" t="n"/>
      <c r="H24" s="15" t="n"/>
      <c r="I24" s="15" t="n"/>
      <c r="J24" s="15" t="n"/>
    </row>
    <row r="25">
      <c r="B25" s="15" t="n"/>
      <c r="C25" s="15" t="n"/>
      <c r="D25" s="15" t="n"/>
      <c r="E25" s="15" t="n"/>
      <c r="F25" s="15" t="n"/>
      <c r="G25" s="15" t="n"/>
      <c r="H25" s="15" t="n"/>
      <c r="I25" s="15" t="n"/>
      <c r="J25" s="15" t="n"/>
    </row>
    <row r="26">
      <c r="B26" s="15" t="n"/>
      <c r="C26" s="15" t="n"/>
      <c r="D26" s="15" t="n"/>
      <c r="E26" s="15" t="n"/>
      <c r="F26" s="15" t="n"/>
      <c r="G26" s="15" t="n"/>
      <c r="H26" s="15" t="n"/>
      <c r="I26" s="15" t="n"/>
      <c r="J26" s="15" t="n"/>
    </row>
    <row r="27">
      <c r="B27" s="15" t="n"/>
      <c r="C27" s="15" t="n"/>
      <c r="D27" s="15" t="n"/>
      <c r="E27" s="15" t="n"/>
      <c r="F27" s="15" t="n"/>
      <c r="G27" s="15" t="n"/>
      <c r="H27" s="15" t="n"/>
      <c r="I27" s="15" t="n"/>
      <c r="J27" s="15" t="n"/>
    </row>
    <row r="28">
      <c r="B28" s="15" t="n"/>
      <c r="C28" s="15" t="n"/>
      <c r="D28" s="15" t="n"/>
      <c r="E28" s="15" t="n"/>
      <c r="F28" s="15" t="n"/>
      <c r="G28" s="15" t="n"/>
      <c r="H28" s="15" t="n"/>
      <c r="I28" s="15" t="n"/>
      <c r="J28" s="15" t="n"/>
    </row>
    <row r="29">
      <c r="B29" s="15" t="n"/>
      <c r="C29" s="15" t="n"/>
      <c r="D29" s="15" t="n"/>
      <c r="E29" s="15" t="n"/>
      <c r="F29" s="15" t="n"/>
      <c r="G29" s="15" t="n"/>
      <c r="H29" s="15" t="n"/>
      <c r="I29" s="15" t="n"/>
      <c r="J29" s="15" t="n"/>
    </row>
    <row r="30">
      <c r="B30" s="15" t="n"/>
      <c r="C30" s="15" t="n"/>
      <c r="D30" s="15" t="n"/>
      <c r="E30" s="15" t="n"/>
      <c r="F30" s="15" t="n"/>
      <c r="G30" s="15" t="n"/>
      <c r="H30" s="15" t="n"/>
      <c r="I30" s="15" t="n"/>
      <c r="J30" s="15" t="n"/>
    </row>
    <row r="31">
      <c r="B31" s="15" t="n"/>
      <c r="C31" s="15" t="n"/>
      <c r="D31" s="15" t="n"/>
      <c r="E31" s="15" t="n"/>
      <c r="F31" s="15" t="n"/>
      <c r="G31" s="15" t="n"/>
      <c r="H31" s="15" t="n"/>
      <c r="I31" s="15" t="n"/>
      <c r="J31" s="15" t="n"/>
    </row>
    <row r="32">
      <c r="B32" s="15" t="n"/>
      <c r="C32" s="15" t="n"/>
      <c r="D32" s="15" t="n"/>
      <c r="E32" s="15" t="n"/>
      <c r="F32" s="15" t="n"/>
      <c r="G32" s="15" t="n"/>
      <c r="H32" s="15" t="n"/>
      <c r="I32" s="15" t="n"/>
      <c r="J32" s="15" t="n"/>
    </row>
    <row r="33">
      <c r="B33" s="15" t="n"/>
      <c r="C33" s="15" t="n"/>
      <c r="D33" s="15" t="n"/>
      <c r="E33" s="15" t="n"/>
      <c r="F33" s="15" t="n"/>
      <c r="G33" s="15" t="n"/>
      <c r="H33" s="15" t="n"/>
      <c r="I33" s="15" t="n"/>
      <c r="J33" s="15" t="n"/>
    </row>
    <row r="34">
      <c r="B34" s="15" t="n"/>
      <c r="C34" s="15" t="n"/>
      <c r="D34" s="15" t="n"/>
      <c r="E34" s="15" t="n"/>
      <c r="F34" s="15" t="n"/>
      <c r="G34" s="15" t="n"/>
      <c r="H34" s="15" t="n"/>
      <c r="I34" s="15" t="n"/>
      <c r="J34" s="15" t="n"/>
    </row>
    <row r="35">
      <c r="B35" s="15" t="n"/>
      <c r="C35" s="15" t="n"/>
      <c r="D35" s="15" t="n"/>
      <c r="E35" s="15" t="n"/>
      <c r="F35" s="15" t="n"/>
      <c r="G35" s="15" t="n"/>
      <c r="H35" s="15" t="n"/>
      <c r="I35" s="15" t="n"/>
      <c r="J35" s="15" t="n"/>
    </row>
    <row r="36">
      <c r="B36" s="15" t="n"/>
      <c r="C36" s="15" t="n"/>
      <c r="D36" s="15" t="n"/>
      <c r="E36" s="15" t="n"/>
      <c r="F36" s="15" t="n"/>
      <c r="G36" s="15" t="n"/>
      <c r="H36" s="15" t="n"/>
      <c r="I36" s="15" t="n"/>
      <c r="J36" s="15" t="n"/>
    </row>
    <row r="37">
      <c r="B37" s="15" t="n"/>
      <c r="C37" s="15" t="n"/>
      <c r="D37" s="15" t="n"/>
      <c r="E37" s="15" t="n"/>
      <c r="F37" s="15" t="n"/>
      <c r="G37" s="15" t="n"/>
      <c r="H37" s="15" t="n"/>
      <c r="I37" s="15" t="n"/>
      <c r="J37" s="15" t="n"/>
    </row>
    <row r="38">
      <c r="B38" s="15" t="n"/>
      <c r="C38" s="15" t="n"/>
      <c r="D38" s="15" t="n"/>
      <c r="E38" s="15" t="n"/>
      <c r="F38" s="15" t="n"/>
      <c r="G38" s="15" t="n"/>
      <c r="H38" s="15" t="n"/>
      <c r="I38" s="15" t="n"/>
      <c r="J38" s="15" t="n"/>
    </row>
    <row r="39">
      <c r="B39" s="15" t="n"/>
      <c r="C39" s="15" t="n"/>
      <c r="D39" s="15" t="n"/>
      <c r="E39" s="15" t="n"/>
      <c r="F39" s="15" t="n"/>
      <c r="G39" s="15" t="n"/>
      <c r="H39" s="15" t="n"/>
      <c r="I39" s="15" t="n"/>
      <c r="J39" s="15" t="n"/>
    </row>
    <row r="40">
      <c r="B40" s="15" t="n"/>
      <c r="C40" s="15" t="n"/>
      <c r="D40" s="15" t="n"/>
      <c r="E40" s="15" t="n"/>
      <c r="F40" s="15" t="n"/>
      <c r="G40" s="15" t="n"/>
      <c r="H40" s="15" t="n"/>
      <c r="I40" s="15" t="n"/>
      <c r="J40" s="15" t="n"/>
    </row>
    <row r="41">
      <c r="B41" s="15" t="n"/>
      <c r="C41" s="15" t="n"/>
      <c r="D41" s="15" t="n"/>
      <c r="E41" s="15" t="n"/>
      <c r="F41" s="15" t="n"/>
      <c r="G41" s="15" t="n"/>
      <c r="H41" s="15" t="n"/>
      <c r="I41" s="15" t="n"/>
      <c r="J41" s="15" t="n"/>
    </row>
    <row r="42">
      <c r="B42" s="15" t="n"/>
      <c r="C42" s="15" t="n"/>
      <c r="D42" s="15" t="n"/>
      <c r="E42" s="15" t="n"/>
      <c r="F42" s="15" t="n"/>
      <c r="G42" s="15" t="n"/>
      <c r="H42" s="15" t="n"/>
      <c r="I42" s="15" t="n"/>
      <c r="J42" s="15" t="n"/>
    </row>
    <row r="43">
      <c r="B43" s="15" t="n"/>
      <c r="C43" s="15" t="n"/>
      <c r="D43" s="15" t="n"/>
      <c r="E43" s="15" t="n"/>
      <c r="F43" s="15" t="n"/>
      <c r="G43" s="15" t="n"/>
      <c r="H43" s="15" t="n"/>
      <c r="I43" s="15" t="n"/>
      <c r="J43" s="15" t="n"/>
    </row>
    <row r="44">
      <c r="B44" s="15" t="n"/>
      <c r="C44" s="15" t="n"/>
      <c r="D44" s="15" t="n"/>
      <c r="E44" s="15" t="n"/>
      <c r="F44" s="15" t="n"/>
      <c r="G44" s="15" t="n"/>
      <c r="H44" s="15" t="n"/>
      <c r="I44" s="15" t="n"/>
      <c r="J44" s="15" t="n"/>
    </row>
    <row r="45">
      <c r="B45" s="15" t="n"/>
      <c r="C45" s="15" t="n"/>
      <c r="D45" s="15" t="n"/>
      <c r="E45" s="15" t="n"/>
      <c r="F45" s="15" t="n"/>
      <c r="G45" s="15" t="n"/>
      <c r="H45" s="15" t="n"/>
      <c r="I45" s="15" t="n"/>
      <c r="J45" s="15" t="n"/>
    </row>
    <row r="46">
      <c r="B46" s="15" t="n"/>
      <c r="C46" s="15" t="n"/>
      <c r="D46" s="15" t="n"/>
      <c r="E46" s="15" t="n"/>
      <c r="F46" s="15" t="n"/>
      <c r="G46" s="15" t="n"/>
      <c r="H46" s="15" t="n"/>
      <c r="I46" s="15" t="n"/>
      <c r="J46" s="15" t="n"/>
    </row>
    <row r="47">
      <c r="B47" s="15" t="n"/>
      <c r="C47" s="15" t="n"/>
      <c r="D47" s="15" t="n"/>
      <c r="E47" s="15" t="n"/>
      <c r="F47" s="15" t="n"/>
      <c r="G47" s="15" t="n"/>
      <c r="H47" s="15" t="n"/>
      <c r="I47" s="15" t="n"/>
      <c r="J47" s="15" t="n"/>
    </row>
    <row r="48">
      <c r="B48" s="15" t="n"/>
      <c r="C48" s="15" t="n"/>
      <c r="D48" s="15" t="n"/>
      <c r="E48" s="15" t="n"/>
      <c r="F48" s="15" t="n"/>
      <c r="G48" s="15" t="n"/>
      <c r="H48" s="15" t="n"/>
      <c r="I48" s="15" t="n"/>
      <c r="J48" s="15" t="n"/>
    </row>
    <row r="49">
      <c r="B49" s="15" t="n"/>
      <c r="C49" s="15" t="n"/>
      <c r="D49" s="15" t="n"/>
      <c r="E49" s="15" t="n"/>
      <c r="F49" s="15" t="n"/>
      <c r="G49" s="15" t="n"/>
      <c r="H49" s="15" t="n"/>
      <c r="I49" s="15" t="n"/>
      <c r="J49" s="15" t="n"/>
    </row>
    <row r="50">
      <c r="B50" s="15" t="n"/>
      <c r="C50" s="15" t="n"/>
      <c r="D50" s="15" t="n"/>
      <c r="E50" s="15" t="n"/>
      <c r="F50" s="15" t="n"/>
      <c r="G50" s="15" t="n"/>
      <c r="H50" s="15" t="n"/>
      <c r="I50" s="15" t="n"/>
      <c r="J50" s="15" t="n"/>
    </row>
    <row r="51">
      <c r="B51" s="15" t="n"/>
      <c r="C51" s="15" t="n"/>
      <c r="D51" s="15" t="n"/>
      <c r="E51" s="15" t="n"/>
      <c r="F51" s="15" t="n"/>
      <c r="G51" s="15" t="n"/>
      <c r="H51" s="15" t="n"/>
      <c r="I51" s="15" t="n"/>
      <c r="J51" s="15" t="n"/>
    </row>
    <row r="52">
      <c r="B52" s="15" t="n"/>
      <c r="C52" s="15" t="n"/>
      <c r="D52" s="15" t="n"/>
      <c r="E52" s="15" t="n"/>
      <c r="F52" s="15" t="n"/>
      <c r="G52" s="15" t="n"/>
      <c r="H52" s="15" t="n"/>
      <c r="I52" s="15" t="n"/>
      <c r="J52" s="15" t="n"/>
    </row>
    <row r="53">
      <c r="B53" s="15" t="n"/>
      <c r="C53" s="15" t="n"/>
      <c r="D53" s="15" t="n"/>
      <c r="E53" s="15" t="n"/>
      <c r="F53" s="15" t="n"/>
      <c r="G53" s="15" t="n"/>
      <c r="H53" s="15" t="n"/>
      <c r="I53" s="15" t="n"/>
      <c r="J53" s="15" t="n"/>
    </row>
    <row r="54">
      <c r="B54" s="15" t="n"/>
      <c r="C54" s="15" t="n"/>
      <c r="D54" s="15" t="n"/>
      <c r="E54" s="15" t="n"/>
      <c r="F54" s="15" t="n"/>
      <c r="G54" s="15" t="n"/>
      <c r="H54" s="15" t="n"/>
      <c r="I54" s="15" t="n"/>
      <c r="J54" s="15" t="n"/>
    </row>
    <row r="55">
      <c r="B55" s="15" t="n"/>
      <c r="C55" s="15" t="n"/>
      <c r="D55" s="15" t="n"/>
      <c r="E55" s="15" t="n"/>
      <c r="F55" s="15" t="n"/>
      <c r="G55" s="15" t="n"/>
      <c r="H55" s="15" t="n"/>
      <c r="I55" s="15" t="n"/>
      <c r="J55" s="15" t="n"/>
    </row>
    <row r="58">
      <c r="A58" s="18" t="inlineStr">
        <is>
          <t>DEVICE SUMMARY BY TYPE</t>
        </is>
      </c>
    </row>
    <row r="59">
      <c r="A59" s="21" t="inlineStr">
        <is>
          <t>Device Type</t>
        </is>
      </c>
      <c r="B59" s="21" t="inlineStr">
        <is>
          <t>Total</t>
        </is>
      </c>
      <c r="C59" s="21" t="inlineStr">
        <is>
          <t>Protected</t>
        </is>
      </c>
      <c r="D59" s="21" t="inlineStr">
        <is>
          <t>Unprotected</t>
        </is>
      </c>
      <c r="E59" s="21" t="inlineStr">
        <is>
          <t>Coverage %</t>
        </is>
      </c>
    </row>
    <row r="60">
      <c r="A60" s="19" t="inlineStr">
        <is>
          <t>Laptop</t>
        </is>
      </c>
      <c r="B60" s="22">
        <f>COUNTIF(B5:B55,"Laptop")</f>
        <v/>
      </c>
      <c r="C60" s="22">
        <f>COUNTIFS(B5:B55,"Laptop",H5:H55,"✅ Protected")</f>
        <v/>
      </c>
      <c r="D60" s="22">
        <f>COUNTIFS(B5:B55,"Laptop",H5:H55,"❌ Unprotected")</f>
        <v/>
      </c>
      <c r="E60" s="22">
        <f>IF(B60=0,0,C60/B60*100)&amp;"%"</f>
        <v/>
      </c>
    </row>
    <row r="61">
      <c r="A61" s="19" t="inlineStr">
        <is>
          <t>Desktop</t>
        </is>
      </c>
      <c r="B61" s="22">
        <f>COUNTIF(B5:B55,"Desktop")</f>
        <v/>
      </c>
      <c r="C61" s="22">
        <f>COUNTIFS(B5:B55,"Desktop",H5:H55,"✅ Protected")</f>
        <v/>
      </c>
      <c r="D61" s="22">
        <f>COUNTIFS(B5:B55,"Desktop",H5:H55,"❌ Unprotected")</f>
        <v/>
      </c>
      <c r="E61" s="22">
        <f>IF(B61=0,0,C61/B61*100)&amp;"%"</f>
        <v/>
      </c>
    </row>
    <row r="62">
      <c r="A62" s="19" t="inlineStr">
        <is>
          <t>Smartphone</t>
        </is>
      </c>
      <c r="B62" s="22">
        <f>COUNTIF(B5:B55,"Smartphone")</f>
        <v/>
      </c>
      <c r="C62" s="22">
        <f>COUNTIFS(B5:B55,"Smartphone",H5:H55,"✅ Protected")</f>
        <v/>
      </c>
      <c r="D62" s="22">
        <f>COUNTIFS(B5:B55,"Smartphone",H5:H55,"❌ Unprotected")</f>
        <v/>
      </c>
      <c r="E62" s="22">
        <f>IF(B62=0,0,C62/B62*100)&amp;"%"</f>
        <v/>
      </c>
    </row>
    <row r="63">
      <c r="A63" s="19" t="inlineStr">
        <is>
          <t>Tablet</t>
        </is>
      </c>
      <c r="B63" s="22">
        <f>COUNTIF(B5:B55,"Tablet")</f>
        <v/>
      </c>
      <c r="C63" s="22">
        <f>COUNTIFS(B5:B55,"Tablet",H5:H55,"✅ Protected")</f>
        <v/>
      </c>
      <c r="D63" s="22">
        <f>COUNTIFS(B5:B55,"Tablet",H5:H55,"❌ Unprotected")</f>
        <v/>
      </c>
      <c r="E63" s="22">
        <f>IF(B63=0,0,C63/B63*100)&amp;"%"</f>
        <v/>
      </c>
    </row>
    <row r="64">
      <c r="A64" s="19" t="inlineStr">
        <is>
          <t>Virtual Desktop</t>
        </is>
      </c>
      <c r="B64" s="22">
        <f>COUNTIF(B5:B55,"Virtual Desktop")</f>
        <v/>
      </c>
      <c r="C64" s="22">
        <f>COUNTIFS(B5:B55,"Virtual Desktop",H5:H55,"✅ Protected")</f>
        <v/>
      </c>
      <c r="D64" s="22">
        <f>COUNTIFS(B5:B55,"Virtual Desktop",H5:H55,"❌ Unprotected")</f>
        <v/>
      </c>
      <c r="E64" s="22">
        <f>IF(B64=0,0,C64/B64*100)&amp;"%"</f>
        <v/>
      </c>
    </row>
    <row r="65">
      <c r="A65" s="19" t="inlineStr">
        <is>
          <t>Other</t>
        </is>
      </c>
      <c r="B65" s="22">
        <f>COUNTIF(B5:B55,"Other")</f>
        <v/>
      </c>
      <c r="C65" s="22">
        <f>COUNTIFS(B5:B55,"Other",H5:H55,"✅ Protected")</f>
        <v/>
      </c>
      <c r="D65" s="22">
        <f>COUNTIFS(B5:B55,"Other",H5:H55,"❌ Unprotected")</f>
        <v/>
      </c>
      <c r="E65" s="22">
        <f>IF(B65=0,0,C65/B65*100)&amp;"%"</f>
        <v/>
      </c>
    </row>
  </sheetData>
  <mergeCells count="3">
    <mergeCell ref="A58:J58"/>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7"/>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0" customWidth="1" min="3" max="3"/>
    <col width="35" customWidth="1" min="4" max="4"/>
    <col width="30" customWidth="1" min="5" max="5"/>
    <col width="30" customWidth="1" min="6" max="6"/>
    <col width="20" customWidth="1" min="7" max="7"/>
    <col width="15" customWidth="1" min="8" max="8"/>
    <col width="15" customWidth="1" min="9" max="9"/>
    <col width="15" customWidth="1" min="10" max="10"/>
    <col width="30" customWidth="1" min="11" max="11"/>
  </cols>
  <sheetData>
    <row r="1" ht="35" customHeight="1">
      <c r="A1" s="11" t="inlineStr">
        <is>
          <t>FILTERING EXEMPTION REGISTER</t>
        </is>
      </c>
    </row>
    <row r="2">
      <c r="A2" s="12" t="inlineStr">
        <is>
          <t>Document approved exceptions to web filtering requirements</t>
        </is>
      </c>
    </row>
    <row r="4">
      <c r="A4" s="13" t="inlineStr">
        <is>
          <t>Exemption ID</t>
        </is>
      </c>
      <c r="B4" s="13" t="inlineStr">
        <is>
          <t>Segment/Device</t>
        </is>
      </c>
      <c r="C4" s="13" t="inlineStr">
        <is>
          <t>Exemption Type</t>
        </is>
      </c>
      <c r="D4" s="13" t="inlineStr">
        <is>
          <t>Business Justification</t>
        </is>
      </c>
      <c r="E4" s="13" t="inlineStr">
        <is>
          <t>Risk Assessment</t>
        </is>
      </c>
      <c r="F4" s="13" t="inlineStr">
        <is>
          <t>Compensating Controls</t>
        </is>
      </c>
      <c r="G4" s="13" t="inlineStr">
        <is>
          <t>Approved By</t>
        </is>
      </c>
      <c r="H4" s="13" t="inlineStr">
        <is>
          <t>Approval Date</t>
        </is>
      </c>
      <c r="I4" s="13" t="inlineStr">
        <is>
          <t>Review Date</t>
        </is>
      </c>
      <c r="J4" s="13" t="inlineStr">
        <is>
          <t>Status</t>
        </is>
      </c>
      <c r="K4" s="13" t="inlineStr">
        <is>
          <t>Evidence</t>
        </is>
      </c>
    </row>
    <row r="5">
      <c r="A5" s="14" t="inlineStr">
        <is>
          <t>EXM-001</t>
        </is>
      </c>
      <c r="B5" s="15" t="n"/>
      <c r="C5" s="15" t="n"/>
      <c r="D5" s="15" t="n"/>
      <c r="E5" s="15" t="n"/>
      <c r="F5" s="15" t="n"/>
      <c r="G5" s="15" t="n"/>
      <c r="H5" s="15" t="n"/>
      <c r="I5" s="15" t="n"/>
      <c r="J5" s="15" t="n"/>
      <c r="K5" s="15" t="n"/>
    </row>
    <row r="6">
      <c r="B6" s="15" t="n"/>
      <c r="C6" s="15" t="n"/>
      <c r="D6" s="15" t="n"/>
      <c r="E6" s="15" t="n"/>
      <c r="F6" s="15" t="n"/>
      <c r="G6" s="15" t="n"/>
      <c r="H6" s="15" t="n"/>
      <c r="I6" s="15" t="n"/>
      <c r="J6" s="15" t="n"/>
      <c r="K6" s="15" t="n"/>
    </row>
    <row r="7">
      <c r="B7" s="15" t="n"/>
      <c r="C7" s="15" t="n"/>
      <c r="D7" s="15" t="n"/>
      <c r="E7" s="15" t="n"/>
      <c r="F7" s="15" t="n"/>
      <c r="G7" s="15" t="n"/>
      <c r="H7" s="15" t="n"/>
      <c r="I7" s="15" t="n"/>
      <c r="J7" s="15" t="n"/>
      <c r="K7" s="15" t="n"/>
    </row>
    <row r="8">
      <c r="B8" s="15" t="n"/>
      <c r="C8" s="15" t="n"/>
      <c r="D8" s="15" t="n"/>
      <c r="E8" s="15" t="n"/>
      <c r="F8" s="15" t="n"/>
      <c r="G8" s="15" t="n"/>
      <c r="H8" s="15" t="n"/>
      <c r="I8" s="15" t="n"/>
      <c r="J8" s="15" t="n"/>
      <c r="K8" s="15" t="n"/>
    </row>
    <row r="9">
      <c r="B9" s="15" t="n"/>
      <c r="C9" s="15" t="n"/>
      <c r="D9" s="15" t="n"/>
      <c r="E9" s="15" t="n"/>
      <c r="F9" s="15" t="n"/>
      <c r="G9" s="15" t="n"/>
      <c r="H9" s="15" t="n"/>
      <c r="I9" s="15" t="n"/>
      <c r="J9" s="15" t="n"/>
      <c r="K9" s="15" t="n"/>
    </row>
    <row r="10">
      <c r="B10" s="15" t="n"/>
      <c r="C10" s="15" t="n"/>
      <c r="D10" s="15" t="n"/>
      <c r="E10" s="15" t="n"/>
      <c r="F10" s="15" t="n"/>
      <c r="G10" s="15" t="n"/>
      <c r="H10" s="15" t="n"/>
      <c r="I10" s="15" t="n"/>
      <c r="J10" s="15" t="n"/>
      <c r="K10" s="15" t="n"/>
    </row>
    <row r="11">
      <c r="B11" s="15" t="n"/>
      <c r="C11" s="15" t="n"/>
      <c r="D11" s="15" t="n"/>
      <c r="E11" s="15" t="n"/>
      <c r="F11" s="15" t="n"/>
      <c r="G11" s="15" t="n"/>
      <c r="H11" s="15" t="n"/>
      <c r="I11" s="15" t="n"/>
      <c r="J11" s="15" t="n"/>
      <c r="K11" s="15" t="n"/>
    </row>
    <row r="12">
      <c r="B12" s="15" t="n"/>
      <c r="C12" s="15" t="n"/>
      <c r="D12" s="15" t="n"/>
      <c r="E12" s="15" t="n"/>
      <c r="F12" s="15" t="n"/>
      <c r="G12" s="15" t="n"/>
      <c r="H12" s="15" t="n"/>
      <c r="I12" s="15" t="n"/>
      <c r="J12" s="15" t="n"/>
      <c r="K12" s="15" t="n"/>
    </row>
    <row r="13">
      <c r="B13" s="15" t="n"/>
      <c r="C13" s="15" t="n"/>
      <c r="D13" s="15" t="n"/>
      <c r="E13" s="15" t="n"/>
      <c r="F13" s="15" t="n"/>
      <c r="G13" s="15" t="n"/>
      <c r="H13" s="15" t="n"/>
      <c r="I13" s="15" t="n"/>
      <c r="J13" s="15" t="n"/>
      <c r="K13" s="15" t="n"/>
    </row>
    <row r="14">
      <c r="B14" s="15" t="n"/>
      <c r="C14" s="15" t="n"/>
      <c r="D14" s="15" t="n"/>
      <c r="E14" s="15" t="n"/>
      <c r="F14" s="15" t="n"/>
      <c r="G14" s="15" t="n"/>
      <c r="H14" s="15" t="n"/>
      <c r="I14" s="15" t="n"/>
      <c r="J14" s="15" t="n"/>
      <c r="K14" s="15" t="n"/>
    </row>
    <row r="15">
      <c r="B15" s="15" t="n"/>
      <c r="C15" s="15" t="n"/>
      <c r="D15" s="15" t="n"/>
      <c r="E15" s="15" t="n"/>
      <c r="F15" s="15" t="n"/>
      <c r="G15" s="15" t="n"/>
      <c r="H15" s="15" t="n"/>
      <c r="I15" s="15" t="n"/>
      <c r="J15" s="15" t="n"/>
      <c r="K15" s="15" t="n"/>
    </row>
    <row r="16">
      <c r="B16" s="15" t="n"/>
      <c r="C16" s="15" t="n"/>
      <c r="D16" s="15" t="n"/>
      <c r="E16" s="15" t="n"/>
      <c r="F16" s="15" t="n"/>
      <c r="G16" s="15" t="n"/>
      <c r="H16" s="15" t="n"/>
      <c r="I16" s="15" t="n"/>
      <c r="J16" s="15" t="n"/>
      <c r="K16" s="15" t="n"/>
    </row>
    <row r="17">
      <c r="B17" s="15" t="n"/>
      <c r="C17" s="15" t="n"/>
      <c r="D17" s="15" t="n"/>
      <c r="E17" s="15" t="n"/>
      <c r="F17" s="15" t="n"/>
      <c r="G17" s="15" t="n"/>
      <c r="H17" s="15" t="n"/>
      <c r="I17" s="15" t="n"/>
      <c r="J17" s="15" t="n"/>
      <c r="K17" s="15" t="n"/>
    </row>
    <row r="18">
      <c r="B18" s="15" t="n"/>
      <c r="C18" s="15" t="n"/>
      <c r="D18" s="15" t="n"/>
      <c r="E18" s="15" t="n"/>
      <c r="F18" s="15" t="n"/>
      <c r="G18" s="15" t="n"/>
      <c r="H18" s="15" t="n"/>
      <c r="I18" s="15" t="n"/>
      <c r="J18" s="15" t="n"/>
      <c r="K18" s="15" t="n"/>
    </row>
    <row r="19">
      <c r="B19" s="15" t="n"/>
      <c r="C19" s="15" t="n"/>
      <c r="D19" s="15" t="n"/>
      <c r="E19" s="15" t="n"/>
      <c r="F19" s="15" t="n"/>
      <c r="G19" s="15" t="n"/>
      <c r="H19" s="15" t="n"/>
      <c r="I19" s="15" t="n"/>
      <c r="J19" s="15" t="n"/>
      <c r="K19" s="15" t="n"/>
    </row>
    <row r="20">
      <c r="B20" s="15" t="n"/>
      <c r="C20" s="15" t="n"/>
      <c r="D20" s="15" t="n"/>
      <c r="E20" s="15" t="n"/>
      <c r="F20" s="15" t="n"/>
      <c r="G20" s="15" t="n"/>
      <c r="H20" s="15" t="n"/>
      <c r="I20" s="15" t="n"/>
      <c r="J20" s="15" t="n"/>
      <c r="K20" s="15" t="n"/>
    </row>
    <row r="21">
      <c r="B21" s="15" t="n"/>
      <c r="C21" s="15" t="n"/>
      <c r="D21" s="15" t="n"/>
      <c r="E21" s="15" t="n"/>
      <c r="F21" s="15" t="n"/>
      <c r="G21" s="15" t="n"/>
      <c r="H21" s="15" t="n"/>
      <c r="I21" s="15" t="n"/>
      <c r="J21" s="15" t="n"/>
      <c r="K21" s="15" t="n"/>
    </row>
    <row r="22">
      <c r="B22" s="15" t="n"/>
      <c r="C22" s="15" t="n"/>
      <c r="D22" s="15" t="n"/>
      <c r="E22" s="15" t="n"/>
      <c r="F22" s="15" t="n"/>
      <c r="G22" s="15" t="n"/>
      <c r="H22" s="15" t="n"/>
      <c r="I22" s="15" t="n"/>
      <c r="J22" s="15" t="n"/>
      <c r="K22" s="15" t="n"/>
    </row>
    <row r="23">
      <c r="B23" s="15" t="n"/>
      <c r="C23" s="15" t="n"/>
      <c r="D23" s="15" t="n"/>
      <c r="E23" s="15" t="n"/>
      <c r="F23" s="15" t="n"/>
      <c r="G23" s="15" t="n"/>
      <c r="H23" s="15" t="n"/>
      <c r="I23" s="15" t="n"/>
      <c r="J23" s="15" t="n"/>
      <c r="K23" s="15" t="n"/>
    </row>
    <row r="24">
      <c r="B24" s="15" t="n"/>
      <c r="C24" s="15" t="n"/>
      <c r="D24" s="15" t="n"/>
      <c r="E24" s="15" t="n"/>
      <c r="F24" s="15" t="n"/>
      <c r="G24" s="15" t="n"/>
      <c r="H24" s="15" t="n"/>
      <c r="I24" s="15" t="n"/>
      <c r="J24" s="15" t="n"/>
      <c r="K24" s="15" t="n"/>
    </row>
    <row r="25">
      <c r="B25" s="15" t="n"/>
      <c r="C25" s="15" t="n"/>
      <c r="D25" s="15" t="n"/>
      <c r="E25" s="15" t="n"/>
      <c r="F25" s="15" t="n"/>
      <c r="G25" s="15" t="n"/>
      <c r="H25" s="15" t="n"/>
      <c r="I25" s="15" t="n"/>
      <c r="J25" s="15" t="n"/>
      <c r="K25" s="15" t="n"/>
    </row>
    <row r="26">
      <c r="B26" s="15" t="n"/>
      <c r="C26" s="15" t="n"/>
      <c r="D26" s="15" t="n"/>
      <c r="E26" s="15" t="n"/>
      <c r="F26" s="15" t="n"/>
      <c r="G26" s="15" t="n"/>
      <c r="H26" s="15" t="n"/>
      <c r="I26" s="15" t="n"/>
      <c r="J26" s="15" t="n"/>
      <c r="K26" s="15" t="n"/>
    </row>
    <row r="27">
      <c r="B27" s="15" t="n"/>
      <c r="C27" s="15" t="n"/>
      <c r="D27" s="15" t="n"/>
      <c r="E27" s="15" t="n"/>
      <c r="F27" s="15" t="n"/>
      <c r="G27" s="15" t="n"/>
      <c r="H27" s="15" t="n"/>
      <c r="I27" s="15" t="n"/>
      <c r="J27" s="15" t="n"/>
      <c r="K27" s="15" t="n"/>
    </row>
    <row r="28">
      <c r="B28" s="15" t="n"/>
      <c r="C28" s="15" t="n"/>
      <c r="D28" s="15" t="n"/>
      <c r="E28" s="15" t="n"/>
      <c r="F28" s="15" t="n"/>
      <c r="G28" s="15" t="n"/>
      <c r="H28" s="15" t="n"/>
      <c r="I28" s="15" t="n"/>
      <c r="J28" s="15" t="n"/>
      <c r="K28" s="15" t="n"/>
    </row>
    <row r="29">
      <c r="B29" s="15" t="n"/>
      <c r="C29" s="15" t="n"/>
      <c r="D29" s="15" t="n"/>
      <c r="E29" s="15" t="n"/>
      <c r="F29" s="15" t="n"/>
      <c r="G29" s="15" t="n"/>
      <c r="H29" s="15" t="n"/>
      <c r="I29" s="15" t="n"/>
      <c r="J29" s="15" t="n"/>
      <c r="K29" s="15" t="n"/>
    </row>
    <row r="30">
      <c r="B30" s="15" t="n"/>
      <c r="C30" s="15" t="n"/>
      <c r="D30" s="15" t="n"/>
      <c r="E30" s="15" t="n"/>
      <c r="F30" s="15" t="n"/>
      <c r="G30" s="15" t="n"/>
      <c r="H30" s="15" t="n"/>
      <c r="I30" s="15" t="n"/>
      <c r="J30" s="15" t="n"/>
      <c r="K30" s="15" t="n"/>
    </row>
    <row r="31">
      <c r="B31" s="15" t="n"/>
      <c r="C31" s="15" t="n"/>
      <c r="D31" s="15" t="n"/>
      <c r="E31" s="15" t="n"/>
      <c r="F31" s="15" t="n"/>
      <c r="G31" s="15" t="n"/>
      <c r="H31" s="15" t="n"/>
      <c r="I31" s="15" t="n"/>
      <c r="J31" s="15" t="n"/>
      <c r="K31" s="15" t="n"/>
    </row>
    <row r="32">
      <c r="B32" s="15" t="n"/>
      <c r="C32" s="15" t="n"/>
      <c r="D32" s="15" t="n"/>
      <c r="E32" s="15" t="n"/>
      <c r="F32" s="15" t="n"/>
      <c r="G32" s="15" t="n"/>
      <c r="H32" s="15" t="n"/>
      <c r="I32" s="15" t="n"/>
      <c r="J32" s="15" t="n"/>
      <c r="K32" s="15" t="n"/>
    </row>
    <row r="33">
      <c r="B33" s="15" t="n"/>
      <c r="C33" s="15" t="n"/>
      <c r="D33" s="15" t="n"/>
      <c r="E33" s="15" t="n"/>
      <c r="F33" s="15" t="n"/>
      <c r="G33" s="15" t="n"/>
      <c r="H33" s="15" t="n"/>
      <c r="I33" s="15" t="n"/>
      <c r="J33" s="15" t="n"/>
      <c r="K33" s="15" t="n"/>
    </row>
    <row r="34">
      <c r="B34" s="15" t="n"/>
      <c r="C34" s="15" t="n"/>
      <c r="D34" s="15" t="n"/>
      <c r="E34" s="15" t="n"/>
      <c r="F34" s="15" t="n"/>
      <c r="G34" s="15" t="n"/>
      <c r="H34" s="15" t="n"/>
      <c r="I34" s="15" t="n"/>
      <c r="J34" s="15" t="n"/>
      <c r="K34" s="15" t="n"/>
    </row>
    <row r="35">
      <c r="B35" s="15" t="n"/>
      <c r="C35" s="15" t="n"/>
      <c r="D35" s="15" t="n"/>
      <c r="E35" s="15" t="n"/>
      <c r="F35" s="15" t="n"/>
      <c r="G35" s="15" t="n"/>
      <c r="H35" s="15" t="n"/>
      <c r="I35" s="15" t="n"/>
      <c r="J35" s="15" t="n"/>
      <c r="K35" s="15" t="n"/>
    </row>
    <row r="36">
      <c r="B36" s="15" t="n"/>
      <c r="C36" s="15" t="n"/>
      <c r="D36" s="15" t="n"/>
      <c r="E36" s="15" t="n"/>
      <c r="F36" s="15" t="n"/>
      <c r="G36" s="15" t="n"/>
      <c r="H36" s="15" t="n"/>
      <c r="I36" s="15" t="n"/>
      <c r="J36" s="15" t="n"/>
      <c r="K36" s="15" t="n"/>
    </row>
    <row r="37">
      <c r="B37" s="15" t="n"/>
      <c r="C37" s="15" t="n"/>
      <c r="D37" s="15" t="n"/>
      <c r="E37" s="15" t="n"/>
      <c r="F37" s="15" t="n"/>
      <c r="G37" s="15" t="n"/>
      <c r="H37" s="15" t="n"/>
      <c r="I37" s="15" t="n"/>
      <c r="J37" s="15" t="n"/>
      <c r="K37" s="15" t="n"/>
    </row>
    <row r="38">
      <c r="B38" s="15" t="n"/>
      <c r="C38" s="15" t="n"/>
      <c r="D38" s="15" t="n"/>
      <c r="E38" s="15" t="n"/>
      <c r="F38" s="15" t="n"/>
      <c r="G38" s="15" t="n"/>
      <c r="H38" s="15" t="n"/>
      <c r="I38" s="15" t="n"/>
      <c r="J38" s="15" t="n"/>
      <c r="K38" s="15" t="n"/>
    </row>
    <row r="39">
      <c r="B39" s="15" t="n"/>
      <c r="C39" s="15" t="n"/>
      <c r="D39" s="15" t="n"/>
      <c r="E39" s="15" t="n"/>
      <c r="F39" s="15" t="n"/>
      <c r="G39" s="15" t="n"/>
      <c r="H39" s="15" t="n"/>
      <c r="I39" s="15" t="n"/>
      <c r="J39" s="15" t="n"/>
      <c r="K39" s="15" t="n"/>
    </row>
    <row r="40">
      <c r="B40" s="15" t="n"/>
      <c r="C40" s="15" t="n"/>
      <c r="D40" s="15" t="n"/>
      <c r="E40" s="15" t="n"/>
      <c r="F40" s="15" t="n"/>
      <c r="G40" s="15" t="n"/>
      <c r="H40" s="15" t="n"/>
      <c r="I40" s="15" t="n"/>
      <c r="J40" s="15" t="n"/>
      <c r="K40" s="15" t="n"/>
    </row>
    <row r="41">
      <c r="B41" s="15" t="n"/>
      <c r="C41" s="15" t="n"/>
      <c r="D41" s="15" t="n"/>
      <c r="E41" s="15" t="n"/>
      <c r="F41" s="15" t="n"/>
      <c r="G41" s="15" t="n"/>
      <c r="H41" s="15" t="n"/>
      <c r="I41" s="15" t="n"/>
      <c r="J41" s="15" t="n"/>
      <c r="K41" s="15" t="n"/>
    </row>
    <row r="42">
      <c r="B42" s="15" t="n"/>
      <c r="C42" s="15" t="n"/>
      <c r="D42" s="15" t="n"/>
      <c r="E42" s="15" t="n"/>
      <c r="F42" s="15" t="n"/>
      <c r="G42" s="15" t="n"/>
      <c r="H42" s="15" t="n"/>
      <c r="I42" s="15" t="n"/>
      <c r="J42" s="15" t="n"/>
      <c r="K42" s="15" t="n"/>
    </row>
    <row r="43">
      <c r="B43" s="15" t="n"/>
      <c r="C43" s="15" t="n"/>
      <c r="D43" s="15" t="n"/>
      <c r="E43" s="15" t="n"/>
      <c r="F43" s="15" t="n"/>
      <c r="G43" s="15" t="n"/>
      <c r="H43" s="15" t="n"/>
      <c r="I43" s="15" t="n"/>
      <c r="J43" s="15" t="n"/>
      <c r="K43" s="15" t="n"/>
    </row>
    <row r="44">
      <c r="B44" s="15" t="n"/>
      <c r="C44" s="15" t="n"/>
      <c r="D44" s="15" t="n"/>
      <c r="E44" s="15" t="n"/>
      <c r="F44" s="15" t="n"/>
      <c r="G44" s="15" t="n"/>
      <c r="H44" s="15" t="n"/>
      <c r="I44" s="15" t="n"/>
      <c r="J44" s="15" t="n"/>
      <c r="K44" s="15" t="n"/>
    </row>
    <row r="45">
      <c r="B45" s="15" t="n"/>
      <c r="C45" s="15" t="n"/>
      <c r="D45" s="15" t="n"/>
      <c r="E45" s="15" t="n"/>
      <c r="F45" s="15" t="n"/>
      <c r="G45" s="15" t="n"/>
      <c r="H45" s="15" t="n"/>
      <c r="I45" s="15" t="n"/>
      <c r="J45" s="15" t="n"/>
      <c r="K45" s="15" t="n"/>
    </row>
    <row r="46">
      <c r="B46" s="15" t="n"/>
      <c r="C46" s="15" t="n"/>
      <c r="D46" s="15" t="n"/>
      <c r="E46" s="15" t="n"/>
      <c r="F46" s="15" t="n"/>
      <c r="G46" s="15" t="n"/>
      <c r="H46" s="15" t="n"/>
      <c r="I46" s="15" t="n"/>
      <c r="J46" s="15" t="n"/>
      <c r="K46" s="15" t="n"/>
    </row>
    <row r="47">
      <c r="B47" s="15" t="n"/>
      <c r="C47" s="15" t="n"/>
      <c r="D47" s="15" t="n"/>
      <c r="E47" s="15" t="n"/>
      <c r="F47" s="15" t="n"/>
      <c r="G47" s="15" t="n"/>
      <c r="H47" s="15" t="n"/>
      <c r="I47" s="15" t="n"/>
      <c r="J47" s="15" t="n"/>
      <c r="K47" s="15" t="n"/>
    </row>
    <row r="48">
      <c r="B48" s="15" t="n"/>
      <c r="C48" s="15" t="n"/>
      <c r="D48" s="15" t="n"/>
      <c r="E48" s="15" t="n"/>
      <c r="F48" s="15" t="n"/>
      <c r="G48" s="15" t="n"/>
      <c r="H48" s="15" t="n"/>
      <c r="I48" s="15" t="n"/>
      <c r="J48" s="15" t="n"/>
      <c r="K48" s="15" t="n"/>
    </row>
    <row r="49">
      <c r="B49" s="15" t="n"/>
      <c r="C49" s="15" t="n"/>
      <c r="D49" s="15" t="n"/>
      <c r="E49" s="15" t="n"/>
      <c r="F49" s="15" t="n"/>
      <c r="G49" s="15" t="n"/>
      <c r="H49" s="15" t="n"/>
      <c r="I49" s="15" t="n"/>
      <c r="J49" s="15" t="n"/>
      <c r="K49" s="15" t="n"/>
    </row>
    <row r="50">
      <c r="B50" s="15" t="n"/>
      <c r="C50" s="15" t="n"/>
      <c r="D50" s="15" t="n"/>
      <c r="E50" s="15" t="n"/>
      <c r="F50" s="15" t="n"/>
      <c r="G50" s="15" t="n"/>
      <c r="H50" s="15" t="n"/>
      <c r="I50" s="15" t="n"/>
      <c r="J50" s="15" t="n"/>
      <c r="K50" s="15" t="n"/>
    </row>
    <row r="51">
      <c r="B51" s="15" t="n"/>
      <c r="C51" s="15" t="n"/>
      <c r="D51" s="15" t="n"/>
      <c r="E51" s="15" t="n"/>
      <c r="F51" s="15" t="n"/>
      <c r="G51" s="15" t="n"/>
      <c r="H51" s="15" t="n"/>
      <c r="I51" s="15" t="n"/>
      <c r="J51" s="15" t="n"/>
      <c r="K51" s="15" t="n"/>
    </row>
    <row r="52">
      <c r="B52" s="15" t="n"/>
      <c r="C52" s="15" t="n"/>
      <c r="D52" s="15" t="n"/>
      <c r="E52" s="15" t="n"/>
      <c r="F52" s="15" t="n"/>
      <c r="G52" s="15" t="n"/>
      <c r="H52" s="15" t="n"/>
      <c r="I52" s="15" t="n"/>
      <c r="J52" s="15" t="n"/>
      <c r="K52" s="15" t="n"/>
    </row>
    <row r="53">
      <c r="B53" s="15" t="n"/>
      <c r="C53" s="15" t="n"/>
      <c r="D53" s="15" t="n"/>
      <c r="E53" s="15" t="n"/>
      <c r="F53" s="15" t="n"/>
      <c r="G53" s="15" t="n"/>
      <c r="H53" s="15" t="n"/>
      <c r="I53" s="15" t="n"/>
      <c r="J53" s="15" t="n"/>
      <c r="K53" s="15" t="n"/>
    </row>
    <row r="54">
      <c r="B54" s="15" t="n"/>
      <c r="C54" s="15" t="n"/>
      <c r="D54" s="15" t="n"/>
      <c r="E54" s="15" t="n"/>
      <c r="F54" s="15" t="n"/>
      <c r="G54" s="15" t="n"/>
      <c r="H54" s="15" t="n"/>
      <c r="I54" s="15" t="n"/>
      <c r="J54" s="15" t="n"/>
      <c r="K54" s="15" t="n"/>
    </row>
    <row r="55">
      <c r="B55" s="15" t="n"/>
      <c r="C55" s="15" t="n"/>
      <c r="D55" s="15" t="n"/>
      <c r="E55" s="15" t="n"/>
      <c r="F55" s="15" t="n"/>
      <c r="G55" s="15" t="n"/>
      <c r="H55" s="15" t="n"/>
      <c r="I55" s="15" t="n"/>
      <c r="J55" s="15" t="n"/>
      <c r="K55" s="15" t="n"/>
    </row>
    <row r="58">
      <c r="A58" s="18" t="inlineStr">
        <is>
          <t>EXEMPTION SUMMARY</t>
        </is>
      </c>
    </row>
    <row r="59">
      <c r="A59" s="21" t="inlineStr">
        <is>
          <t>Exemption Type</t>
        </is>
      </c>
      <c r="B59" s="21" t="inlineStr">
        <is>
          <t>Active Count</t>
        </is>
      </c>
      <c r="C59" s="21" t="inlineStr">
        <is>
          <t>Expired/Overdue</t>
        </is>
      </c>
    </row>
    <row r="60">
      <c r="A60" s="19" t="inlineStr">
        <is>
          <t>Full Exemption</t>
        </is>
      </c>
      <c r="B60" s="22">
        <f>COUNTIFS(C5:C24,"Full Exemption",J5:J24,"✅ Active")</f>
        <v/>
      </c>
      <c r="C60" s="33">
        <f>COUNTIFS(C5:C24,"Full Exemption",J5:J24,"❌ Expired")</f>
        <v/>
      </c>
    </row>
    <row r="61">
      <c r="A61" s="19" t="inlineStr">
        <is>
          <t>Partial Exemption</t>
        </is>
      </c>
      <c r="B61" s="22">
        <f>COUNTIFS(C5:C24,"Partial Exemption",J5:J24,"✅ Active")</f>
        <v/>
      </c>
      <c r="C61" s="33">
        <f>COUNTIFS(C5:C24,"Partial Exemption",J5:J24,"❌ Expired")</f>
        <v/>
      </c>
    </row>
    <row r="62">
      <c r="A62" s="19" t="inlineStr">
        <is>
          <t>Temporary Exemption</t>
        </is>
      </c>
      <c r="B62" s="22">
        <f>COUNTIFS(C5:C24,"Temporary Exemption",J5:J24,"✅ Active")</f>
        <v/>
      </c>
      <c r="C62" s="33">
        <f>COUNTIFS(C5:C24,"Temporary Exemption",J5:J24,"❌ Expired")</f>
        <v/>
      </c>
    </row>
    <row r="63">
      <c r="A63" s="19" t="inlineStr">
        <is>
          <t>Category Exemption</t>
        </is>
      </c>
      <c r="B63" s="22">
        <f>COUNTIFS(C5:C24,"Category Exemption",J5:J24,"✅ Active")</f>
        <v/>
      </c>
      <c r="C63" s="33">
        <f>COUNTIFS(C5:C24,"Category Exemption",J5:J24,"❌ Expired")</f>
        <v/>
      </c>
    </row>
    <row r="64">
      <c r="A64" s="19" t="inlineStr">
        <is>
          <t>Technical Exemption</t>
        </is>
      </c>
      <c r="B64" s="22">
        <f>COUNTIFS(C5:C24,"Technical Exemption",J5:J24,"✅ Active")</f>
        <v/>
      </c>
      <c r="C64" s="33">
        <f>COUNTIFS(C5:C24,"Technical Exemption",J5:J24,"❌ Expired")</f>
        <v/>
      </c>
    </row>
    <row r="67">
      <c r="A67" s="34" t="inlineStr">
        <is>
          <t>⚠️ ALERT: Exemptions &gt;12 months old require re-approval | &gt;10% of segments exempt = escalate to CISO</t>
        </is>
      </c>
    </row>
  </sheetData>
  <mergeCells count="4">
    <mergeCell ref="A2:K2"/>
    <mergeCell ref="A58:K58"/>
    <mergeCell ref="A1:K1"/>
    <mergeCell ref="A67:K6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6"/>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25" customWidth="1" min="3" max="3"/>
    <col width="15" customWidth="1" min="4" max="4"/>
    <col width="20" customWidth="1" min="5" max="5"/>
    <col width="20" customWidth="1" min="6" max="6"/>
    <col width="30" customWidth="1" min="7" max="7"/>
    <col width="35" customWidth="1" min="8" max="8"/>
    <col width="15" customWidth="1" min="9" max="9"/>
    <col width="15" customWidth="1" min="10" max="10"/>
  </cols>
  <sheetData>
    <row r="1" ht="35" customHeight="1">
      <c r="A1" s="11" t="inlineStr">
        <is>
          <t>COVERAGE VERIFICATION LOG</t>
        </is>
      </c>
    </row>
    <row r="2">
      <c r="A2" s="12" t="inlineStr">
        <is>
          <t>Test and verify filtering effectiveness per network segment</t>
        </is>
      </c>
    </row>
    <row r="4">
      <c r="A4" s="13" t="inlineStr">
        <is>
          <t>Verification ID</t>
        </is>
      </c>
      <c r="B4" s="13" t="inlineStr">
        <is>
          <t>Segment ID</t>
        </is>
      </c>
      <c r="C4" s="13" t="inlineStr">
        <is>
          <t>Segment Name</t>
        </is>
      </c>
      <c r="D4" s="13" t="inlineStr">
        <is>
          <t>Test Date</t>
        </is>
      </c>
      <c r="E4" s="13" t="inlineStr">
        <is>
          <t>Tester</t>
        </is>
      </c>
      <c r="F4" s="13" t="inlineStr">
        <is>
          <t>Test Method</t>
        </is>
      </c>
      <c r="G4" s="13" t="inlineStr">
        <is>
          <t>Test Results</t>
        </is>
      </c>
      <c r="H4" s="13" t="inlineStr">
        <is>
          <t>Issues Found</t>
        </is>
      </c>
      <c r="I4" s="13" t="inlineStr">
        <is>
          <t>Status</t>
        </is>
      </c>
      <c r="J4" s="13" t="inlineStr">
        <is>
          <t>Next Test Date</t>
        </is>
      </c>
    </row>
    <row r="5">
      <c r="A5" s="14" t="inlineStr">
        <is>
          <t>VER-001</t>
        </is>
      </c>
      <c r="B5" s="15" t="n"/>
      <c r="C5" s="15" t="n"/>
      <c r="D5" s="15" t="n"/>
      <c r="E5" s="15" t="n"/>
      <c r="F5" s="15" t="n"/>
      <c r="G5" s="15" t="n"/>
      <c r="H5" s="15" t="n"/>
      <c r="I5" s="15" t="n"/>
      <c r="J5" s="35">
        <f>IF(D5="","",D5+90)</f>
        <v/>
      </c>
    </row>
    <row r="6">
      <c r="B6" s="15" t="n"/>
      <c r="C6" s="15" t="n"/>
      <c r="D6" s="15" t="n"/>
      <c r="E6" s="15" t="n"/>
      <c r="F6" s="15" t="n"/>
      <c r="G6" s="15" t="n"/>
      <c r="H6" s="15" t="n"/>
      <c r="I6" s="15" t="n"/>
      <c r="J6" s="35">
        <f>IF(D6="","",D6+90)</f>
        <v/>
      </c>
    </row>
    <row r="7">
      <c r="B7" s="15" t="n"/>
      <c r="C7" s="15" t="n"/>
      <c r="D7" s="15" t="n"/>
      <c r="E7" s="15" t="n"/>
      <c r="F7" s="15" t="n"/>
      <c r="G7" s="15" t="n"/>
      <c r="H7" s="15" t="n"/>
      <c r="I7" s="15" t="n"/>
      <c r="J7" s="35">
        <f>IF(D7="","",D7+90)</f>
        <v/>
      </c>
    </row>
    <row r="8">
      <c r="B8" s="15" t="n"/>
      <c r="C8" s="15" t="n"/>
      <c r="D8" s="15" t="n"/>
      <c r="E8" s="15" t="n"/>
      <c r="F8" s="15" t="n"/>
      <c r="G8" s="15" t="n"/>
      <c r="H8" s="15" t="n"/>
      <c r="I8" s="15" t="n"/>
      <c r="J8" s="35">
        <f>IF(D8="","",D8+90)</f>
        <v/>
      </c>
    </row>
    <row r="9">
      <c r="B9" s="15" t="n"/>
      <c r="C9" s="15" t="n"/>
      <c r="D9" s="15" t="n"/>
      <c r="E9" s="15" t="n"/>
      <c r="F9" s="15" t="n"/>
      <c r="G9" s="15" t="n"/>
      <c r="H9" s="15" t="n"/>
      <c r="I9" s="15" t="n"/>
      <c r="J9" s="35">
        <f>IF(D9="","",D9+90)</f>
        <v/>
      </c>
    </row>
    <row r="10">
      <c r="B10" s="15" t="n"/>
      <c r="C10" s="15" t="n"/>
      <c r="D10" s="15" t="n"/>
      <c r="E10" s="15" t="n"/>
      <c r="F10" s="15" t="n"/>
      <c r="G10" s="15" t="n"/>
      <c r="H10" s="15" t="n"/>
      <c r="I10" s="15" t="n"/>
      <c r="J10" s="35">
        <f>IF(D10="","",D10+90)</f>
        <v/>
      </c>
    </row>
    <row r="11">
      <c r="B11" s="15" t="n"/>
      <c r="C11" s="15" t="n"/>
      <c r="D11" s="15" t="n"/>
      <c r="E11" s="15" t="n"/>
      <c r="F11" s="15" t="n"/>
      <c r="G11" s="15" t="n"/>
      <c r="H11" s="15" t="n"/>
      <c r="I11" s="15" t="n"/>
      <c r="J11" s="35">
        <f>IF(D11="","",D11+90)</f>
        <v/>
      </c>
    </row>
    <row r="12">
      <c r="B12" s="15" t="n"/>
      <c r="C12" s="15" t="n"/>
      <c r="D12" s="15" t="n"/>
      <c r="E12" s="15" t="n"/>
      <c r="F12" s="15" t="n"/>
      <c r="G12" s="15" t="n"/>
      <c r="H12" s="15" t="n"/>
      <c r="I12" s="15" t="n"/>
      <c r="J12" s="35">
        <f>IF(D12="","",D12+90)</f>
        <v/>
      </c>
    </row>
    <row r="13">
      <c r="B13" s="15" t="n"/>
      <c r="C13" s="15" t="n"/>
      <c r="D13" s="15" t="n"/>
      <c r="E13" s="15" t="n"/>
      <c r="F13" s="15" t="n"/>
      <c r="G13" s="15" t="n"/>
      <c r="H13" s="15" t="n"/>
      <c r="I13" s="15" t="n"/>
      <c r="J13" s="35">
        <f>IF(D13="","",D13+90)</f>
        <v/>
      </c>
    </row>
    <row r="14">
      <c r="B14" s="15" t="n"/>
      <c r="C14" s="15" t="n"/>
      <c r="D14" s="15" t="n"/>
      <c r="E14" s="15" t="n"/>
      <c r="F14" s="15" t="n"/>
      <c r="G14" s="15" t="n"/>
      <c r="H14" s="15" t="n"/>
      <c r="I14" s="15" t="n"/>
      <c r="J14" s="35">
        <f>IF(D14="","",D14+90)</f>
        <v/>
      </c>
    </row>
    <row r="15">
      <c r="B15" s="15" t="n"/>
      <c r="C15" s="15" t="n"/>
      <c r="D15" s="15" t="n"/>
      <c r="E15" s="15" t="n"/>
      <c r="F15" s="15" t="n"/>
      <c r="G15" s="15" t="n"/>
      <c r="H15" s="15" t="n"/>
      <c r="I15" s="15" t="n"/>
      <c r="J15" s="35">
        <f>IF(D15="","",D15+90)</f>
        <v/>
      </c>
    </row>
    <row r="16">
      <c r="B16" s="15" t="n"/>
      <c r="C16" s="15" t="n"/>
      <c r="D16" s="15" t="n"/>
      <c r="E16" s="15" t="n"/>
      <c r="F16" s="15" t="n"/>
      <c r="G16" s="15" t="n"/>
      <c r="H16" s="15" t="n"/>
      <c r="I16" s="15" t="n"/>
      <c r="J16" s="35">
        <f>IF(D16="","",D16+90)</f>
        <v/>
      </c>
    </row>
    <row r="17">
      <c r="B17" s="15" t="n"/>
      <c r="C17" s="15" t="n"/>
      <c r="D17" s="15" t="n"/>
      <c r="E17" s="15" t="n"/>
      <c r="F17" s="15" t="n"/>
      <c r="G17" s="15" t="n"/>
      <c r="H17" s="15" t="n"/>
      <c r="I17" s="15" t="n"/>
      <c r="J17" s="35">
        <f>IF(D17="","",D17+90)</f>
        <v/>
      </c>
    </row>
    <row r="18">
      <c r="B18" s="15" t="n"/>
      <c r="C18" s="15" t="n"/>
      <c r="D18" s="15" t="n"/>
      <c r="E18" s="15" t="n"/>
      <c r="F18" s="15" t="n"/>
      <c r="G18" s="15" t="n"/>
      <c r="H18" s="15" t="n"/>
      <c r="I18" s="15" t="n"/>
      <c r="J18" s="35">
        <f>IF(D18="","",D18+90)</f>
        <v/>
      </c>
    </row>
    <row r="19">
      <c r="B19" s="15" t="n"/>
      <c r="C19" s="15" t="n"/>
      <c r="D19" s="15" t="n"/>
      <c r="E19" s="15" t="n"/>
      <c r="F19" s="15" t="n"/>
      <c r="G19" s="15" t="n"/>
      <c r="H19" s="15" t="n"/>
      <c r="I19" s="15" t="n"/>
      <c r="J19" s="35">
        <f>IF(D19="","",D19+90)</f>
        <v/>
      </c>
    </row>
    <row r="20">
      <c r="B20" s="15" t="n"/>
      <c r="C20" s="15" t="n"/>
      <c r="D20" s="15" t="n"/>
      <c r="E20" s="15" t="n"/>
      <c r="F20" s="15" t="n"/>
      <c r="G20" s="15" t="n"/>
      <c r="H20" s="15" t="n"/>
      <c r="I20" s="15" t="n"/>
      <c r="J20" s="35">
        <f>IF(D20="","",D20+90)</f>
        <v/>
      </c>
    </row>
    <row r="21">
      <c r="B21" s="15" t="n"/>
      <c r="C21" s="15" t="n"/>
      <c r="D21" s="15" t="n"/>
      <c r="E21" s="15" t="n"/>
      <c r="F21" s="15" t="n"/>
      <c r="G21" s="15" t="n"/>
      <c r="H21" s="15" t="n"/>
      <c r="I21" s="15" t="n"/>
      <c r="J21" s="35">
        <f>IF(D21="","",D21+90)</f>
        <v/>
      </c>
    </row>
    <row r="22">
      <c r="B22" s="15" t="n"/>
      <c r="C22" s="15" t="n"/>
      <c r="D22" s="15" t="n"/>
      <c r="E22" s="15" t="n"/>
      <c r="F22" s="15" t="n"/>
      <c r="G22" s="15" t="n"/>
      <c r="H22" s="15" t="n"/>
      <c r="I22" s="15" t="n"/>
      <c r="J22" s="35">
        <f>IF(D22="","",D22+90)</f>
        <v/>
      </c>
    </row>
    <row r="23">
      <c r="B23" s="15" t="n"/>
      <c r="C23" s="15" t="n"/>
      <c r="D23" s="15" t="n"/>
      <c r="E23" s="15" t="n"/>
      <c r="F23" s="15" t="n"/>
      <c r="G23" s="15" t="n"/>
      <c r="H23" s="15" t="n"/>
      <c r="I23" s="15" t="n"/>
      <c r="J23" s="35">
        <f>IF(D23="","",D23+90)</f>
        <v/>
      </c>
    </row>
    <row r="24">
      <c r="B24" s="15" t="n"/>
      <c r="C24" s="15" t="n"/>
      <c r="D24" s="15" t="n"/>
      <c r="E24" s="15" t="n"/>
      <c r="F24" s="15" t="n"/>
      <c r="G24" s="15" t="n"/>
      <c r="H24" s="15" t="n"/>
      <c r="I24" s="15" t="n"/>
      <c r="J24" s="35">
        <f>IF(D24="","",D24+90)</f>
        <v/>
      </c>
    </row>
    <row r="25">
      <c r="B25" s="15" t="n"/>
      <c r="C25" s="15" t="n"/>
      <c r="D25" s="15" t="n"/>
      <c r="E25" s="15" t="n"/>
      <c r="F25" s="15" t="n"/>
      <c r="G25" s="15" t="n"/>
      <c r="H25" s="15" t="n"/>
      <c r="I25" s="15" t="n"/>
      <c r="J25" s="35">
        <f>IF(D25="","",D25+90)</f>
        <v/>
      </c>
    </row>
    <row r="26">
      <c r="B26" s="15" t="n"/>
      <c r="C26" s="15" t="n"/>
      <c r="D26" s="15" t="n"/>
      <c r="E26" s="15" t="n"/>
      <c r="F26" s="15" t="n"/>
      <c r="G26" s="15" t="n"/>
      <c r="H26" s="15" t="n"/>
      <c r="I26" s="15" t="n"/>
      <c r="J26" s="35">
        <f>IF(D26="","",D26+90)</f>
        <v/>
      </c>
    </row>
    <row r="27">
      <c r="B27" s="15" t="n"/>
      <c r="C27" s="15" t="n"/>
      <c r="D27" s="15" t="n"/>
      <c r="E27" s="15" t="n"/>
      <c r="F27" s="15" t="n"/>
      <c r="G27" s="15" t="n"/>
      <c r="H27" s="15" t="n"/>
      <c r="I27" s="15" t="n"/>
      <c r="J27" s="35">
        <f>IF(D27="","",D27+90)</f>
        <v/>
      </c>
    </row>
    <row r="28">
      <c r="B28" s="15" t="n"/>
      <c r="C28" s="15" t="n"/>
      <c r="D28" s="15" t="n"/>
      <c r="E28" s="15" t="n"/>
      <c r="F28" s="15" t="n"/>
      <c r="G28" s="15" t="n"/>
      <c r="H28" s="15" t="n"/>
      <c r="I28" s="15" t="n"/>
      <c r="J28" s="35">
        <f>IF(D28="","",D28+90)</f>
        <v/>
      </c>
    </row>
    <row r="29">
      <c r="B29" s="15" t="n"/>
      <c r="C29" s="15" t="n"/>
      <c r="D29" s="15" t="n"/>
      <c r="E29" s="15" t="n"/>
      <c r="F29" s="15" t="n"/>
      <c r="G29" s="15" t="n"/>
      <c r="H29" s="15" t="n"/>
      <c r="I29" s="15" t="n"/>
      <c r="J29" s="35">
        <f>IF(D29="","",D29+90)</f>
        <v/>
      </c>
    </row>
    <row r="30">
      <c r="B30" s="15" t="n"/>
      <c r="C30" s="15" t="n"/>
      <c r="D30" s="15" t="n"/>
      <c r="E30" s="15" t="n"/>
      <c r="F30" s="15" t="n"/>
      <c r="G30" s="15" t="n"/>
      <c r="H30" s="15" t="n"/>
      <c r="I30" s="15" t="n"/>
      <c r="J30" s="35">
        <f>IF(D30="","",D30+90)</f>
        <v/>
      </c>
    </row>
    <row r="31">
      <c r="B31" s="15" t="n"/>
      <c r="C31" s="15" t="n"/>
      <c r="D31" s="15" t="n"/>
      <c r="E31" s="15" t="n"/>
      <c r="F31" s="15" t="n"/>
      <c r="G31" s="15" t="n"/>
      <c r="H31" s="15" t="n"/>
      <c r="I31" s="15" t="n"/>
      <c r="J31" s="35">
        <f>IF(D31="","",D31+90)</f>
        <v/>
      </c>
    </row>
    <row r="32">
      <c r="B32" s="15" t="n"/>
      <c r="C32" s="15" t="n"/>
      <c r="D32" s="15" t="n"/>
      <c r="E32" s="15" t="n"/>
      <c r="F32" s="15" t="n"/>
      <c r="G32" s="15" t="n"/>
      <c r="H32" s="15" t="n"/>
      <c r="I32" s="15" t="n"/>
      <c r="J32" s="35">
        <f>IF(D32="","",D32+90)</f>
        <v/>
      </c>
    </row>
    <row r="33">
      <c r="B33" s="15" t="n"/>
      <c r="C33" s="15" t="n"/>
      <c r="D33" s="15" t="n"/>
      <c r="E33" s="15" t="n"/>
      <c r="F33" s="15" t="n"/>
      <c r="G33" s="15" t="n"/>
      <c r="H33" s="15" t="n"/>
      <c r="I33" s="15" t="n"/>
      <c r="J33" s="35">
        <f>IF(D33="","",D33+90)</f>
        <v/>
      </c>
    </row>
    <row r="34">
      <c r="B34" s="15" t="n"/>
      <c r="C34" s="15" t="n"/>
      <c r="D34" s="15" t="n"/>
      <c r="E34" s="15" t="n"/>
      <c r="F34" s="15" t="n"/>
      <c r="G34" s="15" t="n"/>
      <c r="H34" s="15" t="n"/>
      <c r="I34" s="15" t="n"/>
      <c r="J34" s="35">
        <f>IF(D34="","",D34+90)</f>
        <v/>
      </c>
    </row>
    <row r="35">
      <c r="B35" s="15" t="n"/>
      <c r="C35" s="15" t="n"/>
      <c r="D35" s="15" t="n"/>
      <c r="E35" s="15" t="n"/>
      <c r="F35" s="15" t="n"/>
      <c r="G35" s="15" t="n"/>
      <c r="H35" s="15" t="n"/>
      <c r="I35" s="15" t="n"/>
      <c r="J35" s="35">
        <f>IF(D35="","",D35+90)</f>
        <v/>
      </c>
    </row>
    <row r="36">
      <c r="B36" s="15" t="n"/>
      <c r="C36" s="15" t="n"/>
      <c r="D36" s="15" t="n"/>
      <c r="E36" s="15" t="n"/>
      <c r="F36" s="15" t="n"/>
      <c r="G36" s="15" t="n"/>
      <c r="H36" s="15" t="n"/>
      <c r="I36" s="15" t="n"/>
      <c r="J36" s="35">
        <f>IF(D36="","",D36+90)</f>
        <v/>
      </c>
    </row>
    <row r="37">
      <c r="B37" s="15" t="n"/>
      <c r="C37" s="15" t="n"/>
      <c r="D37" s="15" t="n"/>
      <c r="E37" s="15" t="n"/>
      <c r="F37" s="15" t="n"/>
      <c r="G37" s="15" t="n"/>
      <c r="H37" s="15" t="n"/>
      <c r="I37" s="15" t="n"/>
      <c r="J37" s="35">
        <f>IF(D37="","",D37+90)</f>
        <v/>
      </c>
    </row>
    <row r="38">
      <c r="B38" s="15" t="n"/>
      <c r="C38" s="15" t="n"/>
      <c r="D38" s="15" t="n"/>
      <c r="E38" s="15" t="n"/>
      <c r="F38" s="15" t="n"/>
      <c r="G38" s="15" t="n"/>
      <c r="H38" s="15" t="n"/>
      <c r="I38" s="15" t="n"/>
      <c r="J38" s="35">
        <f>IF(D38="","",D38+90)</f>
        <v/>
      </c>
    </row>
    <row r="39">
      <c r="B39" s="15" t="n"/>
      <c r="C39" s="15" t="n"/>
      <c r="D39" s="15" t="n"/>
      <c r="E39" s="15" t="n"/>
      <c r="F39" s="15" t="n"/>
      <c r="G39" s="15" t="n"/>
      <c r="H39" s="15" t="n"/>
      <c r="I39" s="15" t="n"/>
      <c r="J39" s="35">
        <f>IF(D39="","",D39+90)</f>
        <v/>
      </c>
    </row>
    <row r="40">
      <c r="B40" s="15" t="n"/>
      <c r="C40" s="15" t="n"/>
      <c r="D40" s="15" t="n"/>
      <c r="E40" s="15" t="n"/>
      <c r="F40" s="15" t="n"/>
      <c r="G40" s="15" t="n"/>
      <c r="H40" s="15" t="n"/>
      <c r="I40" s="15" t="n"/>
      <c r="J40" s="35">
        <f>IF(D40="","",D40+90)</f>
        <v/>
      </c>
    </row>
    <row r="41">
      <c r="B41" s="15" t="n"/>
      <c r="C41" s="15" t="n"/>
      <c r="D41" s="15" t="n"/>
      <c r="E41" s="15" t="n"/>
      <c r="F41" s="15" t="n"/>
      <c r="G41" s="15" t="n"/>
      <c r="H41" s="15" t="n"/>
      <c r="I41" s="15" t="n"/>
      <c r="J41" s="35">
        <f>IF(D41="","",D41+90)</f>
        <v/>
      </c>
    </row>
    <row r="42">
      <c r="B42" s="15" t="n"/>
      <c r="C42" s="15" t="n"/>
      <c r="D42" s="15" t="n"/>
      <c r="E42" s="15" t="n"/>
      <c r="F42" s="15" t="n"/>
      <c r="G42" s="15" t="n"/>
      <c r="H42" s="15" t="n"/>
      <c r="I42" s="15" t="n"/>
      <c r="J42" s="35">
        <f>IF(D42="","",D42+90)</f>
        <v/>
      </c>
    </row>
    <row r="43">
      <c r="B43" s="15" t="n"/>
      <c r="C43" s="15" t="n"/>
      <c r="D43" s="15" t="n"/>
      <c r="E43" s="15" t="n"/>
      <c r="F43" s="15" t="n"/>
      <c r="G43" s="15" t="n"/>
      <c r="H43" s="15" t="n"/>
      <c r="I43" s="15" t="n"/>
      <c r="J43" s="35">
        <f>IF(D43="","",D43+90)</f>
        <v/>
      </c>
    </row>
    <row r="44">
      <c r="B44" s="15" t="n"/>
      <c r="C44" s="15" t="n"/>
      <c r="D44" s="15" t="n"/>
      <c r="E44" s="15" t="n"/>
      <c r="F44" s="15" t="n"/>
      <c r="G44" s="15" t="n"/>
      <c r="H44" s="15" t="n"/>
      <c r="I44" s="15" t="n"/>
      <c r="J44" s="35">
        <f>IF(D44="","",D44+90)</f>
        <v/>
      </c>
    </row>
    <row r="45">
      <c r="B45" s="15" t="n"/>
      <c r="C45" s="15" t="n"/>
      <c r="D45" s="15" t="n"/>
      <c r="E45" s="15" t="n"/>
      <c r="F45" s="15" t="n"/>
      <c r="G45" s="15" t="n"/>
      <c r="H45" s="15" t="n"/>
      <c r="I45" s="15" t="n"/>
      <c r="J45" s="35">
        <f>IF(D45="","",D45+90)</f>
        <v/>
      </c>
    </row>
    <row r="46">
      <c r="B46" s="15" t="n"/>
      <c r="C46" s="15" t="n"/>
      <c r="D46" s="15" t="n"/>
      <c r="E46" s="15" t="n"/>
      <c r="F46" s="15" t="n"/>
      <c r="G46" s="15" t="n"/>
      <c r="H46" s="15" t="n"/>
      <c r="I46" s="15" t="n"/>
      <c r="J46" s="35">
        <f>IF(D46="","",D46+90)</f>
        <v/>
      </c>
    </row>
    <row r="47">
      <c r="B47" s="15" t="n"/>
      <c r="C47" s="15" t="n"/>
      <c r="D47" s="15" t="n"/>
      <c r="E47" s="15" t="n"/>
      <c r="F47" s="15" t="n"/>
      <c r="G47" s="15" t="n"/>
      <c r="H47" s="15" t="n"/>
      <c r="I47" s="15" t="n"/>
      <c r="J47" s="35">
        <f>IF(D47="","",D47+90)</f>
        <v/>
      </c>
    </row>
    <row r="48">
      <c r="B48" s="15" t="n"/>
      <c r="C48" s="15" t="n"/>
      <c r="D48" s="15" t="n"/>
      <c r="E48" s="15" t="n"/>
      <c r="F48" s="15" t="n"/>
      <c r="G48" s="15" t="n"/>
      <c r="H48" s="15" t="n"/>
      <c r="I48" s="15" t="n"/>
      <c r="J48" s="35">
        <f>IF(D48="","",D48+90)</f>
        <v/>
      </c>
    </row>
    <row r="49">
      <c r="B49" s="15" t="n"/>
      <c r="C49" s="15" t="n"/>
      <c r="D49" s="15" t="n"/>
      <c r="E49" s="15" t="n"/>
      <c r="F49" s="15" t="n"/>
      <c r="G49" s="15" t="n"/>
      <c r="H49" s="15" t="n"/>
      <c r="I49" s="15" t="n"/>
      <c r="J49" s="35">
        <f>IF(D49="","",D49+90)</f>
        <v/>
      </c>
    </row>
    <row r="50">
      <c r="B50" s="15" t="n"/>
      <c r="C50" s="15" t="n"/>
      <c r="D50" s="15" t="n"/>
      <c r="E50" s="15" t="n"/>
      <c r="F50" s="15" t="n"/>
      <c r="G50" s="15" t="n"/>
      <c r="H50" s="15" t="n"/>
      <c r="I50" s="15" t="n"/>
      <c r="J50" s="35">
        <f>IF(D50="","",D50+90)</f>
        <v/>
      </c>
    </row>
    <row r="51">
      <c r="B51" s="15" t="n"/>
      <c r="C51" s="15" t="n"/>
      <c r="D51" s="15" t="n"/>
      <c r="E51" s="15" t="n"/>
      <c r="F51" s="15" t="n"/>
      <c r="G51" s="15" t="n"/>
      <c r="H51" s="15" t="n"/>
      <c r="I51" s="15" t="n"/>
      <c r="J51" s="35">
        <f>IF(D51="","",D51+90)</f>
        <v/>
      </c>
    </row>
    <row r="52">
      <c r="B52" s="15" t="n"/>
      <c r="C52" s="15" t="n"/>
      <c r="D52" s="15" t="n"/>
      <c r="E52" s="15" t="n"/>
      <c r="F52" s="15" t="n"/>
      <c r="G52" s="15" t="n"/>
      <c r="H52" s="15" t="n"/>
      <c r="I52" s="15" t="n"/>
      <c r="J52" s="35">
        <f>IF(D52="","",D52+90)</f>
        <v/>
      </c>
    </row>
    <row r="53">
      <c r="B53" s="15" t="n"/>
      <c r="C53" s="15" t="n"/>
      <c r="D53" s="15" t="n"/>
      <c r="E53" s="15" t="n"/>
      <c r="F53" s="15" t="n"/>
      <c r="G53" s="15" t="n"/>
      <c r="H53" s="15" t="n"/>
      <c r="I53" s="15" t="n"/>
      <c r="J53" s="35">
        <f>IF(D53="","",D53+90)</f>
        <v/>
      </c>
    </row>
    <row r="54">
      <c r="B54" s="15" t="n"/>
      <c r="C54" s="15" t="n"/>
      <c r="D54" s="15" t="n"/>
      <c r="E54" s="15" t="n"/>
      <c r="F54" s="15" t="n"/>
      <c r="G54" s="15" t="n"/>
      <c r="H54" s="15" t="n"/>
      <c r="I54" s="15" t="n"/>
      <c r="J54" s="35">
        <f>IF(D54="","",D54+90)</f>
        <v/>
      </c>
    </row>
    <row r="55">
      <c r="B55" s="15" t="n"/>
      <c r="C55" s="15" t="n"/>
      <c r="D55" s="15" t="n"/>
      <c r="E55" s="15" t="n"/>
      <c r="F55" s="15" t="n"/>
      <c r="G55" s="15" t="n"/>
      <c r="H55" s="15" t="n"/>
      <c r="I55" s="15" t="n"/>
      <c r="J55" s="35">
        <f>IF(D55="","",D55+90)</f>
        <v/>
      </c>
    </row>
    <row r="58">
      <c r="A58" s="18" t="inlineStr">
        <is>
          <t>TEST CHECKLIST (Verify for each segment)</t>
        </is>
      </c>
    </row>
    <row r="59" ht="20" customHeight="1">
      <c r="A59" s="36" t="inlineStr">
        <is>
          <t>☐ Malicious URL blocked (test with EICAR or known bad domains)</t>
        </is>
      </c>
    </row>
    <row r="60" ht="20" customHeight="1">
      <c r="A60" s="36" t="inlineStr">
        <is>
          <t>☐ Phishing site blocked (test with PhishTank samples)</t>
        </is>
      </c>
    </row>
    <row r="61" ht="20" customHeight="1">
      <c r="A61" s="36" t="inlineStr">
        <is>
          <t>☐ Known malware download blocked</t>
        </is>
      </c>
    </row>
    <row r="62" ht="20" customHeight="1">
      <c r="A62" s="36" t="inlineStr">
        <is>
          <t>☐ HTTPS sites properly filtered (if HTTPS inspection enabled)</t>
        </is>
      </c>
    </row>
    <row r="63" ht="20" customHeight="1">
      <c r="A63" s="36" t="inlineStr">
        <is>
          <t>☐ Logging working (blocked attempts logged)</t>
        </is>
      </c>
    </row>
    <row r="64" ht="20" customHeight="1">
      <c r="A64" s="36" t="inlineStr">
        <is>
          <t>☐ Bypass methods ineffective (proxy bypass, VPN bypass, etc.)</t>
        </is>
      </c>
    </row>
    <row r="65" ht="20" customHeight="1">
      <c r="A65" s="36" t="inlineStr">
        <is>
          <t>☐ User experience acceptable (latency, false positives)</t>
        </is>
      </c>
    </row>
    <row r="66" ht="20" customHeight="1">
      <c r="A66" s="36" t="inlineStr">
        <is>
          <t>☐ Exemptions working as intended</t>
        </is>
      </c>
    </row>
  </sheetData>
  <mergeCells count="3">
    <mergeCell ref="A58:J58"/>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37" t="inlineStr">
        <is>
          <t>List all evidence files/documents referenced in this assessment (audit traceability).</t>
        </is>
      </c>
    </row>
    <row r="4">
      <c r="A4" s="38" t="inlineStr">
        <is>
          <t>Evidence ID</t>
        </is>
      </c>
      <c r="B4" s="38" t="inlineStr">
        <is>
          <t>Assessment Area</t>
        </is>
      </c>
      <c r="C4" s="38" t="inlineStr">
        <is>
          <t>Evidence Type</t>
        </is>
      </c>
      <c r="D4" s="38" t="inlineStr">
        <is>
          <t>Description</t>
        </is>
      </c>
      <c r="E4" s="38" t="inlineStr">
        <is>
          <t>Location/Path</t>
        </is>
      </c>
      <c r="F4" s="38" t="inlineStr">
        <is>
          <t>Date Collected</t>
        </is>
      </c>
      <c r="G4" s="38" t="inlineStr">
        <is>
          <t>Collected By</t>
        </is>
      </c>
      <c r="H4" s="38" t="inlineStr">
        <is>
          <t>Verification Status</t>
        </is>
      </c>
    </row>
    <row r="5">
      <c r="A5" s="39" t="inlineStr">
        <is>
          <t>EV-001</t>
        </is>
      </c>
      <c r="B5" s="40" t="inlineStr">
        <is>
          <t>Web Filtering Network Coverage</t>
        </is>
      </c>
      <c r="C5" s="40" t="inlineStr">
        <is>
          <t>Configuration file</t>
        </is>
      </c>
      <c r="D5" s="40" t="inlineStr">
        <is>
          <t>Network segment inventory and filtering coverage evidence</t>
        </is>
      </c>
      <c r="E5" s="40" t="inlineStr">
        <is>
          <t>/evidence/A.8.23/</t>
        </is>
      </c>
      <c r="F5" s="40" t="inlineStr">
        <is>
          <t>15.01.2026</t>
        </is>
      </c>
      <c r="G5" s="40" t="inlineStr">
        <is>
          <t>Assessor Name</t>
        </is>
      </c>
      <c r="H5" s="40" t="inlineStr">
        <is>
          <t>✅ Verified</t>
        </is>
      </c>
    </row>
    <row r="6">
      <c r="A6" s="41" t="n"/>
      <c r="B6" s="42" t="n"/>
      <c r="C6" s="42" t="n"/>
      <c r="D6" s="42" t="n"/>
      <c r="E6" s="42" t="n"/>
      <c r="F6" s="42" t="n"/>
      <c r="G6" s="42" t="n"/>
      <c r="H6" s="42" t="n"/>
    </row>
    <row r="7">
      <c r="A7" s="41" t="n"/>
      <c r="B7" s="42" t="n"/>
      <c r="C7" s="42" t="n"/>
      <c r="D7" s="42" t="n"/>
      <c r="E7" s="42" t="n"/>
      <c r="F7" s="42" t="n"/>
      <c r="G7" s="42" t="n"/>
      <c r="H7" s="42" t="n"/>
    </row>
    <row r="8">
      <c r="A8" s="41" t="n"/>
      <c r="B8" s="42" t="n"/>
      <c r="C8" s="42" t="n"/>
      <c r="D8" s="42" t="n"/>
      <c r="E8" s="42" t="n"/>
      <c r="F8" s="42" t="n"/>
      <c r="G8" s="42" t="n"/>
      <c r="H8" s="42" t="n"/>
    </row>
    <row r="9">
      <c r="A9" s="41" t="n"/>
      <c r="B9" s="42" t="n"/>
      <c r="C9" s="42" t="n"/>
      <c r="D9" s="42" t="n"/>
      <c r="E9" s="42" t="n"/>
      <c r="F9" s="42" t="n"/>
      <c r="G9" s="42" t="n"/>
      <c r="H9" s="42" t="n"/>
    </row>
    <row r="10">
      <c r="A10" s="41" t="n"/>
      <c r="B10" s="42" t="n"/>
      <c r="C10" s="42" t="n"/>
      <c r="D10" s="42" t="n"/>
      <c r="E10" s="42" t="n"/>
      <c r="F10" s="42" t="n"/>
      <c r="G10" s="42" t="n"/>
      <c r="H10" s="42" t="n"/>
    </row>
    <row r="11">
      <c r="A11" s="41" t="n"/>
      <c r="B11" s="42" t="n"/>
      <c r="C11" s="42" t="n"/>
      <c r="D11" s="42" t="n"/>
      <c r="E11" s="42" t="n"/>
      <c r="F11" s="42" t="n"/>
      <c r="G11" s="42" t="n"/>
      <c r="H11" s="42" t="n"/>
    </row>
    <row r="12">
      <c r="A12" s="41" t="n"/>
      <c r="B12" s="42" t="n"/>
      <c r="C12" s="42" t="n"/>
      <c r="D12" s="42" t="n"/>
      <c r="E12" s="42" t="n"/>
      <c r="F12" s="42" t="n"/>
      <c r="G12" s="42" t="n"/>
      <c r="H12" s="42" t="n"/>
    </row>
    <row r="13">
      <c r="A13" s="41" t="n"/>
      <c r="B13" s="42" t="n"/>
      <c r="C13" s="42" t="n"/>
      <c r="D13" s="42" t="n"/>
      <c r="E13" s="42" t="n"/>
      <c r="F13" s="42" t="n"/>
      <c r="G13" s="42" t="n"/>
      <c r="H13" s="42" t="n"/>
    </row>
    <row r="14">
      <c r="A14" s="41" t="n"/>
      <c r="B14" s="42" t="n"/>
      <c r="C14" s="42" t="n"/>
      <c r="D14" s="42" t="n"/>
      <c r="E14" s="42" t="n"/>
      <c r="F14" s="42" t="n"/>
      <c r="G14" s="42" t="n"/>
      <c r="H14" s="42" t="n"/>
    </row>
    <row r="15">
      <c r="A15" s="41" t="n"/>
      <c r="B15" s="42" t="n"/>
      <c r="C15" s="42" t="n"/>
      <c r="D15" s="42" t="n"/>
      <c r="E15" s="42" t="n"/>
      <c r="F15" s="42" t="n"/>
      <c r="G15" s="42" t="n"/>
      <c r="H15" s="42" t="n"/>
    </row>
    <row r="16">
      <c r="A16" s="41" t="n"/>
      <c r="B16" s="42" t="n"/>
      <c r="C16" s="42" t="n"/>
      <c r="D16" s="42" t="n"/>
      <c r="E16" s="42" t="n"/>
      <c r="F16" s="42" t="n"/>
      <c r="G16" s="42" t="n"/>
      <c r="H16" s="42" t="n"/>
    </row>
    <row r="17">
      <c r="A17" s="41" t="n"/>
      <c r="B17" s="42" t="n"/>
      <c r="C17" s="42" t="n"/>
      <c r="D17" s="42" t="n"/>
      <c r="E17" s="42" t="n"/>
      <c r="F17" s="42" t="n"/>
      <c r="G17" s="42" t="n"/>
      <c r="H17" s="42" t="n"/>
    </row>
    <row r="18">
      <c r="A18" s="41" t="n"/>
      <c r="B18" s="42" t="n"/>
      <c r="C18" s="42" t="n"/>
      <c r="D18" s="42" t="n"/>
      <c r="E18" s="42" t="n"/>
      <c r="F18" s="42" t="n"/>
      <c r="G18" s="42" t="n"/>
      <c r="H18" s="42" t="n"/>
    </row>
    <row r="19">
      <c r="A19" s="41" t="n"/>
      <c r="B19" s="42" t="n"/>
      <c r="C19" s="42" t="n"/>
      <c r="D19" s="42" t="n"/>
      <c r="E19" s="42" t="n"/>
      <c r="F19" s="42" t="n"/>
      <c r="G19" s="42" t="n"/>
      <c r="H19" s="42" t="n"/>
    </row>
    <row r="20">
      <c r="A20" s="41" t="n"/>
      <c r="B20" s="42" t="n"/>
      <c r="C20" s="42" t="n"/>
      <c r="D20" s="42" t="n"/>
      <c r="E20" s="42" t="n"/>
      <c r="F20" s="42" t="n"/>
      <c r="G20" s="42" t="n"/>
      <c r="H20" s="42" t="n"/>
    </row>
    <row r="21">
      <c r="A21" s="41" t="n"/>
      <c r="B21" s="42" t="n"/>
      <c r="C21" s="42" t="n"/>
      <c r="D21" s="42" t="n"/>
      <c r="E21" s="42" t="n"/>
      <c r="F21" s="42" t="n"/>
      <c r="G21" s="42" t="n"/>
      <c r="H21" s="42" t="n"/>
    </row>
    <row r="22">
      <c r="A22" s="41" t="n"/>
      <c r="B22" s="42" t="n"/>
      <c r="C22" s="42" t="n"/>
      <c r="D22" s="42" t="n"/>
      <c r="E22" s="42" t="n"/>
      <c r="F22" s="42" t="n"/>
      <c r="G22" s="42" t="n"/>
      <c r="H22" s="42" t="n"/>
    </row>
    <row r="23">
      <c r="A23" s="41" t="n"/>
      <c r="B23" s="42" t="n"/>
      <c r="C23" s="42" t="n"/>
      <c r="D23" s="42" t="n"/>
      <c r="E23" s="42" t="n"/>
      <c r="F23" s="42" t="n"/>
      <c r="G23" s="42" t="n"/>
      <c r="H23" s="42" t="n"/>
    </row>
    <row r="24">
      <c r="A24" s="41" t="n"/>
      <c r="B24" s="42" t="n"/>
      <c r="C24" s="42" t="n"/>
      <c r="D24" s="42" t="n"/>
      <c r="E24" s="42" t="n"/>
      <c r="F24" s="42" t="n"/>
      <c r="G24" s="42" t="n"/>
      <c r="H24" s="42" t="n"/>
    </row>
    <row r="25">
      <c r="A25" s="41" t="n"/>
      <c r="B25" s="42" t="n"/>
      <c r="C25" s="42" t="n"/>
      <c r="D25" s="42" t="n"/>
      <c r="E25" s="42" t="n"/>
      <c r="F25" s="42" t="n"/>
      <c r="G25" s="42" t="n"/>
      <c r="H25" s="42" t="n"/>
    </row>
    <row r="26">
      <c r="A26" s="41" t="n"/>
      <c r="B26" s="42" t="n"/>
      <c r="C26" s="42" t="n"/>
      <c r="D26" s="42" t="n"/>
      <c r="E26" s="42" t="n"/>
      <c r="F26" s="42" t="n"/>
      <c r="G26" s="42" t="n"/>
      <c r="H26" s="42" t="n"/>
    </row>
    <row r="27">
      <c r="A27" s="41" t="n"/>
      <c r="B27" s="42" t="n"/>
      <c r="C27" s="42" t="n"/>
      <c r="D27" s="42" t="n"/>
      <c r="E27" s="42" t="n"/>
      <c r="F27" s="42" t="n"/>
      <c r="G27" s="42" t="n"/>
      <c r="H27" s="42" t="n"/>
    </row>
    <row r="28">
      <c r="A28" s="41" t="n"/>
      <c r="B28" s="42" t="n"/>
      <c r="C28" s="42" t="n"/>
      <c r="D28" s="42" t="n"/>
      <c r="E28" s="42" t="n"/>
      <c r="F28" s="42" t="n"/>
      <c r="G28" s="42" t="n"/>
      <c r="H28" s="42" t="n"/>
    </row>
    <row r="29">
      <c r="A29" s="41" t="n"/>
      <c r="B29" s="42" t="n"/>
      <c r="C29" s="42" t="n"/>
      <c r="D29" s="42" t="n"/>
      <c r="E29" s="42" t="n"/>
      <c r="F29" s="42" t="n"/>
      <c r="G29" s="42" t="n"/>
      <c r="H29" s="42" t="n"/>
    </row>
    <row r="30">
      <c r="A30" s="41" t="n"/>
      <c r="B30" s="42" t="n"/>
      <c r="C30" s="42" t="n"/>
      <c r="D30" s="42" t="n"/>
      <c r="E30" s="42" t="n"/>
      <c r="F30" s="42" t="n"/>
      <c r="G30" s="42" t="n"/>
      <c r="H30" s="42" t="n"/>
    </row>
    <row r="31">
      <c r="A31" s="41" t="n"/>
      <c r="B31" s="42" t="n"/>
      <c r="C31" s="42" t="n"/>
      <c r="D31" s="42" t="n"/>
      <c r="E31" s="42" t="n"/>
      <c r="F31" s="42" t="n"/>
      <c r="G31" s="42" t="n"/>
      <c r="H31" s="42" t="n"/>
    </row>
    <row r="32">
      <c r="A32" s="41" t="n"/>
      <c r="B32" s="42" t="n"/>
      <c r="C32" s="42" t="n"/>
      <c r="D32" s="42" t="n"/>
      <c r="E32" s="42" t="n"/>
      <c r="F32" s="42" t="n"/>
      <c r="G32" s="42" t="n"/>
      <c r="H32" s="42" t="n"/>
    </row>
    <row r="33">
      <c r="A33" s="41" t="n"/>
      <c r="B33" s="42" t="n"/>
      <c r="C33" s="42" t="n"/>
      <c r="D33" s="42" t="n"/>
      <c r="E33" s="42" t="n"/>
      <c r="F33" s="42" t="n"/>
      <c r="G33" s="42" t="n"/>
      <c r="H33" s="42" t="n"/>
    </row>
    <row r="34">
      <c r="A34" s="41" t="n"/>
      <c r="B34" s="42" t="n"/>
      <c r="C34" s="42" t="n"/>
      <c r="D34" s="42" t="n"/>
      <c r="E34" s="42" t="n"/>
      <c r="F34" s="42" t="n"/>
      <c r="G34" s="42" t="n"/>
      <c r="H34" s="42" t="n"/>
    </row>
    <row r="35">
      <c r="A35" s="41" t="n"/>
      <c r="B35" s="42" t="n"/>
      <c r="C35" s="42" t="n"/>
      <c r="D35" s="42" t="n"/>
      <c r="E35" s="42" t="n"/>
      <c r="F35" s="42" t="n"/>
      <c r="G35" s="42" t="n"/>
      <c r="H35" s="42" t="n"/>
    </row>
    <row r="36">
      <c r="A36" s="41" t="n"/>
      <c r="B36" s="42" t="n"/>
      <c r="C36" s="42" t="n"/>
      <c r="D36" s="42" t="n"/>
      <c r="E36" s="42" t="n"/>
      <c r="F36" s="42" t="n"/>
      <c r="G36" s="42" t="n"/>
      <c r="H36" s="42" t="n"/>
    </row>
    <row r="37">
      <c r="A37" s="41" t="n"/>
      <c r="B37" s="42" t="n"/>
      <c r="C37" s="42" t="n"/>
      <c r="D37" s="42" t="n"/>
      <c r="E37" s="42" t="n"/>
      <c r="F37" s="42" t="n"/>
      <c r="G37" s="42" t="n"/>
      <c r="H37" s="42" t="n"/>
    </row>
    <row r="38">
      <c r="A38" s="41" t="n"/>
      <c r="B38" s="42" t="n"/>
      <c r="C38" s="42" t="n"/>
      <c r="D38" s="42" t="n"/>
      <c r="E38" s="42" t="n"/>
      <c r="F38" s="42" t="n"/>
      <c r="G38" s="42" t="n"/>
      <c r="H38" s="42" t="n"/>
    </row>
    <row r="39">
      <c r="A39" s="41" t="n"/>
      <c r="B39" s="42" t="n"/>
      <c r="C39" s="42" t="n"/>
      <c r="D39" s="42" t="n"/>
      <c r="E39" s="42" t="n"/>
      <c r="F39" s="42" t="n"/>
      <c r="G39" s="42" t="n"/>
      <c r="H39" s="42" t="n"/>
    </row>
    <row r="40">
      <c r="A40" s="41" t="n"/>
      <c r="B40" s="42" t="n"/>
      <c r="C40" s="42" t="n"/>
      <c r="D40" s="42" t="n"/>
      <c r="E40" s="42" t="n"/>
      <c r="F40" s="42" t="n"/>
      <c r="G40" s="42" t="n"/>
      <c r="H40" s="42" t="n"/>
    </row>
    <row r="41">
      <c r="A41" s="41" t="n"/>
      <c r="B41" s="42" t="n"/>
      <c r="C41" s="42" t="n"/>
      <c r="D41" s="42" t="n"/>
      <c r="E41" s="42" t="n"/>
      <c r="F41" s="42" t="n"/>
      <c r="G41" s="42" t="n"/>
      <c r="H41" s="42" t="n"/>
    </row>
    <row r="42">
      <c r="A42" s="41" t="n"/>
      <c r="B42" s="42" t="n"/>
      <c r="C42" s="42" t="n"/>
      <c r="D42" s="42" t="n"/>
      <c r="E42" s="42" t="n"/>
      <c r="F42" s="42" t="n"/>
      <c r="G42" s="42" t="n"/>
      <c r="H42" s="42" t="n"/>
    </row>
    <row r="43">
      <c r="A43" s="41" t="n"/>
      <c r="B43" s="42" t="n"/>
      <c r="C43" s="42" t="n"/>
      <c r="D43" s="42" t="n"/>
      <c r="E43" s="42" t="n"/>
      <c r="F43" s="42" t="n"/>
      <c r="G43" s="42" t="n"/>
      <c r="H43" s="42" t="n"/>
    </row>
    <row r="44">
      <c r="A44" s="41" t="n"/>
      <c r="B44" s="42" t="n"/>
      <c r="C44" s="42" t="n"/>
      <c r="D44" s="42" t="n"/>
      <c r="E44" s="42" t="n"/>
      <c r="F44" s="42" t="n"/>
      <c r="G44" s="42" t="n"/>
      <c r="H44" s="42" t="n"/>
    </row>
    <row r="45">
      <c r="A45" s="41" t="n"/>
      <c r="B45" s="42" t="n"/>
      <c r="C45" s="42" t="n"/>
      <c r="D45" s="42" t="n"/>
      <c r="E45" s="42" t="n"/>
      <c r="F45" s="42" t="n"/>
      <c r="G45" s="42" t="n"/>
      <c r="H45" s="42" t="n"/>
    </row>
    <row r="46">
      <c r="A46" s="41" t="n"/>
      <c r="B46" s="42" t="n"/>
      <c r="C46" s="42" t="n"/>
      <c r="D46" s="42" t="n"/>
      <c r="E46" s="42" t="n"/>
      <c r="F46" s="42" t="n"/>
      <c r="G46" s="42" t="n"/>
      <c r="H46" s="42" t="n"/>
    </row>
    <row r="47">
      <c r="A47" s="41" t="n"/>
      <c r="B47" s="42" t="n"/>
      <c r="C47" s="42" t="n"/>
      <c r="D47" s="42" t="n"/>
      <c r="E47" s="42" t="n"/>
      <c r="F47" s="42" t="n"/>
      <c r="G47" s="42" t="n"/>
      <c r="H47" s="42" t="n"/>
    </row>
    <row r="48">
      <c r="A48" s="41" t="n"/>
      <c r="B48" s="42" t="n"/>
      <c r="C48" s="42" t="n"/>
      <c r="D48" s="42" t="n"/>
      <c r="E48" s="42" t="n"/>
      <c r="F48" s="42" t="n"/>
      <c r="G48" s="42" t="n"/>
      <c r="H48" s="42" t="n"/>
    </row>
    <row r="49">
      <c r="A49" s="41" t="n"/>
      <c r="B49" s="42" t="n"/>
      <c r="C49" s="42" t="n"/>
      <c r="D49" s="42" t="n"/>
      <c r="E49" s="42" t="n"/>
      <c r="F49" s="42" t="n"/>
      <c r="G49" s="42" t="n"/>
      <c r="H49" s="42" t="n"/>
    </row>
    <row r="50">
      <c r="A50" s="41" t="n"/>
      <c r="B50" s="42" t="n"/>
      <c r="C50" s="42" t="n"/>
      <c r="D50" s="42" t="n"/>
      <c r="E50" s="42" t="n"/>
      <c r="F50" s="42" t="n"/>
      <c r="G50" s="42" t="n"/>
      <c r="H50" s="42" t="n"/>
    </row>
    <row r="51">
      <c r="A51" s="41" t="n"/>
      <c r="B51" s="42" t="n"/>
      <c r="C51" s="42" t="n"/>
      <c r="D51" s="42" t="n"/>
      <c r="E51" s="42" t="n"/>
      <c r="F51" s="42" t="n"/>
      <c r="G51" s="42" t="n"/>
      <c r="H51" s="42" t="n"/>
    </row>
    <row r="52">
      <c r="A52" s="41" t="n"/>
      <c r="B52" s="42" t="n"/>
      <c r="C52" s="42" t="n"/>
      <c r="D52" s="42" t="n"/>
      <c r="E52" s="42" t="n"/>
      <c r="F52" s="42" t="n"/>
      <c r="G52" s="42" t="n"/>
      <c r="H52" s="42" t="n"/>
    </row>
    <row r="53">
      <c r="A53" s="41" t="n"/>
      <c r="B53" s="42" t="n"/>
      <c r="C53" s="42" t="n"/>
      <c r="D53" s="42" t="n"/>
      <c r="E53" s="42" t="n"/>
      <c r="F53" s="42" t="n"/>
      <c r="G53" s="42" t="n"/>
      <c r="H53" s="42" t="n"/>
    </row>
    <row r="54">
      <c r="A54" s="41" t="n"/>
      <c r="B54" s="42" t="n"/>
      <c r="C54" s="42" t="n"/>
      <c r="D54" s="42" t="n"/>
      <c r="E54" s="42" t="n"/>
      <c r="F54" s="42" t="n"/>
      <c r="G54" s="42" t="n"/>
      <c r="H54" s="42" t="n"/>
    </row>
    <row r="55">
      <c r="A55" s="41" t="n"/>
      <c r="B55" s="42" t="n"/>
      <c r="C55" s="42" t="n"/>
      <c r="D55" s="42" t="n"/>
      <c r="E55" s="42" t="n"/>
      <c r="F55" s="42" t="n"/>
      <c r="G55" s="42" t="n"/>
      <c r="H55" s="42" t="n"/>
    </row>
    <row r="56">
      <c r="A56" s="41" t="n"/>
      <c r="B56" s="42" t="n"/>
      <c r="C56" s="42" t="n"/>
      <c r="D56" s="42" t="n"/>
      <c r="E56" s="42" t="n"/>
      <c r="F56" s="42" t="n"/>
      <c r="G56" s="42" t="n"/>
      <c r="H56" s="42" t="n"/>
    </row>
    <row r="57">
      <c r="A57" s="41" t="n"/>
      <c r="B57" s="42" t="n"/>
      <c r="C57" s="42" t="n"/>
      <c r="D57" s="42" t="n"/>
      <c r="E57" s="42" t="n"/>
      <c r="F57" s="42" t="n"/>
      <c r="G57" s="42" t="n"/>
      <c r="H57" s="42" t="n"/>
    </row>
    <row r="58">
      <c r="A58" s="41" t="n"/>
      <c r="B58" s="42" t="n"/>
      <c r="C58" s="42" t="n"/>
      <c r="D58" s="42" t="n"/>
      <c r="E58" s="42" t="n"/>
      <c r="F58" s="42" t="n"/>
      <c r="G58" s="42" t="n"/>
      <c r="H58" s="42" t="n"/>
    </row>
    <row r="59">
      <c r="A59" s="41" t="n"/>
      <c r="B59" s="42" t="n"/>
      <c r="C59" s="42" t="n"/>
      <c r="D59" s="42" t="n"/>
      <c r="E59" s="42" t="n"/>
      <c r="F59" s="42" t="n"/>
      <c r="G59" s="42" t="n"/>
      <c r="H59" s="42" t="n"/>
    </row>
    <row r="60">
      <c r="A60" s="41" t="n"/>
      <c r="B60" s="42" t="n"/>
      <c r="C60" s="42" t="n"/>
      <c r="D60" s="42" t="n"/>
      <c r="E60" s="42" t="n"/>
      <c r="F60" s="42" t="n"/>
      <c r="G60" s="42" t="n"/>
      <c r="H60" s="42" t="n"/>
    </row>
    <row r="61">
      <c r="A61" s="41" t="n"/>
      <c r="B61" s="42" t="n"/>
      <c r="C61" s="42" t="n"/>
      <c r="D61" s="42" t="n"/>
      <c r="E61" s="42" t="n"/>
      <c r="F61" s="42" t="n"/>
      <c r="G61" s="42" t="n"/>
      <c r="H61" s="42" t="n"/>
    </row>
    <row r="62">
      <c r="A62" s="41" t="n"/>
      <c r="B62" s="42" t="n"/>
      <c r="C62" s="42" t="n"/>
      <c r="D62" s="42" t="n"/>
      <c r="E62" s="42" t="n"/>
      <c r="F62" s="42" t="n"/>
      <c r="G62" s="42" t="n"/>
      <c r="H62" s="42" t="n"/>
    </row>
    <row r="63">
      <c r="A63" s="41" t="n"/>
      <c r="B63" s="42" t="n"/>
      <c r="C63" s="42" t="n"/>
      <c r="D63" s="42" t="n"/>
      <c r="E63" s="42" t="n"/>
      <c r="F63" s="42" t="n"/>
      <c r="G63" s="42" t="n"/>
      <c r="H63" s="42" t="n"/>
    </row>
    <row r="64">
      <c r="A64" s="41" t="n"/>
      <c r="B64" s="42" t="n"/>
      <c r="C64" s="42" t="n"/>
      <c r="D64" s="42" t="n"/>
      <c r="E64" s="42" t="n"/>
      <c r="F64" s="42" t="n"/>
      <c r="G64" s="42" t="n"/>
      <c r="H64" s="42" t="n"/>
    </row>
    <row r="65">
      <c r="A65" s="41" t="n"/>
      <c r="B65" s="42" t="n"/>
      <c r="C65" s="42" t="n"/>
      <c r="D65" s="42" t="n"/>
      <c r="E65" s="42" t="n"/>
      <c r="F65" s="42" t="n"/>
      <c r="G65" s="42" t="n"/>
      <c r="H65" s="42" t="n"/>
    </row>
    <row r="66">
      <c r="A66" s="41" t="n"/>
      <c r="B66" s="42" t="n"/>
      <c r="C66" s="42" t="n"/>
      <c r="D66" s="42" t="n"/>
      <c r="E66" s="42" t="n"/>
      <c r="F66" s="42" t="n"/>
      <c r="G66" s="42" t="n"/>
      <c r="H66" s="42" t="n"/>
    </row>
    <row r="67">
      <c r="A67" s="41" t="n"/>
      <c r="B67" s="42" t="n"/>
      <c r="C67" s="42" t="n"/>
      <c r="D67" s="42" t="n"/>
      <c r="E67" s="42" t="n"/>
      <c r="F67" s="42" t="n"/>
      <c r="G67" s="42" t="n"/>
      <c r="H67" s="42" t="n"/>
    </row>
    <row r="68">
      <c r="A68" s="41" t="n"/>
      <c r="B68" s="42" t="n"/>
      <c r="C68" s="42" t="n"/>
      <c r="D68" s="42" t="n"/>
      <c r="E68" s="42" t="n"/>
      <c r="F68" s="42" t="n"/>
      <c r="G68" s="42" t="n"/>
      <c r="H68" s="42" t="n"/>
    </row>
    <row r="69">
      <c r="A69" s="41" t="n"/>
      <c r="B69" s="42" t="n"/>
      <c r="C69" s="42" t="n"/>
      <c r="D69" s="42" t="n"/>
      <c r="E69" s="42" t="n"/>
      <c r="F69" s="42" t="n"/>
      <c r="G69" s="42" t="n"/>
      <c r="H69" s="42" t="n"/>
    </row>
    <row r="70">
      <c r="A70" s="41" t="n"/>
      <c r="B70" s="42" t="n"/>
      <c r="C70" s="42" t="n"/>
      <c r="D70" s="42" t="n"/>
      <c r="E70" s="42" t="n"/>
      <c r="F70" s="42" t="n"/>
      <c r="G70" s="42" t="n"/>
      <c r="H70" s="42" t="n"/>
    </row>
    <row r="71">
      <c r="A71" s="41" t="n"/>
      <c r="B71" s="42" t="n"/>
      <c r="C71" s="42" t="n"/>
      <c r="D71" s="42" t="n"/>
      <c r="E71" s="42" t="n"/>
      <c r="F71" s="42" t="n"/>
      <c r="G71" s="42" t="n"/>
      <c r="H71" s="42" t="n"/>
    </row>
    <row r="72">
      <c r="A72" s="41" t="n"/>
      <c r="B72" s="42" t="n"/>
      <c r="C72" s="42" t="n"/>
      <c r="D72" s="42" t="n"/>
      <c r="E72" s="42" t="n"/>
      <c r="F72" s="42" t="n"/>
      <c r="G72" s="42" t="n"/>
      <c r="H72" s="42" t="n"/>
    </row>
    <row r="73">
      <c r="A73" s="41" t="n"/>
      <c r="B73" s="42" t="n"/>
      <c r="C73" s="42" t="n"/>
      <c r="D73" s="42" t="n"/>
      <c r="E73" s="42" t="n"/>
      <c r="F73" s="42" t="n"/>
      <c r="G73" s="42" t="n"/>
      <c r="H73" s="42" t="n"/>
    </row>
    <row r="74">
      <c r="A74" s="41" t="n"/>
      <c r="B74" s="42" t="n"/>
      <c r="C74" s="42" t="n"/>
      <c r="D74" s="42" t="n"/>
      <c r="E74" s="42" t="n"/>
      <c r="F74" s="42" t="n"/>
      <c r="G74" s="42" t="n"/>
      <c r="H74" s="42" t="n"/>
    </row>
    <row r="75">
      <c r="A75" s="41" t="n"/>
      <c r="B75" s="42" t="n"/>
      <c r="C75" s="42" t="n"/>
      <c r="D75" s="42" t="n"/>
      <c r="E75" s="42" t="n"/>
      <c r="F75" s="42" t="n"/>
      <c r="G75" s="42" t="n"/>
      <c r="H75" s="42" t="n"/>
    </row>
    <row r="76">
      <c r="A76" s="41" t="n"/>
      <c r="B76" s="42" t="n"/>
      <c r="C76" s="42" t="n"/>
      <c r="D76" s="42" t="n"/>
      <c r="E76" s="42" t="n"/>
      <c r="F76" s="42" t="n"/>
      <c r="G76" s="42" t="n"/>
      <c r="H76" s="42" t="n"/>
    </row>
    <row r="77">
      <c r="A77" s="41" t="n"/>
      <c r="B77" s="42" t="n"/>
      <c r="C77" s="42" t="n"/>
      <c r="D77" s="42" t="n"/>
      <c r="E77" s="42" t="n"/>
      <c r="F77" s="42" t="n"/>
      <c r="G77" s="42" t="n"/>
      <c r="H77" s="42" t="n"/>
    </row>
    <row r="78">
      <c r="A78" s="41" t="n"/>
      <c r="B78" s="42" t="n"/>
      <c r="C78" s="42" t="n"/>
      <c r="D78" s="42" t="n"/>
      <c r="E78" s="42" t="n"/>
      <c r="F78" s="42" t="n"/>
      <c r="G78" s="42" t="n"/>
      <c r="H78" s="42" t="n"/>
    </row>
    <row r="79">
      <c r="A79" s="41" t="n"/>
      <c r="B79" s="42" t="n"/>
      <c r="C79" s="42" t="n"/>
      <c r="D79" s="42" t="n"/>
      <c r="E79" s="42" t="n"/>
      <c r="F79" s="42" t="n"/>
      <c r="G79" s="42" t="n"/>
      <c r="H79" s="42" t="n"/>
    </row>
    <row r="80">
      <c r="A80" s="41" t="n"/>
      <c r="B80" s="42" t="n"/>
      <c r="C80" s="42" t="n"/>
      <c r="D80" s="42" t="n"/>
      <c r="E80" s="42" t="n"/>
      <c r="F80" s="42" t="n"/>
      <c r="G80" s="42" t="n"/>
      <c r="H80" s="42" t="n"/>
    </row>
    <row r="81">
      <c r="A81" s="41" t="n"/>
      <c r="B81" s="42" t="n"/>
      <c r="C81" s="42" t="n"/>
      <c r="D81" s="42" t="n"/>
      <c r="E81" s="42" t="n"/>
      <c r="F81" s="42" t="n"/>
      <c r="G81" s="42" t="n"/>
      <c r="H81" s="42" t="n"/>
    </row>
    <row r="82">
      <c r="A82" s="41" t="n"/>
      <c r="B82" s="42" t="n"/>
      <c r="C82" s="42" t="n"/>
      <c r="D82" s="42" t="n"/>
      <c r="E82" s="42" t="n"/>
      <c r="F82" s="42" t="n"/>
      <c r="G82" s="42" t="n"/>
      <c r="H82" s="42" t="n"/>
    </row>
    <row r="83">
      <c r="A83" s="41" t="n"/>
      <c r="B83" s="42" t="n"/>
      <c r="C83" s="42" t="n"/>
      <c r="D83" s="42" t="n"/>
      <c r="E83" s="42" t="n"/>
      <c r="F83" s="42" t="n"/>
      <c r="G83" s="42" t="n"/>
      <c r="H83" s="42" t="n"/>
    </row>
    <row r="84">
      <c r="A84" s="41" t="n"/>
      <c r="B84" s="42" t="n"/>
      <c r="C84" s="42" t="n"/>
      <c r="D84" s="42" t="n"/>
      <c r="E84" s="42" t="n"/>
      <c r="F84" s="42" t="n"/>
      <c r="G84" s="42" t="n"/>
      <c r="H84" s="42" t="n"/>
    </row>
    <row r="85">
      <c r="A85" s="41" t="n"/>
      <c r="B85" s="42" t="n"/>
      <c r="C85" s="42" t="n"/>
      <c r="D85" s="42" t="n"/>
      <c r="E85" s="42" t="n"/>
      <c r="F85" s="42" t="n"/>
      <c r="G85" s="42" t="n"/>
      <c r="H85" s="42" t="n"/>
    </row>
    <row r="86">
      <c r="A86" s="41" t="n"/>
      <c r="B86" s="42" t="n"/>
      <c r="C86" s="42" t="n"/>
      <c r="D86" s="42" t="n"/>
      <c r="E86" s="42" t="n"/>
      <c r="F86" s="42" t="n"/>
      <c r="G86" s="42" t="n"/>
      <c r="H86" s="42" t="n"/>
    </row>
    <row r="87">
      <c r="A87" s="41" t="n"/>
      <c r="B87" s="42" t="n"/>
      <c r="C87" s="42" t="n"/>
      <c r="D87" s="42" t="n"/>
      <c r="E87" s="42" t="n"/>
      <c r="F87" s="42" t="n"/>
      <c r="G87" s="42" t="n"/>
      <c r="H87" s="42" t="n"/>
    </row>
    <row r="88">
      <c r="A88" s="41" t="n"/>
      <c r="B88" s="42" t="n"/>
      <c r="C88" s="42" t="n"/>
      <c r="D88" s="42" t="n"/>
      <c r="E88" s="42" t="n"/>
      <c r="F88" s="42" t="n"/>
      <c r="G88" s="42" t="n"/>
      <c r="H88" s="42" t="n"/>
    </row>
    <row r="89">
      <c r="A89" s="41" t="n"/>
      <c r="B89" s="42" t="n"/>
      <c r="C89" s="42" t="n"/>
      <c r="D89" s="42" t="n"/>
      <c r="E89" s="42" t="n"/>
      <c r="F89" s="42" t="n"/>
      <c r="G89" s="42" t="n"/>
      <c r="H89" s="42" t="n"/>
    </row>
    <row r="90">
      <c r="A90" s="41" t="n"/>
      <c r="B90" s="42" t="n"/>
      <c r="C90" s="42" t="n"/>
      <c r="D90" s="42" t="n"/>
      <c r="E90" s="42" t="n"/>
      <c r="F90" s="42" t="n"/>
      <c r="G90" s="42" t="n"/>
      <c r="H90" s="42" t="n"/>
    </row>
    <row r="91">
      <c r="A91" s="41" t="n"/>
      <c r="B91" s="42" t="n"/>
      <c r="C91" s="42" t="n"/>
      <c r="D91" s="42" t="n"/>
      <c r="E91" s="42" t="n"/>
      <c r="F91" s="42" t="n"/>
      <c r="G91" s="42" t="n"/>
      <c r="H91" s="42" t="n"/>
    </row>
    <row r="92">
      <c r="A92" s="41" t="n"/>
      <c r="B92" s="42" t="n"/>
      <c r="C92" s="42" t="n"/>
      <c r="D92" s="42" t="n"/>
      <c r="E92" s="42" t="n"/>
      <c r="F92" s="42" t="n"/>
      <c r="G92" s="42" t="n"/>
      <c r="H92" s="42" t="n"/>
    </row>
    <row r="93">
      <c r="A93" s="41" t="n"/>
      <c r="B93" s="42" t="n"/>
      <c r="C93" s="42" t="n"/>
      <c r="D93" s="42" t="n"/>
      <c r="E93" s="42" t="n"/>
      <c r="F93" s="42" t="n"/>
      <c r="G93" s="42" t="n"/>
      <c r="H93" s="42" t="n"/>
    </row>
    <row r="94">
      <c r="A94" s="41" t="n"/>
      <c r="B94" s="42" t="n"/>
      <c r="C94" s="42" t="n"/>
      <c r="D94" s="42" t="n"/>
      <c r="E94" s="42" t="n"/>
      <c r="F94" s="42" t="n"/>
      <c r="G94" s="42" t="n"/>
      <c r="H94" s="42" t="n"/>
    </row>
    <row r="95">
      <c r="A95" s="41" t="n"/>
      <c r="B95" s="42" t="n"/>
      <c r="C95" s="42" t="n"/>
      <c r="D95" s="42" t="n"/>
      <c r="E95" s="42" t="n"/>
      <c r="F95" s="42" t="n"/>
      <c r="G95" s="42" t="n"/>
      <c r="H95" s="42" t="n"/>
    </row>
    <row r="96">
      <c r="A96" s="41" t="n"/>
      <c r="B96" s="42" t="n"/>
      <c r="C96" s="42" t="n"/>
      <c r="D96" s="42" t="n"/>
      <c r="E96" s="42" t="n"/>
      <c r="F96" s="42" t="n"/>
      <c r="G96" s="42" t="n"/>
      <c r="H96" s="42" t="n"/>
    </row>
    <row r="97">
      <c r="A97" s="41" t="n"/>
      <c r="B97" s="42" t="n"/>
      <c r="C97" s="42" t="n"/>
      <c r="D97" s="42" t="n"/>
      <c r="E97" s="42" t="n"/>
      <c r="F97" s="42" t="n"/>
      <c r="G97" s="42" t="n"/>
      <c r="H97" s="42" t="n"/>
    </row>
    <row r="98">
      <c r="A98" s="41" t="n"/>
      <c r="B98" s="42" t="n"/>
      <c r="C98" s="42" t="n"/>
      <c r="D98" s="42" t="n"/>
      <c r="E98" s="42" t="n"/>
      <c r="F98" s="42" t="n"/>
      <c r="G98" s="42" t="n"/>
      <c r="H98" s="42" t="n"/>
    </row>
    <row r="99">
      <c r="A99" s="41" t="n"/>
      <c r="B99" s="42" t="n"/>
      <c r="C99" s="42" t="n"/>
      <c r="D99" s="42" t="n"/>
      <c r="E99" s="42" t="n"/>
      <c r="F99" s="42" t="n"/>
      <c r="G99" s="42" t="n"/>
      <c r="H99" s="42" t="n"/>
    </row>
    <row r="100">
      <c r="A100" s="41" t="n"/>
      <c r="B100" s="42" t="n"/>
      <c r="C100" s="42" t="n"/>
      <c r="D100" s="42" t="n"/>
      <c r="E100" s="42" t="n"/>
      <c r="F100" s="42" t="n"/>
      <c r="G100" s="42" t="n"/>
      <c r="H100" s="42" t="n"/>
    </row>
    <row r="101">
      <c r="A101" s="41" t="n"/>
      <c r="B101" s="42" t="n"/>
      <c r="C101" s="42" t="n"/>
      <c r="D101" s="42" t="n"/>
      <c r="E101" s="42" t="n"/>
      <c r="F101" s="42" t="n"/>
      <c r="G101" s="42" t="n"/>
      <c r="H101" s="42" t="n"/>
    </row>
    <row r="102">
      <c r="A102" s="41" t="n"/>
      <c r="B102" s="42" t="n"/>
      <c r="C102" s="42" t="n"/>
      <c r="D102" s="42" t="n"/>
      <c r="E102" s="42" t="n"/>
      <c r="F102" s="42" t="n"/>
      <c r="G102" s="42" t="n"/>
      <c r="H102" s="42" t="n"/>
    </row>
    <row r="103">
      <c r="A103" s="41" t="n"/>
      <c r="B103" s="42" t="n"/>
      <c r="C103" s="42" t="n"/>
      <c r="D103" s="42" t="n"/>
      <c r="E103" s="42" t="n"/>
      <c r="F103" s="42" t="n"/>
      <c r="G103" s="42" t="n"/>
      <c r="H103" s="42" t="n"/>
    </row>
    <row r="104">
      <c r="A104" s="41" t="n"/>
      <c r="B104" s="42" t="n"/>
      <c r="C104" s="42" t="n"/>
      <c r="D104" s="42" t="n"/>
      <c r="E104" s="42" t="n"/>
      <c r="F104" s="42" t="n"/>
      <c r="G104" s="42" t="n"/>
      <c r="H104" s="42" t="n"/>
    </row>
    <row r="105">
      <c r="A105" s="41" t="n"/>
      <c r="B105" s="42" t="n"/>
      <c r="C105" s="42" t="n"/>
      <c r="D105" s="42" t="n"/>
      <c r="E105" s="42" t="n"/>
      <c r="F105" s="42" t="n"/>
      <c r="G105" s="42" t="n"/>
      <c r="H105" s="4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2" customWidth="1" min="4" max="4"/>
    <col width="15" customWidth="1" min="5" max="5"/>
    <col width="20" customWidth="1" min="6" max="6"/>
    <col width="18" customWidth="1" min="7" max="7"/>
  </cols>
  <sheetData>
    <row r="1" ht="35" customHeight="1">
      <c r="A1" s="43" t="inlineStr">
        <is>
          <t>NETWORK COVERAGE ASSESSMENT — SUMMARY DASHBOARD</t>
        </is>
      </c>
      <c r="B1" s="6" t="n"/>
      <c r="C1" s="6" t="n"/>
      <c r="D1" s="6" t="n"/>
      <c r="E1" s="6" t="n"/>
      <c r="F1" s="6" t="n"/>
      <c r="G1" s="6" t="n"/>
    </row>
    <row r="2">
      <c r="A2" s="44" t="inlineStr">
        <is>
          <t>ISO/IEC 27001:2022 - Control A.8.23: Web Filtering</t>
        </is>
      </c>
    </row>
    <row r="4">
      <c r="A4" s="45" t="inlineStr">
        <is>
          <t>TABLE 1: ASSESSMENT AREA COMPLIANCE OVERVIEW</t>
        </is>
      </c>
      <c r="B4" s="6" t="n"/>
      <c r="C4" s="6" t="n"/>
      <c r="D4" s="6" t="n"/>
      <c r="E4" s="6" t="n"/>
      <c r="F4" s="6" t="n"/>
      <c r="G4" s="6" t="n"/>
    </row>
    <row r="5">
      <c r="A5" s="46" t="inlineStr">
        <is>
          <t>Assessment Area</t>
        </is>
      </c>
      <c r="B5" s="46" t="inlineStr">
        <is>
          <t>Total Items</t>
        </is>
      </c>
      <c r="C5" s="46" t="inlineStr">
        <is>
          <t>Compliant</t>
        </is>
      </c>
      <c r="D5" s="46" t="inlineStr">
        <is>
          <t>Partial</t>
        </is>
      </c>
      <c r="E5" s="46" t="inlineStr">
        <is>
          <t>Non-Compliant</t>
        </is>
      </c>
      <c r="F5" s="46" t="inlineStr">
        <is>
          <t>N/A</t>
        </is>
      </c>
      <c r="G5" s="46" t="inlineStr">
        <is>
          <t>Compliance %</t>
        </is>
      </c>
    </row>
    <row r="6">
      <c r="A6" s="6" t="inlineStr">
        <is>
          <t>Network Segment Inventory</t>
        </is>
      </c>
      <c r="B6" s="47">
        <f>C6+D6+E6+F6</f>
        <v/>
      </c>
      <c r="C6" s="47">
        <f>COUNTIF('Network Segment Inventory'!J5:J55,"✅ Protected")</f>
        <v/>
      </c>
      <c r="D6" s="47">
        <f>COUNTIF('Network Segment Inventory'!J5:J55,"⚠️ Partial")</f>
        <v/>
      </c>
      <c r="E6" s="47">
        <f>COUNTIF('Network Segment Inventory'!J5:J55,"❌ Unprotected")</f>
        <v/>
      </c>
      <c r="F6" s="47">
        <f>COUNTIF('Network Segment Inventory'!J5:J55,"⟳ Planned")+COUNTIF('Network Segment Inventory'!J5:J55,"⊘ Exempt")</f>
        <v/>
      </c>
      <c r="G6" s="48">
        <f>IF((B6-F6)=0,0,C6/(B6-F6))</f>
        <v/>
      </c>
    </row>
    <row r="7">
      <c r="A7" s="6" t="inlineStr">
        <is>
          <t>Coverage Matrix</t>
        </is>
      </c>
      <c r="B7" s="47">
        <f>C7+D7+E7+F7</f>
        <v/>
      </c>
      <c r="C7" s="47">
        <f>COUNTIF('Coverage Matrix'!G5:G54,"✅ Protected")</f>
        <v/>
      </c>
      <c r="D7" s="47">
        <f>COUNTIF('Coverage Matrix'!G5:G54,"⚠️ Partial")</f>
        <v/>
      </c>
      <c r="E7" s="47">
        <f>COUNTIF('Coverage Matrix'!G5:G54,"❌ Unprotected")</f>
        <v/>
      </c>
      <c r="F7" s="47">
        <f>COUNTIF('Coverage Matrix'!G5:G54,"⟳ Planned")+COUNTIF('Coverage Matrix'!G5:G54,"⊘ Exempt")</f>
        <v/>
      </c>
      <c r="G7" s="48">
        <f>IF((B7-F7)=0,0,C7/(B7-F7))</f>
        <v/>
      </c>
    </row>
    <row r="8">
      <c r="A8" s="6" t="inlineStr">
        <is>
          <t>Open Coverage Gaps</t>
        </is>
      </c>
      <c r="B8" s="47">
        <f>C8+D8+E8+F8</f>
        <v/>
      </c>
      <c r="C8" s="47">
        <f>COUNTIF('Gap Analysis'!K5:K55,"✅ Resolved")+COUNTIF('Gap Analysis'!K5:K55,"⊘ Exempt")</f>
        <v/>
      </c>
      <c r="D8" s="47">
        <f>COUNTIF('Gap Analysis'!K5:K55,"⟳ In Progress")</f>
        <v/>
      </c>
      <c r="E8" s="47">
        <f>COUNTIF('Gap Analysis'!K5:K55,"○ Open")</f>
        <v/>
      </c>
      <c r="F8" s="47">
        <f>COUNTIF('Gap Analysis'!K5:K55,"⚠️ Accepted Risk")</f>
        <v/>
      </c>
      <c r="G8" s="48">
        <f>IF((B8-F8)=0,0,C8/(B8-F8))</f>
        <v/>
      </c>
    </row>
    <row r="9">
      <c r="A9" s="49" t="inlineStr">
        <is>
          <t>TOTAL</t>
        </is>
      </c>
      <c r="B9" s="50">
        <f>SUM(B6:B8)</f>
        <v/>
      </c>
      <c r="C9" s="50">
        <f>SUM(C6:C8)</f>
        <v/>
      </c>
      <c r="D9" s="50">
        <f>SUM(D6:D8)</f>
        <v/>
      </c>
      <c r="E9" s="50">
        <f>SUM(E6:E8)</f>
        <v/>
      </c>
      <c r="F9" s="50">
        <f>SUM(F6:F8)</f>
        <v/>
      </c>
      <c r="G9" s="51">
        <f>IF((B9-F9)=0,0,C9/(B9-F9))</f>
        <v/>
      </c>
    </row>
    <row r="12">
      <c r="A12" s="45" t="inlineStr">
        <is>
          <t>TABLE 2: KEY METRICS</t>
        </is>
      </c>
      <c r="B12" s="6" t="n"/>
      <c r="C12" s="6" t="n"/>
      <c r="D12" s="6" t="n"/>
      <c r="E12" s="6" t="n"/>
      <c r="F12" s="6" t="n"/>
      <c r="G12" s="6" t="n"/>
    </row>
    <row r="13">
      <c r="A13" s="52" t="inlineStr">
        <is>
          <t>Metric</t>
        </is>
      </c>
      <c r="B13" s="52" t="inlineStr">
        <is>
          <t>Count</t>
        </is>
      </c>
      <c r="C13" s="53" t="n"/>
      <c r="D13" s="53" t="n"/>
      <c r="E13" s="53" t="n"/>
      <c r="F13" s="53" t="n"/>
      <c r="G13" s="53" t="n"/>
    </row>
    <row r="14">
      <c r="A14" s="54" t="inlineStr">
        <is>
          <t>Segments ✅ Protected</t>
        </is>
      </c>
      <c r="B14" s="55">
        <f>COUNTIF('Network Segment Inventory'!J5:J55,"✅ Protected")</f>
        <v/>
      </c>
      <c r="C14" s="6" t="n"/>
      <c r="D14" s="6" t="n"/>
      <c r="E14" s="6" t="n"/>
      <c r="F14" s="6" t="n"/>
      <c r="G14" s="6" t="n"/>
    </row>
    <row r="15">
      <c r="A15" s="54" t="inlineStr">
        <is>
          <t>Segments ❌ Unprotected</t>
        </is>
      </c>
      <c r="B15" s="55">
        <f>COUNTIF('Network Segment Inventory'!J5:J55,"❌ Unprotected")</f>
        <v/>
      </c>
      <c r="C15" s="6" t="n"/>
      <c r="D15" s="6" t="n"/>
      <c r="E15" s="6" t="n"/>
      <c r="F15" s="6" t="n"/>
      <c r="G15" s="6" t="n"/>
    </row>
    <row r="16">
      <c r="A16" s="54" t="inlineStr">
        <is>
          <t>Coverage ✅ Protected</t>
        </is>
      </c>
      <c r="B16" s="55">
        <f>COUNTIF('Coverage Matrix'!G5:G54,"✅ Protected")</f>
        <v/>
      </c>
      <c r="C16" s="6" t="n"/>
      <c r="D16" s="6" t="n"/>
      <c r="E16" s="6" t="n"/>
      <c r="F16" s="6" t="n"/>
      <c r="G16" s="6" t="n"/>
    </row>
    <row r="17">
      <c r="A17" s="54" t="inlineStr">
        <is>
          <t>Coverage ❌ Unprotected</t>
        </is>
      </c>
      <c r="B17" s="55">
        <f>COUNTIF('Coverage Matrix'!G5:G54,"❌ Unprotected")</f>
        <v/>
      </c>
      <c r="C17" s="6" t="n"/>
      <c r="D17" s="6" t="n"/>
      <c r="E17" s="6" t="n"/>
      <c r="F17" s="6" t="n"/>
      <c r="G17" s="6" t="n"/>
    </row>
    <row r="18">
      <c r="A18" s="54" t="inlineStr">
        <is>
          <t>Coverage ⊘ Exempt / ⟳ Planned</t>
        </is>
      </c>
      <c r="B18" s="55">
        <f>COUNTIF('Coverage Matrix'!G5:G54,"⊘ Exempt")+COUNTIF('Coverage Matrix'!G5:G54,"⟳ Planned")</f>
        <v/>
      </c>
      <c r="C18" s="6" t="n"/>
      <c r="D18" s="6" t="n"/>
      <c r="E18" s="6" t="n"/>
      <c r="F18" s="6" t="n"/>
      <c r="G18" s="6" t="n"/>
    </row>
    <row r="19">
      <c r="A19" s="54" t="inlineStr">
        <is>
          <t>Coverage Gaps ○ Open</t>
        </is>
      </c>
      <c r="B19" s="55">
        <f>COUNTIF('Gap Analysis'!K5:K55,"○ Open")</f>
        <v/>
      </c>
      <c r="C19" s="6" t="n"/>
      <c r="D19" s="6" t="n"/>
      <c r="E19" s="6" t="n"/>
      <c r="F19" s="6" t="n"/>
      <c r="G19" s="6" t="n"/>
    </row>
    <row r="20">
      <c r="A20" s="54" t="inlineStr">
        <is>
          <t>Coverage Gaps ⟳ In Progress</t>
        </is>
      </c>
      <c r="B20" s="55">
        <f>COUNTIF('Gap Analysis'!K5:K55,"⟳ In Progress")</f>
        <v/>
      </c>
      <c r="C20" s="6" t="n"/>
      <c r="D20" s="6" t="n"/>
      <c r="E20" s="6" t="n"/>
      <c r="F20" s="6" t="n"/>
      <c r="G20" s="6" t="n"/>
    </row>
    <row r="21">
      <c r="A21" s="54" t="inlineStr">
        <is>
          <t>Coverage Gaps ✅ Resolved / ⊘ Exempt</t>
        </is>
      </c>
      <c r="B21" s="55">
        <f>COUNTIF('Gap Analysis'!K5:K55,"✅ Resolved")+COUNTIF('Gap Analysis'!K5:K55,"⊘ Exempt")</f>
        <v/>
      </c>
      <c r="C21" s="6" t="n"/>
      <c r="D21" s="6" t="n"/>
      <c r="E21" s="6" t="n"/>
      <c r="F21" s="6" t="n"/>
      <c r="G21" s="6" t="n"/>
    </row>
    <row r="24">
      <c r="A24" s="56" t="inlineStr">
        <is>
          <t>TABLE 3: CRITICAL FINDINGS &amp; OPEN GAPS</t>
        </is>
      </c>
      <c r="B24" s="6" t="n"/>
      <c r="C24" s="6" t="n"/>
      <c r="D24" s="6" t="n"/>
      <c r="E24" s="6" t="n"/>
      <c r="F24" s="6" t="n"/>
      <c r="G24" s="6" t="n"/>
    </row>
    <row r="25">
      <c r="A25" s="57" t="inlineStr">
        <is>
          <t>Gap ID</t>
        </is>
      </c>
      <c r="B25" s="57" t="inlineStr">
        <is>
          <t>Segment Name</t>
        </is>
      </c>
      <c r="C25" s="57" t="inlineStr">
        <is>
          <t>Gap Description</t>
        </is>
      </c>
      <c r="D25" s="57" t="inlineStr">
        <is>
          <t>Risk Level</t>
        </is>
      </c>
      <c r="E25" s="57" t="inlineStr">
        <is>
          <t>Owner</t>
        </is>
      </c>
      <c r="F25" s="57" t="inlineStr">
        <is>
          <t>Target Date</t>
        </is>
      </c>
      <c r="G25" s="57" t="inlineStr">
        <is>
          <t>Status</t>
        </is>
      </c>
    </row>
    <row r="26">
      <c r="A26" s="15">
        <f>IFERROR(INDEX('Gap Analysis'!A$5:A$55,SMALL(IF('Gap Analysis'!K$5:K$55="○ Open",ROW('Gap Analysis'!K$5:K$55)-ROW('Gap Analysis'!K$5)+1),1)),"")</f>
        <v/>
      </c>
      <c r="B26" s="15">
        <f>IFERROR(INDEX('Gap Analysis'!C$5:C$55,SMALL(IF('Gap Analysis'!K$5:K$55="○ Open",ROW('Gap Analysis'!K$5:K$55)-ROW('Gap Analysis'!K$5)+1),1)),"")</f>
        <v/>
      </c>
      <c r="C26" s="15">
        <f>IFERROR(INDEX('Gap Analysis'!E$5:E$55,SMALL(IF('Gap Analysis'!K$5:K$55="○ Open",ROW('Gap Analysis'!K$5:K$55)-ROW('Gap Analysis'!K$5)+1),1)),"")</f>
        <v/>
      </c>
      <c r="D26" s="15">
        <f>IFERROR(INDEX('Gap Analysis'!F$5:F$55,SMALL(IF('Gap Analysis'!K$5:K$55="○ Open",ROW('Gap Analysis'!K$5:K$55)-ROW('Gap Analysis'!K$5)+1),1)),"")</f>
        <v/>
      </c>
      <c r="E26" s="15">
        <f>IFERROR(INDEX('Gap Analysis'!I$5:I$55,SMALL(IF('Gap Analysis'!K$5:K$55="○ Open",ROW('Gap Analysis'!K$5:K$55)-ROW('Gap Analysis'!K$5)+1),1)),"")</f>
        <v/>
      </c>
      <c r="F26" s="15">
        <f>IFERROR(INDEX('Gap Analysis'!J$5:J$55,SMALL(IF('Gap Analysis'!K$5:K$55="○ Open",ROW('Gap Analysis'!K$5:K$55)-ROW('Gap Analysis'!K$5)+1),1)),"")</f>
        <v/>
      </c>
      <c r="G26" s="15">
        <f>IFERROR(INDEX('Gap Analysis'!K$5:K$55,SMALL(IF('Gap Analysis'!K$5:K$55="○ Open",ROW('Gap Analysis'!K$5:K$55)-ROW('Gap Analysis'!K$5)+1),1)),"")</f>
        <v/>
      </c>
    </row>
    <row r="27">
      <c r="A27" s="15">
        <f>IFERROR(INDEX('Gap Analysis'!A$5:A$55,SMALL(IF('Gap Analysis'!K$5:K$55="○ Open",ROW('Gap Analysis'!K$5:K$55)-ROW('Gap Analysis'!K$5)+1),2)),"")</f>
        <v/>
      </c>
      <c r="B27" s="15">
        <f>IFERROR(INDEX('Gap Analysis'!C$5:C$55,SMALL(IF('Gap Analysis'!K$5:K$55="○ Open",ROW('Gap Analysis'!K$5:K$55)-ROW('Gap Analysis'!K$5)+1),2)),"")</f>
        <v/>
      </c>
      <c r="C27" s="15">
        <f>IFERROR(INDEX('Gap Analysis'!E$5:E$55,SMALL(IF('Gap Analysis'!K$5:K$55="○ Open",ROW('Gap Analysis'!K$5:K$55)-ROW('Gap Analysis'!K$5)+1),2)),"")</f>
        <v/>
      </c>
      <c r="D27" s="15">
        <f>IFERROR(INDEX('Gap Analysis'!F$5:F$55,SMALL(IF('Gap Analysis'!K$5:K$55="○ Open",ROW('Gap Analysis'!K$5:K$55)-ROW('Gap Analysis'!K$5)+1),2)),"")</f>
        <v/>
      </c>
      <c r="E27" s="15">
        <f>IFERROR(INDEX('Gap Analysis'!I$5:I$55,SMALL(IF('Gap Analysis'!K$5:K$55="○ Open",ROW('Gap Analysis'!K$5:K$55)-ROW('Gap Analysis'!K$5)+1),2)),"")</f>
        <v/>
      </c>
      <c r="F27" s="15">
        <f>IFERROR(INDEX('Gap Analysis'!J$5:J$55,SMALL(IF('Gap Analysis'!K$5:K$55="○ Open",ROW('Gap Analysis'!K$5:K$55)-ROW('Gap Analysis'!K$5)+1),2)),"")</f>
        <v/>
      </c>
      <c r="G27" s="15">
        <f>IFERROR(INDEX('Gap Analysis'!K$5:K$55,SMALL(IF('Gap Analysis'!K$5:K$55="○ Open",ROW('Gap Analysis'!K$5:K$55)-ROW('Gap Analysis'!K$5)+1),2)),"")</f>
        <v/>
      </c>
    </row>
    <row r="28">
      <c r="A28" s="15">
        <f>IFERROR(INDEX('Gap Analysis'!A$5:A$55,SMALL(IF('Gap Analysis'!K$5:K$55="○ Open",ROW('Gap Analysis'!K$5:K$55)-ROW('Gap Analysis'!K$5)+1),3)),"")</f>
        <v/>
      </c>
      <c r="B28" s="15">
        <f>IFERROR(INDEX('Gap Analysis'!C$5:C$55,SMALL(IF('Gap Analysis'!K$5:K$55="○ Open",ROW('Gap Analysis'!K$5:K$55)-ROW('Gap Analysis'!K$5)+1),3)),"")</f>
        <v/>
      </c>
      <c r="C28" s="15">
        <f>IFERROR(INDEX('Gap Analysis'!E$5:E$55,SMALL(IF('Gap Analysis'!K$5:K$55="○ Open",ROW('Gap Analysis'!K$5:K$55)-ROW('Gap Analysis'!K$5)+1),3)),"")</f>
        <v/>
      </c>
      <c r="D28" s="15">
        <f>IFERROR(INDEX('Gap Analysis'!F$5:F$55,SMALL(IF('Gap Analysis'!K$5:K$55="○ Open",ROW('Gap Analysis'!K$5:K$55)-ROW('Gap Analysis'!K$5)+1),3)),"")</f>
        <v/>
      </c>
      <c r="E28" s="15">
        <f>IFERROR(INDEX('Gap Analysis'!I$5:I$55,SMALL(IF('Gap Analysis'!K$5:K$55="○ Open",ROW('Gap Analysis'!K$5:K$55)-ROW('Gap Analysis'!K$5)+1),3)),"")</f>
        <v/>
      </c>
      <c r="F28" s="15">
        <f>IFERROR(INDEX('Gap Analysis'!J$5:J$55,SMALL(IF('Gap Analysis'!K$5:K$55="○ Open",ROW('Gap Analysis'!K$5:K$55)-ROW('Gap Analysis'!K$5)+1),3)),"")</f>
        <v/>
      </c>
      <c r="G28" s="15">
        <f>IFERROR(INDEX('Gap Analysis'!K$5:K$55,SMALL(IF('Gap Analysis'!K$5:K$55="○ Open",ROW('Gap Analysis'!K$5:K$55)-ROW('Gap Analysis'!K$5)+1),3)),"")</f>
        <v/>
      </c>
    </row>
    <row r="29">
      <c r="A29" s="15">
        <f>IFERROR(INDEX('Gap Analysis'!A$5:A$55,SMALL(IF('Gap Analysis'!K$5:K$55="○ Open",ROW('Gap Analysis'!K$5:K$55)-ROW('Gap Analysis'!K$5)+1),4)),"")</f>
        <v/>
      </c>
      <c r="B29" s="15">
        <f>IFERROR(INDEX('Gap Analysis'!C$5:C$55,SMALL(IF('Gap Analysis'!K$5:K$55="○ Open",ROW('Gap Analysis'!K$5:K$55)-ROW('Gap Analysis'!K$5)+1),4)),"")</f>
        <v/>
      </c>
      <c r="C29" s="15">
        <f>IFERROR(INDEX('Gap Analysis'!E$5:E$55,SMALL(IF('Gap Analysis'!K$5:K$55="○ Open",ROW('Gap Analysis'!K$5:K$55)-ROW('Gap Analysis'!K$5)+1),4)),"")</f>
        <v/>
      </c>
      <c r="D29" s="15">
        <f>IFERROR(INDEX('Gap Analysis'!F$5:F$55,SMALL(IF('Gap Analysis'!K$5:K$55="○ Open",ROW('Gap Analysis'!K$5:K$55)-ROW('Gap Analysis'!K$5)+1),4)),"")</f>
        <v/>
      </c>
      <c r="E29" s="15">
        <f>IFERROR(INDEX('Gap Analysis'!I$5:I$55,SMALL(IF('Gap Analysis'!K$5:K$55="○ Open",ROW('Gap Analysis'!K$5:K$55)-ROW('Gap Analysis'!K$5)+1),4)),"")</f>
        <v/>
      </c>
      <c r="F29" s="15">
        <f>IFERROR(INDEX('Gap Analysis'!J$5:J$55,SMALL(IF('Gap Analysis'!K$5:K$55="○ Open",ROW('Gap Analysis'!K$5:K$55)-ROW('Gap Analysis'!K$5)+1),4)),"")</f>
        <v/>
      </c>
      <c r="G29" s="15">
        <f>IFERROR(INDEX('Gap Analysis'!K$5:K$55,SMALL(IF('Gap Analysis'!K$5:K$55="○ Open",ROW('Gap Analysis'!K$5:K$55)-ROW('Gap Analysis'!K$5)+1),4)),"")</f>
        <v/>
      </c>
    </row>
    <row r="30">
      <c r="A30" s="15">
        <f>IFERROR(INDEX('Gap Analysis'!A$5:A$55,SMALL(IF('Gap Analysis'!K$5:K$55="○ Open",ROW('Gap Analysis'!K$5:K$55)-ROW('Gap Analysis'!K$5)+1),5)),"")</f>
        <v/>
      </c>
      <c r="B30" s="15">
        <f>IFERROR(INDEX('Gap Analysis'!C$5:C$55,SMALL(IF('Gap Analysis'!K$5:K$55="○ Open",ROW('Gap Analysis'!K$5:K$55)-ROW('Gap Analysis'!K$5)+1),5)),"")</f>
        <v/>
      </c>
      <c r="C30" s="15">
        <f>IFERROR(INDEX('Gap Analysis'!E$5:E$55,SMALL(IF('Gap Analysis'!K$5:K$55="○ Open",ROW('Gap Analysis'!K$5:K$55)-ROW('Gap Analysis'!K$5)+1),5)),"")</f>
        <v/>
      </c>
      <c r="D30" s="15">
        <f>IFERROR(INDEX('Gap Analysis'!F$5:F$55,SMALL(IF('Gap Analysis'!K$5:K$55="○ Open",ROW('Gap Analysis'!K$5:K$55)-ROW('Gap Analysis'!K$5)+1),5)),"")</f>
        <v/>
      </c>
      <c r="E30" s="15">
        <f>IFERROR(INDEX('Gap Analysis'!I$5:I$55,SMALL(IF('Gap Analysis'!K$5:K$55="○ Open",ROW('Gap Analysis'!K$5:K$55)-ROW('Gap Analysis'!K$5)+1),5)),"")</f>
        <v/>
      </c>
      <c r="F30" s="15">
        <f>IFERROR(INDEX('Gap Analysis'!J$5:J$55,SMALL(IF('Gap Analysis'!K$5:K$55="○ Open",ROW('Gap Analysis'!K$5:K$55)-ROW('Gap Analysis'!K$5)+1),5)),"")</f>
        <v/>
      </c>
      <c r="G30" s="15">
        <f>IFERROR(INDEX('Gap Analysis'!K$5:K$55,SMALL(IF('Gap Analysis'!K$5:K$55="○ Open",ROW('Gap Analysis'!K$5:K$55)-ROW('Gap Analysis'!K$5)+1),5)),"")</f>
        <v/>
      </c>
    </row>
    <row r="31">
      <c r="A31" s="15">
        <f>IFERROR(INDEX('Gap Analysis'!A$5:A$55,SMALL(IF('Gap Analysis'!K$5:K$55="○ Open",ROW('Gap Analysis'!K$5:K$55)-ROW('Gap Analysis'!K$5)+1),6)),"")</f>
        <v/>
      </c>
      <c r="B31" s="15">
        <f>IFERROR(INDEX('Gap Analysis'!C$5:C$55,SMALL(IF('Gap Analysis'!K$5:K$55="○ Open",ROW('Gap Analysis'!K$5:K$55)-ROW('Gap Analysis'!K$5)+1),6)),"")</f>
        <v/>
      </c>
      <c r="C31" s="15">
        <f>IFERROR(INDEX('Gap Analysis'!E$5:E$55,SMALL(IF('Gap Analysis'!K$5:K$55="○ Open",ROW('Gap Analysis'!K$5:K$55)-ROW('Gap Analysis'!K$5)+1),6)),"")</f>
        <v/>
      </c>
      <c r="D31" s="15">
        <f>IFERROR(INDEX('Gap Analysis'!F$5:F$55,SMALL(IF('Gap Analysis'!K$5:K$55="○ Open",ROW('Gap Analysis'!K$5:K$55)-ROW('Gap Analysis'!K$5)+1),6)),"")</f>
        <v/>
      </c>
      <c r="E31" s="15">
        <f>IFERROR(INDEX('Gap Analysis'!I$5:I$55,SMALL(IF('Gap Analysis'!K$5:K$55="○ Open",ROW('Gap Analysis'!K$5:K$55)-ROW('Gap Analysis'!K$5)+1),6)),"")</f>
        <v/>
      </c>
      <c r="F31" s="15">
        <f>IFERROR(INDEX('Gap Analysis'!J$5:J$55,SMALL(IF('Gap Analysis'!K$5:K$55="○ Open",ROW('Gap Analysis'!K$5:K$55)-ROW('Gap Analysis'!K$5)+1),6)),"")</f>
        <v/>
      </c>
      <c r="G31" s="15">
        <f>IFERROR(INDEX('Gap Analysis'!K$5:K$55,SMALL(IF('Gap Analysis'!K$5:K$55="○ Open",ROW('Gap Analysis'!K$5:K$55)-ROW('Gap Analysis'!K$5)+1),6)),"")</f>
        <v/>
      </c>
    </row>
    <row r="32">
      <c r="A32" s="15">
        <f>IFERROR(INDEX('Gap Analysis'!A$5:A$55,SMALL(IF('Gap Analysis'!K$5:K$55="○ Open",ROW('Gap Analysis'!K$5:K$55)-ROW('Gap Analysis'!K$5)+1),7)),"")</f>
        <v/>
      </c>
      <c r="B32" s="15">
        <f>IFERROR(INDEX('Gap Analysis'!C$5:C$55,SMALL(IF('Gap Analysis'!K$5:K$55="○ Open",ROW('Gap Analysis'!K$5:K$55)-ROW('Gap Analysis'!K$5)+1),7)),"")</f>
        <v/>
      </c>
      <c r="C32" s="15">
        <f>IFERROR(INDEX('Gap Analysis'!E$5:E$55,SMALL(IF('Gap Analysis'!K$5:K$55="○ Open",ROW('Gap Analysis'!K$5:K$55)-ROW('Gap Analysis'!K$5)+1),7)),"")</f>
        <v/>
      </c>
      <c r="D32" s="15">
        <f>IFERROR(INDEX('Gap Analysis'!F$5:F$55,SMALL(IF('Gap Analysis'!K$5:K$55="○ Open",ROW('Gap Analysis'!K$5:K$55)-ROW('Gap Analysis'!K$5)+1),7)),"")</f>
        <v/>
      </c>
      <c r="E32" s="15">
        <f>IFERROR(INDEX('Gap Analysis'!I$5:I$55,SMALL(IF('Gap Analysis'!K$5:K$55="○ Open",ROW('Gap Analysis'!K$5:K$55)-ROW('Gap Analysis'!K$5)+1),7)),"")</f>
        <v/>
      </c>
      <c r="F32" s="15">
        <f>IFERROR(INDEX('Gap Analysis'!J$5:J$55,SMALL(IF('Gap Analysis'!K$5:K$55="○ Open",ROW('Gap Analysis'!K$5:K$55)-ROW('Gap Analysis'!K$5)+1),7)),"")</f>
        <v/>
      </c>
      <c r="G32" s="15">
        <f>IFERROR(INDEX('Gap Analysis'!K$5:K$55,SMALL(IF('Gap Analysis'!K$5:K$55="○ Open",ROW('Gap Analysis'!K$5:K$55)-ROW('Gap Analysis'!K$5)+1),7)),"")</f>
        <v/>
      </c>
    </row>
    <row r="33">
      <c r="A33" s="15">
        <f>IFERROR(INDEX('Gap Analysis'!A$5:A$55,SMALL(IF('Gap Analysis'!K$5:K$55="○ Open",ROW('Gap Analysis'!K$5:K$55)-ROW('Gap Analysis'!K$5)+1),8)),"")</f>
        <v/>
      </c>
      <c r="B33" s="15">
        <f>IFERROR(INDEX('Gap Analysis'!C$5:C$55,SMALL(IF('Gap Analysis'!K$5:K$55="○ Open",ROW('Gap Analysis'!K$5:K$55)-ROW('Gap Analysis'!K$5)+1),8)),"")</f>
        <v/>
      </c>
      <c r="C33" s="15">
        <f>IFERROR(INDEX('Gap Analysis'!E$5:E$55,SMALL(IF('Gap Analysis'!K$5:K$55="○ Open",ROW('Gap Analysis'!K$5:K$55)-ROW('Gap Analysis'!K$5)+1),8)),"")</f>
        <v/>
      </c>
      <c r="D33" s="15">
        <f>IFERROR(INDEX('Gap Analysis'!F$5:F$55,SMALL(IF('Gap Analysis'!K$5:K$55="○ Open",ROW('Gap Analysis'!K$5:K$55)-ROW('Gap Analysis'!K$5)+1),8)),"")</f>
        <v/>
      </c>
      <c r="E33" s="15">
        <f>IFERROR(INDEX('Gap Analysis'!I$5:I$55,SMALL(IF('Gap Analysis'!K$5:K$55="○ Open",ROW('Gap Analysis'!K$5:K$55)-ROW('Gap Analysis'!K$5)+1),8)),"")</f>
        <v/>
      </c>
      <c r="F33" s="15">
        <f>IFERROR(INDEX('Gap Analysis'!J$5:J$55,SMALL(IF('Gap Analysis'!K$5:K$55="○ Open",ROW('Gap Analysis'!K$5:K$55)-ROW('Gap Analysis'!K$5)+1),8)),"")</f>
        <v/>
      </c>
      <c r="G33" s="15">
        <f>IFERROR(INDEX('Gap Analysis'!K$5:K$55,SMALL(IF('Gap Analysis'!K$5:K$55="○ Open",ROW('Gap Analysis'!K$5:K$55)-ROW('Gap Analysis'!K$5)+1),8)),"")</f>
        <v/>
      </c>
    </row>
    <row r="34">
      <c r="A34" s="15">
        <f>IFERROR(INDEX('Gap Analysis'!A$5:A$55,SMALL(IF('Gap Analysis'!K$5:K$55="○ Open",ROW('Gap Analysis'!K$5:K$55)-ROW('Gap Analysis'!K$5)+1),9)),"")</f>
        <v/>
      </c>
      <c r="B34" s="15">
        <f>IFERROR(INDEX('Gap Analysis'!C$5:C$55,SMALL(IF('Gap Analysis'!K$5:K$55="○ Open",ROW('Gap Analysis'!K$5:K$55)-ROW('Gap Analysis'!K$5)+1),9)),"")</f>
        <v/>
      </c>
      <c r="C34" s="15">
        <f>IFERROR(INDEX('Gap Analysis'!E$5:E$55,SMALL(IF('Gap Analysis'!K$5:K$55="○ Open",ROW('Gap Analysis'!K$5:K$55)-ROW('Gap Analysis'!K$5)+1),9)),"")</f>
        <v/>
      </c>
      <c r="D34" s="15">
        <f>IFERROR(INDEX('Gap Analysis'!F$5:F$55,SMALL(IF('Gap Analysis'!K$5:K$55="○ Open",ROW('Gap Analysis'!K$5:K$55)-ROW('Gap Analysis'!K$5)+1),9)),"")</f>
        <v/>
      </c>
      <c r="E34" s="15">
        <f>IFERROR(INDEX('Gap Analysis'!I$5:I$55,SMALL(IF('Gap Analysis'!K$5:K$55="○ Open",ROW('Gap Analysis'!K$5:K$55)-ROW('Gap Analysis'!K$5)+1),9)),"")</f>
        <v/>
      </c>
      <c r="F34" s="15">
        <f>IFERROR(INDEX('Gap Analysis'!J$5:J$55,SMALL(IF('Gap Analysis'!K$5:K$55="○ Open",ROW('Gap Analysis'!K$5:K$55)-ROW('Gap Analysis'!K$5)+1),9)),"")</f>
        <v/>
      </c>
      <c r="G34" s="15">
        <f>IFERROR(INDEX('Gap Analysis'!K$5:K$55,SMALL(IF('Gap Analysis'!K$5:K$55="○ Open",ROW('Gap Analysis'!K$5:K$55)-ROW('Gap Analysis'!K$5)+1),9)),"")</f>
        <v/>
      </c>
    </row>
    <row r="35">
      <c r="A35" s="15">
        <f>IFERROR(INDEX('Gap Analysis'!A$5:A$55,SMALL(IF('Gap Analysis'!K$5:K$55="○ Open",ROW('Gap Analysis'!K$5:K$55)-ROW('Gap Analysis'!K$5)+1),10)),"")</f>
        <v/>
      </c>
      <c r="B35" s="15">
        <f>IFERROR(INDEX('Gap Analysis'!C$5:C$55,SMALL(IF('Gap Analysis'!K$5:K$55="○ Open",ROW('Gap Analysis'!K$5:K$55)-ROW('Gap Analysis'!K$5)+1),10)),"")</f>
        <v/>
      </c>
      <c r="C35" s="15">
        <f>IFERROR(INDEX('Gap Analysis'!E$5:E$55,SMALL(IF('Gap Analysis'!K$5:K$55="○ Open",ROW('Gap Analysis'!K$5:K$55)-ROW('Gap Analysis'!K$5)+1),10)),"")</f>
        <v/>
      </c>
      <c r="D35" s="15">
        <f>IFERROR(INDEX('Gap Analysis'!F$5:F$55,SMALL(IF('Gap Analysis'!K$5:K$55="○ Open",ROW('Gap Analysis'!K$5:K$55)-ROW('Gap Analysis'!K$5)+1),10)),"")</f>
        <v/>
      </c>
      <c r="E35" s="15">
        <f>IFERROR(INDEX('Gap Analysis'!I$5:I$55,SMALL(IF('Gap Analysis'!K$5:K$55="○ Open",ROW('Gap Analysis'!K$5:K$55)-ROW('Gap Analysis'!K$5)+1),10)),"")</f>
        <v/>
      </c>
      <c r="F35" s="15">
        <f>IFERROR(INDEX('Gap Analysis'!J$5:J$55,SMALL(IF('Gap Analysis'!K$5:K$55="○ Open",ROW('Gap Analysis'!K$5:K$55)-ROW('Gap Analysis'!K$5)+1),10)),"")</f>
        <v/>
      </c>
      <c r="G35" s="15">
        <f>IFERROR(INDEX('Gap Analysis'!K$5:K$55,SMALL(IF('Gap Analysis'!K$5:K$55="○ Open",ROW('Gap Analysis'!K$5:K$55)-ROW('Gap Analysis'!K$5)+1),10)),"")</f>
        <v/>
      </c>
    </row>
  </sheetData>
  <mergeCells count="14">
    <mergeCell ref="B16:G16"/>
    <mergeCell ref="B19:G19"/>
    <mergeCell ref="B20:G20"/>
    <mergeCell ref="A1:G1"/>
    <mergeCell ref="B14:G14"/>
    <mergeCell ref="B17:G17"/>
    <mergeCell ref="A12:G12"/>
    <mergeCell ref="A4:G4"/>
    <mergeCell ref="A24:G24"/>
    <mergeCell ref="A2:G2"/>
    <mergeCell ref="B18:G18"/>
    <mergeCell ref="B13:G13"/>
    <mergeCell ref="B21:G21"/>
    <mergeCell ref="B15:G1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c r="B1" s="6" t="n"/>
      <c r="C1" s="6" t="n"/>
      <c r="D1" s="6" t="n"/>
      <c r="E1" s="6" t="n"/>
    </row>
    <row r="2">
      <c r="A2" s="58" t="inlineStr">
        <is>
          <t>ISO/IEC 27001:2022 - Control A.8.23: Web Filtering</t>
        </is>
      </c>
      <c r="B2" s="6" t="n"/>
      <c r="C2" s="6" t="n"/>
      <c r="D2" s="6" t="n"/>
      <c r="E2" s="6" t="n"/>
    </row>
    <row r="3">
      <c r="A3" s="59" t="inlineStr">
        <is>
          <t>ASSESSMENT SUMMARY</t>
        </is>
      </c>
      <c r="B3" s="6" t="n"/>
      <c r="C3" s="6" t="n"/>
      <c r="D3" s="6" t="n"/>
      <c r="E3" s="6" t="n"/>
    </row>
    <row r="4">
      <c r="A4" s="60" t="inlineStr">
        <is>
          <t>Document:</t>
        </is>
      </c>
      <c r="B4" s="6" t="inlineStr">
        <is>
          <t>ISMS-IMP-A.8.23.2 - Network Coverage Assessment</t>
        </is>
      </c>
      <c r="C4" s="6" t="n"/>
      <c r="D4" s="6" t="n"/>
      <c r="E4" s="6" t="n"/>
    </row>
    <row r="5">
      <c r="A5" s="60" t="inlineStr">
        <is>
          <t>Assessment Period:</t>
        </is>
      </c>
      <c r="B5" s="15" t="inlineStr"/>
      <c r="C5" s="15" t="n"/>
      <c r="D5" s="15" t="n"/>
      <c r="E5" s="15" t="n"/>
    </row>
    <row r="6">
      <c r="A6" s="60" t="inlineStr">
        <is>
          <t>Overall Compliance Rating:</t>
        </is>
      </c>
      <c r="B6" s="15">
        <f>'Summary Dashboard'!G9</f>
        <v/>
      </c>
      <c r="C6" s="15" t="n"/>
      <c r="D6" s="15" t="n"/>
      <c r="E6" s="15" t="n"/>
    </row>
    <row r="7">
      <c r="A7" s="60" t="inlineStr">
        <is>
          <t>Assessment Status:</t>
        </is>
      </c>
      <c r="B7" s="15" t="inlineStr"/>
      <c r="C7" s="15" t="n"/>
      <c r="D7" s="15" t="n"/>
      <c r="E7" s="15" t="n"/>
    </row>
    <row r="8">
      <c r="A8" s="60" t="inlineStr">
        <is>
          <t>Assessed By:</t>
        </is>
      </c>
      <c r="B8" s="15" t="inlineStr"/>
      <c r="C8" s="15" t="n"/>
      <c r="D8" s="15" t="n"/>
      <c r="E8" s="15" t="n"/>
    </row>
    <row r="11">
      <c r="A11" s="59" t="inlineStr">
        <is>
          <t>COMPLETED BY (ASSESSOR)</t>
        </is>
      </c>
      <c r="B11" s="6" t="n"/>
      <c r="C11" s="6" t="n"/>
      <c r="D11" s="6" t="n"/>
      <c r="E11" s="6" t="n"/>
    </row>
    <row r="12">
      <c r="A12" s="60" t="inlineStr">
        <is>
          <t>Name:</t>
        </is>
      </c>
      <c r="B12" s="15" t="n"/>
      <c r="C12" s="15" t="n"/>
      <c r="D12" s="15" t="n"/>
      <c r="E12" s="15" t="n"/>
    </row>
    <row r="13">
      <c r="A13" s="60" t="inlineStr">
        <is>
          <t>Title:</t>
        </is>
      </c>
      <c r="B13" s="15" t="n"/>
      <c r="C13" s="15" t="n"/>
      <c r="D13" s="15" t="n"/>
      <c r="E13" s="15" t="n"/>
    </row>
    <row r="14">
      <c r="A14" s="60" t="inlineStr">
        <is>
          <t>Date:</t>
        </is>
      </c>
      <c r="B14" s="15" t="n"/>
      <c r="C14" s="15" t="n"/>
      <c r="D14" s="15" t="n"/>
      <c r="E14" s="15" t="n"/>
    </row>
    <row r="15">
      <c r="A15" s="60" t="inlineStr">
        <is>
          <t>Signature:</t>
        </is>
      </c>
      <c r="B15" s="15" t="n"/>
      <c r="C15" s="15" t="n"/>
      <c r="D15" s="15" t="n"/>
      <c r="E15" s="15" t="n"/>
    </row>
    <row r="16">
      <c r="A16" s="60" t="inlineStr">
        <is>
          <t>Comments:</t>
        </is>
      </c>
      <c r="B16" s="15" t="n"/>
      <c r="C16" s="15" t="n"/>
      <c r="D16" s="15" t="n"/>
      <c r="E16" s="15" t="n"/>
    </row>
    <row r="18">
      <c r="A18" s="59" t="inlineStr">
        <is>
          <t>REVIEWED BY (INFORMATION SECURITY OFFICER)</t>
        </is>
      </c>
      <c r="B18" s="6" t="n"/>
      <c r="C18" s="6" t="n"/>
      <c r="D18" s="6" t="n"/>
      <c r="E18" s="6" t="n"/>
    </row>
    <row r="19">
      <c r="A19" s="60" t="inlineStr">
        <is>
          <t>Name:</t>
        </is>
      </c>
      <c r="B19" s="15" t="n"/>
      <c r="C19" s="15" t="n"/>
      <c r="D19" s="15" t="n"/>
      <c r="E19" s="15" t="n"/>
    </row>
    <row r="20">
      <c r="A20" s="60" t="inlineStr">
        <is>
          <t>Title:</t>
        </is>
      </c>
      <c r="B20" s="15" t="n"/>
      <c r="C20" s="15" t="n"/>
      <c r="D20" s="15" t="n"/>
      <c r="E20" s="15" t="n"/>
    </row>
    <row r="21">
      <c r="A21" s="60" t="inlineStr">
        <is>
          <t>Date:</t>
        </is>
      </c>
      <c r="B21" s="15" t="n"/>
      <c r="C21" s="15" t="n"/>
      <c r="D21" s="15" t="n"/>
      <c r="E21" s="15" t="n"/>
    </row>
    <row r="22">
      <c r="A22" s="60" t="inlineStr">
        <is>
          <t>Signature:</t>
        </is>
      </c>
      <c r="B22" s="15" t="n"/>
      <c r="C22" s="15" t="n"/>
      <c r="D22" s="15" t="n"/>
      <c r="E22" s="15" t="n"/>
    </row>
    <row r="23">
      <c r="A23" s="60" t="inlineStr">
        <is>
          <t>Comments:</t>
        </is>
      </c>
      <c r="B23" s="15" t="n"/>
      <c r="C23" s="15" t="n"/>
      <c r="D23" s="15" t="n"/>
      <c r="E23" s="15" t="n"/>
    </row>
    <row r="25">
      <c r="A25" s="61" t="inlineStr">
        <is>
          <t>APPROVED BY (CISO)</t>
        </is>
      </c>
      <c r="B25" s="6" t="n"/>
      <c r="C25" s="6" t="n"/>
      <c r="D25" s="6" t="n"/>
      <c r="E25" s="6" t="n"/>
    </row>
    <row r="26">
      <c r="A26" s="60" t="inlineStr">
        <is>
          <t>Name:</t>
        </is>
      </c>
      <c r="B26" s="15" t="n"/>
      <c r="C26" s="15" t="n"/>
      <c r="D26" s="15" t="n"/>
      <c r="E26" s="15" t="n"/>
    </row>
    <row r="27">
      <c r="A27" s="60" t="inlineStr">
        <is>
          <t>Title:</t>
        </is>
      </c>
      <c r="B27" s="15" t="n"/>
      <c r="C27" s="15" t="n"/>
      <c r="D27" s="15" t="n"/>
      <c r="E27" s="15" t="n"/>
    </row>
    <row r="28">
      <c r="A28" s="60" t="inlineStr">
        <is>
          <t>Date:</t>
        </is>
      </c>
      <c r="B28" s="15" t="n"/>
      <c r="C28" s="15" t="n"/>
      <c r="D28" s="15" t="n"/>
      <c r="E28" s="15" t="n"/>
    </row>
    <row r="29">
      <c r="A29" s="60" t="inlineStr">
        <is>
          <t>Signature:</t>
        </is>
      </c>
      <c r="B29" s="15" t="n"/>
      <c r="C29" s="15" t="n"/>
      <c r="D29" s="15" t="n"/>
      <c r="E29" s="15" t="n"/>
    </row>
    <row r="30">
      <c r="A30" s="60" t="inlineStr">
        <is>
          <t>Comments:</t>
        </is>
      </c>
      <c r="B30" s="15" t="n"/>
      <c r="C30" s="15" t="n"/>
      <c r="D30" s="15" t="n"/>
      <c r="E30" s="15" t="n"/>
    </row>
    <row r="32">
      <c r="A32" s="62" t="inlineStr">
        <is>
          <t>FINAL DECISION:</t>
        </is>
      </c>
      <c r="B32" s="15" t="n"/>
      <c r="C32" s="15" t="n"/>
      <c r="D32" s="15" t="n"/>
      <c r="E32" s="15" t="n"/>
    </row>
    <row r="35">
      <c r="A35" s="59" t="inlineStr">
        <is>
          <t>NEXT REVIEW DETAILS</t>
        </is>
      </c>
      <c r="B35" s="6" t="n"/>
      <c r="C35" s="6" t="n"/>
      <c r="D35" s="6" t="n"/>
      <c r="E35" s="6" t="n"/>
    </row>
    <row r="36">
      <c r="A36" s="60" t="inlineStr">
        <is>
          <t>Next Review Date:</t>
        </is>
      </c>
      <c r="B36" s="15" t="n"/>
      <c r="C36" s="15" t="n"/>
      <c r="D36" s="15" t="n"/>
      <c r="E36" s="15" t="n"/>
    </row>
    <row r="37">
      <c r="A37" s="60" t="inlineStr">
        <is>
          <t>Review Responsible:</t>
        </is>
      </c>
      <c r="B37" s="15" t="n"/>
      <c r="C37" s="15" t="n"/>
      <c r="D37" s="15" t="n"/>
      <c r="E37" s="15" t="n"/>
    </row>
    <row r="38">
      <c r="A38" s="60"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ISMS-IMP-A.8.23.2 — Network Coverage Assessment</dc:title>
  <dc:description xmlns:dc="http://purl.org/dc/elements/1.1/">ISMS Implementation Workbook — ISMS-IMP-A.8.23.2</dc:description>
  <dc:subject xmlns:dc="http://purl.org/dc/elements/1.1/">ISO/IEC 27001:2022 — Control A.8.23: Web Filtering</dc:subject>
  <dcterms:created xmlns:dcterms="http://purl.org/dc/terms/" xmlns:xsi="http://www.w3.org/2001/XMLSchema-instance" xsi:type="dcterms:W3CDTF">2026-03-07T11:28:20Z</dcterms:created>
  <dcterms:modified xmlns:dcterms="http://purl.org/dc/terms/" xmlns:xsi="http://www.w3.org/2001/XMLSchema-instance" xsi:type="dcterms:W3CDTF">2026-03-07T11:28:20Z</dcterms:modified>
</cp:coreProperties>
</file>