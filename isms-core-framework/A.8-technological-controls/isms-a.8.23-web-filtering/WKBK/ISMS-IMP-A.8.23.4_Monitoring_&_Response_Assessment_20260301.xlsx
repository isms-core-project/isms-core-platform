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Log Collection" sheetId="2" state="visible" r:id="rId2"/>
    <sheet xmlns:r="http://schemas.openxmlformats.org/officeDocument/2006/relationships" name="Alert Configuration" sheetId="3" state="visible" r:id="rId3"/>
    <sheet xmlns:r="http://schemas.openxmlformats.org/officeDocument/2006/relationships" name="Monitoring Dashboard" sheetId="4" state="visible" r:id="rId4"/>
    <sheet xmlns:r="http://schemas.openxmlformats.org/officeDocument/2006/relationships" name="Incident Response" sheetId="5" state="visible" r:id="rId5"/>
    <sheet xmlns:r="http://schemas.openxmlformats.org/officeDocument/2006/relationships" name="Blocked Events Analysis" sheetId="6" state="visible" r:id="rId6"/>
    <sheet xmlns:r="http://schemas.openxmlformats.org/officeDocument/2006/relationships" name="False Positive Mgmt" sheetId="7" state="visible" r:id="rId7"/>
    <sheet xmlns:r="http://schemas.openxmlformats.org/officeDocument/2006/relationships" name="Reporting Schedule"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22">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i val="1"/>
      <sz val="10"/>
    </font>
    <font>
      <b val="1"/>
      <color rgb="00000000"/>
      <sz val="11"/>
    </font>
    <font>
      <b val="1"/>
      <color rgb="00FFFFFF"/>
      <sz val="11"/>
    </font>
    <font>
      <b val="1"/>
    </font>
    <font>
      <b val="1"/>
      <sz val="10"/>
    </font>
    <font>
      <name val="Calibri"/>
      <i val="1"/>
    </font>
    <font>
      <name val="Calibri"/>
      <b val="1"/>
      <color rgb="00FFFFFF"/>
    </font>
    <font>
      <name val="Calibri"/>
      <sz val="10"/>
    </font>
    <font>
      <name val="Calibri"/>
      <i val="1"/>
      <color rgb="00003366"/>
      <sz val="10"/>
    </font>
    <font>
      <b val="1"/>
      <color rgb="00000000"/>
    </font>
    <font>
      <color rgb="00000000"/>
    </font>
    <font>
      <b val="1"/>
      <color rgb="00000000"/>
      <sz val="10"/>
    </font>
    <font>
      <name val="Calibri"/>
    </font>
    <font>
      <b val="1"/>
      <color rgb="00FFFFFF"/>
      <sz val="10"/>
    </font>
    <font>
      <name val="Calibri"/>
      <b val="1"/>
      <color rgb="00FFFFFF"/>
      <sz val="11"/>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F2F2F2"/>
        <bgColor rgb="00F2F2F2"/>
      </patternFill>
    </fill>
    <fill>
      <patternFill patternType="solid">
        <fgColor rgb="00D9D9D9"/>
        <bgColor rgb="00D9D9D9"/>
      </patternFill>
    </fill>
    <fill>
      <patternFill patternType="solid">
        <fgColor rgb="00C00000"/>
        <bgColor rgb="00C00000"/>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center"/>
    </xf>
    <xf numFmtId="0" fontId="7" fillId="9" borderId="0" pivotButton="0" quotePrefix="0" xfId="0"/>
    <xf numFmtId="0" fontId="8" fillId="9" borderId="2" applyAlignment="1" pivotButton="0" quotePrefix="0" xfId="0">
      <alignment horizontal="center" vertical="center" wrapText="1"/>
    </xf>
    <xf numFmtId="0" fontId="9" fillId="0" borderId="0" pivotButton="0" quotePrefix="0" xfId="0"/>
    <xf numFmtId="0" fontId="0" fillId="10" borderId="2" applyAlignment="1" pivotButton="0" quotePrefix="0" xfId="0">
      <alignment horizontal="left" vertical="center" wrapText="1"/>
    </xf>
    <xf numFmtId="0" fontId="0" fillId="11" borderId="2" pivotButton="0" quotePrefix="0" xfId="0"/>
    <xf numFmtId="0" fontId="10" fillId="0" borderId="0" pivotButton="0" quotePrefix="0" xfId="0"/>
    <xf numFmtId="0" fontId="0" fillId="0" borderId="2" pivotButton="0" quotePrefix="0" xfId="0"/>
    <xf numFmtId="164" fontId="0" fillId="0" borderId="2" pivotButton="0" quotePrefix="0" xfId="0"/>
    <xf numFmtId="0" fontId="8" fillId="9" borderId="2" pivotButton="0" quotePrefix="0" xfId="0"/>
    <xf numFmtId="0" fontId="0" fillId="0" borderId="2" applyAlignment="1" pivotButton="0" quotePrefix="0" xfId="0">
      <alignment horizontal="left" vertical="center" wrapText="1"/>
    </xf>
    <xf numFmtId="0" fontId="0" fillId="10" borderId="2" pivotButton="0" quotePrefix="0" xfId="0"/>
    <xf numFmtId="0" fontId="9" fillId="0" borderId="0" applyAlignment="1" pivotButton="0" quotePrefix="0" xfId="0">
      <alignment horizontal="center"/>
    </xf>
    <xf numFmtId="0" fontId="10" fillId="0" borderId="2" pivotButton="0" quotePrefix="0" xfId="0"/>
    <xf numFmtId="0" fontId="9" fillId="0" borderId="2" pivotButton="0" quotePrefix="0" xfId="0"/>
    <xf numFmtId="9" fontId="0" fillId="0" borderId="2" pivotButton="0" quotePrefix="0" xfId="0"/>
    <xf numFmtId="0" fontId="9" fillId="11" borderId="2" pivotButton="0" quotePrefix="0" xfId="0"/>
    <xf numFmtId="0" fontId="0" fillId="11" borderId="2" applyAlignment="1" pivotButton="0" quotePrefix="0" xfId="0">
      <alignment horizontal="left" vertical="center" wrapText="1"/>
    </xf>
    <xf numFmtId="0" fontId="1" fillId="8" borderId="0" applyAlignment="1" pivotButton="0" quotePrefix="0" xfId="0">
      <alignment horizontal="center" vertical="center" wrapText="1"/>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13" fillId="11" borderId="1" applyAlignment="1" pivotButton="0" quotePrefix="0" xfId="0">
      <alignment horizontal="center" vertical="center" wrapText="1"/>
    </xf>
    <xf numFmtId="0" fontId="13"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 fillId="8" borderId="1" applyAlignment="1" pivotButton="0" quotePrefix="0" xfId="0">
      <alignment horizontal="center" vertical="center" wrapText="1"/>
    </xf>
    <xf numFmtId="0" fontId="14" fillId="0" borderId="0" applyAlignment="1" pivotButton="0" quotePrefix="0" xfId="0">
      <alignment horizontal="left" vertical="center"/>
    </xf>
    <xf numFmtId="0" fontId="8" fillId="8" borderId="1" applyAlignment="1" pivotButton="0" quotePrefix="0" xfId="0">
      <alignment horizontal="left" vertical="center"/>
    </xf>
    <xf numFmtId="0" fontId="15" fillId="12" borderId="1" applyAlignment="1" pivotButton="0" quotePrefix="0" xfId="0">
      <alignment horizontal="center" vertical="center" wrapText="1"/>
    </xf>
    <xf numFmtId="0" fontId="16" fillId="0" borderId="1" applyAlignment="1" pivotButton="0" quotePrefix="0" xfId="0">
      <alignment horizontal="center" vertical="center"/>
    </xf>
    <xf numFmtId="164" fontId="9" fillId="0" borderId="1" applyAlignment="1" pivotButton="0" quotePrefix="0" xfId="0">
      <alignment horizontal="center" vertical="center"/>
    </xf>
    <xf numFmtId="0" fontId="9" fillId="4" borderId="1" pivotButton="0" quotePrefix="0" xfId="0"/>
    <xf numFmtId="0" fontId="9" fillId="4" borderId="1" applyAlignment="1" pivotButton="0" quotePrefix="0" xfId="0">
      <alignment horizontal="center" vertical="center"/>
    </xf>
    <xf numFmtId="164" fontId="9" fillId="4" borderId="1" applyAlignment="1" pivotButton="0" quotePrefix="0" xfId="0">
      <alignment horizontal="center" vertical="center"/>
    </xf>
    <xf numFmtId="0" fontId="17" fillId="12" borderId="1" applyAlignment="1" pivotButton="0" quotePrefix="0" xfId="0">
      <alignment horizontal="center" vertical="center" wrapText="1"/>
    </xf>
    <xf numFmtId="0" fontId="0" fillId="12" borderId="1" pivotButton="0" quotePrefix="0" xfId="0"/>
    <xf numFmtId="0" fontId="18" fillId="0" borderId="1" pivotButton="0" quotePrefix="0" xfId="0"/>
    <xf numFmtId="1" fontId="0" fillId="0" borderId="1" applyAlignment="1" pivotButton="0" quotePrefix="0" xfId="0">
      <alignment horizontal="center" vertical="center"/>
    </xf>
    <xf numFmtId="0" fontId="8" fillId="13" borderId="1" applyAlignment="1" pivotButton="0" quotePrefix="0" xfId="0">
      <alignment horizontal="left" vertical="center"/>
    </xf>
    <xf numFmtId="0" fontId="19" fillId="8" borderId="1" applyAlignment="1" pivotButton="0" quotePrefix="0" xfId="0">
      <alignment horizontal="center" vertical="center" wrapText="1"/>
    </xf>
    <xf numFmtId="0" fontId="0" fillId="10" borderId="1" pivotButton="0" quotePrefix="0" xfId="0"/>
    <xf numFmtId="0" fontId="14" fillId="0" borderId="1" applyAlignment="1" pivotButton="0" quotePrefix="0" xfId="0">
      <alignment horizontal="left" vertical="center"/>
    </xf>
    <xf numFmtId="0" fontId="20" fillId="9" borderId="1" applyAlignment="1" pivotButton="0" quotePrefix="0" xfId="0">
      <alignment horizontal="left" vertical="center"/>
    </xf>
    <xf numFmtId="0" fontId="4" fillId="0" borderId="1" pivotButton="0" quotePrefix="0" xfId="0"/>
    <xf numFmtId="0" fontId="20" fillId="8" borderId="1" applyAlignment="1" pivotButton="0" quotePrefix="0" xfId="0">
      <alignment horizontal="left" vertical="center"/>
    </xf>
    <xf numFmtId="0" fontId="2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ISMS-IMP-A.8.23.4  -  Monitoring &amp; Response Assessment
ISO/IEC 27001:2022 - Control A.8.23: Web Filtering</t>
        </is>
      </c>
    </row>
    <row r="3">
      <c r="A3" s="2" t="inlineStr">
        <is>
          <t>Document Information</t>
        </is>
      </c>
    </row>
    <row r="4">
      <c r="A4" s="3" t="inlineStr">
        <is>
          <t>Document ID</t>
        </is>
      </c>
      <c r="B4" t="inlineStr">
        <is>
          <t>ISMS-IMP-A.8.23.4</t>
        </is>
      </c>
    </row>
    <row r="5">
      <c r="A5" s="3" t="inlineStr">
        <is>
          <t>Workbook Title</t>
        </is>
      </c>
      <c r="B5" t="inlineStr">
        <is>
          <t>Monitoring &amp; Response Assessment</t>
        </is>
      </c>
    </row>
    <row r="6">
      <c r="A6" s="3" t="inlineStr">
        <is>
          <t>Control Reference</t>
        </is>
      </c>
      <c r="B6" t="inlineStr">
        <is>
          <t>ISO/IEC 27001:2022 - Control A.8.23: Web Filtering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Navigate through each worksheet tab to assess monitoring and response capabilities.</t>
        </is>
      </c>
    </row>
    <row r="14">
      <c r="A14" t="inlineStr">
        <is>
          <t>2. Use dropdown menus for standardised entries (Status, Severity, Priority).</t>
        </is>
      </c>
    </row>
    <row r="15">
      <c r="A15" t="inlineStr">
        <is>
          <t>3. Fill in yellow-highlighted cells with your organisation-specific information.</t>
        </is>
      </c>
    </row>
    <row r="16">
      <c r="A16" t="inlineStr">
        <is>
          <t>4. Document all log sources, alert rules, dashboards, and incident procedures.</t>
        </is>
      </c>
    </row>
    <row r="17">
      <c r="A17" t="inlineStr">
        <is>
          <t>5. Track false positives and analyse blocked event trends.</t>
        </is>
      </c>
    </row>
    <row r="18">
      <c r="A18" t="inlineStr">
        <is>
          <t>6. Identify gaps in the Gap Analysis sheet with remediation plans.</t>
        </is>
      </c>
    </row>
    <row r="19">
      <c r="A19" t="inlineStr">
        <is>
          <t>7. Link evidence in the Evidence Register for audit traceability.</t>
        </is>
      </c>
    </row>
    <row r="20">
      <c r="A20" t="inlineStr">
        <is>
          <t>8. Obtain required approvals in the Approval Sign-Off sheet.</t>
        </is>
      </c>
    </row>
    <row r="21">
      <c r="A21" t="inlineStr">
        <is>
          <t>9. Review quarterly or after significant changes to monitoring infrastructure.</t>
        </is>
      </c>
    </row>
    <row r="22">
      <c r="A22" t="inlineStr">
        <is>
          <t>10. Review the Summary Dashboard metrics and finalise reporting.</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9"/>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22" customWidth="1" min="3" max="3"/>
    <col width="25" customWidth="1" min="4" max="4"/>
    <col width="20" customWidth="1" min="5" max="5"/>
    <col width="22" customWidth="1" min="6" max="6"/>
    <col width="14" customWidth="1" min="7" max="7"/>
    <col width="16" customWidth="1" min="8" max="8"/>
    <col width="18" customWidth="1" min="9" max="9"/>
    <col width="18" customWidth="1" min="10" max="10"/>
    <col width="14" customWidth="1" min="11" max="11"/>
    <col width="18" customWidth="1" min="12" max="12"/>
    <col width="35" customWidth="1" min="13" max="13"/>
  </cols>
  <sheetData>
    <row r="1" ht="35" customHeight="1">
      <c r="A1" s="11" t="inlineStr">
        <is>
          <t>LOG COLLECTION ASSESSMENT</t>
        </is>
      </c>
    </row>
    <row r="2">
      <c r="A2" s="12" t="inlineStr">
        <is>
          <t>Document all web filtering log sources, collection methods, storage, and retention compliance</t>
        </is>
      </c>
    </row>
    <row r="4">
      <c r="A4" s="13" t="inlineStr">
        <is>
          <t>SECTION A: LOG SOURCE INVENTORY</t>
        </is>
      </c>
    </row>
    <row r="5">
      <c r="A5" s="14" t="inlineStr">
        <is>
          <t>Log_Source_ID</t>
        </is>
      </c>
      <c r="B5" s="14" t="inlineStr">
        <is>
          <t>Log_Source_Name</t>
        </is>
      </c>
      <c r="C5" s="14" t="inlineStr">
        <is>
          <t>Log_Type</t>
        </is>
      </c>
      <c r="D5" s="14" t="inlineStr">
        <is>
          <t>Source_System</t>
        </is>
      </c>
      <c r="E5" s="14" t="inlineStr">
        <is>
          <t>Collection_Method</t>
        </is>
      </c>
      <c r="F5" s="14" t="inlineStr">
        <is>
          <t>Destination</t>
        </is>
      </c>
      <c r="G5" s="14" t="inlineStr">
        <is>
          <t>Format</t>
        </is>
      </c>
      <c r="H5" s="14" t="inlineStr">
        <is>
          <t>Retention_Days</t>
        </is>
      </c>
      <c r="I5" s="14" t="inlineStr">
        <is>
          <t>Retention_Compliant</t>
        </is>
      </c>
      <c r="J5" s="14" t="inlineStr">
        <is>
          <t>Volume_Daily</t>
        </is>
      </c>
      <c r="K5" s="14" t="inlineStr">
        <is>
          <t>Status</t>
        </is>
      </c>
      <c r="L5" s="14" t="inlineStr">
        <is>
          <t>Evidence_Ref</t>
        </is>
      </c>
      <c r="M5" s="14" t="inlineStr">
        <is>
          <t>Notes</t>
        </is>
      </c>
    </row>
    <row r="6">
      <c r="A6" s="15" t="inlineStr">
        <is>
          <t>LOG-001</t>
        </is>
      </c>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row r="55">
      <c r="B55" s="16" t="n"/>
      <c r="C55" s="16" t="n"/>
      <c r="D55" s="16" t="n"/>
      <c r="E55" s="16" t="n"/>
      <c r="F55" s="16" t="n"/>
      <c r="G55" s="16" t="n"/>
      <c r="H55" s="16" t="n"/>
      <c r="I55" s="16" t="n"/>
      <c r="J55" s="16" t="n"/>
      <c r="K55" s="16" t="n"/>
      <c r="L55" s="16" t="n"/>
      <c r="M55" s="16" t="n"/>
    </row>
    <row r="56">
      <c r="B56" s="16" t="n"/>
      <c r="C56" s="16" t="n"/>
      <c r="D56" s="16" t="n"/>
      <c r="E56" s="16" t="n"/>
      <c r="F56" s="16" t="n"/>
      <c r="G56" s="16" t="n"/>
      <c r="H56" s="16" t="n"/>
      <c r="I56" s="16" t="n"/>
      <c r="J56" s="16" t="n"/>
      <c r="K56" s="16" t="n"/>
      <c r="L56" s="16" t="n"/>
      <c r="M56" s="16" t="n"/>
    </row>
    <row r="58">
      <c r="A58" s="13" t="inlineStr">
        <is>
          <t>SECTION B: RETENTION REQUIREMENTS</t>
        </is>
      </c>
    </row>
    <row r="59">
      <c r="A59" s="14" t="inlineStr">
        <is>
          <t>Requirement_ID</t>
        </is>
      </c>
      <c r="B59" s="14" t="inlineStr">
        <is>
          <t>Requirement_Source</t>
        </is>
      </c>
      <c r="C59" s="14" t="inlineStr">
        <is>
          <t>Log_Type_Affected</t>
        </is>
      </c>
      <c r="D59" s="14" t="inlineStr">
        <is>
          <t>Min_Retention_Days</t>
        </is>
      </c>
      <c r="E59" s="14" t="inlineStr">
        <is>
          <t>Current_Retention</t>
        </is>
      </c>
      <c r="F59" s="14" t="inlineStr">
        <is>
          <t>Compliant</t>
        </is>
      </c>
      <c r="G59" s="14" t="inlineStr">
        <is>
          <t>Notes</t>
        </is>
      </c>
    </row>
    <row r="60">
      <c r="A60" s="15" t="inlineStr">
        <is>
          <t>RET-001</t>
        </is>
      </c>
      <c r="B60" s="17" t="n"/>
      <c r="C60" s="17" t="n"/>
      <c r="D60" s="17" t="n"/>
      <c r="E60" s="17" t="n"/>
      <c r="F60" s="17" t="n"/>
      <c r="G60" s="17" t="n"/>
    </row>
    <row r="61">
      <c r="B61" s="17" t="n"/>
      <c r="C61" s="17" t="n"/>
      <c r="D61" s="17" t="n"/>
      <c r="E61" s="17" t="n"/>
      <c r="F61" s="17" t="n"/>
      <c r="G61" s="17" t="n"/>
    </row>
    <row r="62">
      <c r="B62" s="17" t="n"/>
      <c r="C62" s="17" t="n"/>
      <c r="D62" s="17" t="n"/>
      <c r="E62" s="17" t="n"/>
      <c r="F62" s="17" t="n"/>
      <c r="G62" s="17" t="n"/>
    </row>
    <row r="63">
      <c r="B63" s="17" t="n"/>
      <c r="C63" s="17" t="n"/>
      <c r="D63" s="17" t="n"/>
      <c r="E63" s="17" t="n"/>
      <c r="F63" s="17" t="n"/>
      <c r="G63" s="17" t="n"/>
    </row>
    <row r="64">
      <c r="B64" s="17" t="n"/>
      <c r="C64" s="17" t="n"/>
      <c r="D64" s="17" t="n"/>
      <c r="E64" s="17" t="n"/>
      <c r="F64" s="17" t="n"/>
      <c r="G64" s="17" t="n"/>
    </row>
    <row r="65">
      <c r="B65" s="17" t="n"/>
      <c r="C65" s="17" t="n"/>
      <c r="D65" s="17" t="n"/>
      <c r="E65" s="17" t="n"/>
      <c r="F65" s="17" t="n"/>
      <c r="G65" s="17" t="n"/>
    </row>
    <row r="66">
      <c r="B66" s="17" t="n"/>
      <c r="C66" s="17" t="n"/>
      <c r="D66" s="17" t="n"/>
      <c r="E66" s="17" t="n"/>
      <c r="F66" s="17" t="n"/>
      <c r="G66" s="17" t="n"/>
    </row>
    <row r="67">
      <c r="B67" s="17" t="n"/>
      <c r="C67" s="17" t="n"/>
      <c r="D67" s="17" t="n"/>
      <c r="E67" s="17" t="n"/>
      <c r="F67" s="17" t="n"/>
      <c r="G67" s="17" t="n"/>
    </row>
    <row r="68">
      <c r="B68" s="17" t="n"/>
      <c r="C68" s="17" t="n"/>
      <c r="D68" s="17" t="n"/>
      <c r="E68" s="17" t="n"/>
      <c r="F68" s="17" t="n"/>
      <c r="G68" s="17" t="n"/>
    </row>
    <row r="69">
      <c r="B69" s="17" t="n"/>
      <c r="C69" s="17" t="n"/>
      <c r="D69" s="17" t="n"/>
      <c r="E69" s="17" t="n"/>
      <c r="F69" s="17" t="n"/>
      <c r="G69" s="17" t="n"/>
    </row>
    <row r="70">
      <c r="B70" s="17" t="n"/>
      <c r="C70" s="17" t="n"/>
      <c r="D70" s="17" t="n"/>
      <c r="E70" s="17" t="n"/>
      <c r="F70" s="17" t="n"/>
      <c r="G70" s="17" t="n"/>
    </row>
    <row r="73">
      <c r="A73" s="13" t="inlineStr">
        <is>
          <t>SECTION C: SUMMARY METRICS</t>
        </is>
      </c>
    </row>
    <row r="74">
      <c r="A74" s="18" t="inlineStr">
        <is>
          <t>Total log sources configured:</t>
        </is>
      </c>
      <c r="B74" s="19">
        <f>COUNTA(B6:B56)</f>
        <v/>
      </c>
    </row>
    <row r="75">
      <c r="A75" s="18" t="inlineStr">
        <is>
          <t>Blocked request log sources:</t>
        </is>
      </c>
      <c r="B75" s="19">
        <f>COUNTIF(C6:C56,"Blocked_Requests")</f>
        <v/>
      </c>
    </row>
    <row r="76">
      <c r="A76" s="18" t="inlineStr">
        <is>
          <t>Sources meeting retention:</t>
        </is>
      </c>
      <c r="B76" s="19">
        <f>COUNTIF(I6:I56,"Yes")</f>
        <v/>
      </c>
    </row>
    <row r="77">
      <c r="A77" s="18" t="inlineStr">
        <is>
          <t>Retention compliance rate:</t>
        </is>
      </c>
      <c r="B77" s="20">
        <f>IF(COUNTA(I6:I56)&gt;0,COUNTIF(I6:I56,"Yes")/COUNTA(I6:I56),0)</f>
        <v/>
      </c>
    </row>
    <row r="78">
      <c r="A78" s="18" t="inlineStr">
        <is>
          <t>Implemented sources:</t>
        </is>
      </c>
      <c r="B78" s="19">
        <f>COUNTIF(K6:K56,"✅ Implemented")</f>
        <v/>
      </c>
    </row>
    <row r="79">
      <c r="A79" s="18" t="inlineStr">
        <is>
          <t>Sources needing attention:</t>
        </is>
      </c>
      <c r="B79" s="19">
        <f>COUNTIF(K6:K56,"⚠️ Partial")+COUNTIF(K6:K56,"❌ Not Implemented")</f>
        <v/>
      </c>
    </row>
  </sheetData>
  <mergeCells count="5">
    <mergeCell ref="A58:G58"/>
    <mergeCell ref="A1:M1"/>
    <mergeCell ref="A4:M4"/>
    <mergeCell ref="A73:D73"/>
    <mergeCell ref="A2:M2"/>
  </mergeCells>
  <dataValidations count="8">
    <dataValidation sqref="C6:C56" showDropDown="0" showInputMessage="0" showErrorMessage="0" allowBlank="1" errorTitle="Invalid Entry" error="Please select from dropdown" promptTitle="Available Options" prompt="Select from list" type="list">
      <formula1>"Blocked_Requests,Allowed_Requests,Bypass_Attempts,Policy_Violations,Authentication,Configuration_Changes,System_Events"</formula1>
    </dataValidation>
    <dataValidation sqref="E6:E56" showDropDown="0" showInputMessage="0" showErrorMessage="0" allowBlank="1" errorTitle="Invalid Entry" error="Please select from dropdown" promptTitle="Available Options" prompt="Select from list" type="list">
      <formula1>"Syslog,API,Agent,File_Transfer,Direct_Query,SNMP,Other"</formula1>
    </dataValidation>
    <dataValidation sqref="F6:F56" showDropDown="0" showInputMessage="0" showErrorMessage="0" allowBlank="1" errorTitle="Invalid Entry" error="Please select from dropdown" promptTitle="Available Options" prompt="Select from list" type="list">
      <formula1>"SIEM,Log_Server,Cloud_SIEM,Local_Storage,Archive,Multiple"</formula1>
    </dataValidation>
    <dataValidation sqref="G6:G56" showDropDown="0" showInputMessage="0" showErrorMessage="0" allowBlank="1" errorTitle="Invalid Entry" error="Please select from dropdown" promptTitle="Available Options" prompt="Select from list" type="list">
      <formula1>"CEF,JSON,Syslog,CSV,Proprietary,XML,Other"</formula1>
    </dataValidation>
    <dataValidation sqref="I6:I56" showDropDown="0" showInputMessage="0" showErrorMessage="0" allowBlank="1" errorTitle="Invalid Entry" error="Please select from dropdown" promptTitle="Available Options" prompt="Select from list" type="list">
      <formula1>"Yes,No,Partial"</formula1>
    </dataValidation>
    <dataValidation sqref="K6:K56" showDropDown="0" showInputMessage="0" showErrorMessage="0" allowBlank="1" errorTitle="Invalid Entry" error="Please select from dropdown" promptTitle="Available Options" prompt="Select from list" type="list">
      <formula1>"✅ Implemented,⚠️ Partial,⟳ Planned,❌ Not Implemented,N/A"</formula1>
    </dataValidation>
    <dataValidation sqref="B60:B70" showDropDown="0" showInputMessage="0" showErrorMessage="0" allowBlank="1" type="list">
      <formula1>"Regulatory,Policy,Contractual,Best_Practice"</formula1>
    </dataValidation>
    <dataValidation sqref="F60:F70" showDropDown="0" showInputMessage="0" showErrorMessage="0" allowBlank="1" errorTitle="Invalid Entry" error="Please select from dropdown" promptTitle="Available Options" prompt="Select from list" type="list">
      <formula1>"Yes,No,Partial"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4"/>
  <sheetViews>
    <sheetView showGridLines="0" workbookViewId="0">
      <pane ySplit="5" topLeftCell="A6" activePane="bottomLeft" state="frozen"/>
      <selection pane="bottomLeft" activeCell="A1" sqref="A1"/>
    </sheetView>
  </sheetViews>
  <sheetFormatPr baseColWidth="8" defaultRowHeight="15"/>
  <cols>
    <col width="12" customWidth="1" min="1" max="1"/>
    <col width="32" customWidth="1" min="2" max="2"/>
    <col width="20" customWidth="1" min="3" max="3"/>
    <col width="38" customWidth="1" min="4" max="4"/>
    <col width="18" customWidth="1" min="5" max="5"/>
    <col width="14" customWidth="1" min="6" max="6"/>
    <col width="22" customWidth="1" min="7" max="7"/>
    <col width="25" customWidth="1" min="8" max="8"/>
    <col width="20" customWidth="1" min="9" max="9"/>
    <col width="25" customWidth="1" min="10" max="10"/>
    <col width="15" customWidth="1" min="11" max="11"/>
    <col width="14" customWidth="1" min="12" max="12"/>
    <col width="14" customWidth="1" min="13" max="13"/>
    <col width="15" customWidth="1" min="14" max="14"/>
  </cols>
  <sheetData>
    <row r="1" ht="35" customHeight="1">
      <c r="A1" s="11" t="inlineStr">
        <is>
          <t>ALERT CONFIGURATION ASSESSMENT</t>
        </is>
      </c>
    </row>
    <row r="2">
      <c r="A2" s="12" t="inlineStr">
        <is>
          <t>Document alerting rules, thresholds, notification methods, and escalation paths</t>
        </is>
      </c>
    </row>
    <row r="4">
      <c r="A4" s="13" t="inlineStr">
        <is>
          <t>SECTION A: ALERT RULES INVENTORY</t>
        </is>
      </c>
    </row>
    <row r="5">
      <c r="A5" s="14" t="inlineStr">
        <is>
          <t>Alert_ID</t>
        </is>
      </c>
      <c r="B5" s="14" t="inlineStr">
        <is>
          <t>Alert_Name</t>
        </is>
      </c>
      <c r="C5" s="14" t="inlineStr">
        <is>
          <t>Alert_Category</t>
        </is>
      </c>
      <c r="D5" s="14" t="inlineStr">
        <is>
          <t>Trigger_Condition</t>
        </is>
      </c>
      <c r="E5" s="14" t="inlineStr">
        <is>
          <t>Threshold_Value</t>
        </is>
      </c>
      <c r="F5" s="14" t="inlineStr">
        <is>
          <t>Severity</t>
        </is>
      </c>
      <c r="G5" s="14" t="inlineStr">
        <is>
          <t>Notification_Method</t>
        </is>
      </c>
      <c r="H5" s="14" t="inlineStr">
        <is>
          <t>Recipients</t>
        </is>
      </c>
      <c r="I5" s="14" t="inlineStr">
        <is>
          <t>Response_SLA_Min</t>
        </is>
      </c>
      <c r="J5" s="14" t="inlineStr">
        <is>
          <t>Escalation_Path</t>
        </is>
      </c>
      <c r="K5" s="14" t="inlineStr">
        <is>
          <t>Auto_Response</t>
        </is>
      </c>
      <c r="L5" s="14" t="inlineStr">
        <is>
          <t>Status</t>
        </is>
      </c>
      <c r="M5" s="14" t="inlineStr">
        <is>
          <t>Last_Triggered</t>
        </is>
      </c>
      <c r="N5" s="14" t="inlineStr">
        <is>
          <t>Evidence_Ref</t>
        </is>
      </c>
    </row>
    <row r="6">
      <c r="A6" s="15" t="inlineStr">
        <is>
          <t>ALR-001</t>
        </is>
      </c>
      <c r="B6" s="16" t="n"/>
      <c r="C6" s="16" t="n"/>
      <c r="D6" s="16" t="n"/>
      <c r="E6" s="16" t="n"/>
      <c r="F6" s="16" t="n"/>
      <c r="G6" s="16" t="n"/>
      <c r="H6" s="16" t="n"/>
      <c r="I6" s="16" t="n"/>
      <c r="J6" s="16" t="n"/>
      <c r="K6" s="16" t="n"/>
      <c r="L6" s="16" t="n"/>
      <c r="M6" s="16" t="n"/>
      <c r="N6" s="16" t="n"/>
    </row>
    <row r="7">
      <c r="B7" s="16" t="n"/>
      <c r="C7" s="16" t="n"/>
      <c r="D7" s="16" t="n"/>
      <c r="E7" s="16" t="n"/>
      <c r="F7" s="16" t="n"/>
      <c r="G7" s="16" t="n"/>
      <c r="H7" s="16" t="n"/>
      <c r="I7" s="16" t="n"/>
      <c r="J7" s="16" t="n"/>
      <c r="K7" s="16" t="n"/>
      <c r="L7" s="16" t="n"/>
      <c r="M7" s="16" t="n"/>
      <c r="N7" s="16" t="n"/>
    </row>
    <row r="8">
      <c r="B8" s="16" t="n"/>
      <c r="C8" s="16" t="n"/>
      <c r="D8" s="16" t="n"/>
      <c r="E8" s="16" t="n"/>
      <c r="F8" s="16" t="n"/>
      <c r="G8" s="16" t="n"/>
      <c r="H8" s="16" t="n"/>
      <c r="I8" s="16" t="n"/>
      <c r="J8" s="16" t="n"/>
      <c r="K8" s="16" t="n"/>
      <c r="L8" s="16" t="n"/>
      <c r="M8" s="16" t="n"/>
      <c r="N8" s="16" t="n"/>
    </row>
    <row r="9">
      <c r="B9" s="16" t="n"/>
      <c r="C9" s="16" t="n"/>
      <c r="D9" s="16" t="n"/>
      <c r="E9" s="16" t="n"/>
      <c r="F9" s="16" t="n"/>
      <c r="G9" s="16" t="n"/>
      <c r="H9" s="16" t="n"/>
      <c r="I9" s="16" t="n"/>
      <c r="J9" s="16" t="n"/>
      <c r="K9" s="16" t="n"/>
      <c r="L9" s="16" t="n"/>
      <c r="M9" s="16" t="n"/>
      <c r="N9" s="16" t="n"/>
    </row>
    <row r="10">
      <c r="B10" s="16" t="n"/>
      <c r="C10" s="16" t="n"/>
      <c r="D10" s="16" t="n"/>
      <c r="E10" s="16" t="n"/>
      <c r="F10" s="16" t="n"/>
      <c r="G10" s="16" t="n"/>
      <c r="H10" s="16" t="n"/>
      <c r="I10" s="16" t="n"/>
      <c r="J10" s="16" t="n"/>
      <c r="K10" s="16" t="n"/>
      <c r="L10" s="16" t="n"/>
      <c r="M10" s="16" t="n"/>
      <c r="N10" s="16" t="n"/>
    </row>
    <row r="11">
      <c r="B11" s="16" t="n"/>
      <c r="C11" s="16" t="n"/>
      <c r="D11" s="16" t="n"/>
      <c r="E11" s="16" t="n"/>
      <c r="F11" s="16" t="n"/>
      <c r="G11" s="16" t="n"/>
      <c r="H11" s="16" t="n"/>
      <c r="I11" s="16" t="n"/>
      <c r="J11" s="16" t="n"/>
      <c r="K11" s="16" t="n"/>
      <c r="L11" s="16" t="n"/>
      <c r="M11" s="16" t="n"/>
      <c r="N11" s="16" t="n"/>
    </row>
    <row r="12">
      <c r="B12" s="16" t="n"/>
      <c r="C12" s="16" t="n"/>
      <c r="D12" s="16" t="n"/>
      <c r="E12" s="16" t="n"/>
      <c r="F12" s="16" t="n"/>
      <c r="G12" s="16" t="n"/>
      <c r="H12" s="16" t="n"/>
      <c r="I12" s="16" t="n"/>
      <c r="J12" s="16" t="n"/>
      <c r="K12" s="16" t="n"/>
      <c r="L12" s="16" t="n"/>
      <c r="M12" s="16" t="n"/>
      <c r="N12" s="16" t="n"/>
    </row>
    <row r="13">
      <c r="B13" s="16" t="n"/>
      <c r="C13" s="16" t="n"/>
      <c r="D13" s="16" t="n"/>
      <c r="E13" s="16" t="n"/>
      <c r="F13" s="16" t="n"/>
      <c r="G13" s="16" t="n"/>
      <c r="H13" s="16" t="n"/>
      <c r="I13" s="16" t="n"/>
      <c r="J13" s="16" t="n"/>
      <c r="K13" s="16" t="n"/>
      <c r="L13" s="16" t="n"/>
      <c r="M13" s="16" t="n"/>
      <c r="N13" s="16" t="n"/>
    </row>
    <row r="14">
      <c r="B14" s="16" t="n"/>
      <c r="C14" s="16" t="n"/>
      <c r="D14" s="16" t="n"/>
      <c r="E14" s="16" t="n"/>
      <c r="F14" s="16" t="n"/>
      <c r="G14" s="16" t="n"/>
      <c r="H14" s="16" t="n"/>
      <c r="I14" s="16" t="n"/>
      <c r="J14" s="16" t="n"/>
      <c r="K14" s="16" t="n"/>
      <c r="L14" s="16" t="n"/>
      <c r="M14" s="16" t="n"/>
      <c r="N14" s="16" t="n"/>
    </row>
    <row r="15">
      <c r="B15" s="16" t="n"/>
      <c r="C15" s="16" t="n"/>
      <c r="D15" s="16" t="n"/>
      <c r="E15" s="16" t="n"/>
      <c r="F15" s="16" t="n"/>
      <c r="G15" s="16" t="n"/>
      <c r="H15" s="16" t="n"/>
      <c r="I15" s="16" t="n"/>
      <c r="J15" s="16" t="n"/>
      <c r="K15" s="16" t="n"/>
      <c r="L15" s="16" t="n"/>
      <c r="M15" s="16" t="n"/>
      <c r="N15" s="16" t="n"/>
    </row>
    <row r="16">
      <c r="B16" s="16" t="n"/>
      <c r="C16" s="16" t="n"/>
      <c r="D16" s="16" t="n"/>
      <c r="E16" s="16" t="n"/>
      <c r="F16" s="16" t="n"/>
      <c r="G16" s="16" t="n"/>
      <c r="H16" s="16" t="n"/>
      <c r="I16" s="16" t="n"/>
      <c r="J16" s="16" t="n"/>
      <c r="K16" s="16" t="n"/>
      <c r="L16" s="16" t="n"/>
      <c r="M16" s="16" t="n"/>
      <c r="N16" s="16" t="n"/>
    </row>
    <row r="17">
      <c r="B17" s="16" t="n"/>
      <c r="C17" s="16" t="n"/>
      <c r="D17" s="16" t="n"/>
      <c r="E17" s="16" t="n"/>
      <c r="F17" s="16" t="n"/>
      <c r="G17" s="16" t="n"/>
      <c r="H17" s="16" t="n"/>
      <c r="I17" s="16" t="n"/>
      <c r="J17" s="16" t="n"/>
      <c r="K17" s="16" t="n"/>
      <c r="L17" s="16" t="n"/>
      <c r="M17" s="16" t="n"/>
      <c r="N17" s="16" t="n"/>
    </row>
    <row r="18">
      <c r="B18" s="16" t="n"/>
      <c r="C18" s="16" t="n"/>
      <c r="D18" s="16" t="n"/>
      <c r="E18" s="16" t="n"/>
      <c r="F18" s="16" t="n"/>
      <c r="G18" s="16" t="n"/>
      <c r="H18" s="16" t="n"/>
      <c r="I18" s="16" t="n"/>
      <c r="J18" s="16" t="n"/>
      <c r="K18" s="16" t="n"/>
      <c r="L18" s="16" t="n"/>
      <c r="M18" s="16" t="n"/>
      <c r="N18" s="16" t="n"/>
    </row>
    <row r="19">
      <c r="B19" s="16" t="n"/>
      <c r="C19" s="16" t="n"/>
      <c r="D19" s="16" t="n"/>
      <c r="E19" s="16" t="n"/>
      <c r="F19" s="16" t="n"/>
      <c r="G19" s="16" t="n"/>
      <c r="H19" s="16" t="n"/>
      <c r="I19" s="16" t="n"/>
      <c r="J19" s="16" t="n"/>
      <c r="K19" s="16" t="n"/>
      <c r="L19" s="16" t="n"/>
      <c r="M19" s="16" t="n"/>
      <c r="N19" s="16" t="n"/>
    </row>
    <row r="20">
      <c r="B20" s="16" t="n"/>
      <c r="C20" s="16" t="n"/>
      <c r="D20" s="16" t="n"/>
      <c r="E20" s="16" t="n"/>
      <c r="F20" s="16" t="n"/>
      <c r="G20" s="16" t="n"/>
      <c r="H20" s="16" t="n"/>
      <c r="I20" s="16" t="n"/>
      <c r="J20" s="16" t="n"/>
      <c r="K20" s="16" t="n"/>
      <c r="L20" s="16" t="n"/>
      <c r="M20" s="16" t="n"/>
      <c r="N20" s="16" t="n"/>
    </row>
    <row r="21">
      <c r="B21" s="16" t="n"/>
      <c r="C21" s="16" t="n"/>
      <c r="D21" s="16" t="n"/>
      <c r="E21" s="16" t="n"/>
      <c r="F21" s="16" t="n"/>
      <c r="G21" s="16" t="n"/>
      <c r="H21" s="16" t="n"/>
      <c r="I21" s="16" t="n"/>
      <c r="J21" s="16" t="n"/>
      <c r="K21" s="16" t="n"/>
      <c r="L21" s="16" t="n"/>
      <c r="M21" s="16" t="n"/>
      <c r="N21" s="16" t="n"/>
    </row>
    <row r="22">
      <c r="B22" s="16" t="n"/>
      <c r="C22" s="16" t="n"/>
      <c r="D22" s="16" t="n"/>
      <c r="E22" s="16" t="n"/>
      <c r="F22" s="16" t="n"/>
      <c r="G22" s="16" t="n"/>
      <c r="H22" s="16" t="n"/>
      <c r="I22" s="16" t="n"/>
      <c r="J22" s="16" t="n"/>
      <c r="K22" s="16" t="n"/>
      <c r="L22" s="16" t="n"/>
      <c r="M22" s="16" t="n"/>
      <c r="N22" s="16" t="n"/>
    </row>
    <row r="23">
      <c r="B23" s="16" t="n"/>
      <c r="C23" s="16" t="n"/>
      <c r="D23" s="16" t="n"/>
      <c r="E23" s="16" t="n"/>
      <c r="F23" s="16" t="n"/>
      <c r="G23" s="16" t="n"/>
      <c r="H23" s="16" t="n"/>
      <c r="I23" s="16" t="n"/>
      <c r="J23" s="16" t="n"/>
      <c r="K23" s="16" t="n"/>
      <c r="L23" s="16" t="n"/>
      <c r="M23" s="16" t="n"/>
      <c r="N23" s="16" t="n"/>
    </row>
    <row r="24">
      <c r="B24" s="16" t="n"/>
      <c r="C24" s="16" t="n"/>
      <c r="D24" s="16" t="n"/>
      <c r="E24" s="16" t="n"/>
      <c r="F24" s="16" t="n"/>
      <c r="G24" s="16" t="n"/>
      <c r="H24" s="16" t="n"/>
      <c r="I24" s="16" t="n"/>
      <c r="J24" s="16" t="n"/>
      <c r="K24" s="16" t="n"/>
      <c r="L24" s="16" t="n"/>
      <c r="M24" s="16" t="n"/>
      <c r="N24" s="16" t="n"/>
    </row>
    <row r="25">
      <c r="B25" s="16" t="n"/>
      <c r="C25" s="16" t="n"/>
      <c r="D25" s="16" t="n"/>
      <c r="E25" s="16" t="n"/>
      <c r="F25" s="16" t="n"/>
      <c r="G25" s="16" t="n"/>
      <c r="H25" s="16" t="n"/>
      <c r="I25" s="16" t="n"/>
      <c r="J25" s="16" t="n"/>
      <c r="K25" s="16" t="n"/>
      <c r="L25" s="16" t="n"/>
      <c r="M25" s="16" t="n"/>
      <c r="N25" s="16" t="n"/>
    </row>
    <row r="26">
      <c r="B26" s="16" t="n"/>
      <c r="C26" s="16" t="n"/>
      <c r="D26" s="16" t="n"/>
      <c r="E26" s="16" t="n"/>
      <c r="F26" s="16" t="n"/>
      <c r="G26" s="16" t="n"/>
      <c r="H26" s="16" t="n"/>
      <c r="I26" s="16" t="n"/>
      <c r="J26" s="16" t="n"/>
      <c r="K26" s="16" t="n"/>
      <c r="L26" s="16" t="n"/>
      <c r="M26" s="16" t="n"/>
      <c r="N26" s="16" t="n"/>
    </row>
    <row r="27">
      <c r="B27" s="16" t="n"/>
      <c r="C27" s="16" t="n"/>
      <c r="D27" s="16" t="n"/>
      <c r="E27" s="16" t="n"/>
      <c r="F27" s="16" t="n"/>
      <c r="G27" s="16" t="n"/>
      <c r="H27" s="16" t="n"/>
      <c r="I27" s="16" t="n"/>
      <c r="J27" s="16" t="n"/>
      <c r="K27" s="16" t="n"/>
      <c r="L27" s="16" t="n"/>
      <c r="M27" s="16" t="n"/>
      <c r="N27" s="16" t="n"/>
    </row>
    <row r="28">
      <c r="B28" s="16" t="n"/>
      <c r="C28" s="16" t="n"/>
      <c r="D28" s="16" t="n"/>
      <c r="E28" s="16" t="n"/>
      <c r="F28" s="16" t="n"/>
      <c r="G28" s="16" t="n"/>
      <c r="H28" s="16" t="n"/>
      <c r="I28" s="16" t="n"/>
      <c r="J28" s="16" t="n"/>
      <c r="K28" s="16" t="n"/>
      <c r="L28" s="16" t="n"/>
      <c r="M28" s="16" t="n"/>
      <c r="N28" s="16" t="n"/>
    </row>
    <row r="29">
      <c r="B29" s="16" t="n"/>
      <c r="C29" s="16" t="n"/>
      <c r="D29" s="16" t="n"/>
      <c r="E29" s="16" t="n"/>
      <c r="F29" s="16" t="n"/>
      <c r="G29" s="16" t="n"/>
      <c r="H29" s="16" t="n"/>
      <c r="I29" s="16" t="n"/>
      <c r="J29" s="16" t="n"/>
      <c r="K29" s="16" t="n"/>
      <c r="L29" s="16" t="n"/>
      <c r="M29" s="16" t="n"/>
      <c r="N29" s="16" t="n"/>
    </row>
    <row r="30">
      <c r="B30" s="16" t="n"/>
      <c r="C30" s="16" t="n"/>
      <c r="D30" s="16" t="n"/>
      <c r="E30" s="16" t="n"/>
      <c r="F30" s="16" t="n"/>
      <c r="G30" s="16" t="n"/>
      <c r="H30" s="16" t="n"/>
      <c r="I30" s="16" t="n"/>
      <c r="J30" s="16" t="n"/>
      <c r="K30" s="16" t="n"/>
      <c r="L30" s="16" t="n"/>
      <c r="M30" s="16" t="n"/>
      <c r="N30" s="16" t="n"/>
    </row>
    <row r="31">
      <c r="B31" s="16" t="n"/>
      <c r="C31" s="16" t="n"/>
      <c r="D31" s="16" t="n"/>
      <c r="E31" s="16" t="n"/>
      <c r="F31" s="16" t="n"/>
      <c r="G31" s="16" t="n"/>
      <c r="H31" s="16" t="n"/>
      <c r="I31" s="16" t="n"/>
      <c r="J31" s="16" t="n"/>
      <c r="K31" s="16" t="n"/>
      <c r="L31" s="16" t="n"/>
      <c r="M31" s="16" t="n"/>
      <c r="N31" s="16" t="n"/>
    </row>
    <row r="32">
      <c r="B32" s="16" t="n"/>
      <c r="C32" s="16" t="n"/>
      <c r="D32" s="16" t="n"/>
      <c r="E32" s="16" t="n"/>
      <c r="F32" s="16" t="n"/>
      <c r="G32" s="16" t="n"/>
      <c r="H32" s="16" t="n"/>
      <c r="I32" s="16" t="n"/>
      <c r="J32" s="16" t="n"/>
      <c r="K32" s="16" t="n"/>
      <c r="L32" s="16" t="n"/>
      <c r="M32" s="16" t="n"/>
      <c r="N32" s="16" t="n"/>
    </row>
    <row r="33">
      <c r="B33" s="16" t="n"/>
      <c r="C33" s="16" t="n"/>
      <c r="D33" s="16" t="n"/>
      <c r="E33" s="16" t="n"/>
      <c r="F33" s="16" t="n"/>
      <c r="G33" s="16" t="n"/>
      <c r="H33" s="16" t="n"/>
      <c r="I33" s="16" t="n"/>
      <c r="J33" s="16" t="n"/>
      <c r="K33" s="16" t="n"/>
      <c r="L33" s="16" t="n"/>
      <c r="M33" s="16" t="n"/>
      <c r="N33" s="16" t="n"/>
    </row>
    <row r="34">
      <c r="B34" s="16" t="n"/>
      <c r="C34" s="16" t="n"/>
      <c r="D34" s="16" t="n"/>
      <c r="E34" s="16" t="n"/>
      <c r="F34" s="16" t="n"/>
      <c r="G34" s="16" t="n"/>
      <c r="H34" s="16" t="n"/>
      <c r="I34" s="16" t="n"/>
      <c r="J34" s="16" t="n"/>
      <c r="K34" s="16" t="n"/>
      <c r="L34" s="16" t="n"/>
      <c r="M34" s="16" t="n"/>
      <c r="N34" s="16" t="n"/>
    </row>
    <row r="35">
      <c r="B35" s="16" t="n"/>
      <c r="C35" s="16" t="n"/>
      <c r="D35" s="16" t="n"/>
      <c r="E35" s="16" t="n"/>
      <c r="F35" s="16" t="n"/>
      <c r="G35" s="16" t="n"/>
      <c r="H35" s="16" t="n"/>
      <c r="I35" s="16" t="n"/>
      <c r="J35" s="16" t="n"/>
      <c r="K35" s="16" t="n"/>
      <c r="L35" s="16" t="n"/>
      <c r="M35" s="16" t="n"/>
      <c r="N35" s="16" t="n"/>
    </row>
    <row r="36">
      <c r="B36" s="16" t="n"/>
      <c r="C36" s="16" t="n"/>
      <c r="D36" s="16" t="n"/>
      <c r="E36" s="16" t="n"/>
      <c r="F36" s="16" t="n"/>
      <c r="G36" s="16" t="n"/>
      <c r="H36" s="16" t="n"/>
      <c r="I36" s="16" t="n"/>
      <c r="J36" s="16" t="n"/>
      <c r="K36" s="16" t="n"/>
      <c r="L36" s="16" t="n"/>
      <c r="M36" s="16" t="n"/>
      <c r="N36" s="16" t="n"/>
    </row>
    <row r="37">
      <c r="B37" s="16" t="n"/>
      <c r="C37" s="16" t="n"/>
      <c r="D37" s="16" t="n"/>
      <c r="E37" s="16" t="n"/>
      <c r="F37" s="16" t="n"/>
      <c r="G37" s="16" t="n"/>
      <c r="H37" s="16" t="n"/>
      <c r="I37" s="16" t="n"/>
      <c r="J37" s="16" t="n"/>
      <c r="K37" s="16" t="n"/>
      <c r="L37" s="16" t="n"/>
      <c r="M37" s="16" t="n"/>
      <c r="N37" s="16" t="n"/>
    </row>
    <row r="38">
      <c r="B38" s="16" t="n"/>
      <c r="C38" s="16" t="n"/>
      <c r="D38" s="16" t="n"/>
      <c r="E38" s="16" t="n"/>
      <c r="F38" s="16" t="n"/>
      <c r="G38" s="16" t="n"/>
      <c r="H38" s="16" t="n"/>
      <c r="I38" s="16" t="n"/>
      <c r="J38" s="16" t="n"/>
      <c r="K38" s="16" t="n"/>
      <c r="L38" s="16" t="n"/>
      <c r="M38" s="16" t="n"/>
      <c r="N38" s="16" t="n"/>
    </row>
    <row r="39">
      <c r="B39" s="16" t="n"/>
      <c r="C39" s="16" t="n"/>
      <c r="D39" s="16" t="n"/>
      <c r="E39" s="16" t="n"/>
      <c r="F39" s="16" t="n"/>
      <c r="G39" s="16" t="n"/>
      <c r="H39" s="16" t="n"/>
      <c r="I39" s="16" t="n"/>
      <c r="J39" s="16" t="n"/>
      <c r="K39" s="16" t="n"/>
      <c r="L39" s="16" t="n"/>
      <c r="M39" s="16" t="n"/>
      <c r="N39" s="16" t="n"/>
    </row>
    <row r="40">
      <c r="B40" s="16" t="n"/>
      <c r="C40" s="16" t="n"/>
      <c r="D40" s="16" t="n"/>
      <c r="E40" s="16" t="n"/>
      <c r="F40" s="16" t="n"/>
      <c r="G40" s="16" t="n"/>
      <c r="H40" s="16" t="n"/>
      <c r="I40" s="16" t="n"/>
      <c r="J40" s="16" t="n"/>
      <c r="K40" s="16" t="n"/>
      <c r="L40" s="16" t="n"/>
      <c r="M40" s="16" t="n"/>
      <c r="N40" s="16" t="n"/>
    </row>
    <row r="41">
      <c r="B41" s="16" t="n"/>
      <c r="C41" s="16" t="n"/>
      <c r="D41" s="16" t="n"/>
      <c r="E41" s="16" t="n"/>
      <c r="F41" s="16" t="n"/>
      <c r="G41" s="16" t="n"/>
      <c r="H41" s="16" t="n"/>
      <c r="I41" s="16" t="n"/>
      <c r="J41" s="16" t="n"/>
      <c r="K41" s="16" t="n"/>
      <c r="L41" s="16" t="n"/>
      <c r="M41" s="16" t="n"/>
      <c r="N41" s="16" t="n"/>
    </row>
    <row r="42">
      <c r="B42" s="16" t="n"/>
      <c r="C42" s="16" t="n"/>
      <c r="D42" s="16" t="n"/>
      <c r="E42" s="16" t="n"/>
      <c r="F42" s="16" t="n"/>
      <c r="G42" s="16" t="n"/>
      <c r="H42" s="16" t="n"/>
      <c r="I42" s="16" t="n"/>
      <c r="J42" s="16" t="n"/>
      <c r="K42" s="16" t="n"/>
      <c r="L42" s="16" t="n"/>
      <c r="M42" s="16" t="n"/>
      <c r="N42" s="16" t="n"/>
    </row>
    <row r="43">
      <c r="B43" s="16" t="n"/>
      <c r="C43" s="16" t="n"/>
      <c r="D43" s="16" t="n"/>
      <c r="E43" s="16" t="n"/>
      <c r="F43" s="16" t="n"/>
      <c r="G43" s="16" t="n"/>
      <c r="H43" s="16" t="n"/>
      <c r="I43" s="16" t="n"/>
      <c r="J43" s="16" t="n"/>
      <c r="K43" s="16" t="n"/>
      <c r="L43" s="16" t="n"/>
      <c r="M43" s="16" t="n"/>
      <c r="N43" s="16" t="n"/>
    </row>
    <row r="44">
      <c r="B44" s="16" t="n"/>
      <c r="C44" s="16" t="n"/>
      <c r="D44" s="16" t="n"/>
      <c r="E44" s="16" t="n"/>
      <c r="F44" s="16" t="n"/>
      <c r="G44" s="16" t="n"/>
      <c r="H44" s="16" t="n"/>
      <c r="I44" s="16" t="n"/>
      <c r="J44" s="16" t="n"/>
      <c r="K44" s="16" t="n"/>
      <c r="L44" s="16" t="n"/>
      <c r="M44" s="16" t="n"/>
      <c r="N44" s="16" t="n"/>
    </row>
    <row r="45">
      <c r="B45" s="16" t="n"/>
      <c r="C45" s="16" t="n"/>
      <c r="D45" s="16" t="n"/>
      <c r="E45" s="16" t="n"/>
      <c r="F45" s="16" t="n"/>
      <c r="G45" s="16" t="n"/>
      <c r="H45" s="16" t="n"/>
      <c r="I45" s="16" t="n"/>
      <c r="J45" s="16" t="n"/>
      <c r="K45" s="16" t="n"/>
      <c r="L45" s="16" t="n"/>
      <c r="M45" s="16" t="n"/>
      <c r="N45" s="16" t="n"/>
    </row>
    <row r="46">
      <c r="B46" s="16" t="n"/>
      <c r="C46" s="16" t="n"/>
      <c r="D46" s="16" t="n"/>
      <c r="E46" s="16" t="n"/>
      <c r="F46" s="16" t="n"/>
      <c r="G46" s="16" t="n"/>
      <c r="H46" s="16" t="n"/>
      <c r="I46" s="16" t="n"/>
      <c r="J46" s="16" t="n"/>
      <c r="K46" s="16" t="n"/>
      <c r="L46" s="16" t="n"/>
      <c r="M46" s="16" t="n"/>
      <c r="N46" s="16" t="n"/>
    </row>
    <row r="47">
      <c r="B47" s="16" t="n"/>
      <c r="C47" s="16" t="n"/>
      <c r="D47" s="16" t="n"/>
      <c r="E47" s="16" t="n"/>
      <c r="F47" s="16" t="n"/>
      <c r="G47" s="16" t="n"/>
      <c r="H47" s="16" t="n"/>
      <c r="I47" s="16" t="n"/>
      <c r="J47" s="16" t="n"/>
      <c r="K47" s="16" t="n"/>
      <c r="L47" s="16" t="n"/>
      <c r="M47" s="16" t="n"/>
      <c r="N47" s="16" t="n"/>
    </row>
    <row r="48">
      <c r="B48" s="16" t="n"/>
      <c r="C48" s="16" t="n"/>
      <c r="D48" s="16" t="n"/>
      <c r="E48" s="16" t="n"/>
      <c r="F48" s="16" t="n"/>
      <c r="G48" s="16" t="n"/>
      <c r="H48" s="16" t="n"/>
      <c r="I48" s="16" t="n"/>
      <c r="J48" s="16" t="n"/>
      <c r="K48" s="16" t="n"/>
      <c r="L48" s="16" t="n"/>
      <c r="M48" s="16" t="n"/>
      <c r="N48" s="16" t="n"/>
    </row>
    <row r="49">
      <c r="B49" s="16" t="n"/>
      <c r="C49" s="16" t="n"/>
      <c r="D49" s="16" t="n"/>
      <c r="E49" s="16" t="n"/>
      <c r="F49" s="16" t="n"/>
      <c r="G49" s="16" t="n"/>
      <c r="H49" s="16" t="n"/>
      <c r="I49" s="16" t="n"/>
      <c r="J49" s="16" t="n"/>
      <c r="K49" s="16" t="n"/>
      <c r="L49" s="16" t="n"/>
      <c r="M49" s="16" t="n"/>
      <c r="N49" s="16" t="n"/>
    </row>
    <row r="50">
      <c r="B50" s="16" t="n"/>
      <c r="C50" s="16" t="n"/>
      <c r="D50" s="16" t="n"/>
      <c r="E50" s="16" t="n"/>
      <c r="F50" s="16" t="n"/>
      <c r="G50" s="16" t="n"/>
      <c r="H50" s="16" t="n"/>
      <c r="I50" s="16" t="n"/>
      <c r="J50" s="16" t="n"/>
      <c r="K50" s="16" t="n"/>
      <c r="L50" s="16" t="n"/>
      <c r="M50" s="16" t="n"/>
      <c r="N50" s="16" t="n"/>
    </row>
    <row r="51">
      <c r="B51" s="16" t="n"/>
      <c r="C51" s="16" t="n"/>
      <c r="D51" s="16" t="n"/>
      <c r="E51" s="16" t="n"/>
      <c r="F51" s="16" t="n"/>
      <c r="G51" s="16" t="n"/>
      <c r="H51" s="16" t="n"/>
      <c r="I51" s="16" t="n"/>
      <c r="J51" s="16" t="n"/>
      <c r="K51" s="16" t="n"/>
      <c r="L51" s="16" t="n"/>
      <c r="M51" s="16" t="n"/>
      <c r="N51" s="16" t="n"/>
    </row>
    <row r="52">
      <c r="B52" s="16" t="n"/>
      <c r="C52" s="16" t="n"/>
      <c r="D52" s="16" t="n"/>
      <c r="E52" s="16" t="n"/>
      <c r="F52" s="16" t="n"/>
      <c r="G52" s="16" t="n"/>
      <c r="H52" s="16" t="n"/>
      <c r="I52" s="16" t="n"/>
      <c r="J52" s="16" t="n"/>
      <c r="K52" s="16" t="n"/>
      <c r="L52" s="16" t="n"/>
      <c r="M52" s="16" t="n"/>
      <c r="N52" s="16" t="n"/>
    </row>
    <row r="53">
      <c r="B53" s="16" t="n"/>
      <c r="C53" s="16" t="n"/>
      <c r="D53" s="16" t="n"/>
      <c r="E53" s="16" t="n"/>
      <c r="F53" s="16" t="n"/>
      <c r="G53" s="16" t="n"/>
      <c r="H53" s="16" t="n"/>
      <c r="I53" s="16" t="n"/>
      <c r="J53" s="16" t="n"/>
      <c r="K53" s="16" t="n"/>
      <c r="L53" s="16" t="n"/>
      <c r="M53" s="16" t="n"/>
      <c r="N53" s="16" t="n"/>
    </row>
    <row r="54">
      <c r="B54" s="16" t="n"/>
      <c r="C54" s="16" t="n"/>
      <c r="D54" s="16" t="n"/>
      <c r="E54" s="16" t="n"/>
      <c r="F54" s="16" t="n"/>
      <c r="G54" s="16" t="n"/>
      <c r="H54" s="16" t="n"/>
      <c r="I54" s="16" t="n"/>
      <c r="J54" s="16" t="n"/>
      <c r="K54" s="16" t="n"/>
      <c r="L54" s="16" t="n"/>
      <c r="M54" s="16" t="n"/>
      <c r="N54" s="16" t="n"/>
    </row>
    <row r="55">
      <c r="B55" s="16" t="n"/>
      <c r="C55" s="16" t="n"/>
      <c r="D55" s="16" t="n"/>
      <c r="E55" s="16" t="n"/>
      <c r="F55" s="16" t="n"/>
      <c r="G55" s="16" t="n"/>
      <c r="H55" s="16" t="n"/>
      <c r="I55" s="16" t="n"/>
      <c r="J55" s="16" t="n"/>
      <c r="K55" s="16" t="n"/>
      <c r="L55" s="16" t="n"/>
      <c r="M55" s="16" t="n"/>
      <c r="N55" s="16" t="n"/>
    </row>
    <row r="56">
      <c r="B56" s="16" t="n"/>
      <c r="C56" s="16" t="n"/>
      <c r="D56" s="16" t="n"/>
      <c r="E56" s="16" t="n"/>
      <c r="F56" s="16" t="n"/>
      <c r="G56" s="16" t="n"/>
      <c r="H56" s="16" t="n"/>
      <c r="I56" s="16" t="n"/>
      <c r="J56" s="16" t="n"/>
      <c r="K56" s="16" t="n"/>
      <c r="L56" s="16" t="n"/>
      <c r="M56" s="16" t="n"/>
      <c r="N56" s="16" t="n"/>
    </row>
    <row r="58">
      <c r="A58" s="13" t="inlineStr">
        <is>
          <t>SECTION B: ALERT CATEGORIES SUMMARY</t>
        </is>
      </c>
    </row>
    <row r="59">
      <c r="A59" s="21" t="inlineStr">
        <is>
          <t>Category</t>
        </is>
      </c>
      <c r="B59" s="21" t="inlineStr">
        <is>
          <t>Count</t>
        </is>
      </c>
      <c r="C59" s="21" t="inlineStr">
        <is>
          <t>Active</t>
        </is>
      </c>
      <c r="D59" s="21" t="inlineStr">
        <is>
          <t>Critical_Count</t>
        </is>
      </c>
      <c r="E59" s="21" t="inlineStr">
        <is>
          <t>Notes</t>
        </is>
      </c>
    </row>
    <row r="60">
      <c r="A60" s="19" t="inlineStr">
        <is>
          <t>Threat_Detection</t>
        </is>
      </c>
      <c r="B60" s="19">
        <f>COUNTIF(C6:C56,"Threat_Detection")</f>
        <v/>
      </c>
      <c r="C60" s="19">
        <f>COUNTIFS(C6:C56,"Threat_Detection",L6:L56,"✅ Implemented")</f>
        <v/>
      </c>
      <c r="D60" s="19">
        <f>COUNTIFS(C6:C56,"Threat_Detection",F6:F56,"Critical")</f>
        <v/>
      </c>
      <c r="E60" s="17" t="n"/>
    </row>
    <row r="61">
      <c r="A61" s="19" t="inlineStr">
        <is>
          <t>Policy_Violation</t>
        </is>
      </c>
      <c r="B61" s="19">
        <f>COUNTIF(C6:C56,"Policy_Violation")</f>
        <v/>
      </c>
      <c r="C61" s="19">
        <f>COUNTIFS(C6:C56,"Policy_Violation",L6:L56,"✅ Implemented")</f>
        <v/>
      </c>
      <c r="D61" s="19">
        <f>COUNTIFS(C6:C56,"Policy_Violation",F6:F56,"Critical")</f>
        <v/>
      </c>
      <c r="E61" s="17" t="n"/>
    </row>
    <row r="62">
      <c r="A62" s="19" t="inlineStr">
        <is>
          <t>System_Health</t>
        </is>
      </c>
      <c r="B62" s="19">
        <f>COUNTIF(C6:C56,"System_Health")</f>
        <v/>
      </c>
      <c r="C62" s="19">
        <f>COUNTIFS(C6:C56,"System_Health",L6:L56,"✅ Implemented")</f>
        <v/>
      </c>
      <c r="D62" s="19">
        <f>COUNTIFS(C6:C56,"System_Health",F6:F56,"Critical")</f>
        <v/>
      </c>
      <c r="E62" s="17" t="n"/>
    </row>
    <row r="63">
      <c r="A63" s="19" t="inlineStr">
        <is>
          <t>Threshold_Breach</t>
        </is>
      </c>
      <c r="B63" s="19">
        <f>COUNTIF(C6:C56,"Threshold_Breach")</f>
        <v/>
      </c>
      <c r="C63" s="19">
        <f>COUNTIFS(C6:C56,"Threshold_Breach",L6:L56,"✅ Implemented")</f>
        <v/>
      </c>
      <c r="D63" s="19">
        <f>COUNTIFS(C6:C56,"Threshold_Breach",F6:F56,"Critical")</f>
        <v/>
      </c>
      <c r="E63" s="17" t="n"/>
    </row>
    <row r="64">
      <c r="A64" s="19" t="inlineStr">
        <is>
          <t>Anomaly</t>
        </is>
      </c>
      <c r="B64" s="19">
        <f>COUNTIF(C6:C56,"Anomaly")</f>
        <v/>
      </c>
      <c r="C64" s="19">
        <f>COUNTIFS(C6:C56,"Anomaly",L6:L56,"✅ Implemented")</f>
        <v/>
      </c>
      <c r="D64" s="19">
        <f>COUNTIFS(C6:C56,"Anomaly",F6:F56,"Critical")</f>
        <v/>
      </c>
      <c r="E64" s="17" t="n"/>
    </row>
    <row r="65">
      <c r="A65" s="19" t="inlineStr">
        <is>
          <t>Compliance</t>
        </is>
      </c>
      <c r="B65" s="19">
        <f>COUNTIF(C6:C56,"Compliance")</f>
        <v/>
      </c>
      <c r="C65" s="19">
        <f>COUNTIFS(C6:C56,"Compliance",L6:L56,"✅ Implemented")</f>
        <v/>
      </c>
      <c r="D65" s="19">
        <f>COUNTIFS(C6:C56,"Compliance",F6:F56,"Critical")</f>
        <v/>
      </c>
      <c r="E65" s="17" t="n"/>
    </row>
    <row r="68">
      <c r="A68" s="13" t="inlineStr">
        <is>
          <t>SECTION C: SUMMARY METRICS</t>
        </is>
      </c>
    </row>
    <row r="69">
      <c r="A69" s="18" t="inlineStr">
        <is>
          <t>Total alert rules configured:</t>
        </is>
      </c>
      <c r="B69" s="19">
        <f>COUNTA(B6:B56)</f>
        <v/>
      </c>
    </row>
    <row r="70">
      <c r="A70" s="18" t="inlineStr">
        <is>
          <t>Implemented alerts:</t>
        </is>
      </c>
      <c r="B70" s="19">
        <f>COUNTIF(L6:L56,"✅ Implemented")</f>
        <v/>
      </c>
    </row>
    <row r="71">
      <c r="A71" s="18" t="inlineStr">
        <is>
          <t>Critical severity alerts:</t>
        </is>
      </c>
      <c r="B71" s="19">
        <f>COUNTIF(F6:F56,"Critical")</f>
        <v/>
      </c>
    </row>
    <row r="72">
      <c r="A72" s="18" t="inlineStr">
        <is>
          <t>High severity alerts:</t>
        </is>
      </c>
      <c r="B72" s="19">
        <f>COUNTIF(F6:F56,"High")</f>
        <v/>
      </c>
    </row>
    <row r="73">
      <c r="A73" s="18" t="inlineStr">
        <is>
          <t>Alerts with auto-response:</t>
        </is>
      </c>
      <c r="B73" s="19">
        <f>COUNTIF(K6:K56,"Yes")</f>
        <v/>
      </c>
    </row>
    <row r="74">
      <c r="A74" s="18" t="inlineStr">
        <is>
          <t>Alert coverage score:</t>
        </is>
      </c>
      <c r="B74" s="20">
        <f>IF(COUNTA(B6:B56)&gt;0,COUNTIF(L6:L56,"✅ Implemented")/COUNTA(B6:B56),0)</f>
        <v/>
      </c>
    </row>
  </sheetData>
  <mergeCells count="5">
    <mergeCell ref="A4:N4"/>
    <mergeCell ref="A2:N2"/>
    <mergeCell ref="A58:E58"/>
    <mergeCell ref="A68:D68"/>
    <mergeCell ref="A1:N1"/>
  </mergeCells>
  <dataValidations count="5">
    <dataValidation sqref="C6:C56" showDropDown="0" showInputMessage="0" showErrorMessage="0" allowBlank="1" errorTitle="Invalid Entry" error="Please select from dropdown" promptTitle="Available Options" prompt="Select from list" type="list">
      <formula1>"Threat_Detection,Policy_Violation,System_Health,Threshold_Breach,Anomaly,Compliance"</formula1>
    </dataValidation>
    <dataValidation sqref="F6:F56" showDropDown="0" showInputMessage="0" showErrorMessage="0" allowBlank="1" errorTitle="Invalid Entry" error="Please select from dropdown" promptTitle="Available Options" prompt="Select from list" type="list">
      <formula1>"Critical,High,Medium,Low,Informational"</formula1>
    </dataValidation>
    <dataValidation sqref="G6:G56" showDropDown="0" showInputMessage="0" showErrorMessage="0" allowBlank="1" errorTitle="Invalid Entry" error="Please select from dropdown" promptTitle="Available Options" prompt="Select from list" type="list">
      <formula1>"Email,SMS,SIEM_Alert,Ticket,Dashboard,Webhook,PagerDuty,Teams,Slack"</formula1>
    </dataValidation>
    <dataValidation sqref="K6:K56" showDropDown="0" showInputMessage="0" showErrorMessage="0" allowBlank="1" errorTitle="Invalid Entry" error="Please select from dropdown" promptTitle="Available Options" prompt="Select from list" type="list">
      <formula1>"Yes,No,Partial"</formula1>
    </dataValidation>
    <dataValidation sqref="L6:L56" showDropDown="0" showInputMessage="0" showErrorMessage="0" allowBlank="1" errorTitle="Invalid Entry" error="Please select from dropdown" promptTitle="Available Options" prompt="Select from list" type="list">
      <formula1>"✅ Implemented,⚠️ Partial,⟳ Planned,❌ 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8"/>
  <sheetViews>
    <sheetView showGridLines="0" workbookViewId="0">
      <pane ySplit="5" topLeftCell="A6" activePane="bottomLeft" state="frozen"/>
      <selection pane="bottomLeft" activeCell="A1" sqref="A1"/>
    </sheetView>
  </sheetViews>
  <sheetFormatPr baseColWidth="8" defaultRowHeight="15"/>
  <cols>
    <col width="14" customWidth="1" min="1" max="1"/>
    <col width="32" customWidth="1" min="2" max="2"/>
    <col width="20" customWidth="1" min="3" max="3"/>
    <col width="20" customWidth="1" min="4" max="4"/>
    <col width="18" customWidth="1" min="5" max="5"/>
    <col width="18" customWidth="1" min="6" max="6"/>
    <col width="45" customWidth="1" min="7" max="7"/>
    <col width="18" customWidth="1" min="8" max="8"/>
    <col width="14" customWidth="1" min="9" max="9"/>
    <col width="18" customWidth="1" min="10" max="10"/>
  </cols>
  <sheetData>
    <row r="1" ht="35" customHeight="1">
      <c r="A1" s="11" t="inlineStr">
        <is>
          <t>MONITORING DASHBOARD ASSESSMENT</t>
        </is>
      </c>
    </row>
    <row r="2">
      <c r="A2" s="12" t="inlineStr">
        <is>
          <t>Document monitoring dashboards, KPIs tracked, and review frequency</t>
        </is>
      </c>
    </row>
    <row r="4">
      <c r="A4" s="13" t="inlineStr">
        <is>
          <t>SECTION A: DASHBOARD INVENTORY</t>
        </is>
      </c>
    </row>
    <row r="5">
      <c r="A5" s="14" t="inlineStr">
        <is>
          <t>Dashboard_ID</t>
        </is>
      </c>
      <c r="B5" s="14" t="inlineStr">
        <is>
          <t>Dashboard_Name</t>
        </is>
      </c>
      <c r="C5" s="14" t="inlineStr">
        <is>
          <t>Platform</t>
        </is>
      </c>
      <c r="D5" s="14" t="inlineStr">
        <is>
          <t>Primary_Audience</t>
        </is>
      </c>
      <c r="E5" s="14" t="inlineStr">
        <is>
          <t>Update_Frequency</t>
        </is>
      </c>
      <c r="F5" s="14" t="inlineStr">
        <is>
          <t>Review_Frequency</t>
        </is>
      </c>
      <c r="G5" s="14" t="inlineStr">
        <is>
          <t>Key_Metrics_Displayed</t>
        </is>
      </c>
      <c r="H5" s="14" t="inlineStr">
        <is>
          <t>Alerting_Integrated</t>
        </is>
      </c>
      <c r="I5" s="14" t="inlineStr">
        <is>
          <t>Status</t>
        </is>
      </c>
      <c r="J5" s="14" t="inlineStr">
        <is>
          <t>Evidence_Ref</t>
        </is>
      </c>
    </row>
    <row r="6">
      <c r="A6" s="15" t="inlineStr">
        <is>
          <t>DSH-001</t>
        </is>
      </c>
      <c r="B6" s="16" t="n"/>
      <c r="C6" s="16" t="n"/>
      <c r="D6" s="16" t="n"/>
      <c r="E6" s="16" t="n"/>
      <c r="F6" s="16" t="n"/>
      <c r="G6" s="16" t="n"/>
      <c r="H6" s="16" t="n"/>
      <c r="I6" s="16" t="n"/>
      <c r="J6" s="16" t="n"/>
    </row>
    <row r="7">
      <c r="B7" s="16" t="n"/>
      <c r="C7" s="16" t="n"/>
      <c r="D7" s="16" t="n"/>
      <c r="E7" s="16" t="n"/>
      <c r="F7" s="16" t="n"/>
      <c r="G7" s="16" t="n"/>
      <c r="H7" s="16" t="n"/>
      <c r="I7" s="16" t="n"/>
      <c r="J7" s="16" t="n"/>
    </row>
    <row r="8">
      <c r="B8" s="16" t="n"/>
      <c r="C8" s="16" t="n"/>
      <c r="D8" s="16" t="n"/>
      <c r="E8" s="16" t="n"/>
      <c r="F8" s="16" t="n"/>
      <c r="G8" s="16" t="n"/>
      <c r="H8" s="16" t="n"/>
      <c r="I8" s="16" t="n"/>
      <c r="J8" s="16" t="n"/>
    </row>
    <row r="9">
      <c r="B9" s="16" t="n"/>
      <c r="C9" s="16" t="n"/>
      <c r="D9" s="16" t="n"/>
      <c r="E9" s="16" t="n"/>
      <c r="F9" s="16" t="n"/>
      <c r="G9" s="16" t="n"/>
      <c r="H9" s="16" t="n"/>
      <c r="I9" s="16" t="n"/>
      <c r="J9" s="16" t="n"/>
    </row>
    <row r="10">
      <c r="B10" s="16" t="n"/>
      <c r="C10" s="16" t="n"/>
      <c r="D10" s="16" t="n"/>
      <c r="E10" s="16" t="n"/>
      <c r="F10" s="16" t="n"/>
      <c r="G10" s="16" t="n"/>
      <c r="H10" s="16" t="n"/>
      <c r="I10" s="16" t="n"/>
      <c r="J10" s="16" t="n"/>
    </row>
    <row r="11">
      <c r="B11" s="16" t="n"/>
      <c r="C11" s="16" t="n"/>
      <c r="D11" s="16" t="n"/>
      <c r="E11" s="16" t="n"/>
      <c r="F11" s="16" t="n"/>
      <c r="G11" s="16" t="n"/>
      <c r="H11" s="16" t="n"/>
      <c r="I11" s="16" t="n"/>
      <c r="J11" s="16" t="n"/>
    </row>
    <row r="12">
      <c r="B12" s="16" t="n"/>
      <c r="C12" s="16" t="n"/>
      <c r="D12" s="16" t="n"/>
      <c r="E12" s="16" t="n"/>
      <c r="F12" s="16" t="n"/>
      <c r="G12" s="16" t="n"/>
      <c r="H12" s="16" t="n"/>
      <c r="I12" s="16" t="n"/>
      <c r="J12" s="16" t="n"/>
    </row>
    <row r="13">
      <c r="B13" s="16" t="n"/>
      <c r="C13" s="16" t="n"/>
      <c r="D13" s="16" t="n"/>
      <c r="E13" s="16" t="n"/>
      <c r="F13" s="16" t="n"/>
      <c r="G13" s="16" t="n"/>
      <c r="H13" s="16" t="n"/>
      <c r="I13" s="16" t="n"/>
      <c r="J13" s="16" t="n"/>
    </row>
    <row r="14">
      <c r="B14" s="16" t="n"/>
      <c r="C14" s="16" t="n"/>
      <c r="D14" s="16" t="n"/>
      <c r="E14" s="16" t="n"/>
      <c r="F14" s="16" t="n"/>
      <c r="G14" s="16" t="n"/>
      <c r="H14" s="16" t="n"/>
      <c r="I14" s="16" t="n"/>
      <c r="J14" s="16" t="n"/>
    </row>
    <row r="15">
      <c r="B15" s="16" t="n"/>
      <c r="C15" s="16" t="n"/>
      <c r="D15" s="16" t="n"/>
      <c r="E15" s="16" t="n"/>
      <c r="F15" s="16" t="n"/>
      <c r="G15" s="16" t="n"/>
      <c r="H15" s="16" t="n"/>
      <c r="I15" s="16" t="n"/>
      <c r="J15" s="16" t="n"/>
    </row>
    <row r="16">
      <c r="B16" s="16" t="n"/>
      <c r="C16" s="16" t="n"/>
      <c r="D16" s="16" t="n"/>
      <c r="E16" s="16" t="n"/>
      <c r="F16" s="16" t="n"/>
      <c r="G16" s="16" t="n"/>
      <c r="H16" s="16" t="n"/>
      <c r="I16" s="16" t="n"/>
      <c r="J16" s="16" t="n"/>
    </row>
    <row r="17">
      <c r="B17" s="16" t="n"/>
      <c r="C17" s="16" t="n"/>
      <c r="D17" s="16" t="n"/>
      <c r="E17" s="16" t="n"/>
      <c r="F17" s="16" t="n"/>
      <c r="G17" s="16" t="n"/>
      <c r="H17" s="16" t="n"/>
      <c r="I17" s="16" t="n"/>
      <c r="J17" s="16" t="n"/>
    </row>
    <row r="18">
      <c r="B18" s="16" t="n"/>
      <c r="C18" s="16" t="n"/>
      <c r="D18" s="16" t="n"/>
      <c r="E18" s="16" t="n"/>
      <c r="F18" s="16" t="n"/>
      <c r="G18" s="16" t="n"/>
      <c r="H18" s="16" t="n"/>
      <c r="I18" s="16" t="n"/>
      <c r="J18" s="16" t="n"/>
    </row>
    <row r="19">
      <c r="B19" s="16" t="n"/>
      <c r="C19" s="16" t="n"/>
      <c r="D19" s="16" t="n"/>
      <c r="E19" s="16" t="n"/>
      <c r="F19" s="16" t="n"/>
      <c r="G19" s="16" t="n"/>
      <c r="H19" s="16" t="n"/>
      <c r="I19" s="16" t="n"/>
      <c r="J19" s="16" t="n"/>
    </row>
    <row r="20">
      <c r="B20" s="16" t="n"/>
      <c r="C20" s="16" t="n"/>
      <c r="D20" s="16" t="n"/>
      <c r="E20" s="16" t="n"/>
      <c r="F20" s="16" t="n"/>
      <c r="G20" s="16" t="n"/>
      <c r="H20" s="16" t="n"/>
      <c r="I20" s="16" t="n"/>
      <c r="J20" s="16" t="n"/>
    </row>
    <row r="21">
      <c r="B21" s="16" t="n"/>
      <c r="C21" s="16" t="n"/>
      <c r="D21" s="16" t="n"/>
      <c r="E21" s="16" t="n"/>
      <c r="F21" s="16" t="n"/>
      <c r="G21" s="16" t="n"/>
      <c r="H21" s="16" t="n"/>
      <c r="I21" s="16" t="n"/>
      <c r="J21" s="16" t="n"/>
    </row>
    <row r="22">
      <c r="B22" s="16" t="n"/>
      <c r="C22" s="16" t="n"/>
      <c r="D22" s="16" t="n"/>
      <c r="E22" s="16" t="n"/>
      <c r="F22" s="16" t="n"/>
      <c r="G22" s="16" t="n"/>
      <c r="H22" s="16" t="n"/>
      <c r="I22" s="16" t="n"/>
      <c r="J22" s="16" t="n"/>
    </row>
    <row r="23">
      <c r="B23" s="16" t="n"/>
      <c r="C23" s="16" t="n"/>
      <c r="D23" s="16" t="n"/>
      <c r="E23" s="16" t="n"/>
      <c r="F23" s="16" t="n"/>
      <c r="G23" s="16" t="n"/>
      <c r="H23" s="16" t="n"/>
      <c r="I23" s="16" t="n"/>
      <c r="J23" s="16" t="n"/>
    </row>
    <row r="24">
      <c r="B24" s="16" t="n"/>
      <c r="C24" s="16" t="n"/>
      <c r="D24" s="16" t="n"/>
      <c r="E24" s="16" t="n"/>
      <c r="F24" s="16" t="n"/>
      <c r="G24" s="16" t="n"/>
      <c r="H24" s="16" t="n"/>
      <c r="I24" s="16" t="n"/>
      <c r="J24" s="16" t="n"/>
    </row>
    <row r="25">
      <c r="B25" s="16" t="n"/>
      <c r="C25" s="16" t="n"/>
      <c r="D25" s="16" t="n"/>
      <c r="E25" s="16" t="n"/>
      <c r="F25" s="16" t="n"/>
      <c r="G25" s="16" t="n"/>
      <c r="H25" s="16" t="n"/>
      <c r="I25" s="16" t="n"/>
      <c r="J25" s="16" t="n"/>
    </row>
    <row r="26">
      <c r="B26" s="16" t="n"/>
      <c r="C26" s="16" t="n"/>
      <c r="D26" s="16" t="n"/>
      <c r="E26" s="16" t="n"/>
      <c r="F26" s="16" t="n"/>
      <c r="G26" s="16" t="n"/>
      <c r="H26" s="16" t="n"/>
      <c r="I26" s="16" t="n"/>
      <c r="J26" s="16" t="n"/>
    </row>
    <row r="27">
      <c r="B27" s="16" t="n"/>
      <c r="C27" s="16" t="n"/>
      <c r="D27" s="16" t="n"/>
      <c r="E27" s="16" t="n"/>
      <c r="F27" s="16" t="n"/>
      <c r="G27" s="16" t="n"/>
      <c r="H27" s="16" t="n"/>
      <c r="I27" s="16" t="n"/>
      <c r="J27" s="16" t="n"/>
    </row>
    <row r="28">
      <c r="B28" s="16" t="n"/>
      <c r="C28" s="16" t="n"/>
      <c r="D28" s="16" t="n"/>
      <c r="E28" s="16" t="n"/>
      <c r="F28" s="16" t="n"/>
      <c r="G28" s="16" t="n"/>
      <c r="H28" s="16" t="n"/>
      <c r="I28" s="16" t="n"/>
      <c r="J28" s="16" t="n"/>
    </row>
    <row r="29">
      <c r="B29" s="16" t="n"/>
      <c r="C29" s="16" t="n"/>
      <c r="D29" s="16" t="n"/>
      <c r="E29" s="16" t="n"/>
      <c r="F29" s="16" t="n"/>
      <c r="G29" s="16" t="n"/>
      <c r="H29" s="16" t="n"/>
      <c r="I29" s="16" t="n"/>
      <c r="J29" s="16" t="n"/>
    </row>
    <row r="30">
      <c r="B30" s="16" t="n"/>
      <c r="C30" s="16" t="n"/>
      <c r="D30" s="16" t="n"/>
      <c r="E30" s="16" t="n"/>
      <c r="F30" s="16" t="n"/>
      <c r="G30" s="16" t="n"/>
      <c r="H30" s="16" t="n"/>
      <c r="I30" s="16" t="n"/>
      <c r="J30" s="16" t="n"/>
    </row>
    <row r="31">
      <c r="B31" s="16" t="n"/>
      <c r="C31" s="16" t="n"/>
      <c r="D31" s="16" t="n"/>
      <c r="E31" s="16" t="n"/>
      <c r="F31" s="16" t="n"/>
      <c r="G31" s="16" t="n"/>
      <c r="H31" s="16" t="n"/>
      <c r="I31" s="16" t="n"/>
      <c r="J31" s="16" t="n"/>
    </row>
    <row r="32">
      <c r="B32" s="16" t="n"/>
      <c r="C32" s="16" t="n"/>
      <c r="D32" s="16" t="n"/>
      <c r="E32" s="16" t="n"/>
      <c r="F32" s="16" t="n"/>
      <c r="G32" s="16" t="n"/>
      <c r="H32" s="16" t="n"/>
      <c r="I32" s="16" t="n"/>
      <c r="J32" s="16" t="n"/>
    </row>
    <row r="33">
      <c r="B33" s="16" t="n"/>
      <c r="C33" s="16" t="n"/>
      <c r="D33" s="16" t="n"/>
      <c r="E33" s="16" t="n"/>
      <c r="F33" s="16" t="n"/>
      <c r="G33" s="16" t="n"/>
      <c r="H33" s="16" t="n"/>
      <c r="I33" s="16" t="n"/>
      <c r="J33" s="16" t="n"/>
    </row>
    <row r="34">
      <c r="B34" s="16" t="n"/>
      <c r="C34" s="16" t="n"/>
      <c r="D34" s="16" t="n"/>
      <c r="E34" s="16" t="n"/>
      <c r="F34" s="16" t="n"/>
      <c r="G34" s="16" t="n"/>
      <c r="H34" s="16" t="n"/>
      <c r="I34" s="16" t="n"/>
      <c r="J34" s="16" t="n"/>
    </row>
    <row r="35">
      <c r="B35" s="16" t="n"/>
      <c r="C35" s="16" t="n"/>
      <c r="D35" s="16" t="n"/>
      <c r="E35" s="16" t="n"/>
      <c r="F35" s="16" t="n"/>
      <c r="G35" s="16" t="n"/>
      <c r="H35" s="16" t="n"/>
      <c r="I35" s="16" t="n"/>
      <c r="J35" s="16" t="n"/>
    </row>
    <row r="36">
      <c r="B36" s="16" t="n"/>
      <c r="C36" s="16" t="n"/>
      <c r="D36" s="16" t="n"/>
      <c r="E36" s="16" t="n"/>
      <c r="F36" s="16" t="n"/>
      <c r="G36" s="16" t="n"/>
      <c r="H36" s="16" t="n"/>
      <c r="I36" s="16" t="n"/>
      <c r="J36" s="16" t="n"/>
    </row>
    <row r="37">
      <c r="B37" s="16" t="n"/>
      <c r="C37" s="16" t="n"/>
      <c r="D37" s="16" t="n"/>
      <c r="E37" s="16" t="n"/>
      <c r="F37" s="16" t="n"/>
      <c r="G37" s="16" t="n"/>
      <c r="H37" s="16" t="n"/>
      <c r="I37" s="16" t="n"/>
      <c r="J37" s="16" t="n"/>
    </row>
    <row r="38">
      <c r="B38" s="16" t="n"/>
      <c r="C38" s="16" t="n"/>
      <c r="D38" s="16" t="n"/>
      <c r="E38" s="16" t="n"/>
      <c r="F38" s="16" t="n"/>
      <c r="G38" s="16" t="n"/>
      <c r="H38" s="16" t="n"/>
      <c r="I38" s="16" t="n"/>
      <c r="J38" s="16" t="n"/>
    </row>
    <row r="39">
      <c r="B39" s="16" t="n"/>
      <c r="C39" s="16" t="n"/>
      <c r="D39" s="16" t="n"/>
      <c r="E39" s="16" t="n"/>
      <c r="F39" s="16" t="n"/>
      <c r="G39" s="16" t="n"/>
      <c r="H39" s="16" t="n"/>
      <c r="I39" s="16" t="n"/>
      <c r="J39" s="16" t="n"/>
    </row>
    <row r="40">
      <c r="B40" s="16" t="n"/>
      <c r="C40" s="16" t="n"/>
      <c r="D40" s="16" t="n"/>
      <c r="E40" s="16" t="n"/>
      <c r="F40" s="16" t="n"/>
      <c r="G40" s="16" t="n"/>
      <c r="H40" s="16" t="n"/>
      <c r="I40" s="16" t="n"/>
      <c r="J40" s="16" t="n"/>
    </row>
    <row r="41">
      <c r="B41" s="16" t="n"/>
      <c r="C41" s="16" t="n"/>
      <c r="D41" s="16" t="n"/>
      <c r="E41" s="16" t="n"/>
      <c r="F41" s="16" t="n"/>
      <c r="G41" s="16" t="n"/>
      <c r="H41" s="16" t="n"/>
      <c r="I41" s="16" t="n"/>
      <c r="J41" s="16" t="n"/>
    </row>
    <row r="42">
      <c r="B42" s="16" t="n"/>
      <c r="C42" s="16" t="n"/>
      <c r="D42" s="16" t="n"/>
      <c r="E42" s="16" t="n"/>
      <c r="F42" s="16" t="n"/>
      <c r="G42" s="16" t="n"/>
      <c r="H42" s="16" t="n"/>
      <c r="I42" s="16" t="n"/>
      <c r="J42" s="16" t="n"/>
    </row>
    <row r="43">
      <c r="B43" s="16" t="n"/>
      <c r="C43" s="16" t="n"/>
      <c r="D43" s="16" t="n"/>
      <c r="E43" s="16" t="n"/>
      <c r="F43" s="16" t="n"/>
      <c r="G43" s="16" t="n"/>
      <c r="H43" s="16" t="n"/>
      <c r="I43" s="16" t="n"/>
      <c r="J43" s="16" t="n"/>
    </row>
    <row r="44">
      <c r="B44" s="16" t="n"/>
      <c r="C44" s="16" t="n"/>
      <c r="D44" s="16" t="n"/>
      <c r="E44" s="16" t="n"/>
      <c r="F44" s="16" t="n"/>
      <c r="G44" s="16" t="n"/>
      <c r="H44" s="16" t="n"/>
      <c r="I44" s="16" t="n"/>
      <c r="J44" s="16" t="n"/>
    </row>
    <row r="45">
      <c r="B45" s="16" t="n"/>
      <c r="C45" s="16" t="n"/>
      <c r="D45" s="16" t="n"/>
      <c r="E45" s="16" t="n"/>
      <c r="F45" s="16" t="n"/>
      <c r="G45" s="16" t="n"/>
      <c r="H45" s="16" t="n"/>
      <c r="I45" s="16" t="n"/>
      <c r="J45" s="16" t="n"/>
    </row>
    <row r="46">
      <c r="B46" s="16" t="n"/>
      <c r="C46" s="16" t="n"/>
      <c r="D46" s="16" t="n"/>
      <c r="E46" s="16" t="n"/>
      <c r="F46" s="16" t="n"/>
      <c r="G46" s="16" t="n"/>
      <c r="H46" s="16" t="n"/>
      <c r="I46" s="16" t="n"/>
      <c r="J46" s="16" t="n"/>
    </row>
    <row r="47">
      <c r="B47" s="16" t="n"/>
      <c r="C47" s="16" t="n"/>
      <c r="D47" s="16" t="n"/>
      <c r="E47" s="16" t="n"/>
      <c r="F47" s="16" t="n"/>
      <c r="G47" s="16" t="n"/>
      <c r="H47" s="16" t="n"/>
      <c r="I47" s="16" t="n"/>
      <c r="J47" s="16" t="n"/>
    </row>
    <row r="48">
      <c r="B48" s="16" t="n"/>
      <c r="C48" s="16" t="n"/>
      <c r="D48" s="16" t="n"/>
      <c r="E48" s="16" t="n"/>
      <c r="F48" s="16" t="n"/>
      <c r="G48" s="16" t="n"/>
      <c r="H48" s="16" t="n"/>
      <c r="I48" s="16" t="n"/>
      <c r="J48" s="16" t="n"/>
    </row>
    <row r="49">
      <c r="B49" s="16" t="n"/>
      <c r="C49" s="16" t="n"/>
      <c r="D49" s="16" t="n"/>
      <c r="E49" s="16" t="n"/>
      <c r="F49" s="16" t="n"/>
      <c r="G49" s="16" t="n"/>
      <c r="H49" s="16" t="n"/>
      <c r="I49" s="16" t="n"/>
      <c r="J49" s="16" t="n"/>
    </row>
    <row r="50">
      <c r="B50" s="16" t="n"/>
      <c r="C50" s="16" t="n"/>
      <c r="D50" s="16" t="n"/>
      <c r="E50" s="16" t="n"/>
      <c r="F50" s="16" t="n"/>
      <c r="G50" s="16" t="n"/>
      <c r="H50" s="16" t="n"/>
      <c r="I50" s="16" t="n"/>
      <c r="J50" s="16" t="n"/>
    </row>
    <row r="51">
      <c r="B51" s="16" t="n"/>
      <c r="C51" s="16" t="n"/>
      <c r="D51" s="16" t="n"/>
      <c r="E51" s="16" t="n"/>
      <c r="F51" s="16" t="n"/>
      <c r="G51" s="16" t="n"/>
      <c r="H51" s="16" t="n"/>
      <c r="I51" s="16" t="n"/>
      <c r="J51" s="16" t="n"/>
    </row>
    <row r="52">
      <c r="B52" s="16" t="n"/>
      <c r="C52" s="16" t="n"/>
      <c r="D52" s="16" t="n"/>
      <c r="E52" s="16" t="n"/>
      <c r="F52" s="16" t="n"/>
      <c r="G52" s="16" t="n"/>
      <c r="H52" s="16" t="n"/>
      <c r="I52" s="16" t="n"/>
      <c r="J52" s="16" t="n"/>
    </row>
    <row r="53">
      <c r="B53" s="16" t="n"/>
      <c r="C53" s="16" t="n"/>
      <c r="D53" s="16" t="n"/>
      <c r="E53" s="16" t="n"/>
      <c r="F53" s="16" t="n"/>
      <c r="G53" s="16" t="n"/>
      <c r="H53" s="16" t="n"/>
      <c r="I53" s="16" t="n"/>
      <c r="J53" s="16" t="n"/>
    </row>
    <row r="54">
      <c r="B54" s="16" t="n"/>
      <c r="C54" s="16" t="n"/>
      <c r="D54" s="16" t="n"/>
      <c r="E54" s="16" t="n"/>
      <c r="F54" s="16" t="n"/>
      <c r="G54" s="16" t="n"/>
      <c r="H54" s="16" t="n"/>
      <c r="I54" s="16" t="n"/>
      <c r="J54" s="16" t="n"/>
    </row>
    <row r="55">
      <c r="B55" s="16" t="n"/>
      <c r="C55" s="16" t="n"/>
      <c r="D55" s="16" t="n"/>
      <c r="E55" s="16" t="n"/>
      <c r="F55" s="16" t="n"/>
      <c r="G55" s="16" t="n"/>
      <c r="H55" s="16" t="n"/>
      <c r="I55" s="16" t="n"/>
      <c r="J55" s="16" t="n"/>
    </row>
    <row r="56">
      <c r="B56" s="16" t="n"/>
      <c r="C56" s="16" t="n"/>
      <c r="D56" s="16" t="n"/>
      <c r="E56" s="16" t="n"/>
      <c r="F56" s="16" t="n"/>
      <c r="G56" s="16" t="n"/>
      <c r="H56" s="16" t="n"/>
      <c r="I56" s="16" t="n"/>
      <c r="J56" s="16" t="n"/>
    </row>
    <row r="58">
      <c r="A58" s="13" t="inlineStr">
        <is>
          <t>SECTION B: KEY PERFORMANCE INDICATORS (KPIs)</t>
        </is>
      </c>
    </row>
    <row r="59">
      <c r="A59" s="14" t="inlineStr">
        <is>
          <t>KPI_ID</t>
        </is>
      </c>
      <c r="B59" s="14" t="inlineStr">
        <is>
          <t>KPI_Name</t>
        </is>
      </c>
      <c r="C59" s="14" t="inlineStr">
        <is>
          <t>Category</t>
        </is>
      </c>
      <c r="D59" s="14" t="inlineStr">
        <is>
          <t>Measurement_Unit</t>
        </is>
      </c>
      <c r="E59" s="14" t="inlineStr">
        <is>
          <t>Target_Value</t>
        </is>
      </c>
      <c r="F59" s="14" t="inlineStr">
        <is>
          <t>Current_Value</t>
        </is>
      </c>
      <c r="G59" s="14" t="inlineStr">
        <is>
          <t>Trend</t>
        </is>
      </c>
      <c r="H59" s="14" t="inlineStr">
        <is>
          <t>Review_Freq</t>
        </is>
      </c>
      <c r="I59" s="14" t="inlineStr">
        <is>
          <t>Owner_Role</t>
        </is>
      </c>
      <c r="J59" s="14" t="inlineStr">
        <is>
          <t>Status</t>
        </is>
      </c>
    </row>
    <row r="60">
      <c r="A60" s="15" t="inlineStr">
        <is>
          <t>KPI-001</t>
        </is>
      </c>
      <c r="B60" s="22" t="inlineStr">
        <is>
          <t>Total blocked requests (daily)</t>
        </is>
      </c>
      <c r="C60" s="22" t="inlineStr">
        <is>
          <t>Volume</t>
        </is>
      </c>
      <c r="D60" s="22" t="inlineStr">
        <is>
          <t>Count</t>
        </is>
      </c>
      <c r="E60" s="16" t="n"/>
      <c r="F60" s="16" t="n"/>
      <c r="G60" s="16" t="n"/>
      <c r="H60" s="16" t="n"/>
      <c r="I60" s="16" t="n"/>
      <c r="J60" s="16" t="n"/>
    </row>
    <row r="61">
      <c r="B61" s="16" t="n"/>
      <c r="C61" s="16" t="n"/>
      <c r="D61" s="16" t="n"/>
      <c r="E61" s="16" t="n"/>
      <c r="F61" s="16" t="n"/>
      <c r="G61" s="16" t="n"/>
      <c r="H61" s="16" t="n"/>
      <c r="I61" s="16" t="n"/>
      <c r="J61" s="16" t="n"/>
    </row>
    <row r="62">
      <c r="B62" s="16" t="n"/>
      <c r="C62" s="16" t="n"/>
      <c r="D62" s="16" t="n"/>
      <c r="E62" s="16" t="n"/>
      <c r="F62" s="16" t="n"/>
      <c r="G62" s="16" t="n"/>
      <c r="H62" s="16" t="n"/>
      <c r="I62" s="16" t="n"/>
      <c r="J62" s="16" t="n"/>
    </row>
    <row r="63">
      <c r="B63" s="16" t="n"/>
      <c r="C63" s="16" t="n"/>
      <c r="D63" s="16" t="n"/>
      <c r="E63" s="16" t="n"/>
      <c r="F63" s="16" t="n"/>
      <c r="G63" s="16" t="n"/>
      <c r="H63" s="16" t="n"/>
      <c r="I63" s="16" t="n"/>
      <c r="J63" s="16" t="n"/>
    </row>
    <row r="64">
      <c r="B64" s="16" t="n"/>
      <c r="C64" s="16" t="n"/>
      <c r="D64" s="16" t="n"/>
      <c r="E64" s="16" t="n"/>
      <c r="F64" s="16" t="n"/>
      <c r="G64" s="16" t="n"/>
      <c r="H64" s="16" t="n"/>
      <c r="I64" s="16" t="n"/>
      <c r="J64" s="16" t="n"/>
    </row>
    <row r="65">
      <c r="B65" s="16" t="n"/>
      <c r="C65" s="16" t="n"/>
      <c r="D65" s="16" t="n"/>
      <c r="E65" s="16" t="n"/>
      <c r="F65" s="16" t="n"/>
      <c r="G65" s="16" t="n"/>
      <c r="H65" s="16" t="n"/>
      <c r="I65" s="16" t="n"/>
      <c r="J65" s="16" t="n"/>
    </row>
    <row r="66">
      <c r="B66" s="16" t="n"/>
      <c r="C66" s="16" t="n"/>
      <c r="D66" s="16" t="n"/>
      <c r="E66" s="16" t="n"/>
      <c r="F66" s="16" t="n"/>
      <c r="G66" s="16" t="n"/>
      <c r="H66" s="16" t="n"/>
      <c r="I66" s="16" t="n"/>
      <c r="J66" s="16" t="n"/>
    </row>
    <row r="67">
      <c r="B67" s="16" t="n"/>
      <c r="C67" s="16" t="n"/>
      <c r="D67" s="16" t="n"/>
      <c r="E67" s="16" t="n"/>
      <c r="F67" s="16" t="n"/>
      <c r="G67" s="16" t="n"/>
      <c r="H67" s="16" t="n"/>
      <c r="I67" s="16" t="n"/>
      <c r="J67" s="16" t="n"/>
    </row>
    <row r="68">
      <c r="B68" s="16" t="n"/>
      <c r="C68" s="16" t="n"/>
      <c r="D68" s="16" t="n"/>
      <c r="E68" s="16" t="n"/>
      <c r="F68" s="16" t="n"/>
      <c r="G68" s="16" t="n"/>
      <c r="H68" s="16" t="n"/>
      <c r="I68" s="16" t="n"/>
      <c r="J68" s="16" t="n"/>
    </row>
    <row r="69">
      <c r="B69" s="16" t="n"/>
      <c r="C69" s="16" t="n"/>
      <c r="D69" s="16" t="n"/>
      <c r="E69" s="16" t="n"/>
      <c r="F69" s="16" t="n"/>
      <c r="G69" s="16" t="n"/>
      <c r="H69" s="16" t="n"/>
      <c r="I69" s="16" t="n"/>
      <c r="J69" s="16" t="n"/>
    </row>
    <row r="70">
      <c r="B70" s="16" t="n"/>
      <c r="C70" s="16" t="n"/>
      <c r="D70" s="16" t="n"/>
      <c r="E70" s="16" t="n"/>
      <c r="F70" s="16" t="n"/>
      <c r="G70" s="16" t="n"/>
      <c r="H70" s="16" t="n"/>
      <c r="I70" s="16" t="n"/>
      <c r="J70" s="16" t="n"/>
    </row>
    <row r="71">
      <c r="B71" s="16" t="n"/>
      <c r="C71" s="16" t="n"/>
      <c r="D71" s="16" t="n"/>
      <c r="E71" s="16" t="n"/>
      <c r="F71" s="16" t="n"/>
      <c r="G71" s="16" t="n"/>
      <c r="H71" s="16" t="n"/>
      <c r="I71" s="16" t="n"/>
      <c r="J71" s="16" t="n"/>
    </row>
    <row r="72">
      <c r="B72" s="16" t="n"/>
      <c r="C72" s="16" t="n"/>
      <c r="D72" s="16" t="n"/>
      <c r="E72" s="16" t="n"/>
      <c r="F72" s="16" t="n"/>
      <c r="G72" s="16" t="n"/>
      <c r="H72" s="16" t="n"/>
      <c r="I72" s="16" t="n"/>
      <c r="J72" s="16" t="n"/>
    </row>
    <row r="73">
      <c r="B73" s="16" t="n"/>
      <c r="C73" s="16" t="n"/>
      <c r="D73" s="16" t="n"/>
      <c r="E73" s="16" t="n"/>
      <c r="F73" s="16" t="n"/>
      <c r="G73" s="16" t="n"/>
      <c r="H73" s="16" t="n"/>
      <c r="I73" s="16" t="n"/>
      <c r="J73" s="16" t="n"/>
    </row>
    <row r="74">
      <c r="B74" s="16" t="n"/>
      <c r="C74" s="16" t="n"/>
      <c r="D74" s="16" t="n"/>
      <c r="E74" s="16" t="n"/>
      <c r="F74" s="16" t="n"/>
      <c r="G74" s="16" t="n"/>
      <c r="H74" s="16" t="n"/>
      <c r="I74" s="16" t="n"/>
      <c r="J74" s="16" t="n"/>
    </row>
    <row r="75">
      <c r="B75" s="16" t="n"/>
      <c r="C75" s="16" t="n"/>
      <c r="D75" s="16" t="n"/>
      <c r="E75" s="16" t="n"/>
      <c r="F75" s="16" t="n"/>
      <c r="G75" s="16" t="n"/>
      <c r="H75" s="16" t="n"/>
      <c r="I75" s="16" t="n"/>
      <c r="J75" s="16" t="n"/>
    </row>
    <row r="76">
      <c r="B76" s="16" t="n"/>
      <c r="C76" s="16" t="n"/>
      <c r="D76" s="16" t="n"/>
      <c r="E76" s="16" t="n"/>
      <c r="F76" s="16" t="n"/>
      <c r="G76" s="16" t="n"/>
      <c r="H76" s="16" t="n"/>
      <c r="I76" s="16" t="n"/>
      <c r="J76" s="16" t="n"/>
    </row>
    <row r="77">
      <c r="B77" s="16" t="n"/>
      <c r="C77" s="16" t="n"/>
      <c r="D77" s="16" t="n"/>
      <c r="E77" s="16" t="n"/>
      <c r="F77" s="16" t="n"/>
      <c r="G77" s="16" t="n"/>
      <c r="H77" s="16" t="n"/>
      <c r="I77" s="16" t="n"/>
      <c r="J77" s="16" t="n"/>
    </row>
    <row r="78">
      <c r="B78" s="16" t="n"/>
      <c r="C78" s="16" t="n"/>
      <c r="D78" s="16" t="n"/>
      <c r="E78" s="16" t="n"/>
      <c r="F78" s="16" t="n"/>
      <c r="G78" s="16" t="n"/>
      <c r="H78" s="16" t="n"/>
      <c r="I78" s="16" t="n"/>
      <c r="J78" s="16" t="n"/>
    </row>
    <row r="79">
      <c r="B79" s="16" t="n"/>
      <c r="C79" s="16" t="n"/>
      <c r="D79" s="16" t="n"/>
      <c r="E79" s="16" t="n"/>
      <c r="F79" s="16" t="n"/>
      <c r="G79" s="16" t="n"/>
      <c r="H79" s="16" t="n"/>
      <c r="I79" s="16" t="n"/>
      <c r="J79" s="16" t="n"/>
    </row>
    <row r="80">
      <c r="B80" s="16" t="n"/>
      <c r="C80" s="16" t="n"/>
      <c r="D80" s="16" t="n"/>
      <c r="E80" s="16" t="n"/>
      <c r="F80" s="16" t="n"/>
      <c r="G80" s="16" t="n"/>
      <c r="H80" s="16" t="n"/>
      <c r="I80" s="16" t="n"/>
      <c r="J80" s="16" t="n"/>
    </row>
    <row r="82">
      <c r="A82" s="13" t="inlineStr">
        <is>
          <t>SECTION C: SUMMARY METRICS</t>
        </is>
      </c>
    </row>
    <row r="83">
      <c r="A83" s="18" t="inlineStr">
        <is>
          <t>Total dashboards configured:</t>
        </is>
      </c>
      <c r="B83" s="19">
        <f>COUNTA(B6:B56)</f>
        <v/>
      </c>
    </row>
    <row r="84">
      <c r="A84" s="18" t="inlineStr">
        <is>
          <t>Dashboards with alerting:</t>
        </is>
      </c>
      <c r="B84" s="19">
        <f>COUNTIF(H6:H56,"Yes")</f>
        <v/>
      </c>
    </row>
    <row r="85">
      <c r="A85" s="18" t="inlineStr">
        <is>
          <t>Real-time dashboards:</t>
        </is>
      </c>
      <c r="B85" s="19">
        <f>COUNTIF(E6:E56,"Real-Time")</f>
        <v/>
      </c>
    </row>
    <row r="86">
      <c r="A86" s="18" t="inlineStr">
        <is>
          <t>KPIs defined:</t>
        </is>
      </c>
      <c r="B86" s="19">
        <f>COUNTA(B60:B80)</f>
        <v/>
      </c>
    </row>
    <row r="87">
      <c r="A87" s="18" t="inlineStr">
        <is>
          <t>KPIs meeting target:</t>
        </is>
      </c>
      <c r="B87" s="19">
        <f>COUNTIF(J60:J80,"Met")</f>
        <v/>
      </c>
    </row>
    <row r="88">
      <c r="A88" s="18" t="inlineStr">
        <is>
          <t>KPIs at risk:</t>
        </is>
      </c>
      <c r="B88" s="19">
        <f>COUNTIF(J60:J80,"At_Risk")+COUNTIF(J60:J80,"Not_Met")</f>
        <v/>
      </c>
    </row>
  </sheetData>
  <mergeCells count="5">
    <mergeCell ref="A1:J1"/>
    <mergeCell ref="A58:J58"/>
    <mergeCell ref="A82:D82"/>
    <mergeCell ref="A4:J4"/>
    <mergeCell ref="A2:J2"/>
  </mergeCells>
  <dataValidations count="10">
    <dataValidation sqref="C6:C56" showDropDown="0" showInputMessage="0" showErrorMessage="0" allowBlank="1" errorTitle="Invalid Entry" error="Please select from dropdown" promptTitle="Available Options" prompt="Select from list" type="list">
      <formula1>"SIEM,Filtering_Console,Custom,PowerBI,Grafana,Splunk,Cloud_Native,Excel,Other"</formula1>
    </dataValidation>
    <dataValidation sqref="D6:D56" showDropDown="0" showInputMessage="0" showErrorMessage="0" allowBlank="1" errorTitle="Invalid Entry" error="Please select from dropdown" promptTitle="Available Options" prompt="Select from list" type="list">
      <formula1>"SOC,Management,IT_Ops,Compliance,CISO,All,Security_Team"</formula1>
    </dataValidation>
    <dataValidation sqref="E6:E56" showDropDown="0" showInputMessage="0" showErrorMessage="0" allowBlank="1" errorTitle="Invalid Entry" error="Please select from dropdown" promptTitle="Available Options" prompt="Select from list" type="list">
      <formula1>"Real-Time,Hourly,Daily,Weekly,Monthly"</formula1>
    </dataValidation>
    <dataValidation sqref="F6:F56" showDropDown="0" showInputMessage="0" showErrorMessage="0" allowBlank="1" errorTitle="Invalid Entry" error="Please select from dropdown" promptTitle="Available Options" prompt="Select from list" type="list">
      <formula1>"Real-Time,Hourly,Daily,Weekly,Monthly"</formula1>
    </dataValidation>
    <dataValidation sqref="H6:H56" showDropDown="0" showInputMessage="0" showErrorMessage="0" allowBlank="1" errorTitle="Invalid Entry" error="Please select from dropdown" promptTitle="Available Options" prompt="Select from list" type="list">
      <formula1>"Yes,No"</formula1>
    </dataValidation>
    <dataValidation sqref="I6:I56" showDropDown="0" showInputMessage="0" showErrorMessage="0" allowBlank="1" errorTitle="Invalid Entry" error="Please select from dropdown" promptTitle="Available Options" prompt="Select from list" type="list">
      <formula1>"✅ Implemented,⚠️ Partial,⟳ Planned,❌ Not Implemented,N/A"</formula1>
    </dataValidation>
    <dataValidation sqref="C60:C80" showDropDown="0" showInputMessage="0" showErrorMessage="0" allowBlank="1" errorTitle="Invalid Entry" error="Please select from dropdown" promptTitle="Available Options" prompt="Select from list" type="list">
      <formula1>"Volume,Security,Performance,Compliance,Operational"</formula1>
    </dataValidation>
    <dataValidation sqref="G60:G80" showDropDown="0" showInputMessage="0" showErrorMessage="0" allowBlank="1" errorTitle="Invalid Entry" error="Please select from dropdown" promptTitle="Available Options" prompt="Select from list" type="list">
      <formula1>"Improving,Stable,Degrading,New,Increasing,Decreasing"</formula1>
    </dataValidation>
    <dataValidation sqref="H60:H80" showDropDown="0" showInputMessage="0" showErrorMessage="0" allowBlank="1" errorTitle="Invalid Entry" error="Please select from dropdown" promptTitle="Available Options" prompt="Select from list" type="list">
      <formula1>"Daily,Weekly,Monthly,Quarterly,Annual,Ad-hoc"</formula1>
    </dataValidation>
    <dataValidation sqref="J60:J80" showDropDown="0" showInputMessage="0" showErrorMessage="0" allowBlank="1" errorTitle="Invalid Entry" error="Please select from dropdown" promptTitle="Available Options" prompt="Select from list" type="list">
      <formula1>"Met,Not_Met,At_Risk,New"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0"/>
  <sheetViews>
    <sheetView showGridLines="0" workbookViewId="0">
      <pane ySplit="5" topLeftCell="A6" activePane="bottomLeft" state="frozen"/>
      <selection pane="bottomLeft" activeCell="A1" sqref="A1"/>
    </sheetView>
  </sheetViews>
  <sheetFormatPr baseColWidth="8" defaultRowHeight="15"/>
  <cols>
    <col width="14" customWidth="1" min="1" max="1"/>
    <col width="32" customWidth="1" min="2" max="2"/>
    <col width="16" customWidth="1" min="3" max="3"/>
    <col width="20" customWidth="1" min="4" max="4"/>
    <col width="20" customWidth="1" min="5" max="5"/>
    <col width="20" customWidth="1" min="6" max="6"/>
    <col width="30" customWidth="1" min="7" max="7"/>
    <col width="20" customWidth="1" min="8" max="8"/>
    <col width="14" customWidth="1" min="9" max="9"/>
    <col width="20" customWidth="1" min="10" max="10"/>
  </cols>
  <sheetData>
    <row r="1" ht="35" customHeight="1">
      <c r="A1" s="11" t="inlineStr">
        <is>
          <t>INCIDENT RESPONSE ASSESSMENT</t>
        </is>
      </c>
    </row>
    <row r="2">
      <c r="A2" s="12" t="inlineStr">
        <is>
          <t>Document incident categories, SLAs, response procedures, and performance metrics</t>
        </is>
      </c>
    </row>
    <row r="4">
      <c r="A4" s="13" t="inlineStr">
        <is>
          <t>SECTION A: INCIDENT CATEGORIES &amp; SLAs</t>
        </is>
      </c>
    </row>
    <row r="5">
      <c r="A5" s="14" t="inlineStr">
        <is>
          <t>Category_ID</t>
        </is>
      </c>
      <c r="B5" s="14" t="inlineStr">
        <is>
          <t>Incident_Category</t>
        </is>
      </c>
      <c r="C5" s="14" t="inlineStr">
        <is>
          <t>Default_Severity</t>
        </is>
      </c>
      <c r="D5" s="14" t="inlineStr">
        <is>
          <t>Response_SLA_Min</t>
        </is>
      </c>
      <c r="E5" s="14" t="inlineStr">
        <is>
          <t>Resolution_SLA_Hrs</t>
        </is>
      </c>
      <c r="F5" s="14" t="inlineStr">
        <is>
          <t>Escalation_Threshold</t>
        </is>
      </c>
      <c r="G5" s="14" t="inlineStr">
        <is>
          <t>Response_Procedure</t>
        </is>
      </c>
      <c r="H5" s="14" t="inlineStr">
        <is>
          <t>Owner_Role</t>
        </is>
      </c>
      <c r="I5" s="14" t="inlineStr">
        <is>
          <t>Status</t>
        </is>
      </c>
    </row>
    <row r="6">
      <c r="A6" s="15" t="inlineStr">
        <is>
          <t>CAT-001</t>
        </is>
      </c>
      <c r="B6" s="22" t="inlineStr">
        <is>
          <t>Malware delivery attempt</t>
        </is>
      </c>
      <c r="C6" s="22" t="inlineStr">
        <is>
          <t>Critical</t>
        </is>
      </c>
      <c r="D6" s="22" t="n">
        <v>15</v>
      </c>
      <c r="E6" s="22" t="n">
        <v>4</v>
      </c>
      <c r="F6" s="16" t="n"/>
      <c r="G6" s="16" t="n"/>
      <c r="H6" s="16" t="n"/>
      <c r="I6" s="16" t="n"/>
    </row>
    <row r="7">
      <c r="B7" s="16" t="n"/>
      <c r="C7" s="16" t="n"/>
      <c r="D7" s="16" t="n"/>
      <c r="E7" s="16" t="n"/>
      <c r="F7" s="16" t="n"/>
      <c r="G7" s="16" t="n"/>
      <c r="H7" s="16" t="n"/>
      <c r="I7" s="16" t="n"/>
    </row>
    <row r="8">
      <c r="B8" s="16" t="n"/>
      <c r="C8" s="16" t="n"/>
      <c r="D8" s="16" t="n"/>
      <c r="E8" s="16" t="n"/>
      <c r="F8" s="16" t="n"/>
      <c r="G8" s="16" t="n"/>
      <c r="H8" s="16" t="n"/>
      <c r="I8" s="16" t="n"/>
    </row>
    <row r="9">
      <c r="B9" s="16" t="n"/>
      <c r="C9" s="16" t="n"/>
      <c r="D9" s="16" t="n"/>
      <c r="E9" s="16" t="n"/>
      <c r="F9" s="16" t="n"/>
      <c r="G9" s="16" t="n"/>
      <c r="H9" s="16" t="n"/>
      <c r="I9" s="16" t="n"/>
    </row>
    <row r="10">
      <c r="B10" s="16" t="n"/>
      <c r="C10" s="16" t="n"/>
      <c r="D10" s="16" t="n"/>
      <c r="E10" s="16" t="n"/>
      <c r="F10" s="16" t="n"/>
      <c r="G10" s="16" t="n"/>
      <c r="H10" s="16" t="n"/>
      <c r="I10" s="16" t="n"/>
    </row>
    <row r="11">
      <c r="B11" s="16" t="n"/>
      <c r="C11" s="16" t="n"/>
      <c r="D11" s="16" t="n"/>
      <c r="E11" s="16" t="n"/>
      <c r="F11" s="16" t="n"/>
      <c r="G11" s="16" t="n"/>
      <c r="H11" s="16" t="n"/>
      <c r="I11" s="16" t="n"/>
    </row>
    <row r="12">
      <c r="B12" s="16" t="n"/>
      <c r="C12" s="16" t="n"/>
      <c r="D12" s="16" t="n"/>
      <c r="E12" s="16" t="n"/>
      <c r="F12" s="16" t="n"/>
      <c r="G12" s="16" t="n"/>
      <c r="H12" s="16" t="n"/>
      <c r="I12" s="16" t="n"/>
    </row>
    <row r="13">
      <c r="B13" s="16" t="n"/>
      <c r="C13" s="16" t="n"/>
      <c r="D13" s="16" t="n"/>
      <c r="E13" s="16" t="n"/>
      <c r="F13" s="16" t="n"/>
      <c r="G13" s="16" t="n"/>
      <c r="H13" s="16" t="n"/>
      <c r="I13" s="16" t="n"/>
    </row>
    <row r="14">
      <c r="B14" s="16" t="n"/>
      <c r="C14" s="16" t="n"/>
      <c r="D14" s="16" t="n"/>
      <c r="E14" s="16" t="n"/>
      <c r="F14" s="16" t="n"/>
      <c r="G14" s="16" t="n"/>
      <c r="H14" s="16" t="n"/>
      <c r="I14" s="16" t="n"/>
    </row>
    <row r="15">
      <c r="B15" s="16" t="n"/>
      <c r="C15" s="16" t="n"/>
      <c r="D15" s="16" t="n"/>
      <c r="E15" s="16" t="n"/>
      <c r="F15" s="16" t="n"/>
      <c r="G15" s="16" t="n"/>
      <c r="H15" s="16" t="n"/>
      <c r="I15" s="16" t="n"/>
    </row>
    <row r="16">
      <c r="B16" s="16" t="n"/>
      <c r="C16" s="16" t="n"/>
      <c r="D16" s="16" t="n"/>
      <c r="E16" s="16" t="n"/>
      <c r="F16" s="16" t="n"/>
      <c r="G16" s="16" t="n"/>
      <c r="H16" s="16" t="n"/>
      <c r="I16" s="16" t="n"/>
    </row>
    <row r="17">
      <c r="B17" s="16" t="n"/>
      <c r="C17" s="16" t="n"/>
      <c r="D17" s="16" t="n"/>
      <c r="E17" s="16" t="n"/>
      <c r="F17" s="16" t="n"/>
      <c r="G17" s="16" t="n"/>
      <c r="H17" s="16" t="n"/>
      <c r="I17" s="16" t="n"/>
    </row>
    <row r="18">
      <c r="B18" s="16" t="n"/>
      <c r="C18" s="16" t="n"/>
      <c r="D18" s="16" t="n"/>
      <c r="E18" s="16" t="n"/>
      <c r="F18" s="16" t="n"/>
      <c r="G18" s="16" t="n"/>
      <c r="H18" s="16" t="n"/>
      <c r="I18" s="16" t="n"/>
    </row>
    <row r="19">
      <c r="B19" s="16" t="n"/>
      <c r="C19" s="16" t="n"/>
      <c r="D19" s="16" t="n"/>
      <c r="E19" s="16" t="n"/>
      <c r="F19" s="16" t="n"/>
      <c r="G19" s="16" t="n"/>
      <c r="H19" s="16" t="n"/>
      <c r="I19" s="16" t="n"/>
    </row>
    <row r="20">
      <c r="B20" s="16" t="n"/>
      <c r="C20" s="16" t="n"/>
      <c r="D20" s="16" t="n"/>
      <c r="E20" s="16" t="n"/>
      <c r="F20" s="16" t="n"/>
      <c r="G20" s="16" t="n"/>
      <c r="H20" s="16" t="n"/>
      <c r="I20" s="16" t="n"/>
    </row>
    <row r="21">
      <c r="B21" s="16" t="n"/>
      <c r="C21" s="16" t="n"/>
      <c r="D21" s="16" t="n"/>
      <c r="E21" s="16" t="n"/>
      <c r="F21" s="16" t="n"/>
      <c r="G21" s="16" t="n"/>
      <c r="H21" s="16" t="n"/>
      <c r="I21" s="16" t="n"/>
    </row>
    <row r="24">
      <c r="A24" s="13" t="inlineStr">
        <is>
          <t>SECTION B: SLA PERFORMANCE (Last 90 Days)</t>
        </is>
      </c>
    </row>
    <row r="25">
      <c r="A25" s="21" t="inlineStr">
        <is>
          <t>Metric</t>
        </is>
      </c>
      <c r="B25" s="21" t="inlineStr">
        <is>
          <t>Target</t>
        </is>
      </c>
      <c r="C25" s="21" t="inlineStr">
        <is>
          <t>Actual</t>
        </is>
      </c>
      <c r="D25" s="21" t="inlineStr">
        <is>
          <t>Status</t>
        </is>
      </c>
      <c r="E25" s="21" t="inlineStr">
        <is>
          <t>Notes</t>
        </is>
      </c>
    </row>
    <row r="26">
      <c r="A26" s="19" t="inlineStr">
        <is>
          <t>Critical incident response time</t>
        </is>
      </c>
      <c r="B26" s="19" t="inlineStr">
        <is>
          <t>&lt;15 min</t>
        </is>
      </c>
      <c r="C26" s="23" t="n"/>
      <c r="D26" s="23" t="n"/>
      <c r="E26" s="23" t="n"/>
    </row>
    <row r="27">
      <c r="A27" s="19" t="inlineStr">
        <is>
          <t>High incident response time</t>
        </is>
      </c>
      <c r="B27" s="19" t="inlineStr">
        <is>
          <t>&lt;30 min</t>
        </is>
      </c>
      <c r="C27" s="23" t="n"/>
      <c r="D27" s="23" t="n"/>
      <c r="E27" s="23" t="n"/>
    </row>
    <row r="28">
      <c r="A28" s="19" t="inlineStr">
        <is>
          <t>Medium incident response time</t>
        </is>
      </c>
      <c r="B28" s="19" t="inlineStr">
        <is>
          <t>&lt;60 min</t>
        </is>
      </c>
      <c r="C28" s="23" t="n"/>
      <c r="D28" s="23" t="n"/>
      <c r="E28" s="23" t="n"/>
    </row>
    <row r="29">
      <c r="A29" s="19" t="inlineStr">
        <is>
          <t>Low incident response time</t>
        </is>
      </c>
      <c r="B29" s="19" t="inlineStr">
        <is>
          <t>&lt;4 hours</t>
        </is>
      </c>
      <c r="C29" s="23" t="n"/>
      <c r="D29" s="23" t="n"/>
      <c r="E29" s="23" t="n"/>
    </row>
    <row r="30">
      <c r="A30" s="19" t="inlineStr">
        <is>
          <t>Critical resolution time</t>
        </is>
      </c>
      <c r="B30" s="19" t="inlineStr">
        <is>
          <t>&lt;4 hours</t>
        </is>
      </c>
      <c r="C30" s="23" t="n"/>
      <c r="D30" s="23" t="n"/>
      <c r="E30" s="23" t="n"/>
    </row>
    <row r="31">
      <c r="A31" s="19" t="inlineStr">
        <is>
          <t>High resolution time</t>
        </is>
      </c>
      <c r="B31" s="19" t="inlineStr">
        <is>
          <t>&lt;8 hours</t>
        </is>
      </c>
      <c r="C31" s="23" t="n"/>
      <c r="D31" s="23" t="n"/>
      <c r="E31" s="23" t="n"/>
    </row>
    <row r="32">
      <c r="A32" s="19" t="inlineStr">
        <is>
          <t>Medium resolution time</t>
        </is>
      </c>
      <c r="B32" s="19" t="inlineStr">
        <is>
          <t>&lt;24 hours</t>
        </is>
      </c>
      <c r="C32" s="23" t="n"/>
      <c r="D32" s="23" t="n"/>
      <c r="E32" s="23" t="n"/>
    </row>
    <row r="33">
      <c r="A33" s="19" t="inlineStr">
        <is>
          <t>Overall SLA compliance rate</t>
        </is>
      </c>
      <c r="B33" s="19" t="inlineStr">
        <is>
          <t>&gt;95%</t>
        </is>
      </c>
      <c r="C33" s="23" t="n"/>
      <c r="D33" s="23" t="n"/>
      <c r="E33" s="23" t="n"/>
    </row>
    <row r="34">
      <c r="A34" s="19" t="inlineStr">
        <is>
          <t>Mean time to detect (MTTD)</t>
        </is>
      </c>
      <c r="B34" s="19" t="inlineStr">
        <is>
          <t>&lt;5 min</t>
        </is>
      </c>
      <c r="C34" s="23" t="n"/>
      <c r="D34" s="23" t="n"/>
      <c r="E34" s="23" t="n"/>
    </row>
    <row r="35">
      <c r="A35" s="19" t="inlineStr">
        <is>
          <t>Mean time to respond (MTTR)</t>
        </is>
      </c>
      <c r="B35" s="19" t="inlineStr">
        <is>
          <t>&lt;30 min</t>
        </is>
      </c>
      <c r="C35" s="23" t="n"/>
      <c r="D35" s="23" t="n"/>
      <c r="E35" s="23" t="n"/>
    </row>
    <row r="38">
      <c r="A38" s="13" t="inlineStr">
        <is>
          <t>SECTION C: RECENT INCIDENT SUMMARY (Last 20 Incidents)</t>
        </is>
      </c>
    </row>
    <row r="39">
      <c r="A39" s="14" t="inlineStr">
        <is>
          <t>Incident_ID</t>
        </is>
      </c>
      <c r="B39" s="14" t="inlineStr">
        <is>
          <t>Date_Detected</t>
        </is>
      </c>
      <c r="C39" s="14" t="inlineStr">
        <is>
          <t>Category</t>
        </is>
      </c>
      <c r="D39" s="14" t="inlineStr">
        <is>
          <t>Severity</t>
        </is>
      </c>
      <c r="E39" s="14" t="inlineStr">
        <is>
          <t>Response_Time_Min</t>
        </is>
      </c>
      <c r="F39" s="14" t="inlineStr">
        <is>
          <t>Resolution_Time_Hrs</t>
        </is>
      </c>
      <c r="G39" s="14" t="inlineStr">
        <is>
          <t>SLA_Met</t>
        </is>
      </c>
      <c r="H39" s="14" t="inlineStr">
        <is>
          <t>Root_Cause</t>
        </is>
      </c>
      <c r="I39" s="14" t="inlineStr">
        <is>
          <t>Lessons_Learned</t>
        </is>
      </c>
      <c r="J39" s="14" t="inlineStr">
        <is>
          <t>Evidence_Ref</t>
        </is>
      </c>
    </row>
    <row r="40">
      <c r="A40" s="15" t="inlineStr">
        <is>
          <t>INC-001</t>
        </is>
      </c>
      <c r="B40" s="16" t="n"/>
      <c r="C40" s="16" t="n"/>
      <c r="D40" s="16" t="n"/>
      <c r="E40" s="16" t="n"/>
      <c r="F40" s="16" t="n"/>
      <c r="G40" s="16" t="n"/>
      <c r="H40" s="16" t="n"/>
      <c r="I40" s="16" t="n"/>
      <c r="J40" s="16" t="n"/>
    </row>
    <row r="41">
      <c r="B41" s="16" t="n"/>
      <c r="C41" s="16" t="n"/>
      <c r="D41" s="16" t="n"/>
      <c r="E41" s="16" t="n"/>
      <c r="F41" s="16" t="n"/>
      <c r="G41" s="16" t="n"/>
      <c r="H41" s="16" t="n"/>
      <c r="I41" s="16" t="n"/>
      <c r="J41" s="16" t="n"/>
    </row>
    <row r="42">
      <c r="B42" s="16" t="n"/>
      <c r="C42" s="16" t="n"/>
      <c r="D42" s="16" t="n"/>
      <c r="E42" s="16" t="n"/>
      <c r="F42" s="16" t="n"/>
      <c r="G42" s="16" t="n"/>
      <c r="H42" s="16" t="n"/>
      <c r="I42" s="16" t="n"/>
      <c r="J42" s="16" t="n"/>
    </row>
    <row r="43">
      <c r="B43" s="16" t="n"/>
      <c r="C43" s="16" t="n"/>
      <c r="D43" s="16" t="n"/>
      <c r="E43" s="16" t="n"/>
      <c r="F43" s="16" t="n"/>
      <c r="G43" s="16" t="n"/>
      <c r="H43" s="16" t="n"/>
      <c r="I43" s="16" t="n"/>
      <c r="J43" s="16" t="n"/>
    </row>
    <row r="44">
      <c r="B44" s="16" t="n"/>
      <c r="C44" s="16" t="n"/>
      <c r="D44" s="16" t="n"/>
      <c r="E44" s="16" t="n"/>
      <c r="F44" s="16" t="n"/>
      <c r="G44" s="16" t="n"/>
      <c r="H44" s="16" t="n"/>
      <c r="I44" s="16" t="n"/>
      <c r="J44" s="16" t="n"/>
    </row>
    <row r="45">
      <c r="B45" s="16" t="n"/>
      <c r="C45" s="16" t="n"/>
      <c r="D45" s="16" t="n"/>
      <c r="E45" s="16" t="n"/>
      <c r="F45" s="16" t="n"/>
      <c r="G45" s="16" t="n"/>
      <c r="H45" s="16" t="n"/>
      <c r="I45" s="16" t="n"/>
      <c r="J45" s="16" t="n"/>
    </row>
    <row r="46">
      <c r="B46" s="16" t="n"/>
      <c r="C46" s="16" t="n"/>
      <c r="D46" s="16" t="n"/>
      <c r="E46" s="16" t="n"/>
      <c r="F46" s="16" t="n"/>
      <c r="G46" s="16" t="n"/>
      <c r="H46" s="16" t="n"/>
      <c r="I46" s="16" t="n"/>
      <c r="J46" s="16" t="n"/>
    </row>
    <row r="47">
      <c r="B47" s="16" t="n"/>
      <c r="C47" s="16" t="n"/>
      <c r="D47" s="16" t="n"/>
      <c r="E47" s="16" t="n"/>
      <c r="F47" s="16" t="n"/>
      <c r="G47" s="16" t="n"/>
      <c r="H47" s="16" t="n"/>
      <c r="I47" s="16" t="n"/>
      <c r="J47" s="16" t="n"/>
    </row>
    <row r="48">
      <c r="B48" s="16" t="n"/>
      <c r="C48" s="16" t="n"/>
      <c r="D48" s="16" t="n"/>
      <c r="E48" s="16" t="n"/>
      <c r="F48" s="16" t="n"/>
      <c r="G48" s="16" t="n"/>
      <c r="H48" s="16" t="n"/>
      <c r="I48" s="16" t="n"/>
      <c r="J48" s="16" t="n"/>
    </row>
    <row r="49">
      <c r="B49" s="16" t="n"/>
      <c r="C49" s="16" t="n"/>
      <c r="D49" s="16" t="n"/>
      <c r="E49" s="16" t="n"/>
      <c r="F49" s="16" t="n"/>
      <c r="G49" s="16" t="n"/>
      <c r="H49" s="16" t="n"/>
      <c r="I49" s="16" t="n"/>
      <c r="J49" s="16" t="n"/>
    </row>
    <row r="50">
      <c r="B50" s="16" t="n"/>
      <c r="C50" s="16" t="n"/>
      <c r="D50" s="16" t="n"/>
      <c r="E50" s="16" t="n"/>
      <c r="F50" s="16" t="n"/>
      <c r="G50" s="16" t="n"/>
      <c r="H50" s="16" t="n"/>
      <c r="I50" s="16" t="n"/>
      <c r="J50" s="16" t="n"/>
    </row>
    <row r="51">
      <c r="B51" s="16" t="n"/>
      <c r="C51" s="16" t="n"/>
      <c r="D51" s="16" t="n"/>
      <c r="E51" s="16" t="n"/>
      <c r="F51" s="16" t="n"/>
      <c r="G51" s="16" t="n"/>
      <c r="H51" s="16" t="n"/>
      <c r="I51" s="16" t="n"/>
      <c r="J51" s="16" t="n"/>
    </row>
    <row r="52">
      <c r="B52" s="16" t="n"/>
      <c r="C52" s="16" t="n"/>
      <c r="D52" s="16" t="n"/>
      <c r="E52" s="16" t="n"/>
      <c r="F52" s="16" t="n"/>
      <c r="G52" s="16" t="n"/>
      <c r="H52" s="16" t="n"/>
      <c r="I52" s="16" t="n"/>
      <c r="J52" s="16" t="n"/>
    </row>
    <row r="53">
      <c r="B53" s="16" t="n"/>
      <c r="C53" s="16" t="n"/>
      <c r="D53" s="16" t="n"/>
      <c r="E53" s="16" t="n"/>
      <c r="F53" s="16" t="n"/>
      <c r="G53" s="16" t="n"/>
      <c r="H53" s="16" t="n"/>
      <c r="I53" s="16" t="n"/>
      <c r="J53" s="16" t="n"/>
    </row>
    <row r="54">
      <c r="B54" s="16" t="n"/>
      <c r="C54" s="16" t="n"/>
      <c r="D54" s="16" t="n"/>
      <c r="E54" s="16" t="n"/>
      <c r="F54" s="16" t="n"/>
      <c r="G54" s="16" t="n"/>
      <c r="H54" s="16" t="n"/>
      <c r="I54" s="16" t="n"/>
      <c r="J54" s="16" t="n"/>
    </row>
    <row r="55">
      <c r="B55" s="16" t="n"/>
      <c r="C55" s="16" t="n"/>
      <c r="D55" s="16" t="n"/>
      <c r="E55" s="16" t="n"/>
      <c r="F55" s="16" t="n"/>
      <c r="G55" s="16" t="n"/>
      <c r="H55" s="16" t="n"/>
      <c r="I55" s="16" t="n"/>
      <c r="J55" s="16" t="n"/>
    </row>
    <row r="56">
      <c r="B56" s="16" t="n"/>
      <c r="C56" s="16" t="n"/>
      <c r="D56" s="16" t="n"/>
      <c r="E56" s="16" t="n"/>
      <c r="F56" s="16" t="n"/>
      <c r="G56" s="16" t="n"/>
      <c r="H56" s="16" t="n"/>
      <c r="I56" s="16" t="n"/>
      <c r="J56" s="16" t="n"/>
    </row>
    <row r="57">
      <c r="B57" s="16" t="n"/>
      <c r="C57" s="16" t="n"/>
      <c r="D57" s="16" t="n"/>
      <c r="E57" s="16" t="n"/>
      <c r="F57" s="16" t="n"/>
      <c r="G57" s="16" t="n"/>
      <c r="H57" s="16" t="n"/>
      <c r="I57" s="16" t="n"/>
      <c r="J57" s="16" t="n"/>
    </row>
    <row r="58">
      <c r="B58" s="16" t="n"/>
      <c r="C58" s="16" t="n"/>
      <c r="D58" s="16" t="n"/>
      <c r="E58" s="16" t="n"/>
      <c r="F58" s="16" t="n"/>
      <c r="G58" s="16" t="n"/>
      <c r="H58" s="16" t="n"/>
      <c r="I58" s="16" t="n"/>
      <c r="J58" s="16" t="n"/>
    </row>
    <row r="59">
      <c r="B59" s="16" t="n"/>
      <c r="C59" s="16" t="n"/>
      <c r="D59" s="16" t="n"/>
      <c r="E59" s="16" t="n"/>
      <c r="F59" s="16" t="n"/>
      <c r="G59" s="16" t="n"/>
      <c r="H59" s="16" t="n"/>
      <c r="I59" s="16" t="n"/>
      <c r="J59" s="16" t="n"/>
    </row>
    <row r="60">
      <c r="B60" s="16" t="n"/>
      <c r="C60" s="16" t="n"/>
      <c r="D60" s="16" t="n"/>
      <c r="E60" s="16" t="n"/>
      <c r="F60" s="16" t="n"/>
      <c r="G60" s="16" t="n"/>
      <c r="H60" s="16" t="n"/>
      <c r="I60" s="16" t="n"/>
      <c r="J60" s="16" t="n"/>
    </row>
  </sheetData>
  <mergeCells count="5">
    <mergeCell ref="A1:J1"/>
    <mergeCell ref="A24:E24"/>
    <mergeCell ref="A38:J38"/>
    <mergeCell ref="A2:J2"/>
    <mergeCell ref="A4:I4"/>
  </mergeCells>
  <dataValidations count="5">
    <dataValidation sqref="C6:C21" showDropDown="0" showInputMessage="0" showErrorMessage="0" allowBlank="1" errorTitle="Invalid Entry" error="Please select from dropdown" promptTitle="Available Options" prompt="Select from list" type="list">
      <formula1>"Critical,High,Medium,Low,Informational"</formula1>
    </dataValidation>
    <dataValidation sqref="I6:I21" showDropDown="0" showInputMessage="0" showErrorMessage="0" allowBlank="1" errorTitle="Invalid Entry" error="Please select from dropdown" promptTitle="Available Options" prompt="Select from list" type="list">
      <formula1>"✅ Implemented,⚠️ Partial,⟳ Planned,❌ Not Implemented,N/A"</formula1>
    </dataValidation>
    <dataValidation sqref="D26:D35" showDropDown="0" showInputMessage="0" showErrorMessage="0" allowBlank="1" errorTitle="Invalid Entry" error="Please select from dropdown" promptTitle="Available Options" prompt="Select from list" type="list">
      <formula1>"Met,Not_Met,At_Risk,New"</formula1>
    </dataValidation>
    <dataValidation sqref="D40:D60" showDropDown="0" showInputMessage="0" showErrorMessage="0" allowBlank="1" errorTitle="Invalid Entry" error="Please select from dropdown" promptTitle="Available Options" prompt="Select from list" type="list">
      <formula1>"Critical,High,Medium,Low,Informational"</formula1>
    </dataValidation>
    <dataValidation sqref="G40:G60" showDropDown="0" showInputMessage="0" showErrorMessage="0" allowBlank="1" errorTitle="Invalid Entry" error="Please select from dropdown" promptTitle="Available Options" prompt="Select from list"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6"/>
  <sheetViews>
    <sheetView showGridLines="0" workbookViewId="0">
      <pane ySplit="5" topLeftCell="A6" activePane="bottomLeft" state="frozen"/>
      <selection pane="bottomLeft" activeCell="A1" sqref="A1"/>
    </sheetView>
  </sheetViews>
  <sheetFormatPr baseColWidth="8" defaultRowHeight="15"/>
  <cols>
    <col width="14" customWidth="1" min="1" max="1"/>
    <col width="30" customWidth="1" min="2" max="2"/>
    <col width="20" customWidth="1" min="3" max="3"/>
    <col width="20" customWidth="1" min="4" max="4"/>
    <col width="16" customWidth="1" min="5" max="5"/>
    <col width="25" customWidth="1" min="6" max="6"/>
    <col width="14" customWidth="1" min="7" max="7"/>
    <col width="16" customWidth="1" min="8" max="8"/>
    <col width="35" customWidth="1" min="9" max="9"/>
  </cols>
  <sheetData>
    <row r="1" ht="35" customHeight="1">
      <c r="A1" s="11" t="inlineStr">
        <is>
          <t>BLOCKED EVENTS ANALYSIS</t>
        </is>
      </c>
    </row>
    <row r="2">
      <c r="A2" s="12" t="inlineStr">
        <is>
          <t>Analyze patterns, trends, and categories of blocked web filtering events</t>
        </is>
      </c>
    </row>
    <row r="4">
      <c r="A4" s="13" t="inlineStr">
        <is>
          <t>SECTION A: BLOCKED EVENT CATEGORIES</t>
        </is>
      </c>
    </row>
    <row r="5">
      <c r="A5" s="14" t="inlineStr">
        <is>
          <t>Category_ID</t>
        </is>
      </c>
      <c r="B5" s="14" t="inlineStr">
        <is>
          <t>Block_Category</t>
        </is>
      </c>
      <c r="C5" s="14" t="inlineStr">
        <is>
          <t>Events_30_Days</t>
        </is>
      </c>
      <c r="D5" s="14" t="inlineStr">
        <is>
          <t>Events_90_Days</t>
        </is>
      </c>
      <c r="E5" s="14" t="inlineStr">
        <is>
          <t>Trend</t>
        </is>
      </c>
      <c r="F5" s="14" t="inlineStr">
        <is>
          <t>Top_Source</t>
        </is>
      </c>
      <c r="G5" s="14" t="inlineStr">
        <is>
          <t>Risk_Level</t>
        </is>
      </c>
      <c r="H5" s="14" t="inlineStr">
        <is>
          <t>Action_Required</t>
        </is>
      </c>
      <c r="I5" s="14" t="inlineStr">
        <is>
          <t>Notes</t>
        </is>
      </c>
    </row>
    <row r="6">
      <c r="A6" s="15" t="inlineStr">
        <is>
          <t>BLK-001</t>
        </is>
      </c>
      <c r="B6" s="22" t="inlineStr">
        <is>
          <t>Malware</t>
        </is>
      </c>
      <c r="C6" s="16" t="n"/>
      <c r="D6" s="16" t="n"/>
      <c r="E6" s="16" t="n"/>
      <c r="F6" s="16" t="n"/>
      <c r="G6" s="16" t="n"/>
      <c r="H6" s="16" t="n"/>
      <c r="I6" s="16" t="n"/>
    </row>
    <row r="7">
      <c r="B7" s="16" t="n"/>
      <c r="C7" s="16" t="n"/>
      <c r="D7" s="16" t="n"/>
      <c r="E7" s="16" t="n"/>
      <c r="F7" s="16" t="n"/>
      <c r="G7" s="16" t="n"/>
      <c r="H7" s="16" t="n"/>
      <c r="I7" s="16" t="n"/>
    </row>
    <row r="8">
      <c r="B8" s="16" t="n"/>
      <c r="C8" s="16" t="n"/>
      <c r="D8" s="16" t="n"/>
      <c r="E8" s="16" t="n"/>
      <c r="F8" s="16" t="n"/>
      <c r="G8" s="16" t="n"/>
      <c r="H8" s="16" t="n"/>
      <c r="I8" s="16" t="n"/>
    </row>
    <row r="9">
      <c r="B9" s="16" t="n"/>
      <c r="C9" s="16" t="n"/>
      <c r="D9" s="16" t="n"/>
      <c r="E9" s="16" t="n"/>
      <c r="F9" s="16" t="n"/>
      <c r="G9" s="16" t="n"/>
      <c r="H9" s="16" t="n"/>
      <c r="I9" s="16" t="n"/>
    </row>
    <row r="10">
      <c r="B10" s="16" t="n"/>
      <c r="C10" s="16" t="n"/>
      <c r="D10" s="16" t="n"/>
      <c r="E10" s="16" t="n"/>
      <c r="F10" s="16" t="n"/>
      <c r="G10" s="16" t="n"/>
      <c r="H10" s="16" t="n"/>
      <c r="I10" s="16" t="n"/>
    </row>
    <row r="11">
      <c r="B11" s="16" t="n"/>
      <c r="C11" s="16" t="n"/>
      <c r="D11" s="16" t="n"/>
      <c r="E11" s="16" t="n"/>
      <c r="F11" s="16" t="n"/>
      <c r="G11" s="16" t="n"/>
      <c r="H11" s="16" t="n"/>
      <c r="I11" s="16" t="n"/>
    </row>
    <row r="12">
      <c r="B12" s="16" t="n"/>
      <c r="C12" s="16" t="n"/>
      <c r="D12" s="16" t="n"/>
      <c r="E12" s="16" t="n"/>
      <c r="F12" s="16" t="n"/>
      <c r="G12" s="16" t="n"/>
      <c r="H12" s="16" t="n"/>
      <c r="I12" s="16" t="n"/>
    </row>
    <row r="13">
      <c r="B13" s="16" t="n"/>
      <c r="C13" s="16" t="n"/>
      <c r="D13" s="16" t="n"/>
      <c r="E13" s="16" t="n"/>
      <c r="F13" s="16" t="n"/>
      <c r="G13" s="16" t="n"/>
      <c r="H13" s="16" t="n"/>
      <c r="I13" s="16" t="n"/>
    </row>
    <row r="14">
      <c r="B14" s="16" t="n"/>
      <c r="C14" s="16" t="n"/>
      <c r="D14" s="16" t="n"/>
      <c r="E14" s="16" t="n"/>
      <c r="F14" s="16" t="n"/>
      <c r="G14" s="16" t="n"/>
      <c r="H14" s="16" t="n"/>
      <c r="I14" s="16" t="n"/>
    </row>
    <row r="15">
      <c r="B15" s="16" t="n"/>
      <c r="C15" s="16" t="n"/>
      <c r="D15" s="16" t="n"/>
      <c r="E15" s="16" t="n"/>
      <c r="F15" s="16" t="n"/>
      <c r="G15" s="16" t="n"/>
      <c r="H15" s="16" t="n"/>
      <c r="I15" s="16" t="n"/>
    </row>
    <row r="16">
      <c r="B16" s="16" t="n"/>
      <c r="C16" s="16" t="n"/>
      <c r="D16" s="16" t="n"/>
      <c r="E16" s="16" t="n"/>
      <c r="F16" s="16" t="n"/>
      <c r="G16" s="16" t="n"/>
      <c r="H16" s="16" t="n"/>
      <c r="I16" s="16" t="n"/>
    </row>
    <row r="17">
      <c r="B17" s="16" t="n"/>
      <c r="C17" s="16" t="n"/>
      <c r="D17" s="16" t="n"/>
      <c r="E17" s="16" t="n"/>
      <c r="F17" s="16" t="n"/>
      <c r="G17" s="16" t="n"/>
      <c r="H17" s="16" t="n"/>
      <c r="I17" s="16" t="n"/>
    </row>
    <row r="18">
      <c r="B18" s="16" t="n"/>
      <c r="C18" s="16" t="n"/>
      <c r="D18" s="16" t="n"/>
      <c r="E18" s="16" t="n"/>
      <c r="F18" s="16" t="n"/>
      <c r="G18" s="16" t="n"/>
      <c r="H18" s="16" t="n"/>
      <c r="I18" s="16" t="n"/>
    </row>
    <row r="19">
      <c r="B19" s="16" t="n"/>
      <c r="C19" s="16" t="n"/>
      <c r="D19" s="16" t="n"/>
      <c r="E19" s="16" t="n"/>
      <c r="F19" s="16" t="n"/>
      <c r="G19" s="16" t="n"/>
      <c r="H19" s="16" t="n"/>
      <c r="I19" s="16" t="n"/>
    </row>
    <row r="20">
      <c r="B20" s="16" t="n"/>
      <c r="C20" s="16" t="n"/>
      <c r="D20" s="16" t="n"/>
      <c r="E20" s="16" t="n"/>
      <c r="F20" s="16" t="n"/>
      <c r="G20" s="16" t="n"/>
      <c r="H20" s="16" t="n"/>
      <c r="I20" s="16" t="n"/>
    </row>
    <row r="21">
      <c r="B21" s="16" t="n"/>
      <c r="C21" s="16" t="n"/>
      <c r="D21" s="16" t="n"/>
      <c r="E21" s="16" t="n"/>
      <c r="F21" s="16" t="n"/>
      <c r="G21" s="16" t="n"/>
      <c r="H21" s="16" t="n"/>
      <c r="I21" s="16" t="n"/>
    </row>
    <row r="22">
      <c r="B22" s="16" t="n"/>
      <c r="C22" s="16" t="n"/>
      <c r="D22" s="16" t="n"/>
      <c r="E22" s="16" t="n"/>
      <c r="F22" s="16" t="n"/>
      <c r="G22" s="16" t="n"/>
      <c r="H22" s="16" t="n"/>
      <c r="I22" s="16" t="n"/>
    </row>
    <row r="23">
      <c r="B23" s="16" t="n"/>
      <c r="C23" s="16" t="n"/>
      <c r="D23" s="16" t="n"/>
      <c r="E23" s="16" t="n"/>
      <c r="F23" s="16" t="n"/>
      <c r="G23" s="16" t="n"/>
      <c r="H23" s="16" t="n"/>
      <c r="I23" s="16" t="n"/>
    </row>
    <row r="24">
      <c r="B24" s="16" t="n"/>
      <c r="C24" s="16" t="n"/>
      <c r="D24" s="16" t="n"/>
      <c r="E24" s="16" t="n"/>
      <c r="F24" s="16" t="n"/>
      <c r="G24" s="16" t="n"/>
      <c r="H24" s="16" t="n"/>
      <c r="I24" s="16" t="n"/>
    </row>
    <row r="25">
      <c r="B25" s="16" t="n"/>
      <c r="C25" s="16" t="n"/>
      <c r="D25" s="16" t="n"/>
      <c r="E25" s="16" t="n"/>
      <c r="F25" s="16" t="n"/>
      <c r="G25" s="16" t="n"/>
      <c r="H25" s="16" t="n"/>
      <c r="I25" s="16" t="n"/>
    </row>
    <row r="26">
      <c r="B26" s="16" t="n"/>
      <c r="C26" s="16" t="n"/>
      <c r="D26" s="16" t="n"/>
      <c r="E26" s="16" t="n"/>
      <c r="F26" s="16" t="n"/>
      <c r="G26" s="16" t="n"/>
      <c r="H26" s="16" t="n"/>
      <c r="I26" s="16" t="n"/>
    </row>
    <row r="28">
      <c r="A28" s="13" t="inlineStr">
        <is>
          <t>SECTION B: TOP 10 BLOCKED THREATS (Last 30 Days)</t>
        </is>
      </c>
    </row>
    <row r="29">
      <c r="A29" s="21" t="inlineStr">
        <is>
          <t>Rank</t>
        </is>
      </c>
      <c r="B29" s="21" t="inlineStr">
        <is>
          <t>Threat_Type/URL</t>
        </is>
      </c>
      <c r="C29" s="21" t="inlineStr">
        <is>
          <t>Count_30_Days</t>
        </is>
      </c>
      <c r="D29" s="21" t="inlineStr">
        <is>
          <t>Percentage</t>
        </is>
      </c>
      <c r="E29" s="21" t="inlineStr">
        <is>
          <t>Mitigation_Status</t>
        </is>
      </c>
      <c r="F29" s="21" t="inlineStr">
        <is>
          <t>Notes</t>
        </is>
      </c>
    </row>
    <row r="30">
      <c r="A30" s="24" t="n">
        <v>1</v>
      </c>
      <c r="B30" s="23" t="n"/>
      <c r="C30" s="23" t="n"/>
      <c r="D30" s="23" t="n"/>
      <c r="E30" s="23" t="n"/>
      <c r="F30" s="23" t="n"/>
    </row>
    <row r="31">
      <c r="A31" s="24" t="n">
        <v>2</v>
      </c>
      <c r="B31" s="23" t="n"/>
      <c r="C31" s="23" t="n"/>
      <c r="D31" s="23" t="n"/>
      <c r="E31" s="23" t="n"/>
      <c r="F31" s="23" t="n"/>
    </row>
    <row r="32">
      <c r="A32" s="24" t="n">
        <v>3</v>
      </c>
      <c r="B32" s="23" t="n"/>
      <c r="C32" s="23" t="n"/>
      <c r="D32" s="23" t="n"/>
      <c r="E32" s="23" t="n"/>
      <c r="F32" s="23" t="n"/>
    </row>
    <row r="33">
      <c r="A33" s="24" t="n">
        <v>4</v>
      </c>
      <c r="B33" s="23" t="n"/>
      <c r="C33" s="23" t="n"/>
      <c r="D33" s="23" t="n"/>
      <c r="E33" s="23" t="n"/>
      <c r="F33" s="23" t="n"/>
    </row>
    <row r="34">
      <c r="A34" s="24" t="n">
        <v>5</v>
      </c>
      <c r="B34" s="23" t="n"/>
      <c r="C34" s="23" t="n"/>
      <c r="D34" s="23" t="n"/>
      <c r="E34" s="23" t="n"/>
      <c r="F34" s="23" t="n"/>
    </row>
    <row r="35">
      <c r="A35" s="24" t="n">
        <v>6</v>
      </c>
      <c r="B35" s="23" t="n"/>
      <c r="C35" s="23" t="n"/>
      <c r="D35" s="23" t="n"/>
      <c r="E35" s="23" t="n"/>
      <c r="F35" s="23" t="n"/>
    </row>
    <row r="36">
      <c r="A36" s="24" t="n">
        <v>7</v>
      </c>
      <c r="B36" s="23" t="n"/>
      <c r="C36" s="23" t="n"/>
      <c r="D36" s="23" t="n"/>
      <c r="E36" s="23" t="n"/>
      <c r="F36" s="23" t="n"/>
    </row>
    <row r="37">
      <c r="A37" s="24" t="n">
        <v>8</v>
      </c>
      <c r="B37" s="23" t="n"/>
      <c r="C37" s="23" t="n"/>
      <c r="D37" s="23" t="n"/>
      <c r="E37" s="23" t="n"/>
      <c r="F37" s="23" t="n"/>
    </row>
    <row r="38">
      <c r="A38" s="24" t="n">
        <v>9</v>
      </c>
      <c r="B38" s="23" t="n"/>
      <c r="C38" s="23" t="n"/>
      <c r="D38" s="23" t="n"/>
      <c r="E38" s="23" t="n"/>
      <c r="F38" s="23" t="n"/>
    </row>
    <row r="39">
      <c r="A39" s="24" t="n">
        <v>10</v>
      </c>
      <c r="B39" s="23" t="n"/>
      <c r="C39" s="23" t="n"/>
      <c r="D39" s="23" t="n"/>
      <c r="E39" s="23" t="n"/>
      <c r="F39" s="23" t="n"/>
    </row>
    <row r="42">
      <c r="A42" s="13" t="inlineStr">
        <is>
          <t>SECTION C: 6-MONTH TREND ANALYSIS</t>
        </is>
      </c>
    </row>
    <row r="43">
      <c r="A43" s="21" t="inlineStr">
        <is>
          <t>Month</t>
        </is>
      </c>
      <c r="B43" s="21" t="inlineStr">
        <is>
          <t>Total_Blocked</t>
        </is>
      </c>
      <c r="C43" s="21" t="inlineStr">
        <is>
          <t>Malware</t>
        </is>
      </c>
      <c r="D43" s="21" t="inlineStr">
        <is>
          <t>Phishing</t>
        </is>
      </c>
      <c r="E43" s="21" t="inlineStr">
        <is>
          <t>Policy_Violation</t>
        </is>
      </c>
      <c r="F43" s="21" t="inlineStr">
        <is>
          <t>Other</t>
        </is>
      </c>
      <c r="G43" s="21" t="inlineStr">
        <is>
          <t>Notes</t>
        </is>
      </c>
    </row>
    <row r="44">
      <c r="A44" s="15" t="inlineStr">
        <is>
          <t>Month-6</t>
        </is>
      </c>
      <c r="B44" s="23" t="n"/>
      <c r="C44" s="23" t="n"/>
      <c r="D44" s="23" t="n"/>
      <c r="E44" s="23" t="n"/>
      <c r="F44" s="23" t="n"/>
      <c r="G44" s="23" t="n"/>
    </row>
    <row r="45">
      <c r="A45" s="15" t="inlineStr">
        <is>
          <t>Month-5</t>
        </is>
      </c>
      <c r="B45" s="23" t="n"/>
      <c r="C45" s="23" t="n"/>
      <c r="D45" s="23" t="n"/>
      <c r="E45" s="23" t="n"/>
      <c r="F45" s="23" t="n"/>
      <c r="G45" s="23" t="n"/>
    </row>
    <row r="46">
      <c r="A46" s="15" t="inlineStr">
        <is>
          <t>Month-4</t>
        </is>
      </c>
      <c r="B46" s="23" t="n"/>
      <c r="C46" s="23" t="n"/>
      <c r="D46" s="23" t="n"/>
      <c r="E46" s="23" t="n"/>
      <c r="F46" s="23" t="n"/>
      <c r="G46" s="23" t="n"/>
    </row>
    <row r="47">
      <c r="A47" s="15" t="inlineStr">
        <is>
          <t>Month-3</t>
        </is>
      </c>
      <c r="B47" s="23" t="n"/>
      <c r="C47" s="23" t="n"/>
      <c r="D47" s="23" t="n"/>
      <c r="E47" s="23" t="n"/>
      <c r="F47" s="23" t="n"/>
      <c r="G47" s="23" t="n"/>
    </row>
    <row r="48">
      <c r="A48" s="15" t="inlineStr">
        <is>
          <t>Month-2</t>
        </is>
      </c>
      <c r="B48" s="23" t="n"/>
      <c r="C48" s="23" t="n"/>
      <c r="D48" s="23" t="n"/>
      <c r="E48" s="23" t="n"/>
      <c r="F48" s="23" t="n"/>
      <c r="G48" s="23" t="n"/>
    </row>
    <row r="49">
      <c r="A49" s="15" t="inlineStr">
        <is>
          <t>Current</t>
        </is>
      </c>
      <c r="B49" s="23" t="n"/>
      <c r="C49" s="23" t="n"/>
      <c r="D49" s="23" t="n"/>
      <c r="E49" s="23" t="n"/>
      <c r="F49" s="23" t="n"/>
      <c r="G49" s="23" t="n"/>
    </row>
    <row r="52">
      <c r="A52" s="13" t="inlineStr">
        <is>
          <t>SECTION D: SUMMARY METRICS</t>
        </is>
      </c>
    </row>
    <row r="53">
      <c r="A53" s="18" t="inlineStr">
        <is>
          <t>Categories tracked:</t>
        </is>
      </c>
      <c r="B53" s="19">
        <f>COUNTA(B6:B25)</f>
        <v/>
      </c>
    </row>
    <row r="54">
      <c r="A54" s="18" t="inlineStr">
        <is>
          <t>Categories requiring action:</t>
        </is>
      </c>
      <c r="B54" s="19">
        <f>COUNTIF(H6:H25,"Yes")</f>
        <v/>
      </c>
    </row>
    <row r="55">
      <c r="A55" s="18" t="inlineStr">
        <is>
          <t>High-risk categories:</t>
        </is>
      </c>
      <c r="B55" s="19">
        <f>COUNTIF(G6:G25,"Critical")+COUNTIF(G6:G25,"High")</f>
        <v/>
      </c>
    </row>
    <row r="56">
      <c r="A56" s="18" t="inlineStr">
        <is>
          <t>Categories with increasing trend:</t>
        </is>
      </c>
      <c r="B56" s="19">
        <f>COUNTIF(E6:E25,"Increasing")</f>
        <v/>
      </c>
    </row>
  </sheetData>
  <mergeCells count="6">
    <mergeCell ref="A28:F28"/>
    <mergeCell ref="A2:I2"/>
    <mergeCell ref="A1:I1"/>
    <mergeCell ref="A52:D52"/>
    <mergeCell ref="A4:I4"/>
    <mergeCell ref="A42:G42"/>
  </mergeCells>
  <dataValidations count="4">
    <dataValidation sqref="E6:E26" showDropDown="0" showInputMessage="0" showErrorMessage="0" allowBlank="1" errorTitle="Invalid Entry" error="Please select from dropdown" promptTitle="Available Options" prompt="Select from list" type="list">
      <formula1>"Improving,Stable,Degrading,New,Increasing,Decreasing"</formula1>
    </dataValidation>
    <dataValidation sqref="G6:G26" showDropDown="0" showInputMessage="0" showErrorMessage="0" allowBlank="1" errorTitle="Invalid Entry" error="Please select from dropdown" promptTitle="Available Options" prompt="Select from list" type="list">
      <formula1>"Critical,High,Medium,Low"</formula1>
    </dataValidation>
    <dataValidation sqref="H6:H26" showDropDown="0" showInputMessage="0" showErrorMessage="0" allowBlank="1" errorTitle="Invalid Entry" error="Please select from dropdown" promptTitle="Available Options" prompt="Select from list" type="list">
      <formula1>"Yes,No"</formula1>
    </dataValidation>
    <dataValidation sqref="E30:E39" showDropDown="0" showInputMessage="0" showErrorMessage="0" allowBlank="1" errorTitle="Invalid Entry" error="Please select from dropdown" promptTitle="Available Options" prompt="Select from list" type="list">
      <formula1>"✅ Implemented,⚠️ Partial,⟳ Planned,❌ 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7"/>
  <sheetViews>
    <sheetView showGridLines="0" workbookViewId="0">
      <pane ySplit="5" topLeftCell="A6" activePane="bottomLeft" state="frozen"/>
      <selection pane="bottomLeft" activeCell="A1" sqref="A1"/>
    </sheetView>
  </sheetViews>
  <sheetFormatPr baseColWidth="8" defaultRowHeight="15"/>
  <cols>
    <col width="12" customWidth="1" min="1" max="1"/>
    <col width="14" customWidth="1" min="2" max="2"/>
    <col width="20" customWidth="1" min="3" max="3"/>
    <col width="28" customWidth="1" min="4" max="4"/>
    <col width="35" customWidth="1" min="5" max="5"/>
    <col width="20" customWidth="1" min="6" max="6"/>
    <col width="22" customWidth="1" min="7" max="7"/>
    <col width="14" customWidth="1" min="8" max="8"/>
    <col width="20" customWidth="1" min="9" max="9"/>
    <col width="14" customWidth="1" min="10" max="10"/>
    <col width="14" customWidth="1" min="11" max="11"/>
    <col width="15" customWidth="1" min="12" max="12"/>
  </cols>
  <sheetData>
    <row r="1" ht="35" customHeight="1">
      <c r="A1" s="11" t="inlineStr">
        <is>
          <t>FALSE POSITIVE MANAGEMENT</t>
        </is>
      </c>
    </row>
    <row r="2">
      <c r="A2" s="12" t="inlineStr">
        <is>
          <t>Track false positives, tuning actions, and resolution effectiveness</t>
        </is>
      </c>
    </row>
    <row r="4">
      <c r="A4" s="13" t="inlineStr">
        <is>
          <t>SECTION A: FALSE POSITIVE LOG</t>
        </is>
      </c>
    </row>
    <row r="5">
      <c r="A5" s="14" t="inlineStr">
        <is>
          <t>FP_ID</t>
        </is>
      </c>
      <c r="B5" s="14" t="inlineStr">
        <is>
          <t>Date_Reported</t>
        </is>
      </c>
      <c r="C5" s="14" t="inlineStr">
        <is>
          <t>Reported_By</t>
        </is>
      </c>
      <c r="D5" s="14" t="inlineStr">
        <is>
          <t>Blocked_URL_Category</t>
        </is>
      </c>
      <c r="E5" s="14" t="inlineStr">
        <is>
          <t>Business_Justification</t>
        </is>
      </c>
      <c r="F5" s="14" t="inlineStr">
        <is>
          <t>Investigation_Result</t>
        </is>
      </c>
      <c r="G5" s="14" t="inlineStr">
        <is>
          <t>Resolution_Action</t>
        </is>
      </c>
      <c r="H5" s="14" t="inlineStr">
        <is>
          <t>Resolution_Date</t>
        </is>
      </c>
      <c r="I5" s="14" t="inlineStr">
        <is>
          <t>Resolution_Time_Hrs</t>
        </is>
      </c>
      <c r="J5" s="14" t="inlineStr">
        <is>
          <t>Recurrence</t>
        </is>
      </c>
      <c r="K5" s="14" t="inlineStr">
        <is>
          <t>Status</t>
        </is>
      </c>
      <c r="L5" s="14" t="inlineStr">
        <is>
          <t>Evidence_Ref</t>
        </is>
      </c>
    </row>
    <row r="6">
      <c r="A6" s="15" t="inlineStr">
        <is>
          <t>FP-001</t>
        </is>
      </c>
      <c r="B6" s="16" t="n"/>
      <c r="C6" s="16" t="n"/>
      <c r="D6" s="16" t="n"/>
      <c r="E6" s="16" t="n"/>
      <c r="F6" s="16" t="n"/>
      <c r="G6" s="16" t="n"/>
      <c r="H6" s="16" t="n"/>
      <c r="I6" s="16" t="n"/>
      <c r="J6" s="16" t="n"/>
      <c r="K6" s="16" t="n"/>
      <c r="L6" s="16" t="n"/>
    </row>
    <row r="7">
      <c r="B7" s="16" t="n"/>
      <c r="C7" s="16" t="n"/>
      <c r="D7" s="16" t="n"/>
      <c r="E7" s="16" t="n"/>
      <c r="F7" s="16" t="n"/>
      <c r="G7" s="16" t="n"/>
      <c r="H7" s="16" t="n"/>
      <c r="I7" s="16" t="n"/>
      <c r="J7" s="16" t="n"/>
      <c r="K7" s="16" t="n"/>
      <c r="L7" s="16" t="n"/>
    </row>
    <row r="8">
      <c r="B8" s="16" t="n"/>
      <c r="C8" s="16" t="n"/>
      <c r="D8" s="16" t="n"/>
      <c r="E8" s="16" t="n"/>
      <c r="F8" s="16" t="n"/>
      <c r="G8" s="16" t="n"/>
      <c r="H8" s="16" t="n"/>
      <c r="I8" s="16" t="n"/>
      <c r="J8" s="16" t="n"/>
      <c r="K8" s="16" t="n"/>
      <c r="L8" s="16" t="n"/>
    </row>
    <row r="9">
      <c r="B9" s="16" t="n"/>
      <c r="C9" s="16" t="n"/>
      <c r="D9" s="16" t="n"/>
      <c r="E9" s="16" t="n"/>
      <c r="F9" s="16" t="n"/>
      <c r="G9" s="16" t="n"/>
      <c r="H9" s="16" t="n"/>
      <c r="I9" s="16" t="n"/>
      <c r="J9" s="16" t="n"/>
      <c r="K9" s="16" t="n"/>
      <c r="L9" s="16" t="n"/>
    </row>
    <row r="10">
      <c r="B10" s="16" t="n"/>
      <c r="C10" s="16" t="n"/>
      <c r="D10" s="16" t="n"/>
      <c r="E10" s="16" t="n"/>
      <c r="F10" s="16" t="n"/>
      <c r="G10" s="16" t="n"/>
      <c r="H10" s="16" t="n"/>
      <c r="I10" s="16" t="n"/>
      <c r="J10" s="16" t="n"/>
      <c r="K10" s="16" t="n"/>
      <c r="L10" s="16" t="n"/>
    </row>
    <row r="11">
      <c r="B11" s="16" t="n"/>
      <c r="C11" s="16" t="n"/>
      <c r="D11" s="16" t="n"/>
      <c r="E11" s="16" t="n"/>
      <c r="F11" s="16" t="n"/>
      <c r="G11" s="16" t="n"/>
      <c r="H11" s="16" t="n"/>
      <c r="I11" s="16" t="n"/>
      <c r="J11" s="16" t="n"/>
      <c r="K11" s="16" t="n"/>
      <c r="L11" s="16" t="n"/>
    </row>
    <row r="12">
      <c r="B12" s="16" t="n"/>
      <c r="C12" s="16" t="n"/>
      <c r="D12" s="16" t="n"/>
      <c r="E12" s="16" t="n"/>
      <c r="F12" s="16" t="n"/>
      <c r="G12" s="16" t="n"/>
      <c r="H12" s="16" t="n"/>
      <c r="I12" s="16" t="n"/>
      <c r="J12" s="16" t="n"/>
      <c r="K12" s="16" t="n"/>
      <c r="L12" s="16" t="n"/>
    </row>
    <row r="13">
      <c r="B13" s="16" t="n"/>
      <c r="C13" s="16" t="n"/>
      <c r="D13" s="16" t="n"/>
      <c r="E13" s="16" t="n"/>
      <c r="F13" s="16" t="n"/>
      <c r="G13" s="16" t="n"/>
      <c r="H13" s="16" t="n"/>
      <c r="I13" s="16" t="n"/>
      <c r="J13" s="16" t="n"/>
      <c r="K13" s="16" t="n"/>
      <c r="L13" s="16" t="n"/>
    </row>
    <row r="14">
      <c r="B14" s="16" t="n"/>
      <c r="C14" s="16" t="n"/>
      <c r="D14" s="16" t="n"/>
      <c r="E14" s="16" t="n"/>
      <c r="F14" s="16" t="n"/>
      <c r="G14" s="16" t="n"/>
      <c r="H14" s="16" t="n"/>
      <c r="I14" s="16" t="n"/>
      <c r="J14" s="16" t="n"/>
      <c r="K14" s="16" t="n"/>
      <c r="L14" s="16" t="n"/>
    </row>
    <row r="15">
      <c r="B15" s="16" t="n"/>
      <c r="C15" s="16" t="n"/>
      <c r="D15" s="16" t="n"/>
      <c r="E15" s="16" t="n"/>
      <c r="F15" s="16" t="n"/>
      <c r="G15" s="16" t="n"/>
      <c r="H15" s="16" t="n"/>
      <c r="I15" s="16" t="n"/>
      <c r="J15" s="16" t="n"/>
      <c r="K15" s="16" t="n"/>
      <c r="L15" s="16" t="n"/>
    </row>
    <row r="16">
      <c r="B16" s="16" t="n"/>
      <c r="C16" s="16" t="n"/>
      <c r="D16" s="16" t="n"/>
      <c r="E16" s="16" t="n"/>
      <c r="F16" s="16" t="n"/>
      <c r="G16" s="16" t="n"/>
      <c r="H16" s="16" t="n"/>
      <c r="I16" s="16" t="n"/>
      <c r="J16" s="16" t="n"/>
      <c r="K16" s="16" t="n"/>
      <c r="L16" s="16" t="n"/>
    </row>
    <row r="17">
      <c r="B17" s="16" t="n"/>
      <c r="C17" s="16" t="n"/>
      <c r="D17" s="16" t="n"/>
      <c r="E17" s="16" t="n"/>
      <c r="F17" s="16" t="n"/>
      <c r="G17" s="16" t="n"/>
      <c r="H17" s="16" t="n"/>
      <c r="I17" s="16" t="n"/>
      <c r="J17" s="16" t="n"/>
      <c r="K17" s="16" t="n"/>
      <c r="L17" s="16" t="n"/>
    </row>
    <row r="18">
      <c r="B18" s="16" t="n"/>
      <c r="C18" s="16" t="n"/>
      <c r="D18" s="16" t="n"/>
      <c r="E18" s="16" t="n"/>
      <c r="F18" s="16" t="n"/>
      <c r="G18" s="16" t="n"/>
      <c r="H18" s="16" t="n"/>
      <c r="I18" s="16" t="n"/>
      <c r="J18" s="16" t="n"/>
      <c r="K18" s="16" t="n"/>
      <c r="L18" s="16" t="n"/>
    </row>
    <row r="19">
      <c r="B19" s="16" t="n"/>
      <c r="C19" s="16" t="n"/>
      <c r="D19" s="16" t="n"/>
      <c r="E19" s="16" t="n"/>
      <c r="F19" s="16" t="n"/>
      <c r="G19" s="16" t="n"/>
      <c r="H19" s="16" t="n"/>
      <c r="I19" s="16" t="n"/>
      <c r="J19" s="16" t="n"/>
      <c r="K19" s="16" t="n"/>
      <c r="L19" s="16" t="n"/>
    </row>
    <row r="20">
      <c r="B20" s="16" t="n"/>
      <c r="C20" s="16" t="n"/>
      <c r="D20" s="16" t="n"/>
      <c r="E20" s="16" t="n"/>
      <c r="F20" s="16" t="n"/>
      <c r="G20" s="16" t="n"/>
      <c r="H20" s="16" t="n"/>
      <c r="I20" s="16" t="n"/>
      <c r="J20" s="16" t="n"/>
      <c r="K20" s="16" t="n"/>
      <c r="L20" s="16" t="n"/>
    </row>
    <row r="21">
      <c r="B21" s="16" t="n"/>
      <c r="C21" s="16" t="n"/>
      <c r="D21" s="16" t="n"/>
      <c r="E21" s="16" t="n"/>
      <c r="F21" s="16" t="n"/>
      <c r="G21" s="16" t="n"/>
      <c r="H21" s="16" t="n"/>
      <c r="I21" s="16" t="n"/>
      <c r="J21" s="16" t="n"/>
      <c r="K21" s="16" t="n"/>
      <c r="L21" s="16" t="n"/>
    </row>
    <row r="22">
      <c r="B22" s="16" t="n"/>
      <c r="C22" s="16" t="n"/>
      <c r="D22" s="16" t="n"/>
      <c r="E22" s="16" t="n"/>
      <c r="F22" s="16" t="n"/>
      <c r="G22" s="16" t="n"/>
      <c r="H22" s="16" t="n"/>
      <c r="I22" s="16" t="n"/>
      <c r="J22" s="16" t="n"/>
      <c r="K22" s="16" t="n"/>
      <c r="L22" s="16" t="n"/>
    </row>
    <row r="23">
      <c r="B23" s="16" t="n"/>
      <c r="C23" s="16" t="n"/>
      <c r="D23" s="16" t="n"/>
      <c r="E23" s="16" t="n"/>
      <c r="F23" s="16" t="n"/>
      <c r="G23" s="16" t="n"/>
      <c r="H23" s="16" t="n"/>
      <c r="I23" s="16" t="n"/>
      <c r="J23" s="16" t="n"/>
      <c r="K23" s="16" t="n"/>
      <c r="L23" s="16" t="n"/>
    </row>
    <row r="24">
      <c r="B24" s="16" t="n"/>
      <c r="C24" s="16" t="n"/>
      <c r="D24" s="16" t="n"/>
      <c r="E24" s="16" t="n"/>
      <c r="F24" s="16" t="n"/>
      <c r="G24" s="16" t="n"/>
      <c r="H24" s="16" t="n"/>
      <c r="I24" s="16" t="n"/>
      <c r="J24" s="16" t="n"/>
      <c r="K24" s="16" t="n"/>
      <c r="L24" s="16" t="n"/>
    </row>
    <row r="25">
      <c r="B25" s="16" t="n"/>
      <c r="C25" s="16" t="n"/>
      <c r="D25" s="16" t="n"/>
      <c r="E25" s="16" t="n"/>
      <c r="F25" s="16" t="n"/>
      <c r="G25" s="16" t="n"/>
      <c r="H25" s="16" t="n"/>
      <c r="I25" s="16" t="n"/>
      <c r="J25" s="16" t="n"/>
      <c r="K25" s="16" t="n"/>
      <c r="L25" s="16" t="n"/>
    </row>
    <row r="26">
      <c r="B26" s="16" t="n"/>
      <c r="C26" s="16" t="n"/>
      <c r="D26" s="16" t="n"/>
      <c r="E26" s="16" t="n"/>
      <c r="F26" s="16" t="n"/>
      <c r="G26" s="16" t="n"/>
      <c r="H26" s="16" t="n"/>
      <c r="I26" s="16" t="n"/>
      <c r="J26" s="16" t="n"/>
      <c r="K26" s="16" t="n"/>
      <c r="L26" s="16" t="n"/>
    </row>
    <row r="27">
      <c r="B27" s="16" t="n"/>
      <c r="C27" s="16" t="n"/>
      <c r="D27" s="16" t="n"/>
      <c r="E27" s="16" t="n"/>
      <c r="F27" s="16" t="n"/>
      <c r="G27" s="16" t="n"/>
      <c r="H27" s="16" t="n"/>
      <c r="I27" s="16" t="n"/>
      <c r="J27" s="16" t="n"/>
      <c r="K27" s="16" t="n"/>
      <c r="L27" s="16" t="n"/>
    </row>
    <row r="28">
      <c r="B28" s="16" t="n"/>
      <c r="C28" s="16" t="n"/>
      <c r="D28" s="16" t="n"/>
      <c r="E28" s="16" t="n"/>
      <c r="F28" s="16" t="n"/>
      <c r="G28" s="16" t="n"/>
      <c r="H28" s="16" t="n"/>
      <c r="I28" s="16" t="n"/>
      <c r="J28" s="16" t="n"/>
      <c r="K28" s="16" t="n"/>
      <c r="L28" s="16" t="n"/>
    </row>
    <row r="29">
      <c r="B29" s="16" t="n"/>
      <c r="C29" s="16" t="n"/>
      <c r="D29" s="16" t="n"/>
      <c r="E29" s="16" t="n"/>
      <c r="F29" s="16" t="n"/>
      <c r="G29" s="16" t="n"/>
      <c r="H29" s="16" t="n"/>
      <c r="I29" s="16" t="n"/>
      <c r="J29" s="16" t="n"/>
      <c r="K29" s="16" t="n"/>
      <c r="L29" s="16" t="n"/>
    </row>
    <row r="30">
      <c r="B30" s="16" t="n"/>
      <c r="C30" s="16" t="n"/>
      <c r="D30" s="16" t="n"/>
      <c r="E30" s="16" t="n"/>
      <c r="F30" s="16" t="n"/>
      <c r="G30" s="16" t="n"/>
      <c r="H30" s="16" t="n"/>
      <c r="I30" s="16" t="n"/>
      <c r="J30" s="16" t="n"/>
      <c r="K30" s="16" t="n"/>
      <c r="L30" s="16" t="n"/>
    </row>
    <row r="31">
      <c r="B31" s="16" t="n"/>
      <c r="C31" s="16" t="n"/>
      <c r="D31" s="16" t="n"/>
      <c r="E31" s="16" t="n"/>
      <c r="F31" s="16" t="n"/>
      <c r="G31" s="16" t="n"/>
      <c r="H31" s="16" t="n"/>
      <c r="I31" s="16" t="n"/>
      <c r="J31" s="16" t="n"/>
      <c r="K31" s="16" t="n"/>
      <c r="L31" s="16" t="n"/>
    </row>
    <row r="32">
      <c r="B32" s="16" t="n"/>
      <c r="C32" s="16" t="n"/>
      <c r="D32" s="16" t="n"/>
      <c r="E32" s="16" t="n"/>
      <c r="F32" s="16" t="n"/>
      <c r="G32" s="16" t="n"/>
      <c r="H32" s="16" t="n"/>
      <c r="I32" s="16" t="n"/>
      <c r="J32" s="16" t="n"/>
      <c r="K32" s="16" t="n"/>
      <c r="L32" s="16" t="n"/>
    </row>
    <row r="33">
      <c r="B33" s="16" t="n"/>
      <c r="C33" s="16" t="n"/>
      <c r="D33" s="16" t="n"/>
      <c r="E33" s="16" t="n"/>
      <c r="F33" s="16" t="n"/>
      <c r="G33" s="16" t="n"/>
      <c r="H33" s="16" t="n"/>
      <c r="I33" s="16" t="n"/>
      <c r="J33" s="16" t="n"/>
      <c r="K33" s="16" t="n"/>
      <c r="L33" s="16" t="n"/>
    </row>
    <row r="34">
      <c r="B34" s="16" t="n"/>
      <c r="C34" s="16" t="n"/>
      <c r="D34" s="16" t="n"/>
      <c r="E34" s="16" t="n"/>
      <c r="F34" s="16" t="n"/>
      <c r="G34" s="16" t="n"/>
      <c r="H34" s="16" t="n"/>
      <c r="I34" s="16" t="n"/>
      <c r="J34" s="16" t="n"/>
      <c r="K34" s="16" t="n"/>
      <c r="L34" s="16" t="n"/>
    </row>
    <row r="35">
      <c r="B35" s="16" t="n"/>
      <c r="C35" s="16" t="n"/>
      <c r="D35" s="16" t="n"/>
      <c r="E35" s="16" t="n"/>
      <c r="F35" s="16" t="n"/>
      <c r="G35" s="16" t="n"/>
      <c r="H35" s="16" t="n"/>
      <c r="I35" s="16" t="n"/>
      <c r="J35" s="16" t="n"/>
      <c r="K35" s="16" t="n"/>
      <c r="L35" s="16" t="n"/>
    </row>
    <row r="36">
      <c r="B36" s="16" t="n"/>
      <c r="C36" s="16" t="n"/>
      <c r="D36" s="16" t="n"/>
      <c r="E36" s="16" t="n"/>
      <c r="F36" s="16" t="n"/>
      <c r="G36" s="16" t="n"/>
      <c r="H36" s="16" t="n"/>
      <c r="I36" s="16" t="n"/>
      <c r="J36" s="16" t="n"/>
      <c r="K36" s="16" t="n"/>
      <c r="L36" s="16" t="n"/>
    </row>
    <row r="37">
      <c r="B37" s="16" t="n"/>
      <c r="C37" s="16" t="n"/>
      <c r="D37" s="16" t="n"/>
      <c r="E37" s="16" t="n"/>
      <c r="F37" s="16" t="n"/>
      <c r="G37" s="16" t="n"/>
      <c r="H37" s="16" t="n"/>
      <c r="I37" s="16" t="n"/>
      <c r="J37" s="16" t="n"/>
      <c r="K37" s="16" t="n"/>
      <c r="L37" s="16" t="n"/>
    </row>
    <row r="38">
      <c r="B38" s="16" t="n"/>
      <c r="C38" s="16" t="n"/>
      <c r="D38" s="16" t="n"/>
      <c r="E38" s="16" t="n"/>
      <c r="F38" s="16" t="n"/>
      <c r="G38" s="16" t="n"/>
      <c r="H38" s="16" t="n"/>
      <c r="I38" s="16" t="n"/>
      <c r="J38" s="16" t="n"/>
      <c r="K38" s="16" t="n"/>
      <c r="L38" s="16" t="n"/>
    </row>
    <row r="39">
      <c r="B39" s="16" t="n"/>
      <c r="C39" s="16" t="n"/>
      <c r="D39" s="16" t="n"/>
      <c r="E39" s="16" t="n"/>
      <c r="F39" s="16" t="n"/>
      <c r="G39" s="16" t="n"/>
      <c r="H39" s="16" t="n"/>
      <c r="I39" s="16" t="n"/>
      <c r="J39" s="16" t="n"/>
      <c r="K39" s="16" t="n"/>
      <c r="L39" s="16" t="n"/>
    </row>
    <row r="40">
      <c r="B40" s="16" t="n"/>
      <c r="C40" s="16" t="n"/>
      <c r="D40" s="16" t="n"/>
      <c r="E40" s="16" t="n"/>
      <c r="F40" s="16" t="n"/>
      <c r="G40" s="16" t="n"/>
      <c r="H40" s="16" t="n"/>
      <c r="I40" s="16" t="n"/>
      <c r="J40" s="16" t="n"/>
      <c r="K40" s="16" t="n"/>
      <c r="L40" s="16" t="n"/>
    </row>
    <row r="41">
      <c r="B41" s="16" t="n"/>
      <c r="C41" s="16" t="n"/>
      <c r="D41" s="16" t="n"/>
      <c r="E41" s="16" t="n"/>
      <c r="F41" s="16" t="n"/>
      <c r="G41" s="16" t="n"/>
      <c r="H41" s="16" t="n"/>
      <c r="I41" s="16" t="n"/>
      <c r="J41" s="16" t="n"/>
      <c r="K41" s="16" t="n"/>
      <c r="L41" s="16" t="n"/>
    </row>
    <row r="42">
      <c r="B42" s="16" t="n"/>
      <c r="C42" s="16" t="n"/>
      <c r="D42" s="16" t="n"/>
      <c r="E42" s="16" t="n"/>
      <c r="F42" s="16" t="n"/>
      <c r="G42" s="16" t="n"/>
      <c r="H42" s="16" t="n"/>
      <c r="I42" s="16" t="n"/>
      <c r="J42" s="16" t="n"/>
      <c r="K42" s="16" t="n"/>
      <c r="L42" s="16" t="n"/>
    </row>
    <row r="43">
      <c r="B43" s="16" t="n"/>
      <c r="C43" s="16" t="n"/>
      <c r="D43" s="16" t="n"/>
      <c r="E43" s="16" t="n"/>
      <c r="F43" s="16" t="n"/>
      <c r="G43" s="16" t="n"/>
      <c r="H43" s="16" t="n"/>
      <c r="I43" s="16" t="n"/>
      <c r="J43" s="16" t="n"/>
      <c r="K43" s="16" t="n"/>
      <c r="L43" s="16" t="n"/>
    </row>
    <row r="44">
      <c r="B44" s="16" t="n"/>
      <c r="C44" s="16" t="n"/>
      <c r="D44" s="16" t="n"/>
      <c r="E44" s="16" t="n"/>
      <c r="F44" s="16" t="n"/>
      <c r="G44" s="16" t="n"/>
      <c r="H44" s="16" t="n"/>
      <c r="I44" s="16" t="n"/>
      <c r="J44" s="16" t="n"/>
      <c r="K44" s="16" t="n"/>
      <c r="L44" s="16" t="n"/>
    </row>
    <row r="45">
      <c r="B45" s="16" t="n"/>
      <c r="C45" s="16" t="n"/>
      <c r="D45" s="16" t="n"/>
      <c r="E45" s="16" t="n"/>
      <c r="F45" s="16" t="n"/>
      <c r="G45" s="16" t="n"/>
      <c r="H45" s="16" t="n"/>
      <c r="I45" s="16" t="n"/>
      <c r="J45" s="16" t="n"/>
      <c r="K45" s="16" t="n"/>
      <c r="L45" s="16" t="n"/>
    </row>
    <row r="46">
      <c r="B46" s="16" t="n"/>
      <c r="C46" s="16" t="n"/>
      <c r="D46" s="16" t="n"/>
      <c r="E46" s="16" t="n"/>
      <c r="F46" s="16" t="n"/>
      <c r="G46" s="16" t="n"/>
      <c r="H46" s="16" t="n"/>
      <c r="I46" s="16" t="n"/>
      <c r="J46" s="16" t="n"/>
      <c r="K46" s="16" t="n"/>
      <c r="L46" s="16" t="n"/>
    </row>
    <row r="47">
      <c r="B47" s="16" t="n"/>
      <c r="C47" s="16" t="n"/>
      <c r="D47" s="16" t="n"/>
      <c r="E47" s="16" t="n"/>
      <c r="F47" s="16" t="n"/>
      <c r="G47" s="16" t="n"/>
      <c r="H47" s="16" t="n"/>
      <c r="I47" s="16" t="n"/>
      <c r="J47" s="16" t="n"/>
      <c r="K47" s="16" t="n"/>
      <c r="L47" s="16" t="n"/>
    </row>
    <row r="48">
      <c r="B48" s="16" t="n"/>
      <c r="C48" s="16" t="n"/>
      <c r="D48" s="16" t="n"/>
      <c r="E48" s="16" t="n"/>
      <c r="F48" s="16" t="n"/>
      <c r="G48" s="16" t="n"/>
      <c r="H48" s="16" t="n"/>
      <c r="I48" s="16" t="n"/>
      <c r="J48" s="16" t="n"/>
      <c r="K48" s="16" t="n"/>
      <c r="L48" s="16" t="n"/>
    </row>
    <row r="49">
      <c r="B49" s="16" t="n"/>
      <c r="C49" s="16" t="n"/>
      <c r="D49" s="16" t="n"/>
      <c r="E49" s="16" t="n"/>
      <c r="F49" s="16" t="n"/>
      <c r="G49" s="16" t="n"/>
      <c r="H49" s="16" t="n"/>
      <c r="I49" s="16" t="n"/>
      <c r="J49" s="16" t="n"/>
      <c r="K49" s="16" t="n"/>
      <c r="L49" s="16" t="n"/>
    </row>
    <row r="50">
      <c r="B50" s="16" t="n"/>
      <c r="C50" s="16" t="n"/>
      <c r="D50" s="16" t="n"/>
      <c r="E50" s="16" t="n"/>
      <c r="F50" s="16" t="n"/>
      <c r="G50" s="16" t="n"/>
      <c r="H50" s="16" t="n"/>
      <c r="I50" s="16" t="n"/>
      <c r="J50" s="16" t="n"/>
      <c r="K50" s="16" t="n"/>
      <c r="L50" s="16" t="n"/>
    </row>
    <row r="51">
      <c r="B51" s="16" t="n"/>
      <c r="C51" s="16" t="n"/>
      <c r="D51" s="16" t="n"/>
      <c r="E51" s="16" t="n"/>
      <c r="F51" s="16" t="n"/>
      <c r="G51" s="16" t="n"/>
      <c r="H51" s="16" t="n"/>
      <c r="I51" s="16" t="n"/>
      <c r="J51" s="16" t="n"/>
      <c r="K51" s="16" t="n"/>
      <c r="L51" s="16" t="n"/>
    </row>
    <row r="52">
      <c r="B52" s="16" t="n"/>
      <c r="C52" s="16" t="n"/>
      <c r="D52" s="16" t="n"/>
      <c r="E52" s="16" t="n"/>
      <c r="F52" s="16" t="n"/>
      <c r="G52" s="16" t="n"/>
      <c r="H52" s="16" t="n"/>
      <c r="I52" s="16" t="n"/>
      <c r="J52" s="16" t="n"/>
      <c r="K52" s="16" t="n"/>
      <c r="L52" s="16" t="n"/>
    </row>
    <row r="53">
      <c r="B53" s="16" t="n"/>
      <c r="C53" s="16" t="n"/>
      <c r="D53" s="16" t="n"/>
      <c r="E53" s="16" t="n"/>
      <c r="F53" s="16" t="n"/>
      <c r="G53" s="16" t="n"/>
      <c r="H53" s="16" t="n"/>
      <c r="I53" s="16" t="n"/>
      <c r="J53" s="16" t="n"/>
      <c r="K53" s="16" t="n"/>
      <c r="L53" s="16" t="n"/>
    </row>
    <row r="54">
      <c r="B54" s="16" t="n"/>
      <c r="C54" s="16" t="n"/>
      <c r="D54" s="16" t="n"/>
      <c r="E54" s="16" t="n"/>
      <c r="F54" s="16" t="n"/>
      <c r="G54" s="16" t="n"/>
      <c r="H54" s="16" t="n"/>
      <c r="I54" s="16" t="n"/>
      <c r="J54" s="16" t="n"/>
      <c r="K54" s="16" t="n"/>
      <c r="L54" s="16" t="n"/>
    </row>
    <row r="55">
      <c r="B55" s="16" t="n"/>
      <c r="C55" s="16" t="n"/>
      <c r="D55" s="16" t="n"/>
      <c r="E55" s="16" t="n"/>
      <c r="F55" s="16" t="n"/>
      <c r="G55" s="16" t="n"/>
      <c r="H55" s="16" t="n"/>
      <c r="I55" s="16" t="n"/>
      <c r="J55" s="16" t="n"/>
      <c r="K55" s="16" t="n"/>
      <c r="L55" s="16" t="n"/>
    </row>
    <row r="56">
      <c r="B56" s="16" t="n"/>
      <c r="C56" s="16" t="n"/>
      <c r="D56" s="16" t="n"/>
      <c r="E56" s="16" t="n"/>
      <c r="F56" s="16" t="n"/>
      <c r="G56" s="16" t="n"/>
      <c r="H56" s="16" t="n"/>
      <c r="I56" s="16" t="n"/>
      <c r="J56" s="16" t="n"/>
      <c r="K56" s="16" t="n"/>
      <c r="L56" s="16" t="n"/>
    </row>
    <row r="58">
      <c r="A58" s="13" t="inlineStr">
        <is>
          <t>SECTION B: FALSE POSITIVE METRICS</t>
        </is>
      </c>
    </row>
    <row r="59">
      <c r="A59" s="21" t="inlineStr">
        <is>
          <t>Metric</t>
        </is>
      </c>
      <c r="B59" s="21" t="inlineStr">
        <is>
          <t>Value</t>
        </is>
      </c>
      <c r="C59" s="21" t="inlineStr">
        <is>
          <t>Target</t>
        </is>
      </c>
      <c r="D59" s="21" t="inlineStr">
        <is>
          <t>Status</t>
        </is>
      </c>
      <c r="E59" s="21" t="inlineStr">
        <is>
          <t>Notes</t>
        </is>
      </c>
    </row>
    <row r="60">
      <c r="A60" s="25" t="inlineStr">
        <is>
          <t>Total FPs reported (last 90 days)</t>
        </is>
      </c>
      <c r="B60" s="19">
        <f>COUNTA(B6:B55)</f>
        <v/>
      </c>
      <c r="C60" s="19" t="inlineStr">
        <is>
          <t>&lt;50</t>
        </is>
      </c>
      <c r="D60" s="23" t="n"/>
      <c r="E60" s="23" t="n"/>
    </row>
    <row r="61">
      <c r="A61" s="25" t="inlineStr">
        <is>
          <t>Average resolution time (hours)</t>
        </is>
      </c>
      <c r="B61" s="19">
        <f>IFERROR(AVERAGE(I6:I55),"N/A")</f>
        <v/>
      </c>
      <c r="C61" s="19" t="inlineStr">
        <is>
          <t>&lt;24</t>
        </is>
      </c>
      <c r="D61" s="23" t="n"/>
      <c r="E61" s="23" t="n"/>
    </row>
    <row r="62">
      <c r="A62" s="25" t="inlineStr">
        <is>
          <t>Open FPs</t>
        </is>
      </c>
      <c r="B62" s="19">
        <f>COUNTIF(K6:K55,"Open")</f>
        <v/>
      </c>
      <c r="C62" s="19" t="inlineStr">
        <is>
          <t>&lt;10</t>
        </is>
      </c>
      <c r="D62" s="23" t="n"/>
      <c r="E62" s="23" t="n"/>
    </row>
    <row r="63">
      <c r="A63" s="25" t="inlineStr">
        <is>
          <t>Confirmed FP rate</t>
        </is>
      </c>
      <c r="B63" s="19">
        <f>IFERROR(COUNTIF(F6:F55,"Confirmed_FP")/COUNTA(F6:F55),"N/A")</f>
        <v/>
      </c>
      <c r="C63" s="19" t="inlineStr">
        <is>
          <t>&gt;80%</t>
        </is>
      </c>
      <c r="D63" s="23" t="n"/>
      <c r="E63" s="23" t="n"/>
    </row>
    <row r="64">
      <c r="A64" s="25" t="inlineStr">
        <is>
          <t>Recurring FP percentage</t>
        </is>
      </c>
      <c r="B64" s="19">
        <f>IFERROR((COUNTIF(J6:J55,"Recurring")+COUNTIF(J6:J55,"Chronic"))/COUNTA(J6:J55),"N/A")</f>
        <v/>
      </c>
      <c r="C64" s="19" t="inlineStr">
        <is>
          <t>&lt;10%</t>
        </is>
      </c>
      <c r="D64" s="23" t="n"/>
      <c r="E64" s="23" t="n"/>
    </row>
    <row r="65">
      <c r="A65" s="25" t="inlineStr">
        <is>
          <t>FPs escalated</t>
        </is>
      </c>
      <c r="B65" s="19">
        <f>COUNTIF(K6:K55,"Escalated")</f>
        <v/>
      </c>
      <c r="C65" s="19" t="inlineStr">
        <is>
          <t>&lt;5</t>
        </is>
      </c>
      <c r="D65" s="23" t="n"/>
      <c r="E65" s="23" t="n"/>
    </row>
    <row r="66">
      <c r="A66" s="25" t="inlineStr">
        <is>
          <t>FPs resolved via whitelist</t>
        </is>
      </c>
      <c r="B66" s="19">
        <f>COUNTIF(G6:G55,"Whitelist")</f>
        <v/>
      </c>
      <c r="C66" s="19" t="inlineStr">
        <is>
          <t>Monitor</t>
        </is>
      </c>
      <c r="D66" s="23" t="n"/>
      <c r="E66" s="23" t="n"/>
    </row>
    <row r="67">
      <c r="A67" s="25" t="inlineStr">
        <is>
          <t>FPs resolved via tuning</t>
        </is>
      </c>
      <c r="B67" s="19">
        <f>COUNTIF(G6:G55,"Policy_Tuning")</f>
        <v/>
      </c>
      <c r="C67" s="19" t="inlineStr">
        <is>
          <t>Monitor</t>
        </is>
      </c>
      <c r="D67" s="23" t="n"/>
      <c r="E67" s="23" t="n"/>
    </row>
  </sheetData>
  <mergeCells count="4">
    <mergeCell ref="A58:E58"/>
    <mergeCell ref="A2:L2"/>
    <mergeCell ref="A1:L1"/>
    <mergeCell ref="A4:L4"/>
  </mergeCells>
  <dataValidations count="5">
    <dataValidation sqref="F6:F56" showDropDown="0" showInputMessage="0" showErrorMessage="0" allowBlank="1" errorTitle="Invalid Entry" error="Please select from dropdown" promptTitle="Available Options" prompt="Select from list" type="list">
      <formula1>"Confirmed_FP,True_Positive,Inconclusive,Pending"</formula1>
    </dataValidation>
    <dataValidation sqref="G6:G56" showDropDown="0" showInputMessage="0" showErrorMessage="0" allowBlank="1" errorTitle="Invalid Entry" error="Please select from dropdown" promptTitle="Available Options" prompt="Select from list" type="list">
      <formula1>"Whitelist,Policy_Tuning,Category_Update,No_Action,Escalated,Vendor_Update"</formula1>
    </dataValidation>
    <dataValidation sqref="J6:J56" showDropDown="0" showInputMessage="0" showErrorMessage="0" allowBlank="1" errorTitle="Invalid Entry" error="Please select from dropdown" promptTitle="Available Options" prompt="Select from list" type="list">
      <formula1>"First_Time,Recurring,Chronic"</formula1>
    </dataValidation>
    <dataValidation sqref="K6:K56" showDropDown="0" showInputMessage="0" showErrorMessage="0" allowBlank="1" errorTitle="Invalid Entry" error="Please select from dropdown" promptTitle="Available Options" prompt="Select from list" type="list">
      <formula1>"Open,Resolved,Escalated,Pending"</formula1>
    </dataValidation>
    <dataValidation sqref="D60:D67" showDropDown="0" showInputMessage="0" showErrorMessage="0" allowBlank="1" errorTitle="Invalid Entry" error="Please select from dropdown" promptTitle="Available Options" prompt="Select from list" type="list">
      <formula1>"Met,Not_Met,At_Risk,New"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5"/>
  <sheetViews>
    <sheetView showGridLines="0" workbookViewId="0">
      <pane ySplit="5" topLeftCell="A6" activePane="bottomLeft" state="frozen"/>
      <selection pane="bottomLeft" activeCell="A1" sqref="A1"/>
    </sheetView>
  </sheetViews>
  <sheetFormatPr baseColWidth="8" defaultRowHeight="15"/>
  <cols>
    <col width="12" customWidth="1" min="1" max="1"/>
    <col width="32" customWidth="1" min="2" max="2"/>
    <col width="18" customWidth="1" min="3" max="3"/>
    <col width="14" customWidth="1" min="4" max="4"/>
    <col width="18" customWidth="1" min="5" max="5"/>
    <col width="28" customWidth="1" min="6" max="6"/>
    <col width="18" customWidth="1" min="7" max="7"/>
    <col width="40" customWidth="1" min="8" max="8"/>
    <col width="14" customWidth="1" min="9" max="9"/>
    <col width="14" customWidth="1" min="10" max="10"/>
    <col width="15" customWidth="1" min="11" max="11"/>
  </cols>
  <sheetData>
    <row r="1" ht="35" customHeight="1">
      <c r="A1" s="11" t="inlineStr">
        <is>
          <t>REPORTING SCHEDULE</t>
        </is>
      </c>
    </row>
    <row r="2">
      <c r="A2" s="12" t="inlineStr">
        <is>
          <t>Document regular reports generated for web filtering operations</t>
        </is>
      </c>
    </row>
    <row r="4">
      <c r="A4" s="13" t="inlineStr">
        <is>
          <t>SECTION A: REPORT INVENTORY</t>
        </is>
      </c>
    </row>
    <row r="5">
      <c r="A5" s="14" t="inlineStr">
        <is>
          <t>Report_ID</t>
        </is>
      </c>
      <c r="B5" s="14" t="inlineStr">
        <is>
          <t>Report_Name</t>
        </is>
      </c>
      <c r="C5" s="14" t="inlineStr">
        <is>
          <t>Report_Type</t>
        </is>
      </c>
      <c r="D5" s="14" t="inlineStr">
        <is>
          <t>Frequency</t>
        </is>
      </c>
      <c r="E5" s="14" t="inlineStr">
        <is>
          <t>Generation_Method</t>
        </is>
      </c>
      <c r="F5" s="14" t="inlineStr">
        <is>
          <t>Distribution_List</t>
        </is>
      </c>
      <c r="G5" s="14" t="inlineStr">
        <is>
          <t>Delivery_Method</t>
        </is>
      </c>
      <c r="H5" s="14" t="inlineStr">
        <is>
          <t>Content_Summary</t>
        </is>
      </c>
      <c r="I5" s="14" t="inlineStr">
        <is>
          <t>Last_Generated</t>
        </is>
      </c>
      <c r="J5" s="14" t="inlineStr">
        <is>
          <t>Status</t>
        </is>
      </c>
      <c r="K5" s="14" t="inlineStr">
        <is>
          <t>Evidence_Ref</t>
        </is>
      </c>
    </row>
    <row r="6">
      <c r="A6" s="15" t="inlineStr">
        <is>
          <t>RPT-001</t>
        </is>
      </c>
      <c r="B6" s="22" t="inlineStr">
        <is>
          <t>Daily Threat Summary</t>
        </is>
      </c>
      <c r="C6" s="22" t="inlineStr">
        <is>
          <t>Operational</t>
        </is>
      </c>
      <c r="D6" s="22" t="inlineStr">
        <is>
          <t>Daily</t>
        </is>
      </c>
      <c r="E6" s="16" t="n"/>
      <c r="F6" s="16" t="n"/>
      <c r="G6" s="16" t="n"/>
      <c r="H6" s="16" t="n"/>
      <c r="I6" s="16" t="n"/>
      <c r="J6" s="16" t="n"/>
      <c r="K6" s="16" t="n"/>
    </row>
    <row r="7">
      <c r="B7" s="16" t="n"/>
      <c r="C7" s="16" t="n"/>
      <c r="D7" s="16" t="n"/>
      <c r="E7" s="16" t="n"/>
      <c r="F7" s="16" t="n"/>
      <c r="G7" s="16" t="n"/>
      <c r="H7" s="16" t="n"/>
      <c r="I7" s="16" t="n"/>
      <c r="J7" s="16" t="n"/>
      <c r="K7" s="16" t="n"/>
    </row>
    <row r="8">
      <c r="B8" s="16" t="n"/>
      <c r="C8" s="16" t="n"/>
      <c r="D8" s="16" t="n"/>
      <c r="E8" s="16" t="n"/>
      <c r="F8" s="16" t="n"/>
      <c r="G8" s="16" t="n"/>
      <c r="H8" s="16" t="n"/>
      <c r="I8" s="16" t="n"/>
      <c r="J8" s="16" t="n"/>
      <c r="K8" s="16" t="n"/>
    </row>
    <row r="9">
      <c r="B9" s="16" t="n"/>
      <c r="C9" s="16" t="n"/>
      <c r="D9" s="16" t="n"/>
      <c r="E9" s="16" t="n"/>
      <c r="F9" s="16" t="n"/>
      <c r="G9" s="16" t="n"/>
      <c r="H9" s="16" t="n"/>
      <c r="I9" s="16" t="n"/>
      <c r="J9" s="16" t="n"/>
      <c r="K9" s="16" t="n"/>
    </row>
    <row r="10">
      <c r="B10" s="16" t="n"/>
      <c r="C10" s="16" t="n"/>
      <c r="D10" s="16" t="n"/>
      <c r="E10" s="16" t="n"/>
      <c r="F10" s="16" t="n"/>
      <c r="G10" s="16" t="n"/>
      <c r="H10" s="16" t="n"/>
      <c r="I10" s="16" t="n"/>
      <c r="J10" s="16" t="n"/>
      <c r="K10" s="16" t="n"/>
    </row>
    <row r="11">
      <c r="B11" s="16" t="n"/>
      <c r="C11" s="16" t="n"/>
      <c r="D11" s="16" t="n"/>
      <c r="E11" s="16" t="n"/>
      <c r="F11" s="16" t="n"/>
      <c r="G11" s="16" t="n"/>
      <c r="H11" s="16" t="n"/>
      <c r="I11" s="16" t="n"/>
      <c r="J11" s="16" t="n"/>
      <c r="K11" s="16" t="n"/>
    </row>
    <row r="12">
      <c r="B12" s="16" t="n"/>
      <c r="C12" s="16" t="n"/>
      <c r="D12" s="16" t="n"/>
      <c r="E12" s="16" t="n"/>
      <c r="F12" s="16" t="n"/>
      <c r="G12" s="16" t="n"/>
      <c r="H12" s="16" t="n"/>
      <c r="I12" s="16" t="n"/>
      <c r="J12" s="16" t="n"/>
      <c r="K12" s="16" t="n"/>
    </row>
    <row r="13">
      <c r="B13" s="16" t="n"/>
      <c r="C13" s="16" t="n"/>
      <c r="D13" s="16" t="n"/>
      <c r="E13" s="16" t="n"/>
      <c r="F13" s="16" t="n"/>
      <c r="G13" s="16" t="n"/>
      <c r="H13" s="16" t="n"/>
      <c r="I13" s="16" t="n"/>
      <c r="J13" s="16" t="n"/>
      <c r="K13" s="16" t="n"/>
    </row>
    <row r="14">
      <c r="B14" s="16" t="n"/>
      <c r="C14" s="16" t="n"/>
      <c r="D14" s="16" t="n"/>
      <c r="E14" s="16" t="n"/>
      <c r="F14" s="16" t="n"/>
      <c r="G14" s="16" t="n"/>
      <c r="H14" s="16" t="n"/>
      <c r="I14" s="16" t="n"/>
      <c r="J14" s="16" t="n"/>
      <c r="K14" s="16" t="n"/>
    </row>
    <row r="15">
      <c r="B15" s="16" t="n"/>
      <c r="C15" s="16" t="n"/>
      <c r="D15" s="16" t="n"/>
      <c r="E15" s="16" t="n"/>
      <c r="F15" s="16" t="n"/>
      <c r="G15" s="16" t="n"/>
      <c r="H15" s="16" t="n"/>
      <c r="I15" s="16" t="n"/>
      <c r="J15" s="16" t="n"/>
      <c r="K15" s="16" t="n"/>
    </row>
    <row r="16">
      <c r="B16" s="16" t="n"/>
      <c r="C16" s="16" t="n"/>
      <c r="D16" s="16" t="n"/>
      <c r="E16" s="16" t="n"/>
      <c r="F16" s="16" t="n"/>
      <c r="G16" s="16" t="n"/>
      <c r="H16" s="16" t="n"/>
      <c r="I16" s="16" t="n"/>
      <c r="J16" s="16" t="n"/>
      <c r="K16" s="16" t="n"/>
    </row>
    <row r="17">
      <c r="B17" s="16" t="n"/>
      <c r="C17" s="16" t="n"/>
      <c r="D17" s="16" t="n"/>
      <c r="E17" s="16" t="n"/>
      <c r="F17" s="16" t="n"/>
      <c r="G17" s="16" t="n"/>
      <c r="H17" s="16" t="n"/>
      <c r="I17" s="16" t="n"/>
      <c r="J17" s="16" t="n"/>
      <c r="K17" s="16" t="n"/>
    </row>
    <row r="18">
      <c r="B18" s="16" t="n"/>
      <c r="C18" s="16" t="n"/>
      <c r="D18" s="16" t="n"/>
      <c r="E18" s="16" t="n"/>
      <c r="F18" s="16" t="n"/>
      <c r="G18" s="16" t="n"/>
      <c r="H18" s="16" t="n"/>
      <c r="I18" s="16" t="n"/>
      <c r="J18" s="16" t="n"/>
      <c r="K18" s="16" t="n"/>
    </row>
    <row r="19">
      <c r="B19" s="16" t="n"/>
      <c r="C19" s="16" t="n"/>
      <c r="D19" s="16" t="n"/>
      <c r="E19" s="16" t="n"/>
      <c r="F19" s="16" t="n"/>
      <c r="G19" s="16" t="n"/>
      <c r="H19" s="16" t="n"/>
      <c r="I19" s="16" t="n"/>
      <c r="J19" s="16" t="n"/>
      <c r="K19" s="16" t="n"/>
    </row>
    <row r="20">
      <c r="B20" s="16" t="n"/>
      <c r="C20" s="16" t="n"/>
      <c r="D20" s="16" t="n"/>
      <c r="E20" s="16" t="n"/>
      <c r="F20" s="16" t="n"/>
      <c r="G20" s="16" t="n"/>
      <c r="H20" s="16" t="n"/>
      <c r="I20" s="16" t="n"/>
      <c r="J20" s="16" t="n"/>
      <c r="K20" s="16" t="n"/>
    </row>
    <row r="21">
      <c r="B21" s="16" t="n"/>
      <c r="C21" s="16" t="n"/>
      <c r="D21" s="16" t="n"/>
      <c r="E21" s="16" t="n"/>
      <c r="F21" s="16" t="n"/>
      <c r="G21" s="16" t="n"/>
      <c r="H21" s="16" t="n"/>
      <c r="I21" s="16" t="n"/>
      <c r="J21" s="16" t="n"/>
      <c r="K21" s="16" t="n"/>
    </row>
    <row r="22">
      <c r="B22" s="16" t="n"/>
      <c r="C22" s="16" t="n"/>
      <c r="D22" s="16" t="n"/>
      <c r="E22" s="16" t="n"/>
      <c r="F22" s="16" t="n"/>
      <c r="G22" s="16" t="n"/>
      <c r="H22" s="16" t="n"/>
      <c r="I22" s="16" t="n"/>
      <c r="J22" s="16" t="n"/>
      <c r="K22" s="16" t="n"/>
    </row>
    <row r="23">
      <c r="B23" s="16" t="n"/>
      <c r="C23" s="16" t="n"/>
      <c r="D23" s="16" t="n"/>
      <c r="E23" s="16" t="n"/>
      <c r="F23" s="16" t="n"/>
      <c r="G23" s="16" t="n"/>
      <c r="H23" s="16" t="n"/>
      <c r="I23" s="16" t="n"/>
      <c r="J23" s="16" t="n"/>
      <c r="K23" s="16" t="n"/>
    </row>
    <row r="24">
      <c r="B24" s="16" t="n"/>
      <c r="C24" s="16" t="n"/>
      <c r="D24" s="16" t="n"/>
      <c r="E24" s="16" t="n"/>
      <c r="F24" s="16" t="n"/>
      <c r="G24" s="16" t="n"/>
      <c r="H24" s="16" t="n"/>
      <c r="I24" s="16" t="n"/>
      <c r="J24" s="16" t="n"/>
      <c r="K24" s="16" t="n"/>
    </row>
    <row r="25">
      <c r="B25" s="16" t="n"/>
      <c r="C25" s="16" t="n"/>
      <c r="D25" s="16" t="n"/>
      <c r="E25" s="16" t="n"/>
      <c r="F25" s="16" t="n"/>
      <c r="G25" s="16" t="n"/>
      <c r="H25" s="16" t="n"/>
      <c r="I25" s="16" t="n"/>
      <c r="J25" s="16" t="n"/>
      <c r="K25" s="16" t="n"/>
    </row>
    <row r="26">
      <c r="B26" s="16" t="n"/>
      <c r="C26" s="16" t="n"/>
      <c r="D26" s="16" t="n"/>
      <c r="E26" s="16" t="n"/>
      <c r="F26" s="16" t="n"/>
      <c r="G26" s="16" t="n"/>
      <c r="H26" s="16" t="n"/>
      <c r="I26" s="16" t="n"/>
      <c r="J26" s="16" t="n"/>
      <c r="K26" s="16" t="n"/>
    </row>
    <row r="28">
      <c r="A28" s="13" t="inlineStr">
        <is>
          <t>SECTION B: STAKEHOLDER REPORTING COVERAGE</t>
        </is>
      </c>
    </row>
    <row r="29">
      <c r="A29" s="21" t="inlineStr">
        <is>
          <t>Stakeholder</t>
        </is>
      </c>
      <c r="B29" s="21" t="inlineStr">
        <is>
          <t>Required_Reports</t>
        </is>
      </c>
      <c r="C29" s="21" t="inlineStr">
        <is>
          <t>Reports_Received</t>
        </is>
      </c>
      <c r="D29" s="21" t="inlineStr">
        <is>
          <t>Coverage_%</t>
        </is>
      </c>
      <c r="E29" s="21" t="inlineStr">
        <is>
          <t>Notes</t>
        </is>
      </c>
    </row>
    <row r="30">
      <c r="A30" s="26" t="inlineStr">
        <is>
          <t>CISO</t>
        </is>
      </c>
      <c r="B30" s="23" t="n"/>
      <c r="C30" s="23" t="n"/>
      <c r="D30" s="27">
        <f>IFERROR(C30/B30,0)</f>
        <v/>
      </c>
      <c r="E30" s="23" t="n"/>
    </row>
    <row r="31">
      <c r="A31" s="26" t="inlineStr">
        <is>
          <t>IT Management</t>
        </is>
      </c>
      <c r="B31" s="23" t="n"/>
      <c r="C31" s="23" t="n"/>
      <c r="D31" s="27">
        <f>IFERROR(C31/B31,0)</f>
        <v/>
      </c>
      <c r="E31" s="23" t="n"/>
    </row>
    <row r="32">
      <c r="A32" s="26" t="inlineStr">
        <is>
          <t>Compliance Team</t>
        </is>
      </c>
      <c r="B32" s="23" t="n"/>
      <c r="C32" s="23" t="n"/>
      <c r="D32" s="27">
        <f>IFERROR(C32/B32,0)</f>
        <v/>
      </c>
      <c r="E32" s="23" t="n"/>
    </row>
    <row r="33">
      <c r="A33" s="26" t="inlineStr">
        <is>
          <t>SOC</t>
        </is>
      </c>
      <c r="B33" s="23" t="n"/>
      <c r="C33" s="23" t="n"/>
      <c r="D33" s="27">
        <f>IFERROR(C33/B33,0)</f>
        <v/>
      </c>
      <c r="E33" s="23" t="n"/>
    </row>
    <row r="34">
      <c r="A34" s="26" t="inlineStr">
        <is>
          <t>Internal Audit</t>
        </is>
      </c>
      <c r="B34" s="23" t="n"/>
      <c r="C34" s="23" t="n"/>
      <c r="D34" s="27">
        <f>IFERROR(C34/B34,0)</f>
        <v/>
      </c>
      <c r="E34" s="23" t="n"/>
    </row>
    <row r="35">
      <c r="A35" s="26" t="inlineStr">
        <is>
          <t>External Auditors</t>
        </is>
      </c>
      <c r="B35" s="23" t="n"/>
      <c r="C35" s="23" t="n"/>
      <c r="D35" s="27">
        <f>IFERROR(C35/B35,0)</f>
        <v/>
      </c>
      <c r="E35" s="23" t="n"/>
    </row>
    <row r="36">
      <c r="A36" s="26" t="inlineStr">
        <is>
          <t>HR</t>
        </is>
      </c>
      <c r="B36" s="23" t="n"/>
      <c r="C36" s="23" t="n"/>
      <c r="D36" s="27">
        <f>IFERROR(C36/B36,0)</f>
        <v/>
      </c>
      <c r="E36" s="23" t="n"/>
    </row>
    <row r="37">
      <c r="A37" s="26" t="inlineStr">
        <is>
          <t>Legal</t>
        </is>
      </c>
      <c r="B37" s="23" t="n"/>
      <c r="C37" s="23" t="n"/>
      <c r="D37" s="27">
        <f>IFERROR(C37/B37,0)</f>
        <v/>
      </c>
      <c r="E37" s="23" t="n"/>
    </row>
    <row r="40">
      <c r="A40" s="13" t="inlineStr">
        <is>
          <t>SECTION C: SUMMARY METRICS</t>
        </is>
      </c>
    </row>
    <row r="41">
      <c r="A41" s="18" t="inlineStr">
        <is>
          <t>Total reports configured:</t>
        </is>
      </c>
      <c r="B41" s="19">
        <f>COUNTA(B6:B25)</f>
        <v/>
      </c>
    </row>
    <row r="42">
      <c r="A42" s="18" t="inlineStr">
        <is>
          <t>Automated reports:</t>
        </is>
      </c>
      <c r="B42" s="19">
        <f>COUNTIF(E6:E25,"Automated")</f>
        <v/>
      </c>
    </row>
    <row r="43">
      <c r="A43" s="18" t="inlineStr">
        <is>
          <t>Reports implemented:</t>
        </is>
      </c>
      <c r="B43" s="19">
        <f>COUNTIF(J6:J25,"✅ Implemented")</f>
        <v/>
      </c>
    </row>
    <row r="44">
      <c r="A44" s="18" t="inlineStr">
        <is>
          <t>Daily reports:</t>
        </is>
      </c>
      <c r="B44" s="19">
        <f>COUNTIF(D6:D25,"Daily")</f>
        <v/>
      </c>
    </row>
    <row r="45">
      <c r="A45" s="18" t="inlineStr">
        <is>
          <t>Stakeholders with full coverage:</t>
        </is>
      </c>
      <c r="B45" s="19">
        <f>COUNTIF(D30:D37,"&gt;=100%")</f>
        <v/>
      </c>
    </row>
  </sheetData>
  <mergeCells count="5">
    <mergeCell ref="A40:D40"/>
    <mergeCell ref="A4:K4"/>
    <mergeCell ref="A28:E28"/>
    <mergeCell ref="A2:K2"/>
    <mergeCell ref="A1:K1"/>
  </mergeCells>
  <dataValidations count="5">
    <dataValidation sqref="C6:C26" showDropDown="0" showInputMessage="0" showErrorMessage="0" allowBlank="1" errorTitle="Invalid Entry" error="Please select from dropdown" promptTitle="Available Options" prompt="Select from list" type="list">
      <formula1>"Operational,Compliance,Executive,Incident,Trend,Audit,Ad-hoc"</formula1>
    </dataValidation>
    <dataValidation sqref="D6:D26" showDropDown="0" showInputMessage="0" showErrorMessage="0" allowBlank="1" errorTitle="Invalid Entry" error="Please select from dropdown" promptTitle="Available Options" prompt="Select from list" type="list">
      <formula1>"Daily,Weekly,Monthly,Quarterly,Annual,Ad-hoc"</formula1>
    </dataValidation>
    <dataValidation sqref="E6:E26" showDropDown="0" showInputMessage="0" showErrorMessage="0" allowBlank="1" errorTitle="Invalid Entry" error="Please select from dropdown" promptTitle="Available Options" prompt="Select from list" type="list">
      <formula1>"Automated,Manual,Semi-Automated"</formula1>
    </dataValidation>
    <dataValidation sqref="G6:G26" showDropDown="0" showInputMessage="0" showErrorMessage="0" allowBlank="1" errorTitle="Invalid Entry" error="Please select from dropdown" promptTitle="Available Options" prompt="Select from list" type="list">
      <formula1>"Email,Portal,Dashboard,File_Share,Meeting,API"</formula1>
    </dataValidation>
    <dataValidation sqref="J6:J26" showDropDown="0" showInputMessage="0" showErrorMessage="0" allowBlank="1" errorTitle="Invalid Entry" error="Please select from dropdown" promptTitle="Available Options" prompt="Select from list" type="list">
      <formula1>"✅ Implemented,⚠️ Partial,⟳ Planned,❌ Not Implemented,N/A"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7"/>
  <sheetViews>
    <sheetView showGridLines="0" workbookViewId="0">
      <pane ySplit="5" topLeftCell="A6" activePane="bottomLeft" state="frozen"/>
      <selection pane="bottomLeft" activeCell="A1" sqref="A1"/>
    </sheetView>
  </sheetViews>
  <sheetFormatPr baseColWidth="8" defaultRowHeight="15"/>
  <cols>
    <col width="14" customWidth="1" min="1" max="1"/>
    <col width="18" customWidth="1" min="2" max="2"/>
    <col width="40" customWidth="1" min="3" max="3"/>
    <col width="30" customWidth="1" min="4" max="4"/>
    <col width="30" customWidth="1" min="5" max="5"/>
    <col width="14" customWidth="1" min="6" max="6"/>
    <col width="25" customWidth="1" min="7" max="7"/>
    <col width="35" customWidth="1" min="8" max="8"/>
    <col width="20" customWidth="1" min="9" max="9"/>
    <col width="14" customWidth="1" min="10" max="10"/>
    <col width="15" customWidth="1" min="11" max="11"/>
    <col width="12" customWidth="1" min="12" max="12"/>
    <col width="15" customWidth="1" min="13" max="13"/>
  </cols>
  <sheetData>
    <row r="1" ht="35" customHeight="1">
      <c r="A1" s="11" t="inlineStr">
        <is>
          <t>GAP ANALYSIS - MONITORING &amp; RESPONSE</t>
        </is>
      </c>
    </row>
    <row r="2">
      <c r="A2" s="12" t="inlineStr">
        <is>
          <t>Identify and prioritize monitoring and incident response gaps for remediation</t>
        </is>
      </c>
    </row>
    <row r="4">
      <c r="A4" s="13" t="inlineStr">
        <is>
          <t>GAP REGISTER</t>
        </is>
      </c>
    </row>
    <row r="5">
      <c r="A5" s="14" t="inlineStr">
        <is>
          <t>Gap ID</t>
        </is>
      </c>
      <c r="B5" s="14" t="inlineStr">
        <is>
          <t>Gap Category</t>
        </is>
      </c>
      <c r="C5" s="14" t="inlineStr">
        <is>
          <t>Gap Description</t>
        </is>
      </c>
      <c r="D5" s="14" t="inlineStr">
        <is>
          <t>Current State</t>
        </is>
      </c>
      <c r="E5" s="14" t="inlineStr">
        <is>
          <t>Target State</t>
        </is>
      </c>
      <c r="F5" s="14" t="inlineStr">
        <is>
          <t>Risk Impact</t>
        </is>
      </c>
      <c r="G5" s="14" t="inlineStr">
        <is>
          <t>Affected Systems</t>
        </is>
      </c>
      <c r="H5" s="14" t="inlineStr">
        <is>
          <t>Remediation Action</t>
        </is>
      </c>
      <c r="I5" s="14" t="inlineStr">
        <is>
          <t>Owner</t>
        </is>
      </c>
      <c r="J5" s="14" t="inlineStr">
        <is>
          <t>Target Date</t>
        </is>
      </c>
      <c r="K5" s="14" t="inlineStr">
        <is>
          <t>Status</t>
        </is>
      </c>
      <c r="L5" s="14" t="inlineStr">
        <is>
          <t>Priority</t>
        </is>
      </c>
      <c r="M5" s="14" t="inlineStr">
        <is>
          <t>Evidence Ref</t>
        </is>
      </c>
    </row>
    <row r="6">
      <c r="A6" s="28" t="inlineStr">
        <is>
          <t>GAP4-001</t>
        </is>
      </c>
      <c r="B6" s="29" t="n"/>
      <c r="C6" s="29" t="n"/>
      <c r="D6" s="29" t="n"/>
      <c r="E6" s="29" t="n"/>
      <c r="F6" s="29" t="n"/>
      <c r="G6" s="29" t="n"/>
      <c r="H6" s="29" t="n"/>
      <c r="I6" s="29" t="n"/>
      <c r="J6" s="29" t="n"/>
      <c r="K6" s="29" t="n"/>
      <c r="L6" s="29" t="n"/>
      <c r="M6" s="29" t="n"/>
    </row>
    <row r="7">
      <c r="A7" s="23" t="n"/>
      <c r="B7" s="16" t="n"/>
      <c r="C7" s="16" t="n"/>
      <c r="D7" s="16" t="n"/>
      <c r="E7" s="16" t="n"/>
      <c r="F7" s="16" t="n"/>
      <c r="G7" s="16" t="n"/>
      <c r="H7" s="16" t="n"/>
      <c r="I7" s="16" t="n"/>
      <c r="J7" s="16" t="n"/>
      <c r="K7" s="16" t="n"/>
      <c r="L7" s="16" t="n"/>
      <c r="M7" s="16" t="n"/>
    </row>
    <row r="8">
      <c r="A8" s="23" t="n"/>
      <c r="B8" s="16" t="n"/>
      <c r="C8" s="16" t="n"/>
      <c r="D8" s="16" t="n"/>
      <c r="E8" s="16" t="n"/>
      <c r="F8" s="16" t="n"/>
      <c r="G8" s="16" t="n"/>
      <c r="H8" s="16" t="n"/>
      <c r="I8" s="16" t="n"/>
      <c r="J8" s="16" t="n"/>
      <c r="K8" s="16" t="n"/>
      <c r="L8" s="16" t="n"/>
      <c r="M8" s="16" t="n"/>
    </row>
    <row r="9">
      <c r="A9" s="23" t="n"/>
      <c r="B9" s="16" t="n"/>
      <c r="C9" s="16" t="n"/>
      <c r="D9" s="16" t="n"/>
      <c r="E9" s="16" t="n"/>
      <c r="F9" s="16" t="n"/>
      <c r="G9" s="16" t="n"/>
      <c r="H9" s="16" t="n"/>
      <c r="I9" s="16" t="n"/>
      <c r="J9" s="16" t="n"/>
      <c r="K9" s="16" t="n"/>
      <c r="L9" s="16" t="n"/>
      <c r="M9" s="16" t="n"/>
    </row>
    <row r="10">
      <c r="A10" s="23" t="n"/>
      <c r="B10" s="16" t="n"/>
      <c r="C10" s="16" t="n"/>
      <c r="D10" s="16" t="n"/>
      <c r="E10" s="16" t="n"/>
      <c r="F10" s="16" t="n"/>
      <c r="G10" s="16" t="n"/>
      <c r="H10" s="16" t="n"/>
      <c r="I10" s="16" t="n"/>
      <c r="J10" s="16" t="n"/>
      <c r="K10" s="16" t="n"/>
      <c r="L10" s="16" t="n"/>
      <c r="M10" s="16" t="n"/>
    </row>
    <row r="11">
      <c r="A11" s="23" t="n"/>
      <c r="B11" s="16" t="n"/>
      <c r="C11" s="16" t="n"/>
      <c r="D11" s="16" t="n"/>
      <c r="E11" s="16" t="n"/>
      <c r="F11" s="16" t="n"/>
      <c r="G11" s="16" t="n"/>
      <c r="H11" s="16" t="n"/>
      <c r="I11" s="16" t="n"/>
      <c r="J11" s="16" t="n"/>
      <c r="K11" s="16" t="n"/>
      <c r="L11" s="16" t="n"/>
      <c r="M11" s="16" t="n"/>
    </row>
    <row r="12">
      <c r="A12" s="23" t="n"/>
      <c r="B12" s="16" t="n"/>
      <c r="C12" s="16" t="n"/>
      <c r="D12" s="16" t="n"/>
      <c r="E12" s="16" t="n"/>
      <c r="F12" s="16" t="n"/>
      <c r="G12" s="16" t="n"/>
      <c r="H12" s="16" t="n"/>
      <c r="I12" s="16" t="n"/>
      <c r="J12" s="16" t="n"/>
      <c r="K12" s="16" t="n"/>
      <c r="L12" s="16" t="n"/>
      <c r="M12" s="16" t="n"/>
    </row>
    <row r="13">
      <c r="A13" s="23" t="n"/>
      <c r="B13" s="16" t="n"/>
      <c r="C13" s="16" t="n"/>
      <c r="D13" s="16" t="n"/>
      <c r="E13" s="16" t="n"/>
      <c r="F13" s="16" t="n"/>
      <c r="G13" s="16" t="n"/>
      <c r="H13" s="16" t="n"/>
      <c r="I13" s="16" t="n"/>
      <c r="J13" s="16" t="n"/>
      <c r="K13" s="16" t="n"/>
      <c r="L13" s="16" t="n"/>
      <c r="M13" s="16" t="n"/>
    </row>
    <row r="14">
      <c r="A14" s="23" t="n"/>
      <c r="B14" s="16" t="n"/>
      <c r="C14" s="16" t="n"/>
      <c r="D14" s="16" t="n"/>
      <c r="E14" s="16" t="n"/>
      <c r="F14" s="16" t="n"/>
      <c r="G14" s="16" t="n"/>
      <c r="H14" s="16" t="n"/>
      <c r="I14" s="16" t="n"/>
      <c r="J14" s="16" t="n"/>
      <c r="K14" s="16" t="n"/>
      <c r="L14" s="16" t="n"/>
      <c r="M14" s="16" t="n"/>
    </row>
    <row r="15">
      <c r="A15" s="23" t="n"/>
      <c r="B15" s="16" t="n"/>
      <c r="C15" s="16" t="n"/>
      <c r="D15" s="16" t="n"/>
      <c r="E15" s="16" t="n"/>
      <c r="F15" s="16" t="n"/>
      <c r="G15" s="16" t="n"/>
      <c r="H15" s="16" t="n"/>
      <c r="I15" s="16" t="n"/>
      <c r="J15" s="16" t="n"/>
      <c r="K15" s="16" t="n"/>
      <c r="L15" s="16" t="n"/>
      <c r="M15" s="16" t="n"/>
    </row>
    <row r="16">
      <c r="A16" s="23" t="n"/>
      <c r="B16" s="16" t="n"/>
      <c r="C16" s="16" t="n"/>
      <c r="D16" s="16" t="n"/>
      <c r="E16" s="16" t="n"/>
      <c r="F16" s="16" t="n"/>
      <c r="G16" s="16" t="n"/>
      <c r="H16" s="16" t="n"/>
      <c r="I16" s="16" t="n"/>
      <c r="J16" s="16" t="n"/>
      <c r="K16" s="16" t="n"/>
      <c r="L16" s="16" t="n"/>
      <c r="M16" s="16" t="n"/>
    </row>
    <row r="17">
      <c r="A17" s="23" t="n"/>
      <c r="B17" s="16" t="n"/>
      <c r="C17" s="16" t="n"/>
      <c r="D17" s="16" t="n"/>
      <c r="E17" s="16" t="n"/>
      <c r="F17" s="16" t="n"/>
      <c r="G17" s="16" t="n"/>
      <c r="H17" s="16" t="n"/>
      <c r="I17" s="16" t="n"/>
      <c r="J17" s="16" t="n"/>
      <c r="K17" s="16" t="n"/>
      <c r="L17" s="16" t="n"/>
      <c r="M17" s="16" t="n"/>
    </row>
    <row r="18">
      <c r="A18" s="23" t="n"/>
      <c r="B18" s="16" t="n"/>
      <c r="C18" s="16" t="n"/>
      <c r="D18" s="16" t="n"/>
      <c r="E18" s="16" t="n"/>
      <c r="F18" s="16" t="n"/>
      <c r="G18" s="16" t="n"/>
      <c r="H18" s="16" t="n"/>
      <c r="I18" s="16" t="n"/>
      <c r="J18" s="16" t="n"/>
      <c r="K18" s="16" t="n"/>
      <c r="L18" s="16" t="n"/>
      <c r="M18" s="16" t="n"/>
    </row>
    <row r="19">
      <c r="A19" s="23" t="n"/>
      <c r="B19" s="16" t="n"/>
      <c r="C19" s="16" t="n"/>
      <c r="D19" s="16" t="n"/>
      <c r="E19" s="16" t="n"/>
      <c r="F19" s="16" t="n"/>
      <c r="G19" s="16" t="n"/>
      <c r="H19" s="16" t="n"/>
      <c r="I19" s="16" t="n"/>
      <c r="J19" s="16" t="n"/>
      <c r="K19" s="16" t="n"/>
      <c r="L19" s="16" t="n"/>
      <c r="M19" s="16" t="n"/>
    </row>
    <row r="20">
      <c r="A20" s="23" t="n"/>
      <c r="B20" s="16" t="n"/>
      <c r="C20" s="16" t="n"/>
      <c r="D20" s="16" t="n"/>
      <c r="E20" s="16" t="n"/>
      <c r="F20" s="16" t="n"/>
      <c r="G20" s="16" t="n"/>
      <c r="H20" s="16" t="n"/>
      <c r="I20" s="16" t="n"/>
      <c r="J20" s="16" t="n"/>
      <c r="K20" s="16" t="n"/>
      <c r="L20" s="16" t="n"/>
      <c r="M20" s="16" t="n"/>
    </row>
    <row r="21">
      <c r="A21" s="23" t="n"/>
      <c r="B21" s="16" t="n"/>
      <c r="C21" s="16" t="n"/>
      <c r="D21" s="16" t="n"/>
      <c r="E21" s="16" t="n"/>
      <c r="F21" s="16" t="n"/>
      <c r="G21" s="16" t="n"/>
      <c r="H21" s="16" t="n"/>
      <c r="I21" s="16" t="n"/>
      <c r="J21" s="16" t="n"/>
      <c r="K21" s="16" t="n"/>
      <c r="L21" s="16" t="n"/>
      <c r="M21" s="16" t="n"/>
    </row>
    <row r="22">
      <c r="A22" s="23" t="n"/>
      <c r="B22" s="16" t="n"/>
      <c r="C22" s="16" t="n"/>
      <c r="D22" s="16" t="n"/>
      <c r="E22" s="16" t="n"/>
      <c r="F22" s="16" t="n"/>
      <c r="G22" s="16" t="n"/>
      <c r="H22" s="16" t="n"/>
      <c r="I22" s="16" t="n"/>
      <c r="J22" s="16" t="n"/>
      <c r="K22" s="16" t="n"/>
      <c r="L22" s="16" t="n"/>
      <c r="M22" s="16" t="n"/>
    </row>
    <row r="23">
      <c r="A23" s="23" t="n"/>
      <c r="B23" s="16" t="n"/>
      <c r="C23" s="16" t="n"/>
      <c r="D23" s="16" t="n"/>
      <c r="E23" s="16" t="n"/>
      <c r="F23" s="16" t="n"/>
      <c r="G23" s="16" t="n"/>
      <c r="H23" s="16" t="n"/>
      <c r="I23" s="16" t="n"/>
      <c r="J23" s="16" t="n"/>
      <c r="K23" s="16" t="n"/>
      <c r="L23" s="16" t="n"/>
      <c r="M23" s="16" t="n"/>
    </row>
    <row r="24">
      <c r="A24" s="23" t="n"/>
      <c r="B24" s="16" t="n"/>
      <c r="C24" s="16" t="n"/>
      <c r="D24" s="16" t="n"/>
      <c r="E24" s="16" t="n"/>
      <c r="F24" s="16" t="n"/>
      <c r="G24" s="16" t="n"/>
      <c r="H24" s="16" t="n"/>
      <c r="I24" s="16" t="n"/>
      <c r="J24" s="16" t="n"/>
      <c r="K24" s="16" t="n"/>
      <c r="L24" s="16" t="n"/>
      <c r="M24" s="16" t="n"/>
    </row>
    <row r="25">
      <c r="A25" s="23" t="n"/>
      <c r="B25" s="16" t="n"/>
      <c r="C25" s="16" t="n"/>
      <c r="D25" s="16" t="n"/>
      <c r="E25" s="16" t="n"/>
      <c r="F25" s="16" t="n"/>
      <c r="G25" s="16" t="n"/>
      <c r="H25" s="16" t="n"/>
      <c r="I25" s="16" t="n"/>
      <c r="J25" s="16" t="n"/>
      <c r="K25" s="16" t="n"/>
      <c r="L25" s="16" t="n"/>
      <c r="M25" s="16" t="n"/>
    </row>
    <row r="26">
      <c r="A26" s="23" t="n"/>
      <c r="B26" s="16" t="n"/>
      <c r="C26" s="16" t="n"/>
      <c r="D26" s="16" t="n"/>
      <c r="E26" s="16" t="n"/>
      <c r="F26" s="16" t="n"/>
      <c r="G26" s="16" t="n"/>
      <c r="H26" s="16" t="n"/>
      <c r="I26" s="16" t="n"/>
      <c r="J26" s="16" t="n"/>
      <c r="K26" s="16" t="n"/>
      <c r="L26" s="16" t="n"/>
      <c r="M26" s="16" t="n"/>
    </row>
    <row r="27">
      <c r="A27" s="23" t="n"/>
      <c r="B27" s="16" t="n"/>
      <c r="C27" s="16" t="n"/>
      <c r="D27" s="16" t="n"/>
      <c r="E27" s="16" t="n"/>
      <c r="F27" s="16" t="n"/>
      <c r="G27" s="16" t="n"/>
      <c r="H27" s="16" t="n"/>
      <c r="I27" s="16" t="n"/>
      <c r="J27" s="16" t="n"/>
      <c r="K27" s="16" t="n"/>
      <c r="L27" s="16" t="n"/>
      <c r="M27" s="16" t="n"/>
    </row>
    <row r="28">
      <c r="A28" s="23" t="n"/>
      <c r="B28" s="16" t="n"/>
      <c r="C28" s="16" t="n"/>
      <c r="D28" s="16" t="n"/>
      <c r="E28" s="16" t="n"/>
      <c r="F28" s="16" t="n"/>
      <c r="G28" s="16" t="n"/>
      <c r="H28" s="16" t="n"/>
      <c r="I28" s="16" t="n"/>
      <c r="J28" s="16" t="n"/>
      <c r="K28" s="16" t="n"/>
      <c r="L28" s="16" t="n"/>
      <c r="M28" s="16" t="n"/>
    </row>
    <row r="29">
      <c r="A29" s="23" t="n"/>
      <c r="B29" s="16" t="n"/>
      <c r="C29" s="16" t="n"/>
      <c r="D29" s="16" t="n"/>
      <c r="E29" s="16" t="n"/>
      <c r="F29" s="16" t="n"/>
      <c r="G29" s="16" t="n"/>
      <c r="H29" s="16" t="n"/>
      <c r="I29" s="16" t="n"/>
      <c r="J29" s="16" t="n"/>
      <c r="K29" s="16" t="n"/>
      <c r="L29" s="16" t="n"/>
      <c r="M29" s="16" t="n"/>
    </row>
    <row r="30">
      <c r="A30" s="23" t="n"/>
      <c r="B30" s="16" t="n"/>
      <c r="C30" s="16" t="n"/>
      <c r="D30" s="16" t="n"/>
      <c r="E30" s="16" t="n"/>
      <c r="F30" s="16" t="n"/>
      <c r="G30" s="16" t="n"/>
      <c r="H30" s="16" t="n"/>
      <c r="I30" s="16" t="n"/>
      <c r="J30" s="16" t="n"/>
      <c r="K30" s="16" t="n"/>
      <c r="L30" s="16" t="n"/>
      <c r="M30" s="16" t="n"/>
    </row>
    <row r="31">
      <c r="A31" s="23" t="n"/>
      <c r="B31" s="16" t="n"/>
      <c r="C31" s="16" t="n"/>
      <c r="D31" s="16" t="n"/>
      <c r="E31" s="16" t="n"/>
      <c r="F31" s="16" t="n"/>
      <c r="G31" s="16" t="n"/>
      <c r="H31" s="16" t="n"/>
      <c r="I31" s="16" t="n"/>
      <c r="J31" s="16" t="n"/>
      <c r="K31" s="16" t="n"/>
      <c r="L31" s="16" t="n"/>
      <c r="M31" s="16" t="n"/>
    </row>
    <row r="32">
      <c r="A32" s="23" t="n"/>
      <c r="B32" s="16" t="n"/>
      <c r="C32" s="16" t="n"/>
      <c r="D32" s="16" t="n"/>
      <c r="E32" s="16" t="n"/>
      <c r="F32" s="16" t="n"/>
      <c r="G32" s="16" t="n"/>
      <c r="H32" s="16" t="n"/>
      <c r="I32" s="16" t="n"/>
      <c r="J32" s="16" t="n"/>
      <c r="K32" s="16" t="n"/>
      <c r="L32" s="16" t="n"/>
      <c r="M32" s="16" t="n"/>
    </row>
    <row r="33">
      <c r="A33" s="23" t="n"/>
      <c r="B33" s="16" t="n"/>
      <c r="C33" s="16" t="n"/>
      <c r="D33" s="16" t="n"/>
      <c r="E33" s="16" t="n"/>
      <c r="F33" s="16" t="n"/>
      <c r="G33" s="16" t="n"/>
      <c r="H33" s="16" t="n"/>
      <c r="I33" s="16" t="n"/>
      <c r="J33" s="16" t="n"/>
      <c r="K33" s="16" t="n"/>
      <c r="L33" s="16" t="n"/>
      <c r="M33" s="16" t="n"/>
    </row>
    <row r="34">
      <c r="A34" s="23" t="n"/>
      <c r="B34" s="16" t="n"/>
      <c r="C34" s="16" t="n"/>
      <c r="D34" s="16" t="n"/>
      <c r="E34" s="16" t="n"/>
      <c r="F34" s="16" t="n"/>
      <c r="G34" s="16" t="n"/>
      <c r="H34" s="16" t="n"/>
      <c r="I34" s="16" t="n"/>
      <c r="J34" s="16" t="n"/>
      <c r="K34" s="16" t="n"/>
      <c r="L34" s="16" t="n"/>
      <c r="M34" s="16" t="n"/>
    </row>
    <row r="35">
      <c r="A35" s="23" t="n"/>
      <c r="B35" s="16" t="n"/>
      <c r="C35" s="16" t="n"/>
      <c r="D35" s="16" t="n"/>
      <c r="E35" s="16" t="n"/>
      <c r="F35" s="16" t="n"/>
      <c r="G35" s="16" t="n"/>
      <c r="H35" s="16" t="n"/>
      <c r="I35" s="16" t="n"/>
      <c r="J35" s="16" t="n"/>
      <c r="K35" s="16" t="n"/>
      <c r="L35" s="16" t="n"/>
      <c r="M35" s="16" t="n"/>
    </row>
    <row r="36">
      <c r="A36" s="23" t="n"/>
      <c r="B36" s="16" t="n"/>
      <c r="C36" s="16" t="n"/>
      <c r="D36" s="16" t="n"/>
      <c r="E36" s="16" t="n"/>
      <c r="F36" s="16" t="n"/>
      <c r="G36" s="16" t="n"/>
      <c r="H36" s="16" t="n"/>
      <c r="I36" s="16" t="n"/>
      <c r="J36" s="16" t="n"/>
      <c r="K36" s="16" t="n"/>
      <c r="L36" s="16" t="n"/>
      <c r="M36" s="16" t="n"/>
    </row>
    <row r="38">
      <c r="A38" s="13" t="inlineStr">
        <is>
          <t>SUMMARY METRICS</t>
        </is>
      </c>
    </row>
    <row r="39">
      <c r="A39" s="18" t="inlineStr">
        <is>
          <t>Total gaps identified:</t>
        </is>
      </c>
      <c r="B39" s="19">
        <f>COUNTA(C6:C36)</f>
        <v/>
      </c>
    </row>
    <row r="40">
      <c r="A40" s="18" t="inlineStr">
        <is>
          <t>Critical gaps:</t>
        </is>
      </c>
      <c r="B40" s="19">
        <f>COUNTIF(F6:F36,"Critical")</f>
        <v/>
      </c>
    </row>
    <row r="41">
      <c r="A41" s="18" t="inlineStr">
        <is>
          <t>High gaps:</t>
        </is>
      </c>
      <c r="B41" s="19">
        <f>COUNTIF(F6:F36,"High")</f>
        <v/>
      </c>
    </row>
    <row r="42">
      <c r="A42" s="18" t="inlineStr">
        <is>
          <t>Open gaps:</t>
        </is>
      </c>
      <c r="B42" s="19">
        <f>COUNTIF(K6:K36,"○ Open")</f>
        <v/>
      </c>
    </row>
    <row r="43">
      <c r="A43" s="18" t="inlineStr">
        <is>
          <t>In Progress gaps:</t>
        </is>
      </c>
      <c r="B43" s="19">
        <f>COUNTIF(K6:K36,"⟳ In Progress")</f>
        <v/>
      </c>
    </row>
    <row r="44">
      <c r="A44" s="18" t="inlineStr">
        <is>
          <t>Resolved gaps:</t>
        </is>
      </c>
      <c r="B44" s="19">
        <f>COUNTIF(K6:K36,"✅ Resolved")</f>
        <v/>
      </c>
    </row>
    <row r="45">
      <c r="A45" s="18" t="inlineStr">
        <is>
          <t>Gaps past target date:</t>
        </is>
      </c>
      <c r="B45" s="19">
        <f>COUNTIFS(K6:K36,"&lt;&gt;✅ Resolved",J6:J36,"&lt;"&amp;TODAY())</f>
        <v/>
      </c>
    </row>
    <row r="48">
      <c r="A48" s="13" t="inlineStr">
        <is>
          <t>GAP CATEGORIES BREAKDOWN</t>
        </is>
      </c>
    </row>
    <row r="49">
      <c r="A49" s="21" t="inlineStr">
        <is>
          <t>Category</t>
        </is>
      </c>
      <c r="B49" s="21" t="inlineStr">
        <is>
          <t>Count</t>
        </is>
      </c>
      <c r="C49" s="21" t="inlineStr">
        <is>
          <t>Open</t>
        </is>
      </c>
      <c r="D49" s="21" t="inlineStr">
        <is>
          <t>Critical/High</t>
        </is>
      </c>
    </row>
    <row r="50">
      <c r="A50" s="19" t="inlineStr">
        <is>
          <t>Logging</t>
        </is>
      </c>
      <c r="B50" s="19">
        <f>COUNTIF(B6:B36,"Logging")</f>
        <v/>
      </c>
      <c r="C50" s="19">
        <f>COUNTIFS(B6:B36,"Logging",K6:K36,"○ Open")</f>
        <v/>
      </c>
      <c r="D50" s="19">
        <f>COUNTIFS(B6:B36,"Logging",F6:F36,"Critical")+COUNTIFS(B6:B36,"Logging",F6:F36,"High")</f>
        <v/>
      </c>
    </row>
    <row r="51">
      <c r="A51" s="19" t="inlineStr">
        <is>
          <t>Alerting</t>
        </is>
      </c>
      <c r="B51" s="19">
        <f>COUNTIF(B6:B36,"Alerting")</f>
        <v/>
      </c>
      <c r="C51" s="19">
        <f>COUNTIFS(B6:B36,"Alerting",K6:K36,"○ Open")</f>
        <v/>
      </c>
      <c r="D51" s="19">
        <f>COUNTIFS(B6:B36,"Alerting",F6:F36,"Critical")+COUNTIFS(B6:B36,"Alerting",F6:F36,"High")</f>
        <v/>
      </c>
    </row>
    <row r="52">
      <c r="A52" s="19" t="inlineStr">
        <is>
          <t>Monitoring</t>
        </is>
      </c>
      <c r="B52" s="19">
        <f>COUNTIF(B6:B36,"Monitoring")</f>
        <v/>
      </c>
      <c r="C52" s="19">
        <f>COUNTIFS(B6:B36,"Monitoring",K6:K36,"○ Open")</f>
        <v/>
      </c>
      <c r="D52" s="19">
        <f>COUNTIFS(B6:B36,"Monitoring",F6:F36,"Critical")+COUNTIFS(B6:B36,"Monitoring",F6:F36,"High")</f>
        <v/>
      </c>
    </row>
    <row r="53">
      <c r="A53" s="19" t="inlineStr">
        <is>
          <t>Incident_Response</t>
        </is>
      </c>
      <c r="B53" s="19">
        <f>COUNTIF(B6:B36,"Incident_Response")</f>
        <v/>
      </c>
      <c r="C53" s="19">
        <f>COUNTIFS(B6:B36,"Incident_Response",K6:K36,"○ Open")</f>
        <v/>
      </c>
      <c r="D53" s="19">
        <f>COUNTIFS(B6:B36,"Incident_Response",F6:F36,"Critical")+COUNTIFS(B6:B36,"Incident_Response",F6:F36,"High")</f>
        <v/>
      </c>
    </row>
    <row r="54">
      <c r="A54" s="19" t="inlineStr">
        <is>
          <t>Reporting</t>
        </is>
      </c>
      <c r="B54" s="19">
        <f>COUNTIF(B6:B36,"Reporting")</f>
        <v/>
      </c>
      <c r="C54" s="19">
        <f>COUNTIFS(B6:B36,"Reporting",K6:K36,"○ Open")</f>
        <v/>
      </c>
      <c r="D54" s="19">
        <f>COUNTIFS(B6:B36,"Reporting",F6:F36,"Critical")+COUNTIFS(B6:B36,"Reporting",F6:F36,"High")</f>
        <v/>
      </c>
    </row>
    <row r="55">
      <c r="A55" s="19" t="inlineStr">
        <is>
          <t>Integration</t>
        </is>
      </c>
      <c r="B55" s="19">
        <f>COUNTIF(B6:B36,"Integration")</f>
        <v/>
      </c>
      <c r="C55" s="19">
        <f>COUNTIFS(B6:B36,"Integration",K6:K36,"○ Open")</f>
        <v/>
      </c>
      <c r="D55" s="19">
        <f>COUNTIFS(B6:B36,"Integration",F6:F36,"Critical")+COUNTIFS(B6:B36,"Integration",F6:F36,"High")</f>
        <v/>
      </c>
    </row>
    <row r="56">
      <c r="A56" s="19" t="inlineStr">
        <is>
          <t>Retention</t>
        </is>
      </c>
      <c r="B56" s="19">
        <f>COUNTIF(B6:B36,"Retention")</f>
        <v/>
      </c>
      <c r="C56" s="19">
        <f>COUNTIFS(B6:B36,"Retention",K6:K36,"○ Open")</f>
        <v/>
      </c>
      <c r="D56" s="19">
        <f>COUNTIFS(B6:B36,"Retention",F6:F36,"Critical")+COUNTIFS(B6:B36,"Retention",F6:F36,"High")</f>
        <v/>
      </c>
    </row>
    <row r="57">
      <c r="A57" s="19" t="inlineStr">
        <is>
          <t>Process</t>
        </is>
      </c>
      <c r="B57" s="19">
        <f>COUNTIF(B6:B36,"Process")</f>
        <v/>
      </c>
      <c r="C57" s="19">
        <f>COUNTIFS(B6:B36,"Process",K6:K36,"○ Open")</f>
        <v/>
      </c>
      <c r="D57" s="19">
        <f>COUNTIFS(B6:B36,"Process",F6:F36,"Critical")+COUNTIFS(B6:B36,"Process",F6:F36,"High")</f>
        <v/>
      </c>
    </row>
  </sheetData>
  <mergeCells count="5">
    <mergeCell ref="A1:M1"/>
    <mergeCell ref="A48:D48"/>
    <mergeCell ref="A38:D38"/>
    <mergeCell ref="A4:M4"/>
    <mergeCell ref="A2:M2"/>
  </mergeCells>
  <dataValidations count="4">
    <dataValidation sqref="B6:B36" showDropDown="0" showInputMessage="0" showErrorMessage="0" allowBlank="1" errorTitle="Invalid Entry" error="Please select from dropdown" promptTitle="Available Options" prompt="Select from list" type="list">
      <formula1>"Logging,Alerting,Monitoring,Incident_Response,Reporting,Integration,Retention,Process"</formula1>
    </dataValidation>
    <dataValidation sqref="F6:F36" showDropDown="0" showInputMessage="0" showErrorMessage="0" allowBlank="1" errorTitle="Invalid Entry" error="Please select from dropdown" promptTitle="Available Options" prompt="Select from list" type="list">
      <formula1>"Critical,High,Medium,Low"</formula1>
    </dataValidation>
    <dataValidation sqref="K6:K36" showDropDown="0" showInputMessage="0" showErrorMessage="0" allowBlank="1" errorTitle="Invalid Entry" error="Please select from dropdown" promptTitle="Available Options" prompt="Select from list" type="list">
      <formula1>"○ Open,⟳ In Progress,✅ Resolved,⚠️ Accepted,⏳ Deferred"</formula1>
    </dataValidation>
    <dataValidation sqref="L6:L36" showDropDown="0" showInputMessage="0" showErrorMessage="0" allowBlank="1" errorTitle="Invalid Entry" error="Please select from dropdown" promptTitle="Available Options" prompt="Select from list" type="list">
      <formula1>"Critical,High,Medium,Low"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30" t="inlineStr">
        <is>
          <t>EVIDENCE REGISTER</t>
        </is>
      </c>
    </row>
    <row r="2">
      <c r="A2" s="31" t="inlineStr">
        <is>
          <t>List all evidence files/documents referenced in this assessment (audit traceability).</t>
        </is>
      </c>
    </row>
    <row r="4">
      <c r="A4" s="32" t="inlineStr">
        <is>
          <t>Evidence ID</t>
        </is>
      </c>
      <c r="B4" s="32" t="inlineStr">
        <is>
          <t>Assessment Area</t>
        </is>
      </c>
      <c r="C4" s="32" t="inlineStr">
        <is>
          <t>Evidence Type</t>
        </is>
      </c>
      <c r="D4" s="32" t="inlineStr">
        <is>
          <t>Description</t>
        </is>
      </c>
      <c r="E4" s="32" t="inlineStr">
        <is>
          <t>Location/Path</t>
        </is>
      </c>
      <c r="F4" s="32" t="inlineStr">
        <is>
          <t>Date Collected</t>
        </is>
      </c>
      <c r="G4" s="32" t="inlineStr">
        <is>
          <t>Collected By</t>
        </is>
      </c>
      <c r="H4" s="32" t="inlineStr">
        <is>
          <t>Verification Status</t>
        </is>
      </c>
    </row>
    <row r="5">
      <c r="A5" s="33" t="inlineStr">
        <is>
          <t>EV-001</t>
        </is>
      </c>
      <c r="B5" s="34" t="inlineStr">
        <is>
          <t>Web Filtering Monitoring &amp; Response</t>
        </is>
      </c>
      <c r="C5" s="34" t="inlineStr">
        <is>
          <t>Configuration file</t>
        </is>
      </c>
      <c r="D5" s="34" t="inlineStr">
        <is>
          <t>Log collection configuration and alert rule export from SIEM</t>
        </is>
      </c>
      <c r="E5" s="34" t="inlineStr">
        <is>
          <t>/evidence/A.8.23/monitoring-config.json</t>
        </is>
      </c>
      <c r="F5" s="34" t="inlineStr">
        <is>
          <t>15.01.2026</t>
        </is>
      </c>
      <c r="G5" s="34" t="inlineStr">
        <is>
          <t>Assessor Name</t>
        </is>
      </c>
      <c r="H5" s="34" t="inlineStr">
        <is>
          <t>✅ Verified</t>
        </is>
      </c>
    </row>
    <row r="6">
      <c r="A6" s="35" t="n"/>
      <c r="B6" s="36" t="n"/>
      <c r="C6" s="36" t="n"/>
      <c r="D6" s="36" t="n"/>
      <c r="E6" s="36" t="n"/>
      <c r="F6" s="36" t="n"/>
      <c r="G6" s="36" t="n"/>
      <c r="H6" s="36" t="n"/>
    </row>
    <row r="7">
      <c r="A7" s="35" t="n"/>
      <c r="B7" s="36" t="n"/>
      <c r="C7" s="36" t="n"/>
      <c r="D7" s="36" t="n"/>
      <c r="E7" s="36" t="n"/>
      <c r="F7" s="36" t="n"/>
      <c r="G7" s="36" t="n"/>
      <c r="H7" s="36" t="n"/>
    </row>
    <row r="8">
      <c r="A8" s="35" t="n"/>
      <c r="B8" s="36" t="n"/>
      <c r="C8" s="36" t="n"/>
      <c r="D8" s="36" t="n"/>
      <c r="E8" s="36" t="n"/>
      <c r="F8" s="36" t="n"/>
      <c r="G8" s="36" t="n"/>
      <c r="H8" s="36" t="n"/>
    </row>
    <row r="9">
      <c r="A9" s="35" t="n"/>
      <c r="B9" s="36" t="n"/>
      <c r="C9" s="36" t="n"/>
      <c r="D9" s="36" t="n"/>
      <c r="E9" s="36" t="n"/>
      <c r="F9" s="36" t="n"/>
      <c r="G9" s="36" t="n"/>
      <c r="H9" s="36" t="n"/>
    </row>
    <row r="10">
      <c r="A10" s="35" t="n"/>
      <c r="B10" s="36" t="n"/>
      <c r="C10" s="36" t="n"/>
      <c r="D10" s="36" t="n"/>
      <c r="E10" s="36" t="n"/>
      <c r="F10" s="36" t="n"/>
      <c r="G10" s="36" t="n"/>
      <c r="H10" s="36" t="n"/>
    </row>
    <row r="11">
      <c r="A11" s="35" t="n"/>
      <c r="B11" s="36" t="n"/>
      <c r="C11" s="36" t="n"/>
      <c r="D11" s="36" t="n"/>
      <c r="E11" s="36" t="n"/>
      <c r="F11" s="36" t="n"/>
      <c r="G11" s="36" t="n"/>
      <c r="H11" s="36" t="n"/>
    </row>
    <row r="12">
      <c r="A12" s="35" t="n"/>
      <c r="B12" s="36" t="n"/>
      <c r="C12" s="36" t="n"/>
      <c r="D12" s="36" t="n"/>
      <c r="E12" s="36" t="n"/>
      <c r="F12" s="36" t="n"/>
      <c r="G12" s="36" t="n"/>
      <c r="H12" s="36" t="n"/>
    </row>
    <row r="13">
      <c r="A13" s="35" t="n"/>
      <c r="B13" s="36" t="n"/>
      <c r="C13" s="36" t="n"/>
      <c r="D13" s="36" t="n"/>
      <c r="E13" s="36" t="n"/>
      <c r="F13" s="36" t="n"/>
      <c r="G13" s="36" t="n"/>
      <c r="H13" s="36" t="n"/>
    </row>
    <row r="14">
      <c r="A14" s="35" t="n"/>
      <c r="B14" s="36" t="n"/>
      <c r="C14" s="36" t="n"/>
      <c r="D14" s="36" t="n"/>
      <c r="E14" s="36" t="n"/>
      <c r="F14" s="36" t="n"/>
      <c r="G14" s="36" t="n"/>
      <c r="H14" s="36" t="n"/>
    </row>
    <row r="15">
      <c r="A15" s="35" t="n"/>
      <c r="B15" s="36" t="n"/>
      <c r="C15" s="36" t="n"/>
      <c r="D15" s="36" t="n"/>
      <c r="E15" s="36" t="n"/>
      <c r="F15" s="36" t="n"/>
      <c r="G15" s="36" t="n"/>
      <c r="H15" s="36" t="n"/>
    </row>
    <row r="16">
      <c r="A16" s="35" t="n"/>
      <c r="B16" s="36" t="n"/>
      <c r="C16" s="36" t="n"/>
      <c r="D16" s="36" t="n"/>
      <c r="E16" s="36" t="n"/>
      <c r="F16" s="36" t="n"/>
      <c r="G16" s="36" t="n"/>
      <c r="H16" s="36" t="n"/>
    </row>
    <row r="17">
      <c r="A17" s="35" t="n"/>
      <c r="B17" s="36" t="n"/>
      <c r="C17" s="36" t="n"/>
      <c r="D17" s="36" t="n"/>
      <c r="E17" s="36" t="n"/>
      <c r="F17" s="36" t="n"/>
      <c r="G17" s="36" t="n"/>
      <c r="H17" s="36" t="n"/>
    </row>
    <row r="18">
      <c r="A18" s="35" t="n"/>
      <c r="B18" s="36" t="n"/>
      <c r="C18" s="36" t="n"/>
      <c r="D18" s="36" t="n"/>
      <c r="E18" s="36" t="n"/>
      <c r="F18" s="36" t="n"/>
      <c r="G18" s="36" t="n"/>
      <c r="H18" s="36" t="n"/>
    </row>
    <row r="19">
      <c r="A19" s="35" t="n"/>
      <c r="B19" s="36" t="n"/>
      <c r="C19" s="36" t="n"/>
      <c r="D19" s="36" t="n"/>
      <c r="E19" s="36" t="n"/>
      <c r="F19" s="36" t="n"/>
      <c r="G19" s="36" t="n"/>
      <c r="H19" s="36" t="n"/>
    </row>
    <row r="20">
      <c r="A20" s="35" t="n"/>
      <c r="B20" s="36" t="n"/>
      <c r="C20" s="36" t="n"/>
      <c r="D20" s="36" t="n"/>
      <c r="E20" s="36" t="n"/>
      <c r="F20" s="36" t="n"/>
      <c r="G20" s="36" t="n"/>
      <c r="H20" s="36" t="n"/>
    </row>
    <row r="21">
      <c r="A21" s="35" t="n"/>
      <c r="B21" s="36" t="n"/>
      <c r="C21" s="36" t="n"/>
      <c r="D21" s="36" t="n"/>
      <c r="E21" s="36" t="n"/>
      <c r="F21" s="36" t="n"/>
      <c r="G21" s="36" t="n"/>
      <c r="H21" s="36" t="n"/>
    </row>
    <row r="22">
      <c r="A22" s="35" t="n"/>
      <c r="B22" s="36" t="n"/>
      <c r="C22" s="36" t="n"/>
      <c r="D22" s="36" t="n"/>
      <c r="E22" s="36" t="n"/>
      <c r="F22" s="36" t="n"/>
      <c r="G22" s="36" t="n"/>
      <c r="H22" s="36" t="n"/>
    </row>
    <row r="23">
      <c r="A23" s="35" t="n"/>
      <c r="B23" s="36" t="n"/>
      <c r="C23" s="36" t="n"/>
      <c r="D23" s="36" t="n"/>
      <c r="E23" s="36" t="n"/>
      <c r="F23" s="36" t="n"/>
      <c r="G23" s="36" t="n"/>
      <c r="H23" s="36" t="n"/>
    </row>
    <row r="24">
      <c r="A24" s="35" t="n"/>
      <c r="B24" s="36" t="n"/>
      <c r="C24" s="36" t="n"/>
      <c r="D24" s="36" t="n"/>
      <c r="E24" s="36" t="n"/>
      <c r="F24" s="36" t="n"/>
      <c r="G24" s="36" t="n"/>
      <c r="H24" s="36" t="n"/>
    </row>
    <row r="25">
      <c r="A25" s="35" t="n"/>
      <c r="B25" s="36" t="n"/>
      <c r="C25" s="36" t="n"/>
      <c r="D25" s="36" t="n"/>
      <c r="E25" s="36" t="n"/>
      <c r="F25" s="36" t="n"/>
      <c r="G25" s="36" t="n"/>
      <c r="H25" s="36" t="n"/>
    </row>
    <row r="26">
      <c r="A26" s="35" t="n"/>
      <c r="B26" s="36" t="n"/>
      <c r="C26" s="36" t="n"/>
      <c r="D26" s="36" t="n"/>
      <c r="E26" s="36" t="n"/>
      <c r="F26" s="36" t="n"/>
      <c r="G26" s="36" t="n"/>
      <c r="H26" s="36" t="n"/>
    </row>
    <row r="27">
      <c r="A27" s="35" t="n"/>
      <c r="B27" s="36" t="n"/>
      <c r="C27" s="36" t="n"/>
      <c r="D27" s="36" t="n"/>
      <c r="E27" s="36" t="n"/>
      <c r="F27" s="36" t="n"/>
      <c r="G27" s="36" t="n"/>
      <c r="H27" s="36" t="n"/>
    </row>
    <row r="28">
      <c r="A28" s="35" t="n"/>
      <c r="B28" s="36" t="n"/>
      <c r="C28" s="36" t="n"/>
      <c r="D28" s="36" t="n"/>
      <c r="E28" s="36" t="n"/>
      <c r="F28" s="36" t="n"/>
      <c r="G28" s="36" t="n"/>
      <c r="H28" s="36" t="n"/>
    </row>
    <row r="29">
      <c r="A29" s="35" t="n"/>
      <c r="B29" s="36" t="n"/>
      <c r="C29" s="36" t="n"/>
      <c r="D29" s="36" t="n"/>
      <c r="E29" s="36" t="n"/>
      <c r="F29" s="36" t="n"/>
      <c r="G29" s="36" t="n"/>
      <c r="H29" s="36" t="n"/>
    </row>
    <row r="30">
      <c r="A30" s="35" t="n"/>
      <c r="B30" s="36" t="n"/>
      <c r="C30" s="36" t="n"/>
      <c r="D30" s="36" t="n"/>
      <c r="E30" s="36" t="n"/>
      <c r="F30" s="36" t="n"/>
      <c r="G30" s="36" t="n"/>
      <c r="H30" s="36" t="n"/>
    </row>
    <row r="31">
      <c r="A31" s="35" t="n"/>
      <c r="B31" s="36" t="n"/>
      <c r="C31" s="36" t="n"/>
      <c r="D31" s="36" t="n"/>
      <c r="E31" s="36" t="n"/>
      <c r="F31" s="36" t="n"/>
      <c r="G31" s="36" t="n"/>
      <c r="H31" s="36" t="n"/>
    </row>
    <row r="32">
      <c r="A32" s="35" t="n"/>
      <c r="B32" s="36" t="n"/>
      <c r="C32" s="36" t="n"/>
      <c r="D32" s="36" t="n"/>
      <c r="E32" s="36" t="n"/>
      <c r="F32" s="36" t="n"/>
      <c r="G32" s="36" t="n"/>
      <c r="H32" s="36" t="n"/>
    </row>
    <row r="33">
      <c r="A33" s="35" t="n"/>
      <c r="B33" s="36" t="n"/>
      <c r="C33" s="36" t="n"/>
      <c r="D33" s="36" t="n"/>
      <c r="E33" s="36" t="n"/>
      <c r="F33" s="36" t="n"/>
      <c r="G33" s="36" t="n"/>
      <c r="H33" s="36" t="n"/>
    </row>
    <row r="34">
      <c r="A34" s="35" t="n"/>
      <c r="B34" s="36" t="n"/>
      <c r="C34" s="36" t="n"/>
      <c r="D34" s="36" t="n"/>
      <c r="E34" s="36" t="n"/>
      <c r="F34" s="36" t="n"/>
      <c r="G34" s="36" t="n"/>
      <c r="H34" s="36" t="n"/>
    </row>
    <row r="35">
      <c r="A35" s="35" t="n"/>
      <c r="B35" s="36" t="n"/>
      <c r="C35" s="36" t="n"/>
      <c r="D35" s="36" t="n"/>
      <c r="E35" s="36" t="n"/>
      <c r="F35" s="36" t="n"/>
      <c r="G35" s="36" t="n"/>
      <c r="H35" s="36" t="n"/>
    </row>
    <row r="36">
      <c r="A36" s="35" t="n"/>
      <c r="B36" s="36" t="n"/>
      <c r="C36" s="36" t="n"/>
      <c r="D36" s="36" t="n"/>
      <c r="E36" s="36" t="n"/>
      <c r="F36" s="36" t="n"/>
      <c r="G36" s="36" t="n"/>
      <c r="H36" s="36" t="n"/>
    </row>
    <row r="37">
      <c r="A37" s="35" t="n"/>
      <c r="B37" s="36" t="n"/>
      <c r="C37" s="36" t="n"/>
      <c r="D37" s="36" t="n"/>
      <c r="E37" s="36" t="n"/>
      <c r="F37" s="36" t="n"/>
      <c r="G37" s="36" t="n"/>
      <c r="H37" s="36" t="n"/>
    </row>
    <row r="38">
      <c r="A38" s="35" t="n"/>
      <c r="B38" s="36" t="n"/>
      <c r="C38" s="36" t="n"/>
      <c r="D38" s="36" t="n"/>
      <c r="E38" s="36" t="n"/>
      <c r="F38" s="36" t="n"/>
      <c r="G38" s="36" t="n"/>
      <c r="H38" s="36" t="n"/>
    </row>
    <row r="39">
      <c r="A39" s="35" t="n"/>
      <c r="B39" s="36" t="n"/>
      <c r="C39" s="36" t="n"/>
      <c r="D39" s="36" t="n"/>
      <c r="E39" s="36" t="n"/>
      <c r="F39" s="36" t="n"/>
      <c r="G39" s="36" t="n"/>
      <c r="H39" s="36" t="n"/>
    </row>
    <row r="40">
      <c r="A40" s="35" t="n"/>
      <c r="B40" s="36" t="n"/>
      <c r="C40" s="36" t="n"/>
      <c r="D40" s="36" t="n"/>
      <c r="E40" s="36" t="n"/>
      <c r="F40" s="36" t="n"/>
      <c r="G40" s="36" t="n"/>
      <c r="H40" s="36" t="n"/>
    </row>
    <row r="41">
      <c r="A41" s="35" t="n"/>
      <c r="B41" s="36" t="n"/>
      <c r="C41" s="36" t="n"/>
      <c r="D41" s="36" t="n"/>
      <c r="E41" s="36" t="n"/>
      <c r="F41" s="36" t="n"/>
      <c r="G41" s="36" t="n"/>
      <c r="H41" s="36" t="n"/>
    </row>
    <row r="42">
      <c r="A42" s="35" t="n"/>
      <c r="B42" s="36" t="n"/>
      <c r="C42" s="36" t="n"/>
      <c r="D42" s="36" t="n"/>
      <c r="E42" s="36" t="n"/>
      <c r="F42" s="36" t="n"/>
      <c r="G42" s="36" t="n"/>
      <c r="H42" s="36" t="n"/>
    </row>
    <row r="43">
      <c r="A43" s="35" t="n"/>
      <c r="B43" s="36" t="n"/>
      <c r="C43" s="36" t="n"/>
      <c r="D43" s="36" t="n"/>
      <c r="E43" s="36" t="n"/>
      <c r="F43" s="36" t="n"/>
      <c r="G43" s="36" t="n"/>
      <c r="H43" s="36" t="n"/>
    </row>
    <row r="44">
      <c r="A44" s="35" t="n"/>
      <c r="B44" s="36" t="n"/>
      <c r="C44" s="36" t="n"/>
      <c r="D44" s="36" t="n"/>
      <c r="E44" s="36" t="n"/>
      <c r="F44" s="36" t="n"/>
      <c r="G44" s="36" t="n"/>
      <c r="H44" s="36" t="n"/>
    </row>
    <row r="45">
      <c r="A45" s="35" t="n"/>
      <c r="B45" s="36" t="n"/>
      <c r="C45" s="36" t="n"/>
      <c r="D45" s="36" t="n"/>
      <c r="E45" s="36" t="n"/>
      <c r="F45" s="36" t="n"/>
      <c r="G45" s="36" t="n"/>
      <c r="H45" s="36" t="n"/>
    </row>
    <row r="46">
      <c r="A46" s="35" t="n"/>
      <c r="B46" s="36" t="n"/>
      <c r="C46" s="36" t="n"/>
      <c r="D46" s="36" t="n"/>
      <c r="E46" s="36" t="n"/>
      <c r="F46" s="36" t="n"/>
      <c r="G46" s="36" t="n"/>
      <c r="H46" s="36" t="n"/>
    </row>
    <row r="47">
      <c r="A47" s="35" t="n"/>
      <c r="B47" s="36" t="n"/>
      <c r="C47" s="36" t="n"/>
      <c r="D47" s="36" t="n"/>
      <c r="E47" s="36" t="n"/>
      <c r="F47" s="36" t="n"/>
      <c r="G47" s="36" t="n"/>
      <c r="H47" s="36" t="n"/>
    </row>
    <row r="48">
      <c r="A48" s="35" t="n"/>
      <c r="B48" s="36" t="n"/>
      <c r="C48" s="36" t="n"/>
      <c r="D48" s="36" t="n"/>
      <c r="E48" s="36" t="n"/>
      <c r="F48" s="36" t="n"/>
      <c r="G48" s="36" t="n"/>
      <c r="H48" s="36" t="n"/>
    </row>
    <row r="49">
      <c r="A49" s="35" t="n"/>
      <c r="B49" s="36" t="n"/>
      <c r="C49" s="36" t="n"/>
      <c r="D49" s="36" t="n"/>
      <c r="E49" s="36" t="n"/>
      <c r="F49" s="36" t="n"/>
      <c r="G49" s="36" t="n"/>
      <c r="H49" s="36" t="n"/>
    </row>
    <row r="50">
      <c r="A50" s="35" t="n"/>
      <c r="B50" s="36" t="n"/>
      <c r="C50" s="36" t="n"/>
      <c r="D50" s="36" t="n"/>
      <c r="E50" s="36" t="n"/>
      <c r="F50" s="36" t="n"/>
      <c r="G50" s="36" t="n"/>
      <c r="H50" s="36" t="n"/>
    </row>
    <row r="51">
      <c r="A51" s="35" t="n"/>
      <c r="B51" s="36" t="n"/>
      <c r="C51" s="36" t="n"/>
      <c r="D51" s="36" t="n"/>
      <c r="E51" s="36" t="n"/>
      <c r="F51" s="36" t="n"/>
      <c r="G51" s="36" t="n"/>
      <c r="H51" s="36" t="n"/>
    </row>
    <row r="52">
      <c r="A52" s="35" t="n"/>
      <c r="B52" s="36" t="n"/>
      <c r="C52" s="36" t="n"/>
      <c r="D52" s="36" t="n"/>
      <c r="E52" s="36" t="n"/>
      <c r="F52" s="36" t="n"/>
      <c r="G52" s="36" t="n"/>
      <c r="H52" s="36" t="n"/>
    </row>
    <row r="53">
      <c r="A53" s="35" t="n"/>
      <c r="B53" s="36" t="n"/>
      <c r="C53" s="36" t="n"/>
      <c r="D53" s="36" t="n"/>
      <c r="E53" s="36" t="n"/>
      <c r="F53" s="36" t="n"/>
      <c r="G53" s="36" t="n"/>
      <c r="H53" s="36" t="n"/>
    </row>
    <row r="54">
      <c r="A54" s="35" t="n"/>
      <c r="B54" s="36" t="n"/>
      <c r="C54" s="36" t="n"/>
      <c r="D54" s="36" t="n"/>
      <c r="E54" s="36" t="n"/>
      <c r="F54" s="36" t="n"/>
      <c r="G54" s="36" t="n"/>
      <c r="H54" s="36" t="n"/>
    </row>
    <row r="55">
      <c r="A55" s="35" t="n"/>
      <c r="B55" s="36" t="n"/>
      <c r="C55" s="36" t="n"/>
      <c r="D55" s="36" t="n"/>
      <c r="E55" s="36" t="n"/>
      <c r="F55" s="36" t="n"/>
      <c r="G55" s="36" t="n"/>
      <c r="H55" s="36" t="n"/>
    </row>
    <row r="56">
      <c r="A56" s="35" t="n"/>
      <c r="B56" s="36" t="n"/>
      <c r="C56" s="36" t="n"/>
      <c r="D56" s="36" t="n"/>
      <c r="E56" s="36" t="n"/>
      <c r="F56" s="36" t="n"/>
      <c r="G56" s="36" t="n"/>
      <c r="H56" s="36" t="n"/>
    </row>
    <row r="57">
      <c r="A57" s="35" t="n"/>
      <c r="B57" s="36" t="n"/>
      <c r="C57" s="36" t="n"/>
      <c r="D57" s="36" t="n"/>
      <c r="E57" s="36" t="n"/>
      <c r="F57" s="36" t="n"/>
      <c r="G57" s="36" t="n"/>
      <c r="H57" s="36" t="n"/>
    </row>
    <row r="58">
      <c r="A58" s="35" t="n"/>
      <c r="B58" s="36" t="n"/>
      <c r="C58" s="36" t="n"/>
      <c r="D58" s="36" t="n"/>
      <c r="E58" s="36" t="n"/>
      <c r="F58" s="36" t="n"/>
      <c r="G58" s="36" t="n"/>
      <c r="H58" s="36" t="n"/>
    </row>
    <row r="59">
      <c r="A59" s="35" t="n"/>
      <c r="B59" s="36" t="n"/>
      <c r="C59" s="36" t="n"/>
      <c r="D59" s="36" t="n"/>
      <c r="E59" s="36" t="n"/>
      <c r="F59" s="36" t="n"/>
      <c r="G59" s="36" t="n"/>
      <c r="H59" s="36" t="n"/>
    </row>
    <row r="60">
      <c r="A60" s="35" t="n"/>
      <c r="B60" s="36" t="n"/>
      <c r="C60" s="36" t="n"/>
      <c r="D60" s="36" t="n"/>
      <c r="E60" s="36" t="n"/>
      <c r="F60" s="36" t="n"/>
      <c r="G60" s="36" t="n"/>
      <c r="H60" s="36" t="n"/>
    </row>
    <row r="61">
      <c r="A61" s="35" t="n"/>
      <c r="B61" s="36" t="n"/>
      <c r="C61" s="36" t="n"/>
      <c r="D61" s="36" t="n"/>
      <c r="E61" s="36" t="n"/>
      <c r="F61" s="36" t="n"/>
      <c r="G61" s="36" t="n"/>
      <c r="H61" s="36" t="n"/>
    </row>
    <row r="62">
      <c r="A62" s="35" t="n"/>
      <c r="B62" s="36" t="n"/>
      <c r="C62" s="36" t="n"/>
      <c r="D62" s="36" t="n"/>
      <c r="E62" s="36" t="n"/>
      <c r="F62" s="36" t="n"/>
      <c r="G62" s="36" t="n"/>
      <c r="H62" s="36" t="n"/>
    </row>
    <row r="63">
      <c r="A63" s="35" t="n"/>
      <c r="B63" s="36" t="n"/>
      <c r="C63" s="36" t="n"/>
      <c r="D63" s="36" t="n"/>
      <c r="E63" s="36" t="n"/>
      <c r="F63" s="36" t="n"/>
      <c r="G63" s="36" t="n"/>
      <c r="H63" s="36" t="n"/>
    </row>
    <row r="64">
      <c r="A64" s="35" t="n"/>
      <c r="B64" s="36" t="n"/>
      <c r="C64" s="36" t="n"/>
      <c r="D64" s="36" t="n"/>
      <c r="E64" s="36" t="n"/>
      <c r="F64" s="36" t="n"/>
      <c r="G64" s="36" t="n"/>
      <c r="H64" s="36" t="n"/>
    </row>
    <row r="65">
      <c r="A65" s="35" t="n"/>
      <c r="B65" s="36" t="n"/>
      <c r="C65" s="36" t="n"/>
      <c r="D65" s="36" t="n"/>
      <c r="E65" s="36" t="n"/>
      <c r="F65" s="36" t="n"/>
      <c r="G65" s="36" t="n"/>
      <c r="H65" s="36" t="n"/>
    </row>
    <row r="66">
      <c r="A66" s="35" t="n"/>
      <c r="B66" s="36" t="n"/>
      <c r="C66" s="36" t="n"/>
      <c r="D66" s="36" t="n"/>
      <c r="E66" s="36" t="n"/>
      <c r="F66" s="36" t="n"/>
      <c r="G66" s="36" t="n"/>
      <c r="H66" s="36" t="n"/>
    </row>
    <row r="67">
      <c r="A67" s="35" t="n"/>
      <c r="B67" s="36" t="n"/>
      <c r="C67" s="36" t="n"/>
      <c r="D67" s="36" t="n"/>
      <c r="E67" s="36" t="n"/>
      <c r="F67" s="36" t="n"/>
      <c r="G67" s="36" t="n"/>
      <c r="H67" s="36" t="n"/>
    </row>
    <row r="68">
      <c r="A68" s="35" t="n"/>
      <c r="B68" s="36" t="n"/>
      <c r="C68" s="36" t="n"/>
      <c r="D68" s="36" t="n"/>
      <c r="E68" s="36" t="n"/>
      <c r="F68" s="36" t="n"/>
      <c r="G68" s="36" t="n"/>
      <c r="H68" s="36" t="n"/>
    </row>
    <row r="69">
      <c r="A69" s="35" t="n"/>
      <c r="B69" s="36" t="n"/>
      <c r="C69" s="36" t="n"/>
      <c r="D69" s="36" t="n"/>
      <c r="E69" s="36" t="n"/>
      <c r="F69" s="36" t="n"/>
      <c r="G69" s="36" t="n"/>
      <c r="H69" s="36" t="n"/>
    </row>
    <row r="70">
      <c r="A70" s="35" t="n"/>
      <c r="B70" s="36" t="n"/>
      <c r="C70" s="36" t="n"/>
      <c r="D70" s="36" t="n"/>
      <c r="E70" s="36" t="n"/>
      <c r="F70" s="36" t="n"/>
      <c r="G70" s="36" t="n"/>
      <c r="H70" s="36" t="n"/>
    </row>
    <row r="71">
      <c r="A71" s="35" t="n"/>
      <c r="B71" s="36" t="n"/>
      <c r="C71" s="36" t="n"/>
      <c r="D71" s="36" t="n"/>
      <c r="E71" s="36" t="n"/>
      <c r="F71" s="36" t="n"/>
      <c r="G71" s="36" t="n"/>
      <c r="H71" s="36" t="n"/>
    </row>
    <row r="72">
      <c r="A72" s="35" t="n"/>
      <c r="B72" s="36" t="n"/>
      <c r="C72" s="36" t="n"/>
      <c r="D72" s="36" t="n"/>
      <c r="E72" s="36" t="n"/>
      <c r="F72" s="36" t="n"/>
      <c r="G72" s="36" t="n"/>
      <c r="H72" s="36" t="n"/>
    </row>
    <row r="73">
      <c r="A73" s="35" t="n"/>
      <c r="B73" s="36" t="n"/>
      <c r="C73" s="36" t="n"/>
      <c r="D73" s="36" t="n"/>
      <c r="E73" s="36" t="n"/>
      <c r="F73" s="36" t="n"/>
      <c r="G73" s="36" t="n"/>
      <c r="H73" s="36" t="n"/>
    </row>
    <row r="74">
      <c r="A74" s="35" t="n"/>
      <c r="B74" s="36" t="n"/>
      <c r="C74" s="36" t="n"/>
      <c r="D74" s="36" t="n"/>
      <c r="E74" s="36" t="n"/>
      <c r="F74" s="36" t="n"/>
      <c r="G74" s="36" t="n"/>
      <c r="H74" s="36" t="n"/>
    </row>
    <row r="75">
      <c r="A75" s="35" t="n"/>
      <c r="B75" s="36" t="n"/>
      <c r="C75" s="36" t="n"/>
      <c r="D75" s="36" t="n"/>
      <c r="E75" s="36" t="n"/>
      <c r="F75" s="36" t="n"/>
      <c r="G75" s="36" t="n"/>
      <c r="H75" s="36" t="n"/>
    </row>
    <row r="76">
      <c r="A76" s="35" t="n"/>
      <c r="B76" s="36" t="n"/>
      <c r="C76" s="36" t="n"/>
      <c r="D76" s="36" t="n"/>
      <c r="E76" s="36" t="n"/>
      <c r="F76" s="36" t="n"/>
      <c r="G76" s="36" t="n"/>
      <c r="H76" s="36" t="n"/>
    </row>
    <row r="77">
      <c r="A77" s="35" t="n"/>
      <c r="B77" s="36" t="n"/>
      <c r="C77" s="36" t="n"/>
      <c r="D77" s="36" t="n"/>
      <c r="E77" s="36" t="n"/>
      <c r="F77" s="36" t="n"/>
      <c r="G77" s="36" t="n"/>
      <c r="H77" s="36" t="n"/>
    </row>
    <row r="78">
      <c r="A78" s="35" t="n"/>
      <c r="B78" s="36" t="n"/>
      <c r="C78" s="36" t="n"/>
      <c r="D78" s="36" t="n"/>
      <c r="E78" s="36" t="n"/>
      <c r="F78" s="36" t="n"/>
      <c r="G78" s="36" t="n"/>
      <c r="H78" s="36" t="n"/>
    </row>
    <row r="79">
      <c r="A79" s="35" t="n"/>
      <c r="B79" s="36" t="n"/>
      <c r="C79" s="36" t="n"/>
      <c r="D79" s="36" t="n"/>
      <c r="E79" s="36" t="n"/>
      <c r="F79" s="36" t="n"/>
      <c r="G79" s="36" t="n"/>
      <c r="H79" s="36" t="n"/>
    </row>
    <row r="80">
      <c r="A80" s="35" t="n"/>
      <c r="B80" s="36" t="n"/>
      <c r="C80" s="36" t="n"/>
      <c r="D80" s="36" t="n"/>
      <c r="E80" s="36" t="n"/>
      <c r="F80" s="36" t="n"/>
      <c r="G80" s="36" t="n"/>
      <c r="H80" s="36" t="n"/>
    </row>
    <row r="81">
      <c r="A81" s="35" t="n"/>
      <c r="B81" s="36" t="n"/>
      <c r="C81" s="36" t="n"/>
      <c r="D81" s="36" t="n"/>
      <c r="E81" s="36" t="n"/>
      <c r="F81" s="36" t="n"/>
      <c r="G81" s="36" t="n"/>
      <c r="H81" s="36" t="n"/>
    </row>
    <row r="82">
      <c r="A82" s="35" t="n"/>
      <c r="B82" s="36" t="n"/>
      <c r="C82" s="36" t="n"/>
      <c r="D82" s="36" t="n"/>
      <c r="E82" s="36" t="n"/>
      <c r="F82" s="36" t="n"/>
      <c r="G82" s="36" t="n"/>
      <c r="H82" s="36" t="n"/>
    </row>
    <row r="83">
      <c r="A83" s="35" t="n"/>
      <c r="B83" s="36" t="n"/>
      <c r="C83" s="36" t="n"/>
      <c r="D83" s="36" t="n"/>
      <c r="E83" s="36" t="n"/>
      <c r="F83" s="36" t="n"/>
      <c r="G83" s="36" t="n"/>
      <c r="H83" s="36" t="n"/>
    </row>
    <row r="84">
      <c r="A84" s="35" t="n"/>
      <c r="B84" s="36" t="n"/>
      <c r="C84" s="36" t="n"/>
      <c r="D84" s="36" t="n"/>
      <c r="E84" s="36" t="n"/>
      <c r="F84" s="36" t="n"/>
      <c r="G84" s="36" t="n"/>
      <c r="H84" s="36" t="n"/>
    </row>
    <row r="85">
      <c r="A85" s="35" t="n"/>
      <c r="B85" s="36" t="n"/>
      <c r="C85" s="36" t="n"/>
      <c r="D85" s="36" t="n"/>
      <c r="E85" s="36" t="n"/>
      <c r="F85" s="36" t="n"/>
      <c r="G85" s="36" t="n"/>
      <c r="H85" s="36" t="n"/>
    </row>
    <row r="86">
      <c r="A86" s="35" t="n"/>
      <c r="B86" s="36" t="n"/>
      <c r="C86" s="36" t="n"/>
      <c r="D86" s="36" t="n"/>
      <c r="E86" s="36" t="n"/>
      <c r="F86" s="36" t="n"/>
      <c r="G86" s="36" t="n"/>
      <c r="H86" s="36" t="n"/>
    </row>
    <row r="87">
      <c r="A87" s="35" t="n"/>
      <c r="B87" s="36" t="n"/>
      <c r="C87" s="36" t="n"/>
      <c r="D87" s="36" t="n"/>
      <c r="E87" s="36" t="n"/>
      <c r="F87" s="36" t="n"/>
      <c r="G87" s="36" t="n"/>
      <c r="H87" s="36" t="n"/>
    </row>
    <row r="88">
      <c r="A88" s="35" t="n"/>
      <c r="B88" s="36" t="n"/>
      <c r="C88" s="36" t="n"/>
      <c r="D88" s="36" t="n"/>
      <c r="E88" s="36" t="n"/>
      <c r="F88" s="36" t="n"/>
      <c r="G88" s="36" t="n"/>
      <c r="H88" s="36" t="n"/>
    </row>
    <row r="89">
      <c r="A89" s="35" t="n"/>
      <c r="B89" s="36" t="n"/>
      <c r="C89" s="36" t="n"/>
      <c r="D89" s="36" t="n"/>
      <c r="E89" s="36" t="n"/>
      <c r="F89" s="36" t="n"/>
      <c r="G89" s="36" t="n"/>
      <c r="H89" s="36" t="n"/>
    </row>
    <row r="90">
      <c r="A90" s="35" t="n"/>
      <c r="B90" s="36" t="n"/>
      <c r="C90" s="36" t="n"/>
      <c r="D90" s="36" t="n"/>
      <c r="E90" s="36" t="n"/>
      <c r="F90" s="36" t="n"/>
      <c r="G90" s="36" t="n"/>
      <c r="H90" s="36" t="n"/>
    </row>
    <row r="91">
      <c r="A91" s="35" t="n"/>
      <c r="B91" s="36" t="n"/>
      <c r="C91" s="36" t="n"/>
      <c r="D91" s="36" t="n"/>
      <c r="E91" s="36" t="n"/>
      <c r="F91" s="36" t="n"/>
      <c r="G91" s="36" t="n"/>
      <c r="H91" s="36" t="n"/>
    </row>
    <row r="92">
      <c r="A92" s="35" t="n"/>
      <c r="B92" s="36" t="n"/>
      <c r="C92" s="36" t="n"/>
      <c r="D92" s="36" t="n"/>
      <c r="E92" s="36" t="n"/>
      <c r="F92" s="36" t="n"/>
      <c r="G92" s="36" t="n"/>
      <c r="H92" s="36" t="n"/>
    </row>
    <row r="93">
      <c r="A93" s="35" t="n"/>
      <c r="B93" s="36" t="n"/>
      <c r="C93" s="36" t="n"/>
      <c r="D93" s="36" t="n"/>
      <c r="E93" s="36" t="n"/>
      <c r="F93" s="36" t="n"/>
      <c r="G93" s="36" t="n"/>
      <c r="H93" s="36" t="n"/>
    </row>
    <row r="94">
      <c r="A94" s="35" t="n"/>
      <c r="B94" s="36" t="n"/>
      <c r="C94" s="36" t="n"/>
      <c r="D94" s="36" t="n"/>
      <c r="E94" s="36" t="n"/>
      <c r="F94" s="36" t="n"/>
      <c r="G94" s="36" t="n"/>
      <c r="H94" s="36" t="n"/>
    </row>
    <row r="95">
      <c r="A95" s="35" t="n"/>
      <c r="B95" s="36" t="n"/>
      <c r="C95" s="36" t="n"/>
      <c r="D95" s="36" t="n"/>
      <c r="E95" s="36" t="n"/>
      <c r="F95" s="36" t="n"/>
      <c r="G95" s="36" t="n"/>
      <c r="H95" s="36" t="n"/>
    </row>
    <row r="96">
      <c r="A96" s="35" t="n"/>
      <c r="B96" s="36" t="n"/>
      <c r="C96" s="36" t="n"/>
      <c r="D96" s="36" t="n"/>
      <c r="E96" s="36" t="n"/>
      <c r="F96" s="36" t="n"/>
      <c r="G96" s="36" t="n"/>
      <c r="H96" s="36" t="n"/>
    </row>
    <row r="97">
      <c r="A97" s="35" t="n"/>
      <c r="B97" s="36" t="n"/>
      <c r="C97" s="36" t="n"/>
      <c r="D97" s="36" t="n"/>
      <c r="E97" s="36" t="n"/>
      <c r="F97" s="36" t="n"/>
      <c r="G97" s="36" t="n"/>
      <c r="H97" s="36" t="n"/>
    </row>
    <row r="98">
      <c r="A98" s="35" t="n"/>
      <c r="B98" s="36" t="n"/>
      <c r="C98" s="36" t="n"/>
      <c r="D98" s="36" t="n"/>
      <c r="E98" s="36" t="n"/>
      <c r="F98" s="36" t="n"/>
      <c r="G98" s="36" t="n"/>
      <c r="H98" s="36" t="n"/>
    </row>
    <row r="99">
      <c r="A99" s="35" t="n"/>
      <c r="B99" s="36" t="n"/>
      <c r="C99" s="36" t="n"/>
      <c r="D99" s="36" t="n"/>
      <c r="E99" s="36" t="n"/>
      <c r="F99" s="36" t="n"/>
      <c r="G99" s="36" t="n"/>
      <c r="H99" s="36" t="n"/>
    </row>
    <row r="100">
      <c r="A100" s="35" t="n"/>
      <c r="B100" s="36" t="n"/>
      <c r="C100" s="36" t="n"/>
      <c r="D100" s="36" t="n"/>
      <c r="E100" s="36" t="n"/>
      <c r="F100" s="36" t="n"/>
      <c r="G100" s="36" t="n"/>
      <c r="H100" s="36" t="n"/>
    </row>
    <row r="101">
      <c r="A101" s="35" t="n"/>
      <c r="B101" s="36" t="n"/>
      <c r="C101" s="36" t="n"/>
      <c r="D101" s="36" t="n"/>
      <c r="E101" s="36" t="n"/>
      <c r="F101" s="36" t="n"/>
      <c r="G101" s="36" t="n"/>
      <c r="H101" s="36" t="n"/>
    </row>
    <row r="102">
      <c r="A102" s="35" t="n"/>
      <c r="B102" s="36" t="n"/>
      <c r="C102" s="36" t="n"/>
      <c r="D102" s="36" t="n"/>
      <c r="E102" s="36" t="n"/>
      <c r="F102" s="36" t="n"/>
      <c r="G102" s="36" t="n"/>
      <c r="H102" s="36" t="n"/>
    </row>
    <row r="103">
      <c r="A103" s="35" t="n"/>
      <c r="B103" s="36" t="n"/>
      <c r="C103" s="36" t="n"/>
      <c r="D103" s="36" t="n"/>
      <c r="E103" s="36" t="n"/>
      <c r="F103" s="36" t="n"/>
      <c r="G103" s="36" t="n"/>
      <c r="H103" s="36" t="n"/>
    </row>
    <row r="104">
      <c r="A104" s="35" t="n"/>
      <c r="B104" s="36" t="n"/>
      <c r="C104" s="36" t="n"/>
      <c r="D104" s="36" t="n"/>
      <c r="E104" s="36" t="n"/>
      <c r="F104" s="36" t="n"/>
      <c r="G104" s="36" t="n"/>
      <c r="H104" s="36" t="n"/>
    </row>
    <row r="105">
      <c r="A105" s="35" t="n"/>
      <c r="B105" s="36" t="n"/>
      <c r="C105" s="36" t="n"/>
      <c r="D105" s="36" t="n"/>
      <c r="E105" s="36" t="n"/>
      <c r="F105" s="36" t="n"/>
      <c r="G105" s="36" t="n"/>
      <c r="H105" s="3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2"/>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22" customWidth="1" min="4" max="4"/>
    <col width="15" customWidth="1" min="5" max="5"/>
    <col width="20" customWidth="1" min="6" max="6"/>
    <col width="18" customWidth="1" min="7" max="7"/>
  </cols>
  <sheetData>
    <row r="1" ht="35" customHeight="1">
      <c r="A1" s="37" t="inlineStr">
        <is>
          <t>MONITORING &amp; RESPONSE ASSESSMENT — SUMMARY DASHBOARD</t>
        </is>
      </c>
      <c r="B1" s="6" t="n"/>
      <c r="C1" s="6" t="n"/>
      <c r="D1" s="6" t="n"/>
      <c r="E1" s="6" t="n"/>
      <c r="F1" s="6" t="n"/>
      <c r="G1" s="6" t="n"/>
    </row>
    <row r="2">
      <c r="A2" s="38" t="inlineStr">
        <is>
          <t>ISO/IEC 27001:2022 - Control A.8.23: Web Filtering</t>
        </is>
      </c>
    </row>
    <row r="4">
      <c r="A4" s="39" t="inlineStr">
        <is>
          <t>TABLE 1: ASSESSMENT AREA COMPLIANCE OVERVIEW</t>
        </is>
      </c>
      <c r="B4" s="6" t="n"/>
      <c r="C4" s="6" t="n"/>
      <c r="D4" s="6" t="n"/>
      <c r="E4" s="6" t="n"/>
      <c r="F4" s="6" t="n"/>
      <c r="G4" s="6" t="n"/>
    </row>
    <row r="5">
      <c r="A5" s="40" t="inlineStr">
        <is>
          <t>Assessment Area</t>
        </is>
      </c>
      <c r="B5" s="40" t="inlineStr">
        <is>
          <t>Total Items</t>
        </is>
      </c>
      <c r="C5" s="40" t="inlineStr">
        <is>
          <t>Compliant</t>
        </is>
      </c>
      <c r="D5" s="40" t="inlineStr">
        <is>
          <t>Partial</t>
        </is>
      </c>
      <c r="E5" s="40" t="inlineStr">
        <is>
          <t>Non-Compliant</t>
        </is>
      </c>
      <c r="F5" s="40" t="inlineStr">
        <is>
          <t>N/A</t>
        </is>
      </c>
      <c r="G5" s="40" t="inlineStr">
        <is>
          <t>Compliance %</t>
        </is>
      </c>
    </row>
    <row r="6">
      <c r="A6" s="6" t="inlineStr">
        <is>
          <t>Log Collection</t>
        </is>
      </c>
      <c r="B6" s="41">
        <f>C6+D6+E6+F6</f>
        <v/>
      </c>
      <c r="C6" s="41">
        <f>COUNTIF('Log Collection'!K6:K56,"✅ Implemented")</f>
        <v/>
      </c>
      <c r="D6" s="41">
        <f>COUNTIF('Log Collection'!K6:K56,"⚠️ Partial")</f>
        <v/>
      </c>
      <c r="E6" s="41">
        <f>COUNTIF('Log Collection'!K6:K56,"❌ Not Implemented")+COUNTIF('Log Collection'!K6:K56,"⟳ Planned")</f>
        <v/>
      </c>
      <c r="F6" s="41">
        <f>COUNTIF('Log Collection'!K6:K56,"N/A")</f>
        <v/>
      </c>
      <c r="G6" s="42">
        <f>IF((B6-F6)=0,0,C6/(B6-F6))</f>
        <v/>
      </c>
    </row>
    <row r="7">
      <c r="A7" s="6" t="inlineStr">
        <is>
          <t>Alert Configuration</t>
        </is>
      </c>
      <c r="B7" s="41">
        <f>C7+D7+E7+F7</f>
        <v/>
      </c>
      <c r="C7" s="41">
        <f>COUNTIF('Alert Configuration'!L6:L56,"✅ Implemented")</f>
        <v/>
      </c>
      <c r="D7" s="41">
        <f>COUNTIF('Alert Configuration'!L6:L56,"⚠️ Partial")</f>
        <v/>
      </c>
      <c r="E7" s="41">
        <f>COUNTIF('Alert Configuration'!L6:L56,"❌ Not Implemented")+COUNTIF('Alert Configuration'!L6:L56,"⟳ Planned")</f>
        <v/>
      </c>
      <c r="F7" s="41">
        <f>COUNTIF('Alert Configuration'!L6:L56,"N/A")</f>
        <v/>
      </c>
      <c r="G7" s="42">
        <f>IF((B7-F7)=0,0,C7/(B7-F7))</f>
        <v/>
      </c>
    </row>
    <row r="8">
      <c r="A8" s="6" t="inlineStr">
        <is>
          <t>Open Monitoring Gaps</t>
        </is>
      </c>
      <c r="B8" s="41">
        <f>C8+D8+E8+F8</f>
        <v/>
      </c>
      <c r="C8" s="41">
        <f>COUNTIF('Gap Analysis'!K6:K36,"✅ Resolved")+COUNTIF('Gap Analysis'!K6:K36,"⚠️ Accepted")</f>
        <v/>
      </c>
      <c r="D8" s="41">
        <f>COUNTIF('Gap Analysis'!K6:K36,"⟳ In Progress")</f>
        <v/>
      </c>
      <c r="E8" s="41">
        <f>COUNTIF('Gap Analysis'!K6:K36,"○ Open")</f>
        <v/>
      </c>
      <c r="F8" s="41">
        <f>COUNTIF('Gap Analysis'!K6:K36,"⏳ Deferred")</f>
        <v/>
      </c>
      <c r="G8" s="42">
        <f>IF((B8-F8)=0,0,C8/(B8-F8))</f>
        <v/>
      </c>
    </row>
    <row r="9">
      <c r="A9" s="43" t="inlineStr">
        <is>
          <t>TOTAL</t>
        </is>
      </c>
      <c r="B9" s="44">
        <f>SUM(B6:B8)</f>
        <v/>
      </c>
      <c r="C9" s="44">
        <f>SUM(C6:C8)</f>
        <v/>
      </c>
      <c r="D9" s="44">
        <f>SUM(D6:D8)</f>
        <v/>
      </c>
      <c r="E9" s="44">
        <f>SUM(E6:E8)</f>
        <v/>
      </c>
      <c r="F9" s="44">
        <f>SUM(F6:F8)</f>
        <v/>
      </c>
      <c r="G9" s="45">
        <f>IF((B9-F9)=0,0,C9/(B9-F9))</f>
        <v/>
      </c>
    </row>
    <row r="12">
      <c r="A12" s="39" t="inlineStr">
        <is>
          <t>TABLE 2: KEY METRICS</t>
        </is>
      </c>
      <c r="B12" s="6" t="n"/>
      <c r="C12" s="6" t="n"/>
      <c r="D12" s="6" t="n"/>
      <c r="E12" s="6" t="n"/>
      <c r="F12" s="6" t="n"/>
      <c r="G12" s="6" t="n"/>
    </row>
    <row r="13">
      <c r="A13" s="46" t="inlineStr">
        <is>
          <t>Metric</t>
        </is>
      </c>
      <c r="B13" s="46" t="inlineStr">
        <is>
          <t>Count</t>
        </is>
      </c>
      <c r="C13" s="47" t="n"/>
      <c r="D13" s="47" t="n"/>
      <c r="E13" s="47" t="n"/>
      <c r="F13" s="47" t="n"/>
      <c r="G13" s="47" t="n"/>
    </row>
    <row r="14">
      <c r="A14" s="48" t="inlineStr">
        <is>
          <t>Log Sources ✅ Implemented</t>
        </is>
      </c>
      <c r="B14" s="49">
        <f>COUNTIF('Log Collection'!K6:K56,"✅ Implemented")</f>
        <v/>
      </c>
      <c r="C14" s="6" t="n"/>
      <c r="D14" s="6" t="n"/>
      <c r="E14" s="6" t="n"/>
      <c r="F14" s="6" t="n"/>
      <c r="G14" s="6" t="n"/>
    </row>
    <row r="15">
      <c r="A15" s="48" t="inlineStr">
        <is>
          <t>Log Sources ❌ Not Implemented / ⟳ Planned</t>
        </is>
      </c>
      <c r="B15" s="49">
        <f>COUNTIF('Log Collection'!K6:K56,"❌ Not Implemented")+COUNTIF('Log Collection'!K6:K56,"⟳ Planned")</f>
        <v/>
      </c>
      <c r="C15" s="6" t="n"/>
      <c r="D15" s="6" t="n"/>
      <c r="E15" s="6" t="n"/>
      <c r="F15" s="6" t="n"/>
      <c r="G15" s="6" t="n"/>
    </row>
    <row r="16">
      <c r="A16" s="48" t="inlineStr">
        <is>
          <t>Alert Rules ✅ Implemented</t>
        </is>
      </c>
      <c r="B16" s="49">
        <f>COUNTIF('Alert Configuration'!L6:L56,"✅ Implemented")</f>
        <v/>
      </c>
      <c r="C16" s="6" t="n"/>
      <c r="D16" s="6" t="n"/>
      <c r="E16" s="6" t="n"/>
      <c r="F16" s="6" t="n"/>
      <c r="G16" s="6" t="n"/>
    </row>
    <row r="17">
      <c r="A17" s="48" t="inlineStr">
        <is>
          <t>Alert Rules ❌ Not Implemented / ⟳ Planned</t>
        </is>
      </c>
      <c r="B17" s="49">
        <f>COUNTIF('Alert Configuration'!L6:L56,"❌ Not Implemented")+COUNTIF('Alert Configuration'!L6:L56,"⟳ Planned")</f>
        <v/>
      </c>
      <c r="C17" s="6" t="n"/>
      <c r="D17" s="6" t="n"/>
      <c r="E17" s="6" t="n"/>
      <c r="F17" s="6" t="n"/>
      <c r="G17" s="6" t="n"/>
    </row>
    <row r="18">
      <c r="A18" s="48" t="inlineStr">
        <is>
          <t>Monitoring Gaps ○ Open</t>
        </is>
      </c>
      <c r="B18" s="49">
        <f>COUNTIF('Gap Analysis'!K6:K36,"○ Open")</f>
        <v/>
      </c>
      <c r="C18" s="6" t="n"/>
      <c r="D18" s="6" t="n"/>
      <c r="E18" s="6" t="n"/>
      <c r="F18" s="6" t="n"/>
      <c r="G18" s="6" t="n"/>
    </row>
    <row r="19">
      <c r="A19" s="48" t="inlineStr">
        <is>
          <t>Monitoring Gaps ⟳ In Progress</t>
        </is>
      </c>
      <c r="B19" s="49">
        <f>COUNTIF('Gap Analysis'!K6:K36,"⟳ In Progress")</f>
        <v/>
      </c>
      <c r="C19" s="6" t="n"/>
      <c r="D19" s="6" t="n"/>
      <c r="E19" s="6" t="n"/>
      <c r="F19" s="6" t="n"/>
      <c r="G19" s="6" t="n"/>
    </row>
    <row r="20">
      <c r="A20" s="48" t="inlineStr">
        <is>
          <t>Monitoring Gaps ✅ Resolved / ⚠️ Accepted</t>
        </is>
      </c>
      <c r="B20" s="49">
        <f>COUNTIF('Gap Analysis'!K6:K36,"✅ Resolved")+COUNTIF('Gap Analysis'!K6:K36,"⚠️ Accepted")</f>
        <v/>
      </c>
      <c r="C20" s="6" t="n"/>
      <c r="D20" s="6" t="n"/>
      <c r="E20" s="6" t="n"/>
      <c r="F20" s="6" t="n"/>
      <c r="G20" s="6" t="n"/>
    </row>
    <row r="21">
      <c r="A21" s="48" t="inlineStr">
        <is>
          <t>Monitoring Gaps ⏳ Deferred</t>
        </is>
      </c>
      <c r="B21" s="49">
        <f>COUNTIF('Gap Analysis'!K6:K36,"⏳ Deferred")</f>
        <v/>
      </c>
      <c r="C21" s="6" t="n"/>
      <c r="D21" s="6" t="n"/>
      <c r="E21" s="6" t="n"/>
      <c r="F21" s="6" t="n"/>
      <c r="G21" s="6" t="n"/>
    </row>
    <row r="22">
      <c r="A22" s="48" t="inlineStr">
        <is>
          <t>Dashboard Sources ✅ Implemented</t>
        </is>
      </c>
      <c r="B22" s="49">
        <f>COUNTIF('Monitoring Dashboard'!I6:I80,"✅ Implemented")</f>
        <v/>
      </c>
      <c r="C22" s="6" t="n"/>
      <c r="D22" s="6" t="n"/>
      <c r="E22" s="6" t="n"/>
      <c r="F22" s="6" t="n"/>
      <c r="G22" s="6" t="n"/>
    </row>
    <row r="23">
      <c r="A23" s="48" t="inlineStr">
        <is>
          <t>Dashboard Sources ❌ Not Configured / ⟳ Planned</t>
        </is>
      </c>
      <c r="B23" s="49">
        <f>COUNTIF('Monitoring Dashboard'!I6:I80,"❌ Not Implemented")+COUNTIF('Monitoring Dashboard'!I6:I80,"⟳ Planned")</f>
        <v/>
      </c>
      <c r="C23" s="6" t="n"/>
      <c r="D23" s="6" t="n"/>
      <c r="E23" s="6" t="n"/>
      <c r="F23" s="6" t="n"/>
      <c r="G23" s="6" t="n"/>
    </row>
    <row r="24">
      <c r="A24" s="48" t="inlineStr">
        <is>
          <t>IR Procedures ✅ Documented</t>
        </is>
      </c>
      <c r="B24" s="49">
        <f>COUNTIF('Incident Response'!I6:I60,"✅ Implemented")</f>
        <v/>
      </c>
      <c r="C24" s="6" t="n"/>
      <c r="D24" s="6" t="n"/>
      <c r="E24" s="6" t="n"/>
      <c r="F24" s="6" t="n"/>
      <c r="G24" s="6" t="n"/>
    </row>
    <row r="25">
      <c r="A25" s="48" t="inlineStr">
        <is>
          <t>IR Procedures ❌ Not Documented / ⟳ Planned</t>
        </is>
      </c>
      <c r="B25" s="49">
        <f>COUNTIF('Incident Response'!I6:I60,"❌ Not Implemented")+COUNTIF('Incident Response'!I6:I60,"⟳ Planned")</f>
        <v/>
      </c>
      <c r="C25" s="6" t="n"/>
      <c r="D25" s="6" t="n"/>
      <c r="E25" s="6" t="n"/>
      <c r="F25" s="6" t="n"/>
      <c r="G25" s="6" t="n"/>
    </row>
    <row r="26">
      <c r="A26" s="48" t="inlineStr">
        <is>
          <t>Blocked Event Categories Requiring Action</t>
        </is>
      </c>
      <c r="B26" s="49">
        <f>COUNTIF('Blocked Events Analysis'!H6:H49,"Yes")</f>
        <v/>
      </c>
      <c r="C26" s="6" t="n"/>
      <c r="D26" s="6" t="n"/>
      <c r="E26" s="6" t="n"/>
      <c r="F26" s="6" t="n"/>
      <c r="G26" s="6" t="n"/>
    </row>
    <row r="27">
      <c r="A27" s="48" t="inlineStr">
        <is>
          <t>False Positives Open / Escalated</t>
        </is>
      </c>
      <c r="B27" s="49">
        <f>COUNTIF('False Positive Mgmt'!K6:K67,"Open")+COUNTIF('False Positive Mgmt'!K6:K67,"Escalated")</f>
        <v/>
      </c>
      <c r="C27" s="6" t="n"/>
      <c r="D27" s="6" t="n"/>
      <c r="E27" s="6" t="n"/>
      <c r="F27" s="6" t="n"/>
      <c r="G27" s="6" t="n"/>
    </row>
    <row r="28">
      <c r="A28" s="48" t="inlineStr">
        <is>
          <t>False Positives Resolved</t>
        </is>
      </c>
      <c r="B28" s="49">
        <f>COUNTIF('False Positive Mgmt'!K6:K67,"Resolved")</f>
        <v/>
      </c>
      <c r="C28" s="6" t="n"/>
      <c r="D28" s="6" t="n"/>
      <c r="E28" s="6" t="n"/>
      <c r="F28" s="6" t="n"/>
      <c r="G28" s="6" t="n"/>
    </row>
    <row r="31">
      <c r="A31" s="50" t="inlineStr">
        <is>
          <t>TABLE 3: CRITICAL FINDINGS &amp; OPEN GAPS</t>
        </is>
      </c>
      <c r="B31" s="6" t="n"/>
      <c r="C31" s="6" t="n"/>
      <c r="D31" s="6" t="n"/>
      <c r="E31" s="6" t="n"/>
      <c r="F31" s="6" t="n"/>
      <c r="G31" s="6" t="n"/>
    </row>
    <row r="32">
      <c r="A32" s="51" t="inlineStr">
        <is>
          <t>Gap ID</t>
        </is>
      </c>
      <c r="B32" s="51" t="inlineStr">
        <is>
          <t>Gap Category</t>
        </is>
      </c>
      <c r="C32" s="51" t="inlineStr">
        <is>
          <t>Gap Description</t>
        </is>
      </c>
      <c r="D32" s="51" t="inlineStr">
        <is>
          <t>Risk Level</t>
        </is>
      </c>
      <c r="E32" s="51" t="inlineStr">
        <is>
          <t>Owner</t>
        </is>
      </c>
      <c r="F32" s="51" t="inlineStr">
        <is>
          <t>Target Date</t>
        </is>
      </c>
      <c r="G32" s="51" t="inlineStr">
        <is>
          <t>Status</t>
        </is>
      </c>
    </row>
    <row r="33">
      <c r="A33" s="52">
        <f>IFERROR(INDEX('Gap Analysis'!A$6:A$36,SMALL(IF('Gap Analysis'!K$6:K$36="○ Open",ROW('Gap Analysis'!K$6:K$36)-ROW('Gap Analysis'!K$6)+1),1)),"")</f>
        <v/>
      </c>
      <c r="B33" s="52">
        <f>IFERROR(INDEX('Gap Analysis'!B$6:B$36,SMALL(IF('Gap Analysis'!K$6:K$36="○ Open",ROW('Gap Analysis'!K$6:K$36)-ROW('Gap Analysis'!K$6)+1),1)),"")</f>
        <v/>
      </c>
      <c r="C33" s="52">
        <f>IFERROR(INDEX('Gap Analysis'!C$6:C$36,SMALL(IF('Gap Analysis'!K$6:K$36="○ Open",ROW('Gap Analysis'!K$6:K$36)-ROW('Gap Analysis'!K$6)+1),1)),"")</f>
        <v/>
      </c>
      <c r="D33" s="52">
        <f>IFERROR(INDEX('Gap Analysis'!F$6:F$36,SMALL(IF('Gap Analysis'!K$6:K$36="○ Open",ROW('Gap Analysis'!K$6:K$36)-ROW('Gap Analysis'!K$6)+1),1)),"")</f>
        <v/>
      </c>
      <c r="E33" s="52">
        <f>IFERROR(INDEX('Gap Analysis'!I$6:I$36,SMALL(IF('Gap Analysis'!K$6:K$36="○ Open",ROW('Gap Analysis'!K$6:K$36)-ROW('Gap Analysis'!K$6)+1),1)),"")</f>
        <v/>
      </c>
      <c r="F33" s="52">
        <f>IFERROR(INDEX('Gap Analysis'!J$6:J$36,SMALL(IF('Gap Analysis'!K$6:K$36="○ Open",ROW('Gap Analysis'!K$6:K$36)-ROW('Gap Analysis'!K$6)+1),1)),"")</f>
        <v/>
      </c>
      <c r="G33" s="52">
        <f>IFERROR(INDEX('Gap Analysis'!K$6:K$36,SMALL(IF('Gap Analysis'!K$6:K$36="○ Open",ROW('Gap Analysis'!K$6:K$36)-ROW('Gap Analysis'!K$6)+1),1)),"")</f>
        <v/>
      </c>
    </row>
    <row r="34">
      <c r="A34" s="52">
        <f>IFERROR(INDEX('Gap Analysis'!A$6:A$36,SMALL(IF('Gap Analysis'!K$6:K$36="○ Open",ROW('Gap Analysis'!K$6:K$36)-ROW('Gap Analysis'!K$6)+1),2)),"")</f>
        <v/>
      </c>
      <c r="B34" s="52">
        <f>IFERROR(INDEX('Gap Analysis'!B$6:B$36,SMALL(IF('Gap Analysis'!K$6:K$36="○ Open",ROW('Gap Analysis'!K$6:K$36)-ROW('Gap Analysis'!K$6)+1),2)),"")</f>
        <v/>
      </c>
      <c r="C34" s="52">
        <f>IFERROR(INDEX('Gap Analysis'!C$6:C$36,SMALL(IF('Gap Analysis'!K$6:K$36="○ Open",ROW('Gap Analysis'!K$6:K$36)-ROW('Gap Analysis'!K$6)+1),2)),"")</f>
        <v/>
      </c>
      <c r="D34" s="52">
        <f>IFERROR(INDEX('Gap Analysis'!F$6:F$36,SMALL(IF('Gap Analysis'!K$6:K$36="○ Open",ROW('Gap Analysis'!K$6:K$36)-ROW('Gap Analysis'!K$6)+1),2)),"")</f>
        <v/>
      </c>
      <c r="E34" s="52">
        <f>IFERROR(INDEX('Gap Analysis'!I$6:I$36,SMALL(IF('Gap Analysis'!K$6:K$36="○ Open",ROW('Gap Analysis'!K$6:K$36)-ROW('Gap Analysis'!K$6)+1),2)),"")</f>
        <v/>
      </c>
      <c r="F34" s="52">
        <f>IFERROR(INDEX('Gap Analysis'!J$6:J$36,SMALL(IF('Gap Analysis'!K$6:K$36="○ Open",ROW('Gap Analysis'!K$6:K$36)-ROW('Gap Analysis'!K$6)+1),2)),"")</f>
        <v/>
      </c>
      <c r="G34" s="52">
        <f>IFERROR(INDEX('Gap Analysis'!K$6:K$36,SMALL(IF('Gap Analysis'!K$6:K$36="○ Open",ROW('Gap Analysis'!K$6:K$36)-ROW('Gap Analysis'!K$6)+1),2)),"")</f>
        <v/>
      </c>
    </row>
    <row r="35">
      <c r="A35" s="52">
        <f>IFERROR(INDEX('Gap Analysis'!A$6:A$36,SMALL(IF('Gap Analysis'!K$6:K$36="○ Open",ROW('Gap Analysis'!K$6:K$36)-ROW('Gap Analysis'!K$6)+1),3)),"")</f>
        <v/>
      </c>
      <c r="B35" s="52">
        <f>IFERROR(INDEX('Gap Analysis'!B$6:B$36,SMALL(IF('Gap Analysis'!K$6:K$36="○ Open",ROW('Gap Analysis'!K$6:K$36)-ROW('Gap Analysis'!K$6)+1),3)),"")</f>
        <v/>
      </c>
      <c r="C35" s="52">
        <f>IFERROR(INDEX('Gap Analysis'!C$6:C$36,SMALL(IF('Gap Analysis'!K$6:K$36="○ Open",ROW('Gap Analysis'!K$6:K$36)-ROW('Gap Analysis'!K$6)+1),3)),"")</f>
        <v/>
      </c>
      <c r="D35" s="52">
        <f>IFERROR(INDEX('Gap Analysis'!F$6:F$36,SMALL(IF('Gap Analysis'!K$6:K$36="○ Open",ROW('Gap Analysis'!K$6:K$36)-ROW('Gap Analysis'!K$6)+1),3)),"")</f>
        <v/>
      </c>
      <c r="E35" s="52">
        <f>IFERROR(INDEX('Gap Analysis'!I$6:I$36,SMALL(IF('Gap Analysis'!K$6:K$36="○ Open",ROW('Gap Analysis'!K$6:K$36)-ROW('Gap Analysis'!K$6)+1),3)),"")</f>
        <v/>
      </c>
      <c r="F35" s="52">
        <f>IFERROR(INDEX('Gap Analysis'!J$6:J$36,SMALL(IF('Gap Analysis'!K$6:K$36="○ Open",ROW('Gap Analysis'!K$6:K$36)-ROW('Gap Analysis'!K$6)+1),3)),"")</f>
        <v/>
      </c>
      <c r="G35" s="52">
        <f>IFERROR(INDEX('Gap Analysis'!K$6:K$36,SMALL(IF('Gap Analysis'!K$6:K$36="○ Open",ROW('Gap Analysis'!K$6:K$36)-ROW('Gap Analysis'!K$6)+1),3)),"")</f>
        <v/>
      </c>
    </row>
    <row r="36">
      <c r="A36" s="52">
        <f>IFERROR(INDEX('Gap Analysis'!A$6:A$36,SMALL(IF('Gap Analysis'!K$6:K$36="○ Open",ROW('Gap Analysis'!K$6:K$36)-ROW('Gap Analysis'!K$6)+1),4)),"")</f>
        <v/>
      </c>
      <c r="B36" s="52">
        <f>IFERROR(INDEX('Gap Analysis'!B$6:B$36,SMALL(IF('Gap Analysis'!K$6:K$36="○ Open",ROW('Gap Analysis'!K$6:K$36)-ROW('Gap Analysis'!K$6)+1),4)),"")</f>
        <v/>
      </c>
      <c r="C36" s="52">
        <f>IFERROR(INDEX('Gap Analysis'!C$6:C$36,SMALL(IF('Gap Analysis'!K$6:K$36="○ Open",ROW('Gap Analysis'!K$6:K$36)-ROW('Gap Analysis'!K$6)+1),4)),"")</f>
        <v/>
      </c>
      <c r="D36" s="52">
        <f>IFERROR(INDEX('Gap Analysis'!F$6:F$36,SMALL(IF('Gap Analysis'!K$6:K$36="○ Open",ROW('Gap Analysis'!K$6:K$36)-ROW('Gap Analysis'!K$6)+1),4)),"")</f>
        <v/>
      </c>
      <c r="E36" s="52">
        <f>IFERROR(INDEX('Gap Analysis'!I$6:I$36,SMALL(IF('Gap Analysis'!K$6:K$36="○ Open",ROW('Gap Analysis'!K$6:K$36)-ROW('Gap Analysis'!K$6)+1),4)),"")</f>
        <v/>
      </c>
      <c r="F36" s="52">
        <f>IFERROR(INDEX('Gap Analysis'!J$6:J$36,SMALL(IF('Gap Analysis'!K$6:K$36="○ Open",ROW('Gap Analysis'!K$6:K$36)-ROW('Gap Analysis'!K$6)+1),4)),"")</f>
        <v/>
      </c>
      <c r="G36" s="52">
        <f>IFERROR(INDEX('Gap Analysis'!K$6:K$36,SMALL(IF('Gap Analysis'!K$6:K$36="○ Open",ROW('Gap Analysis'!K$6:K$36)-ROW('Gap Analysis'!K$6)+1),4)),"")</f>
        <v/>
      </c>
    </row>
    <row r="37">
      <c r="A37" s="52">
        <f>IFERROR(INDEX('Gap Analysis'!A$6:A$36,SMALL(IF('Gap Analysis'!K$6:K$36="○ Open",ROW('Gap Analysis'!K$6:K$36)-ROW('Gap Analysis'!K$6)+1),5)),"")</f>
        <v/>
      </c>
      <c r="B37" s="52">
        <f>IFERROR(INDEX('Gap Analysis'!B$6:B$36,SMALL(IF('Gap Analysis'!K$6:K$36="○ Open",ROW('Gap Analysis'!K$6:K$36)-ROW('Gap Analysis'!K$6)+1),5)),"")</f>
        <v/>
      </c>
      <c r="C37" s="52">
        <f>IFERROR(INDEX('Gap Analysis'!C$6:C$36,SMALL(IF('Gap Analysis'!K$6:K$36="○ Open",ROW('Gap Analysis'!K$6:K$36)-ROW('Gap Analysis'!K$6)+1),5)),"")</f>
        <v/>
      </c>
      <c r="D37" s="52">
        <f>IFERROR(INDEX('Gap Analysis'!F$6:F$36,SMALL(IF('Gap Analysis'!K$6:K$36="○ Open",ROW('Gap Analysis'!K$6:K$36)-ROW('Gap Analysis'!K$6)+1),5)),"")</f>
        <v/>
      </c>
      <c r="E37" s="52">
        <f>IFERROR(INDEX('Gap Analysis'!I$6:I$36,SMALL(IF('Gap Analysis'!K$6:K$36="○ Open",ROW('Gap Analysis'!K$6:K$36)-ROW('Gap Analysis'!K$6)+1),5)),"")</f>
        <v/>
      </c>
      <c r="F37" s="52">
        <f>IFERROR(INDEX('Gap Analysis'!J$6:J$36,SMALL(IF('Gap Analysis'!K$6:K$36="○ Open",ROW('Gap Analysis'!K$6:K$36)-ROW('Gap Analysis'!K$6)+1),5)),"")</f>
        <v/>
      </c>
      <c r="G37" s="52">
        <f>IFERROR(INDEX('Gap Analysis'!K$6:K$36,SMALL(IF('Gap Analysis'!K$6:K$36="○ Open",ROW('Gap Analysis'!K$6:K$36)-ROW('Gap Analysis'!K$6)+1),5)),"")</f>
        <v/>
      </c>
    </row>
    <row r="38">
      <c r="A38" s="52">
        <f>IFERROR(INDEX('Gap Analysis'!A$6:A$36,SMALL(IF('Gap Analysis'!K$6:K$36="○ Open",ROW('Gap Analysis'!K$6:K$36)-ROW('Gap Analysis'!K$6)+1),6)),"")</f>
        <v/>
      </c>
      <c r="B38" s="52">
        <f>IFERROR(INDEX('Gap Analysis'!B$6:B$36,SMALL(IF('Gap Analysis'!K$6:K$36="○ Open",ROW('Gap Analysis'!K$6:K$36)-ROW('Gap Analysis'!K$6)+1),6)),"")</f>
        <v/>
      </c>
      <c r="C38" s="52">
        <f>IFERROR(INDEX('Gap Analysis'!C$6:C$36,SMALL(IF('Gap Analysis'!K$6:K$36="○ Open",ROW('Gap Analysis'!K$6:K$36)-ROW('Gap Analysis'!K$6)+1),6)),"")</f>
        <v/>
      </c>
      <c r="D38" s="52">
        <f>IFERROR(INDEX('Gap Analysis'!F$6:F$36,SMALL(IF('Gap Analysis'!K$6:K$36="○ Open",ROW('Gap Analysis'!K$6:K$36)-ROW('Gap Analysis'!K$6)+1),6)),"")</f>
        <v/>
      </c>
      <c r="E38" s="52">
        <f>IFERROR(INDEX('Gap Analysis'!I$6:I$36,SMALL(IF('Gap Analysis'!K$6:K$36="○ Open",ROW('Gap Analysis'!K$6:K$36)-ROW('Gap Analysis'!K$6)+1),6)),"")</f>
        <v/>
      </c>
      <c r="F38" s="52">
        <f>IFERROR(INDEX('Gap Analysis'!J$6:J$36,SMALL(IF('Gap Analysis'!K$6:K$36="○ Open",ROW('Gap Analysis'!K$6:K$36)-ROW('Gap Analysis'!K$6)+1),6)),"")</f>
        <v/>
      </c>
      <c r="G38" s="52">
        <f>IFERROR(INDEX('Gap Analysis'!K$6:K$36,SMALL(IF('Gap Analysis'!K$6:K$36="○ Open",ROW('Gap Analysis'!K$6:K$36)-ROW('Gap Analysis'!K$6)+1),6)),"")</f>
        <v/>
      </c>
    </row>
    <row r="39">
      <c r="A39" s="52">
        <f>IFERROR(INDEX('Gap Analysis'!A$6:A$36,SMALL(IF('Gap Analysis'!K$6:K$36="○ Open",ROW('Gap Analysis'!K$6:K$36)-ROW('Gap Analysis'!K$6)+1),7)),"")</f>
        <v/>
      </c>
      <c r="B39" s="52">
        <f>IFERROR(INDEX('Gap Analysis'!B$6:B$36,SMALL(IF('Gap Analysis'!K$6:K$36="○ Open",ROW('Gap Analysis'!K$6:K$36)-ROW('Gap Analysis'!K$6)+1),7)),"")</f>
        <v/>
      </c>
      <c r="C39" s="52">
        <f>IFERROR(INDEX('Gap Analysis'!C$6:C$36,SMALL(IF('Gap Analysis'!K$6:K$36="○ Open",ROW('Gap Analysis'!K$6:K$36)-ROW('Gap Analysis'!K$6)+1),7)),"")</f>
        <v/>
      </c>
      <c r="D39" s="52">
        <f>IFERROR(INDEX('Gap Analysis'!F$6:F$36,SMALL(IF('Gap Analysis'!K$6:K$36="○ Open",ROW('Gap Analysis'!K$6:K$36)-ROW('Gap Analysis'!K$6)+1),7)),"")</f>
        <v/>
      </c>
      <c r="E39" s="52">
        <f>IFERROR(INDEX('Gap Analysis'!I$6:I$36,SMALL(IF('Gap Analysis'!K$6:K$36="○ Open",ROW('Gap Analysis'!K$6:K$36)-ROW('Gap Analysis'!K$6)+1),7)),"")</f>
        <v/>
      </c>
      <c r="F39" s="52">
        <f>IFERROR(INDEX('Gap Analysis'!J$6:J$36,SMALL(IF('Gap Analysis'!K$6:K$36="○ Open",ROW('Gap Analysis'!K$6:K$36)-ROW('Gap Analysis'!K$6)+1),7)),"")</f>
        <v/>
      </c>
      <c r="G39" s="52">
        <f>IFERROR(INDEX('Gap Analysis'!K$6:K$36,SMALL(IF('Gap Analysis'!K$6:K$36="○ Open",ROW('Gap Analysis'!K$6:K$36)-ROW('Gap Analysis'!K$6)+1),7)),"")</f>
        <v/>
      </c>
    </row>
    <row r="40">
      <c r="A40" s="52">
        <f>IFERROR(INDEX('Gap Analysis'!A$6:A$36,SMALL(IF('Gap Analysis'!K$6:K$36="○ Open",ROW('Gap Analysis'!K$6:K$36)-ROW('Gap Analysis'!K$6)+1),8)),"")</f>
        <v/>
      </c>
      <c r="B40" s="52">
        <f>IFERROR(INDEX('Gap Analysis'!B$6:B$36,SMALL(IF('Gap Analysis'!K$6:K$36="○ Open",ROW('Gap Analysis'!K$6:K$36)-ROW('Gap Analysis'!K$6)+1),8)),"")</f>
        <v/>
      </c>
      <c r="C40" s="52">
        <f>IFERROR(INDEX('Gap Analysis'!C$6:C$36,SMALL(IF('Gap Analysis'!K$6:K$36="○ Open",ROW('Gap Analysis'!K$6:K$36)-ROW('Gap Analysis'!K$6)+1),8)),"")</f>
        <v/>
      </c>
      <c r="D40" s="52">
        <f>IFERROR(INDEX('Gap Analysis'!F$6:F$36,SMALL(IF('Gap Analysis'!K$6:K$36="○ Open",ROW('Gap Analysis'!K$6:K$36)-ROW('Gap Analysis'!K$6)+1),8)),"")</f>
        <v/>
      </c>
      <c r="E40" s="52">
        <f>IFERROR(INDEX('Gap Analysis'!I$6:I$36,SMALL(IF('Gap Analysis'!K$6:K$36="○ Open",ROW('Gap Analysis'!K$6:K$36)-ROW('Gap Analysis'!K$6)+1),8)),"")</f>
        <v/>
      </c>
      <c r="F40" s="52">
        <f>IFERROR(INDEX('Gap Analysis'!J$6:J$36,SMALL(IF('Gap Analysis'!K$6:K$36="○ Open",ROW('Gap Analysis'!K$6:K$36)-ROW('Gap Analysis'!K$6)+1),8)),"")</f>
        <v/>
      </c>
      <c r="G40" s="52">
        <f>IFERROR(INDEX('Gap Analysis'!K$6:K$36,SMALL(IF('Gap Analysis'!K$6:K$36="○ Open",ROW('Gap Analysis'!K$6:K$36)-ROW('Gap Analysis'!K$6)+1),8)),"")</f>
        <v/>
      </c>
    </row>
    <row r="41">
      <c r="A41" s="52">
        <f>IFERROR(INDEX('Gap Analysis'!A$6:A$36,SMALL(IF('Gap Analysis'!K$6:K$36="○ Open",ROW('Gap Analysis'!K$6:K$36)-ROW('Gap Analysis'!K$6)+1),9)),"")</f>
        <v/>
      </c>
      <c r="B41" s="52">
        <f>IFERROR(INDEX('Gap Analysis'!B$6:B$36,SMALL(IF('Gap Analysis'!K$6:K$36="○ Open",ROW('Gap Analysis'!K$6:K$36)-ROW('Gap Analysis'!K$6)+1),9)),"")</f>
        <v/>
      </c>
      <c r="C41" s="52">
        <f>IFERROR(INDEX('Gap Analysis'!C$6:C$36,SMALL(IF('Gap Analysis'!K$6:K$36="○ Open",ROW('Gap Analysis'!K$6:K$36)-ROW('Gap Analysis'!K$6)+1),9)),"")</f>
        <v/>
      </c>
      <c r="D41" s="52">
        <f>IFERROR(INDEX('Gap Analysis'!F$6:F$36,SMALL(IF('Gap Analysis'!K$6:K$36="○ Open",ROW('Gap Analysis'!K$6:K$36)-ROW('Gap Analysis'!K$6)+1),9)),"")</f>
        <v/>
      </c>
      <c r="E41" s="52">
        <f>IFERROR(INDEX('Gap Analysis'!I$6:I$36,SMALL(IF('Gap Analysis'!K$6:K$36="○ Open",ROW('Gap Analysis'!K$6:K$36)-ROW('Gap Analysis'!K$6)+1),9)),"")</f>
        <v/>
      </c>
      <c r="F41" s="52">
        <f>IFERROR(INDEX('Gap Analysis'!J$6:J$36,SMALL(IF('Gap Analysis'!K$6:K$36="○ Open",ROW('Gap Analysis'!K$6:K$36)-ROW('Gap Analysis'!K$6)+1),9)),"")</f>
        <v/>
      </c>
      <c r="G41" s="52">
        <f>IFERROR(INDEX('Gap Analysis'!K$6:K$36,SMALL(IF('Gap Analysis'!K$6:K$36="○ Open",ROW('Gap Analysis'!K$6:K$36)-ROW('Gap Analysis'!K$6)+1),9)),"")</f>
        <v/>
      </c>
    </row>
    <row r="42">
      <c r="A42" s="52">
        <f>IFERROR(INDEX('Gap Analysis'!A$6:A$36,SMALL(IF('Gap Analysis'!K$6:K$36="○ Open",ROW('Gap Analysis'!K$6:K$36)-ROW('Gap Analysis'!K$6)+1),10)),"")</f>
        <v/>
      </c>
      <c r="B42" s="52">
        <f>IFERROR(INDEX('Gap Analysis'!B$6:B$36,SMALL(IF('Gap Analysis'!K$6:K$36="○ Open",ROW('Gap Analysis'!K$6:K$36)-ROW('Gap Analysis'!K$6)+1),10)),"")</f>
        <v/>
      </c>
      <c r="C42" s="52">
        <f>IFERROR(INDEX('Gap Analysis'!C$6:C$36,SMALL(IF('Gap Analysis'!K$6:K$36="○ Open",ROW('Gap Analysis'!K$6:K$36)-ROW('Gap Analysis'!K$6)+1),10)),"")</f>
        <v/>
      </c>
      <c r="D42" s="52">
        <f>IFERROR(INDEX('Gap Analysis'!F$6:F$36,SMALL(IF('Gap Analysis'!K$6:K$36="○ Open",ROW('Gap Analysis'!K$6:K$36)-ROW('Gap Analysis'!K$6)+1),10)),"")</f>
        <v/>
      </c>
      <c r="E42" s="52">
        <f>IFERROR(INDEX('Gap Analysis'!I$6:I$36,SMALL(IF('Gap Analysis'!K$6:K$36="○ Open",ROW('Gap Analysis'!K$6:K$36)-ROW('Gap Analysis'!K$6)+1),10)),"")</f>
        <v/>
      </c>
      <c r="F42" s="52">
        <f>IFERROR(INDEX('Gap Analysis'!J$6:J$36,SMALL(IF('Gap Analysis'!K$6:K$36="○ Open",ROW('Gap Analysis'!K$6:K$36)-ROW('Gap Analysis'!K$6)+1),10)),"")</f>
        <v/>
      </c>
      <c r="G42" s="52">
        <f>IFERROR(INDEX('Gap Analysis'!K$6:K$36,SMALL(IF('Gap Analysis'!K$6:K$36="○ Open",ROW('Gap Analysis'!K$6:K$36)-ROW('Gap Analysis'!K$6)+1),10)),"")</f>
        <v/>
      </c>
    </row>
  </sheetData>
  <mergeCells count="21">
    <mergeCell ref="B14:G14"/>
    <mergeCell ref="B17:G17"/>
    <mergeCell ref="B23:G23"/>
    <mergeCell ref="A4:G4"/>
    <mergeCell ref="B13:G13"/>
    <mergeCell ref="B19:G19"/>
    <mergeCell ref="B28:G28"/>
    <mergeCell ref="A31:G31"/>
    <mergeCell ref="B15:G15"/>
    <mergeCell ref="B24:G24"/>
    <mergeCell ref="B20:G20"/>
    <mergeCell ref="A1:G1"/>
    <mergeCell ref="B26:G26"/>
    <mergeCell ref="B25:G25"/>
    <mergeCell ref="B16:G16"/>
    <mergeCell ref="B22:G22"/>
    <mergeCell ref="A12:G12"/>
    <mergeCell ref="B27:G27"/>
    <mergeCell ref="A2:G2"/>
    <mergeCell ref="B18:G18"/>
    <mergeCell ref="B21:G2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53" t="inlineStr">
        <is>
          <t>ISO/IEC 27001:2022 - Control A.8.23: Web Filtering</t>
        </is>
      </c>
      <c r="B2" s="6" t="n"/>
      <c r="C2" s="6" t="n"/>
      <c r="D2" s="6" t="n"/>
      <c r="E2" s="6" t="n"/>
    </row>
    <row r="3">
      <c r="A3" s="54" t="inlineStr">
        <is>
          <t>ASSESSMENT SUMMARY</t>
        </is>
      </c>
      <c r="B3" s="6" t="n"/>
      <c r="C3" s="6" t="n"/>
      <c r="D3" s="6" t="n"/>
      <c r="E3" s="6" t="n"/>
    </row>
    <row r="4">
      <c r="A4" s="55" t="inlineStr">
        <is>
          <t>Document:</t>
        </is>
      </c>
      <c r="B4" s="6" t="inlineStr">
        <is>
          <t>ISMS-IMP-A.8.23.4 - Monitoring &amp; Response Assessment</t>
        </is>
      </c>
      <c r="C4" s="6" t="n"/>
      <c r="D4" s="6" t="n"/>
      <c r="E4" s="6" t="n"/>
    </row>
    <row r="5">
      <c r="A5" s="55" t="inlineStr">
        <is>
          <t>Assessment Period:</t>
        </is>
      </c>
      <c r="B5" s="52" t="inlineStr"/>
      <c r="C5" s="52" t="n"/>
      <c r="D5" s="52" t="n"/>
      <c r="E5" s="52" t="n"/>
    </row>
    <row r="6">
      <c r="A6" s="55" t="inlineStr">
        <is>
          <t>Overall Compliance Rating:</t>
        </is>
      </c>
      <c r="B6" s="52">
        <f>'Summary Dashboard'!G9</f>
        <v/>
      </c>
      <c r="C6" s="52" t="n"/>
      <c r="D6" s="52" t="n"/>
      <c r="E6" s="52" t="n"/>
    </row>
    <row r="7">
      <c r="A7" s="55" t="inlineStr">
        <is>
          <t>Assessment Status:</t>
        </is>
      </c>
      <c r="B7" s="52" t="inlineStr"/>
      <c r="C7" s="52" t="n"/>
      <c r="D7" s="52" t="n"/>
      <c r="E7" s="52" t="n"/>
    </row>
    <row r="8">
      <c r="A8" s="55" t="inlineStr">
        <is>
          <t>Assessed By:</t>
        </is>
      </c>
      <c r="B8" s="52" t="inlineStr"/>
      <c r="C8" s="52" t="n"/>
      <c r="D8" s="52" t="n"/>
      <c r="E8" s="52" t="n"/>
    </row>
    <row r="11">
      <c r="A11" s="54" t="inlineStr">
        <is>
          <t>COMPLETED BY (ASSESSOR)</t>
        </is>
      </c>
      <c r="B11" s="6" t="n"/>
      <c r="C11" s="6" t="n"/>
      <c r="D11" s="6" t="n"/>
      <c r="E11" s="6" t="n"/>
    </row>
    <row r="12">
      <c r="A12" s="55" t="inlineStr">
        <is>
          <t>Name:</t>
        </is>
      </c>
      <c r="B12" s="52" t="n"/>
      <c r="C12" s="52" t="n"/>
      <c r="D12" s="52" t="n"/>
      <c r="E12" s="52" t="n"/>
    </row>
    <row r="13">
      <c r="A13" s="55" t="inlineStr">
        <is>
          <t>Title:</t>
        </is>
      </c>
      <c r="B13" s="52" t="n"/>
      <c r="C13" s="52" t="n"/>
      <c r="D13" s="52" t="n"/>
      <c r="E13" s="52" t="n"/>
    </row>
    <row r="14">
      <c r="A14" s="55" t="inlineStr">
        <is>
          <t>Date:</t>
        </is>
      </c>
      <c r="B14" s="52" t="n"/>
      <c r="C14" s="52" t="n"/>
      <c r="D14" s="52" t="n"/>
      <c r="E14" s="52" t="n"/>
    </row>
    <row r="15">
      <c r="A15" s="55" t="inlineStr">
        <is>
          <t>Signature:</t>
        </is>
      </c>
      <c r="B15" s="52" t="n"/>
      <c r="C15" s="52" t="n"/>
      <c r="D15" s="52" t="n"/>
      <c r="E15" s="52" t="n"/>
    </row>
    <row r="16">
      <c r="A16" s="55" t="inlineStr">
        <is>
          <t>Comments:</t>
        </is>
      </c>
      <c r="B16" s="52" t="n"/>
      <c r="C16" s="52" t="n"/>
      <c r="D16" s="52" t="n"/>
      <c r="E16" s="52" t="n"/>
    </row>
    <row r="18">
      <c r="A18" s="54" t="inlineStr">
        <is>
          <t>REVIEWED BY (INFORMATION SECURITY OFFICER)</t>
        </is>
      </c>
      <c r="B18" s="6" t="n"/>
      <c r="C18" s="6" t="n"/>
      <c r="D18" s="6" t="n"/>
      <c r="E18" s="6" t="n"/>
    </row>
    <row r="19">
      <c r="A19" s="55" t="inlineStr">
        <is>
          <t>Name:</t>
        </is>
      </c>
      <c r="B19" s="52" t="n"/>
      <c r="C19" s="52" t="n"/>
      <c r="D19" s="52" t="n"/>
      <c r="E19" s="52" t="n"/>
    </row>
    <row r="20">
      <c r="A20" s="55" t="inlineStr">
        <is>
          <t>Title:</t>
        </is>
      </c>
      <c r="B20" s="52" t="n"/>
      <c r="C20" s="52" t="n"/>
      <c r="D20" s="52" t="n"/>
      <c r="E20" s="52" t="n"/>
    </row>
    <row r="21">
      <c r="A21" s="55" t="inlineStr">
        <is>
          <t>Date:</t>
        </is>
      </c>
      <c r="B21" s="52" t="n"/>
      <c r="C21" s="52" t="n"/>
      <c r="D21" s="52" t="n"/>
      <c r="E21" s="52" t="n"/>
    </row>
    <row r="22">
      <c r="A22" s="55" t="inlineStr">
        <is>
          <t>Signature:</t>
        </is>
      </c>
      <c r="B22" s="52" t="n"/>
      <c r="C22" s="52" t="n"/>
      <c r="D22" s="52" t="n"/>
      <c r="E22" s="52" t="n"/>
    </row>
    <row r="23">
      <c r="A23" s="55" t="inlineStr">
        <is>
          <t>Comments:</t>
        </is>
      </c>
      <c r="B23" s="52" t="n"/>
      <c r="C23" s="52" t="n"/>
      <c r="D23" s="52" t="n"/>
      <c r="E23" s="52" t="n"/>
    </row>
    <row r="25">
      <c r="A25" s="56" t="inlineStr">
        <is>
          <t>APPROVED BY (CISO)</t>
        </is>
      </c>
      <c r="B25" s="6" t="n"/>
      <c r="C25" s="6" t="n"/>
      <c r="D25" s="6" t="n"/>
      <c r="E25" s="6" t="n"/>
    </row>
    <row r="26">
      <c r="A26" s="55" t="inlineStr">
        <is>
          <t>Name:</t>
        </is>
      </c>
      <c r="B26" s="52" t="n"/>
      <c r="C26" s="52" t="n"/>
      <c r="D26" s="52" t="n"/>
      <c r="E26" s="52" t="n"/>
    </row>
    <row r="27">
      <c r="A27" s="55" t="inlineStr">
        <is>
          <t>Title:</t>
        </is>
      </c>
      <c r="B27" s="52" t="n"/>
      <c r="C27" s="52" t="n"/>
      <c r="D27" s="52" t="n"/>
      <c r="E27" s="52" t="n"/>
    </row>
    <row r="28">
      <c r="A28" s="55" t="inlineStr">
        <is>
          <t>Date:</t>
        </is>
      </c>
      <c r="B28" s="52" t="n"/>
      <c r="C28" s="52" t="n"/>
      <c r="D28" s="52" t="n"/>
      <c r="E28" s="52" t="n"/>
    </row>
    <row r="29">
      <c r="A29" s="55" t="inlineStr">
        <is>
          <t>Signature:</t>
        </is>
      </c>
      <c r="B29" s="52" t="n"/>
      <c r="C29" s="52" t="n"/>
      <c r="D29" s="52" t="n"/>
      <c r="E29" s="52" t="n"/>
    </row>
    <row r="30">
      <c r="A30" s="55" t="inlineStr">
        <is>
          <t>Comments:</t>
        </is>
      </c>
      <c r="B30" s="52" t="n"/>
      <c r="C30" s="52" t="n"/>
      <c r="D30" s="52" t="n"/>
      <c r="E30" s="52" t="n"/>
    </row>
    <row r="32">
      <c r="A32" s="57" t="inlineStr">
        <is>
          <t>FINAL DECISION:</t>
        </is>
      </c>
      <c r="B32" s="52" t="n"/>
      <c r="C32" s="52" t="n"/>
      <c r="D32" s="52" t="n"/>
      <c r="E32" s="52" t="n"/>
    </row>
    <row r="35">
      <c r="A35" s="54" t="inlineStr">
        <is>
          <t>NEXT REVIEW DETAILS</t>
        </is>
      </c>
      <c r="B35" s="6" t="n"/>
      <c r="C35" s="6" t="n"/>
      <c r="D35" s="6" t="n"/>
      <c r="E35" s="6" t="n"/>
    </row>
    <row r="36">
      <c r="A36" s="55" t="inlineStr">
        <is>
          <t>Next Review Date:</t>
        </is>
      </c>
      <c r="B36" s="52" t="n"/>
      <c r="C36" s="52" t="n"/>
      <c r="D36" s="52" t="n"/>
      <c r="E36" s="52" t="n"/>
    </row>
    <row r="37">
      <c r="A37" s="55" t="inlineStr">
        <is>
          <t>Review Responsible:</t>
        </is>
      </c>
      <c r="B37" s="52" t="n"/>
      <c r="C37" s="52" t="n"/>
      <c r="D37" s="52" t="n"/>
      <c r="E37" s="52" t="n"/>
    </row>
    <row r="38">
      <c r="A38" s="55" t="inlineStr">
        <is>
          <t>Special Considerations:</t>
        </is>
      </c>
      <c r="B38" s="52" t="n"/>
      <c r="C38" s="52" t="n"/>
      <c r="D38" s="52" t="n"/>
      <c r="E38" s="52"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ISMS-IMP-A.8.23.4 — Monitoring &amp; Response Assessment</dc:title>
  <dc:description xmlns:dc="http://purl.org/dc/elements/1.1/">ISMS Implementation Workbook — ISMS-IMP-A.8.23.4</dc:description>
  <dc:subject xmlns:dc="http://purl.org/dc/elements/1.1/">ISO/IEC 27001:2022 — Control A.8.23: Web Filtering</dc:subject>
  <dcterms:created xmlns:dcterms="http://purl.org/dc/terms/" xmlns:xsi="http://www.w3.org/2001/XMLSchema-instance" xsi:type="dcterms:W3CDTF">2026-03-01T11:16:24Z</dcterms:created>
  <dcterms:modified xmlns:dcterms="http://purl.org/dc/terms/" xmlns:xsi="http://www.w3.org/2001/XMLSchema-instance" xsi:type="dcterms:W3CDTF">2026-03-01T11:16:25Z</dcterms:modified>
</cp:coreProperties>
</file>