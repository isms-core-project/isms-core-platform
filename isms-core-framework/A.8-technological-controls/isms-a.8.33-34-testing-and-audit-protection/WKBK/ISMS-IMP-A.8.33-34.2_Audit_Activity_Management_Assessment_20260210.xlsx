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dit Activity Register" sheetId="2" state="visible" r:id="rId2"/>
    <sheet xmlns:r="http://schemas.openxmlformats.org/officeDocument/2006/relationships" name="Audit Tool Authorisation" sheetId="3" state="visible" r:id="rId3"/>
    <sheet xmlns:r="http://schemas.openxmlformats.org/officeDocument/2006/relationships" name="Audit Access Tracking" sheetId="4" state="visible" r:id="rId4"/>
    <sheet xmlns:r="http://schemas.openxmlformats.org/officeDocument/2006/relationships" name="Disruption Mitigation Plans" sheetId="5" state="visible" r:id="rId5"/>
    <sheet xmlns:r="http://schemas.openxmlformats.org/officeDocument/2006/relationships" name="Audit Evidence Protection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4"/>
    </font>
    <font>
      <b val="1"/>
      <color rgb="00FFFFFF"/>
      <sz val="11"/>
    </font>
    <font>
      <b val="1"/>
      <color rgb="00FFFFFF"/>
    </font>
    <font>
      <b val="1"/>
      <color rgb="000000FF"/>
      <sz val="12"/>
    </font>
    <font>
      <i val="1"/>
    </font>
    <font>
      <color rgb="0080808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5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ISMS-IMP-A.8.33-34.2  -  Audit Activity Management Assessment
ISO/IEC 27001:2022 - Control A.8.33-34: Testing and Audit Protection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t="inlineStr">
        <is>
          <t>ISMS-IMP-A.8.33-34.2</t>
        </is>
      </c>
    </row>
    <row r="5">
      <c r="A5" s="3" t="inlineStr">
        <is>
          <t>Assessment Area:</t>
        </is>
      </c>
      <c r="B5" t="inlineStr">
        <is>
          <t>Audit Activity Management Assessment</t>
        </is>
      </c>
    </row>
    <row r="6">
      <c r="A6" s="3" t="inlineStr">
        <is>
          <t>Related Policy:</t>
        </is>
      </c>
      <c r="B6" t="inlineStr">
        <is>
          <t>ISMS-POL-A.8.33-34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/>
    </row>
    <row r="9">
      <c r="A9" s="3" t="inlineStr">
        <is>
          <t>Completed By:</t>
        </is>
      </c>
      <c r="B9" s="4" t="inlineStr"/>
    </row>
    <row r="10">
      <c r="A10" s="3" t="inlineStr">
        <is>
          <t>Organisation:</t>
        </is>
      </c>
      <c r="B10" s="4" t="inlineStr"/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Instructions</t>
        </is>
      </c>
    </row>
    <row r="14">
      <c r="A14" t="inlineStr">
        <is>
          <t>1. Complete all assessment sheets in order, starting with Audit Activity Register.</t>
        </is>
      </c>
    </row>
    <row r="15">
      <c r="A15" t="inlineStr">
        <is>
          <t>2. For each item, evaluate current state against ISO 27001:2022 A.8.33/A.8.34 requirements.</t>
        </is>
      </c>
    </row>
    <row r="16">
      <c r="A16" t="inlineStr">
        <is>
          <t>3. Record all supporting evidence in the Evidence Register sheet.</t>
        </is>
      </c>
    </row>
    <row r="17">
      <c r="A17" t="inlineStr">
        <is>
          <t>4. Use the Summary Dashboard to track overall compliance status.</t>
        </is>
      </c>
    </row>
    <row r="18">
      <c r="A18" t="inlineStr">
        <is>
          <t>5. All user-input cells are highlighted in yellow.</t>
        </is>
      </c>
    </row>
    <row r="19">
      <c r="A19" t="inlineStr">
        <is>
          <t>6. Submit the completed workbook for review and approval via the Approval Sign-Off sheet.</t>
        </is>
      </c>
    </row>
    <row r="20">
      <c r="A20" t="inlineStr">
        <is>
          <t>7. Retain this workbook as part of the ISMS evidence library.</t>
        </is>
      </c>
    </row>
    <row r="22">
      <c r="A22" s="2" t="inlineStr">
        <is>
          <t>ACCEPTABLE EVIDENCE (examples)</t>
        </is>
      </c>
    </row>
    <row r="23">
      <c r="A23" t="inlineStr">
        <is>
          <t>— Audit activity authorisation and planning records</t>
        </is>
      </c>
    </row>
    <row r="24">
      <c r="A24" t="inlineStr">
        <is>
          <t>— Audit tool authorisation and configuration documentation</t>
        </is>
      </c>
    </row>
    <row r="25">
      <c r="A25" t="inlineStr">
        <is>
          <t>— Auditor access control logs and NDA records</t>
        </is>
      </c>
    </row>
    <row r="26">
      <c r="A26" t="inlineStr">
        <is>
          <t>— Disruption mitigation plans and risk assessments</t>
        </is>
      </c>
    </row>
    <row r="27">
      <c r="A27" t="inlineStr">
        <is>
          <t>— Audit evidence chain of custody documentation</t>
        </is>
      </c>
    </row>
    <row r="28">
      <c r="A28" t="inlineStr">
        <is>
          <t>— Compliance verification reports and attestations</t>
        </is>
      </c>
    </row>
    <row r="30">
      <c r="A30" s="2" t="inlineStr">
        <is>
          <t>Status Legend</t>
        </is>
      </c>
    </row>
    <row r="31">
      <c r="A31" s="5" t="inlineStr">
        <is>
          <t>Symbol</t>
        </is>
      </c>
      <c r="B31" s="5" t="inlineStr">
        <is>
          <t>Status</t>
        </is>
      </c>
      <c r="C31" s="5" t="inlineStr">
        <is>
          <t>Description</t>
        </is>
      </c>
    </row>
    <row r="32">
      <c r="A32" s="6" t="inlineStr">
        <is>
          <t>✅</t>
        </is>
      </c>
      <c r="B32" s="6" t="inlineStr">
        <is>
          <t>Compliant</t>
        </is>
      </c>
      <c r="C32" s="6" t="inlineStr">
        <is>
          <t>Requirement fully met with evidence</t>
        </is>
      </c>
    </row>
    <row r="33">
      <c r="A33" s="6" t="inlineStr">
        <is>
          <t>⚠️</t>
        </is>
      </c>
      <c r="B33" s="6" t="inlineStr">
        <is>
          <t>Partial</t>
        </is>
      </c>
      <c r="C33" s="6" t="inlineStr">
        <is>
          <t>Partially implemented, gaps identified</t>
        </is>
      </c>
    </row>
    <row r="34">
      <c r="A34" s="6" t="inlineStr">
        <is>
          <t>❌</t>
        </is>
      </c>
      <c r="B34" s="6" t="inlineStr">
        <is>
          <t>Non-Compliant</t>
        </is>
      </c>
      <c r="C34" s="6" t="inlineStr">
        <is>
          <t>Requirement not met, remediation needed</t>
        </is>
      </c>
    </row>
    <row r="35">
      <c r="A35" s="6" t="inlineStr">
        <is>
          <t>—</t>
        </is>
      </c>
      <c r="B35" s="6" t="inlineStr">
        <is>
          <t>N/A</t>
        </is>
      </c>
      <c r="C35" s="6" t="inlineStr">
        <is>
          <t>Not applicable to this organisation</t>
        </is>
      </c>
    </row>
    <row r="37">
      <c r="A37" s="2" t="inlineStr">
        <is>
          <t>Risk Level Scale</t>
        </is>
      </c>
    </row>
    <row r="38">
      <c r="A38" t="inlineStr">
        <is>
          <t>High - Could cause significant disruption or data exposure (CISO + Business Owner approval)</t>
        </is>
      </c>
    </row>
    <row r="39">
      <c r="A39" t="inlineStr">
        <is>
          <t>Medium - Moderate risk to operations (IT Security Manager approval)</t>
        </is>
      </c>
    </row>
    <row r="40">
      <c r="A40" t="inlineStr">
        <is>
          <t>Low - Minimal risk, standard tools (Security Team approval)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50" customWidth="1" min="4" max="4"/>
    <col width="30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5" customWidth="1" min="13" max="13"/>
    <col width="12" customWidth="1" min="14" max="14"/>
    <col width="40" customWidth="1" min="15" max="15"/>
    <col width="30" customWidth="1" min="16" max="16"/>
    <col width="25" customWidth="1" min="17" max="17"/>
    <col width="12" customWidth="1" min="18" max="18"/>
    <col width="12" customWidth="1" min="19" max="19"/>
    <col width="35" customWidth="1" min="20" max="20"/>
    <col width="18" customWidth="1" min="21" max="21"/>
    <col width="40" customWidth="1" min="22" max="22"/>
  </cols>
  <sheetData>
    <row r="1" ht="35" customHeight="1">
      <c r="A1" s="7" t="inlineStr">
        <is>
          <t>AUDIT ACTIVITY REGISTER</t>
        </is>
      </c>
    </row>
    <row r="2">
      <c r="A2" t="inlineStr">
        <is>
          <t>Registry of all planned and completed audit activities</t>
        </is>
      </c>
    </row>
    <row r="4">
      <c r="A4" s="8" t="inlineStr">
        <is>
          <t>Audit_ID</t>
        </is>
      </c>
      <c r="B4" s="8" t="inlineStr">
        <is>
          <t>Audit_Name</t>
        </is>
      </c>
      <c r="C4" s="8" t="inlineStr">
        <is>
          <t>Audit_Type</t>
        </is>
      </c>
      <c r="D4" s="8" t="inlineStr">
        <is>
          <t>Audit_Scope</t>
        </is>
      </c>
      <c r="E4" s="8" t="inlineStr">
        <is>
          <t>Audit_Firm_Team</t>
        </is>
      </c>
      <c r="F4" s="8" t="inlineStr">
        <is>
          <t>Lead_Auditor</t>
        </is>
      </c>
      <c r="G4" s="8" t="inlineStr">
        <is>
          <t>Planned_Start</t>
        </is>
      </c>
      <c r="H4" s="8" t="inlineStr">
        <is>
          <t>Planned_End</t>
        </is>
      </c>
      <c r="I4" s="8" t="inlineStr">
        <is>
          <t>Actual_Start</t>
        </is>
      </c>
      <c r="J4" s="8" t="inlineStr">
        <is>
          <t>Actual_End</t>
        </is>
      </c>
      <c r="K4" s="8" t="inlineStr">
        <is>
          <t>Audit_Status</t>
        </is>
      </c>
      <c r="L4" s="8" t="inlineStr">
        <is>
          <t>Management_Approval</t>
        </is>
      </c>
      <c r="M4" s="8" t="inlineStr">
        <is>
          <t>Approver</t>
        </is>
      </c>
      <c r="N4" s="8" t="inlineStr">
        <is>
          <t>Approval_Date</t>
        </is>
      </c>
      <c r="O4" s="8" t="inlineStr">
        <is>
          <t>Systems_in_Scope</t>
        </is>
      </c>
      <c r="P4" s="8" t="inlineStr">
        <is>
          <t>Data_Access_Required</t>
        </is>
      </c>
      <c r="Q4" s="8" t="inlineStr">
        <is>
          <t>Testing_Type</t>
        </is>
      </c>
      <c r="R4" s="8" t="inlineStr">
        <is>
          <t>Findings_Count</t>
        </is>
      </c>
      <c r="S4" s="8" t="inlineStr">
        <is>
          <t>Critical_Findings</t>
        </is>
      </c>
      <c r="T4" s="8" t="inlineStr">
        <is>
          <t>Report_Location</t>
        </is>
      </c>
      <c r="U4" s="8" t="inlineStr">
        <is>
          <t>Follow_up_Status</t>
        </is>
      </c>
      <c r="V4" s="8" t="inlineStr">
        <is>
          <t>Notes</t>
        </is>
      </c>
    </row>
    <row r="5">
      <c r="A5" s="4" t="inlineStr">
        <is>
          <t>AUD-001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4" t="inlineStr">
        <is>
          <t>AUD-002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  <row r="7">
      <c r="A7" s="4" t="inlineStr">
        <is>
          <t>AUD-003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</row>
    <row r="8">
      <c r="A8" s="4" t="inlineStr">
        <is>
          <t>AUD-004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</row>
    <row r="9">
      <c r="A9" s="4" t="inlineStr">
        <is>
          <t>AUD-005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>
      <c r="A10" s="4" t="inlineStr">
        <is>
          <t>AUD-006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</row>
    <row r="11">
      <c r="A11" s="4" t="inlineStr">
        <is>
          <t>AUD-007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>
      <c r="A12" s="4" t="inlineStr">
        <is>
          <t>AUD-008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</row>
    <row r="13">
      <c r="A13" s="4" t="inlineStr">
        <is>
          <t>AUD-009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>
      <c r="A14" s="4" t="inlineStr">
        <is>
          <t>AUD-010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</row>
    <row r="15">
      <c r="A15" s="4" t="inlineStr">
        <is>
          <t>AUD-011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>
      <c r="A16" s="4" t="inlineStr">
        <is>
          <t>AUD-012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>
      <c r="A17" s="4" t="inlineStr">
        <is>
          <t>AUD-013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4" t="inlineStr">
        <is>
          <t>AUD-014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>
      <c r="A19" s="4" t="inlineStr">
        <is>
          <t>AUD-015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4" t="inlineStr">
        <is>
          <t>AUD-016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</row>
    <row r="21">
      <c r="A21" s="4" t="inlineStr">
        <is>
          <t>AUD-017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s="4" t="inlineStr">
        <is>
          <t>AUD-018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>
      <c r="A23" s="4" t="inlineStr">
        <is>
          <t>AUD-019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A24" s="4" t="inlineStr">
        <is>
          <t>AUD-020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>
      <c r="A25" s="4" t="inlineStr">
        <is>
          <t>AUD-021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4" t="inlineStr">
        <is>
          <t>AUD-022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A27" s="4" t="inlineStr">
        <is>
          <t>AUD-023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4" t="inlineStr">
        <is>
          <t>AUD-024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>
      <c r="A29" s="4" t="inlineStr">
        <is>
          <t>AUD-025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>
      <c r="A30" s="4" t="inlineStr">
        <is>
          <t>AUD-026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>
      <c r="A31" s="4" t="inlineStr">
        <is>
          <t>AUD-027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s="4" t="inlineStr">
        <is>
          <t>AUD-028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>
      <c r="A33" s="4" t="inlineStr">
        <is>
          <t>AUD-029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4" t="inlineStr">
        <is>
          <t>AUD-030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</row>
    <row r="35">
      <c r="A35" s="4" t="inlineStr">
        <is>
          <t>AUD-031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>
      <c r="A36" s="4" t="inlineStr">
        <is>
          <t>AUD-032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4" t="inlineStr">
        <is>
          <t>AUD-033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A38" s="4" t="inlineStr">
        <is>
          <t>AUD-034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>
      <c r="A39" s="4" t="inlineStr">
        <is>
          <t>AUD-035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A40" s="4" t="inlineStr">
        <is>
          <t>AUD-036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>
      <c r="A41" s="4" t="inlineStr">
        <is>
          <t>AUD-037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4" t="inlineStr">
        <is>
          <t>AUD-038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>
      <c r="A43" s="4" t="inlineStr">
        <is>
          <t>AUD-039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>
      <c r="A44" s="4" t="inlineStr">
        <is>
          <t>AUD-040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>
      <c r="A45" s="4" t="inlineStr">
        <is>
          <t>AUD-041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>
      <c r="A46" s="4" t="inlineStr">
        <is>
          <t>AUD-042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>
      <c r="A47" s="4" t="inlineStr">
        <is>
          <t>AUD-043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4" t="inlineStr">
        <is>
          <t>AUD-044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>
      <c r="A49" s="4" t="inlineStr">
        <is>
          <t>AUD-045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>
      <c r="A50" s="4" t="inlineStr">
        <is>
          <t>AUD-046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</row>
    <row r="51">
      <c r="A51" s="4" t="inlineStr">
        <is>
          <t>AUD-047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</row>
    <row r="52">
      <c r="A52" s="4" t="inlineStr">
        <is>
          <t>AUD-048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</row>
    <row r="53">
      <c r="A53" s="4" t="inlineStr">
        <is>
          <t>AUD-049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  <row r="54">
      <c r="A54" s="4" t="inlineStr">
        <is>
          <t>AUD-050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</row>
    <row r="57">
      <c r="A57" s="2" t="inlineStr">
        <is>
          <t>AUDIT STATISTICS</t>
        </is>
      </c>
    </row>
    <row r="59">
      <c r="A59" s="6" t="inlineStr">
        <is>
          <t>Total Audits</t>
        </is>
      </c>
      <c r="B59" s="6">
        <f>COUNTA(B5:B54)</f>
        <v/>
      </c>
    </row>
    <row r="60">
      <c r="A60" s="6" t="inlineStr">
        <is>
          <t>Planned Audits</t>
        </is>
      </c>
      <c r="B60" s="6">
        <f>COUNTIF(K5:K54,"Planned")</f>
        <v/>
      </c>
    </row>
    <row r="61">
      <c r="A61" s="6" t="inlineStr">
        <is>
          <t>In Progress</t>
        </is>
      </c>
      <c r="B61" s="6">
        <f>COUNTIF(K5:K54,"In Progress")</f>
        <v/>
      </c>
    </row>
    <row r="62">
      <c r="A62" s="6" t="inlineStr">
        <is>
          <t>Completed</t>
        </is>
      </c>
      <c r="B62" s="6">
        <f>COUNTIF(K5:K54,"Completed")</f>
        <v/>
      </c>
    </row>
    <row r="63">
      <c r="A63" s="6" t="inlineStr">
        <is>
          <t>Approved Audits</t>
        </is>
      </c>
      <c r="B63" s="6">
        <f>COUNTIF(L5:L54,"Approved")</f>
        <v/>
      </c>
    </row>
    <row r="64">
      <c r="A64" s="6" t="inlineStr">
        <is>
          <t>Pending Approval</t>
        </is>
      </c>
      <c r="B64" s="6">
        <f>COUNTIF(L5:L54,"Pending")</f>
        <v/>
      </c>
    </row>
    <row r="65">
      <c r="A65" s="6" t="inlineStr">
        <is>
          <t>Internal Audits</t>
        </is>
      </c>
      <c r="B65" s="6">
        <f>COUNTIF(C5:C54,"Internal")</f>
        <v/>
      </c>
    </row>
    <row r="66">
      <c r="A66" s="6" t="inlineStr">
        <is>
          <t>Penetration Tests</t>
        </is>
      </c>
      <c r="B66" s="6">
        <f>COUNTIF(C5:C54,"Penetration Test")</f>
        <v/>
      </c>
    </row>
    <row r="67">
      <c r="A67" s="6" t="inlineStr">
        <is>
          <t>Total Findings</t>
        </is>
      </c>
      <c r="B67" s="6">
        <f>SUM(R5:R54)</f>
        <v/>
      </c>
    </row>
    <row r="68">
      <c r="A68" s="6" t="inlineStr">
        <is>
          <t>Total Critical Findings</t>
        </is>
      </c>
      <c r="B68" s="6">
        <f>SUM(S5:S54)</f>
        <v/>
      </c>
    </row>
    <row r="69">
      <c r="A69" s="6" t="inlineStr">
        <is>
          <t>Open Follow-ups</t>
        </is>
      </c>
      <c r="B69" s="6">
        <f>COUNTIF(U5:U54,"Open")</f>
        <v/>
      </c>
    </row>
  </sheetData>
  <mergeCells count="1">
    <mergeCell ref="A1:V1"/>
  </mergeCells>
  <dataValidations count="5">
    <dataValidation sqref="C5:C54" showDropDown="0" showInputMessage="0" showErrorMessage="0" allowBlank="0" type="list">
      <formula1>"Internal,External-Financial,External-SOC2,Penetration Test,Vulnerability Assessment,Red Team,Regulatory,Compliance"</formula1>
    </dataValidation>
    <dataValidation sqref="K5:K54" showDropDown="0" showInputMessage="0" showErrorMessage="0" allowBlank="0" type="list">
      <formula1>"Planned,In Progress,Completed,Cancelled,On Hold"</formula1>
    </dataValidation>
    <dataValidation sqref="L5:L54" showDropDown="0" showInputMessage="0" showErrorMessage="0" allowBlank="0" type="list">
      <formula1>"Approved,Pending,Not Required"</formula1>
    </dataValidation>
    <dataValidation sqref="Q5:Q54" showDropDown="0" showInputMessage="0" showErrorMessage="0" allowBlank="0" type="list">
      <formula1>"Non-Invasive,Read-Only,Active Testing,Exploitation"</formula1>
    </dataValidation>
    <dataValidation sqref="U5:U54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25" customWidth="1" min="6" max="6"/>
    <col width="18" customWidth="1" min="7" max="7"/>
    <col width="12" customWidth="1" min="8" max="8"/>
    <col width="25" customWidth="1" min="9" max="9"/>
    <col width="15" customWidth="1" min="10" max="10"/>
    <col width="50" customWidth="1" min="11" max="11"/>
    <col width="40" customWidth="1" min="12" max="12"/>
    <col width="30" customWidth="1" min="13" max="13"/>
    <col width="35" customWidth="1" min="14" max="14"/>
    <col width="30" customWidth="1" min="15" max="15"/>
    <col width="12" customWidth="1" min="16" max="16"/>
    <col width="12" customWidth="1" min="17" max="17"/>
    <col width="12" customWidth="1" min="18" max="18"/>
    <col width="18" customWidth="1" min="19" max="19"/>
    <col width="12" customWidth="1" min="20" max="20"/>
    <col width="20" customWidth="1" min="21" max="21"/>
  </cols>
  <sheetData>
    <row r="1" ht="35" customHeight="1">
      <c r="A1" s="7" t="inlineStr">
        <is>
          <t>AUDIT TOOL AUTHORISATION</t>
        </is>
      </c>
    </row>
    <row r="2">
      <c r="A2" t="inlineStr">
        <is>
          <t>Registry of authorised audit and testing tools</t>
        </is>
      </c>
    </row>
    <row r="4">
      <c r="A4" s="8" t="inlineStr">
        <is>
          <t>Tool_ID</t>
        </is>
      </c>
      <c r="B4" s="8" t="inlineStr">
        <is>
          <t>Tool_Name</t>
        </is>
      </c>
      <c r="C4" s="8" t="inlineStr">
        <is>
          <t>Tool_Version</t>
        </is>
      </c>
      <c r="D4" s="8" t="inlineStr">
        <is>
          <t>Tool_Category</t>
        </is>
      </c>
      <c r="E4" s="8" t="inlineStr">
        <is>
          <t>Vendor_Source</t>
        </is>
      </c>
      <c r="F4" s="8" t="inlineStr">
        <is>
          <t>Tool_Owner</t>
        </is>
      </c>
      <c r="G4" s="8" t="inlineStr">
        <is>
          <t>Authorization_Status</t>
        </is>
      </c>
      <c r="H4" s="8" t="inlineStr">
        <is>
          <t>Authorization_Date</t>
        </is>
      </c>
      <c r="I4" s="8" t="inlineStr">
        <is>
          <t>Authorized_By</t>
        </is>
      </c>
      <c r="J4" s="8" t="inlineStr">
        <is>
          <t>Risk_Level</t>
        </is>
      </c>
      <c r="K4" s="8" t="inlineStr">
        <is>
          <t>Authorized_Use_Cases</t>
        </is>
      </c>
      <c r="L4" s="8" t="inlineStr">
        <is>
          <t>Restrictions</t>
        </is>
      </c>
      <c r="M4" s="8" t="inlineStr">
        <is>
          <t>Required_Approvals</t>
        </is>
      </c>
      <c r="N4" s="8" t="inlineStr">
        <is>
          <t>Storage_Location</t>
        </is>
      </c>
      <c r="O4" s="8" t="inlineStr">
        <is>
          <t>Access_Restricted_To</t>
        </is>
      </c>
      <c r="P4" s="8" t="inlineStr">
        <is>
          <t>Last_Security_Review</t>
        </is>
      </c>
      <c r="Q4" s="8" t="inlineStr">
        <is>
          <t>Next_Review_Due</t>
        </is>
      </c>
      <c r="R4" s="8" t="inlineStr">
        <is>
          <t>Usage_Logging_Required</t>
        </is>
      </c>
      <c r="S4" s="8" t="inlineStr">
        <is>
          <t>License_Status</t>
        </is>
      </c>
      <c r="T4" s="8" t="inlineStr">
        <is>
          <t>License_Expiry</t>
        </is>
      </c>
      <c r="U4" s="8" t="inlineStr">
        <is>
          <t>Evidence_Reference</t>
        </is>
      </c>
    </row>
    <row r="5">
      <c r="A5" s="4" t="inlineStr">
        <is>
          <t>TOOL-001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>
      <c r="A6" s="4" t="inlineStr">
        <is>
          <t>TOOL-002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>
      <c r="A7" s="4" t="inlineStr">
        <is>
          <t>TOOL-003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4" t="inlineStr">
        <is>
          <t>TOOL-004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4" t="inlineStr">
        <is>
          <t>TOOL-005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4" t="inlineStr">
        <is>
          <t>TOOL-006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4" t="inlineStr">
        <is>
          <t>TOOL-007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4" t="inlineStr">
        <is>
          <t>TOOL-008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>
      <c r="A13" s="4" t="inlineStr">
        <is>
          <t>TOOL-009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4" t="inlineStr">
        <is>
          <t>TOOL-010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4" t="inlineStr">
        <is>
          <t>TOOL-011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4" t="inlineStr">
        <is>
          <t>TOOL-012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4" t="inlineStr">
        <is>
          <t>TOOL-013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4" t="inlineStr">
        <is>
          <t>TOOL-014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4" t="inlineStr">
        <is>
          <t>TOOL-015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4" t="inlineStr">
        <is>
          <t>TOOL-016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>
      <c r="A21" s="4" t="inlineStr">
        <is>
          <t>TOOL-017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4" t="inlineStr">
        <is>
          <t>TOOL-018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4" t="inlineStr">
        <is>
          <t>TOOL-019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  <row r="24">
      <c r="A24" s="4" t="inlineStr">
        <is>
          <t>TOOL-020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>
      <c r="A25" s="4" t="inlineStr">
        <is>
          <t>TOOL-021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</row>
    <row r="26">
      <c r="A26" s="4" t="inlineStr">
        <is>
          <t>TOOL-022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</row>
    <row r="27">
      <c r="A27" s="4" t="inlineStr">
        <is>
          <t>TOOL-023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>
      <c r="A28" s="4" t="inlineStr">
        <is>
          <t>TOOL-024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</row>
    <row r="29">
      <c r="A29" s="4" t="inlineStr">
        <is>
          <t>TOOL-025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>
      <c r="A30" s="4" t="inlineStr">
        <is>
          <t>TOOL-026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</row>
    <row r="31">
      <c r="A31" s="4" t="inlineStr">
        <is>
          <t>TOOL-027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</row>
    <row r="32">
      <c r="A32" s="4" t="inlineStr">
        <is>
          <t>TOOL-028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</row>
    <row r="33">
      <c r="A33" s="4" t="inlineStr">
        <is>
          <t>TOOL-029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</row>
    <row r="34">
      <c r="A34" s="4" t="inlineStr">
        <is>
          <t>TOOL-030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</row>
    <row r="35">
      <c r="A35" s="4" t="inlineStr">
        <is>
          <t>TOOL-031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</row>
    <row r="36">
      <c r="A36" s="4" t="inlineStr">
        <is>
          <t>TOOL-032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</row>
    <row r="37">
      <c r="A37" s="4" t="inlineStr">
        <is>
          <t>TOOL-033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</row>
    <row r="38">
      <c r="A38" s="4" t="inlineStr">
        <is>
          <t>TOOL-034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</row>
    <row r="39">
      <c r="A39" s="4" t="inlineStr">
        <is>
          <t>TOOL-035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</row>
    <row r="40">
      <c r="A40" s="4" t="inlineStr">
        <is>
          <t>TOOL-036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</row>
    <row r="41">
      <c r="A41" s="4" t="inlineStr">
        <is>
          <t>TOOL-037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</row>
    <row r="42">
      <c r="A42" s="4" t="inlineStr">
        <is>
          <t>TOOL-038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</row>
    <row r="43">
      <c r="A43" s="4" t="inlineStr">
        <is>
          <t>TOOL-039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</row>
    <row r="44">
      <c r="A44" s="4" t="inlineStr">
        <is>
          <t>TOOL-040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</row>
    <row r="45">
      <c r="A45" s="4" t="inlineStr">
        <is>
          <t>TOOL-041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</row>
    <row r="46">
      <c r="A46" s="4" t="inlineStr">
        <is>
          <t>TOOL-042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</row>
    <row r="47">
      <c r="A47" s="4" t="inlineStr">
        <is>
          <t>TOOL-043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</row>
    <row r="48">
      <c r="A48" s="4" t="inlineStr">
        <is>
          <t>TOOL-044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</row>
    <row r="49">
      <c r="A49" s="4" t="inlineStr">
        <is>
          <t>TOOL-045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</row>
    <row r="50">
      <c r="A50" s="4" t="inlineStr">
        <is>
          <t>TOOL-046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</row>
    <row r="51">
      <c r="A51" s="4" t="inlineStr">
        <is>
          <t>TOOL-047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</row>
    <row r="52">
      <c r="A52" s="4" t="inlineStr">
        <is>
          <t>TOOL-048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</row>
    <row r="53">
      <c r="A53" s="4" t="inlineStr">
        <is>
          <t>TOOL-049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</row>
    <row r="54">
      <c r="A54" s="4" t="inlineStr">
        <is>
          <t>TOOL-050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</row>
    <row r="57">
      <c r="A57" s="2" t="inlineStr">
        <is>
          <t>TOOL RISK SUMMARY</t>
        </is>
      </c>
    </row>
    <row r="59">
      <c r="A59" s="6" t="inlineStr">
        <is>
          <t>Total Tools</t>
        </is>
      </c>
      <c r="B59" s="6">
        <f>COUNTA(B5:B54)</f>
        <v/>
      </c>
    </row>
    <row r="60">
      <c r="A60" s="6" t="inlineStr">
        <is>
          <t>Authorised Tools</t>
        </is>
      </c>
      <c r="B60" s="6">
        <f>COUNTIF(G5:G54,"Authorised")</f>
        <v/>
      </c>
    </row>
    <row r="61">
      <c r="A61" s="6" t="inlineStr">
        <is>
          <t>Pending Authorization</t>
        </is>
      </c>
      <c r="B61" s="6">
        <f>COUNTIF(G5:G54,"Pending")</f>
        <v/>
      </c>
    </row>
    <row r="62">
      <c r="A62" s="6" t="inlineStr">
        <is>
          <t>Unauthorised Tools</t>
        </is>
      </c>
      <c r="B62" s="6">
        <f>COUNTIF(G5:G54,"Unauthorised")</f>
        <v/>
      </c>
    </row>
    <row r="63">
      <c r="A63" s="6" t="inlineStr">
        <is>
          <t>Prohibited Tools</t>
        </is>
      </c>
      <c r="B63" s="6">
        <f>COUNTIF(G5:G54,"Prohibited")</f>
        <v/>
      </c>
    </row>
    <row r="64">
      <c r="A64" s="6" t="inlineStr">
        <is>
          <t>High Risk Tools</t>
        </is>
      </c>
      <c r="B64" s="6">
        <f>COUNTIF(J5:J54,"High")</f>
        <v/>
      </c>
    </row>
    <row r="65">
      <c r="A65" s="6" t="inlineStr">
        <is>
          <t>Medium Risk Tools</t>
        </is>
      </c>
      <c r="B65" s="6">
        <f>COUNTIF(J5:J54,"Medium")</f>
        <v/>
      </c>
    </row>
    <row r="66">
      <c r="A66" s="6" t="inlineStr">
        <is>
          <t>Low Risk Tools</t>
        </is>
      </c>
      <c r="B66" s="6">
        <f>COUNTIF(J5:J54,"Low")</f>
        <v/>
      </c>
    </row>
    <row r="67">
      <c r="A67" s="6" t="inlineStr">
        <is>
          <t>Expired Licenses</t>
        </is>
      </c>
      <c r="B67" s="6">
        <f>COUNTIF(S5:S54,"Expired")</f>
        <v/>
      </c>
    </row>
  </sheetData>
  <mergeCells count="1">
    <mergeCell ref="A1:U1"/>
  </mergeCells>
  <dataValidations count="5">
    <dataValidation sqref="D5:D54" showDropDown="0" showInputMessage="0" showErrorMessage="0" allowBlank="0" type="list">
      <formula1>"Vulnerability Scanner,Penetration Tool,Network Analyser,Web App Scanner,Forensic Tool,Credential Tester,Exploitation Framework,Other"</formula1>
    </dataValidation>
    <dataValidation sqref="G5:G54" showDropDown="0" showInputMessage="0" showErrorMessage="0" allowBlank="0" type="list">
      <formula1>"Authorised,Pending,Unauthorised,Prohibited"</formula1>
    </dataValidation>
    <dataValidation sqref="J5:J54" showDropDown="0" showInputMessage="0" showErrorMessage="0" allowBlank="0" type="list">
      <formula1>"High,Medium,Low"</formula1>
    </dataValidation>
    <dataValidation sqref="R5:R54" showDropDown="0" showInputMessage="0" showErrorMessage="0" allowBlank="0" type="list">
      <formula1>"Yes,No"</formula1>
    </dataValidation>
    <dataValidation sqref="S5:S54" showDropDown="0" showInputMessage="0" showErrorMessage="0" allowBlank="0" type="list">
      <formula1>"Valid,Expired,N/A"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20" customWidth="1" min="5" max="5"/>
    <col width="40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25" customWidth="1" min="14" max="14"/>
    <col width="12" customWidth="1" min="15" max="15"/>
    <col width="12" customWidth="1" min="16" max="16"/>
    <col width="12" customWidth="1" min="17" max="17"/>
    <col width="25" customWidth="1" min="18" max="18"/>
    <col width="12" customWidth="1" min="19" max="19"/>
    <col width="25" customWidth="1" min="20" max="20"/>
    <col width="12" customWidth="1" min="21" max="21"/>
    <col width="20" customWidth="1" min="22" max="22"/>
    <col width="40" customWidth="1" min="23" max="23"/>
  </cols>
  <sheetData>
    <row r="1" ht="35" customHeight="1">
      <c r="A1" s="7" t="inlineStr">
        <is>
          <t>AUDIT ACCESS TRACKING</t>
        </is>
      </c>
    </row>
    <row r="2">
      <c r="A2" t="inlineStr">
        <is>
          <t>Registry of auditor access to systems and data</t>
        </is>
      </c>
    </row>
    <row r="4">
      <c r="A4" s="8" t="inlineStr">
        <is>
          <t>Access_ID</t>
        </is>
      </c>
      <c r="B4" s="8" t="inlineStr">
        <is>
          <t>Auditor_Name</t>
        </is>
      </c>
      <c r="C4" s="8" t="inlineStr">
        <is>
          <t>Auditor_Organization</t>
        </is>
      </c>
      <c r="D4" s="8" t="inlineStr">
        <is>
          <t>Associated_Audit</t>
        </is>
      </c>
      <c r="E4" s="8" t="inlineStr">
        <is>
          <t>Access_Type</t>
        </is>
      </c>
      <c r="F4" s="8" t="inlineStr">
        <is>
          <t>Systems_Accessed</t>
        </is>
      </c>
      <c r="G4" s="8" t="inlineStr">
        <is>
          <t>Data_Classification_Accessed</t>
        </is>
      </c>
      <c r="H4" s="8" t="inlineStr">
        <is>
          <t>Access_Requested_Date</t>
        </is>
      </c>
      <c r="I4" s="8" t="inlineStr">
        <is>
          <t>Access_Start_Date</t>
        </is>
      </c>
      <c r="J4" s="8" t="inlineStr">
        <is>
          <t>Access_End_Date</t>
        </is>
      </c>
      <c r="K4" s="8" t="inlineStr">
        <is>
          <t>Actual_Revocation_Date</t>
        </is>
      </c>
      <c r="L4" s="8" t="inlineStr">
        <is>
          <t>Access_Status</t>
        </is>
      </c>
      <c r="M4" s="8" t="inlineStr">
        <is>
          <t>Approval_Status</t>
        </is>
      </c>
      <c r="N4" s="8" t="inlineStr">
        <is>
          <t>Approver</t>
        </is>
      </c>
      <c r="O4" s="8" t="inlineStr">
        <is>
          <t>Approval_Date</t>
        </is>
      </c>
      <c r="P4" s="8" t="inlineStr">
        <is>
          <t>Access_Logging_Enabled</t>
        </is>
      </c>
      <c r="Q4" s="8" t="inlineStr">
        <is>
          <t>NDA_Signed</t>
        </is>
      </c>
      <c r="R4" s="8" t="inlineStr">
        <is>
          <t>NDA_Reference</t>
        </is>
      </c>
      <c r="S4" s="8" t="inlineStr">
        <is>
          <t>Supervision_Required</t>
        </is>
      </c>
      <c r="T4" s="8" t="inlineStr">
        <is>
          <t>Supervisor</t>
        </is>
      </c>
      <c r="U4" s="8" t="inlineStr">
        <is>
          <t>Multi_Factor_Auth_Required</t>
        </is>
      </c>
      <c r="V4" s="8" t="inlineStr">
        <is>
          <t>Revocation_Confirmation</t>
        </is>
      </c>
      <c r="W4" s="8" t="inlineStr">
        <is>
          <t>Notes</t>
        </is>
      </c>
    </row>
    <row r="5">
      <c r="A5" s="4" t="inlineStr">
        <is>
          <t>ACC-001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inlineStr">
        <is>
          <t>ACC-002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inlineStr">
        <is>
          <t>ACC-003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inlineStr">
        <is>
          <t>ACC-004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inlineStr">
        <is>
          <t>ACC-005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inlineStr">
        <is>
          <t>ACC-006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inlineStr">
        <is>
          <t>ACC-007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inlineStr">
        <is>
          <t>ACC-008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inlineStr">
        <is>
          <t>ACC-009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inlineStr">
        <is>
          <t>ACC-010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inlineStr">
        <is>
          <t>ACC-011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inlineStr">
        <is>
          <t>ACC-012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inlineStr">
        <is>
          <t>ACC-013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inlineStr">
        <is>
          <t>ACC-014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inlineStr">
        <is>
          <t>ACC-015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inlineStr">
        <is>
          <t>ACC-016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inlineStr">
        <is>
          <t>ACC-017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inlineStr">
        <is>
          <t>ACC-018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inlineStr">
        <is>
          <t>ACC-019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inlineStr">
        <is>
          <t>ACC-020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inlineStr">
        <is>
          <t>ACC-021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inlineStr">
        <is>
          <t>ACC-022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inlineStr">
        <is>
          <t>ACC-023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inlineStr">
        <is>
          <t>ACC-024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inlineStr">
        <is>
          <t>ACC-025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4" t="inlineStr">
        <is>
          <t>ACC-026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>
      <c r="A31" s="4" t="inlineStr">
        <is>
          <t>ACC-027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>
      <c r="A32" s="4" t="inlineStr">
        <is>
          <t>ACC-028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>
      <c r="A33" s="4" t="inlineStr">
        <is>
          <t>ACC-029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inlineStr">
        <is>
          <t>ACC-030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inlineStr">
        <is>
          <t>ACC-031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inlineStr">
        <is>
          <t>ACC-032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inlineStr">
        <is>
          <t>ACC-033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inlineStr">
        <is>
          <t>ACC-034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inlineStr">
        <is>
          <t>ACC-035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inlineStr">
        <is>
          <t>ACC-036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inlineStr">
        <is>
          <t>ACC-037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inlineStr">
        <is>
          <t>ACC-038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inlineStr">
        <is>
          <t>ACC-039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inlineStr">
        <is>
          <t>ACC-040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inlineStr">
        <is>
          <t>ACC-041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inlineStr">
        <is>
          <t>ACC-042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inlineStr">
        <is>
          <t>ACC-043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inlineStr">
        <is>
          <t>ACC-044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inlineStr">
        <is>
          <t>ACC-045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inlineStr">
        <is>
          <t>ACC-046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inlineStr">
        <is>
          <t>ACC-047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inlineStr">
        <is>
          <t>ACC-048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inlineStr">
        <is>
          <t>ACC-049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inlineStr">
        <is>
          <t>ACC-050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4" t="inlineStr">
        <is>
          <t>ACC-051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4" t="inlineStr">
        <is>
          <t>ACC-052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4" t="inlineStr">
        <is>
          <t>ACC-053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4" t="inlineStr">
        <is>
          <t>ACC-054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4" t="inlineStr">
        <is>
          <t>ACC-055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</row>
    <row r="60">
      <c r="A60" s="4" t="inlineStr">
        <is>
          <t>ACC-056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</row>
    <row r="61">
      <c r="A61" s="4" t="inlineStr">
        <is>
          <t>ACC-057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</row>
    <row r="62">
      <c r="A62" s="4" t="inlineStr">
        <is>
          <t>ACC-058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4" t="inlineStr">
        <is>
          <t>ACC-059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4" t="inlineStr">
        <is>
          <t>ACC-060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4" t="inlineStr">
        <is>
          <t>ACC-061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4" t="inlineStr">
        <is>
          <t>ACC-062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4" t="inlineStr">
        <is>
          <t>ACC-063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4" t="inlineStr">
        <is>
          <t>ACC-064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4" t="inlineStr">
        <is>
          <t>ACC-065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4" t="inlineStr">
        <is>
          <t>ACC-066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4" t="inlineStr">
        <is>
          <t>ACC-067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4" t="inlineStr">
        <is>
          <t>ACC-068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4" t="inlineStr">
        <is>
          <t>ACC-069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4" t="inlineStr">
        <is>
          <t>ACC-070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4" t="inlineStr">
        <is>
          <t>ACC-071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4" t="inlineStr">
        <is>
          <t>ACC-072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4" t="inlineStr">
        <is>
          <t>ACC-073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4" t="inlineStr">
        <is>
          <t>ACC-074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4" t="inlineStr">
        <is>
          <t>ACC-075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  <row r="80">
      <c r="A80" s="4" t="inlineStr">
        <is>
          <t>ACC-076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</row>
    <row r="81">
      <c r="A81" s="4" t="inlineStr">
        <is>
          <t>ACC-077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</row>
    <row r="82">
      <c r="A82" s="4" t="inlineStr">
        <is>
          <t>ACC-078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</row>
    <row r="83">
      <c r="A83" s="4" t="inlineStr">
        <is>
          <t>ACC-079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</row>
    <row r="84">
      <c r="A84" s="4" t="inlineStr">
        <is>
          <t>ACC-080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</row>
    <row r="85">
      <c r="A85" s="4" t="inlineStr">
        <is>
          <t>ACC-081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</row>
    <row r="86">
      <c r="A86" s="4" t="inlineStr">
        <is>
          <t>ACC-082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</row>
    <row r="87">
      <c r="A87" s="4" t="inlineStr">
        <is>
          <t>ACC-083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</row>
    <row r="88">
      <c r="A88" s="4" t="inlineStr">
        <is>
          <t>ACC-084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</row>
    <row r="89">
      <c r="A89" s="4" t="inlineStr">
        <is>
          <t>ACC-085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</row>
    <row r="90">
      <c r="A90" s="4" t="inlineStr">
        <is>
          <t>ACC-086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</row>
    <row r="91">
      <c r="A91" s="4" t="inlineStr">
        <is>
          <t>ACC-087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</row>
    <row r="92">
      <c r="A92" s="4" t="inlineStr">
        <is>
          <t>ACC-088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</row>
    <row r="93">
      <c r="A93" s="4" t="inlineStr">
        <is>
          <t>ACC-089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</row>
    <row r="94">
      <c r="A94" s="4" t="inlineStr">
        <is>
          <t>ACC-090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</row>
    <row r="95">
      <c r="A95" s="4" t="inlineStr">
        <is>
          <t>ACC-091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</row>
    <row r="96">
      <c r="A96" s="4" t="inlineStr">
        <is>
          <t>ACC-092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</row>
    <row r="97">
      <c r="A97" s="4" t="inlineStr">
        <is>
          <t>ACC-093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</row>
    <row r="98">
      <c r="A98" s="4" t="inlineStr">
        <is>
          <t>ACC-094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</row>
    <row r="99">
      <c r="A99" s="4" t="inlineStr">
        <is>
          <t>ACC-095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</row>
    <row r="100">
      <c r="A100" s="4" t="inlineStr">
        <is>
          <t>ACC-096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</row>
    <row r="101">
      <c r="A101" s="4" t="inlineStr">
        <is>
          <t>ACC-097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</row>
    <row r="102">
      <c r="A102" s="4" t="inlineStr">
        <is>
          <t>ACC-098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</row>
    <row r="103">
      <c r="A103" s="4" t="inlineStr">
        <is>
          <t>ACC-099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</row>
    <row r="104">
      <c r="A104" s="4" t="inlineStr">
        <is>
          <t>ACC-100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</row>
    <row r="107">
      <c r="A107" s="2" t="inlineStr">
        <is>
          <t>ACCESS STATISTICS</t>
        </is>
      </c>
    </row>
    <row r="109">
      <c r="A109" s="6" t="inlineStr">
        <is>
          <t>Total Access Grants</t>
        </is>
      </c>
      <c r="B109" s="6">
        <f>COUNTA(B5:B104)</f>
        <v/>
      </c>
    </row>
    <row r="110">
      <c r="A110" s="6" t="inlineStr">
        <is>
          <t>Active Access</t>
        </is>
      </c>
      <c r="B110" s="6">
        <f>COUNTIF(L5:L104,"Active")</f>
        <v/>
      </c>
    </row>
    <row r="111">
      <c r="A111" s="6" t="inlineStr">
        <is>
          <t>Revoked Access</t>
        </is>
      </c>
      <c r="B111" s="6">
        <f>COUNTIF(L5:L104,"Revoked")</f>
        <v/>
      </c>
    </row>
    <row r="112">
      <c r="A112" s="6" t="inlineStr">
        <is>
          <t>Expired Access</t>
        </is>
      </c>
      <c r="B112" s="6">
        <f>COUNTIF(L5:L104,"Expired")</f>
        <v/>
      </c>
    </row>
    <row r="113">
      <c r="A113" s="6" t="inlineStr">
        <is>
          <t>Approved Access</t>
        </is>
      </c>
      <c r="B113" s="6">
        <f>COUNTIF(M5:M104,"Approved")</f>
        <v/>
      </c>
    </row>
    <row r="114">
      <c r="A114" s="6" t="inlineStr">
        <is>
          <t>Pending Approval</t>
        </is>
      </c>
      <c r="B114" s="6">
        <f>COUNTIF(M5:M104,"Pending")</f>
        <v/>
      </c>
    </row>
    <row r="115">
      <c r="A115" s="6" t="inlineStr">
        <is>
          <t>Read-Only Access</t>
        </is>
      </c>
      <c r="B115" s="6">
        <f>COUNTIF(E5:E104,"Read-Only")</f>
        <v/>
      </c>
    </row>
    <row r="116">
      <c r="A116" s="6" t="inlineStr">
        <is>
          <t>Admin Access</t>
        </is>
      </c>
      <c r="B116" s="6">
        <f>COUNTIF(E5:E104,"Admin")</f>
        <v/>
      </c>
    </row>
    <row r="117">
      <c r="A117" s="6" t="inlineStr">
        <is>
          <t>Restricted Data Access</t>
        </is>
      </c>
      <c r="B117" s="6">
        <f>COUNTIF(G5:G104,"Restricted")</f>
        <v/>
      </c>
    </row>
    <row r="118">
      <c r="A118" s="6" t="inlineStr">
        <is>
          <t>NDA Coverage (Yes)</t>
        </is>
      </c>
      <c r="B118" s="6">
        <f>COUNTIF(Q5:Q104,"Yes")</f>
        <v/>
      </c>
    </row>
    <row r="119">
      <c r="A119" s="6" t="inlineStr">
        <is>
          <t>Access Logging (Yes)</t>
        </is>
      </c>
      <c r="B119" s="6">
        <f>COUNTIF(P5:P104,"Yes")</f>
        <v/>
      </c>
    </row>
    <row r="120">
      <c r="A120" s="6" t="inlineStr">
        <is>
          <t>MFA Required (Yes)</t>
        </is>
      </c>
      <c r="B120" s="6">
        <f>COUNTIF(U5:U104,"Yes")</f>
        <v/>
      </c>
    </row>
  </sheetData>
  <mergeCells count="1">
    <mergeCell ref="A1:W1"/>
  </mergeCells>
  <dataValidations count="6">
    <dataValidation sqref="E5:E104" showDropDown="0" showInputMessage="0" showErrorMessage="0" allowBlank="0" type="list">
      <formula1>"Read-Only,Read-Write,Admin,Physical,Remote-VPN"</formula1>
    </dataValidation>
    <dataValidation sqref="G5:G104" showDropDown="0" showInputMessage="0" showErrorMessage="0" allowBlank="0" type="list">
      <formula1>"Public,Internal,Confidential,Restricted"</formula1>
    </dataValidation>
    <dataValidation sqref="L5:L104" showDropDown="0" showInputMessage="0" showErrorMessage="0" allowBlank="0" type="list">
      <formula1>"Active,Revoked,Expired"</formula1>
    </dataValidation>
    <dataValidation sqref="M5:M104" showDropDown="0" showInputMessage="0" showErrorMessage="0" allowBlank="0" type="list">
      <formula1>"Approved,Pending,Denied"</formula1>
    </dataValidation>
    <dataValidation sqref="P5:P104" showDropDown="0" showInputMessage="0" showErrorMessage="0" allowBlank="0" type="list">
      <formula1>"Yes,Partial,No"</formula1>
    </dataValidation>
    <dataValidation sqref="Q5:Q104 S5:S104 U5:U10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30" customWidth="1" min="6" max="6"/>
    <col width="35" customWidth="1" min="7" max="7"/>
    <col width="50" customWidth="1" min="8" max="8"/>
    <col width="25" customWidth="1" min="9" max="9"/>
    <col width="15" customWidth="1" min="10" max="10"/>
    <col width="12" customWidth="1" min="11" max="11"/>
    <col width="15" customWidth="1" min="12" max="12"/>
    <col width="15" customWidth="1" min="13" max="13"/>
    <col width="35" customWidth="1" min="14" max="14"/>
    <col width="12" customWidth="1" min="15" max="15"/>
    <col width="25" customWidth="1" min="16" max="16"/>
    <col width="20" customWidth="1" min="17" max="17"/>
    <col width="25" customWidth="1" min="18" max="18"/>
    <col width="30" customWidth="1" min="19" max="19"/>
    <col width="35" customWidth="1" min="20" max="20"/>
    <col width="12" customWidth="1" min="21" max="21"/>
    <col width="12" customWidth="1" min="22" max="22"/>
    <col width="20" customWidth="1" min="23" max="23"/>
  </cols>
  <sheetData>
    <row r="1" ht="35" customHeight="1">
      <c r="A1" s="7" t="inlineStr">
        <is>
          <t>DISRUPTION MITIGATION PLANS</t>
        </is>
      </c>
    </row>
    <row r="2">
      <c r="A2" t="inlineStr">
        <is>
          <t>Protection measures for production systems during audit testing</t>
        </is>
      </c>
    </row>
    <row r="4">
      <c r="A4" s="8" t="inlineStr">
        <is>
          <t>System_ID</t>
        </is>
      </c>
      <c r="B4" s="8" t="inlineStr">
        <is>
          <t>System_Name</t>
        </is>
      </c>
      <c r="C4" s="8" t="inlineStr">
        <is>
          <t>System_Criticality</t>
        </is>
      </c>
      <c r="D4" s="8" t="inlineStr">
        <is>
          <t>Business_Owner</t>
        </is>
      </c>
      <c r="E4" s="8" t="inlineStr">
        <is>
          <t>Technical_Owner</t>
        </is>
      </c>
      <c r="F4" s="8" t="inlineStr">
        <is>
          <t>Associated_Audits</t>
        </is>
      </c>
      <c r="G4" s="8" t="inlineStr">
        <is>
          <t>Primary_Mitigation_Strategy</t>
        </is>
      </c>
      <c r="H4" s="8" t="inlineStr">
        <is>
          <t>Testing_Restrictions</t>
        </is>
      </c>
      <c r="I4" s="8" t="inlineStr">
        <is>
          <t>Permitted_Testing_Window</t>
        </is>
      </c>
      <c r="J4" s="8" t="inlineStr">
        <is>
          <t>Maximum_Test_Duration</t>
        </is>
      </c>
      <c r="K4" s="8" t="inlineStr">
        <is>
          <t>Backup_Required_Before_Test</t>
        </is>
      </c>
      <c r="L4" s="8" t="inlineStr">
        <is>
          <t>Recovery_Point_Objective</t>
        </is>
      </c>
      <c r="M4" s="8" t="inlineStr">
        <is>
          <t>Recovery_Time_Objective</t>
        </is>
      </c>
      <c r="N4" s="8" t="inlineStr">
        <is>
          <t>Rollback_Procedure_Location</t>
        </is>
      </c>
      <c r="O4" s="8" t="inlineStr">
        <is>
          <t>Rollback_Last_Tested</t>
        </is>
      </c>
      <c r="P4" s="8" t="inlineStr">
        <is>
          <t>Escalation_Contact</t>
        </is>
      </c>
      <c r="Q4" s="8" t="inlineStr">
        <is>
          <t>Escalation_Phone</t>
        </is>
      </c>
      <c r="R4" s="8" t="inlineStr">
        <is>
          <t>Secondary_Contact</t>
        </is>
      </c>
      <c r="S4" s="8" t="inlineStr">
        <is>
          <t>Monitoring_Enhancement</t>
        </is>
      </c>
      <c r="T4" s="8" t="inlineStr">
        <is>
          <t>Incident_Response_Plan</t>
        </is>
      </c>
      <c r="U4" s="8" t="inlineStr">
        <is>
          <t>Last_Mitigation_Review</t>
        </is>
      </c>
      <c r="V4" s="8" t="inlineStr">
        <is>
          <t>Review_Due_Date</t>
        </is>
      </c>
      <c r="W4" s="8" t="inlineStr">
        <is>
          <t>Evidence_Reference</t>
        </is>
      </c>
    </row>
    <row r="5">
      <c r="A5" s="4" t="inlineStr">
        <is>
          <t>SYS-001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inlineStr">
        <is>
          <t>SYS-002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inlineStr">
        <is>
          <t>SYS-003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inlineStr">
        <is>
          <t>SYS-004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inlineStr">
        <is>
          <t>SYS-005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inlineStr">
        <is>
          <t>SYS-006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inlineStr">
        <is>
          <t>SYS-007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inlineStr">
        <is>
          <t>SYS-008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inlineStr">
        <is>
          <t>SYS-009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inlineStr">
        <is>
          <t>SYS-010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inlineStr">
        <is>
          <t>SYS-011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inlineStr">
        <is>
          <t>SYS-012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inlineStr">
        <is>
          <t>SYS-013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inlineStr">
        <is>
          <t>SYS-014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inlineStr">
        <is>
          <t>SYS-015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inlineStr">
        <is>
          <t>SYS-016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inlineStr">
        <is>
          <t>SYS-017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inlineStr">
        <is>
          <t>SYS-018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inlineStr">
        <is>
          <t>SYS-019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inlineStr">
        <is>
          <t>SYS-020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inlineStr">
        <is>
          <t>SYS-021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inlineStr">
        <is>
          <t>SYS-022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inlineStr">
        <is>
          <t>SYS-023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inlineStr">
        <is>
          <t>SYS-024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inlineStr">
        <is>
          <t>SYS-025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4" t="inlineStr">
        <is>
          <t>SYS-026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>
      <c r="A31" s="4" t="inlineStr">
        <is>
          <t>SYS-027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>
      <c r="A32" s="4" t="inlineStr">
        <is>
          <t>SYS-028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>
      <c r="A33" s="4" t="inlineStr">
        <is>
          <t>SYS-029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inlineStr">
        <is>
          <t>SYS-030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inlineStr">
        <is>
          <t>SYS-031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inlineStr">
        <is>
          <t>SYS-032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inlineStr">
        <is>
          <t>SYS-033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inlineStr">
        <is>
          <t>SYS-034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inlineStr">
        <is>
          <t>SYS-035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inlineStr">
        <is>
          <t>SYS-036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inlineStr">
        <is>
          <t>SYS-037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inlineStr">
        <is>
          <t>SYS-038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inlineStr">
        <is>
          <t>SYS-039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inlineStr">
        <is>
          <t>SYS-040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inlineStr">
        <is>
          <t>SYS-041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inlineStr">
        <is>
          <t>SYS-042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inlineStr">
        <is>
          <t>SYS-043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inlineStr">
        <is>
          <t>SYS-044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inlineStr">
        <is>
          <t>SYS-045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inlineStr">
        <is>
          <t>SYS-046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inlineStr">
        <is>
          <t>SYS-047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inlineStr">
        <is>
          <t>SYS-048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inlineStr">
        <is>
          <t>SYS-049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inlineStr">
        <is>
          <t>SYS-050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7">
      <c r="A57" s="2" t="inlineStr">
        <is>
          <t>MITIGATION STRATEGY SUMMARY</t>
        </is>
      </c>
    </row>
    <row r="59">
      <c r="A59" s="6" t="inlineStr">
        <is>
          <t>Staging First</t>
        </is>
      </c>
      <c r="B59" s="6">
        <f>COUNTIF(G5:G54,"Staging First")</f>
        <v/>
      </c>
    </row>
    <row r="60">
      <c r="A60" s="6" t="inlineStr">
        <is>
          <t>Off-Hours</t>
        </is>
      </c>
      <c r="B60" s="6">
        <f>COUNTIF(G5:G54,"Off-Hours")</f>
        <v/>
      </c>
    </row>
    <row r="61">
      <c r="A61" s="6" t="inlineStr">
        <is>
          <t>Rate Limiting</t>
        </is>
      </c>
      <c r="B61" s="6">
        <f>COUNTIF(G5:G54,"Rate Limiting")</f>
        <v/>
      </c>
    </row>
    <row r="62">
      <c r="A62" s="6" t="inlineStr">
        <is>
          <t>Scope Exclusion</t>
        </is>
      </c>
      <c r="B62" s="6">
        <f>COUNTIF(G5:G54,"Scope Exclusion")</f>
        <v/>
      </c>
    </row>
    <row r="63">
      <c r="A63" s="6" t="inlineStr">
        <is>
          <t>Enhanced Monitoring</t>
        </is>
      </c>
      <c r="B63" s="6">
        <f>COUNTIF(G5:G54,"Enhanced Monitoring")</f>
        <v/>
      </c>
    </row>
    <row r="64">
      <c r="A64" s="6" t="inlineStr">
        <is>
          <t>Standby Recovery</t>
        </is>
      </c>
      <c r="B64" s="6">
        <f>COUNTIF(G5:G54,"Standby Recovery")</f>
        <v/>
      </c>
    </row>
    <row r="65">
      <c r="A65" s="6" t="inlineStr">
        <is>
          <t>Read-Only Only</t>
        </is>
      </c>
      <c r="B65" s="6">
        <f>COUNTIF(G5:G54,"Read-Only Only")</f>
        <v/>
      </c>
    </row>
    <row r="66">
      <c r="A66" s="6" t="inlineStr">
        <is>
          <t>Multi-Strategy</t>
        </is>
      </c>
      <c r="B66" s="6">
        <f>COUNTIF(G5:G54,"Multi-Strategy")</f>
        <v/>
      </c>
    </row>
    <row r="68">
      <c r="A68" s="2" t="inlineStr">
        <is>
          <t>SYSTEM COVERAGE STATISTICS</t>
        </is>
      </c>
    </row>
    <row r="70">
      <c r="A70" s="6" t="inlineStr">
        <is>
          <t>Total Systems</t>
        </is>
      </c>
      <c r="B70" s="6">
        <f>COUNTA(B5:B54)</f>
        <v/>
      </c>
    </row>
    <row r="71">
      <c r="A71" s="6" t="inlineStr">
        <is>
          <t>Critical Systems</t>
        </is>
      </c>
      <c r="B71" s="6">
        <f>COUNTIF(C5:C54,"Critical")</f>
        <v/>
      </c>
    </row>
    <row r="72">
      <c r="A72" s="6" t="inlineStr">
        <is>
          <t>High Criticality</t>
        </is>
      </c>
      <c r="B72" s="6">
        <f>COUNTIF(C5:C54,"High")</f>
        <v/>
      </c>
    </row>
    <row r="73">
      <c r="A73" s="6" t="inlineStr">
        <is>
          <t>Medium Criticality</t>
        </is>
      </c>
      <c r="B73" s="6">
        <f>COUNTIF(C5:C54,"Medium")</f>
        <v/>
      </c>
    </row>
    <row r="74">
      <c r="A74" s="6" t="inlineStr">
        <is>
          <t>Low Criticality</t>
        </is>
      </c>
      <c r="B74" s="6">
        <f>COUNTIF(C5:C54,"Low")</f>
        <v/>
      </c>
    </row>
    <row r="75">
      <c r="A75" s="6" t="inlineStr">
        <is>
          <t>With Rollback Procedure</t>
        </is>
      </c>
      <c r="B75" s="6">
        <f>COUNTA(N5:N54)</f>
        <v/>
      </c>
    </row>
    <row r="76">
      <c r="A76" s="6" t="inlineStr">
        <is>
          <t>Backup Required</t>
        </is>
      </c>
      <c r="B76" s="6">
        <f>COUNTIF(K5:K54,"Yes")</f>
        <v/>
      </c>
    </row>
  </sheetData>
  <mergeCells count="1">
    <mergeCell ref="A1:W1"/>
  </mergeCells>
  <dataValidations count="3">
    <dataValidation sqref="C5:C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"Staging First,Off-Hours,Rate Limiting,Scope Exclusion,Enhanced Monitoring,Standby Recovery,Read-Only Only,Multi-Strategy"</formula1>
    </dataValidation>
    <dataValidation sqref="K5:K54" showDropDown="0" showInputMessage="0" showErrorMessage="0" allowBlank="0" type="list">
      <formula1>"Yes,No,Already Scheduled"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8" customWidth="1" min="4" max="4"/>
    <col width="40" customWidth="1" min="5" max="5"/>
    <col width="35" customWidth="1" min="6" max="6"/>
    <col width="35" customWidth="1" min="7" max="7"/>
    <col width="18" customWidth="1" min="8" max="8"/>
    <col width="18" customWidth="1" min="9" max="9"/>
    <col width="25" customWidth="1" min="10" max="10"/>
    <col width="40" customWidth="1" min="11" max="11"/>
    <col width="18" customWidth="1" min="12" max="12"/>
    <col width="25" customWidth="1" min="13" max="13"/>
    <col width="25" customWidth="1" min="14" max="14"/>
    <col width="25" customWidth="1" min="15" max="15"/>
    <col width="12" customWidth="1" min="16" max="16"/>
    <col width="40" customWidth="1" min="17" max="17"/>
    <col width="12" customWidth="1" min="18" max="18"/>
    <col width="25" customWidth="1" min="19" max="19"/>
    <col width="25" customWidth="1" min="20" max="20"/>
    <col width="12" customWidth="1" min="21" max="21"/>
    <col width="25" customWidth="1" min="22" max="22"/>
    <col width="20" customWidth="1" min="23" max="23"/>
  </cols>
  <sheetData>
    <row r="1" ht="35" customHeight="1">
      <c r="A1" s="7" t="inlineStr">
        <is>
          <t>AUDIT EVIDENCE PROTECTION</t>
        </is>
      </c>
    </row>
    <row r="2">
      <c r="A2" t="inlineStr">
        <is>
          <t>Secure handling and retention of audit evidence</t>
        </is>
      </c>
    </row>
    <row r="4">
      <c r="A4" s="8" t="inlineStr">
        <is>
          <t>Evidence_Category_ID</t>
        </is>
      </c>
      <c r="B4" s="8" t="inlineStr">
        <is>
          <t>Evidence_Category</t>
        </is>
      </c>
      <c r="C4" s="8" t="inlineStr">
        <is>
          <t>Evidence_Description</t>
        </is>
      </c>
      <c r="D4" s="8" t="inlineStr">
        <is>
          <t>Sensitivity_Classification</t>
        </is>
      </c>
      <c r="E4" s="8" t="inlineStr">
        <is>
          <t>Example_Documents</t>
        </is>
      </c>
      <c r="F4" s="8" t="inlineStr">
        <is>
          <t>Primary_Storage_Location</t>
        </is>
      </c>
      <c r="G4" s="8" t="inlineStr">
        <is>
          <t>Backup_Location</t>
        </is>
      </c>
      <c r="H4" s="8" t="inlineStr">
        <is>
          <t>Encryption_at_Rest</t>
        </is>
      </c>
      <c r="I4" s="8" t="inlineStr">
        <is>
          <t>Encryption_in_Transit</t>
        </is>
      </c>
      <c r="J4" s="8" t="inlineStr">
        <is>
          <t>Access_Control_Type</t>
        </is>
      </c>
      <c r="K4" s="8" t="inlineStr">
        <is>
          <t>Authorized_Accessors</t>
        </is>
      </c>
      <c r="L4" s="8" t="inlineStr">
        <is>
          <t>Retention_Period</t>
        </is>
      </c>
      <c r="M4" s="8" t="inlineStr">
        <is>
          <t>Retention_Start_Event</t>
        </is>
      </c>
      <c r="N4" s="8" t="inlineStr">
        <is>
          <t>Destruction_Method</t>
        </is>
      </c>
      <c r="O4" s="8" t="inlineStr">
        <is>
          <t>Destruction_Approval</t>
        </is>
      </c>
      <c r="P4" s="8" t="inlineStr">
        <is>
          <t>Chain_of_Custody_Required</t>
        </is>
      </c>
      <c r="Q4" s="8" t="inlineStr">
        <is>
          <t>Chain_of_Custody_Process</t>
        </is>
      </c>
      <c r="R4" s="8" t="inlineStr">
        <is>
          <t>Legal_Hold_Applicable</t>
        </is>
      </c>
      <c r="S4" s="8" t="inlineStr">
        <is>
          <t>Legal_Hold_Contact</t>
        </is>
      </c>
      <c r="T4" s="8" t="inlineStr">
        <is>
          <t>Integrity_Verification</t>
        </is>
      </c>
      <c r="U4" s="8" t="inlineStr">
        <is>
          <t>Last_Access_Review</t>
        </is>
      </c>
      <c r="V4" s="8" t="inlineStr">
        <is>
          <t>Evidence_Owner</t>
        </is>
      </c>
      <c r="W4" s="8" t="inlineStr">
        <is>
          <t>Evidence_Reference</t>
        </is>
      </c>
    </row>
    <row r="5">
      <c r="A5" s="4" t="inlineStr">
        <is>
          <t>EVCAT-001</t>
        </is>
      </c>
      <c r="B5" s="4" t="inlineStr">
        <is>
          <t>Penetration Test Reports</t>
        </is>
      </c>
      <c r="C5" s="4" t="inlineStr">
        <is>
          <t>Technical findings from pen tests</t>
        </is>
      </c>
      <c r="D5" s="4" t="inlineStr">
        <is>
          <t>Restricted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inlineStr">
        <is>
          <t>EVCAT-002</t>
        </is>
      </c>
      <c r="B6" s="4" t="inlineStr">
        <is>
          <t>Vulnerability Scan Results</t>
        </is>
      </c>
      <c r="C6" s="4" t="inlineStr">
        <is>
          <t>Automated scanner outputs</t>
        </is>
      </c>
      <c r="D6" s="4" t="inlineStr">
        <is>
          <t>Confidential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inlineStr">
        <is>
          <t>EVCAT-003</t>
        </is>
      </c>
      <c r="B7" s="4" t="inlineStr">
        <is>
          <t>Audit Workpapers</t>
        </is>
      </c>
      <c r="C7" s="4" t="inlineStr">
        <is>
          <t>Supporting audit documentation</t>
        </is>
      </c>
      <c r="D7" s="4" t="inlineStr">
        <is>
          <t>Confidential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inlineStr">
        <is>
          <t>EVCAT-004</t>
        </is>
      </c>
      <c r="B8" s="4" t="inlineStr">
        <is>
          <t>System Configurations</t>
        </is>
      </c>
      <c r="C8" s="4" t="inlineStr">
        <is>
          <t>Captured configs during audit</t>
        </is>
      </c>
      <c r="D8" s="4" t="inlineStr">
        <is>
          <t>Confidential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inlineStr">
        <is>
          <t>EVCAT-005</t>
        </is>
      </c>
      <c r="B9" s="4" t="inlineStr">
        <is>
          <t>Access Logs</t>
        </is>
      </c>
      <c r="C9" s="4" t="inlineStr">
        <is>
          <t>Records of auditor activity</t>
        </is>
      </c>
      <c r="D9" s="4" t="inlineStr">
        <is>
          <t>Internal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inlineStr">
        <is>
          <t>EVCAT-006</t>
        </is>
      </c>
      <c r="B10" s="4" t="inlineStr">
        <is>
          <t>Interview Notes</t>
        </is>
      </c>
      <c r="C10" s="4" t="inlineStr">
        <is>
          <t>Documented conversations</t>
        </is>
      </c>
      <c r="D10" s="4" t="inlineStr">
        <is>
          <t>Confidential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inlineStr">
        <is>
          <t>EVCAT-007</t>
        </is>
      </c>
      <c r="B11" s="4" t="inlineStr">
        <is>
          <t>Screenshots/Recordings</t>
        </is>
      </c>
      <c r="C11" s="4" t="inlineStr">
        <is>
          <t>Visual audit evidence</t>
        </is>
      </c>
      <c r="D11" s="4" t="inlineStr">
        <is>
          <t>Confidential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inlineStr">
        <is>
          <t>EVCAT-008</t>
        </is>
      </c>
      <c r="B12" s="4" t="inlineStr">
        <is>
          <t>Final Audit Reports</t>
        </is>
      </c>
      <c r="C12" s="4" t="inlineStr">
        <is>
          <t>Published audit reports</t>
        </is>
      </c>
      <c r="D12" s="4" t="inlineStr">
        <is>
          <t>Confidential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inlineStr">
        <is>
          <t>EVCAT-009</t>
        </is>
      </c>
      <c r="B13" s="4" t="inlineStr">
        <is>
          <t>Remediation Evidence</t>
        </is>
      </c>
      <c r="C13" s="4" t="inlineStr">
        <is>
          <t>Proof of fix implementation</t>
        </is>
      </c>
      <c r="D13" s="4" t="inlineStr">
        <is>
          <t>Internal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inlineStr">
        <is>
          <t>EVCAT-010</t>
        </is>
      </c>
      <c r="B14" s="4" t="inlineStr">
        <is>
          <t>Management Response</t>
        </is>
      </c>
      <c r="C14" s="4" t="inlineStr">
        <is>
          <t>Management's reply to findings</t>
        </is>
      </c>
      <c r="D14" s="4" t="inlineStr">
        <is>
          <t>Internal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inlineStr">
        <is>
          <t>EVCAT-011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inlineStr">
        <is>
          <t>EVCAT-012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inlineStr">
        <is>
          <t>EVCAT-013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inlineStr">
        <is>
          <t>EVCAT-014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inlineStr">
        <is>
          <t>EVCAT-015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inlineStr">
        <is>
          <t>EVCAT-016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inlineStr">
        <is>
          <t>EVCAT-017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inlineStr">
        <is>
          <t>EVCAT-018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inlineStr">
        <is>
          <t>EVCAT-019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inlineStr">
        <is>
          <t>EVCAT-020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inlineStr">
        <is>
          <t>EVCAT-021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inlineStr">
        <is>
          <t>EVCAT-022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inlineStr">
        <is>
          <t>EVCAT-023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inlineStr">
        <is>
          <t>EVCAT-024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inlineStr">
        <is>
          <t>EVCAT-025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4" t="inlineStr">
        <is>
          <t>EVCAT-026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>
      <c r="A31" s="4" t="inlineStr">
        <is>
          <t>EVCAT-027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>
      <c r="A32" s="4" t="inlineStr">
        <is>
          <t>EVCAT-028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>
      <c r="A33" s="4" t="inlineStr">
        <is>
          <t>EVCAT-029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inlineStr">
        <is>
          <t>EVCAT-030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7">
      <c r="A37" s="2" t="inlineStr">
        <is>
          <t>PROTECTION STATISTICS</t>
        </is>
      </c>
    </row>
    <row r="39">
      <c r="A39" s="6" t="inlineStr">
        <is>
          <t>Total Evidence Categories</t>
        </is>
      </c>
      <c r="B39" s="6">
        <f>COUNTA(B5:B34)</f>
        <v/>
      </c>
    </row>
    <row r="40">
      <c r="A40" s="6" t="inlineStr">
        <is>
          <t>Restricted Categories</t>
        </is>
      </c>
      <c r="B40" s="6">
        <f>COUNTIF(D5:D34,"Restricted")</f>
        <v/>
      </c>
    </row>
    <row r="41">
      <c r="A41" s="6" t="inlineStr">
        <is>
          <t>Confidential Categories</t>
        </is>
      </c>
      <c r="B41" s="6">
        <f>COUNTIF(D5:D34,"Confidential")</f>
        <v/>
      </c>
    </row>
    <row r="42">
      <c r="A42" s="6" t="inlineStr">
        <is>
          <t>Encryption at Rest (AES-256)</t>
        </is>
      </c>
      <c r="B42" s="6">
        <f>COUNTIF(H5:H34,"AES-256")</f>
        <v/>
      </c>
    </row>
    <row r="43">
      <c r="A43" s="6" t="inlineStr">
        <is>
          <t>Encryption in Transit (TLS 1.3)</t>
        </is>
      </c>
      <c r="B43" s="6">
        <f>COUNTIF(I5:I34,"TLS 1.3")</f>
        <v/>
      </c>
    </row>
    <row r="44">
      <c r="A44" s="6" t="inlineStr">
        <is>
          <t>Chain of Custody Required</t>
        </is>
      </c>
      <c r="B44" s="6">
        <f>COUNTIF(P5:P34,"Yes")</f>
        <v/>
      </c>
    </row>
    <row r="45">
      <c r="A45" s="6" t="inlineStr">
        <is>
          <t>Legal Hold Applicable</t>
        </is>
      </c>
      <c r="B45" s="6">
        <f>COUNTIF(R5:R34,"Yes")</f>
        <v/>
      </c>
    </row>
  </sheetData>
  <mergeCells count="1">
    <mergeCell ref="A1:W1"/>
  </mergeCells>
  <dataValidations count="9">
    <dataValidation sqref="D5:D34" showDropDown="0" showInputMessage="0" showErrorMessage="0" allowBlank="0" type="list">
      <formula1>"Public,Internal,Confidential,Restricted"</formula1>
    </dataValidation>
    <dataValidation sqref="H5:H34" showDropDown="0" showInputMessage="0" showErrorMessage="0" allowBlank="0" type="list">
      <formula1>"AES-256,AES-128,BitLocker,None,Other"</formula1>
    </dataValidation>
    <dataValidation sqref="I5:I34" showDropDown="0" showInputMessage="0" showErrorMessage="0" allowBlank="0" type="list">
      <formula1>"TLS 1.3,TLS 1.2,VPN,None,Other"</formula1>
    </dataValidation>
    <dataValidation sqref="J5:J34" showDropDown="0" showInputMessage="0" showErrorMessage="0" allowBlank="0" type="list">
      <formula1>"RBAC,ACL,Individual Permissions,None"</formula1>
    </dataValidation>
    <dataValidation sqref="L5:L34" showDropDown="0" showInputMessage="0" showErrorMessage="0" allowBlank="0" type="list">
      <formula1>"1 Year,2 Years,3 Years,5 Years,7 Years,Permanent,Legal Hold"</formula1>
    </dataValidation>
    <dataValidation sqref="N5:N34" showDropDown="0" showInputMessage="0" showErrorMessage="0" allowBlank="0" type="list">
      <formula1>"Secure Delete,Shredding,Degaussing,Certified Destruction"</formula1>
    </dataValidation>
    <dataValidation sqref="P5:P34" showDropDown="0" showInputMessage="0" showErrorMessage="0" allowBlank="0" type="list">
      <formula1>"Yes,No"</formula1>
    </dataValidation>
    <dataValidation sqref="R5:R34" showDropDown="0" showInputMessage="0" showErrorMessage="0" allowBlank="0" type="list">
      <formula1>"Yes,No,Potentially"</formula1>
    </dataValidation>
    <dataValidation sqref="T5:T34" showDropDown="0" showInputMessage="0" showErrorMessage="0" allowBlank="0" type="list">
      <formula1>"Hashing,Digital Signatures,Checksums,None"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AUDIT ACTIVITY MANAGEMENT - COMPLIANCE SUMMARY</t>
        </is>
      </c>
    </row>
    <row r="2">
      <c r="A2" s="9" t="inlineStr">
        <is>
          <t>TABLE 1: ASSESSMENT AREA COMPLIANCE OVERVIEW</t>
        </is>
      </c>
    </row>
    <row r="3">
      <c r="A3" s="10" t="inlineStr">
        <is>
          <t>Assessment Area</t>
        </is>
      </c>
      <c r="B3" s="10" t="inlineStr">
        <is>
          <t>Total Items</t>
        </is>
      </c>
      <c r="C3" s="10" t="inlineStr">
        <is>
          <t>Compliant</t>
        </is>
      </c>
      <c r="D3" s="10" t="inlineStr">
        <is>
          <t>Partial</t>
        </is>
      </c>
      <c r="E3" s="10" t="inlineStr">
        <is>
          <t>Non-Compliant</t>
        </is>
      </c>
      <c r="F3" s="10" t="inlineStr">
        <is>
          <t>N/A</t>
        </is>
      </c>
      <c r="G3" s="10" t="inlineStr">
        <is>
          <t>Compliance %</t>
        </is>
      </c>
    </row>
    <row r="4">
      <c r="A4" s="6" t="inlineStr">
        <is>
          <t>Audit Activity Register</t>
        </is>
      </c>
      <c r="B4" s="11" t="n"/>
      <c r="C4" s="11" t="n"/>
      <c r="D4" s="11" t="n"/>
      <c r="E4" s="11" t="n"/>
      <c r="F4" s="11" t="n"/>
      <c r="G4" s="11" t="n"/>
    </row>
    <row r="5">
      <c r="A5" s="6" t="inlineStr">
        <is>
          <t>Audit Tool Authorisation</t>
        </is>
      </c>
      <c r="B5" s="11" t="n"/>
      <c r="C5" s="11" t="n"/>
      <c r="D5" s="11" t="n"/>
      <c r="E5" s="11" t="n"/>
      <c r="F5" s="11" t="n"/>
      <c r="G5" s="11" t="n"/>
    </row>
    <row r="6">
      <c r="A6" s="6" t="inlineStr">
        <is>
          <t>Audit Access Tracking</t>
        </is>
      </c>
      <c r="B6" s="11" t="n"/>
      <c r="C6" s="11" t="n"/>
      <c r="D6" s="11" t="n"/>
      <c r="E6" s="11" t="n"/>
      <c r="F6" s="11" t="n"/>
      <c r="G6" s="11" t="n"/>
    </row>
    <row r="7">
      <c r="A7" s="6" t="inlineStr">
        <is>
          <t>Disruption Mitigation Plans</t>
        </is>
      </c>
      <c r="B7" s="11" t="n"/>
      <c r="C7" s="11" t="n"/>
      <c r="D7" s="11" t="n"/>
      <c r="E7" s="11" t="n"/>
      <c r="F7" s="11" t="n"/>
      <c r="G7" s="11" t="n"/>
    </row>
    <row r="8">
      <c r="A8" s="6" t="inlineStr">
        <is>
          <t>Audit Evidence Protection</t>
        </is>
      </c>
      <c r="B8" s="11" t="n"/>
      <c r="C8" s="11" t="n"/>
      <c r="D8" s="11" t="n"/>
      <c r="E8" s="11" t="n"/>
      <c r="F8" s="11" t="n"/>
      <c r="G8" s="11" t="n"/>
    </row>
    <row r="9">
      <c r="A9" s="12" t="inlineStr">
        <is>
          <t>TOTAL</t>
        </is>
      </c>
      <c r="B9" s="13">
        <f>SUM(B4:B8)</f>
        <v/>
      </c>
      <c r="C9" s="13">
        <f>SUM(C4:C8)</f>
        <v/>
      </c>
      <c r="D9" s="13">
        <f>SUM(D4:D8)</f>
        <v/>
      </c>
      <c r="E9" s="13">
        <f>SUM(E4:E8)</f>
        <v/>
      </c>
      <c r="F9" s="13">
        <f>SUM(F4:F8)</f>
        <v/>
      </c>
      <c r="G9" s="14">
        <f>IF((B9-F9)=0,"0%",ROUND(C9/(B9-F9)*100,1)&amp;"%")</f>
        <v/>
      </c>
    </row>
    <row r="11">
      <c r="A11" s="9" t="inlineStr">
        <is>
          <t>TABLE 2: KEY METRICS</t>
        </is>
      </c>
    </row>
    <row r="12">
      <c r="A12" s="15" t="inlineStr">
        <is>
          <t>Metric</t>
        </is>
      </c>
      <c r="B12" s="15" t="inlineStr">
        <is>
          <t>Value</t>
        </is>
      </c>
      <c r="C12" s="15" t="inlineStr">
        <is>
          <t>Target</t>
        </is>
      </c>
      <c r="D12" s="15" t="inlineStr">
        <is>
          <t>Status</t>
        </is>
      </c>
    </row>
    <row r="13">
      <c r="A13" s="6" t="inlineStr">
        <is>
          <t>Audit Authorisation Rate</t>
        </is>
      </c>
      <c r="B13" s="4" t="inlineStr">
        <is>
          <t>[%]</t>
        </is>
      </c>
      <c r="C13" s="6" t="inlineStr">
        <is>
          <t>100%</t>
        </is>
      </c>
      <c r="D13" s="4" t="n"/>
    </row>
    <row r="14">
      <c r="A14" s="6" t="inlineStr">
        <is>
          <t>Tool Authorisation Rate</t>
        </is>
      </c>
      <c r="B14" s="4" t="inlineStr">
        <is>
          <t>[%]</t>
        </is>
      </c>
      <c r="C14" s="6" t="inlineStr">
        <is>
          <t>100%</t>
        </is>
      </c>
      <c r="D14" s="4" t="n"/>
    </row>
    <row r="15">
      <c r="A15" s="6" t="inlineStr">
        <is>
          <t>Access Approval Rate</t>
        </is>
      </c>
      <c r="B15" s="4" t="inlineStr">
        <is>
          <t>[%]</t>
        </is>
      </c>
      <c r="C15" s="6" t="inlineStr">
        <is>
          <t>100%</t>
        </is>
      </c>
      <c r="D15" s="4" t="n"/>
    </row>
    <row r="16">
      <c r="A16" s="6" t="inlineStr">
        <is>
          <t>Access Revocation Timeliness</t>
        </is>
      </c>
      <c r="B16" s="4" t="inlineStr">
        <is>
          <t>[%]</t>
        </is>
      </c>
      <c r="C16" s="6" t="inlineStr">
        <is>
          <t>100%</t>
        </is>
      </c>
      <c r="D16" s="4" t="n"/>
    </row>
    <row r="17">
      <c r="A17" s="6" t="inlineStr">
        <is>
          <t>NDA Coverage</t>
        </is>
      </c>
      <c r="B17" s="4" t="inlineStr">
        <is>
          <t>[%]</t>
        </is>
      </c>
      <c r="C17" s="6" t="inlineStr">
        <is>
          <t>100%</t>
        </is>
      </c>
      <c r="D17" s="4" t="n"/>
    </row>
    <row r="18">
      <c r="A18" s="6" t="inlineStr">
        <is>
          <t>Access Logging Coverage</t>
        </is>
      </c>
      <c r="B18" s="4" t="inlineStr">
        <is>
          <t>[%]</t>
        </is>
      </c>
      <c r="C18" s="6" t="inlineStr">
        <is>
          <t>100%</t>
        </is>
      </c>
      <c r="D18" s="4" t="n"/>
    </row>
    <row r="19">
      <c r="A19" s="6" t="inlineStr">
        <is>
          <t>Critical System Mitigation Coverage</t>
        </is>
      </c>
      <c r="B19" s="4" t="inlineStr">
        <is>
          <t>[%]</t>
        </is>
      </c>
      <c r="C19" s="6" t="inlineStr">
        <is>
          <t>100%</t>
        </is>
      </c>
      <c r="D19" s="4" t="n"/>
    </row>
    <row r="20">
      <c r="A20" s="6" t="inlineStr">
        <is>
          <t>Evidence Encryption Rate</t>
        </is>
      </c>
      <c r="B20" s="4" t="inlineStr">
        <is>
          <t>[%]</t>
        </is>
      </c>
      <c r="C20" s="6" t="inlineStr">
        <is>
          <t>100%</t>
        </is>
      </c>
      <c r="D20" s="4" t="n"/>
    </row>
    <row r="22">
      <c r="A22" s="16" t="inlineStr">
        <is>
          <t>TABLE 3: CRITICAL FINDINGS REQUIRING IMMEDIATE ATTENTION</t>
        </is>
      </c>
    </row>
    <row r="23">
      <c r="A23" s="15" t="inlineStr">
        <is>
          <t>Category</t>
        </is>
      </c>
      <c r="B23" s="15" t="inlineStr">
        <is>
          <t>Finding</t>
        </is>
      </c>
      <c r="C23" s="15" t="inlineStr">
        <is>
          <t>Count</t>
        </is>
      </c>
      <c r="D23" s="15" t="inlineStr">
        <is>
          <t>Severity</t>
        </is>
      </c>
      <c r="E23" s="15" t="inlineStr">
        <is>
          <t>Action Required</t>
        </is>
      </c>
    </row>
    <row r="24">
      <c r="A24" s="6" t="inlineStr">
        <is>
          <t>Unauthorised Audits</t>
        </is>
      </c>
      <c r="B24" s="6" t="inlineStr">
        <is>
          <t>Audits without approval</t>
        </is>
      </c>
      <c r="C24" s="4" t="inlineStr">
        <is>
          <t>[#]</t>
        </is>
      </c>
      <c r="D24" s="6" t="inlineStr">
        <is>
          <t>Critical</t>
        </is>
      </c>
      <c r="E24" s="6" t="inlineStr">
        <is>
          <t>Immediate</t>
        </is>
      </c>
    </row>
    <row r="25">
      <c r="A25" s="6" t="inlineStr">
        <is>
          <t>Unauthorised Tools</t>
        </is>
      </c>
      <c r="B25" s="6" t="inlineStr">
        <is>
          <t>Tools without authorisation</t>
        </is>
      </c>
      <c r="C25" s="4" t="inlineStr">
        <is>
          <t>[#]</t>
        </is>
      </c>
      <c r="D25" s="6" t="inlineStr">
        <is>
          <t>Critical</t>
        </is>
      </c>
      <c r="E25" s="6" t="inlineStr">
        <is>
          <t>Immediate</t>
        </is>
      </c>
    </row>
    <row r="26">
      <c r="A26" s="6" t="inlineStr">
        <is>
          <t>Unapproved Access</t>
        </is>
      </c>
      <c r="B26" s="6" t="inlineStr">
        <is>
          <t>Auditor access without approval</t>
        </is>
      </c>
      <c r="C26" s="4" t="inlineStr">
        <is>
          <t>[#]</t>
        </is>
      </c>
      <c r="D26" s="6" t="inlineStr">
        <is>
          <t>High</t>
        </is>
      </c>
      <c r="E26" s="6" t="inlineStr">
        <is>
          <t>Urgent</t>
        </is>
      </c>
    </row>
    <row r="27">
      <c r="A27" s="6" t="inlineStr">
        <is>
          <t>Active Access Past End Date</t>
        </is>
      </c>
      <c r="B27" s="6" t="inlineStr">
        <is>
          <t>Access not revoked</t>
        </is>
      </c>
      <c r="C27" s="4" t="inlineStr">
        <is>
          <t>[#]</t>
        </is>
      </c>
      <c r="D27" s="6" t="inlineStr">
        <is>
          <t>High</t>
        </is>
      </c>
      <c r="E27" s="6" t="inlineStr">
        <is>
          <t>Urgent</t>
        </is>
      </c>
    </row>
    <row r="28">
      <c r="A28" s="6" t="inlineStr">
        <is>
          <t>Missing Mitigation Plans</t>
        </is>
      </c>
      <c r="B28" s="6" t="inlineStr">
        <is>
          <t>Critical systems without plans</t>
        </is>
      </c>
      <c r="C28" s="4" t="inlineStr">
        <is>
          <t>[#]</t>
        </is>
      </c>
      <c r="D28" s="6" t="inlineStr">
        <is>
          <t>High</t>
        </is>
      </c>
      <c r="E28" s="6" t="inlineStr">
        <is>
          <t>Priority</t>
        </is>
      </c>
    </row>
    <row r="29">
      <c r="A29" s="6" t="inlineStr">
        <is>
          <t>Unencrypted Evidence</t>
        </is>
      </c>
      <c r="B29" s="6" t="inlineStr">
        <is>
          <t>Sensitive evidence unprotected</t>
        </is>
      </c>
      <c r="C29" s="4" t="inlineStr">
        <is>
          <t>[#]</t>
        </is>
      </c>
      <c r="D29" s="6" t="inlineStr">
        <is>
          <t>Medium</t>
        </is>
      </c>
      <c r="E29" s="6" t="inlineStr">
        <is>
          <t>Plan</t>
        </is>
      </c>
    </row>
    <row r="30">
      <c r="A30" s="6" t="inlineStr">
        <is>
          <t>Overdue Reviews</t>
        </is>
      </c>
      <c r="B30" s="6" t="inlineStr">
        <is>
          <t>Reviews past due</t>
        </is>
      </c>
      <c r="C30" s="4" t="inlineStr">
        <is>
          <t>[#]</t>
        </is>
      </c>
      <c r="D30" s="6" t="inlineStr">
        <is>
          <t>Medium</t>
        </is>
      </c>
      <c r="E30" s="6" t="inlineStr">
        <is>
          <t>Plan</t>
        </is>
      </c>
    </row>
  </sheetData>
  <mergeCells count="4">
    <mergeCell ref="A11:G11"/>
    <mergeCell ref="A2:G2"/>
    <mergeCell ref="A22:G22"/>
    <mergeCell ref="A1:G1"/>
  </mergeCells>
  <dataValidations count="1">
    <dataValidation sqref="D13:D20" showDropDown="0" showInputMessage="0" showErrorMessage="0" allowBlank="0" type="list">
      <formula1>"Compliant,Partial,Non-Compliant"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7" t="inlineStr">
        <is>
          <t>List all evidence files/documents referenced in this assessment (audit traceability).</t>
        </is>
      </c>
    </row>
    <row r="4">
      <c r="A4" s="10" t="inlineStr">
        <is>
          <t>Evidence ID</t>
        </is>
      </c>
      <c r="B4" s="10" t="inlineStr">
        <is>
          <t>Assessment Area</t>
        </is>
      </c>
      <c r="C4" s="10" t="inlineStr">
        <is>
          <t>Evidence Type</t>
        </is>
      </c>
      <c r="D4" s="10" t="inlineStr">
        <is>
          <t>Description</t>
        </is>
      </c>
      <c r="E4" s="10" t="inlineStr">
        <is>
          <t>Location/Path</t>
        </is>
      </c>
      <c r="F4" s="10" t="inlineStr">
        <is>
          <t>Date Collected</t>
        </is>
      </c>
      <c r="G4" s="10" t="inlineStr">
        <is>
          <t>Collected By</t>
        </is>
      </c>
      <c r="H4" s="10" t="inlineStr">
        <is>
          <t>Verification Status</t>
        </is>
      </c>
    </row>
    <row r="5">
      <c r="A5" s="18" t="inlineStr">
        <is>
          <t>EV-001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18" t="inlineStr">
        <is>
          <t>EV-002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18" t="inlineStr">
        <is>
          <t>EV-003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18" t="inlineStr">
        <is>
          <t>EV-004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18" t="inlineStr">
        <is>
          <t>EV-005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18" t="inlineStr">
        <is>
          <t>EV-006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18" t="inlineStr">
        <is>
          <t>EV-007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18" t="inlineStr">
        <is>
          <t>EV-008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18" t="inlineStr">
        <is>
          <t>EV-009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18" t="inlineStr">
        <is>
          <t>EV-010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18" t="inlineStr">
        <is>
          <t>EV-011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18" t="inlineStr">
        <is>
          <t>EV-012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18" t="inlineStr">
        <is>
          <t>EV-013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18" t="inlineStr">
        <is>
          <t>EV-014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18" t="inlineStr">
        <is>
          <t>EV-015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18" t="inlineStr">
        <is>
          <t>EV-016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18" t="inlineStr">
        <is>
          <t>EV-017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18" t="inlineStr">
        <is>
          <t>EV-018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18" t="inlineStr">
        <is>
          <t>EV-019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18" t="inlineStr">
        <is>
          <t>EV-020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18" t="inlineStr">
        <is>
          <t>EV-021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18" t="inlineStr">
        <is>
          <t>EV-022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18" t="inlineStr">
        <is>
          <t>EV-023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18" t="inlineStr">
        <is>
          <t>EV-024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18" t="inlineStr">
        <is>
          <t>EV-025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18" t="inlineStr">
        <is>
          <t>EV-026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18" t="inlineStr">
        <is>
          <t>EV-027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18" t="inlineStr">
        <is>
          <t>EV-028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18" t="inlineStr">
        <is>
          <t>EV-029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18" t="inlineStr">
        <is>
          <t>EV-030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18" t="inlineStr">
        <is>
          <t>EV-031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18" t="inlineStr">
        <is>
          <t>EV-032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18" t="inlineStr">
        <is>
          <t>EV-033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18" t="inlineStr">
        <is>
          <t>EV-034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18" t="inlineStr">
        <is>
          <t>EV-035</t>
        </is>
      </c>
      <c r="B39" s="4" t="n"/>
      <c r="C39" s="4" t="n"/>
      <c r="D39" s="4" t="n"/>
      <c r="E39" s="4" t="n"/>
      <c r="F39" s="4" t="n"/>
      <c r="G39" s="4" t="n"/>
      <c r="H39" s="4" t="n"/>
    </row>
    <row r="40">
      <c r="A40" s="18" t="inlineStr">
        <is>
          <t>EV-036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s="18" t="inlineStr">
        <is>
          <t>EV-037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18" t="inlineStr">
        <is>
          <t>EV-038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18" t="inlineStr">
        <is>
          <t>EV-039</t>
        </is>
      </c>
      <c r="B43" s="4" t="n"/>
      <c r="C43" s="4" t="n"/>
      <c r="D43" s="4" t="n"/>
      <c r="E43" s="4" t="n"/>
      <c r="F43" s="4" t="n"/>
      <c r="G43" s="4" t="n"/>
      <c r="H43" s="4" t="n"/>
    </row>
    <row r="44">
      <c r="A44" s="18" t="inlineStr">
        <is>
          <t>EV-040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18" t="inlineStr">
        <is>
          <t>EV-041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18" t="inlineStr">
        <is>
          <t>EV-042</t>
        </is>
      </c>
      <c r="B46" s="4" t="n"/>
      <c r="C46" s="4" t="n"/>
      <c r="D46" s="4" t="n"/>
      <c r="E46" s="4" t="n"/>
      <c r="F46" s="4" t="n"/>
      <c r="G46" s="4" t="n"/>
      <c r="H46" s="4" t="n"/>
    </row>
    <row r="47">
      <c r="A47" s="18" t="inlineStr">
        <is>
          <t>EV-043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18" t="inlineStr">
        <is>
          <t>EV-044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18" t="inlineStr">
        <is>
          <t>EV-045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18" t="inlineStr">
        <is>
          <t>EV-046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18" t="inlineStr">
        <is>
          <t>EV-047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18" t="inlineStr">
        <is>
          <t>EV-048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18" t="inlineStr">
        <is>
          <t>EV-049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18" t="inlineStr">
        <is>
          <t>EV-050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18" t="inlineStr">
        <is>
          <t>EV-051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s="18" t="inlineStr">
        <is>
          <t>EV-052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18" t="inlineStr">
        <is>
          <t>EV-053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18" t="inlineStr">
        <is>
          <t>EV-054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18" t="inlineStr">
        <is>
          <t>EV-055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18" t="inlineStr">
        <is>
          <t>EV-056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18" t="inlineStr">
        <is>
          <t>EV-057</t>
        </is>
      </c>
      <c r="B61" s="4" t="n"/>
      <c r="C61" s="4" t="n"/>
      <c r="D61" s="4" t="n"/>
      <c r="E61" s="4" t="n"/>
      <c r="F61" s="4" t="n"/>
      <c r="G61" s="4" t="n"/>
      <c r="H61" s="4" t="n"/>
    </row>
    <row r="62">
      <c r="A62" s="18" t="inlineStr">
        <is>
          <t>EV-058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18" t="inlineStr">
        <is>
          <t>EV-059</t>
        </is>
      </c>
      <c r="B63" s="4" t="n"/>
      <c r="C63" s="4" t="n"/>
      <c r="D63" s="4" t="n"/>
      <c r="E63" s="4" t="n"/>
      <c r="F63" s="4" t="n"/>
      <c r="G63" s="4" t="n"/>
      <c r="H63" s="4" t="n"/>
    </row>
    <row r="64">
      <c r="A64" s="18" t="inlineStr">
        <is>
          <t>EV-060</t>
        </is>
      </c>
      <c r="B64" s="4" t="n"/>
      <c r="C64" s="4" t="n"/>
      <c r="D64" s="4" t="n"/>
      <c r="E64" s="4" t="n"/>
      <c r="F64" s="4" t="n"/>
      <c r="G64" s="4" t="n"/>
      <c r="H64" s="4" t="n"/>
    </row>
    <row r="65">
      <c r="A65" s="18" t="inlineStr">
        <is>
          <t>EV-061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18" t="inlineStr">
        <is>
          <t>EV-062</t>
        </is>
      </c>
      <c r="B66" s="4" t="n"/>
      <c r="C66" s="4" t="n"/>
      <c r="D66" s="4" t="n"/>
      <c r="E66" s="4" t="n"/>
      <c r="F66" s="4" t="n"/>
      <c r="G66" s="4" t="n"/>
      <c r="H66" s="4" t="n"/>
    </row>
    <row r="67">
      <c r="A67" s="18" t="inlineStr">
        <is>
          <t>EV-063</t>
        </is>
      </c>
      <c r="B67" s="4" t="n"/>
      <c r="C67" s="4" t="n"/>
      <c r="D67" s="4" t="n"/>
      <c r="E67" s="4" t="n"/>
      <c r="F67" s="4" t="n"/>
      <c r="G67" s="4" t="n"/>
      <c r="H67" s="4" t="n"/>
    </row>
    <row r="68">
      <c r="A68" s="18" t="inlineStr">
        <is>
          <t>EV-064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18" t="inlineStr">
        <is>
          <t>EV-065</t>
        </is>
      </c>
      <c r="B69" s="4" t="n"/>
      <c r="C69" s="4" t="n"/>
      <c r="D69" s="4" t="n"/>
      <c r="E69" s="4" t="n"/>
      <c r="F69" s="4" t="n"/>
      <c r="G69" s="4" t="n"/>
      <c r="H69" s="4" t="n"/>
    </row>
    <row r="70">
      <c r="A70" s="18" t="inlineStr">
        <is>
          <t>EV-066</t>
        </is>
      </c>
      <c r="B70" s="4" t="n"/>
      <c r="C70" s="4" t="n"/>
      <c r="D70" s="4" t="n"/>
      <c r="E70" s="4" t="n"/>
      <c r="F70" s="4" t="n"/>
      <c r="G70" s="4" t="n"/>
      <c r="H70" s="4" t="n"/>
    </row>
    <row r="71">
      <c r="A71" s="18" t="inlineStr">
        <is>
          <t>EV-067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18" t="inlineStr">
        <is>
          <t>EV-068</t>
        </is>
      </c>
      <c r="B72" s="4" t="n"/>
      <c r="C72" s="4" t="n"/>
      <c r="D72" s="4" t="n"/>
      <c r="E72" s="4" t="n"/>
      <c r="F72" s="4" t="n"/>
      <c r="G72" s="4" t="n"/>
      <c r="H72" s="4" t="n"/>
    </row>
    <row r="73">
      <c r="A73" s="18" t="inlineStr">
        <is>
          <t>EV-069</t>
        </is>
      </c>
      <c r="B73" s="4" t="n"/>
      <c r="C73" s="4" t="n"/>
      <c r="D73" s="4" t="n"/>
      <c r="E73" s="4" t="n"/>
      <c r="F73" s="4" t="n"/>
      <c r="G73" s="4" t="n"/>
      <c r="H73" s="4" t="n"/>
    </row>
    <row r="74">
      <c r="A74" s="18" t="inlineStr">
        <is>
          <t>EV-070</t>
        </is>
      </c>
      <c r="B74" s="4" t="n"/>
      <c r="C74" s="4" t="n"/>
      <c r="D74" s="4" t="n"/>
      <c r="E74" s="4" t="n"/>
      <c r="F74" s="4" t="n"/>
      <c r="G74" s="4" t="n"/>
      <c r="H74" s="4" t="n"/>
    </row>
    <row r="75">
      <c r="A75" s="18" t="inlineStr">
        <is>
          <t>EV-071</t>
        </is>
      </c>
      <c r="B75" s="4" t="n"/>
      <c r="C75" s="4" t="n"/>
      <c r="D75" s="4" t="n"/>
      <c r="E75" s="4" t="n"/>
      <c r="F75" s="4" t="n"/>
      <c r="G75" s="4" t="n"/>
      <c r="H75" s="4" t="n"/>
    </row>
    <row r="76">
      <c r="A76" s="18" t="inlineStr">
        <is>
          <t>EV-072</t>
        </is>
      </c>
      <c r="B76" s="4" t="n"/>
      <c r="C76" s="4" t="n"/>
      <c r="D76" s="4" t="n"/>
      <c r="E76" s="4" t="n"/>
      <c r="F76" s="4" t="n"/>
      <c r="G76" s="4" t="n"/>
      <c r="H76" s="4" t="n"/>
    </row>
    <row r="77">
      <c r="A77" s="18" t="inlineStr">
        <is>
          <t>EV-073</t>
        </is>
      </c>
      <c r="B77" s="4" t="n"/>
      <c r="C77" s="4" t="n"/>
      <c r="D77" s="4" t="n"/>
      <c r="E77" s="4" t="n"/>
      <c r="F77" s="4" t="n"/>
      <c r="G77" s="4" t="n"/>
      <c r="H77" s="4" t="n"/>
    </row>
    <row r="78">
      <c r="A78" s="18" t="inlineStr">
        <is>
          <t>EV-074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18" t="inlineStr">
        <is>
          <t>EV-075</t>
        </is>
      </c>
      <c r="B79" s="4" t="n"/>
      <c r="C79" s="4" t="n"/>
      <c r="D79" s="4" t="n"/>
      <c r="E79" s="4" t="n"/>
      <c r="F79" s="4" t="n"/>
      <c r="G79" s="4" t="n"/>
      <c r="H79" s="4" t="n"/>
    </row>
    <row r="80">
      <c r="A80" s="18" t="inlineStr">
        <is>
          <t>EV-076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18" t="inlineStr">
        <is>
          <t>EV-077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18" t="inlineStr">
        <is>
          <t>EV-078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18" t="inlineStr">
        <is>
          <t>EV-079</t>
        </is>
      </c>
      <c r="B83" s="4" t="n"/>
      <c r="C83" s="4" t="n"/>
      <c r="D83" s="4" t="n"/>
      <c r="E83" s="4" t="n"/>
      <c r="F83" s="4" t="n"/>
      <c r="G83" s="4" t="n"/>
      <c r="H83" s="4" t="n"/>
    </row>
    <row r="84">
      <c r="A84" s="18" t="inlineStr">
        <is>
          <t>EV-080</t>
        </is>
      </c>
      <c r="B84" s="4" t="n"/>
      <c r="C84" s="4" t="n"/>
      <c r="D84" s="4" t="n"/>
      <c r="E84" s="4" t="n"/>
      <c r="F84" s="4" t="n"/>
      <c r="G84" s="4" t="n"/>
      <c r="H84" s="4" t="n"/>
    </row>
    <row r="85">
      <c r="A85" s="18" t="inlineStr">
        <is>
          <t>EV-081</t>
        </is>
      </c>
      <c r="B85" s="4" t="n"/>
      <c r="C85" s="4" t="n"/>
      <c r="D85" s="4" t="n"/>
      <c r="E85" s="4" t="n"/>
      <c r="F85" s="4" t="n"/>
      <c r="G85" s="4" t="n"/>
      <c r="H85" s="4" t="n"/>
    </row>
    <row r="86">
      <c r="A86" s="18" t="inlineStr">
        <is>
          <t>EV-082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18" t="inlineStr">
        <is>
          <t>EV-083</t>
        </is>
      </c>
      <c r="B87" s="4" t="n"/>
      <c r="C87" s="4" t="n"/>
      <c r="D87" s="4" t="n"/>
      <c r="E87" s="4" t="n"/>
      <c r="F87" s="4" t="n"/>
      <c r="G87" s="4" t="n"/>
      <c r="H87" s="4" t="n"/>
    </row>
    <row r="88">
      <c r="A88" s="18" t="inlineStr">
        <is>
          <t>EV-084</t>
        </is>
      </c>
      <c r="B88" s="4" t="n"/>
      <c r="C88" s="4" t="n"/>
      <c r="D88" s="4" t="n"/>
      <c r="E88" s="4" t="n"/>
      <c r="F88" s="4" t="n"/>
      <c r="G88" s="4" t="n"/>
      <c r="H88" s="4" t="n"/>
    </row>
    <row r="89">
      <c r="A89" s="18" t="inlineStr">
        <is>
          <t>EV-085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18" t="inlineStr">
        <is>
          <t>EV-086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18" t="inlineStr">
        <is>
          <t>EV-087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s="18" t="inlineStr">
        <is>
          <t>EV-088</t>
        </is>
      </c>
      <c r="B92" s="4" t="n"/>
      <c r="C92" s="4" t="n"/>
      <c r="D92" s="4" t="n"/>
      <c r="E92" s="4" t="n"/>
      <c r="F92" s="4" t="n"/>
      <c r="G92" s="4" t="n"/>
      <c r="H92" s="4" t="n"/>
    </row>
    <row r="93">
      <c r="A93" s="18" t="inlineStr">
        <is>
          <t>EV-089</t>
        </is>
      </c>
      <c r="B93" s="4" t="n"/>
      <c r="C93" s="4" t="n"/>
      <c r="D93" s="4" t="n"/>
      <c r="E93" s="4" t="n"/>
      <c r="F93" s="4" t="n"/>
      <c r="G93" s="4" t="n"/>
      <c r="H93" s="4" t="n"/>
    </row>
    <row r="94">
      <c r="A94" s="18" t="inlineStr">
        <is>
          <t>EV-090</t>
        </is>
      </c>
      <c r="B94" s="4" t="n"/>
      <c r="C94" s="4" t="n"/>
      <c r="D94" s="4" t="n"/>
      <c r="E94" s="4" t="n"/>
      <c r="F94" s="4" t="n"/>
      <c r="G94" s="4" t="n"/>
      <c r="H94" s="4" t="n"/>
    </row>
    <row r="95">
      <c r="A95" s="18" t="inlineStr">
        <is>
          <t>EV-091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18" t="inlineStr">
        <is>
          <t>EV-092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18" t="inlineStr">
        <is>
          <t>EV-093</t>
        </is>
      </c>
      <c r="B97" s="4" t="n"/>
      <c r="C97" s="4" t="n"/>
      <c r="D97" s="4" t="n"/>
      <c r="E97" s="4" t="n"/>
      <c r="F97" s="4" t="n"/>
      <c r="G97" s="4" t="n"/>
      <c r="H97" s="4" t="n"/>
    </row>
    <row r="98">
      <c r="A98" s="18" t="inlineStr">
        <is>
          <t>EV-094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18" t="inlineStr">
        <is>
          <t>EV-095</t>
        </is>
      </c>
      <c r="B99" s="4" t="n"/>
      <c r="C99" s="4" t="n"/>
      <c r="D99" s="4" t="n"/>
      <c r="E99" s="4" t="n"/>
      <c r="F99" s="4" t="n"/>
      <c r="G99" s="4" t="n"/>
      <c r="H99" s="4" t="n"/>
    </row>
    <row r="100">
      <c r="A100" s="18" t="inlineStr">
        <is>
          <t>EV-096</t>
        </is>
      </c>
      <c r="B100" s="4" t="n"/>
      <c r="C100" s="4" t="n"/>
      <c r="D100" s="4" t="n"/>
      <c r="E100" s="4" t="n"/>
      <c r="F100" s="4" t="n"/>
      <c r="G100" s="4" t="n"/>
      <c r="H100" s="4" t="n"/>
    </row>
    <row r="101">
      <c r="A101" s="18" t="inlineStr">
        <is>
          <t>EV-097</t>
        </is>
      </c>
      <c r="B101" s="4" t="n"/>
      <c r="C101" s="4" t="n"/>
      <c r="D101" s="4" t="n"/>
      <c r="E101" s="4" t="n"/>
      <c r="F101" s="4" t="n"/>
      <c r="G101" s="4" t="n"/>
      <c r="H101" s="4" t="n"/>
    </row>
    <row r="102">
      <c r="A102" s="18" t="inlineStr">
        <is>
          <t>EV-098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18" t="inlineStr">
        <is>
          <t>EV-099</t>
        </is>
      </c>
      <c r="B103" s="4" t="n"/>
      <c r="C103" s="4" t="n"/>
      <c r="D103" s="4" t="n"/>
      <c r="E103" s="4" t="n"/>
      <c r="F103" s="4" t="n"/>
      <c r="G103" s="4" t="n"/>
      <c r="H103" s="4" t="n"/>
    </row>
    <row r="104">
      <c r="A104" s="18" t="inlineStr">
        <is>
          <t>EV-100</t>
        </is>
      </c>
      <c r="B104" s="4" t="n"/>
      <c r="C104" s="4" t="n"/>
      <c r="D104" s="4" t="n"/>
      <c r="E104" s="4" t="n"/>
      <c r="F104" s="4" t="n"/>
      <c r="G104" s="4" t="n"/>
      <c r="H104" s="4" t="n"/>
    </row>
  </sheetData>
  <mergeCells count="2">
    <mergeCell ref="A2:H2"/>
    <mergeCell ref="A1:H1"/>
  </mergeCells>
  <dataValidations count="2">
    <dataValidation sqref="C5:C104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5:H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ASSESSMENT APPROVAL AND SIGN-OFF</t>
        </is>
      </c>
    </row>
    <row r="3">
      <c r="A3" s="19" t="inlineStr">
        <is>
          <t>ASSESSMENT SUMMARY</t>
        </is>
      </c>
    </row>
    <row r="4">
      <c r="A4" s="3" t="inlineStr">
        <is>
          <t>Document:</t>
        </is>
      </c>
      <c r="B4" t="inlineStr">
        <is>
          <t>ISMS-IMP-A.8.33-34.2 - Audit Activity Management Assessment</t>
        </is>
      </c>
    </row>
    <row r="5">
      <c r="A5" s="3" t="inlineStr">
        <is>
          <t>Assessment Period:</t>
        </is>
      </c>
      <c r="B5" s="4" t="inlineStr"/>
    </row>
    <row r="6">
      <c r="A6" s="3" t="inlineStr">
        <is>
          <t>Overall Compliance:</t>
        </is>
      </c>
      <c r="B6" s="4" t="inlineStr"/>
    </row>
    <row r="7">
      <c r="A7" s="3" t="inlineStr">
        <is>
          <t>Assessment Status:</t>
        </is>
      </c>
      <c r="B7" s="4" t="inlineStr"/>
    </row>
    <row r="10">
      <c r="A10" s="19" t="inlineStr">
        <is>
          <t>COMPLETED BY (ASSESSOR)</t>
        </is>
      </c>
    </row>
    <row r="11">
      <c r="A11" s="3" t="inlineStr">
        <is>
          <t>Name:</t>
        </is>
      </c>
      <c r="B11" s="4" t="n"/>
    </row>
    <row r="12">
      <c r="A12" s="3" t="inlineStr">
        <is>
          <t>Title:</t>
        </is>
      </c>
      <c r="B12" s="4" t="n"/>
    </row>
    <row r="13">
      <c r="A13" s="3" t="inlineStr">
        <is>
          <t>Date:</t>
        </is>
      </c>
      <c r="B13" s="4" t="n"/>
    </row>
    <row r="14">
      <c r="A14" s="3" t="inlineStr">
        <is>
          <t>Signature:</t>
        </is>
      </c>
      <c r="B14" s="4" t="n"/>
    </row>
    <row r="15">
      <c r="A15" s="3" t="inlineStr">
        <is>
          <t>Comments:</t>
        </is>
      </c>
      <c r="B15" s="4" t="n"/>
    </row>
    <row r="17">
      <c r="A17" s="19" t="inlineStr">
        <is>
          <t>REVIEWED BY (INFORMATION SECURITY OFFICER)</t>
        </is>
      </c>
    </row>
    <row r="18">
      <c r="A18" s="3" t="inlineStr">
        <is>
          <t>Name:</t>
        </is>
      </c>
      <c r="B18" s="4" t="n"/>
    </row>
    <row r="19">
      <c r="A19" s="3" t="inlineStr">
        <is>
          <t>Title:</t>
        </is>
      </c>
      <c r="B19" s="4" t="n"/>
    </row>
    <row r="20">
      <c r="A20" s="3" t="inlineStr">
        <is>
          <t>Date:</t>
        </is>
      </c>
      <c r="B20" s="4" t="n"/>
    </row>
    <row r="21">
      <c r="A21" s="3" t="inlineStr">
        <is>
          <t>Signature:</t>
        </is>
      </c>
      <c r="B21" s="4" t="n"/>
    </row>
    <row r="22">
      <c r="A22" s="3" t="inlineStr">
        <is>
          <t>Comments:</t>
        </is>
      </c>
      <c r="B22" s="4" t="n"/>
    </row>
    <row r="24">
      <c r="A24" s="9" t="inlineStr">
        <is>
          <t>APPROVED BY (CISO)</t>
        </is>
      </c>
    </row>
    <row r="25">
      <c r="A25" s="3" t="inlineStr">
        <is>
          <t>Name:</t>
        </is>
      </c>
      <c r="B25" s="4" t="n"/>
    </row>
    <row r="26">
      <c r="A26" s="3" t="inlineStr">
        <is>
          <t>Title:</t>
        </is>
      </c>
      <c r="B26" s="4" t="n"/>
    </row>
    <row r="27">
      <c r="A27" s="3" t="inlineStr">
        <is>
          <t>Date:</t>
        </is>
      </c>
      <c r="B27" s="4" t="n"/>
    </row>
    <row r="28">
      <c r="A28" s="3" t="inlineStr">
        <is>
          <t>Signature:</t>
        </is>
      </c>
      <c r="B28" s="4" t="n"/>
    </row>
    <row r="29">
      <c r="A29" s="3" t="inlineStr">
        <is>
          <t>Comments:</t>
        </is>
      </c>
      <c r="B29" s="4" t="n"/>
    </row>
    <row r="31">
      <c r="A31" s="3" t="inlineStr">
        <is>
          <t>FINAL DECISION:</t>
        </is>
      </c>
      <c r="B31" s="4" t="n"/>
    </row>
    <row r="34">
      <c r="A34" s="19" t="inlineStr">
        <is>
          <t>NEXT REVIEW DETAILS</t>
        </is>
      </c>
    </row>
    <row r="35">
      <c r="A35" s="3" t="inlineStr">
        <is>
          <t>Next Review Date:</t>
        </is>
      </c>
      <c r="B35" s="4" t="n"/>
    </row>
    <row r="36">
      <c r="A36" s="3" t="inlineStr">
        <is>
          <t>Review Responsible:</t>
        </is>
      </c>
      <c r="B36" s="4" t="n"/>
    </row>
    <row r="37">
      <c r="A37" s="3" t="inlineStr">
        <is>
          <t>Special Considerations:</t>
        </is>
      </c>
      <c r="B37" s="4" t="n"/>
    </row>
  </sheetData>
  <mergeCells count="29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2026-02-10T21:25:19Z</dcterms:created>
  <dcterms:modified xmlns:dcterms="http://purl.org/dc/terms/" xmlns:xsi="http://www.w3.org/2001/XMLSchema-instance" xsi:type="dcterms:W3CDTF">2026-02-10T21:25:19Z</dcterms:modified>
</cp:coreProperties>
</file>