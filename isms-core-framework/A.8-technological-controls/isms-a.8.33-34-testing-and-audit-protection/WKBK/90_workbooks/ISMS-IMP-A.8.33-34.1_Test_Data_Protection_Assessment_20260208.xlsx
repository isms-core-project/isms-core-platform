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and_Legend" sheetId="1" state="visible" r:id="rId1"/>
    <sheet xmlns:r="http://schemas.openxmlformats.org/officeDocument/2006/relationships" name="Test_Data_Inventory" sheetId="2" state="visible" r:id="rId2"/>
    <sheet xmlns:r="http://schemas.openxmlformats.org/officeDocument/2006/relationships" name="Data_Masking_Assessment" sheetId="3" state="visible" r:id="rId3"/>
    <sheet xmlns:r="http://schemas.openxmlformats.org/officeDocument/2006/relationships" name="Test_Environment_Registry" sheetId="4" state="visible" r:id="rId4"/>
    <sheet xmlns:r="http://schemas.openxmlformats.org/officeDocument/2006/relationships" name="Data_Refresh_Schedule" sheetId="5" state="visible" r:id="rId5"/>
    <sheet xmlns:r="http://schemas.openxmlformats.org/officeDocument/2006/relationships" name="Compliance_Verification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Approval_Sign_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003366"/>
      <sz val="11"/>
    </font>
    <font>
      <b val="1"/>
      <sz val="11"/>
    </font>
    <font>
      <b val="1"/>
      <color rgb="00FFFFFF"/>
      <sz val="11"/>
    </font>
    <font>
      <b val="1"/>
      <sz val="12"/>
    </font>
    <font>
      <b val="1"/>
      <color rgb="00003366"/>
      <sz val="16"/>
    </font>
    <font>
      <i val="1"/>
    </font>
    <font>
      <b val="1"/>
      <color rgb="00C00000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ISMS-IMP-A.8.33-34.1 - Test Data Protection Assessment</t>
        </is>
      </c>
    </row>
    <row r="2">
      <c r="A2" s="2" t="inlineStr">
        <is>
          <t>ISO/IEC 27001:2022 - Controls A.8.33 &amp; A.8.34: Test Data Governance</t>
        </is>
      </c>
    </row>
    <row r="3">
      <c r="A3" t="inlineStr"/>
    </row>
    <row r="4">
      <c r="A4" s="3" t="inlineStr">
        <is>
          <t>PURPOSE</t>
        </is>
      </c>
    </row>
    <row r="5">
      <c r="A5" t="inlineStr">
        <is>
          <t>This workbook tracks test data governance and protection compliance including</t>
        </is>
      </c>
    </row>
    <row r="6">
      <c r="A6" t="inlineStr">
        <is>
          <t>test data inventory, masking effectiveness, environment security, and refresh governance.</t>
        </is>
      </c>
    </row>
    <row r="7">
      <c r="A7" t="inlineStr"/>
    </row>
    <row r="8">
      <c r="A8" s="3" t="inlineStr">
        <is>
          <t>SHEETS</t>
        </is>
      </c>
    </row>
    <row r="9">
      <c r="A9" t="inlineStr">
        <is>
          <t>1. Instructions_and_Legend - This guidance sheet</t>
        </is>
      </c>
    </row>
    <row r="10">
      <c r="A10" t="inlineStr">
        <is>
          <t>2. Test_Data_Inventory - Registry of all production data copied to test environments</t>
        </is>
      </c>
    </row>
    <row r="11">
      <c r="A11" t="inlineStr">
        <is>
          <t>3. Data_Masking_Assessment - Evaluation of data masking and anonymization effectiveness</t>
        </is>
      </c>
    </row>
    <row r="12">
      <c r="A12" t="inlineStr">
        <is>
          <t>4. Test_Environment_Registry - Inventory of all test environments with security posture</t>
        </is>
      </c>
    </row>
    <row r="13">
      <c r="A13" t="inlineStr">
        <is>
          <t>5. Data_Refresh_Schedule - Governance of test data refresh cycles and authorizations</t>
        </is>
      </c>
    </row>
    <row r="14">
      <c r="A14" t="inlineStr">
        <is>
          <t>6. Compliance_Verification - Documentation of compliance status and verification activities</t>
        </is>
      </c>
    </row>
    <row r="15">
      <c r="A15" t="inlineStr">
        <is>
          <t>7. Summary_Dashboard - Executive overview of test data governance compliance</t>
        </is>
      </c>
    </row>
    <row r="16">
      <c r="A16" t="inlineStr">
        <is>
          <t>8. Evidence_Register - Documentation supporting assessment findings</t>
        </is>
      </c>
    </row>
    <row r="17">
      <c r="A17" t="inlineStr">
        <is>
          <t>9. Approval_Sign_Off - Three-level approval workflow</t>
        </is>
      </c>
    </row>
    <row r="18">
      <c r="A18" t="inlineStr"/>
    </row>
    <row r="19">
      <c r="A19" s="3" t="inlineStr">
        <is>
          <t>STATUS LEGEND</t>
        </is>
      </c>
    </row>
    <row r="20">
      <c r="A20" t="inlineStr">
        <is>
          <t>Compliant - Fully meets requirement</t>
        </is>
      </c>
    </row>
    <row r="21">
      <c r="A21" t="inlineStr">
        <is>
          <t>Partial - Partially meets requirement, improvement needed</t>
        </is>
      </c>
    </row>
    <row r="22">
      <c r="A22" t="inlineStr">
        <is>
          <t>Non-Compliant - Does not meet requirement</t>
        </is>
      </c>
    </row>
    <row r="23">
      <c r="A23" t="inlineStr">
        <is>
          <t>Planned - Implementation planned</t>
        </is>
      </c>
    </row>
    <row r="24">
      <c r="A24" t="inlineStr">
        <is>
          <t>N/A - Not Applicable</t>
        </is>
      </c>
    </row>
    <row r="25">
      <c r="A25" t="inlineStr"/>
    </row>
    <row r="26">
      <c r="A26" s="3" t="inlineStr">
        <is>
          <t>MASKING EFFECTIVENESS SCALE</t>
        </is>
      </c>
    </row>
    <row r="27">
      <c r="A27" t="inlineStr">
        <is>
          <t>5 - Excellent: All PII fully anonymized, irreversible</t>
        </is>
      </c>
    </row>
    <row r="28">
      <c r="A28" t="inlineStr">
        <is>
          <t>4 - Good: Strong masking, minimal re-identification risk</t>
        </is>
      </c>
    </row>
    <row r="29">
      <c r="A29" t="inlineStr">
        <is>
          <t>3 - Adequate: Reasonable masking, some risk</t>
        </is>
      </c>
    </row>
    <row r="30">
      <c r="A30" t="inlineStr">
        <is>
          <t>2 - Poor: Weak masking, significant risk</t>
        </is>
      </c>
    </row>
    <row r="31">
      <c r="A31" t="inlineStr">
        <is>
          <t>1 - Inadequate: Minimal/no masking, high risk</t>
        </is>
      </c>
    </row>
    <row r="32">
      <c r="A32" t="inlineStr"/>
    </row>
    <row r="33">
      <c r="A33" t="inlineStr">
        <is>
          <t>Generated: 08.02.2026</t>
        </is>
      </c>
    </row>
    <row r="34">
      <c r="A34" t="inlineStr">
        <is>
          <t>Control Reference: ISO/IEC 27001:2022 - Control A.8.33-34: Testing and Audit Protection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5" customWidth="1" min="4" max="4"/>
    <col width="18" customWidth="1" min="5" max="5"/>
    <col width="12" customWidth="1" min="6" max="6"/>
    <col width="30" customWidth="1" min="7" max="7"/>
    <col width="15" customWidth="1" min="8" max="8"/>
    <col width="18" customWidth="1" min="9" max="9"/>
    <col width="25" customWidth="1" min="10" max="10"/>
    <col width="25" customWidth="1" min="11" max="11"/>
    <col width="15" customWidth="1" min="12" max="12"/>
    <col width="15" customWidth="1" min="13" max="13"/>
    <col width="18" customWidth="1" min="14" max="14"/>
    <col width="12" customWidth="1" min="15" max="15"/>
    <col width="18" customWidth="1" min="16" max="16"/>
    <col width="40" customWidth="1" min="17" max="17"/>
    <col width="15" customWidth="1" min="18" max="18"/>
    <col width="20" customWidth="1" min="19" max="19"/>
    <col width="30" customWidth="1" min="20" max="20"/>
  </cols>
  <sheetData>
    <row r="1">
      <c r="A1" s="4" t="inlineStr">
        <is>
          <t>TEST DATA INVENTORY</t>
        </is>
      </c>
    </row>
    <row r="2">
      <c r="A2" t="inlineStr">
        <is>
          <t>Registry of all production data copied to test environments</t>
        </is>
      </c>
    </row>
    <row r="4">
      <c r="A4" s="5" t="inlineStr">
        <is>
          <t>Data_Set_ID</t>
        </is>
      </c>
      <c r="B4" s="5" t="inlineStr">
        <is>
          <t>Data_Set_Name</t>
        </is>
      </c>
      <c r="C4" s="5" t="inlineStr">
        <is>
          <t>Source_System</t>
        </is>
      </c>
      <c r="D4" s="5" t="inlineStr">
        <is>
          <t>Target_Environment</t>
        </is>
      </c>
      <c r="E4" s="5" t="inlineStr">
        <is>
          <t>Data_Classification</t>
        </is>
      </c>
      <c r="F4" s="5" t="inlineStr">
        <is>
          <t>Contains_PII</t>
        </is>
      </c>
      <c r="G4" s="5" t="inlineStr">
        <is>
          <t>PII_Categories</t>
        </is>
      </c>
      <c r="H4" s="5" t="inlineStr">
        <is>
          <t>Data_Volume</t>
        </is>
      </c>
      <c r="I4" s="5" t="inlineStr">
        <is>
          <t>Authorization_Status</t>
        </is>
      </c>
      <c r="J4" s="5" t="inlineStr">
        <is>
          <t>Data_Owner</t>
        </is>
      </c>
      <c r="K4" s="5" t="inlineStr">
        <is>
          <t>Authorizer</t>
        </is>
      </c>
      <c r="L4" s="5" t="inlineStr">
        <is>
          <t>Authorization_Date</t>
        </is>
      </c>
      <c r="M4" s="5" t="inlineStr">
        <is>
          <t>Last_Copy_Date</t>
        </is>
      </c>
      <c r="N4" s="5" t="inlineStr">
        <is>
          <t>Refresh_Frequency</t>
        </is>
      </c>
      <c r="O4" s="5" t="inlineStr">
        <is>
          <t>Masking_Required</t>
        </is>
      </c>
      <c r="P4" s="5" t="inlineStr">
        <is>
          <t>Masking_Status</t>
        </is>
      </c>
      <c r="Q4" s="5" t="inlineStr">
        <is>
          <t>Business_Justification</t>
        </is>
      </c>
      <c r="R4" s="5" t="inlineStr">
        <is>
          <t>Expiration_Date</t>
        </is>
      </c>
      <c r="S4" s="5" t="inlineStr">
        <is>
          <t>Evidence_Reference</t>
        </is>
      </c>
      <c r="T4" s="5" t="inlineStr">
        <is>
          <t>Notes</t>
        </is>
      </c>
    </row>
    <row r="5">
      <c r="A5" s="6" t="inlineStr">
        <is>
          <t>TDI-001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6" t="inlineStr">
        <is>
          <t>TDI-002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6" t="inlineStr">
        <is>
          <t>TDI-003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inlineStr">
        <is>
          <t>TDI-004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inlineStr">
        <is>
          <t>TDI-005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inlineStr">
        <is>
          <t>TDI-006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inlineStr">
        <is>
          <t>TDI-007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inlineStr">
        <is>
          <t>TDI-008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inlineStr">
        <is>
          <t>TDI-009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inlineStr">
        <is>
          <t>TDI-010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inlineStr">
        <is>
          <t>TDI-011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inlineStr">
        <is>
          <t>TDI-012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inlineStr">
        <is>
          <t>TDI-013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inlineStr">
        <is>
          <t>TDI-014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inlineStr">
        <is>
          <t>TDI-015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inlineStr">
        <is>
          <t>TDI-016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inlineStr">
        <is>
          <t>TDI-017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inlineStr">
        <is>
          <t>TDI-018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inlineStr">
        <is>
          <t>TDI-019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inlineStr">
        <is>
          <t>TDI-020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TDI-021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inlineStr">
        <is>
          <t>TDI-022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inlineStr">
        <is>
          <t>TDI-023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inlineStr">
        <is>
          <t>TDI-024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inlineStr">
        <is>
          <t>TDI-025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inlineStr">
        <is>
          <t>TDI-026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inlineStr">
        <is>
          <t>TDI-027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inlineStr">
        <is>
          <t>TDI-028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inlineStr">
        <is>
          <t>TDI-029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inlineStr">
        <is>
          <t>TDI-030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>
      <c r="A35" s="6" t="inlineStr">
        <is>
          <t>TDI-031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>
      <c r="A36" s="6" t="inlineStr">
        <is>
          <t>TDI-032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>
      <c r="A37" s="6" t="inlineStr">
        <is>
          <t>TDI-033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>
      <c r="A38" s="6" t="inlineStr">
        <is>
          <t>TDI-034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>
      <c r="A39" s="6" t="inlineStr">
        <is>
          <t>TDI-035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>
      <c r="A40" s="6" t="inlineStr">
        <is>
          <t>TDI-036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>
      <c r="A41" s="6" t="inlineStr">
        <is>
          <t>TDI-037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>
      <c r="A42" s="6" t="inlineStr">
        <is>
          <t>TDI-038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6" t="inlineStr">
        <is>
          <t>TDI-039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>
      <c r="A44" s="6" t="inlineStr">
        <is>
          <t>TDI-040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>
      <c r="A45" s="6" t="inlineStr">
        <is>
          <t>TDI-041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6" t="inlineStr">
        <is>
          <t>TDI-042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>
      <c r="A47" s="6" t="inlineStr">
        <is>
          <t>TDI-043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>
      <c r="A48" s="6" t="inlineStr">
        <is>
          <t>TDI-044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>
      <c r="A49" s="6" t="inlineStr">
        <is>
          <t>TDI-045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>
      <c r="A50" s="6" t="inlineStr">
        <is>
          <t>TDI-046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>
      <c r="A51" s="6" t="inlineStr">
        <is>
          <t>TDI-047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</row>
    <row r="52">
      <c r="A52" s="6" t="inlineStr">
        <is>
          <t>TDI-048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</row>
    <row r="53">
      <c r="A53" s="6" t="inlineStr">
        <is>
          <t>TDI-049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>
      <c r="A54" s="6" t="inlineStr">
        <is>
          <t>TDI-050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5">
      <c r="A55" s="6" t="inlineStr">
        <is>
          <t>TDI-051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</row>
    <row r="56">
      <c r="A56" s="6" t="inlineStr">
        <is>
          <t>TDI-052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</row>
    <row r="57">
      <c r="A57" s="6" t="inlineStr">
        <is>
          <t>TDI-053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</row>
    <row r="58">
      <c r="A58" s="6" t="inlineStr">
        <is>
          <t>TDI-054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</row>
    <row r="59">
      <c r="A59" s="6" t="inlineStr">
        <is>
          <t>TDI-055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</row>
    <row r="60">
      <c r="A60" s="6" t="inlineStr">
        <is>
          <t>TDI-056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</row>
    <row r="61">
      <c r="A61" s="6" t="inlineStr">
        <is>
          <t>TDI-057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</row>
    <row r="62">
      <c r="A62" s="6" t="inlineStr">
        <is>
          <t>TDI-058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</row>
    <row r="63">
      <c r="A63" s="6" t="inlineStr">
        <is>
          <t>TDI-059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</row>
    <row r="64">
      <c r="A64" s="6" t="inlineStr">
        <is>
          <t>TDI-060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</row>
    <row r="65">
      <c r="A65" s="6" t="inlineStr">
        <is>
          <t>TDI-061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</row>
    <row r="66">
      <c r="A66" s="6" t="inlineStr">
        <is>
          <t>TDI-062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</row>
    <row r="67">
      <c r="A67" s="6" t="inlineStr">
        <is>
          <t>TDI-063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</row>
    <row r="68">
      <c r="A68" s="6" t="inlineStr">
        <is>
          <t>TDI-064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</row>
    <row r="69">
      <c r="A69" s="6" t="inlineStr">
        <is>
          <t>TDI-065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</row>
    <row r="70">
      <c r="A70" s="6" t="inlineStr">
        <is>
          <t>TDI-066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</row>
    <row r="71">
      <c r="A71" s="6" t="inlineStr">
        <is>
          <t>TDI-067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</row>
    <row r="72">
      <c r="A72" s="6" t="inlineStr">
        <is>
          <t>TDI-068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</row>
    <row r="73">
      <c r="A73" s="6" t="inlineStr">
        <is>
          <t>TDI-069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</row>
    <row r="74">
      <c r="A74" s="6" t="inlineStr">
        <is>
          <t>TDI-070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</row>
    <row r="75">
      <c r="A75" s="6" t="inlineStr">
        <is>
          <t>TDI-071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</row>
    <row r="76">
      <c r="A76" s="6" t="inlineStr">
        <is>
          <t>TDI-072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</row>
    <row r="77">
      <c r="A77" s="6" t="inlineStr">
        <is>
          <t>TDI-073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</row>
    <row r="78">
      <c r="A78" s="6" t="inlineStr">
        <is>
          <t>TDI-074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</row>
    <row r="79">
      <c r="A79" s="6" t="inlineStr">
        <is>
          <t>TDI-075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</row>
    <row r="80">
      <c r="A80" s="6" t="inlineStr">
        <is>
          <t>TDI-076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</row>
    <row r="81">
      <c r="A81" s="6" t="inlineStr">
        <is>
          <t>TDI-077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</row>
    <row r="82">
      <c r="A82" s="6" t="inlineStr">
        <is>
          <t>TDI-078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</row>
    <row r="83">
      <c r="A83" s="6" t="inlineStr">
        <is>
          <t>TDI-079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</row>
    <row r="84">
      <c r="A84" s="6" t="inlineStr">
        <is>
          <t>TDI-080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</row>
    <row r="85">
      <c r="A85" s="6" t="inlineStr">
        <is>
          <t>TDI-081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</row>
    <row r="86">
      <c r="A86" s="6" t="inlineStr">
        <is>
          <t>TDI-082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</row>
    <row r="87">
      <c r="A87" s="6" t="inlineStr">
        <is>
          <t>TDI-083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</row>
    <row r="88">
      <c r="A88" s="6" t="inlineStr">
        <is>
          <t>TDI-084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</row>
    <row r="89">
      <c r="A89" s="6" t="inlineStr">
        <is>
          <t>TDI-085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</row>
    <row r="90">
      <c r="A90" s="6" t="inlineStr">
        <is>
          <t>TDI-086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</row>
    <row r="91">
      <c r="A91" s="6" t="inlineStr">
        <is>
          <t>TDI-087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</row>
    <row r="92">
      <c r="A92" s="6" t="inlineStr">
        <is>
          <t>TDI-088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</row>
    <row r="93">
      <c r="A93" s="6" t="inlineStr">
        <is>
          <t>TDI-089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</row>
    <row r="94">
      <c r="A94" s="6" t="inlineStr">
        <is>
          <t>TDI-090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</row>
    <row r="95">
      <c r="A95" s="6" t="inlineStr">
        <is>
          <t>TDI-091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</row>
    <row r="96">
      <c r="A96" s="6" t="inlineStr">
        <is>
          <t>TDI-092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</row>
    <row r="97">
      <c r="A97" s="6" t="inlineStr">
        <is>
          <t>TDI-093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</row>
    <row r="98">
      <c r="A98" s="6" t="inlineStr">
        <is>
          <t>TDI-094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</row>
    <row r="99">
      <c r="A99" s="6" t="inlineStr">
        <is>
          <t>TDI-095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</row>
    <row r="100">
      <c r="A100" s="6" t="inlineStr">
        <is>
          <t>TDI-096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</row>
    <row r="101">
      <c r="A101" s="6" t="inlineStr">
        <is>
          <t>TDI-097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</row>
    <row r="102">
      <c r="A102" s="6" t="inlineStr">
        <is>
          <t>TDI-098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</row>
    <row r="103">
      <c r="A103" s="6" t="inlineStr">
        <is>
          <t>TDI-099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</row>
    <row r="104">
      <c r="A104" s="6" t="inlineStr">
        <is>
          <t>TDI-100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</row>
    <row r="107">
      <c r="A107" s="7" t="inlineStr">
        <is>
          <t>SUMMARY STATISTICS</t>
        </is>
      </c>
    </row>
    <row r="109">
      <c r="A109" s="8" t="inlineStr">
        <is>
          <t>Total Data Sets</t>
        </is>
      </c>
      <c r="B109" s="8">
        <f>COUNTA(B5:B104)</f>
        <v/>
      </c>
    </row>
    <row r="110">
      <c r="A110" s="8" t="inlineStr">
        <is>
          <t>Authorized Data Sets</t>
        </is>
      </c>
      <c r="B110" s="8">
        <f>COUNTIF(I5:I104,"Authorized")</f>
        <v/>
      </c>
    </row>
    <row r="111">
      <c r="A111" s="8" t="inlineStr">
        <is>
          <t>Pending Authorization</t>
        </is>
      </c>
      <c r="B111" s="8">
        <f>COUNTIF(I5:I104,"Pending")</f>
        <v/>
      </c>
    </row>
    <row r="112">
      <c r="A112" s="8" t="inlineStr">
        <is>
          <t>Unauthorized Data Sets</t>
        </is>
      </c>
      <c r="B112" s="8">
        <f>COUNTIF(I5:I104,"Unauthorized")</f>
        <v/>
      </c>
    </row>
    <row r="113">
      <c r="A113" s="8" t="inlineStr">
        <is>
          <t>Data Sets with PII</t>
        </is>
      </c>
      <c r="B113" s="8">
        <f>COUNTIF(F5:F104,"Yes")</f>
        <v/>
      </c>
    </row>
    <row r="114">
      <c r="A114" s="8" t="inlineStr">
        <is>
          <t>Fully Masked PII Sets</t>
        </is>
      </c>
      <c r="B114" s="8">
        <f>COUNTIFS(F5:F104,"Yes",P5:P104,"Fully Masked")</f>
        <v/>
      </c>
    </row>
    <row r="115">
      <c r="A115" s="8" t="inlineStr">
        <is>
          <t>Partially Masked PII Sets</t>
        </is>
      </c>
      <c r="B115" s="8">
        <f>COUNTIFS(F5:F104,"Yes",P5:P104,"Partially Masked")</f>
        <v/>
      </c>
    </row>
    <row r="116">
      <c r="A116" s="8" t="inlineStr">
        <is>
          <t>Unmasked PII Sets</t>
        </is>
      </c>
      <c r="B116" s="8">
        <f>COUNTIFS(F5:F104,"Yes",P5:P104,"Not Masked")</f>
        <v/>
      </c>
    </row>
  </sheetData>
  <mergeCells count="1">
    <mergeCell ref="A1:T1"/>
  </mergeCells>
  <dataValidations count="5">
    <dataValidation sqref="E5:E104" showDropDown="0" showInputMessage="0" showErrorMessage="0" allowBlank="0" type="list">
      <formula1>"Public,Internal,Confidential,Restricted"</formula1>
    </dataValidation>
    <dataValidation sqref="F5:F104 O5:O104" showDropDown="0" showInputMessage="0" showErrorMessage="0" allowBlank="0" type="list">
      <formula1>"Yes,No"</formula1>
    </dataValidation>
    <dataValidation sqref="I5:I104" showDropDown="0" showInputMessage="0" showErrorMessage="0" allowBlank="0" type="list">
      <formula1>"Authorized,Pending,Unauthorized"</formula1>
    </dataValidation>
    <dataValidation sqref="N5:N104" showDropDown="0" showInputMessage="0" showErrorMessage="0" allowBlank="0" type="list">
      <formula1>"Daily,Weekly,Monthly,Quarterly,Ad-Hoc,One-Time"</formula1>
    </dataValidation>
    <dataValidation sqref="P5:P104" showDropDown="0" showInputMessage="0" showErrorMessage="0" allowBlank="0" type="list">
      <formula1>"Fully Masked,Partially Masked,Not Masked,N/A"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2" customWidth="1" min="4" max="4"/>
    <col width="18" customWidth="1" min="5" max="5"/>
    <col width="25" customWidth="1" min="6" max="6"/>
    <col width="25" customWidth="1" min="7" max="7"/>
    <col width="12" customWidth="1" min="8" max="8"/>
    <col width="40" customWidth="1" min="9" max="9"/>
    <col width="40" customWidth="1" min="10" max="10"/>
    <col width="40" customWidth="1" min="11" max="11"/>
    <col width="15" customWidth="1" min="12" max="12"/>
    <col width="25" customWidth="1" min="13" max="13"/>
    <col width="18" customWidth="1" min="14" max="14"/>
    <col width="18" customWidth="1" min="15" max="15"/>
    <col width="25" customWidth="1" min="16" max="16"/>
    <col width="15" customWidth="1" min="17" max="17"/>
    <col width="18" customWidth="1" min="18" max="18"/>
    <col width="12" customWidth="1" min="19" max="19"/>
    <col width="40" customWidth="1" min="20" max="20"/>
    <col width="20" customWidth="1" min="21" max="21"/>
  </cols>
  <sheetData>
    <row r="1">
      <c r="A1" s="4" t="inlineStr">
        <is>
          <t>DATA MASKING ASSESSMENT</t>
        </is>
      </c>
    </row>
    <row r="2">
      <c r="A2" t="inlineStr">
        <is>
          <t>Evaluation of data masking and anonymization effectiveness</t>
        </is>
      </c>
    </row>
    <row r="4">
      <c r="A4" s="5" t="inlineStr">
        <is>
          <t>Data_Set_ID</t>
        </is>
      </c>
      <c r="B4" s="5" t="inlineStr">
        <is>
          <t>Data_Set_Name</t>
        </is>
      </c>
      <c r="C4" s="5" t="inlineStr">
        <is>
          <t>Target_Environment</t>
        </is>
      </c>
      <c r="D4" s="5" t="inlineStr">
        <is>
          <t>Contains_PII</t>
        </is>
      </c>
      <c r="E4" s="5" t="inlineStr">
        <is>
          <t>Masking_Status</t>
        </is>
      </c>
      <c r="F4" s="5" t="inlineStr">
        <is>
          <t>Primary_Masking_Technique</t>
        </is>
      </c>
      <c r="G4" s="5" t="inlineStr">
        <is>
          <t>Masking_Tool</t>
        </is>
      </c>
      <c r="H4" s="5" t="inlineStr">
        <is>
          <t>Masking_Effectiveness_Score</t>
        </is>
      </c>
      <c r="I4" s="5" t="inlineStr">
        <is>
          <t>PII_Fields_Identified</t>
        </is>
      </c>
      <c r="J4" s="5" t="inlineStr">
        <is>
          <t>PII_Fields_Masked</t>
        </is>
      </c>
      <c r="K4" s="5" t="inlineStr">
        <is>
          <t>PII_Fields_Unmasked</t>
        </is>
      </c>
      <c r="L4" s="5" t="inlineStr">
        <is>
          <t>Masking_Verification_Date</t>
        </is>
      </c>
      <c r="M4" s="5" t="inlineStr">
        <is>
          <t>Verification_Method</t>
        </is>
      </c>
      <c r="N4" s="5" t="inlineStr">
        <is>
          <t>Re_identification_Risk</t>
        </is>
      </c>
      <c r="O4" s="5" t="inlineStr">
        <is>
          <t>Masking_Gap_Severity</t>
        </is>
      </c>
      <c r="P4" s="5" t="inlineStr">
        <is>
          <t>Remediation_Owner</t>
        </is>
      </c>
      <c r="Q4" s="5" t="inlineStr">
        <is>
          <t>Remediation_Target_Date</t>
        </is>
      </c>
      <c r="R4" s="5" t="inlineStr">
        <is>
          <t>Remediation_Status</t>
        </is>
      </c>
      <c r="S4" s="5" t="inlineStr">
        <is>
          <t>Exception_Approved</t>
        </is>
      </c>
      <c r="T4" s="5" t="inlineStr">
        <is>
          <t>Exception_Justification</t>
        </is>
      </c>
      <c r="U4" s="5" t="inlineStr">
        <is>
          <t>Evidence_Reference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</row>
    <row r="107">
      <c r="A107" s="7" t="inlineStr">
        <is>
          <t>MASKING TECHNIQUE SUMMARY</t>
        </is>
      </c>
    </row>
    <row r="109">
      <c r="A109" s="8" t="inlineStr">
        <is>
          <t>Substitution</t>
        </is>
      </c>
      <c r="B109" s="8">
        <f>COUNTIF(F5:F104,"Substitution")</f>
        <v/>
      </c>
    </row>
    <row r="110">
      <c r="A110" s="8" t="inlineStr">
        <is>
          <t>Shuffling</t>
        </is>
      </c>
      <c r="B110" s="8">
        <f>COUNTIF(F5:F104,"Shuffling")</f>
        <v/>
      </c>
    </row>
    <row r="111">
      <c r="A111" s="8" t="inlineStr">
        <is>
          <t>Tokenization</t>
        </is>
      </c>
      <c r="B111" s="8">
        <f>COUNTIF(F5:F104,"Tokenization")</f>
        <v/>
      </c>
    </row>
    <row r="112">
      <c r="A112" s="8" t="inlineStr">
        <is>
          <t>Encryption</t>
        </is>
      </c>
      <c r="B112" s="8">
        <f>COUNTIF(F5:F104,"Encryption")</f>
        <v/>
      </c>
    </row>
    <row r="113">
      <c r="A113" s="8" t="inlineStr">
        <is>
          <t>Synthetic</t>
        </is>
      </c>
      <c r="B113" s="8">
        <f>COUNTIF(F5:F104,"Synthetic")</f>
        <v/>
      </c>
    </row>
    <row r="114">
      <c r="A114" s="8" t="inlineStr">
        <is>
          <t>Anonymization</t>
        </is>
      </c>
      <c r="B114" s="8">
        <f>COUNTIF(F5:F104,"Anonymization")</f>
        <v/>
      </c>
    </row>
    <row r="115">
      <c r="A115" s="8" t="inlineStr">
        <is>
          <t>None</t>
        </is>
      </c>
      <c r="B115" s="8">
        <f>COUNTIF(F5:F104,"None")</f>
        <v/>
      </c>
    </row>
    <row r="117">
      <c r="A117" s="7" t="inlineStr">
        <is>
          <t>EFFECTIVENESS SUMMARY</t>
        </is>
      </c>
    </row>
    <row r="119">
      <c r="A119" s="8" t="inlineStr">
        <is>
          <t>Average Effectiveness Score</t>
        </is>
      </c>
      <c r="B119" s="8">
        <f>AVERAGE(H5:H104)</f>
        <v/>
      </c>
    </row>
    <row r="120">
      <c r="A120" s="8" t="inlineStr">
        <is>
          <t>High Re-identification Risk</t>
        </is>
      </c>
      <c r="B120" s="8">
        <f>COUNTIF(N5:N104,"High")</f>
        <v/>
      </c>
    </row>
    <row r="121">
      <c r="A121" s="8" t="inlineStr">
        <is>
          <t>Critical Masking Gaps</t>
        </is>
      </c>
      <c r="B121" s="8">
        <f>COUNTIF(O5:O104,"Critical")</f>
        <v/>
      </c>
    </row>
  </sheetData>
  <mergeCells count="1">
    <mergeCell ref="A1:U1"/>
  </mergeCells>
  <dataValidations count="8">
    <dataValidation sqref="D5:D104 S5:S104" showDropDown="0" showInputMessage="0" showErrorMessage="0" allowBlank="0" type="list">
      <formula1>"Yes,No"</formula1>
    </dataValidation>
    <dataValidation sqref="E5:E104" showDropDown="0" showInputMessage="0" showErrorMessage="0" allowBlank="0" type="list">
      <formula1>"Fully Masked,Partially Masked,Not Masked,N/A"</formula1>
    </dataValidation>
    <dataValidation sqref="F5:F104" showDropDown="0" showInputMessage="0" showErrorMessage="0" allowBlank="0" type="list">
      <formula1>"Substitution,Shuffling,Tokenization,Encryption,Synthetic,Anonymization,None"</formula1>
    </dataValidation>
    <dataValidation sqref="H5:H104" showDropDown="0" showInputMessage="0" showErrorMessage="0" allowBlank="0" type="list">
      <formula1>"1,2,3,4,5"</formula1>
    </dataValidation>
    <dataValidation sqref="M5:M104" showDropDown="0" showInputMessage="0" showErrorMessage="0" allowBlank="0" type="list">
      <formula1>"Automated,Manual Sampling,None"</formula1>
    </dataValidation>
    <dataValidation sqref="N5:N104" showDropDown="0" showInputMessage="0" showErrorMessage="0" allowBlank="0" type="list">
      <formula1>"High,Medium,Low,None"</formula1>
    </dataValidation>
    <dataValidation sqref="O5:O104" showDropDown="0" showInputMessage="0" showErrorMessage="0" allowBlank="0" type="list">
      <formula1>"Critical,High,Medium,Low"</formula1>
    </dataValidation>
    <dataValidation sqref="R5:R104" showDropDown="0" showInputMessage="0" showErrorMessage="0" allowBlank="0" type="list">
      <formula1>"Not Started,In Progress,Completed"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5" customWidth="1" min="5" max="5"/>
    <col width="25" customWidth="1" min="6" max="6"/>
    <col width="18" customWidth="1" min="7" max="7"/>
    <col width="12" customWidth="1" min="8" max="8"/>
    <col width="25" customWidth="1" min="9" max="9"/>
    <col width="18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5" customWidth="1" min="16" max="16"/>
    <col width="15" customWidth="1" min="17" max="17"/>
    <col width="12" customWidth="1" min="18" max="18"/>
    <col width="40" customWidth="1" min="19" max="19"/>
    <col width="25" customWidth="1" min="20" max="20"/>
    <col width="20" customWidth="1" min="21" max="21"/>
  </cols>
  <sheetData>
    <row r="1">
      <c r="A1" s="4" t="inlineStr">
        <is>
          <t>TEST ENVIRONMENT REGISTRY</t>
        </is>
      </c>
    </row>
    <row r="2">
      <c r="A2" t="inlineStr">
        <is>
          <t>Inventory of all test environments with security posture assessment</t>
        </is>
      </c>
    </row>
    <row r="4">
      <c r="A4" s="5" t="inlineStr">
        <is>
          <t>Environment_ID</t>
        </is>
      </c>
      <c r="B4" s="5" t="inlineStr">
        <is>
          <t>Environment_Name</t>
        </is>
      </c>
      <c r="C4" s="5" t="inlineStr">
        <is>
          <t>Environment_Type</t>
        </is>
      </c>
      <c r="D4" s="5" t="inlineStr">
        <is>
          <t>Infrastructure_Type</t>
        </is>
      </c>
      <c r="E4" s="5" t="inlineStr">
        <is>
          <t>Environment_Owner</t>
        </is>
      </c>
      <c r="F4" s="5" t="inlineStr">
        <is>
          <t>Business_Unit</t>
        </is>
      </c>
      <c r="G4" s="5" t="inlineStr">
        <is>
          <t>Highest_Data_Classification</t>
        </is>
      </c>
      <c r="H4" s="5" t="inlineStr">
        <is>
          <t>Contains_Production_Data</t>
        </is>
      </c>
      <c r="I4" s="5" t="inlineStr">
        <is>
          <t>Access_Control_Type</t>
        </is>
      </c>
      <c r="J4" s="5" t="inlineStr">
        <is>
          <t>Network_Isolation</t>
        </is>
      </c>
      <c r="K4" s="5" t="inlineStr">
        <is>
          <t>Encryption_at_Rest</t>
        </is>
      </c>
      <c r="L4" s="5" t="inlineStr">
        <is>
          <t>Encryption_in_Transit</t>
        </is>
      </c>
      <c r="M4" s="5" t="inlineStr">
        <is>
          <t>Logging_Enabled</t>
        </is>
      </c>
      <c r="N4" s="5" t="inlineStr">
        <is>
          <t>Patch_Management</t>
        </is>
      </c>
      <c r="O4" s="5" t="inlineStr">
        <is>
          <t>Security_Control_Status</t>
        </is>
      </c>
      <c r="P4" s="5" t="inlineStr">
        <is>
          <t>Last_Security_Review</t>
        </is>
      </c>
      <c r="Q4" s="5" t="inlineStr">
        <is>
          <t>Next_Review_Due</t>
        </is>
      </c>
      <c r="R4" s="5" t="inlineStr">
        <is>
          <t>Data_Masking_Enforced</t>
        </is>
      </c>
      <c r="S4" s="5" t="inlineStr">
        <is>
          <t>Environment_URL_Location</t>
        </is>
      </c>
      <c r="T4" s="5" t="inlineStr">
        <is>
          <t>Support_Contact</t>
        </is>
      </c>
      <c r="U4" s="5" t="inlineStr">
        <is>
          <t>Evidence_Reference</t>
        </is>
      </c>
    </row>
    <row r="5">
      <c r="A5" s="6" t="inlineStr">
        <is>
          <t>ENV-001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6" t="inlineStr">
        <is>
          <t>ENV-002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inlineStr">
        <is>
          <t>ENV-003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inlineStr">
        <is>
          <t>ENV-004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inlineStr">
        <is>
          <t>ENV-005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inlineStr">
        <is>
          <t>ENV-006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inlineStr">
        <is>
          <t>ENV-007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inlineStr">
        <is>
          <t>ENV-008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inlineStr">
        <is>
          <t>ENV-009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inlineStr">
        <is>
          <t>ENV-010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inlineStr">
        <is>
          <t>ENV-011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inlineStr">
        <is>
          <t>ENV-012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inlineStr">
        <is>
          <t>ENV-013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ENV-014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inlineStr">
        <is>
          <t>ENV-015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inlineStr">
        <is>
          <t>ENV-016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inlineStr">
        <is>
          <t>ENV-017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inlineStr">
        <is>
          <t>ENV-018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inlineStr">
        <is>
          <t>ENV-019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inlineStr">
        <is>
          <t>ENV-020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inlineStr">
        <is>
          <t>ENV-021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inlineStr">
        <is>
          <t>ENV-022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inlineStr">
        <is>
          <t>ENV-023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inlineStr">
        <is>
          <t>ENV-024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inlineStr">
        <is>
          <t>ENV-025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inlineStr">
        <is>
          <t>ENV-026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inlineStr">
        <is>
          <t>ENV-027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inlineStr">
        <is>
          <t>ENV-028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inlineStr">
        <is>
          <t>ENV-029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inlineStr">
        <is>
          <t>ENV-030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inlineStr">
        <is>
          <t>ENV-031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inlineStr">
        <is>
          <t>ENV-032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inlineStr">
        <is>
          <t>ENV-033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inlineStr">
        <is>
          <t>ENV-034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inlineStr">
        <is>
          <t>ENV-035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inlineStr">
        <is>
          <t>ENV-036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inlineStr">
        <is>
          <t>ENV-037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inlineStr">
        <is>
          <t>ENV-038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inlineStr">
        <is>
          <t>ENV-039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inlineStr">
        <is>
          <t>ENV-040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inlineStr">
        <is>
          <t>ENV-041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inlineStr">
        <is>
          <t>ENV-042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inlineStr">
        <is>
          <t>ENV-043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inlineStr">
        <is>
          <t>ENV-044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inlineStr">
        <is>
          <t>ENV-045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inlineStr">
        <is>
          <t>ENV-046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inlineStr">
        <is>
          <t>ENV-047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inlineStr">
        <is>
          <t>ENV-048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inlineStr">
        <is>
          <t>ENV-049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inlineStr">
        <is>
          <t>ENV-050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7">
      <c r="A57" s="7" t="inlineStr">
        <is>
          <t>ENVIRONMENT STATISTICS</t>
        </is>
      </c>
    </row>
    <row r="59">
      <c r="A59" s="8" t="inlineStr">
        <is>
          <t>Total Environments</t>
        </is>
      </c>
      <c r="B59" s="8">
        <f>COUNTA(B5:B54)</f>
        <v/>
      </c>
    </row>
    <row r="60">
      <c r="A60" s="8" t="inlineStr">
        <is>
          <t>Development Environments</t>
        </is>
      </c>
      <c r="B60" s="8">
        <f>COUNTIF(C5:C54,"Development")</f>
        <v/>
      </c>
    </row>
    <row r="61">
      <c r="A61" s="8" t="inlineStr">
        <is>
          <t>QA Environments</t>
        </is>
      </c>
      <c r="B61" s="8">
        <f>COUNTIF(C5:C54,"QA")</f>
        <v/>
      </c>
    </row>
    <row r="62">
      <c r="A62" s="8" t="inlineStr">
        <is>
          <t>UAT Environments</t>
        </is>
      </c>
      <c r="B62" s="8">
        <f>COUNTIF(C5:C54,"UAT")</f>
        <v/>
      </c>
    </row>
    <row r="63">
      <c r="A63" s="8" t="inlineStr">
        <is>
          <t>Environments with Prod Data</t>
        </is>
      </c>
      <c r="B63" s="8">
        <f>COUNTIF(H5:H54,"Yes")</f>
        <v/>
      </c>
    </row>
    <row r="64">
      <c r="A64" s="8" t="inlineStr">
        <is>
          <t>Security Compliant</t>
        </is>
      </c>
      <c r="B64" s="8">
        <f>COUNTIF(O5:O54,"Compliant")</f>
        <v/>
      </c>
    </row>
    <row r="65">
      <c r="A65" s="8" t="inlineStr">
        <is>
          <t>Security Partial</t>
        </is>
      </c>
      <c r="B65" s="8">
        <f>COUNTIF(O5:O54,"Partial")</f>
        <v/>
      </c>
    </row>
    <row r="66">
      <c r="A66" s="8" t="inlineStr">
        <is>
          <t>Security Non-Compliant</t>
        </is>
      </c>
      <c r="B66" s="8">
        <f>COUNTIF(O5:O54,"Non-Compliant")</f>
        <v/>
      </c>
    </row>
    <row r="67">
      <c r="A67" s="8" t="inlineStr">
        <is>
          <t>Full Network Isolation</t>
        </is>
      </c>
      <c r="B67" s="8">
        <f>COUNTIF(J5:J54,"Full")</f>
        <v/>
      </c>
    </row>
    <row r="68">
      <c r="A68" s="8" t="inlineStr">
        <is>
          <t>No Network Isolation</t>
        </is>
      </c>
      <c r="B68" s="8">
        <f>COUNTIF(J5:J54,"None")</f>
        <v/>
      </c>
    </row>
  </sheetData>
  <mergeCells count="1">
    <mergeCell ref="A1:U1"/>
  </mergeCells>
  <dataValidations count="9">
    <dataValidation sqref="C5:C54" showDropDown="0" showInputMessage="0" showErrorMessage="0" allowBlank="0" type="list">
      <formula1>"Development,QA,Staging,UAT,Performance,Training,DR-Test,Sandbox"</formula1>
    </dataValidation>
    <dataValidation sqref="D5:D54" showDropDown="0" showInputMessage="0" showErrorMessage="0" allowBlank="0" type="list">
      <formula1>"On-Premise,Cloud-AWS,Cloud-Azure,Cloud-GCP,Hybrid,Container,Local"</formula1>
    </dataValidation>
    <dataValidation sqref="G5:G54" showDropDown="0" showInputMessage="0" showErrorMessage="0" allowBlank="0" type="list">
      <formula1>"Public,Internal,Confidential,Restricted"</formula1>
    </dataValidation>
    <dataValidation sqref="H5:H54" showDropDown="0" showInputMessage="0" showErrorMessage="0" allowBlank="0" type="list">
      <formula1>"Yes,No"</formula1>
    </dataValidation>
    <dataValidation sqref="I5:I54" showDropDown="0" showInputMessage="0" showErrorMessage="0" allowBlank="0" type="list">
      <formula1>"RBAC,AD/LDAP,SSO,Local Accounts,None"</formula1>
    </dataValidation>
    <dataValidation sqref="J5:J54" showDropDown="0" showInputMessage="0" showErrorMessage="0" allowBlank="0" type="list">
      <formula1>"Full,Partial,None"</formula1>
    </dataValidation>
    <dataValidation sqref="K5:K54 L5:L54 M5:M54 R5:R54" showDropDown="0" showInputMessage="0" showErrorMessage="0" allowBlank="0" type="list">
      <formula1>"Yes,Partial,No"</formula1>
    </dataValidation>
    <dataValidation sqref="N5:N54" showDropDown="0" showInputMessage="0" showErrorMessage="0" allowBlank="0" type="list">
      <formula1>"Automated,Manual-Current,Manual-Delayed,None"</formula1>
    </dataValidation>
    <dataValidation sqref="O5:O54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8" customWidth="1" min="4" max="4"/>
    <col width="25" customWidth="1" min="5" max="5"/>
    <col width="15" customWidth="1" min="6" max="6"/>
    <col width="15" customWidth="1" min="7" max="7"/>
    <col width="18" customWidth="1" min="8" max="8"/>
    <col width="25" customWidth="1" min="9" max="9"/>
    <col width="15" customWidth="1" min="10" max="10"/>
    <col width="18" customWidth="1" min="11" max="11"/>
    <col width="25" customWidth="1" min="12" max="12"/>
    <col width="15" customWidth="1" min="13" max="13"/>
    <col width="15" customWidth="1" min="14" max="14"/>
    <col width="20" customWidth="1" min="15" max="15"/>
    <col width="18" customWidth="1" min="16" max="16"/>
    <col width="12" customWidth="1" min="17" max="17"/>
    <col width="25" customWidth="1" min="18" max="18"/>
    <col width="30" customWidth="1" min="19" max="19"/>
    <col width="20" customWidth="1" min="20" max="20"/>
  </cols>
  <sheetData>
    <row r="1">
      <c r="A1" s="4" t="inlineStr">
        <is>
          <t>DATA REFRESH SCHEDULE</t>
        </is>
      </c>
    </row>
    <row r="2">
      <c r="A2" t="inlineStr">
        <is>
          <t>Governance of test data refresh cycles and authorizations</t>
        </is>
      </c>
    </row>
    <row r="4">
      <c r="A4" s="5" t="inlineStr">
        <is>
          <t>Refresh_ID</t>
        </is>
      </c>
      <c r="B4" s="5" t="inlineStr">
        <is>
          <t>Target_Environment</t>
        </is>
      </c>
      <c r="C4" s="5" t="inlineStr">
        <is>
          <t>Data_Sources</t>
        </is>
      </c>
      <c r="D4" s="5" t="inlineStr">
        <is>
          <t>Refresh_Frequency</t>
        </is>
      </c>
      <c r="E4" s="5" t="inlineStr">
        <is>
          <t>Refresh_Method</t>
        </is>
      </c>
      <c r="F4" s="5" t="inlineStr">
        <is>
          <t>Last_Refresh_Date</t>
        </is>
      </c>
      <c r="G4" s="5" t="inlineStr">
        <is>
          <t>Next_Scheduled_Refresh</t>
        </is>
      </c>
      <c r="H4" s="5" t="inlineStr">
        <is>
          <t>Authorization_Status</t>
        </is>
      </c>
      <c r="I4" s="5" t="inlineStr">
        <is>
          <t>Authorizer</t>
        </is>
      </c>
      <c r="J4" s="5" t="inlineStr">
        <is>
          <t>Authorization_Date</t>
        </is>
      </c>
      <c r="K4" s="5" t="inlineStr">
        <is>
          <t>Masking_Applied_at_Refresh</t>
        </is>
      </c>
      <c r="L4" s="5" t="inlineStr">
        <is>
          <t>Masking_Tool</t>
        </is>
      </c>
      <c r="M4" s="5" t="inlineStr">
        <is>
          <t>Data_Volume</t>
        </is>
      </c>
      <c r="N4" s="5" t="inlineStr">
        <is>
          <t>Refresh_Duration</t>
        </is>
      </c>
      <c r="O4" s="5" t="inlineStr">
        <is>
          <t>Refresh_Window</t>
        </is>
      </c>
      <c r="P4" s="5" t="inlineStr">
        <is>
          <t>Retention_Period</t>
        </is>
      </c>
      <c r="Q4" s="5" t="inlineStr">
        <is>
          <t>Auto_Purge_Enabled</t>
        </is>
      </c>
      <c r="R4" s="5" t="inlineStr">
        <is>
          <t>Refresh_Owner</t>
        </is>
      </c>
      <c r="S4" s="5" t="inlineStr">
        <is>
          <t>Refresh_Log_Location</t>
        </is>
      </c>
      <c r="T4" s="5" t="inlineStr">
        <is>
          <t>Evidence_Reference</t>
        </is>
      </c>
    </row>
    <row r="5">
      <c r="A5" s="6" t="inlineStr">
        <is>
          <t>REF-001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6" t="inlineStr">
        <is>
          <t>REF-002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6" t="inlineStr">
        <is>
          <t>REF-003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inlineStr">
        <is>
          <t>REF-004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inlineStr">
        <is>
          <t>REF-005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inlineStr">
        <is>
          <t>REF-006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inlineStr">
        <is>
          <t>REF-007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inlineStr">
        <is>
          <t>REF-008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inlineStr">
        <is>
          <t>REF-009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inlineStr">
        <is>
          <t>REF-010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inlineStr">
        <is>
          <t>REF-011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inlineStr">
        <is>
          <t>REF-012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inlineStr">
        <is>
          <t>REF-013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inlineStr">
        <is>
          <t>REF-014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inlineStr">
        <is>
          <t>REF-015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inlineStr">
        <is>
          <t>REF-016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inlineStr">
        <is>
          <t>REF-017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inlineStr">
        <is>
          <t>REF-018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inlineStr">
        <is>
          <t>REF-019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inlineStr">
        <is>
          <t>REF-020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REF-021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inlineStr">
        <is>
          <t>REF-022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inlineStr">
        <is>
          <t>REF-023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inlineStr">
        <is>
          <t>REF-024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inlineStr">
        <is>
          <t>REF-025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inlineStr">
        <is>
          <t>REF-026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inlineStr">
        <is>
          <t>REF-027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inlineStr">
        <is>
          <t>REF-028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inlineStr">
        <is>
          <t>REF-029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inlineStr">
        <is>
          <t>REF-030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5">
      <c r="A35" s="6" t="inlineStr">
        <is>
          <t>REF-031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</row>
    <row r="36">
      <c r="A36" s="6" t="inlineStr">
        <is>
          <t>REF-032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</row>
    <row r="37">
      <c r="A37" s="6" t="inlineStr">
        <is>
          <t>REF-033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</row>
    <row r="38">
      <c r="A38" s="6" t="inlineStr">
        <is>
          <t>REF-034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</row>
    <row r="39">
      <c r="A39" s="6" t="inlineStr">
        <is>
          <t>REF-035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</row>
    <row r="40">
      <c r="A40" s="6" t="inlineStr">
        <is>
          <t>REF-036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</row>
    <row r="41">
      <c r="A41" s="6" t="inlineStr">
        <is>
          <t>REF-037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</row>
    <row r="42">
      <c r="A42" s="6" t="inlineStr">
        <is>
          <t>REF-038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</row>
    <row r="43">
      <c r="A43" s="6" t="inlineStr">
        <is>
          <t>REF-039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</row>
    <row r="44">
      <c r="A44" s="6" t="inlineStr">
        <is>
          <t>REF-040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</row>
    <row r="45">
      <c r="A45" s="6" t="inlineStr">
        <is>
          <t>REF-041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</row>
    <row r="46">
      <c r="A46" s="6" t="inlineStr">
        <is>
          <t>REF-042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</row>
    <row r="47">
      <c r="A47" s="6" t="inlineStr">
        <is>
          <t>REF-043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</row>
    <row r="48">
      <c r="A48" s="6" t="inlineStr">
        <is>
          <t>REF-044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</row>
    <row r="49">
      <c r="A49" s="6" t="inlineStr">
        <is>
          <t>REF-045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</row>
    <row r="50">
      <c r="A50" s="6" t="inlineStr">
        <is>
          <t>REF-046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</row>
    <row r="51">
      <c r="A51" s="6" t="inlineStr">
        <is>
          <t>REF-047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</row>
    <row r="52">
      <c r="A52" s="6" t="inlineStr">
        <is>
          <t>REF-048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</row>
    <row r="53">
      <c r="A53" s="6" t="inlineStr">
        <is>
          <t>REF-049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</row>
    <row r="54">
      <c r="A54" s="6" t="inlineStr">
        <is>
          <t>REF-050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</row>
    <row r="57">
      <c r="A57" s="7" t="inlineStr">
        <is>
          <t>REFRESH STATISTICS</t>
        </is>
      </c>
    </row>
    <row r="59">
      <c r="A59" s="8" t="inlineStr">
        <is>
          <t>Total Refresh Schedules</t>
        </is>
      </c>
      <c r="B59" s="8">
        <f>COUNTA(B5:B54)</f>
        <v/>
      </c>
    </row>
    <row r="60">
      <c r="A60" s="8" t="inlineStr">
        <is>
          <t>Authorized Refreshes</t>
        </is>
      </c>
      <c r="B60" s="8">
        <f>COUNTIF(H5:H54,"Authorized")</f>
        <v/>
      </c>
    </row>
    <row r="61">
      <c r="A61" s="8" t="inlineStr">
        <is>
          <t>Unauthorized Refreshes</t>
        </is>
      </c>
      <c r="B61" s="8">
        <f>COUNTIF(H5:H54,"Unauthorized")</f>
        <v/>
      </c>
    </row>
    <row r="62">
      <c r="A62" s="8" t="inlineStr">
        <is>
          <t>Daily Refreshes</t>
        </is>
      </c>
      <c r="B62" s="8">
        <f>COUNTIF(D5:D54,"Daily")</f>
        <v/>
      </c>
    </row>
    <row r="63">
      <c r="A63" s="8" t="inlineStr">
        <is>
          <t>Weekly Refreshes</t>
        </is>
      </c>
      <c r="B63" s="8">
        <f>COUNTIF(D5:D54,"Weekly")</f>
        <v/>
      </c>
    </row>
    <row r="64">
      <c r="A64" s="8" t="inlineStr">
        <is>
          <t>Masking Automated</t>
        </is>
      </c>
      <c r="B64" s="8">
        <f>COUNTIF(K5:K54,"Yes - Automated")</f>
        <v/>
      </c>
    </row>
    <row r="65">
      <c r="A65" s="8" t="inlineStr">
        <is>
          <t>No Masking at Refresh</t>
        </is>
      </c>
      <c r="B65" s="8">
        <f>COUNTIF(K5:K54,"No")</f>
        <v/>
      </c>
    </row>
    <row r="66">
      <c r="A66" s="8" t="inlineStr">
        <is>
          <t>Auto-Purge Enabled</t>
        </is>
      </c>
      <c r="B66" s="8">
        <f>COUNTIF(Q5:Q54,"Yes")</f>
        <v/>
      </c>
    </row>
  </sheetData>
  <mergeCells count="1">
    <mergeCell ref="A1:T1"/>
  </mergeCells>
  <dataValidations count="5">
    <dataValidation sqref="D5:D54" showDropDown="0" showInputMessage="0" showErrorMessage="0" allowBlank="0" type="list">
      <formula1>"Daily,Weekly,Bi-Weekly,Monthly,Quarterly,Ad-Hoc"</formula1>
    </dataValidation>
    <dataValidation sqref="E5:E54" showDropDown="0" showInputMessage="0" showErrorMessage="0" allowBlank="0" type="list">
      <formula1>"Full Copy,Incremental,Subset,Synthetic,Clone"</formula1>
    </dataValidation>
    <dataValidation sqref="H5:H54" showDropDown="0" showInputMessage="0" showErrorMessage="0" allowBlank="0" type="list">
      <formula1>"Authorized,Pending,Unauthorized"</formula1>
    </dataValidation>
    <dataValidation sqref="K5:K54" showDropDown="0" showInputMessage="0" showErrorMessage="0" allowBlank="0" type="list">
      <formula1>"Yes - Automated,Yes - Manual,Partial,No"</formula1>
    </dataValidation>
    <dataValidation sqref="Q5:Q5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50" customWidth="1" min="4" max="4"/>
    <col width="40" customWidth="1" min="5" max="5"/>
    <col width="40" customWidth="1" min="6" max="6"/>
    <col width="18" customWidth="1" min="7" max="7"/>
    <col width="15" customWidth="1" min="8" max="8"/>
    <col width="25" customWidth="1" min="9" max="9"/>
    <col width="25" customWidth="1" min="10" max="10"/>
    <col width="50" customWidth="1" min="11" max="11"/>
    <col width="18" customWidth="1" min="12" max="12"/>
    <col width="12" customWidth="1" min="13" max="13"/>
    <col width="25" customWidth="1" min="14" max="14"/>
    <col width="15" customWidth="1" min="15" max="15"/>
    <col width="18" customWidth="1" min="16" max="16"/>
    <col width="15" customWidth="1" min="17" max="17"/>
    <col width="20" customWidth="1" min="18" max="18"/>
  </cols>
  <sheetData>
    <row r="1">
      <c r="A1" s="4" t="inlineStr">
        <is>
          <t>COMPLIANCE VERIFICATION</t>
        </is>
      </c>
    </row>
    <row r="2">
      <c r="A2" t="inlineStr">
        <is>
          <t>Documentation of compliance status and verification activities</t>
        </is>
      </c>
    </row>
    <row r="4">
      <c r="A4" s="5" t="inlineStr">
        <is>
          <t>Requirement_ID</t>
        </is>
      </c>
      <c r="B4" s="5" t="inlineStr">
        <is>
          <t>Requirement_Source</t>
        </is>
      </c>
      <c r="C4" s="5" t="inlineStr">
        <is>
          <t>Requirement_Reference</t>
        </is>
      </c>
      <c r="D4" s="5" t="inlineStr">
        <is>
          <t>Requirement_Description</t>
        </is>
      </c>
      <c r="E4" s="5" t="inlineStr">
        <is>
          <t>Applicable_Data_Sets</t>
        </is>
      </c>
      <c r="F4" s="5" t="inlineStr">
        <is>
          <t>Applicable_Environments</t>
        </is>
      </c>
      <c r="G4" s="5" t="inlineStr">
        <is>
          <t>Compliance_Status</t>
        </is>
      </c>
      <c r="H4" s="5" t="inlineStr">
        <is>
          <t>Last_Verification_Date</t>
        </is>
      </c>
      <c r="I4" s="5" t="inlineStr">
        <is>
          <t>Verification_Method</t>
        </is>
      </c>
      <c r="J4" s="5" t="inlineStr">
        <is>
          <t>Verifier</t>
        </is>
      </c>
      <c r="K4" s="5" t="inlineStr">
        <is>
          <t>Findings</t>
        </is>
      </c>
      <c r="L4" s="5" t="inlineStr">
        <is>
          <t>Finding_Severity</t>
        </is>
      </c>
      <c r="M4" s="5" t="inlineStr">
        <is>
          <t>Remediation_Required</t>
        </is>
      </c>
      <c r="N4" s="5" t="inlineStr">
        <is>
          <t>Remediation_Owner</t>
        </is>
      </c>
      <c r="O4" s="5" t="inlineStr">
        <is>
          <t>Remediation_Target_Date</t>
        </is>
      </c>
      <c r="P4" s="5" t="inlineStr">
        <is>
          <t>Remediation_Status</t>
        </is>
      </c>
      <c r="Q4" s="5" t="inlineStr">
        <is>
          <t>Next_Verification_Due</t>
        </is>
      </c>
      <c r="R4" s="5" t="inlineStr">
        <is>
          <t>Evidence_Reference</t>
        </is>
      </c>
    </row>
    <row r="5">
      <c r="A5" s="6" t="inlineStr">
        <is>
          <t>REQ-001</t>
        </is>
      </c>
      <c r="B5" s="6" t="inlineStr">
        <is>
          <t>GDPR</t>
        </is>
      </c>
      <c r="C5" s="6" t="inlineStr">
        <is>
          <t>Article 25</t>
        </is>
      </c>
      <c r="D5" s="6" t="inlineStr">
        <is>
          <t>Data protection by design - pseudonymization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inlineStr">
        <is>
          <t>REQ-002</t>
        </is>
      </c>
      <c r="B6" s="6" t="inlineStr">
        <is>
          <t>GDPR</t>
        </is>
      </c>
      <c r="C6" s="6" t="inlineStr">
        <is>
          <t>Article 32</t>
        </is>
      </c>
      <c r="D6" s="6" t="inlineStr">
        <is>
          <t>Security of processing - technical measures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inlineStr">
        <is>
          <t>REQ-003</t>
        </is>
      </c>
      <c r="B7" s="6" t="inlineStr">
        <is>
          <t>ISO 27001</t>
        </is>
      </c>
      <c r="C7" s="6" t="inlineStr">
        <is>
          <t>A.8.33</t>
        </is>
      </c>
      <c r="D7" s="6" t="inlineStr">
        <is>
          <t>Test information appropriately protected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inlineStr">
        <is>
          <t>REQ-004</t>
        </is>
      </c>
      <c r="B8" s="6" t="inlineStr">
        <is>
          <t>ISO 27001</t>
        </is>
      </c>
      <c r="C8" s="6" t="inlineStr">
        <is>
          <t>A.8.34</t>
        </is>
      </c>
      <c r="D8" s="6" t="inlineStr">
        <is>
          <t>Audit testing planned and agreed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inlineStr">
        <is>
          <t>REQ-005</t>
        </is>
      </c>
      <c r="B9" s="6" t="inlineStr">
        <is>
          <t>Internal Policy</t>
        </is>
      </c>
      <c r="C9" s="6" t="inlineStr">
        <is>
          <t>POL-2.1</t>
        </is>
      </c>
      <c r="D9" s="6" t="inlineStr">
        <is>
          <t>All production data copies authorized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inlineStr">
        <is>
          <t>REQ-006</t>
        </is>
      </c>
      <c r="B10" s="6" t="inlineStr">
        <is>
          <t>Internal Policy</t>
        </is>
      </c>
      <c r="C10" s="6" t="inlineStr">
        <is>
          <t>POL-2.2</t>
        </is>
      </c>
      <c r="D10" s="6" t="inlineStr">
        <is>
          <t>PII must be masked in test environments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inlineStr">
        <is>
          <t>REQ-007</t>
        </is>
      </c>
      <c r="B11" s="6" t="inlineStr">
        <is>
          <t>Internal Policy</t>
        </is>
      </c>
      <c r="C11" s="6" t="inlineStr">
        <is>
          <t>POL-2.3</t>
        </is>
      </c>
      <c r="D11" s="6" t="inlineStr">
        <is>
          <t>Test environments must have security controls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inlineStr">
        <is>
          <t>REQ-008</t>
        </is>
      </c>
      <c r="B12" s="6" t="inlineStr">
        <is>
          <t>Internal Policy</t>
        </is>
      </c>
      <c r="C12" s="6" t="inlineStr">
        <is>
          <t>POL-2.4</t>
        </is>
      </c>
      <c r="D12" s="6" t="inlineStr">
        <is>
          <t>Data refresh must be authorized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inlineStr">
        <is>
          <t>REQ-009</t>
        </is>
      </c>
      <c r="B13" s="6" t="inlineStr">
        <is>
          <t>FADP</t>
        </is>
      </c>
      <c r="C13" s="6" t="inlineStr">
        <is>
          <t>Article 8</t>
        </is>
      </c>
      <c r="D13" s="6" t="inlineStr">
        <is>
          <t>Data security requirements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inlineStr">
        <is>
          <t>REQ-010</t>
        </is>
      </c>
      <c r="B14" s="6" t="inlineStr">
        <is>
          <t>Industry Standard</t>
        </is>
      </c>
      <c r="C14" s="6" t="inlineStr">
        <is>
          <t>PCI-DSS 6.4</t>
        </is>
      </c>
      <c r="D14" s="6" t="inlineStr">
        <is>
          <t>Test data security (if applicable)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inlineStr">
        <is>
          <t>REQ-011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inlineStr">
        <is>
          <t>REQ-012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inlineStr">
        <is>
          <t>REQ-013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inlineStr">
        <is>
          <t>REQ-014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inlineStr">
        <is>
          <t>REQ-015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inlineStr">
        <is>
          <t>REQ-016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inlineStr">
        <is>
          <t>REQ-017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inlineStr">
        <is>
          <t>REQ-018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inlineStr">
        <is>
          <t>REQ-019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inlineStr">
        <is>
          <t>REQ-020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inlineStr">
        <is>
          <t>REQ-021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inlineStr">
        <is>
          <t>REQ-022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inlineStr">
        <is>
          <t>REQ-023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inlineStr">
        <is>
          <t>REQ-024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inlineStr">
        <is>
          <t>REQ-025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inlineStr">
        <is>
          <t>REQ-026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inlineStr">
        <is>
          <t>REQ-027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inlineStr">
        <is>
          <t>REQ-028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inlineStr">
        <is>
          <t>REQ-029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inlineStr">
        <is>
          <t>REQ-030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inlineStr">
        <is>
          <t>REQ-031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inlineStr">
        <is>
          <t>REQ-032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6" t="inlineStr">
        <is>
          <t>REQ-033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6" t="inlineStr">
        <is>
          <t>REQ-034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>
      <c r="A39" s="6" t="inlineStr">
        <is>
          <t>REQ-035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6" t="inlineStr">
        <is>
          <t>REQ-036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>
      <c r="A41" s="6" t="inlineStr">
        <is>
          <t>REQ-037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6" t="inlineStr">
        <is>
          <t>REQ-038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>
      <c r="A43" s="6" t="inlineStr">
        <is>
          <t>REQ-039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6" t="inlineStr">
        <is>
          <t>REQ-040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>
      <c r="A45" s="6" t="inlineStr">
        <is>
          <t>REQ-041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6" t="inlineStr">
        <is>
          <t>REQ-042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>
      <c r="A47" s="6" t="inlineStr">
        <is>
          <t>REQ-043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>
      <c r="A48" s="6" t="inlineStr">
        <is>
          <t>REQ-044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6" t="inlineStr">
        <is>
          <t>REQ-045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  <row r="50">
      <c r="A50" s="6" t="inlineStr">
        <is>
          <t>REQ-046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>
      <c r="A51" s="6" t="inlineStr">
        <is>
          <t>REQ-047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</row>
    <row r="52">
      <c r="A52" s="6" t="inlineStr">
        <is>
          <t>REQ-048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  <row r="53">
      <c r="A53" s="6" t="inlineStr">
        <is>
          <t>REQ-049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</row>
    <row r="54">
      <c r="A54" s="6" t="inlineStr">
        <is>
          <t>REQ-050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</row>
    <row r="57">
      <c r="A57" s="7" t="inlineStr">
        <is>
          <t>COMPLIANCE STATISTICS</t>
        </is>
      </c>
    </row>
    <row r="59">
      <c r="A59" s="8" t="inlineStr">
        <is>
          <t>Total Requirements</t>
        </is>
      </c>
      <c r="B59" s="8">
        <f>COUNTA(B5:B54)</f>
        <v/>
      </c>
    </row>
    <row r="60">
      <c r="A60" s="8" t="inlineStr">
        <is>
          <t>Compliant</t>
        </is>
      </c>
      <c r="B60" s="8">
        <f>COUNTIF(G5:G54,"Compliant")</f>
        <v/>
      </c>
    </row>
    <row r="61">
      <c r="A61" s="8" t="inlineStr">
        <is>
          <t>Partial</t>
        </is>
      </c>
      <c r="B61" s="8">
        <f>COUNTIF(G5:G54,"Partial")</f>
        <v/>
      </c>
    </row>
    <row r="62">
      <c r="A62" s="8" t="inlineStr">
        <is>
          <t>Non-Compliant</t>
        </is>
      </c>
      <c r="B62" s="8">
        <f>COUNTIF(G5:G54,"Non-Compliant")</f>
        <v/>
      </c>
    </row>
    <row r="63">
      <c r="A63" s="8" t="inlineStr">
        <is>
          <t>Not Assessed</t>
        </is>
      </c>
      <c r="B63" s="8">
        <f>COUNTIF(G5:G54,"Not Assessed")</f>
        <v/>
      </c>
    </row>
    <row r="64">
      <c r="A64" s="8" t="inlineStr">
        <is>
          <t>Critical Findings</t>
        </is>
      </c>
      <c r="B64" s="8">
        <f>COUNTIF(L5:L54,"Critical")</f>
        <v/>
      </c>
    </row>
    <row r="65">
      <c r="A65" s="8" t="inlineStr">
        <is>
          <t>High Findings</t>
        </is>
      </c>
      <c r="B65" s="8">
        <f>COUNTIF(L5:L54,"High")</f>
        <v/>
      </c>
    </row>
  </sheetData>
  <mergeCells count="1">
    <mergeCell ref="A1:R1"/>
  </mergeCells>
  <dataValidations count="6">
    <dataValidation sqref="B5:B54" showDropDown="0" showInputMessage="0" showErrorMessage="0" allowBlank="0" type="list">
      <formula1>"GDPR,ISO 27001,FADP,Internal Policy,Industry Standard"</formula1>
    </dataValidation>
    <dataValidation sqref="G5:G54" showDropDown="0" showInputMessage="0" showErrorMessage="0" allowBlank="0" type="list">
      <formula1>"Compliant,Partial,Non-Compliant,Not Assessed"</formula1>
    </dataValidation>
    <dataValidation sqref="I5:I54" showDropDown="0" showInputMessage="0" showErrorMessage="0" allowBlank="0" type="list">
      <formula1>"Automated Check,Manual Audit,Self-Assessment,Third-Party Audit"</formula1>
    </dataValidation>
    <dataValidation sqref="L5:L54" showDropDown="0" showInputMessage="0" showErrorMessage="0" allowBlank="0" type="list">
      <formula1>"Critical,High,Medium,Low"</formula1>
    </dataValidation>
    <dataValidation sqref="M5:M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"Not Started,In Progress,Completed"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9" t="inlineStr">
        <is>
          <t>TEST DATA PROTECTION - SUMMARY DASHBOARD</t>
        </is>
      </c>
    </row>
    <row r="2">
      <c r="A2" s="10" t="inlineStr">
        <is>
          <t>Executive overview of test data governance compliance</t>
        </is>
      </c>
    </row>
    <row r="3">
      <c r="A3" t="inlineStr">
        <is>
          <t>Report Date: 08.02.2026</t>
        </is>
      </c>
    </row>
    <row r="5">
      <c r="A5" s="7" t="inlineStr">
        <is>
          <t>OVERALL COMPLIANCE SUMMARY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Target</t>
        </is>
      </c>
      <c r="D6" s="5" t="inlineStr">
        <is>
          <t>Status</t>
        </is>
      </c>
    </row>
    <row r="7">
      <c r="A7" s="8" t="inlineStr">
        <is>
          <t>Data Set Authorization Rate</t>
        </is>
      </c>
      <c r="B7" s="6" t="inlineStr">
        <is>
          <t>[%]</t>
        </is>
      </c>
      <c r="C7" s="8" t="inlineStr">
        <is>
          <t>100%</t>
        </is>
      </c>
      <c r="D7" s="6" t="n"/>
    </row>
    <row r="8">
      <c r="A8" s="8" t="inlineStr">
        <is>
          <t>PII Masking Coverage</t>
        </is>
      </c>
      <c r="B8" s="6" t="inlineStr">
        <is>
          <t>[%]</t>
        </is>
      </c>
      <c r="C8" s="8" t="inlineStr">
        <is>
          <t>100%</t>
        </is>
      </c>
      <c r="D8" s="6" t="n"/>
    </row>
    <row r="9">
      <c r="A9" s="8" t="inlineStr">
        <is>
          <t>Average Masking Effectiveness</t>
        </is>
      </c>
      <c r="B9" s="6" t="inlineStr">
        <is>
          <t>[Score]</t>
        </is>
      </c>
      <c r="C9" s="8" t="inlineStr">
        <is>
          <t>&gt;=4.0</t>
        </is>
      </c>
      <c r="D9" s="6" t="n"/>
    </row>
    <row r="10">
      <c r="A10" s="8" t="inlineStr">
        <is>
          <t>Environment Security Compliance</t>
        </is>
      </c>
      <c r="B10" s="6" t="inlineStr">
        <is>
          <t>[%]</t>
        </is>
      </c>
      <c r="C10" s="8" t="inlineStr">
        <is>
          <t>&gt;=90%</t>
        </is>
      </c>
      <c r="D10" s="6" t="n"/>
    </row>
    <row r="11">
      <c r="A11" s="8" t="inlineStr">
        <is>
          <t>Refresh Authorization Rate</t>
        </is>
      </c>
      <c r="B11" s="6" t="inlineStr">
        <is>
          <t>[%]</t>
        </is>
      </c>
      <c r="C11" s="8" t="inlineStr">
        <is>
          <t>100%</t>
        </is>
      </c>
      <c r="D11" s="6" t="n"/>
    </row>
    <row r="12">
      <c r="A12" s="8" t="inlineStr">
        <is>
          <t>Regulatory Compliance Rate</t>
        </is>
      </c>
      <c r="B12" s="6" t="inlineStr">
        <is>
          <t>[%]</t>
        </is>
      </c>
      <c r="C12" s="8" t="inlineStr">
        <is>
          <t>100%</t>
        </is>
      </c>
      <c r="D12" s="6" t="n"/>
    </row>
    <row r="15">
      <c r="A15" s="11" t="inlineStr">
        <is>
          <t>CRITICAL FINDINGS REQUIRING IMMEDIATE ATTENTION</t>
        </is>
      </c>
    </row>
    <row r="16">
      <c r="A16" s="12" t="inlineStr">
        <is>
          <t>Category</t>
        </is>
      </c>
      <c r="B16" s="12" t="inlineStr">
        <is>
          <t>Finding</t>
        </is>
      </c>
      <c r="C16" s="12" t="inlineStr">
        <is>
          <t>Count</t>
        </is>
      </c>
      <c r="D16" s="12" t="inlineStr">
        <is>
          <t>Severity</t>
        </is>
      </c>
      <c r="E16" s="12" t="inlineStr">
        <is>
          <t>Action Required</t>
        </is>
      </c>
    </row>
    <row r="17">
      <c r="A17" s="8" t="inlineStr">
        <is>
          <t>Unauthorized Data</t>
        </is>
      </c>
      <c r="B17" s="8" t="inlineStr">
        <is>
          <t>Data sets without authorization</t>
        </is>
      </c>
      <c r="C17" s="6" t="inlineStr">
        <is>
          <t>[#]</t>
        </is>
      </c>
      <c r="D17" s="8" t="inlineStr">
        <is>
          <t>Critical</t>
        </is>
      </c>
      <c r="E17" s="8" t="inlineStr">
        <is>
          <t>Immediate</t>
        </is>
      </c>
    </row>
    <row r="18">
      <c r="A18" s="8" t="inlineStr">
        <is>
          <t>Unmasked PII</t>
        </is>
      </c>
      <c r="B18" s="8" t="inlineStr">
        <is>
          <t>PII data without masking</t>
        </is>
      </c>
      <c r="C18" s="6" t="inlineStr">
        <is>
          <t>[#]</t>
        </is>
      </c>
      <c r="D18" s="8" t="inlineStr">
        <is>
          <t>Critical</t>
        </is>
      </c>
      <c r="E18" s="8" t="inlineStr">
        <is>
          <t>Urgent</t>
        </is>
      </c>
    </row>
    <row r="19">
      <c r="A19" s="8" t="inlineStr">
        <is>
          <t>Non-Compliant Environments</t>
        </is>
      </c>
      <c r="B19" s="8" t="inlineStr">
        <is>
          <t>Environments failing security</t>
        </is>
      </c>
      <c r="C19" s="6" t="inlineStr">
        <is>
          <t>[#]</t>
        </is>
      </c>
      <c r="D19" s="8" t="inlineStr">
        <is>
          <t>High</t>
        </is>
      </c>
      <c r="E19" s="8" t="inlineStr">
        <is>
          <t>Priority</t>
        </is>
      </c>
    </row>
    <row r="20">
      <c r="A20" s="8" t="inlineStr">
        <is>
          <t>Unauthorized Refresh</t>
        </is>
      </c>
      <c r="B20" s="8" t="inlineStr">
        <is>
          <t>Refresh without approval</t>
        </is>
      </c>
      <c r="C20" s="6" t="inlineStr">
        <is>
          <t>[#]</t>
        </is>
      </c>
      <c r="D20" s="8" t="inlineStr">
        <is>
          <t>High</t>
        </is>
      </c>
      <c r="E20" s="8" t="inlineStr">
        <is>
          <t>Priority</t>
        </is>
      </c>
    </row>
    <row r="21">
      <c r="A21" s="8" t="inlineStr">
        <is>
          <t>Overdue Reviews</t>
        </is>
      </c>
      <c r="B21" s="8" t="inlineStr">
        <is>
          <t>Security reviews past due</t>
        </is>
      </c>
      <c r="C21" s="6" t="inlineStr">
        <is>
          <t>[#]</t>
        </is>
      </c>
      <c r="D21" s="8" t="inlineStr">
        <is>
          <t>Medium</t>
        </is>
      </c>
      <c r="E21" s="8" t="inlineStr">
        <is>
          <t>Plan</t>
        </is>
      </c>
    </row>
  </sheetData>
  <mergeCells count="1">
    <mergeCell ref="A1:F1"/>
  </mergeCells>
  <dataValidations count="1">
    <dataValidation sqref="D7:D15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50" customWidth="1" min="4" max="4"/>
    <col width="25" customWidth="1" min="5" max="5"/>
    <col width="25" customWidth="1" min="6" max="6"/>
    <col width="40" customWidth="1" min="7" max="7"/>
    <col width="15" customWidth="1" min="8" max="8"/>
    <col width="25" customWidth="1" min="9" max="9"/>
    <col width="18" customWidth="1" min="10" max="10"/>
    <col width="25" customWidth="1" min="11" max="11"/>
    <col width="15" customWidth="1" min="12" max="12"/>
    <col width="18" customWidth="1" min="13" max="13"/>
    <col width="15" customWidth="1" min="14" max="14"/>
    <col width="18" customWidth="1" min="15" max="15"/>
    <col width="40" customWidth="1" min="16" max="16"/>
  </cols>
  <sheetData>
    <row r="1">
      <c r="A1" s="4" t="inlineStr">
        <is>
          <t>EVIDENCE REGISTER</t>
        </is>
      </c>
    </row>
    <row r="2">
      <c r="A2" t="inlineStr">
        <is>
          <t>Documentation supporting assessment findings (100 entries)</t>
        </is>
      </c>
    </row>
    <row r="4">
      <c r="A4" s="5" t="inlineStr">
        <is>
          <t>Evidence_ID</t>
        </is>
      </c>
      <c r="B4" s="5" t="inlineStr">
        <is>
          <t>Evidence_Type</t>
        </is>
      </c>
      <c r="C4" s="5" t="inlineStr">
        <is>
          <t>Evidence_Title</t>
        </is>
      </c>
      <c r="D4" s="5" t="inlineStr">
        <is>
          <t>Description</t>
        </is>
      </c>
      <c r="E4" s="5" t="inlineStr">
        <is>
          <t>Related_Assessment_Area</t>
        </is>
      </c>
      <c r="F4" s="5" t="inlineStr">
        <is>
          <t>Related_Finding_Control</t>
        </is>
      </c>
      <c r="G4" s="5" t="inlineStr">
        <is>
          <t>Document_Location</t>
        </is>
      </c>
      <c r="H4" s="5" t="inlineStr">
        <is>
          <t>Date_Collected</t>
        </is>
      </c>
      <c r="I4" s="5" t="inlineStr">
        <is>
          <t>Collected_By</t>
        </is>
      </c>
      <c r="J4" s="5" t="inlineStr">
        <is>
          <t>Verification_Status</t>
        </is>
      </c>
      <c r="K4" s="5" t="inlineStr">
        <is>
          <t>Verified_By</t>
        </is>
      </c>
      <c r="L4" s="5" t="inlineStr">
        <is>
          <t>Verification_Date</t>
        </is>
      </c>
      <c r="M4" s="5" t="inlineStr">
        <is>
          <t>Retention_Period</t>
        </is>
      </c>
      <c r="N4" s="5" t="inlineStr">
        <is>
          <t>Expiration_Date</t>
        </is>
      </c>
      <c r="O4" s="5" t="inlineStr">
        <is>
          <t>Confidentiality</t>
        </is>
      </c>
      <c r="P4" s="5" t="inlineStr">
        <is>
          <t>Auditor_Notes</t>
        </is>
      </c>
    </row>
    <row r="5">
      <c r="A5" s="6" t="inlineStr">
        <is>
          <t>EV-001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inlineStr">
        <is>
          <t>EV-002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inlineStr">
        <is>
          <t>EV-003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inlineStr">
        <is>
          <t>EV-004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inlineStr">
        <is>
          <t>EV-005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inlineStr">
        <is>
          <t>EV-006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EV-007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EV-008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EV-009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inlineStr">
        <is>
          <t>EV-010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inlineStr">
        <is>
          <t>EV-011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inlineStr">
        <is>
          <t>EV-012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inlineStr">
        <is>
          <t>EV-013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inlineStr">
        <is>
          <t>EV-014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inlineStr">
        <is>
          <t>EV-015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inlineStr">
        <is>
          <t>EV-016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inlineStr">
        <is>
          <t>EV-017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inlineStr">
        <is>
          <t>EV-018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inlineStr">
        <is>
          <t>EV-019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inlineStr">
        <is>
          <t>EV-020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inlineStr">
        <is>
          <t>EV-021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inlineStr">
        <is>
          <t>EV-022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inlineStr">
        <is>
          <t>EV-023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inlineStr">
        <is>
          <t>EV-024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inlineStr">
        <is>
          <t>EV-025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inlineStr">
        <is>
          <t>EV-026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inlineStr">
        <is>
          <t>EV-027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inlineStr">
        <is>
          <t>EV-028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inlineStr">
        <is>
          <t>EV-029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inlineStr">
        <is>
          <t>EV-030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inlineStr">
        <is>
          <t>EV-031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inlineStr">
        <is>
          <t>EV-032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inlineStr">
        <is>
          <t>EV-033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inlineStr">
        <is>
          <t>EV-034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inlineStr">
        <is>
          <t>EV-035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inlineStr">
        <is>
          <t>EV-036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inlineStr">
        <is>
          <t>EV-037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inlineStr">
        <is>
          <t>EV-038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inlineStr">
        <is>
          <t>EV-039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inlineStr">
        <is>
          <t>EV-040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inlineStr">
        <is>
          <t>EV-041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inlineStr">
        <is>
          <t>EV-042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inlineStr">
        <is>
          <t>EV-043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inlineStr">
        <is>
          <t>EV-044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inlineStr">
        <is>
          <t>EV-045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inlineStr">
        <is>
          <t>EV-046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inlineStr">
        <is>
          <t>EV-047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inlineStr">
        <is>
          <t>EV-048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inlineStr">
        <is>
          <t>EV-049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6" t="inlineStr">
        <is>
          <t>EV-050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6" t="inlineStr">
        <is>
          <t>EV-051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6" t="inlineStr">
        <is>
          <t>EV-052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6" t="inlineStr">
        <is>
          <t>EV-053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6" t="inlineStr">
        <is>
          <t>EV-054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6" t="inlineStr">
        <is>
          <t>EV-055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6" t="inlineStr">
        <is>
          <t>EV-056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6" t="inlineStr">
        <is>
          <t>EV-057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inlineStr">
        <is>
          <t>EV-058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6" t="inlineStr">
        <is>
          <t>EV-059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6" t="inlineStr">
        <is>
          <t>EV-060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6" t="inlineStr">
        <is>
          <t>EV-061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6" t="inlineStr">
        <is>
          <t>EV-062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6" t="inlineStr">
        <is>
          <t>EV-063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6" t="inlineStr">
        <is>
          <t>EV-064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6" t="inlineStr">
        <is>
          <t>EV-065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6" t="inlineStr">
        <is>
          <t>EV-066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6" t="inlineStr">
        <is>
          <t>EV-067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6" t="inlineStr">
        <is>
          <t>EV-068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6" t="inlineStr">
        <is>
          <t>EV-069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6" t="inlineStr">
        <is>
          <t>EV-070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6" t="inlineStr">
        <is>
          <t>EV-071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6" t="inlineStr">
        <is>
          <t>EV-072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6" t="inlineStr">
        <is>
          <t>EV-073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6" t="inlineStr">
        <is>
          <t>EV-074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6" t="inlineStr">
        <is>
          <t>EV-075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6" t="inlineStr">
        <is>
          <t>EV-076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6" t="inlineStr">
        <is>
          <t>EV-077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6" t="inlineStr">
        <is>
          <t>EV-078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6" t="inlineStr">
        <is>
          <t>EV-079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6" t="inlineStr">
        <is>
          <t>EV-080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6" t="inlineStr">
        <is>
          <t>EV-081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6" t="inlineStr">
        <is>
          <t>EV-082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6" t="inlineStr">
        <is>
          <t>EV-083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6" t="inlineStr">
        <is>
          <t>EV-084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6" t="inlineStr">
        <is>
          <t>EV-085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6" t="inlineStr">
        <is>
          <t>EV-086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6" t="inlineStr">
        <is>
          <t>EV-087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6" t="inlineStr">
        <is>
          <t>EV-088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6" t="inlineStr">
        <is>
          <t>EV-089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6" t="inlineStr">
        <is>
          <t>EV-090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6" t="inlineStr">
        <is>
          <t>EV-091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6" t="inlineStr">
        <is>
          <t>EV-092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6" t="inlineStr">
        <is>
          <t>EV-093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6" t="inlineStr">
        <is>
          <t>EV-094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6" t="inlineStr">
        <is>
          <t>EV-095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6" t="inlineStr">
        <is>
          <t>EV-096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6" t="inlineStr">
        <is>
          <t>EV-097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6" t="inlineStr">
        <is>
          <t>EV-098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6" t="inlineStr">
        <is>
          <t>EV-099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6" t="inlineStr">
        <is>
          <t>EV-100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7">
      <c r="A107" s="7" t="inlineStr">
        <is>
          <t>EVIDENCE STATISTICS</t>
        </is>
      </c>
    </row>
    <row r="109">
      <c r="A109" s="8" t="inlineStr">
        <is>
          <t>Total Evidence Entries</t>
        </is>
      </c>
      <c r="B109" s="8">
        <f>COUNTA(B5:B104)</f>
        <v/>
      </c>
    </row>
    <row r="110">
      <c r="A110" s="8" t="inlineStr">
        <is>
          <t>Verified Evidence</t>
        </is>
      </c>
      <c r="B110" s="8">
        <f>COUNTIF(J5:J104,"Verified")</f>
        <v/>
      </c>
    </row>
    <row r="111">
      <c r="A111" s="8" t="inlineStr">
        <is>
          <t>Pending Verification</t>
        </is>
      </c>
      <c r="B111" s="8">
        <f>COUNTIF(J5:J104,"Pending")</f>
        <v/>
      </c>
    </row>
    <row r="112">
      <c r="A112" s="8" t="inlineStr">
        <is>
          <t>Evidence by Area - Inventory</t>
        </is>
      </c>
      <c r="B112" s="8">
        <f>COUNTIF(E5:E104,"Test Data Inventory")</f>
        <v/>
      </c>
    </row>
    <row r="113">
      <c r="A113" s="8" t="inlineStr">
        <is>
          <t>Evidence by Area - Masking</t>
        </is>
      </c>
      <c r="B113" s="8">
        <f>COUNTIF(E5:E104,"Masking")</f>
        <v/>
      </c>
    </row>
    <row r="114">
      <c r="A114" s="8" t="inlineStr">
        <is>
          <t>Evidence by Area - Environment</t>
        </is>
      </c>
      <c r="B114" s="8">
        <f>COUNTIF(E5:E104,"Environment")</f>
        <v/>
      </c>
    </row>
    <row r="115">
      <c r="A115" s="8" t="inlineStr">
        <is>
          <t>Evidence by Area - Refresh</t>
        </is>
      </c>
      <c r="B115" s="8">
        <f>COUNTIF(E5:E104,"Refresh")</f>
        <v/>
      </c>
    </row>
    <row r="116">
      <c r="A116" s="8" t="inlineStr">
        <is>
          <t>Evidence by Area - Compliance</t>
        </is>
      </c>
      <c r="B116" s="8">
        <f>COUNTIF(E5:E104,"Compliance")</f>
        <v/>
      </c>
    </row>
  </sheetData>
  <mergeCells count="1">
    <mergeCell ref="A1:P1"/>
  </mergeCells>
  <dataValidations count="5">
    <dataValidation sqref="B5:B104" showDropDown="0" showInputMessage="0" showErrorMessage="0" allowBlank="0" type="list">
      <formula1>"Policy Document,Technical Config,Authorization Record,Audit Log,Verification Report,Training Record,Other"</formula1>
    </dataValidation>
    <dataValidation sqref="E5:E104" showDropDown="0" showInputMessage="0" showErrorMessage="0" allowBlank="0" type="list">
      <formula1>"Test Data Inventory,Masking,Environment,Refresh,Compliance"</formula1>
    </dataValidation>
    <dataValidation sqref="J5:J104" showDropDown="0" showInputMessage="0" showErrorMessage="0" allowBlank="0" type="list">
      <formula1>"Verified,Pending,Not Verified"</formula1>
    </dataValidation>
    <dataValidation sqref="M5:M104" showDropDown="0" showInputMessage="0" showErrorMessage="0" allowBlank="0" type="list">
      <formula1>"1 Year,2 Years,3 Years,Permanent"</formula1>
    </dataValidation>
    <dataValidation sqref="O5:O104" showDropDown="0" showInputMessage="0" showErrorMessage="0" allowBlank="0" type="list">
      <formula1>"Public,Internal,Confidential,Restricted"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>
      <c r="A1" s="4" t="inlineStr">
        <is>
          <t>ASSESSMENT APPROVAL &amp; SIGN-OFF</t>
        </is>
      </c>
    </row>
    <row r="2">
      <c r="A2" t="inlineStr">
        <is>
          <t>Three-level approval workflow for test data protection assessment</t>
        </is>
      </c>
    </row>
    <row r="4">
      <c r="A4" s="7" t="inlineStr">
        <is>
          <t>ASSESSMENT SUMMARY</t>
        </is>
      </c>
    </row>
    <row r="6">
      <c r="A6" s="13" t="inlineStr">
        <is>
          <t>Document ID:</t>
        </is>
      </c>
      <c r="B6" s="8" t="inlineStr">
        <is>
          <t>ISMS-IMP-A.8.33-34.1</t>
        </is>
      </c>
    </row>
    <row r="7">
      <c r="A7" s="13" t="inlineStr">
        <is>
          <t>Assessment Type:</t>
        </is>
      </c>
      <c r="B7" s="8" t="inlineStr">
        <is>
          <t>Test Data Protection Assessment</t>
        </is>
      </c>
    </row>
    <row r="8">
      <c r="A8" s="13" t="inlineStr">
        <is>
          <t>Assessment Period:</t>
        </is>
      </c>
      <c r="B8" s="6" t="inlineStr">
        <is>
          <t>[USER INPUT]</t>
        </is>
      </c>
    </row>
    <row r="9">
      <c r="A9" s="13" t="inlineStr">
        <is>
          <t>Overall Compliance:</t>
        </is>
      </c>
      <c r="B9" s="8" t="inlineStr">
        <is>
          <t>[Formula from Summary_Dashboard]</t>
        </is>
      </c>
    </row>
    <row r="10">
      <c r="A10" s="13" t="inlineStr">
        <is>
          <t>Critical Findings:</t>
        </is>
      </c>
      <c r="B10" s="8" t="inlineStr">
        <is>
          <t>[Formula]</t>
        </is>
      </c>
    </row>
    <row r="11">
      <c r="A11" s="13" t="inlineStr">
        <is>
          <t>High Findings:</t>
        </is>
      </c>
      <c r="B11" s="8" t="inlineStr">
        <is>
          <t>[Formula]</t>
        </is>
      </c>
    </row>
    <row r="12">
      <c r="A12" s="13" t="inlineStr">
        <is>
          <t>Evidence Entries:</t>
        </is>
      </c>
      <c r="B12" s="8" t="inlineStr">
        <is>
          <t>[Formula]</t>
        </is>
      </c>
    </row>
    <row r="13">
      <c r="A13" s="13" t="inlineStr">
        <is>
          <t>Assessment Status:</t>
        </is>
      </c>
      <c r="B13" s="6" t="inlineStr">
        <is>
          <t>[Dropdown]</t>
        </is>
      </c>
    </row>
    <row r="16">
      <c r="A16" s="7" t="inlineStr">
        <is>
          <t>LEVEL 1: TECHNICAL VALIDATION</t>
        </is>
      </c>
    </row>
    <row r="18">
      <c r="A18" s="13" t="inlineStr">
        <is>
          <t>Validator Name:</t>
        </is>
      </c>
      <c r="B18" s="6" t="inlineStr">
        <is>
          <t>[USER INPUT]</t>
        </is>
      </c>
    </row>
    <row r="19">
      <c r="A19" s="13" t="inlineStr">
        <is>
          <t>Role/Title:</t>
        </is>
      </c>
      <c r="B19" s="8" t="inlineStr">
        <is>
          <t>Test Manager / QA Lead</t>
        </is>
      </c>
    </row>
    <row r="20">
      <c r="A20" s="13" t="inlineStr">
        <is>
          <t>Validation Date:</t>
        </is>
      </c>
      <c r="B20" s="6" t="inlineStr">
        <is>
          <t>[DD.MM.YYYY]</t>
        </is>
      </c>
    </row>
    <row r="21">
      <c r="A21" s="13" t="inlineStr">
        <is>
          <t>Validation Notes:</t>
        </is>
      </c>
      <c r="B21" s="6" t="inlineStr">
        <is>
          <t>[Text area]</t>
        </is>
      </c>
    </row>
    <row r="22">
      <c r="A22" s="13" t="inlineStr">
        <is>
          <t>Technical Accuracy:</t>
        </is>
      </c>
      <c r="B22" s="6" t="inlineStr">
        <is>
          <t>[Dropdown]</t>
        </is>
      </c>
    </row>
    <row r="23">
      <c r="A23" s="13" t="inlineStr">
        <is>
          <t>Recommendation:</t>
        </is>
      </c>
      <c r="B23" s="6" t="inlineStr">
        <is>
          <t>[Dropdown]</t>
        </is>
      </c>
    </row>
    <row r="24">
      <c r="A24" s="13" t="inlineStr">
        <is>
          <t>Signature:</t>
        </is>
      </c>
      <c r="B24" s="6" t="inlineStr">
        <is>
          <t>[USER INPUT]</t>
        </is>
      </c>
    </row>
    <row r="27">
      <c r="A27" s="7" t="inlineStr">
        <is>
          <t>LEVEL 2: SECURITY APPROVAL</t>
        </is>
      </c>
    </row>
    <row r="29">
      <c r="A29" s="13" t="inlineStr">
        <is>
          <t>Approver Name:</t>
        </is>
      </c>
      <c r="B29" s="6" t="inlineStr">
        <is>
          <t>[USER INPUT]</t>
        </is>
      </c>
    </row>
    <row r="30">
      <c r="A30" s="13" t="inlineStr">
        <is>
          <t>Role/Title:</t>
        </is>
      </c>
      <c r="B30" s="8" t="inlineStr">
        <is>
          <t>CISO / Security Manager</t>
        </is>
      </c>
    </row>
    <row r="31">
      <c r="A31" s="13" t="inlineStr">
        <is>
          <t>Approval Date:</t>
        </is>
      </c>
      <c r="B31" s="6" t="inlineStr">
        <is>
          <t>[DD.MM.YYYY]</t>
        </is>
      </c>
    </row>
    <row r="32">
      <c r="A32" s="13" t="inlineStr">
        <is>
          <t>Security Assessment:</t>
        </is>
      </c>
      <c r="B32" s="6" t="inlineStr">
        <is>
          <t>[Dropdown]</t>
        </is>
      </c>
    </row>
    <row r="33">
      <c r="A33" s="13" t="inlineStr">
        <is>
          <t>Risk Acceptance:</t>
        </is>
      </c>
      <c r="B33" s="6" t="inlineStr">
        <is>
          <t>[Dropdown]</t>
        </is>
      </c>
    </row>
    <row r="34">
      <c r="A34" s="13" t="inlineStr">
        <is>
          <t>Approval Decision:</t>
        </is>
      </c>
      <c r="B34" s="6" t="inlineStr">
        <is>
          <t>[Dropdown]</t>
        </is>
      </c>
    </row>
    <row r="35">
      <c r="A35" s="13" t="inlineStr">
        <is>
          <t>Conditions:</t>
        </is>
      </c>
      <c r="B35" s="6" t="inlineStr">
        <is>
          <t>[Text area]</t>
        </is>
      </c>
    </row>
    <row r="36">
      <c r="A36" s="13" t="inlineStr">
        <is>
          <t>Signature:</t>
        </is>
      </c>
      <c r="B36" s="6" t="inlineStr">
        <is>
          <t>[USER INPUT]</t>
        </is>
      </c>
    </row>
    <row r="39">
      <c r="A39" s="7" t="inlineStr">
        <is>
          <t>LEVEL 3: COMPLIANCE CONFIRMATION</t>
        </is>
      </c>
    </row>
    <row r="41">
      <c r="A41" s="13" t="inlineStr">
        <is>
          <t>Approver Name:</t>
        </is>
      </c>
      <c r="B41" s="6" t="inlineStr">
        <is>
          <t>[USER INPUT]</t>
        </is>
      </c>
    </row>
    <row r="42">
      <c r="A42" s="13" t="inlineStr">
        <is>
          <t>Role/Title:</t>
        </is>
      </c>
      <c r="B42" s="8" t="inlineStr">
        <is>
          <t>DPO / Compliance Officer</t>
        </is>
      </c>
    </row>
    <row r="43">
      <c r="A43" s="13" t="inlineStr">
        <is>
          <t>Approval Date:</t>
        </is>
      </c>
      <c r="B43" s="6" t="inlineStr">
        <is>
          <t>[DD.MM.YYYY]</t>
        </is>
      </c>
    </row>
    <row r="44">
      <c r="A44" s="13" t="inlineStr">
        <is>
          <t>Regulatory Compliance:</t>
        </is>
      </c>
      <c r="B44" s="6" t="inlineStr">
        <is>
          <t>[Dropdown]</t>
        </is>
      </c>
    </row>
    <row r="45">
      <c r="A45" s="13" t="inlineStr">
        <is>
          <t>Approval Decision:</t>
        </is>
      </c>
      <c r="B45" s="6" t="inlineStr">
        <is>
          <t>[Dropdown]</t>
        </is>
      </c>
    </row>
    <row r="46">
      <c r="A46" s="13" t="inlineStr">
        <is>
          <t>Conditions:</t>
        </is>
      </c>
      <c r="B46" s="6" t="inlineStr">
        <is>
          <t>[Text area]</t>
        </is>
      </c>
    </row>
    <row r="47">
      <c r="A47" s="13" t="inlineStr">
        <is>
          <t>Signature:</t>
        </is>
      </c>
      <c r="B47" s="6" t="inlineStr">
        <is>
          <t>[USER INPUT]</t>
        </is>
      </c>
    </row>
    <row r="50">
      <c r="A50" s="7" t="inlineStr">
        <is>
          <t>NEXT REVIEW</t>
        </is>
      </c>
    </row>
    <row r="52">
      <c r="A52" s="13" t="inlineStr">
        <is>
          <t>Next Review Date:</t>
        </is>
      </c>
      <c r="B52" s="8" t="inlineStr">
        <is>
          <t>[Formula: Approval Date + 180 days]</t>
        </is>
      </c>
    </row>
    <row r="53">
      <c r="A53" s="13" t="inlineStr">
        <is>
          <t>Review Responsibility:</t>
        </is>
      </c>
      <c r="B53" s="6" t="inlineStr">
        <is>
          <t>[USER INPUT]</t>
        </is>
      </c>
    </row>
    <row r="54">
      <c r="A54" s="13" t="inlineStr">
        <is>
          <t>Focus Areas:</t>
        </is>
      </c>
      <c r="B54" s="6" t="inlineStr">
        <is>
          <t>[USER INPUT]</t>
        </is>
      </c>
    </row>
  </sheetData>
  <mergeCells count="1">
    <mergeCell ref="A1:D1"/>
  </mergeCells>
  <dataValidations count="7">
    <dataValidation sqref="B13" showDropDown="0" showInputMessage="0" showErrorMessage="0" allowBlank="0" type="list">
      <formula1>"Final,Requires Action,Draft,Re-assessment Required"</formula1>
    </dataValidation>
    <dataValidation sqref="B22" showDropDown="0" showInputMessage="0" showErrorMessage="0" allowBlank="0" type="list">
      <formula1>"Confirmed,Minor Issues,Major Issues"</formula1>
    </dataValidation>
    <dataValidation sqref="B23" showDropDown="0" showInputMessage="0" showErrorMessage="0" allowBlank="0" type="list">
      <formula1>"Approve,Approve with Conditions,Reject"</formula1>
    </dataValidation>
    <dataValidation sqref="B32" showDropDown="0" showInputMessage="0" showErrorMessage="0" allowBlank="0" type="list">
      <formula1>"Acceptable,Acceptable with Conditions,Unacceptable"</formula1>
    </dataValidation>
    <dataValidation sqref="B33" showDropDown="0" showInputMessage="0" showErrorMessage="0" allowBlank="0" type="list">
      <formula1>"Yes - Risks Accepted,No - Remediation Required"</formula1>
    </dataValidation>
    <dataValidation sqref="B34 B45" showDropDown="0" showInputMessage="0" showErrorMessage="0" allowBlank="0" type="list">
      <formula1>"Approved,Approved with Conditions,Rejected"</formula1>
    </dataValidation>
    <dataValidation sqref="B44" showDropDown="0" showInputMessage="0" showErrorMessage="0" allowBlank="0" type="list">
      <formula1>"Compliant,Partial,Non-Compliant"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2026-02-08T11:26:34Z</dcterms:created>
  <dcterms:modified xmlns:dcterms="http://purl.org/dc/terms/" xmlns:xsi="http://www.w3.org/2001/XMLSchema-instance" xsi:type="dcterms:W3CDTF">2026-02-08T11:26:34Z</dcterms:modified>
</cp:coreProperties>
</file>