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Test_Data_Compliance" sheetId="2" state="visible" r:id="rId2"/>
    <sheet xmlns:r="http://schemas.openxmlformats.org/officeDocument/2006/relationships" name="Audit_Activity_Compliance" sheetId="3" state="visible" r:id="rId3"/>
    <sheet xmlns:r="http://schemas.openxmlformats.org/officeDocument/2006/relationships" name="Gap_Analysis" sheetId="4" state="visible" r:id="rId4"/>
    <sheet xmlns:r="http://schemas.openxmlformats.org/officeDocument/2006/relationships" name="Exception_Register" sheetId="5" state="visible" r:id="rId5"/>
    <sheet xmlns:r="http://schemas.openxmlformats.org/officeDocument/2006/relationships" name="KPIs_and_Metrics" sheetId="6" state="visible" r:id="rId6"/>
    <sheet xmlns:r="http://schemas.openxmlformats.org/officeDocument/2006/relationships" name="Remediation_Roadmap" sheetId="7" state="visible" r:id="rId7"/>
    <sheet xmlns:r="http://schemas.openxmlformats.org/officeDocument/2006/relationships" name="Evidence_Consolidation" sheetId="8" state="visible" r:id="rId8"/>
    <sheet xmlns:r="http://schemas.openxmlformats.org/officeDocument/2006/relationships" name="CISO_Certification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03366"/>
      <sz val="16"/>
    </font>
    <font>
      <b val="1"/>
      <color rgb="00003366"/>
      <sz val="11"/>
    </font>
    <font>
      <b val="1"/>
      <sz val="12"/>
    </font>
    <font>
      <b val="1"/>
    </font>
    <font>
      <b val="1"/>
      <color rgb="00FFFFFF"/>
      <sz val="11"/>
    </font>
    <font>
      <b val="1"/>
      <color rgb="00003366"/>
    </font>
    <font>
      <b val="1"/>
      <color rgb="00C00000"/>
      <sz val="12"/>
    </font>
    <font>
      <b val="1"/>
      <color rgb="00003366"/>
      <sz val="14"/>
    </font>
    <font>
      <i val="1"/>
    </font>
    <font>
      <sz val="10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003366"/>
        <bgColor rgb="00003366"/>
      </patternFill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2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15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ISMS-IMP-A.8.33-34.3 - Testing and Audit Protection Compliance Dashboard</t>
        </is>
      </c>
    </row>
    <row r="2">
      <c r="A2" s="2" t="inlineStr">
        <is>
          <t>ISO/IEC 27001:2022 - Controls A.8.33 &amp; A.8.34: Executive Overview</t>
        </is>
      </c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s="5" t="inlineStr">
        <is>
          <t>ISMS-IMP-A.8.33-34.3</t>
        </is>
      </c>
    </row>
    <row r="6">
      <c r="A6" s="4" t="inlineStr">
        <is>
          <t>Report Type:</t>
        </is>
      </c>
      <c r="B6" s="5" t="inlineStr">
        <is>
          <t>Compliance Summary Dashboard</t>
        </is>
      </c>
    </row>
    <row r="7">
      <c r="A7" s="4" t="inlineStr">
        <is>
          <t>Related Policy:</t>
        </is>
      </c>
      <c r="B7" s="5" t="inlineStr">
        <is>
          <t>ISMS-POL-A.8.33-34 (Test Information &amp; Audit Protection)</t>
        </is>
      </c>
    </row>
    <row r="8">
      <c r="A8" s="4" t="inlineStr">
        <is>
          <t>Version:</t>
        </is>
      </c>
      <c r="B8" s="5" t="inlineStr">
        <is>
          <t>1.0</t>
        </is>
      </c>
    </row>
    <row r="9">
      <c r="A9" s="4" t="inlineStr">
        <is>
          <t>Report Date:</t>
        </is>
      </c>
      <c r="B9" s="6" t="inlineStr">
        <is>
          <t>[USER INPUT]</t>
        </is>
      </c>
    </row>
    <row r="10">
      <c r="A10" s="4" t="inlineStr">
        <is>
          <t>Reporting Period:</t>
        </is>
      </c>
      <c r="B10" s="6" t="inlineStr">
        <is>
          <t>[USER INPUT]</t>
        </is>
      </c>
    </row>
    <row r="11">
      <c r="A11" s="4" t="inlineStr">
        <is>
          <t>Prepared By:</t>
        </is>
      </c>
      <c r="B11" s="6" t="inlineStr">
        <is>
          <t>[USER INPUT]</t>
        </is>
      </c>
    </row>
    <row r="12">
      <c r="A12" s="4" t="inlineStr">
        <is>
          <t>Organization:</t>
        </is>
      </c>
      <c r="B12" s="5" t="inlineStr">
        <is>
          <t>[Organization]</t>
        </is>
      </c>
    </row>
    <row r="13">
      <c r="A13" s="4" t="inlineStr">
        <is>
          <t>Review Cycle:</t>
        </is>
      </c>
      <c r="B13" s="5" t="inlineStr">
        <is>
          <t>Quarterly</t>
        </is>
      </c>
    </row>
    <row r="14">
      <c r="A14" s="4" t="inlineStr">
        <is>
          <t>Last Updated:</t>
        </is>
      </c>
      <c r="B14" s="5" t="inlineStr">
        <is>
          <t>08.02.2026</t>
        </is>
      </c>
    </row>
    <row r="16">
      <c r="A16" s="3" t="inlineStr">
        <is>
          <t>OVERALL COMPLIANCE SUMMARY</t>
        </is>
      </c>
    </row>
    <row r="17">
      <c r="A17" s="7" t="inlineStr">
        <is>
          <t>Assessment Area</t>
        </is>
      </c>
      <c r="B17" s="7" t="inlineStr">
        <is>
          <t>Compliance %</t>
        </is>
      </c>
      <c r="C17" s="7" t="inlineStr">
        <is>
          <t>Status</t>
        </is>
      </c>
      <c r="D17" s="7" t="inlineStr">
        <is>
          <t>Critical Gaps</t>
        </is>
      </c>
      <c r="E17" s="7" t="inlineStr">
        <is>
          <t>Evidence Count</t>
        </is>
      </c>
      <c r="F17" s="7" t="inlineStr">
        <is>
          <t>Last Updated</t>
        </is>
      </c>
    </row>
    <row r="18">
      <c r="A18" s="5" t="inlineStr">
        <is>
          <t>Test Data Protection (IMP-A.8.33-34.1)</t>
        </is>
      </c>
      <c r="B18" s="6" t="inlineStr">
        <is>
          <t>[%]</t>
        </is>
      </c>
      <c r="C18" s="6" t="inlineStr">
        <is>
          <t>[Status]</t>
        </is>
      </c>
      <c r="D18" s="6" t="inlineStr">
        <is>
          <t>[#]</t>
        </is>
      </c>
      <c r="E18" s="6" t="inlineStr">
        <is>
          <t>[#]</t>
        </is>
      </c>
      <c r="F18" s="6" t="inlineStr">
        <is>
          <t>[Date]</t>
        </is>
      </c>
    </row>
    <row r="19">
      <c r="A19" s="5" t="inlineStr">
        <is>
          <t>Audit Activity Management (IMP-A.8.33-34.2)</t>
        </is>
      </c>
      <c r="B19" s="6" t="inlineStr">
        <is>
          <t>[%]</t>
        </is>
      </c>
      <c r="C19" s="6" t="inlineStr">
        <is>
          <t>[Status]</t>
        </is>
      </c>
      <c r="D19" s="6" t="inlineStr">
        <is>
          <t>[#]</t>
        </is>
      </c>
      <c r="E19" s="6" t="inlineStr">
        <is>
          <t>[#]</t>
        </is>
      </c>
      <c r="F19" s="6" t="inlineStr">
        <is>
          <t>[Date]</t>
        </is>
      </c>
    </row>
    <row r="20">
      <c r="A20" s="8" t="inlineStr">
        <is>
          <t>OVERALL AVERAGE</t>
        </is>
      </c>
      <c r="B20" s="9" t="inlineStr">
        <is>
          <t>[%]</t>
        </is>
      </c>
      <c r="C20" s="9" t="inlineStr">
        <is>
          <t>[Status]</t>
        </is>
      </c>
      <c r="D20" s="9" t="inlineStr">
        <is>
          <t>[#]</t>
        </is>
      </c>
      <c r="E20" s="9" t="inlineStr">
        <is>
          <t>[#]</t>
        </is>
      </c>
      <c r="F20" s="8" t="inlineStr">
        <is>
          <t>-</t>
        </is>
      </c>
    </row>
    <row r="22">
      <c r="A22" s="3" t="inlineStr">
        <is>
          <t>KEY PERFORMANCE INDICATORS</t>
        </is>
      </c>
    </row>
    <row r="23">
      <c r="A23" s="7" t="inlineStr">
        <is>
          <t>KPI</t>
        </is>
      </c>
      <c r="B23" s="7" t="inlineStr">
        <is>
          <t>Target</t>
        </is>
      </c>
      <c r="C23" s="7" t="inlineStr">
        <is>
          <t>Current</t>
        </is>
      </c>
      <c r="D23" s="7" t="inlineStr">
        <is>
          <t>Status</t>
        </is>
      </c>
      <c r="E23" s="7" t="inlineStr">
        <is>
          <t>Trend</t>
        </is>
      </c>
      <c r="F23" s="7" t="inlineStr">
        <is>
          <t>Source</t>
        </is>
      </c>
    </row>
    <row r="24">
      <c r="A24" s="10" t="inlineStr">
        <is>
          <t>TEST DATA DOMAIN</t>
        </is>
      </c>
      <c r="B24" s="5" t="inlineStr"/>
      <c r="C24" s="5" t="inlineStr"/>
      <c r="D24" s="5" t="inlineStr"/>
      <c r="E24" s="5" t="inlineStr"/>
      <c r="F24" s="5" t="inlineStr"/>
    </row>
    <row r="25">
      <c r="A25" s="5" t="inlineStr">
        <is>
          <t>Data Set Authorization Rate</t>
        </is>
      </c>
      <c r="B25" s="5" t="inlineStr">
        <is>
          <t>100%</t>
        </is>
      </c>
      <c r="C25" s="6" t="inlineStr">
        <is>
          <t>[%]</t>
        </is>
      </c>
      <c r="D25" s="6" t="inlineStr">
        <is>
          <t>[Status]</t>
        </is>
      </c>
      <c r="E25" s="6" t="inlineStr">
        <is>
          <t>[Trend]</t>
        </is>
      </c>
      <c r="F25" s="5" t="inlineStr">
        <is>
          <t>IMP-A.8.33-34.1</t>
        </is>
      </c>
    </row>
    <row r="26">
      <c r="A26" s="5" t="inlineStr">
        <is>
          <t>PII Masking Coverage</t>
        </is>
      </c>
      <c r="B26" s="5" t="inlineStr">
        <is>
          <t>100%</t>
        </is>
      </c>
      <c r="C26" s="6" t="inlineStr">
        <is>
          <t>[%]</t>
        </is>
      </c>
      <c r="D26" s="6" t="inlineStr">
        <is>
          <t>[Status]</t>
        </is>
      </c>
      <c r="E26" s="6" t="inlineStr">
        <is>
          <t>[Trend]</t>
        </is>
      </c>
      <c r="F26" s="5" t="inlineStr">
        <is>
          <t>IMP-A.8.33-34.1</t>
        </is>
      </c>
    </row>
    <row r="27">
      <c r="A27" s="5" t="inlineStr">
        <is>
          <t>Average Masking Effectiveness</t>
        </is>
      </c>
      <c r="B27" s="5" t="inlineStr">
        <is>
          <t>&gt;=4.0</t>
        </is>
      </c>
      <c r="C27" s="6" t="inlineStr">
        <is>
          <t>[Score]</t>
        </is>
      </c>
      <c r="D27" s="6" t="inlineStr">
        <is>
          <t>[Status]</t>
        </is>
      </c>
      <c r="E27" s="6" t="inlineStr">
        <is>
          <t>[Trend]</t>
        </is>
      </c>
      <c r="F27" s="5" t="inlineStr">
        <is>
          <t>IMP-A.8.33-34.1</t>
        </is>
      </c>
    </row>
    <row r="28">
      <c r="A28" s="5" t="inlineStr">
        <is>
          <t>Environment Security Compliance</t>
        </is>
      </c>
      <c r="B28" s="5" t="inlineStr">
        <is>
          <t>&gt;=90%</t>
        </is>
      </c>
      <c r="C28" s="6" t="inlineStr">
        <is>
          <t>[%]</t>
        </is>
      </c>
      <c r="D28" s="6" t="inlineStr">
        <is>
          <t>[Status]</t>
        </is>
      </c>
      <c r="E28" s="6" t="inlineStr">
        <is>
          <t>[Trend]</t>
        </is>
      </c>
      <c r="F28" s="5" t="inlineStr">
        <is>
          <t>IMP-A.8.33-34.1</t>
        </is>
      </c>
    </row>
    <row r="29">
      <c r="A29" s="5" t="inlineStr">
        <is>
          <t>Refresh Authorization Rate</t>
        </is>
      </c>
      <c r="B29" s="5" t="inlineStr">
        <is>
          <t>100%</t>
        </is>
      </c>
      <c r="C29" s="6" t="inlineStr">
        <is>
          <t>[%]</t>
        </is>
      </c>
      <c r="D29" s="6" t="inlineStr">
        <is>
          <t>[Status]</t>
        </is>
      </c>
      <c r="E29" s="6" t="inlineStr">
        <is>
          <t>[Trend]</t>
        </is>
      </c>
      <c r="F29" s="5" t="inlineStr">
        <is>
          <t>IMP-A.8.33-34.1</t>
        </is>
      </c>
    </row>
    <row r="30">
      <c r="A30" s="10" t="inlineStr">
        <is>
          <t>AUDIT ACTIVITY DOMAIN</t>
        </is>
      </c>
      <c r="B30" s="5" t="inlineStr"/>
      <c r="C30" s="5" t="inlineStr"/>
      <c r="D30" s="5" t="inlineStr"/>
      <c r="E30" s="5" t="inlineStr"/>
      <c r="F30" s="5" t="inlineStr"/>
    </row>
    <row r="31">
      <c r="A31" s="5" t="inlineStr">
        <is>
          <t>Audit Authorization Rate</t>
        </is>
      </c>
      <c r="B31" s="5" t="inlineStr">
        <is>
          <t>100%</t>
        </is>
      </c>
      <c r="C31" s="6" t="inlineStr">
        <is>
          <t>[%]</t>
        </is>
      </c>
      <c r="D31" s="6" t="inlineStr">
        <is>
          <t>[Status]</t>
        </is>
      </c>
      <c r="E31" s="6" t="inlineStr">
        <is>
          <t>[Trend]</t>
        </is>
      </c>
      <c r="F31" s="5" t="inlineStr">
        <is>
          <t>IMP-A.8.33-34.2</t>
        </is>
      </c>
    </row>
    <row r="32">
      <c r="A32" s="5" t="inlineStr">
        <is>
          <t>Tool Authorization Rate</t>
        </is>
      </c>
      <c r="B32" s="5" t="inlineStr">
        <is>
          <t>100%</t>
        </is>
      </c>
      <c r="C32" s="6" t="inlineStr">
        <is>
          <t>[%]</t>
        </is>
      </c>
      <c r="D32" s="6" t="inlineStr">
        <is>
          <t>[Status]</t>
        </is>
      </c>
      <c r="E32" s="6" t="inlineStr">
        <is>
          <t>[Trend]</t>
        </is>
      </c>
      <c r="F32" s="5" t="inlineStr">
        <is>
          <t>IMP-A.8.33-34.2</t>
        </is>
      </c>
    </row>
    <row r="33">
      <c r="A33" s="5" t="inlineStr">
        <is>
          <t>Access Approval Rate</t>
        </is>
      </c>
      <c r="B33" s="5" t="inlineStr">
        <is>
          <t>100%</t>
        </is>
      </c>
      <c r="C33" s="6" t="inlineStr">
        <is>
          <t>[%]</t>
        </is>
      </c>
      <c r="D33" s="6" t="inlineStr">
        <is>
          <t>[Status]</t>
        </is>
      </c>
      <c r="E33" s="6" t="inlineStr">
        <is>
          <t>[Trend]</t>
        </is>
      </c>
      <c r="F33" s="5" t="inlineStr">
        <is>
          <t>IMP-A.8.33-34.2</t>
        </is>
      </c>
    </row>
    <row r="34">
      <c r="A34" s="5" t="inlineStr">
        <is>
          <t>Access Revocation Timeliness</t>
        </is>
      </c>
      <c r="B34" s="5" t="inlineStr">
        <is>
          <t>100%</t>
        </is>
      </c>
      <c r="C34" s="6" t="inlineStr">
        <is>
          <t>[%]</t>
        </is>
      </c>
      <c r="D34" s="6" t="inlineStr">
        <is>
          <t>[Status]</t>
        </is>
      </c>
      <c r="E34" s="6" t="inlineStr">
        <is>
          <t>[Trend]</t>
        </is>
      </c>
      <c r="F34" s="5" t="inlineStr">
        <is>
          <t>IMP-A.8.33-34.2</t>
        </is>
      </c>
    </row>
    <row r="35">
      <c r="A35" s="5" t="inlineStr">
        <is>
          <t>Critical System Mitigation Coverage</t>
        </is>
      </c>
      <c r="B35" s="5" t="inlineStr">
        <is>
          <t>100%</t>
        </is>
      </c>
      <c r="C35" s="6" t="inlineStr">
        <is>
          <t>[%]</t>
        </is>
      </c>
      <c r="D35" s="6" t="inlineStr">
        <is>
          <t>[Status]</t>
        </is>
      </c>
      <c r="E35" s="6" t="inlineStr">
        <is>
          <t>[Trend]</t>
        </is>
      </c>
      <c r="F35" s="5" t="inlineStr">
        <is>
          <t>IMP-A.8.33-34.2</t>
        </is>
      </c>
    </row>
    <row r="36">
      <c r="A36" s="5" t="inlineStr">
        <is>
          <t>Evidence Encryption Rate</t>
        </is>
      </c>
      <c r="B36" s="5" t="inlineStr">
        <is>
          <t>100%</t>
        </is>
      </c>
      <c r="C36" s="6" t="inlineStr">
        <is>
          <t>[%]</t>
        </is>
      </c>
      <c r="D36" s="6" t="inlineStr">
        <is>
          <t>[Status]</t>
        </is>
      </c>
      <c r="E36" s="6" t="inlineStr">
        <is>
          <t>[Trend]</t>
        </is>
      </c>
      <c r="F36" s="5" t="inlineStr">
        <is>
          <t>IMP-A.8.33-34.2</t>
        </is>
      </c>
    </row>
    <row r="39">
      <c r="A39" s="3" t="inlineStr">
        <is>
          <t>ISO 27001:2022 CONTROL COMPLIANCE MAPPING</t>
        </is>
      </c>
    </row>
    <row r="40">
      <c r="A40" s="7" t="inlineStr">
        <is>
          <t>ISO Control</t>
        </is>
      </c>
      <c r="B40" s="7" t="inlineStr">
        <is>
          <t>Requirement</t>
        </is>
      </c>
      <c r="C40" s="7" t="inlineStr">
        <is>
          <t>Assessment Source</t>
        </is>
      </c>
      <c r="D40" s="7" t="inlineStr">
        <is>
          <t>Compliance</t>
        </is>
      </c>
      <c r="E40" s="7" t="inlineStr">
        <is>
          <t>Status</t>
        </is>
      </c>
      <c r="F40" s="7" t="inlineStr">
        <is>
          <t>Evidence</t>
        </is>
      </c>
    </row>
    <row r="41">
      <c r="A41" s="5" t="inlineStr">
        <is>
          <t>A.8.33</t>
        </is>
      </c>
      <c r="B41" s="5" t="inlineStr">
        <is>
          <t>Test information appropriately protected</t>
        </is>
      </c>
      <c r="C41" s="5" t="inlineStr">
        <is>
          <t>IMP-A.8.33-34.1</t>
        </is>
      </c>
      <c r="D41" s="6" t="inlineStr">
        <is>
          <t>[%]</t>
        </is>
      </c>
      <c r="E41" s="6" t="inlineStr">
        <is>
          <t>[Status]</t>
        </is>
      </c>
      <c r="F41" s="6" t="inlineStr">
        <is>
          <t>[Link]</t>
        </is>
      </c>
    </row>
    <row r="42">
      <c r="A42" s="5" t="inlineStr">
        <is>
          <t>A.8.33</t>
        </is>
      </c>
      <c r="B42" s="5" t="inlineStr">
        <is>
          <t>Production data copied only when authorized</t>
        </is>
      </c>
      <c r="C42" s="5" t="inlineStr">
        <is>
          <t>IMP-A.8.33-34.1</t>
        </is>
      </c>
      <c r="D42" s="6" t="inlineStr">
        <is>
          <t>[%]</t>
        </is>
      </c>
      <c r="E42" s="6" t="inlineStr">
        <is>
          <t>[Status]</t>
        </is>
      </c>
      <c r="F42" s="6" t="inlineStr">
        <is>
          <t>[Link]</t>
        </is>
      </c>
    </row>
    <row r="43">
      <c r="A43" s="5" t="inlineStr">
        <is>
          <t>A.8.33</t>
        </is>
      </c>
      <c r="B43" s="5" t="inlineStr">
        <is>
          <t>Test data masked/anonymized</t>
        </is>
      </c>
      <c r="C43" s="5" t="inlineStr">
        <is>
          <t>IMP-A.8.33-34.1</t>
        </is>
      </c>
      <c r="D43" s="6" t="inlineStr">
        <is>
          <t>[%]</t>
        </is>
      </c>
      <c r="E43" s="6" t="inlineStr">
        <is>
          <t>[Status]</t>
        </is>
      </c>
      <c r="F43" s="6" t="inlineStr">
        <is>
          <t>[Link]</t>
        </is>
      </c>
    </row>
    <row r="44">
      <c r="A44" s="5" t="inlineStr">
        <is>
          <t>A.8.33</t>
        </is>
      </c>
      <c r="B44" s="5" t="inlineStr">
        <is>
          <t>Test environments secured</t>
        </is>
      </c>
      <c r="C44" s="5" t="inlineStr">
        <is>
          <t>IMP-A.8.33-34.1</t>
        </is>
      </c>
      <c r="D44" s="6" t="inlineStr">
        <is>
          <t>[%]</t>
        </is>
      </c>
      <c r="E44" s="6" t="inlineStr">
        <is>
          <t>[Status]</t>
        </is>
      </c>
      <c r="F44" s="6" t="inlineStr">
        <is>
          <t>[Link]</t>
        </is>
      </c>
    </row>
    <row r="45">
      <c r="A45" s="5" t="inlineStr">
        <is>
          <t>A.8.34</t>
        </is>
      </c>
      <c r="B45" s="5" t="inlineStr">
        <is>
          <t>Audit tests planned and agreed</t>
        </is>
      </c>
      <c r="C45" s="5" t="inlineStr">
        <is>
          <t>IMP-A.8.33-34.2</t>
        </is>
      </c>
      <c r="D45" s="6" t="inlineStr">
        <is>
          <t>[%]</t>
        </is>
      </c>
      <c r="E45" s="6" t="inlineStr">
        <is>
          <t>[Status]</t>
        </is>
      </c>
      <c r="F45" s="6" t="inlineStr">
        <is>
          <t>[Link]</t>
        </is>
      </c>
    </row>
    <row r="46">
      <c r="A46" s="5" t="inlineStr">
        <is>
          <t>A.8.34</t>
        </is>
      </c>
      <c r="B46" s="5" t="inlineStr">
        <is>
          <t>Audit tools authorized</t>
        </is>
      </c>
      <c r="C46" s="5" t="inlineStr">
        <is>
          <t>IMP-A.8.33-34.2</t>
        </is>
      </c>
      <c r="D46" s="6" t="inlineStr">
        <is>
          <t>[%]</t>
        </is>
      </c>
      <c r="E46" s="6" t="inlineStr">
        <is>
          <t>[Status]</t>
        </is>
      </c>
      <c r="F46" s="6" t="inlineStr">
        <is>
          <t>[Link]</t>
        </is>
      </c>
    </row>
    <row r="47">
      <c r="A47" s="5" t="inlineStr">
        <is>
          <t>A.8.34</t>
        </is>
      </c>
      <c r="B47" s="5" t="inlineStr">
        <is>
          <t>Auditor access controlled</t>
        </is>
      </c>
      <c r="C47" s="5" t="inlineStr">
        <is>
          <t>IMP-A.8.33-34.2</t>
        </is>
      </c>
      <c r="D47" s="6" t="inlineStr">
        <is>
          <t>[%]</t>
        </is>
      </c>
      <c r="E47" s="6" t="inlineStr">
        <is>
          <t>[Status]</t>
        </is>
      </c>
      <c r="F47" s="6" t="inlineStr">
        <is>
          <t>[Link]</t>
        </is>
      </c>
    </row>
    <row r="48">
      <c r="A48" s="5" t="inlineStr">
        <is>
          <t>A.8.34</t>
        </is>
      </c>
      <c r="B48" s="5" t="inlineStr">
        <is>
          <t>Production systems protected during testing</t>
        </is>
      </c>
      <c r="C48" s="5" t="inlineStr">
        <is>
          <t>IMP-A.8.33-34.2</t>
        </is>
      </c>
      <c r="D48" s="6" t="inlineStr">
        <is>
          <t>[%]</t>
        </is>
      </c>
      <c r="E48" s="6" t="inlineStr">
        <is>
          <t>[Status]</t>
        </is>
      </c>
      <c r="F48" s="6" t="inlineStr">
        <is>
          <t>[Link]</t>
        </is>
      </c>
    </row>
    <row r="49">
      <c r="A49" s="5" t="inlineStr">
        <is>
          <t>A.8.34</t>
        </is>
      </c>
      <c r="B49" s="5" t="inlineStr">
        <is>
          <t>Audit evidence protected</t>
        </is>
      </c>
      <c r="C49" s="5" t="inlineStr">
        <is>
          <t>IMP-A.8.33-34.2</t>
        </is>
      </c>
      <c r="D49" s="6" t="inlineStr">
        <is>
          <t>[%]</t>
        </is>
      </c>
      <c r="E49" s="6" t="inlineStr">
        <is>
          <t>[Status]</t>
        </is>
      </c>
      <c r="F49" s="6" t="inlineStr">
        <is>
          <t>[Link]</t>
        </is>
      </c>
    </row>
    <row r="52">
      <c r="A52" s="11" t="inlineStr">
        <is>
          <t>CRITICAL FINDINGS REQUIRING IMMEDIATE ATTENTION</t>
        </is>
      </c>
    </row>
    <row r="53">
      <c r="A53" s="12" t="inlineStr">
        <is>
          <t>Domain</t>
        </is>
      </c>
      <c r="B53" s="12" t="inlineStr">
        <is>
          <t>Critical Finding</t>
        </is>
      </c>
      <c r="C53" s="12" t="inlineStr">
        <is>
          <t>Severity</t>
        </is>
      </c>
      <c r="D53" s="12" t="inlineStr">
        <is>
          <t>Count</t>
        </is>
      </c>
      <c r="E53" s="12" t="inlineStr">
        <is>
          <t>Assigned To</t>
        </is>
      </c>
      <c r="F53" s="12" t="inlineStr">
        <is>
          <t>Target Date</t>
        </is>
      </c>
      <c r="G53" s="12" t="inlineStr">
        <is>
          <t>Status</t>
        </is>
      </c>
    </row>
    <row r="54">
      <c r="A54" s="5" t="inlineStr">
        <is>
          <t>Test Data</t>
        </is>
      </c>
      <c r="B54" s="5" t="inlineStr">
        <is>
          <t>Unauthorized data in test</t>
        </is>
      </c>
      <c r="C54" s="5" t="inlineStr">
        <is>
          <t>Critical</t>
        </is>
      </c>
      <c r="D54" s="6" t="inlineStr">
        <is>
          <t>[#]</t>
        </is>
      </c>
      <c r="E54" s="6" t="inlineStr">
        <is>
          <t>[Name]</t>
        </is>
      </c>
      <c r="F54" s="6" t="inlineStr">
        <is>
          <t>[Date]</t>
        </is>
      </c>
      <c r="G54" s="6" t="inlineStr">
        <is>
          <t>[Status]</t>
        </is>
      </c>
    </row>
    <row r="55">
      <c r="A55" s="5" t="inlineStr">
        <is>
          <t>Test Data</t>
        </is>
      </c>
      <c r="B55" s="5" t="inlineStr">
        <is>
          <t>Unmasked PII</t>
        </is>
      </c>
      <c r="C55" s="5" t="inlineStr">
        <is>
          <t>Critical</t>
        </is>
      </c>
      <c r="D55" s="6" t="inlineStr">
        <is>
          <t>[#]</t>
        </is>
      </c>
      <c r="E55" s="6" t="inlineStr">
        <is>
          <t>[Name]</t>
        </is>
      </c>
      <c r="F55" s="6" t="inlineStr">
        <is>
          <t>[Date]</t>
        </is>
      </c>
      <c r="G55" s="6" t="inlineStr">
        <is>
          <t>[Status]</t>
        </is>
      </c>
    </row>
    <row r="56">
      <c r="A56" s="5" t="inlineStr">
        <is>
          <t>Audit</t>
        </is>
      </c>
      <c r="B56" s="5" t="inlineStr">
        <is>
          <t>Unauthorized audit activity</t>
        </is>
      </c>
      <c r="C56" s="5" t="inlineStr">
        <is>
          <t>Critical</t>
        </is>
      </c>
      <c r="D56" s="6" t="inlineStr">
        <is>
          <t>[#]</t>
        </is>
      </c>
      <c r="E56" s="6" t="inlineStr">
        <is>
          <t>[Name]</t>
        </is>
      </c>
      <c r="F56" s="6" t="inlineStr">
        <is>
          <t>[Date]</t>
        </is>
      </c>
      <c r="G56" s="6" t="inlineStr">
        <is>
          <t>[Status]</t>
        </is>
      </c>
    </row>
    <row r="57">
      <c r="A57" s="5" t="inlineStr">
        <is>
          <t>Audit</t>
        </is>
      </c>
      <c r="B57" s="5" t="inlineStr">
        <is>
          <t>Unauthorized tools</t>
        </is>
      </c>
      <c r="C57" s="5" t="inlineStr">
        <is>
          <t>Critical</t>
        </is>
      </c>
      <c r="D57" s="6" t="inlineStr">
        <is>
          <t>[#]</t>
        </is>
      </c>
      <c r="E57" s="6" t="inlineStr">
        <is>
          <t>[Name]</t>
        </is>
      </c>
      <c r="F57" s="6" t="inlineStr">
        <is>
          <t>[Date]</t>
        </is>
      </c>
      <c r="G57" s="6" t="inlineStr">
        <is>
          <t>[Status]</t>
        </is>
      </c>
    </row>
    <row r="58">
      <c r="A58" s="5" t="inlineStr">
        <is>
          <t>Audit</t>
        </is>
      </c>
      <c r="B58" s="5" t="inlineStr">
        <is>
          <t>Access not revoked</t>
        </is>
      </c>
      <c r="C58" s="5" t="inlineStr">
        <is>
          <t>Critical</t>
        </is>
      </c>
      <c r="D58" s="6" t="inlineStr">
        <is>
          <t>[#]</t>
        </is>
      </c>
      <c r="E58" s="6" t="inlineStr">
        <is>
          <t>[Name]</t>
        </is>
      </c>
      <c r="F58" s="6" t="inlineStr">
        <is>
          <t>[Date]</t>
        </is>
      </c>
      <c r="G58" s="6" t="inlineStr">
        <is>
          <t>[Status]</t>
        </is>
      </c>
    </row>
  </sheetData>
  <mergeCells count="1">
    <mergeCell ref="A1:G1"/>
  </mergeCells>
  <dataValidations count="2">
    <dataValidation sqref="C18:C20" showDropDown="0" showInputMessage="0" showErrorMessage="0" allowBlank="0" type="list">
      <formula1>"Compliant,Partial,Non-Compliant"</formula1>
    </dataValidation>
    <dataValidation sqref="E25:E36" showDropDown="0" showInputMessage="0" showErrorMessage="0" allowBlank="0" type="list">
      <formula1>"Up,Stable,Down"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>
      <c r="A1" s="13" t="inlineStr">
        <is>
          <t>TEST DATA PROTECTION COMPLIANCE</t>
        </is>
      </c>
    </row>
    <row r="2">
      <c r="A2" t="inlineStr">
        <is>
          <t>Detailed compliance status from IMP-A.8.33-34.1 Assessment</t>
        </is>
      </c>
    </row>
    <row r="4">
      <c r="A4" s="3" t="inlineStr">
        <is>
          <t>TEST DATA INVENTORY COMPLIANCE</t>
        </is>
      </c>
    </row>
    <row r="5">
      <c r="A5" s="7" t="inlineStr">
        <is>
          <t>Metric</t>
        </is>
      </c>
      <c r="B5" s="7" t="inlineStr">
        <is>
          <t>Target</t>
        </is>
      </c>
      <c r="C5" s="7" t="inlineStr">
        <is>
          <t>Current</t>
        </is>
      </c>
      <c r="D5" s="7" t="inlineStr">
        <is>
          <t>Status</t>
        </is>
      </c>
      <c r="E5" s="7" t="inlineStr">
        <is>
          <t>Notes</t>
        </is>
      </c>
    </row>
    <row r="6">
      <c r="A6" s="5" t="inlineStr">
        <is>
          <t>Total Data Sets</t>
        </is>
      </c>
      <c r="B6" s="5" t="inlineStr">
        <is>
          <t>-</t>
        </is>
      </c>
      <c r="C6" s="6" t="inlineStr">
        <is>
          <t>[#]</t>
        </is>
      </c>
      <c r="D6" s="5" t="inlineStr">
        <is>
          <t>-</t>
        </is>
      </c>
      <c r="E6" s="5" t="inlineStr"/>
    </row>
    <row r="7">
      <c r="A7" s="5" t="inlineStr">
        <is>
          <t>Authorized Data Sets</t>
        </is>
      </c>
      <c r="B7" s="5" t="inlineStr">
        <is>
          <t>100%</t>
        </is>
      </c>
      <c r="C7" s="6" t="inlineStr">
        <is>
          <t>[%]</t>
        </is>
      </c>
      <c r="D7" s="6" t="inlineStr">
        <is>
          <t>[Status]</t>
        </is>
      </c>
      <c r="E7" s="5" t="inlineStr"/>
    </row>
    <row r="8">
      <c r="A8" s="5" t="inlineStr">
        <is>
          <t>Pending Authorization</t>
        </is>
      </c>
      <c r="B8" s="5" t="inlineStr">
        <is>
          <t>0</t>
        </is>
      </c>
      <c r="C8" s="6" t="inlineStr">
        <is>
          <t>[#]</t>
        </is>
      </c>
      <c r="D8" s="6" t="inlineStr">
        <is>
          <t>[Status]</t>
        </is>
      </c>
      <c r="E8" s="5" t="inlineStr"/>
    </row>
    <row r="9">
      <c r="A9" s="5" t="inlineStr">
        <is>
          <t>Unauthorized Data Sets</t>
        </is>
      </c>
      <c r="B9" s="5" t="inlineStr">
        <is>
          <t>0</t>
        </is>
      </c>
      <c r="C9" s="6" t="inlineStr">
        <is>
          <t>[#]</t>
        </is>
      </c>
      <c r="D9" s="6" t="inlineStr">
        <is>
          <t>[Status]</t>
        </is>
      </c>
      <c r="E9" s="5" t="inlineStr">
        <is>
          <t>Critical if &gt;0</t>
        </is>
      </c>
    </row>
    <row r="10">
      <c r="A10" s="5" t="inlineStr">
        <is>
          <t>Data Sets with PII</t>
        </is>
      </c>
      <c r="B10" s="5" t="inlineStr">
        <is>
          <t>-</t>
        </is>
      </c>
      <c r="C10" s="6" t="inlineStr">
        <is>
          <t>[#]</t>
        </is>
      </c>
      <c r="D10" s="5" t="inlineStr">
        <is>
          <t>-</t>
        </is>
      </c>
      <c r="E10" s="5" t="inlineStr"/>
    </row>
    <row r="11">
      <c r="A11" s="5" t="inlineStr">
        <is>
          <t>PII Data Sets Masked</t>
        </is>
      </c>
      <c r="B11" s="5" t="inlineStr">
        <is>
          <t>100%</t>
        </is>
      </c>
      <c r="C11" s="6" t="inlineStr">
        <is>
          <t>[%]</t>
        </is>
      </c>
      <c r="D11" s="6" t="inlineStr">
        <is>
          <t>[Status]</t>
        </is>
      </c>
      <c r="E11" s="5" t="inlineStr"/>
    </row>
    <row r="12">
      <c r="A12" s="5" t="inlineStr">
        <is>
          <t>Authorization Rate %</t>
        </is>
      </c>
      <c r="B12" s="5" t="inlineStr">
        <is>
          <t>100%</t>
        </is>
      </c>
      <c r="C12" s="6" t="inlineStr">
        <is>
          <t>[%]</t>
        </is>
      </c>
      <c r="D12" s="6" t="inlineStr">
        <is>
          <t>[Status]</t>
        </is>
      </c>
      <c r="E12" s="5" t="inlineStr"/>
    </row>
    <row r="15">
      <c r="A15" s="3" t="inlineStr">
        <is>
          <t>DATA MASKING EFFECTIVENESS</t>
        </is>
      </c>
    </row>
    <row r="16">
      <c r="A16" s="7" t="inlineStr">
        <is>
          <t>Metric</t>
        </is>
      </c>
      <c r="B16" s="7" t="inlineStr">
        <is>
          <t>Target</t>
        </is>
      </c>
      <c r="C16" s="7" t="inlineStr">
        <is>
          <t>Current</t>
        </is>
      </c>
      <c r="D16" s="7" t="inlineStr">
        <is>
          <t>Status</t>
        </is>
      </c>
      <c r="E16" s="7" t="inlineStr">
        <is>
          <t>Notes</t>
        </is>
      </c>
    </row>
    <row r="17">
      <c r="A17" s="5" t="inlineStr">
        <is>
          <t>Average Effectiveness Score</t>
        </is>
      </c>
      <c r="B17" s="5" t="inlineStr">
        <is>
          <t>&gt;=4.0</t>
        </is>
      </c>
      <c r="C17" s="6" t="inlineStr">
        <is>
          <t>[Score]</t>
        </is>
      </c>
      <c r="D17" s="6" t="inlineStr">
        <is>
          <t>[Status]</t>
        </is>
      </c>
      <c r="E17" s="5" t="inlineStr"/>
    </row>
    <row r="18">
      <c r="A18" s="5" t="inlineStr">
        <is>
          <t>Score 5 (Excellent)</t>
        </is>
      </c>
      <c r="B18" s="5" t="inlineStr">
        <is>
          <t>-</t>
        </is>
      </c>
      <c r="C18" s="6" t="inlineStr">
        <is>
          <t>[#]</t>
        </is>
      </c>
      <c r="D18" s="5" t="inlineStr">
        <is>
          <t>-</t>
        </is>
      </c>
      <c r="E18" s="5" t="inlineStr"/>
    </row>
    <row r="19">
      <c r="A19" s="5" t="inlineStr">
        <is>
          <t>Score 4 (Good)</t>
        </is>
      </c>
      <c r="B19" s="5" t="inlineStr">
        <is>
          <t>-</t>
        </is>
      </c>
      <c r="C19" s="6" t="inlineStr">
        <is>
          <t>[#]</t>
        </is>
      </c>
      <c r="D19" s="5" t="inlineStr">
        <is>
          <t>-</t>
        </is>
      </c>
      <c r="E19" s="5" t="inlineStr"/>
    </row>
    <row r="20">
      <c r="A20" s="5" t="inlineStr">
        <is>
          <t>Score 3 (Adequate)</t>
        </is>
      </c>
      <c r="B20" s="5" t="inlineStr">
        <is>
          <t>-</t>
        </is>
      </c>
      <c r="C20" s="6" t="inlineStr">
        <is>
          <t>[#]</t>
        </is>
      </c>
      <c r="D20" s="5" t="inlineStr">
        <is>
          <t>-</t>
        </is>
      </c>
      <c r="E20" s="5" t="inlineStr"/>
    </row>
    <row r="21">
      <c r="A21" s="5" t="inlineStr">
        <is>
          <t>Score 2 (Poor)</t>
        </is>
      </c>
      <c r="B21" s="5" t="inlineStr">
        <is>
          <t>-</t>
        </is>
      </c>
      <c r="C21" s="6" t="inlineStr">
        <is>
          <t>[#]</t>
        </is>
      </c>
      <c r="D21" s="6" t="inlineStr">
        <is>
          <t>[Warning]</t>
        </is>
      </c>
      <c r="E21" s="5" t="inlineStr"/>
    </row>
    <row r="22">
      <c r="A22" s="5" t="inlineStr">
        <is>
          <t>Score 1 (Inadequate)</t>
        </is>
      </c>
      <c r="B22" s="5" t="inlineStr">
        <is>
          <t>-</t>
        </is>
      </c>
      <c r="C22" s="6" t="inlineStr">
        <is>
          <t>[#]</t>
        </is>
      </c>
      <c r="D22" s="6" t="inlineStr">
        <is>
          <t>[Critical]</t>
        </is>
      </c>
      <c r="E22" s="5" t="inlineStr"/>
    </row>
    <row r="23">
      <c r="A23" s="5" t="inlineStr">
        <is>
          <t>High Re-identification Risk</t>
        </is>
      </c>
      <c r="B23" s="5" t="inlineStr">
        <is>
          <t>0</t>
        </is>
      </c>
      <c r="C23" s="6" t="inlineStr">
        <is>
          <t>[#]</t>
        </is>
      </c>
      <c r="D23" s="6" t="inlineStr">
        <is>
          <t>[Status]</t>
        </is>
      </c>
      <c r="E23" s="5" t="inlineStr">
        <is>
          <t>Critical if &gt;0</t>
        </is>
      </c>
    </row>
    <row r="24">
      <c r="A24" s="5" t="inlineStr">
        <is>
          <t>Critical Masking Gaps</t>
        </is>
      </c>
      <c r="B24" s="5" t="inlineStr">
        <is>
          <t>0</t>
        </is>
      </c>
      <c r="C24" s="6" t="inlineStr">
        <is>
          <t>[#]</t>
        </is>
      </c>
      <c r="D24" s="6" t="inlineStr">
        <is>
          <t>[Status]</t>
        </is>
      </c>
      <c r="E24" s="5" t="inlineStr">
        <is>
          <t>Critical if &gt;0</t>
        </is>
      </c>
    </row>
    <row r="27">
      <c r="A27" s="3" t="inlineStr">
        <is>
          <t>TEST ENVIRONMENT SECURITY</t>
        </is>
      </c>
    </row>
    <row r="28">
      <c r="A28" s="7" t="inlineStr">
        <is>
          <t>Metric</t>
        </is>
      </c>
      <c r="B28" s="7" t="inlineStr">
        <is>
          <t>Target</t>
        </is>
      </c>
      <c r="C28" s="7" t="inlineStr">
        <is>
          <t>Current</t>
        </is>
      </c>
      <c r="D28" s="7" t="inlineStr">
        <is>
          <t>Status</t>
        </is>
      </c>
      <c r="E28" s="7" t="inlineStr">
        <is>
          <t>Notes</t>
        </is>
      </c>
    </row>
    <row r="29">
      <c r="A29" s="5" t="inlineStr">
        <is>
          <t>Total Environments</t>
        </is>
      </c>
      <c r="B29" s="5" t="inlineStr">
        <is>
          <t>-</t>
        </is>
      </c>
      <c r="C29" s="6" t="inlineStr">
        <is>
          <t>[#]</t>
        </is>
      </c>
      <c r="D29" s="5" t="inlineStr">
        <is>
          <t>-</t>
        </is>
      </c>
      <c r="E29" s="5" t="inlineStr"/>
    </row>
    <row r="30">
      <c r="A30" s="5" t="inlineStr">
        <is>
          <t>Security Compliant</t>
        </is>
      </c>
      <c r="B30" s="5" t="inlineStr">
        <is>
          <t>100%</t>
        </is>
      </c>
      <c r="C30" s="6" t="inlineStr">
        <is>
          <t>[%]</t>
        </is>
      </c>
      <c r="D30" s="6" t="inlineStr">
        <is>
          <t>[Status]</t>
        </is>
      </c>
      <c r="E30" s="5" t="inlineStr"/>
    </row>
    <row r="31">
      <c r="A31" s="5" t="inlineStr">
        <is>
          <t>Security Partial</t>
        </is>
      </c>
      <c r="B31" s="5" t="inlineStr">
        <is>
          <t>0%</t>
        </is>
      </c>
      <c r="C31" s="6" t="inlineStr">
        <is>
          <t>[%]</t>
        </is>
      </c>
      <c r="D31" s="6" t="inlineStr">
        <is>
          <t>[Status]</t>
        </is>
      </c>
      <c r="E31" s="5" t="inlineStr"/>
    </row>
    <row r="32">
      <c r="A32" s="5" t="inlineStr">
        <is>
          <t>Security Non-Compliant</t>
        </is>
      </c>
      <c r="B32" s="5" t="inlineStr">
        <is>
          <t>0</t>
        </is>
      </c>
      <c r="C32" s="6" t="inlineStr">
        <is>
          <t>[#]</t>
        </is>
      </c>
      <c r="D32" s="6" t="inlineStr">
        <is>
          <t>[Status]</t>
        </is>
      </c>
      <c r="E32" s="5" t="inlineStr"/>
    </row>
    <row r="33">
      <c r="A33" s="5" t="inlineStr">
        <is>
          <t>Full Network Isolation</t>
        </is>
      </c>
      <c r="B33" s="5" t="inlineStr">
        <is>
          <t>&gt;=90%</t>
        </is>
      </c>
      <c r="C33" s="6" t="inlineStr">
        <is>
          <t>[%]</t>
        </is>
      </c>
      <c r="D33" s="6" t="inlineStr">
        <is>
          <t>[Status]</t>
        </is>
      </c>
      <c r="E33" s="5" t="inlineStr"/>
    </row>
    <row r="34">
      <c r="A34" s="5" t="inlineStr">
        <is>
          <t>Encryption at Rest</t>
        </is>
      </c>
      <c r="B34" s="5" t="inlineStr">
        <is>
          <t>100%</t>
        </is>
      </c>
      <c r="C34" s="6" t="inlineStr">
        <is>
          <t>[%]</t>
        </is>
      </c>
      <c r="D34" s="6" t="inlineStr">
        <is>
          <t>[Status]</t>
        </is>
      </c>
      <c r="E34" s="5" t="inlineStr"/>
    </row>
    <row r="35">
      <c r="A35" s="5" t="inlineStr">
        <is>
          <t>Reviews Overdue</t>
        </is>
      </c>
      <c r="B35" s="5" t="inlineStr">
        <is>
          <t>0</t>
        </is>
      </c>
      <c r="C35" s="6" t="inlineStr">
        <is>
          <t>[#]</t>
        </is>
      </c>
      <c r="D35" s="6" t="inlineStr">
        <is>
          <t>[Status]</t>
        </is>
      </c>
      <c r="E35" s="5" t="inlineStr"/>
    </row>
    <row r="38">
      <c r="A38" s="3" t="inlineStr">
        <is>
          <t>DATA REFRESH GOVERNANCE</t>
        </is>
      </c>
    </row>
    <row r="39">
      <c r="A39" s="7" t="inlineStr">
        <is>
          <t>Metric</t>
        </is>
      </c>
      <c r="B39" s="7" t="inlineStr">
        <is>
          <t>Target</t>
        </is>
      </c>
      <c r="C39" s="7" t="inlineStr">
        <is>
          <t>Current</t>
        </is>
      </c>
      <c r="D39" s="7" t="inlineStr">
        <is>
          <t>Status</t>
        </is>
      </c>
      <c r="E39" s="7" t="inlineStr">
        <is>
          <t>Notes</t>
        </is>
      </c>
    </row>
    <row r="40">
      <c r="A40" s="5" t="inlineStr">
        <is>
          <t>Total Refresh Schedules</t>
        </is>
      </c>
      <c r="B40" s="5" t="inlineStr">
        <is>
          <t>-</t>
        </is>
      </c>
      <c r="C40" s="6" t="inlineStr">
        <is>
          <t>[#]</t>
        </is>
      </c>
      <c r="D40" s="5" t="inlineStr">
        <is>
          <t>-</t>
        </is>
      </c>
      <c r="E40" s="5" t="inlineStr"/>
    </row>
    <row r="41">
      <c r="A41" s="5" t="inlineStr">
        <is>
          <t>Authorized Refreshes</t>
        </is>
      </c>
      <c r="B41" s="5" t="inlineStr">
        <is>
          <t>100%</t>
        </is>
      </c>
      <c r="C41" s="6" t="inlineStr">
        <is>
          <t>[%]</t>
        </is>
      </c>
      <c r="D41" s="6" t="inlineStr">
        <is>
          <t>[Status]</t>
        </is>
      </c>
      <c r="E41" s="5" t="inlineStr"/>
    </row>
    <row r="42">
      <c r="A42" s="5" t="inlineStr">
        <is>
          <t>Masking at Refresh</t>
        </is>
      </c>
      <c r="B42" s="5" t="inlineStr">
        <is>
          <t>100%</t>
        </is>
      </c>
      <c r="C42" s="6" t="inlineStr">
        <is>
          <t>[%]</t>
        </is>
      </c>
      <c r="D42" s="6" t="inlineStr">
        <is>
          <t>[Status]</t>
        </is>
      </c>
      <c r="E42" s="5" t="inlineStr"/>
    </row>
    <row r="43">
      <c r="A43" s="5" t="inlineStr">
        <is>
          <t>Auto-Purge Enabled</t>
        </is>
      </c>
      <c r="B43" s="5" t="inlineStr">
        <is>
          <t>100%</t>
        </is>
      </c>
      <c r="C43" s="6" t="inlineStr">
        <is>
          <t>[%]</t>
        </is>
      </c>
      <c r="D43" s="6" t="inlineStr">
        <is>
          <t>[Status]</t>
        </is>
      </c>
      <c r="E43" s="5" t="inlineStr"/>
    </row>
  </sheetData>
  <mergeCells count="1">
    <mergeCell ref="A1:E1"/>
  </mergeCells>
  <dataValidations count="1">
    <dataValidation sqref="D6:D50" showDropDown="0" showInputMessage="0" showErrorMessage="0" allowBlank="0" type="list">
      <formula1>"Compliant,Partial,Non-Compliant,N/A"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>
      <c r="A1" s="13" t="inlineStr">
        <is>
          <t>AUDIT ACTIVITY MANAGEMENT COMPLIANCE</t>
        </is>
      </c>
    </row>
    <row r="2">
      <c r="A2" t="inlineStr">
        <is>
          <t>Detailed compliance status from IMP-A.8.33-34.2 Assessment</t>
        </is>
      </c>
    </row>
    <row r="4">
      <c r="A4" s="3" t="inlineStr">
        <is>
          <t>AUDIT ACTIVITY AUTHORIZATION</t>
        </is>
      </c>
    </row>
    <row r="5">
      <c r="A5" s="7" t="inlineStr">
        <is>
          <t>Metric</t>
        </is>
      </c>
      <c r="B5" s="7" t="inlineStr">
        <is>
          <t>Target</t>
        </is>
      </c>
      <c r="C5" s="7" t="inlineStr">
        <is>
          <t>Current</t>
        </is>
      </c>
      <c r="D5" s="7" t="inlineStr">
        <is>
          <t>Status</t>
        </is>
      </c>
      <c r="E5" s="7" t="inlineStr">
        <is>
          <t>Notes</t>
        </is>
      </c>
    </row>
    <row r="6">
      <c r="A6" s="5" t="inlineStr">
        <is>
          <t>Total Audits</t>
        </is>
      </c>
      <c r="B6" s="5" t="inlineStr">
        <is>
          <t>-</t>
        </is>
      </c>
      <c r="C6" s="6" t="inlineStr">
        <is>
          <t>[#]</t>
        </is>
      </c>
      <c r="D6" s="5" t="inlineStr">
        <is>
          <t>-</t>
        </is>
      </c>
      <c r="E6" s="5" t="inlineStr"/>
    </row>
    <row r="7">
      <c r="A7" s="5" t="inlineStr">
        <is>
          <t>Approved Audits</t>
        </is>
      </c>
      <c r="B7" s="5" t="inlineStr">
        <is>
          <t>100%</t>
        </is>
      </c>
      <c r="C7" s="6" t="inlineStr">
        <is>
          <t>[%]</t>
        </is>
      </c>
      <c r="D7" s="6" t="inlineStr">
        <is>
          <t>[Status]</t>
        </is>
      </c>
      <c r="E7" s="5" t="inlineStr"/>
    </row>
    <row r="8">
      <c r="A8" s="5" t="inlineStr">
        <is>
          <t>Pending Approval</t>
        </is>
      </c>
      <c r="B8" s="5" t="inlineStr">
        <is>
          <t>0</t>
        </is>
      </c>
      <c r="C8" s="6" t="inlineStr">
        <is>
          <t>[#]</t>
        </is>
      </c>
      <c r="D8" s="6" t="inlineStr">
        <is>
          <t>[Status]</t>
        </is>
      </c>
      <c r="E8" s="5" t="inlineStr"/>
    </row>
    <row r="9">
      <c r="A9" s="5" t="inlineStr">
        <is>
          <t>Completed Audits</t>
        </is>
      </c>
      <c r="B9" s="5" t="inlineStr">
        <is>
          <t>-</t>
        </is>
      </c>
      <c r="C9" s="6" t="inlineStr">
        <is>
          <t>[#]</t>
        </is>
      </c>
      <c r="D9" s="5" t="inlineStr">
        <is>
          <t>-</t>
        </is>
      </c>
      <c r="E9" s="5" t="inlineStr"/>
    </row>
    <row r="10">
      <c r="A10" s="5" t="inlineStr">
        <is>
          <t>Total Findings</t>
        </is>
      </c>
      <c r="B10" s="5" t="inlineStr">
        <is>
          <t>-</t>
        </is>
      </c>
      <c r="C10" s="6" t="inlineStr">
        <is>
          <t>[#]</t>
        </is>
      </c>
      <c r="D10" s="5" t="inlineStr">
        <is>
          <t>-</t>
        </is>
      </c>
      <c r="E10" s="5" t="inlineStr"/>
    </row>
    <row r="11">
      <c r="A11" s="5" t="inlineStr">
        <is>
          <t>Critical Findings</t>
        </is>
      </c>
      <c r="B11" s="5" t="inlineStr">
        <is>
          <t>0</t>
        </is>
      </c>
      <c r="C11" s="6" t="inlineStr">
        <is>
          <t>[#]</t>
        </is>
      </c>
      <c r="D11" s="6" t="inlineStr">
        <is>
          <t>[Status]</t>
        </is>
      </c>
      <c r="E11" s="5" t="inlineStr"/>
    </row>
    <row r="12">
      <c r="A12" s="5" t="inlineStr">
        <is>
          <t>Open Follow-ups</t>
        </is>
      </c>
      <c r="B12" s="5" t="inlineStr">
        <is>
          <t>-</t>
        </is>
      </c>
      <c r="C12" s="6" t="inlineStr">
        <is>
          <t>[#]</t>
        </is>
      </c>
      <c r="D12" s="5" t="inlineStr">
        <is>
          <t>-</t>
        </is>
      </c>
      <c r="E12" s="5" t="inlineStr">
        <is>
          <t>Track progress</t>
        </is>
      </c>
    </row>
    <row r="15">
      <c r="A15" s="3" t="inlineStr">
        <is>
          <t>AUDIT TOOL AUTHORIZATION</t>
        </is>
      </c>
    </row>
    <row r="16">
      <c r="A16" s="7" t="inlineStr">
        <is>
          <t>Metric</t>
        </is>
      </c>
      <c r="B16" s="7" t="inlineStr">
        <is>
          <t>Target</t>
        </is>
      </c>
      <c r="C16" s="7" t="inlineStr">
        <is>
          <t>Current</t>
        </is>
      </c>
      <c r="D16" s="7" t="inlineStr">
        <is>
          <t>Status</t>
        </is>
      </c>
      <c r="E16" s="7" t="inlineStr">
        <is>
          <t>Notes</t>
        </is>
      </c>
    </row>
    <row r="17">
      <c r="A17" s="5" t="inlineStr">
        <is>
          <t>Total Tools</t>
        </is>
      </c>
      <c r="B17" s="5" t="inlineStr">
        <is>
          <t>-</t>
        </is>
      </c>
      <c r="C17" s="6" t="inlineStr">
        <is>
          <t>[#]</t>
        </is>
      </c>
      <c r="D17" s="5" t="inlineStr">
        <is>
          <t>-</t>
        </is>
      </c>
      <c r="E17" s="5" t="inlineStr"/>
    </row>
    <row r="18">
      <c r="A18" s="5" t="inlineStr">
        <is>
          <t>Authorized Tools</t>
        </is>
      </c>
      <c r="B18" s="5" t="inlineStr">
        <is>
          <t>100%</t>
        </is>
      </c>
      <c r="C18" s="6" t="inlineStr">
        <is>
          <t>[%]</t>
        </is>
      </c>
      <c r="D18" s="6" t="inlineStr">
        <is>
          <t>[Status]</t>
        </is>
      </c>
      <c r="E18" s="5" t="inlineStr"/>
    </row>
    <row r="19">
      <c r="A19" s="5" t="inlineStr">
        <is>
          <t>Pending Authorization</t>
        </is>
      </c>
      <c r="B19" s="5" t="inlineStr">
        <is>
          <t>0</t>
        </is>
      </c>
      <c r="C19" s="6" t="inlineStr">
        <is>
          <t>[#]</t>
        </is>
      </c>
      <c r="D19" s="6" t="inlineStr">
        <is>
          <t>[Status]</t>
        </is>
      </c>
      <c r="E19" s="5" t="inlineStr"/>
    </row>
    <row r="20">
      <c r="A20" s="5" t="inlineStr">
        <is>
          <t>Unauthorized Tools</t>
        </is>
      </c>
      <c r="B20" s="5" t="inlineStr">
        <is>
          <t>0</t>
        </is>
      </c>
      <c r="C20" s="6" t="inlineStr">
        <is>
          <t>[#]</t>
        </is>
      </c>
      <c r="D20" s="6" t="inlineStr">
        <is>
          <t>[Status]</t>
        </is>
      </c>
      <c r="E20" s="5" t="inlineStr">
        <is>
          <t>Critical</t>
        </is>
      </c>
    </row>
    <row r="21">
      <c r="A21" s="5" t="inlineStr">
        <is>
          <t>High Risk Tools</t>
        </is>
      </c>
      <c r="B21" s="5" t="inlineStr">
        <is>
          <t>-</t>
        </is>
      </c>
      <c r="C21" s="6" t="inlineStr">
        <is>
          <t>[#]</t>
        </is>
      </c>
      <c r="D21" s="5" t="inlineStr">
        <is>
          <t>-</t>
        </is>
      </c>
      <c r="E21" s="5" t="inlineStr">
        <is>
          <t>Monitor closely</t>
        </is>
      </c>
    </row>
    <row r="22">
      <c r="A22" s="5" t="inlineStr">
        <is>
          <t>Reviews Overdue</t>
        </is>
      </c>
      <c r="B22" s="5" t="inlineStr">
        <is>
          <t>0</t>
        </is>
      </c>
      <c r="C22" s="6" t="inlineStr">
        <is>
          <t>[#]</t>
        </is>
      </c>
      <c r="D22" s="6" t="inlineStr">
        <is>
          <t>[Status]</t>
        </is>
      </c>
      <c r="E22" s="5" t="inlineStr"/>
    </row>
    <row r="23">
      <c r="A23" s="5" t="inlineStr">
        <is>
          <t>Expired Licenses</t>
        </is>
      </c>
      <c r="B23" s="5" t="inlineStr">
        <is>
          <t>0</t>
        </is>
      </c>
      <c r="C23" s="6" t="inlineStr">
        <is>
          <t>[#]</t>
        </is>
      </c>
      <c r="D23" s="6" t="inlineStr">
        <is>
          <t>[Status]</t>
        </is>
      </c>
      <c r="E23" s="5" t="inlineStr"/>
    </row>
    <row r="26">
      <c r="A26" s="3" t="inlineStr">
        <is>
          <t>AUDITOR ACCESS CONTROL</t>
        </is>
      </c>
    </row>
    <row r="27">
      <c r="A27" s="7" t="inlineStr">
        <is>
          <t>Metric</t>
        </is>
      </c>
      <c r="B27" s="7" t="inlineStr">
        <is>
          <t>Target</t>
        </is>
      </c>
      <c r="C27" s="7" t="inlineStr">
        <is>
          <t>Current</t>
        </is>
      </c>
      <c r="D27" s="7" t="inlineStr">
        <is>
          <t>Status</t>
        </is>
      </c>
      <c r="E27" s="7" t="inlineStr">
        <is>
          <t>Notes</t>
        </is>
      </c>
    </row>
    <row r="28">
      <c r="A28" s="5" t="inlineStr">
        <is>
          <t>Total Access Grants</t>
        </is>
      </c>
      <c r="B28" s="5" t="inlineStr">
        <is>
          <t>-</t>
        </is>
      </c>
      <c r="C28" s="6" t="inlineStr">
        <is>
          <t>[#]</t>
        </is>
      </c>
      <c r="D28" s="5" t="inlineStr">
        <is>
          <t>-</t>
        </is>
      </c>
      <c r="E28" s="5" t="inlineStr"/>
    </row>
    <row r="29">
      <c r="A29" s="5" t="inlineStr">
        <is>
          <t>Active Access</t>
        </is>
      </c>
      <c r="B29" s="5" t="inlineStr">
        <is>
          <t>-</t>
        </is>
      </c>
      <c r="C29" s="6" t="inlineStr">
        <is>
          <t>[#]</t>
        </is>
      </c>
      <c r="D29" s="5" t="inlineStr">
        <is>
          <t>-</t>
        </is>
      </c>
      <c r="E29" s="5" t="inlineStr">
        <is>
          <t>Monitor</t>
        </is>
      </c>
    </row>
    <row r="30">
      <c r="A30" s="5" t="inlineStr">
        <is>
          <t>Approved Access</t>
        </is>
      </c>
      <c r="B30" s="5" t="inlineStr">
        <is>
          <t>100%</t>
        </is>
      </c>
      <c r="C30" s="6" t="inlineStr">
        <is>
          <t>[%]</t>
        </is>
      </c>
      <c r="D30" s="6" t="inlineStr">
        <is>
          <t>[Status]</t>
        </is>
      </c>
      <c r="E30" s="5" t="inlineStr"/>
    </row>
    <row r="31">
      <c r="A31" s="5" t="inlineStr">
        <is>
          <t>Pending Approval</t>
        </is>
      </c>
      <c r="B31" s="5" t="inlineStr">
        <is>
          <t>0</t>
        </is>
      </c>
      <c r="C31" s="6" t="inlineStr">
        <is>
          <t>[#]</t>
        </is>
      </c>
      <c r="D31" s="6" t="inlineStr">
        <is>
          <t>[Status]</t>
        </is>
      </c>
      <c r="E31" s="5" t="inlineStr"/>
    </row>
    <row r="32">
      <c r="A32" s="5" t="inlineStr">
        <is>
          <t>Admin Access Count</t>
        </is>
      </c>
      <c r="B32" s="5" t="inlineStr">
        <is>
          <t>Minimize</t>
        </is>
      </c>
      <c r="C32" s="6" t="inlineStr">
        <is>
          <t>[#]</t>
        </is>
      </c>
      <c r="D32" s="5" t="inlineStr">
        <is>
          <t>-</t>
        </is>
      </c>
      <c r="E32" s="5" t="inlineStr">
        <is>
          <t>High risk</t>
        </is>
      </c>
    </row>
    <row r="33">
      <c r="A33" s="5" t="inlineStr">
        <is>
          <t>Restricted Data Access</t>
        </is>
      </c>
      <c r="B33" s="5" t="inlineStr">
        <is>
          <t>-</t>
        </is>
      </c>
      <c r="C33" s="6" t="inlineStr">
        <is>
          <t>[#]</t>
        </is>
      </c>
      <c r="D33" s="5" t="inlineStr">
        <is>
          <t>-</t>
        </is>
      </c>
      <c r="E33" s="5" t="inlineStr">
        <is>
          <t>Monitor</t>
        </is>
      </c>
    </row>
    <row r="34">
      <c r="A34" s="5" t="inlineStr">
        <is>
          <t>NDA Coverage</t>
        </is>
      </c>
      <c r="B34" s="5" t="inlineStr">
        <is>
          <t>100%</t>
        </is>
      </c>
      <c r="C34" s="6" t="inlineStr">
        <is>
          <t>[%]</t>
        </is>
      </c>
      <c r="D34" s="6" t="inlineStr">
        <is>
          <t>[Status]</t>
        </is>
      </c>
      <c r="E34" s="5" t="inlineStr"/>
    </row>
    <row r="35">
      <c r="A35" s="5" t="inlineStr">
        <is>
          <t>Access Logging</t>
        </is>
      </c>
      <c r="B35" s="5" t="inlineStr">
        <is>
          <t>100%</t>
        </is>
      </c>
      <c r="C35" s="6" t="inlineStr">
        <is>
          <t>[%]</t>
        </is>
      </c>
      <c r="D35" s="6" t="inlineStr">
        <is>
          <t>[Status]</t>
        </is>
      </c>
      <c r="E35" s="5" t="inlineStr"/>
    </row>
    <row r="36">
      <c r="A36" s="5" t="inlineStr">
        <is>
          <t>MFA Required</t>
        </is>
      </c>
      <c r="B36" s="5" t="inlineStr">
        <is>
          <t>100%</t>
        </is>
      </c>
      <c r="C36" s="6" t="inlineStr">
        <is>
          <t>[%]</t>
        </is>
      </c>
      <c r="D36" s="6" t="inlineStr">
        <is>
          <t>[Status]</t>
        </is>
      </c>
      <c r="E36" s="5" t="inlineStr"/>
    </row>
    <row r="37">
      <c r="A37" s="5" t="inlineStr">
        <is>
          <t>Overdue Revocations</t>
        </is>
      </c>
      <c r="B37" s="5" t="inlineStr">
        <is>
          <t>0</t>
        </is>
      </c>
      <c r="C37" s="6" t="inlineStr">
        <is>
          <t>[#]</t>
        </is>
      </c>
      <c r="D37" s="6" t="inlineStr">
        <is>
          <t>[Status]</t>
        </is>
      </c>
      <c r="E37" s="5" t="inlineStr">
        <is>
          <t>Critical</t>
        </is>
      </c>
    </row>
    <row r="40">
      <c r="A40" s="3" t="inlineStr">
        <is>
          <t>DISRUPTION MITIGATION COVERAGE</t>
        </is>
      </c>
    </row>
    <row r="41">
      <c r="A41" s="7" t="inlineStr">
        <is>
          <t>Metric</t>
        </is>
      </c>
      <c r="B41" s="7" t="inlineStr">
        <is>
          <t>Target</t>
        </is>
      </c>
      <c r="C41" s="7" t="inlineStr">
        <is>
          <t>Current</t>
        </is>
      </c>
      <c r="D41" s="7" t="inlineStr">
        <is>
          <t>Status</t>
        </is>
      </c>
      <c r="E41" s="7" t="inlineStr">
        <is>
          <t>Notes</t>
        </is>
      </c>
    </row>
    <row r="42">
      <c r="A42" s="5" t="inlineStr">
        <is>
          <t>Critical Systems</t>
        </is>
      </c>
      <c r="B42" s="5" t="inlineStr">
        <is>
          <t>-</t>
        </is>
      </c>
      <c r="C42" s="6" t="inlineStr">
        <is>
          <t>[#]</t>
        </is>
      </c>
      <c r="D42" s="5" t="inlineStr">
        <is>
          <t>-</t>
        </is>
      </c>
      <c r="E42" s="5" t="inlineStr"/>
    </row>
    <row r="43">
      <c r="A43" s="5" t="inlineStr">
        <is>
          <t>With Mitigation Plans</t>
        </is>
      </c>
      <c r="B43" s="5" t="inlineStr">
        <is>
          <t>100%</t>
        </is>
      </c>
      <c r="C43" s="6" t="inlineStr">
        <is>
          <t>[%]</t>
        </is>
      </c>
      <c r="D43" s="6" t="inlineStr">
        <is>
          <t>[Status]</t>
        </is>
      </c>
      <c r="E43" s="5" t="inlineStr"/>
    </row>
    <row r="44">
      <c r="A44" s="5" t="inlineStr">
        <is>
          <t>Rollback Tested (12 mo)</t>
        </is>
      </c>
      <c r="B44" s="5" t="inlineStr">
        <is>
          <t>100%</t>
        </is>
      </c>
      <c r="C44" s="6" t="inlineStr">
        <is>
          <t>[%]</t>
        </is>
      </c>
      <c r="D44" s="6" t="inlineStr">
        <is>
          <t>[Status]</t>
        </is>
      </c>
      <c r="E44" s="5" t="inlineStr"/>
    </row>
    <row r="45">
      <c r="A45" s="5" t="inlineStr">
        <is>
          <t>Reviews Overdue</t>
        </is>
      </c>
      <c r="B45" s="5" t="inlineStr">
        <is>
          <t>0</t>
        </is>
      </c>
      <c r="C45" s="6" t="inlineStr">
        <is>
          <t>[#]</t>
        </is>
      </c>
      <c r="D45" s="6" t="inlineStr">
        <is>
          <t>[Status]</t>
        </is>
      </c>
      <c r="E45" s="5" t="inlineStr"/>
    </row>
    <row r="48">
      <c r="A48" s="3" t="inlineStr">
        <is>
          <t>AUDIT EVIDENCE PROTECTION</t>
        </is>
      </c>
    </row>
    <row r="49">
      <c r="A49" s="7" t="inlineStr">
        <is>
          <t>Metric</t>
        </is>
      </c>
      <c r="B49" s="7" t="inlineStr">
        <is>
          <t>Target</t>
        </is>
      </c>
      <c r="C49" s="7" t="inlineStr">
        <is>
          <t>Current</t>
        </is>
      </c>
      <c r="D49" s="7" t="inlineStr">
        <is>
          <t>Status</t>
        </is>
      </c>
      <c r="E49" s="7" t="inlineStr">
        <is>
          <t>Notes</t>
        </is>
      </c>
    </row>
    <row r="50">
      <c r="A50" s="5" t="inlineStr">
        <is>
          <t>Evidence Categories</t>
        </is>
      </c>
      <c r="B50" s="5" t="inlineStr">
        <is>
          <t>-</t>
        </is>
      </c>
      <c r="C50" s="6" t="inlineStr">
        <is>
          <t>[#]</t>
        </is>
      </c>
      <c r="D50" s="5" t="inlineStr">
        <is>
          <t>-</t>
        </is>
      </c>
      <c r="E50" s="5" t="inlineStr"/>
    </row>
    <row r="51">
      <c r="A51" s="5" t="inlineStr">
        <is>
          <t>Encryption at Rest</t>
        </is>
      </c>
      <c r="B51" s="5" t="inlineStr">
        <is>
          <t>100%</t>
        </is>
      </c>
      <c r="C51" s="6" t="inlineStr">
        <is>
          <t>[%]</t>
        </is>
      </c>
      <c r="D51" s="6" t="inlineStr">
        <is>
          <t>[Status]</t>
        </is>
      </c>
      <c r="E51" s="5" t="inlineStr"/>
    </row>
    <row r="52">
      <c r="A52" s="5" t="inlineStr">
        <is>
          <t>Encryption in Transit</t>
        </is>
      </c>
      <c r="B52" s="5" t="inlineStr">
        <is>
          <t>100%</t>
        </is>
      </c>
      <c r="C52" s="6" t="inlineStr">
        <is>
          <t>[%]</t>
        </is>
      </c>
      <c r="D52" s="6" t="inlineStr">
        <is>
          <t>[Status]</t>
        </is>
      </c>
      <c r="E52" s="5" t="inlineStr"/>
    </row>
    <row r="53">
      <c r="A53" s="5" t="inlineStr">
        <is>
          <t>Access Reviews Current</t>
        </is>
      </c>
      <c r="B53" s="5" t="inlineStr">
        <is>
          <t>100%</t>
        </is>
      </c>
      <c r="C53" s="6" t="inlineStr">
        <is>
          <t>[%]</t>
        </is>
      </c>
      <c r="D53" s="6" t="inlineStr">
        <is>
          <t>[Status]</t>
        </is>
      </c>
      <c r="E53" s="5" t="inlineStr"/>
    </row>
  </sheetData>
  <mergeCells count="1">
    <mergeCell ref="A1:E1"/>
  </mergeCells>
  <dataValidations count="1">
    <dataValidation sqref="D6:D70" showDropDown="0" showInputMessage="0" showErrorMessage="0" allowBlank="0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12" customWidth="1" min="4" max="4"/>
    <col width="30" customWidth="1" min="5" max="5"/>
    <col width="30" customWidth="1" min="6" max="6"/>
    <col width="20" customWidth="1" min="7" max="7"/>
    <col width="15" customWidth="1" min="8" max="8"/>
    <col width="15" customWidth="1" min="9" max="9"/>
    <col width="20" customWidth="1" min="10" max="10"/>
  </cols>
  <sheetData>
    <row r="1">
      <c r="A1" s="13" t="inlineStr">
        <is>
          <t>CONSOLIDATED GAP ANALYSIS</t>
        </is>
      </c>
    </row>
    <row r="2">
      <c r="A2" t="inlineStr">
        <is>
          <t>Gaps identified across all Testing and Audit Protection assessments</t>
        </is>
      </c>
    </row>
    <row r="4">
      <c r="A4" s="3" t="inlineStr">
        <is>
          <t>TEST DATA PROTECTION GAPS (IMP-A.8.33-34.1)</t>
        </is>
      </c>
    </row>
    <row r="5">
      <c r="A5" s="7" t="inlineStr">
        <is>
          <t>Gap_ID</t>
        </is>
      </c>
      <c r="B5" s="7" t="inlineStr">
        <is>
          <t>Gap_Description</t>
        </is>
      </c>
      <c r="C5" s="7" t="inlineStr">
        <is>
          <t>Area</t>
        </is>
      </c>
      <c r="D5" s="7" t="inlineStr">
        <is>
          <t>Severity</t>
        </is>
      </c>
      <c r="E5" s="7" t="inlineStr">
        <is>
          <t>Current_State</t>
        </is>
      </c>
      <c r="F5" s="7" t="inlineStr">
        <is>
          <t>Target_State</t>
        </is>
      </c>
      <c r="G5" s="7" t="inlineStr">
        <is>
          <t>Owner</t>
        </is>
      </c>
      <c r="H5" s="7" t="inlineStr">
        <is>
          <t>Target_Date</t>
        </is>
      </c>
      <c r="I5" s="7" t="inlineStr">
        <is>
          <t>Status</t>
        </is>
      </c>
      <c r="J5" s="7" t="inlineStr">
        <is>
          <t>Evidence</t>
        </is>
      </c>
    </row>
    <row r="6">
      <c r="A6" s="6" t="inlineStr">
        <is>
          <t>GAP-TD-001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inlineStr">
        <is>
          <t>GAP-TD-002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inlineStr">
        <is>
          <t>GAP-TD-003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inlineStr">
        <is>
          <t>GAP-TD-004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inlineStr">
        <is>
          <t>GAP-TD-005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inlineStr">
        <is>
          <t>GAP-TD-006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inlineStr">
        <is>
          <t>GAP-TD-007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inlineStr">
        <is>
          <t>GAP-TD-008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inlineStr">
        <is>
          <t>GAP-TD-009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inlineStr">
        <is>
          <t>GAP-TD-010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inlineStr">
        <is>
          <t>GAP-TD-011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inlineStr">
        <is>
          <t>GAP-TD-012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inlineStr">
        <is>
          <t>GAP-TD-013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inlineStr">
        <is>
          <t>GAP-TD-014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inlineStr">
        <is>
          <t>GAP-TD-015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inlineStr">
        <is>
          <t>GAP-TD-016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inlineStr">
        <is>
          <t>GAP-TD-017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inlineStr">
        <is>
          <t>GAP-TD-018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inlineStr">
        <is>
          <t>GAP-TD-019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inlineStr">
        <is>
          <t>GAP-TD-020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inlineStr">
        <is>
          <t>GAP-TD-021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inlineStr">
        <is>
          <t>GAP-TD-022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inlineStr">
        <is>
          <t>GAP-TD-023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inlineStr">
        <is>
          <t>GAP-TD-024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inlineStr">
        <is>
          <t>GAP-TD-025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inlineStr">
        <is>
          <t>GAP-TD-026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inlineStr">
        <is>
          <t>GAP-TD-027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inlineStr">
        <is>
          <t>GAP-TD-028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inlineStr">
        <is>
          <t>GAP-TD-029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inlineStr">
        <is>
          <t>GAP-TD-030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inlineStr">
        <is>
          <t>GAP-TD-031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inlineStr">
        <is>
          <t>GAP-TD-032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inlineStr">
        <is>
          <t>GAP-TD-033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inlineStr">
        <is>
          <t>GAP-TD-034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inlineStr">
        <is>
          <t>GAP-TD-035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inlineStr">
        <is>
          <t>GAP-TD-036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inlineStr">
        <is>
          <t>GAP-TD-037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inlineStr">
        <is>
          <t>GAP-TD-038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inlineStr">
        <is>
          <t>GAP-TD-039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inlineStr">
        <is>
          <t>GAP-TD-040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inlineStr">
        <is>
          <t>GAP-TD-041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inlineStr">
        <is>
          <t>GAP-TD-042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inlineStr">
        <is>
          <t>GAP-TD-043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inlineStr">
        <is>
          <t>GAP-TD-044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inlineStr">
        <is>
          <t>GAP-TD-045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inlineStr">
        <is>
          <t>GAP-TD-046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inlineStr">
        <is>
          <t>GAP-TD-047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inlineStr">
        <is>
          <t>GAP-TD-048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inlineStr">
        <is>
          <t>GAP-TD-049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inlineStr">
        <is>
          <t>GAP-TD-050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7">
      <c r="A57" s="3" t="inlineStr">
        <is>
          <t>AUDIT ACTIVITY MANAGEMENT GAPS (IMP-A.8.33-34.2)</t>
        </is>
      </c>
    </row>
    <row r="58">
      <c r="A58" s="7" t="inlineStr">
        <is>
          <t>Gap_ID</t>
        </is>
      </c>
      <c r="B58" s="7" t="inlineStr">
        <is>
          <t>Gap_Description</t>
        </is>
      </c>
      <c r="C58" s="7" t="inlineStr">
        <is>
          <t>Area</t>
        </is>
      </c>
      <c r="D58" s="7" t="inlineStr">
        <is>
          <t>Severity</t>
        </is>
      </c>
      <c r="E58" s="7" t="inlineStr">
        <is>
          <t>Current_State</t>
        </is>
      </c>
      <c r="F58" s="7" t="inlineStr">
        <is>
          <t>Target_State</t>
        </is>
      </c>
      <c r="G58" s="7" t="inlineStr">
        <is>
          <t>Owner</t>
        </is>
      </c>
      <c r="H58" s="7" t="inlineStr">
        <is>
          <t>Target_Date</t>
        </is>
      </c>
      <c r="I58" s="7" t="inlineStr">
        <is>
          <t>Status</t>
        </is>
      </c>
      <c r="J58" s="7" t="inlineStr">
        <is>
          <t>Evidence</t>
        </is>
      </c>
    </row>
    <row r="59">
      <c r="A59" s="6" t="inlineStr">
        <is>
          <t>GAP-AA-001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inlineStr">
        <is>
          <t>GAP-AA-002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inlineStr">
        <is>
          <t>GAP-AA-003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inlineStr">
        <is>
          <t>GAP-AA-004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inlineStr">
        <is>
          <t>GAP-AA-005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inlineStr">
        <is>
          <t>GAP-AA-006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inlineStr">
        <is>
          <t>GAP-AA-007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inlineStr">
        <is>
          <t>GAP-AA-008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inlineStr">
        <is>
          <t>GAP-AA-009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inlineStr">
        <is>
          <t>GAP-AA-010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inlineStr">
        <is>
          <t>GAP-AA-011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inlineStr">
        <is>
          <t>GAP-AA-012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inlineStr">
        <is>
          <t>GAP-AA-013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inlineStr">
        <is>
          <t>GAP-AA-014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inlineStr">
        <is>
          <t>GAP-AA-015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inlineStr">
        <is>
          <t>GAP-AA-016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inlineStr">
        <is>
          <t>GAP-AA-017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inlineStr">
        <is>
          <t>GAP-AA-018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inlineStr">
        <is>
          <t>GAP-AA-019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inlineStr">
        <is>
          <t>GAP-AA-020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inlineStr">
        <is>
          <t>GAP-AA-021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inlineStr">
        <is>
          <t>GAP-AA-022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inlineStr">
        <is>
          <t>GAP-AA-023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inlineStr">
        <is>
          <t>GAP-AA-024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inlineStr">
        <is>
          <t>GAP-AA-025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inlineStr">
        <is>
          <t>GAP-AA-026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inlineStr">
        <is>
          <t>GAP-AA-027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inlineStr">
        <is>
          <t>GAP-AA-028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inlineStr">
        <is>
          <t>GAP-AA-029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inlineStr">
        <is>
          <t>GAP-AA-030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inlineStr">
        <is>
          <t>GAP-AA-031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inlineStr">
        <is>
          <t>GAP-AA-032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inlineStr">
        <is>
          <t>GAP-AA-033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inlineStr">
        <is>
          <t>GAP-AA-034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inlineStr">
        <is>
          <t>GAP-AA-035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inlineStr">
        <is>
          <t>GAP-AA-036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inlineStr">
        <is>
          <t>GAP-AA-037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inlineStr">
        <is>
          <t>GAP-AA-038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inlineStr">
        <is>
          <t>GAP-AA-039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inlineStr">
        <is>
          <t>GAP-AA-040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inlineStr">
        <is>
          <t>GAP-AA-041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inlineStr">
        <is>
          <t>GAP-AA-042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inlineStr">
        <is>
          <t>GAP-AA-043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inlineStr">
        <is>
          <t>GAP-AA-044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inlineStr">
        <is>
          <t>GAP-AA-045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inlineStr">
        <is>
          <t>GAP-AA-046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inlineStr">
        <is>
          <t>GAP-AA-047</t>
        </is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inlineStr">
        <is>
          <t>GAP-AA-048</t>
        </is>
      </c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inlineStr">
        <is>
          <t>GAP-AA-049</t>
        </is>
      </c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inlineStr">
        <is>
          <t>GAP-AA-050</t>
        </is>
      </c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11">
      <c r="A111" s="3" t="inlineStr">
        <is>
          <t>GAP ANALYSIS STATISTICS</t>
        </is>
      </c>
    </row>
    <row r="112">
      <c r="A112" s="7" t="inlineStr">
        <is>
          <t>Metric</t>
        </is>
      </c>
      <c r="B112" s="7" t="inlineStr">
        <is>
          <t>Count</t>
        </is>
      </c>
      <c r="C112" s="7" t="inlineStr">
        <is>
          <t>Percentage</t>
        </is>
      </c>
    </row>
    <row r="113">
      <c r="A113" s="5" t="inlineStr">
        <is>
          <t>Total Gaps Identified</t>
        </is>
      </c>
      <c r="B113" s="6" t="inlineStr">
        <is>
          <t>[#]</t>
        </is>
      </c>
      <c r="C113" s="5" t="inlineStr">
        <is>
          <t>100%</t>
        </is>
      </c>
    </row>
    <row r="114">
      <c r="A114" s="5" t="inlineStr">
        <is>
          <t>Critical Priority</t>
        </is>
      </c>
      <c r="B114" s="6" t="inlineStr">
        <is>
          <t>[#]</t>
        </is>
      </c>
      <c r="C114" s="6" t="inlineStr">
        <is>
          <t>[%]</t>
        </is>
      </c>
    </row>
    <row r="115">
      <c r="A115" s="5" t="inlineStr">
        <is>
          <t>High Priority</t>
        </is>
      </c>
      <c r="B115" s="6" t="inlineStr">
        <is>
          <t>[#]</t>
        </is>
      </c>
      <c r="C115" s="6" t="inlineStr">
        <is>
          <t>[%]</t>
        </is>
      </c>
    </row>
    <row r="116">
      <c r="A116" s="5" t="inlineStr">
        <is>
          <t>Medium Priority</t>
        </is>
      </c>
      <c r="B116" s="6" t="inlineStr">
        <is>
          <t>[#]</t>
        </is>
      </c>
      <c r="C116" s="6" t="inlineStr">
        <is>
          <t>[%]</t>
        </is>
      </c>
    </row>
    <row r="117">
      <c r="A117" s="5" t="inlineStr">
        <is>
          <t>Low Priority</t>
        </is>
      </c>
      <c r="B117" s="6" t="inlineStr">
        <is>
          <t>[#]</t>
        </is>
      </c>
      <c r="C117" s="6" t="inlineStr">
        <is>
          <t>[%]</t>
        </is>
      </c>
    </row>
    <row r="118">
      <c r="A118" s="5" t="inlineStr">
        <is>
          <t>Status - Open</t>
        </is>
      </c>
      <c r="B118" s="6" t="inlineStr">
        <is>
          <t>[#]</t>
        </is>
      </c>
      <c r="C118" s="6" t="inlineStr">
        <is>
          <t>[%]</t>
        </is>
      </c>
    </row>
    <row r="119">
      <c r="A119" s="5" t="inlineStr">
        <is>
          <t>Status - In Progress</t>
        </is>
      </c>
      <c r="B119" s="6" t="inlineStr">
        <is>
          <t>[#]</t>
        </is>
      </c>
      <c r="C119" s="6" t="inlineStr">
        <is>
          <t>[%]</t>
        </is>
      </c>
    </row>
    <row r="120">
      <c r="A120" s="5" t="inlineStr">
        <is>
          <t>Status - Closed</t>
        </is>
      </c>
      <c r="B120" s="6" t="inlineStr">
        <is>
          <t>[#]</t>
        </is>
      </c>
      <c r="C120" s="6" t="inlineStr">
        <is>
          <t>[%]</t>
        </is>
      </c>
    </row>
    <row r="121">
      <c r="A121" s="5" t="inlineStr">
        <is>
          <t>Overdue Gaps</t>
        </is>
      </c>
      <c r="B121" s="6" t="inlineStr">
        <is>
          <t>[#]</t>
        </is>
      </c>
      <c r="C121" s="6" t="inlineStr">
        <is>
          <t>[%]</t>
        </is>
      </c>
    </row>
  </sheetData>
  <mergeCells count="1">
    <mergeCell ref="A1:J1"/>
  </mergeCells>
  <dataValidations count="2">
    <dataValidation sqref="D6:D55 D58:D107" showDropDown="0" showInputMessage="0" showErrorMessage="0" allowBlank="0" type="list">
      <formula1>"Critical,High,Medium,Low"</formula1>
    </dataValidation>
    <dataValidation sqref="I6:I55 I58:I107" showDropDown="0" showInputMessage="0" showErrorMessage="0" allowBlank="0" type="list">
      <formula1>"Open,In Progress,Closed"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25" customWidth="1" min="4" max="4"/>
    <col width="50" customWidth="1" min="5" max="5"/>
    <col width="40" customWidth="1" min="6" max="6"/>
    <col width="50" customWidth="1" min="7" max="7"/>
    <col width="25" customWidth="1" min="8" max="8"/>
    <col width="12" customWidth="1" min="9" max="9"/>
    <col width="18" customWidth="1" min="10" max="10"/>
    <col width="25" customWidth="1" min="11" max="11"/>
    <col width="12" customWidth="1" min="12" max="12"/>
    <col width="12" customWidth="1" min="13" max="13"/>
    <col width="12" customWidth="1" min="14" max="14"/>
    <col width="15" customWidth="1" min="15" max="15"/>
    <col width="25" customWidth="1" min="16" max="16"/>
    <col width="12" customWidth="1" min="17" max="17"/>
    <col width="12" customWidth="1" min="18" max="18"/>
    <col width="20" customWidth="1" min="19" max="19"/>
    <col width="40" customWidth="1" min="20" max="20"/>
  </cols>
  <sheetData>
    <row r="1">
      <c r="A1" s="13" t="inlineStr">
        <is>
          <t>EXCEPTION REGISTER</t>
        </is>
      </c>
    </row>
    <row r="2">
      <c r="A2" t="inlineStr">
        <is>
          <t>Approved exceptions to testing and audit protection requirements</t>
        </is>
      </c>
    </row>
    <row r="4">
      <c r="A4" s="7" t="inlineStr">
        <is>
          <t>Exception_ID</t>
        </is>
      </c>
      <c r="B4" s="7" t="inlineStr">
        <is>
          <t>Exception_Title</t>
        </is>
      </c>
      <c r="C4" s="7" t="inlineStr">
        <is>
          <t>Policy_Requirement</t>
        </is>
      </c>
      <c r="D4" s="7" t="inlineStr">
        <is>
          <t>Assessment_Source</t>
        </is>
      </c>
      <c r="E4" s="7" t="inlineStr">
        <is>
          <t>Business_Justification</t>
        </is>
      </c>
      <c r="F4" s="7" t="inlineStr">
        <is>
          <t>Risk_Assessment</t>
        </is>
      </c>
      <c r="G4" s="7" t="inlineStr">
        <is>
          <t>Compensating_Controls</t>
        </is>
      </c>
      <c r="H4" s="7" t="inlineStr">
        <is>
          <t>Requested_By</t>
        </is>
      </c>
      <c r="I4" s="7" t="inlineStr">
        <is>
          <t>Request_Date</t>
        </is>
      </c>
      <c r="J4" s="7" t="inlineStr">
        <is>
          <t>Approval_Status</t>
        </is>
      </c>
      <c r="K4" s="7" t="inlineStr">
        <is>
          <t>Approved_By</t>
        </is>
      </c>
      <c r="L4" s="7" t="inlineStr">
        <is>
          <t>Approval_Date</t>
        </is>
      </c>
      <c r="M4" s="7" t="inlineStr">
        <is>
          <t>Expiration_Date</t>
        </is>
      </c>
      <c r="N4" s="7" t="inlineStr">
        <is>
          <t>Renewal_Required</t>
        </is>
      </c>
      <c r="O4" s="7" t="inlineStr">
        <is>
          <t>Risk_Level</t>
        </is>
      </c>
      <c r="P4" s="7" t="inlineStr">
        <is>
          <t>Risk_Owner</t>
        </is>
      </c>
      <c r="Q4" s="7" t="inlineStr">
        <is>
          <t>Review_Date</t>
        </is>
      </c>
      <c r="R4" s="7" t="inlineStr">
        <is>
          <t>Next_Review</t>
        </is>
      </c>
      <c r="S4" s="7" t="inlineStr">
        <is>
          <t>Evidence_Reference</t>
        </is>
      </c>
      <c r="T4" s="7" t="inlineStr">
        <is>
          <t>Notes</t>
        </is>
      </c>
    </row>
    <row r="5">
      <c r="A5" s="6" t="inlineStr">
        <is>
          <t>EXC-001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</row>
    <row r="6">
      <c r="A6" s="6" t="inlineStr">
        <is>
          <t>EXC-002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</row>
    <row r="7">
      <c r="A7" s="6" t="inlineStr">
        <is>
          <t>EXC-003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6" t="inlineStr">
        <is>
          <t>EXC-004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</row>
    <row r="9">
      <c r="A9" s="6" t="inlineStr">
        <is>
          <t>EXC-005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>
      <c r="A10" s="6" t="inlineStr">
        <is>
          <t>EXC-006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</row>
    <row r="11">
      <c r="A11" s="6" t="inlineStr">
        <is>
          <t>EXC-007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>
      <c r="A12" s="6" t="inlineStr">
        <is>
          <t>EXC-008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</row>
    <row r="13">
      <c r="A13" s="6" t="inlineStr">
        <is>
          <t>EXC-009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</row>
    <row r="14">
      <c r="A14" s="6" t="inlineStr">
        <is>
          <t>EXC-010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</row>
    <row r="15">
      <c r="A15" s="6" t="inlineStr">
        <is>
          <t>EXC-011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</row>
    <row r="16">
      <c r="A16" s="6" t="inlineStr">
        <is>
          <t>EXC-012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</row>
    <row r="17">
      <c r="A17" s="6" t="inlineStr">
        <is>
          <t>EXC-013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</row>
    <row r="18">
      <c r="A18" s="6" t="inlineStr">
        <is>
          <t>EXC-014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</row>
    <row r="19">
      <c r="A19" s="6" t="inlineStr">
        <is>
          <t>EXC-015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</row>
    <row r="20">
      <c r="A20" s="6" t="inlineStr">
        <is>
          <t>EXC-016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</row>
    <row r="21">
      <c r="A21" s="6" t="inlineStr">
        <is>
          <t>EXC-017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</row>
    <row r="22">
      <c r="A22" s="6" t="inlineStr">
        <is>
          <t>EXC-018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</row>
    <row r="23">
      <c r="A23" s="6" t="inlineStr">
        <is>
          <t>EXC-019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</row>
    <row r="24">
      <c r="A24" s="6" t="inlineStr">
        <is>
          <t>EXC-020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</row>
    <row r="25">
      <c r="A25" s="6" t="inlineStr">
        <is>
          <t>EXC-021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</row>
    <row r="26">
      <c r="A26" s="6" t="inlineStr">
        <is>
          <t>EXC-022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</row>
    <row r="27">
      <c r="A27" s="6" t="inlineStr">
        <is>
          <t>EXC-023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</row>
    <row r="28">
      <c r="A28" s="6" t="inlineStr">
        <is>
          <t>EXC-024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</row>
    <row r="29">
      <c r="A29" s="6" t="inlineStr">
        <is>
          <t>EXC-025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</row>
    <row r="30">
      <c r="A30" s="6" t="inlineStr">
        <is>
          <t>EXC-026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</row>
    <row r="31">
      <c r="A31" s="6" t="inlineStr">
        <is>
          <t>EXC-027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</row>
    <row r="32">
      <c r="A32" s="6" t="inlineStr">
        <is>
          <t>EXC-028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</row>
    <row r="33">
      <c r="A33" s="6" t="inlineStr">
        <is>
          <t>EXC-029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</row>
    <row r="34">
      <c r="A34" s="6" t="inlineStr">
        <is>
          <t>EXC-030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</row>
    <row r="37">
      <c r="A37" s="3" t="inlineStr">
        <is>
          <t>EXCEPTION STATISTICS</t>
        </is>
      </c>
    </row>
    <row r="39">
      <c r="A39" s="5" t="inlineStr">
        <is>
          <t>Total Exceptions</t>
        </is>
      </c>
      <c r="B39" s="5">
        <f>COUNTA(B5:B34)</f>
        <v/>
      </c>
    </row>
    <row r="40">
      <c r="A40" s="5" t="inlineStr">
        <is>
          <t>Approved Exceptions</t>
        </is>
      </c>
      <c r="B40" s="5">
        <f>COUNTIF(J5:J34,"Approved")</f>
        <v/>
      </c>
    </row>
    <row r="41">
      <c r="A41" s="5" t="inlineStr">
        <is>
          <t>Pending Exceptions</t>
        </is>
      </c>
      <c r="B41" s="5">
        <f>COUNTIF(J5:J34,"Pending")</f>
        <v/>
      </c>
    </row>
    <row r="42">
      <c r="A42" s="5" t="inlineStr">
        <is>
          <t>Expired Exceptions</t>
        </is>
      </c>
      <c r="B42" s="5">
        <f>COUNTIF(J5:J34,"Expired")</f>
        <v/>
      </c>
    </row>
    <row r="43">
      <c r="A43" s="5" t="inlineStr">
        <is>
          <t>High Risk Exceptions</t>
        </is>
      </c>
      <c r="B43" s="5">
        <f>COUNTIF(O5:O34,"High")</f>
        <v/>
      </c>
    </row>
  </sheetData>
  <mergeCells count="1">
    <mergeCell ref="A1:T1"/>
  </mergeCells>
  <dataValidations count="4">
    <dataValidation sqref="D5:D34" showDropDown="0" showInputMessage="0" showErrorMessage="0" allowBlank="0" type="list">
      <formula1>"IMP-A.8.33-34.1,IMP-A.8.33-34.2"</formula1>
    </dataValidation>
    <dataValidation sqref="J5:J34" showDropDown="0" showInputMessage="0" showErrorMessage="0" allowBlank="0" type="list">
      <formula1>"Approved,Pending,Denied,Expired"</formula1>
    </dataValidation>
    <dataValidation sqref="N5:N34" showDropDown="0" showInputMessage="0" showErrorMessage="0" allowBlank="0" type="list">
      <formula1>"Yes,No"</formula1>
    </dataValidation>
    <dataValidation sqref="O5:O34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>
      <c r="A1" s="13" t="inlineStr">
        <is>
          <t>KEY PERFORMANCE INDICATORS &amp; METRICS</t>
        </is>
      </c>
    </row>
    <row r="2">
      <c r="A2" t="inlineStr">
        <is>
          <t>Detailed tracking with historical trends</t>
        </is>
      </c>
    </row>
    <row r="4">
      <c r="A4" s="3" t="inlineStr">
        <is>
          <t>TEST DATA PROTECTION KPIs</t>
        </is>
      </c>
    </row>
    <row r="5">
      <c r="A5" s="7" t="inlineStr">
        <is>
          <t>KPI</t>
        </is>
      </c>
      <c r="B5" s="7" t="inlineStr">
        <is>
          <t>Target</t>
        </is>
      </c>
      <c r="C5" s="7" t="inlineStr">
        <is>
          <t>Q1</t>
        </is>
      </c>
      <c r="D5" s="7" t="inlineStr">
        <is>
          <t>Q2</t>
        </is>
      </c>
      <c r="E5" s="7" t="inlineStr">
        <is>
          <t>Q3</t>
        </is>
      </c>
      <c r="F5" s="7" t="inlineStr">
        <is>
          <t>Q4</t>
        </is>
      </c>
      <c r="G5" s="7" t="inlineStr">
        <is>
          <t>Current</t>
        </is>
      </c>
      <c r="H5" s="7" t="inlineStr">
        <is>
          <t>Status</t>
        </is>
      </c>
      <c r="I5" s="7" t="inlineStr">
        <is>
          <t>Trend</t>
        </is>
      </c>
    </row>
    <row r="6">
      <c r="A6" s="5" t="inlineStr">
        <is>
          <t>Data Set Authorization Rate</t>
        </is>
      </c>
      <c r="B6" s="5" t="inlineStr">
        <is>
          <t>100%</t>
        </is>
      </c>
      <c r="C6" s="6" t="n"/>
      <c r="D6" s="6" t="n"/>
      <c r="E6" s="6" t="n"/>
      <c r="F6" s="6" t="n"/>
      <c r="G6" s="6" t="n"/>
      <c r="H6" s="6" t="n"/>
      <c r="I6" s="6" t="n"/>
    </row>
    <row r="7">
      <c r="A7" s="5" t="inlineStr">
        <is>
          <t>PII Masking Coverage</t>
        </is>
      </c>
      <c r="B7" s="5" t="inlineStr">
        <is>
          <t>100%</t>
        </is>
      </c>
      <c r="C7" s="6" t="n"/>
      <c r="D7" s="6" t="n"/>
      <c r="E7" s="6" t="n"/>
      <c r="F7" s="6" t="n"/>
      <c r="G7" s="6" t="n"/>
      <c r="H7" s="6" t="n"/>
      <c r="I7" s="6" t="n"/>
    </row>
    <row r="8">
      <c r="A8" s="5" t="inlineStr">
        <is>
          <t>Average Masking Effectiveness</t>
        </is>
      </c>
      <c r="B8" s="5" t="inlineStr">
        <is>
          <t>&gt;=4.0</t>
        </is>
      </c>
      <c r="C8" s="6" t="n"/>
      <c r="D8" s="6" t="n"/>
      <c r="E8" s="6" t="n"/>
      <c r="F8" s="6" t="n"/>
      <c r="G8" s="6" t="n"/>
      <c r="H8" s="6" t="n"/>
      <c r="I8" s="6" t="n"/>
    </row>
    <row r="9">
      <c r="A9" s="5" t="inlineStr">
        <is>
          <t>Environment Security Compliance</t>
        </is>
      </c>
      <c r="B9" s="5" t="inlineStr">
        <is>
          <t>&gt;=90%</t>
        </is>
      </c>
      <c r="C9" s="6" t="n"/>
      <c r="D9" s="6" t="n"/>
      <c r="E9" s="6" t="n"/>
      <c r="F9" s="6" t="n"/>
      <c r="G9" s="6" t="n"/>
      <c r="H9" s="6" t="n"/>
      <c r="I9" s="6" t="n"/>
    </row>
    <row r="10">
      <c r="A10" s="5" t="inlineStr">
        <is>
          <t>Refresh Authorization Rate</t>
        </is>
      </c>
      <c r="B10" s="5" t="inlineStr">
        <is>
          <t>100%</t>
        </is>
      </c>
      <c r="C10" s="6" t="n"/>
      <c r="D10" s="6" t="n"/>
      <c r="E10" s="6" t="n"/>
      <c r="F10" s="6" t="n"/>
      <c r="G10" s="6" t="n"/>
      <c r="H10" s="6" t="n"/>
      <c r="I10" s="6" t="n"/>
    </row>
    <row r="11">
      <c r="A11" s="5" t="inlineStr">
        <is>
          <t>High Re-identification Risk Count</t>
        </is>
      </c>
      <c r="B11" s="5" t="inlineStr">
        <is>
          <t>0</t>
        </is>
      </c>
      <c r="C11" s="6" t="n"/>
      <c r="D11" s="6" t="n"/>
      <c r="E11" s="6" t="n"/>
      <c r="F11" s="6" t="n"/>
      <c r="G11" s="6" t="n"/>
      <c r="H11" s="6" t="n"/>
      <c r="I11" s="6" t="n"/>
    </row>
    <row r="14">
      <c r="A14" s="3" t="inlineStr">
        <is>
          <t>AUDIT ACTIVITY MANAGEMENT KPIs</t>
        </is>
      </c>
    </row>
    <row r="15">
      <c r="A15" s="7" t="inlineStr">
        <is>
          <t>KPI</t>
        </is>
      </c>
      <c r="B15" s="7" t="inlineStr">
        <is>
          <t>Target</t>
        </is>
      </c>
      <c r="C15" s="7" t="inlineStr">
        <is>
          <t>Q1</t>
        </is>
      </c>
      <c r="D15" s="7" t="inlineStr">
        <is>
          <t>Q2</t>
        </is>
      </c>
      <c r="E15" s="7" t="inlineStr">
        <is>
          <t>Q3</t>
        </is>
      </c>
      <c r="F15" s="7" t="inlineStr">
        <is>
          <t>Q4</t>
        </is>
      </c>
      <c r="G15" s="7" t="inlineStr">
        <is>
          <t>Current</t>
        </is>
      </c>
      <c r="H15" s="7" t="inlineStr">
        <is>
          <t>Status</t>
        </is>
      </c>
      <c r="I15" s="7" t="inlineStr">
        <is>
          <t>Trend</t>
        </is>
      </c>
    </row>
    <row r="16">
      <c r="A16" s="5" t="inlineStr">
        <is>
          <t>Audit Authorization Rate</t>
        </is>
      </c>
      <c r="B16" s="5" t="inlineStr">
        <is>
          <t>100%</t>
        </is>
      </c>
      <c r="C16" s="6" t="n"/>
      <c r="D16" s="6" t="n"/>
      <c r="E16" s="6" t="n"/>
      <c r="F16" s="6" t="n"/>
      <c r="G16" s="6" t="n"/>
      <c r="H16" s="6" t="n"/>
      <c r="I16" s="6" t="n"/>
    </row>
    <row r="17">
      <c r="A17" s="5" t="inlineStr">
        <is>
          <t>Tool Authorization Rate</t>
        </is>
      </c>
      <c r="B17" s="5" t="inlineStr">
        <is>
          <t>100%</t>
        </is>
      </c>
      <c r="C17" s="6" t="n"/>
      <c r="D17" s="6" t="n"/>
      <c r="E17" s="6" t="n"/>
      <c r="F17" s="6" t="n"/>
      <c r="G17" s="6" t="n"/>
      <c r="H17" s="6" t="n"/>
      <c r="I17" s="6" t="n"/>
    </row>
    <row r="18">
      <c r="A18" s="5" t="inlineStr">
        <is>
          <t>Access Approval Rate</t>
        </is>
      </c>
      <c r="B18" s="5" t="inlineStr">
        <is>
          <t>100%</t>
        </is>
      </c>
      <c r="C18" s="6" t="n"/>
      <c r="D18" s="6" t="n"/>
      <c r="E18" s="6" t="n"/>
      <c r="F18" s="6" t="n"/>
      <c r="G18" s="6" t="n"/>
      <c r="H18" s="6" t="n"/>
      <c r="I18" s="6" t="n"/>
    </row>
    <row r="19">
      <c r="A19" s="5" t="inlineStr">
        <is>
          <t>Access Revocation Timeliness</t>
        </is>
      </c>
      <c r="B19" s="5" t="inlineStr">
        <is>
          <t>100%</t>
        </is>
      </c>
      <c r="C19" s="6" t="n"/>
      <c r="D19" s="6" t="n"/>
      <c r="E19" s="6" t="n"/>
      <c r="F19" s="6" t="n"/>
      <c r="G19" s="6" t="n"/>
      <c r="H19" s="6" t="n"/>
      <c r="I19" s="6" t="n"/>
    </row>
    <row r="20">
      <c r="A20" s="5" t="inlineStr">
        <is>
          <t>NDA Coverage</t>
        </is>
      </c>
      <c r="B20" s="5" t="inlineStr">
        <is>
          <t>100%</t>
        </is>
      </c>
      <c r="C20" s="6" t="n"/>
      <c r="D20" s="6" t="n"/>
      <c r="E20" s="6" t="n"/>
      <c r="F20" s="6" t="n"/>
      <c r="G20" s="6" t="n"/>
      <c r="H20" s="6" t="n"/>
      <c r="I20" s="6" t="n"/>
    </row>
    <row r="21">
      <c r="A21" s="5" t="inlineStr">
        <is>
          <t>Access Logging Coverage</t>
        </is>
      </c>
      <c r="B21" s="5" t="inlineStr">
        <is>
          <t>100%</t>
        </is>
      </c>
      <c r="C21" s="6" t="n"/>
      <c r="D21" s="6" t="n"/>
      <c r="E21" s="6" t="n"/>
      <c r="F21" s="6" t="n"/>
      <c r="G21" s="6" t="n"/>
      <c r="H21" s="6" t="n"/>
      <c r="I21" s="6" t="n"/>
    </row>
    <row r="22">
      <c r="A22" s="5" t="inlineStr">
        <is>
          <t>MFA Coverage</t>
        </is>
      </c>
      <c r="B22" s="5" t="inlineStr">
        <is>
          <t>100%</t>
        </is>
      </c>
      <c r="C22" s="6" t="n"/>
      <c r="D22" s="6" t="n"/>
      <c r="E22" s="6" t="n"/>
      <c r="F22" s="6" t="n"/>
      <c r="G22" s="6" t="n"/>
      <c r="H22" s="6" t="n"/>
      <c r="I22" s="6" t="n"/>
    </row>
    <row r="23">
      <c r="A23" s="5" t="inlineStr">
        <is>
          <t>Critical System Mitigation Coverage</t>
        </is>
      </c>
      <c r="B23" s="5" t="inlineStr">
        <is>
          <t>100%</t>
        </is>
      </c>
      <c r="C23" s="6" t="n"/>
      <c r="D23" s="6" t="n"/>
      <c r="E23" s="6" t="n"/>
      <c r="F23" s="6" t="n"/>
      <c r="G23" s="6" t="n"/>
      <c r="H23" s="6" t="n"/>
      <c r="I23" s="6" t="n"/>
    </row>
    <row r="24">
      <c r="A24" s="5" t="inlineStr">
        <is>
          <t>Evidence Encryption Rate</t>
        </is>
      </c>
      <c r="B24" s="5" t="inlineStr">
        <is>
          <t>100%</t>
        </is>
      </c>
      <c r="C24" s="6" t="n"/>
      <c r="D24" s="6" t="n"/>
      <c r="E24" s="6" t="n"/>
      <c r="F24" s="6" t="n"/>
      <c r="G24" s="6" t="n"/>
      <c r="H24" s="6" t="n"/>
      <c r="I24" s="6" t="n"/>
    </row>
    <row r="25">
      <c r="A25" s="5" t="inlineStr">
        <is>
          <t>Audit Follow-up Closure Rate</t>
        </is>
      </c>
      <c r="B25" s="5" t="inlineStr">
        <is>
          <t>&gt;=90%</t>
        </is>
      </c>
      <c r="C25" s="6" t="n"/>
      <c r="D25" s="6" t="n"/>
      <c r="E25" s="6" t="n"/>
      <c r="F25" s="6" t="n"/>
      <c r="G25" s="6" t="n"/>
      <c r="H25" s="6" t="n"/>
      <c r="I25" s="6" t="n"/>
    </row>
    <row r="28">
      <c r="A28" s="3" t="inlineStr">
        <is>
          <t>COMBINED COMPLIANCE KPIs</t>
        </is>
      </c>
    </row>
    <row r="29">
      <c r="A29" s="7" t="inlineStr">
        <is>
          <t>KPI</t>
        </is>
      </c>
      <c r="B29" s="7" t="inlineStr">
        <is>
          <t>Target</t>
        </is>
      </c>
      <c r="C29" s="7" t="inlineStr">
        <is>
          <t>Q1</t>
        </is>
      </c>
      <c r="D29" s="7" t="inlineStr">
        <is>
          <t>Q2</t>
        </is>
      </c>
      <c r="E29" s="7" t="inlineStr">
        <is>
          <t>Q3</t>
        </is>
      </c>
      <c r="F29" s="7" t="inlineStr">
        <is>
          <t>Q4</t>
        </is>
      </c>
      <c r="G29" s="7" t="inlineStr">
        <is>
          <t>Current</t>
        </is>
      </c>
      <c r="H29" s="7" t="inlineStr">
        <is>
          <t>Status</t>
        </is>
      </c>
      <c r="I29" s="7" t="inlineStr">
        <is>
          <t>Trend</t>
        </is>
      </c>
    </row>
    <row r="30">
      <c r="A30" s="5" t="inlineStr">
        <is>
          <t>Overall Compliance Rate</t>
        </is>
      </c>
      <c r="B30" s="5" t="inlineStr">
        <is>
          <t>&gt;=85%</t>
        </is>
      </c>
      <c r="C30" s="6" t="n"/>
      <c r="D30" s="6" t="n"/>
      <c r="E30" s="6" t="n"/>
      <c r="F30" s="6" t="n"/>
      <c r="G30" s="6" t="n"/>
      <c r="H30" s="6" t="n"/>
      <c r="I30" s="6" t="n"/>
    </row>
    <row r="31">
      <c r="A31" s="5" t="inlineStr">
        <is>
          <t>Critical Gaps Open</t>
        </is>
      </c>
      <c r="B31" s="5" t="inlineStr">
        <is>
          <t>0</t>
        </is>
      </c>
      <c r="C31" s="6" t="n"/>
      <c r="D31" s="6" t="n"/>
      <c r="E31" s="6" t="n"/>
      <c r="F31" s="6" t="n"/>
      <c r="G31" s="6" t="n"/>
      <c r="H31" s="6" t="n"/>
      <c r="I31" s="6" t="n"/>
    </row>
    <row r="32">
      <c r="A32" s="5" t="inlineStr">
        <is>
          <t>High Gaps Open</t>
        </is>
      </c>
      <c r="B32" s="5" t="inlineStr">
        <is>
          <t>0</t>
        </is>
      </c>
      <c r="C32" s="6" t="n"/>
      <c r="D32" s="6" t="n"/>
      <c r="E32" s="6" t="n"/>
      <c r="F32" s="6" t="n"/>
      <c r="G32" s="6" t="n"/>
      <c r="H32" s="6" t="n"/>
      <c r="I32" s="6" t="n"/>
    </row>
    <row r="33">
      <c r="A33" s="5" t="inlineStr">
        <is>
          <t>Evidence Coverage</t>
        </is>
      </c>
      <c r="B33" s="5" t="inlineStr">
        <is>
          <t>100%</t>
        </is>
      </c>
      <c r="C33" s="6" t="n"/>
      <c r="D33" s="6" t="n"/>
      <c r="E33" s="6" t="n"/>
      <c r="F33" s="6" t="n"/>
      <c r="G33" s="6" t="n"/>
      <c r="H33" s="6" t="n"/>
      <c r="I33" s="6" t="n"/>
    </row>
    <row r="34">
      <c r="A34" s="5" t="inlineStr">
        <is>
          <t>Exception Count</t>
        </is>
      </c>
      <c r="B34" s="5" t="inlineStr">
        <is>
          <t>Minimize</t>
        </is>
      </c>
      <c r="C34" s="6" t="n"/>
      <c r="D34" s="6" t="n"/>
      <c r="E34" s="6" t="n"/>
      <c r="F34" s="6" t="n"/>
      <c r="G34" s="6" t="n"/>
      <c r="H34" s="6" t="n"/>
      <c r="I34" s="6" t="n"/>
    </row>
    <row r="35">
      <c r="A35" s="5" t="inlineStr">
        <is>
          <t>Audit Readiness Score</t>
        </is>
      </c>
      <c r="B35" s="5" t="inlineStr">
        <is>
          <t>&gt;=85%</t>
        </is>
      </c>
      <c r="C35" s="6" t="n"/>
      <c r="D35" s="6" t="n"/>
      <c r="E35" s="6" t="n"/>
      <c r="F35" s="6" t="n"/>
      <c r="G35" s="6" t="n"/>
      <c r="H35" s="6" t="n"/>
      <c r="I35" s="6" t="n"/>
    </row>
  </sheetData>
  <mergeCells count="1">
    <mergeCell ref="A1:I1"/>
  </mergeCells>
  <dataValidations count="2">
    <dataValidation sqref="H6:H30" showDropDown="0" showInputMessage="0" showErrorMessage="0" allowBlank="0" type="list">
      <formula1>"Compliant,Partial,Non-Compliant"</formula1>
    </dataValidation>
    <dataValidation sqref="I6:I30" showDropDown="0" showInputMessage="0" showErrorMessage="0" allowBlank="0" type="list">
      <formula1>"Up,Stable,Down"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20" customWidth="1" min="4" max="4"/>
    <col width="20" customWidth="1" min="5" max="5"/>
    <col width="12" customWidth="1" min="6" max="6"/>
    <col width="12" customWidth="1" min="7" max="7"/>
    <col width="15" customWidth="1" min="8" max="8"/>
    <col width="12" customWidth="1" min="9" max="9"/>
    <col width="30" customWidth="1" min="10" max="10"/>
    <col width="40" customWidth="1" min="11" max="11"/>
  </cols>
  <sheetData>
    <row r="1">
      <c r="A1" s="13" t="inlineStr">
        <is>
          <t>REMEDIATION ROADMAP</t>
        </is>
      </c>
    </row>
    <row r="2">
      <c r="A2" t="inlineStr">
        <is>
          <t>Structured plan to address identified gaps</t>
        </is>
      </c>
    </row>
    <row r="4">
      <c r="A4" s="3" t="inlineStr">
        <is>
          <t>PHASE TIMELINE</t>
        </is>
      </c>
    </row>
    <row r="5">
      <c r="A5" s="7" t="inlineStr">
        <is>
          <t>Phase</t>
        </is>
      </c>
      <c r="B5" s="7" t="inlineStr">
        <is>
          <t>Timeline</t>
        </is>
      </c>
      <c r="C5" s="7" t="inlineStr">
        <is>
          <t>Focus Areas</t>
        </is>
      </c>
      <c r="D5" s="7" t="inlineStr">
        <is>
          <t>Expected Outcome</t>
        </is>
      </c>
    </row>
    <row r="6">
      <c r="A6" s="5" t="inlineStr">
        <is>
          <t>Phase 1 - Critical (0-30 days)</t>
        </is>
      </c>
      <c r="B6" s="6" t="inlineStr">
        <is>
          <t>[Dates]</t>
        </is>
      </c>
      <c r="C6" s="5" t="inlineStr">
        <is>
          <t>Critical gaps</t>
        </is>
      </c>
      <c r="D6" s="5" t="inlineStr">
        <is>
          <t>All critical gaps closed</t>
        </is>
      </c>
    </row>
    <row r="7">
      <c r="A7" s="5" t="inlineStr">
        <is>
          <t>Phase 2 - High Priority (31-90 days)</t>
        </is>
      </c>
      <c r="B7" s="6" t="inlineStr">
        <is>
          <t>[Dates]</t>
        </is>
      </c>
      <c r="C7" s="5" t="inlineStr">
        <is>
          <t>High priority gaps</t>
        </is>
      </c>
      <c r="D7" s="5" t="inlineStr">
        <is>
          <t>Major risks mitigated</t>
        </is>
      </c>
    </row>
    <row r="8">
      <c r="A8" s="5" t="inlineStr">
        <is>
          <t>Phase 3 - Medium Priority (91-180 days)</t>
        </is>
      </c>
      <c r="B8" s="6" t="inlineStr">
        <is>
          <t>[Dates]</t>
        </is>
      </c>
      <c r="C8" s="5" t="inlineStr">
        <is>
          <t>Medium priority gaps</t>
        </is>
      </c>
      <c r="D8" s="5" t="inlineStr">
        <is>
          <t>Full compliance achieved</t>
        </is>
      </c>
    </row>
    <row r="9">
      <c r="A9" s="5" t="inlineStr">
        <is>
          <t>Phase 4 - Continuous Improvement (Ongoing)</t>
        </is>
      </c>
      <c r="B9" s="6" t="inlineStr">
        <is>
          <t>[Dates]</t>
        </is>
      </c>
      <c r="C9" s="5" t="inlineStr">
        <is>
          <t>Low priority and enhancements</t>
        </is>
      </c>
      <c r="D9" s="5" t="inlineStr">
        <is>
          <t>Best practice adoption</t>
        </is>
      </c>
    </row>
    <row r="12">
      <c r="A12" s="3" t="inlineStr">
        <is>
          <t>REMEDIATION ACTIONS</t>
        </is>
      </c>
    </row>
    <row r="13">
      <c r="A13" s="7" t="inlineStr">
        <is>
          <t>Action_ID</t>
        </is>
      </c>
      <c r="B13" s="7" t="inlineStr">
        <is>
          <t>Description</t>
        </is>
      </c>
      <c r="C13" s="7" t="inlineStr">
        <is>
          <t>Priority</t>
        </is>
      </c>
      <c r="D13" s="7" t="inlineStr">
        <is>
          <t>Source</t>
        </is>
      </c>
      <c r="E13" s="7" t="inlineStr">
        <is>
          <t>Owner</t>
        </is>
      </c>
      <c r="F13" s="7" t="inlineStr">
        <is>
          <t>Start</t>
        </is>
      </c>
      <c r="G13" s="7" t="inlineStr">
        <is>
          <t>Target</t>
        </is>
      </c>
      <c r="H13" s="7" t="inlineStr">
        <is>
          <t>Status</t>
        </is>
      </c>
      <c r="I13" s="7" t="inlineStr">
        <is>
          <t>Progress</t>
        </is>
      </c>
      <c r="J13" s="7" t="inlineStr">
        <is>
          <t>Dependencies</t>
        </is>
      </c>
      <c r="K13" s="7" t="inlineStr">
        <is>
          <t>Notes</t>
        </is>
      </c>
    </row>
    <row r="14">
      <c r="A14" s="6" t="inlineStr">
        <is>
          <t>RA-001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inlineStr">
        <is>
          <t>RA-002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inlineStr">
        <is>
          <t>RA-003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inlineStr">
        <is>
          <t>RA-004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inlineStr">
        <is>
          <t>RA-005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inlineStr">
        <is>
          <t>RA-006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inlineStr">
        <is>
          <t>RA-007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inlineStr">
        <is>
          <t>RA-008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inlineStr">
        <is>
          <t>RA-009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6" t="inlineStr">
        <is>
          <t>RA-010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6" t="inlineStr">
        <is>
          <t>RA-011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6" t="inlineStr">
        <is>
          <t>RA-012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6" t="inlineStr">
        <is>
          <t>RA-013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6" t="inlineStr">
        <is>
          <t>RA-014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6" t="inlineStr">
        <is>
          <t>RA-015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6" t="inlineStr">
        <is>
          <t>RA-016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6" t="inlineStr">
        <is>
          <t>RA-017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6" t="inlineStr">
        <is>
          <t>RA-018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6" t="inlineStr">
        <is>
          <t>RA-019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6" t="inlineStr">
        <is>
          <t>RA-020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6" t="inlineStr">
        <is>
          <t>RA-021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6" t="inlineStr">
        <is>
          <t>RA-022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6" t="inlineStr">
        <is>
          <t>RA-023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6" t="inlineStr">
        <is>
          <t>RA-024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6" t="inlineStr">
        <is>
          <t>RA-025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6" t="inlineStr">
        <is>
          <t>RA-026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6" t="inlineStr">
        <is>
          <t>RA-027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6" t="inlineStr">
        <is>
          <t>RA-028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6" t="inlineStr">
        <is>
          <t>RA-029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6" t="inlineStr">
        <is>
          <t>RA-030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6" t="inlineStr">
        <is>
          <t>RA-031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6" t="inlineStr">
        <is>
          <t>RA-032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6" t="inlineStr">
        <is>
          <t>RA-033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6" t="inlineStr">
        <is>
          <t>RA-034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6" t="inlineStr">
        <is>
          <t>RA-035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6" t="inlineStr">
        <is>
          <t>RA-036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6" t="inlineStr">
        <is>
          <t>RA-037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6" t="inlineStr">
        <is>
          <t>RA-038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6" t="inlineStr">
        <is>
          <t>RA-039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6" t="inlineStr">
        <is>
          <t>RA-040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6" t="inlineStr">
        <is>
          <t>RA-041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A55" s="6" t="inlineStr">
        <is>
          <t>RA-042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6" t="inlineStr">
        <is>
          <t>RA-043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6" t="inlineStr">
        <is>
          <t>RA-044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6" t="inlineStr">
        <is>
          <t>RA-045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A59" s="6" t="inlineStr">
        <is>
          <t>RA-046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6" t="inlineStr">
        <is>
          <t>RA-047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6" t="inlineStr">
        <is>
          <t>RA-048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6" t="inlineStr">
        <is>
          <t>RA-049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A63" s="6" t="inlineStr">
        <is>
          <t>RA-050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6" t="inlineStr">
        <is>
          <t>RA-051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A65" s="6" t="inlineStr">
        <is>
          <t>RA-052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6" t="inlineStr">
        <is>
          <t>RA-053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A67" s="6" t="inlineStr">
        <is>
          <t>RA-054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6" t="inlineStr">
        <is>
          <t>RA-055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>
      <c r="A69" s="6" t="inlineStr">
        <is>
          <t>RA-056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6" t="inlineStr">
        <is>
          <t>RA-057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>
      <c r="A71" s="6" t="inlineStr">
        <is>
          <t>RA-058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6" t="inlineStr">
        <is>
          <t>RA-059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A73" s="6" t="inlineStr">
        <is>
          <t>RA-060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6">
      <c r="A76" s="3" t="inlineStr">
        <is>
          <t>PROGRESS SUMMARY</t>
        </is>
      </c>
    </row>
    <row r="77">
      <c r="A77" s="7" t="inlineStr">
        <is>
          <t>Metric</t>
        </is>
      </c>
      <c r="B77" s="7" t="inlineStr">
        <is>
          <t>Count</t>
        </is>
      </c>
      <c r="C77" s="7" t="inlineStr">
        <is>
          <t>Percentage</t>
        </is>
      </c>
      <c r="D77" s="7" t="inlineStr">
        <is>
          <t>Target</t>
        </is>
      </c>
      <c r="E77" s="7" t="inlineStr">
        <is>
          <t>Status</t>
        </is>
      </c>
    </row>
    <row r="78">
      <c r="A78" s="5" t="inlineStr">
        <is>
          <t>Total Actions</t>
        </is>
      </c>
      <c r="B78" s="6" t="inlineStr">
        <is>
          <t>[#]</t>
        </is>
      </c>
      <c r="C78" s="5" t="inlineStr">
        <is>
          <t>100%</t>
        </is>
      </c>
      <c r="D78" s="5" t="inlineStr">
        <is>
          <t>N/A</t>
        </is>
      </c>
      <c r="E78" s="5" t="inlineStr">
        <is>
          <t>-</t>
        </is>
      </c>
    </row>
    <row r="79">
      <c r="A79" s="5" t="inlineStr">
        <is>
          <t>Completed</t>
        </is>
      </c>
      <c r="B79" s="6" t="inlineStr">
        <is>
          <t>[#]</t>
        </is>
      </c>
      <c r="C79" s="6" t="inlineStr">
        <is>
          <t>[%]</t>
        </is>
      </c>
      <c r="D79" s="5" t="inlineStr">
        <is>
          <t>100%</t>
        </is>
      </c>
      <c r="E79" s="6" t="inlineStr">
        <is>
          <t>[Status]</t>
        </is>
      </c>
    </row>
    <row r="80">
      <c r="A80" s="5" t="inlineStr">
        <is>
          <t>In Progress</t>
        </is>
      </c>
      <c r="B80" s="6" t="inlineStr">
        <is>
          <t>[#]</t>
        </is>
      </c>
      <c r="C80" s="6" t="inlineStr">
        <is>
          <t>[%]</t>
        </is>
      </c>
      <c r="D80" s="5" t="inlineStr">
        <is>
          <t>-</t>
        </is>
      </c>
      <c r="E80" s="5" t="inlineStr">
        <is>
          <t>-</t>
        </is>
      </c>
    </row>
    <row r="81">
      <c r="A81" s="5" t="inlineStr">
        <is>
          <t>Not Started</t>
        </is>
      </c>
      <c r="B81" s="6" t="inlineStr">
        <is>
          <t>[#]</t>
        </is>
      </c>
      <c r="C81" s="6" t="inlineStr">
        <is>
          <t>[%]</t>
        </is>
      </c>
      <c r="D81" s="5" t="inlineStr">
        <is>
          <t>-</t>
        </is>
      </c>
      <c r="E81" s="6" t="inlineStr">
        <is>
          <t>[Status]</t>
        </is>
      </c>
    </row>
    <row r="82">
      <c r="A82" s="5" t="inlineStr">
        <is>
          <t>Overdue</t>
        </is>
      </c>
      <c r="B82" s="6" t="inlineStr">
        <is>
          <t>[#]</t>
        </is>
      </c>
      <c r="C82" s="6" t="inlineStr">
        <is>
          <t>[%]</t>
        </is>
      </c>
      <c r="D82" s="5" t="inlineStr">
        <is>
          <t>&lt;10%</t>
        </is>
      </c>
      <c r="E82" s="6" t="inlineStr">
        <is>
          <t>[Status]</t>
        </is>
      </c>
    </row>
    <row r="83">
      <c r="A83" s="5" t="inlineStr">
        <is>
          <t>Critical Remaining</t>
        </is>
      </c>
      <c r="B83" s="6" t="inlineStr">
        <is>
          <t>[#]</t>
        </is>
      </c>
      <c r="C83" s="6" t="inlineStr">
        <is>
          <t>[%]</t>
        </is>
      </c>
      <c r="D83" s="5" t="inlineStr">
        <is>
          <t>0%</t>
        </is>
      </c>
      <c r="E83" s="6" t="inlineStr">
        <is>
          <t>[Status]</t>
        </is>
      </c>
    </row>
    <row r="84">
      <c r="A84" s="5" t="inlineStr">
        <is>
          <t>Average Progress</t>
        </is>
      </c>
      <c r="B84" s="6" t="inlineStr">
        <is>
          <t>[%]</t>
        </is>
      </c>
      <c r="C84" s="5" t="inlineStr">
        <is>
          <t>N/A</t>
        </is>
      </c>
      <c r="D84" s="5" t="inlineStr">
        <is>
          <t>&gt;=70%</t>
        </is>
      </c>
      <c r="E84" s="6" t="inlineStr">
        <is>
          <t>[Status]</t>
        </is>
      </c>
    </row>
  </sheetData>
  <mergeCells count="1">
    <mergeCell ref="A1:K1"/>
  </mergeCells>
  <dataValidations count="3">
    <dataValidation sqref="C14:C73" showDropDown="0" showInputMessage="0" showErrorMessage="0" allowBlank="0" type="list">
      <formula1>"Critical,High,Medium,Low"</formula1>
    </dataValidation>
    <dataValidation sqref="D14:D73" showDropDown="0" showInputMessage="0" showErrorMessage="0" allowBlank="0" type="list">
      <formula1>"IMP-A.8.33-34.1,IMP-A.8.33-34.2,Both"</formula1>
    </dataValidation>
    <dataValidation sqref="H14:H73" showDropDown="0" showInputMessage="0" showErrorMessage="0" allowBlank="0" type="list">
      <formula1>"Not Started,In Progress,Completed,Blocked"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50" customWidth="1" min="4" max="4"/>
    <col width="40" customWidth="1" min="5" max="5"/>
    <col width="15" customWidth="1" min="6" max="6"/>
    <col width="25" customWidth="1" min="7" max="7"/>
    <col width="18" customWidth="1" min="8" max="8"/>
    <col width="40" customWidth="1" min="9" max="9"/>
  </cols>
  <sheetData>
    <row r="1">
      <c r="A1" s="13" t="inlineStr">
        <is>
          <t>CONSOLIDATED EVIDENCE REGISTER</t>
        </is>
      </c>
    </row>
    <row r="2">
      <c r="A2" t="inlineStr">
        <is>
          <t>Evidence from both Testing and Audit Protection assessments (200 entries)</t>
        </is>
      </c>
    </row>
    <row r="4">
      <c r="A4" s="7" t="inlineStr">
        <is>
          <t>Evidence_ID</t>
        </is>
      </c>
      <c r="B4" s="7" t="inlineStr">
        <is>
          <t>Source_Assessment</t>
        </is>
      </c>
      <c r="C4" s="7" t="inlineStr">
        <is>
          <t>Evidence_Type</t>
        </is>
      </c>
      <c r="D4" s="7" t="inlineStr">
        <is>
          <t>Description</t>
        </is>
      </c>
      <c r="E4" s="7" t="inlineStr">
        <is>
          <t>Location</t>
        </is>
      </c>
      <c r="F4" s="7" t="inlineStr">
        <is>
          <t>Date_Collected</t>
        </is>
      </c>
      <c r="G4" s="7" t="inlineStr">
        <is>
          <t>Collected_By</t>
        </is>
      </c>
      <c r="H4" s="7" t="inlineStr">
        <is>
          <t>Verification_Status</t>
        </is>
      </c>
      <c r="I4" s="7" t="inlineStr">
        <is>
          <t>Auditor_Notes</t>
        </is>
      </c>
    </row>
    <row r="5">
      <c r="A5" s="6" t="inlineStr">
        <is>
          <t>EV-001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inlineStr">
        <is>
          <t>EV-002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inlineStr">
        <is>
          <t>EV-003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inlineStr">
        <is>
          <t>EV-004</t>
        </is>
      </c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inlineStr">
        <is>
          <t>EV-005</t>
        </is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inlineStr">
        <is>
          <t>EV-006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inlineStr">
        <is>
          <t>EV-007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inlineStr">
        <is>
          <t>EV-008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inlineStr">
        <is>
          <t>EV-009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inlineStr">
        <is>
          <t>EV-010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inlineStr">
        <is>
          <t>EV-011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inlineStr">
        <is>
          <t>EV-012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inlineStr">
        <is>
          <t>EV-013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inlineStr">
        <is>
          <t>EV-014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inlineStr">
        <is>
          <t>EV-015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inlineStr">
        <is>
          <t>EV-016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inlineStr">
        <is>
          <t>EV-017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inlineStr">
        <is>
          <t>EV-018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inlineStr">
        <is>
          <t>EV-019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inlineStr">
        <is>
          <t>EV-020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inlineStr">
        <is>
          <t>EV-021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inlineStr">
        <is>
          <t>EV-022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inlineStr">
        <is>
          <t>EV-023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inlineStr">
        <is>
          <t>EV-024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inlineStr">
        <is>
          <t>EV-025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inlineStr">
        <is>
          <t>EV-026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inlineStr">
        <is>
          <t>EV-027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inlineStr">
        <is>
          <t>EV-028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inlineStr">
        <is>
          <t>EV-029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inlineStr">
        <is>
          <t>EV-030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inlineStr">
        <is>
          <t>EV-031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inlineStr">
        <is>
          <t>EV-032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inlineStr">
        <is>
          <t>EV-033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inlineStr">
        <is>
          <t>EV-034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inlineStr">
        <is>
          <t>EV-035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inlineStr">
        <is>
          <t>EV-036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inlineStr">
        <is>
          <t>EV-037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inlineStr">
        <is>
          <t>EV-038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inlineStr">
        <is>
          <t>EV-039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6" t="inlineStr">
        <is>
          <t>EV-040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6" t="inlineStr">
        <is>
          <t>EV-041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6" t="inlineStr">
        <is>
          <t>EV-042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6" t="inlineStr">
        <is>
          <t>EV-043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6" t="inlineStr">
        <is>
          <t>EV-044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6" t="inlineStr">
        <is>
          <t>EV-045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6" t="inlineStr">
        <is>
          <t>EV-046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6" t="inlineStr">
        <is>
          <t>EV-047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6" t="inlineStr">
        <is>
          <t>EV-048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</row>
    <row r="53">
      <c r="A53" s="6" t="inlineStr">
        <is>
          <t>EV-049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6" t="inlineStr">
        <is>
          <t>EV-050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</row>
    <row r="55">
      <c r="A55" s="6" t="inlineStr">
        <is>
          <t>EV-051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A56" s="6" t="inlineStr">
        <is>
          <t>EV-052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</row>
    <row r="57">
      <c r="A57" s="6" t="inlineStr">
        <is>
          <t>EV-053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</row>
    <row r="58">
      <c r="A58" s="6" t="inlineStr">
        <is>
          <t>EV-054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</row>
    <row r="59">
      <c r="A59" s="6" t="inlineStr">
        <is>
          <t>EV-055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</row>
    <row r="60">
      <c r="A60" s="6" t="inlineStr">
        <is>
          <t>EV-056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</row>
    <row r="61">
      <c r="A61" s="6" t="inlineStr">
        <is>
          <t>EV-057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</row>
    <row r="62">
      <c r="A62" s="6" t="inlineStr">
        <is>
          <t>EV-058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</row>
    <row r="63">
      <c r="A63" s="6" t="inlineStr">
        <is>
          <t>EV-059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</row>
    <row r="64">
      <c r="A64" s="6" t="inlineStr">
        <is>
          <t>EV-060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</row>
    <row r="65">
      <c r="A65" s="6" t="inlineStr">
        <is>
          <t>EV-061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</row>
    <row r="66">
      <c r="A66" s="6" t="inlineStr">
        <is>
          <t>EV-062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</row>
    <row r="67">
      <c r="A67" s="6" t="inlineStr">
        <is>
          <t>EV-063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</row>
    <row r="68">
      <c r="A68" s="6" t="inlineStr">
        <is>
          <t>EV-064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</row>
    <row r="69">
      <c r="A69" s="6" t="inlineStr">
        <is>
          <t>EV-065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</row>
    <row r="70">
      <c r="A70" s="6" t="inlineStr">
        <is>
          <t>EV-066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</row>
    <row r="71">
      <c r="A71" s="6" t="inlineStr">
        <is>
          <t>EV-067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</row>
    <row r="72">
      <c r="A72" s="6" t="inlineStr">
        <is>
          <t>EV-068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</row>
    <row r="73">
      <c r="A73" s="6" t="inlineStr">
        <is>
          <t>EV-069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</row>
    <row r="74">
      <c r="A74" s="6" t="inlineStr">
        <is>
          <t>EV-070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</row>
    <row r="75">
      <c r="A75" s="6" t="inlineStr">
        <is>
          <t>EV-071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</row>
    <row r="76">
      <c r="A76" s="6" t="inlineStr">
        <is>
          <t>EV-072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</row>
    <row r="77">
      <c r="A77" s="6" t="inlineStr">
        <is>
          <t>EV-073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</row>
    <row r="78">
      <c r="A78" s="6" t="inlineStr">
        <is>
          <t>EV-074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</row>
    <row r="79">
      <c r="A79" s="6" t="inlineStr">
        <is>
          <t>EV-075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</row>
    <row r="80">
      <c r="A80" s="6" t="inlineStr">
        <is>
          <t>EV-076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</row>
    <row r="81">
      <c r="A81" s="6" t="inlineStr">
        <is>
          <t>EV-077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</row>
    <row r="82">
      <c r="A82" s="6" t="inlineStr">
        <is>
          <t>EV-078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</row>
    <row r="83">
      <c r="A83" s="6" t="inlineStr">
        <is>
          <t>EV-079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</row>
    <row r="84">
      <c r="A84" s="6" t="inlineStr">
        <is>
          <t>EV-080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</row>
    <row r="85">
      <c r="A85" s="6" t="inlineStr">
        <is>
          <t>EV-081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</row>
    <row r="86">
      <c r="A86" s="6" t="inlineStr">
        <is>
          <t>EV-082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</row>
    <row r="87">
      <c r="A87" s="6" t="inlineStr">
        <is>
          <t>EV-083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</row>
    <row r="88">
      <c r="A88" s="6" t="inlineStr">
        <is>
          <t>EV-084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</row>
    <row r="89">
      <c r="A89" s="6" t="inlineStr">
        <is>
          <t>EV-085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</row>
    <row r="90">
      <c r="A90" s="6" t="inlineStr">
        <is>
          <t>EV-086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</row>
    <row r="91">
      <c r="A91" s="6" t="inlineStr">
        <is>
          <t>EV-087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</row>
    <row r="92">
      <c r="A92" s="6" t="inlineStr">
        <is>
          <t>EV-088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</row>
    <row r="93">
      <c r="A93" s="6" t="inlineStr">
        <is>
          <t>EV-089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</row>
    <row r="94">
      <c r="A94" s="6" t="inlineStr">
        <is>
          <t>EV-090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</row>
    <row r="95">
      <c r="A95" s="6" t="inlineStr">
        <is>
          <t>EV-091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</row>
    <row r="96">
      <c r="A96" s="6" t="inlineStr">
        <is>
          <t>EV-092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</row>
    <row r="97">
      <c r="A97" s="6" t="inlineStr">
        <is>
          <t>EV-093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</row>
    <row r="98">
      <c r="A98" s="6" t="inlineStr">
        <is>
          <t>EV-094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</row>
    <row r="99">
      <c r="A99" s="6" t="inlineStr">
        <is>
          <t>EV-095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</row>
    <row r="100">
      <c r="A100" s="6" t="inlineStr">
        <is>
          <t>EV-096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</row>
    <row r="101">
      <c r="A101" s="6" t="inlineStr">
        <is>
          <t>EV-097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</row>
    <row r="102">
      <c r="A102" s="6" t="inlineStr">
        <is>
          <t>EV-098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</row>
    <row r="103">
      <c r="A103" s="6" t="inlineStr">
        <is>
          <t>EV-099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</row>
    <row r="104">
      <c r="A104" s="6" t="inlineStr">
        <is>
          <t>EV-100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</row>
    <row r="105">
      <c r="A105" s="6" t="inlineStr">
        <is>
          <t>EV-101</t>
        </is>
      </c>
      <c r="B105" s="6" t="n"/>
      <c r="C105" s="6" t="n"/>
      <c r="D105" s="6" t="n"/>
      <c r="E105" s="6" t="n"/>
      <c r="F105" s="6" t="n"/>
      <c r="G105" s="6" t="n"/>
      <c r="H105" s="6" t="n"/>
      <c r="I105" s="6" t="n"/>
    </row>
    <row r="106">
      <c r="A106" s="6" t="inlineStr">
        <is>
          <t>EV-102</t>
        </is>
      </c>
      <c r="B106" s="6" t="n"/>
      <c r="C106" s="6" t="n"/>
      <c r="D106" s="6" t="n"/>
      <c r="E106" s="6" t="n"/>
      <c r="F106" s="6" t="n"/>
      <c r="G106" s="6" t="n"/>
      <c r="H106" s="6" t="n"/>
      <c r="I106" s="6" t="n"/>
    </row>
    <row r="107">
      <c r="A107" s="6" t="inlineStr">
        <is>
          <t>EV-103</t>
        </is>
      </c>
      <c r="B107" s="6" t="n"/>
      <c r="C107" s="6" t="n"/>
      <c r="D107" s="6" t="n"/>
      <c r="E107" s="6" t="n"/>
      <c r="F107" s="6" t="n"/>
      <c r="G107" s="6" t="n"/>
      <c r="H107" s="6" t="n"/>
      <c r="I107" s="6" t="n"/>
    </row>
    <row r="108">
      <c r="A108" s="6" t="inlineStr">
        <is>
          <t>EV-104</t>
        </is>
      </c>
      <c r="B108" s="6" t="n"/>
      <c r="C108" s="6" t="n"/>
      <c r="D108" s="6" t="n"/>
      <c r="E108" s="6" t="n"/>
      <c r="F108" s="6" t="n"/>
      <c r="G108" s="6" t="n"/>
      <c r="H108" s="6" t="n"/>
      <c r="I108" s="6" t="n"/>
    </row>
    <row r="109">
      <c r="A109" s="6" t="inlineStr">
        <is>
          <t>EV-105</t>
        </is>
      </c>
      <c r="B109" s="6" t="n"/>
      <c r="C109" s="6" t="n"/>
      <c r="D109" s="6" t="n"/>
      <c r="E109" s="6" t="n"/>
      <c r="F109" s="6" t="n"/>
      <c r="G109" s="6" t="n"/>
      <c r="H109" s="6" t="n"/>
      <c r="I109" s="6" t="n"/>
    </row>
    <row r="110">
      <c r="A110" s="6" t="inlineStr">
        <is>
          <t>EV-106</t>
        </is>
      </c>
      <c r="B110" s="6" t="n"/>
      <c r="C110" s="6" t="n"/>
      <c r="D110" s="6" t="n"/>
      <c r="E110" s="6" t="n"/>
      <c r="F110" s="6" t="n"/>
      <c r="G110" s="6" t="n"/>
      <c r="H110" s="6" t="n"/>
      <c r="I110" s="6" t="n"/>
    </row>
    <row r="111">
      <c r="A111" s="6" t="inlineStr">
        <is>
          <t>EV-107</t>
        </is>
      </c>
      <c r="B111" s="6" t="n"/>
      <c r="C111" s="6" t="n"/>
      <c r="D111" s="6" t="n"/>
      <c r="E111" s="6" t="n"/>
      <c r="F111" s="6" t="n"/>
      <c r="G111" s="6" t="n"/>
      <c r="H111" s="6" t="n"/>
      <c r="I111" s="6" t="n"/>
    </row>
    <row r="112">
      <c r="A112" s="6" t="inlineStr">
        <is>
          <t>EV-108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</row>
    <row r="113">
      <c r="A113" s="6" t="inlineStr">
        <is>
          <t>EV-109</t>
        </is>
      </c>
      <c r="B113" s="6" t="n"/>
      <c r="C113" s="6" t="n"/>
      <c r="D113" s="6" t="n"/>
      <c r="E113" s="6" t="n"/>
      <c r="F113" s="6" t="n"/>
      <c r="G113" s="6" t="n"/>
      <c r="H113" s="6" t="n"/>
      <c r="I113" s="6" t="n"/>
    </row>
    <row r="114">
      <c r="A114" s="6" t="inlineStr">
        <is>
          <t>EV-110</t>
        </is>
      </c>
      <c r="B114" s="6" t="n"/>
      <c r="C114" s="6" t="n"/>
      <c r="D114" s="6" t="n"/>
      <c r="E114" s="6" t="n"/>
      <c r="F114" s="6" t="n"/>
      <c r="G114" s="6" t="n"/>
      <c r="H114" s="6" t="n"/>
      <c r="I114" s="6" t="n"/>
    </row>
    <row r="115">
      <c r="A115" s="6" t="inlineStr">
        <is>
          <t>EV-111</t>
        </is>
      </c>
      <c r="B115" s="6" t="n"/>
      <c r="C115" s="6" t="n"/>
      <c r="D115" s="6" t="n"/>
      <c r="E115" s="6" t="n"/>
      <c r="F115" s="6" t="n"/>
      <c r="G115" s="6" t="n"/>
      <c r="H115" s="6" t="n"/>
      <c r="I115" s="6" t="n"/>
    </row>
    <row r="116">
      <c r="A116" s="6" t="inlineStr">
        <is>
          <t>EV-112</t>
        </is>
      </c>
      <c r="B116" s="6" t="n"/>
      <c r="C116" s="6" t="n"/>
      <c r="D116" s="6" t="n"/>
      <c r="E116" s="6" t="n"/>
      <c r="F116" s="6" t="n"/>
      <c r="G116" s="6" t="n"/>
      <c r="H116" s="6" t="n"/>
      <c r="I116" s="6" t="n"/>
    </row>
    <row r="117">
      <c r="A117" s="6" t="inlineStr">
        <is>
          <t>EV-113</t>
        </is>
      </c>
      <c r="B117" s="6" t="n"/>
      <c r="C117" s="6" t="n"/>
      <c r="D117" s="6" t="n"/>
      <c r="E117" s="6" t="n"/>
      <c r="F117" s="6" t="n"/>
      <c r="G117" s="6" t="n"/>
      <c r="H117" s="6" t="n"/>
      <c r="I117" s="6" t="n"/>
    </row>
    <row r="118">
      <c r="A118" s="6" t="inlineStr">
        <is>
          <t>EV-114</t>
        </is>
      </c>
      <c r="B118" s="6" t="n"/>
      <c r="C118" s="6" t="n"/>
      <c r="D118" s="6" t="n"/>
      <c r="E118" s="6" t="n"/>
      <c r="F118" s="6" t="n"/>
      <c r="G118" s="6" t="n"/>
      <c r="H118" s="6" t="n"/>
      <c r="I118" s="6" t="n"/>
    </row>
    <row r="119">
      <c r="A119" s="6" t="inlineStr">
        <is>
          <t>EV-115</t>
        </is>
      </c>
      <c r="B119" s="6" t="n"/>
      <c r="C119" s="6" t="n"/>
      <c r="D119" s="6" t="n"/>
      <c r="E119" s="6" t="n"/>
      <c r="F119" s="6" t="n"/>
      <c r="G119" s="6" t="n"/>
      <c r="H119" s="6" t="n"/>
      <c r="I119" s="6" t="n"/>
    </row>
    <row r="120">
      <c r="A120" s="6" t="inlineStr">
        <is>
          <t>EV-116</t>
        </is>
      </c>
      <c r="B120" s="6" t="n"/>
      <c r="C120" s="6" t="n"/>
      <c r="D120" s="6" t="n"/>
      <c r="E120" s="6" t="n"/>
      <c r="F120" s="6" t="n"/>
      <c r="G120" s="6" t="n"/>
      <c r="H120" s="6" t="n"/>
      <c r="I120" s="6" t="n"/>
    </row>
    <row r="121">
      <c r="A121" s="6" t="inlineStr">
        <is>
          <t>EV-117</t>
        </is>
      </c>
      <c r="B121" s="6" t="n"/>
      <c r="C121" s="6" t="n"/>
      <c r="D121" s="6" t="n"/>
      <c r="E121" s="6" t="n"/>
      <c r="F121" s="6" t="n"/>
      <c r="G121" s="6" t="n"/>
      <c r="H121" s="6" t="n"/>
      <c r="I121" s="6" t="n"/>
    </row>
    <row r="122">
      <c r="A122" s="6" t="inlineStr">
        <is>
          <t>EV-118</t>
        </is>
      </c>
      <c r="B122" s="6" t="n"/>
      <c r="C122" s="6" t="n"/>
      <c r="D122" s="6" t="n"/>
      <c r="E122" s="6" t="n"/>
      <c r="F122" s="6" t="n"/>
      <c r="G122" s="6" t="n"/>
      <c r="H122" s="6" t="n"/>
      <c r="I122" s="6" t="n"/>
    </row>
    <row r="123">
      <c r="A123" s="6" t="inlineStr">
        <is>
          <t>EV-119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</row>
    <row r="124">
      <c r="A124" s="6" t="inlineStr">
        <is>
          <t>EV-120</t>
        </is>
      </c>
      <c r="B124" s="6" t="n"/>
      <c r="C124" s="6" t="n"/>
      <c r="D124" s="6" t="n"/>
      <c r="E124" s="6" t="n"/>
      <c r="F124" s="6" t="n"/>
      <c r="G124" s="6" t="n"/>
      <c r="H124" s="6" t="n"/>
      <c r="I124" s="6" t="n"/>
    </row>
    <row r="125">
      <c r="A125" s="6" t="inlineStr">
        <is>
          <t>EV-121</t>
        </is>
      </c>
      <c r="B125" s="6" t="n"/>
      <c r="C125" s="6" t="n"/>
      <c r="D125" s="6" t="n"/>
      <c r="E125" s="6" t="n"/>
      <c r="F125" s="6" t="n"/>
      <c r="G125" s="6" t="n"/>
      <c r="H125" s="6" t="n"/>
      <c r="I125" s="6" t="n"/>
    </row>
    <row r="126">
      <c r="A126" s="6" t="inlineStr">
        <is>
          <t>EV-122</t>
        </is>
      </c>
      <c r="B126" s="6" t="n"/>
      <c r="C126" s="6" t="n"/>
      <c r="D126" s="6" t="n"/>
      <c r="E126" s="6" t="n"/>
      <c r="F126" s="6" t="n"/>
      <c r="G126" s="6" t="n"/>
      <c r="H126" s="6" t="n"/>
      <c r="I126" s="6" t="n"/>
    </row>
    <row r="127">
      <c r="A127" s="6" t="inlineStr">
        <is>
          <t>EV-123</t>
        </is>
      </c>
      <c r="B127" s="6" t="n"/>
      <c r="C127" s="6" t="n"/>
      <c r="D127" s="6" t="n"/>
      <c r="E127" s="6" t="n"/>
      <c r="F127" s="6" t="n"/>
      <c r="G127" s="6" t="n"/>
      <c r="H127" s="6" t="n"/>
      <c r="I127" s="6" t="n"/>
    </row>
    <row r="128">
      <c r="A128" s="6" t="inlineStr">
        <is>
          <t>EV-124</t>
        </is>
      </c>
      <c r="B128" s="6" t="n"/>
      <c r="C128" s="6" t="n"/>
      <c r="D128" s="6" t="n"/>
      <c r="E128" s="6" t="n"/>
      <c r="F128" s="6" t="n"/>
      <c r="G128" s="6" t="n"/>
      <c r="H128" s="6" t="n"/>
      <c r="I128" s="6" t="n"/>
    </row>
    <row r="129">
      <c r="A129" s="6" t="inlineStr">
        <is>
          <t>EV-125</t>
        </is>
      </c>
      <c r="B129" s="6" t="n"/>
      <c r="C129" s="6" t="n"/>
      <c r="D129" s="6" t="n"/>
      <c r="E129" s="6" t="n"/>
      <c r="F129" s="6" t="n"/>
      <c r="G129" s="6" t="n"/>
      <c r="H129" s="6" t="n"/>
      <c r="I129" s="6" t="n"/>
    </row>
    <row r="130">
      <c r="A130" s="6" t="inlineStr">
        <is>
          <t>EV-126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</row>
    <row r="131">
      <c r="A131" s="6" t="inlineStr">
        <is>
          <t>EV-127</t>
        </is>
      </c>
      <c r="B131" s="6" t="n"/>
      <c r="C131" s="6" t="n"/>
      <c r="D131" s="6" t="n"/>
      <c r="E131" s="6" t="n"/>
      <c r="F131" s="6" t="n"/>
      <c r="G131" s="6" t="n"/>
      <c r="H131" s="6" t="n"/>
      <c r="I131" s="6" t="n"/>
    </row>
    <row r="132">
      <c r="A132" s="6" t="inlineStr">
        <is>
          <t>EV-128</t>
        </is>
      </c>
      <c r="B132" s="6" t="n"/>
      <c r="C132" s="6" t="n"/>
      <c r="D132" s="6" t="n"/>
      <c r="E132" s="6" t="n"/>
      <c r="F132" s="6" t="n"/>
      <c r="G132" s="6" t="n"/>
      <c r="H132" s="6" t="n"/>
      <c r="I132" s="6" t="n"/>
    </row>
    <row r="133">
      <c r="A133" s="6" t="inlineStr">
        <is>
          <t>EV-129</t>
        </is>
      </c>
      <c r="B133" s="6" t="n"/>
      <c r="C133" s="6" t="n"/>
      <c r="D133" s="6" t="n"/>
      <c r="E133" s="6" t="n"/>
      <c r="F133" s="6" t="n"/>
      <c r="G133" s="6" t="n"/>
      <c r="H133" s="6" t="n"/>
      <c r="I133" s="6" t="n"/>
    </row>
    <row r="134">
      <c r="A134" s="6" t="inlineStr">
        <is>
          <t>EV-130</t>
        </is>
      </c>
      <c r="B134" s="6" t="n"/>
      <c r="C134" s="6" t="n"/>
      <c r="D134" s="6" t="n"/>
      <c r="E134" s="6" t="n"/>
      <c r="F134" s="6" t="n"/>
      <c r="G134" s="6" t="n"/>
      <c r="H134" s="6" t="n"/>
      <c r="I134" s="6" t="n"/>
    </row>
    <row r="135">
      <c r="A135" s="6" t="inlineStr">
        <is>
          <t>EV-131</t>
        </is>
      </c>
      <c r="B135" s="6" t="n"/>
      <c r="C135" s="6" t="n"/>
      <c r="D135" s="6" t="n"/>
      <c r="E135" s="6" t="n"/>
      <c r="F135" s="6" t="n"/>
      <c r="G135" s="6" t="n"/>
      <c r="H135" s="6" t="n"/>
      <c r="I135" s="6" t="n"/>
    </row>
    <row r="136">
      <c r="A136" s="6" t="inlineStr">
        <is>
          <t>EV-132</t>
        </is>
      </c>
      <c r="B136" s="6" t="n"/>
      <c r="C136" s="6" t="n"/>
      <c r="D136" s="6" t="n"/>
      <c r="E136" s="6" t="n"/>
      <c r="F136" s="6" t="n"/>
      <c r="G136" s="6" t="n"/>
      <c r="H136" s="6" t="n"/>
      <c r="I136" s="6" t="n"/>
    </row>
    <row r="137">
      <c r="A137" s="6" t="inlineStr">
        <is>
          <t>EV-133</t>
        </is>
      </c>
      <c r="B137" s="6" t="n"/>
      <c r="C137" s="6" t="n"/>
      <c r="D137" s="6" t="n"/>
      <c r="E137" s="6" t="n"/>
      <c r="F137" s="6" t="n"/>
      <c r="G137" s="6" t="n"/>
      <c r="H137" s="6" t="n"/>
      <c r="I137" s="6" t="n"/>
    </row>
    <row r="138">
      <c r="A138" s="6" t="inlineStr">
        <is>
          <t>EV-134</t>
        </is>
      </c>
      <c r="B138" s="6" t="n"/>
      <c r="C138" s="6" t="n"/>
      <c r="D138" s="6" t="n"/>
      <c r="E138" s="6" t="n"/>
      <c r="F138" s="6" t="n"/>
      <c r="G138" s="6" t="n"/>
      <c r="H138" s="6" t="n"/>
      <c r="I138" s="6" t="n"/>
    </row>
    <row r="139">
      <c r="A139" s="6" t="inlineStr">
        <is>
          <t>EV-135</t>
        </is>
      </c>
      <c r="B139" s="6" t="n"/>
      <c r="C139" s="6" t="n"/>
      <c r="D139" s="6" t="n"/>
      <c r="E139" s="6" t="n"/>
      <c r="F139" s="6" t="n"/>
      <c r="G139" s="6" t="n"/>
      <c r="H139" s="6" t="n"/>
      <c r="I139" s="6" t="n"/>
    </row>
    <row r="140">
      <c r="A140" s="6" t="inlineStr">
        <is>
          <t>EV-136</t>
        </is>
      </c>
      <c r="B140" s="6" t="n"/>
      <c r="C140" s="6" t="n"/>
      <c r="D140" s="6" t="n"/>
      <c r="E140" s="6" t="n"/>
      <c r="F140" s="6" t="n"/>
      <c r="G140" s="6" t="n"/>
      <c r="H140" s="6" t="n"/>
      <c r="I140" s="6" t="n"/>
    </row>
    <row r="141">
      <c r="A141" s="6" t="inlineStr">
        <is>
          <t>EV-137</t>
        </is>
      </c>
      <c r="B141" s="6" t="n"/>
      <c r="C141" s="6" t="n"/>
      <c r="D141" s="6" t="n"/>
      <c r="E141" s="6" t="n"/>
      <c r="F141" s="6" t="n"/>
      <c r="G141" s="6" t="n"/>
      <c r="H141" s="6" t="n"/>
      <c r="I141" s="6" t="n"/>
    </row>
    <row r="142">
      <c r="A142" s="6" t="inlineStr">
        <is>
          <t>EV-138</t>
        </is>
      </c>
      <c r="B142" s="6" t="n"/>
      <c r="C142" s="6" t="n"/>
      <c r="D142" s="6" t="n"/>
      <c r="E142" s="6" t="n"/>
      <c r="F142" s="6" t="n"/>
      <c r="G142" s="6" t="n"/>
      <c r="H142" s="6" t="n"/>
      <c r="I142" s="6" t="n"/>
    </row>
    <row r="143">
      <c r="A143" s="6" t="inlineStr">
        <is>
          <t>EV-139</t>
        </is>
      </c>
      <c r="B143" s="6" t="n"/>
      <c r="C143" s="6" t="n"/>
      <c r="D143" s="6" t="n"/>
      <c r="E143" s="6" t="n"/>
      <c r="F143" s="6" t="n"/>
      <c r="G143" s="6" t="n"/>
      <c r="H143" s="6" t="n"/>
      <c r="I143" s="6" t="n"/>
    </row>
    <row r="144">
      <c r="A144" s="6" t="inlineStr">
        <is>
          <t>EV-140</t>
        </is>
      </c>
      <c r="B144" s="6" t="n"/>
      <c r="C144" s="6" t="n"/>
      <c r="D144" s="6" t="n"/>
      <c r="E144" s="6" t="n"/>
      <c r="F144" s="6" t="n"/>
      <c r="G144" s="6" t="n"/>
      <c r="H144" s="6" t="n"/>
      <c r="I144" s="6" t="n"/>
    </row>
    <row r="145">
      <c r="A145" s="6" t="inlineStr">
        <is>
          <t>EV-141</t>
        </is>
      </c>
      <c r="B145" s="6" t="n"/>
      <c r="C145" s="6" t="n"/>
      <c r="D145" s="6" t="n"/>
      <c r="E145" s="6" t="n"/>
      <c r="F145" s="6" t="n"/>
      <c r="G145" s="6" t="n"/>
      <c r="H145" s="6" t="n"/>
      <c r="I145" s="6" t="n"/>
    </row>
    <row r="146">
      <c r="A146" s="6" t="inlineStr">
        <is>
          <t>EV-142</t>
        </is>
      </c>
      <c r="B146" s="6" t="n"/>
      <c r="C146" s="6" t="n"/>
      <c r="D146" s="6" t="n"/>
      <c r="E146" s="6" t="n"/>
      <c r="F146" s="6" t="n"/>
      <c r="G146" s="6" t="n"/>
      <c r="H146" s="6" t="n"/>
      <c r="I146" s="6" t="n"/>
    </row>
    <row r="147">
      <c r="A147" s="6" t="inlineStr">
        <is>
          <t>EV-143</t>
        </is>
      </c>
      <c r="B147" s="6" t="n"/>
      <c r="C147" s="6" t="n"/>
      <c r="D147" s="6" t="n"/>
      <c r="E147" s="6" t="n"/>
      <c r="F147" s="6" t="n"/>
      <c r="G147" s="6" t="n"/>
      <c r="H147" s="6" t="n"/>
      <c r="I147" s="6" t="n"/>
    </row>
    <row r="148">
      <c r="A148" s="6" t="inlineStr">
        <is>
          <t>EV-144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</row>
    <row r="149">
      <c r="A149" s="6" t="inlineStr">
        <is>
          <t>EV-145</t>
        </is>
      </c>
      <c r="B149" s="6" t="n"/>
      <c r="C149" s="6" t="n"/>
      <c r="D149" s="6" t="n"/>
      <c r="E149" s="6" t="n"/>
      <c r="F149" s="6" t="n"/>
      <c r="G149" s="6" t="n"/>
      <c r="H149" s="6" t="n"/>
      <c r="I149" s="6" t="n"/>
    </row>
    <row r="150">
      <c r="A150" s="6" t="inlineStr">
        <is>
          <t>EV-146</t>
        </is>
      </c>
      <c r="B150" s="6" t="n"/>
      <c r="C150" s="6" t="n"/>
      <c r="D150" s="6" t="n"/>
      <c r="E150" s="6" t="n"/>
      <c r="F150" s="6" t="n"/>
      <c r="G150" s="6" t="n"/>
      <c r="H150" s="6" t="n"/>
      <c r="I150" s="6" t="n"/>
    </row>
    <row r="151">
      <c r="A151" s="6" t="inlineStr">
        <is>
          <t>EV-147</t>
        </is>
      </c>
      <c r="B151" s="6" t="n"/>
      <c r="C151" s="6" t="n"/>
      <c r="D151" s="6" t="n"/>
      <c r="E151" s="6" t="n"/>
      <c r="F151" s="6" t="n"/>
      <c r="G151" s="6" t="n"/>
      <c r="H151" s="6" t="n"/>
      <c r="I151" s="6" t="n"/>
    </row>
    <row r="152">
      <c r="A152" s="6" t="inlineStr">
        <is>
          <t>EV-148</t>
        </is>
      </c>
      <c r="B152" s="6" t="n"/>
      <c r="C152" s="6" t="n"/>
      <c r="D152" s="6" t="n"/>
      <c r="E152" s="6" t="n"/>
      <c r="F152" s="6" t="n"/>
      <c r="G152" s="6" t="n"/>
      <c r="H152" s="6" t="n"/>
      <c r="I152" s="6" t="n"/>
    </row>
    <row r="153">
      <c r="A153" s="6" t="inlineStr">
        <is>
          <t>EV-149</t>
        </is>
      </c>
      <c r="B153" s="6" t="n"/>
      <c r="C153" s="6" t="n"/>
      <c r="D153" s="6" t="n"/>
      <c r="E153" s="6" t="n"/>
      <c r="F153" s="6" t="n"/>
      <c r="G153" s="6" t="n"/>
      <c r="H153" s="6" t="n"/>
      <c r="I153" s="6" t="n"/>
    </row>
    <row r="154">
      <c r="A154" s="6" t="inlineStr">
        <is>
          <t>EV-150</t>
        </is>
      </c>
      <c r="B154" s="6" t="n"/>
      <c r="C154" s="6" t="n"/>
      <c r="D154" s="6" t="n"/>
      <c r="E154" s="6" t="n"/>
      <c r="F154" s="6" t="n"/>
      <c r="G154" s="6" t="n"/>
      <c r="H154" s="6" t="n"/>
      <c r="I154" s="6" t="n"/>
    </row>
    <row r="155">
      <c r="A155" s="6" t="inlineStr">
        <is>
          <t>EV-151</t>
        </is>
      </c>
      <c r="B155" s="6" t="n"/>
      <c r="C155" s="6" t="n"/>
      <c r="D155" s="6" t="n"/>
      <c r="E155" s="6" t="n"/>
      <c r="F155" s="6" t="n"/>
      <c r="G155" s="6" t="n"/>
      <c r="H155" s="6" t="n"/>
      <c r="I155" s="6" t="n"/>
    </row>
    <row r="156">
      <c r="A156" s="6" t="inlineStr">
        <is>
          <t>EV-152</t>
        </is>
      </c>
      <c r="B156" s="6" t="n"/>
      <c r="C156" s="6" t="n"/>
      <c r="D156" s="6" t="n"/>
      <c r="E156" s="6" t="n"/>
      <c r="F156" s="6" t="n"/>
      <c r="G156" s="6" t="n"/>
      <c r="H156" s="6" t="n"/>
      <c r="I156" s="6" t="n"/>
    </row>
    <row r="157">
      <c r="A157" s="6" t="inlineStr">
        <is>
          <t>EV-153</t>
        </is>
      </c>
      <c r="B157" s="6" t="n"/>
      <c r="C157" s="6" t="n"/>
      <c r="D157" s="6" t="n"/>
      <c r="E157" s="6" t="n"/>
      <c r="F157" s="6" t="n"/>
      <c r="G157" s="6" t="n"/>
      <c r="H157" s="6" t="n"/>
      <c r="I157" s="6" t="n"/>
    </row>
    <row r="158">
      <c r="A158" s="6" t="inlineStr">
        <is>
          <t>EV-154</t>
        </is>
      </c>
      <c r="B158" s="6" t="n"/>
      <c r="C158" s="6" t="n"/>
      <c r="D158" s="6" t="n"/>
      <c r="E158" s="6" t="n"/>
      <c r="F158" s="6" t="n"/>
      <c r="G158" s="6" t="n"/>
      <c r="H158" s="6" t="n"/>
      <c r="I158" s="6" t="n"/>
    </row>
    <row r="159">
      <c r="A159" s="6" t="inlineStr">
        <is>
          <t>EV-155</t>
        </is>
      </c>
      <c r="B159" s="6" t="n"/>
      <c r="C159" s="6" t="n"/>
      <c r="D159" s="6" t="n"/>
      <c r="E159" s="6" t="n"/>
      <c r="F159" s="6" t="n"/>
      <c r="G159" s="6" t="n"/>
      <c r="H159" s="6" t="n"/>
      <c r="I159" s="6" t="n"/>
    </row>
    <row r="160">
      <c r="A160" s="6" t="inlineStr">
        <is>
          <t>EV-156</t>
        </is>
      </c>
      <c r="B160" s="6" t="n"/>
      <c r="C160" s="6" t="n"/>
      <c r="D160" s="6" t="n"/>
      <c r="E160" s="6" t="n"/>
      <c r="F160" s="6" t="n"/>
      <c r="G160" s="6" t="n"/>
      <c r="H160" s="6" t="n"/>
      <c r="I160" s="6" t="n"/>
    </row>
    <row r="161">
      <c r="A161" s="6" t="inlineStr">
        <is>
          <t>EV-157</t>
        </is>
      </c>
      <c r="B161" s="6" t="n"/>
      <c r="C161" s="6" t="n"/>
      <c r="D161" s="6" t="n"/>
      <c r="E161" s="6" t="n"/>
      <c r="F161" s="6" t="n"/>
      <c r="G161" s="6" t="n"/>
      <c r="H161" s="6" t="n"/>
      <c r="I161" s="6" t="n"/>
    </row>
    <row r="162">
      <c r="A162" s="6" t="inlineStr">
        <is>
          <t>EV-158</t>
        </is>
      </c>
      <c r="B162" s="6" t="n"/>
      <c r="C162" s="6" t="n"/>
      <c r="D162" s="6" t="n"/>
      <c r="E162" s="6" t="n"/>
      <c r="F162" s="6" t="n"/>
      <c r="G162" s="6" t="n"/>
      <c r="H162" s="6" t="n"/>
      <c r="I162" s="6" t="n"/>
    </row>
    <row r="163">
      <c r="A163" s="6" t="inlineStr">
        <is>
          <t>EV-159</t>
        </is>
      </c>
      <c r="B163" s="6" t="n"/>
      <c r="C163" s="6" t="n"/>
      <c r="D163" s="6" t="n"/>
      <c r="E163" s="6" t="n"/>
      <c r="F163" s="6" t="n"/>
      <c r="G163" s="6" t="n"/>
      <c r="H163" s="6" t="n"/>
      <c r="I163" s="6" t="n"/>
    </row>
    <row r="164">
      <c r="A164" s="6" t="inlineStr">
        <is>
          <t>EV-160</t>
        </is>
      </c>
      <c r="B164" s="6" t="n"/>
      <c r="C164" s="6" t="n"/>
      <c r="D164" s="6" t="n"/>
      <c r="E164" s="6" t="n"/>
      <c r="F164" s="6" t="n"/>
      <c r="G164" s="6" t="n"/>
      <c r="H164" s="6" t="n"/>
      <c r="I164" s="6" t="n"/>
    </row>
    <row r="165">
      <c r="A165" s="6" t="inlineStr">
        <is>
          <t>EV-161</t>
        </is>
      </c>
      <c r="B165" s="6" t="n"/>
      <c r="C165" s="6" t="n"/>
      <c r="D165" s="6" t="n"/>
      <c r="E165" s="6" t="n"/>
      <c r="F165" s="6" t="n"/>
      <c r="G165" s="6" t="n"/>
      <c r="H165" s="6" t="n"/>
      <c r="I165" s="6" t="n"/>
    </row>
    <row r="166">
      <c r="A166" s="6" t="inlineStr">
        <is>
          <t>EV-162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</row>
    <row r="167">
      <c r="A167" s="6" t="inlineStr">
        <is>
          <t>EV-163</t>
        </is>
      </c>
      <c r="B167" s="6" t="n"/>
      <c r="C167" s="6" t="n"/>
      <c r="D167" s="6" t="n"/>
      <c r="E167" s="6" t="n"/>
      <c r="F167" s="6" t="n"/>
      <c r="G167" s="6" t="n"/>
      <c r="H167" s="6" t="n"/>
      <c r="I167" s="6" t="n"/>
    </row>
    <row r="168">
      <c r="A168" s="6" t="inlineStr">
        <is>
          <t>EV-164</t>
        </is>
      </c>
      <c r="B168" s="6" t="n"/>
      <c r="C168" s="6" t="n"/>
      <c r="D168" s="6" t="n"/>
      <c r="E168" s="6" t="n"/>
      <c r="F168" s="6" t="n"/>
      <c r="G168" s="6" t="n"/>
      <c r="H168" s="6" t="n"/>
      <c r="I168" s="6" t="n"/>
    </row>
    <row r="169">
      <c r="A169" s="6" t="inlineStr">
        <is>
          <t>EV-165</t>
        </is>
      </c>
      <c r="B169" s="6" t="n"/>
      <c r="C169" s="6" t="n"/>
      <c r="D169" s="6" t="n"/>
      <c r="E169" s="6" t="n"/>
      <c r="F169" s="6" t="n"/>
      <c r="G169" s="6" t="n"/>
      <c r="H169" s="6" t="n"/>
      <c r="I169" s="6" t="n"/>
    </row>
    <row r="170">
      <c r="A170" s="6" t="inlineStr">
        <is>
          <t>EV-166</t>
        </is>
      </c>
      <c r="B170" s="6" t="n"/>
      <c r="C170" s="6" t="n"/>
      <c r="D170" s="6" t="n"/>
      <c r="E170" s="6" t="n"/>
      <c r="F170" s="6" t="n"/>
      <c r="G170" s="6" t="n"/>
      <c r="H170" s="6" t="n"/>
      <c r="I170" s="6" t="n"/>
    </row>
    <row r="171">
      <c r="A171" s="6" t="inlineStr">
        <is>
          <t>EV-167</t>
        </is>
      </c>
      <c r="B171" s="6" t="n"/>
      <c r="C171" s="6" t="n"/>
      <c r="D171" s="6" t="n"/>
      <c r="E171" s="6" t="n"/>
      <c r="F171" s="6" t="n"/>
      <c r="G171" s="6" t="n"/>
      <c r="H171" s="6" t="n"/>
      <c r="I171" s="6" t="n"/>
    </row>
    <row r="172">
      <c r="A172" s="6" t="inlineStr">
        <is>
          <t>EV-168</t>
        </is>
      </c>
      <c r="B172" s="6" t="n"/>
      <c r="C172" s="6" t="n"/>
      <c r="D172" s="6" t="n"/>
      <c r="E172" s="6" t="n"/>
      <c r="F172" s="6" t="n"/>
      <c r="G172" s="6" t="n"/>
      <c r="H172" s="6" t="n"/>
      <c r="I172" s="6" t="n"/>
    </row>
    <row r="173">
      <c r="A173" s="6" t="inlineStr">
        <is>
          <t>EV-169</t>
        </is>
      </c>
      <c r="B173" s="6" t="n"/>
      <c r="C173" s="6" t="n"/>
      <c r="D173" s="6" t="n"/>
      <c r="E173" s="6" t="n"/>
      <c r="F173" s="6" t="n"/>
      <c r="G173" s="6" t="n"/>
      <c r="H173" s="6" t="n"/>
      <c r="I173" s="6" t="n"/>
    </row>
    <row r="174">
      <c r="A174" s="6" t="inlineStr">
        <is>
          <t>EV-170</t>
        </is>
      </c>
      <c r="B174" s="6" t="n"/>
      <c r="C174" s="6" t="n"/>
      <c r="D174" s="6" t="n"/>
      <c r="E174" s="6" t="n"/>
      <c r="F174" s="6" t="n"/>
      <c r="G174" s="6" t="n"/>
      <c r="H174" s="6" t="n"/>
      <c r="I174" s="6" t="n"/>
    </row>
    <row r="175">
      <c r="A175" s="6" t="inlineStr">
        <is>
          <t>EV-171</t>
        </is>
      </c>
      <c r="B175" s="6" t="n"/>
      <c r="C175" s="6" t="n"/>
      <c r="D175" s="6" t="n"/>
      <c r="E175" s="6" t="n"/>
      <c r="F175" s="6" t="n"/>
      <c r="G175" s="6" t="n"/>
      <c r="H175" s="6" t="n"/>
      <c r="I175" s="6" t="n"/>
    </row>
    <row r="176">
      <c r="A176" s="6" t="inlineStr">
        <is>
          <t>EV-172</t>
        </is>
      </c>
      <c r="B176" s="6" t="n"/>
      <c r="C176" s="6" t="n"/>
      <c r="D176" s="6" t="n"/>
      <c r="E176" s="6" t="n"/>
      <c r="F176" s="6" t="n"/>
      <c r="G176" s="6" t="n"/>
      <c r="H176" s="6" t="n"/>
      <c r="I176" s="6" t="n"/>
    </row>
    <row r="177">
      <c r="A177" s="6" t="inlineStr">
        <is>
          <t>EV-173</t>
        </is>
      </c>
      <c r="B177" s="6" t="n"/>
      <c r="C177" s="6" t="n"/>
      <c r="D177" s="6" t="n"/>
      <c r="E177" s="6" t="n"/>
      <c r="F177" s="6" t="n"/>
      <c r="G177" s="6" t="n"/>
      <c r="H177" s="6" t="n"/>
      <c r="I177" s="6" t="n"/>
    </row>
    <row r="178">
      <c r="A178" s="6" t="inlineStr">
        <is>
          <t>EV-174</t>
        </is>
      </c>
      <c r="B178" s="6" t="n"/>
      <c r="C178" s="6" t="n"/>
      <c r="D178" s="6" t="n"/>
      <c r="E178" s="6" t="n"/>
      <c r="F178" s="6" t="n"/>
      <c r="G178" s="6" t="n"/>
      <c r="H178" s="6" t="n"/>
      <c r="I178" s="6" t="n"/>
    </row>
    <row r="179">
      <c r="A179" s="6" t="inlineStr">
        <is>
          <t>EV-175</t>
        </is>
      </c>
      <c r="B179" s="6" t="n"/>
      <c r="C179" s="6" t="n"/>
      <c r="D179" s="6" t="n"/>
      <c r="E179" s="6" t="n"/>
      <c r="F179" s="6" t="n"/>
      <c r="G179" s="6" t="n"/>
      <c r="H179" s="6" t="n"/>
      <c r="I179" s="6" t="n"/>
    </row>
    <row r="180">
      <c r="A180" s="6" t="inlineStr">
        <is>
          <t>EV-176</t>
        </is>
      </c>
      <c r="B180" s="6" t="n"/>
      <c r="C180" s="6" t="n"/>
      <c r="D180" s="6" t="n"/>
      <c r="E180" s="6" t="n"/>
      <c r="F180" s="6" t="n"/>
      <c r="G180" s="6" t="n"/>
      <c r="H180" s="6" t="n"/>
      <c r="I180" s="6" t="n"/>
    </row>
    <row r="181">
      <c r="A181" s="6" t="inlineStr">
        <is>
          <t>EV-177</t>
        </is>
      </c>
      <c r="B181" s="6" t="n"/>
      <c r="C181" s="6" t="n"/>
      <c r="D181" s="6" t="n"/>
      <c r="E181" s="6" t="n"/>
      <c r="F181" s="6" t="n"/>
      <c r="G181" s="6" t="n"/>
      <c r="H181" s="6" t="n"/>
      <c r="I181" s="6" t="n"/>
    </row>
    <row r="182">
      <c r="A182" s="6" t="inlineStr">
        <is>
          <t>EV-178</t>
        </is>
      </c>
      <c r="B182" s="6" t="n"/>
      <c r="C182" s="6" t="n"/>
      <c r="D182" s="6" t="n"/>
      <c r="E182" s="6" t="n"/>
      <c r="F182" s="6" t="n"/>
      <c r="G182" s="6" t="n"/>
      <c r="H182" s="6" t="n"/>
      <c r="I182" s="6" t="n"/>
    </row>
    <row r="183">
      <c r="A183" s="6" t="inlineStr">
        <is>
          <t>EV-179</t>
        </is>
      </c>
      <c r="B183" s="6" t="n"/>
      <c r="C183" s="6" t="n"/>
      <c r="D183" s="6" t="n"/>
      <c r="E183" s="6" t="n"/>
      <c r="F183" s="6" t="n"/>
      <c r="G183" s="6" t="n"/>
      <c r="H183" s="6" t="n"/>
      <c r="I183" s="6" t="n"/>
    </row>
    <row r="184">
      <c r="A184" s="6" t="inlineStr">
        <is>
          <t>EV-180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</row>
    <row r="185">
      <c r="A185" s="6" t="inlineStr">
        <is>
          <t>EV-181</t>
        </is>
      </c>
      <c r="B185" s="6" t="n"/>
      <c r="C185" s="6" t="n"/>
      <c r="D185" s="6" t="n"/>
      <c r="E185" s="6" t="n"/>
      <c r="F185" s="6" t="n"/>
      <c r="G185" s="6" t="n"/>
      <c r="H185" s="6" t="n"/>
      <c r="I185" s="6" t="n"/>
    </row>
    <row r="186">
      <c r="A186" s="6" t="inlineStr">
        <is>
          <t>EV-182</t>
        </is>
      </c>
      <c r="B186" s="6" t="n"/>
      <c r="C186" s="6" t="n"/>
      <c r="D186" s="6" t="n"/>
      <c r="E186" s="6" t="n"/>
      <c r="F186" s="6" t="n"/>
      <c r="G186" s="6" t="n"/>
      <c r="H186" s="6" t="n"/>
      <c r="I186" s="6" t="n"/>
    </row>
    <row r="187">
      <c r="A187" s="6" t="inlineStr">
        <is>
          <t>EV-183</t>
        </is>
      </c>
      <c r="B187" s="6" t="n"/>
      <c r="C187" s="6" t="n"/>
      <c r="D187" s="6" t="n"/>
      <c r="E187" s="6" t="n"/>
      <c r="F187" s="6" t="n"/>
      <c r="G187" s="6" t="n"/>
      <c r="H187" s="6" t="n"/>
      <c r="I187" s="6" t="n"/>
    </row>
    <row r="188">
      <c r="A188" s="6" t="inlineStr">
        <is>
          <t>EV-184</t>
        </is>
      </c>
      <c r="B188" s="6" t="n"/>
      <c r="C188" s="6" t="n"/>
      <c r="D188" s="6" t="n"/>
      <c r="E188" s="6" t="n"/>
      <c r="F188" s="6" t="n"/>
      <c r="G188" s="6" t="n"/>
      <c r="H188" s="6" t="n"/>
      <c r="I188" s="6" t="n"/>
    </row>
    <row r="189">
      <c r="A189" s="6" t="inlineStr">
        <is>
          <t>EV-185</t>
        </is>
      </c>
      <c r="B189" s="6" t="n"/>
      <c r="C189" s="6" t="n"/>
      <c r="D189" s="6" t="n"/>
      <c r="E189" s="6" t="n"/>
      <c r="F189" s="6" t="n"/>
      <c r="G189" s="6" t="n"/>
      <c r="H189" s="6" t="n"/>
      <c r="I189" s="6" t="n"/>
    </row>
    <row r="190">
      <c r="A190" s="6" t="inlineStr">
        <is>
          <t>EV-186</t>
        </is>
      </c>
      <c r="B190" s="6" t="n"/>
      <c r="C190" s="6" t="n"/>
      <c r="D190" s="6" t="n"/>
      <c r="E190" s="6" t="n"/>
      <c r="F190" s="6" t="n"/>
      <c r="G190" s="6" t="n"/>
      <c r="H190" s="6" t="n"/>
      <c r="I190" s="6" t="n"/>
    </row>
    <row r="191">
      <c r="A191" s="6" t="inlineStr">
        <is>
          <t>EV-187</t>
        </is>
      </c>
      <c r="B191" s="6" t="n"/>
      <c r="C191" s="6" t="n"/>
      <c r="D191" s="6" t="n"/>
      <c r="E191" s="6" t="n"/>
      <c r="F191" s="6" t="n"/>
      <c r="G191" s="6" t="n"/>
      <c r="H191" s="6" t="n"/>
      <c r="I191" s="6" t="n"/>
    </row>
    <row r="192">
      <c r="A192" s="6" t="inlineStr">
        <is>
          <t>EV-188</t>
        </is>
      </c>
      <c r="B192" s="6" t="n"/>
      <c r="C192" s="6" t="n"/>
      <c r="D192" s="6" t="n"/>
      <c r="E192" s="6" t="n"/>
      <c r="F192" s="6" t="n"/>
      <c r="G192" s="6" t="n"/>
      <c r="H192" s="6" t="n"/>
      <c r="I192" s="6" t="n"/>
    </row>
    <row r="193">
      <c r="A193" s="6" t="inlineStr">
        <is>
          <t>EV-189</t>
        </is>
      </c>
      <c r="B193" s="6" t="n"/>
      <c r="C193" s="6" t="n"/>
      <c r="D193" s="6" t="n"/>
      <c r="E193" s="6" t="n"/>
      <c r="F193" s="6" t="n"/>
      <c r="G193" s="6" t="n"/>
      <c r="H193" s="6" t="n"/>
      <c r="I193" s="6" t="n"/>
    </row>
    <row r="194">
      <c r="A194" s="6" t="inlineStr">
        <is>
          <t>EV-190</t>
        </is>
      </c>
      <c r="B194" s="6" t="n"/>
      <c r="C194" s="6" t="n"/>
      <c r="D194" s="6" t="n"/>
      <c r="E194" s="6" t="n"/>
      <c r="F194" s="6" t="n"/>
      <c r="G194" s="6" t="n"/>
      <c r="H194" s="6" t="n"/>
      <c r="I194" s="6" t="n"/>
    </row>
    <row r="195">
      <c r="A195" s="6" t="inlineStr">
        <is>
          <t>EV-191</t>
        </is>
      </c>
      <c r="B195" s="6" t="n"/>
      <c r="C195" s="6" t="n"/>
      <c r="D195" s="6" t="n"/>
      <c r="E195" s="6" t="n"/>
      <c r="F195" s="6" t="n"/>
      <c r="G195" s="6" t="n"/>
      <c r="H195" s="6" t="n"/>
      <c r="I195" s="6" t="n"/>
    </row>
    <row r="196">
      <c r="A196" s="6" t="inlineStr">
        <is>
          <t>EV-192</t>
        </is>
      </c>
      <c r="B196" s="6" t="n"/>
      <c r="C196" s="6" t="n"/>
      <c r="D196" s="6" t="n"/>
      <c r="E196" s="6" t="n"/>
      <c r="F196" s="6" t="n"/>
      <c r="G196" s="6" t="n"/>
      <c r="H196" s="6" t="n"/>
      <c r="I196" s="6" t="n"/>
    </row>
    <row r="197">
      <c r="A197" s="6" t="inlineStr">
        <is>
          <t>EV-193</t>
        </is>
      </c>
      <c r="B197" s="6" t="n"/>
      <c r="C197" s="6" t="n"/>
      <c r="D197" s="6" t="n"/>
      <c r="E197" s="6" t="n"/>
      <c r="F197" s="6" t="n"/>
      <c r="G197" s="6" t="n"/>
      <c r="H197" s="6" t="n"/>
      <c r="I197" s="6" t="n"/>
    </row>
    <row r="198">
      <c r="A198" s="6" t="inlineStr">
        <is>
          <t>EV-194</t>
        </is>
      </c>
      <c r="B198" s="6" t="n"/>
      <c r="C198" s="6" t="n"/>
      <c r="D198" s="6" t="n"/>
      <c r="E198" s="6" t="n"/>
      <c r="F198" s="6" t="n"/>
      <c r="G198" s="6" t="n"/>
      <c r="H198" s="6" t="n"/>
      <c r="I198" s="6" t="n"/>
    </row>
    <row r="199">
      <c r="A199" s="6" t="inlineStr">
        <is>
          <t>EV-195</t>
        </is>
      </c>
      <c r="B199" s="6" t="n"/>
      <c r="C199" s="6" t="n"/>
      <c r="D199" s="6" t="n"/>
      <c r="E199" s="6" t="n"/>
      <c r="F199" s="6" t="n"/>
      <c r="G199" s="6" t="n"/>
      <c r="H199" s="6" t="n"/>
      <c r="I199" s="6" t="n"/>
    </row>
    <row r="200">
      <c r="A200" s="6" t="inlineStr">
        <is>
          <t>EV-196</t>
        </is>
      </c>
      <c r="B200" s="6" t="n"/>
      <c r="C200" s="6" t="n"/>
      <c r="D200" s="6" t="n"/>
      <c r="E200" s="6" t="n"/>
      <c r="F200" s="6" t="n"/>
      <c r="G200" s="6" t="n"/>
      <c r="H200" s="6" t="n"/>
      <c r="I200" s="6" t="n"/>
    </row>
    <row r="201">
      <c r="A201" s="6" t="inlineStr">
        <is>
          <t>EV-197</t>
        </is>
      </c>
      <c r="B201" s="6" t="n"/>
      <c r="C201" s="6" t="n"/>
      <c r="D201" s="6" t="n"/>
      <c r="E201" s="6" t="n"/>
      <c r="F201" s="6" t="n"/>
      <c r="G201" s="6" t="n"/>
      <c r="H201" s="6" t="n"/>
      <c r="I201" s="6" t="n"/>
    </row>
    <row r="202">
      <c r="A202" s="6" t="inlineStr">
        <is>
          <t>EV-198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</row>
    <row r="203">
      <c r="A203" s="6" t="inlineStr">
        <is>
          <t>EV-199</t>
        </is>
      </c>
      <c r="B203" s="6" t="n"/>
      <c r="C203" s="6" t="n"/>
      <c r="D203" s="6" t="n"/>
      <c r="E203" s="6" t="n"/>
      <c r="F203" s="6" t="n"/>
      <c r="G203" s="6" t="n"/>
      <c r="H203" s="6" t="n"/>
      <c r="I203" s="6" t="n"/>
    </row>
    <row r="204">
      <c r="A204" s="6" t="inlineStr">
        <is>
          <t>EV-200</t>
        </is>
      </c>
      <c r="B204" s="6" t="n"/>
      <c r="C204" s="6" t="n"/>
      <c r="D204" s="6" t="n"/>
      <c r="E204" s="6" t="n"/>
      <c r="F204" s="6" t="n"/>
      <c r="G204" s="6" t="n"/>
      <c r="H204" s="6" t="n"/>
      <c r="I204" s="6" t="n"/>
    </row>
    <row r="207">
      <c r="A207" s="3" t="inlineStr">
        <is>
          <t>EVIDENCE STATISTICS</t>
        </is>
      </c>
    </row>
    <row r="209">
      <c r="A209" s="5" t="inlineStr">
        <is>
          <t>Total Evidence</t>
        </is>
      </c>
      <c r="B209" s="5">
        <f>COUNTA(B5:B204)</f>
        <v/>
      </c>
    </row>
    <row r="210">
      <c r="A210" s="5" t="inlineStr">
        <is>
          <t>From Test Data Assessment</t>
        </is>
      </c>
      <c r="B210" s="5">
        <f>COUNTIF(B5:B204,"IMP-A.8.33-34.1")</f>
        <v/>
      </c>
    </row>
    <row r="211">
      <c r="A211" s="5" t="inlineStr">
        <is>
          <t>From Audit Assessment</t>
        </is>
      </c>
      <c r="B211" s="5">
        <f>COUNTIF(B5:B204,"IMP-A.8.33-34.2")</f>
        <v/>
      </c>
    </row>
    <row r="212">
      <c r="A212" s="5" t="inlineStr">
        <is>
          <t>Verified</t>
        </is>
      </c>
      <c r="B212" s="5">
        <f>COUNTIF(H5:H204,"Verified")</f>
        <v/>
      </c>
    </row>
    <row r="213">
      <c r="A213" s="5" t="inlineStr">
        <is>
          <t>Pending Verification</t>
        </is>
      </c>
      <c r="B213" s="5">
        <f>COUNTIF(H5:H204,"Pending")</f>
        <v/>
      </c>
    </row>
  </sheetData>
  <mergeCells count="1">
    <mergeCell ref="A1:I1"/>
  </mergeCells>
  <dataValidations count="3">
    <dataValidation sqref="B5:B204" showDropDown="0" showInputMessage="0" showErrorMessage="0" allowBlank="0" type="list">
      <formula1>"IMP-A.8.33-34.1,IMP-A.8.33-34.2"</formula1>
    </dataValidation>
    <dataValidation sqref="C5:C204" showDropDown="0" showInputMessage="0" showErrorMessage="0" allowBlank="0" type="list">
      <formula1>"Policy Document,Technical Config,Authorization Record,Audit Log,Verification Report,Training Record,Other"</formula1>
    </dataValidation>
    <dataValidation sqref="H5:H204" showDropDown="0" showInputMessage="0" showErrorMessage="0" allowBlank="0" type="list">
      <formula1>"Verified,Pending,Not Verified"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20" customWidth="1" min="4" max="4"/>
  </cols>
  <sheetData>
    <row r="1">
      <c r="A1" s="13" t="inlineStr">
        <is>
          <t>CISO COMPLIANCE CERTIFICATION</t>
        </is>
      </c>
    </row>
    <row r="2">
      <c r="A2" t="inlineStr">
        <is>
          <t>Formal attestation of Testing and Audit Protection compliance status</t>
        </is>
      </c>
    </row>
    <row r="4">
      <c r="A4" s="3" t="inlineStr">
        <is>
          <t>CERTIFICATION SUMMARY</t>
        </is>
      </c>
    </row>
    <row r="6">
      <c r="A6" s="4" t="inlineStr">
        <is>
          <t>Dashboard Document:</t>
        </is>
      </c>
      <c r="B6" s="5" t="inlineStr">
        <is>
          <t>ISMS-IMP-A.8.33-34.3 - Compliance Dashboard</t>
        </is>
      </c>
    </row>
    <row r="7">
      <c r="A7" s="4" t="inlineStr">
        <is>
          <t>Certification Period:</t>
        </is>
      </c>
      <c r="B7" s="6" t="inlineStr">
        <is>
          <t>[USER INPUT]</t>
        </is>
      </c>
    </row>
    <row r="8">
      <c r="A8" s="4" t="inlineStr">
        <is>
          <t>Overall Compliance Rate:</t>
        </is>
      </c>
      <c r="B8" s="6" t="inlineStr">
        <is>
          <t>[Formula from Executive_Dashboard]</t>
        </is>
      </c>
    </row>
    <row r="9">
      <c r="A9" s="4" t="inlineStr">
        <is>
          <t>Critical Gaps:</t>
        </is>
      </c>
      <c r="B9" s="6" t="inlineStr">
        <is>
          <t>[Formula]</t>
        </is>
      </c>
    </row>
    <row r="10">
      <c r="A10" s="4" t="inlineStr">
        <is>
          <t>High Gaps:</t>
        </is>
      </c>
      <c r="B10" s="6" t="inlineStr">
        <is>
          <t>[Formula]</t>
        </is>
      </c>
    </row>
    <row r="11">
      <c r="A11" s="4" t="inlineStr">
        <is>
          <t>Active Exceptions:</t>
        </is>
      </c>
      <c r="B11" s="6" t="inlineStr">
        <is>
          <t>[Formula]</t>
        </is>
      </c>
    </row>
    <row r="12">
      <c r="A12" s="4" t="inlineStr">
        <is>
          <t>Assessment 1 Status:</t>
        </is>
      </c>
      <c r="B12" s="6" t="inlineStr">
        <is>
          <t>[Formula from IMP-A.8.33-34.1]</t>
        </is>
      </c>
    </row>
    <row r="13">
      <c r="A13" s="4" t="inlineStr">
        <is>
          <t>Assessment 2 Status:</t>
        </is>
      </c>
      <c r="B13" s="6" t="inlineStr">
        <is>
          <t>[Formula from IMP-A.8.33-34.2]</t>
        </is>
      </c>
    </row>
    <row r="14">
      <c r="A14" s="4" t="inlineStr">
        <is>
          <t>Total Evidence:</t>
        </is>
      </c>
      <c r="B14" s="6" t="inlineStr">
        <is>
          <t>[Formula]</t>
        </is>
      </c>
    </row>
    <row r="15">
      <c r="A15" s="4" t="inlineStr">
        <is>
          <t>Audit Readiness:</t>
        </is>
      </c>
      <c r="B15" s="6" t="inlineStr">
        <is>
          <t>[Formula based on compliance]</t>
        </is>
      </c>
    </row>
    <row r="16">
      <c r="A16" s="4" t="inlineStr">
        <is>
          <t>Certification Status:</t>
        </is>
      </c>
      <c r="B16" s="6" t="inlineStr">
        <is>
          <t>[Dropdown]</t>
        </is>
      </c>
    </row>
    <row r="19">
      <c r="A19" s="3" t="inlineStr">
        <is>
          <t>CISO ATTESTATION</t>
        </is>
      </c>
    </row>
    <row r="21">
      <c r="A21" s="14" t="inlineStr">
        <is>
          <t>I, _________________________________ (CISO Name), certify that:</t>
        </is>
      </c>
    </row>
    <row r="23">
      <c r="A23" s="4" t="inlineStr">
        <is>
          <t>1. Assessment Accuracy</t>
        </is>
      </c>
    </row>
    <row r="24">
      <c r="A24" s="15" t="inlineStr">
        <is>
          <t xml:space="preserve">   [ ] I have reviewed the source assessments (IMP-A.8.33-34.1 and IMP-A.8.33-34.2)</t>
        </is>
      </c>
    </row>
    <row r="25">
      <c r="A25" s="15" t="inlineStr">
        <is>
          <t xml:space="preserve">   [ ] I confirm the data in this dashboard accurately reflects our compliance status</t>
        </is>
      </c>
    </row>
    <row r="26">
      <c r="A26" s="15" t="inlineStr">
        <is>
          <t xml:space="preserve">   [ ] Assessment methodologies are appropriate and consistently applied</t>
        </is>
      </c>
    </row>
    <row r="27">
      <c r="A27" t="inlineStr"/>
    </row>
    <row r="28">
      <c r="A28" s="4" t="inlineStr">
        <is>
          <t>2. Gap Understanding</t>
        </is>
      </c>
    </row>
    <row r="29">
      <c r="A29" s="15" t="inlineStr">
        <is>
          <t xml:space="preserve">   [ ] I understand all identified gaps and their business impact</t>
        </is>
      </c>
    </row>
    <row r="30">
      <c r="A30" s="15" t="inlineStr">
        <is>
          <t xml:space="preserve">   [ ] Critical gaps have approved remediation plans with adequate resources</t>
        </is>
      </c>
    </row>
    <row r="31">
      <c r="A31" s="15" t="inlineStr">
        <is>
          <t xml:space="preserve">   [ ] High-priority gaps are being actively addressed</t>
        </is>
      </c>
    </row>
    <row r="32">
      <c r="A32" t="inlineStr"/>
    </row>
    <row r="33">
      <c r="A33" s="4" t="inlineStr">
        <is>
          <t>3. Exception Acceptance</t>
        </is>
      </c>
    </row>
    <row r="34">
      <c r="A34" s="15" t="inlineStr">
        <is>
          <t xml:space="preserve">   [ ] I have reviewed all active exceptions</t>
        </is>
      </c>
    </row>
    <row r="35">
      <c r="A35" s="15" t="inlineStr">
        <is>
          <t xml:space="preserve">   [ ] I accept the residual risk associated with each exception</t>
        </is>
      </c>
    </row>
    <row r="36">
      <c r="A36" s="15" t="inlineStr">
        <is>
          <t xml:space="preserve">   [ ] Compensating controls are adequate and monitored</t>
        </is>
      </c>
    </row>
    <row r="37">
      <c r="A37" t="inlineStr"/>
    </row>
    <row r="38">
      <c r="A38" s="4" t="inlineStr">
        <is>
          <t>4. Risk Acceptance</t>
        </is>
      </c>
    </row>
    <row r="39">
      <c r="A39" s="15" t="inlineStr">
        <is>
          <t xml:space="preserve">   [ ] I accept the residual risk documented in this assessment</t>
        </is>
      </c>
    </row>
    <row r="40">
      <c r="A40" s="15" t="inlineStr">
        <is>
          <t xml:space="preserve">   [ ] Risk levels are within organizational risk appetite</t>
        </is>
      </c>
    </row>
    <row r="41">
      <c r="A41" s="15" t="inlineStr">
        <is>
          <t xml:space="preserve">   [ ] Additional risk treatment is not required at this time</t>
        </is>
      </c>
    </row>
    <row r="42">
      <c r="A42" t="inlineStr"/>
    </row>
    <row r="43">
      <c r="A43" s="4" t="inlineStr">
        <is>
          <t>5. Audit Readiness</t>
        </is>
      </c>
    </row>
    <row r="44">
      <c r="A44" s="15" t="inlineStr">
        <is>
          <t xml:space="preserve">   [ ] The organization is/is not ready for ISO 27001 audit of Controls A.8.33-34</t>
        </is>
      </c>
    </row>
    <row r="45">
      <c r="A45" s="15" t="inlineStr">
        <is>
          <t xml:space="preserve">   [ ] Evidence is complete and accessible</t>
        </is>
      </c>
    </row>
    <row r="46">
      <c r="A46" s="15" t="inlineStr">
        <is>
          <t xml:space="preserve">   [ ] Personnel are prepared for audit interviews</t>
        </is>
      </c>
    </row>
    <row r="48">
      <c r="A48" s="4" t="inlineStr">
        <is>
          <t>Certification Decision:</t>
        </is>
      </c>
      <c r="B48" s="6" t="inlineStr">
        <is>
          <t>[Dropdown]</t>
        </is>
      </c>
    </row>
    <row r="50">
      <c r="A50" s="4" t="inlineStr">
        <is>
          <t>Conditions (if applicable):</t>
        </is>
      </c>
    </row>
    <row r="51">
      <c r="A51" s="6" t="inlineStr">
        <is>
          <t>[Enter conditions here]</t>
        </is>
      </c>
    </row>
    <row r="52"/>
    <row r="53"/>
    <row r="55">
      <c r="A55" s="4" t="inlineStr">
        <is>
          <t>CISO Signature:</t>
        </is>
      </c>
      <c r="B55" s="6" t="inlineStr">
        <is>
          <t>_________________________________</t>
        </is>
      </c>
    </row>
    <row r="56">
      <c r="A56" s="4" t="inlineStr">
        <is>
          <t>Date:</t>
        </is>
      </c>
      <c r="B56" s="6" t="inlineStr">
        <is>
          <t>[DD.MM.YYYY]</t>
        </is>
      </c>
    </row>
    <row r="58">
      <c r="A58" s="4" t="inlineStr">
        <is>
          <t>Certification Valid Until:</t>
        </is>
      </c>
      <c r="B58" s="16" t="inlineStr">
        <is>
          <t>[Formula: Date + 90 days]</t>
        </is>
      </c>
    </row>
    <row r="59">
      <c r="A59" s="4" t="inlineStr">
        <is>
          <t>Next Certification Due:</t>
        </is>
      </c>
      <c r="B59" s="16" t="inlineStr">
        <is>
          <t>[Formula: Date + 90 days]</t>
        </is>
      </c>
    </row>
    <row r="62">
      <c r="A62" s="3" t="inlineStr">
        <is>
          <t>CERTIFICATION HISTORY</t>
        </is>
      </c>
    </row>
    <row r="63">
      <c r="A63" s="7" t="inlineStr">
        <is>
          <t>Certification_ID</t>
        </is>
      </c>
      <c r="B63" s="7" t="inlineStr">
        <is>
          <t>Date</t>
        </is>
      </c>
      <c r="C63" s="7" t="inlineStr">
        <is>
          <t>CISO</t>
        </is>
      </c>
      <c r="D63" s="7" t="inlineStr">
        <is>
          <t>Status</t>
        </is>
      </c>
      <c r="E63" s="7" t="inlineStr">
        <is>
          <t>Overall_Compliance</t>
        </is>
      </c>
      <c r="F63" s="7" t="inlineStr">
        <is>
          <t>Critical_Gaps</t>
        </is>
      </c>
      <c r="G63" s="7" t="inlineStr">
        <is>
          <t>Conditions</t>
        </is>
      </c>
      <c r="H63" s="7" t="inlineStr">
        <is>
          <t>Valid_Until</t>
        </is>
      </c>
    </row>
    <row r="64">
      <c r="A64" s="6" t="inlineStr">
        <is>
          <t>CERT-001</t>
        </is>
      </c>
      <c r="B64" s="6" t="n"/>
      <c r="C64" s="6" t="n"/>
      <c r="D64" s="6" t="n"/>
      <c r="E64" s="6" t="n"/>
      <c r="F64" s="6" t="n"/>
      <c r="G64" s="6" t="n"/>
      <c r="H64" s="6" t="n"/>
    </row>
    <row r="65">
      <c r="A65" s="6" t="inlineStr">
        <is>
          <t>CERT-002</t>
        </is>
      </c>
      <c r="B65" s="6" t="n"/>
      <c r="C65" s="6" t="n"/>
      <c r="D65" s="6" t="n"/>
      <c r="E65" s="6" t="n"/>
      <c r="F65" s="6" t="n"/>
      <c r="G65" s="6" t="n"/>
      <c r="H65" s="6" t="n"/>
    </row>
    <row r="66">
      <c r="A66" s="6" t="inlineStr">
        <is>
          <t>CERT-003</t>
        </is>
      </c>
      <c r="B66" s="6" t="n"/>
      <c r="C66" s="6" t="n"/>
      <c r="D66" s="6" t="n"/>
      <c r="E66" s="6" t="n"/>
      <c r="F66" s="6" t="n"/>
      <c r="G66" s="6" t="n"/>
      <c r="H66" s="6" t="n"/>
    </row>
    <row r="67">
      <c r="A67" s="6" t="inlineStr">
        <is>
          <t>CERT-004</t>
        </is>
      </c>
      <c r="B67" s="6" t="n"/>
      <c r="C67" s="6" t="n"/>
      <c r="D67" s="6" t="n"/>
      <c r="E67" s="6" t="n"/>
      <c r="F67" s="6" t="n"/>
      <c r="G67" s="6" t="n"/>
      <c r="H67" s="6" t="n"/>
    </row>
    <row r="68">
      <c r="A68" s="6" t="inlineStr">
        <is>
          <t>CERT-005</t>
        </is>
      </c>
      <c r="B68" s="6" t="n"/>
      <c r="C68" s="6" t="n"/>
      <c r="D68" s="6" t="n"/>
      <c r="E68" s="6" t="n"/>
      <c r="F68" s="6" t="n"/>
      <c r="G68" s="6" t="n"/>
      <c r="H68" s="6" t="n"/>
    </row>
    <row r="69">
      <c r="A69" s="6" t="inlineStr">
        <is>
          <t>CERT-006</t>
        </is>
      </c>
      <c r="B69" s="6" t="n"/>
      <c r="C69" s="6" t="n"/>
      <c r="D69" s="6" t="n"/>
      <c r="E69" s="6" t="n"/>
      <c r="F69" s="6" t="n"/>
      <c r="G69" s="6" t="n"/>
      <c r="H69" s="6" t="n"/>
    </row>
    <row r="70">
      <c r="A70" s="6" t="inlineStr">
        <is>
          <t>CERT-007</t>
        </is>
      </c>
      <c r="B70" s="6" t="n"/>
      <c r="C70" s="6" t="n"/>
      <c r="D70" s="6" t="n"/>
      <c r="E70" s="6" t="n"/>
      <c r="F70" s="6" t="n"/>
      <c r="G70" s="6" t="n"/>
      <c r="H70" s="6" t="n"/>
    </row>
    <row r="71">
      <c r="A71" s="6" t="inlineStr">
        <is>
          <t>CERT-008</t>
        </is>
      </c>
      <c r="B71" s="6" t="n"/>
      <c r="C71" s="6" t="n"/>
      <c r="D71" s="6" t="n"/>
      <c r="E71" s="6" t="n"/>
      <c r="F71" s="6" t="n"/>
      <c r="G71" s="6" t="n"/>
      <c r="H71" s="6" t="n"/>
    </row>
    <row r="72">
      <c r="A72" s="6" t="inlineStr">
        <is>
          <t>CERT-009</t>
        </is>
      </c>
      <c r="B72" s="6" t="n"/>
      <c r="C72" s="6" t="n"/>
      <c r="D72" s="6" t="n"/>
      <c r="E72" s="6" t="n"/>
      <c r="F72" s="6" t="n"/>
      <c r="G72" s="6" t="n"/>
      <c r="H72" s="6" t="n"/>
    </row>
    <row r="73">
      <c r="A73" s="6" t="inlineStr">
        <is>
          <t>CERT-010</t>
        </is>
      </c>
      <c r="B73" s="6" t="n"/>
      <c r="C73" s="6" t="n"/>
      <c r="D73" s="6" t="n"/>
      <c r="E73" s="6" t="n"/>
      <c r="F73" s="6" t="n"/>
      <c r="G73" s="6" t="n"/>
      <c r="H73" s="6" t="n"/>
    </row>
  </sheetData>
  <mergeCells count="3">
    <mergeCell ref="A1:D1"/>
    <mergeCell ref="A51:D53"/>
    <mergeCell ref="A21:D21"/>
  </mergeCells>
  <dataValidations count="1">
    <dataValidation sqref="B16 B48" showDropDown="0" showInputMessage="0" showErrorMessage="0" allowBlank="0" type="list">
      <formula1>"Certified,Certified with Conditions,Not Certified"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0" customWidth="1" min="3" max="3"/>
    <col width="30" customWidth="1" min="4" max="4"/>
  </cols>
  <sheetData>
    <row r="1">
      <c r="A1" s="13" t="inlineStr">
        <is>
          <t>DASHBOARD APPROVAL &amp; SIGN-OFF</t>
        </is>
      </c>
    </row>
    <row r="2">
      <c r="A2" t="inlineStr">
        <is>
          <t>Executive approval workflow for compliance dashboard</t>
        </is>
      </c>
    </row>
    <row r="4">
      <c r="A4" s="3" t="inlineStr">
        <is>
          <t>DASHBOARD SUMMARY</t>
        </is>
      </c>
    </row>
    <row r="6">
      <c r="A6" s="4" t="inlineStr">
        <is>
          <t>Document ID:</t>
        </is>
      </c>
      <c r="B6" s="5" t="inlineStr">
        <is>
          <t>ISMS-IMP-A.8.33-34.3</t>
        </is>
      </c>
    </row>
    <row r="7">
      <c r="A7" s="4" t="inlineStr">
        <is>
          <t>Report Type:</t>
        </is>
      </c>
      <c r="B7" s="5" t="inlineStr">
        <is>
          <t>Compliance Summary Dashboard</t>
        </is>
      </c>
    </row>
    <row r="8">
      <c r="A8" s="4" t="inlineStr">
        <is>
          <t>Reporting Period:</t>
        </is>
      </c>
      <c r="B8" s="6" t="inlineStr">
        <is>
          <t>[USER INPUT]</t>
        </is>
      </c>
    </row>
    <row r="9">
      <c r="A9" s="4" t="inlineStr">
        <is>
          <t>Overall Compliance:</t>
        </is>
      </c>
      <c r="B9" s="6" t="inlineStr">
        <is>
          <t>[Formula]</t>
        </is>
      </c>
    </row>
    <row r="10">
      <c r="A10" s="4" t="inlineStr">
        <is>
          <t>Test Data Compliance:</t>
        </is>
      </c>
      <c r="B10" s="6" t="inlineStr">
        <is>
          <t>[Formula]</t>
        </is>
      </c>
    </row>
    <row r="11">
      <c r="A11" s="4" t="inlineStr">
        <is>
          <t>Audit Activity Compliance:</t>
        </is>
      </c>
      <c r="B11" s="6" t="inlineStr">
        <is>
          <t>[Formula]</t>
        </is>
      </c>
    </row>
    <row r="12">
      <c r="A12" s="4" t="inlineStr">
        <is>
          <t>Critical Findings:</t>
        </is>
      </c>
      <c r="B12" s="6" t="inlineStr">
        <is>
          <t>[Formula]</t>
        </is>
      </c>
    </row>
    <row r="13">
      <c r="A13" s="4" t="inlineStr">
        <is>
          <t>Active Exceptions:</t>
        </is>
      </c>
      <c r="B13" s="6" t="inlineStr">
        <is>
          <t>[Formula]</t>
        </is>
      </c>
    </row>
    <row r="14">
      <c r="A14" s="4" t="inlineStr">
        <is>
          <t>Evidence Entries:</t>
        </is>
      </c>
      <c r="B14" s="6" t="inlineStr">
        <is>
          <t>[Formula]</t>
        </is>
      </c>
    </row>
    <row r="15">
      <c r="A15" s="4" t="inlineStr">
        <is>
          <t>Dashboard Status:</t>
        </is>
      </c>
      <c r="B15" s="6" t="inlineStr">
        <is>
          <t>[Dropdown]</t>
        </is>
      </c>
    </row>
    <row r="18">
      <c r="A18" s="3" t="inlineStr">
        <is>
          <t>PREPARED BY</t>
        </is>
      </c>
    </row>
    <row r="20">
      <c r="A20" s="4" t="inlineStr">
        <is>
          <t>Name:</t>
        </is>
      </c>
      <c r="B20" s="6" t="inlineStr">
        <is>
          <t>[USER INPUT]</t>
        </is>
      </c>
    </row>
    <row r="21">
      <c r="A21" s="4" t="inlineStr">
        <is>
          <t>Role/Title:</t>
        </is>
      </c>
      <c r="B21" s="6" t="inlineStr">
        <is>
          <t>[USER INPUT]</t>
        </is>
      </c>
    </row>
    <row r="22">
      <c r="A22" s="4" t="inlineStr">
        <is>
          <t>Department:</t>
        </is>
      </c>
      <c r="B22" s="6" t="inlineStr">
        <is>
          <t>[USER INPUT]</t>
        </is>
      </c>
    </row>
    <row r="23">
      <c r="A23" s="4" t="inlineStr">
        <is>
          <t>Email:</t>
        </is>
      </c>
      <c r="B23" s="6" t="inlineStr">
        <is>
          <t>[USER INPUT]</t>
        </is>
      </c>
    </row>
    <row r="24">
      <c r="A24" s="4" t="inlineStr">
        <is>
          <t>Date Prepared:</t>
        </is>
      </c>
      <c r="B24" s="6" t="inlineStr">
        <is>
          <t>[DD.MM.YYYY]</t>
        </is>
      </c>
    </row>
    <row r="25">
      <c r="A25" s="4" t="inlineStr">
        <is>
          <t>Signature:</t>
        </is>
      </c>
      <c r="B25" s="6" t="inlineStr">
        <is>
          <t>[USER INPUT]</t>
        </is>
      </c>
    </row>
    <row r="28">
      <c r="A28" s="3" t="inlineStr">
        <is>
          <t>REVIEWED BY</t>
        </is>
      </c>
    </row>
    <row r="30">
      <c r="A30" s="4" t="inlineStr">
        <is>
          <t>Name:</t>
        </is>
      </c>
      <c r="B30" s="6" t="inlineStr">
        <is>
          <t>[USER INPUT]</t>
        </is>
      </c>
    </row>
    <row r="31">
      <c r="A31" s="4" t="inlineStr">
        <is>
          <t>Role/Title:</t>
        </is>
      </c>
      <c r="B31" s="5" t="inlineStr">
        <is>
          <t>Security Manager / Compliance Officer</t>
        </is>
      </c>
    </row>
    <row r="32">
      <c r="A32" s="4" t="inlineStr">
        <is>
          <t>Review Date:</t>
        </is>
      </c>
      <c r="B32" s="6" t="inlineStr">
        <is>
          <t>[DD.MM.YYYY]</t>
        </is>
      </c>
    </row>
    <row r="33">
      <c r="A33" s="4" t="inlineStr">
        <is>
          <t>Review Notes:</t>
        </is>
      </c>
      <c r="B33" s="6" t="inlineStr">
        <is>
          <t>[Text area]</t>
        </is>
      </c>
    </row>
    <row r="34">
      <c r="A34" s="4" t="inlineStr">
        <is>
          <t>Data Accuracy:</t>
        </is>
      </c>
      <c r="B34" s="6" t="inlineStr">
        <is>
          <t>[Dropdown]</t>
        </is>
      </c>
    </row>
    <row r="35">
      <c r="A35" s="4" t="inlineStr">
        <is>
          <t>Recommendation:</t>
        </is>
      </c>
      <c r="B35" s="6" t="inlineStr">
        <is>
          <t>[Dropdown]</t>
        </is>
      </c>
    </row>
    <row r="36">
      <c r="A36" s="4" t="inlineStr">
        <is>
          <t>Conditions:</t>
        </is>
      </c>
      <c r="B36" s="6" t="inlineStr">
        <is>
          <t>[Text area]</t>
        </is>
      </c>
    </row>
    <row r="37">
      <c r="A37" s="4" t="inlineStr">
        <is>
          <t>Signature:</t>
        </is>
      </c>
      <c r="B37" s="6" t="inlineStr">
        <is>
          <t>[USER INPUT]</t>
        </is>
      </c>
    </row>
    <row r="40">
      <c r="A40" s="3" t="inlineStr">
        <is>
          <t>APPROVED BY - EXECUTIVE</t>
        </is>
      </c>
    </row>
    <row r="42">
      <c r="A42" s="4" t="inlineStr">
        <is>
          <t>Name:</t>
        </is>
      </c>
      <c r="B42" s="6" t="inlineStr">
        <is>
          <t>[USER INPUT]</t>
        </is>
      </c>
    </row>
    <row r="43">
      <c r="A43" s="4" t="inlineStr">
        <is>
          <t>Role/Title:</t>
        </is>
      </c>
      <c r="B43" s="5" t="inlineStr">
        <is>
          <t>CISO / CRO / CEO</t>
        </is>
      </c>
    </row>
    <row r="44">
      <c r="A44" s="4" t="inlineStr">
        <is>
          <t>Approval Date:</t>
        </is>
      </c>
      <c r="B44" s="6" t="inlineStr">
        <is>
          <t>[DD.MM.YYYY]</t>
        </is>
      </c>
    </row>
    <row r="45">
      <c r="A45" s="4" t="inlineStr">
        <is>
          <t>Approval Decision:</t>
        </is>
      </c>
      <c r="B45" s="6" t="inlineStr">
        <is>
          <t>[Dropdown]</t>
        </is>
      </c>
    </row>
    <row r="46">
      <c r="A46" s="4" t="inlineStr">
        <is>
          <t>Conditions/Notes:</t>
        </is>
      </c>
      <c r="B46" s="6" t="inlineStr">
        <is>
          <t>[Text area]</t>
        </is>
      </c>
    </row>
    <row r="47">
      <c r="A47" s="4" t="inlineStr">
        <is>
          <t>Signature:</t>
        </is>
      </c>
      <c r="B47" s="6" t="inlineStr">
        <is>
          <t>[USER INPUT]</t>
        </is>
      </c>
    </row>
    <row r="50">
      <c r="A50" s="3" t="inlineStr">
        <is>
          <t>NEXT REVIEW</t>
        </is>
      </c>
    </row>
    <row r="52">
      <c r="A52" s="4" t="inlineStr">
        <is>
          <t>Next Review Date:</t>
        </is>
      </c>
      <c r="B52" s="5" t="inlineStr">
        <is>
          <t>[Formula: Approval Date + 90 days]</t>
        </is>
      </c>
    </row>
    <row r="53">
      <c r="A53" s="4" t="inlineStr">
        <is>
          <t>Review Responsibility:</t>
        </is>
      </c>
      <c r="B53" s="6" t="inlineStr">
        <is>
          <t>[USER INPUT]</t>
        </is>
      </c>
    </row>
    <row r="54">
      <c r="A54" s="4" t="inlineStr">
        <is>
          <t>Focus Areas:</t>
        </is>
      </c>
      <c r="B54" s="6" t="inlineStr">
        <is>
          <t>[USER INPUT]</t>
        </is>
      </c>
    </row>
    <row r="55">
      <c r="A55" s="4" t="inlineStr">
        <is>
          <t>Distribution List:</t>
        </is>
      </c>
      <c r="B55" s="6" t="inlineStr">
        <is>
          <t>[USER INPUT]</t>
        </is>
      </c>
    </row>
  </sheetData>
  <mergeCells count="1">
    <mergeCell ref="A1:D1"/>
  </mergeCells>
  <dataValidations count="4">
    <dataValidation sqref="B15" showDropDown="0" showInputMessage="0" showErrorMessage="0" allowBlank="0" type="list">
      <formula1>"Final,Requires Action,Draft"</formula1>
    </dataValidation>
    <dataValidation sqref="B36" showDropDown="0" showInputMessage="0" showErrorMessage="0" allowBlank="0" type="list">
      <formula1>"Confirmed,Minor Issues,Major Issues"</formula1>
    </dataValidation>
    <dataValidation sqref="B37" showDropDown="0" showInputMessage="0" showErrorMessage="0" allowBlank="0" type="list">
      <formula1>"Approve,Approve with Conditions,Reject"</formula1>
    </dataValidation>
    <dataValidation sqref="B47" showDropDown="0" showInputMessage="0" showErrorMessage="0" allowBlank="0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2026-02-08T11:26:34Z</dcterms:created>
  <dcterms:modified xmlns:dcterms="http://purl.org/dc/terms/" xmlns:xsi="http://www.w3.org/2001/XMLSchema-instance" xsi:type="dcterms:W3CDTF">2026-02-08T11:26:34Z</dcterms:modified>
</cp:coreProperties>
</file>