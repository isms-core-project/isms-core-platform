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Audit Activity Register" sheetId="2" state="visible" r:id="rId2"/>
    <sheet xmlns:r="http://schemas.openxmlformats.org/officeDocument/2006/relationships" name="Audit Tool Authorisation" sheetId="3" state="visible" r:id="rId3"/>
    <sheet xmlns:r="http://schemas.openxmlformats.org/officeDocument/2006/relationships" name="Audit Access Tracking" sheetId="4" state="visible" r:id="rId4"/>
    <sheet xmlns:r="http://schemas.openxmlformats.org/officeDocument/2006/relationships" name="Disruption Mitigation Plans" sheetId="5" state="visible" r:id="rId5"/>
    <sheet xmlns:r="http://schemas.openxmlformats.org/officeDocument/2006/relationships" name="Audit Evidence Protection" sheetId="6" state="visible" r:id="rId6"/>
    <sheet xmlns:r="http://schemas.openxmlformats.org/officeDocument/2006/relationships" name="Evidence Register" sheetId="7" state="visible" r:id="rId7"/>
    <sheet xmlns:r="http://schemas.openxmlformats.org/officeDocument/2006/relationships" name="Summary Dashboard" sheetId="8" state="visible" r:id="rId8"/>
    <sheet xmlns:r="http://schemas.openxmlformats.org/officeDocument/2006/relationships" name="Approval Sign-Off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b val="1"/>
      <color rgb="00FFFFFF"/>
      <sz val="11"/>
    </font>
    <font>
      <b val="1"/>
      <sz val="12"/>
    </font>
    <font>
      <b val="1"/>
      <color rgb="00FFFFFF"/>
      <sz val="14"/>
    </font>
    <font>
      <i val="1"/>
    </font>
    <font>
      <b val="1"/>
      <color rgb="00FFFFFF"/>
      <sz val="10"/>
    </font>
    <font>
      <name val="Calibri"/>
      <i val="1"/>
      <color rgb="00003366"/>
      <sz val="10"/>
    </font>
    <font>
      <b val="1"/>
      <color rgb="00000000"/>
    </font>
    <font>
      <color rgb="00000000"/>
    </font>
    <font>
      <b val="1"/>
    </font>
  </fonts>
  <fills count="1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03366"/>
        <bgColor rgb="00003366"/>
      </patternFill>
    </fill>
    <fill>
      <patternFill patternType="solid">
        <fgColor rgb="00F2F2F2"/>
        <bgColor rgb="00F2F2F2"/>
      </patternFill>
    </fill>
    <fill>
      <patternFill patternType="solid">
        <fgColor rgb="00FFFFCC"/>
        <bgColor rgb="00FFFFCC"/>
      </patternFill>
    </fill>
    <fill>
      <patternFill patternType="solid">
        <fgColor rgb="00D9D9D9"/>
        <bgColor rgb="00D9D9D9"/>
      </patternFill>
    </fill>
    <fill>
      <patternFill patternType="solid">
        <fgColor rgb="00C00000"/>
        <bgColor rgb="00C00000"/>
      </patternFill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1" fillId="8" borderId="0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0" fillId="9" borderId="1" pivotButton="0" quotePrefix="0" xfId="0"/>
    <xf numFmtId="0" fontId="0" fillId="10" borderId="1" pivotButton="0" quotePrefix="0" xfId="0"/>
    <xf numFmtId="0" fontId="6" fillId="0" borderId="0" pivotButton="0" quotePrefix="0" xfId="0"/>
    <xf numFmtId="0" fontId="7" fillId="8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9" fillId="8" borderId="1" applyAlignment="1" pivotButton="0" quotePrefix="0" xfId="0">
      <alignment horizontal="center" vertical="center" wrapText="1"/>
    </xf>
    <xf numFmtId="0" fontId="7" fillId="8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10" fillId="0" borderId="0" applyAlignment="1" pivotButton="0" quotePrefix="0" xfId="0">
      <alignment horizontal="left" vertical="center"/>
    </xf>
    <xf numFmtId="0" fontId="5" fillId="8" borderId="0" pivotButton="0" quotePrefix="0" xfId="0"/>
    <xf numFmtId="0" fontId="11" fillId="11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/>
    </xf>
    <xf numFmtId="164" fontId="12" fillId="0" borderId="1" applyAlignment="1" pivotButton="0" quotePrefix="0" xfId="0">
      <alignment horizontal="center"/>
    </xf>
    <xf numFmtId="0" fontId="11" fillId="11" borderId="1" pivotButton="0" quotePrefix="0" xfId="0"/>
    <xf numFmtId="0" fontId="11" fillId="11" borderId="1" applyAlignment="1" pivotButton="0" quotePrefix="0" xfId="0">
      <alignment horizontal="center"/>
    </xf>
    <xf numFmtId="164" fontId="11" fillId="11" borderId="1" applyAlignment="1" pivotButton="0" quotePrefix="0" xfId="0">
      <alignment horizontal="center"/>
    </xf>
    <xf numFmtId="0" fontId="5" fillId="8" borderId="1" applyAlignment="1" pivotButton="0" quotePrefix="0" xfId="0">
      <alignment horizontal="left" vertical="center"/>
    </xf>
    <xf numFmtId="0" fontId="12" fillId="0" borderId="1" pivotButton="0" quotePrefix="0" xfId="0"/>
    <xf numFmtId="0" fontId="5" fillId="12" borderId="1" applyAlignment="1" pivotButton="0" quotePrefix="0" xfId="0">
      <alignment horizontal="left" vertical="center"/>
    </xf>
    <xf numFmtId="0" fontId="12" fillId="10" borderId="1" pivotButton="0" quotePrefix="0" xfId="0"/>
    <xf numFmtId="0" fontId="12" fillId="1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 vertical="center"/>
    </xf>
    <xf numFmtId="0" fontId="5" fillId="13" borderId="1" pivotButton="0" quotePrefix="0" xfId="0"/>
    <xf numFmtId="0" fontId="13" fillId="0" borderId="0" pivotButton="0" quotePrefix="0" xfId="0"/>
    <xf numFmtId="0" fontId="5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ISMS-IMP-A.8.33-34.2  -  Audit Activity Management Assessment
ISO/IEC 27001:2022 - Control A.8.33-34: Testing and Audit Protection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ISMS-IMP-A.8.33-34.2</t>
        </is>
      </c>
    </row>
    <row r="5">
      <c r="A5" s="3" t="inlineStr">
        <is>
          <t>Workbook Title</t>
        </is>
      </c>
      <c r="B5" t="inlineStr">
        <is>
          <t>Audit Activity Management Assessment</t>
        </is>
      </c>
    </row>
    <row r="6">
      <c r="A6" s="3" t="inlineStr">
        <is>
          <t>Control Reference</t>
        </is>
      </c>
      <c r="B6" t="inlineStr">
        <is>
          <t>ISO/IEC 27001:2022 - Control A.8.33-34: Testing and Audit Protection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Complete all assessment sheets in order, starting with Audit Activity Register.</t>
        </is>
      </c>
    </row>
    <row r="14">
      <c r="A14" t="inlineStr">
        <is>
          <t>2. For each item, evaluate current state against ISO 27001:2022 A.8.33/A.8.34 requirements.</t>
        </is>
      </c>
    </row>
    <row r="15">
      <c r="A15" t="inlineStr">
        <is>
          <t>3. Record all supporting evidence in the Evidence Register sheet.</t>
        </is>
      </c>
    </row>
    <row r="16">
      <c r="A16" t="inlineStr">
        <is>
          <t>4. Use the Summary Dashboard to track overall compliance status.</t>
        </is>
      </c>
    </row>
    <row r="17">
      <c r="A17" t="inlineStr">
        <is>
          <t>5. All user-input cells are highlighted in yellow.</t>
        </is>
      </c>
    </row>
    <row r="18">
      <c r="A18" t="inlineStr">
        <is>
          <t>6. Submit the completed workbook for review and approval via the Approval Sign-Off sheet.</t>
        </is>
      </c>
    </row>
    <row r="19">
      <c r="A19" t="inlineStr">
        <is>
          <t>7. Retain this workbook as part of the ISMS evidence library.</t>
        </is>
      </c>
    </row>
    <row r="21">
      <c r="A21" s="2" t="inlineStr">
        <is>
          <t>Status Legend</t>
        </is>
      </c>
    </row>
    <row r="22">
      <c r="A22" s="5" t="inlineStr">
        <is>
          <t>Symbol</t>
        </is>
      </c>
      <c r="B22" s="5" t="inlineStr">
        <is>
          <t>Status</t>
        </is>
      </c>
      <c r="C22" s="5" t="inlineStr">
        <is>
          <t>Description</t>
        </is>
      </c>
    </row>
    <row r="23">
      <c r="A23" s="6" t="inlineStr">
        <is>
          <t>✓</t>
        </is>
      </c>
      <c r="B23" s="7" t="inlineStr">
        <is>
          <t>Compliant / Complete</t>
        </is>
      </c>
      <c r="C23" s="8" t="inlineStr">
        <is>
          <t>Requirement fully met</t>
        </is>
      </c>
    </row>
    <row r="24">
      <c r="A24" s="6" t="inlineStr">
        <is>
          <t>⚠</t>
        </is>
      </c>
      <c r="B24" s="9" t="inlineStr">
        <is>
          <t>Partial / In Progress</t>
        </is>
      </c>
      <c r="C24" s="8" t="inlineStr">
        <is>
          <t>Partially met or in progress</t>
        </is>
      </c>
    </row>
    <row r="25">
      <c r="A25" s="6" t="inlineStr">
        <is>
          <t>✗</t>
        </is>
      </c>
      <c r="B25" s="10" t="inlineStr">
        <is>
          <t>Non-Compliant / Not Started</t>
        </is>
      </c>
      <c r="C25" s="8" t="inlineStr">
        <is>
          <t>Requirement not met</t>
        </is>
      </c>
    </row>
    <row r="26">
      <c r="A26" s="6" t="inlineStr">
        <is>
          <t>—</t>
        </is>
      </c>
      <c r="B26" s="8" t="inlineStr">
        <is>
          <t>Not Applicable</t>
        </is>
      </c>
      <c r="C26" s="8" t="inlineStr">
        <is>
          <t>Not applicable to this assessment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5" customWidth="1" min="3" max="3"/>
    <col width="50" customWidth="1" min="4" max="4"/>
    <col width="30" customWidth="1" min="5" max="5"/>
    <col width="25" customWidth="1" min="6" max="6"/>
    <col width="12" customWidth="1" min="7" max="7"/>
    <col width="12" customWidth="1" min="8" max="8"/>
    <col width="12" customWidth="1" min="9" max="9"/>
    <col width="12" customWidth="1" min="10" max="10"/>
    <col width="18" customWidth="1" min="11" max="11"/>
    <col width="18" customWidth="1" min="12" max="12"/>
    <col width="25" customWidth="1" min="13" max="13"/>
    <col width="12" customWidth="1" min="14" max="14"/>
    <col width="40" customWidth="1" min="15" max="15"/>
    <col width="30" customWidth="1" min="16" max="16"/>
    <col width="25" customWidth="1" min="17" max="17"/>
    <col width="12" customWidth="1" min="18" max="18"/>
    <col width="12" customWidth="1" min="19" max="19"/>
    <col width="35" customWidth="1" min="20" max="20"/>
    <col width="18" customWidth="1" min="21" max="21"/>
    <col width="40" customWidth="1" min="22" max="22"/>
  </cols>
  <sheetData>
    <row r="1" ht="35" customHeight="1">
      <c r="A1" s="11" t="inlineStr">
        <is>
          <t>AUDIT ACTIVITY REGISTER</t>
        </is>
      </c>
    </row>
    <row r="2">
      <c r="A2" t="inlineStr">
        <is>
          <t>Registry of all planned and completed audit activities</t>
        </is>
      </c>
    </row>
    <row r="4">
      <c r="A4" s="12" t="inlineStr">
        <is>
          <t>Audit ID</t>
        </is>
      </c>
      <c r="B4" s="12" t="inlineStr">
        <is>
          <t>Audit Name</t>
        </is>
      </c>
      <c r="C4" s="12" t="inlineStr">
        <is>
          <t>Audit Type</t>
        </is>
      </c>
      <c r="D4" s="12" t="inlineStr">
        <is>
          <t>Audit Scope</t>
        </is>
      </c>
      <c r="E4" s="12" t="inlineStr">
        <is>
          <t>Audit Firm Team</t>
        </is>
      </c>
      <c r="F4" s="12" t="inlineStr">
        <is>
          <t>Lead Auditor</t>
        </is>
      </c>
      <c r="G4" s="12" t="inlineStr">
        <is>
          <t>Planned Start</t>
        </is>
      </c>
      <c r="H4" s="12" t="inlineStr">
        <is>
          <t>Planned End</t>
        </is>
      </c>
      <c r="I4" s="12" t="inlineStr">
        <is>
          <t>Actual Start</t>
        </is>
      </c>
      <c r="J4" s="12" t="inlineStr">
        <is>
          <t>Actual End</t>
        </is>
      </c>
      <c r="K4" s="12" t="inlineStr">
        <is>
          <t>Audit Status</t>
        </is>
      </c>
      <c r="L4" s="12" t="inlineStr">
        <is>
          <t>Management Approval</t>
        </is>
      </c>
      <c r="M4" s="12" t="inlineStr">
        <is>
          <t>Approver</t>
        </is>
      </c>
      <c r="N4" s="12" t="inlineStr">
        <is>
          <t>Approval Date</t>
        </is>
      </c>
      <c r="O4" s="12" t="inlineStr">
        <is>
          <t>Systems in Scope</t>
        </is>
      </c>
      <c r="P4" s="12" t="inlineStr">
        <is>
          <t>Data Access Required</t>
        </is>
      </c>
      <c r="Q4" s="12" t="inlineStr">
        <is>
          <t>Testing Type</t>
        </is>
      </c>
      <c r="R4" s="12" t="inlineStr">
        <is>
          <t>Findings Count</t>
        </is>
      </c>
      <c r="S4" s="12" t="inlineStr">
        <is>
          <t>Critical Findings</t>
        </is>
      </c>
      <c r="T4" s="12" t="inlineStr">
        <is>
          <t>Report Location</t>
        </is>
      </c>
      <c r="U4" s="12" t="inlineStr">
        <is>
          <t>Follow up Status</t>
        </is>
      </c>
      <c r="V4" s="12" t="inlineStr">
        <is>
          <t>Notes</t>
        </is>
      </c>
    </row>
    <row r="6">
      <c r="A6" s="13" t="inlineStr">
        <is>
          <t>AUD-001</t>
        </is>
      </c>
      <c r="B6" s="13" t="inlineStr">
        <is>
          <t>Annual Financial Audit 2026</t>
        </is>
      </c>
      <c r="C6" s="13" t="inlineStr">
        <is>
          <t>External-Financial</t>
        </is>
      </c>
      <c r="D6" s="13" t="inlineStr">
        <is>
          <t>Financial systems and controls</t>
        </is>
      </c>
      <c r="E6" s="13" t="inlineStr">
        <is>
          <t>KPMG Audit Team</t>
        </is>
      </c>
      <c r="F6" s="13" t="inlineStr">
        <is>
          <t>John Smith</t>
        </is>
      </c>
      <c r="G6" s="13" t="inlineStr">
        <is>
          <t>01.03.2026</t>
        </is>
      </c>
      <c r="H6" s="13" t="inlineStr">
        <is>
          <t>15.03.2026</t>
        </is>
      </c>
      <c r="I6" s="13" t="inlineStr">
        <is>
          <t>01.03.2026</t>
        </is>
      </c>
      <c r="J6" s="13" t="inlineStr"/>
      <c r="K6" s="13" t="inlineStr">
        <is>
          <t>In Progress</t>
        </is>
      </c>
      <c r="L6" s="13" t="inlineStr">
        <is>
          <t>Approved</t>
        </is>
      </c>
      <c r="M6" s="13" t="inlineStr">
        <is>
          <t>CFO</t>
        </is>
      </c>
      <c r="N6" s="13" t="inlineStr">
        <is>
          <t>15.02.2026</t>
        </is>
      </c>
      <c r="O6" s="13" t="inlineStr">
        <is>
          <t>SAP, Oracle Financials</t>
        </is>
      </c>
      <c r="P6" s="13" t="inlineStr">
        <is>
          <t>Financial data (read-only)</t>
        </is>
      </c>
      <c r="Q6" s="13" t="inlineStr">
        <is>
          <t>Read-Only</t>
        </is>
      </c>
      <c r="R6" s="13" t="inlineStr">
        <is>
          <t>0</t>
        </is>
      </c>
      <c r="S6" s="13" t="inlineStr">
        <is>
          <t>0</t>
        </is>
      </c>
      <c r="T6" s="13" t="inlineStr">
        <is>
          <t>/audits/2026/financial</t>
        </is>
      </c>
      <c r="U6" s="13" t="inlineStr">
        <is>
          <t>Open</t>
        </is>
      </c>
      <c r="V6" s="13" t="inlineStr">
        <is>
          <t>Scheduled for March 2026</t>
        </is>
      </c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</row>
    <row r="8">
      <c r="A8" s="14" t="n"/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</row>
    <row r="9">
      <c r="A9" s="14" t="n"/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</row>
    <row r="10">
      <c r="A10" s="14" t="n"/>
      <c r="B10" s="14" t="n"/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</row>
    <row r="12">
      <c r="A12" s="14" t="n"/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</row>
    <row r="13">
      <c r="A13" s="14" t="n"/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</row>
    <row r="14">
      <c r="A14" s="14" t="n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</row>
    <row r="15">
      <c r="A15" s="14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</row>
    <row r="16">
      <c r="A16" s="14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</row>
    <row r="17">
      <c r="A17" s="14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</row>
    <row r="18">
      <c r="A18" s="14" t="n"/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</row>
    <row r="19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</row>
    <row r="20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</row>
    <row r="2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</row>
    <row r="22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</row>
    <row r="23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</row>
    <row r="24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</row>
    <row r="25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</row>
    <row r="26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</row>
    <row r="27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</row>
    <row r="28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</row>
    <row r="29">
      <c r="A29" s="14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</row>
    <row r="30">
      <c r="A30" s="14" t="n"/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</row>
    <row r="31">
      <c r="A31" s="14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</row>
    <row r="32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</row>
    <row r="33">
      <c r="A33" s="14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</row>
    <row r="34">
      <c r="A34" s="14" t="n"/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</row>
    <row r="35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</row>
    <row r="36">
      <c r="A36" s="14" t="n"/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</row>
    <row r="37">
      <c r="A37" s="14" t="n"/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</row>
    <row r="38">
      <c r="A38" s="14" t="n"/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</row>
    <row r="39">
      <c r="A39" s="14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</row>
    <row r="40">
      <c r="A40" s="14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</row>
    <row r="41">
      <c r="A41" s="14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</row>
    <row r="42">
      <c r="A42" s="14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</row>
    <row r="43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</row>
    <row r="44">
      <c r="A44" s="14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</row>
    <row r="45">
      <c r="A45" s="14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</row>
    <row r="46">
      <c r="A46" s="14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</row>
    <row r="47">
      <c r="A47" s="14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</row>
    <row r="48">
      <c r="A48" s="14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</row>
    <row r="49">
      <c r="A49" s="14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</row>
    <row r="50">
      <c r="A50" s="14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</row>
    <row r="51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</row>
    <row r="52">
      <c r="A52" s="14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</row>
    <row r="53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</row>
    <row r="54">
      <c r="A54" s="14" t="n"/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</row>
    <row r="55">
      <c r="A55" s="14" t="n"/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</row>
    <row r="56">
      <c r="A56" s="14" t="n"/>
      <c r="B56" s="14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</row>
    <row r="57">
      <c r="A57" s="15" t="inlineStr">
        <is>
          <t>AUDIT STATISTICS</t>
        </is>
      </c>
    </row>
    <row r="59">
      <c r="A59" s="6" t="inlineStr">
        <is>
          <t>Total Audits</t>
        </is>
      </c>
      <c r="B59" s="6">
        <f>COUNTA(B7:B56)</f>
        <v/>
      </c>
    </row>
    <row r="60">
      <c r="A60" s="6" t="inlineStr">
        <is>
          <t>Planned Audits</t>
        </is>
      </c>
      <c r="B60" s="6">
        <f>COUNTIF(K7:K56,"Planned")</f>
        <v/>
      </c>
    </row>
    <row r="61">
      <c r="A61" s="6" t="inlineStr">
        <is>
          <t>In Progress</t>
        </is>
      </c>
      <c r="B61" s="6">
        <f>COUNTIF(K7:K56,"In Progress")</f>
        <v/>
      </c>
    </row>
    <row r="62">
      <c r="A62" s="6" t="inlineStr">
        <is>
          <t>Completed</t>
        </is>
      </c>
      <c r="B62" s="6">
        <f>COUNTIF(K7:K56,"Completed")</f>
        <v/>
      </c>
    </row>
    <row r="63">
      <c r="A63" s="6" t="inlineStr">
        <is>
          <t>Approved Audits</t>
        </is>
      </c>
      <c r="B63" s="6">
        <f>COUNTIF(L7:L56,"Approved")</f>
        <v/>
      </c>
    </row>
    <row r="64">
      <c r="A64" s="6" t="inlineStr">
        <is>
          <t>Pending Approval</t>
        </is>
      </c>
      <c r="B64" s="6">
        <f>COUNTIF(L7:L56,"Pending")</f>
        <v/>
      </c>
    </row>
    <row r="65">
      <c r="A65" s="6" t="inlineStr">
        <is>
          <t>Internal Audits</t>
        </is>
      </c>
      <c r="B65" s="6">
        <f>COUNTIF(C7:C56,"Internal")</f>
        <v/>
      </c>
    </row>
    <row r="66">
      <c r="A66" s="6" t="inlineStr">
        <is>
          <t>Penetration Tests</t>
        </is>
      </c>
      <c r="B66" s="6">
        <f>COUNTIF(C7:C56,"Penetration Test")</f>
        <v/>
      </c>
    </row>
    <row r="67">
      <c r="A67" s="6" t="inlineStr">
        <is>
          <t>Total Findings</t>
        </is>
      </c>
      <c r="B67" s="6">
        <f>SUM(R7:R56)</f>
        <v/>
      </c>
    </row>
    <row r="68">
      <c r="A68" s="6" t="inlineStr">
        <is>
          <t>Total Critical Findings</t>
        </is>
      </c>
      <c r="B68" s="6">
        <f>SUM(S7:S56)</f>
        <v/>
      </c>
    </row>
    <row r="69">
      <c r="A69" s="6" t="inlineStr">
        <is>
          <t>Open Follow-ups</t>
        </is>
      </c>
      <c r="B69" s="6">
        <f>COUNTIF(U7:U56,"Open")</f>
        <v/>
      </c>
    </row>
  </sheetData>
  <mergeCells count="1">
    <mergeCell ref="A1:V1"/>
  </mergeCells>
  <dataValidations count="5">
    <dataValidation sqref="C6:C56" showDropDown="0" showInputMessage="0" showErrorMessage="0" allowBlank="0" type="list">
      <formula1>"Internal,External-Financial,External-SOC2,Penetration Test,Vulnerability Assessment,Red Team,Regulatory,Compliance"</formula1>
    </dataValidation>
    <dataValidation sqref="K6:K56" showDropDown="0" showInputMessage="0" showErrorMessage="0" allowBlank="0" type="list">
      <formula1>"Planned,In Progress,Completed,Cancelled,On Hold"</formula1>
    </dataValidation>
    <dataValidation sqref="L6:L56" showDropDown="0" showInputMessage="0" showErrorMessage="0" allowBlank="0" type="list">
      <formula1>"Approved,Pending,Not Required,N/A"</formula1>
    </dataValidation>
    <dataValidation sqref="Q6:Q56" showDropDown="0" showInputMessage="0" showErrorMessage="0" allowBlank="0" type="list">
      <formula1>"Non-Invasive,Read-Only,Active Testing,Exploitation"</formula1>
    </dataValidation>
    <dataValidation sqref="U6:U56" showDropDown="0" showInputMessage="0" showErrorMessage="0" allowBlank="0" type="list">
      <formula1>"Open,In Progress,Closed"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5" customWidth="1" min="3" max="3"/>
    <col width="25" customWidth="1" min="4" max="4"/>
    <col width="25" customWidth="1" min="5" max="5"/>
    <col width="25" customWidth="1" min="6" max="6"/>
    <col width="18" customWidth="1" min="7" max="7"/>
    <col width="12" customWidth="1" min="8" max="8"/>
    <col width="25" customWidth="1" min="9" max="9"/>
    <col width="15" customWidth="1" min="10" max="10"/>
    <col width="50" customWidth="1" min="11" max="11"/>
    <col width="40" customWidth="1" min="12" max="12"/>
    <col width="30" customWidth="1" min="13" max="13"/>
    <col width="35" customWidth="1" min="14" max="14"/>
    <col width="30" customWidth="1" min="15" max="15"/>
    <col width="12" customWidth="1" min="16" max="16"/>
    <col width="12" customWidth="1" min="17" max="17"/>
    <col width="12" customWidth="1" min="18" max="18"/>
    <col width="18" customWidth="1" min="19" max="19"/>
    <col width="12" customWidth="1" min="20" max="20"/>
    <col width="20" customWidth="1" min="21" max="21"/>
  </cols>
  <sheetData>
    <row r="1" ht="35" customHeight="1">
      <c r="A1" s="11" t="inlineStr">
        <is>
          <t>AUDIT TOOL AUTHORISATION</t>
        </is>
      </c>
    </row>
    <row r="2">
      <c r="A2" t="inlineStr">
        <is>
          <t>Registry of authorised audit and testing tools</t>
        </is>
      </c>
    </row>
    <row r="4">
      <c r="A4" s="12" t="inlineStr">
        <is>
          <t>Tool ID</t>
        </is>
      </c>
      <c r="B4" s="12" t="inlineStr">
        <is>
          <t>Tool Name</t>
        </is>
      </c>
      <c r="C4" s="12" t="inlineStr">
        <is>
          <t>Tool Version</t>
        </is>
      </c>
      <c r="D4" s="12" t="inlineStr">
        <is>
          <t>Tool Category</t>
        </is>
      </c>
      <c r="E4" s="12" t="inlineStr">
        <is>
          <t>Vendor Source</t>
        </is>
      </c>
      <c r="F4" s="12" t="inlineStr">
        <is>
          <t>Tool Owner</t>
        </is>
      </c>
      <c r="G4" s="12" t="inlineStr">
        <is>
          <t>Authorisation Status</t>
        </is>
      </c>
      <c r="H4" s="12" t="inlineStr">
        <is>
          <t>Authorisation Date</t>
        </is>
      </c>
      <c r="I4" s="12" t="inlineStr">
        <is>
          <t>Authorised By</t>
        </is>
      </c>
      <c r="J4" s="12" t="inlineStr">
        <is>
          <t>Risk Level</t>
        </is>
      </c>
      <c r="K4" s="12" t="inlineStr">
        <is>
          <t>Authorised Use Cases</t>
        </is>
      </c>
      <c r="L4" s="12" t="inlineStr">
        <is>
          <t>Restrictions</t>
        </is>
      </c>
      <c r="M4" s="12" t="inlineStr">
        <is>
          <t>Required Approvals</t>
        </is>
      </c>
      <c r="N4" s="12" t="inlineStr">
        <is>
          <t>Storage Location</t>
        </is>
      </c>
      <c r="O4" s="12" t="inlineStr">
        <is>
          <t>Access Restricted To</t>
        </is>
      </c>
      <c r="P4" s="12" t="inlineStr">
        <is>
          <t>Last Security Review</t>
        </is>
      </c>
      <c r="Q4" s="12" t="inlineStr">
        <is>
          <t>Next Review Due</t>
        </is>
      </c>
      <c r="R4" s="12" t="inlineStr">
        <is>
          <t>Usage Logging Required</t>
        </is>
      </c>
      <c r="S4" s="12" t="inlineStr">
        <is>
          <t>License Status</t>
        </is>
      </c>
      <c r="T4" s="12" t="inlineStr">
        <is>
          <t>License Expiry</t>
        </is>
      </c>
      <c r="U4" s="12" t="inlineStr">
        <is>
          <t>Evidence Reference</t>
        </is>
      </c>
    </row>
    <row r="6">
      <c r="A6" s="13" t="inlineStr">
        <is>
          <t>TOOL-001</t>
        </is>
      </c>
      <c r="B6" s="13" t="inlineStr">
        <is>
          <t>Nmap</t>
        </is>
      </c>
      <c r="C6" s="13" t="inlineStr">
        <is>
          <t>Network Scanner</t>
        </is>
      </c>
      <c r="D6" s="13" t="inlineStr">
        <is>
          <t>Insecure</t>
        </is>
      </c>
      <c r="E6" s="13" t="inlineStr">
        <is>
          <t>Host discovery and port scanning</t>
        </is>
      </c>
      <c r="F6" s="13" t="inlineStr">
        <is>
          <t>Nmap Development Team</t>
        </is>
      </c>
      <c r="G6" s="13" t="inlineStr">
        <is>
          <t>Authorised</t>
        </is>
      </c>
      <c r="H6" s="13" t="inlineStr">
        <is>
          <t>Security Team</t>
        </is>
      </c>
      <c r="I6" s="13" t="inlineStr">
        <is>
          <t>01.01.2026</t>
        </is>
      </c>
      <c r="J6" s="13" t="inlineStr">
        <is>
          <t>Medium</t>
        </is>
      </c>
      <c r="K6" s="13" t="inlineStr">
        <is>
          <t>Accidental network disruption</t>
        </is>
      </c>
      <c r="L6" s="13" t="inlineStr">
        <is>
          <t>Scan only approved test networks</t>
        </is>
      </c>
      <c r="M6" s="13" t="inlineStr">
        <is>
          <t>Controlled deployment</t>
        </is>
      </c>
      <c r="N6" s="13" t="inlineStr">
        <is>
          <t>Yes</t>
        </is>
      </c>
      <c r="O6" s="13" t="inlineStr">
        <is>
          <t>Audit Team Leader</t>
        </is>
      </c>
      <c r="P6" s="13" t="inlineStr">
        <is>
          <t>Penetration Test</t>
        </is>
      </c>
      <c r="Q6" s="13" t="inlineStr">
        <is>
          <t>PEN-2026-001</t>
        </is>
      </c>
      <c r="R6" s="13" t="inlineStr">
        <is>
          <t>Yes</t>
        </is>
      </c>
      <c r="S6" s="13" t="inlineStr">
        <is>
          <t>Open Source</t>
        </is>
      </c>
      <c r="T6" s="13" t="inlineStr">
        <is>
          <t>N/A</t>
        </is>
      </c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</row>
    <row r="8">
      <c r="A8" s="14" t="n"/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</row>
    <row r="9">
      <c r="A9" s="14" t="n"/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</row>
    <row r="10">
      <c r="A10" s="14" t="n"/>
      <c r="B10" s="14" t="n"/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</row>
    <row r="12">
      <c r="A12" s="14" t="n"/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</row>
    <row r="13">
      <c r="A13" s="14" t="n"/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</row>
    <row r="14">
      <c r="A14" s="14" t="n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</row>
    <row r="15">
      <c r="A15" s="14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</row>
    <row r="16">
      <c r="A16" s="14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</row>
    <row r="17">
      <c r="A17" s="14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</row>
    <row r="18">
      <c r="A18" s="14" t="n"/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</row>
    <row r="19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</row>
    <row r="20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</row>
    <row r="2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</row>
    <row r="22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</row>
    <row r="23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</row>
    <row r="24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</row>
    <row r="25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</row>
    <row r="26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</row>
    <row r="27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</row>
    <row r="28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</row>
    <row r="29">
      <c r="A29" s="14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</row>
    <row r="30">
      <c r="A30" s="14" t="n"/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</row>
    <row r="31">
      <c r="A31" s="14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</row>
    <row r="32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</row>
    <row r="33">
      <c r="A33" s="14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</row>
    <row r="34">
      <c r="A34" s="14" t="n"/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</row>
    <row r="35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</row>
    <row r="36">
      <c r="A36" s="14" t="n"/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</row>
    <row r="37">
      <c r="A37" s="14" t="n"/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</row>
    <row r="38">
      <c r="A38" s="14" t="n"/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</row>
    <row r="39">
      <c r="A39" s="14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</row>
    <row r="40">
      <c r="A40" s="14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</row>
    <row r="41">
      <c r="A41" s="14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</row>
    <row r="42">
      <c r="A42" s="14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</row>
    <row r="43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</row>
    <row r="44">
      <c r="A44" s="14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</row>
    <row r="45">
      <c r="A45" s="14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</row>
    <row r="46">
      <c r="A46" s="14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</row>
    <row r="47">
      <c r="A47" s="14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</row>
    <row r="48">
      <c r="A48" s="14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</row>
    <row r="49">
      <c r="A49" s="14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</row>
    <row r="50">
      <c r="A50" s="14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</row>
    <row r="51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</row>
    <row r="52">
      <c r="A52" s="14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</row>
    <row r="53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</row>
    <row r="54">
      <c r="A54" s="14" t="n"/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</row>
    <row r="55">
      <c r="A55" s="14" t="n"/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</row>
    <row r="56">
      <c r="A56" s="14" t="n"/>
      <c r="B56" s="14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</row>
    <row r="57">
      <c r="A57" s="15" t="inlineStr">
        <is>
          <t>TOOL RISK SUMMARY</t>
        </is>
      </c>
    </row>
    <row r="59">
      <c r="A59" s="6" t="inlineStr">
        <is>
          <t>Total Tools</t>
        </is>
      </c>
      <c r="B59" s="6">
        <f>COUNTA(B6:B56)</f>
        <v/>
      </c>
    </row>
    <row r="60">
      <c r="A60" s="6" t="inlineStr">
        <is>
          <t>Authorised Tools</t>
        </is>
      </c>
      <c r="B60" s="6">
        <f>COUNTIF(G6:G56,"Authorised")</f>
        <v/>
      </c>
    </row>
    <row r="61">
      <c r="A61" s="6" t="inlineStr">
        <is>
          <t>Pending Authorisation</t>
        </is>
      </c>
      <c r="B61" s="6">
        <f>COUNTIF(G6:G56,"Pending")</f>
        <v/>
      </c>
    </row>
    <row r="62">
      <c r="A62" s="6" t="inlineStr">
        <is>
          <t>Unauthorised Tools</t>
        </is>
      </c>
      <c r="B62" s="6">
        <f>COUNTIF(G6:G56,"Unauthorised")</f>
        <v/>
      </c>
    </row>
    <row r="63">
      <c r="A63" s="6" t="inlineStr">
        <is>
          <t>Prohibited Tools</t>
        </is>
      </c>
      <c r="B63" s="6">
        <f>COUNTIF(G6:G56,"Prohibited")</f>
        <v/>
      </c>
    </row>
    <row r="64">
      <c r="A64" s="6" t="inlineStr">
        <is>
          <t>High Risk Tools</t>
        </is>
      </c>
      <c r="B64" s="6">
        <f>COUNTIF(J6:J56,"High")</f>
        <v/>
      </c>
    </row>
    <row r="65">
      <c r="A65" s="6" t="inlineStr">
        <is>
          <t>Medium Risk Tools</t>
        </is>
      </c>
      <c r="B65" s="6">
        <f>COUNTIF(J6:J56,"Medium")</f>
        <v/>
      </c>
    </row>
    <row r="66">
      <c r="A66" s="6" t="inlineStr">
        <is>
          <t>Low Risk Tools</t>
        </is>
      </c>
      <c r="B66" s="6">
        <f>COUNTIF(J6:J56,"Low")</f>
        <v/>
      </c>
    </row>
    <row r="67">
      <c r="A67" s="6" t="inlineStr">
        <is>
          <t>Expired Licenses</t>
        </is>
      </c>
      <c r="B67" s="6">
        <f>COUNTIF(S6:S56,"Expired")</f>
        <v/>
      </c>
    </row>
  </sheetData>
  <mergeCells count="1">
    <mergeCell ref="A1:U1"/>
  </mergeCells>
  <dataValidations count="5">
    <dataValidation sqref="D6:D56" showDropDown="0" showInputMessage="0" showErrorMessage="0" allowBlank="0" type="list">
      <formula1>"Vulnerability Scanner,Penetration Tool,Network Analyser,Web App Scanner,Forensic Tool,Credential Tester,Exploitation Framework,Other"</formula1>
    </dataValidation>
    <dataValidation sqref="G6:G56" showDropDown="0" showInputMessage="0" showErrorMessage="0" allowBlank="0" type="list">
      <formula1>"Authorised,Pending,Unauthorised,Prohibited,N/A"</formula1>
    </dataValidation>
    <dataValidation sqref="J6:J56" showDropDown="0" showInputMessage="0" showErrorMessage="0" allowBlank="0" type="list">
      <formula1>"High,Medium,Low"</formula1>
    </dataValidation>
    <dataValidation sqref="R6:R56" showDropDown="0" showInputMessage="0" showErrorMessage="0" allowBlank="0" type="list">
      <formula1>"Yes,No"</formula1>
    </dataValidation>
    <dataValidation sqref="S6:S56" showDropDown="0" showInputMessage="0" showErrorMessage="0" allowBlank="0" type="list">
      <formula1>"Valid,Expired,N/A"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0" customWidth="1" min="4" max="4"/>
    <col width="20" customWidth="1" min="5" max="5"/>
    <col width="40" customWidth="1" min="6" max="6"/>
    <col width="18" customWidth="1" min="7" max="7"/>
    <col width="12" customWidth="1" min="8" max="8"/>
    <col width="12" customWidth="1" min="9" max="9"/>
    <col width="12" customWidth="1" min="10" max="10"/>
    <col width="12" customWidth="1" min="11" max="11"/>
    <col width="18" customWidth="1" min="12" max="12"/>
    <col width="18" customWidth="1" min="13" max="13"/>
    <col width="25" customWidth="1" min="14" max="14"/>
    <col width="12" customWidth="1" min="15" max="15"/>
    <col width="12" customWidth="1" min="16" max="16"/>
    <col width="12" customWidth="1" min="17" max="17"/>
    <col width="25" customWidth="1" min="18" max="18"/>
    <col width="12" customWidth="1" min="19" max="19"/>
    <col width="25" customWidth="1" min="20" max="20"/>
    <col width="12" customWidth="1" min="21" max="21"/>
    <col width="20" customWidth="1" min="22" max="22"/>
    <col width="40" customWidth="1" min="23" max="23"/>
    <col width="25" customWidth="1" min="24" max="24"/>
  </cols>
  <sheetData>
    <row r="1" ht="35" customHeight="1">
      <c r="A1" s="11" t="inlineStr">
        <is>
          <t>AUDIT ACCESS TRACKING</t>
        </is>
      </c>
    </row>
    <row r="2">
      <c r="A2" t="inlineStr">
        <is>
          <t>Registry of auditor access to systems and data</t>
        </is>
      </c>
    </row>
    <row r="4">
      <c r="A4" s="12" t="inlineStr">
        <is>
          <t>Access ID</t>
        </is>
      </c>
      <c r="B4" s="12" t="inlineStr">
        <is>
          <t>Auditor Name</t>
        </is>
      </c>
      <c r="C4" s="12" t="inlineStr">
        <is>
          <t>Auditor Organisation</t>
        </is>
      </c>
      <c r="D4" s="12" t="inlineStr">
        <is>
          <t>Associated Audit</t>
        </is>
      </c>
      <c r="E4" s="12" t="inlineStr">
        <is>
          <t>Access Type</t>
        </is>
      </c>
      <c r="F4" s="12" t="inlineStr">
        <is>
          <t>Systems Accessed</t>
        </is>
      </c>
      <c r="G4" s="12" t="inlineStr">
        <is>
          <t>Data Classification Accessed</t>
        </is>
      </c>
      <c r="H4" s="12" t="inlineStr">
        <is>
          <t>Access Requested Date</t>
        </is>
      </c>
      <c r="I4" s="12" t="inlineStr">
        <is>
          <t>Access Start Date</t>
        </is>
      </c>
      <c r="J4" s="12" t="inlineStr">
        <is>
          <t>Access End Date</t>
        </is>
      </c>
      <c r="K4" s="12" t="inlineStr">
        <is>
          <t>Actual Revocation Date</t>
        </is>
      </c>
      <c r="L4" s="12" t="inlineStr">
        <is>
          <t>Access Status</t>
        </is>
      </c>
      <c r="M4" s="12" t="inlineStr">
        <is>
          <t>Approval Status</t>
        </is>
      </c>
      <c r="N4" s="12" t="inlineStr">
        <is>
          <t>Approver</t>
        </is>
      </c>
      <c r="O4" s="12" t="inlineStr">
        <is>
          <t>Approval Date</t>
        </is>
      </c>
      <c r="P4" s="12" t="inlineStr">
        <is>
          <t>Access Logging Enabled</t>
        </is>
      </c>
      <c r="Q4" s="12" t="inlineStr">
        <is>
          <t>NDA Signed</t>
        </is>
      </c>
      <c r="R4" s="12" t="inlineStr">
        <is>
          <t>NDA Reference</t>
        </is>
      </c>
      <c r="S4" s="12" t="inlineStr">
        <is>
          <t>Supervision Required</t>
        </is>
      </c>
      <c r="T4" s="12" t="inlineStr">
        <is>
          <t>Supervisor</t>
        </is>
      </c>
      <c r="U4" s="12" t="inlineStr">
        <is>
          <t>Multi Factor Auth Required</t>
        </is>
      </c>
      <c r="V4" s="12" t="inlineStr">
        <is>
          <t>Revocation Confirmation</t>
        </is>
      </c>
      <c r="W4" s="12" t="inlineStr">
        <is>
          <t>Notes</t>
        </is>
      </c>
      <c r="X4" s="12" t="inlineStr">
        <is>
          <t>Device Security Verified</t>
        </is>
      </c>
    </row>
    <row r="6">
      <c r="A6" s="13" t="inlineStr">
        <is>
          <t>ACC-001</t>
        </is>
      </c>
      <c r="B6" s="13" t="inlineStr">
        <is>
          <t>Jane Auditor</t>
        </is>
      </c>
      <c r="C6" s="13" t="inlineStr">
        <is>
          <t>External Audit Firm</t>
        </is>
      </c>
      <c r="D6" s="13" t="inlineStr">
        <is>
          <t>AUD-001</t>
        </is>
      </c>
      <c r="E6" s="13" t="inlineStr">
        <is>
          <t>Read-Only</t>
        </is>
      </c>
      <c r="F6" s="13" t="inlineStr">
        <is>
          <t>Financial Systems</t>
        </is>
      </c>
      <c r="G6" s="13" t="inlineStr">
        <is>
          <t>Confidential</t>
        </is>
      </c>
      <c r="H6" s="13" t="inlineStr">
        <is>
          <t>01.03.2026</t>
        </is>
      </c>
      <c r="I6" s="13" t="inlineStr">
        <is>
          <t>01.03.2026</t>
        </is>
      </c>
      <c r="J6" s="13" t="inlineStr">
        <is>
          <t>15.03.2026</t>
        </is>
      </c>
      <c r="K6" s="13" t="inlineStr"/>
      <c r="L6" s="13" t="inlineStr">
        <is>
          <t>Active</t>
        </is>
      </c>
      <c r="M6" s="13" t="inlineStr">
        <is>
          <t>Approved</t>
        </is>
      </c>
      <c r="N6" s="13" t="inlineStr">
        <is>
          <t>IT Security Manager</t>
        </is>
      </c>
      <c r="O6" s="13" t="inlineStr">
        <is>
          <t>28.02.2026</t>
        </is>
      </c>
      <c r="P6" s="13" t="inlineStr">
        <is>
          <t>Yes</t>
        </is>
      </c>
      <c r="Q6" s="13" t="inlineStr">
        <is>
          <t>Yes</t>
        </is>
      </c>
      <c r="R6" s="13" t="inlineStr">
        <is>
          <t>NDA-2026-001</t>
        </is>
      </c>
      <c r="S6" s="13" t="inlineStr">
        <is>
          <t>No</t>
        </is>
      </c>
      <c r="T6" s="13" t="inlineStr"/>
      <c r="U6" s="13" t="inlineStr">
        <is>
          <t>Yes</t>
        </is>
      </c>
      <c r="V6" s="13" t="inlineStr"/>
      <c r="W6" s="13" t="inlineStr">
        <is>
          <t>Access granted for financial audit</t>
        </is>
      </c>
      <c r="X6" s="13" t="inlineStr">
        <is>
          <t>Yes — MDM enrolled, patched, AV active</t>
        </is>
      </c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</row>
    <row r="8">
      <c r="A8" s="14" t="n"/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</row>
    <row r="9">
      <c r="A9" s="14" t="n"/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</row>
    <row r="10">
      <c r="A10" s="14" t="n"/>
      <c r="B10" s="14" t="n"/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</row>
    <row r="12">
      <c r="A12" s="14" t="n"/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</row>
    <row r="13">
      <c r="A13" s="14" t="n"/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</row>
    <row r="14">
      <c r="A14" s="14" t="n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</row>
    <row r="15">
      <c r="A15" s="14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</row>
    <row r="16">
      <c r="A16" s="14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</row>
    <row r="17">
      <c r="A17" s="14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</row>
    <row r="18">
      <c r="A18" s="14" t="n"/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</row>
    <row r="19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</row>
    <row r="20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</row>
    <row r="2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</row>
    <row r="22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</row>
    <row r="23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</row>
    <row r="24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</row>
    <row r="25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</row>
    <row r="26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</row>
    <row r="27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</row>
    <row r="28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</row>
    <row r="29">
      <c r="A29" s="14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</row>
    <row r="30">
      <c r="A30" s="14" t="n"/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</row>
    <row r="31">
      <c r="A31" s="14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</row>
    <row r="32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</row>
    <row r="33">
      <c r="A33" s="14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</row>
    <row r="34">
      <c r="A34" s="14" t="n"/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</row>
    <row r="35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</row>
    <row r="36">
      <c r="A36" s="14" t="n"/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</row>
    <row r="37">
      <c r="A37" s="14" t="n"/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</row>
    <row r="38">
      <c r="A38" s="14" t="n"/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</row>
    <row r="39">
      <c r="A39" s="14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</row>
    <row r="40">
      <c r="A40" s="14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</row>
    <row r="41">
      <c r="A41" s="14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</row>
    <row r="42">
      <c r="A42" s="14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</row>
    <row r="43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</row>
    <row r="44">
      <c r="A44" s="14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</row>
    <row r="45">
      <c r="A45" s="14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</row>
    <row r="46">
      <c r="A46" s="14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</row>
    <row r="47">
      <c r="A47" s="14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</row>
    <row r="48">
      <c r="A48" s="14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</row>
    <row r="49">
      <c r="A49" s="14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</row>
    <row r="50">
      <c r="A50" s="14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</row>
    <row r="51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</row>
    <row r="52">
      <c r="A52" s="14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</row>
    <row r="53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</row>
    <row r="54">
      <c r="A54" s="14" t="n"/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</row>
    <row r="55">
      <c r="A55" s="14" t="n"/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</row>
    <row r="56">
      <c r="A56" s="14" t="n"/>
      <c r="B56" s="14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</row>
    <row r="57">
      <c r="A57" s="15" t="inlineStr">
        <is>
          <t>ACCESS STATISTICS</t>
        </is>
      </c>
    </row>
    <row r="59">
      <c r="A59" s="6" t="inlineStr">
        <is>
          <t>Total Access Grants</t>
        </is>
      </c>
      <c r="B59" s="6">
        <f>COUNTA(B6:B56)</f>
        <v/>
      </c>
    </row>
    <row r="60">
      <c r="A60" s="6" t="inlineStr">
        <is>
          <t>Active Access</t>
        </is>
      </c>
      <c r="B60" s="6">
        <f>COUNTIF(L6:L56,"Active")</f>
        <v/>
      </c>
    </row>
    <row r="61">
      <c r="A61" s="6" t="inlineStr">
        <is>
          <t>Revoked Access</t>
        </is>
      </c>
      <c r="B61" s="6">
        <f>COUNTIF(L6:L56,"Revoked")</f>
        <v/>
      </c>
    </row>
    <row r="62">
      <c r="A62" s="6" t="inlineStr">
        <is>
          <t>Expired Access</t>
        </is>
      </c>
      <c r="B62" s="6">
        <f>COUNTIF(L6:L56,"Expired")</f>
        <v/>
      </c>
    </row>
    <row r="63">
      <c r="A63" s="6" t="inlineStr">
        <is>
          <t>Approved Access</t>
        </is>
      </c>
      <c r="B63" s="6">
        <f>COUNTIF(M6:M56,"Approved")</f>
        <v/>
      </c>
    </row>
    <row r="64">
      <c r="A64" s="6" t="inlineStr">
        <is>
          <t>Pending Approval</t>
        </is>
      </c>
      <c r="B64" s="6">
        <f>COUNTIF(M6:M56,"Pending")</f>
        <v/>
      </c>
    </row>
    <row r="65">
      <c r="A65" s="6" t="inlineStr">
        <is>
          <t>Read-Only Access</t>
        </is>
      </c>
      <c r="B65" s="6">
        <f>COUNTIF(E6:E56,"Read-Only")</f>
        <v/>
      </c>
    </row>
    <row r="66">
      <c r="A66" s="6" t="inlineStr">
        <is>
          <t>Admin Access</t>
        </is>
      </c>
      <c r="B66" s="6">
        <f>COUNTIF(E6:E56,"Admin")</f>
        <v/>
      </c>
    </row>
    <row r="67">
      <c r="A67" s="6" t="inlineStr">
        <is>
          <t>Restricted Data Access</t>
        </is>
      </c>
      <c r="B67" s="6">
        <f>COUNTIF(G6:G56,"Restricted")</f>
        <v/>
      </c>
    </row>
    <row r="68">
      <c r="A68" s="6" t="inlineStr">
        <is>
          <t>NDA Coverage (Yes)</t>
        </is>
      </c>
      <c r="B68" s="6">
        <f>COUNTIF(Q6:Q56,"Yes")</f>
        <v/>
      </c>
    </row>
    <row r="69">
      <c r="A69" s="6" t="inlineStr">
        <is>
          <t>Access Logging (Yes)</t>
        </is>
      </c>
      <c r="B69" s="6">
        <f>COUNTIF(P6:P56,"Yes")</f>
        <v/>
      </c>
    </row>
    <row r="70">
      <c r="A70" s="6" t="inlineStr">
        <is>
          <t>MFA Required (Yes)</t>
        </is>
      </c>
      <c r="B70" s="6">
        <f>COUNTIF(U6:U56,"Yes")</f>
        <v/>
      </c>
    </row>
  </sheetData>
  <mergeCells count="1">
    <mergeCell ref="A1:X1"/>
  </mergeCells>
  <dataValidations count="7">
    <dataValidation sqref="E6:E56" showDropDown="0" showInputMessage="0" showErrorMessage="0" allowBlank="0" type="list">
      <formula1>"Read-Only,Read-Write,Admin,Physical,Remote-VPN"</formula1>
    </dataValidation>
    <dataValidation sqref="G6:G56" showDropDown="0" showInputMessage="0" showErrorMessage="0" allowBlank="0" type="list">
      <formula1>"Public,Internal,Confidential,Restricted,N/A"</formula1>
    </dataValidation>
    <dataValidation sqref="L6:L56" showDropDown="0" showInputMessage="0" showErrorMessage="0" allowBlank="0" type="list">
      <formula1>"Active,Revoked,Expired"</formula1>
    </dataValidation>
    <dataValidation sqref="M6:M56" showDropDown="0" showInputMessage="0" showErrorMessage="0" allowBlank="0" type="list">
      <formula1>"Approved,Pending,Denied,N/A"</formula1>
    </dataValidation>
    <dataValidation sqref="P6:P56" showDropDown="0" showInputMessage="0" showErrorMessage="0" allowBlank="0" type="list">
      <formula1>"Yes,Partial,No"</formula1>
    </dataValidation>
    <dataValidation sqref="Q6:Q56 S6:S56 U6:U56" showDropDown="0" showInputMessage="0" showErrorMessage="0" allowBlank="0" type="list">
      <formula1>"Yes,No,N/A"</formula1>
    </dataValidation>
    <dataValidation sqref="X6:X56" showDropDown="0" showInputMessage="0" showErrorMessage="0" allowBlank="0" type="list">
      <formula1>"Yes,Pending,N/A"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7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5" customWidth="1" min="3" max="3"/>
    <col width="25" customWidth="1" min="4" max="4"/>
    <col width="25" customWidth="1" min="5" max="5"/>
    <col width="30" customWidth="1" min="6" max="6"/>
    <col width="35" customWidth="1" min="7" max="7"/>
    <col width="50" customWidth="1" min="8" max="8"/>
    <col width="25" customWidth="1" min="9" max="9"/>
    <col width="15" customWidth="1" min="10" max="10"/>
    <col width="12" customWidth="1" min="11" max="11"/>
    <col width="15" customWidth="1" min="12" max="12"/>
    <col width="15" customWidth="1" min="13" max="13"/>
    <col width="35" customWidth="1" min="14" max="14"/>
    <col width="12" customWidth="1" min="15" max="15"/>
    <col width="25" customWidth="1" min="16" max="16"/>
    <col width="20" customWidth="1" min="17" max="17"/>
    <col width="25" customWidth="1" min="18" max="18"/>
    <col width="30" customWidth="1" min="19" max="19"/>
    <col width="35" customWidth="1" min="20" max="20"/>
    <col width="12" customWidth="1" min="21" max="21"/>
    <col width="12" customWidth="1" min="22" max="22"/>
    <col width="20" customWidth="1" min="23" max="23"/>
  </cols>
  <sheetData>
    <row r="1" ht="35" customHeight="1">
      <c r="A1" s="11" t="inlineStr">
        <is>
          <t>DISRUPTION MITIGATION PLANS</t>
        </is>
      </c>
    </row>
    <row r="2">
      <c r="A2" t="inlineStr">
        <is>
          <t>Protection measures for production systems during audit testing</t>
        </is>
      </c>
    </row>
    <row r="4">
      <c r="A4" s="12" t="inlineStr">
        <is>
          <t>System ID</t>
        </is>
      </c>
      <c r="B4" s="12" t="inlineStr">
        <is>
          <t>System Name</t>
        </is>
      </c>
      <c r="C4" s="12" t="inlineStr">
        <is>
          <t>System Criticality</t>
        </is>
      </c>
      <c r="D4" s="12" t="inlineStr">
        <is>
          <t>Business Owner</t>
        </is>
      </c>
      <c r="E4" s="12" t="inlineStr">
        <is>
          <t>Technical Owner</t>
        </is>
      </c>
      <c r="F4" s="12" t="inlineStr">
        <is>
          <t>Associated Audits</t>
        </is>
      </c>
      <c r="G4" s="12" t="inlineStr">
        <is>
          <t>Primary Mitigation Strategy</t>
        </is>
      </c>
      <c r="H4" s="12" t="inlineStr">
        <is>
          <t>Testing Restrictions</t>
        </is>
      </c>
      <c r="I4" s="12" t="inlineStr">
        <is>
          <t>Permitted Testing Window</t>
        </is>
      </c>
      <c r="J4" s="12" t="inlineStr">
        <is>
          <t>Maximum Test Duration</t>
        </is>
      </c>
      <c r="K4" s="12" t="inlineStr">
        <is>
          <t>Backup Required Before Test</t>
        </is>
      </c>
      <c r="L4" s="12" t="inlineStr">
        <is>
          <t>Recovery Point Objective</t>
        </is>
      </c>
      <c r="M4" s="12" t="inlineStr">
        <is>
          <t>Recovery Time Objective</t>
        </is>
      </c>
      <c r="N4" s="12" t="inlineStr">
        <is>
          <t>Rollback Procedure Location</t>
        </is>
      </c>
      <c r="O4" s="12" t="inlineStr">
        <is>
          <t>Rollback Last Tested</t>
        </is>
      </c>
      <c r="P4" s="12" t="inlineStr">
        <is>
          <t>Escalation Contact</t>
        </is>
      </c>
      <c r="Q4" s="12" t="inlineStr">
        <is>
          <t>Escalation Phone</t>
        </is>
      </c>
      <c r="R4" s="12" t="inlineStr">
        <is>
          <t>Secondary Contact</t>
        </is>
      </c>
      <c r="S4" s="12" t="inlineStr">
        <is>
          <t>Monitoring Enhancement</t>
        </is>
      </c>
      <c r="T4" s="12" t="inlineStr">
        <is>
          <t>Incident Response Plan</t>
        </is>
      </c>
      <c r="U4" s="12" t="inlineStr">
        <is>
          <t>Last Mitigation Review</t>
        </is>
      </c>
      <c r="V4" s="12" t="inlineStr">
        <is>
          <t>Review Due Date</t>
        </is>
      </c>
      <c r="W4" s="12" t="inlineStr">
        <is>
          <t>Evidence Reference</t>
        </is>
      </c>
    </row>
    <row r="6">
      <c r="A6" s="13" t="inlineStr">
        <is>
          <t>SYS-001</t>
        </is>
      </c>
      <c r="B6" s="13" t="inlineStr">
        <is>
          <t>Financial System (SAP)</t>
        </is>
      </c>
      <c r="C6" s="13" t="inlineStr">
        <is>
          <t>Critical</t>
        </is>
      </c>
      <c r="D6" s="13" t="inlineStr">
        <is>
          <t>CFO</t>
        </is>
      </c>
      <c r="E6" s="13" t="inlineStr">
        <is>
          <t>SAP Team Lead</t>
        </is>
      </c>
      <c r="F6" s="13" t="inlineStr">
        <is>
          <t>AUD-001</t>
        </is>
      </c>
      <c r="G6" s="13" t="inlineStr">
        <is>
          <t>Staging First</t>
        </is>
      </c>
      <c r="H6" s="13" t="inlineStr">
        <is>
          <t>No destructive testing, read-only queries only</t>
        </is>
      </c>
      <c r="I6" s="13" t="inlineStr">
        <is>
          <t>Saturday 20:00-Sunday 06:00</t>
        </is>
      </c>
      <c r="J6" s="13" t="inlineStr">
        <is>
          <t>2 hours</t>
        </is>
      </c>
      <c r="K6" s="13" t="inlineStr">
        <is>
          <t>Yes</t>
        </is>
      </c>
      <c r="L6" s="13" t="inlineStr">
        <is>
          <t>1 hour</t>
        </is>
      </c>
      <c r="M6" s="13" t="inlineStr">
        <is>
          <t>15 minutes</t>
        </is>
      </c>
      <c r="N6" s="13" t="inlineStr">
        <is>
          <t>/procedures/sap-rollback.pdf</t>
        </is>
      </c>
      <c r="O6" s="13" t="inlineStr">
        <is>
          <t>01.02.2026</t>
        </is>
      </c>
      <c r="P6" s="13" t="inlineStr">
        <is>
          <t>IT Director</t>
        </is>
      </c>
      <c r="Q6" s="13" t="inlineStr">
        <is>
          <t>+41 XX XXX XX XX</t>
        </is>
      </c>
      <c r="R6" s="13" t="inlineStr">
        <is>
          <t>SAP Manager</t>
        </is>
      </c>
      <c r="S6" s="13" t="inlineStr">
        <is>
          <t>Enhanced real-time monitoring during test</t>
        </is>
      </c>
      <c r="T6" s="13" t="inlineStr">
        <is>
          <t>INC-PLAN-001</t>
        </is>
      </c>
      <c r="U6" s="13" t="inlineStr">
        <is>
          <t>01.01.2026</t>
        </is>
      </c>
      <c r="V6" s="13" t="inlineStr">
        <is>
          <t>01.07.2026</t>
        </is>
      </c>
      <c r="W6" s="13" t="inlineStr">
        <is>
          <t>EV-001</t>
        </is>
      </c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</row>
    <row r="8">
      <c r="A8" s="14" t="n"/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</row>
    <row r="9">
      <c r="A9" s="14" t="n"/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</row>
    <row r="10">
      <c r="A10" s="14" t="n"/>
      <c r="B10" s="14" t="n"/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</row>
    <row r="12">
      <c r="A12" s="14" t="n"/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</row>
    <row r="13">
      <c r="A13" s="14" t="n"/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</row>
    <row r="14">
      <c r="A14" s="14" t="n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</row>
    <row r="15">
      <c r="A15" s="14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</row>
    <row r="16">
      <c r="A16" s="14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</row>
    <row r="17">
      <c r="A17" s="14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</row>
    <row r="18">
      <c r="A18" s="14" t="n"/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</row>
    <row r="19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</row>
    <row r="20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</row>
    <row r="2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</row>
    <row r="22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</row>
    <row r="23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</row>
    <row r="24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</row>
    <row r="25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</row>
    <row r="26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</row>
    <row r="27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</row>
    <row r="28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</row>
    <row r="29">
      <c r="A29" s="14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</row>
    <row r="30">
      <c r="A30" s="14" t="n"/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</row>
    <row r="31">
      <c r="A31" s="14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</row>
    <row r="32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</row>
    <row r="33">
      <c r="A33" s="14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</row>
    <row r="34">
      <c r="A34" s="14" t="n"/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</row>
    <row r="35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</row>
    <row r="36">
      <c r="A36" s="14" t="n"/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</row>
    <row r="37">
      <c r="A37" s="14" t="n"/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</row>
    <row r="38">
      <c r="A38" s="14" t="n"/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</row>
    <row r="39">
      <c r="A39" s="14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</row>
    <row r="40">
      <c r="A40" s="14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</row>
    <row r="41">
      <c r="A41" s="14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</row>
    <row r="42">
      <c r="A42" s="14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</row>
    <row r="43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</row>
    <row r="44">
      <c r="A44" s="14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</row>
    <row r="45">
      <c r="A45" s="14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</row>
    <row r="46">
      <c r="A46" s="14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</row>
    <row r="47">
      <c r="A47" s="14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</row>
    <row r="48">
      <c r="A48" s="14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</row>
    <row r="49">
      <c r="A49" s="14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</row>
    <row r="50">
      <c r="A50" s="14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</row>
    <row r="51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</row>
    <row r="52">
      <c r="A52" s="14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</row>
    <row r="53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</row>
    <row r="54">
      <c r="A54" s="14" t="n"/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</row>
    <row r="55">
      <c r="A55" s="14" t="n"/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</row>
    <row r="56">
      <c r="A56" s="14" t="n"/>
      <c r="B56" s="14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</row>
    <row r="57">
      <c r="A57" s="15" t="inlineStr">
        <is>
          <t>MITIGATION STRATEGY SUMMARY</t>
        </is>
      </c>
    </row>
    <row r="59">
      <c r="A59" s="6" t="inlineStr">
        <is>
          <t>Staging First</t>
        </is>
      </c>
      <c r="B59" s="6">
        <f>COUNTIF(G6:G56,"Staging First")</f>
        <v/>
      </c>
    </row>
    <row r="60">
      <c r="A60" s="6" t="inlineStr">
        <is>
          <t>Off-Hours</t>
        </is>
      </c>
      <c r="B60" s="6">
        <f>COUNTIF(G6:G56,"Off-Hours")</f>
        <v/>
      </c>
    </row>
    <row r="61">
      <c r="A61" s="6" t="inlineStr">
        <is>
          <t>Rate Limiting</t>
        </is>
      </c>
      <c r="B61" s="6">
        <f>COUNTIF(G6:G56,"Rate Limiting")</f>
        <v/>
      </c>
    </row>
    <row r="62">
      <c r="A62" s="6" t="inlineStr">
        <is>
          <t>Scope Exclusion</t>
        </is>
      </c>
      <c r="B62" s="6">
        <f>COUNTIF(G6:G56,"Scope Exclusion")</f>
        <v/>
      </c>
    </row>
    <row r="63">
      <c r="A63" s="6" t="inlineStr">
        <is>
          <t>Enhanced Monitoring</t>
        </is>
      </c>
      <c r="B63" s="6">
        <f>COUNTIF(G6:G56,"Enhanced Monitoring")</f>
        <v/>
      </c>
    </row>
    <row r="64">
      <c r="A64" s="6" t="inlineStr">
        <is>
          <t>Standby Recovery</t>
        </is>
      </c>
      <c r="B64" s="6">
        <f>COUNTIF(G6:G56,"Standby Recovery")</f>
        <v/>
      </c>
    </row>
    <row r="65">
      <c r="A65" s="6" t="inlineStr">
        <is>
          <t>Read-Only Only</t>
        </is>
      </c>
      <c r="B65" s="6">
        <f>COUNTIF(G6:G56,"Read-Only Only")</f>
        <v/>
      </c>
    </row>
    <row r="66">
      <c r="A66" s="6" t="inlineStr">
        <is>
          <t>Multi-Strategy</t>
        </is>
      </c>
      <c r="B66" s="6">
        <f>COUNTIF(G6:G56,"Multi-Strategy")</f>
        <v/>
      </c>
    </row>
    <row r="68">
      <c r="A68" s="15" t="inlineStr">
        <is>
          <t>SYSTEM COVERAGE STATISTICS</t>
        </is>
      </c>
    </row>
    <row r="70">
      <c r="A70" s="6" t="inlineStr">
        <is>
          <t>Total Systems</t>
        </is>
      </c>
      <c r="B70" s="6">
        <f>COUNTA(B6:B56)</f>
        <v/>
      </c>
    </row>
    <row r="71">
      <c r="A71" s="6" t="inlineStr">
        <is>
          <t>Critical Systems</t>
        </is>
      </c>
      <c r="B71" s="6">
        <f>COUNTIF(C6:C56,"Critical")</f>
        <v/>
      </c>
    </row>
    <row r="72">
      <c r="A72" s="6" t="inlineStr">
        <is>
          <t>High Criticality</t>
        </is>
      </c>
      <c r="B72" s="6">
        <f>COUNTIF(C6:C56,"High")</f>
        <v/>
      </c>
    </row>
    <row r="73">
      <c r="A73" s="6" t="inlineStr">
        <is>
          <t>Medium Criticality</t>
        </is>
      </c>
      <c r="B73" s="6">
        <f>COUNTIF(C6:C56,"Medium")</f>
        <v/>
      </c>
    </row>
    <row r="74">
      <c r="A74" s="6" t="inlineStr">
        <is>
          <t>Low Criticality</t>
        </is>
      </c>
      <c r="B74" s="6">
        <f>COUNTIF(C6:C56,"Low")</f>
        <v/>
      </c>
    </row>
    <row r="75">
      <c r="A75" s="6" t="inlineStr">
        <is>
          <t>With Rollback Procedure</t>
        </is>
      </c>
      <c r="B75" s="6">
        <f>COUNTA(N6:N56)</f>
        <v/>
      </c>
    </row>
    <row r="76">
      <c r="A76" s="6" t="inlineStr">
        <is>
          <t>Backup Required</t>
        </is>
      </c>
      <c r="B76" s="6">
        <f>COUNTIF(K6:K56,"Yes")</f>
        <v/>
      </c>
    </row>
  </sheetData>
  <mergeCells count="1">
    <mergeCell ref="A1:W1"/>
  </mergeCells>
  <dataValidations count="3">
    <dataValidation sqref="C6:C56" showDropDown="0" showInputMessage="0" showErrorMessage="0" allowBlank="0" type="list">
      <formula1>"Critical,High,Medium,Low,N/A"</formula1>
    </dataValidation>
    <dataValidation sqref="G6:G56" showDropDown="0" showInputMessage="0" showErrorMessage="0" allowBlank="0" type="list">
      <formula1>"Staging First,Off-Hours,Rate Limiting,Scope Exclusion,Enhanced Monitoring,Standby Recovery,Read-Only Only,Multi-Strategy"</formula1>
    </dataValidation>
    <dataValidation sqref="K6:K56" showDropDown="0" showInputMessage="0" showErrorMessage="0" allowBlank="0" type="list">
      <formula1>"Yes,No,Already Scheduled,N/A"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18" customWidth="1" min="4" max="4"/>
    <col width="40" customWidth="1" min="5" max="5"/>
    <col width="35" customWidth="1" min="6" max="6"/>
    <col width="35" customWidth="1" min="7" max="7"/>
    <col width="18" customWidth="1" min="8" max="8"/>
    <col width="18" customWidth="1" min="9" max="9"/>
    <col width="25" customWidth="1" min="10" max="10"/>
    <col width="40" customWidth="1" min="11" max="11"/>
    <col width="18" customWidth="1" min="12" max="12"/>
    <col width="25" customWidth="1" min="13" max="13"/>
    <col width="25" customWidth="1" min="14" max="14"/>
    <col width="25" customWidth="1" min="15" max="15"/>
    <col width="12" customWidth="1" min="16" max="16"/>
    <col width="40" customWidth="1" min="17" max="17"/>
    <col width="12" customWidth="1" min="18" max="18"/>
    <col width="25" customWidth="1" min="19" max="19"/>
    <col width="25" customWidth="1" min="20" max="20"/>
    <col width="12" customWidth="1" min="21" max="21"/>
    <col width="25" customWidth="1" min="22" max="22"/>
    <col width="20" customWidth="1" min="23" max="23"/>
  </cols>
  <sheetData>
    <row r="1" ht="35" customHeight="1">
      <c r="A1" s="11" t="inlineStr">
        <is>
          <t>AUDIT EVIDENCE PROTECTION</t>
        </is>
      </c>
    </row>
    <row r="2">
      <c r="A2" t="inlineStr">
        <is>
          <t>Secure handling and retention of audit evidence</t>
        </is>
      </c>
    </row>
    <row r="4">
      <c r="A4" s="12" t="inlineStr">
        <is>
          <t>Evidence Category ID</t>
        </is>
      </c>
      <c r="B4" s="12" t="inlineStr">
        <is>
          <t>Evidence Category</t>
        </is>
      </c>
      <c r="C4" s="12" t="inlineStr">
        <is>
          <t>Evidence Description</t>
        </is>
      </c>
      <c r="D4" s="12" t="inlineStr">
        <is>
          <t>Sensitivity Classification</t>
        </is>
      </c>
      <c r="E4" s="12" t="inlineStr">
        <is>
          <t>Example Documents</t>
        </is>
      </c>
      <c r="F4" s="12" t="inlineStr">
        <is>
          <t>Primary Storage Location</t>
        </is>
      </c>
      <c r="G4" s="12" t="inlineStr">
        <is>
          <t>Backup Location</t>
        </is>
      </c>
      <c r="H4" s="12" t="inlineStr">
        <is>
          <t>Encryption at Rest</t>
        </is>
      </c>
      <c r="I4" s="12" t="inlineStr">
        <is>
          <t>Encryption in Transit</t>
        </is>
      </c>
      <c r="J4" s="12" t="inlineStr">
        <is>
          <t>Access Control Type</t>
        </is>
      </c>
      <c r="K4" s="12" t="inlineStr">
        <is>
          <t>Authorised Accessors</t>
        </is>
      </c>
      <c r="L4" s="12" t="inlineStr">
        <is>
          <t>Retention Period</t>
        </is>
      </c>
      <c r="M4" s="12" t="inlineStr">
        <is>
          <t>Retention Start Event</t>
        </is>
      </c>
      <c r="N4" s="12" t="inlineStr">
        <is>
          <t>Destruction Method</t>
        </is>
      </c>
      <c r="O4" s="12" t="inlineStr">
        <is>
          <t>Destruction Approval</t>
        </is>
      </c>
      <c r="P4" s="12" t="inlineStr">
        <is>
          <t>Chain of Custody Required</t>
        </is>
      </c>
      <c r="Q4" s="12" t="inlineStr">
        <is>
          <t>Chain of Custody Process</t>
        </is>
      </c>
      <c r="R4" s="12" t="inlineStr">
        <is>
          <t>Legal Hold Applicable</t>
        </is>
      </c>
      <c r="S4" s="12" t="inlineStr">
        <is>
          <t>Legal Hold Contact</t>
        </is>
      </c>
      <c r="T4" s="12" t="inlineStr">
        <is>
          <t>Integrity Verification</t>
        </is>
      </c>
      <c r="U4" s="12" t="inlineStr">
        <is>
          <t>Last Access Review</t>
        </is>
      </c>
      <c r="V4" s="12" t="inlineStr">
        <is>
          <t>Evidence Owner</t>
        </is>
      </c>
      <c r="W4" s="12" t="inlineStr">
        <is>
          <t>Evidence Reference</t>
        </is>
      </c>
    </row>
    <row r="6">
      <c r="A6" s="13" t="inlineStr">
        <is>
          <t>EVCAT-001</t>
        </is>
      </c>
      <c r="B6" s="13" t="inlineStr">
        <is>
          <t>Penetration Test Reports</t>
        </is>
      </c>
      <c r="C6" s="13" t="inlineStr">
        <is>
          <t>Technical findings from pen tests</t>
        </is>
      </c>
      <c r="D6" s="13" t="inlineStr">
        <is>
          <t>Restricted</t>
        </is>
      </c>
      <c r="E6" s="13" t="inlineStr">
        <is>
          <t>Pen test report Q1 2026</t>
        </is>
      </c>
      <c r="F6" s="13" t="inlineStr">
        <is>
          <t>/secure/audit/pentest/</t>
        </is>
      </c>
      <c r="G6" s="13" t="inlineStr">
        <is>
          <t>/backup/audit/pentest/</t>
        </is>
      </c>
      <c r="H6" s="13" t="inlineStr">
        <is>
          <t>AES-256</t>
        </is>
      </c>
      <c r="I6" s="13" t="inlineStr">
        <is>
          <t>TLS 1.3</t>
        </is>
      </c>
      <c r="J6" s="13" t="inlineStr">
        <is>
          <t>RBAC</t>
        </is>
      </c>
      <c r="K6" s="13" t="inlineStr">
        <is>
          <t>Security Team, CISO</t>
        </is>
      </c>
      <c r="L6" s="13" t="inlineStr">
        <is>
          <t>3 Years</t>
        </is>
      </c>
      <c r="M6" s="13" t="inlineStr">
        <is>
          <t>Test completion</t>
        </is>
      </c>
      <c r="N6" s="13" t="inlineStr">
        <is>
          <t>Secure Delete</t>
        </is>
      </c>
      <c r="O6" s="13" t="inlineStr">
        <is>
          <t>CISO</t>
        </is>
      </c>
      <c r="P6" s="13" t="inlineStr">
        <is>
          <t>Yes</t>
        </is>
      </c>
      <c r="Q6" s="13" t="inlineStr">
        <is>
          <t>Documented chain process</t>
        </is>
      </c>
      <c r="R6" s="13" t="inlineStr">
        <is>
          <t>No</t>
        </is>
      </c>
      <c r="S6" s="13" t="inlineStr"/>
      <c r="T6" s="13" t="inlineStr">
        <is>
          <t>Hashing</t>
        </is>
      </c>
      <c r="U6" s="13" t="inlineStr">
        <is>
          <t>15.01.2026</t>
        </is>
      </c>
      <c r="V6" s="13" t="inlineStr">
        <is>
          <t>Security Manager</t>
        </is>
      </c>
      <c r="W6" s="13" t="inlineStr">
        <is>
          <t>SEC-AUDIT-001</t>
        </is>
      </c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</row>
    <row r="8">
      <c r="A8" s="14" t="n"/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</row>
    <row r="9">
      <c r="A9" s="14" t="n"/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</row>
    <row r="10">
      <c r="A10" s="14" t="n"/>
      <c r="B10" s="14" t="n"/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</row>
    <row r="12">
      <c r="A12" s="14" t="n"/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</row>
    <row r="13">
      <c r="A13" s="14" t="n"/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</row>
    <row r="14">
      <c r="A14" s="14" t="n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</row>
    <row r="15">
      <c r="A15" s="14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</row>
    <row r="16">
      <c r="A16" s="14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</row>
    <row r="17">
      <c r="A17" s="14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</row>
    <row r="18">
      <c r="A18" s="14" t="n"/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</row>
    <row r="19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</row>
    <row r="20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</row>
    <row r="2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</row>
    <row r="22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</row>
    <row r="23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</row>
    <row r="24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</row>
    <row r="25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</row>
    <row r="26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</row>
    <row r="27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</row>
    <row r="28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</row>
    <row r="29">
      <c r="A29" s="14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</row>
    <row r="30">
      <c r="A30" s="14" t="n"/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</row>
    <row r="31">
      <c r="A31" s="14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</row>
    <row r="32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</row>
    <row r="33">
      <c r="A33" s="14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</row>
    <row r="34">
      <c r="A34" s="14" t="n"/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</row>
    <row r="35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</row>
    <row r="36">
      <c r="A36" s="14" t="n"/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</row>
    <row r="37">
      <c r="A37" s="14" t="n"/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</row>
    <row r="38">
      <c r="A38" s="14" t="n"/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</row>
    <row r="39">
      <c r="A39" s="14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</row>
    <row r="40">
      <c r="A40" s="14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</row>
    <row r="41">
      <c r="A41" s="14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</row>
    <row r="42">
      <c r="A42" s="14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</row>
    <row r="43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</row>
    <row r="44">
      <c r="A44" s="14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</row>
    <row r="45">
      <c r="A45" s="14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</row>
    <row r="46">
      <c r="A46" s="14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</row>
    <row r="47">
      <c r="A47" s="14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</row>
    <row r="48">
      <c r="A48" s="14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</row>
    <row r="49">
      <c r="A49" s="14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</row>
    <row r="50">
      <c r="A50" s="14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</row>
    <row r="51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</row>
    <row r="52">
      <c r="A52" s="14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</row>
    <row r="53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</row>
    <row r="54">
      <c r="A54" s="14" t="n"/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</row>
    <row r="55">
      <c r="A55" s="14" t="n"/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</row>
    <row r="56">
      <c r="A56" s="14" t="n"/>
      <c r="B56" s="14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</row>
    <row r="67">
      <c r="A67" s="15" t="inlineStr">
        <is>
          <t>PROTECTION STATISTICS</t>
        </is>
      </c>
    </row>
    <row r="69">
      <c r="A69" s="6" t="inlineStr">
        <is>
          <t>Total Evidence Categories</t>
        </is>
      </c>
      <c r="B69" s="6">
        <f>COUNTA(B5:B54)</f>
        <v/>
      </c>
    </row>
    <row r="70">
      <c r="A70" s="6" t="inlineStr">
        <is>
          <t>Restricted Categories</t>
        </is>
      </c>
      <c r="B70" s="6">
        <f>COUNTIF(D5:D64,"Restricted")</f>
        <v/>
      </c>
    </row>
    <row r="71">
      <c r="A71" s="6" t="inlineStr">
        <is>
          <t>Confidential Categories</t>
        </is>
      </c>
      <c r="B71" s="6">
        <f>COUNTIF(D5:D64,"Confidential")</f>
        <v/>
      </c>
    </row>
    <row r="72">
      <c r="A72" s="6" t="inlineStr">
        <is>
          <t>Encryption at Rest (AES-256)</t>
        </is>
      </c>
      <c r="B72" s="6">
        <f>COUNTIF(H5:H64,"AES-256")</f>
        <v/>
      </c>
    </row>
    <row r="73">
      <c r="A73" s="6" t="inlineStr">
        <is>
          <t>Encryption in Transit (TLS 1.3)</t>
        </is>
      </c>
      <c r="B73" s="6">
        <f>COUNTIF(I5:I64,"TLS 1.3")</f>
        <v/>
      </c>
    </row>
    <row r="74">
      <c r="A74" s="6" t="inlineStr">
        <is>
          <t>Chain of Custody Required</t>
        </is>
      </c>
      <c r="B74" s="6">
        <f>COUNTIF(P5:P64,"Yes")</f>
        <v/>
      </c>
    </row>
    <row r="75">
      <c r="A75" s="6" t="inlineStr">
        <is>
          <t>Legal Hold Applicable</t>
        </is>
      </c>
      <c r="B75" s="6">
        <f>COUNTIF(R5:R64,"Yes")</f>
        <v/>
      </c>
    </row>
  </sheetData>
  <mergeCells count="1">
    <mergeCell ref="A1:W1"/>
  </mergeCells>
  <dataValidations count="9">
    <dataValidation sqref="D5:D64" showDropDown="0" showInputMessage="0" showErrorMessage="0" allowBlank="0" type="list">
      <formula1>"Public,Internal,Confidential,Restricted,N/A"</formula1>
    </dataValidation>
    <dataValidation sqref="H5:H64" showDropDown="0" showInputMessage="0" showErrorMessage="0" allowBlank="0" type="list">
      <formula1>"AES-256,AES-128,BitLocker,None,Other"</formula1>
    </dataValidation>
    <dataValidation sqref="I5:I64" showDropDown="0" showInputMessage="0" showErrorMessage="0" allowBlank="0" type="list">
      <formula1>"TLS 1.3,TLS 1.2,VPN,None,Other"</formula1>
    </dataValidation>
    <dataValidation sqref="J5:J64" showDropDown="0" showInputMessage="0" showErrorMessage="0" allowBlank="0" type="list">
      <formula1>"RBAC,ACL,Individual Permissions,None"</formula1>
    </dataValidation>
    <dataValidation sqref="L5:L54" showDropDown="0" showInputMessage="0" showErrorMessage="0" allowBlank="0" type="list">
      <formula1>"1 Year,2 Years,3 Years,5 Years,7 Years,Permanent,Legal Hold"</formula1>
    </dataValidation>
    <dataValidation sqref="N5:N64" showDropDown="0" showInputMessage="0" showErrorMessage="0" allowBlank="0" type="list">
      <formula1>"Secure Delete,Shredding,Degaussing,Certified Destruction"</formula1>
    </dataValidation>
    <dataValidation sqref="P5:P64" showDropDown="0" showInputMessage="0" showErrorMessage="0" allowBlank="0" type="list">
      <formula1>"Yes,No"</formula1>
    </dataValidation>
    <dataValidation sqref="R5:R64" showDropDown="0" showInputMessage="0" showErrorMessage="0" allowBlank="0" type="list">
      <formula1>"Yes,No,Potentially"</formula1>
    </dataValidation>
    <dataValidation sqref="T5:T64" showDropDown="0" showInputMessage="0" showErrorMessage="0" allowBlank="0" type="list">
      <formula1>"Hashing,Digital Signatures,Checksums,None"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22" customWidth="1" min="3" max="3"/>
    <col width="40" customWidth="1" min="4" max="4"/>
    <col width="45" customWidth="1" min="5" max="5"/>
    <col width="16" customWidth="1" min="6" max="6"/>
    <col width="20" customWidth="1" min="7" max="7"/>
    <col width="22" customWidth="1" min="8" max="8"/>
  </cols>
  <sheetData>
    <row r="1" ht="35" customHeight="1">
      <c r="A1" s="16" t="inlineStr">
        <is>
          <t>EVIDENCE REGISTER</t>
        </is>
      </c>
      <c r="B1" s="6" t="n"/>
      <c r="C1" s="6" t="n"/>
      <c r="D1" s="6" t="n"/>
      <c r="E1" s="6" t="n"/>
    </row>
    <row r="2">
      <c r="A2" s="17" t="inlineStr">
        <is>
          <t>List all evidence files/documents referenced in this assessment (audit traceability).</t>
        </is>
      </c>
    </row>
    <row r="4">
      <c r="A4" s="18" t="inlineStr">
        <is>
          <t>Evidence ID</t>
        </is>
      </c>
      <c r="B4" s="18" t="inlineStr">
        <is>
          <t>Assessment Area</t>
        </is>
      </c>
      <c r="C4" s="18" t="inlineStr">
        <is>
          <t>Evidence Type</t>
        </is>
      </c>
      <c r="D4" s="18" t="inlineStr">
        <is>
          <t>Description</t>
        </is>
      </c>
      <c r="E4" s="18" t="inlineStr">
        <is>
          <t>Location/Path</t>
        </is>
      </c>
      <c r="F4" s="18" t="inlineStr">
        <is>
          <t>Date Collected</t>
        </is>
      </c>
      <c r="G4" s="18" t="inlineStr">
        <is>
          <t>Collected By</t>
        </is>
      </c>
      <c r="H4" s="18" t="inlineStr">
        <is>
          <t>Verification Status</t>
        </is>
      </c>
    </row>
    <row r="5">
      <c r="A5" s="13" t="inlineStr">
        <is>
          <t>EV-001</t>
        </is>
      </c>
      <c r="B5" s="13" t="inlineStr">
        <is>
          <t>Audit Activity Register</t>
        </is>
      </c>
      <c r="C5" s="13" t="inlineStr">
        <is>
          <t>Audit log</t>
        </is>
      </c>
      <c r="D5" s="13" t="inlineStr">
        <is>
          <t>Completed audit activities for 2026</t>
        </is>
      </c>
      <c r="E5" s="13" t="inlineStr">
        <is>
          <t>/evidence/audits/2026/register.xlsx</t>
        </is>
      </c>
      <c r="F5" s="13" t="inlineStr">
        <is>
          <t>01.03.2026</t>
        </is>
      </c>
      <c r="G5" s="13" t="inlineStr">
        <is>
          <t>Audit Coordinator</t>
        </is>
      </c>
      <c r="H5" s="13" t="inlineStr">
        <is>
          <t>Verified</t>
        </is>
      </c>
    </row>
    <row r="6">
      <c r="A6" s="14" t="n"/>
      <c r="B6" s="14" t="n"/>
      <c r="C6" s="14" t="n"/>
      <c r="D6" s="14" t="n"/>
      <c r="E6" s="14" t="n"/>
      <c r="F6" s="14" t="n"/>
      <c r="G6" s="14" t="n"/>
      <c r="H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</row>
    <row r="8">
      <c r="A8" s="14" t="n"/>
      <c r="B8" s="14" t="n"/>
      <c r="C8" s="14" t="n"/>
      <c r="D8" s="14" t="n"/>
      <c r="E8" s="14" t="n"/>
      <c r="F8" s="14" t="n"/>
      <c r="G8" s="14" t="n"/>
      <c r="H8" s="14" t="n"/>
    </row>
    <row r="9">
      <c r="A9" s="14" t="n"/>
      <c r="B9" s="14" t="n"/>
      <c r="C9" s="14" t="n"/>
      <c r="D9" s="14" t="n"/>
      <c r="E9" s="14" t="n"/>
      <c r="F9" s="14" t="n"/>
      <c r="G9" s="14" t="n"/>
      <c r="H9" s="14" t="n"/>
    </row>
    <row r="10">
      <c r="A10" s="14" t="n"/>
      <c r="B10" s="14" t="n"/>
      <c r="C10" s="14" t="n"/>
      <c r="D10" s="14" t="n"/>
      <c r="E10" s="14" t="n"/>
      <c r="F10" s="14" t="n"/>
      <c r="G10" s="14" t="n"/>
      <c r="H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</row>
    <row r="12">
      <c r="A12" s="14" t="n"/>
      <c r="B12" s="14" t="n"/>
      <c r="C12" s="14" t="n"/>
      <c r="D12" s="14" t="n"/>
      <c r="E12" s="14" t="n"/>
      <c r="F12" s="14" t="n"/>
      <c r="G12" s="14" t="n"/>
      <c r="H12" s="14" t="n"/>
    </row>
    <row r="13">
      <c r="A13" s="14" t="n"/>
      <c r="B13" s="14" t="n"/>
      <c r="C13" s="14" t="n"/>
      <c r="D13" s="14" t="n"/>
      <c r="E13" s="14" t="n"/>
      <c r="F13" s="14" t="n"/>
      <c r="G13" s="14" t="n"/>
      <c r="H13" s="14" t="n"/>
    </row>
    <row r="14">
      <c r="A14" s="14" t="n"/>
      <c r="B14" s="14" t="n"/>
      <c r="C14" s="14" t="n"/>
      <c r="D14" s="14" t="n"/>
      <c r="E14" s="14" t="n"/>
      <c r="F14" s="14" t="n"/>
      <c r="G14" s="14" t="n"/>
      <c r="H14" s="14" t="n"/>
    </row>
    <row r="15">
      <c r="A15" s="14" t="n"/>
      <c r="B15" s="14" t="n"/>
      <c r="C15" s="14" t="n"/>
      <c r="D15" s="14" t="n"/>
      <c r="E15" s="14" t="n"/>
      <c r="F15" s="14" t="n"/>
      <c r="G15" s="14" t="n"/>
      <c r="H15" s="14" t="n"/>
    </row>
    <row r="16">
      <c r="A16" s="14" t="n"/>
      <c r="B16" s="14" t="n"/>
      <c r="C16" s="14" t="n"/>
      <c r="D16" s="14" t="n"/>
      <c r="E16" s="14" t="n"/>
      <c r="F16" s="14" t="n"/>
      <c r="G16" s="14" t="n"/>
      <c r="H16" s="14" t="n"/>
    </row>
    <row r="17">
      <c r="A17" s="14" t="n"/>
      <c r="B17" s="14" t="n"/>
      <c r="C17" s="14" t="n"/>
      <c r="D17" s="14" t="n"/>
      <c r="E17" s="14" t="n"/>
      <c r="F17" s="14" t="n"/>
      <c r="G17" s="14" t="n"/>
      <c r="H17" s="14" t="n"/>
    </row>
    <row r="18">
      <c r="A18" s="14" t="n"/>
      <c r="B18" s="14" t="n"/>
      <c r="C18" s="14" t="n"/>
      <c r="D18" s="14" t="n"/>
      <c r="E18" s="14" t="n"/>
      <c r="F18" s="14" t="n"/>
      <c r="G18" s="14" t="n"/>
      <c r="H18" s="14" t="n"/>
    </row>
    <row r="19">
      <c r="A19" s="14" t="n"/>
      <c r="B19" s="14" t="n"/>
      <c r="C19" s="14" t="n"/>
      <c r="D19" s="14" t="n"/>
      <c r="E19" s="14" t="n"/>
      <c r="F19" s="14" t="n"/>
      <c r="G19" s="14" t="n"/>
      <c r="H19" s="14" t="n"/>
    </row>
    <row r="20">
      <c r="A20" s="14" t="n"/>
      <c r="B20" s="14" t="n"/>
      <c r="C20" s="14" t="n"/>
      <c r="D20" s="14" t="n"/>
      <c r="E20" s="14" t="n"/>
      <c r="F20" s="14" t="n"/>
      <c r="G20" s="14" t="n"/>
      <c r="H20" s="14" t="n"/>
    </row>
    <row r="21">
      <c r="A21" s="14" t="n"/>
      <c r="B21" s="14" t="n"/>
      <c r="C21" s="14" t="n"/>
      <c r="D21" s="14" t="n"/>
      <c r="E21" s="14" t="n"/>
      <c r="F21" s="14" t="n"/>
      <c r="G21" s="14" t="n"/>
      <c r="H21" s="14" t="n"/>
    </row>
    <row r="22">
      <c r="A22" s="14" t="n"/>
      <c r="B22" s="14" t="n"/>
      <c r="C22" s="14" t="n"/>
      <c r="D22" s="14" t="n"/>
      <c r="E22" s="14" t="n"/>
      <c r="F22" s="14" t="n"/>
      <c r="G22" s="14" t="n"/>
      <c r="H22" s="14" t="n"/>
    </row>
    <row r="23">
      <c r="A23" s="14" t="n"/>
      <c r="B23" s="14" t="n"/>
      <c r="C23" s="14" t="n"/>
      <c r="D23" s="14" t="n"/>
      <c r="E23" s="14" t="n"/>
      <c r="F23" s="14" t="n"/>
      <c r="G23" s="14" t="n"/>
      <c r="H23" s="14" t="n"/>
    </row>
    <row r="24">
      <c r="A24" s="14" t="n"/>
      <c r="B24" s="14" t="n"/>
      <c r="C24" s="14" t="n"/>
      <c r="D24" s="14" t="n"/>
      <c r="E24" s="14" t="n"/>
      <c r="F24" s="14" t="n"/>
      <c r="G24" s="14" t="n"/>
      <c r="H24" s="14" t="n"/>
    </row>
    <row r="25">
      <c r="A25" s="14" t="n"/>
      <c r="B25" s="14" t="n"/>
      <c r="C25" s="14" t="n"/>
      <c r="D25" s="14" t="n"/>
      <c r="E25" s="14" t="n"/>
      <c r="F25" s="14" t="n"/>
      <c r="G25" s="14" t="n"/>
      <c r="H25" s="14" t="n"/>
    </row>
    <row r="26">
      <c r="A26" s="14" t="n"/>
      <c r="B26" s="14" t="n"/>
      <c r="C26" s="14" t="n"/>
      <c r="D26" s="14" t="n"/>
      <c r="E26" s="14" t="n"/>
      <c r="F26" s="14" t="n"/>
      <c r="G26" s="14" t="n"/>
      <c r="H26" s="14" t="n"/>
    </row>
    <row r="27">
      <c r="A27" s="14" t="n"/>
      <c r="B27" s="14" t="n"/>
      <c r="C27" s="14" t="n"/>
      <c r="D27" s="14" t="n"/>
      <c r="E27" s="14" t="n"/>
      <c r="F27" s="14" t="n"/>
      <c r="G27" s="14" t="n"/>
      <c r="H27" s="14" t="n"/>
    </row>
    <row r="28">
      <c r="A28" s="14" t="n"/>
      <c r="B28" s="14" t="n"/>
      <c r="C28" s="14" t="n"/>
      <c r="D28" s="14" t="n"/>
      <c r="E28" s="14" t="n"/>
      <c r="F28" s="14" t="n"/>
      <c r="G28" s="14" t="n"/>
      <c r="H28" s="14" t="n"/>
    </row>
    <row r="29">
      <c r="A29" s="14" t="n"/>
      <c r="B29" s="14" t="n"/>
      <c r="C29" s="14" t="n"/>
      <c r="D29" s="14" t="n"/>
      <c r="E29" s="14" t="n"/>
      <c r="F29" s="14" t="n"/>
      <c r="G29" s="14" t="n"/>
      <c r="H29" s="14" t="n"/>
    </row>
    <row r="30">
      <c r="A30" s="14" t="n"/>
      <c r="B30" s="14" t="n"/>
      <c r="C30" s="14" t="n"/>
      <c r="D30" s="14" t="n"/>
      <c r="E30" s="14" t="n"/>
      <c r="F30" s="14" t="n"/>
      <c r="G30" s="14" t="n"/>
      <c r="H30" s="14" t="n"/>
    </row>
    <row r="31">
      <c r="A31" s="14" t="n"/>
      <c r="B31" s="14" t="n"/>
      <c r="C31" s="14" t="n"/>
      <c r="D31" s="14" t="n"/>
      <c r="E31" s="14" t="n"/>
      <c r="F31" s="14" t="n"/>
      <c r="G31" s="14" t="n"/>
      <c r="H31" s="14" t="n"/>
    </row>
    <row r="32">
      <c r="A32" s="14" t="n"/>
      <c r="B32" s="14" t="n"/>
      <c r="C32" s="14" t="n"/>
      <c r="D32" s="14" t="n"/>
      <c r="E32" s="14" t="n"/>
      <c r="F32" s="14" t="n"/>
      <c r="G32" s="14" t="n"/>
      <c r="H32" s="14" t="n"/>
    </row>
    <row r="33">
      <c r="A33" s="14" t="n"/>
      <c r="B33" s="14" t="n"/>
      <c r="C33" s="14" t="n"/>
      <c r="D33" s="14" t="n"/>
      <c r="E33" s="14" t="n"/>
      <c r="F33" s="14" t="n"/>
      <c r="G33" s="14" t="n"/>
      <c r="H33" s="14" t="n"/>
    </row>
    <row r="34">
      <c r="A34" s="14" t="n"/>
      <c r="B34" s="14" t="n"/>
      <c r="C34" s="14" t="n"/>
      <c r="D34" s="14" t="n"/>
      <c r="E34" s="14" t="n"/>
      <c r="F34" s="14" t="n"/>
      <c r="G34" s="14" t="n"/>
      <c r="H34" s="14" t="n"/>
    </row>
    <row r="35">
      <c r="A35" s="14" t="n"/>
      <c r="B35" s="14" t="n"/>
      <c r="C35" s="14" t="n"/>
      <c r="D35" s="14" t="n"/>
      <c r="E35" s="14" t="n"/>
      <c r="F35" s="14" t="n"/>
      <c r="G35" s="14" t="n"/>
      <c r="H35" s="14" t="n"/>
    </row>
    <row r="36">
      <c r="A36" s="14" t="n"/>
      <c r="B36" s="14" t="n"/>
      <c r="C36" s="14" t="n"/>
      <c r="D36" s="14" t="n"/>
      <c r="E36" s="14" t="n"/>
      <c r="F36" s="14" t="n"/>
      <c r="G36" s="14" t="n"/>
      <c r="H36" s="14" t="n"/>
    </row>
    <row r="37">
      <c r="A37" s="14" t="n"/>
      <c r="B37" s="14" t="n"/>
      <c r="C37" s="14" t="n"/>
      <c r="D37" s="14" t="n"/>
      <c r="E37" s="14" t="n"/>
      <c r="F37" s="14" t="n"/>
      <c r="G37" s="14" t="n"/>
      <c r="H37" s="14" t="n"/>
    </row>
    <row r="38">
      <c r="A38" s="14" t="n"/>
      <c r="B38" s="14" t="n"/>
      <c r="C38" s="14" t="n"/>
      <c r="D38" s="14" t="n"/>
      <c r="E38" s="14" t="n"/>
      <c r="F38" s="14" t="n"/>
      <c r="G38" s="14" t="n"/>
      <c r="H38" s="14" t="n"/>
    </row>
    <row r="39">
      <c r="A39" s="14" t="n"/>
      <c r="B39" s="14" t="n"/>
      <c r="C39" s="14" t="n"/>
      <c r="D39" s="14" t="n"/>
      <c r="E39" s="14" t="n"/>
      <c r="F39" s="14" t="n"/>
      <c r="G39" s="14" t="n"/>
      <c r="H39" s="14" t="n"/>
    </row>
    <row r="40">
      <c r="A40" s="14" t="n"/>
      <c r="B40" s="14" t="n"/>
      <c r="C40" s="14" t="n"/>
      <c r="D40" s="14" t="n"/>
      <c r="E40" s="14" t="n"/>
      <c r="F40" s="14" t="n"/>
      <c r="G40" s="14" t="n"/>
      <c r="H40" s="14" t="n"/>
    </row>
    <row r="41">
      <c r="A41" s="14" t="n"/>
      <c r="B41" s="14" t="n"/>
      <c r="C41" s="14" t="n"/>
      <c r="D41" s="14" t="n"/>
      <c r="E41" s="14" t="n"/>
      <c r="F41" s="14" t="n"/>
      <c r="G41" s="14" t="n"/>
      <c r="H41" s="14" t="n"/>
    </row>
    <row r="42">
      <c r="A42" s="14" t="n"/>
      <c r="B42" s="14" t="n"/>
      <c r="C42" s="14" t="n"/>
      <c r="D42" s="14" t="n"/>
      <c r="E42" s="14" t="n"/>
      <c r="F42" s="14" t="n"/>
      <c r="G42" s="14" t="n"/>
      <c r="H42" s="14" t="n"/>
    </row>
    <row r="43">
      <c r="A43" s="14" t="n"/>
      <c r="B43" s="14" t="n"/>
      <c r="C43" s="14" t="n"/>
      <c r="D43" s="14" t="n"/>
      <c r="E43" s="14" t="n"/>
      <c r="F43" s="14" t="n"/>
      <c r="G43" s="14" t="n"/>
      <c r="H43" s="14" t="n"/>
    </row>
    <row r="44">
      <c r="A44" s="14" t="n"/>
      <c r="B44" s="14" t="n"/>
      <c r="C44" s="14" t="n"/>
      <c r="D44" s="14" t="n"/>
      <c r="E44" s="14" t="n"/>
      <c r="F44" s="14" t="n"/>
      <c r="G44" s="14" t="n"/>
      <c r="H44" s="14" t="n"/>
    </row>
    <row r="45">
      <c r="A45" s="14" t="n"/>
      <c r="B45" s="14" t="n"/>
      <c r="C45" s="14" t="n"/>
      <c r="D45" s="14" t="n"/>
      <c r="E45" s="14" t="n"/>
      <c r="F45" s="14" t="n"/>
      <c r="G45" s="14" t="n"/>
      <c r="H45" s="14" t="n"/>
    </row>
    <row r="46">
      <c r="A46" s="14" t="n"/>
      <c r="B46" s="14" t="n"/>
      <c r="C46" s="14" t="n"/>
      <c r="D46" s="14" t="n"/>
      <c r="E46" s="14" t="n"/>
      <c r="F46" s="14" t="n"/>
      <c r="G46" s="14" t="n"/>
      <c r="H46" s="14" t="n"/>
    </row>
    <row r="47">
      <c r="A47" s="14" t="n"/>
      <c r="B47" s="14" t="n"/>
      <c r="C47" s="14" t="n"/>
      <c r="D47" s="14" t="n"/>
      <c r="E47" s="14" t="n"/>
      <c r="F47" s="14" t="n"/>
      <c r="G47" s="14" t="n"/>
      <c r="H47" s="14" t="n"/>
    </row>
    <row r="48">
      <c r="A48" s="14" t="n"/>
      <c r="B48" s="14" t="n"/>
      <c r="C48" s="14" t="n"/>
      <c r="D48" s="14" t="n"/>
      <c r="E48" s="14" t="n"/>
      <c r="F48" s="14" t="n"/>
      <c r="G48" s="14" t="n"/>
      <c r="H48" s="14" t="n"/>
    </row>
    <row r="49">
      <c r="A49" s="14" t="n"/>
      <c r="B49" s="14" t="n"/>
      <c r="C49" s="14" t="n"/>
      <c r="D49" s="14" t="n"/>
      <c r="E49" s="14" t="n"/>
      <c r="F49" s="14" t="n"/>
      <c r="G49" s="14" t="n"/>
      <c r="H49" s="14" t="n"/>
    </row>
    <row r="50">
      <c r="A50" s="14" t="n"/>
      <c r="B50" s="14" t="n"/>
      <c r="C50" s="14" t="n"/>
      <c r="D50" s="14" t="n"/>
      <c r="E50" s="14" t="n"/>
      <c r="F50" s="14" t="n"/>
      <c r="G50" s="14" t="n"/>
      <c r="H50" s="14" t="n"/>
    </row>
    <row r="51">
      <c r="A51" s="14" t="n"/>
      <c r="B51" s="14" t="n"/>
      <c r="C51" s="14" t="n"/>
      <c r="D51" s="14" t="n"/>
      <c r="E51" s="14" t="n"/>
      <c r="F51" s="14" t="n"/>
      <c r="G51" s="14" t="n"/>
      <c r="H51" s="14" t="n"/>
    </row>
    <row r="52">
      <c r="A52" s="14" t="n"/>
      <c r="B52" s="14" t="n"/>
      <c r="C52" s="14" t="n"/>
      <c r="D52" s="14" t="n"/>
      <c r="E52" s="14" t="n"/>
      <c r="F52" s="14" t="n"/>
      <c r="G52" s="14" t="n"/>
      <c r="H52" s="14" t="n"/>
    </row>
    <row r="53">
      <c r="A53" s="14" t="n"/>
      <c r="B53" s="14" t="n"/>
      <c r="C53" s="14" t="n"/>
      <c r="D53" s="14" t="n"/>
      <c r="E53" s="14" t="n"/>
      <c r="F53" s="14" t="n"/>
      <c r="G53" s="14" t="n"/>
      <c r="H53" s="14" t="n"/>
    </row>
    <row r="54">
      <c r="A54" s="14" t="n"/>
      <c r="B54" s="14" t="n"/>
      <c r="C54" s="14" t="n"/>
      <c r="D54" s="14" t="n"/>
      <c r="E54" s="14" t="n"/>
      <c r="F54" s="14" t="n"/>
      <c r="G54" s="14" t="n"/>
      <c r="H54" s="14" t="n"/>
    </row>
    <row r="55">
      <c r="A55" s="14" t="n"/>
      <c r="B55" s="14" t="n"/>
      <c r="C55" s="14" t="n"/>
      <c r="D55" s="14" t="n"/>
      <c r="E55" s="14" t="n"/>
      <c r="F55" s="14" t="n"/>
      <c r="G55" s="14" t="n"/>
      <c r="H55" s="14" t="n"/>
    </row>
    <row r="56">
      <c r="A56" s="14" t="n"/>
      <c r="B56" s="14" t="n"/>
      <c r="C56" s="14" t="n"/>
      <c r="D56" s="14" t="n"/>
      <c r="E56" s="14" t="n"/>
      <c r="F56" s="14" t="n"/>
      <c r="G56" s="14" t="n"/>
      <c r="H56" s="14" t="n"/>
    </row>
    <row r="57">
      <c r="A57" s="14" t="n"/>
      <c r="B57" s="14" t="n"/>
      <c r="C57" s="14" t="n"/>
      <c r="D57" s="14" t="n"/>
      <c r="E57" s="14" t="n"/>
      <c r="F57" s="14" t="n"/>
      <c r="G57" s="14" t="n"/>
      <c r="H57" s="14" t="n"/>
    </row>
    <row r="58">
      <c r="A58" s="14" t="n"/>
      <c r="B58" s="14" t="n"/>
      <c r="C58" s="14" t="n"/>
      <c r="D58" s="14" t="n"/>
      <c r="E58" s="14" t="n"/>
      <c r="F58" s="14" t="n"/>
      <c r="G58" s="14" t="n"/>
      <c r="H58" s="14" t="n"/>
    </row>
    <row r="59">
      <c r="A59" s="14" t="n"/>
      <c r="B59" s="14" t="n"/>
      <c r="C59" s="14" t="n"/>
      <c r="D59" s="14" t="n"/>
      <c r="E59" s="14" t="n"/>
      <c r="F59" s="14" t="n"/>
      <c r="G59" s="14" t="n"/>
      <c r="H59" s="14" t="n"/>
    </row>
    <row r="60">
      <c r="A60" s="14" t="n"/>
      <c r="B60" s="14" t="n"/>
      <c r="C60" s="14" t="n"/>
      <c r="D60" s="14" t="n"/>
      <c r="E60" s="14" t="n"/>
      <c r="F60" s="14" t="n"/>
      <c r="G60" s="14" t="n"/>
      <c r="H60" s="14" t="n"/>
    </row>
    <row r="61">
      <c r="A61" s="14" t="n"/>
      <c r="B61" s="14" t="n"/>
      <c r="C61" s="14" t="n"/>
      <c r="D61" s="14" t="n"/>
      <c r="E61" s="14" t="n"/>
      <c r="F61" s="14" t="n"/>
      <c r="G61" s="14" t="n"/>
      <c r="H61" s="14" t="n"/>
    </row>
    <row r="62">
      <c r="A62" s="14" t="n"/>
      <c r="B62" s="14" t="n"/>
      <c r="C62" s="14" t="n"/>
      <c r="D62" s="14" t="n"/>
      <c r="E62" s="14" t="n"/>
      <c r="F62" s="14" t="n"/>
      <c r="G62" s="14" t="n"/>
      <c r="H62" s="14" t="n"/>
    </row>
    <row r="63">
      <c r="A63" s="14" t="n"/>
      <c r="B63" s="14" t="n"/>
      <c r="C63" s="14" t="n"/>
      <c r="D63" s="14" t="n"/>
      <c r="E63" s="14" t="n"/>
      <c r="F63" s="14" t="n"/>
      <c r="G63" s="14" t="n"/>
      <c r="H63" s="14" t="n"/>
    </row>
    <row r="64">
      <c r="A64" s="14" t="n"/>
      <c r="B64" s="14" t="n"/>
      <c r="C64" s="14" t="n"/>
      <c r="D64" s="14" t="n"/>
      <c r="E64" s="14" t="n"/>
      <c r="F64" s="14" t="n"/>
      <c r="G64" s="14" t="n"/>
      <c r="H64" s="14" t="n"/>
    </row>
    <row r="65">
      <c r="A65" s="14" t="n"/>
      <c r="B65" s="14" t="n"/>
      <c r="C65" s="14" t="n"/>
      <c r="D65" s="14" t="n"/>
      <c r="E65" s="14" t="n"/>
      <c r="F65" s="14" t="n"/>
      <c r="G65" s="14" t="n"/>
      <c r="H65" s="14" t="n"/>
    </row>
    <row r="66">
      <c r="A66" s="14" t="n"/>
      <c r="B66" s="14" t="n"/>
      <c r="C66" s="14" t="n"/>
      <c r="D66" s="14" t="n"/>
      <c r="E66" s="14" t="n"/>
      <c r="F66" s="14" t="n"/>
      <c r="G66" s="14" t="n"/>
      <c r="H66" s="14" t="n"/>
    </row>
    <row r="67">
      <c r="A67" s="14" t="n"/>
      <c r="B67" s="14" t="n"/>
      <c r="C67" s="14" t="n"/>
      <c r="D67" s="14" t="n"/>
      <c r="E67" s="14" t="n"/>
      <c r="F67" s="14" t="n"/>
      <c r="G67" s="14" t="n"/>
      <c r="H67" s="14" t="n"/>
    </row>
    <row r="68">
      <c r="A68" s="14" t="n"/>
      <c r="B68" s="14" t="n"/>
      <c r="C68" s="14" t="n"/>
      <c r="D68" s="14" t="n"/>
      <c r="E68" s="14" t="n"/>
      <c r="F68" s="14" t="n"/>
      <c r="G68" s="14" t="n"/>
      <c r="H68" s="14" t="n"/>
    </row>
    <row r="69">
      <c r="A69" s="14" t="n"/>
      <c r="B69" s="14" t="n"/>
      <c r="C69" s="14" t="n"/>
      <c r="D69" s="14" t="n"/>
      <c r="E69" s="14" t="n"/>
      <c r="F69" s="14" t="n"/>
      <c r="G69" s="14" t="n"/>
      <c r="H69" s="14" t="n"/>
    </row>
    <row r="70">
      <c r="A70" s="14" t="n"/>
      <c r="B70" s="14" t="n"/>
      <c r="C70" s="14" t="n"/>
      <c r="D70" s="14" t="n"/>
      <c r="E70" s="14" t="n"/>
      <c r="F70" s="14" t="n"/>
      <c r="G70" s="14" t="n"/>
      <c r="H70" s="14" t="n"/>
    </row>
    <row r="71">
      <c r="A71" s="14" t="n"/>
      <c r="B71" s="14" t="n"/>
      <c r="C71" s="14" t="n"/>
      <c r="D71" s="14" t="n"/>
      <c r="E71" s="14" t="n"/>
      <c r="F71" s="14" t="n"/>
      <c r="G71" s="14" t="n"/>
      <c r="H71" s="14" t="n"/>
    </row>
    <row r="72">
      <c r="A72" s="14" t="n"/>
      <c r="B72" s="14" t="n"/>
      <c r="C72" s="14" t="n"/>
      <c r="D72" s="14" t="n"/>
      <c r="E72" s="14" t="n"/>
      <c r="F72" s="14" t="n"/>
      <c r="G72" s="14" t="n"/>
      <c r="H72" s="14" t="n"/>
    </row>
    <row r="73">
      <c r="A73" s="14" t="n"/>
      <c r="B73" s="14" t="n"/>
      <c r="C73" s="14" t="n"/>
      <c r="D73" s="14" t="n"/>
      <c r="E73" s="14" t="n"/>
      <c r="F73" s="14" t="n"/>
      <c r="G73" s="14" t="n"/>
      <c r="H73" s="14" t="n"/>
    </row>
    <row r="74">
      <c r="A74" s="14" t="n"/>
      <c r="B74" s="14" t="n"/>
      <c r="C74" s="14" t="n"/>
      <c r="D74" s="14" t="n"/>
      <c r="E74" s="14" t="n"/>
      <c r="F74" s="14" t="n"/>
      <c r="G74" s="14" t="n"/>
      <c r="H74" s="14" t="n"/>
    </row>
    <row r="75">
      <c r="A75" s="14" t="n"/>
      <c r="B75" s="14" t="n"/>
      <c r="C75" s="14" t="n"/>
      <c r="D75" s="14" t="n"/>
      <c r="E75" s="14" t="n"/>
      <c r="F75" s="14" t="n"/>
      <c r="G75" s="14" t="n"/>
      <c r="H75" s="14" t="n"/>
    </row>
    <row r="76">
      <c r="A76" s="14" t="n"/>
      <c r="B76" s="14" t="n"/>
      <c r="C76" s="14" t="n"/>
      <c r="D76" s="14" t="n"/>
      <c r="E76" s="14" t="n"/>
      <c r="F76" s="14" t="n"/>
      <c r="G76" s="14" t="n"/>
      <c r="H76" s="14" t="n"/>
    </row>
    <row r="77">
      <c r="A77" s="14" t="n"/>
      <c r="B77" s="14" t="n"/>
      <c r="C77" s="14" t="n"/>
      <c r="D77" s="14" t="n"/>
      <c r="E77" s="14" t="n"/>
      <c r="F77" s="14" t="n"/>
      <c r="G77" s="14" t="n"/>
      <c r="H77" s="14" t="n"/>
    </row>
    <row r="78">
      <c r="A78" s="14" t="n"/>
      <c r="B78" s="14" t="n"/>
      <c r="C78" s="14" t="n"/>
      <c r="D78" s="14" t="n"/>
      <c r="E78" s="14" t="n"/>
      <c r="F78" s="14" t="n"/>
      <c r="G78" s="14" t="n"/>
      <c r="H78" s="14" t="n"/>
    </row>
    <row r="79">
      <c r="A79" s="14" t="n"/>
      <c r="B79" s="14" t="n"/>
      <c r="C79" s="14" t="n"/>
      <c r="D79" s="14" t="n"/>
      <c r="E79" s="14" t="n"/>
      <c r="F79" s="14" t="n"/>
      <c r="G79" s="14" t="n"/>
      <c r="H79" s="14" t="n"/>
    </row>
    <row r="80">
      <c r="A80" s="14" t="n"/>
      <c r="B80" s="14" t="n"/>
      <c r="C80" s="14" t="n"/>
      <c r="D80" s="14" t="n"/>
      <c r="E80" s="14" t="n"/>
      <c r="F80" s="14" t="n"/>
      <c r="G80" s="14" t="n"/>
      <c r="H80" s="14" t="n"/>
    </row>
    <row r="81">
      <c r="A81" s="14" t="n"/>
      <c r="B81" s="14" t="n"/>
      <c r="C81" s="14" t="n"/>
      <c r="D81" s="14" t="n"/>
      <c r="E81" s="14" t="n"/>
      <c r="F81" s="14" t="n"/>
      <c r="G81" s="14" t="n"/>
      <c r="H81" s="14" t="n"/>
    </row>
    <row r="82">
      <c r="A82" s="14" t="n"/>
      <c r="B82" s="14" t="n"/>
      <c r="C82" s="14" t="n"/>
      <c r="D82" s="14" t="n"/>
      <c r="E82" s="14" t="n"/>
      <c r="F82" s="14" t="n"/>
      <c r="G82" s="14" t="n"/>
      <c r="H82" s="14" t="n"/>
    </row>
    <row r="83">
      <c r="A83" s="14" t="n"/>
      <c r="B83" s="14" t="n"/>
      <c r="C83" s="14" t="n"/>
      <c r="D83" s="14" t="n"/>
      <c r="E83" s="14" t="n"/>
      <c r="F83" s="14" t="n"/>
      <c r="G83" s="14" t="n"/>
      <c r="H83" s="14" t="n"/>
    </row>
    <row r="84">
      <c r="A84" s="14" t="n"/>
      <c r="B84" s="14" t="n"/>
      <c r="C84" s="14" t="n"/>
      <c r="D84" s="14" t="n"/>
      <c r="E84" s="14" t="n"/>
      <c r="F84" s="14" t="n"/>
      <c r="G84" s="14" t="n"/>
      <c r="H84" s="14" t="n"/>
    </row>
    <row r="85">
      <c r="A85" s="14" t="n"/>
      <c r="B85" s="14" t="n"/>
      <c r="C85" s="14" t="n"/>
      <c r="D85" s="14" t="n"/>
      <c r="E85" s="14" t="n"/>
      <c r="F85" s="14" t="n"/>
      <c r="G85" s="14" t="n"/>
      <c r="H85" s="14" t="n"/>
    </row>
    <row r="86">
      <c r="A86" s="14" t="n"/>
      <c r="B86" s="14" t="n"/>
      <c r="C86" s="14" t="n"/>
      <c r="D86" s="14" t="n"/>
      <c r="E86" s="14" t="n"/>
      <c r="F86" s="14" t="n"/>
      <c r="G86" s="14" t="n"/>
      <c r="H86" s="14" t="n"/>
    </row>
    <row r="87">
      <c r="A87" s="14" t="n"/>
      <c r="B87" s="14" t="n"/>
      <c r="C87" s="14" t="n"/>
      <c r="D87" s="14" t="n"/>
      <c r="E87" s="14" t="n"/>
      <c r="F87" s="14" t="n"/>
      <c r="G87" s="14" t="n"/>
      <c r="H87" s="14" t="n"/>
    </row>
    <row r="88">
      <c r="A88" s="14" t="n"/>
      <c r="B88" s="14" t="n"/>
      <c r="C88" s="14" t="n"/>
      <c r="D88" s="14" t="n"/>
      <c r="E88" s="14" t="n"/>
      <c r="F88" s="14" t="n"/>
      <c r="G88" s="14" t="n"/>
      <c r="H88" s="14" t="n"/>
    </row>
    <row r="89">
      <c r="A89" s="14" t="n"/>
      <c r="B89" s="14" t="n"/>
      <c r="C89" s="14" t="n"/>
      <c r="D89" s="14" t="n"/>
      <c r="E89" s="14" t="n"/>
      <c r="F89" s="14" t="n"/>
      <c r="G89" s="14" t="n"/>
      <c r="H89" s="14" t="n"/>
    </row>
    <row r="90">
      <c r="A90" s="14" t="n"/>
      <c r="B90" s="14" t="n"/>
      <c r="C90" s="14" t="n"/>
      <c r="D90" s="14" t="n"/>
      <c r="E90" s="14" t="n"/>
      <c r="F90" s="14" t="n"/>
      <c r="G90" s="14" t="n"/>
      <c r="H90" s="14" t="n"/>
    </row>
    <row r="91">
      <c r="A91" s="14" t="n"/>
      <c r="B91" s="14" t="n"/>
      <c r="C91" s="14" t="n"/>
      <c r="D91" s="14" t="n"/>
      <c r="E91" s="14" t="n"/>
      <c r="F91" s="14" t="n"/>
      <c r="G91" s="14" t="n"/>
      <c r="H91" s="14" t="n"/>
    </row>
    <row r="92">
      <c r="A92" s="14" t="n"/>
      <c r="B92" s="14" t="n"/>
      <c r="C92" s="14" t="n"/>
      <c r="D92" s="14" t="n"/>
      <c r="E92" s="14" t="n"/>
      <c r="F92" s="14" t="n"/>
      <c r="G92" s="14" t="n"/>
      <c r="H92" s="14" t="n"/>
    </row>
    <row r="93">
      <c r="A93" s="14" t="n"/>
      <c r="B93" s="14" t="n"/>
      <c r="C93" s="14" t="n"/>
      <c r="D93" s="14" t="n"/>
      <c r="E93" s="14" t="n"/>
      <c r="F93" s="14" t="n"/>
      <c r="G93" s="14" t="n"/>
      <c r="H93" s="14" t="n"/>
    </row>
    <row r="94">
      <c r="A94" s="14" t="n"/>
      <c r="B94" s="14" t="n"/>
      <c r="C94" s="14" t="n"/>
      <c r="D94" s="14" t="n"/>
      <c r="E94" s="14" t="n"/>
      <c r="F94" s="14" t="n"/>
      <c r="G94" s="14" t="n"/>
      <c r="H94" s="14" t="n"/>
    </row>
    <row r="95">
      <c r="A95" s="14" t="n"/>
      <c r="B95" s="14" t="n"/>
      <c r="C95" s="14" t="n"/>
      <c r="D95" s="14" t="n"/>
      <c r="E95" s="14" t="n"/>
      <c r="F95" s="14" t="n"/>
      <c r="G95" s="14" t="n"/>
      <c r="H95" s="14" t="n"/>
    </row>
    <row r="96">
      <c r="A96" s="14" t="n"/>
      <c r="B96" s="14" t="n"/>
      <c r="C96" s="14" t="n"/>
      <c r="D96" s="14" t="n"/>
      <c r="E96" s="14" t="n"/>
      <c r="F96" s="14" t="n"/>
      <c r="G96" s="14" t="n"/>
      <c r="H96" s="14" t="n"/>
    </row>
    <row r="97">
      <c r="A97" s="14" t="n"/>
      <c r="B97" s="14" t="n"/>
      <c r="C97" s="14" t="n"/>
      <c r="D97" s="14" t="n"/>
      <c r="E97" s="14" t="n"/>
      <c r="F97" s="14" t="n"/>
      <c r="G97" s="14" t="n"/>
      <c r="H97" s="14" t="n"/>
    </row>
    <row r="98">
      <c r="A98" s="14" t="n"/>
      <c r="B98" s="14" t="n"/>
      <c r="C98" s="14" t="n"/>
      <c r="D98" s="14" t="n"/>
      <c r="E98" s="14" t="n"/>
      <c r="F98" s="14" t="n"/>
      <c r="G98" s="14" t="n"/>
      <c r="H98" s="14" t="n"/>
    </row>
    <row r="99">
      <c r="A99" s="14" t="n"/>
      <c r="B99" s="14" t="n"/>
      <c r="C99" s="14" t="n"/>
      <c r="D99" s="14" t="n"/>
      <c r="E99" s="14" t="n"/>
      <c r="F99" s="14" t="n"/>
      <c r="G99" s="14" t="n"/>
      <c r="H99" s="14" t="n"/>
    </row>
    <row r="100">
      <c r="A100" s="14" t="n"/>
      <c r="B100" s="14" t="n"/>
      <c r="C100" s="14" t="n"/>
      <c r="D100" s="14" t="n"/>
      <c r="E100" s="14" t="n"/>
      <c r="F100" s="14" t="n"/>
      <c r="G100" s="14" t="n"/>
      <c r="H100" s="14" t="n"/>
    </row>
    <row r="101">
      <c r="A101" s="14" t="n"/>
      <c r="B101" s="14" t="n"/>
      <c r="C101" s="14" t="n"/>
      <c r="D101" s="14" t="n"/>
      <c r="E101" s="14" t="n"/>
      <c r="F101" s="14" t="n"/>
      <c r="G101" s="14" t="n"/>
      <c r="H101" s="14" t="n"/>
    </row>
    <row r="102">
      <c r="A102" s="14" t="n"/>
      <c r="B102" s="14" t="n"/>
      <c r="C102" s="14" t="n"/>
      <c r="D102" s="14" t="n"/>
      <c r="E102" s="14" t="n"/>
      <c r="F102" s="14" t="n"/>
      <c r="G102" s="14" t="n"/>
      <c r="H102" s="14" t="n"/>
    </row>
    <row r="103">
      <c r="A103" s="14" t="n"/>
      <c r="B103" s="14" t="n"/>
      <c r="C103" s="14" t="n"/>
      <c r="D103" s="14" t="n"/>
      <c r="E103" s="14" t="n"/>
      <c r="F103" s="14" t="n"/>
      <c r="G103" s="14" t="n"/>
      <c r="H103" s="14" t="n"/>
    </row>
    <row r="104">
      <c r="A104" s="14" t="n"/>
      <c r="B104" s="14" t="n"/>
      <c r="C104" s="14" t="n"/>
      <c r="D104" s="14" t="n"/>
      <c r="E104" s="14" t="n"/>
      <c r="F104" s="14" t="n"/>
      <c r="G104" s="14" t="n"/>
      <c r="H104" s="14" t="n"/>
    </row>
    <row r="105">
      <c r="A105" s="14" t="n"/>
      <c r="B105" s="14" t="n"/>
      <c r="C105" s="14" t="n"/>
      <c r="D105" s="14" t="n"/>
      <c r="E105" s="14" t="n"/>
      <c r="F105" s="14" t="n"/>
      <c r="G105" s="14" t="n"/>
      <c r="H105" s="14" t="n"/>
    </row>
  </sheetData>
  <mergeCells count="2">
    <mergeCell ref="A2:H2"/>
    <mergeCell ref="A1:H1"/>
  </mergeCells>
  <dataValidations count="2">
    <dataValidation sqref="C5:C105" showDropDown="0" showInputMessage="0" showErrorMessage="0" allowBlank="1" type="list">
      <formula1>"Configuration file,Screenshot,Network scan,Documentation,Vendor spec,Certificate inventory,Audit log,Compliance report,Other"</formula1>
    </dataValidation>
    <dataValidation sqref="H5:H105" showDropDown="0" showInputMessage="0" showErrorMessage="0" allowBlank="1" type="list">
      <formula1>"Verified,Pending verification,Not verified,Requires update"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8" customWidth="1" min="4" max="4"/>
    <col width="18" customWidth="1" min="5" max="5"/>
    <col width="12" customWidth="1" min="6" max="6"/>
    <col width="15" customWidth="1" min="7" max="7"/>
  </cols>
  <sheetData>
    <row r="1" ht="35" customHeight="1">
      <c r="A1" s="19" t="inlineStr">
        <is>
          <t>AUDIT ACTIVITY MANAGEMENT — SUMMARY DASHBOARD</t>
        </is>
      </c>
      <c r="B1" s="20" t="n"/>
      <c r="C1" s="20" t="n"/>
      <c r="D1" s="20" t="n"/>
      <c r="E1" s="20" t="n"/>
      <c r="F1" s="20" t="n"/>
      <c r="G1" s="20" t="n"/>
    </row>
    <row r="2">
      <c r="A2" s="21" t="inlineStr">
        <is>
          <t>ISO/IEC 27001:2022 — Control A.8.33-34: Testing Information Protection and Audit Logging</t>
        </is>
      </c>
    </row>
    <row r="4">
      <c r="A4" s="22" t="inlineStr">
        <is>
          <t>TABLE 1: ASSESSMENT AREA COMPLIANCE OVERVIEW</t>
        </is>
      </c>
    </row>
    <row r="5">
      <c r="A5" s="23" t="inlineStr">
        <is>
          <t>Assessment Area</t>
        </is>
      </c>
      <c r="B5" s="23" t="inlineStr">
        <is>
          <t>Total Items</t>
        </is>
      </c>
      <c r="C5" s="23" t="inlineStr">
        <is>
          <t>Compliant</t>
        </is>
      </c>
      <c r="D5" s="23" t="inlineStr">
        <is>
          <t>Partial</t>
        </is>
      </c>
      <c r="E5" s="23" t="inlineStr">
        <is>
          <t>Non-Compliant</t>
        </is>
      </c>
      <c r="F5" s="23" t="inlineStr">
        <is>
          <t>N/A</t>
        </is>
      </c>
      <c r="G5" s="23" t="inlineStr">
        <is>
          <t>Compliance %</t>
        </is>
      </c>
    </row>
    <row r="6">
      <c r="A6" s="6" t="inlineStr">
        <is>
          <t>Audit Activity Register</t>
        </is>
      </c>
      <c r="B6" s="24">
        <f>COUNTA('Audit Activity Register'!B7:B56)</f>
        <v/>
      </c>
      <c r="C6" s="24">
        <f>COUNTIF('Audit Activity Register'!L7:L56,"Approved")</f>
        <v/>
      </c>
      <c r="D6" s="24">
        <f>COUNTIF('Audit Activity Register'!L7:L56,"Pending")</f>
        <v/>
      </c>
      <c r="E6" s="24">
        <f>COUNTIF('Audit Activity Register'!L7:L56,"Not Required")</f>
        <v/>
      </c>
      <c r="F6" s="24">
        <f>COUNTIF('Audit Activity Register'!L7:L56,"N/A")</f>
        <v/>
      </c>
      <c r="G6" s="25">
        <f>IF((B6-F6)=0,0,C6/(B6-F6))</f>
        <v/>
      </c>
    </row>
    <row r="7">
      <c r="A7" s="6" t="inlineStr">
        <is>
          <t>Audit Tool Authorisation</t>
        </is>
      </c>
      <c r="B7" s="24">
        <f>COUNTA('Audit Tool Authorisation'!B7:B56)</f>
        <v/>
      </c>
      <c r="C7" s="24">
        <f>COUNTIF('Audit Tool Authorisation'!G7:G56,"Authorised")</f>
        <v/>
      </c>
      <c r="D7" s="24">
        <f>COUNTIF('Audit Tool Authorisation'!G7:G56,"Pending")</f>
        <v/>
      </c>
      <c r="E7" s="24">
        <f>COUNTIF('Audit Tool Authorisation'!G7:G56,"Unauthorised")+COUNTIF('Audit Tool Authorisation'!G7:G56,"Prohibited")</f>
        <v/>
      </c>
      <c r="F7" s="24">
        <f>COUNTIF('Audit Tool Authorisation'!G7:G56,"N/A")</f>
        <v/>
      </c>
      <c r="G7" s="25">
        <f>IF((B7-F7)=0,0,C7/(B7-F7))</f>
        <v/>
      </c>
    </row>
    <row r="8">
      <c r="A8" s="6" t="inlineStr">
        <is>
          <t>Audit Access Tracking</t>
        </is>
      </c>
      <c r="B8" s="24">
        <f>COUNTA('Audit Access Tracking'!B7:B56)</f>
        <v/>
      </c>
      <c r="C8" s="24">
        <f>COUNTIF('Audit Access Tracking'!M7:M56,"Approved")</f>
        <v/>
      </c>
      <c r="D8" s="24">
        <f>COUNTIF('Audit Access Tracking'!M7:M56,"Pending")</f>
        <v/>
      </c>
      <c r="E8" s="24">
        <f>COUNTIF('Audit Access Tracking'!M7:M56,"Denied")</f>
        <v/>
      </c>
      <c r="F8" s="24">
        <f>COUNTIF('Audit Access Tracking'!M7:M56,"N/A")</f>
        <v/>
      </c>
      <c r="G8" s="25">
        <f>IF((B8-F8)=0,0,C8/(B8-F8))</f>
        <v/>
      </c>
    </row>
    <row r="9">
      <c r="A9" s="6" t="inlineStr">
        <is>
          <t>Disruption Mitigation Plans</t>
        </is>
      </c>
      <c r="B9" s="24">
        <f>COUNTA('Disruption Mitigation Plans'!B7:B56)</f>
        <v/>
      </c>
      <c r="C9" s="24">
        <f>COUNTIF('Disruption Mitigation Plans'!K7:K56,"Yes")</f>
        <v/>
      </c>
      <c r="D9" s="24">
        <f>COUNTIF('Disruption Mitigation Plans'!K7:K56,"Already Scheduled")</f>
        <v/>
      </c>
      <c r="E9" s="24">
        <f>COUNTIF('Disruption Mitigation Plans'!K7:K56,"No")</f>
        <v/>
      </c>
      <c r="F9" s="24">
        <f>COUNTIF('Disruption Mitigation Plans'!K7:K56,"N/A")</f>
        <v/>
      </c>
      <c r="G9" s="25">
        <f>IF((B9-F9)=0,0,C9/(B9-F9))</f>
        <v/>
      </c>
    </row>
    <row r="10">
      <c r="A10" s="6" t="inlineStr">
        <is>
          <t>Audit Evidence Protection</t>
        </is>
      </c>
      <c r="B10" s="24">
        <f>COUNTA('Audit Evidence Protection'!B7:B56)</f>
        <v/>
      </c>
      <c r="C10" s="24">
        <f>COUNTIF('Audit Evidence Protection'!D7:D56,"Restricted")</f>
        <v/>
      </c>
      <c r="D10" s="24">
        <f>COUNTIF('Audit Evidence Protection'!D7:D56,"Confidential")</f>
        <v/>
      </c>
      <c r="E10" s="24">
        <f>COUNTIF('Audit Evidence Protection'!D7:D56,"Internal")+COUNTIF('Audit Evidence Protection'!D7:D56,"Public")</f>
        <v/>
      </c>
      <c r="F10" s="24">
        <f>COUNTIF('Audit Evidence Protection'!D7:D56,"N/A")</f>
        <v/>
      </c>
      <c r="G10" s="25">
        <f>IF((B10-F10)=0,0,C10/(B10-F10))</f>
        <v/>
      </c>
    </row>
    <row r="11">
      <c r="A11" s="26" t="inlineStr">
        <is>
          <t>TOTAL</t>
        </is>
      </c>
      <c r="B11" s="27">
        <f>SUM(B6:B10)</f>
        <v/>
      </c>
      <c r="C11" s="27">
        <f>SUM(C6:C10)</f>
        <v/>
      </c>
      <c r="D11" s="27">
        <f>SUM(D6:D10)</f>
        <v/>
      </c>
      <c r="E11" s="27">
        <f>SUM(E6:E10)</f>
        <v/>
      </c>
      <c r="F11" s="27">
        <f>SUM(F6:F10)</f>
        <v/>
      </c>
      <c r="G11" s="28">
        <f>IF((B11-F11)=0,0,C11/(B11-F11))</f>
        <v/>
      </c>
    </row>
    <row r="13">
      <c r="A13" s="29" t="inlineStr">
        <is>
          <t>TABLE 2: KEY METRICS</t>
        </is>
      </c>
      <c r="B13" s="6" t="n"/>
      <c r="C13" s="6" t="n"/>
      <c r="D13" s="6" t="n"/>
      <c r="E13" s="6" t="n"/>
      <c r="F13" s="6" t="n"/>
      <c r="G13" s="6" t="n"/>
    </row>
    <row r="14">
      <c r="A14" s="27" t="inlineStr">
        <is>
          <t>Metric</t>
        </is>
      </c>
      <c r="B14" s="27" t="inlineStr">
        <is>
          <t>Value</t>
        </is>
      </c>
      <c r="C14" s="27" t="n"/>
      <c r="D14" s="27" t="n"/>
      <c r="E14" s="27" t="n"/>
      <c r="F14" s="27" t="n"/>
      <c r="G14" s="27" t="n"/>
    </row>
    <row r="15">
      <c r="A15" s="30" t="inlineStr">
        <is>
          <t>Total Audit Activities</t>
        </is>
      </c>
      <c r="B15" s="24">
        <f>COUNTA('Audit Activity Register'!B7:B56)</f>
        <v/>
      </c>
      <c r="C15" s="6" t="n"/>
      <c r="D15" s="6" t="n"/>
      <c r="E15" s="6" t="n"/>
      <c r="F15" s="6" t="n"/>
      <c r="G15" s="6" t="n"/>
    </row>
    <row r="16">
      <c r="A16" s="30" t="inlineStr">
        <is>
          <t>Pending Approval</t>
        </is>
      </c>
      <c r="B16" s="24">
        <f>COUNTIF('Audit Activity Register'!L7:L56,"Pending")</f>
        <v/>
      </c>
      <c r="C16" s="6" t="n"/>
      <c r="D16" s="6" t="n"/>
      <c r="E16" s="6" t="n"/>
      <c r="F16" s="6" t="n"/>
      <c r="G16" s="6" t="n"/>
    </row>
    <row r="17">
      <c r="A17" s="30" t="inlineStr">
        <is>
          <t>Vulnerability Scans</t>
        </is>
      </c>
      <c r="B17" s="24">
        <f>COUNTIF('Audit Activity Register'!C7:C56,"Vulnerability Assessment")</f>
        <v/>
      </c>
      <c r="C17" s="6" t="n"/>
      <c r="D17" s="6" t="n"/>
      <c r="E17" s="6" t="n"/>
      <c r="F17" s="6" t="n"/>
      <c r="G17" s="6" t="n"/>
    </row>
    <row r="18">
      <c r="A18" s="30" t="inlineStr">
        <is>
          <t>Penetration Tests</t>
        </is>
      </c>
      <c r="B18" s="24">
        <f>COUNTIF('Audit Activity Register'!C7:C56,"Penetration Test")</f>
        <v/>
      </c>
      <c r="C18" s="6" t="n"/>
      <c r="D18" s="6" t="n"/>
      <c r="E18" s="6" t="n"/>
      <c r="F18" s="6" t="n"/>
      <c r="G18" s="6" t="n"/>
    </row>
    <row r="19">
      <c r="A19" s="30" t="inlineStr">
        <is>
          <t>Total Audit Tools</t>
        </is>
      </c>
      <c r="B19" s="24">
        <f>COUNTA('Audit Tool Authorisation'!B7:B56)</f>
        <v/>
      </c>
      <c r="C19" s="6" t="n"/>
      <c r="D19" s="6" t="n"/>
      <c r="E19" s="6" t="n"/>
      <c r="F19" s="6" t="n"/>
      <c r="G19" s="6" t="n"/>
    </row>
    <row r="20">
      <c r="A20" s="30" t="inlineStr">
        <is>
          <t>Authorised Tools</t>
        </is>
      </c>
      <c r="B20" s="24">
        <f>COUNTIF('Audit Tool Authorisation'!G7:G56,"Authorised")</f>
        <v/>
      </c>
      <c r="C20" s="6" t="n"/>
      <c r="D20" s="6" t="n"/>
      <c r="E20" s="6" t="n"/>
      <c r="F20" s="6" t="n"/>
      <c r="G20" s="6" t="n"/>
    </row>
    <row r="21">
      <c r="A21" s="30" t="inlineStr">
        <is>
          <t>Unauthorised Tools</t>
        </is>
      </c>
      <c r="B21" s="24">
        <f>COUNTIF('Audit Tool Authorisation'!G7:G56,"Unauthorised")</f>
        <v/>
      </c>
      <c r="C21" s="6" t="n"/>
      <c r="D21" s="6" t="n"/>
      <c r="E21" s="6" t="n"/>
      <c r="F21" s="6" t="n"/>
      <c r="G21" s="6" t="n"/>
    </row>
    <row r="22">
      <c r="A22" s="30" t="inlineStr">
        <is>
          <t>Total Access Requests</t>
        </is>
      </c>
      <c r="B22" s="24">
        <f>COUNTA('Audit Access Tracking'!B7:B56)</f>
        <v/>
      </c>
      <c r="C22" s="6" t="n"/>
      <c r="D22" s="6" t="n"/>
      <c r="E22" s="6" t="n"/>
      <c r="F22" s="6" t="n"/>
      <c r="G22" s="6" t="n"/>
    </row>
    <row r="23">
      <c r="A23" s="30" t="inlineStr">
        <is>
          <t>Approved Access</t>
        </is>
      </c>
      <c r="B23" s="24">
        <f>COUNTIF('Audit Access Tracking'!M7:M56,"Approved")</f>
        <v/>
      </c>
      <c r="C23" s="6" t="n"/>
      <c r="D23" s="6" t="n"/>
      <c r="E23" s="6" t="n"/>
      <c r="F23" s="6" t="n"/>
      <c r="G23" s="6" t="n"/>
    </row>
    <row r="24">
      <c r="A24" s="30" t="inlineStr">
        <is>
          <t>Denied Access</t>
        </is>
      </c>
      <c r="B24" s="24">
        <f>COUNTIF('Audit Access Tracking'!M7:M56,"Denied")</f>
        <v/>
      </c>
      <c r="C24" s="6" t="n"/>
      <c r="D24" s="6" t="n"/>
      <c r="E24" s="6" t="n"/>
      <c r="F24" s="6" t="n"/>
      <c r="G24" s="6" t="n"/>
    </row>
    <row r="25">
      <c r="A25" s="30" t="inlineStr">
        <is>
          <t>Critical Systems</t>
        </is>
      </c>
      <c r="B25" s="24">
        <f>COUNTIF('Disruption Mitigation Plans'!C7:C56,"Critical")</f>
        <v/>
      </c>
      <c r="C25" s="6" t="n"/>
      <c r="D25" s="6" t="n"/>
      <c r="E25" s="6" t="n"/>
      <c r="F25" s="6" t="n"/>
      <c r="G25" s="6" t="n"/>
    </row>
    <row r="26">
      <c r="A26" s="30" t="inlineStr">
        <is>
          <t>Plans Requiring Backup</t>
        </is>
      </c>
      <c r="B26" s="24">
        <f>COUNTIF('Disruption Mitigation Plans'!K7:K56,"Yes")</f>
        <v/>
      </c>
      <c r="C26" s="6" t="n"/>
      <c r="D26" s="6" t="n"/>
      <c r="E26" s="6" t="n"/>
      <c r="F26" s="6" t="n"/>
      <c r="G26" s="6" t="n"/>
    </row>
    <row r="27">
      <c r="A27" s="30" t="inlineStr">
        <is>
          <t>Total Evidence Items</t>
        </is>
      </c>
      <c r="B27" s="24">
        <f>COUNTA('Audit Evidence Protection'!B7:B56)</f>
        <v/>
      </c>
      <c r="C27" s="6" t="n"/>
      <c r="D27" s="6" t="n"/>
      <c r="E27" s="6" t="n"/>
      <c r="F27" s="6" t="n"/>
      <c r="G27" s="6" t="n"/>
    </row>
    <row r="28">
      <c r="A28" s="30" t="inlineStr">
        <is>
          <t>Restricted Evidence</t>
        </is>
      </c>
      <c r="B28" s="24">
        <f>COUNTIF('Audit Evidence Protection'!D7:D56,"Restricted")</f>
        <v/>
      </c>
      <c r="C28" s="6" t="n"/>
      <c r="D28" s="6" t="n"/>
      <c r="E28" s="6" t="n"/>
      <c r="F28" s="6" t="n"/>
      <c r="G28" s="6" t="n"/>
    </row>
    <row r="29">
      <c r="A29" s="30" t="inlineStr">
        <is>
          <t>Legal Hold Applicable</t>
        </is>
      </c>
      <c r="B29" s="24">
        <f>COUNTIF('Audit Evidence Protection'!R7:R56,"Yes")</f>
        <v/>
      </c>
      <c r="C29" s="6" t="n"/>
      <c r="D29" s="6" t="n"/>
      <c r="E29" s="6" t="n"/>
      <c r="F29" s="6" t="n"/>
      <c r="G29" s="6" t="n"/>
    </row>
    <row r="30">
      <c r="A30" s="6" t="n"/>
      <c r="B30" s="6" t="n"/>
      <c r="C30" s="6" t="n"/>
      <c r="D30" s="6" t="n"/>
      <c r="E30" s="6" t="n"/>
      <c r="F30" s="6" t="n"/>
      <c r="G30" s="6" t="n"/>
    </row>
    <row r="31">
      <c r="A31" s="6" t="n"/>
      <c r="B31" s="6" t="n"/>
      <c r="C31" s="6" t="n"/>
      <c r="D31" s="6" t="n"/>
      <c r="E31" s="6" t="n"/>
      <c r="F31" s="6" t="n"/>
      <c r="G31" s="6" t="n"/>
    </row>
    <row r="33">
      <c r="A33" s="31" t="inlineStr">
        <is>
          <t>TABLE 3: CRITICAL FINDINGS REQUIRING IMMEDIATE ATTENTION</t>
        </is>
      </c>
      <c r="B33" s="6" t="n"/>
      <c r="C33" s="6" t="n"/>
      <c r="D33" s="6" t="n"/>
      <c r="E33" s="6" t="n"/>
      <c r="F33" s="6" t="n"/>
      <c r="G33" s="6" t="n"/>
    </row>
    <row r="34">
      <c r="A34" s="27" t="inlineStr">
        <is>
          <t>Category</t>
        </is>
      </c>
      <c r="B34" s="27" t="inlineStr">
        <is>
          <t>Finding</t>
        </is>
      </c>
      <c r="C34" s="27" t="inlineStr">
        <is>
          <t>Count</t>
        </is>
      </c>
      <c r="D34" s="27" t="inlineStr">
        <is>
          <t>Severity</t>
        </is>
      </c>
      <c r="E34" s="27" t="inlineStr">
        <is>
          <t>Action Required</t>
        </is>
      </c>
      <c r="F34" s="27" t="n"/>
      <c r="G34" s="27" t="n"/>
    </row>
    <row r="35">
      <c r="A35" s="32" t="inlineStr">
        <is>
          <t>Audit Tool Authorisation</t>
        </is>
      </c>
      <c r="B35" s="32" t="inlineStr">
        <is>
          <t>Tools without authorisation</t>
        </is>
      </c>
      <c r="C35" s="33">
        <f>COUNTIF('Audit Tool Authorisation'!G7:G56,"Unauthorised")</f>
        <v/>
      </c>
      <c r="D35" s="32" t="inlineStr">
        <is>
          <t>Critical</t>
        </is>
      </c>
      <c r="E35" s="32" t="inlineStr">
        <is>
          <t>Immediate</t>
        </is>
      </c>
      <c r="F35" s="32" t="n"/>
      <c r="G35" s="32" t="n"/>
    </row>
    <row r="36">
      <c r="A36" s="32" t="inlineStr">
        <is>
          <t>Audit Tool Authorisation</t>
        </is>
      </c>
      <c r="B36" s="32" t="inlineStr">
        <is>
          <t>Prohibited tools in use</t>
        </is>
      </c>
      <c r="C36" s="33">
        <f>COUNTIF('Audit Tool Authorisation'!G7:G56,"Prohibited")</f>
        <v/>
      </c>
      <c r="D36" s="32" t="inlineStr">
        <is>
          <t>Critical</t>
        </is>
      </c>
      <c r="E36" s="32" t="inlineStr">
        <is>
          <t>Immediate</t>
        </is>
      </c>
      <c r="F36" s="32" t="n"/>
      <c r="G36" s="32" t="n"/>
    </row>
    <row r="37">
      <c r="A37" s="32" t="inlineStr">
        <is>
          <t>Disruption Mitigation Plans</t>
        </is>
      </c>
      <c r="B37" s="32" t="inlineStr">
        <is>
          <t>Critical systems without plans</t>
        </is>
      </c>
      <c r="C37" s="33">
        <f>COUNTIF('Disruption Mitigation Plans'!C7:C56,"Critical")</f>
        <v/>
      </c>
      <c r="D37" s="32" t="inlineStr">
        <is>
          <t>Critical</t>
        </is>
      </c>
      <c r="E37" s="32" t="inlineStr">
        <is>
          <t>Immediate</t>
        </is>
      </c>
      <c r="F37" s="32" t="n"/>
      <c r="G37" s="32" t="n"/>
    </row>
    <row r="38">
      <c r="A38" s="32" t="inlineStr">
        <is>
          <t>Audit Tool Authorisation</t>
        </is>
      </c>
      <c r="B38" s="32" t="inlineStr">
        <is>
          <t>High-risk tools</t>
        </is>
      </c>
      <c r="C38" s="33">
        <f>COUNTIF('Audit Tool Authorisation'!J7:J56,"High")</f>
        <v/>
      </c>
      <c r="D38" s="32" t="inlineStr">
        <is>
          <t>High</t>
        </is>
      </c>
      <c r="E38" s="32" t="inlineStr">
        <is>
          <t>Urgent</t>
        </is>
      </c>
      <c r="F38" s="32" t="n"/>
      <c r="G38" s="32" t="n"/>
    </row>
    <row r="39">
      <c r="A39" s="32" t="inlineStr">
        <is>
          <t>Audit Access Tracking</t>
        </is>
      </c>
      <c r="B39" s="32" t="inlineStr">
        <is>
          <t>Access denied (approval gap)</t>
        </is>
      </c>
      <c r="C39" s="33">
        <f>COUNTIF('Audit Access Tracking'!M7:M56,"Denied")</f>
        <v/>
      </c>
      <c r="D39" s="32" t="inlineStr">
        <is>
          <t>High</t>
        </is>
      </c>
      <c r="E39" s="32" t="inlineStr">
        <is>
          <t>Urgent</t>
        </is>
      </c>
      <c r="F39" s="32" t="n"/>
      <c r="G39" s="32" t="n"/>
    </row>
    <row r="40">
      <c r="A40" s="32" t="inlineStr">
        <is>
          <t>Disruption Mitigation Plans</t>
        </is>
      </c>
      <c r="B40" s="32" t="inlineStr">
        <is>
          <t>High-risk systems without plans</t>
        </is>
      </c>
      <c r="C40" s="33">
        <f>COUNTIF('Disruption Mitigation Plans'!C7:C56,"High")</f>
        <v/>
      </c>
      <c r="D40" s="32" t="inlineStr">
        <is>
          <t>High</t>
        </is>
      </c>
      <c r="E40" s="32" t="inlineStr">
        <is>
          <t>Urgent</t>
        </is>
      </c>
      <c r="F40" s="32" t="n"/>
      <c r="G40" s="32" t="n"/>
    </row>
    <row r="41">
      <c r="A41" s="32" t="inlineStr">
        <is>
          <t>Audit Tool Authorisation</t>
        </is>
      </c>
      <c r="B41" s="32" t="inlineStr">
        <is>
          <t>Usage logging not enabled</t>
        </is>
      </c>
      <c r="C41" s="33">
        <f>COUNTIF('Audit Tool Authorisation'!R7:R56,"No")</f>
        <v/>
      </c>
      <c r="D41" s="32" t="inlineStr">
        <is>
          <t>Medium</t>
        </is>
      </c>
      <c r="E41" s="32" t="inlineStr">
        <is>
          <t>Plan</t>
        </is>
      </c>
      <c r="F41" s="32" t="n"/>
      <c r="G41" s="32" t="n"/>
    </row>
    <row r="42">
      <c r="A42" s="32" t="inlineStr">
        <is>
          <t>Audit Tool Authorisation</t>
        </is>
      </c>
      <c r="B42" s="32" t="inlineStr">
        <is>
          <t>Expired tool licenses</t>
        </is>
      </c>
      <c r="C42" s="33">
        <f>COUNTIF('Audit Tool Authorisation'!S7:S56,"Expired")</f>
        <v/>
      </c>
      <c r="D42" s="32" t="inlineStr">
        <is>
          <t>Medium</t>
        </is>
      </c>
      <c r="E42" s="32" t="inlineStr">
        <is>
          <t>Plan</t>
        </is>
      </c>
      <c r="F42" s="32" t="n"/>
      <c r="G42" s="32" t="n"/>
    </row>
    <row r="43">
      <c r="A43" s="32" t="inlineStr">
        <is>
          <t>Audit Access Tracking</t>
        </is>
      </c>
      <c r="B43" s="32" t="inlineStr">
        <is>
          <t>Expired access not revoked</t>
        </is>
      </c>
      <c r="C43" s="33">
        <f>COUNTIF('Audit Access Tracking'!L7:L56,"Expired")</f>
        <v/>
      </c>
      <c r="D43" s="32" t="inlineStr">
        <is>
          <t>Medium</t>
        </is>
      </c>
      <c r="E43" s="32" t="inlineStr">
        <is>
          <t>Plan</t>
        </is>
      </c>
      <c r="F43" s="32" t="n"/>
      <c r="G43" s="32" t="n"/>
    </row>
    <row r="44">
      <c r="A44" s="32" t="inlineStr">
        <is>
          <t>Disruption Mitigation Plans</t>
        </is>
      </c>
      <c r="B44" s="32" t="inlineStr">
        <is>
          <t>No backup before testing</t>
        </is>
      </c>
      <c r="C44" s="33">
        <f>COUNTIF('Disruption Mitigation Plans'!K7:K56,"No")</f>
        <v/>
      </c>
      <c r="D44" s="32" t="inlineStr">
        <is>
          <t>Medium</t>
        </is>
      </c>
      <c r="E44" s="32" t="inlineStr">
        <is>
          <t>Plan</t>
        </is>
      </c>
      <c r="F44" s="32" t="n"/>
      <c r="G44" s="32" t="n"/>
    </row>
    <row r="45">
      <c r="A45" s="14" t="n"/>
      <c r="B45" s="14" t="n"/>
      <c r="C45" s="14" t="n"/>
      <c r="D45" s="14" t="n"/>
      <c r="E45" s="14" t="n"/>
      <c r="F45" s="14" t="n"/>
      <c r="G45" s="14" t="n"/>
    </row>
    <row r="46">
      <c r="A46" s="14" t="n"/>
      <c r="B46" s="14" t="n"/>
      <c r="C46" s="14" t="n"/>
      <c r="D46" s="14" t="n"/>
      <c r="E46" s="14" t="n"/>
      <c r="F46" s="14" t="n"/>
      <c r="G46" s="14" t="n"/>
    </row>
  </sheetData>
  <mergeCells count="5">
    <mergeCell ref="A13:G13"/>
    <mergeCell ref="A1:G1"/>
    <mergeCell ref="A4:G4"/>
    <mergeCell ref="A2:G2"/>
    <mergeCell ref="A33:G3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16" t="inlineStr">
        <is>
          <t>ASSESSMENT APPROVAL AND SIGN-OFF</t>
        </is>
      </c>
      <c r="B1" s="6" t="n"/>
      <c r="C1" s="6" t="n"/>
      <c r="D1" s="6" t="n"/>
      <c r="E1" s="6" t="n"/>
    </row>
    <row r="2">
      <c r="A2" s="34" t="inlineStr">
        <is>
          <t>ISO/IEC 27001:2022 - Control A.8.33-34: Testing and Audit Protection</t>
        </is>
      </c>
      <c r="B2" s="6" t="n"/>
      <c r="C2" s="6" t="n"/>
      <c r="D2" s="6" t="n"/>
      <c r="E2" s="6" t="n"/>
    </row>
    <row r="3">
      <c r="A3" s="35" t="inlineStr">
        <is>
          <t>ASSESSMENT SUMMARY</t>
        </is>
      </c>
      <c r="B3" s="6" t="n"/>
      <c r="C3" s="6" t="n"/>
      <c r="D3" s="6" t="n"/>
      <c r="E3" s="6" t="n"/>
    </row>
    <row r="4">
      <c r="A4" s="36" t="inlineStr">
        <is>
          <t>Document:</t>
        </is>
      </c>
      <c r="B4" s="6" t="inlineStr">
        <is>
          <t>ISMS-IMP-A.8.33-34.2 - Audit Activity Management Assessment</t>
        </is>
      </c>
      <c r="C4" s="6" t="n"/>
      <c r="D4" s="6" t="n"/>
      <c r="E4" s="6" t="n"/>
    </row>
    <row r="5">
      <c r="A5" s="36" t="inlineStr">
        <is>
          <t>Assessment Period:</t>
        </is>
      </c>
      <c r="B5" s="14" t="inlineStr"/>
      <c r="C5" s="6" t="n"/>
      <c r="D5" s="6" t="n"/>
      <c r="E5" s="6" t="n"/>
    </row>
    <row r="6">
      <c r="A6" s="36" t="inlineStr">
        <is>
          <t>Overall Compliance Rating:</t>
        </is>
      </c>
      <c r="B6" s="6">
        <f>'Summary Dashboard'!G11</f>
        <v/>
      </c>
      <c r="C6" s="6" t="n"/>
      <c r="D6" s="6" t="n"/>
      <c r="E6" s="6" t="n"/>
    </row>
    <row r="7">
      <c r="A7" s="36" t="inlineStr">
        <is>
          <t>Assessment Status:</t>
        </is>
      </c>
      <c r="B7" s="14" t="inlineStr"/>
      <c r="C7" s="6" t="n"/>
      <c r="D7" s="6" t="n"/>
      <c r="E7" s="6" t="n"/>
    </row>
    <row r="8">
      <c r="A8" s="36" t="inlineStr">
        <is>
          <t>Assessed By:</t>
        </is>
      </c>
      <c r="B8" s="14" t="inlineStr"/>
      <c r="C8" s="6" t="n"/>
      <c r="D8" s="6" t="n"/>
      <c r="E8" s="6" t="n"/>
    </row>
    <row r="11">
      <c r="A11" s="35" t="inlineStr">
        <is>
          <t>COMPLETED BY (ASSESSOR)</t>
        </is>
      </c>
      <c r="B11" s="6" t="n"/>
      <c r="C11" s="6" t="n"/>
      <c r="D11" s="6" t="n"/>
      <c r="E11" s="6" t="n"/>
    </row>
    <row r="12">
      <c r="A12" s="36" t="inlineStr">
        <is>
          <t>Name:</t>
        </is>
      </c>
      <c r="B12" s="14" t="n"/>
      <c r="C12" s="6" t="n"/>
      <c r="D12" s="6" t="n"/>
      <c r="E12" s="6" t="n"/>
    </row>
    <row r="13">
      <c r="A13" s="36" t="inlineStr">
        <is>
          <t>Title:</t>
        </is>
      </c>
      <c r="B13" s="14" t="n"/>
      <c r="C13" s="6" t="n"/>
      <c r="D13" s="6" t="n"/>
      <c r="E13" s="6" t="n"/>
    </row>
    <row r="14">
      <c r="A14" s="36" t="inlineStr">
        <is>
          <t>Date:</t>
        </is>
      </c>
      <c r="B14" s="14" t="n"/>
      <c r="C14" s="6" t="n"/>
      <c r="D14" s="6" t="n"/>
      <c r="E14" s="6" t="n"/>
    </row>
    <row r="15">
      <c r="A15" s="36" t="inlineStr">
        <is>
          <t>Signature:</t>
        </is>
      </c>
      <c r="B15" s="14" t="n"/>
      <c r="C15" s="6" t="n"/>
      <c r="D15" s="6" t="n"/>
      <c r="E15" s="6" t="n"/>
    </row>
    <row r="16">
      <c r="A16" s="36" t="inlineStr">
        <is>
          <t>Comments:</t>
        </is>
      </c>
      <c r="B16" s="14" t="n"/>
      <c r="C16" s="6" t="n"/>
      <c r="D16" s="6" t="n"/>
      <c r="E16" s="6" t="n"/>
    </row>
    <row r="18">
      <c r="A18" s="35" t="inlineStr">
        <is>
          <t>REVIEWED BY (INFORMATION SECURITY OFFICER)</t>
        </is>
      </c>
      <c r="B18" s="6" t="n"/>
      <c r="C18" s="6" t="n"/>
      <c r="D18" s="6" t="n"/>
      <c r="E18" s="6" t="n"/>
    </row>
    <row r="19">
      <c r="A19" s="36" t="inlineStr">
        <is>
          <t>Name:</t>
        </is>
      </c>
      <c r="B19" s="14" t="n"/>
      <c r="C19" s="6" t="n"/>
      <c r="D19" s="6" t="n"/>
      <c r="E19" s="6" t="n"/>
    </row>
    <row r="20">
      <c r="A20" s="36" t="inlineStr">
        <is>
          <t>Title:</t>
        </is>
      </c>
      <c r="B20" s="14" t="n"/>
      <c r="C20" s="6" t="n"/>
      <c r="D20" s="6" t="n"/>
      <c r="E20" s="6" t="n"/>
    </row>
    <row r="21">
      <c r="A21" s="36" t="inlineStr">
        <is>
          <t>Date:</t>
        </is>
      </c>
      <c r="B21" s="14" t="n"/>
      <c r="C21" s="6" t="n"/>
      <c r="D21" s="6" t="n"/>
      <c r="E21" s="6" t="n"/>
    </row>
    <row r="22">
      <c r="A22" s="36" t="inlineStr">
        <is>
          <t>Signature:</t>
        </is>
      </c>
      <c r="B22" s="14" t="n"/>
      <c r="C22" s="6" t="n"/>
      <c r="D22" s="6" t="n"/>
      <c r="E22" s="6" t="n"/>
    </row>
    <row r="23">
      <c r="A23" s="36" t="inlineStr">
        <is>
          <t>Comments:</t>
        </is>
      </c>
      <c r="B23" s="14" t="n"/>
      <c r="C23" s="6" t="n"/>
      <c r="D23" s="6" t="n"/>
      <c r="E23" s="6" t="n"/>
    </row>
    <row r="25">
      <c r="A25" s="37" t="inlineStr">
        <is>
          <t>APPROVED BY (CISO)</t>
        </is>
      </c>
      <c r="B25" s="6" t="n"/>
      <c r="C25" s="6" t="n"/>
      <c r="D25" s="6" t="n"/>
      <c r="E25" s="6" t="n"/>
    </row>
    <row r="26">
      <c r="A26" s="36" t="inlineStr">
        <is>
          <t>Name:</t>
        </is>
      </c>
      <c r="B26" s="14" t="n"/>
      <c r="C26" s="6" t="n"/>
      <c r="D26" s="6" t="n"/>
      <c r="E26" s="6" t="n"/>
    </row>
    <row r="27">
      <c r="A27" s="36" t="inlineStr">
        <is>
          <t>Title:</t>
        </is>
      </c>
      <c r="B27" s="14" t="n"/>
      <c r="C27" s="6" t="n"/>
      <c r="D27" s="6" t="n"/>
      <c r="E27" s="6" t="n"/>
    </row>
    <row r="28">
      <c r="A28" s="36" t="inlineStr">
        <is>
          <t>Date:</t>
        </is>
      </c>
      <c r="B28" s="14" t="n"/>
      <c r="C28" s="6" t="n"/>
      <c r="D28" s="6" t="n"/>
      <c r="E28" s="6" t="n"/>
    </row>
    <row r="29">
      <c r="A29" s="36" t="inlineStr">
        <is>
          <t>Signature:</t>
        </is>
      </c>
      <c r="B29" s="14" t="n"/>
      <c r="C29" s="6" t="n"/>
      <c r="D29" s="6" t="n"/>
      <c r="E29" s="6" t="n"/>
    </row>
    <row r="30">
      <c r="A30" s="36" t="inlineStr">
        <is>
          <t>Comments:</t>
        </is>
      </c>
      <c r="B30" s="14" t="n"/>
      <c r="C30" s="6" t="n"/>
      <c r="D30" s="6" t="n"/>
      <c r="E30" s="6" t="n"/>
    </row>
    <row r="32">
      <c r="A32" s="36" t="inlineStr">
        <is>
          <t>FINAL DECISION:</t>
        </is>
      </c>
      <c r="B32" s="14" t="n"/>
      <c r="C32" s="6" t="n"/>
      <c r="D32" s="6" t="n"/>
      <c r="E32" s="6" t="n"/>
    </row>
    <row r="35">
      <c r="A35" s="35" t="inlineStr">
        <is>
          <t>NEXT REVIEW DETAILS</t>
        </is>
      </c>
      <c r="B35" s="6" t="n"/>
      <c r="C35" s="6" t="n"/>
      <c r="D35" s="6" t="n"/>
      <c r="E35" s="6" t="n"/>
    </row>
    <row r="36">
      <c r="A36" s="36" t="inlineStr">
        <is>
          <t>Next Review Date:</t>
        </is>
      </c>
      <c r="B36" s="14" t="n"/>
      <c r="C36" s="6" t="n"/>
      <c r="D36" s="6" t="n"/>
      <c r="E36" s="6" t="n"/>
    </row>
    <row r="37">
      <c r="A37" s="36" t="inlineStr">
        <is>
          <t>Review Responsible:</t>
        </is>
      </c>
      <c r="B37" s="14" t="n"/>
      <c r="C37" s="6" t="n"/>
      <c r="D37" s="6" t="n"/>
      <c r="E37" s="6" t="n"/>
    </row>
    <row r="38">
      <c r="A38" s="36" t="inlineStr">
        <is>
          <t>Special Considerations:</t>
        </is>
      </c>
      <c r="B38" s="14" t="n"/>
      <c r="C38" s="6" t="n"/>
      <c r="D38" s="6" t="n"/>
      <c r="E38" s="6" t="n"/>
    </row>
  </sheetData>
  <mergeCells count="31">
    <mergeCell ref="B6:E6"/>
    <mergeCell ref="B30:E30"/>
    <mergeCell ref="A11:E11"/>
    <mergeCell ref="B15:E15"/>
    <mergeCell ref="A1:E1"/>
    <mergeCell ref="B5:E5"/>
    <mergeCell ref="B20:E20"/>
    <mergeCell ref="B36:E36"/>
    <mergeCell ref="B32:E32"/>
    <mergeCell ref="B26:E26"/>
    <mergeCell ref="B4:E4"/>
    <mergeCell ref="A25:E25"/>
    <mergeCell ref="B16:E16"/>
    <mergeCell ref="B7:E7"/>
    <mergeCell ref="A18:E18"/>
    <mergeCell ref="B22:E22"/>
    <mergeCell ref="A3:E3"/>
    <mergeCell ref="B27:E27"/>
    <mergeCell ref="A2:E2"/>
    <mergeCell ref="B12:E12"/>
    <mergeCell ref="B21:E21"/>
    <mergeCell ref="B14:E14"/>
    <mergeCell ref="B23:E23"/>
    <mergeCell ref="A35:E35"/>
    <mergeCell ref="B8:E8"/>
    <mergeCell ref="B13:E13"/>
    <mergeCell ref="B38:E38"/>
    <mergeCell ref="B29:E29"/>
    <mergeCell ref="B19:E19"/>
    <mergeCell ref="B37:E37"/>
    <mergeCell ref="B28:E28"/>
  </mergeCells>
  <dataValidations count="2">
    <dataValidation sqref="B8" showDropDown="0" showInputMessage="0" showErrorMessage="0" allowBlank="1" type="list">
      <formula1>"Draft,Final,Requires remediation,Re-assessment required"</formula1>
    </dataValidation>
    <dataValidation sqref="B32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ISMS-IMP-A.8.33-34.2 — Audit Activity Management Assessment</dc:title>
  <dc:description xmlns:dc="http://purl.org/dc/elements/1.1/">ISMS Implementation Workbook — ISMS-IMP-A.8.33-34.2</dc:description>
  <dc:subject xmlns:dc="http://purl.org/dc/elements/1.1/">ISO/IEC 27001:2022 — Control A.8.33-34: Testing and Audit Protection</dc:subject>
  <dcterms:created xmlns:dcterms="http://purl.org/dc/terms/" xmlns:xsi="http://www.w3.org/2001/XMLSchema-instance" xsi:type="dcterms:W3CDTF">2026-03-10T18:49:42Z</dcterms:created>
  <dcterms:modified xmlns:dcterms="http://purl.org/dc/terms/" xmlns:xsi="http://www.w3.org/2001/XMLSchema-instance" xsi:type="dcterms:W3CDTF">2026-03-10T18:49:42Z</dcterms:modified>
</cp:coreProperties>
</file>