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Channel Assessment" sheetId="2" state="visible" r:id="rId2"/>
    <sheet xmlns:r="http://schemas.openxmlformats.org/officeDocument/2006/relationships" name="Channel Availability" sheetId="3" state="visible" r:id="rId3"/>
    <sheet xmlns:r="http://schemas.openxmlformats.org/officeDocument/2006/relationships" name="Event Categories" sheetId="4" state="visible" r:id="rId4"/>
    <sheet xmlns:r="http://schemas.openxmlformats.org/officeDocument/2006/relationships" name="Response Timeframes" sheetId="5" state="visible" r:id="rId5"/>
    <sheet xmlns:r="http://schemas.openxmlformats.org/officeDocument/2006/relationships" name="Non-Blame Culture" sheetId="6" state="visible" r:id="rId6"/>
    <sheet xmlns:r="http://schemas.openxmlformats.org/officeDocument/2006/relationships" name="Awareness Training" sheetId="7" state="visible" r:id="rId7"/>
    <sheet xmlns:r="http://schemas.openxmlformats.org/officeDocument/2006/relationships" name="Sample Events" sheetId="8" state="visible" r:id="rId8"/>
    <sheet xmlns:r="http://schemas.openxmlformats.org/officeDocument/2006/relationships" name="Gap Analysis" sheetId="9" state="visible" r:id="rId9"/>
    <sheet xmlns:r="http://schemas.openxmlformats.org/officeDocument/2006/relationships" name="Evidence Register" sheetId="10" state="visible" r:id="rId10"/>
    <sheet xmlns:r="http://schemas.openxmlformats.org/officeDocument/2006/relationships" name="Summary Dashboard" sheetId="11" state="visible" r:id="rId11"/>
    <sheet xmlns:r="http://schemas.openxmlformats.org/officeDocument/2006/relationships" name="Approval Sign-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sz val="10"/>
    </font>
    <font>
      <name val="Calibri"/>
      <i val="1"/>
      <color rgb="00003366"/>
      <sz val="10"/>
    </font>
    <font>
      <b val="1"/>
      <sz val="11"/>
    </font>
    <font>
      <name val="Calibri"/>
      <b val="1"/>
      <color rgb="00FFFFFF"/>
      <sz val="10"/>
    </font>
    <font>
      <b val="1"/>
      <color rgb="00FFFFFF"/>
      <sz val="14"/>
    </font>
    <font>
      <b val="1"/>
      <color rgb="00FFFFFF"/>
      <sz val="11"/>
    </font>
    <font>
      <b val="1"/>
      <color rgb="00000000"/>
    </font>
    <font>
      <color rgb="00000000"/>
    </font>
    <font>
      <name val="Calibri"/>
      <b val="1"/>
      <color rgb="00FFFFFF"/>
      <sz val="11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4" fillId="9" borderId="1" pivotButton="0" quotePrefix="0" xfId="0"/>
    <xf numFmtId="0" fontId="0" fillId="10" borderId="1" pivotButton="0" quotePrefix="0" xfId="0"/>
    <xf numFmtId="0" fontId="6" fillId="11" borderId="1" applyAlignment="1" pivotButton="0" quotePrefix="0" xfId="0">
      <alignment horizontal="left" vertical="center"/>
    </xf>
    <xf numFmtId="0" fontId="7" fillId="0" borderId="0" pivotButton="0" quotePrefix="0" xfId="0"/>
    <xf numFmtId="0" fontId="0" fillId="11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10" fillId="8" borderId="1" pivotButton="0" quotePrefix="0" xfId="0"/>
    <xf numFmtId="0" fontId="11" fillId="9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0" fontId="11" fillId="9" borderId="1" pivotButton="0" quotePrefix="0" xfId="0"/>
    <xf numFmtId="0" fontId="11" fillId="9" borderId="1" applyAlignment="1" pivotButton="0" quotePrefix="0" xfId="0">
      <alignment horizontal="center"/>
    </xf>
    <xf numFmtId="164" fontId="11" fillId="9" borderId="1" applyAlignment="1" pivotButton="0" quotePrefix="0" xfId="0">
      <alignment horizontal="center"/>
    </xf>
    <xf numFmtId="0" fontId="11" fillId="9" borderId="1" applyAlignment="1" pivotButton="0" quotePrefix="0" xfId="0">
      <alignment horizontal="left"/>
    </xf>
    <xf numFmtId="0" fontId="10" fillId="12" borderId="1" pivotButton="0" quotePrefix="0" xfId="0"/>
    <xf numFmtId="0" fontId="12" fillId="10" borderId="1" pivotButton="0" quotePrefix="0" xfId="0"/>
    <xf numFmtId="0" fontId="12" fillId="10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/>
    </xf>
    <xf numFmtId="0" fontId="4" fillId="0" borderId="1" pivotButton="0" quotePrefix="0" xfId="0"/>
    <xf numFmtId="164" fontId="0" fillId="10" borderId="1" pivotButton="0" quotePrefix="0" xfId="0"/>
    <xf numFmtId="0" fontId="13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ISMS-IMP-A.6.7-8.S4  -  Event Reporting Mechanisms Assessment
ISO/IEC 27001:2022 - Control A.6.7-8: Remote Working and Security Event Reporting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ISMS-IMP-A.6.7-8.S4</t>
        </is>
      </c>
    </row>
    <row r="5">
      <c r="A5" s="3" t="inlineStr">
        <is>
          <t>Workbook Title</t>
        </is>
      </c>
      <c r="B5" t="inlineStr">
        <is>
          <t>Event Reporting Mechanisms Assessment</t>
        </is>
      </c>
    </row>
    <row r="6">
      <c r="A6" s="3" t="inlineStr">
        <is>
          <t>Control Reference</t>
        </is>
      </c>
      <c r="B6" t="inlineStr">
        <is>
          <t>ISO/IEC 27001:2022 - Control A.6.7-8: Remote Working and Security Event Reporting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Channel Assessment — evaluate all available information security event reporting channels.</t>
        </is>
      </c>
    </row>
    <row r="14">
      <c r="A14" t="inlineStr">
        <is>
          <t>2. Complete Channel Availability — verify reporting channels are accessible 24/7 and during remote work.</t>
        </is>
      </c>
    </row>
    <row r="15">
      <c r="A15" t="inlineStr">
        <is>
          <t>3. Complete Event Categories — define the categories of events personnel must report.</t>
        </is>
      </c>
    </row>
    <row r="16">
      <c r="A16" t="inlineStr">
        <is>
          <t>4. Complete Response Timeframes — document target response times per event category.</t>
        </is>
      </c>
    </row>
    <row r="17">
      <c r="A17" t="inlineStr">
        <is>
          <t>5. Complete Non-Blame Culture — assess whether the reporting culture encourages prompt reporting.</t>
        </is>
      </c>
    </row>
    <row r="18">
      <c r="A18" t="inlineStr">
        <is>
          <t>6. Complete Awareness Training — verify personnel are trained on when and how to report events.</t>
        </is>
      </c>
    </row>
    <row r="19">
      <c r="A19" t="inlineStr">
        <is>
          <t>7. Review Sample Events — confirm recent reports were handled correctly as reference examples.</t>
        </is>
      </c>
    </row>
    <row r="20">
      <c r="A20" t="inlineStr">
        <is>
          <t>8. Complete Gap Analysis — identify reporting mechanism gaps and awareness deficiencies.</t>
        </is>
      </c>
    </row>
    <row r="21">
      <c r="A21" t="inlineStr">
        <is>
          <t>9. Maintain the Evidence Register with reporting records and training documentation.</t>
        </is>
      </c>
    </row>
    <row r="22">
      <c r="A22" t="inlineStr">
        <is>
          <t>10. Obtain final approval and sign-off in the Approval Sign-Off sheet.</t>
        </is>
      </c>
    </row>
    <row r="24">
      <c r="A24" s="2" t="inlineStr">
        <is>
          <t>Status Legend</t>
        </is>
      </c>
    </row>
    <row r="25">
      <c r="A25" s="5" t="inlineStr">
        <is>
          <t>Symbol</t>
        </is>
      </c>
      <c r="B25" s="5" t="inlineStr">
        <is>
          <t>Status</t>
        </is>
      </c>
      <c r="C25" s="5" t="inlineStr">
        <is>
          <t>Description</t>
        </is>
      </c>
    </row>
    <row r="26">
      <c r="A26" s="6" t="inlineStr">
        <is>
          <t>✓</t>
        </is>
      </c>
      <c r="B26" s="7" t="inlineStr">
        <is>
          <t>Compliant / Complete</t>
        </is>
      </c>
      <c r="C26" s="8" t="inlineStr">
        <is>
          <t>Requirement fully met</t>
        </is>
      </c>
    </row>
    <row r="27">
      <c r="A27" s="6" t="inlineStr">
        <is>
          <t>⚠</t>
        </is>
      </c>
      <c r="B27" s="9" t="inlineStr">
        <is>
          <t>Partial / In Progress</t>
        </is>
      </c>
      <c r="C27" s="8" t="inlineStr">
        <is>
          <t>Partially met or in progress</t>
        </is>
      </c>
    </row>
    <row r="28">
      <c r="A28" s="6" t="inlineStr">
        <is>
          <t>✗</t>
        </is>
      </c>
      <c r="B28" s="10" t="inlineStr">
        <is>
          <t>Non-Compliant / Not Started</t>
        </is>
      </c>
      <c r="C28" s="8" t="inlineStr">
        <is>
          <t>Requirement not met</t>
        </is>
      </c>
    </row>
    <row r="29">
      <c r="A29" s="6" t="inlineStr">
        <is>
          <t>—</t>
        </is>
      </c>
      <c r="B29" s="8" t="inlineStr">
        <is>
          <t>Not Applicable</t>
        </is>
      </c>
      <c r="C29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1" t="inlineStr">
        <is>
          <t>REPORTING CHANNEL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Channel</t>
        </is>
      </c>
      <c r="B3" s="13" t="inlineStr">
        <is>
          <t>Description</t>
        </is>
      </c>
      <c r="C3" s="13" t="inlineStr">
        <is>
          <t>Requirement</t>
        </is>
      </c>
      <c r="D3" s="13" t="inlineStr">
        <is>
          <t>Availability</t>
        </is>
      </c>
      <c r="E3" s="13" t="inlineStr">
        <is>
          <t>Implemented</t>
        </is>
      </c>
      <c r="F3" s="13" t="inlineStr">
        <is>
          <t>Contact Info</t>
        </is>
      </c>
      <c r="G3" s="13" t="inlineStr">
        <is>
          <t>Remote Access</t>
        </is>
      </c>
      <c r="H3" s="13" t="inlineStr">
        <is>
          <t>Evidence</t>
        </is>
      </c>
      <c r="I3" s="13" t="inlineStr">
        <is>
          <t>Notes</t>
        </is>
      </c>
    </row>
    <row r="4">
      <c r="A4" s="6" t="inlineStr">
        <is>
          <t>Security Email</t>
        </is>
      </c>
      <c r="B4" s="6" t="inlineStr">
        <is>
          <t>Dedicated email for security event reports</t>
        </is>
      </c>
      <c r="C4" s="6" t="inlineStr">
        <is>
          <t>Mandatory</t>
        </is>
      </c>
      <c r="D4" s="6" t="inlineStr">
        <is>
          <t>24/7</t>
        </is>
      </c>
      <c r="E4" s="14" t="inlineStr"/>
      <c r="F4" s="14" t="inlineStr"/>
      <c r="G4" s="14" t="inlineStr"/>
      <c r="H4" s="14" t="inlineStr"/>
      <c r="I4" s="14" t="inlineStr"/>
    </row>
    <row r="5">
      <c r="A5" s="6" t="inlineStr">
        <is>
          <t>Phone/Hotline</t>
        </is>
      </c>
      <c r="B5" s="6" t="inlineStr">
        <is>
          <t>Contact number for urgent security matters</t>
        </is>
      </c>
      <c r="C5" s="6" t="inlineStr">
        <is>
          <t>Mandatory</t>
        </is>
      </c>
      <c r="D5" s="6" t="inlineStr">
        <is>
          <t>24/7</t>
        </is>
      </c>
      <c r="E5" s="14" t="inlineStr"/>
      <c r="F5" s="14" t="inlineStr"/>
      <c r="G5" s="14" t="inlineStr"/>
      <c r="H5" s="14" t="inlineStr"/>
      <c r="I5" s="14" t="inlineStr"/>
    </row>
    <row r="6">
      <c r="A6" s="6" t="inlineStr">
        <is>
          <t>Ticketing System</t>
        </is>
      </c>
      <c r="B6" s="6" t="inlineStr">
        <is>
          <t>Formal ticket submission for events</t>
        </is>
      </c>
      <c r="C6" s="6" t="inlineStr">
        <is>
          <t>Mandatory</t>
        </is>
      </c>
      <c r="D6" s="6" t="inlineStr">
        <is>
          <t>Business Hours</t>
        </is>
      </c>
      <c r="E6" s="14" t="inlineStr"/>
      <c r="F6" s="14" t="inlineStr"/>
      <c r="G6" s="14" t="inlineStr"/>
      <c r="H6" s="14" t="inlineStr"/>
      <c r="I6" s="14" t="inlineStr"/>
    </row>
    <row r="7">
      <c r="A7" s="6" t="inlineStr">
        <is>
          <t>Anonymous Option</t>
        </is>
      </c>
      <c r="B7" s="6" t="inlineStr">
        <is>
          <t>Anonymous reporting mechanism</t>
        </is>
      </c>
      <c r="C7" s="6" t="inlineStr">
        <is>
          <t>Recommended</t>
        </is>
      </c>
      <c r="D7" s="6" t="inlineStr">
        <is>
          <t>24/7</t>
        </is>
      </c>
      <c r="E7" s="14" t="inlineStr"/>
      <c r="F7" s="14" t="inlineStr"/>
      <c r="G7" s="14" t="inlineStr"/>
      <c r="H7" s="14" t="inlineStr"/>
      <c r="I7" s="14" t="inlineStr"/>
    </row>
    <row r="8">
      <c r="A8" s="6" t="inlineStr">
        <is>
          <t>Chat/IM</t>
        </is>
      </c>
      <c r="B8" s="6" t="inlineStr">
        <is>
          <t>Secure instant messaging for urgent reports</t>
        </is>
      </c>
      <c r="C8" s="6" t="inlineStr">
        <is>
          <t>Optional</t>
        </is>
      </c>
      <c r="D8" s="6" t="inlineStr">
        <is>
          <t>Business Hours</t>
        </is>
      </c>
      <c r="E8" s="14" t="inlineStr"/>
      <c r="F8" s="14" t="inlineStr"/>
      <c r="G8" s="14" t="inlineStr"/>
      <c r="H8" s="14" t="inlineStr"/>
      <c r="I8" s="14" t="inlineStr"/>
    </row>
  </sheetData>
  <mergeCells count="2">
    <mergeCell ref="A1:I1"/>
    <mergeCell ref="A2:I2"/>
  </mergeCells>
  <dataValidations count="1">
    <dataValidation sqref="E4:G8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8" max="8"/>
  </cols>
  <sheetData>
    <row r="1">
      <c r="A1" s="11" t="inlineStr">
        <is>
          <t>CHANNEL AVAILABILITY TESTING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Channel</t>
        </is>
      </c>
      <c r="B3" s="13" t="inlineStr">
        <is>
          <t>Test Date</t>
        </is>
      </c>
      <c r="C3" s="13" t="inlineStr">
        <is>
          <t>Test Type</t>
        </is>
      </c>
      <c r="D3" s="13" t="inlineStr">
        <is>
          <t>Business Hours</t>
        </is>
      </c>
      <c r="E3" s="13" t="inlineStr">
        <is>
          <t>After Hours</t>
        </is>
      </c>
      <c r="F3" s="13" t="inlineStr">
        <is>
          <t>Weekend</t>
        </is>
      </c>
      <c r="G3" s="13" t="inlineStr">
        <is>
          <t>Result</t>
        </is>
      </c>
      <c r="H3" s="13" t="inlineStr">
        <is>
          <t>Next Test</t>
        </is>
      </c>
    </row>
    <row r="4">
      <c r="A4" s="15" t="inlineStr">
        <is>
          <t>Security Email</t>
        </is>
      </c>
      <c r="B4" s="15" t="inlineStr">
        <is>
          <t>15.01.2026</t>
        </is>
      </c>
      <c r="C4" s="15" t="inlineStr">
        <is>
          <t>Functional Test</t>
        </is>
      </c>
      <c r="D4" s="15" t="inlineStr">
        <is>
          <t>Available</t>
        </is>
      </c>
      <c r="E4" s="15" t="inlineStr">
        <is>
          <t>Available</t>
        </is>
      </c>
      <c r="F4" s="15" t="inlineStr">
        <is>
          <t>Available</t>
        </is>
      </c>
      <c r="G4" s="15" t="inlineStr">
        <is>
          <t>Pass</t>
        </is>
      </c>
      <c r="H4" s="15" t="inlineStr">
        <is>
          <t>15.04.2026</t>
        </is>
      </c>
    </row>
    <row r="5">
      <c r="A5" s="14" t="inlineStr"/>
      <c r="B5" s="14" t="inlineStr"/>
      <c r="C5" s="14" t="inlineStr"/>
      <c r="D5" s="14" t="inlineStr"/>
      <c r="E5" s="14" t="inlineStr"/>
      <c r="F5" s="14" t="inlineStr"/>
      <c r="G5" s="14" t="inlineStr"/>
      <c r="H5" s="14" t="inlineStr"/>
    </row>
    <row r="6">
      <c r="A6" s="14" t="inlineStr"/>
      <c r="B6" s="14" t="inlineStr"/>
      <c r="C6" s="14" t="inlineStr"/>
      <c r="D6" s="14" t="inlineStr"/>
      <c r="E6" s="14" t="inlineStr"/>
      <c r="F6" s="14" t="inlineStr"/>
      <c r="G6" s="14" t="inlineStr"/>
      <c r="H6" s="14" t="inlineStr"/>
    </row>
    <row r="7">
      <c r="A7" s="14" t="inlineStr"/>
      <c r="B7" s="14" t="inlineStr"/>
      <c r="C7" s="14" t="inlineStr"/>
      <c r="D7" s="14" t="inlineStr"/>
      <c r="E7" s="14" t="inlineStr"/>
      <c r="F7" s="14" t="inlineStr"/>
      <c r="G7" s="14" t="inlineStr"/>
      <c r="H7" s="14" t="inlineStr"/>
    </row>
    <row r="8">
      <c r="A8" s="14" t="inlineStr"/>
      <c r="B8" s="14" t="inlineStr"/>
      <c r="C8" s="14" t="inlineStr"/>
      <c r="D8" s="14" t="inlineStr"/>
      <c r="E8" s="14" t="inlineStr"/>
      <c r="F8" s="14" t="inlineStr"/>
      <c r="G8" s="14" t="inlineStr"/>
      <c r="H8" s="14" t="inlineStr"/>
    </row>
    <row r="9">
      <c r="A9" s="14" t="inlineStr"/>
      <c r="B9" s="14" t="inlineStr"/>
      <c r="C9" s="14" t="inlineStr"/>
      <c r="D9" s="14" t="inlineStr"/>
      <c r="E9" s="14" t="inlineStr"/>
      <c r="F9" s="14" t="inlineStr"/>
      <c r="G9" s="14" t="inlineStr"/>
      <c r="H9" s="14" t="inlineStr"/>
    </row>
    <row r="10">
      <c r="A10" s="14" t="inlineStr"/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</row>
    <row r="11">
      <c r="A11" s="14" t="inlineStr"/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</row>
    <row r="42">
      <c r="A42" s="14" t="inlineStr"/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</row>
    <row r="43">
      <c r="A43" s="14" t="inlineStr"/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</row>
    <row r="44">
      <c r="A44" s="14" t="inlineStr"/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</row>
    <row r="45">
      <c r="A45" s="14" t="inlineStr"/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</row>
    <row r="46">
      <c r="A46" s="14" t="inlineStr"/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</row>
    <row r="47">
      <c r="A47" s="14" t="inlineStr"/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</row>
    <row r="48">
      <c r="A48" s="14" t="inlineStr"/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</row>
    <row r="49">
      <c r="A49" s="14" t="inlineStr"/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</row>
    <row r="50">
      <c r="A50" s="14" t="inlineStr"/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</row>
    <row r="51">
      <c r="A51" s="14" t="inlineStr"/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</row>
    <row r="52">
      <c r="A52" s="14" t="inlineStr"/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</row>
    <row r="53">
      <c r="A53" s="14" t="inlineStr"/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</row>
    <row r="54">
      <c r="A54" s="14" t="inlineStr"/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</row>
  </sheetData>
  <mergeCells count="2">
    <mergeCell ref="A2:H2"/>
    <mergeCell ref="A1:H1"/>
  </mergeCells>
  <dataValidations count="2">
    <dataValidation sqref="G5:G54" showDropDown="0" showInputMessage="0" showErrorMessage="0" allowBlank="1" type="list">
      <formula1>"Pass,Fail,Partial"</formula1>
    </dataValidation>
    <dataValidation sqref="D5:F54" showDropDown="0" showInputMessage="0" showErrorMessage="0" allowBlank="1" type="list">
      <formula1>"Available,Unavailable,Not Tested"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1" t="inlineStr">
        <is>
          <t>EVENT CATEGORIES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Category</t>
        </is>
      </c>
      <c r="B3" s="13" t="inlineStr">
        <is>
          <t>Description</t>
        </is>
      </c>
      <c r="C3" s="13" t="inlineStr">
        <is>
          <t>Documented</t>
        </is>
      </c>
      <c r="D3" s="13" t="inlineStr">
        <is>
          <t>Examples Provided</t>
        </is>
      </c>
      <c r="E3" s="13" t="inlineStr">
        <is>
          <t>In Training</t>
        </is>
      </c>
      <c r="F3" s="13" t="inlineStr">
        <is>
          <t>Personnel Aware</t>
        </is>
      </c>
      <c r="G3" s="13" t="inlineStr">
        <is>
          <t>Reports Received</t>
        </is>
      </c>
      <c r="H3" s="13" t="inlineStr">
        <is>
          <t>Notes</t>
        </is>
      </c>
    </row>
    <row r="4">
      <c r="A4" s="6" t="inlineStr">
        <is>
          <t>Phishing/Social Engineering</t>
        </is>
      </c>
      <c r="B4" s="6" t="inlineStr">
        <is>
          <t>Suspicious emails, calls, or manipulation attempts</t>
        </is>
      </c>
      <c r="C4" s="14" t="inlineStr"/>
      <c r="D4" s="14" t="inlineStr"/>
      <c r="E4" s="14" t="inlineStr"/>
      <c r="F4" s="14" t="inlineStr"/>
      <c r="G4" s="14" t="inlineStr"/>
      <c r="H4" s="14" t="inlineStr"/>
    </row>
    <row r="5">
      <c r="A5" s="6" t="inlineStr">
        <is>
          <t>Malware/System Compromise</t>
        </is>
      </c>
      <c r="B5" s="6" t="inlineStr">
        <is>
          <t>Unexpected behaviour, pop-ups, ransomware indicators</t>
        </is>
      </c>
      <c r="C5" s="14" t="inlineStr"/>
      <c r="D5" s="14" t="inlineStr"/>
      <c r="E5" s="14" t="inlineStr"/>
      <c r="F5" s="14" t="inlineStr"/>
      <c r="G5" s="14" t="inlineStr"/>
      <c r="H5" s="14" t="inlineStr"/>
    </row>
    <row r="6">
      <c r="A6" s="6" t="inlineStr">
        <is>
          <t>Unauthorised Access</t>
        </is>
      </c>
      <c r="B6" s="6" t="inlineStr">
        <is>
          <t>Unknown login attempts, unexpected account changes</t>
        </is>
      </c>
      <c r="C6" s="14" t="inlineStr"/>
      <c r="D6" s="14" t="inlineStr"/>
      <c r="E6" s="14" t="inlineStr"/>
      <c r="F6" s="14" t="inlineStr"/>
      <c r="G6" s="14" t="inlineStr"/>
      <c r="H6" s="14" t="inlineStr"/>
    </row>
    <row r="7">
      <c r="A7" s="6" t="inlineStr">
        <is>
          <t>Data Breach/Leakage</t>
        </is>
      </c>
      <c r="B7" s="6" t="inlineStr">
        <is>
          <t>Misdirected emails, unauthorised data exposure</t>
        </is>
      </c>
      <c r="C7" s="14" t="inlineStr"/>
      <c r="D7" s="14" t="inlineStr"/>
      <c r="E7" s="14" t="inlineStr"/>
      <c r="F7" s="14" t="inlineStr"/>
      <c r="G7" s="14" t="inlineStr"/>
      <c r="H7" s="14" t="inlineStr"/>
    </row>
    <row r="8">
      <c r="A8" s="6" t="inlineStr">
        <is>
          <t>Physical Security</t>
        </is>
      </c>
      <c r="B8" s="6" t="inlineStr">
        <is>
          <t>Lost/stolen devices, tailgating, missing equipment</t>
        </is>
      </c>
      <c r="C8" s="14" t="inlineStr"/>
      <c r="D8" s="14" t="inlineStr"/>
      <c r="E8" s="14" t="inlineStr"/>
      <c r="F8" s="14" t="inlineStr"/>
      <c r="G8" s="14" t="inlineStr"/>
      <c r="H8" s="14" t="inlineStr"/>
    </row>
    <row r="9">
      <c r="A9" s="6" t="inlineStr">
        <is>
          <t>Policy Violations</t>
        </is>
      </c>
      <c r="B9" s="6" t="inlineStr">
        <is>
          <t>Observed circumvention of security controls</t>
        </is>
      </c>
      <c r="C9" s="14" t="inlineStr"/>
      <c r="D9" s="14" t="inlineStr"/>
      <c r="E9" s="14" t="inlineStr"/>
      <c r="F9" s="14" t="inlineStr"/>
      <c r="G9" s="14" t="inlineStr"/>
      <c r="H9" s="14" t="inlineStr"/>
    </row>
    <row r="10">
      <c r="A10" s="6" t="inlineStr">
        <is>
          <t>Remote Work Specific</t>
        </is>
      </c>
      <c r="B10" s="6" t="inlineStr">
        <is>
          <t>Home network compromise, VPN issues, suspicious activity</t>
        </is>
      </c>
      <c r="C10" s="14" t="inlineStr"/>
      <c r="D10" s="14" t="inlineStr"/>
      <c r="E10" s="14" t="inlineStr"/>
      <c r="F10" s="14" t="inlineStr"/>
      <c r="G10" s="14" t="inlineStr"/>
      <c r="H10" s="14" t="inlineStr"/>
    </row>
    <row r="11">
      <c r="A11" s="6" t="inlineStr">
        <is>
          <t>System Alterations</t>
        </is>
      </c>
      <c r="B11" s="6" t="inlineStr">
        <is>
          <t>Changes not via change control (ISO 27002:2022)</t>
        </is>
      </c>
      <c r="C11" s="14" t="inlineStr"/>
      <c r="D11" s="14" t="inlineStr"/>
      <c r="E11" s="14" t="inlineStr"/>
      <c r="F11" s="14" t="inlineStr"/>
      <c r="G11" s="14" t="inlineStr"/>
      <c r="H11" s="14" t="inlineStr"/>
    </row>
  </sheetData>
  <mergeCells count="2">
    <mergeCell ref="A2:H2"/>
    <mergeCell ref="A1:H1"/>
  </mergeCells>
  <dataValidations count="1">
    <dataValidation sqref="C4:F11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1" t="inlineStr">
        <is>
          <t>RESPONSE TIMEFRAME COMPLIANCE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Response Type</t>
        </is>
      </c>
      <c r="B3" s="13" t="inlineStr">
        <is>
          <t>SLA</t>
        </is>
      </c>
      <c r="C3" s="13" t="inlineStr">
        <is>
          <t>Documented</t>
        </is>
      </c>
      <c r="D3" s="13" t="inlineStr">
        <is>
          <t>Measured</t>
        </is>
      </c>
      <c r="E3" s="13" t="inlineStr">
        <is>
          <t>Compliance Rate</t>
        </is>
      </c>
      <c r="F3" s="13" t="inlineStr">
        <is>
          <t>Verification Method</t>
        </is>
      </c>
      <c r="G3" s="13" t="inlineStr">
        <is>
          <t>Last Reviewed</t>
        </is>
      </c>
      <c r="H3" s="13" t="inlineStr">
        <is>
          <t>Notes</t>
        </is>
      </c>
    </row>
    <row r="4">
      <c r="A4" s="6" t="inlineStr">
        <is>
          <t>Acknowledgment</t>
        </is>
      </c>
      <c r="B4" s="6" t="inlineStr">
        <is>
          <t>Within 4 business hours</t>
        </is>
      </c>
      <c r="C4" s="14" t="inlineStr"/>
      <c r="D4" s="14" t="inlineStr"/>
      <c r="E4" s="14" t="inlineStr"/>
      <c r="F4" s="14" t="inlineStr"/>
      <c r="G4" s="14" t="inlineStr"/>
      <c r="H4" s="14" t="inlineStr"/>
    </row>
    <row r="5">
      <c r="A5" s="6" t="inlineStr">
        <is>
          <t>Initial Assessment</t>
        </is>
      </c>
      <c r="B5" s="6" t="inlineStr">
        <is>
          <t>Within 24 hours</t>
        </is>
      </c>
      <c r="C5" s="14" t="inlineStr"/>
      <c r="D5" s="14" t="inlineStr"/>
      <c r="E5" s="14" t="inlineStr"/>
      <c r="F5" s="14" t="inlineStr"/>
      <c r="G5" s="14" t="inlineStr"/>
      <c r="H5" s="14" t="inlineStr"/>
    </row>
    <row r="6">
      <c r="A6" s="6" t="inlineStr">
        <is>
          <t>Status Update</t>
        </is>
      </c>
      <c r="B6" s="6" t="inlineStr">
        <is>
          <t>Within 72 hours</t>
        </is>
      </c>
      <c r="C6" s="14" t="inlineStr"/>
      <c r="D6" s="14" t="inlineStr"/>
      <c r="E6" s="14" t="inlineStr"/>
      <c r="F6" s="14" t="inlineStr"/>
      <c r="G6" s="14" t="inlineStr"/>
      <c r="H6" s="14" t="inlineStr"/>
    </row>
    <row r="7">
      <c r="A7" s="6" t="inlineStr">
        <is>
          <t>Closure Notification</t>
        </is>
      </c>
      <c r="B7" s="6" t="inlineStr">
        <is>
          <t>Upon resolution</t>
        </is>
      </c>
      <c r="C7" s="14" t="inlineStr"/>
      <c r="D7" s="14" t="inlineStr"/>
      <c r="E7" s="14" t="inlineStr"/>
      <c r="F7" s="14" t="inlineStr"/>
      <c r="G7" s="14" t="inlineStr"/>
      <c r="H7" s="14" t="inlineStr"/>
    </row>
  </sheetData>
  <mergeCells count="2">
    <mergeCell ref="A2:H2"/>
    <mergeCell ref="A1:H1"/>
  </mergeCells>
  <dataValidations count="1">
    <dataValidation sqref="C4:D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1" t="inlineStr">
        <is>
          <t>NON-BLAME CULTURE ASSESSMENT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Principle</t>
        </is>
      </c>
      <c r="B3" s="13" t="inlineStr">
        <is>
          <t>Description</t>
        </is>
      </c>
      <c r="C3" s="13" t="inlineStr">
        <is>
          <t>Documented</t>
        </is>
      </c>
      <c r="D3" s="13" t="inlineStr">
        <is>
          <t>Communicated</t>
        </is>
      </c>
      <c r="E3" s="13" t="inlineStr">
        <is>
          <t>Training</t>
        </is>
      </c>
      <c r="F3" s="13" t="inlineStr">
        <is>
          <t>Effectiveness Measure</t>
        </is>
      </c>
      <c r="G3" s="13" t="inlineStr">
        <is>
          <t>Evidence</t>
        </is>
      </c>
      <c r="H3" s="13" t="inlineStr">
        <is>
          <t>Notes</t>
        </is>
      </c>
    </row>
    <row r="4">
      <c r="A4" s="6" t="inlineStr">
        <is>
          <t>Good Faith Protection</t>
        </is>
      </c>
      <c r="B4" s="6" t="inlineStr">
        <is>
          <t>Reporters SHALL NOT face consequences for good faith reporting</t>
        </is>
      </c>
      <c r="C4" s="14" t="inlineStr"/>
      <c r="D4" s="14" t="inlineStr"/>
      <c r="E4" s="14" t="inlineStr"/>
      <c r="F4" s="14" t="inlineStr"/>
      <c r="G4" s="14" t="inlineStr"/>
      <c r="H4" s="14" t="inlineStr"/>
    </row>
    <row r="5">
      <c r="A5" s="6" t="inlineStr">
        <is>
          <t>Honest Mistake Handling</t>
        </is>
      </c>
      <c r="B5" s="6" t="inlineStr">
        <is>
          <t>Honest mistakes handled constructively</t>
        </is>
      </c>
      <c r="C5" s="14" t="inlineStr"/>
      <c r="D5" s="14" t="inlineStr"/>
      <c r="E5" s="14" t="inlineStr"/>
      <c r="F5" s="14" t="inlineStr"/>
      <c r="G5" s="14" t="inlineStr"/>
      <c r="H5" s="14" t="inlineStr"/>
    </row>
    <row r="6">
      <c r="A6" s="6" t="inlineStr">
        <is>
          <t>No Retaliation</t>
        </is>
      </c>
      <c r="B6" s="6" t="inlineStr">
        <is>
          <t>Retaliation against reporters is prohibited</t>
        </is>
      </c>
      <c r="C6" s="14" t="inlineStr"/>
      <c r="D6" s="14" t="inlineStr"/>
      <c r="E6" s="14" t="inlineStr"/>
      <c r="F6" s="14" t="inlineStr"/>
      <c r="G6" s="14" t="inlineStr"/>
      <c r="H6" s="14" t="inlineStr"/>
    </row>
    <row r="7">
      <c r="A7" s="6" t="inlineStr">
        <is>
          <t>Confidentiality</t>
        </is>
      </c>
      <c r="B7" s="6" t="inlineStr">
        <is>
          <t>Reporter identity protected to extent possible</t>
        </is>
      </c>
      <c r="C7" s="14" t="inlineStr"/>
      <c r="D7" s="14" t="inlineStr"/>
      <c r="E7" s="14" t="inlineStr"/>
      <c r="F7" s="14" t="inlineStr"/>
      <c r="G7" s="14" t="inlineStr"/>
      <c r="H7" s="14" t="inlineStr"/>
    </row>
    <row r="10">
      <c r="A10" s="16" t="inlineStr">
        <is>
          <t>Culture Effectiveness Metrics</t>
        </is>
      </c>
    </row>
    <row r="11">
      <c r="A11" s="6" t="inlineStr">
        <is>
          <t>Reporting Volume Trend</t>
        </is>
      </c>
      <c r="B11" s="14" t="n"/>
    </row>
    <row r="12">
      <c r="A12" s="6" t="inlineStr">
        <is>
          <t>Time-to-Report Average</t>
        </is>
      </c>
      <c r="B12" s="14" t="n"/>
    </row>
    <row r="13">
      <c r="A13" s="6" t="inlineStr">
        <is>
          <t>Anonymous vs Identified Ratio</t>
        </is>
      </c>
      <c r="B13" s="14" t="n"/>
    </row>
    <row r="14">
      <c r="A14" s="6" t="inlineStr">
        <is>
          <t>Personnel Survey Score</t>
        </is>
      </c>
      <c r="B14" s="14" t="n"/>
    </row>
    <row r="15">
      <c r="A15" s="6" t="inlineStr">
        <is>
          <t>Repeat Reporter Rate</t>
        </is>
      </c>
      <c r="B15" s="14" t="n"/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1" t="inlineStr">
        <is>
          <t>EVENT REPORTING AWARENESS &amp; TRAINING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Training Element</t>
        </is>
      </c>
      <c r="B3" s="13" t="inlineStr">
        <is>
          <t>Included in Training</t>
        </is>
      </c>
      <c r="C3" s="13" t="inlineStr">
        <is>
          <t>Last Updated</t>
        </is>
      </c>
      <c r="D3" s="13" t="inlineStr">
        <is>
          <t>Completion Rate</t>
        </is>
      </c>
      <c r="E3" s="13" t="inlineStr">
        <is>
          <t>Effectiveness Measured</t>
        </is>
      </c>
      <c r="F3" s="13" t="inlineStr">
        <is>
          <t>Evidence</t>
        </is>
      </c>
      <c r="G3" s="13" t="inlineStr">
        <is>
          <t>Notes</t>
        </is>
      </c>
    </row>
    <row r="4">
      <c r="A4" s="6" t="inlineStr">
        <is>
          <t>Reporting channels overview</t>
        </is>
      </c>
      <c r="B4" s="14" t="inlineStr"/>
      <c r="C4" s="14" t="inlineStr"/>
      <c r="D4" s="14" t="inlineStr"/>
      <c r="E4" s="14" t="inlineStr"/>
      <c r="F4" s="14" t="inlineStr"/>
      <c r="G4" s="14" t="inlineStr"/>
    </row>
    <row r="5">
      <c r="A5" s="6" t="inlineStr">
        <is>
          <t>What to report (event categories)</t>
        </is>
      </c>
      <c r="B5" s="14" t="inlineStr"/>
      <c r="C5" s="14" t="inlineStr"/>
      <c r="D5" s="14" t="inlineStr"/>
      <c r="E5" s="14" t="inlineStr"/>
      <c r="F5" s="14" t="inlineStr"/>
      <c r="G5" s="14" t="inlineStr"/>
    </row>
    <row r="6">
      <c r="A6" s="6" t="inlineStr">
        <is>
          <t>How to report (procedures)</t>
        </is>
      </c>
      <c r="B6" s="14" t="inlineStr"/>
      <c r="C6" s="14" t="inlineStr"/>
      <c r="D6" s="14" t="inlineStr"/>
      <c r="E6" s="14" t="inlineStr"/>
      <c r="F6" s="14" t="inlineStr"/>
      <c r="G6" s="14" t="inlineStr"/>
    </row>
    <row r="7">
      <c r="A7" s="6" t="inlineStr">
        <is>
          <t>Response expectations</t>
        </is>
      </c>
      <c r="B7" s="14" t="inlineStr"/>
      <c r="C7" s="14" t="inlineStr"/>
      <c r="D7" s="14" t="inlineStr"/>
      <c r="E7" s="14" t="inlineStr"/>
      <c r="F7" s="14" t="inlineStr"/>
      <c r="G7" s="14" t="inlineStr"/>
    </row>
    <row r="8">
      <c r="A8" s="6" t="inlineStr">
        <is>
          <t>Non-blame culture</t>
        </is>
      </c>
      <c r="B8" s="14" t="inlineStr"/>
      <c r="C8" s="14" t="inlineStr"/>
      <c r="D8" s="14" t="inlineStr"/>
      <c r="E8" s="14" t="inlineStr"/>
      <c r="F8" s="14" t="inlineStr"/>
      <c r="G8" s="14" t="inlineStr"/>
    </row>
    <row r="9">
      <c r="A9" s="6" t="inlineStr">
        <is>
          <t>Evidence preservation</t>
        </is>
      </c>
      <c r="B9" s="14" t="inlineStr"/>
      <c r="C9" s="14" t="inlineStr"/>
      <c r="D9" s="14" t="inlineStr"/>
      <c r="E9" s="14" t="inlineStr"/>
      <c r="F9" s="14" t="inlineStr"/>
      <c r="G9" s="14" t="inlineStr"/>
    </row>
    <row r="10">
      <c r="A10" s="6" t="inlineStr">
        <is>
          <t>Remote work specific scenarios</t>
        </is>
      </c>
      <c r="B10" s="14" t="inlineStr"/>
      <c r="C10" s="14" t="inlineStr"/>
      <c r="D10" s="14" t="inlineStr"/>
      <c r="E10" s="14" t="inlineStr"/>
      <c r="F10" s="14" t="inlineStr"/>
      <c r="G10" s="14" t="inlineStr"/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9" max="9"/>
  </cols>
  <sheetData>
    <row r="1">
      <c r="A1" s="11" t="inlineStr">
        <is>
          <t>SAMPLE EVENT REPORTS (LAST 12 MONTHS)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Event ID</t>
        </is>
      </c>
      <c r="B3" s="13" t="inlineStr">
        <is>
          <t>Date Reported</t>
        </is>
      </c>
      <c r="C3" s="13" t="inlineStr">
        <is>
          <t>Category</t>
        </is>
      </c>
      <c r="D3" s="13" t="inlineStr">
        <is>
          <t>Channel Used</t>
        </is>
      </c>
      <c r="E3" s="13" t="inlineStr">
        <is>
          <t>Acknowledged</t>
        </is>
      </c>
      <c r="F3" s="13" t="inlineStr">
        <is>
          <t>Ack Time</t>
        </is>
      </c>
      <c r="G3" s="13" t="inlineStr">
        <is>
          <t>Resolution Time</t>
        </is>
      </c>
      <c r="H3" s="13" t="inlineStr">
        <is>
          <t>Escalated</t>
        </is>
      </c>
      <c r="I3" s="13" t="inlineStr">
        <is>
          <t>Notes</t>
        </is>
      </c>
    </row>
    <row r="4">
      <c r="A4" s="6" t="inlineStr">
        <is>
          <t>EVT-0001</t>
        </is>
      </c>
      <c r="B4" s="14" t="inlineStr"/>
      <c r="C4" s="14" t="inlineStr"/>
      <c r="D4" s="14" t="inlineStr"/>
      <c r="E4" s="14" t="inlineStr"/>
      <c r="F4" s="14" t="inlineStr"/>
      <c r="G4" s="14" t="inlineStr"/>
      <c r="H4" s="14" t="inlineStr"/>
      <c r="I4" s="14" t="inlineStr"/>
    </row>
    <row r="5">
      <c r="A5" s="6" t="inlineStr">
        <is>
          <t>EVT-0002</t>
        </is>
      </c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</row>
    <row r="6">
      <c r="A6" s="6" t="inlineStr">
        <is>
          <t>EVT-0003</t>
        </is>
      </c>
      <c r="B6" s="14" t="inlineStr"/>
      <c r="C6" s="14" t="inlineStr"/>
      <c r="D6" s="14" t="inlineStr"/>
      <c r="E6" s="14" t="inlineStr"/>
      <c r="F6" s="14" t="inlineStr"/>
      <c r="G6" s="14" t="inlineStr"/>
      <c r="H6" s="14" t="inlineStr"/>
      <c r="I6" s="14" t="inlineStr"/>
    </row>
    <row r="7">
      <c r="A7" s="6" t="inlineStr">
        <is>
          <t>EVT-0004</t>
        </is>
      </c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</row>
    <row r="8">
      <c r="A8" s="6" t="inlineStr">
        <is>
          <t>EVT-0005</t>
        </is>
      </c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</row>
    <row r="9">
      <c r="A9" s="6" t="inlineStr">
        <is>
          <t>EVT-0006</t>
        </is>
      </c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</row>
    <row r="10">
      <c r="A10" s="6" t="inlineStr">
        <is>
          <t>EVT-0007</t>
        </is>
      </c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  <c r="I10" s="14" t="inlineStr"/>
    </row>
    <row r="11">
      <c r="A11" s="6" t="inlineStr">
        <is>
          <t>EVT-0008</t>
        </is>
      </c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</row>
    <row r="12">
      <c r="A12" s="6" t="inlineStr">
        <is>
          <t>EVT-0009</t>
        </is>
      </c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</row>
    <row r="13">
      <c r="A13" s="6" t="inlineStr">
        <is>
          <t>EVT-0010</t>
        </is>
      </c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</row>
    <row r="14">
      <c r="A14" s="6" t="inlineStr">
        <is>
          <t>EVT-0011</t>
        </is>
      </c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</row>
    <row r="15">
      <c r="A15" s="6" t="inlineStr">
        <is>
          <t>EVT-0012</t>
        </is>
      </c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</row>
    <row r="16">
      <c r="A16" s="6" t="inlineStr">
        <is>
          <t>EVT-0013</t>
        </is>
      </c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</row>
    <row r="17">
      <c r="A17" s="6" t="inlineStr">
        <is>
          <t>EVT-0014</t>
        </is>
      </c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</row>
    <row r="18">
      <c r="A18" s="6" t="inlineStr">
        <is>
          <t>EVT-0015</t>
        </is>
      </c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</row>
    <row r="19">
      <c r="A19" s="6" t="inlineStr">
        <is>
          <t>EVT-0016</t>
        </is>
      </c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</row>
    <row r="20">
      <c r="A20" s="6" t="inlineStr">
        <is>
          <t>EVT-0017</t>
        </is>
      </c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</row>
    <row r="21">
      <c r="A21" s="6" t="inlineStr">
        <is>
          <t>EVT-0018</t>
        </is>
      </c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</row>
    <row r="22">
      <c r="A22" s="6" t="inlineStr">
        <is>
          <t>EVT-0019</t>
        </is>
      </c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</row>
    <row r="23">
      <c r="A23" s="6" t="inlineStr">
        <is>
          <t>EVT-0020</t>
        </is>
      </c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</row>
    <row r="24">
      <c r="A24" s="6" t="inlineStr">
        <is>
          <t>EVT-0021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</row>
    <row r="25">
      <c r="A25" s="6" t="inlineStr">
        <is>
          <t>EVT-0022</t>
        </is>
      </c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</row>
    <row r="26">
      <c r="A26" s="6" t="inlineStr">
        <is>
          <t>EVT-0023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</row>
    <row r="27">
      <c r="A27" s="6" t="inlineStr">
        <is>
          <t>EVT-0024</t>
        </is>
      </c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</row>
    <row r="28">
      <c r="A28" s="6" t="inlineStr">
        <is>
          <t>EVT-0025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</row>
    <row r="29">
      <c r="A29" s="6" t="inlineStr">
        <is>
          <t>EVT-0026</t>
        </is>
      </c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</row>
    <row r="30">
      <c r="A30" s="6" t="inlineStr">
        <is>
          <t>EVT-0027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</row>
    <row r="31">
      <c r="A31" s="6" t="inlineStr">
        <is>
          <t>EVT-0028</t>
        </is>
      </c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</row>
    <row r="32">
      <c r="A32" s="6" t="inlineStr">
        <is>
          <t>EVT-0029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</row>
    <row r="33">
      <c r="A33" s="6" t="inlineStr">
        <is>
          <t>EVT-0030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</row>
    <row r="34">
      <c r="A34" s="6" t="inlineStr">
        <is>
          <t>EVT-0031</t>
        </is>
      </c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</row>
    <row r="35">
      <c r="A35" s="6" t="inlineStr">
        <is>
          <t>EVT-0032</t>
        </is>
      </c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</row>
    <row r="36">
      <c r="A36" s="6" t="inlineStr">
        <is>
          <t>EVT-0033</t>
        </is>
      </c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</row>
    <row r="37">
      <c r="A37" s="6" t="inlineStr">
        <is>
          <t>EVT-0034</t>
        </is>
      </c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</row>
    <row r="38">
      <c r="A38" s="6" t="inlineStr">
        <is>
          <t>EVT-0035</t>
        </is>
      </c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</row>
    <row r="39">
      <c r="A39" s="6" t="inlineStr">
        <is>
          <t>EVT-0036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</row>
    <row r="40">
      <c r="A40" s="6" t="inlineStr">
        <is>
          <t>EVT-0037</t>
        </is>
      </c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</row>
    <row r="41">
      <c r="A41" s="6" t="inlineStr">
        <is>
          <t>EVT-0038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</row>
    <row r="42">
      <c r="A42" s="6" t="inlineStr">
        <is>
          <t>EVT-0039</t>
        </is>
      </c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</row>
    <row r="43">
      <c r="A43" s="6" t="inlineStr">
        <is>
          <t>EVT-0040</t>
        </is>
      </c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</row>
    <row r="44">
      <c r="A44" s="6" t="inlineStr">
        <is>
          <t>EVT-0041</t>
        </is>
      </c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</row>
    <row r="45">
      <c r="A45" s="6" t="inlineStr">
        <is>
          <t>EVT-0042</t>
        </is>
      </c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</row>
    <row r="46">
      <c r="A46" s="6" t="inlineStr">
        <is>
          <t>EVT-0043</t>
        </is>
      </c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</row>
    <row r="47">
      <c r="A47" s="6" t="inlineStr">
        <is>
          <t>EVT-0044</t>
        </is>
      </c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</row>
    <row r="48">
      <c r="A48" s="6" t="inlineStr">
        <is>
          <t>EVT-0045</t>
        </is>
      </c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</row>
    <row r="49">
      <c r="A49" s="6" t="inlineStr">
        <is>
          <t>EVT-0046</t>
        </is>
      </c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</row>
    <row r="50">
      <c r="A50" s="6" t="inlineStr">
        <is>
          <t>EVT-0047</t>
        </is>
      </c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</row>
    <row r="51">
      <c r="A51" s="6" t="inlineStr">
        <is>
          <t>EVT-0048</t>
        </is>
      </c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</row>
    <row r="52">
      <c r="A52" s="6" t="inlineStr">
        <is>
          <t>EVT-0049</t>
        </is>
      </c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</row>
    <row r="53">
      <c r="A53" s="6" t="inlineStr">
        <is>
          <t>EVT-0050</t>
        </is>
      </c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</row>
    <row r="54">
      <c r="A54" s="6" t="inlineStr">
        <is>
          <t>EVT-0051</t>
        </is>
      </c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9" max="9"/>
  </cols>
  <sheetData>
    <row r="1">
      <c r="A1" s="11" t="inlineStr">
        <is>
          <t>EVENT REPORTING GAP ANALYSIS</t>
        </is>
      </c>
    </row>
    <row r="2">
      <c r="A2" s="12" t="inlineStr">
        <is>
          <t>ISO/IEC 27001:2022 - Control A.6.7-8: Remote Working and Security Event Reporting</t>
        </is>
      </c>
    </row>
    <row r="3">
      <c r="A3" s="13" t="inlineStr">
        <is>
          <t>Gap ID</t>
        </is>
      </c>
      <c r="B3" s="13" t="inlineStr">
        <is>
          <t>Area</t>
        </is>
      </c>
      <c r="C3" s="13" t="inlineStr">
        <is>
          <t>Description</t>
        </is>
      </c>
      <c r="D3" s="13" t="inlineStr">
        <is>
          <t>Impact</t>
        </is>
      </c>
      <c r="E3" s="13" t="inlineStr">
        <is>
          <t>Risk</t>
        </is>
      </c>
      <c r="F3" s="13" t="inlineStr">
        <is>
          <t>Remediation</t>
        </is>
      </c>
      <c r="G3" s="13" t="inlineStr">
        <is>
          <t>Owner</t>
        </is>
      </c>
      <c r="H3" s="13" t="inlineStr">
        <is>
          <t>Target</t>
        </is>
      </c>
      <c r="I3" s="13" t="inlineStr">
        <is>
          <t>Status</t>
        </is>
      </c>
    </row>
    <row r="4">
      <c r="A4" s="17" t="inlineStr">
        <is>
          <t>GAP-ER-001</t>
        </is>
      </c>
      <c r="B4" s="17" t="inlineStr">
        <is>
          <t>Channels</t>
        </is>
      </c>
      <c r="C4" s="17" t="inlineStr">
        <is>
          <t>No dedicated channel for remote staff to report security events</t>
        </is>
      </c>
      <c r="D4" s="17" t="inlineStr">
        <is>
          <t>Delayed incident response</t>
        </is>
      </c>
      <c r="E4" s="17" t="inlineStr">
        <is>
          <t>Medium</t>
        </is>
      </c>
      <c r="F4" s="17" t="inlineStr">
        <is>
          <t>Set up dedicated security hotline and reporting portal</t>
        </is>
      </c>
      <c r="G4" s="17" t="inlineStr">
        <is>
          <t>CISO</t>
        </is>
      </c>
      <c r="H4" s="17" t="inlineStr">
        <is>
          <t>2026-05-31</t>
        </is>
      </c>
      <c r="I4" s="17" t="inlineStr">
        <is>
          <t>Open</t>
        </is>
      </c>
    </row>
    <row r="5">
      <c r="A5" s="14" t="inlineStr">
        <is>
          <t>GAP-ER-001</t>
        </is>
      </c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</row>
    <row r="6">
      <c r="A6" s="14" t="inlineStr">
        <is>
          <t>GAP-ER-002</t>
        </is>
      </c>
      <c r="B6" s="14" t="inlineStr"/>
      <c r="C6" s="14" t="inlineStr"/>
      <c r="D6" s="14" t="inlineStr"/>
      <c r="E6" s="14" t="inlineStr"/>
      <c r="F6" s="14" t="inlineStr"/>
      <c r="G6" s="14" t="inlineStr"/>
      <c r="H6" s="14" t="inlineStr"/>
      <c r="I6" s="14" t="inlineStr"/>
    </row>
    <row r="7">
      <c r="A7" s="14" t="inlineStr">
        <is>
          <t>GAP-ER-003</t>
        </is>
      </c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</row>
    <row r="8">
      <c r="A8" s="14" t="inlineStr">
        <is>
          <t>GAP-ER-004</t>
        </is>
      </c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</row>
    <row r="9">
      <c r="A9" s="14" t="inlineStr">
        <is>
          <t>GAP-ER-005</t>
        </is>
      </c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</row>
    <row r="10">
      <c r="A10" s="14" t="inlineStr">
        <is>
          <t>GAP-ER-006</t>
        </is>
      </c>
      <c r="B10" s="14" t="inlineStr"/>
      <c r="C10" s="14" t="inlineStr"/>
      <c r="D10" s="14" t="inlineStr"/>
      <c r="E10" s="14" t="inlineStr"/>
      <c r="F10" s="14" t="inlineStr"/>
      <c r="G10" s="14" t="inlineStr"/>
      <c r="H10" s="14" t="inlineStr"/>
      <c r="I10" s="14" t="inlineStr"/>
    </row>
    <row r="11">
      <c r="A11" s="14" t="inlineStr">
        <is>
          <t>GAP-ER-007</t>
        </is>
      </c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</row>
    <row r="12">
      <c r="A12" s="14" t="inlineStr">
        <is>
          <t>GAP-ER-008</t>
        </is>
      </c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</row>
    <row r="13">
      <c r="A13" s="14" t="inlineStr">
        <is>
          <t>GAP-ER-009</t>
        </is>
      </c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</row>
    <row r="14">
      <c r="A14" s="14" t="inlineStr">
        <is>
          <t>GAP-ER-010</t>
        </is>
      </c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</row>
    <row r="15">
      <c r="A15" s="14" t="inlineStr">
        <is>
          <t>GAP-ER-011</t>
        </is>
      </c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</row>
    <row r="16">
      <c r="A16" s="14" t="inlineStr">
        <is>
          <t>GAP-ER-012</t>
        </is>
      </c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</row>
    <row r="17">
      <c r="A17" s="14" t="inlineStr">
        <is>
          <t>GAP-ER-013</t>
        </is>
      </c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</row>
    <row r="18">
      <c r="A18" s="14" t="inlineStr">
        <is>
          <t>GAP-ER-014</t>
        </is>
      </c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</row>
    <row r="19">
      <c r="A19" s="14" t="inlineStr">
        <is>
          <t>GAP-ER-015</t>
        </is>
      </c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</row>
    <row r="20">
      <c r="A20" s="14" t="inlineStr">
        <is>
          <t>GAP-ER-016</t>
        </is>
      </c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</row>
    <row r="21">
      <c r="A21" s="14" t="inlineStr">
        <is>
          <t>GAP-ER-017</t>
        </is>
      </c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</row>
    <row r="22">
      <c r="A22" s="14" t="inlineStr">
        <is>
          <t>GAP-ER-018</t>
        </is>
      </c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</row>
    <row r="23">
      <c r="A23" s="14" t="inlineStr">
        <is>
          <t>GAP-ER-019</t>
        </is>
      </c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</row>
    <row r="24">
      <c r="A24" s="14" t="inlineStr">
        <is>
          <t>GAP-ER-020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</row>
    <row r="25">
      <c r="A25" s="14" t="inlineStr">
        <is>
          <t>GAP-ER-021</t>
        </is>
      </c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</row>
    <row r="26">
      <c r="A26" s="14" t="inlineStr">
        <is>
          <t>GAP-ER-022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</row>
    <row r="27">
      <c r="A27" s="14" t="inlineStr">
        <is>
          <t>GAP-ER-023</t>
        </is>
      </c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</row>
    <row r="28">
      <c r="A28" s="14" t="inlineStr">
        <is>
          <t>GAP-ER-024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</row>
    <row r="29">
      <c r="A29" s="14" t="inlineStr">
        <is>
          <t>GAP-ER-025</t>
        </is>
      </c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</row>
    <row r="30">
      <c r="A30" s="14" t="inlineStr">
        <is>
          <t>GAP-ER-026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</row>
    <row r="31">
      <c r="A31" s="14" t="inlineStr">
        <is>
          <t>GAP-ER-027</t>
        </is>
      </c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</row>
    <row r="32">
      <c r="A32" s="14" t="inlineStr">
        <is>
          <t>GAP-ER-028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</row>
    <row r="33">
      <c r="A33" s="14" t="inlineStr">
        <is>
          <t>GAP-ER-029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</row>
    <row r="34">
      <c r="A34" s="14" t="inlineStr">
        <is>
          <t>GAP-ER-030</t>
        </is>
      </c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</row>
    <row r="35">
      <c r="A35" s="14" t="inlineStr">
        <is>
          <t>GAP-ER-031</t>
        </is>
      </c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</row>
    <row r="36">
      <c r="A36" s="14" t="inlineStr">
        <is>
          <t>GAP-ER-032</t>
        </is>
      </c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</row>
    <row r="37">
      <c r="A37" s="14" t="inlineStr">
        <is>
          <t>GAP-ER-033</t>
        </is>
      </c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</row>
    <row r="38">
      <c r="A38" s="14" t="inlineStr">
        <is>
          <t>GAP-ER-034</t>
        </is>
      </c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</row>
    <row r="39">
      <c r="A39" s="14" t="inlineStr">
        <is>
          <t>GAP-ER-035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</row>
    <row r="40">
      <c r="A40" s="14" t="inlineStr">
        <is>
          <t>GAP-ER-036</t>
        </is>
      </c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</row>
    <row r="41">
      <c r="A41" s="14" t="inlineStr">
        <is>
          <t>GAP-ER-037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</row>
    <row r="42">
      <c r="A42" s="14" t="inlineStr">
        <is>
          <t>GAP-ER-038</t>
        </is>
      </c>
      <c r="B42" s="14" t="inlineStr"/>
      <c r="C42" s="14" t="inlineStr"/>
      <c r="D42" s="14" t="inlineStr"/>
      <c r="E42" s="14" t="inlineStr"/>
      <c r="F42" s="14" t="inlineStr"/>
      <c r="G42" s="14" t="inlineStr"/>
      <c r="H42" s="14" t="inlineStr"/>
      <c r="I42" s="14" t="inlineStr"/>
    </row>
    <row r="43">
      <c r="A43" s="14" t="inlineStr">
        <is>
          <t>GAP-ER-039</t>
        </is>
      </c>
      <c r="B43" s="14" t="inlineStr"/>
      <c r="C43" s="14" t="inlineStr"/>
      <c r="D43" s="14" t="inlineStr"/>
      <c r="E43" s="14" t="inlineStr"/>
      <c r="F43" s="14" t="inlineStr"/>
      <c r="G43" s="14" t="inlineStr"/>
      <c r="H43" s="14" t="inlineStr"/>
      <c r="I43" s="14" t="inlineStr"/>
    </row>
    <row r="44">
      <c r="A44" s="14" t="inlineStr">
        <is>
          <t>GAP-ER-040</t>
        </is>
      </c>
      <c r="B44" s="14" t="inlineStr"/>
      <c r="C44" s="14" t="inlineStr"/>
      <c r="D44" s="14" t="inlineStr"/>
      <c r="E44" s="14" t="inlineStr"/>
      <c r="F44" s="14" t="inlineStr"/>
      <c r="G44" s="14" t="inlineStr"/>
      <c r="H44" s="14" t="inlineStr"/>
      <c r="I44" s="14" t="inlineStr"/>
    </row>
    <row r="45">
      <c r="A45" s="14" t="inlineStr">
        <is>
          <t>GAP-ER-041</t>
        </is>
      </c>
      <c r="B45" s="14" t="inlineStr"/>
      <c r="C45" s="14" t="inlineStr"/>
      <c r="D45" s="14" t="inlineStr"/>
      <c r="E45" s="14" t="inlineStr"/>
      <c r="F45" s="14" t="inlineStr"/>
      <c r="G45" s="14" t="inlineStr"/>
      <c r="H45" s="14" t="inlineStr"/>
      <c r="I45" s="14" t="inlineStr"/>
    </row>
    <row r="46">
      <c r="A46" s="14" t="inlineStr">
        <is>
          <t>GAP-ER-042</t>
        </is>
      </c>
      <c r="B46" s="14" t="inlineStr"/>
      <c r="C46" s="14" t="inlineStr"/>
      <c r="D46" s="14" t="inlineStr"/>
      <c r="E46" s="14" t="inlineStr"/>
      <c r="F46" s="14" t="inlineStr"/>
      <c r="G46" s="14" t="inlineStr"/>
      <c r="H46" s="14" t="inlineStr"/>
      <c r="I46" s="14" t="inlineStr"/>
    </row>
    <row r="47">
      <c r="A47" s="14" t="inlineStr">
        <is>
          <t>GAP-ER-043</t>
        </is>
      </c>
      <c r="B47" s="14" t="inlineStr"/>
      <c r="C47" s="14" t="inlineStr"/>
      <c r="D47" s="14" t="inlineStr"/>
      <c r="E47" s="14" t="inlineStr"/>
      <c r="F47" s="14" t="inlineStr"/>
      <c r="G47" s="14" t="inlineStr"/>
      <c r="H47" s="14" t="inlineStr"/>
      <c r="I47" s="14" t="inlineStr"/>
    </row>
    <row r="48">
      <c r="A48" s="14" t="inlineStr">
        <is>
          <t>GAP-ER-044</t>
        </is>
      </c>
      <c r="B48" s="14" t="inlineStr"/>
      <c r="C48" s="14" t="inlineStr"/>
      <c r="D48" s="14" t="inlineStr"/>
      <c r="E48" s="14" t="inlineStr"/>
      <c r="F48" s="14" t="inlineStr"/>
      <c r="G48" s="14" t="inlineStr"/>
      <c r="H48" s="14" t="inlineStr"/>
      <c r="I48" s="14" t="inlineStr"/>
    </row>
    <row r="49">
      <c r="A49" s="14" t="inlineStr">
        <is>
          <t>GAP-ER-045</t>
        </is>
      </c>
      <c r="B49" s="14" t="inlineStr"/>
      <c r="C49" s="14" t="inlineStr"/>
      <c r="D49" s="14" t="inlineStr"/>
      <c r="E49" s="14" t="inlineStr"/>
      <c r="F49" s="14" t="inlineStr"/>
      <c r="G49" s="14" t="inlineStr"/>
      <c r="H49" s="14" t="inlineStr"/>
      <c r="I49" s="14" t="inlineStr"/>
    </row>
    <row r="50">
      <c r="A50" s="14" t="inlineStr">
        <is>
          <t>GAP-ER-046</t>
        </is>
      </c>
      <c r="B50" s="14" t="inlineStr"/>
      <c r="C50" s="14" t="inlineStr"/>
      <c r="D50" s="14" t="inlineStr"/>
      <c r="E50" s="14" t="inlineStr"/>
      <c r="F50" s="14" t="inlineStr"/>
      <c r="G50" s="14" t="inlineStr"/>
      <c r="H50" s="14" t="inlineStr"/>
      <c r="I50" s="14" t="inlineStr"/>
    </row>
    <row r="51">
      <c r="A51" s="14" t="inlineStr">
        <is>
          <t>GAP-ER-047</t>
        </is>
      </c>
      <c r="B51" s="14" t="inlineStr"/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</row>
    <row r="52">
      <c r="A52" s="14" t="inlineStr">
        <is>
          <t>GAP-ER-048</t>
        </is>
      </c>
      <c r="B52" s="14" t="inlineStr"/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</row>
    <row r="53">
      <c r="A53" s="14" t="inlineStr">
        <is>
          <t>GAP-ER-049</t>
        </is>
      </c>
      <c r="B53" s="14" t="inlineStr"/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</row>
    <row r="54">
      <c r="A54" s="14" t="inlineStr">
        <is>
          <t>GAP-ER-050</t>
        </is>
      </c>
      <c r="B54" s="14" t="inlineStr"/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</row>
  </sheetData>
  <mergeCells count="2">
    <mergeCell ref="A1:I1"/>
    <mergeCell ref="A2:I2"/>
  </mergeCells>
  <dataValidations count="3">
    <dataValidation sqref="B5:B54" showDropDown="0" showInputMessage="0" showErrorMessage="0" allowBlank="1" type="list">
      <formula1>"Channels,Categories,Response,Culture,Training"</formula1>
    </dataValidation>
    <dataValidation sqref="E5:E54" showDropDown="0" showInputMessage="0" showErrorMessage="0" allowBlank="1" type="list">
      <formula1>"Critical,High,Medium,Low"</formula1>
    </dataValidation>
    <dataValidation sqref="I5:I54" showDropDown="0" showInputMessage="0" showErrorMessage="0" allowBlank="1" type="list">
      <formula1>"Open,In Progress,Resolved,Accepted"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8" customWidth="1" min="4" max="4"/>
    <col width="15" customWidth="1" min="5" max="5"/>
    <col width="16" customWidth="1" min="6" max="6"/>
    <col width="25" customWidth="1" min="7" max="7"/>
    <col width="14" customWidth="1" min="8" max="8"/>
  </cols>
  <sheetData>
    <row r="1" ht="35" customHeight="1">
      <c r="A1" s="18" t="inlineStr">
        <is>
          <t>EVIDENCE REGISTER</t>
        </is>
      </c>
    </row>
    <row r="2">
      <c r="A2" s="19" t="inlineStr">
        <is>
          <t>ISO/IEC 27001:2022 - Control A.6.7-8: Remote Working and Security Event Reporting</t>
        </is>
      </c>
    </row>
    <row r="4">
      <c r="A4" s="20" t="inlineStr">
        <is>
          <t>Evidence ID</t>
        </is>
      </c>
      <c r="B4" s="20" t="inlineStr">
        <is>
          <t>Evidence Type</t>
        </is>
      </c>
      <c r="C4" s="20" t="inlineStr">
        <is>
          <t>Description</t>
        </is>
      </c>
      <c r="D4" s="20" t="inlineStr">
        <is>
          <t>Source / Owner</t>
        </is>
      </c>
      <c r="E4" s="20" t="inlineStr">
        <is>
          <t>Date Collected</t>
        </is>
      </c>
      <c r="F4" s="20" t="inlineStr">
        <is>
          <t>Retention Period</t>
        </is>
      </c>
      <c r="G4" s="20" t="inlineStr">
        <is>
          <t>Storage Location</t>
        </is>
      </c>
      <c r="H4" s="20" t="inlineStr">
        <is>
          <t>Status</t>
        </is>
      </c>
    </row>
    <row r="5">
      <c r="A5" s="21" t="inlineStr">
        <is>
          <t>EV-001</t>
        </is>
      </c>
      <c r="B5" s="21" t="inlineStr">
        <is>
          <t>[Evidence Type]</t>
        </is>
      </c>
      <c r="C5" s="21" t="inlineStr">
        <is>
          <t>[Description of evidence item collected]</t>
        </is>
      </c>
      <c r="D5" s="21" t="inlineStr">
        <is>
          <t>[System / Team]</t>
        </is>
      </c>
      <c r="E5" s="21" t="inlineStr">
        <is>
          <t>[DD.MM.YYYY]</t>
        </is>
      </c>
      <c r="F5" s="21" t="inlineStr">
        <is>
          <t>[1 year]</t>
        </is>
      </c>
      <c r="G5" s="21" t="inlineStr">
        <is>
          <t>[ISMS/Controls/...]</t>
        </is>
      </c>
      <c r="H5" s="21" t="inlineStr">
        <is>
          <t>[Collected]</t>
        </is>
      </c>
    </row>
    <row r="6">
      <c r="A6" s="22" t="inlineStr"/>
      <c r="B6" s="22" t="inlineStr"/>
      <c r="C6" s="22" t="inlineStr"/>
      <c r="D6" s="22" t="inlineStr"/>
      <c r="E6" s="22" t="inlineStr"/>
      <c r="F6" s="22" t="inlineStr"/>
      <c r="G6" s="22" t="inlineStr"/>
      <c r="H6" s="22" t="inlineStr"/>
    </row>
    <row r="7">
      <c r="A7" s="22" t="inlineStr"/>
      <c r="B7" s="22" t="inlineStr"/>
      <c r="C7" s="22" t="inlineStr"/>
      <c r="D7" s="22" t="inlineStr"/>
      <c r="E7" s="22" t="inlineStr"/>
      <c r="F7" s="22" t="inlineStr"/>
      <c r="G7" s="22" t="inlineStr"/>
      <c r="H7" s="22" t="inlineStr"/>
    </row>
    <row r="8">
      <c r="A8" s="22" t="inlineStr"/>
      <c r="B8" s="22" t="inlineStr"/>
      <c r="C8" s="22" t="inlineStr"/>
      <c r="D8" s="22" t="inlineStr"/>
      <c r="E8" s="22" t="inlineStr"/>
      <c r="F8" s="22" t="inlineStr"/>
      <c r="G8" s="22" t="inlineStr"/>
      <c r="H8" s="22" t="inlineStr"/>
    </row>
    <row r="9">
      <c r="A9" s="22" t="inlineStr"/>
      <c r="B9" s="22" t="inlineStr"/>
      <c r="C9" s="22" t="inlineStr"/>
      <c r="D9" s="22" t="inlineStr"/>
      <c r="E9" s="22" t="inlineStr"/>
      <c r="F9" s="22" t="inlineStr"/>
      <c r="G9" s="22" t="inlineStr"/>
      <c r="H9" s="22" t="inlineStr"/>
    </row>
    <row r="10">
      <c r="A10" s="22" t="inlineStr"/>
      <c r="B10" s="22" t="inlineStr"/>
      <c r="C10" s="22" t="inlineStr"/>
      <c r="D10" s="22" t="inlineStr"/>
      <c r="E10" s="22" t="inlineStr"/>
      <c r="F10" s="22" t="inlineStr"/>
      <c r="G10" s="22" t="inlineStr"/>
      <c r="H10" s="22" t="inlineStr"/>
    </row>
    <row r="11">
      <c r="A11" s="22" t="inlineStr"/>
      <c r="B11" s="22" t="inlineStr"/>
      <c r="C11" s="22" t="inlineStr"/>
      <c r="D11" s="22" t="inlineStr"/>
      <c r="E11" s="22" t="inlineStr"/>
      <c r="F11" s="22" t="inlineStr"/>
      <c r="G11" s="22" t="inlineStr"/>
      <c r="H11" s="22" t="inlineStr"/>
    </row>
    <row r="12">
      <c r="A12" s="22" t="inlineStr"/>
      <c r="B12" s="22" t="inlineStr"/>
      <c r="C12" s="22" t="inlineStr"/>
      <c r="D12" s="22" t="inlineStr"/>
      <c r="E12" s="22" t="inlineStr"/>
      <c r="F12" s="22" t="inlineStr"/>
      <c r="G12" s="22" t="inlineStr"/>
      <c r="H12" s="22" t="inlineStr"/>
    </row>
    <row r="13">
      <c r="A13" s="22" t="inlineStr"/>
      <c r="B13" s="22" t="inlineStr"/>
      <c r="C13" s="22" t="inlineStr"/>
      <c r="D13" s="22" t="inlineStr"/>
      <c r="E13" s="22" t="inlineStr"/>
      <c r="F13" s="22" t="inlineStr"/>
      <c r="G13" s="22" t="inlineStr"/>
      <c r="H13" s="22" t="inlineStr"/>
    </row>
    <row r="14">
      <c r="A14" s="22" t="inlineStr"/>
      <c r="B14" s="22" t="inlineStr"/>
      <c r="C14" s="22" t="inlineStr"/>
      <c r="D14" s="22" t="inlineStr"/>
      <c r="E14" s="22" t="inlineStr"/>
      <c r="F14" s="22" t="inlineStr"/>
      <c r="G14" s="22" t="inlineStr"/>
      <c r="H14" s="22" t="inlineStr"/>
    </row>
    <row r="15">
      <c r="A15" s="22" t="inlineStr"/>
      <c r="B15" s="22" t="inlineStr"/>
      <c r="C15" s="22" t="inlineStr"/>
      <c r="D15" s="22" t="inlineStr"/>
      <c r="E15" s="22" t="inlineStr"/>
      <c r="F15" s="22" t="inlineStr"/>
      <c r="G15" s="22" t="inlineStr"/>
      <c r="H15" s="22" t="inlineStr"/>
    </row>
    <row r="16">
      <c r="A16" s="22" t="inlineStr"/>
      <c r="B16" s="22" t="inlineStr"/>
      <c r="C16" s="22" t="inlineStr"/>
      <c r="D16" s="22" t="inlineStr"/>
      <c r="E16" s="22" t="inlineStr"/>
      <c r="F16" s="22" t="inlineStr"/>
      <c r="G16" s="22" t="inlineStr"/>
      <c r="H16" s="22" t="inlineStr"/>
    </row>
    <row r="17">
      <c r="A17" s="22" t="inlineStr"/>
      <c r="B17" s="22" t="inlineStr"/>
      <c r="C17" s="22" t="inlineStr"/>
      <c r="D17" s="22" t="inlineStr"/>
      <c r="E17" s="22" t="inlineStr"/>
      <c r="F17" s="22" t="inlineStr"/>
      <c r="G17" s="22" t="inlineStr"/>
      <c r="H17" s="22" t="inlineStr"/>
    </row>
    <row r="18">
      <c r="A18" s="22" t="inlineStr"/>
      <c r="B18" s="22" t="inlineStr"/>
      <c r="C18" s="22" t="inlineStr"/>
      <c r="D18" s="22" t="inlineStr"/>
      <c r="E18" s="22" t="inlineStr"/>
      <c r="F18" s="22" t="inlineStr"/>
      <c r="G18" s="22" t="inlineStr"/>
      <c r="H18" s="22" t="inlineStr"/>
    </row>
    <row r="19">
      <c r="A19" s="22" t="inlineStr"/>
      <c r="B19" s="22" t="inlineStr"/>
      <c r="C19" s="22" t="inlineStr"/>
      <c r="D19" s="22" t="inlineStr"/>
      <c r="E19" s="22" t="inlineStr"/>
      <c r="F19" s="22" t="inlineStr"/>
      <c r="G19" s="22" t="inlineStr"/>
      <c r="H19" s="22" t="inlineStr"/>
    </row>
    <row r="20">
      <c r="A20" s="22" t="inlineStr"/>
      <c r="B20" s="22" t="inlineStr"/>
      <c r="C20" s="22" t="inlineStr"/>
      <c r="D20" s="22" t="inlineStr"/>
      <c r="E20" s="22" t="inlineStr"/>
      <c r="F20" s="22" t="inlineStr"/>
      <c r="G20" s="22" t="inlineStr"/>
      <c r="H20" s="22" t="inlineStr"/>
    </row>
    <row r="21">
      <c r="A21" s="22" t="inlineStr"/>
      <c r="B21" s="22" t="inlineStr"/>
      <c r="C21" s="22" t="inlineStr"/>
      <c r="D21" s="22" t="inlineStr"/>
      <c r="E21" s="22" t="inlineStr"/>
      <c r="F21" s="22" t="inlineStr"/>
      <c r="G21" s="22" t="inlineStr"/>
      <c r="H21" s="22" t="inlineStr"/>
    </row>
    <row r="22">
      <c r="A22" s="22" t="inlineStr"/>
      <c r="B22" s="22" t="inlineStr"/>
      <c r="C22" s="22" t="inlineStr"/>
      <c r="D22" s="22" t="inlineStr"/>
      <c r="E22" s="22" t="inlineStr"/>
      <c r="F22" s="22" t="inlineStr"/>
      <c r="G22" s="22" t="inlineStr"/>
      <c r="H22" s="22" t="inlineStr"/>
    </row>
    <row r="23">
      <c r="A23" s="22" t="inlineStr"/>
      <c r="B23" s="22" t="inlineStr"/>
      <c r="C23" s="22" t="inlineStr"/>
      <c r="D23" s="22" t="inlineStr"/>
      <c r="E23" s="22" t="inlineStr"/>
      <c r="F23" s="22" t="inlineStr"/>
      <c r="G23" s="22" t="inlineStr"/>
      <c r="H23" s="22" t="inlineStr"/>
    </row>
    <row r="24">
      <c r="A24" s="22" t="inlineStr"/>
      <c r="B24" s="22" t="inlineStr"/>
      <c r="C24" s="22" t="inlineStr"/>
      <c r="D24" s="22" t="inlineStr"/>
      <c r="E24" s="22" t="inlineStr"/>
      <c r="F24" s="22" t="inlineStr"/>
      <c r="G24" s="22" t="inlineStr"/>
      <c r="H24" s="22" t="inlineStr"/>
    </row>
    <row r="25">
      <c r="A25" s="22" t="inlineStr"/>
      <c r="B25" s="22" t="inlineStr"/>
      <c r="C25" s="22" t="inlineStr"/>
      <c r="D25" s="22" t="inlineStr"/>
      <c r="E25" s="22" t="inlineStr"/>
      <c r="F25" s="22" t="inlineStr"/>
      <c r="G25" s="22" t="inlineStr"/>
      <c r="H25" s="22" t="inlineStr"/>
    </row>
    <row r="26">
      <c r="A26" s="22" t="inlineStr"/>
      <c r="B26" s="22" t="inlineStr"/>
      <c r="C26" s="22" t="inlineStr"/>
      <c r="D26" s="22" t="inlineStr"/>
      <c r="E26" s="22" t="inlineStr"/>
      <c r="F26" s="22" t="inlineStr"/>
      <c r="G26" s="22" t="inlineStr"/>
      <c r="H26" s="22" t="inlineStr"/>
    </row>
    <row r="27">
      <c r="A27" s="22" t="inlineStr"/>
      <c r="B27" s="22" t="inlineStr"/>
      <c r="C27" s="22" t="inlineStr"/>
      <c r="D27" s="22" t="inlineStr"/>
      <c r="E27" s="22" t="inlineStr"/>
      <c r="F27" s="22" t="inlineStr"/>
      <c r="G27" s="22" t="inlineStr"/>
      <c r="H27" s="22" t="inlineStr"/>
    </row>
    <row r="28">
      <c r="A28" s="22" t="inlineStr"/>
      <c r="B28" s="22" t="inlineStr"/>
      <c r="C28" s="22" t="inlineStr"/>
      <c r="D28" s="22" t="inlineStr"/>
      <c r="E28" s="22" t="inlineStr"/>
      <c r="F28" s="22" t="inlineStr"/>
      <c r="G28" s="22" t="inlineStr"/>
      <c r="H28" s="22" t="inlineStr"/>
    </row>
    <row r="29">
      <c r="A29" s="22" t="inlineStr"/>
      <c r="B29" s="22" t="inlineStr"/>
      <c r="C29" s="22" t="inlineStr"/>
      <c r="D29" s="22" t="inlineStr"/>
      <c r="E29" s="22" t="inlineStr"/>
      <c r="F29" s="22" t="inlineStr"/>
      <c r="G29" s="22" t="inlineStr"/>
      <c r="H29" s="22" t="inlineStr"/>
    </row>
    <row r="30">
      <c r="A30" s="22" t="inlineStr"/>
      <c r="B30" s="22" t="inlineStr"/>
      <c r="C30" s="22" t="inlineStr"/>
      <c r="D30" s="22" t="inlineStr"/>
      <c r="E30" s="22" t="inlineStr"/>
      <c r="F30" s="22" t="inlineStr"/>
      <c r="G30" s="22" t="inlineStr"/>
      <c r="H30" s="22" t="inlineStr"/>
    </row>
    <row r="31">
      <c r="A31" s="22" t="inlineStr"/>
      <c r="B31" s="22" t="inlineStr"/>
      <c r="C31" s="22" t="inlineStr"/>
      <c r="D31" s="22" t="inlineStr"/>
      <c r="E31" s="22" t="inlineStr"/>
      <c r="F31" s="22" t="inlineStr"/>
      <c r="G31" s="22" t="inlineStr"/>
      <c r="H31" s="22" t="inlineStr"/>
    </row>
    <row r="32">
      <c r="A32" s="22" t="inlineStr"/>
      <c r="B32" s="22" t="inlineStr"/>
      <c r="C32" s="22" t="inlineStr"/>
      <c r="D32" s="22" t="inlineStr"/>
      <c r="E32" s="22" t="inlineStr"/>
      <c r="F32" s="22" t="inlineStr"/>
      <c r="G32" s="22" t="inlineStr"/>
      <c r="H32" s="22" t="inlineStr"/>
    </row>
    <row r="33">
      <c r="A33" s="22" t="inlineStr"/>
      <c r="B33" s="22" t="inlineStr"/>
      <c r="C33" s="22" t="inlineStr"/>
      <c r="D33" s="22" t="inlineStr"/>
      <c r="E33" s="22" t="inlineStr"/>
      <c r="F33" s="22" t="inlineStr"/>
      <c r="G33" s="22" t="inlineStr"/>
      <c r="H33" s="22" t="inlineStr"/>
    </row>
    <row r="34">
      <c r="A34" s="22" t="inlineStr"/>
      <c r="B34" s="22" t="inlineStr"/>
      <c r="C34" s="22" t="inlineStr"/>
      <c r="D34" s="22" t="inlineStr"/>
      <c r="E34" s="22" t="inlineStr"/>
      <c r="F34" s="22" t="inlineStr"/>
      <c r="G34" s="22" t="inlineStr"/>
      <c r="H34" s="22" t="inlineStr"/>
    </row>
    <row r="35">
      <c r="A35" s="22" t="inlineStr"/>
      <c r="B35" s="22" t="inlineStr"/>
      <c r="C35" s="22" t="inlineStr"/>
      <c r="D35" s="22" t="inlineStr"/>
      <c r="E35" s="22" t="inlineStr"/>
      <c r="F35" s="22" t="inlineStr"/>
      <c r="G35" s="22" t="inlineStr"/>
      <c r="H35" s="22" t="inlineStr"/>
    </row>
    <row r="36">
      <c r="A36" s="22" t="inlineStr"/>
      <c r="B36" s="22" t="inlineStr"/>
      <c r="C36" s="22" t="inlineStr"/>
      <c r="D36" s="22" t="inlineStr"/>
      <c r="E36" s="22" t="inlineStr"/>
      <c r="F36" s="22" t="inlineStr"/>
      <c r="G36" s="22" t="inlineStr"/>
      <c r="H36" s="22" t="inlineStr"/>
    </row>
    <row r="37">
      <c r="A37" s="22" t="inlineStr"/>
      <c r="B37" s="22" t="inlineStr"/>
      <c r="C37" s="22" t="inlineStr"/>
      <c r="D37" s="22" t="inlineStr"/>
      <c r="E37" s="22" t="inlineStr"/>
      <c r="F37" s="22" t="inlineStr"/>
      <c r="G37" s="22" t="inlineStr"/>
      <c r="H37" s="22" t="inlineStr"/>
    </row>
    <row r="38">
      <c r="A38" s="22" t="inlineStr"/>
      <c r="B38" s="22" t="inlineStr"/>
      <c r="C38" s="22" t="inlineStr"/>
      <c r="D38" s="22" t="inlineStr"/>
      <c r="E38" s="22" t="inlineStr"/>
      <c r="F38" s="22" t="inlineStr"/>
      <c r="G38" s="22" t="inlineStr"/>
      <c r="H38" s="22" t="inlineStr"/>
    </row>
    <row r="39">
      <c r="A39" s="22" t="inlineStr"/>
      <c r="B39" s="22" t="inlineStr"/>
      <c r="C39" s="22" t="inlineStr"/>
      <c r="D39" s="22" t="inlineStr"/>
      <c r="E39" s="22" t="inlineStr"/>
      <c r="F39" s="22" t="inlineStr"/>
      <c r="G39" s="22" t="inlineStr"/>
      <c r="H39" s="22" t="inlineStr"/>
    </row>
    <row r="40">
      <c r="A40" s="22" t="inlineStr"/>
      <c r="B40" s="22" t="inlineStr"/>
      <c r="C40" s="22" t="inlineStr"/>
      <c r="D40" s="22" t="inlineStr"/>
      <c r="E40" s="22" t="inlineStr"/>
      <c r="F40" s="22" t="inlineStr"/>
      <c r="G40" s="22" t="inlineStr"/>
      <c r="H40" s="22" t="inlineStr"/>
    </row>
    <row r="41">
      <c r="A41" s="22" t="inlineStr"/>
      <c r="B41" s="22" t="inlineStr"/>
      <c r="C41" s="22" t="inlineStr"/>
      <c r="D41" s="22" t="inlineStr"/>
      <c r="E41" s="22" t="inlineStr"/>
      <c r="F41" s="22" t="inlineStr"/>
      <c r="G41" s="22" t="inlineStr"/>
      <c r="H41" s="22" t="inlineStr"/>
    </row>
    <row r="42">
      <c r="A42" s="22" t="inlineStr"/>
      <c r="B42" s="22" t="inlineStr"/>
      <c r="C42" s="22" t="inlineStr"/>
      <c r="D42" s="22" t="inlineStr"/>
      <c r="E42" s="22" t="inlineStr"/>
      <c r="F42" s="22" t="inlineStr"/>
      <c r="G42" s="22" t="inlineStr"/>
      <c r="H42" s="22" t="inlineStr"/>
    </row>
    <row r="43">
      <c r="A43" s="22" t="inlineStr"/>
      <c r="B43" s="22" t="inlineStr"/>
      <c r="C43" s="22" t="inlineStr"/>
      <c r="D43" s="22" t="inlineStr"/>
      <c r="E43" s="22" t="inlineStr"/>
      <c r="F43" s="22" t="inlineStr"/>
      <c r="G43" s="22" t="inlineStr"/>
      <c r="H43" s="22" t="inlineStr"/>
    </row>
    <row r="44">
      <c r="A44" s="22" t="inlineStr"/>
      <c r="B44" s="22" t="inlineStr"/>
      <c r="C44" s="22" t="inlineStr"/>
      <c r="D44" s="22" t="inlineStr"/>
      <c r="E44" s="22" t="inlineStr"/>
      <c r="F44" s="22" t="inlineStr"/>
      <c r="G44" s="22" t="inlineStr"/>
      <c r="H44" s="22" t="inlineStr"/>
    </row>
    <row r="45">
      <c r="A45" s="22" t="inlineStr"/>
      <c r="B45" s="22" t="inlineStr"/>
      <c r="C45" s="22" t="inlineStr"/>
      <c r="D45" s="22" t="inlineStr"/>
      <c r="E45" s="22" t="inlineStr"/>
      <c r="F45" s="22" t="inlineStr"/>
      <c r="G45" s="22" t="inlineStr"/>
      <c r="H45" s="22" t="inlineStr"/>
    </row>
    <row r="46">
      <c r="A46" s="22" t="inlineStr"/>
      <c r="B46" s="22" t="inlineStr"/>
      <c r="C46" s="22" t="inlineStr"/>
      <c r="D46" s="22" t="inlineStr"/>
      <c r="E46" s="22" t="inlineStr"/>
      <c r="F46" s="22" t="inlineStr"/>
      <c r="G46" s="22" t="inlineStr"/>
      <c r="H46" s="22" t="inlineStr"/>
    </row>
    <row r="47">
      <c r="A47" s="22" t="inlineStr"/>
      <c r="B47" s="22" t="inlineStr"/>
      <c r="C47" s="22" t="inlineStr"/>
      <c r="D47" s="22" t="inlineStr"/>
      <c r="E47" s="22" t="inlineStr"/>
      <c r="F47" s="22" t="inlineStr"/>
      <c r="G47" s="22" t="inlineStr"/>
      <c r="H47" s="22" t="inlineStr"/>
    </row>
    <row r="48">
      <c r="A48" s="22" t="inlineStr"/>
      <c r="B48" s="22" t="inlineStr"/>
      <c r="C48" s="22" t="inlineStr"/>
      <c r="D48" s="22" t="inlineStr"/>
      <c r="E48" s="22" t="inlineStr"/>
      <c r="F48" s="22" t="inlineStr"/>
      <c r="G48" s="22" t="inlineStr"/>
      <c r="H48" s="22" t="inlineStr"/>
    </row>
    <row r="49">
      <c r="A49" s="22" t="inlineStr"/>
      <c r="B49" s="22" t="inlineStr"/>
      <c r="C49" s="22" t="inlineStr"/>
      <c r="D49" s="22" t="inlineStr"/>
      <c r="E49" s="22" t="inlineStr"/>
      <c r="F49" s="22" t="inlineStr"/>
      <c r="G49" s="22" t="inlineStr"/>
      <c r="H49" s="22" t="inlineStr"/>
    </row>
    <row r="50">
      <c r="A50" s="22" t="inlineStr"/>
      <c r="B50" s="22" t="inlineStr"/>
      <c r="C50" s="22" t="inlineStr"/>
      <c r="D50" s="22" t="inlineStr"/>
      <c r="E50" s="22" t="inlineStr"/>
      <c r="F50" s="22" t="inlineStr"/>
      <c r="G50" s="22" t="inlineStr"/>
      <c r="H50" s="22" t="inlineStr"/>
    </row>
    <row r="51">
      <c r="A51" s="22" t="inlineStr"/>
      <c r="B51" s="22" t="inlineStr"/>
      <c r="C51" s="22" t="inlineStr"/>
      <c r="D51" s="22" t="inlineStr"/>
      <c r="E51" s="22" t="inlineStr"/>
      <c r="F51" s="22" t="inlineStr"/>
      <c r="G51" s="22" t="inlineStr"/>
      <c r="H51" s="22" t="inlineStr"/>
    </row>
    <row r="52">
      <c r="A52" s="22" t="inlineStr"/>
      <c r="B52" s="22" t="inlineStr"/>
      <c r="C52" s="22" t="inlineStr"/>
      <c r="D52" s="22" t="inlineStr"/>
      <c r="E52" s="22" t="inlineStr"/>
      <c r="F52" s="22" t="inlineStr"/>
      <c r="G52" s="22" t="inlineStr"/>
      <c r="H52" s="22" t="inlineStr"/>
    </row>
    <row r="53">
      <c r="A53" s="22" t="inlineStr"/>
      <c r="B53" s="22" t="inlineStr"/>
      <c r="C53" s="22" t="inlineStr"/>
      <c r="D53" s="22" t="inlineStr"/>
      <c r="E53" s="22" t="inlineStr"/>
      <c r="F53" s="22" t="inlineStr"/>
      <c r="G53" s="22" t="inlineStr"/>
      <c r="H53" s="22" t="inlineStr"/>
    </row>
    <row r="54">
      <c r="A54" s="22" t="inlineStr"/>
      <c r="B54" s="22" t="inlineStr"/>
      <c r="C54" s="22" t="inlineStr"/>
      <c r="D54" s="22" t="inlineStr"/>
      <c r="E54" s="22" t="inlineStr"/>
      <c r="F54" s="22" t="inlineStr"/>
      <c r="G54" s="22" t="inlineStr"/>
      <c r="H54" s="22" t="inlineStr"/>
    </row>
    <row r="55">
      <c r="A55" s="22" t="inlineStr"/>
      <c r="B55" s="22" t="inlineStr"/>
      <c r="C55" s="22" t="inlineStr"/>
      <c r="D55" s="22" t="inlineStr"/>
      <c r="E55" s="22" t="inlineStr"/>
      <c r="F55" s="22" t="inlineStr"/>
      <c r="G55" s="22" t="inlineStr"/>
      <c r="H55" s="22" t="inlineStr"/>
    </row>
    <row r="56">
      <c r="A56" s="22" t="inlineStr"/>
      <c r="B56" s="22" t="inlineStr"/>
      <c r="C56" s="22" t="inlineStr"/>
      <c r="D56" s="22" t="inlineStr"/>
      <c r="E56" s="22" t="inlineStr"/>
      <c r="F56" s="22" t="inlineStr"/>
      <c r="G56" s="22" t="inlineStr"/>
      <c r="H56" s="22" t="inlineStr"/>
    </row>
    <row r="57">
      <c r="A57" s="22" t="inlineStr"/>
      <c r="B57" s="22" t="inlineStr"/>
      <c r="C57" s="22" t="inlineStr"/>
      <c r="D57" s="22" t="inlineStr"/>
      <c r="E57" s="22" t="inlineStr"/>
      <c r="F57" s="22" t="inlineStr"/>
      <c r="G57" s="22" t="inlineStr"/>
      <c r="H57" s="22" t="inlineStr"/>
    </row>
    <row r="58">
      <c r="A58" s="22" t="inlineStr"/>
      <c r="B58" s="22" t="inlineStr"/>
      <c r="C58" s="22" t="inlineStr"/>
      <c r="D58" s="22" t="inlineStr"/>
      <c r="E58" s="22" t="inlineStr"/>
      <c r="F58" s="22" t="inlineStr"/>
      <c r="G58" s="22" t="inlineStr"/>
      <c r="H58" s="22" t="inlineStr"/>
    </row>
    <row r="59">
      <c r="A59" s="22" t="inlineStr"/>
      <c r="B59" s="22" t="inlineStr"/>
      <c r="C59" s="22" t="inlineStr"/>
      <c r="D59" s="22" t="inlineStr"/>
      <c r="E59" s="22" t="inlineStr"/>
      <c r="F59" s="22" t="inlineStr"/>
      <c r="G59" s="22" t="inlineStr"/>
      <c r="H59" s="22" t="inlineStr"/>
    </row>
    <row r="60">
      <c r="A60" s="22" t="inlineStr"/>
      <c r="B60" s="22" t="inlineStr"/>
      <c r="C60" s="22" t="inlineStr"/>
      <c r="D60" s="22" t="inlineStr"/>
      <c r="E60" s="22" t="inlineStr"/>
      <c r="F60" s="22" t="inlineStr"/>
      <c r="G60" s="22" t="inlineStr"/>
      <c r="H60" s="22" t="inlineStr"/>
    </row>
    <row r="61">
      <c r="A61" s="22" t="inlineStr"/>
      <c r="B61" s="22" t="inlineStr"/>
      <c r="C61" s="22" t="inlineStr"/>
      <c r="D61" s="22" t="inlineStr"/>
      <c r="E61" s="22" t="inlineStr"/>
      <c r="F61" s="22" t="inlineStr"/>
      <c r="G61" s="22" t="inlineStr"/>
      <c r="H61" s="22" t="inlineStr"/>
    </row>
    <row r="62">
      <c r="A62" s="22" t="inlineStr"/>
      <c r="B62" s="22" t="inlineStr"/>
      <c r="C62" s="22" t="inlineStr"/>
      <c r="D62" s="22" t="inlineStr"/>
      <c r="E62" s="22" t="inlineStr"/>
      <c r="F62" s="22" t="inlineStr"/>
      <c r="G62" s="22" t="inlineStr"/>
      <c r="H62" s="22" t="inlineStr"/>
    </row>
    <row r="63">
      <c r="A63" s="22" t="inlineStr"/>
      <c r="B63" s="22" t="inlineStr"/>
      <c r="C63" s="22" t="inlineStr"/>
      <c r="D63" s="22" t="inlineStr"/>
      <c r="E63" s="22" t="inlineStr"/>
      <c r="F63" s="22" t="inlineStr"/>
      <c r="G63" s="22" t="inlineStr"/>
      <c r="H63" s="22" t="inlineStr"/>
    </row>
    <row r="64">
      <c r="A64" s="22" t="inlineStr"/>
      <c r="B64" s="22" t="inlineStr"/>
      <c r="C64" s="22" t="inlineStr"/>
      <c r="D64" s="22" t="inlineStr"/>
      <c r="E64" s="22" t="inlineStr"/>
      <c r="F64" s="22" t="inlineStr"/>
      <c r="G64" s="22" t="inlineStr"/>
      <c r="H64" s="22" t="inlineStr"/>
    </row>
    <row r="65">
      <c r="A65" s="22" t="inlineStr"/>
      <c r="B65" s="22" t="inlineStr"/>
      <c r="C65" s="22" t="inlineStr"/>
      <c r="D65" s="22" t="inlineStr"/>
      <c r="E65" s="22" t="inlineStr"/>
      <c r="F65" s="22" t="inlineStr"/>
      <c r="G65" s="22" t="inlineStr"/>
      <c r="H65" s="22" t="inlineStr"/>
    </row>
    <row r="66">
      <c r="A66" s="22" t="inlineStr"/>
      <c r="B66" s="22" t="inlineStr"/>
      <c r="C66" s="22" t="inlineStr"/>
      <c r="D66" s="22" t="inlineStr"/>
      <c r="E66" s="22" t="inlineStr"/>
      <c r="F66" s="22" t="inlineStr"/>
      <c r="G66" s="22" t="inlineStr"/>
      <c r="H66" s="22" t="inlineStr"/>
    </row>
    <row r="67">
      <c r="A67" s="22" t="inlineStr"/>
      <c r="B67" s="22" t="inlineStr"/>
      <c r="C67" s="22" t="inlineStr"/>
      <c r="D67" s="22" t="inlineStr"/>
      <c r="E67" s="22" t="inlineStr"/>
      <c r="F67" s="22" t="inlineStr"/>
      <c r="G67" s="22" t="inlineStr"/>
      <c r="H67" s="22" t="inlineStr"/>
    </row>
    <row r="68">
      <c r="A68" s="22" t="inlineStr"/>
      <c r="B68" s="22" t="inlineStr"/>
      <c r="C68" s="22" t="inlineStr"/>
      <c r="D68" s="22" t="inlineStr"/>
      <c r="E68" s="22" t="inlineStr"/>
      <c r="F68" s="22" t="inlineStr"/>
      <c r="G68" s="22" t="inlineStr"/>
      <c r="H68" s="22" t="inlineStr"/>
    </row>
    <row r="69">
      <c r="A69" s="22" t="inlineStr"/>
      <c r="B69" s="22" t="inlineStr"/>
      <c r="C69" s="22" t="inlineStr"/>
      <c r="D69" s="22" t="inlineStr"/>
      <c r="E69" s="22" t="inlineStr"/>
      <c r="F69" s="22" t="inlineStr"/>
      <c r="G69" s="22" t="inlineStr"/>
      <c r="H69" s="22" t="inlineStr"/>
    </row>
    <row r="70">
      <c r="A70" s="22" t="inlineStr"/>
      <c r="B70" s="22" t="inlineStr"/>
      <c r="C70" s="22" t="inlineStr"/>
      <c r="D70" s="22" t="inlineStr"/>
      <c r="E70" s="22" t="inlineStr"/>
      <c r="F70" s="22" t="inlineStr"/>
      <c r="G70" s="22" t="inlineStr"/>
      <c r="H70" s="22" t="inlineStr"/>
    </row>
    <row r="71">
      <c r="A71" s="22" t="inlineStr"/>
      <c r="B71" s="22" t="inlineStr"/>
      <c r="C71" s="22" t="inlineStr"/>
      <c r="D71" s="22" t="inlineStr"/>
      <c r="E71" s="22" t="inlineStr"/>
      <c r="F71" s="22" t="inlineStr"/>
      <c r="G71" s="22" t="inlineStr"/>
      <c r="H71" s="22" t="inlineStr"/>
    </row>
    <row r="72">
      <c r="A72" s="22" t="inlineStr"/>
      <c r="B72" s="22" t="inlineStr"/>
      <c r="C72" s="22" t="inlineStr"/>
      <c r="D72" s="22" t="inlineStr"/>
      <c r="E72" s="22" t="inlineStr"/>
      <c r="F72" s="22" t="inlineStr"/>
      <c r="G72" s="22" t="inlineStr"/>
      <c r="H72" s="22" t="inlineStr"/>
    </row>
    <row r="73">
      <c r="A73" s="22" t="inlineStr"/>
      <c r="B73" s="22" t="inlineStr"/>
      <c r="C73" s="22" t="inlineStr"/>
      <c r="D73" s="22" t="inlineStr"/>
      <c r="E73" s="22" t="inlineStr"/>
      <c r="F73" s="22" t="inlineStr"/>
      <c r="G73" s="22" t="inlineStr"/>
      <c r="H73" s="22" t="inlineStr"/>
    </row>
    <row r="74">
      <c r="A74" s="22" t="inlineStr"/>
      <c r="B74" s="22" t="inlineStr"/>
      <c r="C74" s="22" t="inlineStr"/>
      <c r="D74" s="22" t="inlineStr"/>
      <c r="E74" s="22" t="inlineStr"/>
      <c r="F74" s="22" t="inlineStr"/>
      <c r="G74" s="22" t="inlineStr"/>
      <c r="H74" s="22" t="inlineStr"/>
    </row>
    <row r="75">
      <c r="A75" s="22" t="inlineStr"/>
      <c r="B75" s="22" t="inlineStr"/>
      <c r="C75" s="22" t="inlineStr"/>
      <c r="D75" s="22" t="inlineStr"/>
      <c r="E75" s="22" t="inlineStr"/>
      <c r="F75" s="22" t="inlineStr"/>
      <c r="G75" s="22" t="inlineStr"/>
      <c r="H75" s="22" t="inlineStr"/>
    </row>
    <row r="76">
      <c r="A76" s="22" t="inlineStr"/>
      <c r="B76" s="22" t="inlineStr"/>
      <c r="C76" s="22" t="inlineStr"/>
      <c r="D76" s="22" t="inlineStr"/>
      <c r="E76" s="22" t="inlineStr"/>
      <c r="F76" s="22" t="inlineStr"/>
      <c r="G76" s="22" t="inlineStr"/>
      <c r="H76" s="22" t="inlineStr"/>
    </row>
    <row r="77">
      <c r="A77" s="22" t="inlineStr"/>
      <c r="B77" s="22" t="inlineStr"/>
      <c r="C77" s="22" t="inlineStr"/>
      <c r="D77" s="22" t="inlineStr"/>
      <c r="E77" s="22" t="inlineStr"/>
      <c r="F77" s="22" t="inlineStr"/>
      <c r="G77" s="22" t="inlineStr"/>
      <c r="H77" s="22" t="inlineStr"/>
    </row>
    <row r="78">
      <c r="A78" s="22" t="inlineStr"/>
      <c r="B78" s="22" t="inlineStr"/>
      <c r="C78" s="22" t="inlineStr"/>
      <c r="D78" s="22" t="inlineStr"/>
      <c r="E78" s="22" t="inlineStr"/>
      <c r="F78" s="22" t="inlineStr"/>
      <c r="G78" s="22" t="inlineStr"/>
      <c r="H78" s="22" t="inlineStr"/>
    </row>
    <row r="79">
      <c r="A79" s="22" t="inlineStr"/>
      <c r="B79" s="22" t="inlineStr"/>
      <c r="C79" s="22" t="inlineStr"/>
      <c r="D79" s="22" t="inlineStr"/>
      <c r="E79" s="22" t="inlineStr"/>
      <c r="F79" s="22" t="inlineStr"/>
      <c r="G79" s="22" t="inlineStr"/>
      <c r="H79" s="22" t="inlineStr"/>
    </row>
    <row r="80">
      <c r="A80" s="22" t="inlineStr"/>
      <c r="B80" s="22" t="inlineStr"/>
      <c r="C80" s="22" t="inlineStr"/>
      <c r="D80" s="22" t="inlineStr"/>
      <c r="E80" s="22" t="inlineStr"/>
      <c r="F80" s="22" t="inlineStr"/>
      <c r="G80" s="22" t="inlineStr"/>
      <c r="H80" s="22" t="inlineStr"/>
    </row>
    <row r="81">
      <c r="A81" s="22" t="inlineStr"/>
      <c r="B81" s="22" t="inlineStr"/>
      <c r="C81" s="22" t="inlineStr"/>
      <c r="D81" s="22" t="inlineStr"/>
      <c r="E81" s="22" t="inlineStr"/>
      <c r="F81" s="22" t="inlineStr"/>
      <c r="G81" s="22" t="inlineStr"/>
      <c r="H81" s="22" t="inlineStr"/>
    </row>
    <row r="82">
      <c r="A82" s="22" t="inlineStr"/>
      <c r="B82" s="22" t="inlineStr"/>
      <c r="C82" s="22" t="inlineStr"/>
      <c r="D82" s="22" t="inlineStr"/>
      <c r="E82" s="22" t="inlineStr"/>
      <c r="F82" s="22" t="inlineStr"/>
      <c r="G82" s="22" t="inlineStr"/>
      <c r="H82" s="22" t="inlineStr"/>
    </row>
    <row r="83">
      <c r="A83" s="22" t="inlineStr"/>
      <c r="B83" s="22" t="inlineStr"/>
      <c r="C83" s="22" t="inlineStr"/>
      <c r="D83" s="22" t="inlineStr"/>
      <c r="E83" s="22" t="inlineStr"/>
      <c r="F83" s="22" t="inlineStr"/>
      <c r="G83" s="22" t="inlineStr"/>
      <c r="H83" s="22" t="inlineStr"/>
    </row>
    <row r="84">
      <c r="A84" s="22" t="inlineStr"/>
      <c r="B84" s="22" t="inlineStr"/>
      <c r="C84" s="22" t="inlineStr"/>
      <c r="D84" s="22" t="inlineStr"/>
      <c r="E84" s="22" t="inlineStr"/>
      <c r="F84" s="22" t="inlineStr"/>
      <c r="G84" s="22" t="inlineStr"/>
      <c r="H84" s="22" t="inlineStr"/>
    </row>
    <row r="85">
      <c r="A85" s="22" t="inlineStr"/>
      <c r="B85" s="22" t="inlineStr"/>
      <c r="C85" s="22" t="inlineStr"/>
      <c r="D85" s="22" t="inlineStr"/>
      <c r="E85" s="22" t="inlineStr"/>
      <c r="F85" s="22" t="inlineStr"/>
      <c r="G85" s="22" t="inlineStr"/>
      <c r="H85" s="22" t="inlineStr"/>
    </row>
    <row r="86">
      <c r="A86" s="22" t="inlineStr"/>
      <c r="B86" s="22" t="inlineStr"/>
      <c r="C86" s="22" t="inlineStr"/>
      <c r="D86" s="22" t="inlineStr"/>
      <c r="E86" s="22" t="inlineStr"/>
      <c r="F86" s="22" t="inlineStr"/>
      <c r="G86" s="22" t="inlineStr"/>
      <c r="H86" s="22" t="inlineStr"/>
    </row>
    <row r="87">
      <c r="A87" s="22" t="inlineStr"/>
      <c r="B87" s="22" t="inlineStr"/>
      <c r="C87" s="22" t="inlineStr"/>
      <c r="D87" s="22" t="inlineStr"/>
      <c r="E87" s="22" t="inlineStr"/>
      <c r="F87" s="22" t="inlineStr"/>
      <c r="G87" s="22" t="inlineStr"/>
      <c r="H87" s="22" t="inlineStr"/>
    </row>
    <row r="88">
      <c r="A88" s="22" t="inlineStr"/>
      <c r="B88" s="22" t="inlineStr"/>
      <c r="C88" s="22" t="inlineStr"/>
      <c r="D88" s="22" t="inlineStr"/>
      <c r="E88" s="22" t="inlineStr"/>
      <c r="F88" s="22" t="inlineStr"/>
      <c r="G88" s="22" t="inlineStr"/>
      <c r="H88" s="22" t="inlineStr"/>
    </row>
    <row r="89">
      <c r="A89" s="22" t="inlineStr"/>
      <c r="B89" s="22" t="inlineStr"/>
      <c r="C89" s="22" t="inlineStr"/>
      <c r="D89" s="22" t="inlineStr"/>
      <c r="E89" s="22" t="inlineStr"/>
      <c r="F89" s="22" t="inlineStr"/>
      <c r="G89" s="22" t="inlineStr"/>
      <c r="H89" s="22" t="inlineStr"/>
    </row>
    <row r="90">
      <c r="A90" s="22" t="inlineStr"/>
      <c r="B90" s="22" t="inlineStr"/>
      <c r="C90" s="22" t="inlineStr"/>
      <c r="D90" s="22" t="inlineStr"/>
      <c r="E90" s="22" t="inlineStr"/>
      <c r="F90" s="22" t="inlineStr"/>
      <c r="G90" s="22" t="inlineStr"/>
      <c r="H90" s="22" t="inlineStr"/>
    </row>
    <row r="91">
      <c r="A91" s="22" t="inlineStr"/>
      <c r="B91" s="22" t="inlineStr"/>
      <c r="C91" s="22" t="inlineStr"/>
      <c r="D91" s="22" t="inlineStr"/>
      <c r="E91" s="22" t="inlineStr"/>
      <c r="F91" s="22" t="inlineStr"/>
      <c r="G91" s="22" t="inlineStr"/>
      <c r="H91" s="22" t="inlineStr"/>
    </row>
    <row r="92">
      <c r="A92" s="22" t="inlineStr"/>
      <c r="B92" s="22" t="inlineStr"/>
      <c r="C92" s="22" t="inlineStr"/>
      <c r="D92" s="22" t="inlineStr"/>
      <c r="E92" s="22" t="inlineStr"/>
      <c r="F92" s="22" t="inlineStr"/>
      <c r="G92" s="22" t="inlineStr"/>
      <c r="H92" s="22" t="inlineStr"/>
    </row>
    <row r="93">
      <c r="A93" s="22" t="inlineStr"/>
      <c r="B93" s="22" t="inlineStr"/>
      <c r="C93" s="22" t="inlineStr"/>
      <c r="D93" s="22" t="inlineStr"/>
      <c r="E93" s="22" t="inlineStr"/>
      <c r="F93" s="22" t="inlineStr"/>
      <c r="G93" s="22" t="inlineStr"/>
      <c r="H93" s="22" t="inlineStr"/>
    </row>
    <row r="94">
      <c r="A94" s="22" t="inlineStr"/>
      <c r="B94" s="22" t="inlineStr"/>
      <c r="C94" s="22" t="inlineStr"/>
      <c r="D94" s="22" t="inlineStr"/>
      <c r="E94" s="22" t="inlineStr"/>
      <c r="F94" s="22" t="inlineStr"/>
      <c r="G94" s="22" t="inlineStr"/>
      <c r="H94" s="22" t="inlineStr"/>
    </row>
    <row r="95">
      <c r="A95" s="22" t="inlineStr"/>
      <c r="B95" s="22" t="inlineStr"/>
      <c r="C95" s="22" t="inlineStr"/>
      <c r="D95" s="22" t="inlineStr"/>
      <c r="E95" s="22" t="inlineStr"/>
      <c r="F95" s="22" t="inlineStr"/>
      <c r="G95" s="22" t="inlineStr"/>
      <c r="H95" s="22" t="inlineStr"/>
    </row>
    <row r="96">
      <c r="A96" s="22" t="inlineStr"/>
      <c r="B96" s="22" t="inlineStr"/>
      <c r="C96" s="22" t="inlineStr"/>
      <c r="D96" s="22" t="inlineStr"/>
      <c r="E96" s="22" t="inlineStr"/>
      <c r="F96" s="22" t="inlineStr"/>
      <c r="G96" s="22" t="inlineStr"/>
      <c r="H96" s="22" t="inlineStr"/>
    </row>
    <row r="97">
      <c r="A97" s="22" t="inlineStr"/>
      <c r="B97" s="22" t="inlineStr"/>
      <c r="C97" s="22" t="inlineStr"/>
      <c r="D97" s="22" t="inlineStr"/>
      <c r="E97" s="22" t="inlineStr"/>
      <c r="F97" s="22" t="inlineStr"/>
      <c r="G97" s="22" t="inlineStr"/>
      <c r="H97" s="22" t="inlineStr"/>
    </row>
    <row r="98">
      <c r="A98" s="22" t="inlineStr"/>
      <c r="B98" s="22" t="inlineStr"/>
      <c r="C98" s="22" t="inlineStr"/>
      <c r="D98" s="22" t="inlineStr"/>
      <c r="E98" s="22" t="inlineStr"/>
      <c r="F98" s="22" t="inlineStr"/>
      <c r="G98" s="22" t="inlineStr"/>
      <c r="H98" s="22" t="inlineStr"/>
    </row>
    <row r="99">
      <c r="A99" s="22" t="inlineStr"/>
      <c r="B99" s="22" t="inlineStr"/>
      <c r="C99" s="22" t="inlineStr"/>
      <c r="D99" s="22" t="inlineStr"/>
      <c r="E99" s="22" t="inlineStr"/>
      <c r="F99" s="22" t="inlineStr"/>
      <c r="G99" s="22" t="inlineStr"/>
      <c r="H99" s="22" t="inlineStr"/>
    </row>
    <row r="100">
      <c r="A100" s="22" t="inlineStr"/>
      <c r="B100" s="22" t="inlineStr"/>
      <c r="C100" s="22" t="inlineStr"/>
      <c r="D100" s="22" t="inlineStr"/>
      <c r="E100" s="22" t="inlineStr"/>
      <c r="F100" s="22" t="inlineStr"/>
      <c r="G100" s="22" t="inlineStr"/>
      <c r="H100" s="22" t="inlineStr"/>
    </row>
    <row r="101">
      <c r="A101" s="22" t="inlineStr"/>
      <c r="B101" s="22" t="inlineStr"/>
      <c r="C101" s="22" t="inlineStr"/>
      <c r="D101" s="22" t="inlineStr"/>
      <c r="E101" s="22" t="inlineStr"/>
      <c r="F101" s="22" t="inlineStr"/>
      <c r="G101" s="22" t="inlineStr"/>
      <c r="H101" s="22" t="inlineStr"/>
    </row>
    <row r="102">
      <c r="A102" s="22" t="inlineStr"/>
      <c r="B102" s="22" t="inlineStr"/>
      <c r="C102" s="22" t="inlineStr"/>
      <c r="D102" s="22" t="inlineStr"/>
      <c r="E102" s="22" t="inlineStr"/>
      <c r="F102" s="22" t="inlineStr"/>
      <c r="G102" s="22" t="inlineStr"/>
      <c r="H102" s="22" t="inlineStr"/>
    </row>
    <row r="103">
      <c r="A103" s="22" t="inlineStr"/>
      <c r="B103" s="22" t="inlineStr"/>
      <c r="C103" s="22" t="inlineStr"/>
      <c r="D103" s="22" t="inlineStr"/>
      <c r="E103" s="22" t="inlineStr"/>
      <c r="F103" s="22" t="inlineStr"/>
      <c r="G103" s="22" t="inlineStr"/>
      <c r="H103" s="22" t="inlineStr"/>
    </row>
    <row r="104">
      <c r="A104" s="22" t="inlineStr"/>
      <c r="B104" s="22" t="inlineStr"/>
      <c r="C104" s="22" t="inlineStr"/>
      <c r="D104" s="22" t="inlineStr"/>
      <c r="E104" s="22" t="inlineStr"/>
      <c r="F104" s="22" t="inlineStr"/>
      <c r="G104" s="22" t="inlineStr"/>
      <c r="H104" s="22" t="inlineStr"/>
    </row>
    <row r="105">
      <c r="A105" s="22" t="inlineStr"/>
      <c r="B105" s="22" t="inlineStr"/>
      <c r="C105" s="22" t="inlineStr"/>
      <c r="D105" s="22" t="inlineStr"/>
      <c r="E105" s="22" t="inlineStr"/>
      <c r="F105" s="22" t="inlineStr"/>
      <c r="G105" s="22" t="inlineStr"/>
      <c r="H105" s="22" t="inlineStr"/>
    </row>
  </sheetData>
  <mergeCells count="2">
    <mergeCell ref="A2:H2"/>
    <mergeCell ref="A1:H1"/>
  </mergeCells>
  <dataValidations count="1">
    <dataValidation sqref="H6:H105" showDropDown="0" showInputMessage="0" showErrorMessage="0" allowBlank="1" type="list">
      <formula1>"Collected,Pending,Not Available,Superseded"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2" customWidth="1" min="2" max="2"/>
    <col width="14" customWidth="1" min="3" max="3"/>
    <col width="14" customWidth="1" min="4" max="4"/>
    <col width="16" customWidth="1" min="5" max="5"/>
    <col width="10" customWidth="1" min="6" max="6"/>
    <col width="13" customWidth="1" min="7" max="7"/>
  </cols>
  <sheetData>
    <row r="1" ht="35" customHeight="1">
      <c r="A1" s="23" t="inlineStr">
        <is>
          <t>EVENT REPORTING MECHANISMS — SUMMARY DASHBOARD</t>
        </is>
      </c>
      <c r="B1" s="6" t="n"/>
      <c r="C1" s="6" t="n"/>
      <c r="D1" s="6" t="n"/>
      <c r="E1" s="6" t="n"/>
      <c r="F1" s="6" t="n"/>
      <c r="G1" s="6" t="n"/>
    </row>
    <row r="2">
      <c r="A2" s="24" t="inlineStr">
        <is>
          <t>ISO/IEC 27001:2022 - Control A.6.7-8: Remote Working and Security Event Reporting</t>
        </is>
      </c>
    </row>
    <row r="4">
      <c r="A4" s="25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26" t="inlineStr">
        <is>
          <t>Assessment Area</t>
        </is>
      </c>
      <c r="B5" s="26" t="inlineStr">
        <is>
          <t>Total Items</t>
        </is>
      </c>
      <c r="C5" s="26" t="inlineStr">
        <is>
          <t>Compliant</t>
        </is>
      </c>
      <c r="D5" s="26" t="inlineStr">
        <is>
          <t>Partial</t>
        </is>
      </c>
      <c r="E5" s="26" t="inlineStr">
        <is>
          <t>Non-Compliant</t>
        </is>
      </c>
      <c r="F5" s="26" t="inlineStr">
        <is>
          <t>N/A</t>
        </is>
      </c>
      <c r="G5" s="26" t="inlineStr">
        <is>
          <t>Compliance %</t>
        </is>
      </c>
    </row>
    <row r="6">
      <c r="A6" s="27" t="inlineStr">
        <is>
          <t>Channel Assessment</t>
        </is>
      </c>
      <c r="B6" s="28">
        <f>COUNTA('Channel Assessment'!A4:A8)</f>
        <v/>
      </c>
      <c r="C6" s="28">
        <f>COUNTIF('Channel Assessment'!E4:E8,"Yes")</f>
        <v/>
      </c>
      <c r="D6" s="28">
        <f>COUNTIF('Channel Assessment'!E4:E8,"Partial")</f>
        <v/>
      </c>
      <c r="E6" s="28">
        <f>COUNTIF('Channel Assessment'!E4:E8,"No")</f>
        <v/>
      </c>
      <c r="F6" s="28">
        <f>B6-(C6+D6+E6)</f>
        <v/>
      </c>
      <c r="G6" s="29">
        <f>IF((B6-F6)=0,0,C6/(B6-F6))</f>
        <v/>
      </c>
    </row>
    <row r="7">
      <c r="A7" s="27" t="inlineStr">
        <is>
          <t>Channel Availability</t>
        </is>
      </c>
      <c r="B7" s="28">
        <f>COUNTA('Channel Availability'!A5:A54)</f>
        <v/>
      </c>
      <c r="C7" s="28">
        <f>COUNTIF('Channel Availability'!G5:G54,"Pass")</f>
        <v/>
      </c>
      <c r="D7" s="28">
        <f>COUNTIF('Channel Availability'!G5:G54,"Partial")</f>
        <v/>
      </c>
      <c r="E7" s="28">
        <f>COUNTIF('Channel Availability'!G5:G54,"Fail")</f>
        <v/>
      </c>
      <c r="F7" s="28">
        <f>B7-(C7+D7+E7)</f>
        <v/>
      </c>
      <c r="G7" s="29">
        <f>IF((B7-F7)=0,0,C7/(B7-F7))</f>
        <v/>
      </c>
    </row>
    <row r="8">
      <c r="A8" s="27" t="inlineStr">
        <is>
          <t>Event Categories</t>
        </is>
      </c>
      <c r="B8" s="28">
        <f>COUNTA('Event Categories'!A4:A11)</f>
        <v/>
      </c>
      <c r="C8" s="28">
        <f>COUNTIF('Event Categories'!C4:C11,"Yes")</f>
        <v/>
      </c>
      <c r="D8" s="28">
        <f>COUNTIF('Event Categories'!C4:C11,"Partial")</f>
        <v/>
      </c>
      <c r="E8" s="28">
        <f>COUNTIF('Event Categories'!C4:C11,"No")</f>
        <v/>
      </c>
      <c r="F8" s="28">
        <f>B8-(C8+D8+E8)</f>
        <v/>
      </c>
      <c r="G8" s="29">
        <f>IF((B8-F8)=0,0,C8/(B8-F8))</f>
        <v/>
      </c>
    </row>
    <row r="9">
      <c r="A9" s="27" t="inlineStr">
        <is>
          <t>Response Timeframes</t>
        </is>
      </c>
      <c r="B9" s="28">
        <f>COUNTA('Response Timeframes'!A4:A7)</f>
        <v/>
      </c>
      <c r="C9" s="28">
        <f>COUNTIF('Response Timeframes'!C4:C7,"Yes")</f>
        <v/>
      </c>
      <c r="D9" s="28" t="inlineStr">
        <is>
          <t>0</t>
        </is>
      </c>
      <c r="E9" s="28">
        <f>COUNTIF('Response Timeframes'!C4:C7,"No")</f>
        <v/>
      </c>
      <c r="F9" s="28">
        <f>B9-(C9+D9+E9)</f>
        <v/>
      </c>
      <c r="G9" s="29">
        <f>IF((B9-F9)=0,0,C9/(B9-F9))</f>
        <v/>
      </c>
    </row>
    <row r="10">
      <c r="A10" s="30" t="inlineStr">
        <is>
          <t>TOTAL</t>
        </is>
      </c>
      <c r="B10" s="31">
        <f>SUM(B6:B9)</f>
        <v/>
      </c>
      <c r="C10" s="31">
        <f>SUM(C6:C9)</f>
        <v/>
      </c>
      <c r="D10" s="31">
        <f>SUM(D6:D9)</f>
        <v/>
      </c>
      <c r="E10" s="31">
        <f>SUM(E6:E9)</f>
        <v/>
      </c>
      <c r="F10" s="31">
        <f>SUM(F6:F9)</f>
        <v/>
      </c>
      <c r="G10" s="32">
        <f>IF((B10-F10)=0,0,C10/(B10-F10))</f>
        <v/>
      </c>
    </row>
    <row r="12">
      <c r="A12" s="25" t="inlineStr">
        <is>
          <t>TABLE 2: KEY METRICS</t>
        </is>
      </c>
      <c r="B12" s="6" t="n"/>
      <c r="C12" s="6" t="n"/>
      <c r="D12" s="6" t="n"/>
      <c r="E12" s="6" t="n"/>
      <c r="F12" s="6" t="n"/>
      <c r="G12" s="6" t="n"/>
    </row>
    <row r="13">
      <c r="A13" s="33" t="inlineStr">
        <is>
          <t>A.6.8 Event Reporting Metrics</t>
        </is>
      </c>
      <c r="B13" s="6" t="n"/>
      <c r="C13" s="6" t="n"/>
      <c r="D13" s="6" t="n"/>
      <c r="E13" s="6" t="n"/>
      <c r="F13" s="6" t="n"/>
      <c r="G13" s="6" t="n"/>
    </row>
    <row r="14">
      <c r="A14" s="27" t="inlineStr">
        <is>
          <t>Total Reporting Channels</t>
        </is>
      </c>
      <c r="B14" s="28">
        <f>COUNTA('Channel Assessment'!A4:A8)</f>
        <v/>
      </c>
      <c r="C14" s="6" t="n"/>
      <c r="D14" s="6" t="n"/>
      <c r="E14" s="6" t="n"/>
      <c r="F14" s="6" t="n"/>
      <c r="G14" s="6" t="n"/>
    </row>
    <row r="15">
      <c r="A15" s="27" t="inlineStr">
        <is>
          <t>Channels Fully Implemented</t>
        </is>
      </c>
      <c r="B15" s="28">
        <f>COUNTIF('Channel Assessment'!E4:E8,"Yes")</f>
        <v/>
      </c>
      <c r="C15" s="6" t="n"/>
      <c r="D15" s="6" t="n"/>
      <c r="E15" s="6" t="n"/>
      <c r="F15" s="6" t="n"/>
      <c r="G15" s="6" t="n"/>
    </row>
    <row r="16">
      <c r="A16" s="27" t="inlineStr">
        <is>
          <t>Channels Accessible Remotely</t>
        </is>
      </c>
      <c r="B16" s="28">
        <f>COUNTIF('Channel Assessment'!G4:G8,"Yes")</f>
        <v/>
      </c>
      <c r="C16" s="6" t="n"/>
      <c r="D16" s="6" t="n"/>
      <c r="E16" s="6" t="n"/>
      <c r="F16" s="6" t="n"/>
      <c r="G16" s="6" t="n"/>
    </row>
    <row r="17">
      <c r="A17" s="27" t="inlineStr">
        <is>
          <t>Availability Tests Conducted</t>
        </is>
      </c>
      <c r="B17" s="28">
        <f>COUNTA('Channel Availability'!A5:A54)</f>
        <v/>
      </c>
      <c r="C17" s="6" t="n"/>
      <c r="D17" s="6" t="n"/>
      <c r="E17" s="6" t="n"/>
      <c r="F17" s="6" t="n"/>
      <c r="G17" s="6" t="n"/>
    </row>
    <row r="18">
      <c r="A18" s="27" t="inlineStr">
        <is>
          <t>Channels Passing Availability Tests</t>
        </is>
      </c>
      <c r="B18" s="28">
        <f>COUNTIF('Channel Availability'!G5:G54,"Pass")</f>
        <v/>
      </c>
      <c r="C18" s="6" t="n"/>
      <c r="D18" s="6" t="n"/>
      <c r="E18" s="6" t="n"/>
      <c r="F18" s="6" t="n"/>
      <c r="G18" s="6" t="n"/>
    </row>
    <row r="19">
      <c r="A19" s="27" t="inlineStr">
        <is>
          <t>Channels Failing Availability Tests</t>
        </is>
      </c>
      <c r="B19" s="28">
        <f>COUNTIF('Channel Availability'!G5:G54,"Fail")</f>
        <v/>
      </c>
      <c r="C19" s="6" t="n"/>
      <c r="D19" s="6" t="n"/>
      <c r="E19" s="6" t="n"/>
      <c r="F19" s="6" t="n"/>
      <c r="G19" s="6" t="n"/>
    </row>
    <row r="20">
      <c r="A20" s="27" t="inlineStr">
        <is>
          <t>Event Categories Documented</t>
        </is>
      </c>
      <c r="B20" s="28">
        <f>COUNTIF('Event Categories'!C4:C11,"Yes")</f>
        <v/>
      </c>
      <c r="C20" s="6" t="n"/>
      <c r="D20" s="6" t="n"/>
      <c r="E20" s="6" t="n"/>
      <c r="F20" s="6" t="n"/>
      <c r="G20" s="6" t="n"/>
    </row>
    <row r="21">
      <c r="A21" s="27" t="inlineStr">
        <is>
          <t>Personnel Aware of Categories</t>
        </is>
      </c>
      <c r="B21" s="28">
        <f>COUNTIF('Event Categories'!F4:F11,"Yes")</f>
        <v/>
      </c>
      <c r="C21" s="6" t="n"/>
      <c r="D21" s="6" t="n"/>
      <c r="E21" s="6" t="n"/>
      <c r="F21" s="6" t="n"/>
      <c r="G21" s="6" t="n"/>
    </row>
    <row r="22">
      <c r="A22" s="27" t="inlineStr">
        <is>
          <t>Response Timeframes Documented</t>
        </is>
      </c>
      <c r="B22" s="28">
        <f>COUNTIF('Response Timeframes'!C4:C7,"Yes")</f>
        <v/>
      </c>
      <c r="C22" s="6" t="n"/>
      <c r="D22" s="6" t="n"/>
      <c r="E22" s="6" t="n"/>
      <c r="F22" s="6" t="n"/>
      <c r="G22" s="6" t="n"/>
    </row>
    <row r="23">
      <c r="A23" s="27" t="inlineStr">
        <is>
          <t>Non-Blame Principles Documented</t>
        </is>
      </c>
      <c r="B23" s="28">
        <f>COUNTIF('Non-Blame Culture'!C4:C7,"Yes")</f>
        <v/>
      </c>
      <c r="C23" s="6" t="n"/>
      <c r="D23" s="6" t="n"/>
      <c r="E23" s="6" t="n"/>
      <c r="F23" s="6" t="n"/>
      <c r="G23" s="6" t="n"/>
    </row>
    <row r="24">
      <c r="A24" s="27" t="inlineStr">
        <is>
          <t>Total Events Reported (12 months)</t>
        </is>
      </c>
      <c r="B24" s="28">
        <f>COUNTA('Sample Events'!B5:B54)</f>
        <v/>
      </c>
      <c r="C24" s="6" t="n"/>
      <c r="D24" s="6" t="n"/>
      <c r="E24" s="6" t="n"/>
      <c r="F24" s="6" t="n"/>
      <c r="G24" s="6" t="n"/>
    </row>
    <row r="25">
      <c r="A25" s="27" t="inlineStr">
        <is>
          <t>Open Reporting Gaps</t>
        </is>
      </c>
      <c r="B25" s="28">
        <f>COUNTIF('Gap Analysis'!I4:I54,"Open")</f>
        <v/>
      </c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9">
      <c r="A29" s="34" t="inlineStr">
        <is>
          <t>TABLE 3: CRITICAL FINDINGS REQUIRING IMMEDIATE ATTENTION</t>
        </is>
      </c>
      <c r="B29" s="6" t="n"/>
      <c r="C29" s="6" t="n"/>
      <c r="D29" s="6" t="n"/>
      <c r="E29" s="6" t="n"/>
      <c r="F29" s="6" t="n"/>
      <c r="G29" s="6" t="n"/>
    </row>
    <row r="30">
      <c r="A30" s="31" t="inlineStr">
        <is>
          <t>Category</t>
        </is>
      </c>
      <c r="B30" s="31" t="inlineStr">
        <is>
          <t>Finding</t>
        </is>
      </c>
      <c r="C30" s="31" t="inlineStr">
        <is>
          <t>Count</t>
        </is>
      </c>
      <c r="D30" s="31" t="inlineStr">
        <is>
          <t>Severity</t>
        </is>
      </c>
      <c r="E30" s="31" t="inlineStr">
        <is>
          <t>Action Required</t>
        </is>
      </c>
      <c r="F30" s="31" t="n"/>
      <c r="G30" s="31" t="n"/>
    </row>
    <row r="31">
      <c r="A31" s="35" t="inlineStr">
        <is>
          <t>Channel Assessment</t>
        </is>
      </c>
      <c r="B31" s="35" t="inlineStr">
        <is>
          <t>Mandatory channels not implemented</t>
        </is>
      </c>
      <c r="C31" s="36">
        <f>COUNTIF('Channel Assessment'!E4:E8,"No")</f>
        <v/>
      </c>
      <c r="D31" s="35" t="inlineStr">
        <is>
          <t>Critical</t>
        </is>
      </c>
      <c r="E31" s="35" t="inlineStr">
        <is>
          <t>Immediate</t>
        </is>
      </c>
      <c r="F31" s="35" t="n"/>
      <c r="G31" s="35" t="n"/>
    </row>
    <row r="32">
      <c r="A32" s="35" t="inlineStr">
        <is>
          <t>Channel Availability</t>
        </is>
      </c>
      <c r="B32" s="35" t="inlineStr">
        <is>
          <t>Channels failing availability tests</t>
        </is>
      </c>
      <c r="C32" s="36">
        <f>COUNTIF('Channel Availability'!G5:G54,"Fail")</f>
        <v/>
      </c>
      <c r="D32" s="35" t="inlineStr">
        <is>
          <t>Critical</t>
        </is>
      </c>
      <c r="E32" s="35" t="inlineStr">
        <is>
          <t>Immediate</t>
        </is>
      </c>
      <c r="F32" s="35" t="n"/>
      <c r="G32" s="35" t="n"/>
    </row>
    <row r="33">
      <c r="A33" s="35" t="inlineStr">
        <is>
          <t>Event Categories</t>
        </is>
      </c>
      <c r="B33" s="35" t="inlineStr">
        <is>
          <t>Event categories not documented</t>
        </is>
      </c>
      <c r="C33" s="36">
        <f>COUNTIF('Event Categories'!C4:C11,"No")</f>
        <v/>
      </c>
      <c r="D33" s="35" t="inlineStr">
        <is>
          <t>High</t>
        </is>
      </c>
      <c r="E33" s="35" t="inlineStr">
        <is>
          <t>Urgent</t>
        </is>
      </c>
      <c r="F33" s="35" t="n"/>
      <c r="G33" s="35" t="n"/>
    </row>
    <row r="34">
      <c r="A34" s="35" t="inlineStr">
        <is>
          <t>Response Timeframes</t>
        </is>
      </c>
      <c r="B34" s="35" t="inlineStr">
        <is>
          <t>Response timeframes not documented</t>
        </is>
      </c>
      <c r="C34" s="36">
        <f>COUNTIF('Response Timeframes'!C4:C7,"No")</f>
        <v/>
      </c>
      <c r="D34" s="35" t="inlineStr">
        <is>
          <t>High</t>
        </is>
      </c>
      <c r="E34" s="35" t="inlineStr">
        <is>
          <t>Urgent</t>
        </is>
      </c>
      <c r="F34" s="35" t="n"/>
      <c r="G34" s="35" t="n"/>
    </row>
    <row r="35">
      <c r="A35" s="35" t="inlineStr">
        <is>
          <t>Gap Analysis</t>
        </is>
      </c>
      <c r="B35" s="35" t="inlineStr">
        <is>
          <t>Open event reporting gaps</t>
        </is>
      </c>
      <c r="C35" s="36">
        <f>COUNTIF('Gap Analysis'!I4:I54,"Open")</f>
        <v/>
      </c>
      <c r="D35" s="35" t="inlineStr">
        <is>
          <t>Medium</t>
        </is>
      </c>
      <c r="E35" s="35" t="inlineStr">
        <is>
          <t>Plan</t>
        </is>
      </c>
      <c r="F35" s="35" t="n"/>
      <c r="G35" s="35" t="n"/>
    </row>
    <row r="36">
      <c r="A36" s="14" t="n"/>
      <c r="B36" s="14" t="n"/>
      <c r="C36" s="14" t="n"/>
      <c r="D36" s="14" t="n"/>
      <c r="E36" s="14" t="n"/>
      <c r="F36" s="14" t="n"/>
      <c r="G36" s="14" t="n"/>
    </row>
    <row r="37">
      <c r="A37" s="14" t="n"/>
      <c r="B37" s="14" t="n"/>
      <c r="C37" s="14" t="n"/>
      <c r="D37" s="14" t="n"/>
      <c r="E37" s="14" t="n"/>
      <c r="F37" s="14" t="n"/>
      <c r="G37" s="14" t="n"/>
    </row>
  </sheetData>
  <mergeCells count="6">
    <mergeCell ref="A13:G13"/>
    <mergeCell ref="A1:G1"/>
    <mergeCell ref="A12:G12"/>
    <mergeCell ref="A4:G4"/>
    <mergeCell ref="A2:G2"/>
    <mergeCell ref="A29:G2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7" t="inlineStr">
        <is>
          <t>ASSESSMENT APPROVAL AND SIGN-OFF</t>
        </is>
      </c>
      <c r="B1" s="6" t="n"/>
      <c r="C1" s="6" t="n"/>
      <c r="D1" s="6" t="n"/>
      <c r="E1" s="6" t="n"/>
    </row>
    <row r="2">
      <c r="A2" s="38" t="inlineStr">
        <is>
          <t>ISO/IEC 27001:2022 - Control A.6.7-8: Remote Working and Security Event Reporting</t>
        </is>
      </c>
      <c r="B2" s="6" t="n"/>
      <c r="C2" s="6" t="n"/>
      <c r="D2" s="6" t="n"/>
      <c r="E2" s="6" t="n"/>
    </row>
    <row r="3">
      <c r="A3" s="39" t="inlineStr">
        <is>
          <t>ASSESSMENT SUMMARY</t>
        </is>
      </c>
      <c r="B3" s="6" t="n"/>
      <c r="C3" s="6" t="n"/>
      <c r="D3" s="6" t="n"/>
      <c r="E3" s="6" t="n"/>
    </row>
    <row r="4">
      <c r="A4" s="40" t="inlineStr">
        <is>
          <t>Document:</t>
        </is>
      </c>
      <c r="B4" s="6" t="inlineStr">
        <is>
          <t>ISMS-IMP-A.6.7-8.S4 - Event Reporting Mechanisms Assessment</t>
        </is>
      </c>
      <c r="C4" s="6" t="n"/>
      <c r="D4" s="6" t="n"/>
      <c r="E4" s="6" t="n"/>
    </row>
    <row r="5">
      <c r="A5" s="40" t="inlineStr">
        <is>
          <t>Assessment Period:</t>
        </is>
      </c>
      <c r="B5" s="14" t="inlineStr"/>
      <c r="C5" s="14" t="n"/>
      <c r="D5" s="14" t="n"/>
      <c r="E5" s="14" t="n"/>
    </row>
    <row r="6">
      <c r="A6" s="40" t="inlineStr">
        <is>
          <t>Overall Compliance Rating:</t>
        </is>
      </c>
      <c r="B6" s="41">
        <f>IFERROR(AVERAGE('Summary Dashboard'!G6:G10),"")</f>
        <v/>
      </c>
      <c r="C6" s="14" t="n"/>
      <c r="D6" s="14" t="n"/>
      <c r="E6" s="14" t="n"/>
    </row>
    <row r="7">
      <c r="A7" s="40" t="inlineStr">
        <is>
          <t>Assessment Status:</t>
        </is>
      </c>
      <c r="B7" s="14" t="inlineStr"/>
      <c r="C7" s="14" t="n"/>
      <c r="D7" s="14" t="n"/>
      <c r="E7" s="14" t="n"/>
    </row>
    <row r="8">
      <c r="A8" s="40" t="inlineStr">
        <is>
          <t>Assessed By:</t>
        </is>
      </c>
      <c r="B8" s="14" t="inlineStr"/>
      <c r="C8" s="14" t="n"/>
      <c r="D8" s="14" t="n"/>
      <c r="E8" s="14" t="n"/>
    </row>
    <row r="11">
      <c r="A11" s="39" t="inlineStr">
        <is>
          <t>COMPLETED BY (ASSESSOR)</t>
        </is>
      </c>
      <c r="B11" s="6" t="n"/>
      <c r="C11" s="6" t="n"/>
      <c r="D11" s="6" t="n"/>
      <c r="E11" s="6" t="n"/>
    </row>
    <row r="12">
      <c r="A12" s="40" t="inlineStr">
        <is>
          <t>Name:</t>
        </is>
      </c>
      <c r="B12" s="14" t="n"/>
      <c r="C12" s="14" t="n"/>
      <c r="D12" s="14" t="n"/>
      <c r="E12" s="14" t="n"/>
    </row>
    <row r="13">
      <c r="A13" s="40" t="inlineStr">
        <is>
          <t>Title:</t>
        </is>
      </c>
      <c r="B13" s="14" t="n"/>
      <c r="C13" s="14" t="n"/>
      <c r="D13" s="14" t="n"/>
      <c r="E13" s="14" t="n"/>
    </row>
    <row r="14">
      <c r="A14" s="40" t="inlineStr">
        <is>
          <t>Date:</t>
        </is>
      </c>
      <c r="B14" s="14" t="n"/>
      <c r="C14" s="14" t="n"/>
      <c r="D14" s="14" t="n"/>
      <c r="E14" s="14" t="n"/>
    </row>
    <row r="15">
      <c r="A15" s="40" t="inlineStr">
        <is>
          <t>Signature:</t>
        </is>
      </c>
      <c r="B15" s="14" t="n"/>
      <c r="C15" s="14" t="n"/>
      <c r="D15" s="14" t="n"/>
      <c r="E15" s="14" t="n"/>
    </row>
    <row r="16">
      <c r="A16" s="40" t="inlineStr">
        <is>
          <t>Comments:</t>
        </is>
      </c>
      <c r="B16" s="14" t="n"/>
      <c r="C16" s="14" t="n"/>
      <c r="D16" s="14" t="n"/>
      <c r="E16" s="14" t="n"/>
    </row>
    <row r="18">
      <c r="A18" s="39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40" t="inlineStr">
        <is>
          <t>Name:</t>
        </is>
      </c>
      <c r="B19" s="14" t="n"/>
      <c r="C19" s="14" t="n"/>
      <c r="D19" s="14" t="n"/>
      <c r="E19" s="14" t="n"/>
    </row>
    <row r="20">
      <c r="A20" s="40" t="inlineStr">
        <is>
          <t>Title:</t>
        </is>
      </c>
      <c r="B20" s="14" t="n"/>
      <c r="C20" s="14" t="n"/>
      <c r="D20" s="14" t="n"/>
      <c r="E20" s="14" t="n"/>
    </row>
    <row r="21">
      <c r="A21" s="40" t="inlineStr">
        <is>
          <t>Date:</t>
        </is>
      </c>
      <c r="B21" s="14" t="n"/>
      <c r="C21" s="14" t="n"/>
      <c r="D21" s="14" t="n"/>
      <c r="E21" s="14" t="n"/>
    </row>
    <row r="22">
      <c r="A22" s="40" t="inlineStr">
        <is>
          <t>Signature:</t>
        </is>
      </c>
      <c r="B22" s="14" t="n"/>
      <c r="C22" s="14" t="n"/>
      <c r="D22" s="14" t="n"/>
      <c r="E22" s="14" t="n"/>
    </row>
    <row r="23">
      <c r="A23" s="40" t="inlineStr">
        <is>
          <t>Comments:</t>
        </is>
      </c>
      <c r="B23" s="14" t="n"/>
      <c r="C23" s="14" t="n"/>
      <c r="D23" s="14" t="n"/>
      <c r="E23" s="14" t="n"/>
    </row>
    <row r="25">
      <c r="A25" s="42" t="inlineStr">
        <is>
          <t>APPROVED BY (CISO)</t>
        </is>
      </c>
      <c r="B25" s="6" t="n"/>
      <c r="C25" s="6" t="n"/>
      <c r="D25" s="6" t="n"/>
      <c r="E25" s="6" t="n"/>
    </row>
    <row r="26">
      <c r="A26" s="40" t="inlineStr">
        <is>
          <t>Name:</t>
        </is>
      </c>
      <c r="B26" s="14" t="n"/>
      <c r="C26" s="14" t="n"/>
      <c r="D26" s="14" t="n"/>
      <c r="E26" s="14" t="n"/>
    </row>
    <row r="27">
      <c r="A27" s="40" t="inlineStr">
        <is>
          <t>Title:</t>
        </is>
      </c>
      <c r="B27" s="14" t="n"/>
      <c r="C27" s="14" t="n"/>
      <c r="D27" s="14" t="n"/>
      <c r="E27" s="14" t="n"/>
    </row>
    <row r="28">
      <c r="A28" s="40" t="inlineStr">
        <is>
          <t>Date:</t>
        </is>
      </c>
      <c r="B28" s="14" t="n"/>
      <c r="C28" s="14" t="n"/>
      <c r="D28" s="14" t="n"/>
      <c r="E28" s="14" t="n"/>
    </row>
    <row r="29">
      <c r="A29" s="40" t="inlineStr">
        <is>
          <t>Signature:</t>
        </is>
      </c>
      <c r="B29" s="14" t="n"/>
      <c r="C29" s="14" t="n"/>
      <c r="D29" s="14" t="n"/>
      <c r="E29" s="14" t="n"/>
    </row>
    <row r="30">
      <c r="A30" s="40" t="inlineStr">
        <is>
          <t>Comments:</t>
        </is>
      </c>
      <c r="B30" s="14" t="n"/>
      <c r="C30" s="14" t="n"/>
      <c r="D30" s="14" t="n"/>
      <c r="E30" s="14" t="n"/>
    </row>
    <row r="32">
      <c r="A32" s="40" t="inlineStr">
        <is>
          <t>FINAL DECISION:</t>
        </is>
      </c>
      <c r="B32" s="14" t="n"/>
      <c r="C32" s="14" t="n"/>
      <c r="D32" s="14" t="n"/>
      <c r="E32" s="14" t="n"/>
    </row>
    <row r="35">
      <c r="A35" s="39" t="inlineStr">
        <is>
          <t>NEXT REVIEW DETAILS</t>
        </is>
      </c>
      <c r="B35" s="6" t="n"/>
      <c r="C35" s="6" t="n"/>
      <c r="D35" s="6" t="n"/>
      <c r="E35" s="6" t="n"/>
    </row>
    <row r="36">
      <c r="A36" s="40" t="inlineStr">
        <is>
          <t>Next Review Date:</t>
        </is>
      </c>
      <c r="B36" s="14" t="n"/>
      <c r="C36" s="14" t="n"/>
      <c r="D36" s="14" t="n"/>
      <c r="E36" s="14" t="n"/>
    </row>
    <row r="37">
      <c r="A37" s="40" t="inlineStr">
        <is>
          <t>Review Responsible:</t>
        </is>
      </c>
      <c r="B37" s="14" t="n"/>
      <c r="C37" s="14" t="n"/>
      <c r="D37" s="14" t="n"/>
      <c r="E37" s="14" t="n"/>
    </row>
    <row r="38">
      <c r="A38" s="40" t="inlineStr">
        <is>
          <t>Special Considerations:</t>
        </is>
      </c>
      <c r="B38" s="14" t="n"/>
      <c r="C38" s="14" t="n"/>
      <c r="D38" s="14" t="n"/>
      <c r="E38" s="14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ISMS-IMP-A.6.7-8.S4 — Event Reporting Mechanisms Assessment</dc:title>
  <dc:description xmlns:dc="http://purl.org/dc/elements/1.1/">ISMS Implementation Workbook — ISMS-IMP-A.6.7-8.S4</dc:description>
  <dc:subject xmlns:dc="http://purl.org/dc/elements/1.1/">ISO/IEC 27001:2022 — Control A.6.7-8: Remote Working and Security Event Reporting</dc:subject>
  <dcterms:created xmlns:dcterms="http://purl.org/dc/terms/" xmlns:xsi="http://www.w3.org/2001/XMLSchema-instance" xsi:type="dcterms:W3CDTF">2026-03-01T16:57:46Z</dcterms:created>
  <dcterms:modified xmlns:dcterms="http://purl.org/dc/terms/" xmlns:xsi="http://www.w3.org/2001/XMLSchema-instance" xsi:type="dcterms:W3CDTF">2026-03-01T16:57:46Z</dcterms:modified>
</cp:coreProperties>
</file>