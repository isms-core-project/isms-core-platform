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VPN Assessment" sheetId="2" state="visible" r:id="rId2"/>
    <sheet xmlns:r="http://schemas.openxmlformats.org/officeDocument/2006/relationships" name="MFA Assessment" sheetId="3" state="visible" r:id="rId3"/>
    <sheet xmlns:r="http://schemas.openxmlformats.org/officeDocument/2006/relationships" name="Encryption Assessment" sheetId="4" state="visible" r:id="rId4"/>
    <sheet xmlns:r="http://schemas.openxmlformats.org/officeDocument/2006/relationships" name="Logging Assessment" sheetId="5" state="visible" r:id="rId5"/>
    <sheet xmlns:r="http://schemas.openxmlformats.org/officeDocument/2006/relationships" name="Compliance Summary" sheetId="6" state="visible" r:id="rId6"/>
    <sheet xmlns:r="http://schemas.openxmlformats.org/officeDocument/2006/relationships" name="Gap Analysis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003366"/>
      <sz val="10"/>
    </font>
    <font>
      <b val="1"/>
      <color rgb="00FFFFFF"/>
      <sz val="14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9" fillId="8" borderId="1" pivotButton="0" quotePrefix="0" xfId="0"/>
    <xf numFmtId="0" fontId="10" fillId="9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164" fontId="11" fillId="0" borderId="1" applyAlignment="1" pivotButton="0" quotePrefix="0" xfId="0">
      <alignment horizontal="center"/>
    </xf>
    <xf numFmtId="0" fontId="10" fillId="9" borderId="1" pivotButton="0" quotePrefix="0" xfId="0"/>
    <xf numFmtId="0" fontId="10" fillId="9" borderId="1" applyAlignment="1" pivotButton="0" quotePrefix="0" xfId="0">
      <alignment horizontal="center"/>
    </xf>
    <xf numFmtId="164" fontId="10" fillId="9" borderId="1" applyAlignment="1" pivotButton="0" quotePrefix="0" xfId="0">
      <alignment horizontal="center"/>
    </xf>
    <xf numFmtId="0" fontId="10" fillId="9" borderId="1" applyAlignment="1" pivotButton="0" quotePrefix="0" xfId="0">
      <alignment horizontal="left"/>
    </xf>
    <xf numFmtId="0" fontId="9" fillId="12" borderId="1" pivotButton="0" quotePrefix="0" xfId="0"/>
    <xf numFmtId="0" fontId="11" fillId="10" borderId="1" pivotButton="0" quotePrefix="0" xfId="0"/>
    <xf numFmtId="0" fontId="11" fillId="1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10" borderId="1" pivotButton="0" quotePrefix="0" xfId="0"/>
    <xf numFmtId="0" fontId="1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ISMS-IMP-A.6.7-8.S2  -  Technical Controls Assessment
ISO/IEC 27001:2022 - Control A.6.7-8: Remote Working and Security Event Reporting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ISMS-IMP-A.6.7-8.S2</t>
        </is>
      </c>
    </row>
    <row r="5">
      <c r="A5" s="3" t="inlineStr">
        <is>
          <t>Workbook Title</t>
        </is>
      </c>
      <c r="B5" t="inlineStr">
        <is>
          <t>Technical Controls Assessment</t>
        </is>
      </c>
    </row>
    <row r="6">
      <c r="A6" s="3" t="inlineStr">
        <is>
          <t>Control Reference</t>
        </is>
      </c>
      <c r="B6" t="inlineStr">
        <is>
          <t>ISO/IEC 27001:2022 - Control A.6.7-8: Remote Working and Security Event Reporting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VPN Assessment — evaluate VPN deployment, enforcement, and coverage for remote workers.</t>
        </is>
      </c>
    </row>
    <row r="14">
      <c r="A14" t="inlineStr">
        <is>
          <t>2. Complete MFA Assessment — verify MFA is enforced for all remote access connections.</t>
        </is>
      </c>
    </row>
    <row r="15">
      <c r="A15" t="inlineStr">
        <is>
          <t>3. Complete Encryption Assessment — assess end-to-end encryption for remote sessions and data in transit.</t>
        </is>
      </c>
    </row>
    <row r="16">
      <c r="A16" t="inlineStr">
        <is>
          <t>4. Complete Logging Assessment — verify remote access sessions are logged and monitored.</t>
        </is>
      </c>
    </row>
    <row r="17">
      <c r="A17" t="inlineStr">
        <is>
          <t>5. Complete Compliance Summary — calculate overall technical control compliance for remote working.</t>
        </is>
      </c>
    </row>
    <row r="18">
      <c r="A18" t="inlineStr">
        <is>
          <t>6. Complete Gap Analysis — identify technical control gaps and create remediation plans.</t>
        </is>
      </c>
    </row>
    <row r="19">
      <c r="A19" t="inlineStr">
        <is>
          <t>7. Maintain the Evidence Register with technical control configurations and test results.</t>
        </is>
      </c>
    </row>
    <row r="20">
      <c r="A20" t="inlineStr">
        <is>
          <t>8. Obtain final approval and sign-off in the Approval Sign-Off sheet.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✓</t>
        </is>
      </c>
      <c r="B24" s="7" t="inlineStr">
        <is>
          <t>Compliant / Complete</t>
        </is>
      </c>
      <c r="C24" s="8" t="inlineStr">
        <is>
          <t>Requirement fully met</t>
        </is>
      </c>
    </row>
    <row r="25">
      <c r="A25" s="6" t="inlineStr">
        <is>
          <t>⚠</t>
        </is>
      </c>
      <c r="B25" s="9" t="inlineStr">
        <is>
          <t>Partial / In Progress</t>
        </is>
      </c>
      <c r="C25" s="8" t="inlineStr">
        <is>
          <t>Partially met or in progress</t>
        </is>
      </c>
    </row>
    <row r="26">
      <c r="A26" s="6" t="inlineStr">
        <is>
          <t>✗</t>
        </is>
      </c>
      <c r="B26" s="10" t="inlineStr">
        <is>
          <t>Non-Compliant / Not Started</t>
        </is>
      </c>
      <c r="C26" s="8" t="inlineStr">
        <is>
          <t>Requirement not met</t>
        </is>
      </c>
    </row>
    <row r="27">
      <c r="A27" s="6" t="inlineStr">
        <is>
          <t>—</t>
        </is>
      </c>
      <c r="B27" s="8" t="inlineStr">
        <is>
          <t>Not Applicable</t>
        </is>
      </c>
      <c r="C27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5" customHeight="1">
      <c r="A1" s="11" t="inlineStr">
        <is>
          <t>VPN SECURITY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Requirement</t>
        </is>
      </c>
      <c r="B3" s="13" t="inlineStr">
        <is>
          <t>Description</t>
        </is>
      </c>
      <c r="C3" s="13" t="inlineStr">
        <is>
          <t>Level</t>
        </is>
      </c>
      <c r="D3" s="13" t="inlineStr">
        <is>
          <t>Implemented</t>
        </is>
      </c>
      <c r="E3" s="13" t="inlineStr">
        <is>
          <t>Evidence</t>
        </is>
      </c>
      <c r="F3" s="13" t="inlineStr">
        <is>
          <t>Compliance</t>
        </is>
      </c>
      <c r="G3" s="13" t="inlineStr">
        <is>
          <t>Notes</t>
        </is>
      </c>
    </row>
    <row r="4">
      <c r="A4" s="6" t="inlineStr">
        <is>
          <t>VPN Solution</t>
        </is>
      </c>
      <c r="B4" s="6" t="inlineStr">
        <is>
          <t>Enterprise VPN solution deployed for remote access</t>
        </is>
      </c>
      <c r="C4" s="6" t="inlineStr">
        <is>
          <t>Mandatory</t>
        </is>
      </c>
      <c r="D4" s="14" t="inlineStr"/>
      <c r="E4" s="14" t="inlineStr"/>
      <c r="F4" s="14" t="inlineStr"/>
      <c r="G4" s="14" t="inlineStr"/>
    </row>
    <row r="5">
      <c r="A5" s="6" t="inlineStr">
        <is>
          <t>Split Tunneling</t>
        </is>
      </c>
      <c r="B5" s="6" t="inlineStr">
        <is>
          <t>Split tunneling disabled or controlled</t>
        </is>
      </c>
      <c r="C5" s="6" t="inlineStr">
        <is>
          <t>Mandatory</t>
        </is>
      </c>
      <c r="D5" s="14" t="inlineStr"/>
      <c r="E5" s="14" t="inlineStr"/>
      <c r="F5" s="14" t="inlineStr"/>
      <c r="G5" s="14" t="inlineStr"/>
    </row>
    <row r="6">
      <c r="A6" s="6" t="inlineStr">
        <is>
          <t>Protocol Security</t>
        </is>
      </c>
      <c r="B6" s="6" t="inlineStr">
        <is>
          <t>Strong encryption protocols (IKEv2, OpenVPN, WireGuard)</t>
        </is>
      </c>
      <c r="C6" s="6" t="inlineStr">
        <is>
          <t>Mandatory</t>
        </is>
      </c>
      <c r="D6" s="14" t="inlineStr"/>
      <c r="E6" s="14" t="inlineStr"/>
      <c r="F6" s="14" t="inlineStr"/>
      <c r="G6" s="14" t="inlineStr"/>
    </row>
    <row r="7">
      <c r="A7" s="6" t="inlineStr">
        <is>
          <t>Certificate Auth</t>
        </is>
      </c>
      <c r="B7" s="6" t="inlineStr">
        <is>
          <t>Certificate-based authentication where feasible</t>
        </is>
      </c>
      <c r="C7" s="6" t="inlineStr">
        <is>
          <t>Recommended</t>
        </is>
      </c>
      <c r="D7" s="14" t="inlineStr"/>
      <c r="E7" s="14" t="inlineStr"/>
      <c r="F7" s="14" t="inlineStr"/>
      <c r="G7" s="14" t="inlineStr"/>
    </row>
    <row r="8">
      <c r="A8" s="6" t="inlineStr">
        <is>
          <t>Connection Logging</t>
        </is>
      </c>
      <c r="B8" s="6" t="inlineStr">
        <is>
          <t>VPN connection logging enabled</t>
        </is>
      </c>
      <c r="C8" s="6" t="inlineStr">
        <is>
          <t>Mandatory</t>
        </is>
      </c>
      <c r="D8" s="14" t="inlineStr"/>
      <c r="E8" s="14" t="inlineStr"/>
      <c r="F8" s="14" t="inlineStr"/>
      <c r="G8" s="14" t="inlineStr"/>
    </row>
    <row r="9">
      <c r="A9" s="6" t="inlineStr">
        <is>
          <t>Timeout Settings</t>
        </is>
      </c>
      <c r="B9" s="6" t="inlineStr">
        <is>
          <t>Idle session timeout configured</t>
        </is>
      </c>
      <c r="C9" s="6" t="inlineStr">
        <is>
          <t>Mandatory</t>
        </is>
      </c>
      <c r="D9" s="14" t="inlineStr"/>
      <c r="E9" s="14" t="inlineStr"/>
      <c r="F9" s="14" t="inlineStr"/>
      <c r="G9" s="14" t="inlineStr"/>
    </row>
  </sheetData>
  <mergeCells count="2">
    <mergeCell ref="A2:G2"/>
    <mergeCell ref="A1:G1"/>
  </mergeCells>
  <dataValidations count="2">
    <dataValidation sqref="D4:D9" showDropDown="0" showInputMessage="0" showErrorMessage="0" allowBlank="1" type="list">
      <formula1>"Yes,No,Partial,N/A"</formula1>
    </dataValidation>
    <dataValidation sqref="F4:F9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5" customHeight="1">
      <c r="A1" s="11" t="inlineStr">
        <is>
          <t>MFA SECURITY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Requirement</t>
        </is>
      </c>
      <c r="B3" s="13" t="inlineStr">
        <is>
          <t>Description</t>
        </is>
      </c>
      <c r="C3" s="13" t="inlineStr">
        <is>
          <t>Level</t>
        </is>
      </c>
      <c r="D3" s="13" t="inlineStr">
        <is>
          <t>Implemented</t>
        </is>
      </c>
      <c r="E3" s="13" t="inlineStr">
        <is>
          <t>Evidence</t>
        </is>
      </c>
      <c r="F3" s="13" t="inlineStr">
        <is>
          <t>Compliance</t>
        </is>
      </c>
      <c r="G3" s="13" t="inlineStr">
        <is>
          <t>Notes</t>
        </is>
      </c>
    </row>
    <row r="4">
      <c r="A4" s="6" t="inlineStr">
        <is>
          <t>MFA Deployed</t>
        </is>
      </c>
      <c r="B4" s="6" t="inlineStr">
        <is>
          <t>Multi-factor authentication required for all remote access</t>
        </is>
      </c>
      <c r="C4" s="6" t="inlineStr">
        <is>
          <t>Mandatory</t>
        </is>
      </c>
      <c r="D4" s="14" t="inlineStr"/>
      <c r="E4" s="14" t="inlineStr"/>
      <c r="F4" s="14" t="inlineStr"/>
      <c r="G4" s="14" t="inlineStr"/>
    </row>
    <row r="5">
      <c r="A5" s="6" t="inlineStr">
        <is>
          <t>MFA Methods</t>
        </is>
      </c>
      <c r="B5" s="6" t="inlineStr">
        <is>
          <t>Approved MFA methods defined (authenticator app, hardware token)</t>
        </is>
      </c>
      <c r="C5" s="6" t="inlineStr">
        <is>
          <t>Mandatory</t>
        </is>
      </c>
      <c r="D5" s="14" t="inlineStr"/>
      <c r="E5" s="14" t="inlineStr"/>
      <c r="F5" s="14" t="inlineStr"/>
      <c r="G5" s="14" t="inlineStr"/>
    </row>
    <row r="6">
      <c r="A6" s="6" t="inlineStr">
        <is>
          <t>Backup Methods</t>
        </is>
      </c>
      <c r="B6" s="6" t="inlineStr">
        <is>
          <t>Backup authentication methods available</t>
        </is>
      </c>
      <c r="C6" s="6" t="inlineStr">
        <is>
          <t>Recommended</t>
        </is>
      </c>
      <c r="D6" s="14" t="inlineStr"/>
      <c r="E6" s="14" t="inlineStr"/>
      <c r="F6" s="14" t="inlineStr"/>
      <c r="G6" s="14" t="inlineStr"/>
    </row>
    <row r="7">
      <c r="A7" s="6" t="inlineStr">
        <is>
          <t>MFA for VPN</t>
        </is>
      </c>
      <c r="B7" s="6" t="inlineStr">
        <is>
          <t>MFA required for VPN connection</t>
        </is>
      </c>
      <c r="C7" s="6" t="inlineStr">
        <is>
          <t>Mandatory</t>
        </is>
      </c>
      <c r="D7" s="14" t="inlineStr"/>
      <c r="E7" s="14" t="inlineStr"/>
      <c r="F7" s="14" t="inlineStr"/>
      <c r="G7" s="14" t="inlineStr"/>
    </row>
    <row r="8">
      <c r="A8" s="6" t="inlineStr">
        <is>
          <t>MFA for Apps</t>
        </is>
      </c>
      <c r="B8" s="6" t="inlineStr">
        <is>
          <t>MFA required for cloud/SaaS applications</t>
        </is>
      </c>
      <c r="C8" s="6" t="inlineStr">
        <is>
          <t>Mandatory</t>
        </is>
      </c>
      <c r="D8" s="14" t="inlineStr"/>
      <c r="E8" s="14" t="inlineStr"/>
      <c r="F8" s="14" t="inlineStr"/>
      <c r="G8" s="14" t="inlineStr"/>
    </row>
    <row r="9">
      <c r="A9" s="6" t="inlineStr">
        <is>
          <t>Phishing-Resistant</t>
        </is>
      </c>
      <c r="B9" s="6" t="inlineStr">
        <is>
          <t>Phishing-resistant MFA considered for high-risk access</t>
        </is>
      </c>
      <c r="C9" s="6" t="inlineStr">
        <is>
          <t>Recommended</t>
        </is>
      </c>
      <c r="D9" s="14" t="inlineStr"/>
      <c r="E9" s="14" t="inlineStr"/>
      <c r="F9" s="14" t="inlineStr"/>
      <c r="G9" s="14" t="inlineStr"/>
    </row>
  </sheetData>
  <mergeCells count="2">
    <mergeCell ref="A2:G2"/>
    <mergeCell ref="A1:G1"/>
  </mergeCells>
  <dataValidations count="2">
    <dataValidation sqref="D4:D9" showDropDown="0" showInputMessage="0" showErrorMessage="0" allowBlank="1" type="list">
      <formula1>"Yes,No,Partial,N/A"</formula1>
    </dataValidation>
    <dataValidation sqref="F4:F9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5" customHeight="1">
      <c r="A1" s="11" t="inlineStr">
        <is>
          <t>ENCRYPTION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Requirement</t>
        </is>
      </c>
      <c r="B3" s="13" t="inlineStr">
        <is>
          <t>Description</t>
        </is>
      </c>
      <c r="C3" s="13" t="inlineStr">
        <is>
          <t>Level</t>
        </is>
      </c>
      <c r="D3" s="13" t="inlineStr">
        <is>
          <t>Implemented</t>
        </is>
      </c>
      <c r="E3" s="13" t="inlineStr">
        <is>
          <t>Evidence</t>
        </is>
      </c>
      <c r="F3" s="13" t="inlineStr">
        <is>
          <t>Compliance</t>
        </is>
      </c>
      <c r="G3" s="13" t="inlineStr">
        <is>
          <t>Notes</t>
        </is>
      </c>
    </row>
    <row r="4">
      <c r="A4" s="6" t="inlineStr">
        <is>
          <t>Data in Transit</t>
        </is>
      </c>
      <c r="B4" s="6" t="inlineStr">
        <is>
          <t>All remote connections use TLS 1.2+ minimum</t>
        </is>
      </c>
      <c r="C4" s="6" t="inlineStr">
        <is>
          <t>Mandatory</t>
        </is>
      </c>
      <c r="D4" s="14" t="inlineStr"/>
      <c r="E4" s="14" t="inlineStr"/>
      <c r="F4" s="14" t="inlineStr"/>
      <c r="G4" s="14" t="inlineStr"/>
    </row>
    <row r="5">
      <c r="A5" s="6" t="inlineStr">
        <is>
          <t>Data at Rest</t>
        </is>
      </c>
      <c r="B5" s="6" t="inlineStr">
        <is>
          <t>Full-disk encryption on all remote devices</t>
        </is>
      </c>
      <c r="C5" s="6" t="inlineStr">
        <is>
          <t>Mandatory</t>
        </is>
      </c>
      <c r="D5" s="14" t="inlineStr"/>
      <c r="E5" s="14" t="inlineStr"/>
      <c r="F5" s="14" t="inlineStr"/>
      <c r="G5" s="14" t="inlineStr"/>
    </row>
    <row r="6">
      <c r="A6" s="6" t="inlineStr">
        <is>
          <t>Key Management</t>
        </is>
      </c>
      <c r="B6" s="6" t="inlineStr">
        <is>
          <t>Encryption keys managed centrally</t>
        </is>
      </c>
      <c r="C6" s="6" t="inlineStr">
        <is>
          <t>Mandatory</t>
        </is>
      </c>
      <c r="D6" s="14" t="inlineStr"/>
      <c r="E6" s="14" t="inlineStr"/>
      <c r="F6" s="14" t="inlineStr"/>
      <c r="G6" s="14" t="inlineStr"/>
    </row>
    <row r="7">
      <c r="A7" s="6" t="inlineStr">
        <is>
          <t>Recovery Keys</t>
        </is>
      </c>
      <c r="B7" s="6" t="inlineStr">
        <is>
          <t>Recovery keys escrowed for organisation access</t>
        </is>
      </c>
      <c r="C7" s="6" t="inlineStr">
        <is>
          <t>Mandatory</t>
        </is>
      </c>
      <c r="D7" s="14" t="inlineStr"/>
      <c r="E7" s="14" t="inlineStr"/>
      <c r="F7" s="14" t="inlineStr"/>
      <c r="G7" s="14" t="inlineStr"/>
    </row>
    <row r="8">
      <c r="A8" s="6" t="inlineStr">
        <is>
          <t>Email Encryption</t>
        </is>
      </c>
      <c r="B8" s="6" t="inlineStr">
        <is>
          <t>Email encryption available for sensitive communications</t>
        </is>
      </c>
      <c r="C8" s="6" t="inlineStr">
        <is>
          <t>Recommended</t>
        </is>
      </c>
      <c r="D8" s="14" t="inlineStr"/>
      <c r="E8" s="14" t="inlineStr"/>
      <c r="F8" s="14" t="inlineStr"/>
      <c r="G8" s="14" t="inlineStr"/>
    </row>
  </sheetData>
  <mergeCells count="2">
    <mergeCell ref="A2:G2"/>
    <mergeCell ref="A1:G1"/>
  </mergeCells>
  <dataValidations count="2">
    <dataValidation sqref="D4:D8" showDropDown="0" showInputMessage="0" showErrorMessage="0" allowBlank="1" type="list">
      <formula1>"Yes,No,Partial,N/A"</formula1>
    </dataValidation>
    <dataValidation sqref="F4:F8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5" customHeight="1">
      <c r="A1" s="11" t="inlineStr">
        <is>
          <t>LOGGING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Requirement</t>
        </is>
      </c>
      <c r="B3" s="13" t="inlineStr">
        <is>
          <t>Description</t>
        </is>
      </c>
      <c r="C3" s="13" t="inlineStr">
        <is>
          <t>Level</t>
        </is>
      </c>
      <c r="D3" s="13" t="inlineStr">
        <is>
          <t>Implemented</t>
        </is>
      </c>
      <c r="E3" s="13" t="inlineStr">
        <is>
          <t>Evidence</t>
        </is>
      </c>
      <c r="F3" s="13" t="inlineStr">
        <is>
          <t>Compliance</t>
        </is>
      </c>
      <c r="G3" s="13" t="inlineStr">
        <is>
          <t>Notes</t>
        </is>
      </c>
    </row>
    <row r="4">
      <c r="A4" s="6" t="inlineStr">
        <is>
          <t>Authentication Logs</t>
        </is>
      </c>
      <c r="B4" s="6" t="inlineStr">
        <is>
          <t>All remote authentication attempts logged</t>
        </is>
      </c>
      <c r="C4" s="6" t="inlineStr">
        <is>
          <t>Mandatory</t>
        </is>
      </c>
      <c r="D4" s="14" t="inlineStr"/>
      <c r="E4" s="14" t="inlineStr"/>
      <c r="F4" s="14" t="inlineStr"/>
      <c r="G4" s="14" t="inlineStr"/>
    </row>
    <row r="5">
      <c r="A5" s="6" t="inlineStr">
        <is>
          <t>VPN Logs</t>
        </is>
      </c>
      <c r="B5" s="6" t="inlineStr">
        <is>
          <t>VPN connection/disconnection events captured</t>
        </is>
      </c>
      <c r="C5" s="6" t="inlineStr">
        <is>
          <t>Mandatory</t>
        </is>
      </c>
      <c r="D5" s="14" t="inlineStr"/>
      <c r="E5" s="14" t="inlineStr"/>
      <c r="F5" s="14" t="inlineStr"/>
      <c r="G5" s="14" t="inlineStr"/>
    </row>
    <row r="6">
      <c r="A6" s="6" t="inlineStr">
        <is>
          <t>Access Logs</t>
        </is>
      </c>
      <c r="B6" s="6" t="inlineStr">
        <is>
          <t>Remote access to sensitive resources logged</t>
        </is>
      </c>
      <c r="C6" s="6" t="inlineStr">
        <is>
          <t>Mandatory</t>
        </is>
      </c>
      <c r="D6" s="14" t="inlineStr"/>
      <c r="E6" s="14" t="inlineStr"/>
      <c r="F6" s="14" t="inlineStr"/>
      <c r="G6" s="14" t="inlineStr"/>
    </row>
    <row r="7">
      <c r="A7" s="6" t="inlineStr">
        <is>
          <t>Log Retention</t>
        </is>
      </c>
      <c r="B7" s="6" t="inlineStr">
        <is>
          <t>Logs retained per policy requirements</t>
        </is>
      </c>
      <c r="C7" s="6" t="inlineStr">
        <is>
          <t>Mandatory</t>
        </is>
      </c>
      <c r="D7" s="14" t="inlineStr"/>
      <c r="E7" s="14" t="inlineStr"/>
      <c r="F7" s="14" t="inlineStr"/>
      <c r="G7" s="14" t="inlineStr"/>
    </row>
    <row r="8">
      <c r="A8" s="6" t="inlineStr">
        <is>
          <t>Log Monitoring</t>
        </is>
      </c>
      <c r="B8" s="6" t="inlineStr">
        <is>
          <t>Remote access logs included in security monitoring</t>
        </is>
      </c>
      <c r="C8" s="6" t="inlineStr">
        <is>
          <t>Mandatory</t>
        </is>
      </c>
      <c r="D8" s="14" t="inlineStr"/>
      <c r="E8" s="14" t="inlineStr"/>
      <c r="F8" s="14" t="inlineStr"/>
      <c r="G8" s="14" t="inlineStr"/>
    </row>
    <row r="9">
      <c r="A9" s="6" t="inlineStr">
        <is>
          <t>Anomaly Detection</t>
        </is>
      </c>
      <c r="B9" s="6" t="inlineStr">
        <is>
          <t>Anomalous remote access patterns detected</t>
        </is>
      </c>
      <c r="C9" s="6" t="inlineStr">
        <is>
          <t>Recommended</t>
        </is>
      </c>
      <c r="D9" s="14" t="inlineStr"/>
      <c r="E9" s="14" t="inlineStr"/>
      <c r="F9" s="14" t="inlineStr"/>
      <c r="G9" s="14" t="inlineStr"/>
    </row>
  </sheetData>
  <mergeCells count="2">
    <mergeCell ref="A2:G2"/>
    <mergeCell ref="A1:G1"/>
  </mergeCells>
  <dataValidations count="2">
    <dataValidation sqref="D4:D9" showDropDown="0" showInputMessage="0" showErrorMessage="0" allowBlank="1" type="list">
      <formula1>"Yes,No,Partial,N/A"</formula1>
    </dataValidation>
    <dataValidation sqref="F4:F9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 ht="35" customHeight="1">
      <c r="A1" s="11" t="inlineStr">
        <is>
          <t>TECHNICAL CONTROLS COMPLIANCE SUMMARY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Control Area</t>
        </is>
      </c>
      <c r="B3" s="13" t="inlineStr">
        <is>
          <t>Total Requirements</t>
        </is>
      </c>
      <c r="C3" s="13" t="inlineStr">
        <is>
          <t>Compliant</t>
        </is>
      </c>
      <c r="D3" s="13" t="inlineStr">
        <is>
          <t>Non-Compliant</t>
        </is>
      </c>
      <c r="E3" s="13" t="inlineStr">
        <is>
          <t>Compliance %</t>
        </is>
      </c>
    </row>
    <row r="4">
      <c r="A4" s="6" t="inlineStr">
        <is>
          <t>VPN Controls</t>
        </is>
      </c>
      <c r="B4" s="6" t="n">
        <v>6</v>
      </c>
      <c r="C4" s="14" t="inlineStr"/>
      <c r="D4" s="14" t="inlineStr"/>
      <c r="E4" s="14" t="inlineStr"/>
    </row>
    <row r="5">
      <c r="A5" s="6" t="inlineStr">
        <is>
          <t>MFA Controls</t>
        </is>
      </c>
      <c r="B5" s="6" t="n">
        <v>6</v>
      </c>
      <c r="C5" s="14" t="inlineStr"/>
      <c r="D5" s="14" t="inlineStr"/>
      <c r="E5" s="14" t="inlineStr"/>
    </row>
    <row r="6">
      <c r="A6" s="6" t="inlineStr">
        <is>
          <t>Encryption Controls</t>
        </is>
      </c>
      <c r="B6" s="6" t="n">
        <v>5</v>
      </c>
      <c r="C6" s="14" t="inlineStr"/>
      <c r="D6" s="14" t="inlineStr"/>
      <c r="E6" s="14" t="inlineStr"/>
    </row>
    <row r="7">
      <c r="A7" s="6" t="inlineStr">
        <is>
          <t>Logging Controls</t>
        </is>
      </c>
      <c r="B7" s="6" t="n">
        <v>6</v>
      </c>
      <c r="C7" s="14" t="inlineStr"/>
      <c r="D7" s="14" t="inlineStr"/>
      <c r="E7" s="14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9" max="9"/>
  </cols>
  <sheetData>
    <row r="1" ht="35" customHeight="1">
      <c r="A1" s="11" t="inlineStr">
        <is>
          <t>TECHNICAL CONTROLS GAP ANALYSIS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Gap ID</t>
        </is>
      </c>
      <c r="B3" s="13" t="inlineStr">
        <is>
          <t>Control Area</t>
        </is>
      </c>
      <c r="C3" s="13" t="inlineStr">
        <is>
          <t>Gap Description</t>
        </is>
      </c>
      <c r="D3" s="13" t="inlineStr">
        <is>
          <t>Impact</t>
        </is>
      </c>
      <c r="E3" s="13" t="inlineStr">
        <is>
          <t>Risk Level</t>
        </is>
      </c>
      <c r="F3" s="13" t="inlineStr">
        <is>
          <t>Remediation</t>
        </is>
      </c>
      <c r="G3" s="13" t="inlineStr">
        <is>
          <t>Owner</t>
        </is>
      </c>
      <c r="H3" s="13" t="inlineStr">
        <is>
          <t>Target Date</t>
        </is>
      </c>
      <c r="I3" s="13" t="inlineStr">
        <is>
          <t>Status</t>
        </is>
      </c>
    </row>
    <row r="4">
      <c r="A4" s="15" t="inlineStr">
        <is>
          <t>GAP-TC-001</t>
        </is>
      </c>
      <c r="B4" s="15" t="inlineStr">
        <is>
          <t>VPN</t>
        </is>
      </c>
      <c r="C4" s="15" t="inlineStr">
        <is>
          <t>Split tunnelling enabled on remote endpoints allowing unmonitored traffic</t>
        </is>
      </c>
      <c r="D4" s="15" t="inlineStr">
        <is>
          <t>Data exfiltration risk</t>
        </is>
      </c>
      <c r="E4" s="15" t="inlineStr">
        <is>
          <t>High</t>
        </is>
      </c>
      <c r="F4" s="15" t="inlineStr">
        <is>
          <t>Disable split tunnelling in VPN policy configuration</t>
        </is>
      </c>
      <c r="G4" s="15" t="inlineStr">
        <is>
          <t>Network Engineer</t>
        </is>
      </c>
      <c r="H4" s="15" t="inlineStr">
        <is>
          <t>2026-05-31</t>
        </is>
      </c>
      <c r="I4" s="15" t="inlineStr">
        <is>
          <t>Open</t>
        </is>
      </c>
    </row>
    <row r="5">
      <c r="A5" s="14" t="inlineStr">
        <is>
          <t>GAP-TC-001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14" t="inlineStr">
        <is>
          <t>GAP-TC-002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14" t="inlineStr">
        <is>
          <t>GAP-TC-003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14" t="inlineStr">
        <is>
          <t>GAP-TC-004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14" t="inlineStr">
        <is>
          <t>GAP-TC-005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14" t="inlineStr">
        <is>
          <t>GAP-TC-006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14" t="inlineStr">
        <is>
          <t>GAP-TC-007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14" t="inlineStr">
        <is>
          <t>GAP-TC-008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14" t="inlineStr">
        <is>
          <t>GAP-TC-009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14" t="inlineStr">
        <is>
          <t>GAP-TC-010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14" t="inlineStr">
        <is>
          <t>GAP-TC-011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>
        <is>
          <t>GAP-TC-012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>
        <is>
          <t>GAP-TC-013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>
        <is>
          <t>GAP-TC-014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>
        <is>
          <t>GAP-TC-015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>
        <is>
          <t>GAP-TC-016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>
        <is>
          <t>GAP-TC-017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>
        <is>
          <t>GAP-TC-018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>
        <is>
          <t>GAP-TC-019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>
        <is>
          <t>GAP-TC-020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>
        <is>
          <t>GAP-TC-021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>
        <is>
          <t>GAP-TC-022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>
        <is>
          <t>GAP-TC-023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>
        <is>
          <t>GAP-TC-024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>
        <is>
          <t>GAP-TC-025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>
        <is>
          <t>GAP-TC-026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>
        <is>
          <t>GAP-TC-027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>
        <is>
          <t>GAP-TC-028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>
        <is>
          <t>GAP-TC-029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>
        <is>
          <t>GAP-TC-030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>
        <is>
          <t>GAP-TC-031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>
        <is>
          <t>GAP-TC-032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>
        <is>
          <t>GAP-TC-033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>
        <is>
          <t>GAP-TC-034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>
        <is>
          <t>GAP-TC-035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>
        <is>
          <t>GAP-TC-036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>
        <is>
          <t>GAP-TC-037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>
        <is>
          <t>GAP-TC-038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>
        <is>
          <t>GAP-TC-039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>
        <is>
          <t>GAP-TC-040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>
        <is>
          <t>GAP-TC-041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>
        <is>
          <t>GAP-TC-042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>
        <is>
          <t>GAP-TC-043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>
        <is>
          <t>GAP-TC-044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>
        <is>
          <t>GAP-TC-045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>
        <is>
          <t>GAP-TC-046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>
        <is>
          <t>GAP-TC-047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>
        <is>
          <t>GAP-TC-048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>
        <is>
          <t>GAP-TC-049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>
        <is>
          <t>GAP-TC-050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dataValidations count="3">
    <dataValidation sqref="B5:B54" showDropDown="0" showInputMessage="0" showErrorMessage="0" allowBlank="1" type="list">
      <formula1>"VPN,MFA,Encryption,Logging"</formula1>
    </dataValidation>
    <dataValidation sqref="E5:E54" showDropDown="0" showInputMessage="0" showErrorMessage="0" allowBlank="1" type="list">
      <formula1>"Critical,High,Medium,Low"</formula1>
    </dataValidation>
    <dataValidation sqref="I5:I54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8" customWidth="1" min="4" max="4"/>
    <col width="15" customWidth="1" min="5" max="5"/>
    <col width="16" customWidth="1" min="6" max="6"/>
    <col width="25" customWidth="1" min="7" max="7"/>
    <col width="14" customWidth="1" min="8" max="8"/>
  </cols>
  <sheetData>
    <row r="1" ht="35" customHeight="1">
      <c r="A1" s="16" t="inlineStr">
        <is>
          <t>EVIDENCE REGISTER</t>
        </is>
      </c>
    </row>
    <row r="2">
      <c r="A2" s="17" t="inlineStr">
        <is>
          <t>ISO/IEC 27001:2022 - Control A.6.7-8: Remote Working and Security Event Reporting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Source / Owner</t>
        </is>
      </c>
      <c r="E4" s="18" t="inlineStr">
        <is>
          <t>Date Collected</t>
        </is>
      </c>
      <c r="F4" s="18" t="inlineStr">
        <is>
          <t>Retention Period</t>
        </is>
      </c>
      <c r="G4" s="18" t="inlineStr">
        <is>
          <t>Storage Location</t>
        </is>
      </c>
      <c r="H4" s="18" t="inlineStr">
        <is>
          <t>Status</t>
        </is>
      </c>
    </row>
    <row r="5">
      <c r="A5" s="19" t="inlineStr">
        <is>
          <t>EV-001</t>
        </is>
      </c>
      <c r="B5" s="19" t="inlineStr">
        <is>
          <t>[Evidence Type]</t>
        </is>
      </c>
      <c r="C5" s="19" t="inlineStr">
        <is>
          <t>[Description of evidence item collected]</t>
        </is>
      </c>
      <c r="D5" s="19" t="inlineStr">
        <is>
          <t>[System / Team]</t>
        </is>
      </c>
      <c r="E5" s="19" t="inlineStr">
        <is>
          <t>[DD.MM.YYYY]</t>
        </is>
      </c>
      <c r="F5" s="19" t="inlineStr">
        <is>
          <t>[1 year]</t>
        </is>
      </c>
      <c r="G5" s="19" t="inlineStr">
        <is>
          <t>[ISMS/Controls/...]</t>
        </is>
      </c>
      <c r="H5" s="19" t="inlineStr">
        <is>
          <t>[Collected]</t>
        </is>
      </c>
    </row>
    <row r="6">
      <c r="A6" s="20" t="inlineStr"/>
      <c r="B6" s="20" t="inlineStr"/>
      <c r="C6" s="20" t="inlineStr"/>
      <c r="D6" s="20" t="inlineStr"/>
      <c r="E6" s="20" t="inlineStr"/>
      <c r="F6" s="20" t="inlineStr"/>
      <c r="G6" s="20" t="inlineStr"/>
      <c r="H6" s="20" t="inlineStr"/>
    </row>
    <row r="7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</row>
    <row r="8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</row>
    <row r="9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/>
    </row>
    <row r="10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</row>
    <row r="1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</row>
    <row r="12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</row>
    <row r="13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</row>
    <row r="14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</row>
    <row r="15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</row>
    <row r="16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</row>
    <row r="17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</row>
    <row r="18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</row>
    <row r="19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</row>
    <row r="20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</row>
    <row r="21">
      <c r="A21" s="20" t="inlineStr"/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</row>
    <row r="22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</row>
    <row r="23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</row>
    <row r="24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</row>
    <row r="25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</row>
    <row r="26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</row>
    <row r="27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</row>
    <row r="28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</row>
    <row r="29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</row>
    <row r="30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</row>
    <row r="3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</row>
    <row r="32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</row>
    <row r="33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</row>
    <row r="34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</row>
    <row r="35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</row>
    <row r="36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</row>
    <row r="37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</row>
    <row r="38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</row>
    <row r="39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</row>
    <row r="40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</row>
    <row r="41">
      <c r="A41" s="20" t="inlineStr"/>
      <c r="B41" s="20" t="inlineStr"/>
      <c r="C41" s="20" t="inlineStr"/>
      <c r="D41" s="20" t="inlineStr"/>
      <c r="E41" s="20" t="inlineStr"/>
      <c r="F41" s="20" t="inlineStr"/>
      <c r="G41" s="20" t="inlineStr"/>
      <c r="H41" s="20" t="inlineStr"/>
    </row>
    <row r="42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</row>
    <row r="43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</row>
    <row r="44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</row>
    <row r="45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</row>
    <row r="46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</row>
    <row r="47">
      <c r="A47" s="20" t="inlineStr"/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</row>
    <row r="48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</row>
    <row r="49">
      <c r="A49" s="20" t="inlineStr"/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</row>
    <row r="50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</row>
    <row r="51">
      <c r="A51" s="20" t="inlineStr"/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</row>
    <row r="52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</row>
    <row r="53">
      <c r="A53" s="20" t="inlineStr"/>
      <c r="B53" s="20" t="inlineStr"/>
      <c r="C53" s="20" t="inlineStr"/>
      <c r="D53" s="20" t="inlineStr"/>
      <c r="E53" s="20" t="inlineStr"/>
      <c r="F53" s="20" t="inlineStr"/>
      <c r="G53" s="20" t="inlineStr"/>
      <c r="H53" s="20" t="inlineStr"/>
    </row>
    <row r="54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</row>
    <row r="55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</row>
    <row r="56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</row>
    <row r="57">
      <c r="A57" s="20" t="inlineStr"/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</row>
    <row r="58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</row>
    <row r="59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</row>
    <row r="60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</row>
    <row r="6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</row>
    <row r="62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</row>
    <row r="63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</row>
    <row r="64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</row>
    <row r="65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</row>
    <row r="66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</row>
    <row r="67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</row>
    <row r="68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</row>
    <row r="69">
      <c r="A69" s="20" t="inlineStr"/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</row>
    <row r="70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</row>
    <row r="71">
      <c r="A71" s="20" t="inlineStr"/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</row>
    <row r="72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</row>
    <row r="73">
      <c r="A73" s="20" t="inlineStr"/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</row>
    <row r="74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</row>
    <row r="75">
      <c r="A75" s="20" t="inlineStr"/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</row>
    <row r="76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</row>
    <row r="77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</row>
    <row r="78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</row>
    <row r="79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</row>
    <row r="80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</row>
    <row r="81">
      <c r="A81" s="20" t="inlineStr"/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</row>
    <row r="82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</row>
    <row r="83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</row>
    <row r="84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</row>
    <row r="85">
      <c r="A85" s="20" t="inlineStr"/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</row>
    <row r="86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</row>
    <row r="87">
      <c r="A87" s="20" t="inlineStr"/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</row>
    <row r="88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</row>
    <row r="89">
      <c r="A89" s="20" t="inlineStr"/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</row>
    <row r="90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</row>
    <row r="91">
      <c r="A91" s="20" t="inlineStr"/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</row>
    <row r="92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</row>
    <row r="93">
      <c r="A93" s="20" t="inlineStr"/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</row>
    <row r="94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</row>
    <row r="95">
      <c r="A95" s="20" t="inlineStr"/>
      <c r="B95" s="20" t="inlineStr"/>
      <c r="C95" s="20" t="inlineStr"/>
      <c r="D95" s="20" t="inlineStr"/>
      <c r="E95" s="20" t="inlineStr"/>
      <c r="F95" s="20" t="inlineStr"/>
      <c r="G95" s="20" t="inlineStr"/>
      <c r="H95" s="20" t="inlineStr"/>
    </row>
    <row r="96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</row>
    <row r="97">
      <c r="A97" s="20" t="inlineStr"/>
      <c r="B97" s="20" t="inlineStr"/>
      <c r="C97" s="20" t="inlineStr"/>
      <c r="D97" s="20" t="inlineStr"/>
      <c r="E97" s="20" t="inlineStr"/>
      <c r="F97" s="20" t="inlineStr"/>
      <c r="G97" s="20" t="inlineStr"/>
      <c r="H97" s="20" t="inlineStr"/>
    </row>
    <row r="98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</row>
    <row r="99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</row>
    <row r="100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</row>
    <row r="10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</row>
    <row r="102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</row>
    <row r="103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</row>
    <row r="104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</row>
    <row r="105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</row>
  </sheetData>
  <mergeCells count="2">
    <mergeCell ref="A2:H2"/>
    <mergeCell ref="A1:H1"/>
  </mergeCells>
  <dataValidations count="1">
    <dataValidation sqref="H6:H105" showDropDown="0" showInputMessage="0" showErrorMessage="0" allowBlank="1" type="list">
      <formula1>"Collected,Pending,Not Available,Superseded"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14" customWidth="1" min="4" max="4"/>
    <col width="16" customWidth="1" min="5" max="5"/>
    <col width="10" customWidth="1" min="6" max="6"/>
    <col width="13" customWidth="1" min="7" max="7"/>
  </cols>
  <sheetData>
    <row r="1" ht="35" customHeight="1">
      <c r="A1" s="21" t="inlineStr">
        <is>
          <t>TECHNICAL CONTROLS ASSESSMENT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22" t="inlineStr">
        <is>
          <t>ISO/IEC 27001:2022 - Control A.6.7-8: Remote Working and Security Event Reporting</t>
        </is>
      </c>
    </row>
    <row r="4">
      <c r="A4" s="23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4" t="inlineStr">
        <is>
          <t>Assessment Area</t>
        </is>
      </c>
      <c r="B5" s="24" t="inlineStr">
        <is>
          <t>Total Items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N/A</t>
        </is>
      </c>
      <c r="G5" s="24" t="inlineStr">
        <is>
          <t>Compliance %</t>
        </is>
      </c>
    </row>
    <row r="6">
      <c r="A6" s="25" t="inlineStr">
        <is>
          <t>VPN Controls</t>
        </is>
      </c>
      <c r="B6" s="26">
        <f>COUNTA('VPN Assessment'!A4:A9)</f>
        <v/>
      </c>
      <c r="C6" s="26">
        <f>COUNTIF('VPN Assessment'!F4:F9,"Compliant")</f>
        <v/>
      </c>
      <c r="D6" s="26">
        <f>COUNTIF('VPN Assessment'!F4:F9,"Partial")</f>
        <v/>
      </c>
      <c r="E6" s="26">
        <f>COUNTIF('VPN Assessment'!F4:F9,"Non-Compliant")</f>
        <v/>
      </c>
      <c r="F6" s="26">
        <f>B6-(C6+D6+E6)</f>
        <v/>
      </c>
      <c r="G6" s="27">
        <f>IF((B6-F6)=0,0,C6/(B6-F6))</f>
        <v/>
      </c>
    </row>
    <row r="7">
      <c r="A7" s="25" t="inlineStr">
        <is>
          <t>MFA Controls</t>
        </is>
      </c>
      <c r="B7" s="26">
        <f>COUNTA('MFA Assessment'!A4:A9)</f>
        <v/>
      </c>
      <c r="C7" s="26">
        <f>COUNTIF('MFA Assessment'!F4:F9,"Compliant")</f>
        <v/>
      </c>
      <c r="D7" s="26">
        <f>COUNTIF('MFA Assessment'!F4:F9,"Partial")</f>
        <v/>
      </c>
      <c r="E7" s="26">
        <f>COUNTIF('MFA Assessment'!F4:F9,"Non-Compliant")</f>
        <v/>
      </c>
      <c r="F7" s="26">
        <f>B7-(C7+D7+E7)</f>
        <v/>
      </c>
      <c r="G7" s="27">
        <f>IF((B7-F7)=0,0,C7/(B7-F7))</f>
        <v/>
      </c>
    </row>
    <row r="8">
      <c r="A8" s="25" t="inlineStr">
        <is>
          <t>Encryption Controls</t>
        </is>
      </c>
      <c r="B8" s="26">
        <f>COUNTA('Encryption Assessment'!A4:A8)</f>
        <v/>
      </c>
      <c r="C8" s="26">
        <f>COUNTIF('Encryption Assessment'!F4:F8,"Compliant")</f>
        <v/>
      </c>
      <c r="D8" s="26">
        <f>COUNTIF('Encryption Assessment'!F4:F8,"Partial")</f>
        <v/>
      </c>
      <c r="E8" s="26">
        <f>COUNTIF('Encryption Assessment'!F4:F8,"Non-Compliant")</f>
        <v/>
      </c>
      <c r="F8" s="26">
        <f>B8-(C8+D8+E8)</f>
        <v/>
      </c>
      <c r="G8" s="27">
        <f>IF((B8-F8)=0,0,C8/(B8-F8))</f>
        <v/>
      </c>
    </row>
    <row r="9">
      <c r="A9" s="25" t="inlineStr">
        <is>
          <t>Logging Controls</t>
        </is>
      </c>
      <c r="B9" s="26">
        <f>COUNTA('Logging Assessment'!A4:A9)</f>
        <v/>
      </c>
      <c r="C9" s="26">
        <f>COUNTIF('Logging Assessment'!F4:F9,"Compliant")</f>
        <v/>
      </c>
      <c r="D9" s="26">
        <f>COUNTIF('Logging Assessment'!F4:F9,"Partial")</f>
        <v/>
      </c>
      <c r="E9" s="26">
        <f>COUNTIF('Logging Assessment'!F4:F9,"Non-Compliant")</f>
        <v/>
      </c>
      <c r="F9" s="26">
        <f>B9-(C9+D9+E9)</f>
        <v/>
      </c>
      <c r="G9" s="27">
        <f>IF((B9-F9)=0,0,C9/(B9-F9))</f>
        <v/>
      </c>
    </row>
    <row r="10">
      <c r="A10" s="28" t="inlineStr">
        <is>
          <t>TOTAL</t>
        </is>
      </c>
      <c r="B10" s="29">
        <f>SUM(B6:B9)</f>
        <v/>
      </c>
      <c r="C10" s="29">
        <f>SUM(C6:C9)</f>
        <v/>
      </c>
      <c r="D10" s="29">
        <f>SUM(D6:D9)</f>
        <v/>
      </c>
      <c r="E10" s="29">
        <f>SUM(E6:E9)</f>
        <v/>
      </c>
      <c r="F10" s="29">
        <f>SUM(F6:F9)</f>
        <v/>
      </c>
      <c r="G10" s="30">
        <f>IF((B10-F10)=0,0,C10/(B10-F10))</f>
        <v/>
      </c>
    </row>
    <row r="12">
      <c r="A12" s="23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31" t="inlineStr">
        <is>
          <t>A.6.7 Technical Controls Compliance Metrics</t>
        </is>
      </c>
      <c r="B13" s="6" t="n"/>
      <c r="C13" s="6" t="n"/>
      <c r="D13" s="6" t="n"/>
      <c r="E13" s="6" t="n"/>
      <c r="F13" s="6" t="n"/>
      <c r="G13" s="6" t="n"/>
    </row>
    <row r="14">
      <c r="A14" s="25" t="inlineStr">
        <is>
          <t>Total VPN Requirements</t>
        </is>
      </c>
      <c r="B14" s="26">
        <f>COUNTA('VPN Assessment'!A4:A9)</f>
        <v/>
      </c>
      <c r="C14" s="6" t="n"/>
      <c r="D14" s="6" t="n"/>
      <c r="E14" s="6" t="n"/>
      <c r="F14" s="6" t="n"/>
      <c r="G14" s="6" t="n"/>
    </row>
    <row r="15">
      <c r="A15" s="25" t="inlineStr">
        <is>
          <t>VPN Requirements Compliant</t>
        </is>
      </c>
      <c r="B15" s="26">
        <f>COUNTIF('VPN Assessment'!F4:F9,"Compliant")</f>
        <v/>
      </c>
      <c r="C15" s="6" t="n"/>
      <c r="D15" s="6" t="n"/>
      <c r="E15" s="6" t="n"/>
      <c r="F15" s="6" t="n"/>
      <c r="G15" s="6" t="n"/>
    </row>
    <row r="16">
      <c r="A16" s="25" t="inlineStr">
        <is>
          <t>VPN Requirements Non-Compliant</t>
        </is>
      </c>
      <c r="B16" s="26">
        <f>COUNTIF('VPN Assessment'!F4:F9,"Non-Compliant")</f>
        <v/>
      </c>
      <c r="C16" s="6" t="n"/>
      <c r="D16" s="6" t="n"/>
      <c r="E16" s="6" t="n"/>
      <c r="F16" s="6" t="n"/>
      <c r="G16" s="6" t="n"/>
    </row>
    <row r="17">
      <c r="A17" s="25" t="inlineStr">
        <is>
          <t>Total MFA Requirements</t>
        </is>
      </c>
      <c r="B17" s="26">
        <f>COUNTA('MFA Assessment'!A4:A9)</f>
        <v/>
      </c>
      <c r="C17" s="6" t="n"/>
      <c r="D17" s="6" t="n"/>
      <c r="E17" s="6" t="n"/>
      <c r="F17" s="6" t="n"/>
      <c r="G17" s="6" t="n"/>
    </row>
    <row r="18">
      <c r="A18" s="25" t="inlineStr">
        <is>
          <t>MFA Requirements Compliant</t>
        </is>
      </c>
      <c r="B18" s="26">
        <f>COUNTIF('MFA Assessment'!F4:F9,"Compliant")</f>
        <v/>
      </c>
      <c r="C18" s="6" t="n"/>
      <c r="D18" s="6" t="n"/>
      <c r="E18" s="6" t="n"/>
      <c r="F18" s="6" t="n"/>
      <c r="G18" s="6" t="n"/>
    </row>
    <row r="19">
      <c r="A19" s="25" t="inlineStr">
        <is>
          <t>MFA Requirements Non-Compliant</t>
        </is>
      </c>
      <c r="B19" s="26">
        <f>COUNTIF('MFA Assessment'!F4:F9,"Non-Compliant")</f>
        <v/>
      </c>
      <c r="C19" s="6" t="n"/>
      <c r="D19" s="6" t="n"/>
      <c r="E19" s="6" t="n"/>
      <c r="F19" s="6" t="n"/>
      <c r="G19" s="6" t="n"/>
    </row>
    <row r="20">
      <c r="A20" s="25" t="inlineStr">
        <is>
          <t>Total Encryption Requirements</t>
        </is>
      </c>
      <c r="B20" s="26">
        <f>COUNTA('Encryption Assessment'!A4:A8)</f>
        <v/>
      </c>
      <c r="C20" s="6" t="n"/>
      <c r="D20" s="6" t="n"/>
      <c r="E20" s="6" t="n"/>
      <c r="F20" s="6" t="n"/>
      <c r="G20" s="6" t="n"/>
    </row>
    <row r="21">
      <c r="A21" s="25" t="inlineStr">
        <is>
          <t>Encryption Requirements Compliant</t>
        </is>
      </c>
      <c r="B21" s="26">
        <f>COUNTIF('Encryption Assessment'!F4:F8,"Compliant")</f>
        <v/>
      </c>
      <c r="C21" s="6" t="n"/>
      <c r="D21" s="6" t="n"/>
      <c r="E21" s="6" t="n"/>
      <c r="F21" s="6" t="n"/>
      <c r="G21" s="6" t="n"/>
    </row>
    <row r="22">
      <c r="A22" s="25" t="inlineStr">
        <is>
          <t>Total Logging Requirements</t>
        </is>
      </c>
      <c r="B22" s="26">
        <f>COUNTA('Logging Assessment'!A4:A9)</f>
        <v/>
      </c>
      <c r="C22" s="6" t="n"/>
      <c r="D22" s="6" t="n"/>
      <c r="E22" s="6" t="n"/>
      <c r="F22" s="6" t="n"/>
      <c r="G22" s="6" t="n"/>
    </row>
    <row r="23">
      <c r="A23" s="25" t="inlineStr">
        <is>
          <t>Logging Requirements Compliant</t>
        </is>
      </c>
      <c r="B23" s="26">
        <f>COUNTIF('Logging Assessment'!F4:F9,"Compliant")</f>
        <v/>
      </c>
      <c r="C23" s="6" t="n"/>
      <c r="D23" s="6" t="n"/>
      <c r="E23" s="6" t="n"/>
      <c r="F23" s="6" t="n"/>
      <c r="G23" s="6" t="n"/>
    </row>
    <row r="24">
      <c r="A24" s="25" t="inlineStr">
        <is>
          <t>Open Technical Gaps</t>
        </is>
      </c>
      <c r="B24" s="26">
        <f>COUNTIF('Gap Analysis'!I4:I54,"Open")</f>
        <v/>
      </c>
      <c r="C24" s="6" t="n"/>
      <c r="D24" s="6" t="n"/>
      <c r="E24" s="6" t="n"/>
      <c r="F24" s="6" t="n"/>
      <c r="G24" s="6" t="n"/>
    </row>
    <row r="25">
      <c r="A25" s="25" t="inlineStr">
        <is>
          <t>Technical Gaps Resolved</t>
        </is>
      </c>
      <c r="B25" s="26">
        <f>COUNTIF('Gap Analysis'!I4:I54,"Resolved")</f>
        <v/>
      </c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9">
      <c r="A29" s="32" t="inlineStr">
        <is>
          <t>TABLE 3: CRITICAL FINDINGS REQUIRING IMMEDIATE ATTENTION</t>
        </is>
      </c>
      <c r="B29" s="6" t="n"/>
      <c r="C29" s="6" t="n"/>
      <c r="D29" s="6" t="n"/>
      <c r="E29" s="6" t="n"/>
      <c r="F29" s="6" t="n"/>
      <c r="G29" s="6" t="n"/>
    </row>
    <row r="30">
      <c r="A30" s="29" t="inlineStr">
        <is>
          <t>Category</t>
        </is>
      </c>
      <c r="B30" s="29" t="inlineStr">
        <is>
          <t>Finding</t>
        </is>
      </c>
      <c r="C30" s="29" t="inlineStr">
        <is>
          <t>Count</t>
        </is>
      </c>
      <c r="D30" s="29" t="inlineStr">
        <is>
          <t>Severity</t>
        </is>
      </c>
      <c r="E30" s="29" t="inlineStr">
        <is>
          <t>Action Required</t>
        </is>
      </c>
      <c r="F30" s="29" t="n"/>
      <c r="G30" s="29" t="n"/>
    </row>
    <row r="31">
      <c r="A31" s="33" t="inlineStr">
        <is>
          <t>VPN Controls</t>
        </is>
      </c>
      <c r="B31" s="33" t="inlineStr">
        <is>
          <t>VPN requirements not compliant</t>
        </is>
      </c>
      <c r="C31" s="34">
        <f>COUNTIF('VPN Assessment'!F4:F9,"Non-Compliant")</f>
        <v/>
      </c>
      <c r="D31" s="33" t="inlineStr">
        <is>
          <t>Critical</t>
        </is>
      </c>
      <c r="E31" s="33" t="inlineStr">
        <is>
          <t>Immediate</t>
        </is>
      </c>
      <c r="F31" s="33" t="n"/>
      <c r="G31" s="33" t="n"/>
    </row>
    <row r="32">
      <c r="A32" s="33" t="inlineStr">
        <is>
          <t>MFA Controls</t>
        </is>
      </c>
      <c r="B32" s="33" t="inlineStr">
        <is>
          <t>MFA requirements not compliant</t>
        </is>
      </c>
      <c r="C32" s="34">
        <f>COUNTIF('MFA Assessment'!F4:F9,"Non-Compliant")</f>
        <v/>
      </c>
      <c r="D32" s="33" t="inlineStr">
        <is>
          <t>Critical</t>
        </is>
      </c>
      <c r="E32" s="33" t="inlineStr">
        <is>
          <t>Immediate</t>
        </is>
      </c>
      <c r="F32" s="33" t="n"/>
      <c r="G32" s="33" t="n"/>
    </row>
    <row r="33">
      <c r="A33" s="33" t="inlineStr">
        <is>
          <t>Encryption Controls</t>
        </is>
      </c>
      <c r="B33" s="33" t="inlineStr">
        <is>
          <t>Encryption requirements not compliant</t>
        </is>
      </c>
      <c r="C33" s="34">
        <f>COUNTIF('Encryption Assessment'!F4:F8,"Non-Compliant")</f>
        <v/>
      </c>
      <c r="D33" s="33" t="inlineStr">
        <is>
          <t>Critical</t>
        </is>
      </c>
      <c r="E33" s="33" t="inlineStr">
        <is>
          <t>Immediate</t>
        </is>
      </c>
      <c r="F33" s="33" t="n"/>
      <c r="G33" s="33" t="n"/>
    </row>
    <row r="34">
      <c r="A34" s="33" t="inlineStr">
        <is>
          <t>Logging Controls</t>
        </is>
      </c>
      <c r="B34" s="33" t="inlineStr">
        <is>
          <t>Logging requirements not compliant</t>
        </is>
      </c>
      <c r="C34" s="34">
        <f>COUNTIF('Logging Assessment'!F4:F9,"Non-Compliant")</f>
        <v/>
      </c>
      <c r="D34" s="33" t="inlineStr">
        <is>
          <t>High</t>
        </is>
      </c>
      <c r="E34" s="33" t="inlineStr">
        <is>
          <t>Urgent</t>
        </is>
      </c>
      <c r="F34" s="33" t="n"/>
      <c r="G34" s="33" t="n"/>
    </row>
    <row r="35">
      <c r="A35" s="33" t="inlineStr">
        <is>
          <t>Gap Analysis</t>
        </is>
      </c>
      <c r="B35" s="33" t="inlineStr">
        <is>
          <t>Open technical control gaps</t>
        </is>
      </c>
      <c r="C35" s="34">
        <f>COUNTIF('Gap Analysis'!I4:I54,"Open")</f>
        <v/>
      </c>
      <c r="D35" s="33" t="inlineStr">
        <is>
          <t>Medium</t>
        </is>
      </c>
      <c r="E35" s="33" t="inlineStr">
        <is>
          <t>Plan</t>
        </is>
      </c>
      <c r="F35" s="33" t="n"/>
      <c r="G35" s="33" t="n"/>
    </row>
    <row r="36">
      <c r="A36" s="14" t="n"/>
      <c r="B36" s="14" t="n"/>
      <c r="C36" s="14" t="n"/>
      <c r="D36" s="14" t="n"/>
      <c r="E36" s="14" t="n"/>
      <c r="F36" s="14" t="n"/>
      <c r="G36" s="14" t="n"/>
    </row>
    <row r="37">
      <c r="A37" s="14" t="n"/>
      <c r="B37" s="14" t="n"/>
      <c r="C37" s="14" t="n"/>
      <c r="D37" s="14" t="n"/>
      <c r="E37" s="14" t="n"/>
      <c r="F37" s="14" t="n"/>
      <c r="G37" s="14" t="n"/>
    </row>
  </sheetData>
  <mergeCells count="6">
    <mergeCell ref="A13:G13"/>
    <mergeCell ref="A1:G1"/>
    <mergeCell ref="A12:G12"/>
    <mergeCell ref="A4:G4"/>
    <mergeCell ref="A2:G2"/>
    <mergeCell ref="A29:G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5" t="inlineStr">
        <is>
          <t>ASSESSMENT APPROVAL AND SIGN-OFF</t>
        </is>
      </c>
      <c r="B1" s="6" t="n"/>
      <c r="C1" s="6" t="n"/>
      <c r="D1" s="6" t="n"/>
      <c r="E1" s="6" t="n"/>
    </row>
    <row r="2">
      <c r="A2" s="36" t="inlineStr">
        <is>
          <t>ISO/IEC 27001:2022 - Control A.6.7-8: Remote Working and Security Event Reporting</t>
        </is>
      </c>
      <c r="B2" s="6" t="n"/>
      <c r="C2" s="6" t="n"/>
      <c r="D2" s="6" t="n"/>
      <c r="E2" s="6" t="n"/>
    </row>
    <row r="3">
      <c r="A3" s="37" t="inlineStr">
        <is>
          <t>ASSESSMENT SUMMARY</t>
        </is>
      </c>
      <c r="B3" s="6" t="n"/>
      <c r="C3" s="6" t="n"/>
      <c r="D3" s="6" t="n"/>
      <c r="E3" s="6" t="n"/>
    </row>
    <row r="4">
      <c r="A4" s="38" t="inlineStr">
        <is>
          <t>Document:</t>
        </is>
      </c>
      <c r="B4" s="6" t="inlineStr">
        <is>
          <t>ISMS-IMP-A.6.7-8.S2 - Technical Controls Assessment</t>
        </is>
      </c>
      <c r="C4" s="6" t="n"/>
      <c r="D4" s="6" t="n"/>
      <c r="E4" s="6" t="n"/>
    </row>
    <row r="5">
      <c r="A5" s="38" t="inlineStr">
        <is>
          <t>Assessment Period:</t>
        </is>
      </c>
      <c r="B5" s="14" t="inlineStr"/>
      <c r="C5" s="14" t="n"/>
      <c r="D5" s="14" t="n"/>
      <c r="E5" s="14" t="n"/>
    </row>
    <row r="6">
      <c r="A6" s="38" t="inlineStr">
        <is>
          <t>Overall Compliance Rating:</t>
        </is>
      </c>
      <c r="B6" s="39">
        <f>IFERROR(AVERAGE('Summary Dashboard'!G6:G10),"")</f>
        <v/>
      </c>
      <c r="C6" s="14" t="n"/>
      <c r="D6" s="14" t="n"/>
      <c r="E6" s="14" t="n"/>
    </row>
    <row r="7">
      <c r="A7" s="38" t="inlineStr">
        <is>
          <t>Assessment Status:</t>
        </is>
      </c>
      <c r="B7" s="14" t="inlineStr"/>
      <c r="C7" s="14" t="n"/>
      <c r="D7" s="14" t="n"/>
      <c r="E7" s="14" t="n"/>
    </row>
    <row r="8">
      <c r="A8" s="38" t="inlineStr">
        <is>
          <t>Assessed By:</t>
        </is>
      </c>
      <c r="B8" s="14" t="inlineStr"/>
      <c r="C8" s="14" t="n"/>
      <c r="D8" s="14" t="n"/>
      <c r="E8" s="14" t="n"/>
    </row>
    <row r="11">
      <c r="A11" s="37" t="inlineStr">
        <is>
          <t>COMPLETED BY (ASSESSOR)</t>
        </is>
      </c>
      <c r="B11" s="6" t="n"/>
      <c r="C11" s="6" t="n"/>
      <c r="D11" s="6" t="n"/>
      <c r="E11" s="6" t="n"/>
    </row>
    <row r="12">
      <c r="A12" s="38" t="inlineStr">
        <is>
          <t>Name:</t>
        </is>
      </c>
      <c r="B12" s="14" t="n"/>
      <c r="C12" s="14" t="n"/>
      <c r="D12" s="14" t="n"/>
      <c r="E12" s="14" t="n"/>
    </row>
    <row r="13">
      <c r="A13" s="38" t="inlineStr">
        <is>
          <t>Title:</t>
        </is>
      </c>
      <c r="B13" s="14" t="n"/>
      <c r="C13" s="14" t="n"/>
      <c r="D13" s="14" t="n"/>
      <c r="E13" s="14" t="n"/>
    </row>
    <row r="14">
      <c r="A14" s="38" t="inlineStr">
        <is>
          <t>Date:</t>
        </is>
      </c>
      <c r="B14" s="14" t="n"/>
      <c r="C14" s="14" t="n"/>
      <c r="D14" s="14" t="n"/>
      <c r="E14" s="14" t="n"/>
    </row>
    <row r="15">
      <c r="A15" s="38" t="inlineStr">
        <is>
          <t>Signature:</t>
        </is>
      </c>
      <c r="B15" s="14" t="n"/>
      <c r="C15" s="14" t="n"/>
      <c r="D15" s="14" t="n"/>
      <c r="E15" s="14" t="n"/>
    </row>
    <row r="16">
      <c r="A16" s="38" t="inlineStr">
        <is>
          <t>Comments:</t>
        </is>
      </c>
      <c r="B16" s="14" t="n"/>
      <c r="C16" s="14" t="n"/>
      <c r="D16" s="14" t="n"/>
      <c r="E16" s="14" t="n"/>
    </row>
    <row r="18">
      <c r="A18" s="37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8" t="inlineStr">
        <is>
          <t>Name:</t>
        </is>
      </c>
      <c r="B19" s="14" t="n"/>
      <c r="C19" s="14" t="n"/>
      <c r="D19" s="14" t="n"/>
      <c r="E19" s="14" t="n"/>
    </row>
    <row r="20">
      <c r="A20" s="38" t="inlineStr">
        <is>
          <t>Title:</t>
        </is>
      </c>
      <c r="B20" s="14" t="n"/>
      <c r="C20" s="14" t="n"/>
      <c r="D20" s="14" t="n"/>
      <c r="E20" s="14" t="n"/>
    </row>
    <row r="21">
      <c r="A21" s="38" t="inlineStr">
        <is>
          <t>Date:</t>
        </is>
      </c>
      <c r="B21" s="14" t="n"/>
      <c r="C21" s="14" t="n"/>
      <c r="D21" s="14" t="n"/>
      <c r="E21" s="14" t="n"/>
    </row>
    <row r="22">
      <c r="A22" s="38" t="inlineStr">
        <is>
          <t>Signature:</t>
        </is>
      </c>
      <c r="B22" s="14" t="n"/>
      <c r="C22" s="14" t="n"/>
      <c r="D22" s="14" t="n"/>
      <c r="E22" s="14" t="n"/>
    </row>
    <row r="23">
      <c r="A23" s="38" t="inlineStr">
        <is>
          <t>Comments:</t>
        </is>
      </c>
      <c r="B23" s="14" t="n"/>
      <c r="C23" s="14" t="n"/>
      <c r="D23" s="14" t="n"/>
      <c r="E23" s="14" t="n"/>
    </row>
    <row r="25">
      <c r="A25" s="40" t="inlineStr">
        <is>
          <t>APPROVED BY (CISO)</t>
        </is>
      </c>
      <c r="B25" s="6" t="n"/>
      <c r="C25" s="6" t="n"/>
      <c r="D25" s="6" t="n"/>
      <c r="E25" s="6" t="n"/>
    </row>
    <row r="26">
      <c r="A26" s="38" t="inlineStr">
        <is>
          <t>Name:</t>
        </is>
      </c>
      <c r="B26" s="14" t="n"/>
      <c r="C26" s="14" t="n"/>
      <c r="D26" s="14" t="n"/>
      <c r="E26" s="14" t="n"/>
    </row>
    <row r="27">
      <c r="A27" s="38" t="inlineStr">
        <is>
          <t>Title:</t>
        </is>
      </c>
      <c r="B27" s="14" t="n"/>
      <c r="C27" s="14" t="n"/>
      <c r="D27" s="14" t="n"/>
      <c r="E27" s="14" t="n"/>
    </row>
    <row r="28">
      <c r="A28" s="38" t="inlineStr">
        <is>
          <t>Date:</t>
        </is>
      </c>
      <c r="B28" s="14" t="n"/>
      <c r="C28" s="14" t="n"/>
      <c r="D28" s="14" t="n"/>
      <c r="E28" s="14" t="n"/>
    </row>
    <row r="29">
      <c r="A29" s="38" t="inlineStr">
        <is>
          <t>Signature:</t>
        </is>
      </c>
      <c r="B29" s="14" t="n"/>
      <c r="C29" s="14" t="n"/>
      <c r="D29" s="14" t="n"/>
      <c r="E29" s="14" t="n"/>
    </row>
    <row r="30">
      <c r="A30" s="38" t="inlineStr">
        <is>
          <t>Comments:</t>
        </is>
      </c>
      <c r="B30" s="14" t="n"/>
      <c r="C30" s="14" t="n"/>
      <c r="D30" s="14" t="n"/>
      <c r="E30" s="14" t="n"/>
    </row>
    <row r="32">
      <c r="A32" s="38" t="inlineStr">
        <is>
          <t>FINAL DECISION:</t>
        </is>
      </c>
      <c r="B32" s="14" t="n"/>
      <c r="C32" s="14" t="n"/>
      <c r="D32" s="14" t="n"/>
      <c r="E32" s="14" t="n"/>
    </row>
    <row r="35">
      <c r="A35" s="37" t="inlineStr">
        <is>
          <t>NEXT REVIEW DETAILS</t>
        </is>
      </c>
      <c r="B35" s="6" t="n"/>
      <c r="C35" s="6" t="n"/>
      <c r="D35" s="6" t="n"/>
      <c r="E35" s="6" t="n"/>
    </row>
    <row r="36">
      <c r="A36" s="38" t="inlineStr">
        <is>
          <t>Next Review Date:</t>
        </is>
      </c>
      <c r="B36" s="14" t="n"/>
      <c r="C36" s="14" t="n"/>
      <c r="D36" s="14" t="n"/>
      <c r="E36" s="14" t="n"/>
    </row>
    <row r="37">
      <c r="A37" s="38" t="inlineStr">
        <is>
          <t>Review Responsible:</t>
        </is>
      </c>
      <c r="B37" s="14" t="n"/>
      <c r="C37" s="14" t="n"/>
      <c r="D37" s="14" t="n"/>
      <c r="E37" s="14" t="n"/>
    </row>
    <row r="38">
      <c r="A38" s="38" t="inlineStr">
        <is>
          <t>Special Considerations:</t>
        </is>
      </c>
      <c r="B38" s="14" t="n"/>
      <c r="C38" s="14" t="n"/>
      <c r="D38" s="14" t="n"/>
      <c r="E38" s="14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ISMS-IMP-A.6.7-8.S2 — Technical Controls Assessment</dc:title>
  <dc:description xmlns:dc="http://purl.org/dc/elements/1.1/">ISMS Implementation Workbook — ISMS-IMP-A.6.7-8.S2</dc:description>
  <dc:subject xmlns:dc="http://purl.org/dc/elements/1.1/">ISO/IEC 27001:2022 — Control A.6.7-8: Remote Working and Security Event Reporting</dc:subject>
  <dcterms:created xmlns:dcterms="http://purl.org/dc/terms/" xmlns:xsi="http://www.w3.org/2001/XMLSchema-instance" xsi:type="dcterms:W3CDTF">2026-03-10T18:49:05Z</dcterms:created>
  <dcterms:modified xmlns:dcterms="http://purl.org/dc/terms/" xmlns:xsi="http://www.w3.org/2001/XMLSchema-instance" xsi:type="dcterms:W3CDTF">2026-03-10T18:49:05Z</dcterms:modified>
</cp:coreProperties>
</file>