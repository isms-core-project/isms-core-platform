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vice Inventory" sheetId="2" state="visible" r:id="rId2"/>
    <sheet xmlns:r="http://schemas.openxmlformats.org/officeDocument/2006/relationships" name="Encryption Status" sheetId="3" state="visible" r:id="rId3"/>
    <sheet xmlns:r="http://schemas.openxmlformats.org/officeDocument/2006/relationships" name="Endpoint Protection" sheetId="4" state="visible" r:id="rId4"/>
    <sheet xmlns:r="http://schemas.openxmlformats.org/officeDocument/2006/relationships" name="Patch Compliance" sheetId="5" state="visible" r:id="rId5"/>
    <sheet xmlns:r="http://schemas.openxmlformats.org/officeDocument/2006/relationships" name="BYOD Assessment" sheetId="6" state="visible" r:id="rId6"/>
    <sheet xmlns:r="http://schemas.openxmlformats.org/officeDocument/2006/relationships" name="Physical Security" sheetId="7" state="visible" r:id="rId7"/>
    <sheet xmlns:r="http://schemas.openxmlformats.org/officeDocument/2006/relationships" name="Lost Stolen Procedure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name val="Calibri"/>
      <i val="1"/>
      <color rgb="00666666"/>
      <sz val="10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0" fontId="10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ISMS-IMP-A.6.7-8.S3  -  Endpoint and Physical Security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ISMS-IMP-A.6.7-8.S3</t>
        </is>
      </c>
    </row>
    <row r="5">
      <c r="A5" s="3" t="inlineStr">
        <is>
          <t>Workbook Title</t>
        </is>
      </c>
      <c r="B5" t="inlineStr">
        <is>
          <t>Endpoint and Physical Security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Device Inventory — list all devices used for remote working.</t>
        </is>
      </c>
    </row>
    <row r="14">
      <c r="A14" t="inlineStr">
        <is>
          <t>2. Complete Encryption Status — verify full-disk encryption is enabled on all remote devices.</t>
        </is>
      </c>
    </row>
    <row r="15">
      <c r="A15" t="inlineStr">
        <is>
          <t>3. Complete Endpoint Protection — assess EDR, anti-malware, and HIPS deployment on remote devices.</t>
        </is>
      </c>
    </row>
    <row r="16">
      <c r="A16" t="inlineStr">
        <is>
          <t>4. Complete Patch Compliance — verify OS and application patching on remote devices.</t>
        </is>
      </c>
    </row>
    <row r="17">
      <c r="A17" t="inlineStr">
        <is>
          <t>5. Complete BYOD Assessment — evaluate Bring Your Own Device controls and policies.</t>
        </is>
      </c>
    </row>
    <row r="18">
      <c r="A18" t="inlineStr">
        <is>
          <t>6. Complete Physical Security — assess screen privacy, clean desk, and locking requirements.</t>
        </is>
      </c>
    </row>
    <row r="19">
      <c r="A19" t="inlineStr">
        <is>
          <t>7. Complete Lost/Stolen Procedures — verify remote wipe capability and reporting procedures.</t>
        </is>
      </c>
    </row>
    <row r="20">
      <c r="A20" t="inlineStr">
        <is>
          <t>8. Complete Gap Analysis — identify endpoint security gaps requiring remediation.</t>
        </is>
      </c>
    </row>
    <row r="21">
      <c r="A21" t="inlineStr">
        <is>
          <t>9. Maintain the Evidence Register with device assessments and MDM configuration exports.</t>
        </is>
      </c>
    </row>
    <row r="22">
      <c r="A22" t="inlineStr">
        <is>
          <t>10. Obtain final approval and sign-off in the Approval Sign-Off sheet.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1" max="11"/>
  </cols>
  <sheetData>
    <row r="1" ht="35" customHeight="1">
      <c r="A1" s="11" t="inlineStr">
        <is>
          <t>REMOTE DEVICE INVENTORY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Device Type</t>
        </is>
      </c>
      <c r="C3" s="13" t="inlineStr">
        <is>
          <t>Ownership</t>
        </is>
      </c>
      <c r="D3" s="13" t="inlineStr">
        <is>
          <t>OS</t>
        </is>
      </c>
      <c r="E3" s="13" t="inlineStr">
        <is>
          <t>OS Version</t>
        </is>
      </c>
      <c r="F3" s="13" t="inlineStr">
        <is>
          <t>Assigned User</t>
        </is>
      </c>
      <c r="G3" s="13" t="inlineStr">
        <is>
          <t>Department</t>
        </is>
      </c>
      <c r="H3" s="13" t="inlineStr">
        <is>
          <t>Remote Enabled</t>
        </is>
      </c>
      <c r="I3" s="13" t="inlineStr">
        <is>
          <t>MDM Enrolled</t>
        </is>
      </c>
      <c r="J3" s="13" t="inlineStr">
        <is>
          <t>Last Check-in</t>
        </is>
      </c>
      <c r="K3" s="13" t="inlineStr">
        <is>
          <t>Status</t>
        </is>
      </c>
    </row>
    <row r="4">
      <c r="A4" s="6" t="inlineStr">
        <is>
          <t>DEV-0001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</row>
    <row r="5">
      <c r="A5" s="6" t="inlineStr">
        <is>
          <t>DEV-0002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>
      <c r="A6" s="6" t="inlineStr">
        <is>
          <t>DEV-0003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>
      <c r="A7" s="6" t="inlineStr">
        <is>
          <t>DEV-0004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>
      <c r="A8" s="6" t="inlineStr">
        <is>
          <t>DEV-0005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>
      <c r="A9" s="6" t="inlineStr">
        <is>
          <t>DEV-0006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>
      <c r="A10" s="6" t="inlineStr">
        <is>
          <t>DEV-0007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>
      <c r="A11" s="6" t="inlineStr">
        <is>
          <t>DEV-0008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>
      <c r="A12" s="6" t="inlineStr">
        <is>
          <t>DEV-0009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>
      <c r="A13" s="6" t="inlineStr">
        <is>
          <t>DEV-0010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>
      <c r="A14" s="6" t="inlineStr">
        <is>
          <t>DEV-0011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>
      <c r="A15" s="6" t="inlineStr">
        <is>
          <t>DEV-0012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>
      <c r="A16" s="6" t="inlineStr">
        <is>
          <t>DEV-0013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6" t="inlineStr">
        <is>
          <t>DEV-0014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18">
      <c r="A18" s="6" t="inlineStr">
        <is>
          <t>DEV-0015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</row>
    <row r="19">
      <c r="A19" s="6" t="inlineStr">
        <is>
          <t>DEV-0016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</row>
    <row r="20">
      <c r="A20" s="6" t="inlineStr">
        <is>
          <t>DEV-0017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</row>
    <row r="21">
      <c r="A21" s="6" t="inlineStr">
        <is>
          <t>DEV-0018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</row>
    <row r="22">
      <c r="A22" s="6" t="inlineStr">
        <is>
          <t>DEV-0019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</row>
    <row r="23">
      <c r="A23" s="6" t="inlineStr">
        <is>
          <t>DEV-0020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</row>
    <row r="24">
      <c r="A24" s="6" t="inlineStr">
        <is>
          <t>DEV-0021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</row>
    <row r="25">
      <c r="A25" s="6" t="inlineStr">
        <is>
          <t>DEV-0022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</row>
    <row r="26">
      <c r="A26" s="6" t="inlineStr">
        <is>
          <t>DEV-0023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</row>
    <row r="27">
      <c r="A27" s="6" t="inlineStr">
        <is>
          <t>DEV-0024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</row>
    <row r="28">
      <c r="A28" s="6" t="inlineStr">
        <is>
          <t>DEV-0025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</row>
    <row r="29">
      <c r="A29" s="6" t="inlineStr">
        <is>
          <t>DEV-0026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</row>
    <row r="30">
      <c r="A30" s="6" t="inlineStr">
        <is>
          <t>DEV-0027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</row>
    <row r="31">
      <c r="A31" s="6" t="inlineStr">
        <is>
          <t>DEV-0028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</row>
    <row r="32">
      <c r="A32" s="6" t="inlineStr">
        <is>
          <t>DEV-0029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</row>
    <row r="33">
      <c r="A33" s="6" t="inlineStr">
        <is>
          <t>DEV-0030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</row>
    <row r="34">
      <c r="A34" s="6" t="inlineStr">
        <is>
          <t>DEV-0031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</row>
    <row r="35">
      <c r="A35" s="6" t="inlineStr">
        <is>
          <t>DEV-0032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</row>
    <row r="36">
      <c r="A36" s="6" t="inlineStr">
        <is>
          <t>DEV-0033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</row>
    <row r="37">
      <c r="A37" s="6" t="inlineStr">
        <is>
          <t>DEV-0034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</row>
    <row r="38">
      <c r="A38" s="6" t="inlineStr">
        <is>
          <t>DEV-0035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</row>
    <row r="39">
      <c r="A39" s="6" t="inlineStr">
        <is>
          <t>DEV-0036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</row>
    <row r="40">
      <c r="A40" s="6" t="inlineStr">
        <is>
          <t>DEV-0037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</row>
    <row r="41">
      <c r="A41" s="6" t="inlineStr">
        <is>
          <t>DEV-0038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</row>
    <row r="42">
      <c r="A42" s="6" t="inlineStr">
        <is>
          <t>DEV-0039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</row>
    <row r="43">
      <c r="A43" s="6" t="inlineStr">
        <is>
          <t>DEV-0040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</row>
    <row r="44">
      <c r="A44" s="6" t="inlineStr">
        <is>
          <t>DEV-0041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</row>
    <row r="45">
      <c r="A45" s="6" t="inlineStr">
        <is>
          <t>DEV-0042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  <row r="46">
      <c r="A46" s="6" t="inlineStr">
        <is>
          <t>DEV-0043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</row>
    <row r="47">
      <c r="A47" s="6" t="inlineStr">
        <is>
          <t>DEV-0044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</row>
    <row r="48">
      <c r="A48" s="6" t="inlineStr">
        <is>
          <t>DEV-0045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</row>
    <row r="49">
      <c r="A49" s="6" t="inlineStr">
        <is>
          <t>DEV-0046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</row>
    <row r="50">
      <c r="A50" s="6" t="inlineStr">
        <is>
          <t>DEV-0047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</row>
    <row r="51">
      <c r="A51" s="6" t="inlineStr">
        <is>
          <t>DEV-0048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</row>
    <row r="52">
      <c r="A52" s="6" t="inlineStr">
        <is>
          <t>DEV-0049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</row>
    <row r="53">
      <c r="A53" s="6" t="inlineStr">
        <is>
          <t>DEV-0050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</row>
    <row r="54">
      <c r="A54" s="6" t="inlineStr">
        <is>
          <t>DEV-0051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</row>
  </sheetData>
  <mergeCells count="2">
    <mergeCell ref="A2:K2"/>
    <mergeCell ref="A1:K1"/>
  </mergeCells>
  <dataValidations count="4">
    <dataValidation sqref="B4:B54" showDropDown="0" showInputMessage="0" showErrorMessage="0" allowBlank="1" type="list">
      <formula1>"Laptop,Desktop,Tablet,Mobile,Other"</formula1>
    </dataValidation>
    <dataValidation sqref="C4:C54" showDropDown="0" showInputMessage="0" showErrorMessage="0" allowBlank="1" type="list">
      <formula1>"Corporate,BYOD,Contractor"</formula1>
    </dataValidation>
    <dataValidation sqref="H4:I54" showDropDown="0" showInputMessage="0" showErrorMessage="0" allowBlank="1" type="list">
      <formula1>"Yes,No"</formula1>
    </dataValidation>
    <dataValidation sqref="K4:K54" showDropDown="0" showInputMessage="0" showErrorMessage="0" allowBlank="1" type="list">
      <formula1>"Active,Inactive,Lost,Retired"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8" max="8"/>
  </cols>
  <sheetData>
    <row r="1">
      <c r="A1" s="11" t="inlineStr">
        <is>
          <t>DEVICE ENCRYPTION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Encryption Type</t>
        </is>
      </c>
      <c r="C3" s="13" t="inlineStr">
        <is>
          <t>Full-Disk</t>
        </is>
      </c>
      <c r="D3" s="13" t="inlineStr">
        <is>
          <t>Status</t>
        </is>
      </c>
      <c r="E3" s="13" t="inlineStr">
        <is>
          <t>Key Escrowed</t>
        </is>
      </c>
      <c r="F3" s="13" t="inlineStr">
        <is>
          <t>Last Verified</t>
        </is>
      </c>
      <c r="G3" s="13" t="inlineStr">
        <is>
          <t>Compliant</t>
        </is>
      </c>
      <c r="H3" s="13" t="inlineStr">
        <is>
          <t>Notes</t>
        </is>
      </c>
    </row>
    <row r="4">
      <c r="A4" s="15" t="inlineStr">
        <is>
          <t>DEV-0001</t>
        </is>
      </c>
      <c r="B4" s="15" t="inlineStr">
        <is>
          <t>BitLocker</t>
        </is>
      </c>
      <c r="C4" s="15" t="inlineStr">
        <is>
          <t>Yes</t>
        </is>
      </c>
      <c r="D4" s="15" t="inlineStr">
        <is>
          <t>Active</t>
        </is>
      </c>
      <c r="E4" s="15" t="inlineStr">
        <is>
          <t>Yes</t>
        </is>
      </c>
      <c r="F4" s="15" t="inlineStr">
        <is>
          <t>15.01.2026</t>
        </is>
      </c>
      <c r="G4" s="15" t="inlineStr">
        <is>
          <t>Yes</t>
        </is>
      </c>
      <c r="H4" s="15" t="inlineStr">
        <is>
          <t>AES-256 full disk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3">
    <dataValidation sqref="B5:B54" showDropDown="0" showInputMessage="0" showErrorMessage="0" allowBlank="1" type="list">
      <formula1>"BitLocker,FileVault,LUKS,Other,None"</formula1>
    </dataValidation>
    <dataValidation sqref="C5:C54 E5:E54 G5:G54" showDropDown="0" showInputMessage="0" showErrorMessage="0" allowBlank="1" type="list">
      <formula1>"Yes,No"</formula1>
    </dataValidation>
    <dataValidation sqref="D5:D54" showDropDown="0" showInputMessage="0" showErrorMessage="0" allowBlank="1" type="list">
      <formula1>"Active,Suspended,Not Configured"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0" max="10"/>
  </cols>
  <sheetData>
    <row r="1">
      <c r="A1" s="11" t="inlineStr">
        <is>
          <t>ENDPOINT PROTECTION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Protection Solution</t>
        </is>
      </c>
      <c r="C3" s="13" t="inlineStr">
        <is>
          <t>Agent Installed</t>
        </is>
      </c>
      <c r="D3" s="13" t="inlineStr">
        <is>
          <t>Agent Version</t>
        </is>
      </c>
      <c r="E3" s="13" t="inlineStr">
        <is>
          <t>Status</t>
        </is>
      </c>
      <c r="F3" s="13" t="inlineStr">
        <is>
          <t>Definitions Date</t>
        </is>
      </c>
      <c r="G3" s="13" t="inlineStr">
        <is>
          <t>Last Scan</t>
        </is>
      </c>
      <c r="H3" s="13" t="inlineStr">
        <is>
          <t>Threats (90d)</t>
        </is>
      </c>
      <c r="I3" s="13" t="inlineStr">
        <is>
          <t>Compliant</t>
        </is>
      </c>
      <c r="J3" s="13" t="inlineStr">
        <is>
          <t>Notes</t>
        </is>
      </c>
    </row>
    <row r="4">
      <c r="A4" s="15" t="inlineStr">
        <is>
          <t>DEV-0001</t>
        </is>
      </c>
      <c r="B4" s="15" t="inlineStr">
        <is>
          <t>Windows Defender</t>
        </is>
      </c>
      <c r="C4" s="15" t="inlineStr">
        <is>
          <t>Yes</t>
        </is>
      </c>
      <c r="D4" s="15" t="inlineStr">
        <is>
          <t>4.18.2401.4</t>
        </is>
      </c>
      <c r="E4" s="15" t="inlineStr">
        <is>
          <t>Active</t>
        </is>
      </c>
      <c r="F4" s="15" t="inlineStr">
        <is>
          <t>15.01.2026</t>
        </is>
      </c>
      <c r="G4" s="15" t="inlineStr">
        <is>
          <t>15.01.2026</t>
        </is>
      </c>
      <c r="H4" s="15" t="n">
        <v>0</v>
      </c>
      <c r="I4" s="15" t="inlineStr">
        <is>
          <t>Yes</t>
        </is>
      </c>
      <c r="J4" s="15" t="inlineStr">
        <is>
          <t>No threats detected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PATCH COMPLIANCE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OS Patch Level</t>
        </is>
      </c>
      <c r="C3" s="13" t="inlineStr">
        <is>
          <t>Critical Missing</t>
        </is>
      </c>
      <c r="D3" s="13" t="inlineStr">
        <is>
          <t>High Missing</t>
        </is>
      </c>
      <c r="E3" s="13" t="inlineStr">
        <is>
          <t>Medium Missing</t>
        </is>
      </c>
      <c r="F3" s="13" t="inlineStr">
        <is>
          <t>Last Scan</t>
        </is>
      </c>
      <c r="G3" s="13" t="inlineStr">
        <is>
          <t>Days Since Patch</t>
        </is>
      </c>
      <c r="H3" s="13" t="inlineStr">
        <is>
          <t>Compliant</t>
        </is>
      </c>
      <c r="I3" s="13" t="inlineStr">
        <is>
          <t>Notes</t>
        </is>
      </c>
    </row>
    <row r="4">
      <c r="A4" s="15" t="inlineStr">
        <is>
          <t>DEV-0001</t>
        </is>
      </c>
      <c r="B4" s="15" t="inlineStr">
        <is>
          <t>Windows 11 23H2 (KB5034123)</t>
        </is>
      </c>
      <c r="C4" s="15" t="n">
        <v>0</v>
      </c>
      <c r="D4" s="15" t="n">
        <v>0</v>
      </c>
      <c r="E4" s="15" t="n">
        <v>1</v>
      </c>
      <c r="F4" s="15" t="inlineStr">
        <is>
          <t>15.01.2026</t>
        </is>
      </c>
      <c r="G4" s="15" t="n">
        <v>8</v>
      </c>
      <c r="H4" s="15" t="inlineStr">
        <is>
          <t>Yes</t>
        </is>
      </c>
      <c r="I4" s="15" t="inlineStr">
        <is>
          <t>1 medium patch pending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2" max="12"/>
  </cols>
  <sheetData>
    <row r="1">
      <c r="A1" s="11" t="inlineStr">
        <is>
          <t>BYOD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Device Type</t>
        </is>
      </c>
      <c r="C3" s="13" t="inlineStr">
        <is>
          <t>Owner</t>
        </is>
      </c>
      <c r="D3" s="13" t="inlineStr">
        <is>
          <t>OS/Version</t>
        </is>
      </c>
      <c r="E3" s="13" t="inlineStr">
        <is>
          <t>Min OS Met</t>
        </is>
      </c>
      <c r="F3" s="13" t="inlineStr">
        <is>
          <t>MDM Enrolled</t>
        </is>
      </c>
      <c r="G3" s="13" t="inlineStr">
        <is>
          <t>Container</t>
        </is>
      </c>
      <c r="H3" s="13" t="inlineStr">
        <is>
          <t>Encrypted</t>
        </is>
      </c>
      <c r="I3" s="13" t="inlineStr">
        <is>
          <t>Remote Wipe</t>
        </is>
      </c>
      <c r="J3" s="13" t="inlineStr">
        <is>
          <t>Agreement Signed</t>
        </is>
      </c>
      <c r="K3" s="13" t="inlineStr">
        <is>
          <t>Compliant</t>
        </is>
      </c>
      <c r="L3" s="13" t="inlineStr">
        <is>
          <t>Notes</t>
        </is>
      </c>
    </row>
    <row r="4">
      <c r="A4" s="16" t="inlineStr">
        <is>
          <t>BYOD-001</t>
        </is>
      </c>
      <c r="B4" s="16" t="inlineStr">
        <is>
          <t>Laptop</t>
        </is>
      </c>
      <c r="C4" s="16" t="inlineStr">
        <is>
          <t>Alice Brown</t>
        </is>
      </c>
      <c r="D4" s="16" t="inlineStr">
        <is>
          <t>macOS 14.3</t>
        </is>
      </c>
      <c r="E4" s="16" t="inlineStr">
        <is>
          <t>Yes</t>
        </is>
      </c>
      <c r="F4" s="16" t="inlineStr">
        <is>
          <t>Yes</t>
        </is>
      </c>
      <c r="G4" s="16" t="inlineStr">
        <is>
          <t>Yes</t>
        </is>
      </c>
      <c r="H4" s="16" t="inlineStr">
        <is>
          <t>Yes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Compliant</t>
        </is>
      </c>
      <c r="L4" s="16" t="inlineStr">
        <is>
          <t>MDM enrolled via Jamf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PHYSICAL SECURITY REQUIREMENTS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Category</t>
        </is>
      </c>
      <c r="B3" s="13" t="inlineStr">
        <is>
          <t>Requirement</t>
        </is>
      </c>
      <c r="C3" s="13" t="inlineStr">
        <is>
          <t>Level</t>
        </is>
      </c>
      <c r="D3" s="13" t="inlineStr">
        <is>
          <t>Documented</t>
        </is>
      </c>
      <c r="E3" s="13" t="inlineStr">
        <is>
          <t>Communicated</t>
        </is>
      </c>
      <c r="F3" s="13" t="inlineStr">
        <is>
          <t>Ack Required</t>
        </is>
      </c>
      <c r="G3" s="13" t="inlineStr">
        <is>
          <t>Ack Captured</t>
        </is>
      </c>
      <c r="H3" s="13" t="inlineStr">
        <is>
          <t>Verification</t>
        </is>
      </c>
      <c r="I3" s="13" t="inlineStr">
        <is>
          <t>Notes</t>
        </is>
      </c>
    </row>
    <row r="4">
      <c r="A4" s="6" t="inlineStr">
        <is>
          <t>Screen Privacy</t>
        </is>
      </c>
      <c r="B4" s="6" t="inlineStr">
        <is>
          <t>Position screen away from windows and common areas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Privacy Screen</t>
        </is>
      </c>
      <c r="B5" s="6" t="inlineStr">
        <is>
          <t>Use privacy screen filter in public spaces</t>
        </is>
      </c>
      <c r="C5" s="6" t="inlineStr">
        <is>
          <t>Conditional</t>
        </is>
      </c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Secure Storage</t>
        </is>
      </c>
      <c r="B6" s="6" t="inlineStr">
        <is>
          <t>Lockable cabinet or drawer for sensitive documents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Device Security</t>
        </is>
      </c>
      <c r="B7" s="6" t="inlineStr">
        <is>
          <t>Cable lock or secure storage for portable devices</t>
        </is>
      </c>
      <c r="C7" s="6" t="inlineStr">
        <is>
          <t>Recommended</t>
        </is>
      </c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Unattended Devices</t>
        </is>
      </c>
      <c r="B8" s="6" t="inlineStr">
        <is>
          <t>Never leave devices unattended in public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Document Handling</t>
        </is>
      </c>
      <c r="B9" s="6" t="inlineStr">
        <is>
          <t>Shred sensitive documents (cross-cut shredder)</t>
        </is>
      </c>
      <c r="C9" s="6" t="inlineStr">
        <is>
          <t>Mandatory</t>
        </is>
      </c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Clear Desk</t>
        </is>
      </c>
      <c r="B10" s="6" t="inlineStr">
        <is>
          <t>Clear desk when leaving workspace</t>
        </is>
      </c>
      <c r="C10" s="6" t="inlineStr">
        <is>
          <t>Mandatory</t>
        </is>
      </c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Access Control</t>
        </is>
      </c>
      <c r="B11" s="6" t="inlineStr">
        <is>
          <t>Prevent family/visitor access to work devices</t>
        </is>
      </c>
      <c r="C11" s="6" t="inlineStr">
        <is>
          <t>Mandatory</t>
        </is>
      </c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6" t="inlineStr">
        <is>
          <t>Travel - Hand Luggage</t>
        </is>
      </c>
      <c r="B12" s="6" t="inlineStr">
        <is>
          <t>Carry devices in hand luggage</t>
        </is>
      </c>
      <c r="C12" s="6" t="inlineStr">
        <is>
          <t>Mandatory</t>
        </is>
      </c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6" t="inlineStr">
        <is>
          <t>Travel - Vehicle</t>
        </is>
      </c>
      <c r="B13" s="6" t="inlineStr">
        <is>
          <t>Never leave devices in vehicles</t>
        </is>
      </c>
      <c r="C13" s="6" t="inlineStr">
        <is>
          <t>Mandatory</t>
        </is>
      </c>
      <c r="D13" s="14" t="inlineStr"/>
      <c r="E13" s="14" t="inlineStr"/>
      <c r="F13" s="14" t="inlineStr"/>
      <c r="G13" s="14" t="inlineStr"/>
      <c r="H13" s="14" t="inlineStr"/>
      <c r="I13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1" t="inlineStr">
        <is>
          <t>LOST/STOLEN DEVICE PROCEDURES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Procedure Element</t>
        </is>
      </c>
      <c r="B3" s="13" t="inlineStr">
        <is>
          <t>Requirement</t>
        </is>
      </c>
      <c r="C3" s="13" t="inlineStr">
        <is>
          <t>SLA</t>
        </is>
      </c>
      <c r="D3" s="13" t="inlineStr">
        <is>
          <t>Implemented</t>
        </is>
      </c>
      <c r="E3" s="13" t="inlineStr">
        <is>
          <t>Documentation</t>
        </is>
      </c>
      <c r="F3" s="13" t="inlineStr">
        <is>
          <t>Last Tested</t>
        </is>
      </c>
      <c r="G3" s="13" t="inlineStr">
        <is>
          <t>Responsible</t>
        </is>
      </c>
      <c r="H3" s="13" t="inlineStr">
        <is>
          <t>Evidence</t>
        </is>
      </c>
      <c r="I3" s="13" t="inlineStr">
        <is>
          <t>Compliant</t>
        </is>
      </c>
    </row>
    <row r="4">
      <c r="A4" s="6" t="inlineStr">
        <is>
          <t>Reporting Channel</t>
        </is>
      </c>
      <c r="B4" s="6" t="inlineStr">
        <is>
          <t>24/7 hotline or email for reporting</t>
        </is>
      </c>
      <c r="C4" s="6" t="inlineStr">
        <is>
          <t>1 hour</t>
        </is>
      </c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Account Disable</t>
        </is>
      </c>
      <c r="B5" s="6" t="inlineStr">
        <is>
          <t>Ability to disable account within 1 hour</t>
        </is>
      </c>
      <c r="C5" s="6" t="inlineStr">
        <is>
          <t>1 hour</t>
        </is>
      </c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Remote Lock</t>
        </is>
      </c>
      <c r="B6" s="6" t="inlineStr">
        <is>
          <t>Ability to lock device remotely within 1 hour</t>
        </is>
      </c>
      <c r="C6" s="6" t="inlineStr">
        <is>
          <t>1 hour</t>
        </is>
      </c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Remote Wipe</t>
        </is>
      </c>
      <c r="B7" s="6" t="inlineStr">
        <is>
          <t>Ability to wipe device remotely within 4 hours</t>
        </is>
      </c>
      <c r="C7" s="6" t="inlineStr">
        <is>
          <t>4 hours</t>
        </is>
      </c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Recovery Key Access</t>
        </is>
      </c>
      <c r="B8" s="6" t="inlineStr">
        <is>
          <t>Access to recovery keys for encrypted devices</t>
        </is>
      </c>
      <c r="C8" s="6" t="inlineStr">
        <is>
          <t>As needed</t>
        </is>
      </c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Replacement Process</t>
        </is>
      </c>
      <c r="B9" s="6" t="inlineStr">
        <is>
          <t>Process to issue replacement device</t>
        </is>
      </c>
      <c r="C9" s="6" t="inlineStr">
        <is>
          <t>24-48 hours</t>
        </is>
      </c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Incident Documentation</t>
        </is>
      </c>
      <c r="B10" s="6" t="inlineStr">
        <is>
          <t>Record of incident details</t>
        </is>
      </c>
      <c r="C10" s="6" t="inlineStr">
        <is>
          <t>Immediate</t>
        </is>
      </c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Investigation</t>
        </is>
      </c>
      <c r="B11" s="6" t="inlineStr">
        <is>
          <t>Follow-up investigation procedure</t>
        </is>
      </c>
      <c r="C11" s="6" t="inlineStr">
        <is>
          <t>72 hours</t>
        </is>
      </c>
      <c r="D11" s="14" t="inlineStr"/>
      <c r="E11" s="14" t="inlineStr"/>
      <c r="F11" s="14" t="inlineStr"/>
      <c r="G11" s="14" t="inlineStr"/>
      <c r="H11" s="14" t="inlineStr"/>
      <c r="I11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ENDPOINT AND PHYSICAL SECURITY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Source</t>
        </is>
      </c>
      <c r="C3" s="13" t="inlineStr">
        <is>
          <t>Description</t>
        </is>
      </c>
      <c r="D3" s="13" t="inlineStr">
        <is>
          <t>Scope</t>
        </is>
      </c>
      <c r="E3" s="13" t="inlineStr">
        <is>
          <t>Risk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</t>
        </is>
      </c>
      <c r="I3" s="13" t="inlineStr">
        <is>
          <t>Status</t>
        </is>
      </c>
    </row>
    <row r="4">
      <c r="A4" s="17" t="inlineStr">
        <is>
          <t>GAP-EPS-001</t>
        </is>
      </c>
      <c r="B4" s="17" t="inlineStr">
        <is>
          <t>Endpoint Audit</t>
        </is>
      </c>
      <c r="C4" s="17" t="inlineStr">
        <is>
          <t>Unencrypted storage on remote workstations identified</t>
        </is>
      </c>
      <c r="D4" s="17" t="inlineStr">
        <is>
          <t>All remote laptops</t>
        </is>
      </c>
      <c r="E4" s="17" t="inlineStr">
        <is>
          <t>High</t>
        </is>
      </c>
      <c r="F4" s="17" t="inlineStr">
        <is>
          <t>Deploy full disk encryption via MDM policy</t>
        </is>
      </c>
      <c r="G4" s="17" t="inlineStr">
        <is>
          <t>IT Security</t>
        </is>
      </c>
      <c r="H4" s="17" t="inlineStr">
        <is>
          <t>2026-04-30</t>
        </is>
      </c>
      <c r="I4" s="17" t="inlineStr">
        <is>
          <t>Open</t>
        </is>
      </c>
    </row>
    <row r="5">
      <c r="A5" s="14" t="inlineStr">
        <is>
          <t>GAP-EPS-001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GAP-EPS-002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GAP-EPS-003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GAP-EPS-004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GAP-EPS-005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GAP-EPS-006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GAP-EPS-007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GAP-EPS-008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GAP-EPS-009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GAP-EPS-010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GAP-EPS-011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GAP-EPS-012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GAP-EPS-013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GAP-EPS-014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GAP-EPS-015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GAP-EPS-016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GAP-EPS-017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GAP-EPS-018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GAP-EPS-019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GAP-EPS-020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GAP-EPS-021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GAP-EPS-022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GAP-EPS-023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GAP-EPS-024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GAP-EPS-025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GAP-EPS-026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GAP-EPS-027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GAP-EPS-028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GAP-EPS-029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GAP-EPS-030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GAP-EPS-031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GAP-EPS-032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GAP-EPS-033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GAP-EPS-034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GAP-EPS-035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GAP-EPS-036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GAP-EPS-037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GAP-EPS-038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GAP-EPS-039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GAP-EPS-040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GAP-EPS-041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GAP-EPS-042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GAP-EPS-043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GAP-EPS-044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GAP-EPS-045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GAP-EPS-046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GAP-EPS-047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GAP-EPS-048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GAP-EPS-049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GAP-EPS-050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ISO/IEC 27001:2022 - Control A.6.7-8: Remote Working and Security Event Reporting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Source / Owner</t>
        </is>
      </c>
      <c r="E4" s="20" t="inlineStr">
        <is>
          <t>Date Collected</t>
        </is>
      </c>
      <c r="F4" s="20" t="inlineStr">
        <is>
          <t>Retention Period</t>
        </is>
      </c>
      <c r="G4" s="20" t="inlineStr">
        <is>
          <t>Storage Location</t>
        </is>
      </c>
      <c r="H4" s="20" t="inlineStr">
        <is>
          <t>Status</t>
        </is>
      </c>
    </row>
    <row r="5">
      <c r="A5" s="21" t="inlineStr">
        <is>
          <t>EV-001</t>
        </is>
      </c>
      <c r="B5" s="21" t="inlineStr">
        <is>
          <t>[Evidence Type]</t>
        </is>
      </c>
      <c r="C5" s="21" t="inlineStr">
        <is>
          <t>[Description of evidence item collected]</t>
        </is>
      </c>
      <c r="D5" s="21" t="inlineStr">
        <is>
          <t>[System / Team]</t>
        </is>
      </c>
      <c r="E5" s="21" t="inlineStr">
        <is>
          <t>[DD.MM.YYYY]</t>
        </is>
      </c>
      <c r="F5" s="21" t="inlineStr">
        <is>
          <t>[1 year]</t>
        </is>
      </c>
      <c r="G5" s="21" t="inlineStr">
        <is>
          <t>[ISMS/Controls/...]</t>
        </is>
      </c>
      <c r="H5" s="21" t="inlineStr">
        <is>
          <t>[Collected]</t>
        </is>
      </c>
    </row>
    <row r="6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</row>
    <row r="8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</row>
    <row r="9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</row>
    <row r="10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</row>
    <row r="1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</row>
    <row r="12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</row>
    <row r="13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22" t="inlineStr"/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</row>
    <row r="15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</row>
    <row r="19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</row>
    <row r="2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22" t="inlineStr"/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</row>
    <row r="23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22" t="inlineStr"/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</row>
    <row r="25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22" t="inlineStr"/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22" t="inlineStr"/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</row>
    <row r="33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22" t="inlineStr"/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</row>
    <row r="35">
      <c r="A35" s="22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22" t="inlineStr"/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</row>
    <row r="39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22" t="inlineStr"/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</row>
    <row r="41">
      <c r="A41" s="22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22" t="inlineStr"/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>
      <c r="A43" s="22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22" t="inlineStr"/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</row>
    <row r="45">
      <c r="A45" s="22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22" t="inlineStr"/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</row>
    <row r="47">
      <c r="A47" s="22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22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</row>
    <row r="49">
      <c r="A49" s="22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22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</row>
    <row r="51">
      <c r="A51" s="22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22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</row>
    <row r="53">
      <c r="A53" s="22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22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</row>
    <row r="55">
      <c r="A55" s="22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22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</row>
    <row r="57">
      <c r="A57" s="22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22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</row>
    <row r="59">
      <c r="A59" s="22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22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>
      <c r="A61" s="22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22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</row>
    <row r="63">
      <c r="A63" s="22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22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</row>
    <row r="65">
      <c r="A65" s="22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22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</row>
    <row r="67">
      <c r="A67" s="22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22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</row>
    <row r="69">
      <c r="A69" s="22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22" t="inlineStr"/>
      <c r="B70" s="22" t="inlineStr"/>
      <c r="C70" s="22" t="inlineStr"/>
      <c r="D70" s="22" t="inlineStr"/>
      <c r="E70" s="22" t="inlineStr"/>
      <c r="F70" s="22" t="inlineStr"/>
      <c r="G70" s="22" t="inlineStr"/>
      <c r="H70" s="22" t="inlineStr"/>
    </row>
    <row r="71">
      <c r="A71" s="22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22" t="inlineStr"/>
      <c r="B72" s="22" t="inlineStr"/>
      <c r="C72" s="22" t="inlineStr"/>
      <c r="D72" s="22" t="inlineStr"/>
      <c r="E72" s="22" t="inlineStr"/>
      <c r="F72" s="22" t="inlineStr"/>
      <c r="G72" s="22" t="inlineStr"/>
      <c r="H72" s="22" t="inlineStr"/>
    </row>
    <row r="73">
      <c r="A73" s="22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22" t="inlineStr"/>
      <c r="B74" s="22" t="inlineStr"/>
      <c r="C74" s="22" t="inlineStr"/>
      <c r="D74" s="22" t="inlineStr"/>
      <c r="E74" s="22" t="inlineStr"/>
      <c r="F74" s="22" t="inlineStr"/>
      <c r="G74" s="22" t="inlineStr"/>
      <c r="H74" s="22" t="inlineStr"/>
    </row>
    <row r="75">
      <c r="A75" s="22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22" t="inlineStr"/>
      <c r="B76" s="22" t="inlineStr"/>
      <c r="C76" s="22" t="inlineStr"/>
      <c r="D76" s="22" t="inlineStr"/>
      <c r="E76" s="22" t="inlineStr"/>
      <c r="F76" s="22" t="inlineStr"/>
      <c r="G76" s="22" t="inlineStr"/>
      <c r="H76" s="22" t="inlineStr"/>
    </row>
    <row r="77">
      <c r="A77" s="22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22" t="inlineStr"/>
      <c r="B78" s="22" t="inlineStr"/>
      <c r="C78" s="22" t="inlineStr"/>
      <c r="D78" s="22" t="inlineStr"/>
      <c r="E78" s="22" t="inlineStr"/>
      <c r="F78" s="22" t="inlineStr"/>
      <c r="G78" s="22" t="inlineStr"/>
      <c r="H78" s="22" t="inlineStr"/>
    </row>
    <row r="79">
      <c r="A79" s="22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22" t="inlineStr"/>
      <c r="B80" s="22" t="inlineStr"/>
      <c r="C80" s="22" t="inlineStr"/>
      <c r="D80" s="22" t="inlineStr"/>
      <c r="E80" s="22" t="inlineStr"/>
      <c r="F80" s="22" t="inlineStr"/>
      <c r="G80" s="22" t="inlineStr"/>
      <c r="H80" s="22" t="inlineStr"/>
    </row>
    <row r="81">
      <c r="A81" s="22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22" t="inlineStr"/>
      <c r="B82" s="22" t="inlineStr"/>
      <c r="C82" s="22" t="inlineStr"/>
      <c r="D82" s="22" t="inlineStr"/>
      <c r="E82" s="22" t="inlineStr"/>
      <c r="F82" s="22" t="inlineStr"/>
      <c r="G82" s="22" t="inlineStr"/>
      <c r="H82" s="22" t="inlineStr"/>
    </row>
    <row r="83">
      <c r="A83" s="22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22" t="inlineStr"/>
      <c r="B84" s="22" t="inlineStr"/>
      <c r="C84" s="22" t="inlineStr"/>
      <c r="D84" s="22" t="inlineStr"/>
      <c r="E84" s="22" t="inlineStr"/>
      <c r="F84" s="22" t="inlineStr"/>
      <c r="G84" s="22" t="inlineStr"/>
      <c r="H84" s="22" t="inlineStr"/>
    </row>
    <row r="85">
      <c r="A85" s="22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22" t="inlineStr"/>
      <c r="B86" s="22" t="inlineStr"/>
      <c r="C86" s="22" t="inlineStr"/>
      <c r="D86" s="22" t="inlineStr"/>
      <c r="E86" s="22" t="inlineStr"/>
      <c r="F86" s="22" t="inlineStr"/>
      <c r="G86" s="22" t="inlineStr"/>
      <c r="H86" s="22" t="inlineStr"/>
    </row>
    <row r="87">
      <c r="A87" s="22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22" t="inlineStr"/>
      <c r="B88" s="22" t="inlineStr"/>
      <c r="C88" s="22" t="inlineStr"/>
      <c r="D88" s="22" t="inlineStr"/>
      <c r="E88" s="22" t="inlineStr"/>
      <c r="F88" s="22" t="inlineStr"/>
      <c r="G88" s="22" t="inlineStr"/>
      <c r="H88" s="22" t="inlineStr"/>
    </row>
    <row r="89">
      <c r="A89" s="22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22" t="inlineStr"/>
      <c r="B90" s="22" t="inlineStr"/>
      <c r="C90" s="22" t="inlineStr"/>
      <c r="D90" s="22" t="inlineStr"/>
      <c r="E90" s="22" t="inlineStr"/>
      <c r="F90" s="22" t="inlineStr"/>
      <c r="G90" s="22" t="inlineStr"/>
      <c r="H90" s="22" t="inlineStr"/>
    </row>
    <row r="91">
      <c r="A91" s="22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22" t="inlineStr"/>
      <c r="B92" s="22" t="inlineStr"/>
      <c r="C92" s="22" t="inlineStr"/>
      <c r="D92" s="22" t="inlineStr"/>
      <c r="E92" s="22" t="inlineStr"/>
      <c r="F92" s="22" t="inlineStr"/>
      <c r="G92" s="22" t="inlineStr"/>
      <c r="H92" s="22" t="inlineStr"/>
    </row>
    <row r="93">
      <c r="A93" s="22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22" t="inlineStr"/>
      <c r="B94" s="22" t="inlineStr"/>
      <c r="C94" s="22" t="inlineStr"/>
      <c r="D94" s="22" t="inlineStr"/>
      <c r="E94" s="22" t="inlineStr"/>
      <c r="F94" s="22" t="inlineStr"/>
      <c r="G94" s="22" t="inlineStr"/>
      <c r="H94" s="22" t="inlineStr"/>
    </row>
    <row r="95">
      <c r="A95" s="22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22" t="inlineStr"/>
      <c r="B96" s="22" t="inlineStr"/>
      <c r="C96" s="22" t="inlineStr"/>
      <c r="D96" s="22" t="inlineStr"/>
      <c r="E96" s="22" t="inlineStr"/>
      <c r="F96" s="22" t="inlineStr"/>
      <c r="G96" s="22" t="inlineStr"/>
      <c r="H96" s="22" t="inlineStr"/>
    </row>
    <row r="97">
      <c r="A97" s="22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22" t="inlineStr"/>
      <c r="B98" s="22" t="inlineStr"/>
      <c r="C98" s="22" t="inlineStr"/>
      <c r="D98" s="22" t="inlineStr"/>
      <c r="E98" s="22" t="inlineStr"/>
      <c r="F98" s="22" t="inlineStr"/>
      <c r="G98" s="22" t="inlineStr"/>
      <c r="H98" s="22" t="inlineStr"/>
    </row>
    <row r="99">
      <c r="A99" s="22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22" t="inlineStr"/>
      <c r="B100" s="22" t="inlineStr"/>
      <c r="C100" s="22" t="inlineStr"/>
      <c r="D100" s="22" t="inlineStr"/>
      <c r="E100" s="22" t="inlineStr"/>
      <c r="F100" s="22" t="inlineStr"/>
      <c r="G100" s="22" t="inlineStr"/>
      <c r="H100" s="22" t="inlineStr"/>
    </row>
    <row r="101">
      <c r="A101" s="22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22" t="inlineStr"/>
      <c r="B102" s="22" t="inlineStr"/>
      <c r="C102" s="22" t="inlineStr"/>
      <c r="D102" s="22" t="inlineStr"/>
      <c r="E102" s="22" t="inlineStr"/>
      <c r="F102" s="22" t="inlineStr"/>
      <c r="G102" s="22" t="inlineStr"/>
      <c r="H102" s="22" t="inlineStr"/>
    </row>
    <row r="103">
      <c r="A103" s="22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22" t="inlineStr"/>
      <c r="B104" s="22" t="inlineStr"/>
      <c r="C104" s="22" t="inlineStr"/>
      <c r="D104" s="22" t="inlineStr"/>
      <c r="E104" s="22" t="inlineStr"/>
      <c r="F104" s="22" t="inlineStr"/>
      <c r="G104" s="22" t="inlineStr"/>
      <c r="H104" s="22" t="inlineStr"/>
    </row>
    <row r="105">
      <c r="A105" s="22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3" t="inlineStr">
        <is>
          <t>ENDPOINT AND PHYSICAL SECURITY — SUMMARY DASHBOARD</t>
        </is>
      </c>
      <c r="B1" s="6" t="n"/>
      <c r="C1" s="6" t="n"/>
      <c r="D1" s="6" t="n"/>
      <c r="E1" s="6" t="n"/>
      <c r="F1" s="6" t="n"/>
      <c r="G1" s="6" t="n"/>
    </row>
    <row r="2">
      <c r="A2" s="24" t="inlineStr">
        <is>
          <t>ISO/IEC 27001:2022 - Control A.6.7-8: Remote Working and Security Event Reporting</t>
        </is>
      </c>
    </row>
    <row r="4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Device Inventory</t>
        </is>
      </c>
      <c r="B6" s="28">
        <f>COUNTA('Device Inventory'!B5:B54)</f>
        <v/>
      </c>
      <c r="C6" s="28">
        <f>COUNTIF('Device Inventory'!K5:K54,"Active")</f>
        <v/>
      </c>
      <c r="D6" s="28">
        <f>COUNTIF('Device Inventory'!K5:K54,"Inactive")</f>
        <v/>
      </c>
      <c r="E6" s="28">
        <f>COUNTIF('Device Inventory'!K5:K54,"Lost")</f>
        <v/>
      </c>
      <c r="F6" s="28">
        <f>B6-(C6+D6+E6)</f>
        <v/>
      </c>
      <c r="G6" s="29">
        <f>IF((B6-F6)=0,0,C6/(B6-F6))</f>
        <v/>
      </c>
    </row>
    <row r="7">
      <c r="A7" s="27" t="inlineStr">
        <is>
          <t>Encryption Status</t>
        </is>
      </c>
      <c r="B7" s="28">
        <f>COUNTA('Encryption Status'!A5:A54)</f>
        <v/>
      </c>
      <c r="C7" s="28">
        <f>COUNTIF('Encryption Status'!G5:G54,"Yes")</f>
        <v/>
      </c>
      <c r="D7" s="28" t="inlineStr">
        <is>
          <t>0</t>
        </is>
      </c>
      <c r="E7" s="28">
        <f>COUNTIF('Encryption Status'!G5:G54,"No")</f>
        <v/>
      </c>
      <c r="F7" s="28">
        <f>B7-(C7+D7+E7)</f>
        <v/>
      </c>
      <c r="G7" s="29">
        <f>IF((B7-F7)=0,0,C7/(B7-F7))</f>
        <v/>
      </c>
    </row>
    <row r="8">
      <c r="A8" s="27" t="inlineStr">
        <is>
          <t>Endpoint Protection</t>
        </is>
      </c>
      <c r="B8" s="28">
        <f>COUNTA('Endpoint Protection'!A5:A54)</f>
        <v/>
      </c>
      <c r="C8" s="28" t="inlineStr">
        <is>
          <t>0</t>
        </is>
      </c>
      <c r="D8" s="28" t="inlineStr">
        <is>
          <t>0</t>
        </is>
      </c>
      <c r="E8" s="28" t="inlineStr">
        <is>
          <t>0</t>
        </is>
      </c>
      <c r="F8" s="28">
        <f>B8-(C8+D8+E8)</f>
        <v/>
      </c>
      <c r="G8" s="29">
        <f>IF((B8-F8)=0,0,C8/(B8-F8))</f>
        <v/>
      </c>
    </row>
    <row r="9">
      <c r="A9" s="27" t="inlineStr">
        <is>
          <t>Patch Compliance</t>
        </is>
      </c>
      <c r="B9" s="28">
        <f>COUNTA('Patch Compliance'!A5:A54)</f>
        <v/>
      </c>
      <c r="C9" s="28" t="inlineStr">
        <is>
          <t>0</t>
        </is>
      </c>
      <c r="D9" s="28" t="inlineStr">
        <is>
          <t>0</t>
        </is>
      </c>
      <c r="E9" s="28" t="inlineStr">
        <is>
          <t>0</t>
        </is>
      </c>
      <c r="F9" s="28">
        <f>B9-(C9+D9+E9)</f>
        <v/>
      </c>
      <c r="G9" s="29">
        <f>IF((B9-F9)=0,0,C9/(B9-F9))</f>
        <v/>
      </c>
    </row>
    <row r="10">
      <c r="A10" s="30" t="inlineStr">
        <is>
          <t>TOTAL</t>
        </is>
      </c>
      <c r="B10" s="31">
        <f>SUM(B6:B9)</f>
        <v/>
      </c>
      <c r="C10" s="31">
        <f>SUM(C6:C9)</f>
        <v/>
      </c>
      <c r="D10" s="31">
        <f>SUM(D6:D9)</f>
        <v/>
      </c>
      <c r="E10" s="31">
        <f>SUM(E6:E9)</f>
        <v/>
      </c>
      <c r="F10" s="31">
        <f>SUM(F6:F9)</f>
        <v/>
      </c>
      <c r="G10" s="32">
        <f>IF((B10-F10)=0,0,C10/(B10-F10))</f>
        <v/>
      </c>
    </row>
    <row r="12">
      <c r="A12" s="2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3" t="inlineStr">
        <is>
          <t>A.6.7 Endpoint and Physical Security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Total Remote Devices</t>
        </is>
      </c>
      <c r="B14" s="28">
        <f>COUNTA('Device Inventory'!B5:B54)</f>
        <v/>
      </c>
      <c r="C14" s="6" t="n"/>
      <c r="D14" s="6" t="n"/>
      <c r="E14" s="6" t="n"/>
      <c r="F14" s="6" t="n"/>
      <c r="G14" s="6" t="n"/>
    </row>
    <row r="15">
      <c r="A15" s="27" t="inlineStr">
        <is>
          <t>Active Remote Devices</t>
        </is>
      </c>
      <c r="B15" s="28">
        <f>COUNTIF('Device Inventory'!K5:K54,"Active")</f>
        <v/>
      </c>
      <c r="C15" s="6" t="n"/>
      <c r="D15" s="6" t="n"/>
      <c r="E15" s="6" t="n"/>
      <c r="F15" s="6" t="n"/>
      <c r="G15" s="6" t="n"/>
    </row>
    <row r="16">
      <c r="A16" s="27" t="inlineStr">
        <is>
          <t>Lost or Stolen Devices</t>
        </is>
      </c>
      <c r="B16" s="28">
        <f>COUNTIF('Device Inventory'!K5:K54,"Lost")</f>
        <v/>
      </c>
      <c r="C16" s="6" t="n"/>
      <c r="D16" s="6" t="n"/>
      <c r="E16" s="6" t="n"/>
      <c r="F16" s="6" t="n"/>
      <c r="G16" s="6" t="n"/>
    </row>
    <row r="17">
      <c r="A17" s="27" t="inlineStr">
        <is>
          <t>Corporate-Owned Devices</t>
        </is>
      </c>
      <c r="B17" s="28">
        <f>COUNTIF('Device Inventory'!C5:C54,"Corporate")</f>
        <v/>
      </c>
      <c r="C17" s="6" t="n"/>
      <c r="D17" s="6" t="n"/>
      <c r="E17" s="6" t="n"/>
      <c r="F17" s="6" t="n"/>
      <c r="G17" s="6" t="n"/>
    </row>
    <row r="18">
      <c r="A18" s="27" t="inlineStr">
        <is>
          <t>BYOD Devices</t>
        </is>
      </c>
      <c r="B18" s="28">
        <f>COUNTIF('Device Inventory'!C5:C54,"BYOD")</f>
        <v/>
      </c>
      <c r="C18" s="6" t="n"/>
      <c r="D18" s="6" t="n"/>
      <c r="E18" s="6" t="n"/>
      <c r="F18" s="6" t="n"/>
      <c r="G18" s="6" t="n"/>
    </row>
    <row r="19">
      <c r="A19" s="27" t="inlineStr">
        <is>
          <t>MDM Enrolled Devices</t>
        </is>
      </c>
      <c r="B19" s="28">
        <f>COUNTIF('Device Inventory'!I5:I54,"Yes")</f>
        <v/>
      </c>
      <c r="C19" s="6" t="n"/>
      <c r="D19" s="6" t="n"/>
      <c r="E19" s="6" t="n"/>
      <c r="F19" s="6" t="n"/>
      <c r="G19" s="6" t="n"/>
    </row>
    <row r="20">
      <c r="A20" s="27" t="inlineStr">
        <is>
          <t>Devices with Full-Disk Encryption</t>
        </is>
      </c>
      <c r="B20" s="28">
        <f>COUNTIF('Encryption Status'!G5:G54,"Yes")</f>
        <v/>
      </c>
      <c r="C20" s="6" t="n"/>
      <c r="D20" s="6" t="n"/>
      <c r="E20" s="6" t="n"/>
      <c r="F20" s="6" t="n"/>
      <c r="G20" s="6" t="n"/>
    </row>
    <row r="21">
      <c r="A21" s="27" t="inlineStr">
        <is>
          <t>Devices Without Encryption</t>
        </is>
      </c>
      <c r="B21" s="28">
        <f>COUNTIF('Encryption Status'!G5:G54,"No")</f>
        <v/>
      </c>
      <c r="C21" s="6" t="n"/>
      <c r="D21" s="6" t="n"/>
      <c r="E21" s="6" t="n"/>
      <c r="F21" s="6" t="n"/>
      <c r="G21" s="6" t="n"/>
    </row>
    <row r="22">
      <c r="A22" s="27" t="inlineStr">
        <is>
          <t>Encryption Keys Escrowed</t>
        </is>
      </c>
      <c r="B22" s="28">
        <f>COUNTIF('Encryption Status'!E5:E54,"Yes")</f>
        <v/>
      </c>
      <c r="C22" s="6" t="n"/>
      <c r="D22" s="6" t="n"/>
      <c r="E22" s="6" t="n"/>
      <c r="F22" s="6" t="n"/>
      <c r="G22" s="6" t="n"/>
    </row>
    <row r="23">
      <c r="A23" s="27" t="inlineStr">
        <is>
          <t>Total Endpoint Protection Records</t>
        </is>
      </c>
      <c r="B23" s="28">
        <f>COUNTA('Endpoint Protection'!A5:A54)</f>
        <v/>
      </c>
      <c r="C23" s="6" t="n"/>
      <c r="D23" s="6" t="n"/>
      <c r="E23" s="6" t="n"/>
      <c r="F23" s="6" t="n"/>
      <c r="G23" s="6" t="n"/>
    </row>
    <row r="24">
      <c r="A24" s="27" t="inlineStr">
        <is>
          <t>Total Patch Compliance Records</t>
        </is>
      </c>
      <c r="B24" s="28">
        <f>COUNTA('Patch Compliance'!A5:A54)</f>
        <v/>
      </c>
      <c r="C24" s="6" t="n"/>
      <c r="D24" s="6" t="n"/>
      <c r="E24" s="6" t="n"/>
      <c r="F24" s="6" t="n"/>
      <c r="G24" s="6" t="n"/>
    </row>
    <row r="25">
      <c r="A25" s="27" t="inlineStr">
        <is>
          <t>Open Endpoint Gaps</t>
        </is>
      </c>
      <c r="B25" s="28">
        <f>COUNTIF('Gap Analysis'!I4:I54,"Open")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4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31" t="inlineStr">
        <is>
          <t>Category</t>
        </is>
      </c>
      <c r="B30" s="31" t="inlineStr">
        <is>
          <t>Finding</t>
        </is>
      </c>
      <c r="C30" s="31" t="inlineStr">
        <is>
          <t>Count</t>
        </is>
      </c>
      <c r="D30" s="31" t="inlineStr">
        <is>
          <t>Severity</t>
        </is>
      </c>
      <c r="E30" s="31" t="inlineStr">
        <is>
          <t>Action Required</t>
        </is>
      </c>
      <c r="F30" s="31" t="n"/>
      <c r="G30" s="31" t="n"/>
    </row>
    <row r="31">
      <c r="A31" s="35" t="inlineStr">
        <is>
          <t>Device Inventory</t>
        </is>
      </c>
      <c r="B31" s="35" t="inlineStr">
        <is>
          <t>Lost or stolen remote devices</t>
        </is>
      </c>
      <c r="C31" s="36">
        <f>COUNTIF('Device Inventory'!K5:K54,"Lost")</f>
        <v/>
      </c>
      <c r="D31" s="35" t="inlineStr">
        <is>
          <t>Critical</t>
        </is>
      </c>
      <c r="E31" s="35" t="inlineStr">
        <is>
          <t>Immediate</t>
        </is>
      </c>
      <c r="F31" s="35" t="n"/>
      <c r="G31" s="35" t="n"/>
    </row>
    <row r="32">
      <c r="A32" s="35" t="inlineStr">
        <is>
          <t>Encryption Status</t>
        </is>
      </c>
      <c r="B32" s="35" t="inlineStr">
        <is>
          <t>Remote devices without encryption</t>
        </is>
      </c>
      <c r="C32" s="36">
        <f>COUNTIF('Encryption Status'!G5:G54,"No")</f>
        <v/>
      </c>
      <c r="D32" s="35" t="inlineStr">
        <is>
          <t>Critical</t>
        </is>
      </c>
      <c r="E32" s="35" t="inlineStr">
        <is>
          <t>Immediate</t>
        </is>
      </c>
      <c r="F32" s="35" t="n"/>
      <c r="G32" s="35" t="n"/>
    </row>
    <row r="33">
      <c r="A33" s="35" t="inlineStr">
        <is>
          <t>Encryption Status</t>
        </is>
      </c>
      <c r="B33" s="35" t="inlineStr">
        <is>
          <t>Encryption keys not escrowed</t>
        </is>
      </c>
      <c r="C33" s="36">
        <f>COUNTIF('Encryption Status'!E5:E54,"No")</f>
        <v/>
      </c>
      <c r="D33" s="35" t="inlineStr">
        <is>
          <t>High</t>
        </is>
      </c>
      <c r="E33" s="35" t="inlineStr">
        <is>
          <t>Urgent</t>
        </is>
      </c>
      <c r="F33" s="35" t="n"/>
      <c r="G33" s="35" t="n"/>
    </row>
    <row r="34">
      <c r="A34" s="35" t="inlineStr">
        <is>
          <t>Device Inventory</t>
        </is>
      </c>
      <c r="B34" s="35" t="inlineStr">
        <is>
          <t>Devices not enrolled in MDM</t>
        </is>
      </c>
      <c r="C34" s="36">
        <f>COUNTIF('Device Inventory'!I5:I54,"No")</f>
        <v/>
      </c>
      <c r="D34" s="35" t="inlineStr">
        <is>
          <t>High</t>
        </is>
      </c>
      <c r="E34" s="35" t="inlineStr">
        <is>
          <t>Urgent</t>
        </is>
      </c>
      <c r="F34" s="35" t="n"/>
      <c r="G34" s="35" t="n"/>
    </row>
    <row r="35">
      <c r="A35" s="35" t="inlineStr">
        <is>
          <t>Gap Analysis</t>
        </is>
      </c>
      <c r="B35" s="35" t="inlineStr">
        <is>
          <t>Open endpoint and physical gaps</t>
        </is>
      </c>
      <c r="C35" s="36">
        <f>COUNTIF('Gap Analysis'!I4:I54,"Open")</f>
        <v/>
      </c>
      <c r="D35" s="35" t="inlineStr">
        <is>
          <t>Medium</t>
        </is>
      </c>
      <c r="E35" s="35" t="inlineStr">
        <is>
          <t>Plan</t>
        </is>
      </c>
      <c r="F35" s="35" t="n"/>
      <c r="G35" s="35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38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9" t="inlineStr">
        <is>
          <t>ASSESSMENT SUMMARY</t>
        </is>
      </c>
      <c r="B3" s="6" t="n"/>
      <c r="C3" s="6" t="n"/>
      <c r="D3" s="6" t="n"/>
      <c r="E3" s="6" t="n"/>
    </row>
    <row r="4">
      <c r="A4" s="40" t="inlineStr">
        <is>
          <t>Document:</t>
        </is>
      </c>
      <c r="B4" s="6" t="inlineStr">
        <is>
          <t>ISMS-IMP-A.6.7-8.S3 - Endpoint and Physical Security Assessment</t>
        </is>
      </c>
      <c r="C4" s="6" t="n"/>
      <c r="D4" s="6" t="n"/>
      <c r="E4" s="6" t="n"/>
    </row>
    <row r="5">
      <c r="A5" s="40" t="inlineStr">
        <is>
          <t>Assessment Period:</t>
        </is>
      </c>
      <c r="B5" s="14" t="inlineStr"/>
      <c r="C5" s="14" t="n"/>
      <c r="D5" s="14" t="n"/>
      <c r="E5" s="14" t="n"/>
    </row>
    <row r="6">
      <c r="A6" s="40" t="inlineStr">
        <is>
          <t>Overall Compliance Rating:</t>
        </is>
      </c>
      <c r="B6" s="41">
        <f>IFERROR(AVERAGE('Summary Dashboard'!G6:G10),"")</f>
        <v/>
      </c>
      <c r="C6" s="14" t="n"/>
      <c r="D6" s="14" t="n"/>
      <c r="E6" s="14" t="n"/>
    </row>
    <row r="7">
      <c r="A7" s="40" t="inlineStr">
        <is>
          <t>Assessment Status:</t>
        </is>
      </c>
      <c r="B7" s="14" t="inlineStr"/>
      <c r="C7" s="14" t="n"/>
      <c r="D7" s="14" t="n"/>
      <c r="E7" s="14" t="n"/>
    </row>
    <row r="8">
      <c r="A8" s="40" t="inlineStr">
        <is>
          <t>Assessed By:</t>
        </is>
      </c>
      <c r="B8" s="14" t="inlineStr"/>
      <c r="C8" s="14" t="n"/>
      <c r="D8" s="14" t="n"/>
      <c r="E8" s="14" t="n"/>
    </row>
    <row r="11">
      <c r="A11" s="39" t="inlineStr">
        <is>
          <t>COMPLETED BY (ASSESSOR)</t>
        </is>
      </c>
      <c r="B11" s="6" t="n"/>
      <c r="C11" s="6" t="n"/>
      <c r="D11" s="6" t="n"/>
      <c r="E11" s="6" t="n"/>
    </row>
    <row r="12">
      <c r="A12" s="40" t="inlineStr">
        <is>
          <t>Name:</t>
        </is>
      </c>
      <c r="B12" s="14" t="n"/>
      <c r="C12" s="14" t="n"/>
      <c r="D12" s="14" t="n"/>
      <c r="E12" s="14" t="n"/>
    </row>
    <row r="13">
      <c r="A13" s="40" t="inlineStr">
        <is>
          <t>Title:</t>
        </is>
      </c>
      <c r="B13" s="14" t="n"/>
      <c r="C13" s="14" t="n"/>
      <c r="D13" s="14" t="n"/>
      <c r="E13" s="14" t="n"/>
    </row>
    <row r="14">
      <c r="A14" s="40" t="inlineStr">
        <is>
          <t>Date:</t>
        </is>
      </c>
      <c r="B14" s="14" t="n"/>
      <c r="C14" s="14" t="n"/>
      <c r="D14" s="14" t="n"/>
      <c r="E14" s="14" t="n"/>
    </row>
    <row r="15">
      <c r="A15" s="40" t="inlineStr">
        <is>
          <t>Signature:</t>
        </is>
      </c>
      <c r="B15" s="14" t="n"/>
      <c r="C15" s="14" t="n"/>
      <c r="D15" s="14" t="n"/>
      <c r="E15" s="14" t="n"/>
    </row>
    <row r="16">
      <c r="A16" s="40" t="inlineStr">
        <is>
          <t>Comments:</t>
        </is>
      </c>
      <c r="B16" s="14" t="n"/>
      <c r="C16" s="14" t="n"/>
      <c r="D16" s="14" t="n"/>
      <c r="E16" s="14" t="n"/>
    </row>
    <row r="18">
      <c r="A18" s="39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0" t="inlineStr">
        <is>
          <t>Name:</t>
        </is>
      </c>
      <c r="B19" s="14" t="n"/>
      <c r="C19" s="14" t="n"/>
      <c r="D19" s="14" t="n"/>
      <c r="E19" s="14" t="n"/>
    </row>
    <row r="20">
      <c r="A20" s="40" t="inlineStr">
        <is>
          <t>Title:</t>
        </is>
      </c>
      <c r="B20" s="14" t="n"/>
      <c r="C20" s="14" t="n"/>
      <c r="D20" s="14" t="n"/>
      <c r="E20" s="14" t="n"/>
    </row>
    <row r="21">
      <c r="A21" s="40" t="inlineStr">
        <is>
          <t>Date:</t>
        </is>
      </c>
      <c r="B21" s="14" t="n"/>
      <c r="C21" s="14" t="n"/>
      <c r="D21" s="14" t="n"/>
      <c r="E21" s="14" t="n"/>
    </row>
    <row r="22">
      <c r="A22" s="40" t="inlineStr">
        <is>
          <t>Signature:</t>
        </is>
      </c>
      <c r="B22" s="14" t="n"/>
      <c r="C22" s="14" t="n"/>
      <c r="D22" s="14" t="n"/>
      <c r="E22" s="14" t="n"/>
    </row>
    <row r="23">
      <c r="A23" s="40" t="inlineStr">
        <is>
          <t>Comments:</t>
        </is>
      </c>
      <c r="B23" s="14" t="n"/>
      <c r="C23" s="14" t="n"/>
      <c r="D23" s="14" t="n"/>
      <c r="E23" s="14" t="n"/>
    </row>
    <row r="25">
      <c r="A25" s="42" t="inlineStr">
        <is>
          <t>APPROVED BY (CISO)</t>
        </is>
      </c>
      <c r="B25" s="6" t="n"/>
      <c r="C25" s="6" t="n"/>
      <c r="D25" s="6" t="n"/>
      <c r="E25" s="6" t="n"/>
    </row>
    <row r="26">
      <c r="A26" s="40" t="inlineStr">
        <is>
          <t>Name:</t>
        </is>
      </c>
      <c r="B26" s="14" t="n"/>
      <c r="C26" s="14" t="n"/>
      <c r="D26" s="14" t="n"/>
      <c r="E26" s="14" t="n"/>
    </row>
    <row r="27">
      <c r="A27" s="40" t="inlineStr">
        <is>
          <t>Title:</t>
        </is>
      </c>
      <c r="B27" s="14" t="n"/>
      <c r="C27" s="14" t="n"/>
      <c r="D27" s="14" t="n"/>
      <c r="E27" s="14" t="n"/>
    </row>
    <row r="28">
      <c r="A28" s="40" t="inlineStr">
        <is>
          <t>Date:</t>
        </is>
      </c>
      <c r="B28" s="14" t="n"/>
      <c r="C28" s="14" t="n"/>
      <c r="D28" s="14" t="n"/>
      <c r="E28" s="14" t="n"/>
    </row>
    <row r="29">
      <c r="A29" s="40" t="inlineStr">
        <is>
          <t>Signature:</t>
        </is>
      </c>
      <c r="B29" s="14" t="n"/>
      <c r="C29" s="14" t="n"/>
      <c r="D29" s="14" t="n"/>
      <c r="E29" s="14" t="n"/>
    </row>
    <row r="30">
      <c r="A30" s="40" t="inlineStr">
        <is>
          <t>Comments:</t>
        </is>
      </c>
      <c r="B30" s="14" t="n"/>
      <c r="C30" s="14" t="n"/>
      <c r="D30" s="14" t="n"/>
      <c r="E30" s="14" t="n"/>
    </row>
    <row r="32">
      <c r="A32" s="40" t="inlineStr">
        <is>
          <t>FINAL DECISION:</t>
        </is>
      </c>
      <c r="B32" s="14" t="n"/>
      <c r="C32" s="14" t="n"/>
      <c r="D32" s="14" t="n"/>
      <c r="E32" s="14" t="n"/>
    </row>
    <row r="35">
      <c r="A35" s="39" t="inlineStr">
        <is>
          <t>NEXT REVIEW DETAILS</t>
        </is>
      </c>
      <c r="B35" s="6" t="n"/>
      <c r="C35" s="6" t="n"/>
      <c r="D35" s="6" t="n"/>
      <c r="E35" s="6" t="n"/>
    </row>
    <row r="36">
      <c r="A36" s="40" t="inlineStr">
        <is>
          <t>Next Review Date:</t>
        </is>
      </c>
      <c r="B36" s="14" t="n"/>
      <c r="C36" s="14" t="n"/>
      <c r="D36" s="14" t="n"/>
      <c r="E36" s="14" t="n"/>
    </row>
    <row r="37">
      <c r="A37" s="40" t="inlineStr">
        <is>
          <t>Review Responsible:</t>
        </is>
      </c>
      <c r="B37" s="14" t="n"/>
      <c r="C37" s="14" t="n"/>
      <c r="D37" s="14" t="n"/>
      <c r="E37" s="14" t="n"/>
    </row>
    <row r="38">
      <c r="A38" s="40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ISMS-IMP-A.6.7-8.S3 — Endpoint and Physical Security Assessment</dc:title>
  <dc:description xmlns:dc="http://purl.org/dc/elements/1.1/">ISMS Implementation Workbook — ISMS-IMP-A.6.7-8.S3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2026-03-07T11:27:52Z</dcterms:created>
  <dcterms:modified xmlns:dcterms="http://purl.org/dc/terms/" xmlns:xsi="http://www.w3.org/2001/XMLSchema-instance" xsi:type="dcterms:W3CDTF">2026-03-07T11:27:52Z</dcterms:modified>
</cp:coreProperties>
</file>