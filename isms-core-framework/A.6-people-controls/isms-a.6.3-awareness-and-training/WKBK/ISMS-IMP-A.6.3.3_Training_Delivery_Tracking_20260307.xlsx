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ersonnel Register" sheetId="2" state="visible" r:id="rId2"/>
    <sheet xmlns:r="http://schemas.openxmlformats.org/officeDocument/2006/relationships" name="Completion Tracking" sheetId="3" state="visible" r:id="rId3"/>
    <sheet xmlns:r="http://schemas.openxmlformats.org/officeDocument/2006/relationships" name="Assessment Results" sheetId="4" state="visible" r:id="rId4"/>
    <sheet xmlns:r="http://schemas.openxmlformats.org/officeDocument/2006/relationships" name="Simulation Results" sheetId="5" state="visible" r:id="rId5"/>
    <sheet xmlns:r="http://schemas.openxmlformats.org/officeDocument/2006/relationships" name="Remediation Tracking" sheetId="6" state="visible" r:id="rId6"/>
    <sheet xmlns:r="http://schemas.openxmlformats.org/officeDocument/2006/relationships" name="Compliance Summary" sheetId="7" state="visible" r:id="rId7"/>
    <sheet xmlns:r="http://schemas.openxmlformats.org/officeDocument/2006/relationships" name="Overdue Alert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color rgb="00808080"/>
    </font>
    <font>
      <color rgb="00808080"/>
    </font>
    <font>
      <b val="1"/>
      <color rgb="00C00000"/>
    </font>
    <font>
      <b val="1"/>
      <sz val="12"/>
    </font>
    <font>
      <name val="Calibri"/>
      <b val="1"/>
      <color rgb="00FFFFFF"/>
      <sz val="10"/>
    </font>
    <font>
      <b val="1"/>
      <color rgb="00FFFFFF"/>
      <sz val="14"/>
    </font>
    <font>
      <b val="1"/>
      <color rgb="00FFFFFF"/>
      <sz val="11"/>
    </font>
    <font>
      <b val="1"/>
      <color rgb="00000000"/>
    </font>
    <font>
      <color rgb="00000000"/>
    </font>
    <font>
      <name val="Calibri"/>
      <b val="1"/>
      <color rgb="00FFFFFF"/>
      <sz val="11"/>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6" fillId="10" borderId="0" pivotButton="0" quotePrefix="0" xfId="0"/>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7" fillId="0" borderId="0" pivotButton="0" quotePrefix="0" xfId="0"/>
    <xf numFmtId="0" fontId="8" fillId="11" borderId="1" applyAlignment="1" pivotButton="0" quotePrefix="0" xfId="0">
      <alignment horizontal="left" vertical="center" wrapText="1"/>
    </xf>
    <xf numFmtId="0" fontId="9" fillId="0" borderId="0" pivotButton="0" quotePrefix="0" xfId="0"/>
    <xf numFmtId="0" fontId="0" fillId="11"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10"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11" fillId="8" borderId="2" applyAlignment="1" pivotButton="0" quotePrefix="0" xfId="0">
      <alignment horizontal="center" vertical="center" wrapText="1"/>
    </xf>
    <xf numFmtId="0" fontId="0" fillId="0" borderId="2" pivotButton="0" quotePrefix="0" xfId="0"/>
    <xf numFmtId="0" fontId="5" fillId="0" borderId="0" applyAlignment="1" pivotButton="0" quotePrefix="0" xfId="0">
      <alignment horizontal="left" vertical="center"/>
    </xf>
    <xf numFmtId="0" fontId="12" fillId="8" borderId="2" applyAlignment="1" pivotButton="0" quotePrefix="0" xfId="0">
      <alignment horizontal="left" vertical="center"/>
    </xf>
    <xf numFmtId="0" fontId="13" fillId="9"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9" borderId="2" pivotButton="0" quotePrefix="0" xfId="0"/>
    <xf numFmtId="0" fontId="13" fillId="9" borderId="2" applyAlignment="1" pivotButton="0" quotePrefix="0" xfId="0">
      <alignment horizontal="center"/>
    </xf>
    <xf numFmtId="164" fontId="13" fillId="9" borderId="2" applyAlignment="1" pivotButton="0" quotePrefix="0" xfId="0">
      <alignment horizontal="center"/>
    </xf>
    <xf numFmtId="0" fontId="12" fillId="12" borderId="2" applyAlignment="1" pivotButton="0" quotePrefix="0" xfId="0">
      <alignment horizontal="left" vertical="center"/>
    </xf>
    <xf numFmtId="0" fontId="14" fillId="11" borderId="2" pivotButton="0" quotePrefix="0" xfId="0"/>
    <xf numFmtId="0" fontId="14" fillId="11" borderId="2" applyAlignment="1" pivotButton="0" quotePrefix="0" xfId="0">
      <alignment horizontal="center"/>
    </xf>
    <xf numFmtId="0" fontId="0" fillId="11" borderId="2" pivotButton="0" quotePrefix="0" xfId="0"/>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1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ISMS-IMP-A.6.3.3  -  Training Delivery Tracking
ISO/IEC 27001:2022 - Control A.6.3: Information Security Awareness, Education and Training</t>
        </is>
      </c>
    </row>
    <row r="3">
      <c r="A3" s="2" t="inlineStr">
        <is>
          <t>Document Information</t>
        </is>
      </c>
    </row>
    <row r="4">
      <c r="A4" s="3" t="inlineStr">
        <is>
          <t>Document ID</t>
        </is>
      </c>
      <c r="B4" t="inlineStr">
        <is>
          <t>ISMS-IMP-A.6.3.3</t>
        </is>
      </c>
    </row>
    <row r="5">
      <c r="A5" s="3" t="inlineStr">
        <is>
          <t>Workbook Title</t>
        </is>
      </c>
      <c r="B5" t="inlineStr">
        <is>
          <t>Training Delivery Tracking</t>
        </is>
      </c>
    </row>
    <row r="6">
      <c r="A6" s="3" t="inlineStr">
        <is>
          <t>Control Reference</t>
        </is>
      </c>
      <c r="B6" t="inlineStr">
        <is>
          <t>ISO/IEC 27001:2022 - Control A.6.3: Information Security Awareness, Education and Training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Personnel Register — list all personnel with their required training assignments.</t>
        </is>
      </c>
    </row>
    <row r="14">
      <c r="A14" t="inlineStr">
        <is>
          <t>2. Complete Completion Tracking — record training completion status per person and module.</t>
        </is>
      </c>
    </row>
    <row r="15">
      <c r="A15" t="inlineStr">
        <is>
          <t>3. Complete Assessment Results — document pass/fail scores for assessed modules.</t>
        </is>
      </c>
    </row>
    <row r="16">
      <c r="A16" t="inlineStr">
        <is>
          <t>4. Complete Simulation Results — record phishing simulation and tabletop exercise outcomes.</t>
        </is>
      </c>
    </row>
    <row r="17">
      <c r="A17" t="inlineStr">
        <is>
          <t>5. Complete Remediation Tracking — track follow-up training for failed assessments.</t>
        </is>
      </c>
    </row>
    <row r="18">
      <c r="A18" t="inlineStr">
        <is>
          <t>6. Review Compliance Summary — validate overall training compliance rate.</t>
        </is>
      </c>
    </row>
    <row r="19">
      <c r="A19" t="inlineStr">
        <is>
          <t>7. Review Overdue Alerts — identify personnel with overdue training requiring escalation.</t>
        </is>
      </c>
    </row>
    <row r="20">
      <c r="A20" t="inlineStr">
        <is>
          <t>8. Maintain the Evidence Register with completion certificates and training records.</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5" customWidth="1" min="5" max="5"/>
    <col width="18" customWidth="1" min="6" max="6"/>
    <col width="12" customWidth="1" min="7" max="7"/>
    <col width="12" customWidth="1" min="8" max="8"/>
    <col width="25" customWidth="1" min="9" max="9"/>
    <col width="30" customWidth="1" min="10" max="10"/>
  </cols>
  <sheetData>
    <row r="1" ht="35" customHeight="1">
      <c r="A1" s="11" t="inlineStr">
        <is>
          <t>PERSONNEL REGISTER
Master list of all personnel requiring training</t>
        </is>
      </c>
    </row>
    <row r="2">
      <c r="A2" s="12" t="inlineStr">
        <is>
          <t>Master list of all personnel requiring security awareness and role-specific training</t>
        </is>
      </c>
    </row>
    <row r="3">
      <c r="A3" s="13" t="inlineStr">
        <is>
          <t>Employee ID</t>
        </is>
      </c>
      <c r="B3" s="13" t="inlineStr">
        <is>
          <t>Full Name</t>
        </is>
      </c>
      <c r="C3" s="13" t="inlineStr">
        <is>
          <t>Department</t>
        </is>
      </c>
      <c r="D3" s="13" t="inlineStr">
        <is>
          <t>Role Title</t>
        </is>
      </c>
      <c r="E3" s="13" t="inlineStr">
        <is>
          <t>Training Tier</t>
        </is>
      </c>
      <c r="F3" s="13" t="inlineStr">
        <is>
          <t>Employment Type</t>
        </is>
      </c>
      <c r="G3" s="13" t="inlineStr">
        <is>
          <t>Start Date</t>
        </is>
      </c>
      <c r="H3" s="13" t="inlineStr">
        <is>
          <t>Status</t>
        </is>
      </c>
      <c r="I3" s="13" t="inlineStr">
        <is>
          <t>Manager</t>
        </is>
      </c>
      <c r="J3" s="13" t="inlineStr">
        <is>
          <t>Email</t>
        </is>
      </c>
    </row>
    <row r="4">
      <c r="A4" s="14" t="inlineStr">
        <is>
          <t>EMP-001</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3">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"Tier 1,Tier 2,Tier 3,Tier 4,Tier 5,Tier 6,Tier 7"</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"Full-Time,Part-Time,Contractor,Consultant,Intern"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"Active,On Leave,Terminated"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03"/>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5" customWidth="1" min="3" max="3"/>
    <col width="15" customWidth="1" min="4" max="4"/>
    <col width="35" customWidth="1" min="5" max="5"/>
    <col width="12" customWidth="1" min="6" max="6"/>
    <col width="12" customWidth="1" min="7" max="7"/>
    <col width="15" customWidth="1" min="8" max="8"/>
    <col width="15" customWidth="1" min="9" max="9"/>
    <col width="12" customWidth="1" min="10" max="10"/>
    <col width="15" customWidth="1" min="11" max="11"/>
    <col width="10" customWidth="1" min="12" max="12"/>
    <col width="10" customWidth="1" min="13" max="13"/>
    <col width="20" customWidth="1" min="14" max="14"/>
    <col width="40" customWidth="1" min="15" max="15"/>
  </cols>
  <sheetData>
    <row r="1" ht="35" customHeight="1">
      <c r="A1" s="11" t="inlineStr">
        <is>
          <t>COMPLETION TRACKING
Record of all training completions</t>
        </is>
      </c>
    </row>
    <row r="2">
      <c r="A2" s="12" t="inlineStr">
        <is>
          <t>Record of all training completions, status, assessment scores and certification</t>
        </is>
      </c>
    </row>
    <row r="3">
      <c r="A3" s="13" t="inlineStr">
        <is>
          <t>Record ID</t>
        </is>
      </c>
      <c r="B3" s="13" t="inlineStr">
        <is>
          <t>Employee ID</t>
        </is>
      </c>
      <c r="C3" s="13" t="inlineStr">
        <is>
          <t>Employee Name</t>
        </is>
      </c>
      <c r="D3" s="13" t="inlineStr">
        <is>
          <t>Module ID</t>
        </is>
      </c>
      <c r="E3" s="13" t="inlineStr">
        <is>
          <t>Module Title</t>
        </is>
      </c>
      <c r="F3" s="13" t="inlineStr">
        <is>
          <t>Assigned Date</t>
        </is>
      </c>
      <c r="G3" s="13" t="inlineStr">
        <is>
          <t>Due Date</t>
        </is>
      </c>
      <c r="H3" s="13" t="inlineStr">
        <is>
          <t>Completion Date</t>
        </is>
      </c>
      <c r="I3" s="13" t="inlineStr">
        <is>
          <t>Status</t>
        </is>
      </c>
      <c r="J3" s="13" t="inlineStr">
        <is>
          <t>Days Overdue</t>
        </is>
      </c>
      <c r="K3" s="13" t="inlineStr">
        <is>
          <t>Assessment Score</t>
        </is>
      </c>
      <c r="L3" s="13" t="inlineStr">
        <is>
          <t>Pass Fail</t>
        </is>
      </c>
      <c r="M3" s="13" t="inlineStr">
        <is>
          <t>Attempts</t>
        </is>
      </c>
      <c r="N3" s="13" t="inlineStr">
        <is>
          <t>Certificate ID</t>
        </is>
      </c>
      <c r="O3" s="13" t="inlineStr">
        <is>
          <t>Notes</t>
        </is>
      </c>
    </row>
    <row r="4">
      <c r="A4" s="17" t="inlineStr">
        <is>
          <t>TRK-0001</t>
        </is>
      </c>
      <c r="B4" s="16" t="n"/>
      <c r="C4" s="16" t="n"/>
      <c r="D4" s="16" t="n"/>
      <c r="E4" s="16" t="n"/>
      <c r="F4" s="16" t="n"/>
      <c r="G4" s="16" t="n"/>
      <c r="H4" s="16" t="n"/>
      <c r="I4" s="16">
        <f>IF(H4&lt;&gt;"","Completed",IF(TODAY()&gt;G4,"Overdue",IF(F4&lt;&gt;"","In Progress","Not Started")))</f>
        <v/>
      </c>
      <c r="J4" s="18">
        <f>IF(I4="Overdue",TODAY()-G4,0)</f>
        <v/>
      </c>
      <c r="K4" s="16" t="n"/>
      <c r="L4" s="16" t="n"/>
      <c r="M4" s="16" t="n"/>
      <c r="N4" s="16" t="n"/>
      <c r="O4" s="16" t="n"/>
    </row>
    <row r="5">
      <c r="A5" s="17" t="inlineStr">
        <is>
          <t>TRK-0002</t>
        </is>
      </c>
      <c r="B5" s="16" t="n"/>
      <c r="C5" s="16" t="n"/>
      <c r="D5" s="16" t="n"/>
      <c r="E5" s="16" t="n"/>
      <c r="F5" s="16" t="n"/>
      <c r="G5" s="16" t="n"/>
      <c r="H5" s="16" t="n"/>
      <c r="I5" s="16">
        <f>IF(H5&lt;&gt;"","Completed",IF(TODAY()&gt;G5,"Overdue",IF(F5&lt;&gt;"","In Progress","Not Started")))</f>
        <v/>
      </c>
      <c r="J5" s="18">
        <f>IF(I5="Overdue",TODAY()-G5,0)</f>
        <v/>
      </c>
      <c r="K5" s="16" t="n"/>
      <c r="L5" s="16" t="n"/>
      <c r="M5" s="16" t="n"/>
      <c r="N5" s="16" t="n"/>
      <c r="O5" s="16" t="n"/>
    </row>
    <row r="6">
      <c r="A6" s="17" t="inlineStr">
        <is>
          <t>TRK-0003</t>
        </is>
      </c>
      <c r="B6" s="16" t="n"/>
      <c r="C6" s="16" t="n"/>
      <c r="D6" s="16" t="n"/>
      <c r="E6" s="16" t="n"/>
      <c r="F6" s="16" t="n"/>
      <c r="G6" s="16" t="n"/>
      <c r="H6" s="16" t="n"/>
      <c r="I6" s="16">
        <f>IF(H6&lt;&gt;"","Completed",IF(TODAY()&gt;G6,"Overdue",IF(F6&lt;&gt;"","In Progress","Not Started")))</f>
        <v/>
      </c>
      <c r="J6" s="18">
        <f>IF(I6="Overdue",TODAY()-G6,0)</f>
        <v/>
      </c>
      <c r="K6" s="16" t="n"/>
      <c r="L6" s="16" t="n"/>
      <c r="M6" s="16" t="n"/>
      <c r="N6" s="16" t="n"/>
      <c r="O6" s="16" t="n"/>
    </row>
    <row r="7">
      <c r="A7" s="17" t="inlineStr">
        <is>
          <t>TRK-0004</t>
        </is>
      </c>
      <c r="B7" s="16" t="n"/>
      <c r="C7" s="16" t="n"/>
      <c r="D7" s="16" t="n"/>
      <c r="E7" s="16" t="n"/>
      <c r="F7" s="16" t="n"/>
      <c r="G7" s="16" t="n"/>
      <c r="H7" s="16" t="n"/>
      <c r="I7" s="16">
        <f>IF(H7&lt;&gt;"","Completed",IF(TODAY()&gt;G7,"Overdue",IF(F7&lt;&gt;"","In Progress","Not Started")))</f>
        <v/>
      </c>
      <c r="J7" s="18">
        <f>IF(I7="Overdue",TODAY()-G7,0)</f>
        <v/>
      </c>
      <c r="K7" s="16" t="n"/>
      <c r="L7" s="16" t="n"/>
      <c r="M7" s="16" t="n"/>
      <c r="N7" s="16" t="n"/>
      <c r="O7" s="16" t="n"/>
    </row>
    <row r="8">
      <c r="A8" s="17" t="inlineStr">
        <is>
          <t>TRK-0005</t>
        </is>
      </c>
      <c r="B8" s="16" t="n"/>
      <c r="C8" s="16" t="n"/>
      <c r="D8" s="16" t="n"/>
      <c r="E8" s="16" t="n"/>
      <c r="F8" s="16" t="n"/>
      <c r="G8" s="16" t="n"/>
      <c r="H8" s="16" t="n"/>
      <c r="I8" s="16">
        <f>IF(H8&lt;&gt;"","Completed",IF(TODAY()&gt;G8,"Overdue",IF(F8&lt;&gt;"","In Progress","Not Started")))</f>
        <v/>
      </c>
      <c r="J8" s="18">
        <f>IF(I8="Overdue",TODAY()-G8,0)</f>
        <v/>
      </c>
      <c r="K8" s="16" t="n"/>
      <c r="L8" s="16" t="n"/>
      <c r="M8" s="16" t="n"/>
      <c r="N8" s="16" t="n"/>
      <c r="O8" s="16" t="n"/>
    </row>
    <row r="9">
      <c r="A9" s="17" t="inlineStr">
        <is>
          <t>TRK-0006</t>
        </is>
      </c>
      <c r="B9" s="16" t="n"/>
      <c r="C9" s="16" t="n"/>
      <c r="D9" s="16" t="n"/>
      <c r="E9" s="16" t="n"/>
      <c r="F9" s="16" t="n"/>
      <c r="G9" s="16" t="n"/>
      <c r="H9" s="16" t="n"/>
      <c r="I9" s="16">
        <f>IF(H9&lt;&gt;"","Completed",IF(TODAY()&gt;G9,"Overdue",IF(F9&lt;&gt;"","In Progress","Not Started")))</f>
        <v/>
      </c>
      <c r="J9" s="18">
        <f>IF(I9="Overdue",TODAY()-G9,0)</f>
        <v/>
      </c>
      <c r="K9" s="16" t="n"/>
      <c r="L9" s="16" t="n"/>
      <c r="M9" s="16" t="n"/>
      <c r="N9" s="16" t="n"/>
      <c r="O9" s="16" t="n"/>
    </row>
    <row r="10">
      <c r="A10" s="17" t="inlineStr">
        <is>
          <t>TRK-0007</t>
        </is>
      </c>
      <c r="B10" s="16" t="n"/>
      <c r="C10" s="16" t="n"/>
      <c r="D10" s="16" t="n"/>
      <c r="E10" s="16" t="n"/>
      <c r="F10" s="16" t="n"/>
      <c r="G10" s="16" t="n"/>
      <c r="H10" s="16" t="n"/>
      <c r="I10" s="16">
        <f>IF(H10&lt;&gt;"","Completed",IF(TODAY()&gt;G10,"Overdue",IF(F10&lt;&gt;"","In Progress","Not Started")))</f>
        <v/>
      </c>
      <c r="J10" s="18">
        <f>IF(I10="Overdue",TODAY()-G10,0)</f>
        <v/>
      </c>
      <c r="K10" s="16" t="n"/>
      <c r="L10" s="16" t="n"/>
      <c r="M10" s="16" t="n"/>
      <c r="N10" s="16" t="n"/>
      <c r="O10" s="16" t="n"/>
    </row>
    <row r="11">
      <c r="A11" s="17" t="inlineStr">
        <is>
          <t>TRK-0008</t>
        </is>
      </c>
      <c r="B11" s="16" t="n"/>
      <c r="C11" s="16" t="n"/>
      <c r="D11" s="16" t="n"/>
      <c r="E11" s="16" t="n"/>
      <c r="F11" s="16" t="n"/>
      <c r="G11" s="16" t="n"/>
      <c r="H11" s="16" t="n"/>
      <c r="I11" s="16">
        <f>IF(H11&lt;&gt;"","Completed",IF(TODAY()&gt;G11,"Overdue",IF(F11&lt;&gt;"","In Progress","Not Started")))</f>
        <v/>
      </c>
      <c r="J11" s="18">
        <f>IF(I11="Overdue",TODAY()-G11,0)</f>
        <v/>
      </c>
      <c r="K11" s="16" t="n"/>
      <c r="L11" s="16" t="n"/>
      <c r="M11" s="16" t="n"/>
      <c r="N11" s="16" t="n"/>
      <c r="O11" s="16" t="n"/>
    </row>
    <row r="12">
      <c r="A12" s="17" t="inlineStr">
        <is>
          <t>TRK-0009</t>
        </is>
      </c>
      <c r="B12" s="16" t="n"/>
      <c r="C12" s="16" t="n"/>
      <c r="D12" s="16" t="n"/>
      <c r="E12" s="16" t="n"/>
      <c r="F12" s="16" t="n"/>
      <c r="G12" s="16" t="n"/>
      <c r="H12" s="16" t="n"/>
      <c r="I12" s="16">
        <f>IF(H12&lt;&gt;"","Completed",IF(TODAY()&gt;G12,"Overdue",IF(F12&lt;&gt;"","In Progress","Not Started")))</f>
        <v/>
      </c>
      <c r="J12" s="18">
        <f>IF(I12="Overdue",TODAY()-G12,0)</f>
        <v/>
      </c>
      <c r="K12" s="16" t="n"/>
      <c r="L12" s="16" t="n"/>
      <c r="M12" s="16" t="n"/>
      <c r="N12" s="16" t="n"/>
      <c r="O12" s="16" t="n"/>
    </row>
    <row r="13">
      <c r="A13" s="17" t="inlineStr">
        <is>
          <t>TRK-0010</t>
        </is>
      </c>
      <c r="B13" s="16" t="n"/>
      <c r="C13" s="16" t="n"/>
      <c r="D13" s="16" t="n"/>
      <c r="E13" s="16" t="n"/>
      <c r="F13" s="16" t="n"/>
      <c r="G13" s="16" t="n"/>
      <c r="H13" s="16" t="n"/>
      <c r="I13" s="16">
        <f>IF(H13&lt;&gt;"","Completed",IF(TODAY()&gt;G13,"Overdue",IF(F13&lt;&gt;"","In Progress","Not Started")))</f>
        <v/>
      </c>
      <c r="J13" s="18">
        <f>IF(I13="Overdue",TODAY()-G13,0)</f>
        <v/>
      </c>
      <c r="K13" s="16" t="n"/>
      <c r="L13" s="16" t="n"/>
      <c r="M13" s="16" t="n"/>
      <c r="N13" s="16" t="n"/>
      <c r="O13" s="16" t="n"/>
    </row>
    <row r="14">
      <c r="A14" s="17" t="inlineStr">
        <is>
          <t>TRK-0011</t>
        </is>
      </c>
      <c r="B14" s="16" t="n"/>
      <c r="C14" s="16" t="n"/>
      <c r="D14" s="16" t="n"/>
      <c r="E14" s="16" t="n"/>
      <c r="F14" s="16" t="n"/>
      <c r="G14" s="16" t="n"/>
      <c r="H14" s="16" t="n"/>
      <c r="I14" s="16">
        <f>IF(H14&lt;&gt;"","Completed",IF(TODAY()&gt;G14,"Overdue",IF(F14&lt;&gt;"","In Progress","Not Started")))</f>
        <v/>
      </c>
      <c r="J14" s="18">
        <f>IF(I14="Overdue",TODAY()-G14,0)</f>
        <v/>
      </c>
      <c r="K14" s="16" t="n"/>
      <c r="L14" s="16" t="n"/>
      <c r="M14" s="16" t="n"/>
      <c r="N14" s="16" t="n"/>
      <c r="O14" s="16" t="n"/>
    </row>
    <row r="15">
      <c r="A15" s="17" t="inlineStr">
        <is>
          <t>TRK-0012</t>
        </is>
      </c>
      <c r="B15" s="16" t="n"/>
      <c r="C15" s="16" t="n"/>
      <c r="D15" s="16" t="n"/>
      <c r="E15" s="16" t="n"/>
      <c r="F15" s="16" t="n"/>
      <c r="G15" s="16" t="n"/>
      <c r="H15" s="16" t="n"/>
      <c r="I15" s="16">
        <f>IF(H15&lt;&gt;"","Completed",IF(TODAY()&gt;G15,"Overdue",IF(F15&lt;&gt;"","In Progress","Not Started")))</f>
        <v/>
      </c>
      <c r="J15" s="18">
        <f>IF(I15="Overdue",TODAY()-G15,0)</f>
        <v/>
      </c>
      <c r="K15" s="16" t="n"/>
      <c r="L15" s="16" t="n"/>
      <c r="M15" s="16" t="n"/>
      <c r="N15" s="16" t="n"/>
      <c r="O15" s="16" t="n"/>
    </row>
    <row r="16">
      <c r="A16" s="17" t="inlineStr">
        <is>
          <t>TRK-0013</t>
        </is>
      </c>
      <c r="B16" s="16" t="n"/>
      <c r="C16" s="16" t="n"/>
      <c r="D16" s="16" t="n"/>
      <c r="E16" s="16" t="n"/>
      <c r="F16" s="16" t="n"/>
      <c r="G16" s="16" t="n"/>
      <c r="H16" s="16" t="n"/>
      <c r="I16" s="16">
        <f>IF(H16&lt;&gt;"","Completed",IF(TODAY()&gt;G16,"Overdue",IF(F16&lt;&gt;"","In Progress","Not Started")))</f>
        <v/>
      </c>
      <c r="J16" s="18">
        <f>IF(I16="Overdue",TODAY()-G16,0)</f>
        <v/>
      </c>
      <c r="K16" s="16" t="n"/>
      <c r="L16" s="16" t="n"/>
      <c r="M16" s="16" t="n"/>
      <c r="N16" s="16" t="n"/>
      <c r="O16" s="16" t="n"/>
    </row>
    <row r="17">
      <c r="A17" s="17" t="inlineStr">
        <is>
          <t>TRK-0014</t>
        </is>
      </c>
      <c r="B17" s="16" t="n"/>
      <c r="C17" s="16" t="n"/>
      <c r="D17" s="16" t="n"/>
      <c r="E17" s="16" t="n"/>
      <c r="F17" s="16" t="n"/>
      <c r="G17" s="16" t="n"/>
      <c r="H17" s="16" t="n"/>
      <c r="I17" s="16">
        <f>IF(H17&lt;&gt;"","Completed",IF(TODAY()&gt;G17,"Overdue",IF(F17&lt;&gt;"","In Progress","Not Started")))</f>
        <v/>
      </c>
      <c r="J17" s="18">
        <f>IF(I17="Overdue",TODAY()-G17,0)</f>
        <v/>
      </c>
      <c r="K17" s="16" t="n"/>
      <c r="L17" s="16" t="n"/>
      <c r="M17" s="16" t="n"/>
      <c r="N17" s="16" t="n"/>
      <c r="O17" s="16" t="n"/>
    </row>
    <row r="18">
      <c r="A18" s="17" t="inlineStr">
        <is>
          <t>TRK-0015</t>
        </is>
      </c>
      <c r="B18" s="16" t="n"/>
      <c r="C18" s="16" t="n"/>
      <c r="D18" s="16" t="n"/>
      <c r="E18" s="16" t="n"/>
      <c r="F18" s="16" t="n"/>
      <c r="G18" s="16" t="n"/>
      <c r="H18" s="16" t="n"/>
      <c r="I18" s="16">
        <f>IF(H18&lt;&gt;"","Completed",IF(TODAY()&gt;G18,"Overdue",IF(F18&lt;&gt;"","In Progress","Not Started")))</f>
        <v/>
      </c>
      <c r="J18" s="18">
        <f>IF(I18="Overdue",TODAY()-G18,0)</f>
        <v/>
      </c>
      <c r="K18" s="16" t="n"/>
      <c r="L18" s="16" t="n"/>
      <c r="M18" s="16" t="n"/>
      <c r="N18" s="16" t="n"/>
      <c r="O18" s="16" t="n"/>
    </row>
    <row r="19">
      <c r="A19" s="17" t="inlineStr">
        <is>
          <t>TRK-0016</t>
        </is>
      </c>
      <c r="B19" s="16" t="n"/>
      <c r="C19" s="16" t="n"/>
      <c r="D19" s="16" t="n"/>
      <c r="E19" s="16" t="n"/>
      <c r="F19" s="16" t="n"/>
      <c r="G19" s="16" t="n"/>
      <c r="H19" s="16" t="n"/>
      <c r="I19" s="16">
        <f>IF(H19&lt;&gt;"","Completed",IF(TODAY()&gt;G19,"Overdue",IF(F19&lt;&gt;"","In Progress","Not Started")))</f>
        <v/>
      </c>
      <c r="J19" s="18">
        <f>IF(I19="Overdue",TODAY()-G19,0)</f>
        <v/>
      </c>
      <c r="K19" s="16" t="n"/>
      <c r="L19" s="16" t="n"/>
      <c r="M19" s="16" t="n"/>
      <c r="N19" s="16" t="n"/>
      <c r="O19" s="16" t="n"/>
    </row>
    <row r="20">
      <c r="A20" s="17" t="inlineStr">
        <is>
          <t>TRK-0017</t>
        </is>
      </c>
      <c r="B20" s="16" t="n"/>
      <c r="C20" s="16" t="n"/>
      <c r="D20" s="16" t="n"/>
      <c r="E20" s="16" t="n"/>
      <c r="F20" s="16" t="n"/>
      <c r="G20" s="16" t="n"/>
      <c r="H20" s="16" t="n"/>
      <c r="I20" s="16">
        <f>IF(H20&lt;&gt;"","Completed",IF(TODAY()&gt;G20,"Overdue",IF(F20&lt;&gt;"","In Progress","Not Started")))</f>
        <v/>
      </c>
      <c r="J20" s="18">
        <f>IF(I20="Overdue",TODAY()-G20,0)</f>
        <v/>
      </c>
      <c r="K20" s="16" t="n"/>
      <c r="L20" s="16" t="n"/>
      <c r="M20" s="16" t="n"/>
      <c r="N20" s="16" t="n"/>
      <c r="O20" s="16" t="n"/>
    </row>
    <row r="21">
      <c r="A21" s="17" t="inlineStr">
        <is>
          <t>TRK-0018</t>
        </is>
      </c>
      <c r="B21" s="16" t="n"/>
      <c r="C21" s="16" t="n"/>
      <c r="D21" s="16" t="n"/>
      <c r="E21" s="16" t="n"/>
      <c r="F21" s="16" t="n"/>
      <c r="G21" s="16" t="n"/>
      <c r="H21" s="16" t="n"/>
      <c r="I21" s="16">
        <f>IF(H21&lt;&gt;"","Completed",IF(TODAY()&gt;G21,"Overdue",IF(F21&lt;&gt;"","In Progress","Not Started")))</f>
        <v/>
      </c>
      <c r="J21" s="18">
        <f>IF(I21="Overdue",TODAY()-G21,0)</f>
        <v/>
      </c>
      <c r="K21" s="16" t="n"/>
      <c r="L21" s="16" t="n"/>
      <c r="M21" s="16" t="n"/>
      <c r="N21" s="16" t="n"/>
      <c r="O21" s="16" t="n"/>
    </row>
    <row r="22">
      <c r="A22" s="17" t="inlineStr">
        <is>
          <t>TRK-0019</t>
        </is>
      </c>
      <c r="B22" s="16" t="n"/>
      <c r="C22" s="16" t="n"/>
      <c r="D22" s="16" t="n"/>
      <c r="E22" s="16" t="n"/>
      <c r="F22" s="16" t="n"/>
      <c r="G22" s="16" t="n"/>
      <c r="H22" s="16" t="n"/>
      <c r="I22" s="16">
        <f>IF(H22&lt;&gt;"","Completed",IF(TODAY()&gt;G22,"Overdue",IF(F22&lt;&gt;"","In Progress","Not Started")))</f>
        <v/>
      </c>
      <c r="J22" s="18">
        <f>IF(I22="Overdue",TODAY()-G22,0)</f>
        <v/>
      </c>
      <c r="K22" s="16" t="n"/>
      <c r="L22" s="16" t="n"/>
      <c r="M22" s="16" t="n"/>
      <c r="N22" s="16" t="n"/>
      <c r="O22" s="16" t="n"/>
    </row>
    <row r="23">
      <c r="A23" s="17" t="inlineStr">
        <is>
          <t>TRK-0020</t>
        </is>
      </c>
      <c r="B23" s="16" t="n"/>
      <c r="C23" s="16" t="n"/>
      <c r="D23" s="16" t="n"/>
      <c r="E23" s="16" t="n"/>
      <c r="F23" s="16" t="n"/>
      <c r="G23" s="16" t="n"/>
      <c r="H23" s="16" t="n"/>
      <c r="I23" s="16">
        <f>IF(H23&lt;&gt;"","Completed",IF(TODAY()&gt;G23,"Overdue",IF(F23&lt;&gt;"","In Progress","Not Started")))</f>
        <v/>
      </c>
      <c r="J23" s="18">
        <f>IF(I23="Overdue",TODAY()-G23,0)</f>
        <v/>
      </c>
      <c r="K23" s="16" t="n"/>
      <c r="L23" s="16" t="n"/>
      <c r="M23" s="16" t="n"/>
      <c r="N23" s="16" t="n"/>
      <c r="O23" s="16" t="n"/>
    </row>
    <row r="24">
      <c r="A24" s="17" t="inlineStr">
        <is>
          <t>TRK-0021</t>
        </is>
      </c>
      <c r="B24" s="16" t="n"/>
      <c r="C24" s="16" t="n"/>
      <c r="D24" s="16" t="n"/>
      <c r="E24" s="16" t="n"/>
      <c r="F24" s="16" t="n"/>
      <c r="G24" s="16" t="n"/>
      <c r="H24" s="16" t="n"/>
      <c r="I24" s="16">
        <f>IF(H24&lt;&gt;"","Completed",IF(TODAY()&gt;G24,"Overdue",IF(F24&lt;&gt;"","In Progress","Not Started")))</f>
        <v/>
      </c>
      <c r="J24" s="18">
        <f>IF(I24="Overdue",TODAY()-G24,0)</f>
        <v/>
      </c>
      <c r="K24" s="16" t="n"/>
      <c r="L24" s="16" t="n"/>
      <c r="M24" s="16" t="n"/>
      <c r="N24" s="16" t="n"/>
      <c r="O24" s="16" t="n"/>
    </row>
    <row r="25">
      <c r="A25" s="17" t="inlineStr">
        <is>
          <t>TRK-0022</t>
        </is>
      </c>
      <c r="B25" s="16" t="n"/>
      <c r="C25" s="16" t="n"/>
      <c r="D25" s="16" t="n"/>
      <c r="E25" s="16" t="n"/>
      <c r="F25" s="16" t="n"/>
      <c r="G25" s="16" t="n"/>
      <c r="H25" s="16" t="n"/>
      <c r="I25" s="16">
        <f>IF(H25&lt;&gt;"","Completed",IF(TODAY()&gt;G25,"Overdue",IF(F25&lt;&gt;"","In Progress","Not Started")))</f>
        <v/>
      </c>
      <c r="J25" s="18">
        <f>IF(I25="Overdue",TODAY()-G25,0)</f>
        <v/>
      </c>
      <c r="K25" s="16" t="n"/>
      <c r="L25" s="16" t="n"/>
      <c r="M25" s="16" t="n"/>
      <c r="N25" s="16" t="n"/>
      <c r="O25" s="16" t="n"/>
    </row>
    <row r="26">
      <c r="A26" s="17" t="inlineStr">
        <is>
          <t>TRK-0023</t>
        </is>
      </c>
      <c r="B26" s="16" t="n"/>
      <c r="C26" s="16" t="n"/>
      <c r="D26" s="16" t="n"/>
      <c r="E26" s="16" t="n"/>
      <c r="F26" s="16" t="n"/>
      <c r="G26" s="16" t="n"/>
      <c r="H26" s="16" t="n"/>
      <c r="I26" s="16">
        <f>IF(H26&lt;&gt;"","Completed",IF(TODAY()&gt;G26,"Overdue",IF(F26&lt;&gt;"","In Progress","Not Started")))</f>
        <v/>
      </c>
      <c r="J26" s="18">
        <f>IF(I26="Overdue",TODAY()-G26,0)</f>
        <v/>
      </c>
      <c r="K26" s="16" t="n"/>
      <c r="L26" s="16" t="n"/>
      <c r="M26" s="16" t="n"/>
      <c r="N26" s="16" t="n"/>
      <c r="O26" s="16" t="n"/>
    </row>
    <row r="27">
      <c r="A27" s="17" t="inlineStr">
        <is>
          <t>TRK-0024</t>
        </is>
      </c>
      <c r="B27" s="16" t="n"/>
      <c r="C27" s="16" t="n"/>
      <c r="D27" s="16" t="n"/>
      <c r="E27" s="16" t="n"/>
      <c r="F27" s="16" t="n"/>
      <c r="G27" s="16" t="n"/>
      <c r="H27" s="16" t="n"/>
      <c r="I27" s="16">
        <f>IF(H27&lt;&gt;"","Completed",IF(TODAY()&gt;G27,"Overdue",IF(F27&lt;&gt;"","In Progress","Not Started")))</f>
        <v/>
      </c>
      <c r="J27" s="18">
        <f>IF(I27="Overdue",TODAY()-G27,0)</f>
        <v/>
      </c>
      <c r="K27" s="16" t="n"/>
      <c r="L27" s="16" t="n"/>
      <c r="M27" s="16" t="n"/>
      <c r="N27" s="16" t="n"/>
      <c r="O27" s="16" t="n"/>
    </row>
    <row r="28">
      <c r="A28" s="17" t="inlineStr">
        <is>
          <t>TRK-0025</t>
        </is>
      </c>
      <c r="B28" s="16" t="n"/>
      <c r="C28" s="16" t="n"/>
      <c r="D28" s="16" t="n"/>
      <c r="E28" s="16" t="n"/>
      <c r="F28" s="16" t="n"/>
      <c r="G28" s="16" t="n"/>
      <c r="H28" s="16" t="n"/>
      <c r="I28" s="16">
        <f>IF(H28&lt;&gt;"","Completed",IF(TODAY()&gt;G28,"Overdue",IF(F28&lt;&gt;"","In Progress","Not Started")))</f>
        <v/>
      </c>
      <c r="J28" s="18">
        <f>IF(I28="Overdue",TODAY()-G28,0)</f>
        <v/>
      </c>
      <c r="K28" s="16" t="n"/>
      <c r="L28" s="16" t="n"/>
      <c r="M28" s="16" t="n"/>
      <c r="N28" s="16" t="n"/>
      <c r="O28" s="16" t="n"/>
    </row>
    <row r="29">
      <c r="A29" s="17" t="inlineStr">
        <is>
          <t>TRK-0026</t>
        </is>
      </c>
      <c r="B29" s="16" t="n"/>
      <c r="C29" s="16" t="n"/>
      <c r="D29" s="16" t="n"/>
      <c r="E29" s="16" t="n"/>
      <c r="F29" s="16" t="n"/>
      <c r="G29" s="16" t="n"/>
      <c r="H29" s="16" t="n"/>
      <c r="I29" s="16">
        <f>IF(H29&lt;&gt;"","Completed",IF(TODAY()&gt;G29,"Overdue",IF(F29&lt;&gt;"","In Progress","Not Started")))</f>
        <v/>
      </c>
      <c r="J29" s="18">
        <f>IF(I29="Overdue",TODAY()-G29,0)</f>
        <v/>
      </c>
      <c r="K29" s="16" t="n"/>
      <c r="L29" s="16" t="n"/>
      <c r="M29" s="16" t="n"/>
      <c r="N29" s="16" t="n"/>
      <c r="O29" s="16" t="n"/>
    </row>
    <row r="30">
      <c r="A30" s="17" t="inlineStr">
        <is>
          <t>TRK-0027</t>
        </is>
      </c>
      <c r="B30" s="16" t="n"/>
      <c r="C30" s="16" t="n"/>
      <c r="D30" s="16" t="n"/>
      <c r="E30" s="16" t="n"/>
      <c r="F30" s="16" t="n"/>
      <c r="G30" s="16" t="n"/>
      <c r="H30" s="16" t="n"/>
      <c r="I30" s="16">
        <f>IF(H30&lt;&gt;"","Completed",IF(TODAY()&gt;G30,"Overdue",IF(F30&lt;&gt;"","In Progress","Not Started")))</f>
        <v/>
      </c>
      <c r="J30" s="18">
        <f>IF(I30="Overdue",TODAY()-G30,0)</f>
        <v/>
      </c>
      <c r="K30" s="16" t="n"/>
      <c r="L30" s="16" t="n"/>
      <c r="M30" s="16" t="n"/>
      <c r="N30" s="16" t="n"/>
      <c r="O30" s="16" t="n"/>
    </row>
    <row r="31">
      <c r="A31" s="17" t="inlineStr">
        <is>
          <t>TRK-0028</t>
        </is>
      </c>
      <c r="B31" s="16" t="n"/>
      <c r="C31" s="16" t="n"/>
      <c r="D31" s="16" t="n"/>
      <c r="E31" s="16" t="n"/>
      <c r="F31" s="16" t="n"/>
      <c r="G31" s="16" t="n"/>
      <c r="H31" s="16" t="n"/>
      <c r="I31" s="16">
        <f>IF(H31&lt;&gt;"","Completed",IF(TODAY()&gt;G31,"Overdue",IF(F31&lt;&gt;"","In Progress","Not Started")))</f>
        <v/>
      </c>
      <c r="J31" s="18">
        <f>IF(I31="Overdue",TODAY()-G31,0)</f>
        <v/>
      </c>
      <c r="K31" s="16" t="n"/>
      <c r="L31" s="16" t="n"/>
      <c r="M31" s="16" t="n"/>
      <c r="N31" s="16" t="n"/>
      <c r="O31" s="16" t="n"/>
    </row>
    <row r="32">
      <c r="A32" s="17" t="inlineStr">
        <is>
          <t>TRK-0029</t>
        </is>
      </c>
      <c r="B32" s="16" t="n"/>
      <c r="C32" s="16" t="n"/>
      <c r="D32" s="16" t="n"/>
      <c r="E32" s="16" t="n"/>
      <c r="F32" s="16" t="n"/>
      <c r="G32" s="16" t="n"/>
      <c r="H32" s="16" t="n"/>
      <c r="I32" s="16">
        <f>IF(H32&lt;&gt;"","Completed",IF(TODAY()&gt;G32,"Overdue",IF(F32&lt;&gt;"","In Progress","Not Started")))</f>
        <v/>
      </c>
      <c r="J32" s="18">
        <f>IF(I32="Overdue",TODAY()-G32,0)</f>
        <v/>
      </c>
      <c r="K32" s="16" t="n"/>
      <c r="L32" s="16" t="n"/>
      <c r="M32" s="16" t="n"/>
      <c r="N32" s="16" t="n"/>
      <c r="O32" s="16" t="n"/>
    </row>
    <row r="33">
      <c r="A33" s="17" t="inlineStr">
        <is>
          <t>TRK-0030</t>
        </is>
      </c>
      <c r="B33" s="16" t="n"/>
      <c r="C33" s="16" t="n"/>
      <c r="D33" s="16" t="n"/>
      <c r="E33" s="16" t="n"/>
      <c r="F33" s="16" t="n"/>
      <c r="G33" s="16" t="n"/>
      <c r="H33" s="16" t="n"/>
      <c r="I33" s="16">
        <f>IF(H33&lt;&gt;"","Completed",IF(TODAY()&gt;G33,"Overdue",IF(F33&lt;&gt;"","In Progress","Not Started")))</f>
        <v/>
      </c>
      <c r="J33" s="18">
        <f>IF(I33="Overdue",TODAY()-G33,0)</f>
        <v/>
      </c>
      <c r="K33" s="16" t="n"/>
      <c r="L33" s="16" t="n"/>
      <c r="M33" s="16" t="n"/>
      <c r="N33" s="16" t="n"/>
      <c r="O33" s="16" t="n"/>
    </row>
    <row r="34">
      <c r="A34" s="17" t="inlineStr">
        <is>
          <t>TRK-0031</t>
        </is>
      </c>
      <c r="B34" s="16" t="n"/>
      <c r="C34" s="16" t="n"/>
      <c r="D34" s="16" t="n"/>
      <c r="E34" s="16" t="n"/>
      <c r="F34" s="16" t="n"/>
      <c r="G34" s="16" t="n"/>
      <c r="H34" s="16" t="n"/>
      <c r="I34" s="16">
        <f>IF(H34&lt;&gt;"","Completed",IF(TODAY()&gt;G34,"Overdue",IF(F34&lt;&gt;"","In Progress","Not Started")))</f>
        <v/>
      </c>
      <c r="J34" s="18">
        <f>IF(I34="Overdue",TODAY()-G34,0)</f>
        <v/>
      </c>
      <c r="K34" s="16" t="n"/>
      <c r="L34" s="16" t="n"/>
      <c r="M34" s="16" t="n"/>
      <c r="N34" s="16" t="n"/>
      <c r="O34" s="16" t="n"/>
    </row>
    <row r="35">
      <c r="A35" s="17" t="inlineStr">
        <is>
          <t>TRK-0032</t>
        </is>
      </c>
      <c r="B35" s="16" t="n"/>
      <c r="C35" s="16" t="n"/>
      <c r="D35" s="16" t="n"/>
      <c r="E35" s="16" t="n"/>
      <c r="F35" s="16" t="n"/>
      <c r="G35" s="16" t="n"/>
      <c r="H35" s="16" t="n"/>
      <c r="I35" s="16">
        <f>IF(H35&lt;&gt;"","Completed",IF(TODAY()&gt;G35,"Overdue",IF(F35&lt;&gt;"","In Progress","Not Started")))</f>
        <v/>
      </c>
      <c r="J35" s="18">
        <f>IF(I35="Overdue",TODAY()-G35,0)</f>
        <v/>
      </c>
      <c r="K35" s="16" t="n"/>
      <c r="L35" s="16" t="n"/>
      <c r="M35" s="16" t="n"/>
      <c r="N35" s="16" t="n"/>
      <c r="O35" s="16" t="n"/>
    </row>
    <row r="36">
      <c r="A36" s="17" t="inlineStr">
        <is>
          <t>TRK-0033</t>
        </is>
      </c>
      <c r="B36" s="16" t="n"/>
      <c r="C36" s="16" t="n"/>
      <c r="D36" s="16" t="n"/>
      <c r="E36" s="16" t="n"/>
      <c r="F36" s="16" t="n"/>
      <c r="G36" s="16" t="n"/>
      <c r="H36" s="16" t="n"/>
      <c r="I36" s="16">
        <f>IF(H36&lt;&gt;"","Completed",IF(TODAY()&gt;G36,"Overdue",IF(F36&lt;&gt;"","In Progress","Not Started")))</f>
        <v/>
      </c>
      <c r="J36" s="18">
        <f>IF(I36="Overdue",TODAY()-G36,0)</f>
        <v/>
      </c>
      <c r="K36" s="16" t="n"/>
      <c r="L36" s="16" t="n"/>
      <c r="M36" s="16" t="n"/>
      <c r="N36" s="16" t="n"/>
      <c r="O36" s="16" t="n"/>
    </row>
    <row r="37">
      <c r="A37" s="17" t="inlineStr">
        <is>
          <t>TRK-0034</t>
        </is>
      </c>
      <c r="B37" s="16" t="n"/>
      <c r="C37" s="16" t="n"/>
      <c r="D37" s="16" t="n"/>
      <c r="E37" s="16" t="n"/>
      <c r="F37" s="16" t="n"/>
      <c r="G37" s="16" t="n"/>
      <c r="H37" s="16" t="n"/>
      <c r="I37" s="16">
        <f>IF(H37&lt;&gt;"","Completed",IF(TODAY()&gt;G37,"Overdue",IF(F37&lt;&gt;"","In Progress","Not Started")))</f>
        <v/>
      </c>
      <c r="J37" s="18">
        <f>IF(I37="Overdue",TODAY()-G37,0)</f>
        <v/>
      </c>
      <c r="K37" s="16" t="n"/>
      <c r="L37" s="16" t="n"/>
      <c r="M37" s="16" t="n"/>
      <c r="N37" s="16" t="n"/>
      <c r="O37" s="16" t="n"/>
    </row>
    <row r="38">
      <c r="A38" s="17" t="inlineStr">
        <is>
          <t>TRK-0035</t>
        </is>
      </c>
      <c r="B38" s="16" t="n"/>
      <c r="C38" s="16" t="n"/>
      <c r="D38" s="16" t="n"/>
      <c r="E38" s="16" t="n"/>
      <c r="F38" s="16" t="n"/>
      <c r="G38" s="16" t="n"/>
      <c r="H38" s="16" t="n"/>
      <c r="I38" s="16">
        <f>IF(H38&lt;&gt;"","Completed",IF(TODAY()&gt;G38,"Overdue",IF(F38&lt;&gt;"","In Progress","Not Started")))</f>
        <v/>
      </c>
      <c r="J38" s="18">
        <f>IF(I38="Overdue",TODAY()-G38,0)</f>
        <v/>
      </c>
      <c r="K38" s="16" t="n"/>
      <c r="L38" s="16" t="n"/>
      <c r="M38" s="16" t="n"/>
      <c r="N38" s="16" t="n"/>
      <c r="O38" s="16" t="n"/>
    </row>
    <row r="39">
      <c r="A39" s="17" t="inlineStr">
        <is>
          <t>TRK-0036</t>
        </is>
      </c>
      <c r="B39" s="16" t="n"/>
      <c r="C39" s="16" t="n"/>
      <c r="D39" s="16" t="n"/>
      <c r="E39" s="16" t="n"/>
      <c r="F39" s="16" t="n"/>
      <c r="G39" s="16" t="n"/>
      <c r="H39" s="16" t="n"/>
      <c r="I39" s="16">
        <f>IF(H39&lt;&gt;"","Completed",IF(TODAY()&gt;G39,"Overdue",IF(F39&lt;&gt;"","In Progress","Not Started")))</f>
        <v/>
      </c>
      <c r="J39" s="18">
        <f>IF(I39="Overdue",TODAY()-G39,0)</f>
        <v/>
      </c>
      <c r="K39" s="16" t="n"/>
      <c r="L39" s="16" t="n"/>
      <c r="M39" s="16" t="n"/>
      <c r="N39" s="16" t="n"/>
      <c r="O39" s="16" t="n"/>
    </row>
    <row r="40">
      <c r="A40" s="17" t="inlineStr">
        <is>
          <t>TRK-0037</t>
        </is>
      </c>
      <c r="B40" s="16" t="n"/>
      <c r="C40" s="16" t="n"/>
      <c r="D40" s="16" t="n"/>
      <c r="E40" s="16" t="n"/>
      <c r="F40" s="16" t="n"/>
      <c r="G40" s="16" t="n"/>
      <c r="H40" s="16" t="n"/>
      <c r="I40" s="16">
        <f>IF(H40&lt;&gt;"","Completed",IF(TODAY()&gt;G40,"Overdue",IF(F40&lt;&gt;"","In Progress","Not Started")))</f>
        <v/>
      </c>
      <c r="J40" s="18">
        <f>IF(I40="Overdue",TODAY()-G40,0)</f>
        <v/>
      </c>
      <c r="K40" s="16" t="n"/>
      <c r="L40" s="16" t="n"/>
      <c r="M40" s="16" t="n"/>
      <c r="N40" s="16" t="n"/>
      <c r="O40" s="16" t="n"/>
    </row>
    <row r="41">
      <c r="A41" s="17" t="inlineStr">
        <is>
          <t>TRK-0038</t>
        </is>
      </c>
      <c r="B41" s="16" t="n"/>
      <c r="C41" s="16" t="n"/>
      <c r="D41" s="16" t="n"/>
      <c r="E41" s="16" t="n"/>
      <c r="F41" s="16" t="n"/>
      <c r="G41" s="16" t="n"/>
      <c r="H41" s="16" t="n"/>
      <c r="I41" s="16">
        <f>IF(H41&lt;&gt;"","Completed",IF(TODAY()&gt;G41,"Overdue",IF(F41&lt;&gt;"","In Progress","Not Started")))</f>
        <v/>
      </c>
      <c r="J41" s="18">
        <f>IF(I41="Overdue",TODAY()-G41,0)</f>
        <v/>
      </c>
      <c r="K41" s="16" t="n"/>
      <c r="L41" s="16" t="n"/>
      <c r="M41" s="16" t="n"/>
      <c r="N41" s="16" t="n"/>
      <c r="O41" s="16" t="n"/>
    </row>
    <row r="42">
      <c r="A42" s="17" t="inlineStr">
        <is>
          <t>TRK-0039</t>
        </is>
      </c>
      <c r="B42" s="16" t="n"/>
      <c r="C42" s="16" t="n"/>
      <c r="D42" s="16" t="n"/>
      <c r="E42" s="16" t="n"/>
      <c r="F42" s="16" t="n"/>
      <c r="G42" s="16" t="n"/>
      <c r="H42" s="16" t="n"/>
      <c r="I42" s="16">
        <f>IF(H42&lt;&gt;"","Completed",IF(TODAY()&gt;G42,"Overdue",IF(F42&lt;&gt;"","In Progress","Not Started")))</f>
        <v/>
      </c>
      <c r="J42" s="18">
        <f>IF(I42="Overdue",TODAY()-G42,0)</f>
        <v/>
      </c>
      <c r="K42" s="16" t="n"/>
      <c r="L42" s="16" t="n"/>
      <c r="M42" s="16" t="n"/>
      <c r="N42" s="16" t="n"/>
      <c r="O42" s="16" t="n"/>
    </row>
    <row r="43">
      <c r="A43" s="17" t="inlineStr">
        <is>
          <t>TRK-0040</t>
        </is>
      </c>
      <c r="B43" s="16" t="n"/>
      <c r="C43" s="16" t="n"/>
      <c r="D43" s="16" t="n"/>
      <c r="E43" s="16" t="n"/>
      <c r="F43" s="16" t="n"/>
      <c r="G43" s="16" t="n"/>
      <c r="H43" s="16" t="n"/>
      <c r="I43" s="16">
        <f>IF(H43&lt;&gt;"","Completed",IF(TODAY()&gt;G43,"Overdue",IF(F43&lt;&gt;"","In Progress","Not Started")))</f>
        <v/>
      </c>
      <c r="J43" s="18">
        <f>IF(I43="Overdue",TODAY()-G43,0)</f>
        <v/>
      </c>
      <c r="K43" s="16" t="n"/>
      <c r="L43" s="16" t="n"/>
      <c r="M43" s="16" t="n"/>
      <c r="N43" s="16" t="n"/>
      <c r="O43" s="16" t="n"/>
    </row>
    <row r="44">
      <c r="A44" s="17" t="inlineStr">
        <is>
          <t>TRK-0041</t>
        </is>
      </c>
      <c r="B44" s="16" t="n"/>
      <c r="C44" s="16" t="n"/>
      <c r="D44" s="16" t="n"/>
      <c r="E44" s="16" t="n"/>
      <c r="F44" s="16" t="n"/>
      <c r="G44" s="16" t="n"/>
      <c r="H44" s="16" t="n"/>
      <c r="I44" s="16">
        <f>IF(H44&lt;&gt;"","Completed",IF(TODAY()&gt;G44,"Overdue",IF(F44&lt;&gt;"","In Progress","Not Started")))</f>
        <v/>
      </c>
      <c r="J44" s="18">
        <f>IF(I44="Overdue",TODAY()-G44,0)</f>
        <v/>
      </c>
      <c r="K44" s="16" t="n"/>
      <c r="L44" s="16" t="n"/>
      <c r="M44" s="16" t="n"/>
      <c r="N44" s="16" t="n"/>
      <c r="O44" s="16" t="n"/>
    </row>
    <row r="45">
      <c r="A45" s="17" t="inlineStr">
        <is>
          <t>TRK-0042</t>
        </is>
      </c>
      <c r="B45" s="16" t="n"/>
      <c r="C45" s="16" t="n"/>
      <c r="D45" s="16" t="n"/>
      <c r="E45" s="16" t="n"/>
      <c r="F45" s="16" t="n"/>
      <c r="G45" s="16" t="n"/>
      <c r="H45" s="16" t="n"/>
      <c r="I45" s="16">
        <f>IF(H45&lt;&gt;"","Completed",IF(TODAY()&gt;G45,"Overdue",IF(F45&lt;&gt;"","In Progress","Not Started")))</f>
        <v/>
      </c>
      <c r="J45" s="18">
        <f>IF(I45="Overdue",TODAY()-G45,0)</f>
        <v/>
      </c>
      <c r="K45" s="16" t="n"/>
      <c r="L45" s="16" t="n"/>
      <c r="M45" s="16" t="n"/>
      <c r="N45" s="16" t="n"/>
      <c r="O45" s="16" t="n"/>
    </row>
    <row r="46">
      <c r="A46" s="17" t="inlineStr">
        <is>
          <t>TRK-0043</t>
        </is>
      </c>
      <c r="B46" s="16" t="n"/>
      <c r="C46" s="16" t="n"/>
      <c r="D46" s="16" t="n"/>
      <c r="E46" s="16" t="n"/>
      <c r="F46" s="16" t="n"/>
      <c r="G46" s="16" t="n"/>
      <c r="H46" s="16" t="n"/>
      <c r="I46" s="16">
        <f>IF(H46&lt;&gt;"","Completed",IF(TODAY()&gt;G46,"Overdue",IF(F46&lt;&gt;"","In Progress","Not Started")))</f>
        <v/>
      </c>
      <c r="J46" s="18">
        <f>IF(I46="Overdue",TODAY()-G46,0)</f>
        <v/>
      </c>
      <c r="K46" s="16" t="n"/>
      <c r="L46" s="16" t="n"/>
      <c r="M46" s="16" t="n"/>
      <c r="N46" s="16" t="n"/>
      <c r="O46" s="16" t="n"/>
    </row>
    <row r="47">
      <c r="A47" s="17" t="inlineStr">
        <is>
          <t>TRK-0044</t>
        </is>
      </c>
      <c r="B47" s="16" t="n"/>
      <c r="C47" s="16" t="n"/>
      <c r="D47" s="16" t="n"/>
      <c r="E47" s="16" t="n"/>
      <c r="F47" s="16" t="n"/>
      <c r="G47" s="16" t="n"/>
      <c r="H47" s="16" t="n"/>
      <c r="I47" s="16">
        <f>IF(H47&lt;&gt;"","Completed",IF(TODAY()&gt;G47,"Overdue",IF(F47&lt;&gt;"","In Progress","Not Started")))</f>
        <v/>
      </c>
      <c r="J47" s="18">
        <f>IF(I47="Overdue",TODAY()-G47,0)</f>
        <v/>
      </c>
      <c r="K47" s="16" t="n"/>
      <c r="L47" s="16" t="n"/>
      <c r="M47" s="16" t="n"/>
      <c r="N47" s="16" t="n"/>
      <c r="O47" s="16" t="n"/>
    </row>
    <row r="48">
      <c r="A48" s="17" t="inlineStr">
        <is>
          <t>TRK-0045</t>
        </is>
      </c>
      <c r="B48" s="16" t="n"/>
      <c r="C48" s="16" t="n"/>
      <c r="D48" s="16" t="n"/>
      <c r="E48" s="16" t="n"/>
      <c r="F48" s="16" t="n"/>
      <c r="G48" s="16" t="n"/>
      <c r="H48" s="16" t="n"/>
      <c r="I48" s="16">
        <f>IF(H48&lt;&gt;"","Completed",IF(TODAY()&gt;G48,"Overdue",IF(F48&lt;&gt;"","In Progress","Not Started")))</f>
        <v/>
      </c>
      <c r="J48" s="18">
        <f>IF(I48="Overdue",TODAY()-G48,0)</f>
        <v/>
      </c>
      <c r="K48" s="16" t="n"/>
      <c r="L48" s="16" t="n"/>
      <c r="M48" s="16" t="n"/>
      <c r="N48" s="16" t="n"/>
      <c r="O48" s="16" t="n"/>
    </row>
    <row r="49">
      <c r="A49" s="17" t="inlineStr">
        <is>
          <t>TRK-0046</t>
        </is>
      </c>
      <c r="B49" s="16" t="n"/>
      <c r="C49" s="16" t="n"/>
      <c r="D49" s="16" t="n"/>
      <c r="E49" s="16" t="n"/>
      <c r="F49" s="16" t="n"/>
      <c r="G49" s="16" t="n"/>
      <c r="H49" s="16" t="n"/>
      <c r="I49" s="16">
        <f>IF(H49&lt;&gt;"","Completed",IF(TODAY()&gt;G49,"Overdue",IF(F49&lt;&gt;"","In Progress","Not Started")))</f>
        <v/>
      </c>
      <c r="J49" s="18">
        <f>IF(I49="Overdue",TODAY()-G49,0)</f>
        <v/>
      </c>
      <c r="K49" s="16" t="n"/>
      <c r="L49" s="16" t="n"/>
      <c r="M49" s="16" t="n"/>
      <c r="N49" s="16" t="n"/>
      <c r="O49" s="16" t="n"/>
    </row>
    <row r="50">
      <c r="A50" s="17" t="inlineStr">
        <is>
          <t>TRK-0047</t>
        </is>
      </c>
      <c r="B50" s="16" t="n"/>
      <c r="C50" s="16" t="n"/>
      <c r="D50" s="16" t="n"/>
      <c r="E50" s="16" t="n"/>
      <c r="F50" s="16" t="n"/>
      <c r="G50" s="16" t="n"/>
      <c r="H50" s="16" t="n"/>
      <c r="I50" s="16">
        <f>IF(H50&lt;&gt;"","Completed",IF(TODAY()&gt;G50,"Overdue",IF(F50&lt;&gt;"","In Progress","Not Started")))</f>
        <v/>
      </c>
      <c r="J50" s="18">
        <f>IF(I50="Overdue",TODAY()-G50,0)</f>
        <v/>
      </c>
      <c r="K50" s="16" t="n"/>
      <c r="L50" s="16" t="n"/>
      <c r="M50" s="16" t="n"/>
      <c r="N50" s="16" t="n"/>
      <c r="O50" s="16" t="n"/>
    </row>
    <row r="51">
      <c r="A51" s="17" t="inlineStr">
        <is>
          <t>TRK-0048</t>
        </is>
      </c>
      <c r="B51" s="16" t="n"/>
      <c r="C51" s="16" t="n"/>
      <c r="D51" s="16" t="n"/>
      <c r="E51" s="16" t="n"/>
      <c r="F51" s="16" t="n"/>
      <c r="G51" s="16" t="n"/>
      <c r="H51" s="16" t="n"/>
      <c r="I51" s="16">
        <f>IF(H51&lt;&gt;"","Completed",IF(TODAY()&gt;G51,"Overdue",IF(F51&lt;&gt;"","In Progress","Not Started")))</f>
        <v/>
      </c>
      <c r="J51" s="18">
        <f>IF(I51="Overdue",TODAY()-G51,0)</f>
        <v/>
      </c>
      <c r="K51" s="16" t="n"/>
      <c r="L51" s="16" t="n"/>
      <c r="M51" s="16" t="n"/>
      <c r="N51" s="16" t="n"/>
      <c r="O51" s="16" t="n"/>
    </row>
    <row r="52">
      <c r="A52" s="17" t="inlineStr">
        <is>
          <t>TRK-0049</t>
        </is>
      </c>
      <c r="B52" s="16" t="n"/>
      <c r="C52" s="16" t="n"/>
      <c r="D52" s="16" t="n"/>
      <c r="E52" s="16" t="n"/>
      <c r="F52" s="16" t="n"/>
      <c r="G52" s="16" t="n"/>
      <c r="H52" s="16" t="n"/>
      <c r="I52" s="16">
        <f>IF(H52&lt;&gt;"","Completed",IF(TODAY()&gt;G52,"Overdue",IF(F52&lt;&gt;"","In Progress","Not Started")))</f>
        <v/>
      </c>
      <c r="J52" s="18">
        <f>IF(I52="Overdue",TODAY()-G52,0)</f>
        <v/>
      </c>
      <c r="K52" s="16" t="n"/>
      <c r="L52" s="16" t="n"/>
      <c r="M52" s="16" t="n"/>
      <c r="N52" s="16" t="n"/>
      <c r="O52" s="16" t="n"/>
    </row>
    <row r="53">
      <c r="A53" s="17" t="inlineStr">
        <is>
          <t>TRK-0050</t>
        </is>
      </c>
      <c r="B53" s="16" t="n"/>
      <c r="C53" s="16" t="n"/>
      <c r="D53" s="16" t="n"/>
      <c r="E53" s="16" t="n"/>
      <c r="F53" s="16" t="n"/>
      <c r="G53" s="16" t="n"/>
      <c r="H53" s="16" t="n"/>
      <c r="I53" s="16">
        <f>IF(H53&lt;&gt;"","Completed",IF(TODAY()&gt;G53,"Overdue",IF(F53&lt;&gt;"","In Progress","Not Started")))</f>
        <v/>
      </c>
      <c r="J53" s="18">
        <f>IF(I53="Overdue",TODAY()-G53,0)</f>
        <v/>
      </c>
      <c r="K53" s="16" t="n"/>
      <c r="L53" s="16" t="n"/>
      <c r="M53" s="16" t="n"/>
      <c r="N53" s="16" t="n"/>
      <c r="O53" s="16" t="n"/>
    </row>
    <row r="54">
      <c r="A54" s="17" t="inlineStr">
        <is>
          <t>TRK-0051</t>
        </is>
      </c>
      <c r="B54" s="16" t="n"/>
      <c r="C54" s="16" t="n"/>
      <c r="D54" s="16" t="n"/>
      <c r="E54" s="16" t="n"/>
      <c r="F54" s="16" t="n"/>
      <c r="G54" s="16" t="n"/>
      <c r="H54" s="16" t="n"/>
      <c r="I54" s="16">
        <f>IF(H54&lt;&gt;"","Completed",IF(TODAY()&gt;G54,"Overdue",IF(F54&lt;&gt;"","In Progress","Not Started")))</f>
        <v/>
      </c>
      <c r="J54" s="18">
        <f>IF(I54="Overdue",TODAY()-G54,0)</f>
        <v/>
      </c>
      <c r="K54" s="16" t="n"/>
      <c r="L54" s="16" t="n"/>
      <c r="M54" s="16" t="n"/>
      <c r="N54" s="16" t="n"/>
      <c r="O54" s="16" t="n"/>
    </row>
    <row r="55">
      <c r="A55" s="17" t="inlineStr">
        <is>
          <t>TRK-0052</t>
        </is>
      </c>
      <c r="B55" s="16" t="n"/>
      <c r="C55" s="16" t="n"/>
      <c r="D55" s="16" t="n"/>
      <c r="E55" s="16" t="n"/>
      <c r="F55" s="16" t="n"/>
      <c r="G55" s="16" t="n"/>
      <c r="H55" s="16" t="n"/>
      <c r="I55" s="16">
        <f>IF(H55&lt;&gt;"","Completed",IF(TODAY()&gt;G55,"Overdue",IF(F55&lt;&gt;"","In Progress","Not Started")))</f>
        <v/>
      </c>
      <c r="J55" s="18">
        <f>IF(I55="Overdue",TODAY()-G55,0)</f>
        <v/>
      </c>
      <c r="K55" s="16" t="n"/>
      <c r="L55" s="16" t="n"/>
      <c r="M55" s="16" t="n"/>
      <c r="N55" s="16" t="n"/>
      <c r="O55" s="16" t="n"/>
    </row>
    <row r="56">
      <c r="A56" s="17" t="inlineStr">
        <is>
          <t>TRK-0053</t>
        </is>
      </c>
      <c r="B56" s="16" t="n"/>
      <c r="C56" s="16" t="n"/>
      <c r="D56" s="16" t="n"/>
      <c r="E56" s="16" t="n"/>
      <c r="F56" s="16" t="n"/>
      <c r="G56" s="16" t="n"/>
      <c r="H56" s="16" t="n"/>
      <c r="I56" s="16">
        <f>IF(H56&lt;&gt;"","Completed",IF(TODAY()&gt;G56,"Overdue",IF(F56&lt;&gt;"","In Progress","Not Started")))</f>
        <v/>
      </c>
      <c r="J56" s="18">
        <f>IF(I56="Overdue",TODAY()-G56,0)</f>
        <v/>
      </c>
      <c r="K56" s="16" t="n"/>
      <c r="L56" s="16" t="n"/>
      <c r="M56" s="16" t="n"/>
      <c r="N56" s="16" t="n"/>
      <c r="O56" s="16" t="n"/>
    </row>
    <row r="57">
      <c r="A57" s="17" t="inlineStr">
        <is>
          <t>TRK-0054</t>
        </is>
      </c>
      <c r="B57" s="16" t="n"/>
      <c r="C57" s="16" t="n"/>
      <c r="D57" s="16" t="n"/>
      <c r="E57" s="16" t="n"/>
      <c r="F57" s="16" t="n"/>
      <c r="G57" s="16" t="n"/>
      <c r="H57" s="16" t="n"/>
      <c r="I57" s="16">
        <f>IF(H57&lt;&gt;"","Completed",IF(TODAY()&gt;G57,"Overdue",IF(F57&lt;&gt;"","In Progress","Not Started")))</f>
        <v/>
      </c>
      <c r="J57" s="18">
        <f>IF(I57="Overdue",TODAY()-G57,0)</f>
        <v/>
      </c>
      <c r="K57" s="16" t="n"/>
      <c r="L57" s="16" t="n"/>
      <c r="M57" s="16" t="n"/>
      <c r="N57" s="16" t="n"/>
      <c r="O57" s="16" t="n"/>
    </row>
    <row r="58">
      <c r="A58" s="17" t="inlineStr">
        <is>
          <t>TRK-0055</t>
        </is>
      </c>
      <c r="B58" s="16" t="n"/>
      <c r="C58" s="16" t="n"/>
      <c r="D58" s="16" t="n"/>
      <c r="E58" s="16" t="n"/>
      <c r="F58" s="16" t="n"/>
      <c r="G58" s="16" t="n"/>
      <c r="H58" s="16" t="n"/>
      <c r="I58" s="16">
        <f>IF(H58&lt;&gt;"","Completed",IF(TODAY()&gt;G58,"Overdue",IF(F58&lt;&gt;"","In Progress","Not Started")))</f>
        <v/>
      </c>
      <c r="J58" s="18">
        <f>IF(I58="Overdue",TODAY()-G58,0)</f>
        <v/>
      </c>
      <c r="K58" s="16" t="n"/>
      <c r="L58" s="16" t="n"/>
      <c r="M58" s="16" t="n"/>
      <c r="N58" s="16" t="n"/>
      <c r="O58" s="16" t="n"/>
    </row>
    <row r="59">
      <c r="A59" s="17" t="inlineStr">
        <is>
          <t>TRK-0056</t>
        </is>
      </c>
      <c r="B59" s="16" t="n"/>
      <c r="C59" s="16" t="n"/>
      <c r="D59" s="16" t="n"/>
      <c r="E59" s="16" t="n"/>
      <c r="F59" s="16" t="n"/>
      <c r="G59" s="16" t="n"/>
      <c r="H59" s="16" t="n"/>
      <c r="I59" s="16">
        <f>IF(H59&lt;&gt;"","Completed",IF(TODAY()&gt;G59,"Overdue",IF(F59&lt;&gt;"","In Progress","Not Started")))</f>
        <v/>
      </c>
      <c r="J59" s="18">
        <f>IF(I59="Overdue",TODAY()-G59,0)</f>
        <v/>
      </c>
      <c r="K59" s="16" t="n"/>
      <c r="L59" s="16" t="n"/>
      <c r="M59" s="16" t="n"/>
      <c r="N59" s="16" t="n"/>
      <c r="O59" s="16" t="n"/>
    </row>
    <row r="60">
      <c r="A60" s="17" t="inlineStr">
        <is>
          <t>TRK-0057</t>
        </is>
      </c>
      <c r="B60" s="16" t="n"/>
      <c r="C60" s="16" t="n"/>
      <c r="D60" s="16" t="n"/>
      <c r="E60" s="16" t="n"/>
      <c r="F60" s="16" t="n"/>
      <c r="G60" s="16" t="n"/>
      <c r="H60" s="16" t="n"/>
      <c r="I60" s="16">
        <f>IF(H60&lt;&gt;"","Completed",IF(TODAY()&gt;G60,"Overdue",IF(F60&lt;&gt;"","In Progress","Not Started")))</f>
        <v/>
      </c>
      <c r="J60" s="18">
        <f>IF(I60="Overdue",TODAY()-G60,0)</f>
        <v/>
      </c>
      <c r="K60" s="16" t="n"/>
      <c r="L60" s="16" t="n"/>
      <c r="M60" s="16" t="n"/>
      <c r="N60" s="16" t="n"/>
      <c r="O60" s="16" t="n"/>
    </row>
    <row r="61">
      <c r="A61" s="17" t="inlineStr">
        <is>
          <t>TRK-0058</t>
        </is>
      </c>
      <c r="B61" s="16" t="n"/>
      <c r="C61" s="16" t="n"/>
      <c r="D61" s="16" t="n"/>
      <c r="E61" s="16" t="n"/>
      <c r="F61" s="16" t="n"/>
      <c r="G61" s="16" t="n"/>
      <c r="H61" s="16" t="n"/>
      <c r="I61" s="16">
        <f>IF(H61&lt;&gt;"","Completed",IF(TODAY()&gt;G61,"Overdue",IF(F61&lt;&gt;"","In Progress","Not Started")))</f>
        <v/>
      </c>
      <c r="J61" s="18">
        <f>IF(I61="Overdue",TODAY()-G61,0)</f>
        <v/>
      </c>
      <c r="K61" s="16" t="n"/>
      <c r="L61" s="16" t="n"/>
      <c r="M61" s="16" t="n"/>
      <c r="N61" s="16" t="n"/>
      <c r="O61" s="16" t="n"/>
    </row>
    <row r="62">
      <c r="A62" s="17" t="inlineStr">
        <is>
          <t>TRK-0059</t>
        </is>
      </c>
      <c r="B62" s="16" t="n"/>
      <c r="C62" s="16" t="n"/>
      <c r="D62" s="16" t="n"/>
      <c r="E62" s="16" t="n"/>
      <c r="F62" s="16" t="n"/>
      <c r="G62" s="16" t="n"/>
      <c r="H62" s="16" t="n"/>
      <c r="I62" s="16">
        <f>IF(H62&lt;&gt;"","Completed",IF(TODAY()&gt;G62,"Overdue",IF(F62&lt;&gt;"","In Progress","Not Started")))</f>
        <v/>
      </c>
      <c r="J62" s="18">
        <f>IF(I62="Overdue",TODAY()-G62,0)</f>
        <v/>
      </c>
      <c r="K62" s="16" t="n"/>
      <c r="L62" s="16" t="n"/>
      <c r="M62" s="16" t="n"/>
      <c r="N62" s="16" t="n"/>
      <c r="O62" s="16" t="n"/>
    </row>
    <row r="63">
      <c r="A63" s="17" t="inlineStr">
        <is>
          <t>TRK-0060</t>
        </is>
      </c>
      <c r="B63" s="16" t="n"/>
      <c r="C63" s="16" t="n"/>
      <c r="D63" s="16" t="n"/>
      <c r="E63" s="16" t="n"/>
      <c r="F63" s="16" t="n"/>
      <c r="G63" s="16" t="n"/>
      <c r="H63" s="16" t="n"/>
      <c r="I63" s="16">
        <f>IF(H63&lt;&gt;"","Completed",IF(TODAY()&gt;G63,"Overdue",IF(F63&lt;&gt;"","In Progress","Not Started")))</f>
        <v/>
      </c>
      <c r="J63" s="18">
        <f>IF(I63="Overdue",TODAY()-G63,0)</f>
        <v/>
      </c>
      <c r="K63" s="16" t="n"/>
      <c r="L63" s="16" t="n"/>
      <c r="M63" s="16" t="n"/>
      <c r="N63" s="16" t="n"/>
      <c r="O63" s="16" t="n"/>
    </row>
    <row r="64">
      <c r="A64" s="17" t="inlineStr">
        <is>
          <t>TRK-0061</t>
        </is>
      </c>
      <c r="B64" s="16" t="n"/>
      <c r="C64" s="16" t="n"/>
      <c r="D64" s="16" t="n"/>
      <c r="E64" s="16" t="n"/>
      <c r="F64" s="16" t="n"/>
      <c r="G64" s="16" t="n"/>
      <c r="H64" s="16" t="n"/>
      <c r="I64" s="16">
        <f>IF(H64&lt;&gt;"","Completed",IF(TODAY()&gt;G64,"Overdue",IF(F64&lt;&gt;"","In Progress","Not Started")))</f>
        <v/>
      </c>
      <c r="J64" s="18">
        <f>IF(I64="Overdue",TODAY()-G64,0)</f>
        <v/>
      </c>
      <c r="K64" s="16" t="n"/>
      <c r="L64" s="16" t="n"/>
      <c r="M64" s="16" t="n"/>
      <c r="N64" s="16" t="n"/>
      <c r="O64" s="16" t="n"/>
    </row>
    <row r="65">
      <c r="A65" s="17" t="inlineStr">
        <is>
          <t>TRK-0062</t>
        </is>
      </c>
      <c r="B65" s="16" t="n"/>
      <c r="C65" s="16" t="n"/>
      <c r="D65" s="16" t="n"/>
      <c r="E65" s="16" t="n"/>
      <c r="F65" s="16" t="n"/>
      <c r="G65" s="16" t="n"/>
      <c r="H65" s="16" t="n"/>
      <c r="I65" s="16">
        <f>IF(H65&lt;&gt;"","Completed",IF(TODAY()&gt;G65,"Overdue",IF(F65&lt;&gt;"","In Progress","Not Started")))</f>
        <v/>
      </c>
      <c r="J65" s="18">
        <f>IF(I65="Overdue",TODAY()-G65,0)</f>
        <v/>
      </c>
      <c r="K65" s="16" t="n"/>
      <c r="L65" s="16" t="n"/>
      <c r="M65" s="16" t="n"/>
      <c r="N65" s="16" t="n"/>
      <c r="O65" s="16" t="n"/>
    </row>
    <row r="66">
      <c r="A66" s="17" t="inlineStr">
        <is>
          <t>TRK-0063</t>
        </is>
      </c>
      <c r="B66" s="16" t="n"/>
      <c r="C66" s="16" t="n"/>
      <c r="D66" s="16" t="n"/>
      <c r="E66" s="16" t="n"/>
      <c r="F66" s="16" t="n"/>
      <c r="G66" s="16" t="n"/>
      <c r="H66" s="16" t="n"/>
      <c r="I66" s="16">
        <f>IF(H66&lt;&gt;"","Completed",IF(TODAY()&gt;G66,"Overdue",IF(F66&lt;&gt;"","In Progress","Not Started")))</f>
        <v/>
      </c>
      <c r="J66" s="18">
        <f>IF(I66="Overdue",TODAY()-G66,0)</f>
        <v/>
      </c>
      <c r="K66" s="16" t="n"/>
      <c r="L66" s="16" t="n"/>
      <c r="M66" s="16" t="n"/>
      <c r="N66" s="16" t="n"/>
      <c r="O66" s="16" t="n"/>
    </row>
    <row r="67">
      <c r="A67" s="17" t="inlineStr">
        <is>
          <t>TRK-0064</t>
        </is>
      </c>
      <c r="B67" s="16" t="n"/>
      <c r="C67" s="16" t="n"/>
      <c r="D67" s="16" t="n"/>
      <c r="E67" s="16" t="n"/>
      <c r="F67" s="16" t="n"/>
      <c r="G67" s="16" t="n"/>
      <c r="H67" s="16" t="n"/>
      <c r="I67" s="16">
        <f>IF(H67&lt;&gt;"","Completed",IF(TODAY()&gt;G67,"Overdue",IF(F67&lt;&gt;"","In Progress","Not Started")))</f>
        <v/>
      </c>
      <c r="J67" s="18">
        <f>IF(I67="Overdue",TODAY()-G67,0)</f>
        <v/>
      </c>
      <c r="K67" s="16" t="n"/>
      <c r="L67" s="16" t="n"/>
      <c r="M67" s="16" t="n"/>
      <c r="N67" s="16" t="n"/>
      <c r="O67" s="16" t="n"/>
    </row>
    <row r="68">
      <c r="A68" s="17" t="inlineStr">
        <is>
          <t>TRK-0065</t>
        </is>
      </c>
      <c r="B68" s="16" t="n"/>
      <c r="C68" s="16" t="n"/>
      <c r="D68" s="16" t="n"/>
      <c r="E68" s="16" t="n"/>
      <c r="F68" s="16" t="n"/>
      <c r="G68" s="16" t="n"/>
      <c r="H68" s="16" t="n"/>
      <c r="I68" s="16">
        <f>IF(H68&lt;&gt;"","Completed",IF(TODAY()&gt;G68,"Overdue",IF(F68&lt;&gt;"","In Progress","Not Started")))</f>
        <v/>
      </c>
      <c r="J68" s="18">
        <f>IF(I68="Overdue",TODAY()-G68,0)</f>
        <v/>
      </c>
      <c r="K68" s="16" t="n"/>
      <c r="L68" s="16" t="n"/>
      <c r="M68" s="16" t="n"/>
      <c r="N68" s="16" t="n"/>
      <c r="O68" s="16" t="n"/>
    </row>
    <row r="69">
      <c r="A69" s="17" t="inlineStr">
        <is>
          <t>TRK-0066</t>
        </is>
      </c>
      <c r="B69" s="16" t="n"/>
      <c r="C69" s="16" t="n"/>
      <c r="D69" s="16" t="n"/>
      <c r="E69" s="16" t="n"/>
      <c r="F69" s="16" t="n"/>
      <c r="G69" s="16" t="n"/>
      <c r="H69" s="16" t="n"/>
      <c r="I69" s="16">
        <f>IF(H69&lt;&gt;"","Completed",IF(TODAY()&gt;G69,"Overdue",IF(F69&lt;&gt;"","In Progress","Not Started")))</f>
        <v/>
      </c>
      <c r="J69" s="18">
        <f>IF(I69="Overdue",TODAY()-G69,0)</f>
        <v/>
      </c>
      <c r="K69" s="16" t="n"/>
      <c r="L69" s="16" t="n"/>
      <c r="M69" s="16" t="n"/>
      <c r="N69" s="16" t="n"/>
      <c r="O69" s="16" t="n"/>
    </row>
    <row r="70">
      <c r="A70" s="17" t="inlineStr">
        <is>
          <t>TRK-0067</t>
        </is>
      </c>
      <c r="B70" s="16" t="n"/>
      <c r="C70" s="16" t="n"/>
      <c r="D70" s="16" t="n"/>
      <c r="E70" s="16" t="n"/>
      <c r="F70" s="16" t="n"/>
      <c r="G70" s="16" t="n"/>
      <c r="H70" s="16" t="n"/>
      <c r="I70" s="16">
        <f>IF(H70&lt;&gt;"","Completed",IF(TODAY()&gt;G70,"Overdue",IF(F70&lt;&gt;"","In Progress","Not Started")))</f>
        <v/>
      </c>
      <c r="J70" s="18">
        <f>IF(I70="Overdue",TODAY()-G70,0)</f>
        <v/>
      </c>
      <c r="K70" s="16" t="n"/>
      <c r="L70" s="16" t="n"/>
      <c r="M70" s="16" t="n"/>
      <c r="N70" s="16" t="n"/>
      <c r="O70" s="16" t="n"/>
    </row>
    <row r="71">
      <c r="A71" s="17" t="inlineStr">
        <is>
          <t>TRK-0068</t>
        </is>
      </c>
      <c r="B71" s="16" t="n"/>
      <c r="C71" s="16" t="n"/>
      <c r="D71" s="16" t="n"/>
      <c r="E71" s="16" t="n"/>
      <c r="F71" s="16" t="n"/>
      <c r="G71" s="16" t="n"/>
      <c r="H71" s="16" t="n"/>
      <c r="I71" s="16">
        <f>IF(H71&lt;&gt;"","Completed",IF(TODAY()&gt;G71,"Overdue",IF(F71&lt;&gt;"","In Progress","Not Started")))</f>
        <v/>
      </c>
      <c r="J71" s="18">
        <f>IF(I71="Overdue",TODAY()-G71,0)</f>
        <v/>
      </c>
      <c r="K71" s="16" t="n"/>
      <c r="L71" s="16" t="n"/>
      <c r="M71" s="16" t="n"/>
      <c r="N71" s="16" t="n"/>
      <c r="O71" s="16" t="n"/>
    </row>
    <row r="72">
      <c r="A72" s="17" t="inlineStr">
        <is>
          <t>TRK-0069</t>
        </is>
      </c>
      <c r="B72" s="16" t="n"/>
      <c r="C72" s="16" t="n"/>
      <c r="D72" s="16" t="n"/>
      <c r="E72" s="16" t="n"/>
      <c r="F72" s="16" t="n"/>
      <c r="G72" s="16" t="n"/>
      <c r="H72" s="16" t="n"/>
      <c r="I72" s="16">
        <f>IF(H72&lt;&gt;"","Completed",IF(TODAY()&gt;G72,"Overdue",IF(F72&lt;&gt;"","In Progress","Not Started")))</f>
        <v/>
      </c>
      <c r="J72" s="18">
        <f>IF(I72="Overdue",TODAY()-G72,0)</f>
        <v/>
      </c>
      <c r="K72" s="16" t="n"/>
      <c r="L72" s="16" t="n"/>
      <c r="M72" s="16" t="n"/>
      <c r="N72" s="16" t="n"/>
      <c r="O72" s="16" t="n"/>
    </row>
    <row r="73">
      <c r="A73" s="17" t="inlineStr">
        <is>
          <t>TRK-0070</t>
        </is>
      </c>
      <c r="B73" s="16" t="n"/>
      <c r="C73" s="16" t="n"/>
      <c r="D73" s="16" t="n"/>
      <c r="E73" s="16" t="n"/>
      <c r="F73" s="16" t="n"/>
      <c r="G73" s="16" t="n"/>
      <c r="H73" s="16" t="n"/>
      <c r="I73" s="16">
        <f>IF(H73&lt;&gt;"","Completed",IF(TODAY()&gt;G73,"Overdue",IF(F73&lt;&gt;"","In Progress","Not Started")))</f>
        <v/>
      </c>
      <c r="J73" s="18">
        <f>IF(I73="Overdue",TODAY()-G73,0)</f>
        <v/>
      </c>
      <c r="K73" s="16" t="n"/>
      <c r="L73" s="16" t="n"/>
      <c r="M73" s="16" t="n"/>
      <c r="N73" s="16" t="n"/>
      <c r="O73" s="16" t="n"/>
    </row>
    <row r="74">
      <c r="A74" s="17" t="inlineStr">
        <is>
          <t>TRK-0071</t>
        </is>
      </c>
      <c r="B74" s="16" t="n"/>
      <c r="C74" s="16" t="n"/>
      <c r="D74" s="16" t="n"/>
      <c r="E74" s="16" t="n"/>
      <c r="F74" s="16" t="n"/>
      <c r="G74" s="16" t="n"/>
      <c r="H74" s="16" t="n"/>
      <c r="I74" s="16">
        <f>IF(H74&lt;&gt;"","Completed",IF(TODAY()&gt;G74,"Overdue",IF(F74&lt;&gt;"","In Progress","Not Started")))</f>
        <v/>
      </c>
      <c r="J74" s="18">
        <f>IF(I74="Overdue",TODAY()-G74,0)</f>
        <v/>
      </c>
      <c r="K74" s="16" t="n"/>
      <c r="L74" s="16" t="n"/>
      <c r="M74" s="16" t="n"/>
      <c r="N74" s="16" t="n"/>
      <c r="O74" s="16" t="n"/>
    </row>
    <row r="75">
      <c r="A75" s="17" t="inlineStr">
        <is>
          <t>TRK-0072</t>
        </is>
      </c>
      <c r="B75" s="16" t="n"/>
      <c r="C75" s="16" t="n"/>
      <c r="D75" s="16" t="n"/>
      <c r="E75" s="16" t="n"/>
      <c r="F75" s="16" t="n"/>
      <c r="G75" s="16" t="n"/>
      <c r="H75" s="16" t="n"/>
      <c r="I75" s="16">
        <f>IF(H75&lt;&gt;"","Completed",IF(TODAY()&gt;G75,"Overdue",IF(F75&lt;&gt;"","In Progress","Not Started")))</f>
        <v/>
      </c>
      <c r="J75" s="18">
        <f>IF(I75="Overdue",TODAY()-G75,0)</f>
        <v/>
      </c>
      <c r="K75" s="16" t="n"/>
      <c r="L75" s="16" t="n"/>
      <c r="M75" s="16" t="n"/>
      <c r="N75" s="16" t="n"/>
      <c r="O75" s="16" t="n"/>
    </row>
    <row r="76">
      <c r="A76" s="17" t="inlineStr">
        <is>
          <t>TRK-0073</t>
        </is>
      </c>
      <c r="B76" s="16" t="n"/>
      <c r="C76" s="16" t="n"/>
      <c r="D76" s="16" t="n"/>
      <c r="E76" s="16" t="n"/>
      <c r="F76" s="16" t="n"/>
      <c r="G76" s="16" t="n"/>
      <c r="H76" s="16" t="n"/>
      <c r="I76" s="16">
        <f>IF(H76&lt;&gt;"","Completed",IF(TODAY()&gt;G76,"Overdue",IF(F76&lt;&gt;"","In Progress","Not Started")))</f>
        <v/>
      </c>
      <c r="J76" s="18">
        <f>IF(I76="Overdue",TODAY()-G76,0)</f>
        <v/>
      </c>
      <c r="K76" s="16" t="n"/>
      <c r="L76" s="16" t="n"/>
      <c r="M76" s="16" t="n"/>
      <c r="N76" s="16" t="n"/>
      <c r="O76" s="16" t="n"/>
    </row>
    <row r="77">
      <c r="A77" s="17" t="inlineStr">
        <is>
          <t>TRK-0074</t>
        </is>
      </c>
      <c r="B77" s="16" t="n"/>
      <c r="C77" s="16" t="n"/>
      <c r="D77" s="16" t="n"/>
      <c r="E77" s="16" t="n"/>
      <c r="F77" s="16" t="n"/>
      <c r="G77" s="16" t="n"/>
      <c r="H77" s="16" t="n"/>
      <c r="I77" s="16">
        <f>IF(H77&lt;&gt;"","Completed",IF(TODAY()&gt;G77,"Overdue",IF(F77&lt;&gt;"","In Progress","Not Started")))</f>
        <v/>
      </c>
      <c r="J77" s="18">
        <f>IF(I77="Overdue",TODAY()-G77,0)</f>
        <v/>
      </c>
      <c r="K77" s="16" t="n"/>
      <c r="L77" s="16" t="n"/>
      <c r="M77" s="16" t="n"/>
      <c r="N77" s="16" t="n"/>
      <c r="O77" s="16" t="n"/>
    </row>
    <row r="78">
      <c r="A78" s="17" t="inlineStr">
        <is>
          <t>TRK-0075</t>
        </is>
      </c>
      <c r="B78" s="16" t="n"/>
      <c r="C78" s="16" t="n"/>
      <c r="D78" s="16" t="n"/>
      <c r="E78" s="16" t="n"/>
      <c r="F78" s="16" t="n"/>
      <c r="G78" s="16" t="n"/>
      <c r="H78" s="16" t="n"/>
      <c r="I78" s="16">
        <f>IF(H78&lt;&gt;"","Completed",IF(TODAY()&gt;G78,"Overdue",IF(F78&lt;&gt;"","In Progress","Not Started")))</f>
        <v/>
      </c>
      <c r="J78" s="18">
        <f>IF(I78="Overdue",TODAY()-G78,0)</f>
        <v/>
      </c>
      <c r="K78" s="16" t="n"/>
      <c r="L78" s="16" t="n"/>
      <c r="M78" s="16" t="n"/>
      <c r="N78" s="16" t="n"/>
      <c r="O78" s="16" t="n"/>
    </row>
    <row r="79">
      <c r="A79" s="17" t="inlineStr">
        <is>
          <t>TRK-0076</t>
        </is>
      </c>
      <c r="B79" s="16" t="n"/>
      <c r="C79" s="16" t="n"/>
      <c r="D79" s="16" t="n"/>
      <c r="E79" s="16" t="n"/>
      <c r="F79" s="16" t="n"/>
      <c r="G79" s="16" t="n"/>
      <c r="H79" s="16" t="n"/>
      <c r="I79" s="16">
        <f>IF(H79&lt;&gt;"","Completed",IF(TODAY()&gt;G79,"Overdue",IF(F79&lt;&gt;"","In Progress","Not Started")))</f>
        <v/>
      </c>
      <c r="J79" s="18">
        <f>IF(I79="Overdue",TODAY()-G79,0)</f>
        <v/>
      </c>
      <c r="K79" s="16" t="n"/>
      <c r="L79" s="16" t="n"/>
      <c r="M79" s="16" t="n"/>
      <c r="N79" s="16" t="n"/>
      <c r="O79" s="16" t="n"/>
    </row>
    <row r="80">
      <c r="A80" s="17" t="inlineStr">
        <is>
          <t>TRK-0077</t>
        </is>
      </c>
      <c r="B80" s="16" t="n"/>
      <c r="C80" s="16" t="n"/>
      <c r="D80" s="16" t="n"/>
      <c r="E80" s="16" t="n"/>
      <c r="F80" s="16" t="n"/>
      <c r="G80" s="16" t="n"/>
      <c r="H80" s="16" t="n"/>
      <c r="I80" s="16">
        <f>IF(H80&lt;&gt;"","Completed",IF(TODAY()&gt;G80,"Overdue",IF(F80&lt;&gt;"","In Progress","Not Started")))</f>
        <v/>
      </c>
      <c r="J80" s="18">
        <f>IF(I80="Overdue",TODAY()-G80,0)</f>
        <v/>
      </c>
      <c r="K80" s="16" t="n"/>
      <c r="L80" s="16" t="n"/>
      <c r="M80" s="16" t="n"/>
      <c r="N80" s="16" t="n"/>
      <c r="O80" s="16" t="n"/>
    </row>
    <row r="81">
      <c r="A81" s="17" t="inlineStr">
        <is>
          <t>TRK-0078</t>
        </is>
      </c>
      <c r="B81" s="16" t="n"/>
      <c r="C81" s="16" t="n"/>
      <c r="D81" s="16" t="n"/>
      <c r="E81" s="16" t="n"/>
      <c r="F81" s="16" t="n"/>
      <c r="G81" s="16" t="n"/>
      <c r="H81" s="16" t="n"/>
      <c r="I81" s="16">
        <f>IF(H81&lt;&gt;"","Completed",IF(TODAY()&gt;G81,"Overdue",IF(F81&lt;&gt;"","In Progress","Not Started")))</f>
        <v/>
      </c>
      <c r="J81" s="18">
        <f>IF(I81="Overdue",TODAY()-G81,0)</f>
        <v/>
      </c>
      <c r="K81" s="16" t="n"/>
      <c r="L81" s="16" t="n"/>
      <c r="M81" s="16" t="n"/>
      <c r="N81" s="16" t="n"/>
      <c r="O81" s="16" t="n"/>
    </row>
    <row r="82">
      <c r="A82" s="17" t="inlineStr">
        <is>
          <t>TRK-0079</t>
        </is>
      </c>
      <c r="B82" s="16" t="n"/>
      <c r="C82" s="16" t="n"/>
      <c r="D82" s="16" t="n"/>
      <c r="E82" s="16" t="n"/>
      <c r="F82" s="16" t="n"/>
      <c r="G82" s="16" t="n"/>
      <c r="H82" s="16" t="n"/>
      <c r="I82" s="16">
        <f>IF(H82&lt;&gt;"","Completed",IF(TODAY()&gt;G82,"Overdue",IF(F82&lt;&gt;"","In Progress","Not Started")))</f>
        <v/>
      </c>
      <c r="J82" s="18">
        <f>IF(I82="Overdue",TODAY()-G82,0)</f>
        <v/>
      </c>
      <c r="K82" s="16" t="n"/>
      <c r="L82" s="16" t="n"/>
      <c r="M82" s="16" t="n"/>
      <c r="N82" s="16" t="n"/>
      <c r="O82" s="16" t="n"/>
    </row>
    <row r="83">
      <c r="A83" s="17" t="inlineStr">
        <is>
          <t>TRK-0080</t>
        </is>
      </c>
      <c r="B83" s="16" t="n"/>
      <c r="C83" s="16" t="n"/>
      <c r="D83" s="16" t="n"/>
      <c r="E83" s="16" t="n"/>
      <c r="F83" s="16" t="n"/>
      <c r="G83" s="16" t="n"/>
      <c r="H83" s="16" t="n"/>
      <c r="I83" s="16">
        <f>IF(H83&lt;&gt;"","Completed",IF(TODAY()&gt;G83,"Overdue",IF(F83&lt;&gt;"","In Progress","Not Started")))</f>
        <v/>
      </c>
      <c r="J83" s="18">
        <f>IF(I83="Overdue",TODAY()-G83,0)</f>
        <v/>
      </c>
      <c r="K83" s="16" t="n"/>
      <c r="L83" s="16" t="n"/>
      <c r="M83" s="16" t="n"/>
      <c r="N83" s="16" t="n"/>
      <c r="O83" s="16" t="n"/>
    </row>
    <row r="84">
      <c r="A84" s="17" t="inlineStr">
        <is>
          <t>TRK-0081</t>
        </is>
      </c>
      <c r="B84" s="16" t="n"/>
      <c r="C84" s="16" t="n"/>
      <c r="D84" s="16" t="n"/>
      <c r="E84" s="16" t="n"/>
      <c r="F84" s="16" t="n"/>
      <c r="G84" s="16" t="n"/>
      <c r="H84" s="16" t="n"/>
      <c r="I84" s="16">
        <f>IF(H84&lt;&gt;"","Completed",IF(TODAY()&gt;G84,"Overdue",IF(F84&lt;&gt;"","In Progress","Not Started")))</f>
        <v/>
      </c>
      <c r="J84" s="18">
        <f>IF(I84="Overdue",TODAY()-G84,0)</f>
        <v/>
      </c>
      <c r="K84" s="16" t="n"/>
      <c r="L84" s="16" t="n"/>
      <c r="M84" s="16" t="n"/>
      <c r="N84" s="16" t="n"/>
      <c r="O84" s="16" t="n"/>
    </row>
    <row r="85">
      <c r="A85" s="17" t="inlineStr">
        <is>
          <t>TRK-0082</t>
        </is>
      </c>
      <c r="B85" s="16" t="n"/>
      <c r="C85" s="16" t="n"/>
      <c r="D85" s="16" t="n"/>
      <c r="E85" s="16" t="n"/>
      <c r="F85" s="16" t="n"/>
      <c r="G85" s="16" t="n"/>
      <c r="H85" s="16" t="n"/>
      <c r="I85" s="16">
        <f>IF(H85&lt;&gt;"","Completed",IF(TODAY()&gt;G85,"Overdue",IF(F85&lt;&gt;"","In Progress","Not Started")))</f>
        <v/>
      </c>
      <c r="J85" s="18">
        <f>IF(I85="Overdue",TODAY()-G85,0)</f>
        <v/>
      </c>
      <c r="K85" s="16" t="n"/>
      <c r="L85" s="16" t="n"/>
      <c r="M85" s="16" t="n"/>
      <c r="N85" s="16" t="n"/>
      <c r="O85" s="16" t="n"/>
    </row>
    <row r="86">
      <c r="A86" s="17" t="inlineStr">
        <is>
          <t>TRK-0083</t>
        </is>
      </c>
      <c r="B86" s="16" t="n"/>
      <c r="C86" s="16" t="n"/>
      <c r="D86" s="16" t="n"/>
      <c r="E86" s="16" t="n"/>
      <c r="F86" s="16" t="n"/>
      <c r="G86" s="16" t="n"/>
      <c r="H86" s="16" t="n"/>
      <c r="I86" s="16">
        <f>IF(H86&lt;&gt;"","Completed",IF(TODAY()&gt;G86,"Overdue",IF(F86&lt;&gt;"","In Progress","Not Started")))</f>
        <v/>
      </c>
      <c r="J86" s="18">
        <f>IF(I86="Overdue",TODAY()-G86,0)</f>
        <v/>
      </c>
      <c r="K86" s="16" t="n"/>
      <c r="L86" s="16" t="n"/>
      <c r="M86" s="16" t="n"/>
      <c r="N86" s="16" t="n"/>
      <c r="O86" s="16" t="n"/>
    </row>
    <row r="87">
      <c r="A87" s="17" t="inlineStr">
        <is>
          <t>TRK-0084</t>
        </is>
      </c>
      <c r="B87" s="16" t="n"/>
      <c r="C87" s="16" t="n"/>
      <c r="D87" s="16" t="n"/>
      <c r="E87" s="16" t="n"/>
      <c r="F87" s="16" t="n"/>
      <c r="G87" s="16" t="n"/>
      <c r="H87" s="16" t="n"/>
      <c r="I87" s="16">
        <f>IF(H87&lt;&gt;"","Completed",IF(TODAY()&gt;G87,"Overdue",IF(F87&lt;&gt;"","In Progress","Not Started")))</f>
        <v/>
      </c>
      <c r="J87" s="18">
        <f>IF(I87="Overdue",TODAY()-G87,0)</f>
        <v/>
      </c>
      <c r="K87" s="16" t="n"/>
      <c r="L87" s="16" t="n"/>
      <c r="M87" s="16" t="n"/>
      <c r="N87" s="16" t="n"/>
      <c r="O87" s="16" t="n"/>
    </row>
    <row r="88">
      <c r="A88" s="17" t="inlineStr">
        <is>
          <t>TRK-0085</t>
        </is>
      </c>
      <c r="B88" s="16" t="n"/>
      <c r="C88" s="16" t="n"/>
      <c r="D88" s="16" t="n"/>
      <c r="E88" s="16" t="n"/>
      <c r="F88" s="16" t="n"/>
      <c r="G88" s="16" t="n"/>
      <c r="H88" s="16" t="n"/>
      <c r="I88" s="16">
        <f>IF(H88&lt;&gt;"","Completed",IF(TODAY()&gt;G88,"Overdue",IF(F88&lt;&gt;"","In Progress","Not Started")))</f>
        <v/>
      </c>
      <c r="J88" s="18">
        <f>IF(I88="Overdue",TODAY()-G88,0)</f>
        <v/>
      </c>
      <c r="K88" s="16" t="n"/>
      <c r="L88" s="16" t="n"/>
      <c r="M88" s="16" t="n"/>
      <c r="N88" s="16" t="n"/>
      <c r="O88" s="16" t="n"/>
    </row>
    <row r="89">
      <c r="A89" s="17" t="inlineStr">
        <is>
          <t>TRK-0086</t>
        </is>
      </c>
      <c r="B89" s="16" t="n"/>
      <c r="C89" s="16" t="n"/>
      <c r="D89" s="16" t="n"/>
      <c r="E89" s="16" t="n"/>
      <c r="F89" s="16" t="n"/>
      <c r="G89" s="16" t="n"/>
      <c r="H89" s="16" t="n"/>
      <c r="I89" s="16">
        <f>IF(H89&lt;&gt;"","Completed",IF(TODAY()&gt;G89,"Overdue",IF(F89&lt;&gt;"","In Progress","Not Started")))</f>
        <v/>
      </c>
      <c r="J89" s="18">
        <f>IF(I89="Overdue",TODAY()-G89,0)</f>
        <v/>
      </c>
      <c r="K89" s="16" t="n"/>
      <c r="L89" s="16" t="n"/>
      <c r="M89" s="16" t="n"/>
      <c r="N89" s="16" t="n"/>
      <c r="O89" s="16" t="n"/>
    </row>
    <row r="90">
      <c r="A90" s="17" t="inlineStr">
        <is>
          <t>TRK-0087</t>
        </is>
      </c>
      <c r="B90" s="16" t="n"/>
      <c r="C90" s="16" t="n"/>
      <c r="D90" s="16" t="n"/>
      <c r="E90" s="16" t="n"/>
      <c r="F90" s="16" t="n"/>
      <c r="G90" s="16" t="n"/>
      <c r="H90" s="16" t="n"/>
      <c r="I90" s="16">
        <f>IF(H90&lt;&gt;"","Completed",IF(TODAY()&gt;G90,"Overdue",IF(F90&lt;&gt;"","In Progress","Not Started")))</f>
        <v/>
      </c>
      <c r="J90" s="18">
        <f>IF(I90="Overdue",TODAY()-G90,0)</f>
        <v/>
      </c>
      <c r="K90" s="16" t="n"/>
      <c r="L90" s="16" t="n"/>
      <c r="M90" s="16" t="n"/>
      <c r="N90" s="16" t="n"/>
      <c r="O90" s="16" t="n"/>
    </row>
    <row r="91">
      <c r="A91" s="17" t="inlineStr">
        <is>
          <t>TRK-0088</t>
        </is>
      </c>
      <c r="B91" s="16" t="n"/>
      <c r="C91" s="16" t="n"/>
      <c r="D91" s="16" t="n"/>
      <c r="E91" s="16" t="n"/>
      <c r="F91" s="16" t="n"/>
      <c r="G91" s="16" t="n"/>
      <c r="H91" s="16" t="n"/>
      <c r="I91" s="16">
        <f>IF(H91&lt;&gt;"","Completed",IF(TODAY()&gt;G91,"Overdue",IF(F91&lt;&gt;"","In Progress","Not Started")))</f>
        <v/>
      </c>
      <c r="J91" s="18">
        <f>IF(I91="Overdue",TODAY()-G91,0)</f>
        <v/>
      </c>
      <c r="K91" s="16" t="n"/>
      <c r="L91" s="16" t="n"/>
      <c r="M91" s="16" t="n"/>
      <c r="N91" s="16" t="n"/>
      <c r="O91" s="16" t="n"/>
    </row>
    <row r="92">
      <c r="A92" s="17" t="inlineStr">
        <is>
          <t>TRK-0089</t>
        </is>
      </c>
      <c r="B92" s="16" t="n"/>
      <c r="C92" s="16" t="n"/>
      <c r="D92" s="16" t="n"/>
      <c r="E92" s="16" t="n"/>
      <c r="F92" s="16" t="n"/>
      <c r="G92" s="16" t="n"/>
      <c r="H92" s="16" t="n"/>
      <c r="I92" s="16">
        <f>IF(H92&lt;&gt;"","Completed",IF(TODAY()&gt;G92,"Overdue",IF(F92&lt;&gt;"","In Progress","Not Started")))</f>
        <v/>
      </c>
      <c r="J92" s="18">
        <f>IF(I92="Overdue",TODAY()-G92,0)</f>
        <v/>
      </c>
      <c r="K92" s="16" t="n"/>
      <c r="L92" s="16" t="n"/>
      <c r="M92" s="16" t="n"/>
      <c r="N92" s="16" t="n"/>
      <c r="O92" s="16" t="n"/>
    </row>
    <row r="93">
      <c r="A93" s="17" t="inlineStr">
        <is>
          <t>TRK-0090</t>
        </is>
      </c>
      <c r="B93" s="16" t="n"/>
      <c r="C93" s="16" t="n"/>
      <c r="D93" s="16" t="n"/>
      <c r="E93" s="16" t="n"/>
      <c r="F93" s="16" t="n"/>
      <c r="G93" s="16" t="n"/>
      <c r="H93" s="16" t="n"/>
      <c r="I93" s="16">
        <f>IF(H93&lt;&gt;"","Completed",IF(TODAY()&gt;G93,"Overdue",IF(F93&lt;&gt;"","In Progress","Not Started")))</f>
        <v/>
      </c>
      <c r="J93" s="18">
        <f>IF(I93="Overdue",TODAY()-G93,0)</f>
        <v/>
      </c>
      <c r="K93" s="16" t="n"/>
      <c r="L93" s="16" t="n"/>
      <c r="M93" s="16" t="n"/>
      <c r="N93" s="16" t="n"/>
      <c r="O93" s="16" t="n"/>
    </row>
    <row r="94">
      <c r="A94" s="17" t="inlineStr">
        <is>
          <t>TRK-0091</t>
        </is>
      </c>
      <c r="B94" s="16" t="n"/>
      <c r="C94" s="16" t="n"/>
      <c r="D94" s="16" t="n"/>
      <c r="E94" s="16" t="n"/>
      <c r="F94" s="16" t="n"/>
      <c r="G94" s="16" t="n"/>
      <c r="H94" s="16" t="n"/>
      <c r="I94" s="16">
        <f>IF(H94&lt;&gt;"","Completed",IF(TODAY()&gt;G94,"Overdue",IF(F94&lt;&gt;"","In Progress","Not Started")))</f>
        <v/>
      </c>
      <c r="J94" s="18">
        <f>IF(I94="Overdue",TODAY()-G94,0)</f>
        <v/>
      </c>
      <c r="K94" s="16" t="n"/>
      <c r="L94" s="16" t="n"/>
      <c r="M94" s="16" t="n"/>
      <c r="N94" s="16" t="n"/>
      <c r="O94" s="16" t="n"/>
    </row>
    <row r="95">
      <c r="A95" s="17" t="inlineStr">
        <is>
          <t>TRK-0092</t>
        </is>
      </c>
      <c r="B95" s="16" t="n"/>
      <c r="C95" s="16" t="n"/>
      <c r="D95" s="16" t="n"/>
      <c r="E95" s="16" t="n"/>
      <c r="F95" s="16" t="n"/>
      <c r="G95" s="16" t="n"/>
      <c r="H95" s="16" t="n"/>
      <c r="I95" s="16">
        <f>IF(H95&lt;&gt;"","Completed",IF(TODAY()&gt;G95,"Overdue",IF(F95&lt;&gt;"","In Progress","Not Started")))</f>
        <v/>
      </c>
      <c r="J95" s="18">
        <f>IF(I95="Overdue",TODAY()-G95,0)</f>
        <v/>
      </c>
      <c r="K95" s="16" t="n"/>
      <c r="L95" s="16" t="n"/>
      <c r="M95" s="16" t="n"/>
      <c r="N95" s="16" t="n"/>
      <c r="O95" s="16" t="n"/>
    </row>
    <row r="96">
      <c r="A96" s="17" t="inlineStr">
        <is>
          <t>TRK-0093</t>
        </is>
      </c>
      <c r="B96" s="16" t="n"/>
      <c r="C96" s="16" t="n"/>
      <c r="D96" s="16" t="n"/>
      <c r="E96" s="16" t="n"/>
      <c r="F96" s="16" t="n"/>
      <c r="G96" s="16" t="n"/>
      <c r="H96" s="16" t="n"/>
      <c r="I96" s="16">
        <f>IF(H96&lt;&gt;"","Completed",IF(TODAY()&gt;G96,"Overdue",IF(F96&lt;&gt;"","In Progress","Not Started")))</f>
        <v/>
      </c>
      <c r="J96" s="18">
        <f>IF(I96="Overdue",TODAY()-G96,0)</f>
        <v/>
      </c>
      <c r="K96" s="16" t="n"/>
      <c r="L96" s="16" t="n"/>
      <c r="M96" s="16" t="n"/>
      <c r="N96" s="16" t="n"/>
      <c r="O96" s="16" t="n"/>
    </row>
    <row r="97">
      <c r="A97" s="17" t="inlineStr">
        <is>
          <t>TRK-0094</t>
        </is>
      </c>
      <c r="B97" s="16" t="n"/>
      <c r="C97" s="16" t="n"/>
      <c r="D97" s="16" t="n"/>
      <c r="E97" s="16" t="n"/>
      <c r="F97" s="16" t="n"/>
      <c r="G97" s="16" t="n"/>
      <c r="H97" s="16" t="n"/>
      <c r="I97" s="16">
        <f>IF(H97&lt;&gt;"","Completed",IF(TODAY()&gt;G97,"Overdue",IF(F97&lt;&gt;"","In Progress","Not Started")))</f>
        <v/>
      </c>
      <c r="J97" s="18">
        <f>IF(I97="Overdue",TODAY()-G97,0)</f>
        <v/>
      </c>
      <c r="K97" s="16" t="n"/>
      <c r="L97" s="16" t="n"/>
      <c r="M97" s="16" t="n"/>
      <c r="N97" s="16" t="n"/>
      <c r="O97" s="16" t="n"/>
    </row>
    <row r="98">
      <c r="A98" s="17" t="inlineStr">
        <is>
          <t>TRK-0095</t>
        </is>
      </c>
      <c r="B98" s="16" t="n"/>
      <c r="C98" s="16" t="n"/>
      <c r="D98" s="16" t="n"/>
      <c r="E98" s="16" t="n"/>
      <c r="F98" s="16" t="n"/>
      <c r="G98" s="16" t="n"/>
      <c r="H98" s="16" t="n"/>
      <c r="I98" s="16">
        <f>IF(H98&lt;&gt;"","Completed",IF(TODAY()&gt;G98,"Overdue",IF(F98&lt;&gt;"","In Progress","Not Started")))</f>
        <v/>
      </c>
      <c r="J98" s="18">
        <f>IF(I98="Overdue",TODAY()-G98,0)</f>
        <v/>
      </c>
      <c r="K98" s="16" t="n"/>
      <c r="L98" s="16" t="n"/>
      <c r="M98" s="16" t="n"/>
      <c r="N98" s="16" t="n"/>
      <c r="O98" s="16" t="n"/>
    </row>
    <row r="99">
      <c r="A99" s="17" t="inlineStr">
        <is>
          <t>TRK-0096</t>
        </is>
      </c>
      <c r="B99" s="16" t="n"/>
      <c r="C99" s="16" t="n"/>
      <c r="D99" s="16" t="n"/>
      <c r="E99" s="16" t="n"/>
      <c r="F99" s="16" t="n"/>
      <c r="G99" s="16" t="n"/>
      <c r="H99" s="16" t="n"/>
      <c r="I99" s="16">
        <f>IF(H99&lt;&gt;"","Completed",IF(TODAY()&gt;G99,"Overdue",IF(F99&lt;&gt;"","In Progress","Not Started")))</f>
        <v/>
      </c>
      <c r="J99" s="18">
        <f>IF(I99="Overdue",TODAY()-G99,0)</f>
        <v/>
      </c>
      <c r="K99" s="16" t="n"/>
      <c r="L99" s="16" t="n"/>
      <c r="M99" s="16" t="n"/>
      <c r="N99" s="16" t="n"/>
      <c r="O99" s="16" t="n"/>
    </row>
    <row r="100">
      <c r="A100" s="17" t="inlineStr">
        <is>
          <t>TRK-0097</t>
        </is>
      </c>
      <c r="B100" s="16" t="n"/>
      <c r="C100" s="16" t="n"/>
      <c r="D100" s="16" t="n"/>
      <c r="E100" s="16" t="n"/>
      <c r="F100" s="16" t="n"/>
      <c r="G100" s="16" t="n"/>
      <c r="H100" s="16" t="n"/>
      <c r="I100" s="16">
        <f>IF(H100&lt;&gt;"","Completed",IF(TODAY()&gt;G100,"Overdue",IF(F100&lt;&gt;"","In Progress","Not Started")))</f>
        <v/>
      </c>
      <c r="J100" s="18">
        <f>IF(I100="Overdue",TODAY()-G100,0)</f>
        <v/>
      </c>
      <c r="K100" s="16" t="n"/>
      <c r="L100" s="16" t="n"/>
      <c r="M100" s="16" t="n"/>
      <c r="N100" s="16" t="n"/>
      <c r="O100" s="16" t="n"/>
    </row>
    <row r="101">
      <c r="A101" s="17" t="inlineStr">
        <is>
          <t>TRK-0098</t>
        </is>
      </c>
      <c r="B101" s="16" t="n"/>
      <c r="C101" s="16" t="n"/>
      <c r="D101" s="16" t="n"/>
      <c r="E101" s="16" t="n"/>
      <c r="F101" s="16" t="n"/>
      <c r="G101" s="16" t="n"/>
      <c r="H101" s="16" t="n"/>
      <c r="I101" s="16">
        <f>IF(H101&lt;&gt;"","Completed",IF(TODAY()&gt;G101,"Overdue",IF(F101&lt;&gt;"","In Progress","Not Started")))</f>
        <v/>
      </c>
      <c r="J101" s="18">
        <f>IF(I101="Overdue",TODAY()-G101,0)</f>
        <v/>
      </c>
      <c r="K101" s="16" t="n"/>
      <c r="L101" s="16" t="n"/>
      <c r="M101" s="16" t="n"/>
      <c r="N101" s="16" t="n"/>
      <c r="O101" s="16" t="n"/>
    </row>
    <row r="102">
      <c r="A102" s="17" t="inlineStr">
        <is>
          <t>TRK-0099</t>
        </is>
      </c>
      <c r="B102" s="16" t="n"/>
      <c r="C102" s="16" t="n"/>
      <c r="D102" s="16" t="n"/>
      <c r="E102" s="16" t="n"/>
      <c r="F102" s="16" t="n"/>
      <c r="G102" s="16" t="n"/>
      <c r="H102" s="16" t="n"/>
      <c r="I102" s="16">
        <f>IF(H102&lt;&gt;"","Completed",IF(TODAY()&gt;G102,"Overdue",IF(F102&lt;&gt;"","In Progress","Not Started")))</f>
        <v/>
      </c>
      <c r="J102" s="18">
        <f>IF(I102="Overdue",TODAY()-G102,0)</f>
        <v/>
      </c>
      <c r="K102" s="16" t="n"/>
      <c r="L102" s="16" t="n"/>
      <c r="M102" s="16" t="n"/>
      <c r="N102" s="16" t="n"/>
      <c r="O102" s="16" t="n"/>
    </row>
    <row r="103">
      <c r="A103" s="17" t="inlineStr">
        <is>
          <t>TRK-0100</t>
        </is>
      </c>
      <c r="B103" s="16" t="n"/>
      <c r="C103" s="16" t="n"/>
      <c r="D103" s="16" t="n"/>
      <c r="E103" s="16" t="n"/>
      <c r="F103" s="16" t="n"/>
      <c r="G103" s="16" t="n"/>
      <c r="H103" s="16" t="n"/>
      <c r="I103" s="16">
        <f>IF(H103&lt;&gt;"","Completed",IF(TODAY()&gt;G103,"Overdue",IF(F103&lt;&gt;"","In Progress","Not Started")))</f>
        <v/>
      </c>
      <c r="J103" s="18">
        <f>IF(I103="Overdue",TODAY()-G103,0)</f>
        <v/>
      </c>
      <c r="K103" s="16" t="n"/>
      <c r="L103" s="16" t="n"/>
      <c r="M103" s="16" t="n"/>
      <c r="N103" s="16" t="n"/>
      <c r="O103" s="16" t="n"/>
    </row>
    <row r="104">
      <c r="A104" s="17" t="inlineStr">
        <is>
          <t>TRK-0101</t>
        </is>
      </c>
      <c r="B104" s="16" t="n"/>
      <c r="C104" s="16" t="n"/>
      <c r="D104" s="16" t="n"/>
      <c r="E104" s="16" t="n"/>
      <c r="F104" s="16" t="n"/>
      <c r="G104" s="16" t="n"/>
      <c r="H104" s="16" t="n"/>
      <c r="I104" s="16">
        <f>IF(H104&lt;&gt;"","Completed",IF(TODAY()&gt;G104,"Overdue",IF(F104&lt;&gt;"","In Progress","Not Started")))</f>
        <v/>
      </c>
      <c r="J104" s="18">
        <f>IF(I104="Overdue",TODAY()-G104,0)</f>
        <v/>
      </c>
      <c r="K104" s="16" t="n"/>
      <c r="L104" s="16" t="n"/>
      <c r="M104" s="16" t="n"/>
      <c r="N104" s="16" t="n"/>
      <c r="O104" s="16" t="n"/>
    </row>
    <row r="105">
      <c r="A105" s="17" t="inlineStr">
        <is>
          <t>TRK-0102</t>
        </is>
      </c>
      <c r="B105" s="16" t="n"/>
      <c r="C105" s="16" t="n"/>
      <c r="D105" s="16" t="n"/>
      <c r="E105" s="16" t="n"/>
      <c r="F105" s="16" t="n"/>
      <c r="G105" s="16" t="n"/>
      <c r="H105" s="16" t="n"/>
      <c r="I105" s="16">
        <f>IF(H105&lt;&gt;"","Completed",IF(TODAY()&gt;G105,"Overdue",IF(F105&lt;&gt;"","In Progress","Not Started")))</f>
        <v/>
      </c>
      <c r="J105" s="18">
        <f>IF(I105="Overdue",TODAY()-G105,0)</f>
        <v/>
      </c>
      <c r="K105" s="16" t="n"/>
      <c r="L105" s="16" t="n"/>
      <c r="M105" s="16" t="n"/>
      <c r="N105" s="16" t="n"/>
      <c r="O105" s="16" t="n"/>
    </row>
    <row r="106">
      <c r="A106" s="17" t="inlineStr">
        <is>
          <t>TRK-0103</t>
        </is>
      </c>
      <c r="B106" s="16" t="n"/>
      <c r="C106" s="16" t="n"/>
      <c r="D106" s="16" t="n"/>
      <c r="E106" s="16" t="n"/>
      <c r="F106" s="16" t="n"/>
      <c r="G106" s="16" t="n"/>
      <c r="H106" s="16" t="n"/>
      <c r="I106" s="16">
        <f>IF(H106&lt;&gt;"","Completed",IF(TODAY()&gt;G106,"Overdue",IF(F106&lt;&gt;"","In Progress","Not Started")))</f>
        <v/>
      </c>
      <c r="J106" s="18">
        <f>IF(I106="Overdue",TODAY()-G106,0)</f>
        <v/>
      </c>
      <c r="K106" s="16" t="n"/>
      <c r="L106" s="16" t="n"/>
      <c r="M106" s="16" t="n"/>
      <c r="N106" s="16" t="n"/>
      <c r="O106" s="16" t="n"/>
    </row>
    <row r="107">
      <c r="A107" s="17" t="inlineStr">
        <is>
          <t>TRK-0104</t>
        </is>
      </c>
      <c r="B107" s="16" t="n"/>
      <c r="C107" s="16" t="n"/>
      <c r="D107" s="16" t="n"/>
      <c r="E107" s="16" t="n"/>
      <c r="F107" s="16" t="n"/>
      <c r="G107" s="16" t="n"/>
      <c r="H107" s="16" t="n"/>
      <c r="I107" s="16">
        <f>IF(H107&lt;&gt;"","Completed",IF(TODAY()&gt;G107,"Overdue",IF(F107&lt;&gt;"","In Progress","Not Started")))</f>
        <v/>
      </c>
      <c r="J107" s="18">
        <f>IF(I107="Overdue",TODAY()-G107,0)</f>
        <v/>
      </c>
      <c r="K107" s="16" t="n"/>
      <c r="L107" s="16" t="n"/>
      <c r="M107" s="16" t="n"/>
      <c r="N107" s="16" t="n"/>
      <c r="O107" s="16" t="n"/>
    </row>
    <row r="108">
      <c r="A108" s="17" t="inlineStr">
        <is>
          <t>TRK-0105</t>
        </is>
      </c>
      <c r="B108" s="16" t="n"/>
      <c r="C108" s="16" t="n"/>
      <c r="D108" s="16" t="n"/>
      <c r="E108" s="16" t="n"/>
      <c r="F108" s="16" t="n"/>
      <c r="G108" s="16" t="n"/>
      <c r="H108" s="16" t="n"/>
      <c r="I108" s="16">
        <f>IF(H108&lt;&gt;"","Completed",IF(TODAY()&gt;G108,"Overdue",IF(F108&lt;&gt;"","In Progress","Not Started")))</f>
        <v/>
      </c>
      <c r="J108" s="18">
        <f>IF(I108="Overdue",TODAY()-G108,0)</f>
        <v/>
      </c>
      <c r="K108" s="16" t="n"/>
      <c r="L108" s="16" t="n"/>
      <c r="M108" s="16" t="n"/>
      <c r="N108" s="16" t="n"/>
      <c r="O108" s="16" t="n"/>
    </row>
    <row r="109">
      <c r="A109" s="17" t="inlineStr">
        <is>
          <t>TRK-0106</t>
        </is>
      </c>
      <c r="B109" s="16" t="n"/>
      <c r="C109" s="16" t="n"/>
      <c r="D109" s="16" t="n"/>
      <c r="E109" s="16" t="n"/>
      <c r="F109" s="16" t="n"/>
      <c r="G109" s="16" t="n"/>
      <c r="H109" s="16" t="n"/>
      <c r="I109" s="16">
        <f>IF(H109&lt;&gt;"","Completed",IF(TODAY()&gt;G109,"Overdue",IF(F109&lt;&gt;"","In Progress","Not Started")))</f>
        <v/>
      </c>
      <c r="J109" s="18">
        <f>IF(I109="Overdue",TODAY()-G109,0)</f>
        <v/>
      </c>
      <c r="K109" s="16" t="n"/>
      <c r="L109" s="16" t="n"/>
      <c r="M109" s="16" t="n"/>
      <c r="N109" s="16" t="n"/>
      <c r="O109" s="16" t="n"/>
    </row>
    <row r="110">
      <c r="A110" s="17" t="inlineStr">
        <is>
          <t>TRK-0107</t>
        </is>
      </c>
      <c r="B110" s="16" t="n"/>
      <c r="C110" s="16" t="n"/>
      <c r="D110" s="16" t="n"/>
      <c r="E110" s="16" t="n"/>
      <c r="F110" s="16" t="n"/>
      <c r="G110" s="16" t="n"/>
      <c r="H110" s="16" t="n"/>
      <c r="I110" s="16">
        <f>IF(H110&lt;&gt;"","Completed",IF(TODAY()&gt;G110,"Overdue",IF(F110&lt;&gt;"","In Progress","Not Started")))</f>
        <v/>
      </c>
      <c r="J110" s="18">
        <f>IF(I110="Overdue",TODAY()-G110,0)</f>
        <v/>
      </c>
      <c r="K110" s="16" t="n"/>
      <c r="L110" s="16" t="n"/>
      <c r="M110" s="16" t="n"/>
      <c r="N110" s="16" t="n"/>
      <c r="O110" s="16" t="n"/>
    </row>
    <row r="111">
      <c r="A111" s="17" t="inlineStr">
        <is>
          <t>TRK-0108</t>
        </is>
      </c>
      <c r="B111" s="16" t="n"/>
      <c r="C111" s="16" t="n"/>
      <c r="D111" s="16" t="n"/>
      <c r="E111" s="16" t="n"/>
      <c r="F111" s="16" t="n"/>
      <c r="G111" s="16" t="n"/>
      <c r="H111" s="16" t="n"/>
      <c r="I111" s="16">
        <f>IF(H111&lt;&gt;"","Completed",IF(TODAY()&gt;G111,"Overdue",IF(F111&lt;&gt;"","In Progress","Not Started")))</f>
        <v/>
      </c>
      <c r="J111" s="18">
        <f>IF(I111="Overdue",TODAY()-G111,0)</f>
        <v/>
      </c>
      <c r="K111" s="16" t="n"/>
      <c r="L111" s="16" t="n"/>
      <c r="M111" s="16" t="n"/>
      <c r="N111" s="16" t="n"/>
      <c r="O111" s="16" t="n"/>
    </row>
    <row r="112">
      <c r="A112" s="17" t="inlineStr">
        <is>
          <t>TRK-0109</t>
        </is>
      </c>
      <c r="B112" s="16" t="n"/>
      <c r="C112" s="16" t="n"/>
      <c r="D112" s="16" t="n"/>
      <c r="E112" s="16" t="n"/>
      <c r="F112" s="16" t="n"/>
      <c r="G112" s="16" t="n"/>
      <c r="H112" s="16" t="n"/>
      <c r="I112" s="16">
        <f>IF(H112&lt;&gt;"","Completed",IF(TODAY()&gt;G112,"Overdue",IF(F112&lt;&gt;"","In Progress","Not Started")))</f>
        <v/>
      </c>
      <c r="J112" s="18">
        <f>IF(I112="Overdue",TODAY()-G112,0)</f>
        <v/>
      </c>
      <c r="K112" s="16" t="n"/>
      <c r="L112" s="16" t="n"/>
      <c r="M112" s="16" t="n"/>
      <c r="N112" s="16" t="n"/>
      <c r="O112" s="16" t="n"/>
    </row>
    <row r="113">
      <c r="A113" s="17" t="inlineStr">
        <is>
          <t>TRK-0110</t>
        </is>
      </c>
      <c r="B113" s="16" t="n"/>
      <c r="C113" s="16" t="n"/>
      <c r="D113" s="16" t="n"/>
      <c r="E113" s="16" t="n"/>
      <c r="F113" s="16" t="n"/>
      <c r="G113" s="16" t="n"/>
      <c r="H113" s="16" t="n"/>
      <c r="I113" s="16">
        <f>IF(H113&lt;&gt;"","Completed",IF(TODAY()&gt;G113,"Overdue",IF(F113&lt;&gt;"","In Progress","Not Started")))</f>
        <v/>
      </c>
      <c r="J113" s="18">
        <f>IF(I113="Overdue",TODAY()-G113,0)</f>
        <v/>
      </c>
      <c r="K113" s="16" t="n"/>
      <c r="L113" s="16" t="n"/>
      <c r="M113" s="16" t="n"/>
      <c r="N113" s="16" t="n"/>
      <c r="O113" s="16" t="n"/>
    </row>
    <row r="114">
      <c r="A114" s="17" t="inlineStr">
        <is>
          <t>TRK-0111</t>
        </is>
      </c>
      <c r="B114" s="16" t="n"/>
      <c r="C114" s="16" t="n"/>
      <c r="D114" s="16" t="n"/>
      <c r="E114" s="16" t="n"/>
      <c r="F114" s="16" t="n"/>
      <c r="G114" s="16" t="n"/>
      <c r="H114" s="16" t="n"/>
      <c r="I114" s="16">
        <f>IF(H114&lt;&gt;"","Completed",IF(TODAY()&gt;G114,"Overdue",IF(F114&lt;&gt;"","In Progress","Not Started")))</f>
        <v/>
      </c>
      <c r="J114" s="18">
        <f>IF(I114="Overdue",TODAY()-G114,0)</f>
        <v/>
      </c>
      <c r="K114" s="16" t="n"/>
      <c r="L114" s="16" t="n"/>
      <c r="M114" s="16" t="n"/>
      <c r="N114" s="16" t="n"/>
      <c r="O114" s="16" t="n"/>
    </row>
    <row r="115">
      <c r="A115" s="17" t="inlineStr">
        <is>
          <t>TRK-0112</t>
        </is>
      </c>
      <c r="B115" s="16" t="n"/>
      <c r="C115" s="16" t="n"/>
      <c r="D115" s="16" t="n"/>
      <c r="E115" s="16" t="n"/>
      <c r="F115" s="16" t="n"/>
      <c r="G115" s="16" t="n"/>
      <c r="H115" s="16" t="n"/>
      <c r="I115" s="16">
        <f>IF(H115&lt;&gt;"","Completed",IF(TODAY()&gt;G115,"Overdue",IF(F115&lt;&gt;"","In Progress","Not Started")))</f>
        <v/>
      </c>
      <c r="J115" s="18">
        <f>IF(I115="Overdue",TODAY()-G115,0)</f>
        <v/>
      </c>
      <c r="K115" s="16" t="n"/>
      <c r="L115" s="16" t="n"/>
      <c r="M115" s="16" t="n"/>
      <c r="N115" s="16" t="n"/>
      <c r="O115" s="16" t="n"/>
    </row>
    <row r="116">
      <c r="A116" s="17" t="inlineStr">
        <is>
          <t>TRK-0113</t>
        </is>
      </c>
      <c r="B116" s="16" t="n"/>
      <c r="C116" s="16" t="n"/>
      <c r="D116" s="16" t="n"/>
      <c r="E116" s="16" t="n"/>
      <c r="F116" s="16" t="n"/>
      <c r="G116" s="16" t="n"/>
      <c r="H116" s="16" t="n"/>
      <c r="I116" s="16">
        <f>IF(H116&lt;&gt;"","Completed",IF(TODAY()&gt;G116,"Overdue",IF(F116&lt;&gt;"","In Progress","Not Started")))</f>
        <v/>
      </c>
      <c r="J116" s="18">
        <f>IF(I116="Overdue",TODAY()-G116,0)</f>
        <v/>
      </c>
      <c r="K116" s="16" t="n"/>
      <c r="L116" s="16" t="n"/>
      <c r="M116" s="16" t="n"/>
      <c r="N116" s="16" t="n"/>
      <c r="O116" s="16" t="n"/>
    </row>
    <row r="117">
      <c r="A117" s="17" t="inlineStr">
        <is>
          <t>TRK-0114</t>
        </is>
      </c>
      <c r="B117" s="16" t="n"/>
      <c r="C117" s="16" t="n"/>
      <c r="D117" s="16" t="n"/>
      <c r="E117" s="16" t="n"/>
      <c r="F117" s="16" t="n"/>
      <c r="G117" s="16" t="n"/>
      <c r="H117" s="16" t="n"/>
      <c r="I117" s="16">
        <f>IF(H117&lt;&gt;"","Completed",IF(TODAY()&gt;G117,"Overdue",IF(F117&lt;&gt;"","In Progress","Not Started")))</f>
        <v/>
      </c>
      <c r="J117" s="18">
        <f>IF(I117="Overdue",TODAY()-G117,0)</f>
        <v/>
      </c>
      <c r="K117" s="16" t="n"/>
      <c r="L117" s="16" t="n"/>
      <c r="M117" s="16" t="n"/>
      <c r="N117" s="16" t="n"/>
      <c r="O117" s="16" t="n"/>
    </row>
    <row r="118">
      <c r="A118" s="17" t="inlineStr">
        <is>
          <t>TRK-0115</t>
        </is>
      </c>
      <c r="B118" s="16" t="n"/>
      <c r="C118" s="16" t="n"/>
      <c r="D118" s="16" t="n"/>
      <c r="E118" s="16" t="n"/>
      <c r="F118" s="16" t="n"/>
      <c r="G118" s="16" t="n"/>
      <c r="H118" s="16" t="n"/>
      <c r="I118" s="16">
        <f>IF(H118&lt;&gt;"","Completed",IF(TODAY()&gt;G118,"Overdue",IF(F118&lt;&gt;"","In Progress","Not Started")))</f>
        <v/>
      </c>
      <c r="J118" s="18">
        <f>IF(I118="Overdue",TODAY()-G118,0)</f>
        <v/>
      </c>
      <c r="K118" s="16" t="n"/>
      <c r="L118" s="16" t="n"/>
      <c r="M118" s="16" t="n"/>
      <c r="N118" s="16" t="n"/>
      <c r="O118" s="16" t="n"/>
    </row>
    <row r="119">
      <c r="A119" s="17" t="inlineStr">
        <is>
          <t>TRK-0116</t>
        </is>
      </c>
      <c r="B119" s="16" t="n"/>
      <c r="C119" s="16" t="n"/>
      <c r="D119" s="16" t="n"/>
      <c r="E119" s="16" t="n"/>
      <c r="F119" s="16" t="n"/>
      <c r="G119" s="16" t="n"/>
      <c r="H119" s="16" t="n"/>
      <c r="I119" s="16">
        <f>IF(H119&lt;&gt;"","Completed",IF(TODAY()&gt;G119,"Overdue",IF(F119&lt;&gt;"","In Progress","Not Started")))</f>
        <v/>
      </c>
      <c r="J119" s="18">
        <f>IF(I119="Overdue",TODAY()-G119,0)</f>
        <v/>
      </c>
      <c r="K119" s="16" t="n"/>
      <c r="L119" s="16" t="n"/>
      <c r="M119" s="16" t="n"/>
      <c r="N119" s="16" t="n"/>
      <c r="O119" s="16" t="n"/>
    </row>
    <row r="120">
      <c r="A120" s="17" t="inlineStr">
        <is>
          <t>TRK-0117</t>
        </is>
      </c>
      <c r="B120" s="16" t="n"/>
      <c r="C120" s="16" t="n"/>
      <c r="D120" s="16" t="n"/>
      <c r="E120" s="16" t="n"/>
      <c r="F120" s="16" t="n"/>
      <c r="G120" s="16" t="n"/>
      <c r="H120" s="16" t="n"/>
      <c r="I120" s="16">
        <f>IF(H120&lt;&gt;"","Completed",IF(TODAY()&gt;G120,"Overdue",IF(F120&lt;&gt;"","In Progress","Not Started")))</f>
        <v/>
      </c>
      <c r="J120" s="18">
        <f>IF(I120="Overdue",TODAY()-G120,0)</f>
        <v/>
      </c>
      <c r="K120" s="16" t="n"/>
      <c r="L120" s="16" t="n"/>
      <c r="M120" s="16" t="n"/>
      <c r="N120" s="16" t="n"/>
      <c r="O120" s="16" t="n"/>
    </row>
    <row r="121">
      <c r="A121" s="17" t="inlineStr">
        <is>
          <t>TRK-0118</t>
        </is>
      </c>
      <c r="B121" s="16" t="n"/>
      <c r="C121" s="16" t="n"/>
      <c r="D121" s="16" t="n"/>
      <c r="E121" s="16" t="n"/>
      <c r="F121" s="16" t="n"/>
      <c r="G121" s="16" t="n"/>
      <c r="H121" s="16" t="n"/>
      <c r="I121" s="16">
        <f>IF(H121&lt;&gt;"","Completed",IF(TODAY()&gt;G121,"Overdue",IF(F121&lt;&gt;"","In Progress","Not Started")))</f>
        <v/>
      </c>
      <c r="J121" s="18">
        <f>IF(I121="Overdue",TODAY()-G121,0)</f>
        <v/>
      </c>
      <c r="K121" s="16" t="n"/>
      <c r="L121" s="16" t="n"/>
      <c r="M121" s="16" t="n"/>
      <c r="N121" s="16" t="n"/>
      <c r="O121" s="16" t="n"/>
    </row>
    <row r="122">
      <c r="A122" s="17" t="inlineStr">
        <is>
          <t>TRK-0119</t>
        </is>
      </c>
      <c r="B122" s="16" t="n"/>
      <c r="C122" s="16" t="n"/>
      <c r="D122" s="16" t="n"/>
      <c r="E122" s="16" t="n"/>
      <c r="F122" s="16" t="n"/>
      <c r="G122" s="16" t="n"/>
      <c r="H122" s="16" t="n"/>
      <c r="I122" s="16">
        <f>IF(H122&lt;&gt;"","Completed",IF(TODAY()&gt;G122,"Overdue",IF(F122&lt;&gt;"","In Progress","Not Started")))</f>
        <v/>
      </c>
      <c r="J122" s="18">
        <f>IF(I122="Overdue",TODAY()-G122,0)</f>
        <v/>
      </c>
      <c r="K122" s="16" t="n"/>
      <c r="L122" s="16" t="n"/>
      <c r="M122" s="16" t="n"/>
      <c r="N122" s="16" t="n"/>
      <c r="O122" s="16" t="n"/>
    </row>
    <row r="123">
      <c r="A123" s="17" t="inlineStr">
        <is>
          <t>TRK-0120</t>
        </is>
      </c>
      <c r="B123" s="16" t="n"/>
      <c r="C123" s="16" t="n"/>
      <c r="D123" s="16" t="n"/>
      <c r="E123" s="16" t="n"/>
      <c r="F123" s="16" t="n"/>
      <c r="G123" s="16" t="n"/>
      <c r="H123" s="16" t="n"/>
      <c r="I123" s="16">
        <f>IF(H123&lt;&gt;"","Completed",IF(TODAY()&gt;G123,"Overdue",IF(F123&lt;&gt;"","In Progress","Not Started")))</f>
        <v/>
      </c>
      <c r="J123" s="18">
        <f>IF(I123="Overdue",TODAY()-G123,0)</f>
        <v/>
      </c>
      <c r="K123" s="16" t="n"/>
      <c r="L123" s="16" t="n"/>
      <c r="M123" s="16" t="n"/>
      <c r="N123" s="16" t="n"/>
      <c r="O123" s="16" t="n"/>
    </row>
    <row r="124">
      <c r="A124" s="17" t="inlineStr">
        <is>
          <t>TRK-0121</t>
        </is>
      </c>
      <c r="B124" s="16" t="n"/>
      <c r="C124" s="16" t="n"/>
      <c r="D124" s="16" t="n"/>
      <c r="E124" s="16" t="n"/>
      <c r="F124" s="16" t="n"/>
      <c r="G124" s="16" t="n"/>
      <c r="H124" s="16" t="n"/>
      <c r="I124" s="16">
        <f>IF(H124&lt;&gt;"","Completed",IF(TODAY()&gt;G124,"Overdue",IF(F124&lt;&gt;"","In Progress","Not Started")))</f>
        <v/>
      </c>
      <c r="J124" s="18">
        <f>IF(I124="Overdue",TODAY()-G124,0)</f>
        <v/>
      </c>
      <c r="K124" s="16" t="n"/>
      <c r="L124" s="16" t="n"/>
      <c r="M124" s="16" t="n"/>
      <c r="N124" s="16" t="n"/>
      <c r="O124" s="16" t="n"/>
    </row>
    <row r="125">
      <c r="A125" s="17" t="inlineStr">
        <is>
          <t>TRK-0122</t>
        </is>
      </c>
      <c r="B125" s="16" t="n"/>
      <c r="C125" s="16" t="n"/>
      <c r="D125" s="16" t="n"/>
      <c r="E125" s="16" t="n"/>
      <c r="F125" s="16" t="n"/>
      <c r="G125" s="16" t="n"/>
      <c r="H125" s="16" t="n"/>
      <c r="I125" s="16">
        <f>IF(H125&lt;&gt;"","Completed",IF(TODAY()&gt;G125,"Overdue",IF(F125&lt;&gt;"","In Progress","Not Started")))</f>
        <v/>
      </c>
      <c r="J125" s="18">
        <f>IF(I125="Overdue",TODAY()-G125,0)</f>
        <v/>
      </c>
      <c r="K125" s="16" t="n"/>
      <c r="L125" s="16" t="n"/>
      <c r="M125" s="16" t="n"/>
      <c r="N125" s="16" t="n"/>
      <c r="O125" s="16" t="n"/>
    </row>
    <row r="126">
      <c r="A126" s="17" t="inlineStr">
        <is>
          <t>TRK-0123</t>
        </is>
      </c>
      <c r="B126" s="16" t="n"/>
      <c r="C126" s="16" t="n"/>
      <c r="D126" s="16" t="n"/>
      <c r="E126" s="16" t="n"/>
      <c r="F126" s="16" t="n"/>
      <c r="G126" s="16" t="n"/>
      <c r="H126" s="16" t="n"/>
      <c r="I126" s="16">
        <f>IF(H126&lt;&gt;"","Completed",IF(TODAY()&gt;G126,"Overdue",IF(F126&lt;&gt;"","In Progress","Not Started")))</f>
        <v/>
      </c>
      <c r="J126" s="18">
        <f>IF(I126="Overdue",TODAY()-G126,0)</f>
        <v/>
      </c>
      <c r="K126" s="16" t="n"/>
      <c r="L126" s="16" t="n"/>
      <c r="M126" s="16" t="n"/>
      <c r="N126" s="16" t="n"/>
      <c r="O126" s="16" t="n"/>
    </row>
    <row r="127">
      <c r="A127" s="17" t="inlineStr">
        <is>
          <t>TRK-0124</t>
        </is>
      </c>
      <c r="B127" s="16" t="n"/>
      <c r="C127" s="16" t="n"/>
      <c r="D127" s="16" t="n"/>
      <c r="E127" s="16" t="n"/>
      <c r="F127" s="16" t="n"/>
      <c r="G127" s="16" t="n"/>
      <c r="H127" s="16" t="n"/>
      <c r="I127" s="16">
        <f>IF(H127&lt;&gt;"","Completed",IF(TODAY()&gt;G127,"Overdue",IF(F127&lt;&gt;"","In Progress","Not Started")))</f>
        <v/>
      </c>
      <c r="J127" s="18">
        <f>IF(I127="Overdue",TODAY()-G127,0)</f>
        <v/>
      </c>
      <c r="K127" s="16" t="n"/>
      <c r="L127" s="16" t="n"/>
      <c r="M127" s="16" t="n"/>
      <c r="N127" s="16" t="n"/>
      <c r="O127" s="16" t="n"/>
    </row>
    <row r="128">
      <c r="A128" s="17" t="inlineStr">
        <is>
          <t>TRK-0125</t>
        </is>
      </c>
      <c r="B128" s="16" t="n"/>
      <c r="C128" s="16" t="n"/>
      <c r="D128" s="16" t="n"/>
      <c r="E128" s="16" t="n"/>
      <c r="F128" s="16" t="n"/>
      <c r="G128" s="16" t="n"/>
      <c r="H128" s="16" t="n"/>
      <c r="I128" s="16">
        <f>IF(H128&lt;&gt;"","Completed",IF(TODAY()&gt;G128,"Overdue",IF(F128&lt;&gt;"","In Progress","Not Started")))</f>
        <v/>
      </c>
      <c r="J128" s="18">
        <f>IF(I128="Overdue",TODAY()-G128,0)</f>
        <v/>
      </c>
      <c r="K128" s="16" t="n"/>
      <c r="L128" s="16" t="n"/>
      <c r="M128" s="16" t="n"/>
      <c r="N128" s="16" t="n"/>
      <c r="O128" s="16" t="n"/>
    </row>
    <row r="129">
      <c r="A129" s="17" t="inlineStr">
        <is>
          <t>TRK-0126</t>
        </is>
      </c>
      <c r="B129" s="16" t="n"/>
      <c r="C129" s="16" t="n"/>
      <c r="D129" s="16" t="n"/>
      <c r="E129" s="16" t="n"/>
      <c r="F129" s="16" t="n"/>
      <c r="G129" s="16" t="n"/>
      <c r="H129" s="16" t="n"/>
      <c r="I129" s="16">
        <f>IF(H129&lt;&gt;"","Completed",IF(TODAY()&gt;G129,"Overdue",IF(F129&lt;&gt;"","In Progress","Not Started")))</f>
        <v/>
      </c>
      <c r="J129" s="18">
        <f>IF(I129="Overdue",TODAY()-G129,0)</f>
        <v/>
      </c>
      <c r="K129" s="16" t="n"/>
      <c r="L129" s="16" t="n"/>
      <c r="M129" s="16" t="n"/>
      <c r="N129" s="16" t="n"/>
      <c r="O129" s="16" t="n"/>
    </row>
    <row r="130">
      <c r="A130" s="17" t="inlineStr">
        <is>
          <t>TRK-0127</t>
        </is>
      </c>
      <c r="B130" s="16" t="n"/>
      <c r="C130" s="16" t="n"/>
      <c r="D130" s="16" t="n"/>
      <c r="E130" s="16" t="n"/>
      <c r="F130" s="16" t="n"/>
      <c r="G130" s="16" t="n"/>
      <c r="H130" s="16" t="n"/>
      <c r="I130" s="16">
        <f>IF(H130&lt;&gt;"","Completed",IF(TODAY()&gt;G130,"Overdue",IF(F130&lt;&gt;"","In Progress","Not Started")))</f>
        <v/>
      </c>
      <c r="J130" s="18">
        <f>IF(I130="Overdue",TODAY()-G130,0)</f>
        <v/>
      </c>
      <c r="K130" s="16" t="n"/>
      <c r="L130" s="16" t="n"/>
      <c r="M130" s="16" t="n"/>
      <c r="N130" s="16" t="n"/>
      <c r="O130" s="16" t="n"/>
    </row>
    <row r="131">
      <c r="A131" s="17" t="inlineStr">
        <is>
          <t>TRK-0128</t>
        </is>
      </c>
      <c r="B131" s="16" t="n"/>
      <c r="C131" s="16" t="n"/>
      <c r="D131" s="16" t="n"/>
      <c r="E131" s="16" t="n"/>
      <c r="F131" s="16" t="n"/>
      <c r="G131" s="16" t="n"/>
      <c r="H131" s="16" t="n"/>
      <c r="I131" s="16">
        <f>IF(H131&lt;&gt;"","Completed",IF(TODAY()&gt;G131,"Overdue",IF(F131&lt;&gt;"","In Progress","Not Started")))</f>
        <v/>
      </c>
      <c r="J131" s="18">
        <f>IF(I131="Overdue",TODAY()-G131,0)</f>
        <v/>
      </c>
      <c r="K131" s="16" t="n"/>
      <c r="L131" s="16" t="n"/>
      <c r="M131" s="16" t="n"/>
      <c r="N131" s="16" t="n"/>
      <c r="O131" s="16" t="n"/>
    </row>
    <row r="132">
      <c r="A132" s="17" t="inlineStr">
        <is>
          <t>TRK-0129</t>
        </is>
      </c>
      <c r="B132" s="16" t="n"/>
      <c r="C132" s="16" t="n"/>
      <c r="D132" s="16" t="n"/>
      <c r="E132" s="16" t="n"/>
      <c r="F132" s="16" t="n"/>
      <c r="G132" s="16" t="n"/>
      <c r="H132" s="16" t="n"/>
      <c r="I132" s="16">
        <f>IF(H132&lt;&gt;"","Completed",IF(TODAY()&gt;G132,"Overdue",IF(F132&lt;&gt;"","In Progress","Not Started")))</f>
        <v/>
      </c>
      <c r="J132" s="18">
        <f>IF(I132="Overdue",TODAY()-G132,0)</f>
        <v/>
      </c>
      <c r="K132" s="16" t="n"/>
      <c r="L132" s="16" t="n"/>
      <c r="M132" s="16" t="n"/>
      <c r="N132" s="16" t="n"/>
      <c r="O132" s="16" t="n"/>
    </row>
    <row r="133">
      <c r="A133" s="17" t="inlineStr">
        <is>
          <t>TRK-0130</t>
        </is>
      </c>
      <c r="B133" s="16" t="n"/>
      <c r="C133" s="16" t="n"/>
      <c r="D133" s="16" t="n"/>
      <c r="E133" s="16" t="n"/>
      <c r="F133" s="16" t="n"/>
      <c r="G133" s="16" t="n"/>
      <c r="H133" s="16" t="n"/>
      <c r="I133" s="16">
        <f>IF(H133&lt;&gt;"","Completed",IF(TODAY()&gt;G133,"Overdue",IF(F133&lt;&gt;"","In Progress","Not Started")))</f>
        <v/>
      </c>
      <c r="J133" s="18">
        <f>IF(I133="Overdue",TODAY()-G133,0)</f>
        <v/>
      </c>
      <c r="K133" s="16" t="n"/>
      <c r="L133" s="16" t="n"/>
      <c r="M133" s="16" t="n"/>
      <c r="N133" s="16" t="n"/>
      <c r="O133" s="16" t="n"/>
    </row>
    <row r="134">
      <c r="A134" s="17" t="inlineStr">
        <is>
          <t>TRK-0131</t>
        </is>
      </c>
      <c r="B134" s="16" t="n"/>
      <c r="C134" s="16" t="n"/>
      <c r="D134" s="16" t="n"/>
      <c r="E134" s="16" t="n"/>
      <c r="F134" s="16" t="n"/>
      <c r="G134" s="16" t="n"/>
      <c r="H134" s="16" t="n"/>
      <c r="I134" s="16">
        <f>IF(H134&lt;&gt;"","Completed",IF(TODAY()&gt;G134,"Overdue",IF(F134&lt;&gt;"","In Progress","Not Started")))</f>
        <v/>
      </c>
      <c r="J134" s="18">
        <f>IF(I134="Overdue",TODAY()-G134,0)</f>
        <v/>
      </c>
      <c r="K134" s="16" t="n"/>
      <c r="L134" s="16" t="n"/>
      <c r="M134" s="16" t="n"/>
      <c r="N134" s="16" t="n"/>
      <c r="O134" s="16" t="n"/>
    </row>
    <row r="135">
      <c r="A135" s="17" t="inlineStr">
        <is>
          <t>TRK-0132</t>
        </is>
      </c>
      <c r="B135" s="16" t="n"/>
      <c r="C135" s="16" t="n"/>
      <c r="D135" s="16" t="n"/>
      <c r="E135" s="16" t="n"/>
      <c r="F135" s="16" t="n"/>
      <c r="G135" s="16" t="n"/>
      <c r="H135" s="16" t="n"/>
      <c r="I135" s="16">
        <f>IF(H135&lt;&gt;"","Completed",IF(TODAY()&gt;G135,"Overdue",IF(F135&lt;&gt;"","In Progress","Not Started")))</f>
        <v/>
      </c>
      <c r="J135" s="18">
        <f>IF(I135="Overdue",TODAY()-G135,0)</f>
        <v/>
      </c>
      <c r="K135" s="16" t="n"/>
      <c r="L135" s="16" t="n"/>
      <c r="M135" s="16" t="n"/>
      <c r="N135" s="16" t="n"/>
      <c r="O135" s="16" t="n"/>
    </row>
    <row r="136">
      <c r="A136" s="17" t="inlineStr">
        <is>
          <t>TRK-0133</t>
        </is>
      </c>
      <c r="B136" s="16" t="n"/>
      <c r="C136" s="16" t="n"/>
      <c r="D136" s="16" t="n"/>
      <c r="E136" s="16" t="n"/>
      <c r="F136" s="16" t="n"/>
      <c r="G136" s="16" t="n"/>
      <c r="H136" s="16" t="n"/>
      <c r="I136" s="16">
        <f>IF(H136&lt;&gt;"","Completed",IF(TODAY()&gt;G136,"Overdue",IF(F136&lt;&gt;"","In Progress","Not Started")))</f>
        <v/>
      </c>
      <c r="J136" s="18">
        <f>IF(I136="Overdue",TODAY()-G136,0)</f>
        <v/>
      </c>
      <c r="K136" s="16" t="n"/>
      <c r="L136" s="16" t="n"/>
      <c r="M136" s="16" t="n"/>
      <c r="N136" s="16" t="n"/>
      <c r="O136" s="16" t="n"/>
    </row>
    <row r="137">
      <c r="A137" s="17" t="inlineStr">
        <is>
          <t>TRK-0134</t>
        </is>
      </c>
      <c r="B137" s="16" t="n"/>
      <c r="C137" s="16" t="n"/>
      <c r="D137" s="16" t="n"/>
      <c r="E137" s="16" t="n"/>
      <c r="F137" s="16" t="n"/>
      <c r="G137" s="16" t="n"/>
      <c r="H137" s="16" t="n"/>
      <c r="I137" s="16">
        <f>IF(H137&lt;&gt;"","Completed",IF(TODAY()&gt;G137,"Overdue",IF(F137&lt;&gt;"","In Progress","Not Started")))</f>
        <v/>
      </c>
      <c r="J137" s="18">
        <f>IF(I137="Overdue",TODAY()-G137,0)</f>
        <v/>
      </c>
      <c r="K137" s="16" t="n"/>
      <c r="L137" s="16" t="n"/>
      <c r="M137" s="16" t="n"/>
      <c r="N137" s="16" t="n"/>
      <c r="O137" s="16" t="n"/>
    </row>
    <row r="138">
      <c r="A138" s="17" t="inlineStr">
        <is>
          <t>TRK-0135</t>
        </is>
      </c>
      <c r="B138" s="16" t="n"/>
      <c r="C138" s="16" t="n"/>
      <c r="D138" s="16" t="n"/>
      <c r="E138" s="16" t="n"/>
      <c r="F138" s="16" t="n"/>
      <c r="G138" s="16" t="n"/>
      <c r="H138" s="16" t="n"/>
      <c r="I138" s="16">
        <f>IF(H138&lt;&gt;"","Completed",IF(TODAY()&gt;G138,"Overdue",IF(F138&lt;&gt;"","In Progress","Not Started")))</f>
        <v/>
      </c>
      <c r="J138" s="18">
        <f>IF(I138="Overdue",TODAY()-G138,0)</f>
        <v/>
      </c>
      <c r="K138" s="16" t="n"/>
      <c r="L138" s="16" t="n"/>
      <c r="M138" s="16" t="n"/>
      <c r="N138" s="16" t="n"/>
      <c r="O138" s="16" t="n"/>
    </row>
    <row r="139">
      <c r="A139" s="17" t="inlineStr">
        <is>
          <t>TRK-0136</t>
        </is>
      </c>
      <c r="B139" s="16" t="n"/>
      <c r="C139" s="16" t="n"/>
      <c r="D139" s="16" t="n"/>
      <c r="E139" s="16" t="n"/>
      <c r="F139" s="16" t="n"/>
      <c r="G139" s="16" t="n"/>
      <c r="H139" s="16" t="n"/>
      <c r="I139" s="16">
        <f>IF(H139&lt;&gt;"","Completed",IF(TODAY()&gt;G139,"Overdue",IF(F139&lt;&gt;"","In Progress","Not Started")))</f>
        <v/>
      </c>
      <c r="J139" s="18">
        <f>IF(I139="Overdue",TODAY()-G139,0)</f>
        <v/>
      </c>
      <c r="K139" s="16" t="n"/>
      <c r="L139" s="16" t="n"/>
      <c r="M139" s="16" t="n"/>
      <c r="N139" s="16" t="n"/>
      <c r="O139" s="16" t="n"/>
    </row>
    <row r="140">
      <c r="A140" s="17" t="inlineStr">
        <is>
          <t>TRK-0137</t>
        </is>
      </c>
      <c r="B140" s="16" t="n"/>
      <c r="C140" s="16" t="n"/>
      <c r="D140" s="16" t="n"/>
      <c r="E140" s="16" t="n"/>
      <c r="F140" s="16" t="n"/>
      <c r="G140" s="16" t="n"/>
      <c r="H140" s="16" t="n"/>
      <c r="I140" s="16">
        <f>IF(H140&lt;&gt;"","Completed",IF(TODAY()&gt;G140,"Overdue",IF(F140&lt;&gt;"","In Progress","Not Started")))</f>
        <v/>
      </c>
      <c r="J140" s="18">
        <f>IF(I140="Overdue",TODAY()-G140,0)</f>
        <v/>
      </c>
      <c r="K140" s="16" t="n"/>
      <c r="L140" s="16" t="n"/>
      <c r="M140" s="16" t="n"/>
      <c r="N140" s="16" t="n"/>
      <c r="O140" s="16" t="n"/>
    </row>
    <row r="141">
      <c r="A141" s="17" t="inlineStr">
        <is>
          <t>TRK-0138</t>
        </is>
      </c>
      <c r="B141" s="16" t="n"/>
      <c r="C141" s="16" t="n"/>
      <c r="D141" s="16" t="n"/>
      <c r="E141" s="16" t="n"/>
      <c r="F141" s="16" t="n"/>
      <c r="G141" s="16" t="n"/>
      <c r="H141" s="16" t="n"/>
      <c r="I141" s="16">
        <f>IF(H141&lt;&gt;"","Completed",IF(TODAY()&gt;G141,"Overdue",IF(F141&lt;&gt;"","In Progress","Not Started")))</f>
        <v/>
      </c>
      <c r="J141" s="18">
        <f>IF(I141="Overdue",TODAY()-G141,0)</f>
        <v/>
      </c>
      <c r="K141" s="16" t="n"/>
      <c r="L141" s="16" t="n"/>
      <c r="M141" s="16" t="n"/>
      <c r="N141" s="16" t="n"/>
      <c r="O141" s="16" t="n"/>
    </row>
    <row r="142">
      <c r="A142" s="17" t="inlineStr">
        <is>
          <t>TRK-0139</t>
        </is>
      </c>
      <c r="B142" s="16" t="n"/>
      <c r="C142" s="16" t="n"/>
      <c r="D142" s="16" t="n"/>
      <c r="E142" s="16" t="n"/>
      <c r="F142" s="16" t="n"/>
      <c r="G142" s="16" t="n"/>
      <c r="H142" s="16" t="n"/>
      <c r="I142" s="16">
        <f>IF(H142&lt;&gt;"","Completed",IF(TODAY()&gt;G142,"Overdue",IF(F142&lt;&gt;"","In Progress","Not Started")))</f>
        <v/>
      </c>
      <c r="J142" s="18">
        <f>IF(I142="Overdue",TODAY()-G142,0)</f>
        <v/>
      </c>
      <c r="K142" s="16" t="n"/>
      <c r="L142" s="16" t="n"/>
      <c r="M142" s="16" t="n"/>
      <c r="N142" s="16" t="n"/>
      <c r="O142" s="16" t="n"/>
    </row>
    <row r="143">
      <c r="A143" s="17" t="inlineStr">
        <is>
          <t>TRK-0140</t>
        </is>
      </c>
      <c r="B143" s="16" t="n"/>
      <c r="C143" s="16" t="n"/>
      <c r="D143" s="16" t="n"/>
      <c r="E143" s="16" t="n"/>
      <c r="F143" s="16" t="n"/>
      <c r="G143" s="16" t="n"/>
      <c r="H143" s="16" t="n"/>
      <c r="I143" s="16">
        <f>IF(H143&lt;&gt;"","Completed",IF(TODAY()&gt;G143,"Overdue",IF(F143&lt;&gt;"","In Progress","Not Started")))</f>
        <v/>
      </c>
      <c r="J143" s="18">
        <f>IF(I143="Overdue",TODAY()-G143,0)</f>
        <v/>
      </c>
      <c r="K143" s="16" t="n"/>
      <c r="L143" s="16" t="n"/>
      <c r="M143" s="16" t="n"/>
      <c r="N143" s="16" t="n"/>
      <c r="O143" s="16" t="n"/>
    </row>
    <row r="144">
      <c r="A144" s="17" t="inlineStr">
        <is>
          <t>TRK-0141</t>
        </is>
      </c>
      <c r="B144" s="16" t="n"/>
      <c r="C144" s="16" t="n"/>
      <c r="D144" s="16" t="n"/>
      <c r="E144" s="16" t="n"/>
      <c r="F144" s="16" t="n"/>
      <c r="G144" s="16" t="n"/>
      <c r="H144" s="16" t="n"/>
      <c r="I144" s="16">
        <f>IF(H144&lt;&gt;"","Completed",IF(TODAY()&gt;G144,"Overdue",IF(F144&lt;&gt;"","In Progress","Not Started")))</f>
        <v/>
      </c>
      <c r="J144" s="18">
        <f>IF(I144="Overdue",TODAY()-G144,0)</f>
        <v/>
      </c>
      <c r="K144" s="16" t="n"/>
      <c r="L144" s="16" t="n"/>
      <c r="M144" s="16" t="n"/>
      <c r="N144" s="16" t="n"/>
      <c r="O144" s="16" t="n"/>
    </row>
    <row r="145">
      <c r="A145" s="17" t="inlineStr">
        <is>
          <t>TRK-0142</t>
        </is>
      </c>
      <c r="B145" s="16" t="n"/>
      <c r="C145" s="16" t="n"/>
      <c r="D145" s="16" t="n"/>
      <c r="E145" s="16" t="n"/>
      <c r="F145" s="16" t="n"/>
      <c r="G145" s="16" t="n"/>
      <c r="H145" s="16" t="n"/>
      <c r="I145" s="16">
        <f>IF(H145&lt;&gt;"","Completed",IF(TODAY()&gt;G145,"Overdue",IF(F145&lt;&gt;"","In Progress","Not Started")))</f>
        <v/>
      </c>
      <c r="J145" s="18">
        <f>IF(I145="Overdue",TODAY()-G145,0)</f>
        <v/>
      </c>
      <c r="K145" s="16" t="n"/>
      <c r="L145" s="16" t="n"/>
      <c r="M145" s="16" t="n"/>
      <c r="N145" s="16" t="n"/>
      <c r="O145" s="16" t="n"/>
    </row>
    <row r="146">
      <c r="A146" s="17" t="inlineStr">
        <is>
          <t>TRK-0143</t>
        </is>
      </c>
      <c r="B146" s="16" t="n"/>
      <c r="C146" s="16" t="n"/>
      <c r="D146" s="16" t="n"/>
      <c r="E146" s="16" t="n"/>
      <c r="F146" s="16" t="n"/>
      <c r="G146" s="16" t="n"/>
      <c r="H146" s="16" t="n"/>
      <c r="I146" s="16">
        <f>IF(H146&lt;&gt;"","Completed",IF(TODAY()&gt;G146,"Overdue",IF(F146&lt;&gt;"","In Progress","Not Started")))</f>
        <v/>
      </c>
      <c r="J146" s="18">
        <f>IF(I146="Overdue",TODAY()-G146,0)</f>
        <v/>
      </c>
      <c r="K146" s="16" t="n"/>
      <c r="L146" s="16" t="n"/>
      <c r="M146" s="16" t="n"/>
      <c r="N146" s="16" t="n"/>
      <c r="O146" s="16" t="n"/>
    </row>
    <row r="147">
      <c r="A147" s="17" t="inlineStr">
        <is>
          <t>TRK-0144</t>
        </is>
      </c>
      <c r="B147" s="16" t="n"/>
      <c r="C147" s="16" t="n"/>
      <c r="D147" s="16" t="n"/>
      <c r="E147" s="16" t="n"/>
      <c r="F147" s="16" t="n"/>
      <c r="G147" s="16" t="n"/>
      <c r="H147" s="16" t="n"/>
      <c r="I147" s="16">
        <f>IF(H147&lt;&gt;"","Completed",IF(TODAY()&gt;G147,"Overdue",IF(F147&lt;&gt;"","In Progress","Not Started")))</f>
        <v/>
      </c>
      <c r="J147" s="18">
        <f>IF(I147="Overdue",TODAY()-G147,0)</f>
        <v/>
      </c>
      <c r="K147" s="16" t="n"/>
      <c r="L147" s="16" t="n"/>
      <c r="M147" s="16" t="n"/>
      <c r="N147" s="16" t="n"/>
      <c r="O147" s="16" t="n"/>
    </row>
    <row r="148">
      <c r="A148" s="17" t="inlineStr">
        <is>
          <t>TRK-0145</t>
        </is>
      </c>
      <c r="B148" s="16" t="n"/>
      <c r="C148" s="16" t="n"/>
      <c r="D148" s="16" t="n"/>
      <c r="E148" s="16" t="n"/>
      <c r="F148" s="16" t="n"/>
      <c r="G148" s="16" t="n"/>
      <c r="H148" s="16" t="n"/>
      <c r="I148" s="16">
        <f>IF(H148&lt;&gt;"","Completed",IF(TODAY()&gt;G148,"Overdue",IF(F148&lt;&gt;"","In Progress","Not Started")))</f>
        <v/>
      </c>
      <c r="J148" s="18">
        <f>IF(I148="Overdue",TODAY()-G148,0)</f>
        <v/>
      </c>
      <c r="K148" s="16" t="n"/>
      <c r="L148" s="16" t="n"/>
      <c r="M148" s="16" t="n"/>
      <c r="N148" s="16" t="n"/>
      <c r="O148" s="16" t="n"/>
    </row>
    <row r="149">
      <c r="A149" s="17" t="inlineStr">
        <is>
          <t>TRK-0146</t>
        </is>
      </c>
      <c r="B149" s="16" t="n"/>
      <c r="C149" s="16" t="n"/>
      <c r="D149" s="16" t="n"/>
      <c r="E149" s="16" t="n"/>
      <c r="F149" s="16" t="n"/>
      <c r="G149" s="16" t="n"/>
      <c r="H149" s="16" t="n"/>
      <c r="I149" s="16">
        <f>IF(H149&lt;&gt;"","Completed",IF(TODAY()&gt;G149,"Overdue",IF(F149&lt;&gt;"","In Progress","Not Started")))</f>
        <v/>
      </c>
      <c r="J149" s="18">
        <f>IF(I149="Overdue",TODAY()-G149,0)</f>
        <v/>
      </c>
      <c r="K149" s="16" t="n"/>
      <c r="L149" s="16" t="n"/>
      <c r="M149" s="16" t="n"/>
      <c r="N149" s="16" t="n"/>
      <c r="O149" s="16" t="n"/>
    </row>
    <row r="150">
      <c r="A150" s="17" t="inlineStr">
        <is>
          <t>TRK-0147</t>
        </is>
      </c>
      <c r="B150" s="16" t="n"/>
      <c r="C150" s="16" t="n"/>
      <c r="D150" s="16" t="n"/>
      <c r="E150" s="16" t="n"/>
      <c r="F150" s="16" t="n"/>
      <c r="G150" s="16" t="n"/>
      <c r="H150" s="16" t="n"/>
      <c r="I150" s="16">
        <f>IF(H150&lt;&gt;"","Completed",IF(TODAY()&gt;G150,"Overdue",IF(F150&lt;&gt;"","In Progress","Not Started")))</f>
        <v/>
      </c>
      <c r="J150" s="18">
        <f>IF(I150="Overdue",TODAY()-G150,0)</f>
        <v/>
      </c>
      <c r="K150" s="16" t="n"/>
      <c r="L150" s="16" t="n"/>
      <c r="M150" s="16" t="n"/>
      <c r="N150" s="16" t="n"/>
      <c r="O150" s="16" t="n"/>
    </row>
    <row r="151">
      <c r="A151" s="17" t="inlineStr">
        <is>
          <t>TRK-0148</t>
        </is>
      </c>
      <c r="B151" s="16" t="n"/>
      <c r="C151" s="16" t="n"/>
      <c r="D151" s="16" t="n"/>
      <c r="E151" s="16" t="n"/>
      <c r="F151" s="16" t="n"/>
      <c r="G151" s="16" t="n"/>
      <c r="H151" s="16" t="n"/>
      <c r="I151" s="16">
        <f>IF(H151&lt;&gt;"","Completed",IF(TODAY()&gt;G151,"Overdue",IF(F151&lt;&gt;"","In Progress","Not Started")))</f>
        <v/>
      </c>
      <c r="J151" s="18">
        <f>IF(I151="Overdue",TODAY()-G151,0)</f>
        <v/>
      </c>
      <c r="K151" s="16" t="n"/>
      <c r="L151" s="16" t="n"/>
      <c r="M151" s="16" t="n"/>
      <c r="N151" s="16" t="n"/>
      <c r="O151" s="16" t="n"/>
    </row>
    <row r="152">
      <c r="A152" s="17" t="inlineStr">
        <is>
          <t>TRK-0149</t>
        </is>
      </c>
      <c r="B152" s="16" t="n"/>
      <c r="C152" s="16" t="n"/>
      <c r="D152" s="16" t="n"/>
      <c r="E152" s="16" t="n"/>
      <c r="F152" s="16" t="n"/>
      <c r="G152" s="16" t="n"/>
      <c r="H152" s="16" t="n"/>
      <c r="I152" s="16">
        <f>IF(H152&lt;&gt;"","Completed",IF(TODAY()&gt;G152,"Overdue",IF(F152&lt;&gt;"","In Progress","Not Started")))</f>
        <v/>
      </c>
      <c r="J152" s="18">
        <f>IF(I152="Overdue",TODAY()-G152,0)</f>
        <v/>
      </c>
      <c r="K152" s="16" t="n"/>
      <c r="L152" s="16" t="n"/>
      <c r="M152" s="16" t="n"/>
      <c r="N152" s="16" t="n"/>
      <c r="O152" s="16" t="n"/>
    </row>
    <row r="153">
      <c r="A153" s="17" t="inlineStr">
        <is>
          <t>TRK-0150</t>
        </is>
      </c>
      <c r="B153" s="16" t="n"/>
      <c r="C153" s="16" t="n"/>
      <c r="D153" s="16" t="n"/>
      <c r="E153" s="16" t="n"/>
      <c r="F153" s="16" t="n"/>
      <c r="G153" s="16" t="n"/>
      <c r="H153" s="16" t="n"/>
      <c r="I153" s="16">
        <f>IF(H153&lt;&gt;"","Completed",IF(TODAY()&gt;G153,"Overdue",IF(F153&lt;&gt;"","In Progress","Not Started")))</f>
        <v/>
      </c>
      <c r="J153" s="18">
        <f>IF(I153="Overdue",TODAY()-G153,0)</f>
        <v/>
      </c>
      <c r="K153" s="16" t="n"/>
      <c r="L153" s="16" t="n"/>
      <c r="M153" s="16" t="n"/>
      <c r="N153" s="16" t="n"/>
      <c r="O153" s="16" t="n"/>
    </row>
    <row r="154">
      <c r="A154" s="17" t="inlineStr">
        <is>
          <t>TRK-0151</t>
        </is>
      </c>
      <c r="B154" s="16" t="n"/>
      <c r="C154" s="16" t="n"/>
      <c r="D154" s="16" t="n"/>
      <c r="E154" s="16" t="n"/>
      <c r="F154" s="16" t="n"/>
      <c r="G154" s="16" t="n"/>
      <c r="H154" s="16" t="n"/>
      <c r="I154" s="16">
        <f>IF(H154&lt;&gt;"","Completed",IF(TODAY()&gt;G154,"Overdue",IF(F154&lt;&gt;"","In Progress","Not Started")))</f>
        <v/>
      </c>
      <c r="J154" s="18">
        <f>IF(I154="Overdue",TODAY()-G154,0)</f>
        <v/>
      </c>
      <c r="K154" s="16" t="n"/>
      <c r="L154" s="16" t="n"/>
      <c r="M154" s="16" t="n"/>
      <c r="N154" s="16" t="n"/>
      <c r="O154" s="16" t="n"/>
    </row>
    <row r="155">
      <c r="A155" s="17" t="inlineStr">
        <is>
          <t>TRK-0152</t>
        </is>
      </c>
      <c r="B155" s="16" t="n"/>
      <c r="C155" s="16" t="n"/>
      <c r="D155" s="16" t="n"/>
      <c r="E155" s="16" t="n"/>
      <c r="F155" s="16" t="n"/>
      <c r="G155" s="16" t="n"/>
      <c r="H155" s="16" t="n"/>
      <c r="I155" s="16">
        <f>IF(H155&lt;&gt;"","Completed",IF(TODAY()&gt;G155,"Overdue",IF(F155&lt;&gt;"","In Progress","Not Started")))</f>
        <v/>
      </c>
      <c r="J155" s="18">
        <f>IF(I155="Overdue",TODAY()-G155,0)</f>
        <v/>
      </c>
      <c r="K155" s="16" t="n"/>
      <c r="L155" s="16" t="n"/>
      <c r="M155" s="16" t="n"/>
      <c r="N155" s="16" t="n"/>
      <c r="O155" s="16" t="n"/>
    </row>
    <row r="156">
      <c r="A156" s="17" t="inlineStr">
        <is>
          <t>TRK-0153</t>
        </is>
      </c>
      <c r="B156" s="16" t="n"/>
      <c r="C156" s="16" t="n"/>
      <c r="D156" s="16" t="n"/>
      <c r="E156" s="16" t="n"/>
      <c r="F156" s="16" t="n"/>
      <c r="G156" s="16" t="n"/>
      <c r="H156" s="16" t="n"/>
      <c r="I156" s="16">
        <f>IF(H156&lt;&gt;"","Completed",IF(TODAY()&gt;G156,"Overdue",IF(F156&lt;&gt;"","In Progress","Not Started")))</f>
        <v/>
      </c>
      <c r="J156" s="18">
        <f>IF(I156="Overdue",TODAY()-G156,0)</f>
        <v/>
      </c>
      <c r="K156" s="16" t="n"/>
      <c r="L156" s="16" t="n"/>
      <c r="M156" s="16" t="n"/>
      <c r="N156" s="16" t="n"/>
      <c r="O156" s="16" t="n"/>
    </row>
    <row r="157">
      <c r="A157" s="17" t="inlineStr">
        <is>
          <t>TRK-0154</t>
        </is>
      </c>
      <c r="B157" s="16" t="n"/>
      <c r="C157" s="16" t="n"/>
      <c r="D157" s="16" t="n"/>
      <c r="E157" s="16" t="n"/>
      <c r="F157" s="16" t="n"/>
      <c r="G157" s="16" t="n"/>
      <c r="H157" s="16" t="n"/>
      <c r="I157" s="16">
        <f>IF(H157&lt;&gt;"","Completed",IF(TODAY()&gt;G157,"Overdue",IF(F157&lt;&gt;"","In Progress","Not Started")))</f>
        <v/>
      </c>
      <c r="J157" s="18">
        <f>IF(I157="Overdue",TODAY()-G157,0)</f>
        <v/>
      </c>
      <c r="K157" s="16" t="n"/>
      <c r="L157" s="16" t="n"/>
      <c r="M157" s="16" t="n"/>
      <c r="N157" s="16" t="n"/>
      <c r="O157" s="16" t="n"/>
    </row>
    <row r="158">
      <c r="A158" s="17" t="inlineStr">
        <is>
          <t>TRK-0155</t>
        </is>
      </c>
      <c r="B158" s="16" t="n"/>
      <c r="C158" s="16" t="n"/>
      <c r="D158" s="16" t="n"/>
      <c r="E158" s="16" t="n"/>
      <c r="F158" s="16" t="n"/>
      <c r="G158" s="16" t="n"/>
      <c r="H158" s="16" t="n"/>
      <c r="I158" s="16">
        <f>IF(H158&lt;&gt;"","Completed",IF(TODAY()&gt;G158,"Overdue",IF(F158&lt;&gt;"","In Progress","Not Started")))</f>
        <v/>
      </c>
      <c r="J158" s="18">
        <f>IF(I158="Overdue",TODAY()-G158,0)</f>
        <v/>
      </c>
      <c r="K158" s="16" t="n"/>
      <c r="L158" s="16" t="n"/>
      <c r="M158" s="16" t="n"/>
      <c r="N158" s="16" t="n"/>
      <c r="O158" s="16" t="n"/>
    </row>
    <row r="159">
      <c r="A159" s="17" t="inlineStr">
        <is>
          <t>TRK-0156</t>
        </is>
      </c>
      <c r="B159" s="16" t="n"/>
      <c r="C159" s="16" t="n"/>
      <c r="D159" s="16" t="n"/>
      <c r="E159" s="16" t="n"/>
      <c r="F159" s="16" t="n"/>
      <c r="G159" s="16" t="n"/>
      <c r="H159" s="16" t="n"/>
      <c r="I159" s="16">
        <f>IF(H159&lt;&gt;"","Completed",IF(TODAY()&gt;G159,"Overdue",IF(F159&lt;&gt;"","In Progress","Not Started")))</f>
        <v/>
      </c>
      <c r="J159" s="18">
        <f>IF(I159="Overdue",TODAY()-G159,0)</f>
        <v/>
      </c>
      <c r="K159" s="16" t="n"/>
      <c r="L159" s="16" t="n"/>
      <c r="M159" s="16" t="n"/>
      <c r="N159" s="16" t="n"/>
      <c r="O159" s="16" t="n"/>
    </row>
    <row r="160">
      <c r="A160" s="17" t="inlineStr">
        <is>
          <t>TRK-0157</t>
        </is>
      </c>
      <c r="B160" s="16" t="n"/>
      <c r="C160" s="16" t="n"/>
      <c r="D160" s="16" t="n"/>
      <c r="E160" s="16" t="n"/>
      <c r="F160" s="16" t="n"/>
      <c r="G160" s="16" t="n"/>
      <c r="H160" s="16" t="n"/>
      <c r="I160" s="16">
        <f>IF(H160&lt;&gt;"","Completed",IF(TODAY()&gt;G160,"Overdue",IF(F160&lt;&gt;"","In Progress","Not Started")))</f>
        <v/>
      </c>
      <c r="J160" s="18">
        <f>IF(I160="Overdue",TODAY()-G160,0)</f>
        <v/>
      </c>
      <c r="K160" s="16" t="n"/>
      <c r="L160" s="16" t="n"/>
      <c r="M160" s="16" t="n"/>
      <c r="N160" s="16" t="n"/>
      <c r="O160" s="16" t="n"/>
    </row>
    <row r="161">
      <c r="A161" s="17" t="inlineStr">
        <is>
          <t>TRK-0158</t>
        </is>
      </c>
      <c r="B161" s="16" t="n"/>
      <c r="C161" s="16" t="n"/>
      <c r="D161" s="16" t="n"/>
      <c r="E161" s="16" t="n"/>
      <c r="F161" s="16" t="n"/>
      <c r="G161" s="16" t="n"/>
      <c r="H161" s="16" t="n"/>
      <c r="I161" s="16">
        <f>IF(H161&lt;&gt;"","Completed",IF(TODAY()&gt;G161,"Overdue",IF(F161&lt;&gt;"","In Progress","Not Started")))</f>
        <v/>
      </c>
      <c r="J161" s="18">
        <f>IF(I161="Overdue",TODAY()-G161,0)</f>
        <v/>
      </c>
      <c r="K161" s="16" t="n"/>
      <c r="L161" s="16" t="n"/>
      <c r="M161" s="16" t="n"/>
      <c r="N161" s="16" t="n"/>
      <c r="O161" s="16" t="n"/>
    </row>
    <row r="162">
      <c r="A162" s="17" t="inlineStr">
        <is>
          <t>TRK-0159</t>
        </is>
      </c>
      <c r="B162" s="16" t="n"/>
      <c r="C162" s="16" t="n"/>
      <c r="D162" s="16" t="n"/>
      <c r="E162" s="16" t="n"/>
      <c r="F162" s="16" t="n"/>
      <c r="G162" s="16" t="n"/>
      <c r="H162" s="16" t="n"/>
      <c r="I162" s="16">
        <f>IF(H162&lt;&gt;"","Completed",IF(TODAY()&gt;G162,"Overdue",IF(F162&lt;&gt;"","In Progress","Not Started")))</f>
        <v/>
      </c>
      <c r="J162" s="18">
        <f>IF(I162="Overdue",TODAY()-G162,0)</f>
        <v/>
      </c>
      <c r="K162" s="16" t="n"/>
      <c r="L162" s="16" t="n"/>
      <c r="M162" s="16" t="n"/>
      <c r="N162" s="16" t="n"/>
      <c r="O162" s="16" t="n"/>
    </row>
    <row r="163">
      <c r="A163" s="17" t="inlineStr">
        <is>
          <t>TRK-0160</t>
        </is>
      </c>
      <c r="B163" s="16" t="n"/>
      <c r="C163" s="16" t="n"/>
      <c r="D163" s="16" t="n"/>
      <c r="E163" s="16" t="n"/>
      <c r="F163" s="16" t="n"/>
      <c r="G163" s="16" t="n"/>
      <c r="H163" s="16" t="n"/>
      <c r="I163" s="16">
        <f>IF(H163&lt;&gt;"","Completed",IF(TODAY()&gt;G163,"Overdue",IF(F163&lt;&gt;"","In Progress","Not Started")))</f>
        <v/>
      </c>
      <c r="J163" s="18">
        <f>IF(I163="Overdue",TODAY()-G163,0)</f>
        <v/>
      </c>
      <c r="K163" s="16" t="n"/>
      <c r="L163" s="16" t="n"/>
      <c r="M163" s="16" t="n"/>
      <c r="N163" s="16" t="n"/>
      <c r="O163" s="16" t="n"/>
    </row>
    <row r="164">
      <c r="A164" s="17" t="inlineStr">
        <is>
          <t>TRK-0161</t>
        </is>
      </c>
      <c r="B164" s="16" t="n"/>
      <c r="C164" s="16" t="n"/>
      <c r="D164" s="16" t="n"/>
      <c r="E164" s="16" t="n"/>
      <c r="F164" s="16" t="n"/>
      <c r="G164" s="16" t="n"/>
      <c r="H164" s="16" t="n"/>
      <c r="I164" s="16">
        <f>IF(H164&lt;&gt;"","Completed",IF(TODAY()&gt;G164,"Overdue",IF(F164&lt;&gt;"","In Progress","Not Started")))</f>
        <v/>
      </c>
      <c r="J164" s="18">
        <f>IF(I164="Overdue",TODAY()-G164,0)</f>
        <v/>
      </c>
      <c r="K164" s="16" t="n"/>
      <c r="L164" s="16" t="n"/>
      <c r="M164" s="16" t="n"/>
      <c r="N164" s="16" t="n"/>
      <c r="O164" s="16" t="n"/>
    </row>
    <row r="165">
      <c r="A165" s="17" t="inlineStr">
        <is>
          <t>TRK-0162</t>
        </is>
      </c>
      <c r="B165" s="16" t="n"/>
      <c r="C165" s="16" t="n"/>
      <c r="D165" s="16" t="n"/>
      <c r="E165" s="16" t="n"/>
      <c r="F165" s="16" t="n"/>
      <c r="G165" s="16" t="n"/>
      <c r="H165" s="16" t="n"/>
      <c r="I165" s="16">
        <f>IF(H165&lt;&gt;"","Completed",IF(TODAY()&gt;G165,"Overdue",IF(F165&lt;&gt;"","In Progress","Not Started")))</f>
        <v/>
      </c>
      <c r="J165" s="18">
        <f>IF(I165="Overdue",TODAY()-G165,0)</f>
        <v/>
      </c>
      <c r="K165" s="16" t="n"/>
      <c r="L165" s="16" t="n"/>
      <c r="M165" s="16" t="n"/>
      <c r="N165" s="16" t="n"/>
      <c r="O165" s="16" t="n"/>
    </row>
    <row r="166">
      <c r="A166" s="17" t="inlineStr">
        <is>
          <t>TRK-0163</t>
        </is>
      </c>
      <c r="B166" s="16" t="n"/>
      <c r="C166" s="16" t="n"/>
      <c r="D166" s="16" t="n"/>
      <c r="E166" s="16" t="n"/>
      <c r="F166" s="16" t="n"/>
      <c r="G166" s="16" t="n"/>
      <c r="H166" s="16" t="n"/>
      <c r="I166" s="16">
        <f>IF(H166&lt;&gt;"","Completed",IF(TODAY()&gt;G166,"Overdue",IF(F166&lt;&gt;"","In Progress","Not Started")))</f>
        <v/>
      </c>
      <c r="J166" s="18">
        <f>IF(I166="Overdue",TODAY()-G166,0)</f>
        <v/>
      </c>
      <c r="K166" s="16" t="n"/>
      <c r="L166" s="16" t="n"/>
      <c r="M166" s="16" t="n"/>
      <c r="N166" s="16" t="n"/>
      <c r="O166" s="16" t="n"/>
    </row>
    <row r="167">
      <c r="A167" s="17" t="inlineStr">
        <is>
          <t>TRK-0164</t>
        </is>
      </c>
      <c r="B167" s="16" t="n"/>
      <c r="C167" s="16" t="n"/>
      <c r="D167" s="16" t="n"/>
      <c r="E167" s="16" t="n"/>
      <c r="F167" s="16" t="n"/>
      <c r="G167" s="16" t="n"/>
      <c r="H167" s="16" t="n"/>
      <c r="I167" s="16">
        <f>IF(H167&lt;&gt;"","Completed",IF(TODAY()&gt;G167,"Overdue",IF(F167&lt;&gt;"","In Progress","Not Started")))</f>
        <v/>
      </c>
      <c r="J167" s="18">
        <f>IF(I167="Overdue",TODAY()-G167,0)</f>
        <v/>
      </c>
      <c r="K167" s="16" t="n"/>
      <c r="L167" s="16" t="n"/>
      <c r="M167" s="16" t="n"/>
      <c r="N167" s="16" t="n"/>
      <c r="O167" s="16" t="n"/>
    </row>
    <row r="168">
      <c r="A168" s="17" t="inlineStr">
        <is>
          <t>TRK-0165</t>
        </is>
      </c>
      <c r="B168" s="16" t="n"/>
      <c r="C168" s="16" t="n"/>
      <c r="D168" s="16" t="n"/>
      <c r="E168" s="16" t="n"/>
      <c r="F168" s="16" t="n"/>
      <c r="G168" s="16" t="n"/>
      <c r="H168" s="16" t="n"/>
      <c r="I168" s="16">
        <f>IF(H168&lt;&gt;"","Completed",IF(TODAY()&gt;G168,"Overdue",IF(F168&lt;&gt;"","In Progress","Not Started")))</f>
        <v/>
      </c>
      <c r="J168" s="18">
        <f>IF(I168="Overdue",TODAY()-G168,0)</f>
        <v/>
      </c>
      <c r="K168" s="16" t="n"/>
      <c r="L168" s="16" t="n"/>
      <c r="M168" s="16" t="n"/>
      <c r="N168" s="16" t="n"/>
      <c r="O168" s="16" t="n"/>
    </row>
    <row r="169">
      <c r="A169" s="17" t="inlineStr">
        <is>
          <t>TRK-0166</t>
        </is>
      </c>
      <c r="B169" s="16" t="n"/>
      <c r="C169" s="16" t="n"/>
      <c r="D169" s="16" t="n"/>
      <c r="E169" s="16" t="n"/>
      <c r="F169" s="16" t="n"/>
      <c r="G169" s="16" t="n"/>
      <c r="H169" s="16" t="n"/>
      <c r="I169" s="16">
        <f>IF(H169&lt;&gt;"","Completed",IF(TODAY()&gt;G169,"Overdue",IF(F169&lt;&gt;"","In Progress","Not Started")))</f>
        <v/>
      </c>
      <c r="J169" s="18">
        <f>IF(I169="Overdue",TODAY()-G169,0)</f>
        <v/>
      </c>
      <c r="K169" s="16" t="n"/>
      <c r="L169" s="16" t="n"/>
      <c r="M169" s="16" t="n"/>
      <c r="N169" s="16" t="n"/>
      <c r="O169" s="16" t="n"/>
    </row>
    <row r="170">
      <c r="A170" s="17" t="inlineStr">
        <is>
          <t>TRK-0167</t>
        </is>
      </c>
      <c r="B170" s="16" t="n"/>
      <c r="C170" s="16" t="n"/>
      <c r="D170" s="16" t="n"/>
      <c r="E170" s="16" t="n"/>
      <c r="F170" s="16" t="n"/>
      <c r="G170" s="16" t="n"/>
      <c r="H170" s="16" t="n"/>
      <c r="I170" s="16">
        <f>IF(H170&lt;&gt;"","Completed",IF(TODAY()&gt;G170,"Overdue",IF(F170&lt;&gt;"","In Progress","Not Started")))</f>
        <v/>
      </c>
      <c r="J170" s="18">
        <f>IF(I170="Overdue",TODAY()-G170,0)</f>
        <v/>
      </c>
      <c r="K170" s="16" t="n"/>
      <c r="L170" s="16" t="n"/>
      <c r="M170" s="16" t="n"/>
      <c r="N170" s="16" t="n"/>
      <c r="O170" s="16" t="n"/>
    </row>
    <row r="171">
      <c r="A171" s="17" t="inlineStr">
        <is>
          <t>TRK-0168</t>
        </is>
      </c>
      <c r="B171" s="16" t="n"/>
      <c r="C171" s="16" t="n"/>
      <c r="D171" s="16" t="n"/>
      <c r="E171" s="16" t="n"/>
      <c r="F171" s="16" t="n"/>
      <c r="G171" s="16" t="n"/>
      <c r="H171" s="16" t="n"/>
      <c r="I171" s="16">
        <f>IF(H171&lt;&gt;"","Completed",IF(TODAY()&gt;G171,"Overdue",IF(F171&lt;&gt;"","In Progress","Not Started")))</f>
        <v/>
      </c>
      <c r="J171" s="18">
        <f>IF(I171="Overdue",TODAY()-G171,0)</f>
        <v/>
      </c>
      <c r="K171" s="16" t="n"/>
      <c r="L171" s="16" t="n"/>
      <c r="M171" s="16" t="n"/>
      <c r="N171" s="16" t="n"/>
      <c r="O171" s="16" t="n"/>
    </row>
    <row r="172">
      <c r="A172" s="17" t="inlineStr">
        <is>
          <t>TRK-0169</t>
        </is>
      </c>
      <c r="B172" s="16" t="n"/>
      <c r="C172" s="16" t="n"/>
      <c r="D172" s="16" t="n"/>
      <c r="E172" s="16" t="n"/>
      <c r="F172" s="16" t="n"/>
      <c r="G172" s="16" t="n"/>
      <c r="H172" s="16" t="n"/>
      <c r="I172" s="16">
        <f>IF(H172&lt;&gt;"","Completed",IF(TODAY()&gt;G172,"Overdue",IF(F172&lt;&gt;"","In Progress","Not Started")))</f>
        <v/>
      </c>
      <c r="J172" s="18">
        <f>IF(I172="Overdue",TODAY()-G172,0)</f>
        <v/>
      </c>
      <c r="K172" s="16" t="n"/>
      <c r="L172" s="16" t="n"/>
      <c r="M172" s="16" t="n"/>
      <c r="N172" s="16" t="n"/>
      <c r="O172" s="16" t="n"/>
    </row>
    <row r="173">
      <c r="A173" s="17" t="inlineStr">
        <is>
          <t>TRK-0170</t>
        </is>
      </c>
      <c r="B173" s="16" t="n"/>
      <c r="C173" s="16" t="n"/>
      <c r="D173" s="16" t="n"/>
      <c r="E173" s="16" t="n"/>
      <c r="F173" s="16" t="n"/>
      <c r="G173" s="16" t="n"/>
      <c r="H173" s="16" t="n"/>
      <c r="I173" s="16">
        <f>IF(H173&lt;&gt;"","Completed",IF(TODAY()&gt;G173,"Overdue",IF(F173&lt;&gt;"","In Progress","Not Started")))</f>
        <v/>
      </c>
      <c r="J173" s="18">
        <f>IF(I173="Overdue",TODAY()-G173,0)</f>
        <v/>
      </c>
      <c r="K173" s="16" t="n"/>
      <c r="L173" s="16" t="n"/>
      <c r="M173" s="16" t="n"/>
      <c r="N173" s="16" t="n"/>
      <c r="O173" s="16" t="n"/>
    </row>
    <row r="174">
      <c r="A174" s="17" t="inlineStr">
        <is>
          <t>TRK-0171</t>
        </is>
      </c>
      <c r="B174" s="16" t="n"/>
      <c r="C174" s="16" t="n"/>
      <c r="D174" s="16" t="n"/>
      <c r="E174" s="16" t="n"/>
      <c r="F174" s="16" t="n"/>
      <c r="G174" s="16" t="n"/>
      <c r="H174" s="16" t="n"/>
      <c r="I174" s="16">
        <f>IF(H174&lt;&gt;"","Completed",IF(TODAY()&gt;G174,"Overdue",IF(F174&lt;&gt;"","In Progress","Not Started")))</f>
        <v/>
      </c>
      <c r="J174" s="18">
        <f>IF(I174="Overdue",TODAY()-G174,0)</f>
        <v/>
      </c>
      <c r="K174" s="16" t="n"/>
      <c r="L174" s="16" t="n"/>
      <c r="M174" s="16" t="n"/>
      <c r="N174" s="16" t="n"/>
      <c r="O174" s="16" t="n"/>
    </row>
    <row r="175">
      <c r="A175" s="17" t="inlineStr">
        <is>
          <t>TRK-0172</t>
        </is>
      </c>
      <c r="B175" s="16" t="n"/>
      <c r="C175" s="16" t="n"/>
      <c r="D175" s="16" t="n"/>
      <c r="E175" s="16" t="n"/>
      <c r="F175" s="16" t="n"/>
      <c r="G175" s="16" t="n"/>
      <c r="H175" s="16" t="n"/>
      <c r="I175" s="16">
        <f>IF(H175&lt;&gt;"","Completed",IF(TODAY()&gt;G175,"Overdue",IF(F175&lt;&gt;"","In Progress","Not Started")))</f>
        <v/>
      </c>
      <c r="J175" s="18">
        <f>IF(I175="Overdue",TODAY()-G175,0)</f>
        <v/>
      </c>
      <c r="K175" s="16" t="n"/>
      <c r="L175" s="16" t="n"/>
      <c r="M175" s="16" t="n"/>
      <c r="N175" s="16" t="n"/>
      <c r="O175" s="16" t="n"/>
    </row>
    <row r="176">
      <c r="A176" s="17" t="inlineStr">
        <is>
          <t>TRK-0173</t>
        </is>
      </c>
      <c r="B176" s="16" t="n"/>
      <c r="C176" s="16" t="n"/>
      <c r="D176" s="16" t="n"/>
      <c r="E176" s="16" t="n"/>
      <c r="F176" s="16" t="n"/>
      <c r="G176" s="16" t="n"/>
      <c r="H176" s="16" t="n"/>
      <c r="I176" s="16">
        <f>IF(H176&lt;&gt;"","Completed",IF(TODAY()&gt;G176,"Overdue",IF(F176&lt;&gt;"","In Progress","Not Started")))</f>
        <v/>
      </c>
      <c r="J176" s="18">
        <f>IF(I176="Overdue",TODAY()-G176,0)</f>
        <v/>
      </c>
      <c r="K176" s="16" t="n"/>
      <c r="L176" s="16" t="n"/>
      <c r="M176" s="16" t="n"/>
      <c r="N176" s="16" t="n"/>
      <c r="O176" s="16" t="n"/>
    </row>
    <row r="177">
      <c r="A177" s="17" t="inlineStr">
        <is>
          <t>TRK-0174</t>
        </is>
      </c>
      <c r="B177" s="16" t="n"/>
      <c r="C177" s="16" t="n"/>
      <c r="D177" s="16" t="n"/>
      <c r="E177" s="16" t="n"/>
      <c r="F177" s="16" t="n"/>
      <c r="G177" s="16" t="n"/>
      <c r="H177" s="16" t="n"/>
      <c r="I177" s="16">
        <f>IF(H177&lt;&gt;"","Completed",IF(TODAY()&gt;G177,"Overdue",IF(F177&lt;&gt;"","In Progress","Not Started")))</f>
        <v/>
      </c>
      <c r="J177" s="18">
        <f>IF(I177="Overdue",TODAY()-G177,0)</f>
        <v/>
      </c>
      <c r="K177" s="16" t="n"/>
      <c r="L177" s="16" t="n"/>
      <c r="M177" s="16" t="n"/>
      <c r="N177" s="16" t="n"/>
      <c r="O177" s="16" t="n"/>
    </row>
    <row r="178">
      <c r="A178" s="17" t="inlineStr">
        <is>
          <t>TRK-0175</t>
        </is>
      </c>
      <c r="B178" s="16" t="n"/>
      <c r="C178" s="16" t="n"/>
      <c r="D178" s="16" t="n"/>
      <c r="E178" s="16" t="n"/>
      <c r="F178" s="16" t="n"/>
      <c r="G178" s="16" t="n"/>
      <c r="H178" s="16" t="n"/>
      <c r="I178" s="16">
        <f>IF(H178&lt;&gt;"","Completed",IF(TODAY()&gt;G178,"Overdue",IF(F178&lt;&gt;"","In Progress","Not Started")))</f>
        <v/>
      </c>
      <c r="J178" s="18">
        <f>IF(I178="Overdue",TODAY()-G178,0)</f>
        <v/>
      </c>
      <c r="K178" s="16" t="n"/>
      <c r="L178" s="16" t="n"/>
      <c r="M178" s="16" t="n"/>
      <c r="N178" s="16" t="n"/>
      <c r="O178" s="16" t="n"/>
    </row>
    <row r="179">
      <c r="A179" s="17" t="inlineStr">
        <is>
          <t>TRK-0176</t>
        </is>
      </c>
      <c r="B179" s="16" t="n"/>
      <c r="C179" s="16" t="n"/>
      <c r="D179" s="16" t="n"/>
      <c r="E179" s="16" t="n"/>
      <c r="F179" s="16" t="n"/>
      <c r="G179" s="16" t="n"/>
      <c r="H179" s="16" t="n"/>
      <c r="I179" s="16">
        <f>IF(H179&lt;&gt;"","Completed",IF(TODAY()&gt;G179,"Overdue",IF(F179&lt;&gt;"","In Progress","Not Started")))</f>
        <v/>
      </c>
      <c r="J179" s="18">
        <f>IF(I179="Overdue",TODAY()-G179,0)</f>
        <v/>
      </c>
      <c r="K179" s="16" t="n"/>
      <c r="L179" s="16" t="n"/>
      <c r="M179" s="16" t="n"/>
      <c r="N179" s="16" t="n"/>
      <c r="O179" s="16" t="n"/>
    </row>
    <row r="180">
      <c r="A180" s="17" t="inlineStr">
        <is>
          <t>TRK-0177</t>
        </is>
      </c>
      <c r="B180" s="16" t="n"/>
      <c r="C180" s="16" t="n"/>
      <c r="D180" s="16" t="n"/>
      <c r="E180" s="16" t="n"/>
      <c r="F180" s="16" t="n"/>
      <c r="G180" s="16" t="n"/>
      <c r="H180" s="16" t="n"/>
      <c r="I180" s="16">
        <f>IF(H180&lt;&gt;"","Completed",IF(TODAY()&gt;G180,"Overdue",IF(F180&lt;&gt;"","In Progress","Not Started")))</f>
        <v/>
      </c>
      <c r="J180" s="18">
        <f>IF(I180="Overdue",TODAY()-G180,0)</f>
        <v/>
      </c>
      <c r="K180" s="16" t="n"/>
      <c r="L180" s="16" t="n"/>
      <c r="M180" s="16" t="n"/>
      <c r="N180" s="16" t="n"/>
      <c r="O180" s="16" t="n"/>
    </row>
    <row r="181">
      <c r="A181" s="17" t="inlineStr">
        <is>
          <t>TRK-0178</t>
        </is>
      </c>
      <c r="B181" s="16" t="n"/>
      <c r="C181" s="16" t="n"/>
      <c r="D181" s="16" t="n"/>
      <c r="E181" s="16" t="n"/>
      <c r="F181" s="16" t="n"/>
      <c r="G181" s="16" t="n"/>
      <c r="H181" s="16" t="n"/>
      <c r="I181" s="16">
        <f>IF(H181&lt;&gt;"","Completed",IF(TODAY()&gt;G181,"Overdue",IF(F181&lt;&gt;"","In Progress","Not Started")))</f>
        <v/>
      </c>
      <c r="J181" s="18">
        <f>IF(I181="Overdue",TODAY()-G181,0)</f>
        <v/>
      </c>
      <c r="K181" s="16" t="n"/>
      <c r="L181" s="16" t="n"/>
      <c r="M181" s="16" t="n"/>
      <c r="N181" s="16" t="n"/>
      <c r="O181" s="16" t="n"/>
    </row>
    <row r="182">
      <c r="A182" s="17" t="inlineStr">
        <is>
          <t>TRK-0179</t>
        </is>
      </c>
      <c r="B182" s="16" t="n"/>
      <c r="C182" s="16" t="n"/>
      <c r="D182" s="16" t="n"/>
      <c r="E182" s="16" t="n"/>
      <c r="F182" s="16" t="n"/>
      <c r="G182" s="16" t="n"/>
      <c r="H182" s="16" t="n"/>
      <c r="I182" s="16">
        <f>IF(H182&lt;&gt;"","Completed",IF(TODAY()&gt;G182,"Overdue",IF(F182&lt;&gt;"","In Progress","Not Started")))</f>
        <v/>
      </c>
      <c r="J182" s="18">
        <f>IF(I182="Overdue",TODAY()-G182,0)</f>
        <v/>
      </c>
      <c r="K182" s="16" t="n"/>
      <c r="L182" s="16" t="n"/>
      <c r="M182" s="16" t="n"/>
      <c r="N182" s="16" t="n"/>
      <c r="O182" s="16" t="n"/>
    </row>
    <row r="183">
      <c r="A183" s="17" t="inlineStr">
        <is>
          <t>TRK-0180</t>
        </is>
      </c>
      <c r="B183" s="16" t="n"/>
      <c r="C183" s="16" t="n"/>
      <c r="D183" s="16" t="n"/>
      <c r="E183" s="16" t="n"/>
      <c r="F183" s="16" t="n"/>
      <c r="G183" s="16" t="n"/>
      <c r="H183" s="16" t="n"/>
      <c r="I183" s="16">
        <f>IF(H183&lt;&gt;"","Completed",IF(TODAY()&gt;G183,"Overdue",IF(F183&lt;&gt;"","In Progress","Not Started")))</f>
        <v/>
      </c>
      <c r="J183" s="18">
        <f>IF(I183="Overdue",TODAY()-G183,0)</f>
        <v/>
      </c>
      <c r="K183" s="16" t="n"/>
      <c r="L183" s="16" t="n"/>
      <c r="M183" s="16" t="n"/>
      <c r="N183" s="16" t="n"/>
      <c r="O183" s="16" t="n"/>
    </row>
    <row r="184">
      <c r="A184" s="17" t="inlineStr">
        <is>
          <t>TRK-0181</t>
        </is>
      </c>
      <c r="B184" s="16" t="n"/>
      <c r="C184" s="16" t="n"/>
      <c r="D184" s="16" t="n"/>
      <c r="E184" s="16" t="n"/>
      <c r="F184" s="16" t="n"/>
      <c r="G184" s="16" t="n"/>
      <c r="H184" s="16" t="n"/>
      <c r="I184" s="16">
        <f>IF(H184&lt;&gt;"","Completed",IF(TODAY()&gt;G184,"Overdue",IF(F184&lt;&gt;"","In Progress","Not Started")))</f>
        <v/>
      </c>
      <c r="J184" s="18">
        <f>IF(I184="Overdue",TODAY()-G184,0)</f>
        <v/>
      </c>
      <c r="K184" s="16" t="n"/>
      <c r="L184" s="16" t="n"/>
      <c r="M184" s="16" t="n"/>
      <c r="N184" s="16" t="n"/>
      <c r="O184" s="16" t="n"/>
    </row>
    <row r="185">
      <c r="A185" s="17" t="inlineStr">
        <is>
          <t>TRK-0182</t>
        </is>
      </c>
      <c r="B185" s="16" t="n"/>
      <c r="C185" s="16" t="n"/>
      <c r="D185" s="16" t="n"/>
      <c r="E185" s="16" t="n"/>
      <c r="F185" s="16" t="n"/>
      <c r="G185" s="16" t="n"/>
      <c r="H185" s="16" t="n"/>
      <c r="I185" s="16">
        <f>IF(H185&lt;&gt;"","Completed",IF(TODAY()&gt;G185,"Overdue",IF(F185&lt;&gt;"","In Progress","Not Started")))</f>
        <v/>
      </c>
      <c r="J185" s="18">
        <f>IF(I185="Overdue",TODAY()-G185,0)</f>
        <v/>
      </c>
      <c r="K185" s="16" t="n"/>
      <c r="L185" s="16" t="n"/>
      <c r="M185" s="16" t="n"/>
      <c r="N185" s="16" t="n"/>
      <c r="O185" s="16" t="n"/>
    </row>
    <row r="186">
      <c r="A186" s="17" t="inlineStr">
        <is>
          <t>TRK-0183</t>
        </is>
      </c>
      <c r="B186" s="16" t="n"/>
      <c r="C186" s="16" t="n"/>
      <c r="D186" s="16" t="n"/>
      <c r="E186" s="16" t="n"/>
      <c r="F186" s="16" t="n"/>
      <c r="G186" s="16" t="n"/>
      <c r="H186" s="16" t="n"/>
      <c r="I186" s="16">
        <f>IF(H186&lt;&gt;"","Completed",IF(TODAY()&gt;G186,"Overdue",IF(F186&lt;&gt;"","In Progress","Not Started")))</f>
        <v/>
      </c>
      <c r="J186" s="18">
        <f>IF(I186="Overdue",TODAY()-G186,0)</f>
        <v/>
      </c>
      <c r="K186" s="16" t="n"/>
      <c r="L186" s="16" t="n"/>
      <c r="M186" s="16" t="n"/>
      <c r="N186" s="16" t="n"/>
      <c r="O186" s="16" t="n"/>
    </row>
    <row r="187">
      <c r="A187" s="17" t="inlineStr">
        <is>
          <t>TRK-0184</t>
        </is>
      </c>
      <c r="B187" s="16" t="n"/>
      <c r="C187" s="16" t="n"/>
      <c r="D187" s="16" t="n"/>
      <c r="E187" s="16" t="n"/>
      <c r="F187" s="16" t="n"/>
      <c r="G187" s="16" t="n"/>
      <c r="H187" s="16" t="n"/>
      <c r="I187" s="16">
        <f>IF(H187&lt;&gt;"","Completed",IF(TODAY()&gt;G187,"Overdue",IF(F187&lt;&gt;"","In Progress","Not Started")))</f>
        <v/>
      </c>
      <c r="J187" s="18">
        <f>IF(I187="Overdue",TODAY()-G187,0)</f>
        <v/>
      </c>
      <c r="K187" s="16" t="n"/>
      <c r="L187" s="16" t="n"/>
      <c r="M187" s="16" t="n"/>
      <c r="N187" s="16" t="n"/>
      <c r="O187" s="16" t="n"/>
    </row>
    <row r="188">
      <c r="A188" s="17" t="inlineStr">
        <is>
          <t>TRK-0185</t>
        </is>
      </c>
      <c r="B188" s="16" t="n"/>
      <c r="C188" s="16" t="n"/>
      <c r="D188" s="16" t="n"/>
      <c r="E188" s="16" t="n"/>
      <c r="F188" s="16" t="n"/>
      <c r="G188" s="16" t="n"/>
      <c r="H188" s="16" t="n"/>
      <c r="I188" s="16">
        <f>IF(H188&lt;&gt;"","Completed",IF(TODAY()&gt;G188,"Overdue",IF(F188&lt;&gt;"","In Progress","Not Started")))</f>
        <v/>
      </c>
      <c r="J188" s="18">
        <f>IF(I188="Overdue",TODAY()-G188,0)</f>
        <v/>
      </c>
      <c r="K188" s="16" t="n"/>
      <c r="L188" s="16" t="n"/>
      <c r="M188" s="16" t="n"/>
      <c r="N188" s="16" t="n"/>
      <c r="O188" s="16" t="n"/>
    </row>
    <row r="189">
      <c r="A189" s="17" t="inlineStr">
        <is>
          <t>TRK-0186</t>
        </is>
      </c>
      <c r="B189" s="16" t="n"/>
      <c r="C189" s="16" t="n"/>
      <c r="D189" s="16" t="n"/>
      <c r="E189" s="16" t="n"/>
      <c r="F189" s="16" t="n"/>
      <c r="G189" s="16" t="n"/>
      <c r="H189" s="16" t="n"/>
      <c r="I189" s="16">
        <f>IF(H189&lt;&gt;"","Completed",IF(TODAY()&gt;G189,"Overdue",IF(F189&lt;&gt;"","In Progress","Not Started")))</f>
        <v/>
      </c>
      <c r="J189" s="18">
        <f>IF(I189="Overdue",TODAY()-G189,0)</f>
        <v/>
      </c>
      <c r="K189" s="16" t="n"/>
      <c r="L189" s="16" t="n"/>
      <c r="M189" s="16" t="n"/>
      <c r="N189" s="16" t="n"/>
      <c r="O189" s="16" t="n"/>
    </row>
    <row r="190">
      <c r="A190" s="17" t="inlineStr">
        <is>
          <t>TRK-0187</t>
        </is>
      </c>
      <c r="B190" s="16" t="n"/>
      <c r="C190" s="16" t="n"/>
      <c r="D190" s="16" t="n"/>
      <c r="E190" s="16" t="n"/>
      <c r="F190" s="16" t="n"/>
      <c r="G190" s="16" t="n"/>
      <c r="H190" s="16" t="n"/>
      <c r="I190" s="16">
        <f>IF(H190&lt;&gt;"","Completed",IF(TODAY()&gt;G190,"Overdue",IF(F190&lt;&gt;"","In Progress","Not Started")))</f>
        <v/>
      </c>
      <c r="J190" s="18">
        <f>IF(I190="Overdue",TODAY()-G190,0)</f>
        <v/>
      </c>
      <c r="K190" s="16" t="n"/>
      <c r="L190" s="16" t="n"/>
      <c r="M190" s="16" t="n"/>
      <c r="N190" s="16" t="n"/>
      <c r="O190" s="16" t="n"/>
    </row>
    <row r="191">
      <c r="A191" s="17" t="inlineStr">
        <is>
          <t>TRK-0188</t>
        </is>
      </c>
      <c r="B191" s="16" t="n"/>
      <c r="C191" s="16" t="n"/>
      <c r="D191" s="16" t="n"/>
      <c r="E191" s="16" t="n"/>
      <c r="F191" s="16" t="n"/>
      <c r="G191" s="16" t="n"/>
      <c r="H191" s="16" t="n"/>
      <c r="I191" s="16">
        <f>IF(H191&lt;&gt;"","Completed",IF(TODAY()&gt;G191,"Overdue",IF(F191&lt;&gt;"","In Progress","Not Started")))</f>
        <v/>
      </c>
      <c r="J191" s="18">
        <f>IF(I191="Overdue",TODAY()-G191,0)</f>
        <v/>
      </c>
      <c r="K191" s="16" t="n"/>
      <c r="L191" s="16" t="n"/>
      <c r="M191" s="16" t="n"/>
      <c r="N191" s="16" t="n"/>
      <c r="O191" s="16" t="n"/>
    </row>
    <row r="192">
      <c r="A192" s="17" t="inlineStr">
        <is>
          <t>TRK-0189</t>
        </is>
      </c>
      <c r="B192" s="16" t="n"/>
      <c r="C192" s="16" t="n"/>
      <c r="D192" s="16" t="n"/>
      <c r="E192" s="16" t="n"/>
      <c r="F192" s="16" t="n"/>
      <c r="G192" s="16" t="n"/>
      <c r="H192" s="16" t="n"/>
      <c r="I192" s="16">
        <f>IF(H192&lt;&gt;"","Completed",IF(TODAY()&gt;G192,"Overdue",IF(F192&lt;&gt;"","In Progress","Not Started")))</f>
        <v/>
      </c>
      <c r="J192" s="18">
        <f>IF(I192="Overdue",TODAY()-G192,0)</f>
        <v/>
      </c>
      <c r="K192" s="16" t="n"/>
      <c r="L192" s="16" t="n"/>
      <c r="M192" s="16" t="n"/>
      <c r="N192" s="16" t="n"/>
      <c r="O192" s="16" t="n"/>
    </row>
    <row r="193">
      <c r="A193" s="17" t="inlineStr">
        <is>
          <t>TRK-0190</t>
        </is>
      </c>
      <c r="B193" s="16" t="n"/>
      <c r="C193" s="16" t="n"/>
      <c r="D193" s="16" t="n"/>
      <c r="E193" s="16" t="n"/>
      <c r="F193" s="16" t="n"/>
      <c r="G193" s="16" t="n"/>
      <c r="H193" s="16" t="n"/>
      <c r="I193" s="16">
        <f>IF(H193&lt;&gt;"","Completed",IF(TODAY()&gt;G193,"Overdue",IF(F193&lt;&gt;"","In Progress","Not Started")))</f>
        <v/>
      </c>
      <c r="J193" s="18">
        <f>IF(I193="Overdue",TODAY()-G193,0)</f>
        <v/>
      </c>
      <c r="K193" s="16" t="n"/>
      <c r="L193" s="16" t="n"/>
      <c r="M193" s="16" t="n"/>
      <c r="N193" s="16" t="n"/>
      <c r="O193" s="16" t="n"/>
    </row>
    <row r="194">
      <c r="A194" s="17" t="inlineStr">
        <is>
          <t>TRK-0191</t>
        </is>
      </c>
      <c r="B194" s="16" t="n"/>
      <c r="C194" s="16" t="n"/>
      <c r="D194" s="16" t="n"/>
      <c r="E194" s="16" t="n"/>
      <c r="F194" s="16" t="n"/>
      <c r="G194" s="16" t="n"/>
      <c r="H194" s="16" t="n"/>
      <c r="I194" s="16">
        <f>IF(H194&lt;&gt;"","Completed",IF(TODAY()&gt;G194,"Overdue",IF(F194&lt;&gt;"","In Progress","Not Started")))</f>
        <v/>
      </c>
      <c r="J194" s="18">
        <f>IF(I194="Overdue",TODAY()-G194,0)</f>
        <v/>
      </c>
      <c r="K194" s="16" t="n"/>
      <c r="L194" s="16" t="n"/>
      <c r="M194" s="16" t="n"/>
      <c r="N194" s="16" t="n"/>
      <c r="O194" s="16" t="n"/>
    </row>
    <row r="195">
      <c r="A195" s="17" t="inlineStr">
        <is>
          <t>TRK-0192</t>
        </is>
      </c>
      <c r="B195" s="16" t="n"/>
      <c r="C195" s="16" t="n"/>
      <c r="D195" s="16" t="n"/>
      <c r="E195" s="16" t="n"/>
      <c r="F195" s="16" t="n"/>
      <c r="G195" s="16" t="n"/>
      <c r="H195" s="16" t="n"/>
      <c r="I195" s="16">
        <f>IF(H195&lt;&gt;"","Completed",IF(TODAY()&gt;G195,"Overdue",IF(F195&lt;&gt;"","In Progress","Not Started")))</f>
        <v/>
      </c>
      <c r="J195" s="18">
        <f>IF(I195="Overdue",TODAY()-G195,0)</f>
        <v/>
      </c>
      <c r="K195" s="16" t="n"/>
      <c r="L195" s="16" t="n"/>
      <c r="M195" s="16" t="n"/>
      <c r="N195" s="16" t="n"/>
      <c r="O195" s="16" t="n"/>
    </row>
    <row r="196">
      <c r="A196" s="17" t="inlineStr">
        <is>
          <t>TRK-0193</t>
        </is>
      </c>
      <c r="B196" s="16" t="n"/>
      <c r="C196" s="16" t="n"/>
      <c r="D196" s="16" t="n"/>
      <c r="E196" s="16" t="n"/>
      <c r="F196" s="16" t="n"/>
      <c r="G196" s="16" t="n"/>
      <c r="H196" s="16" t="n"/>
      <c r="I196" s="16">
        <f>IF(H196&lt;&gt;"","Completed",IF(TODAY()&gt;G196,"Overdue",IF(F196&lt;&gt;"","In Progress","Not Started")))</f>
        <v/>
      </c>
      <c r="J196" s="18">
        <f>IF(I196="Overdue",TODAY()-G196,0)</f>
        <v/>
      </c>
      <c r="K196" s="16" t="n"/>
      <c r="L196" s="16" t="n"/>
      <c r="M196" s="16" t="n"/>
      <c r="N196" s="16" t="n"/>
      <c r="O196" s="16" t="n"/>
    </row>
    <row r="197">
      <c r="A197" s="17" t="inlineStr">
        <is>
          <t>TRK-0194</t>
        </is>
      </c>
      <c r="B197" s="16" t="n"/>
      <c r="C197" s="16" t="n"/>
      <c r="D197" s="16" t="n"/>
      <c r="E197" s="16" t="n"/>
      <c r="F197" s="16" t="n"/>
      <c r="G197" s="16" t="n"/>
      <c r="H197" s="16" t="n"/>
      <c r="I197" s="16">
        <f>IF(H197&lt;&gt;"","Completed",IF(TODAY()&gt;G197,"Overdue",IF(F197&lt;&gt;"","In Progress","Not Started")))</f>
        <v/>
      </c>
      <c r="J197" s="18">
        <f>IF(I197="Overdue",TODAY()-G197,0)</f>
        <v/>
      </c>
      <c r="K197" s="16" t="n"/>
      <c r="L197" s="16" t="n"/>
      <c r="M197" s="16" t="n"/>
      <c r="N197" s="16" t="n"/>
      <c r="O197" s="16" t="n"/>
    </row>
    <row r="198">
      <c r="A198" s="17" t="inlineStr">
        <is>
          <t>TRK-0195</t>
        </is>
      </c>
      <c r="B198" s="16" t="n"/>
      <c r="C198" s="16" t="n"/>
      <c r="D198" s="16" t="n"/>
      <c r="E198" s="16" t="n"/>
      <c r="F198" s="16" t="n"/>
      <c r="G198" s="16" t="n"/>
      <c r="H198" s="16" t="n"/>
      <c r="I198" s="16">
        <f>IF(H198&lt;&gt;"","Completed",IF(TODAY()&gt;G198,"Overdue",IF(F198&lt;&gt;"","In Progress","Not Started")))</f>
        <v/>
      </c>
      <c r="J198" s="18">
        <f>IF(I198="Overdue",TODAY()-G198,0)</f>
        <v/>
      </c>
      <c r="K198" s="16" t="n"/>
      <c r="L198" s="16" t="n"/>
      <c r="M198" s="16" t="n"/>
      <c r="N198" s="16" t="n"/>
      <c r="O198" s="16" t="n"/>
    </row>
    <row r="199">
      <c r="A199" s="17" t="inlineStr">
        <is>
          <t>TRK-0196</t>
        </is>
      </c>
      <c r="B199" s="16" t="n"/>
      <c r="C199" s="16" t="n"/>
      <c r="D199" s="16" t="n"/>
      <c r="E199" s="16" t="n"/>
      <c r="F199" s="16" t="n"/>
      <c r="G199" s="16" t="n"/>
      <c r="H199" s="16" t="n"/>
      <c r="I199" s="16">
        <f>IF(H199&lt;&gt;"","Completed",IF(TODAY()&gt;G199,"Overdue",IF(F199&lt;&gt;"","In Progress","Not Started")))</f>
        <v/>
      </c>
      <c r="J199" s="18">
        <f>IF(I199="Overdue",TODAY()-G199,0)</f>
        <v/>
      </c>
      <c r="K199" s="16" t="n"/>
      <c r="L199" s="16" t="n"/>
      <c r="M199" s="16" t="n"/>
      <c r="N199" s="16" t="n"/>
      <c r="O199" s="16" t="n"/>
    </row>
    <row r="200">
      <c r="A200" s="17" t="inlineStr">
        <is>
          <t>TRK-0197</t>
        </is>
      </c>
      <c r="B200" s="16" t="n"/>
      <c r="C200" s="16" t="n"/>
      <c r="D200" s="16" t="n"/>
      <c r="E200" s="16" t="n"/>
      <c r="F200" s="16" t="n"/>
      <c r="G200" s="16" t="n"/>
      <c r="H200" s="16" t="n"/>
      <c r="I200" s="16">
        <f>IF(H200&lt;&gt;"","Completed",IF(TODAY()&gt;G200,"Overdue",IF(F200&lt;&gt;"","In Progress","Not Started")))</f>
        <v/>
      </c>
      <c r="J200" s="18">
        <f>IF(I200="Overdue",TODAY()-G200,0)</f>
        <v/>
      </c>
      <c r="K200" s="16" t="n"/>
      <c r="L200" s="16" t="n"/>
      <c r="M200" s="16" t="n"/>
      <c r="N200" s="16" t="n"/>
      <c r="O200" s="16" t="n"/>
    </row>
    <row r="201">
      <c r="A201" s="17" t="inlineStr">
        <is>
          <t>TRK-0198</t>
        </is>
      </c>
      <c r="B201" s="16" t="n"/>
      <c r="C201" s="16" t="n"/>
      <c r="D201" s="16" t="n"/>
      <c r="E201" s="16" t="n"/>
      <c r="F201" s="16" t="n"/>
      <c r="G201" s="16" t="n"/>
      <c r="H201" s="16" t="n"/>
      <c r="I201" s="16">
        <f>IF(H201&lt;&gt;"","Completed",IF(TODAY()&gt;G201,"Overdue",IF(F201&lt;&gt;"","In Progress","Not Started")))</f>
        <v/>
      </c>
      <c r="J201" s="18">
        <f>IF(I201="Overdue",TODAY()-G201,0)</f>
        <v/>
      </c>
      <c r="K201" s="16" t="n"/>
      <c r="L201" s="16" t="n"/>
      <c r="M201" s="16" t="n"/>
      <c r="N201" s="16" t="n"/>
      <c r="O201" s="16" t="n"/>
    </row>
    <row r="202">
      <c r="A202" s="17" t="inlineStr">
        <is>
          <t>TRK-0199</t>
        </is>
      </c>
      <c r="B202" s="16" t="n"/>
      <c r="C202" s="16" t="n"/>
      <c r="D202" s="16" t="n"/>
      <c r="E202" s="16" t="n"/>
      <c r="F202" s="16" t="n"/>
      <c r="G202" s="16" t="n"/>
      <c r="H202" s="16" t="n"/>
      <c r="I202" s="16">
        <f>IF(H202&lt;&gt;"","Completed",IF(TODAY()&gt;G202,"Overdue",IF(F202&lt;&gt;"","In Progress","Not Started")))</f>
        <v/>
      </c>
      <c r="J202" s="18">
        <f>IF(I202="Overdue",TODAY()-G202,0)</f>
        <v/>
      </c>
      <c r="K202" s="16" t="n"/>
      <c r="L202" s="16" t="n"/>
      <c r="M202" s="16" t="n"/>
      <c r="N202" s="16" t="n"/>
      <c r="O202" s="16" t="n"/>
    </row>
    <row r="203">
      <c r="A203" s="17" t="inlineStr">
        <is>
          <t>TRK-0200</t>
        </is>
      </c>
      <c r="B203" s="16" t="n"/>
      <c r="C203" s="16" t="n"/>
      <c r="D203" s="16" t="n"/>
      <c r="E203" s="16" t="n"/>
      <c r="F203" s="16" t="n"/>
      <c r="G203" s="16" t="n"/>
      <c r="H203" s="16" t="n"/>
      <c r="I203" s="16">
        <f>IF(H203&lt;&gt;"","Completed",IF(TODAY()&gt;G203,"Overdue",IF(F203&lt;&gt;"","In Progress","Not Started")))</f>
        <v/>
      </c>
      <c r="J203" s="18">
        <f>IF(I203="Overdue",TODAY()-G203,0)</f>
        <v/>
      </c>
      <c r="K203" s="16" t="n"/>
      <c r="L203" s="16" t="n"/>
      <c r="M203" s="16" t="n"/>
      <c r="N203" s="16" t="n"/>
      <c r="O203" s="16" t="n"/>
    </row>
    <row r="204">
      <c r="A204" s="17" t="inlineStr">
        <is>
          <t>TRK-0201</t>
        </is>
      </c>
      <c r="B204" s="16" t="n"/>
      <c r="C204" s="16" t="n"/>
      <c r="D204" s="16" t="n"/>
      <c r="E204" s="16" t="n"/>
      <c r="F204" s="16" t="n"/>
      <c r="G204" s="16" t="n"/>
      <c r="H204" s="16" t="n"/>
      <c r="I204" s="16">
        <f>IF(H204&lt;&gt;"","Completed",IF(TODAY()&gt;G204,"Overdue",IF(F204&lt;&gt;"","In Progress","Not Started")))</f>
        <v/>
      </c>
      <c r="J204" s="18">
        <f>IF(I204="Overdue",TODAY()-G204,0)</f>
        <v/>
      </c>
      <c r="K204" s="16" t="n"/>
      <c r="L204" s="16" t="n"/>
      <c r="M204" s="16" t="n"/>
      <c r="N204" s="16" t="n"/>
      <c r="O204" s="16" t="n"/>
    </row>
    <row r="205">
      <c r="A205" s="17" t="inlineStr">
        <is>
          <t>TRK-0202</t>
        </is>
      </c>
      <c r="B205" s="16" t="n"/>
      <c r="C205" s="16" t="n"/>
      <c r="D205" s="16" t="n"/>
      <c r="E205" s="16" t="n"/>
      <c r="F205" s="16" t="n"/>
      <c r="G205" s="16" t="n"/>
      <c r="H205" s="16" t="n"/>
      <c r="I205" s="16">
        <f>IF(H205&lt;&gt;"","Completed",IF(TODAY()&gt;G205,"Overdue",IF(F205&lt;&gt;"","In Progress","Not Started")))</f>
        <v/>
      </c>
      <c r="J205" s="18">
        <f>IF(I205="Overdue",TODAY()-G205,0)</f>
        <v/>
      </c>
      <c r="K205" s="16" t="n"/>
      <c r="L205" s="16" t="n"/>
      <c r="M205" s="16" t="n"/>
      <c r="N205" s="16" t="n"/>
      <c r="O205" s="16" t="n"/>
    </row>
    <row r="206">
      <c r="A206" s="17" t="inlineStr">
        <is>
          <t>TRK-0203</t>
        </is>
      </c>
      <c r="B206" s="16" t="n"/>
      <c r="C206" s="16" t="n"/>
      <c r="D206" s="16" t="n"/>
      <c r="E206" s="16" t="n"/>
      <c r="F206" s="16" t="n"/>
      <c r="G206" s="16" t="n"/>
      <c r="H206" s="16" t="n"/>
      <c r="I206" s="16">
        <f>IF(H206&lt;&gt;"","Completed",IF(TODAY()&gt;G206,"Overdue",IF(F206&lt;&gt;"","In Progress","Not Started")))</f>
        <v/>
      </c>
      <c r="J206" s="18">
        <f>IF(I206="Overdue",TODAY()-G206,0)</f>
        <v/>
      </c>
      <c r="K206" s="16" t="n"/>
      <c r="L206" s="16" t="n"/>
      <c r="M206" s="16" t="n"/>
      <c r="N206" s="16" t="n"/>
      <c r="O206" s="16" t="n"/>
    </row>
    <row r="207">
      <c r="A207" s="17" t="inlineStr">
        <is>
          <t>TRK-0204</t>
        </is>
      </c>
      <c r="B207" s="16" t="n"/>
      <c r="C207" s="16" t="n"/>
      <c r="D207" s="16" t="n"/>
      <c r="E207" s="16" t="n"/>
      <c r="F207" s="16" t="n"/>
      <c r="G207" s="16" t="n"/>
      <c r="H207" s="16" t="n"/>
      <c r="I207" s="16">
        <f>IF(H207&lt;&gt;"","Completed",IF(TODAY()&gt;G207,"Overdue",IF(F207&lt;&gt;"","In Progress","Not Started")))</f>
        <v/>
      </c>
      <c r="J207" s="18">
        <f>IF(I207="Overdue",TODAY()-G207,0)</f>
        <v/>
      </c>
      <c r="K207" s="16" t="n"/>
      <c r="L207" s="16" t="n"/>
      <c r="M207" s="16" t="n"/>
      <c r="N207" s="16" t="n"/>
      <c r="O207" s="16" t="n"/>
    </row>
    <row r="208">
      <c r="A208" s="17" t="inlineStr">
        <is>
          <t>TRK-0205</t>
        </is>
      </c>
      <c r="B208" s="16" t="n"/>
      <c r="C208" s="16" t="n"/>
      <c r="D208" s="16" t="n"/>
      <c r="E208" s="16" t="n"/>
      <c r="F208" s="16" t="n"/>
      <c r="G208" s="16" t="n"/>
      <c r="H208" s="16" t="n"/>
      <c r="I208" s="16">
        <f>IF(H208&lt;&gt;"","Completed",IF(TODAY()&gt;G208,"Overdue",IF(F208&lt;&gt;"","In Progress","Not Started")))</f>
        <v/>
      </c>
      <c r="J208" s="18">
        <f>IF(I208="Overdue",TODAY()-G208,0)</f>
        <v/>
      </c>
      <c r="K208" s="16" t="n"/>
      <c r="L208" s="16" t="n"/>
      <c r="M208" s="16" t="n"/>
      <c r="N208" s="16" t="n"/>
      <c r="O208" s="16" t="n"/>
    </row>
    <row r="209">
      <c r="A209" s="17" t="inlineStr">
        <is>
          <t>TRK-0206</t>
        </is>
      </c>
      <c r="B209" s="16" t="n"/>
      <c r="C209" s="16" t="n"/>
      <c r="D209" s="16" t="n"/>
      <c r="E209" s="16" t="n"/>
      <c r="F209" s="16" t="n"/>
      <c r="G209" s="16" t="n"/>
      <c r="H209" s="16" t="n"/>
      <c r="I209" s="16">
        <f>IF(H209&lt;&gt;"","Completed",IF(TODAY()&gt;G209,"Overdue",IF(F209&lt;&gt;"","In Progress","Not Started")))</f>
        <v/>
      </c>
      <c r="J209" s="18">
        <f>IF(I209="Overdue",TODAY()-G209,0)</f>
        <v/>
      </c>
      <c r="K209" s="16" t="n"/>
      <c r="L209" s="16" t="n"/>
      <c r="M209" s="16" t="n"/>
      <c r="N209" s="16" t="n"/>
      <c r="O209" s="16" t="n"/>
    </row>
    <row r="210">
      <c r="A210" s="17" t="inlineStr">
        <is>
          <t>TRK-0207</t>
        </is>
      </c>
      <c r="B210" s="16" t="n"/>
      <c r="C210" s="16" t="n"/>
      <c r="D210" s="16" t="n"/>
      <c r="E210" s="16" t="n"/>
      <c r="F210" s="16" t="n"/>
      <c r="G210" s="16" t="n"/>
      <c r="H210" s="16" t="n"/>
      <c r="I210" s="16">
        <f>IF(H210&lt;&gt;"","Completed",IF(TODAY()&gt;G210,"Overdue",IF(F210&lt;&gt;"","In Progress","Not Started")))</f>
        <v/>
      </c>
      <c r="J210" s="18">
        <f>IF(I210="Overdue",TODAY()-G210,0)</f>
        <v/>
      </c>
      <c r="K210" s="16" t="n"/>
      <c r="L210" s="16" t="n"/>
      <c r="M210" s="16" t="n"/>
      <c r="N210" s="16" t="n"/>
      <c r="O210" s="16" t="n"/>
    </row>
    <row r="211">
      <c r="A211" s="17" t="inlineStr">
        <is>
          <t>TRK-0208</t>
        </is>
      </c>
      <c r="B211" s="16" t="n"/>
      <c r="C211" s="16" t="n"/>
      <c r="D211" s="16" t="n"/>
      <c r="E211" s="16" t="n"/>
      <c r="F211" s="16" t="n"/>
      <c r="G211" s="16" t="n"/>
      <c r="H211" s="16" t="n"/>
      <c r="I211" s="16">
        <f>IF(H211&lt;&gt;"","Completed",IF(TODAY()&gt;G211,"Overdue",IF(F211&lt;&gt;"","In Progress","Not Started")))</f>
        <v/>
      </c>
      <c r="J211" s="18">
        <f>IF(I211="Overdue",TODAY()-G211,0)</f>
        <v/>
      </c>
      <c r="K211" s="16" t="n"/>
      <c r="L211" s="16" t="n"/>
      <c r="M211" s="16" t="n"/>
      <c r="N211" s="16" t="n"/>
      <c r="O211" s="16" t="n"/>
    </row>
    <row r="212">
      <c r="A212" s="17" t="inlineStr">
        <is>
          <t>TRK-0209</t>
        </is>
      </c>
      <c r="B212" s="16" t="n"/>
      <c r="C212" s="16" t="n"/>
      <c r="D212" s="16" t="n"/>
      <c r="E212" s="16" t="n"/>
      <c r="F212" s="16" t="n"/>
      <c r="G212" s="16" t="n"/>
      <c r="H212" s="16" t="n"/>
      <c r="I212" s="16">
        <f>IF(H212&lt;&gt;"","Completed",IF(TODAY()&gt;G212,"Overdue",IF(F212&lt;&gt;"","In Progress","Not Started")))</f>
        <v/>
      </c>
      <c r="J212" s="18">
        <f>IF(I212="Overdue",TODAY()-G212,0)</f>
        <v/>
      </c>
      <c r="K212" s="16" t="n"/>
      <c r="L212" s="16" t="n"/>
      <c r="M212" s="16" t="n"/>
      <c r="N212" s="16" t="n"/>
      <c r="O212" s="16" t="n"/>
    </row>
    <row r="213">
      <c r="A213" s="17" t="inlineStr">
        <is>
          <t>TRK-0210</t>
        </is>
      </c>
      <c r="B213" s="16" t="n"/>
      <c r="C213" s="16" t="n"/>
      <c r="D213" s="16" t="n"/>
      <c r="E213" s="16" t="n"/>
      <c r="F213" s="16" t="n"/>
      <c r="G213" s="16" t="n"/>
      <c r="H213" s="16" t="n"/>
      <c r="I213" s="16">
        <f>IF(H213&lt;&gt;"","Completed",IF(TODAY()&gt;G213,"Overdue",IF(F213&lt;&gt;"","In Progress","Not Started")))</f>
        <v/>
      </c>
      <c r="J213" s="18">
        <f>IF(I213="Overdue",TODAY()-G213,0)</f>
        <v/>
      </c>
      <c r="K213" s="16" t="n"/>
      <c r="L213" s="16" t="n"/>
      <c r="M213" s="16" t="n"/>
      <c r="N213" s="16" t="n"/>
      <c r="O213" s="16" t="n"/>
    </row>
    <row r="214">
      <c r="A214" s="17" t="inlineStr">
        <is>
          <t>TRK-0211</t>
        </is>
      </c>
      <c r="B214" s="16" t="n"/>
      <c r="C214" s="16" t="n"/>
      <c r="D214" s="16" t="n"/>
      <c r="E214" s="16" t="n"/>
      <c r="F214" s="16" t="n"/>
      <c r="G214" s="16" t="n"/>
      <c r="H214" s="16" t="n"/>
      <c r="I214" s="16">
        <f>IF(H214&lt;&gt;"","Completed",IF(TODAY()&gt;G214,"Overdue",IF(F214&lt;&gt;"","In Progress","Not Started")))</f>
        <v/>
      </c>
      <c r="J214" s="18">
        <f>IF(I214="Overdue",TODAY()-G214,0)</f>
        <v/>
      </c>
      <c r="K214" s="16" t="n"/>
      <c r="L214" s="16" t="n"/>
      <c r="M214" s="16" t="n"/>
      <c r="N214" s="16" t="n"/>
      <c r="O214" s="16" t="n"/>
    </row>
    <row r="215">
      <c r="A215" s="17" t="inlineStr">
        <is>
          <t>TRK-0212</t>
        </is>
      </c>
      <c r="B215" s="16" t="n"/>
      <c r="C215" s="16" t="n"/>
      <c r="D215" s="16" t="n"/>
      <c r="E215" s="16" t="n"/>
      <c r="F215" s="16" t="n"/>
      <c r="G215" s="16" t="n"/>
      <c r="H215" s="16" t="n"/>
      <c r="I215" s="16">
        <f>IF(H215&lt;&gt;"","Completed",IF(TODAY()&gt;G215,"Overdue",IF(F215&lt;&gt;"","In Progress","Not Started")))</f>
        <v/>
      </c>
      <c r="J215" s="18">
        <f>IF(I215="Overdue",TODAY()-G215,0)</f>
        <v/>
      </c>
      <c r="K215" s="16" t="n"/>
      <c r="L215" s="16" t="n"/>
      <c r="M215" s="16" t="n"/>
      <c r="N215" s="16" t="n"/>
      <c r="O215" s="16" t="n"/>
    </row>
    <row r="216">
      <c r="A216" s="17" t="inlineStr">
        <is>
          <t>TRK-0213</t>
        </is>
      </c>
      <c r="B216" s="16" t="n"/>
      <c r="C216" s="16" t="n"/>
      <c r="D216" s="16" t="n"/>
      <c r="E216" s="16" t="n"/>
      <c r="F216" s="16" t="n"/>
      <c r="G216" s="16" t="n"/>
      <c r="H216" s="16" t="n"/>
      <c r="I216" s="16">
        <f>IF(H216&lt;&gt;"","Completed",IF(TODAY()&gt;G216,"Overdue",IF(F216&lt;&gt;"","In Progress","Not Started")))</f>
        <v/>
      </c>
      <c r="J216" s="18">
        <f>IF(I216="Overdue",TODAY()-G216,0)</f>
        <v/>
      </c>
      <c r="K216" s="16" t="n"/>
      <c r="L216" s="16" t="n"/>
      <c r="M216" s="16" t="n"/>
      <c r="N216" s="16" t="n"/>
      <c r="O216" s="16" t="n"/>
    </row>
    <row r="217">
      <c r="A217" s="17" t="inlineStr">
        <is>
          <t>TRK-0214</t>
        </is>
      </c>
      <c r="B217" s="16" t="n"/>
      <c r="C217" s="16" t="n"/>
      <c r="D217" s="16" t="n"/>
      <c r="E217" s="16" t="n"/>
      <c r="F217" s="16" t="n"/>
      <c r="G217" s="16" t="n"/>
      <c r="H217" s="16" t="n"/>
      <c r="I217" s="16">
        <f>IF(H217&lt;&gt;"","Completed",IF(TODAY()&gt;G217,"Overdue",IF(F217&lt;&gt;"","In Progress","Not Started")))</f>
        <v/>
      </c>
      <c r="J217" s="18">
        <f>IF(I217="Overdue",TODAY()-G217,0)</f>
        <v/>
      </c>
      <c r="K217" s="16" t="n"/>
      <c r="L217" s="16" t="n"/>
      <c r="M217" s="16" t="n"/>
      <c r="N217" s="16" t="n"/>
      <c r="O217" s="16" t="n"/>
    </row>
    <row r="218">
      <c r="A218" s="17" t="inlineStr">
        <is>
          <t>TRK-0215</t>
        </is>
      </c>
      <c r="B218" s="16" t="n"/>
      <c r="C218" s="16" t="n"/>
      <c r="D218" s="16" t="n"/>
      <c r="E218" s="16" t="n"/>
      <c r="F218" s="16" t="n"/>
      <c r="G218" s="16" t="n"/>
      <c r="H218" s="16" t="n"/>
      <c r="I218" s="16">
        <f>IF(H218&lt;&gt;"","Completed",IF(TODAY()&gt;G218,"Overdue",IF(F218&lt;&gt;"","In Progress","Not Started")))</f>
        <v/>
      </c>
      <c r="J218" s="18">
        <f>IF(I218="Overdue",TODAY()-G218,0)</f>
        <v/>
      </c>
      <c r="K218" s="16" t="n"/>
      <c r="L218" s="16" t="n"/>
      <c r="M218" s="16" t="n"/>
      <c r="N218" s="16" t="n"/>
      <c r="O218" s="16" t="n"/>
    </row>
    <row r="219">
      <c r="A219" s="17" t="inlineStr">
        <is>
          <t>TRK-0216</t>
        </is>
      </c>
      <c r="B219" s="16" t="n"/>
      <c r="C219" s="16" t="n"/>
      <c r="D219" s="16" t="n"/>
      <c r="E219" s="16" t="n"/>
      <c r="F219" s="16" t="n"/>
      <c r="G219" s="16" t="n"/>
      <c r="H219" s="16" t="n"/>
      <c r="I219" s="16">
        <f>IF(H219&lt;&gt;"","Completed",IF(TODAY()&gt;G219,"Overdue",IF(F219&lt;&gt;"","In Progress","Not Started")))</f>
        <v/>
      </c>
      <c r="J219" s="18">
        <f>IF(I219="Overdue",TODAY()-G219,0)</f>
        <v/>
      </c>
      <c r="K219" s="16" t="n"/>
      <c r="L219" s="16" t="n"/>
      <c r="M219" s="16" t="n"/>
      <c r="N219" s="16" t="n"/>
      <c r="O219" s="16" t="n"/>
    </row>
    <row r="220">
      <c r="A220" s="17" t="inlineStr">
        <is>
          <t>TRK-0217</t>
        </is>
      </c>
      <c r="B220" s="16" t="n"/>
      <c r="C220" s="16" t="n"/>
      <c r="D220" s="16" t="n"/>
      <c r="E220" s="16" t="n"/>
      <c r="F220" s="16" t="n"/>
      <c r="G220" s="16" t="n"/>
      <c r="H220" s="16" t="n"/>
      <c r="I220" s="16">
        <f>IF(H220&lt;&gt;"","Completed",IF(TODAY()&gt;G220,"Overdue",IF(F220&lt;&gt;"","In Progress","Not Started")))</f>
        <v/>
      </c>
      <c r="J220" s="18">
        <f>IF(I220="Overdue",TODAY()-G220,0)</f>
        <v/>
      </c>
      <c r="K220" s="16" t="n"/>
      <c r="L220" s="16" t="n"/>
      <c r="M220" s="16" t="n"/>
      <c r="N220" s="16" t="n"/>
      <c r="O220" s="16" t="n"/>
    </row>
    <row r="221">
      <c r="A221" s="17" t="inlineStr">
        <is>
          <t>TRK-0218</t>
        </is>
      </c>
      <c r="B221" s="16" t="n"/>
      <c r="C221" s="16" t="n"/>
      <c r="D221" s="16" t="n"/>
      <c r="E221" s="16" t="n"/>
      <c r="F221" s="16" t="n"/>
      <c r="G221" s="16" t="n"/>
      <c r="H221" s="16" t="n"/>
      <c r="I221" s="16">
        <f>IF(H221&lt;&gt;"","Completed",IF(TODAY()&gt;G221,"Overdue",IF(F221&lt;&gt;"","In Progress","Not Started")))</f>
        <v/>
      </c>
      <c r="J221" s="18">
        <f>IF(I221="Overdue",TODAY()-G221,0)</f>
        <v/>
      </c>
      <c r="K221" s="16" t="n"/>
      <c r="L221" s="16" t="n"/>
      <c r="M221" s="16" t="n"/>
      <c r="N221" s="16" t="n"/>
      <c r="O221" s="16" t="n"/>
    </row>
    <row r="222">
      <c r="A222" s="17" t="inlineStr">
        <is>
          <t>TRK-0219</t>
        </is>
      </c>
      <c r="B222" s="16" t="n"/>
      <c r="C222" s="16" t="n"/>
      <c r="D222" s="16" t="n"/>
      <c r="E222" s="16" t="n"/>
      <c r="F222" s="16" t="n"/>
      <c r="G222" s="16" t="n"/>
      <c r="H222" s="16" t="n"/>
      <c r="I222" s="16">
        <f>IF(H222&lt;&gt;"","Completed",IF(TODAY()&gt;G222,"Overdue",IF(F222&lt;&gt;"","In Progress","Not Started")))</f>
        <v/>
      </c>
      <c r="J222" s="18">
        <f>IF(I222="Overdue",TODAY()-G222,0)</f>
        <v/>
      </c>
      <c r="K222" s="16" t="n"/>
      <c r="L222" s="16" t="n"/>
      <c r="M222" s="16" t="n"/>
      <c r="N222" s="16" t="n"/>
      <c r="O222" s="16" t="n"/>
    </row>
    <row r="223">
      <c r="A223" s="17" t="inlineStr">
        <is>
          <t>TRK-0220</t>
        </is>
      </c>
      <c r="B223" s="16" t="n"/>
      <c r="C223" s="16" t="n"/>
      <c r="D223" s="16" t="n"/>
      <c r="E223" s="16" t="n"/>
      <c r="F223" s="16" t="n"/>
      <c r="G223" s="16" t="n"/>
      <c r="H223" s="16" t="n"/>
      <c r="I223" s="16">
        <f>IF(H223&lt;&gt;"","Completed",IF(TODAY()&gt;G223,"Overdue",IF(F223&lt;&gt;"","In Progress","Not Started")))</f>
        <v/>
      </c>
      <c r="J223" s="18">
        <f>IF(I223="Overdue",TODAY()-G223,0)</f>
        <v/>
      </c>
      <c r="K223" s="16" t="n"/>
      <c r="L223" s="16" t="n"/>
      <c r="M223" s="16" t="n"/>
      <c r="N223" s="16" t="n"/>
      <c r="O223" s="16" t="n"/>
    </row>
    <row r="224">
      <c r="A224" s="17" t="inlineStr">
        <is>
          <t>TRK-0221</t>
        </is>
      </c>
      <c r="B224" s="16" t="n"/>
      <c r="C224" s="16" t="n"/>
      <c r="D224" s="16" t="n"/>
      <c r="E224" s="16" t="n"/>
      <c r="F224" s="16" t="n"/>
      <c r="G224" s="16" t="n"/>
      <c r="H224" s="16" t="n"/>
      <c r="I224" s="16">
        <f>IF(H224&lt;&gt;"","Completed",IF(TODAY()&gt;G224,"Overdue",IF(F224&lt;&gt;"","In Progress","Not Started")))</f>
        <v/>
      </c>
      <c r="J224" s="18">
        <f>IF(I224="Overdue",TODAY()-G224,0)</f>
        <v/>
      </c>
      <c r="K224" s="16" t="n"/>
      <c r="L224" s="16" t="n"/>
      <c r="M224" s="16" t="n"/>
      <c r="N224" s="16" t="n"/>
      <c r="O224" s="16" t="n"/>
    </row>
    <row r="225">
      <c r="A225" s="17" t="inlineStr">
        <is>
          <t>TRK-0222</t>
        </is>
      </c>
      <c r="B225" s="16" t="n"/>
      <c r="C225" s="16" t="n"/>
      <c r="D225" s="16" t="n"/>
      <c r="E225" s="16" t="n"/>
      <c r="F225" s="16" t="n"/>
      <c r="G225" s="16" t="n"/>
      <c r="H225" s="16" t="n"/>
      <c r="I225" s="16">
        <f>IF(H225&lt;&gt;"","Completed",IF(TODAY()&gt;G225,"Overdue",IF(F225&lt;&gt;"","In Progress","Not Started")))</f>
        <v/>
      </c>
      <c r="J225" s="18">
        <f>IF(I225="Overdue",TODAY()-G225,0)</f>
        <v/>
      </c>
      <c r="K225" s="16" t="n"/>
      <c r="L225" s="16" t="n"/>
      <c r="M225" s="16" t="n"/>
      <c r="N225" s="16" t="n"/>
      <c r="O225" s="16" t="n"/>
    </row>
    <row r="226">
      <c r="A226" s="17" t="inlineStr">
        <is>
          <t>TRK-0223</t>
        </is>
      </c>
      <c r="B226" s="16" t="n"/>
      <c r="C226" s="16" t="n"/>
      <c r="D226" s="16" t="n"/>
      <c r="E226" s="16" t="n"/>
      <c r="F226" s="16" t="n"/>
      <c r="G226" s="16" t="n"/>
      <c r="H226" s="16" t="n"/>
      <c r="I226" s="16">
        <f>IF(H226&lt;&gt;"","Completed",IF(TODAY()&gt;G226,"Overdue",IF(F226&lt;&gt;"","In Progress","Not Started")))</f>
        <v/>
      </c>
      <c r="J226" s="18">
        <f>IF(I226="Overdue",TODAY()-G226,0)</f>
        <v/>
      </c>
      <c r="K226" s="16" t="n"/>
      <c r="L226" s="16" t="n"/>
      <c r="M226" s="16" t="n"/>
      <c r="N226" s="16" t="n"/>
      <c r="O226" s="16" t="n"/>
    </row>
    <row r="227">
      <c r="A227" s="17" t="inlineStr">
        <is>
          <t>TRK-0224</t>
        </is>
      </c>
      <c r="B227" s="16" t="n"/>
      <c r="C227" s="16" t="n"/>
      <c r="D227" s="16" t="n"/>
      <c r="E227" s="16" t="n"/>
      <c r="F227" s="16" t="n"/>
      <c r="G227" s="16" t="n"/>
      <c r="H227" s="16" t="n"/>
      <c r="I227" s="16">
        <f>IF(H227&lt;&gt;"","Completed",IF(TODAY()&gt;G227,"Overdue",IF(F227&lt;&gt;"","In Progress","Not Started")))</f>
        <v/>
      </c>
      <c r="J227" s="18">
        <f>IF(I227="Overdue",TODAY()-G227,0)</f>
        <v/>
      </c>
      <c r="K227" s="16" t="n"/>
      <c r="L227" s="16" t="n"/>
      <c r="M227" s="16" t="n"/>
      <c r="N227" s="16" t="n"/>
      <c r="O227" s="16" t="n"/>
    </row>
    <row r="228">
      <c r="A228" s="17" t="inlineStr">
        <is>
          <t>TRK-0225</t>
        </is>
      </c>
      <c r="B228" s="16" t="n"/>
      <c r="C228" s="16" t="n"/>
      <c r="D228" s="16" t="n"/>
      <c r="E228" s="16" t="n"/>
      <c r="F228" s="16" t="n"/>
      <c r="G228" s="16" t="n"/>
      <c r="H228" s="16" t="n"/>
      <c r="I228" s="16">
        <f>IF(H228&lt;&gt;"","Completed",IF(TODAY()&gt;G228,"Overdue",IF(F228&lt;&gt;"","In Progress","Not Started")))</f>
        <v/>
      </c>
      <c r="J228" s="18">
        <f>IF(I228="Overdue",TODAY()-G228,0)</f>
        <v/>
      </c>
      <c r="K228" s="16" t="n"/>
      <c r="L228" s="16" t="n"/>
      <c r="M228" s="16" t="n"/>
      <c r="N228" s="16" t="n"/>
      <c r="O228" s="16" t="n"/>
    </row>
    <row r="229">
      <c r="A229" s="17" t="inlineStr">
        <is>
          <t>TRK-0226</t>
        </is>
      </c>
      <c r="B229" s="16" t="n"/>
      <c r="C229" s="16" t="n"/>
      <c r="D229" s="16" t="n"/>
      <c r="E229" s="16" t="n"/>
      <c r="F229" s="16" t="n"/>
      <c r="G229" s="16" t="n"/>
      <c r="H229" s="16" t="n"/>
      <c r="I229" s="16">
        <f>IF(H229&lt;&gt;"","Completed",IF(TODAY()&gt;G229,"Overdue",IF(F229&lt;&gt;"","In Progress","Not Started")))</f>
        <v/>
      </c>
      <c r="J229" s="18">
        <f>IF(I229="Overdue",TODAY()-G229,0)</f>
        <v/>
      </c>
      <c r="K229" s="16" t="n"/>
      <c r="L229" s="16" t="n"/>
      <c r="M229" s="16" t="n"/>
      <c r="N229" s="16" t="n"/>
      <c r="O229" s="16" t="n"/>
    </row>
    <row r="230">
      <c r="A230" s="17" t="inlineStr">
        <is>
          <t>TRK-0227</t>
        </is>
      </c>
      <c r="B230" s="16" t="n"/>
      <c r="C230" s="16" t="n"/>
      <c r="D230" s="16" t="n"/>
      <c r="E230" s="16" t="n"/>
      <c r="F230" s="16" t="n"/>
      <c r="G230" s="16" t="n"/>
      <c r="H230" s="16" t="n"/>
      <c r="I230" s="16">
        <f>IF(H230&lt;&gt;"","Completed",IF(TODAY()&gt;G230,"Overdue",IF(F230&lt;&gt;"","In Progress","Not Started")))</f>
        <v/>
      </c>
      <c r="J230" s="18">
        <f>IF(I230="Overdue",TODAY()-G230,0)</f>
        <v/>
      </c>
      <c r="K230" s="16" t="n"/>
      <c r="L230" s="16" t="n"/>
      <c r="M230" s="16" t="n"/>
      <c r="N230" s="16" t="n"/>
      <c r="O230" s="16" t="n"/>
    </row>
    <row r="231">
      <c r="A231" s="17" t="inlineStr">
        <is>
          <t>TRK-0228</t>
        </is>
      </c>
      <c r="B231" s="16" t="n"/>
      <c r="C231" s="16" t="n"/>
      <c r="D231" s="16" t="n"/>
      <c r="E231" s="16" t="n"/>
      <c r="F231" s="16" t="n"/>
      <c r="G231" s="16" t="n"/>
      <c r="H231" s="16" t="n"/>
      <c r="I231" s="16">
        <f>IF(H231&lt;&gt;"","Completed",IF(TODAY()&gt;G231,"Overdue",IF(F231&lt;&gt;"","In Progress","Not Started")))</f>
        <v/>
      </c>
      <c r="J231" s="18">
        <f>IF(I231="Overdue",TODAY()-G231,0)</f>
        <v/>
      </c>
      <c r="K231" s="16" t="n"/>
      <c r="L231" s="16" t="n"/>
      <c r="M231" s="16" t="n"/>
      <c r="N231" s="16" t="n"/>
      <c r="O231" s="16" t="n"/>
    </row>
    <row r="232">
      <c r="A232" s="17" t="inlineStr">
        <is>
          <t>TRK-0229</t>
        </is>
      </c>
      <c r="B232" s="16" t="n"/>
      <c r="C232" s="16" t="n"/>
      <c r="D232" s="16" t="n"/>
      <c r="E232" s="16" t="n"/>
      <c r="F232" s="16" t="n"/>
      <c r="G232" s="16" t="n"/>
      <c r="H232" s="16" t="n"/>
      <c r="I232" s="16">
        <f>IF(H232&lt;&gt;"","Completed",IF(TODAY()&gt;G232,"Overdue",IF(F232&lt;&gt;"","In Progress","Not Started")))</f>
        <v/>
      </c>
      <c r="J232" s="18">
        <f>IF(I232="Overdue",TODAY()-G232,0)</f>
        <v/>
      </c>
      <c r="K232" s="16" t="n"/>
      <c r="L232" s="16" t="n"/>
      <c r="M232" s="16" t="n"/>
      <c r="N232" s="16" t="n"/>
      <c r="O232" s="16" t="n"/>
    </row>
    <row r="233">
      <c r="A233" s="17" t="inlineStr">
        <is>
          <t>TRK-0230</t>
        </is>
      </c>
      <c r="B233" s="16" t="n"/>
      <c r="C233" s="16" t="n"/>
      <c r="D233" s="16" t="n"/>
      <c r="E233" s="16" t="n"/>
      <c r="F233" s="16" t="n"/>
      <c r="G233" s="16" t="n"/>
      <c r="H233" s="16" t="n"/>
      <c r="I233" s="16">
        <f>IF(H233&lt;&gt;"","Completed",IF(TODAY()&gt;G233,"Overdue",IF(F233&lt;&gt;"","In Progress","Not Started")))</f>
        <v/>
      </c>
      <c r="J233" s="18">
        <f>IF(I233="Overdue",TODAY()-G233,0)</f>
        <v/>
      </c>
      <c r="K233" s="16" t="n"/>
      <c r="L233" s="16" t="n"/>
      <c r="M233" s="16" t="n"/>
      <c r="N233" s="16" t="n"/>
      <c r="O233" s="16" t="n"/>
    </row>
    <row r="234">
      <c r="A234" s="17" t="inlineStr">
        <is>
          <t>TRK-0231</t>
        </is>
      </c>
      <c r="B234" s="16" t="n"/>
      <c r="C234" s="16" t="n"/>
      <c r="D234" s="16" t="n"/>
      <c r="E234" s="16" t="n"/>
      <c r="F234" s="16" t="n"/>
      <c r="G234" s="16" t="n"/>
      <c r="H234" s="16" t="n"/>
      <c r="I234" s="16">
        <f>IF(H234&lt;&gt;"","Completed",IF(TODAY()&gt;G234,"Overdue",IF(F234&lt;&gt;"","In Progress","Not Started")))</f>
        <v/>
      </c>
      <c r="J234" s="18">
        <f>IF(I234="Overdue",TODAY()-G234,0)</f>
        <v/>
      </c>
      <c r="K234" s="16" t="n"/>
      <c r="L234" s="16" t="n"/>
      <c r="M234" s="16" t="n"/>
      <c r="N234" s="16" t="n"/>
      <c r="O234" s="16" t="n"/>
    </row>
    <row r="235">
      <c r="A235" s="17" t="inlineStr">
        <is>
          <t>TRK-0232</t>
        </is>
      </c>
      <c r="B235" s="16" t="n"/>
      <c r="C235" s="16" t="n"/>
      <c r="D235" s="16" t="n"/>
      <c r="E235" s="16" t="n"/>
      <c r="F235" s="16" t="n"/>
      <c r="G235" s="16" t="n"/>
      <c r="H235" s="16" t="n"/>
      <c r="I235" s="16">
        <f>IF(H235&lt;&gt;"","Completed",IF(TODAY()&gt;G235,"Overdue",IF(F235&lt;&gt;"","In Progress","Not Started")))</f>
        <v/>
      </c>
      <c r="J235" s="18">
        <f>IF(I235="Overdue",TODAY()-G235,0)</f>
        <v/>
      </c>
      <c r="K235" s="16" t="n"/>
      <c r="L235" s="16" t="n"/>
      <c r="M235" s="16" t="n"/>
      <c r="N235" s="16" t="n"/>
      <c r="O235" s="16" t="n"/>
    </row>
    <row r="236">
      <c r="A236" s="17" t="inlineStr">
        <is>
          <t>TRK-0233</t>
        </is>
      </c>
      <c r="B236" s="16" t="n"/>
      <c r="C236" s="16" t="n"/>
      <c r="D236" s="16" t="n"/>
      <c r="E236" s="16" t="n"/>
      <c r="F236" s="16" t="n"/>
      <c r="G236" s="16" t="n"/>
      <c r="H236" s="16" t="n"/>
      <c r="I236" s="16">
        <f>IF(H236&lt;&gt;"","Completed",IF(TODAY()&gt;G236,"Overdue",IF(F236&lt;&gt;"","In Progress","Not Started")))</f>
        <v/>
      </c>
      <c r="J236" s="18">
        <f>IF(I236="Overdue",TODAY()-G236,0)</f>
        <v/>
      </c>
      <c r="K236" s="16" t="n"/>
      <c r="L236" s="16" t="n"/>
      <c r="M236" s="16" t="n"/>
      <c r="N236" s="16" t="n"/>
      <c r="O236" s="16" t="n"/>
    </row>
    <row r="237">
      <c r="A237" s="17" t="inlineStr">
        <is>
          <t>TRK-0234</t>
        </is>
      </c>
      <c r="B237" s="16" t="n"/>
      <c r="C237" s="16" t="n"/>
      <c r="D237" s="16" t="n"/>
      <c r="E237" s="16" t="n"/>
      <c r="F237" s="16" t="n"/>
      <c r="G237" s="16" t="n"/>
      <c r="H237" s="16" t="n"/>
      <c r="I237" s="16">
        <f>IF(H237&lt;&gt;"","Completed",IF(TODAY()&gt;G237,"Overdue",IF(F237&lt;&gt;"","In Progress","Not Started")))</f>
        <v/>
      </c>
      <c r="J237" s="18">
        <f>IF(I237="Overdue",TODAY()-G237,0)</f>
        <v/>
      </c>
      <c r="K237" s="16" t="n"/>
      <c r="L237" s="16" t="n"/>
      <c r="M237" s="16" t="n"/>
      <c r="N237" s="16" t="n"/>
      <c r="O237" s="16" t="n"/>
    </row>
    <row r="238">
      <c r="A238" s="17" t="inlineStr">
        <is>
          <t>TRK-0235</t>
        </is>
      </c>
      <c r="B238" s="16" t="n"/>
      <c r="C238" s="16" t="n"/>
      <c r="D238" s="16" t="n"/>
      <c r="E238" s="16" t="n"/>
      <c r="F238" s="16" t="n"/>
      <c r="G238" s="16" t="n"/>
      <c r="H238" s="16" t="n"/>
      <c r="I238" s="16">
        <f>IF(H238&lt;&gt;"","Completed",IF(TODAY()&gt;G238,"Overdue",IF(F238&lt;&gt;"","In Progress","Not Started")))</f>
        <v/>
      </c>
      <c r="J238" s="18">
        <f>IF(I238="Overdue",TODAY()-G238,0)</f>
        <v/>
      </c>
      <c r="K238" s="16" t="n"/>
      <c r="L238" s="16" t="n"/>
      <c r="M238" s="16" t="n"/>
      <c r="N238" s="16" t="n"/>
      <c r="O238" s="16" t="n"/>
    </row>
    <row r="239">
      <c r="A239" s="17" t="inlineStr">
        <is>
          <t>TRK-0236</t>
        </is>
      </c>
      <c r="B239" s="16" t="n"/>
      <c r="C239" s="16" t="n"/>
      <c r="D239" s="16" t="n"/>
      <c r="E239" s="16" t="n"/>
      <c r="F239" s="16" t="n"/>
      <c r="G239" s="16" t="n"/>
      <c r="H239" s="16" t="n"/>
      <c r="I239" s="16">
        <f>IF(H239&lt;&gt;"","Completed",IF(TODAY()&gt;G239,"Overdue",IF(F239&lt;&gt;"","In Progress","Not Started")))</f>
        <v/>
      </c>
      <c r="J239" s="18">
        <f>IF(I239="Overdue",TODAY()-G239,0)</f>
        <v/>
      </c>
      <c r="K239" s="16" t="n"/>
      <c r="L239" s="16" t="n"/>
      <c r="M239" s="16" t="n"/>
      <c r="N239" s="16" t="n"/>
      <c r="O239" s="16" t="n"/>
    </row>
    <row r="240">
      <c r="A240" s="17" t="inlineStr">
        <is>
          <t>TRK-0237</t>
        </is>
      </c>
      <c r="B240" s="16" t="n"/>
      <c r="C240" s="16" t="n"/>
      <c r="D240" s="16" t="n"/>
      <c r="E240" s="16" t="n"/>
      <c r="F240" s="16" t="n"/>
      <c r="G240" s="16" t="n"/>
      <c r="H240" s="16" t="n"/>
      <c r="I240" s="16">
        <f>IF(H240&lt;&gt;"","Completed",IF(TODAY()&gt;G240,"Overdue",IF(F240&lt;&gt;"","In Progress","Not Started")))</f>
        <v/>
      </c>
      <c r="J240" s="18">
        <f>IF(I240="Overdue",TODAY()-G240,0)</f>
        <v/>
      </c>
      <c r="K240" s="16" t="n"/>
      <c r="L240" s="16" t="n"/>
      <c r="M240" s="16" t="n"/>
      <c r="N240" s="16" t="n"/>
      <c r="O240" s="16" t="n"/>
    </row>
    <row r="241">
      <c r="A241" s="17" t="inlineStr">
        <is>
          <t>TRK-0238</t>
        </is>
      </c>
      <c r="B241" s="16" t="n"/>
      <c r="C241" s="16" t="n"/>
      <c r="D241" s="16" t="n"/>
      <c r="E241" s="16" t="n"/>
      <c r="F241" s="16" t="n"/>
      <c r="G241" s="16" t="n"/>
      <c r="H241" s="16" t="n"/>
      <c r="I241" s="16">
        <f>IF(H241&lt;&gt;"","Completed",IF(TODAY()&gt;G241,"Overdue",IF(F241&lt;&gt;"","In Progress","Not Started")))</f>
        <v/>
      </c>
      <c r="J241" s="18">
        <f>IF(I241="Overdue",TODAY()-G241,0)</f>
        <v/>
      </c>
      <c r="K241" s="16" t="n"/>
      <c r="L241" s="16" t="n"/>
      <c r="M241" s="16" t="n"/>
      <c r="N241" s="16" t="n"/>
      <c r="O241" s="16" t="n"/>
    </row>
    <row r="242">
      <c r="A242" s="17" t="inlineStr">
        <is>
          <t>TRK-0239</t>
        </is>
      </c>
      <c r="B242" s="16" t="n"/>
      <c r="C242" s="16" t="n"/>
      <c r="D242" s="16" t="n"/>
      <c r="E242" s="16" t="n"/>
      <c r="F242" s="16" t="n"/>
      <c r="G242" s="16" t="n"/>
      <c r="H242" s="16" t="n"/>
      <c r="I242" s="16">
        <f>IF(H242&lt;&gt;"","Completed",IF(TODAY()&gt;G242,"Overdue",IF(F242&lt;&gt;"","In Progress","Not Started")))</f>
        <v/>
      </c>
      <c r="J242" s="18">
        <f>IF(I242="Overdue",TODAY()-G242,0)</f>
        <v/>
      </c>
      <c r="K242" s="16" t="n"/>
      <c r="L242" s="16" t="n"/>
      <c r="M242" s="16" t="n"/>
      <c r="N242" s="16" t="n"/>
      <c r="O242" s="16" t="n"/>
    </row>
    <row r="243">
      <c r="A243" s="17" t="inlineStr">
        <is>
          <t>TRK-0240</t>
        </is>
      </c>
      <c r="B243" s="16" t="n"/>
      <c r="C243" s="16" t="n"/>
      <c r="D243" s="16" t="n"/>
      <c r="E243" s="16" t="n"/>
      <c r="F243" s="16" t="n"/>
      <c r="G243" s="16" t="n"/>
      <c r="H243" s="16" t="n"/>
      <c r="I243" s="16">
        <f>IF(H243&lt;&gt;"","Completed",IF(TODAY()&gt;G243,"Overdue",IF(F243&lt;&gt;"","In Progress","Not Started")))</f>
        <v/>
      </c>
      <c r="J243" s="18">
        <f>IF(I243="Overdue",TODAY()-G243,0)</f>
        <v/>
      </c>
      <c r="K243" s="16" t="n"/>
      <c r="L243" s="16" t="n"/>
      <c r="M243" s="16" t="n"/>
      <c r="N243" s="16" t="n"/>
      <c r="O243" s="16" t="n"/>
    </row>
    <row r="244">
      <c r="A244" s="17" t="inlineStr">
        <is>
          <t>TRK-0241</t>
        </is>
      </c>
      <c r="B244" s="16" t="n"/>
      <c r="C244" s="16" t="n"/>
      <c r="D244" s="16" t="n"/>
      <c r="E244" s="16" t="n"/>
      <c r="F244" s="16" t="n"/>
      <c r="G244" s="16" t="n"/>
      <c r="H244" s="16" t="n"/>
      <c r="I244" s="16">
        <f>IF(H244&lt;&gt;"","Completed",IF(TODAY()&gt;G244,"Overdue",IF(F244&lt;&gt;"","In Progress","Not Started")))</f>
        <v/>
      </c>
      <c r="J244" s="18">
        <f>IF(I244="Overdue",TODAY()-G244,0)</f>
        <v/>
      </c>
      <c r="K244" s="16" t="n"/>
      <c r="L244" s="16" t="n"/>
      <c r="M244" s="16" t="n"/>
      <c r="N244" s="16" t="n"/>
      <c r="O244" s="16" t="n"/>
    </row>
    <row r="245">
      <c r="A245" s="17" t="inlineStr">
        <is>
          <t>TRK-0242</t>
        </is>
      </c>
      <c r="B245" s="16" t="n"/>
      <c r="C245" s="16" t="n"/>
      <c r="D245" s="16" t="n"/>
      <c r="E245" s="16" t="n"/>
      <c r="F245" s="16" t="n"/>
      <c r="G245" s="16" t="n"/>
      <c r="H245" s="16" t="n"/>
      <c r="I245" s="16">
        <f>IF(H245&lt;&gt;"","Completed",IF(TODAY()&gt;G245,"Overdue",IF(F245&lt;&gt;"","In Progress","Not Started")))</f>
        <v/>
      </c>
      <c r="J245" s="18">
        <f>IF(I245="Overdue",TODAY()-G245,0)</f>
        <v/>
      </c>
      <c r="K245" s="16" t="n"/>
      <c r="L245" s="16" t="n"/>
      <c r="M245" s="16" t="n"/>
      <c r="N245" s="16" t="n"/>
      <c r="O245" s="16" t="n"/>
    </row>
    <row r="246">
      <c r="A246" s="17" t="inlineStr">
        <is>
          <t>TRK-0243</t>
        </is>
      </c>
      <c r="B246" s="16" t="n"/>
      <c r="C246" s="16" t="n"/>
      <c r="D246" s="16" t="n"/>
      <c r="E246" s="16" t="n"/>
      <c r="F246" s="16" t="n"/>
      <c r="G246" s="16" t="n"/>
      <c r="H246" s="16" t="n"/>
      <c r="I246" s="16">
        <f>IF(H246&lt;&gt;"","Completed",IF(TODAY()&gt;G246,"Overdue",IF(F246&lt;&gt;"","In Progress","Not Started")))</f>
        <v/>
      </c>
      <c r="J246" s="18">
        <f>IF(I246="Overdue",TODAY()-G246,0)</f>
        <v/>
      </c>
      <c r="K246" s="16" t="n"/>
      <c r="L246" s="16" t="n"/>
      <c r="M246" s="16" t="n"/>
      <c r="N246" s="16" t="n"/>
      <c r="O246" s="16" t="n"/>
    </row>
    <row r="247">
      <c r="A247" s="17" t="inlineStr">
        <is>
          <t>TRK-0244</t>
        </is>
      </c>
      <c r="B247" s="16" t="n"/>
      <c r="C247" s="16" t="n"/>
      <c r="D247" s="16" t="n"/>
      <c r="E247" s="16" t="n"/>
      <c r="F247" s="16" t="n"/>
      <c r="G247" s="16" t="n"/>
      <c r="H247" s="16" t="n"/>
      <c r="I247" s="16">
        <f>IF(H247&lt;&gt;"","Completed",IF(TODAY()&gt;G247,"Overdue",IF(F247&lt;&gt;"","In Progress","Not Started")))</f>
        <v/>
      </c>
      <c r="J247" s="18">
        <f>IF(I247="Overdue",TODAY()-G247,0)</f>
        <v/>
      </c>
      <c r="K247" s="16" t="n"/>
      <c r="L247" s="16" t="n"/>
      <c r="M247" s="16" t="n"/>
      <c r="N247" s="16" t="n"/>
      <c r="O247" s="16" t="n"/>
    </row>
    <row r="248">
      <c r="A248" s="17" t="inlineStr">
        <is>
          <t>TRK-0245</t>
        </is>
      </c>
      <c r="B248" s="16" t="n"/>
      <c r="C248" s="16" t="n"/>
      <c r="D248" s="16" t="n"/>
      <c r="E248" s="16" t="n"/>
      <c r="F248" s="16" t="n"/>
      <c r="G248" s="16" t="n"/>
      <c r="H248" s="16" t="n"/>
      <c r="I248" s="16">
        <f>IF(H248&lt;&gt;"","Completed",IF(TODAY()&gt;G248,"Overdue",IF(F248&lt;&gt;"","In Progress","Not Started")))</f>
        <v/>
      </c>
      <c r="J248" s="18">
        <f>IF(I248="Overdue",TODAY()-G248,0)</f>
        <v/>
      </c>
      <c r="K248" s="16" t="n"/>
      <c r="L248" s="16" t="n"/>
      <c r="M248" s="16" t="n"/>
      <c r="N248" s="16" t="n"/>
      <c r="O248" s="16" t="n"/>
    </row>
    <row r="249">
      <c r="A249" s="17" t="inlineStr">
        <is>
          <t>TRK-0246</t>
        </is>
      </c>
      <c r="B249" s="16" t="n"/>
      <c r="C249" s="16" t="n"/>
      <c r="D249" s="16" t="n"/>
      <c r="E249" s="16" t="n"/>
      <c r="F249" s="16" t="n"/>
      <c r="G249" s="16" t="n"/>
      <c r="H249" s="16" t="n"/>
      <c r="I249" s="16">
        <f>IF(H249&lt;&gt;"","Completed",IF(TODAY()&gt;G249,"Overdue",IF(F249&lt;&gt;"","In Progress","Not Started")))</f>
        <v/>
      </c>
      <c r="J249" s="18">
        <f>IF(I249="Overdue",TODAY()-G249,0)</f>
        <v/>
      </c>
      <c r="K249" s="16" t="n"/>
      <c r="L249" s="16" t="n"/>
      <c r="M249" s="16" t="n"/>
      <c r="N249" s="16" t="n"/>
      <c r="O249" s="16" t="n"/>
    </row>
    <row r="250">
      <c r="A250" s="17" t="inlineStr">
        <is>
          <t>TRK-0247</t>
        </is>
      </c>
      <c r="B250" s="16" t="n"/>
      <c r="C250" s="16" t="n"/>
      <c r="D250" s="16" t="n"/>
      <c r="E250" s="16" t="n"/>
      <c r="F250" s="16" t="n"/>
      <c r="G250" s="16" t="n"/>
      <c r="H250" s="16" t="n"/>
      <c r="I250" s="16">
        <f>IF(H250&lt;&gt;"","Completed",IF(TODAY()&gt;G250,"Overdue",IF(F250&lt;&gt;"","In Progress","Not Started")))</f>
        <v/>
      </c>
      <c r="J250" s="18">
        <f>IF(I250="Overdue",TODAY()-G250,0)</f>
        <v/>
      </c>
      <c r="K250" s="16" t="n"/>
      <c r="L250" s="16" t="n"/>
      <c r="M250" s="16" t="n"/>
      <c r="N250" s="16" t="n"/>
      <c r="O250" s="16" t="n"/>
    </row>
    <row r="251">
      <c r="A251" s="17" t="inlineStr">
        <is>
          <t>TRK-0248</t>
        </is>
      </c>
      <c r="B251" s="16" t="n"/>
      <c r="C251" s="16" t="n"/>
      <c r="D251" s="16" t="n"/>
      <c r="E251" s="16" t="n"/>
      <c r="F251" s="16" t="n"/>
      <c r="G251" s="16" t="n"/>
      <c r="H251" s="16" t="n"/>
      <c r="I251" s="16">
        <f>IF(H251&lt;&gt;"","Completed",IF(TODAY()&gt;G251,"Overdue",IF(F251&lt;&gt;"","In Progress","Not Started")))</f>
        <v/>
      </c>
      <c r="J251" s="18">
        <f>IF(I251="Overdue",TODAY()-G251,0)</f>
        <v/>
      </c>
      <c r="K251" s="16" t="n"/>
      <c r="L251" s="16" t="n"/>
      <c r="M251" s="16" t="n"/>
      <c r="N251" s="16" t="n"/>
      <c r="O251" s="16" t="n"/>
    </row>
    <row r="252">
      <c r="A252" s="17" t="inlineStr">
        <is>
          <t>TRK-0249</t>
        </is>
      </c>
      <c r="B252" s="16" t="n"/>
      <c r="C252" s="16" t="n"/>
      <c r="D252" s="16" t="n"/>
      <c r="E252" s="16" t="n"/>
      <c r="F252" s="16" t="n"/>
      <c r="G252" s="16" t="n"/>
      <c r="H252" s="16" t="n"/>
      <c r="I252" s="16">
        <f>IF(H252&lt;&gt;"","Completed",IF(TODAY()&gt;G252,"Overdue",IF(F252&lt;&gt;"","In Progress","Not Started")))</f>
        <v/>
      </c>
      <c r="J252" s="18">
        <f>IF(I252="Overdue",TODAY()-G252,0)</f>
        <v/>
      </c>
      <c r="K252" s="16" t="n"/>
      <c r="L252" s="16" t="n"/>
      <c r="M252" s="16" t="n"/>
      <c r="N252" s="16" t="n"/>
      <c r="O252" s="16" t="n"/>
    </row>
    <row r="253">
      <c r="A253" s="17" t="inlineStr">
        <is>
          <t>TRK-0250</t>
        </is>
      </c>
      <c r="B253" s="16" t="n"/>
      <c r="C253" s="16" t="n"/>
      <c r="D253" s="16" t="n"/>
      <c r="E253" s="16" t="n"/>
      <c r="F253" s="16" t="n"/>
      <c r="G253" s="16" t="n"/>
      <c r="H253" s="16" t="n"/>
      <c r="I253" s="16">
        <f>IF(H253&lt;&gt;"","Completed",IF(TODAY()&gt;G253,"Overdue",IF(F253&lt;&gt;"","In Progress","Not Started")))</f>
        <v/>
      </c>
      <c r="J253" s="18">
        <f>IF(I253="Overdue",TODAY()-G253,0)</f>
        <v/>
      </c>
      <c r="K253" s="16" t="n"/>
      <c r="L253" s="16" t="n"/>
      <c r="M253" s="16" t="n"/>
      <c r="N253" s="16" t="n"/>
      <c r="O253" s="16" t="n"/>
    </row>
    <row r="254">
      <c r="A254" s="17" t="inlineStr">
        <is>
          <t>TRK-0251</t>
        </is>
      </c>
      <c r="B254" s="16" t="n"/>
      <c r="C254" s="16" t="n"/>
      <c r="D254" s="16" t="n"/>
      <c r="E254" s="16" t="n"/>
      <c r="F254" s="16" t="n"/>
      <c r="G254" s="16" t="n"/>
      <c r="H254" s="16" t="n"/>
      <c r="I254" s="16">
        <f>IF(H254&lt;&gt;"","Completed",IF(TODAY()&gt;G254,"Overdue",IF(F254&lt;&gt;"","In Progress","Not Started")))</f>
        <v/>
      </c>
      <c r="J254" s="18">
        <f>IF(I254="Overdue",TODAY()-G254,0)</f>
        <v/>
      </c>
      <c r="K254" s="16" t="n"/>
      <c r="L254" s="16" t="n"/>
      <c r="M254" s="16" t="n"/>
      <c r="N254" s="16" t="n"/>
      <c r="O254" s="16" t="n"/>
    </row>
    <row r="255">
      <c r="A255" s="17" t="inlineStr">
        <is>
          <t>TRK-0252</t>
        </is>
      </c>
      <c r="B255" s="16" t="n"/>
      <c r="C255" s="16" t="n"/>
      <c r="D255" s="16" t="n"/>
      <c r="E255" s="16" t="n"/>
      <c r="F255" s="16" t="n"/>
      <c r="G255" s="16" t="n"/>
      <c r="H255" s="16" t="n"/>
      <c r="I255" s="16">
        <f>IF(H255&lt;&gt;"","Completed",IF(TODAY()&gt;G255,"Overdue",IF(F255&lt;&gt;"","In Progress","Not Started")))</f>
        <v/>
      </c>
      <c r="J255" s="18">
        <f>IF(I255="Overdue",TODAY()-G255,0)</f>
        <v/>
      </c>
      <c r="K255" s="16" t="n"/>
      <c r="L255" s="16" t="n"/>
      <c r="M255" s="16" t="n"/>
      <c r="N255" s="16" t="n"/>
      <c r="O255" s="16" t="n"/>
    </row>
    <row r="256">
      <c r="A256" s="17" t="inlineStr">
        <is>
          <t>TRK-0253</t>
        </is>
      </c>
      <c r="B256" s="16" t="n"/>
      <c r="C256" s="16" t="n"/>
      <c r="D256" s="16" t="n"/>
      <c r="E256" s="16" t="n"/>
      <c r="F256" s="16" t="n"/>
      <c r="G256" s="16" t="n"/>
      <c r="H256" s="16" t="n"/>
      <c r="I256" s="16">
        <f>IF(H256&lt;&gt;"","Completed",IF(TODAY()&gt;G256,"Overdue",IF(F256&lt;&gt;"","In Progress","Not Started")))</f>
        <v/>
      </c>
      <c r="J256" s="18">
        <f>IF(I256="Overdue",TODAY()-G256,0)</f>
        <v/>
      </c>
      <c r="K256" s="16" t="n"/>
      <c r="L256" s="16" t="n"/>
      <c r="M256" s="16" t="n"/>
      <c r="N256" s="16" t="n"/>
      <c r="O256" s="16" t="n"/>
    </row>
    <row r="257">
      <c r="A257" s="17" t="inlineStr">
        <is>
          <t>TRK-0254</t>
        </is>
      </c>
      <c r="B257" s="16" t="n"/>
      <c r="C257" s="16" t="n"/>
      <c r="D257" s="16" t="n"/>
      <c r="E257" s="16" t="n"/>
      <c r="F257" s="16" t="n"/>
      <c r="G257" s="16" t="n"/>
      <c r="H257" s="16" t="n"/>
      <c r="I257" s="16">
        <f>IF(H257&lt;&gt;"","Completed",IF(TODAY()&gt;G257,"Overdue",IF(F257&lt;&gt;"","In Progress","Not Started")))</f>
        <v/>
      </c>
      <c r="J257" s="18">
        <f>IF(I257="Overdue",TODAY()-G257,0)</f>
        <v/>
      </c>
      <c r="K257" s="16" t="n"/>
      <c r="L257" s="16" t="n"/>
      <c r="M257" s="16" t="n"/>
      <c r="N257" s="16" t="n"/>
      <c r="O257" s="16" t="n"/>
    </row>
    <row r="258">
      <c r="A258" s="17" t="inlineStr">
        <is>
          <t>TRK-0255</t>
        </is>
      </c>
      <c r="B258" s="16" t="n"/>
      <c r="C258" s="16" t="n"/>
      <c r="D258" s="16" t="n"/>
      <c r="E258" s="16" t="n"/>
      <c r="F258" s="16" t="n"/>
      <c r="G258" s="16" t="n"/>
      <c r="H258" s="16" t="n"/>
      <c r="I258" s="16">
        <f>IF(H258&lt;&gt;"","Completed",IF(TODAY()&gt;G258,"Overdue",IF(F258&lt;&gt;"","In Progress","Not Started")))</f>
        <v/>
      </c>
      <c r="J258" s="18">
        <f>IF(I258="Overdue",TODAY()-G258,0)</f>
        <v/>
      </c>
      <c r="K258" s="16" t="n"/>
      <c r="L258" s="16" t="n"/>
      <c r="M258" s="16" t="n"/>
      <c r="N258" s="16" t="n"/>
      <c r="O258" s="16" t="n"/>
    </row>
    <row r="259">
      <c r="A259" s="17" t="inlineStr">
        <is>
          <t>TRK-0256</t>
        </is>
      </c>
      <c r="B259" s="16" t="n"/>
      <c r="C259" s="16" t="n"/>
      <c r="D259" s="16" t="n"/>
      <c r="E259" s="16" t="n"/>
      <c r="F259" s="16" t="n"/>
      <c r="G259" s="16" t="n"/>
      <c r="H259" s="16" t="n"/>
      <c r="I259" s="16">
        <f>IF(H259&lt;&gt;"","Completed",IF(TODAY()&gt;G259,"Overdue",IF(F259&lt;&gt;"","In Progress","Not Started")))</f>
        <v/>
      </c>
      <c r="J259" s="18">
        <f>IF(I259="Overdue",TODAY()-G259,0)</f>
        <v/>
      </c>
      <c r="K259" s="16" t="n"/>
      <c r="L259" s="16" t="n"/>
      <c r="M259" s="16" t="n"/>
      <c r="N259" s="16" t="n"/>
      <c r="O259" s="16" t="n"/>
    </row>
    <row r="260">
      <c r="A260" s="17" t="inlineStr">
        <is>
          <t>TRK-0257</t>
        </is>
      </c>
      <c r="B260" s="16" t="n"/>
      <c r="C260" s="16" t="n"/>
      <c r="D260" s="16" t="n"/>
      <c r="E260" s="16" t="n"/>
      <c r="F260" s="16" t="n"/>
      <c r="G260" s="16" t="n"/>
      <c r="H260" s="16" t="n"/>
      <c r="I260" s="16">
        <f>IF(H260&lt;&gt;"","Completed",IF(TODAY()&gt;G260,"Overdue",IF(F260&lt;&gt;"","In Progress","Not Started")))</f>
        <v/>
      </c>
      <c r="J260" s="18">
        <f>IF(I260="Overdue",TODAY()-G260,0)</f>
        <v/>
      </c>
      <c r="K260" s="16" t="n"/>
      <c r="L260" s="16" t="n"/>
      <c r="M260" s="16" t="n"/>
      <c r="N260" s="16" t="n"/>
      <c r="O260" s="16" t="n"/>
    </row>
    <row r="261">
      <c r="A261" s="17" t="inlineStr">
        <is>
          <t>TRK-0258</t>
        </is>
      </c>
      <c r="B261" s="16" t="n"/>
      <c r="C261" s="16" t="n"/>
      <c r="D261" s="16" t="n"/>
      <c r="E261" s="16" t="n"/>
      <c r="F261" s="16" t="n"/>
      <c r="G261" s="16" t="n"/>
      <c r="H261" s="16" t="n"/>
      <c r="I261" s="16">
        <f>IF(H261&lt;&gt;"","Completed",IF(TODAY()&gt;G261,"Overdue",IF(F261&lt;&gt;"","In Progress","Not Started")))</f>
        <v/>
      </c>
      <c r="J261" s="18">
        <f>IF(I261="Overdue",TODAY()-G261,0)</f>
        <v/>
      </c>
      <c r="K261" s="16" t="n"/>
      <c r="L261" s="16" t="n"/>
      <c r="M261" s="16" t="n"/>
      <c r="N261" s="16" t="n"/>
      <c r="O261" s="16" t="n"/>
    </row>
    <row r="262">
      <c r="A262" s="17" t="inlineStr">
        <is>
          <t>TRK-0259</t>
        </is>
      </c>
      <c r="B262" s="16" t="n"/>
      <c r="C262" s="16" t="n"/>
      <c r="D262" s="16" t="n"/>
      <c r="E262" s="16" t="n"/>
      <c r="F262" s="16" t="n"/>
      <c r="G262" s="16" t="n"/>
      <c r="H262" s="16" t="n"/>
      <c r="I262" s="16">
        <f>IF(H262&lt;&gt;"","Completed",IF(TODAY()&gt;G262,"Overdue",IF(F262&lt;&gt;"","In Progress","Not Started")))</f>
        <v/>
      </c>
      <c r="J262" s="18">
        <f>IF(I262="Overdue",TODAY()-G262,0)</f>
        <v/>
      </c>
      <c r="K262" s="16" t="n"/>
      <c r="L262" s="16" t="n"/>
      <c r="M262" s="16" t="n"/>
      <c r="N262" s="16" t="n"/>
      <c r="O262" s="16" t="n"/>
    </row>
    <row r="263">
      <c r="A263" s="17" t="inlineStr">
        <is>
          <t>TRK-0260</t>
        </is>
      </c>
      <c r="B263" s="16" t="n"/>
      <c r="C263" s="16" t="n"/>
      <c r="D263" s="16" t="n"/>
      <c r="E263" s="16" t="n"/>
      <c r="F263" s="16" t="n"/>
      <c r="G263" s="16" t="n"/>
      <c r="H263" s="16" t="n"/>
      <c r="I263" s="16">
        <f>IF(H263&lt;&gt;"","Completed",IF(TODAY()&gt;G263,"Overdue",IF(F263&lt;&gt;"","In Progress","Not Started")))</f>
        <v/>
      </c>
      <c r="J263" s="18">
        <f>IF(I263="Overdue",TODAY()-G263,0)</f>
        <v/>
      </c>
      <c r="K263" s="16" t="n"/>
      <c r="L263" s="16" t="n"/>
      <c r="M263" s="16" t="n"/>
      <c r="N263" s="16" t="n"/>
      <c r="O263" s="16" t="n"/>
    </row>
    <row r="264">
      <c r="A264" s="17" t="inlineStr">
        <is>
          <t>TRK-0261</t>
        </is>
      </c>
      <c r="B264" s="16" t="n"/>
      <c r="C264" s="16" t="n"/>
      <c r="D264" s="16" t="n"/>
      <c r="E264" s="16" t="n"/>
      <c r="F264" s="16" t="n"/>
      <c r="G264" s="16" t="n"/>
      <c r="H264" s="16" t="n"/>
      <c r="I264" s="16">
        <f>IF(H264&lt;&gt;"","Completed",IF(TODAY()&gt;G264,"Overdue",IF(F264&lt;&gt;"","In Progress","Not Started")))</f>
        <v/>
      </c>
      <c r="J264" s="18">
        <f>IF(I264="Overdue",TODAY()-G264,0)</f>
        <v/>
      </c>
      <c r="K264" s="16" t="n"/>
      <c r="L264" s="16" t="n"/>
      <c r="M264" s="16" t="n"/>
      <c r="N264" s="16" t="n"/>
      <c r="O264" s="16" t="n"/>
    </row>
    <row r="265">
      <c r="A265" s="17" t="inlineStr">
        <is>
          <t>TRK-0262</t>
        </is>
      </c>
      <c r="B265" s="16" t="n"/>
      <c r="C265" s="16" t="n"/>
      <c r="D265" s="16" t="n"/>
      <c r="E265" s="16" t="n"/>
      <c r="F265" s="16" t="n"/>
      <c r="G265" s="16" t="n"/>
      <c r="H265" s="16" t="n"/>
      <c r="I265" s="16">
        <f>IF(H265&lt;&gt;"","Completed",IF(TODAY()&gt;G265,"Overdue",IF(F265&lt;&gt;"","In Progress","Not Started")))</f>
        <v/>
      </c>
      <c r="J265" s="18">
        <f>IF(I265="Overdue",TODAY()-G265,0)</f>
        <v/>
      </c>
      <c r="K265" s="16" t="n"/>
      <c r="L265" s="16" t="n"/>
      <c r="M265" s="16" t="n"/>
      <c r="N265" s="16" t="n"/>
      <c r="O265" s="16" t="n"/>
    </row>
    <row r="266">
      <c r="A266" s="17" t="inlineStr">
        <is>
          <t>TRK-0263</t>
        </is>
      </c>
      <c r="B266" s="16" t="n"/>
      <c r="C266" s="16" t="n"/>
      <c r="D266" s="16" t="n"/>
      <c r="E266" s="16" t="n"/>
      <c r="F266" s="16" t="n"/>
      <c r="G266" s="16" t="n"/>
      <c r="H266" s="16" t="n"/>
      <c r="I266" s="16">
        <f>IF(H266&lt;&gt;"","Completed",IF(TODAY()&gt;G266,"Overdue",IF(F266&lt;&gt;"","In Progress","Not Started")))</f>
        <v/>
      </c>
      <c r="J266" s="18">
        <f>IF(I266="Overdue",TODAY()-G266,0)</f>
        <v/>
      </c>
      <c r="K266" s="16" t="n"/>
      <c r="L266" s="16" t="n"/>
      <c r="M266" s="16" t="n"/>
      <c r="N266" s="16" t="n"/>
      <c r="O266" s="16" t="n"/>
    </row>
    <row r="267">
      <c r="A267" s="17" t="inlineStr">
        <is>
          <t>TRK-0264</t>
        </is>
      </c>
      <c r="B267" s="16" t="n"/>
      <c r="C267" s="16" t="n"/>
      <c r="D267" s="16" t="n"/>
      <c r="E267" s="16" t="n"/>
      <c r="F267" s="16" t="n"/>
      <c r="G267" s="16" t="n"/>
      <c r="H267" s="16" t="n"/>
      <c r="I267" s="16">
        <f>IF(H267&lt;&gt;"","Completed",IF(TODAY()&gt;G267,"Overdue",IF(F267&lt;&gt;"","In Progress","Not Started")))</f>
        <v/>
      </c>
      <c r="J267" s="18">
        <f>IF(I267="Overdue",TODAY()-G267,0)</f>
        <v/>
      </c>
      <c r="K267" s="16" t="n"/>
      <c r="L267" s="16" t="n"/>
      <c r="M267" s="16" t="n"/>
      <c r="N267" s="16" t="n"/>
      <c r="O267" s="16" t="n"/>
    </row>
    <row r="268">
      <c r="A268" s="17" t="inlineStr">
        <is>
          <t>TRK-0265</t>
        </is>
      </c>
      <c r="B268" s="16" t="n"/>
      <c r="C268" s="16" t="n"/>
      <c r="D268" s="16" t="n"/>
      <c r="E268" s="16" t="n"/>
      <c r="F268" s="16" t="n"/>
      <c r="G268" s="16" t="n"/>
      <c r="H268" s="16" t="n"/>
      <c r="I268" s="16">
        <f>IF(H268&lt;&gt;"","Completed",IF(TODAY()&gt;G268,"Overdue",IF(F268&lt;&gt;"","In Progress","Not Started")))</f>
        <v/>
      </c>
      <c r="J268" s="18">
        <f>IF(I268="Overdue",TODAY()-G268,0)</f>
        <v/>
      </c>
      <c r="K268" s="16" t="n"/>
      <c r="L268" s="16" t="n"/>
      <c r="M268" s="16" t="n"/>
      <c r="N268" s="16" t="n"/>
      <c r="O268" s="16" t="n"/>
    </row>
    <row r="269">
      <c r="A269" s="17" t="inlineStr">
        <is>
          <t>TRK-0266</t>
        </is>
      </c>
      <c r="B269" s="16" t="n"/>
      <c r="C269" s="16" t="n"/>
      <c r="D269" s="16" t="n"/>
      <c r="E269" s="16" t="n"/>
      <c r="F269" s="16" t="n"/>
      <c r="G269" s="16" t="n"/>
      <c r="H269" s="16" t="n"/>
      <c r="I269" s="16">
        <f>IF(H269&lt;&gt;"","Completed",IF(TODAY()&gt;G269,"Overdue",IF(F269&lt;&gt;"","In Progress","Not Started")))</f>
        <v/>
      </c>
      <c r="J269" s="18">
        <f>IF(I269="Overdue",TODAY()-G269,0)</f>
        <v/>
      </c>
      <c r="K269" s="16" t="n"/>
      <c r="L269" s="16" t="n"/>
      <c r="M269" s="16" t="n"/>
      <c r="N269" s="16" t="n"/>
      <c r="O269" s="16" t="n"/>
    </row>
    <row r="270">
      <c r="A270" s="17" t="inlineStr">
        <is>
          <t>TRK-0267</t>
        </is>
      </c>
      <c r="B270" s="16" t="n"/>
      <c r="C270" s="16" t="n"/>
      <c r="D270" s="16" t="n"/>
      <c r="E270" s="16" t="n"/>
      <c r="F270" s="16" t="n"/>
      <c r="G270" s="16" t="n"/>
      <c r="H270" s="16" t="n"/>
      <c r="I270" s="16">
        <f>IF(H270&lt;&gt;"","Completed",IF(TODAY()&gt;G270,"Overdue",IF(F270&lt;&gt;"","In Progress","Not Started")))</f>
        <v/>
      </c>
      <c r="J270" s="18">
        <f>IF(I270="Overdue",TODAY()-G270,0)</f>
        <v/>
      </c>
      <c r="K270" s="16" t="n"/>
      <c r="L270" s="16" t="n"/>
      <c r="M270" s="16" t="n"/>
      <c r="N270" s="16" t="n"/>
      <c r="O270" s="16" t="n"/>
    </row>
    <row r="271">
      <c r="A271" s="17" t="inlineStr">
        <is>
          <t>TRK-0268</t>
        </is>
      </c>
      <c r="B271" s="16" t="n"/>
      <c r="C271" s="16" t="n"/>
      <c r="D271" s="16" t="n"/>
      <c r="E271" s="16" t="n"/>
      <c r="F271" s="16" t="n"/>
      <c r="G271" s="16" t="n"/>
      <c r="H271" s="16" t="n"/>
      <c r="I271" s="16">
        <f>IF(H271&lt;&gt;"","Completed",IF(TODAY()&gt;G271,"Overdue",IF(F271&lt;&gt;"","In Progress","Not Started")))</f>
        <v/>
      </c>
      <c r="J271" s="18">
        <f>IF(I271="Overdue",TODAY()-G271,0)</f>
        <v/>
      </c>
      <c r="K271" s="16" t="n"/>
      <c r="L271" s="16" t="n"/>
      <c r="M271" s="16" t="n"/>
      <c r="N271" s="16" t="n"/>
      <c r="O271" s="16" t="n"/>
    </row>
    <row r="272">
      <c r="A272" s="17" t="inlineStr">
        <is>
          <t>TRK-0269</t>
        </is>
      </c>
      <c r="B272" s="16" t="n"/>
      <c r="C272" s="16" t="n"/>
      <c r="D272" s="16" t="n"/>
      <c r="E272" s="16" t="n"/>
      <c r="F272" s="16" t="n"/>
      <c r="G272" s="16" t="n"/>
      <c r="H272" s="16" t="n"/>
      <c r="I272" s="16">
        <f>IF(H272&lt;&gt;"","Completed",IF(TODAY()&gt;G272,"Overdue",IF(F272&lt;&gt;"","In Progress","Not Started")))</f>
        <v/>
      </c>
      <c r="J272" s="18">
        <f>IF(I272="Overdue",TODAY()-G272,0)</f>
        <v/>
      </c>
      <c r="K272" s="16" t="n"/>
      <c r="L272" s="16" t="n"/>
      <c r="M272" s="16" t="n"/>
      <c r="N272" s="16" t="n"/>
      <c r="O272" s="16" t="n"/>
    </row>
    <row r="273">
      <c r="A273" s="17" t="inlineStr">
        <is>
          <t>TRK-0270</t>
        </is>
      </c>
      <c r="B273" s="16" t="n"/>
      <c r="C273" s="16" t="n"/>
      <c r="D273" s="16" t="n"/>
      <c r="E273" s="16" t="n"/>
      <c r="F273" s="16" t="n"/>
      <c r="G273" s="16" t="n"/>
      <c r="H273" s="16" t="n"/>
      <c r="I273" s="16">
        <f>IF(H273&lt;&gt;"","Completed",IF(TODAY()&gt;G273,"Overdue",IF(F273&lt;&gt;"","In Progress","Not Started")))</f>
        <v/>
      </c>
      <c r="J273" s="18">
        <f>IF(I273="Overdue",TODAY()-G273,0)</f>
        <v/>
      </c>
      <c r="K273" s="16" t="n"/>
      <c r="L273" s="16" t="n"/>
      <c r="M273" s="16" t="n"/>
      <c r="N273" s="16" t="n"/>
      <c r="O273" s="16" t="n"/>
    </row>
    <row r="274">
      <c r="A274" s="17" t="inlineStr">
        <is>
          <t>TRK-0271</t>
        </is>
      </c>
      <c r="B274" s="16" t="n"/>
      <c r="C274" s="16" t="n"/>
      <c r="D274" s="16" t="n"/>
      <c r="E274" s="16" t="n"/>
      <c r="F274" s="16" t="n"/>
      <c r="G274" s="16" t="n"/>
      <c r="H274" s="16" t="n"/>
      <c r="I274" s="16">
        <f>IF(H274&lt;&gt;"","Completed",IF(TODAY()&gt;G274,"Overdue",IF(F274&lt;&gt;"","In Progress","Not Started")))</f>
        <v/>
      </c>
      <c r="J274" s="18">
        <f>IF(I274="Overdue",TODAY()-G274,0)</f>
        <v/>
      </c>
      <c r="K274" s="16" t="n"/>
      <c r="L274" s="16" t="n"/>
      <c r="M274" s="16" t="n"/>
      <c r="N274" s="16" t="n"/>
      <c r="O274" s="16" t="n"/>
    </row>
    <row r="275">
      <c r="A275" s="17" t="inlineStr">
        <is>
          <t>TRK-0272</t>
        </is>
      </c>
      <c r="B275" s="16" t="n"/>
      <c r="C275" s="16" t="n"/>
      <c r="D275" s="16" t="n"/>
      <c r="E275" s="16" t="n"/>
      <c r="F275" s="16" t="n"/>
      <c r="G275" s="16" t="n"/>
      <c r="H275" s="16" t="n"/>
      <c r="I275" s="16">
        <f>IF(H275&lt;&gt;"","Completed",IF(TODAY()&gt;G275,"Overdue",IF(F275&lt;&gt;"","In Progress","Not Started")))</f>
        <v/>
      </c>
      <c r="J275" s="18">
        <f>IF(I275="Overdue",TODAY()-G275,0)</f>
        <v/>
      </c>
      <c r="K275" s="16" t="n"/>
      <c r="L275" s="16" t="n"/>
      <c r="M275" s="16" t="n"/>
      <c r="N275" s="16" t="n"/>
      <c r="O275" s="16" t="n"/>
    </row>
    <row r="276">
      <c r="A276" s="17" t="inlineStr">
        <is>
          <t>TRK-0273</t>
        </is>
      </c>
      <c r="B276" s="16" t="n"/>
      <c r="C276" s="16" t="n"/>
      <c r="D276" s="16" t="n"/>
      <c r="E276" s="16" t="n"/>
      <c r="F276" s="16" t="n"/>
      <c r="G276" s="16" t="n"/>
      <c r="H276" s="16" t="n"/>
      <c r="I276" s="16">
        <f>IF(H276&lt;&gt;"","Completed",IF(TODAY()&gt;G276,"Overdue",IF(F276&lt;&gt;"","In Progress","Not Started")))</f>
        <v/>
      </c>
      <c r="J276" s="18">
        <f>IF(I276="Overdue",TODAY()-G276,0)</f>
        <v/>
      </c>
      <c r="K276" s="16" t="n"/>
      <c r="L276" s="16" t="n"/>
      <c r="M276" s="16" t="n"/>
      <c r="N276" s="16" t="n"/>
      <c r="O276" s="16" t="n"/>
    </row>
    <row r="277">
      <c r="A277" s="17" t="inlineStr">
        <is>
          <t>TRK-0274</t>
        </is>
      </c>
      <c r="B277" s="16" t="n"/>
      <c r="C277" s="16" t="n"/>
      <c r="D277" s="16" t="n"/>
      <c r="E277" s="16" t="n"/>
      <c r="F277" s="16" t="n"/>
      <c r="G277" s="16" t="n"/>
      <c r="H277" s="16" t="n"/>
      <c r="I277" s="16">
        <f>IF(H277&lt;&gt;"","Completed",IF(TODAY()&gt;G277,"Overdue",IF(F277&lt;&gt;"","In Progress","Not Started")))</f>
        <v/>
      </c>
      <c r="J277" s="18">
        <f>IF(I277="Overdue",TODAY()-G277,0)</f>
        <v/>
      </c>
      <c r="K277" s="16" t="n"/>
      <c r="L277" s="16" t="n"/>
      <c r="M277" s="16" t="n"/>
      <c r="N277" s="16" t="n"/>
      <c r="O277" s="16" t="n"/>
    </row>
    <row r="278">
      <c r="A278" s="17" t="inlineStr">
        <is>
          <t>TRK-0275</t>
        </is>
      </c>
      <c r="B278" s="16" t="n"/>
      <c r="C278" s="16" t="n"/>
      <c r="D278" s="16" t="n"/>
      <c r="E278" s="16" t="n"/>
      <c r="F278" s="16" t="n"/>
      <c r="G278" s="16" t="n"/>
      <c r="H278" s="16" t="n"/>
      <c r="I278" s="16">
        <f>IF(H278&lt;&gt;"","Completed",IF(TODAY()&gt;G278,"Overdue",IF(F278&lt;&gt;"","In Progress","Not Started")))</f>
        <v/>
      </c>
      <c r="J278" s="18">
        <f>IF(I278="Overdue",TODAY()-G278,0)</f>
        <v/>
      </c>
      <c r="K278" s="16" t="n"/>
      <c r="L278" s="16" t="n"/>
      <c r="M278" s="16" t="n"/>
      <c r="N278" s="16" t="n"/>
      <c r="O278" s="16" t="n"/>
    </row>
    <row r="279">
      <c r="A279" s="17" t="inlineStr">
        <is>
          <t>TRK-0276</t>
        </is>
      </c>
      <c r="B279" s="16" t="n"/>
      <c r="C279" s="16" t="n"/>
      <c r="D279" s="16" t="n"/>
      <c r="E279" s="16" t="n"/>
      <c r="F279" s="16" t="n"/>
      <c r="G279" s="16" t="n"/>
      <c r="H279" s="16" t="n"/>
      <c r="I279" s="16">
        <f>IF(H279&lt;&gt;"","Completed",IF(TODAY()&gt;G279,"Overdue",IF(F279&lt;&gt;"","In Progress","Not Started")))</f>
        <v/>
      </c>
      <c r="J279" s="18">
        <f>IF(I279="Overdue",TODAY()-G279,0)</f>
        <v/>
      </c>
      <c r="K279" s="16" t="n"/>
      <c r="L279" s="16" t="n"/>
      <c r="M279" s="16" t="n"/>
      <c r="N279" s="16" t="n"/>
      <c r="O279" s="16" t="n"/>
    </row>
    <row r="280">
      <c r="A280" s="17" t="inlineStr">
        <is>
          <t>TRK-0277</t>
        </is>
      </c>
      <c r="B280" s="16" t="n"/>
      <c r="C280" s="16" t="n"/>
      <c r="D280" s="16" t="n"/>
      <c r="E280" s="16" t="n"/>
      <c r="F280" s="16" t="n"/>
      <c r="G280" s="16" t="n"/>
      <c r="H280" s="16" t="n"/>
      <c r="I280" s="16">
        <f>IF(H280&lt;&gt;"","Completed",IF(TODAY()&gt;G280,"Overdue",IF(F280&lt;&gt;"","In Progress","Not Started")))</f>
        <v/>
      </c>
      <c r="J280" s="18">
        <f>IF(I280="Overdue",TODAY()-G280,0)</f>
        <v/>
      </c>
      <c r="K280" s="16" t="n"/>
      <c r="L280" s="16" t="n"/>
      <c r="M280" s="16" t="n"/>
      <c r="N280" s="16" t="n"/>
      <c r="O280" s="16" t="n"/>
    </row>
    <row r="281">
      <c r="A281" s="17" t="inlineStr">
        <is>
          <t>TRK-0278</t>
        </is>
      </c>
      <c r="B281" s="16" t="n"/>
      <c r="C281" s="16" t="n"/>
      <c r="D281" s="16" t="n"/>
      <c r="E281" s="16" t="n"/>
      <c r="F281" s="16" t="n"/>
      <c r="G281" s="16" t="n"/>
      <c r="H281" s="16" t="n"/>
      <c r="I281" s="16">
        <f>IF(H281&lt;&gt;"","Completed",IF(TODAY()&gt;G281,"Overdue",IF(F281&lt;&gt;"","In Progress","Not Started")))</f>
        <v/>
      </c>
      <c r="J281" s="18">
        <f>IF(I281="Overdue",TODAY()-G281,0)</f>
        <v/>
      </c>
      <c r="K281" s="16" t="n"/>
      <c r="L281" s="16" t="n"/>
      <c r="M281" s="16" t="n"/>
      <c r="N281" s="16" t="n"/>
      <c r="O281" s="16" t="n"/>
    </row>
    <row r="282">
      <c r="A282" s="17" t="inlineStr">
        <is>
          <t>TRK-0279</t>
        </is>
      </c>
      <c r="B282" s="16" t="n"/>
      <c r="C282" s="16" t="n"/>
      <c r="D282" s="16" t="n"/>
      <c r="E282" s="16" t="n"/>
      <c r="F282" s="16" t="n"/>
      <c r="G282" s="16" t="n"/>
      <c r="H282" s="16" t="n"/>
      <c r="I282" s="16">
        <f>IF(H282&lt;&gt;"","Completed",IF(TODAY()&gt;G282,"Overdue",IF(F282&lt;&gt;"","In Progress","Not Started")))</f>
        <v/>
      </c>
      <c r="J282" s="18">
        <f>IF(I282="Overdue",TODAY()-G282,0)</f>
        <v/>
      </c>
      <c r="K282" s="16" t="n"/>
      <c r="L282" s="16" t="n"/>
      <c r="M282" s="16" t="n"/>
      <c r="N282" s="16" t="n"/>
      <c r="O282" s="16" t="n"/>
    </row>
    <row r="283">
      <c r="A283" s="17" t="inlineStr">
        <is>
          <t>TRK-0280</t>
        </is>
      </c>
      <c r="B283" s="16" t="n"/>
      <c r="C283" s="16" t="n"/>
      <c r="D283" s="16" t="n"/>
      <c r="E283" s="16" t="n"/>
      <c r="F283" s="16" t="n"/>
      <c r="G283" s="16" t="n"/>
      <c r="H283" s="16" t="n"/>
      <c r="I283" s="16">
        <f>IF(H283&lt;&gt;"","Completed",IF(TODAY()&gt;G283,"Overdue",IF(F283&lt;&gt;"","In Progress","Not Started")))</f>
        <v/>
      </c>
      <c r="J283" s="18">
        <f>IF(I283="Overdue",TODAY()-G283,0)</f>
        <v/>
      </c>
      <c r="K283" s="16" t="n"/>
      <c r="L283" s="16" t="n"/>
      <c r="M283" s="16" t="n"/>
      <c r="N283" s="16" t="n"/>
      <c r="O283" s="16" t="n"/>
    </row>
    <row r="284">
      <c r="A284" s="17" t="inlineStr">
        <is>
          <t>TRK-0281</t>
        </is>
      </c>
      <c r="B284" s="16" t="n"/>
      <c r="C284" s="16" t="n"/>
      <c r="D284" s="16" t="n"/>
      <c r="E284" s="16" t="n"/>
      <c r="F284" s="16" t="n"/>
      <c r="G284" s="16" t="n"/>
      <c r="H284" s="16" t="n"/>
      <c r="I284" s="16">
        <f>IF(H284&lt;&gt;"","Completed",IF(TODAY()&gt;G284,"Overdue",IF(F284&lt;&gt;"","In Progress","Not Started")))</f>
        <v/>
      </c>
      <c r="J284" s="18">
        <f>IF(I284="Overdue",TODAY()-G284,0)</f>
        <v/>
      </c>
      <c r="K284" s="16" t="n"/>
      <c r="L284" s="16" t="n"/>
      <c r="M284" s="16" t="n"/>
      <c r="N284" s="16" t="n"/>
      <c r="O284" s="16" t="n"/>
    </row>
    <row r="285">
      <c r="A285" s="17" t="inlineStr">
        <is>
          <t>TRK-0282</t>
        </is>
      </c>
      <c r="B285" s="16" t="n"/>
      <c r="C285" s="16" t="n"/>
      <c r="D285" s="16" t="n"/>
      <c r="E285" s="16" t="n"/>
      <c r="F285" s="16" t="n"/>
      <c r="G285" s="16" t="n"/>
      <c r="H285" s="16" t="n"/>
      <c r="I285" s="16">
        <f>IF(H285&lt;&gt;"","Completed",IF(TODAY()&gt;G285,"Overdue",IF(F285&lt;&gt;"","In Progress","Not Started")))</f>
        <v/>
      </c>
      <c r="J285" s="18">
        <f>IF(I285="Overdue",TODAY()-G285,0)</f>
        <v/>
      </c>
      <c r="K285" s="16" t="n"/>
      <c r="L285" s="16" t="n"/>
      <c r="M285" s="16" t="n"/>
      <c r="N285" s="16" t="n"/>
      <c r="O285" s="16" t="n"/>
    </row>
    <row r="286">
      <c r="A286" s="17" t="inlineStr">
        <is>
          <t>TRK-0283</t>
        </is>
      </c>
      <c r="B286" s="16" t="n"/>
      <c r="C286" s="16" t="n"/>
      <c r="D286" s="16" t="n"/>
      <c r="E286" s="16" t="n"/>
      <c r="F286" s="16" t="n"/>
      <c r="G286" s="16" t="n"/>
      <c r="H286" s="16" t="n"/>
      <c r="I286" s="16">
        <f>IF(H286&lt;&gt;"","Completed",IF(TODAY()&gt;G286,"Overdue",IF(F286&lt;&gt;"","In Progress","Not Started")))</f>
        <v/>
      </c>
      <c r="J286" s="18">
        <f>IF(I286="Overdue",TODAY()-G286,0)</f>
        <v/>
      </c>
      <c r="K286" s="16" t="n"/>
      <c r="L286" s="16" t="n"/>
      <c r="M286" s="16" t="n"/>
      <c r="N286" s="16" t="n"/>
      <c r="O286" s="16" t="n"/>
    </row>
    <row r="287">
      <c r="A287" s="17" t="inlineStr">
        <is>
          <t>TRK-0284</t>
        </is>
      </c>
      <c r="B287" s="16" t="n"/>
      <c r="C287" s="16" t="n"/>
      <c r="D287" s="16" t="n"/>
      <c r="E287" s="16" t="n"/>
      <c r="F287" s="16" t="n"/>
      <c r="G287" s="16" t="n"/>
      <c r="H287" s="16" t="n"/>
      <c r="I287" s="16">
        <f>IF(H287&lt;&gt;"","Completed",IF(TODAY()&gt;G287,"Overdue",IF(F287&lt;&gt;"","In Progress","Not Started")))</f>
        <v/>
      </c>
      <c r="J287" s="18">
        <f>IF(I287="Overdue",TODAY()-G287,0)</f>
        <v/>
      </c>
      <c r="K287" s="16" t="n"/>
      <c r="L287" s="16" t="n"/>
      <c r="M287" s="16" t="n"/>
      <c r="N287" s="16" t="n"/>
      <c r="O287" s="16" t="n"/>
    </row>
    <row r="288">
      <c r="A288" s="17" t="inlineStr">
        <is>
          <t>TRK-0285</t>
        </is>
      </c>
      <c r="B288" s="16" t="n"/>
      <c r="C288" s="16" t="n"/>
      <c r="D288" s="16" t="n"/>
      <c r="E288" s="16" t="n"/>
      <c r="F288" s="16" t="n"/>
      <c r="G288" s="16" t="n"/>
      <c r="H288" s="16" t="n"/>
      <c r="I288" s="16">
        <f>IF(H288&lt;&gt;"","Completed",IF(TODAY()&gt;G288,"Overdue",IF(F288&lt;&gt;"","In Progress","Not Started")))</f>
        <v/>
      </c>
      <c r="J288" s="18">
        <f>IF(I288="Overdue",TODAY()-G288,0)</f>
        <v/>
      </c>
      <c r="K288" s="16" t="n"/>
      <c r="L288" s="16" t="n"/>
      <c r="M288" s="16" t="n"/>
      <c r="N288" s="16" t="n"/>
      <c r="O288" s="16" t="n"/>
    </row>
    <row r="289">
      <c r="A289" s="17" t="inlineStr">
        <is>
          <t>TRK-0286</t>
        </is>
      </c>
      <c r="B289" s="16" t="n"/>
      <c r="C289" s="16" t="n"/>
      <c r="D289" s="16" t="n"/>
      <c r="E289" s="16" t="n"/>
      <c r="F289" s="16" t="n"/>
      <c r="G289" s="16" t="n"/>
      <c r="H289" s="16" t="n"/>
      <c r="I289" s="16">
        <f>IF(H289&lt;&gt;"","Completed",IF(TODAY()&gt;G289,"Overdue",IF(F289&lt;&gt;"","In Progress","Not Started")))</f>
        <v/>
      </c>
      <c r="J289" s="18">
        <f>IF(I289="Overdue",TODAY()-G289,0)</f>
        <v/>
      </c>
      <c r="K289" s="16" t="n"/>
      <c r="L289" s="16" t="n"/>
      <c r="M289" s="16" t="n"/>
      <c r="N289" s="16" t="n"/>
      <c r="O289" s="16" t="n"/>
    </row>
    <row r="290">
      <c r="A290" s="17" t="inlineStr">
        <is>
          <t>TRK-0287</t>
        </is>
      </c>
      <c r="B290" s="16" t="n"/>
      <c r="C290" s="16" t="n"/>
      <c r="D290" s="16" t="n"/>
      <c r="E290" s="16" t="n"/>
      <c r="F290" s="16" t="n"/>
      <c r="G290" s="16" t="n"/>
      <c r="H290" s="16" t="n"/>
      <c r="I290" s="16">
        <f>IF(H290&lt;&gt;"","Completed",IF(TODAY()&gt;G290,"Overdue",IF(F290&lt;&gt;"","In Progress","Not Started")))</f>
        <v/>
      </c>
      <c r="J290" s="18">
        <f>IF(I290="Overdue",TODAY()-G290,0)</f>
        <v/>
      </c>
      <c r="K290" s="16" t="n"/>
      <c r="L290" s="16" t="n"/>
      <c r="M290" s="16" t="n"/>
      <c r="N290" s="16" t="n"/>
      <c r="O290" s="16" t="n"/>
    </row>
    <row r="291">
      <c r="A291" s="17" t="inlineStr">
        <is>
          <t>TRK-0288</t>
        </is>
      </c>
      <c r="B291" s="16" t="n"/>
      <c r="C291" s="16" t="n"/>
      <c r="D291" s="16" t="n"/>
      <c r="E291" s="16" t="n"/>
      <c r="F291" s="16" t="n"/>
      <c r="G291" s="16" t="n"/>
      <c r="H291" s="16" t="n"/>
      <c r="I291" s="16">
        <f>IF(H291&lt;&gt;"","Completed",IF(TODAY()&gt;G291,"Overdue",IF(F291&lt;&gt;"","In Progress","Not Started")))</f>
        <v/>
      </c>
      <c r="J291" s="18">
        <f>IF(I291="Overdue",TODAY()-G291,0)</f>
        <v/>
      </c>
      <c r="K291" s="16" t="n"/>
      <c r="L291" s="16" t="n"/>
      <c r="M291" s="16" t="n"/>
      <c r="N291" s="16" t="n"/>
      <c r="O291" s="16" t="n"/>
    </row>
    <row r="292">
      <c r="A292" s="17" t="inlineStr">
        <is>
          <t>TRK-0289</t>
        </is>
      </c>
      <c r="B292" s="16" t="n"/>
      <c r="C292" s="16" t="n"/>
      <c r="D292" s="16" t="n"/>
      <c r="E292" s="16" t="n"/>
      <c r="F292" s="16" t="n"/>
      <c r="G292" s="16" t="n"/>
      <c r="H292" s="16" t="n"/>
      <c r="I292" s="16">
        <f>IF(H292&lt;&gt;"","Completed",IF(TODAY()&gt;G292,"Overdue",IF(F292&lt;&gt;"","In Progress","Not Started")))</f>
        <v/>
      </c>
      <c r="J292" s="18">
        <f>IF(I292="Overdue",TODAY()-G292,0)</f>
        <v/>
      </c>
      <c r="K292" s="16" t="n"/>
      <c r="L292" s="16" t="n"/>
      <c r="M292" s="16" t="n"/>
      <c r="N292" s="16" t="n"/>
      <c r="O292" s="16" t="n"/>
    </row>
    <row r="293">
      <c r="A293" s="17" t="inlineStr">
        <is>
          <t>TRK-0290</t>
        </is>
      </c>
      <c r="B293" s="16" t="n"/>
      <c r="C293" s="16" t="n"/>
      <c r="D293" s="16" t="n"/>
      <c r="E293" s="16" t="n"/>
      <c r="F293" s="16" t="n"/>
      <c r="G293" s="16" t="n"/>
      <c r="H293" s="16" t="n"/>
      <c r="I293" s="16">
        <f>IF(H293&lt;&gt;"","Completed",IF(TODAY()&gt;G293,"Overdue",IF(F293&lt;&gt;"","In Progress","Not Started")))</f>
        <v/>
      </c>
      <c r="J293" s="18">
        <f>IF(I293="Overdue",TODAY()-G293,0)</f>
        <v/>
      </c>
      <c r="K293" s="16" t="n"/>
      <c r="L293" s="16" t="n"/>
      <c r="M293" s="16" t="n"/>
      <c r="N293" s="16" t="n"/>
      <c r="O293" s="16" t="n"/>
    </row>
    <row r="294">
      <c r="A294" s="17" t="inlineStr">
        <is>
          <t>TRK-0291</t>
        </is>
      </c>
      <c r="B294" s="16" t="n"/>
      <c r="C294" s="16" t="n"/>
      <c r="D294" s="16" t="n"/>
      <c r="E294" s="16" t="n"/>
      <c r="F294" s="16" t="n"/>
      <c r="G294" s="16" t="n"/>
      <c r="H294" s="16" t="n"/>
      <c r="I294" s="16">
        <f>IF(H294&lt;&gt;"","Completed",IF(TODAY()&gt;G294,"Overdue",IF(F294&lt;&gt;"","In Progress","Not Started")))</f>
        <v/>
      </c>
      <c r="J294" s="18">
        <f>IF(I294="Overdue",TODAY()-G294,0)</f>
        <v/>
      </c>
      <c r="K294" s="16" t="n"/>
      <c r="L294" s="16" t="n"/>
      <c r="M294" s="16" t="n"/>
      <c r="N294" s="16" t="n"/>
      <c r="O294" s="16" t="n"/>
    </row>
    <row r="295">
      <c r="A295" s="17" t="inlineStr">
        <is>
          <t>TRK-0292</t>
        </is>
      </c>
      <c r="B295" s="16" t="n"/>
      <c r="C295" s="16" t="n"/>
      <c r="D295" s="16" t="n"/>
      <c r="E295" s="16" t="n"/>
      <c r="F295" s="16" t="n"/>
      <c r="G295" s="16" t="n"/>
      <c r="H295" s="16" t="n"/>
      <c r="I295" s="16">
        <f>IF(H295&lt;&gt;"","Completed",IF(TODAY()&gt;G295,"Overdue",IF(F295&lt;&gt;"","In Progress","Not Started")))</f>
        <v/>
      </c>
      <c r="J295" s="18">
        <f>IF(I295="Overdue",TODAY()-G295,0)</f>
        <v/>
      </c>
      <c r="K295" s="16" t="n"/>
      <c r="L295" s="16" t="n"/>
      <c r="M295" s="16" t="n"/>
      <c r="N295" s="16" t="n"/>
      <c r="O295" s="16" t="n"/>
    </row>
    <row r="296">
      <c r="A296" s="17" t="inlineStr">
        <is>
          <t>TRK-0293</t>
        </is>
      </c>
      <c r="B296" s="16" t="n"/>
      <c r="C296" s="16" t="n"/>
      <c r="D296" s="16" t="n"/>
      <c r="E296" s="16" t="n"/>
      <c r="F296" s="16" t="n"/>
      <c r="G296" s="16" t="n"/>
      <c r="H296" s="16" t="n"/>
      <c r="I296" s="16">
        <f>IF(H296&lt;&gt;"","Completed",IF(TODAY()&gt;G296,"Overdue",IF(F296&lt;&gt;"","In Progress","Not Started")))</f>
        <v/>
      </c>
      <c r="J296" s="18">
        <f>IF(I296="Overdue",TODAY()-G296,0)</f>
        <v/>
      </c>
      <c r="K296" s="16" t="n"/>
      <c r="L296" s="16" t="n"/>
      <c r="M296" s="16" t="n"/>
      <c r="N296" s="16" t="n"/>
      <c r="O296" s="16" t="n"/>
    </row>
    <row r="297">
      <c r="A297" s="17" t="inlineStr">
        <is>
          <t>TRK-0294</t>
        </is>
      </c>
      <c r="B297" s="16" t="n"/>
      <c r="C297" s="16" t="n"/>
      <c r="D297" s="16" t="n"/>
      <c r="E297" s="16" t="n"/>
      <c r="F297" s="16" t="n"/>
      <c r="G297" s="16" t="n"/>
      <c r="H297" s="16" t="n"/>
      <c r="I297" s="16">
        <f>IF(H297&lt;&gt;"","Completed",IF(TODAY()&gt;G297,"Overdue",IF(F297&lt;&gt;"","In Progress","Not Started")))</f>
        <v/>
      </c>
      <c r="J297" s="18">
        <f>IF(I297="Overdue",TODAY()-G297,0)</f>
        <v/>
      </c>
      <c r="K297" s="16" t="n"/>
      <c r="L297" s="16" t="n"/>
      <c r="M297" s="16" t="n"/>
      <c r="N297" s="16" t="n"/>
      <c r="O297" s="16" t="n"/>
    </row>
    <row r="298">
      <c r="A298" s="17" t="inlineStr">
        <is>
          <t>TRK-0295</t>
        </is>
      </c>
      <c r="B298" s="16" t="n"/>
      <c r="C298" s="16" t="n"/>
      <c r="D298" s="16" t="n"/>
      <c r="E298" s="16" t="n"/>
      <c r="F298" s="16" t="n"/>
      <c r="G298" s="16" t="n"/>
      <c r="H298" s="16" t="n"/>
      <c r="I298" s="16">
        <f>IF(H298&lt;&gt;"","Completed",IF(TODAY()&gt;G298,"Overdue",IF(F298&lt;&gt;"","In Progress","Not Started")))</f>
        <v/>
      </c>
      <c r="J298" s="18">
        <f>IF(I298="Overdue",TODAY()-G298,0)</f>
        <v/>
      </c>
      <c r="K298" s="16" t="n"/>
      <c r="L298" s="16" t="n"/>
      <c r="M298" s="16" t="n"/>
      <c r="N298" s="16" t="n"/>
      <c r="O298" s="16" t="n"/>
    </row>
    <row r="299">
      <c r="A299" s="17" t="inlineStr">
        <is>
          <t>TRK-0296</t>
        </is>
      </c>
      <c r="B299" s="16" t="n"/>
      <c r="C299" s="16" t="n"/>
      <c r="D299" s="16" t="n"/>
      <c r="E299" s="16" t="n"/>
      <c r="F299" s="16" t="n"/>
      <c r="G299" s="16" t="n"/>
      <c r="H299" s="16" t="n"/>
      <c r="I299" s="16">
        <f>IF(H299&lt;&gt;"","Completed",IF(TODAY()&gt;G299,"Overdue",IF(F299&lt;&gt;"","In Progress","Not Started")))</f>
        <v/>
      </c>
      <c r="J299" s="18">
        <f>IF(I299="Overdue",TODAY()-G299,0)</f>
        <v/>
      </c>
      <c r="K299" s="16" t="n"/>
      <c r="L299" s="16" t="n"/>
      <c r="M299" s="16" t="n"/>
      <c r="N299" s="16" t="n"/>
      <c r="O299" s="16" t="n"/>
    </row>
    <row r="300">
      <c r="A300" s="17" t="inlineStr">
        <is>
          <t>TRK-0297</t>
        </is>
      </c>
      <c r="B300" s="16" t="n"/>
      <c r="C300" s="16" t="n"/>
      <c r="D300" s="16" t="n"/>
      <c r="E300" s="16" t="n"/>
      <c r="F300" s="16" t="n"/>
      <c r="G300" s="16" t="n"/>
      <c r="H300" s="16" t="n"/>
      <c r="I300" s="16">
        <f>IF(H300&lt;&gt;"","Completed",IF(TODAY()&gt;G300,"Overdue",IF(F300&lt;&gt;"","In Progress","Not Started")))</f>
        <v/>
      </c>
      <c r="J300" s="18">
        <f>IF(I300="Overdue",TODAY()-G300,0)</f>
        <v/>
      </c>
      <c r="K300" s="16" t="n"/>
      <c r="L300" s="16" t="n"/>
      <c r="M300" s="16" t="n"/>
      <c r="N300" s="16" t="n"/>
      <c r="O300" s="16" t="n"/>
    </row>
    <row r="301">
      <c r="A301" s="17" t="inlineStr">
        <is>
          <t>TRK-0298</t>
        </is>
      </c>
      <c r="B301" s="16" t="n"/>
      <c r="C301" s="16" t="n"/>
      <c r="D301" s="16" t="n"/>
      <c r="E301" s="16" t="n"/>
      <c r="F301" s="16" t="n"/>
      <c r="G301" s="16" t="n"/>
      <c r="H301" s="16" t="n"/>
      <c r="I301" s="16">
        <f>IF(H301&lt;&gt;"","Completed",IF(TODAY()&gt;G301,"Overdue",IF(F301&lt;&gt;"","In Progress","Not Started")))</f>
        <v/>
      </c>
      <c r="J301" s="18">
        <f>IF(I301="Overdue",TODAY()-G301,0)</f>
        <v/>
      </c>
      <c r="K301" s="16" t="n"/>
      <c r="L301" s="16" t="n"/>
      <c r="M301" s="16" t="n"/>
      <c r="N301" s="16" t="n"/>
      <c r="O301" s="16" t="n"/>
    </row>
    <row r="302">
      <c r="A302" s="17" t="inlineStr">
        <is>
          <t>TRK-0299</t>
        </is>
      </c>
      <c r="B302" s="16" t="n"/>
      <c r="C302" s="16" t="n"/>
      <c r="D302" s="16" t="n"/>
      <c r="E302" s="16" t="n"/>
      <c r="F302" s="16" t="n"/>
      <c r="G302" s="16" t="n"/>
      <c r="H302" s="16" t="n"/>
      <c r="I302" s="16">
        <f>IF(H302&lt;&gt;"","Completed",IF(TODAY()&gt;G302,"Overdue",IF(F302&lt;&gt;"","In Progress","Not Started")))</f>
        <v/>
      </c>
      <c r="J302" s="18">
        <f>IF(I302="Overdue",TODAY()-G302,0)</f>
        <v/>
      </c>
      <c r="K302" s="16" t="n"/>
      <c r="L302" s="16" t="n"/>
      <c r="M302" s="16" t="n"/>
      <c r="N302" s="16" t="n"/>
      <c r="O302" s="16" t="n"/>
    </row>
    <row r="303">
      <c r="A303" s="17" t="inlineStr">
        <is>
          <t>TRK-0300</t>
        </is>
      </c>
      <c r="B303" s="16" t="n"/>
      <c r="C303" s="16" t="n"/>
      <c r="D303" s="16" t="n"/>
      <c r="E303" s="16" t="n"/>
      <c r="F303" s="16" t="n"/>
      <c r="G303" s="16" t="n"/>
      <c r="H303" s="16" t="n"/>
      <c r="I303" s="16">
        <f>IF(H303&lt;&gt;"","Completed",IF(TODAY()&gt;G303,"Overdue",IF(F303&lt;&gt;"","In Progress","Not Started")))</f>
        <v/>
      </c>
      <c r="J303" s="18">
        <f>IF(I303="Overdue",TODAY()-G303,0)</f>
        <v/>
      </c>
      <c r="K303" s="16" t="n"/>
      <c r="L303" s="16" t="n"/>
      <c r="M303" s="16" t="n"/>
      <c r="N303" s="16" t="n"/>
      <c r="O303" s="16" t="n"/>
    </row>
    <row r="304">
      <c r="A304" s="17" t="inlineStr">
        <is>
          <t>TRK-0301</t>
        </is>
      </c>
      <c r="B304" s="16" t="n"/>
      <c r="C304" s="16" t="n"/>
      <c r="D304" s="16" t="n"/>
      <c r="E304" s="16" t="n"/>
      <c r="F304" s="16" t="n"/>
      <c r="G304" s="16" t="n"/>
      <c r="H304" s="16" t="n"/>
      <c r="I304" s="16">
        <f>IF(H304&lt;&gt;"","Completed",IF(TODAY()&gt;G304,"Overdue",IF(F304&lt;&gt;"","In Progress","Not Started")))</f>
        <v/>
      </c>
      <c r="J304" s="18">
        <f>IF(I304="Overdue",TODAY()-G304,0)</f>
        <v/>
      </c>
      <c r="K304" s="16" t="n"/>
      <c r="L304" s="16" t="n"/>
      <c r="M304" s="16" t="n"/>
      <c r="N304" s="16" t="n"/>
      <c r="O304" s="16" t="n"/>
    </row>
    <row r="305">
      <c r="A305" s="17" t="inlineStr">
        <is>
          <t>TRK-0302</t>
        </is>
      </c>
      <c r="B305" s="16" t="n"/>
      <c r="C305" s="16" t="n"/>
      <c r="D305" s="16" t="n"/>
      <c r="E305" s="16" t="n"/>
      <c r="F305" s="16" t="n"/>
      <c r="G305" s="16" t="n"/>
      <c r="H305" s="16" t="n"/>
      <c r="I305" s="16">
        <f>IF(H305&lt;&gt;"","Completed",IF(TODAY()&gt;G305,"Overdue",IF(F305&lt;&gt;"","In Progress","Not Started")))</f>
        <v/>
      </c>
      <c r="J305" s="18">
        <f>IF(I305="Overdue",TODAY()-G305,0)</f>
        <v/>
      </c>
      <c r="K305" s="16" t="n"/>
      <c r="L305" s="16" t="n"/>
      <c r="M305" s="16" t="n"/>
      <c r="N305" s="16" t="n"/>
      <c r="O305" s="16" t="n"/>
    </row>
    <row r="306">
      <c r="A306" s="17" t="inlineStr">
        <is>
          <t>TRK-0303</t>
        </is>
      </c>
      <c r="B306" s="16" t="n"/>
      <c r="C306" s="16" t="n"/>
      <c r="D306" s="16" t="n"/>
      <c r="E306" s="16" t="n"/>
      <c r="F306" s="16" t="n"/>
      <c r="G306" s="16" t="n"/>
      <c r="H306" s="16" t="n"/>
      <c r="I306" s="16">
        <f>IF(H306&lt;&gt;"","Completed",IF(TODAY()&gt;G306,"Overdue",IF(F306&lt;&gt;"","In Progress","Not Started")))</f>
        <v/>
      </c>
      <c r="J306" s="18">
        <f>IF(I306="Overdue",TODAY()-G306,0)</f>
        <v/>
      </c>
      <c r="K306" s="16" t="n"/>
      <c r="L306" s="16" t="n"/>
      <c r="M306" s="16" t="n"/>
      <c r="N306" s="16" t="n"/>
      <c r="O306" s="16" t="n"/>
    </row>
    <row r="307">
      <c r="A307" s="17" t="inlineStr">
        <is>
          <t>TRK-0304</t>
        </is>
      </c>
      <c r="B307" s="16" t="n"/>
      <c r="C307" s="16" t="n"/>
      <c r="D307" s="16" t="n"/>
      <c r="E307" s="16" t="n"/>
      <c r="F307" s="16" t="n"/>
      <c r="G307" s="16" t="n"/>
      <c r="H307" s="16" t="n"/>
      <c r="I307" s="16">
        <f>IF(H307&lt;&gt;"","Completed",IF(TODAY()&gt;G307,"Overdue",IF(F307&lt;&gt;"","In Progress","Not Started")))</f>
        <v/>
      </c>
      <c r="J307" s="18">
        <f>IF(I307="Overdue",TODAY()-G307,0)</f>
        <v/>
      </c>
      <c r="K307" s="16" t="n"/>
      <c r="L307" s="16" t="n"/>
      <c r="M307" s="16" t="n"/>
      <c r="N307" s="16" t="n"/>
      <c r="O307" s="16" t="n"/>
    </row>
    <row r="308">
      <c r="A308" s="17" t="inlineStr">
        <is>
          <t>TRK-0305</t>
        </is>
      </c>
      <c r="B308" s="16" t="n"/>
      <c r="C308" s="16" t="n"/>
      <c r="D308" s="16" t="n"/>
      <c r="E308" s="16" t="n"/>
      <c r="F308" s="16" t="n"/>
      <c r="G308" s="16" t="n"/>
      <c r="H308" s="16" t="n"/>
      <c r="I308" s="16">
        <f>IF(H308&lt;&gt;"","Completed",IF(TODAY()&gt;G308,"Overdue",IF(F308&lt;&gt;"","In Progress","Not Started")))</f>
        <v/>
      </c>
      <c r="J308" s="18">
        <f>IF(I308="Overdue",TODAY()-G308,0)</f>
        <v/>
      </c>
      <c r="K308" s="16" t="n"/>
      <c r="L308" s="16" t="n"/>
      <c r="M308" s="16" t="n"/>
      <c r="N308" s="16" t="n"/>
      <c r="O308" s="16" t="n"/>
    </row>
    <row r="309">
      <c r="A309" s="17" t="inlineStr">
        <is>
          <t>TRK-0306</t>
        </is>
      </c>
      <c r="B309" s="16" t="n"/>
      <c r="C309" s="16" t="n"/>
      <c r="D309" s="16" t="n"/>
      <c r="E309" s="16" t="n"/>
      <c r="F309" s="16" t="n"/>
      <c r="G309" s="16" t="n"/>
      <c r="H309" s="16" t="n"/>
      <c r="I309" s="16">
        <f>IF(H309&lt;&gt;"","Completed",IF(TODAY()&gt;G309,"Overdue",IF(F309&lt;&gt;"","In Progress","Not Started")))</f>
        <v/>
      </c>
      <c r="J309" s="18">
        <f>IF(I309="Overdue",TODAY()-G309,0)</f>
        <v/>
      </c>
      <c r="K309" s="16" t="n"/>
      <c r="L309" s="16" t="n"/>
      <c r="M309" s="16" t="n"/>
      <c r="N309" s="16" t="n"/>
      <c r="O309" s="16" t="n"/>
    </row>
    <row r="310">
      <c r="A310" s="17" t="inlineStr">
        <is>
          <t>TRK-0307</t>
        </is>
      </c>
      <c r="B310" s="16" t="n"/>
      <c r="C310" s="16" t="n"/>
      <c r="D310" s="16" t="n"/>
      <c r="E310" s="16" t="n"/>
      <c r="F310" s="16" t="n"/>
      <c r="G310" s="16" t="n"/>
      <c r="H310" s="16" t="n"/>
      <c r="I310" s="16">
        <f>IF(H310&lt;&gt;"","Completed",IF(TODAY()&gt;G310,"Overdue",IF(F310&lt;&gt;"","In Progress","Not Started")))</f>
        <v/>
      </c>
      <c r="J310" s="18">
        <f>IF(I310="Overdue",TODAY()-G310,0)</f>
        <v/>
      </c>
      <c r="K310" s="16" t="n"/>
      <c r="L310" s="16" t="n"/>
      <c r="M310" s="16" t="n"/>
      <c r="N310" s="16" t="n"/>
      <c r="O310" s="16" t="n"/>
    </row>
    <row r="311">
      <c r="A311" s="17" t="inlineStr">
        <is>
          <t>TRK-0308</t>
        </is>
      </c>
      <c r="B311" s="16" t="n"/>
      <c r="C311" s="16" t="n"/>
      <c r="D311" s="16" t="n"/>
      <c r="E311" s="16" t="n"/>
      <c r="F311" s="16" t="n"/>
      <c r="G311" s="16" t="n"/>
      <c r="H311" s="16" t="n"/>
      <c r="I311" s="16">
        <f>IF(H311&lt;&gt;"","Completed",IF(TODAY()&gt;G311,"Overdue",IF(F311&lt;&gt;"","In Progress","Not Started")))</f>
        <v/>
      </c>
      <c r="J311" s="18">
        <f>IF(I311="Overdue",TODAY()-G311,0)</f>
        <v/>
      </c>
      <c r="K311" s="16" t="n"/>
      <c r="L311" s="16" t="n"/>
      <c r="M311" s="16" t="n"/>
      <c r="N311" s="16" t="n"/>
      <c r="O311" s="16" t="n"/>
    </row>
    <row r="312">
      <c r="A312" s="17" t="inlineStr">
        <is>
          <t>TRK-0309</t>
        </is>
      </c>
      <c r="B312" s="16" t="n"/>
      <c r="C312" s="16" t="n"/>
      <c r="D312" s="16" t="n"/>
      <c r="E312" s="16" t="n"/>
      <c r="F312" s="16" t="n"/>
      <c r="G312" s="16" t="n"/>
      <c r="H312" s="16" t="n"/>
      <c r="I312" s="16">
        <f>IF(H312&lt;&gt;"","Completed",IF(TODAY()&gt;G312,"Overdue",IF(F312&lt;&gt;"","In Progress","Not Started")))</f>
        <v/>
      </c>
      <c r="J312" s="18">
        <f>IF(I312="Overdue",TODAY()-G312,0)</f>
        <v/>
      </c>
      <c r="K312" s="16" t="n"/>
      <c r="L312" s="16" t="n"/>
      <c r="M312" s="16" t="n"/>
      <c r="N312" s="16" t="n"/>
      <c r="O312" s="16" t="n"/>
    </row>
    <row r="313">
      <c r="A313" s="17" t="inlineStr">
        <is>
          <t>TRK-0310</t>
        </is>
      </c>
      <c r="B313" s="16" t="n"/>
      <c r="C313" s="16" t="n"/>
      <c r="D313" s="16" t="n"/>
      <c r="E313" s="16" t="n"/>
      <c r="F313" s="16" t="n"/>
      <c r="G313" s="16" t="n"/>
      <c r="H313" s="16" t="n"/>
      <c r="I313" s="16">
        <f>IF(H313&lt;&gt;"","Completed",IF(TODAY()&gt;G313,"Overdue",IF(F313&lt;&gt;"","In Progress","Not Started")))</f>
        <v/>
      </c>
      <c r="J313" s="18">
        <f>IF(I313="Overdue",TODAY()-G313,0)</f>
        <v/>
      </c>
      <c r="K313" s="16" t="n"/>
      <c r="L313" s="16" t="n"/>
      <c r="M313" s="16" t="n"/>
      <c r="N313" s="16" t="n"/>
      <c r="O313" s="16" t="n"/>
    </row>
    <row r="314">
      <c r="A314" s="17" t="inlineStr">
        <is>
          <t>TRK-0311</t>
        </is>
      </c>
      <c r="B314" s="16" t="n"/>
      <c r="C314" s="16" t="n"/>
      <c r="D314" s="16" t="n"/>
      <c r="E314" s="16" t="n"/>
      <c r="F314" s="16" t="n"/>
      <c r="G314" s="16" t="n"/>
      <c r="H314" s="16" t="n"/>
      <c r="I314" s="16">
        <f>IF(H314&lt;&gt;"","Completed",IF(TODAY()&gt;G314,"Overdue",IF(F314&lt;&gt;"","In Progress","Not Started")))</f>
        <v/>
      </c>
      <c r="J314" s="18">
        <f>IF(I314="Overdue",TODAY()-G314,0)</f>
        <v/>
      </c>
      <c r="K314" s="16" t="n"/>
      <c r="L314" s="16" t="n"/>
      <c r="M314" s="16" t="n"/>
      <c r="N314" s="16" t="n"/>
      <c r="O314" s="16" t="n"/>
    </row>
    <row r="315">
      <c r="A315" s="17" t="inlineStr">
        <is>
          <t>TRK-0312</t>
        </is>
      </c>
      <c r="B315" s="16" t="n"/>
      <c r="C315" s="16" t="n"/>
      <c r="D315" s="16" t="n"/>
      <c r="E315" s="16" t="n"/>
      <c r="F315" s="16" t="n"/>
      <c r="G315" s="16" t="n"/>
      <c r="H315" s="16" t="n"/>
      <c r="I315" s="16">
        <f>IF(H315&lt;&gt;"","Completed",IF(TODAY()&gt;G315,"Overdue",IF(F315&lt;&gt;"","In Progress","Not Started")))</f>
        <v/>
      </c>
      <c r="J315" s="18">
        <f>IF(I315="Overdue",TODAY()-G315,0)</f>
        <v/>
      </c>
      <c r="K315" s="16" t="n"/>
      <c r="L315" s="16" t="n"/>
      <c r="M315" s="16" t="n"/>
      <c r="N315" s="16" t="n"/>
      <c r="O315" s="16" t="n"/>
    </row>
    <row r="316">
      <c r="A316" s="17" t="inlineStr">
        <is>
          <t>TRK-0313</t>
        </is>
      </c>
      <c r="B316" s="16" t="n"/>
      <c r="C316" s="16" t="n"/>
      <c r="D316" s="16" t="n"/>
      <c r="E316" s="16" t="n"/>
      <c r="F316" s="16" t="n"/>
      <c r="G316" s="16" t="n"/>
      <c r="H316" s="16" t="n"/>
      <c r="I316" s="16">
        <f>IF(H316&lt;&gt;"","Completed",IF(TODAY()&gt;G316,"Overdue",IF(F316&lt;&gt;"","In Progress","Not Started")))</f>
        <v/>
      </c>
      <c r="J316" s="18">
        <f>IF(I316="Overdue",TODAY()-G316,0)</f>
        <v/>
      </c>
      <c r="K316" s="16" t="n"/>
      <c r="L316" s="16" t="n"/>
      <c r="M316" s="16" t="n"/>
      <c r="N316" s="16" t="n"/>
      <c r="O316" s="16" t="n"/>
    </row>
    <row r="317">
      <c r="A317" s="17" t="inlineStr">
        <is>
          <t>TRK-0314</t>
        </is>
      </c>
      <c r="B317" s="16" t="n"/>
      <c r="C317" s="16" t="n"/>
      <c r="D317" s="16" t="n"/>
      <c r="E317" s="16" t="n"/>
      <c r="F317" s="16" t="n"/>
      <c r="G317" s="16" t="n"/>
      <c r="H317" s="16" t="n"/>
      <c r="I317" s="16">
        <f>IF(H317&lt;&gt;"","Completed",IF(TODAY()&gt;G317,"Overdue",IF(F317&lt;&gt;"","In Progress","Not Started")))</f>
        <v/>
      </c>
      <c r="J317" s="18">
        <f>IF(I317="Overdue",TODAY()-G317,0)</f>
        <v/>
      </c>
      <c r="K317" s="16" t="n"/>
      <c r="L317" s="16" t="n"/>
      <c r="M317" s="16" t="n"/>
      <c r="N317" s="16" t="n"/>
      <c r="O317" s="16" t="n"/>
    </row>
    <row r="318">
      <c r="A318" s="17" t="inlineStr">
        <is>
          <t>TRK-0315</t>
        </is>
      </c>
      <c r="B318" s="16" t="n"/>
      <c r="C318" s="16" t="n"/>
      <c r="D318" s="16" t="n"/>
      <c r="E318" s="16" t="n"/>
      <c r="F318" s="16" t="n"/>
      <c r="G318" s="16" t="n"/>
      <c r="H318" s="16" t="n"/>
      <c r="I318" s="16">
        <f>IF(H318&lt;&gt;"","Completed",IF(TODAY()&gt;G318,"Overdue",IF(F318&lt;&gt;"","In Progress","Not Started")))</f>
        <v/>
      </c>
      <c r="J318" s="18">
        <f>IF(I318="Overdue",TODAY()-G318,0)</f>
        <v/>
      </c>
      <c r="K318" s="16" t="n"/>
      <c r="L318" s="16" t="n"/>
      <c r="M318" s="16" t="n"/>
      <c r="N318" s="16" t="n"/>
      <c r="O318" s="16" t="n"/>
    </row>
    <row r="319">
      <c r="A319" s="17" t="inlineStr">
        <is>
          <t>TRK-0316</t>
        </is>
      </c>
      <c r="B319" s="16" t="n"/>
      <c r="C319" s="16" t="n"/>
      <c r="D319" s="16" t="n"/>
      <c r="E319" s="16" t="n"/>
      <c r="F319" s="16" t="n"/>
      <c r="G319" s="16" t="n"/>
      <c r="H319" s="16" t="n"/>
      <c r="I319" s="16">
        <f>IF(H319&lt;&gt;"","Completed",IF(TODAY()&gt;G319,"Overdue",IF(F319&lt;&gt;"","In Progress","Not Started")))</f>
        <v/>
      </c>
      <c r="J319" s="18">
        <f>IF(I319="Overdue",TODAY()-G319,0)</f>
        <v/>
      </c>
      <c r="K319" s="16" t="n"/>
      <c r="L319" s="16" t="n"/>
      <c r="M319" s="16" t="n"/>
      <c r="N319" s="16" t="n"/>
      <c r="O319" s="16" t="n"/>
    </row>
    <row r="320">
      <c r="A320" s="17" t="inlineStr">
        <is>
          <t>TRK-0317</t>
        </is>
      </c>
      <c r="B320" s="16" t="n"/>
      <c r="C320" s="16" t="n"/>
      <c r="D320" s="16" t="n"/>
      <c r="E320" s="16" t="n"/>
      <c r="F320" s="16" t="n"/>
      <c r="G320" s="16" t="n"/>
      <c r="H320" s="16" t="n"/>
      <c r="I320" s="16">
        <f>IF(H320&lt;&gt;"","Completed",IF(TODAY()&gt;G320,"Overdue",IF(F320&lt;&gt;"","In Progress","Not Started")))</f>
        <v/>
      </c>
      <c r="J320" s="18">
        <f>IF(I320="Overdue",TODAY()-G320,0)</f>
        <v/>
      </c>
      <c r="K320" s="16" t="n"/>
      <c r="L320" s="16" t="n"/>
      <c r="M320" s="16" t="n"/>
      <c r="N320" s="16" t="n"/>
      <c r="O320" s="16" t="n"/>
    </row>
    <row r="321">
      <c r="A321" s="17" t="inlineStr">
        <is>
          <t>TRK-0318</t>
        </is>
      </c>
      <c r="B321" s="16" t="n"/>
      <c r="C321" s="16" t="n"/>
      <c r="D321" s="16" t="n"/>
      <c r="E321" s="16" t="n"/>
      <c r="F321" s="16" t="n"/>
      <c r="G321" s="16" t="n"/>
      <c r="H321" s="16" t="n"/>
      <c r="I321" s="16">
        <f>IF(H321&lt;&gt;"","Completed",IF(TODAY()&gt;G321,"Overdue",IF(F321&lt;&gt;"","In Progress","Not Started")))</f>
        <v/>
      </c>
      <c r="J321" s="18">
        <f>IF(I321="Overdue",TODAY()-G321,0)</f>
        <v/>
      </c>
      <c r="K321" s="16" t="n"/>
      <c r="L321" s="16" t="n"/>
      <c r="M321" s="16" t="n"/>
      <c r="N321" s="16" t="n"/>
      <c r="O321" s="16" t="n"/>
    </row>
    <row r="322">
      <c r="A322" s="17" t="inlineStr">
        <is>
          <t>TRK-0319</t>
        </is>
      </c>
      <c r="B322" s="16" t="n"/>
      <c r="C322" s="16" t="n"/>
      <c r="D322" s="16" t="n"/>
      <c r="E322" s="16" t="n"/>
      <c r="F322" s="16" t="n"/>
      <c r="G322" s="16" t="n"/>
      <c r="H322" s="16" t="n"/>
      <c r="I322" s="16">
        <f>IF(H322&lt;&gt;"","Completed",IF(TODAY()&gt;G322,"Overdue",IF(F322&lt;&gt;"","In Progress","Not Started")))</f>
        <v/>
      </c>
      <c r="J322" s="18">
        <f>IF(I322="Overdue",TODAY()-G322,0)</f>
        <v/>
      </c>
      <c r="K322" s="16" t="n"/>
      <c r="L322" s="16" t="n"/>
      <c r="M322" s="16" t="n"/>
      <c r="N322" s="16" t="n"/>
      <c r="O322" s="16" t="n"/>
    </row>
    <row r="323">
      <c r="A323" s="17" t="inlineStr">
        <is>
          <t>TRK-0320</t>
        </is>
      </c>
      <c r="B323" s="16" t="n"/>
      <c r="C323" s="16" t="n"/>
      <c r="D323" s="16" t="n"/>
      <c r="E323" s="16" t="n"/>
      <c r="F323" s="16" t="n"/>
      <c r="G323" s="16" t="n"/>
      <c r="H323" s="16" t="n"/>
      <c r="I323" s="16">
        <f>IF(H323&lt;&gt;"","Completed",IF(TODAY()&gt;G323,"Overdue",IF(F323&lt;&gt;"","In Progress","Not Started")))</f>
        <v/>
      </c>
      <c r="J323" s="18">
        <f>IF(I323="Overdue",TODAY()-G323,0)</f>
        <v/>
      </c>
      <c r="K323" s="16" t="n"/>
      <c r="L323" s="16" t="n"/>
      <c r="M323" s="16" t="n"/>
      <c r="N323" s="16" t="n"/>
      <c r="O323" s="16" t="n"/>
    </row>
    <row r="324">
      <c r="A324" s="17" t="inlineStr">
        <is>
          <t>TRK-0321</t>
        </is>
      </c>
      <c r="B324" s="16" t="n"/>
      <c r="C324" s="16" t="n"/>
      <c r="D324" s="16" t="n"/>
      <c r="E324" s="16" t="n"/>
      <c r="F324" s="16" t="n"/>
      <c r="G324" s="16" t="n"/>
      <c r="H324" s="16" t="n"/>
      <c r="I324" s="16">
        <f>IF(H324&lt;&gt;"","Completed",IF(TODAY()&gt;G324,"Overdue",IF(F324&lt;&gt;"","In Progress","Not Started")))</f>
        <v/>
      </c>
      <c r="J324" s="18">
        <f>IF(I324="Overdue",TODAY()-G324,0)</f>
        <v/>
      </c>
      <c r="K324" s="16" t="n"/>
      <c r="L324" s="16" t="n"/>
      <c r="M324" s="16" t="n"/>
      <c r="N324" s="16" t="n"/>
      <c r="O324" s="16" t="n"/>
    </row>
    <row r="325">
      <c r="A325" s="17" t="inlineStr">
        <is>
          <t>TRK-0322</t>
        </is>
      </c>
      <c r="B325" s="16" t="n"/>
      <c r="C325" s="16" t="n"/>
      <c r="D325" s="16" t="n"/>
      <c r="E325" s="16" t="n"/>
      <c r="F325" s="16" t="n"/>
      <c r="G325" s="16" t="n"/>
      <c r="H325" s="16" t="n"/>
      <c r="I325" s="16">
        <f>IF(H325&lt;&gt;"","Completed",IF(TODAY()&gt;G325,"Overdue",IF(F325&lt;&gt;"","In Progress","Not Started")))</f>
        <v/>
      </c>
      <c r="J325" s="18">
        <f>IF(I325="Overdue",TODAY()-G325,0)</f>
        <v/>
      </c>
      <c r="K325" s="16" t="n"/>
      <c r="L325" s="16" t="n"/>
      <c r="M325" s="16" t="n"/>
      <c r="N325" s="16" t="n"/>
      <c r="O325" s="16" t="n"/>
    </row>
    <row r="326">
      <c r="A326" s="17" t="inlineStr">
        <is>
          <t>TRK-0323</t>
        </is>
      </c>
      <c r="B326" s="16" t="n"/>
      <c r="C326" s="16" t="n"/>
      <c r="D326" s="16" t="n"/>
      <c r="E326" s="16" t="n"/>
      <c r="F326" s="16" t="n"/>
      <c r="G326" s="16" t="n"/>
      <c r="H326" s="16" t="n"/>
      <c r="I326" s="16">
        <f>IF(H326&lt;&gt;"","Completed",IF(TODAY()&gt;G326,"Overdue",IF(F326&lt;&gt;"","In Progress","Not Started")))</f>
        <v/>
      </c>
      <c r="J326" s="18">
        <f>IF(I326="Overdue",TODAY()-G326,0)</f>
        <v/>
      </c>
      <c r="K326" s="16" t="n"/>
      <c r="L326" s="16" t="n"/>
      <c r="M326" s="16" t="n"/>
      <c r="N326" s="16" t="n"/>
      <c r="O326" s="16" t="n"/>
    </row>
    <row r="327">
      <c r="A327" s="17" t="inlineStr">
        <is>
          <t>TRK-0324</t>
        </is>
      </c>
      <c r="B327" s="16" t="n"/>
      <c r="C327" s="16" t="n"/>
      <c r="D327" s="16" t="n"/>
      <c r="E327" s="16" t="n"/>
      <c r="F327" s="16" t="n"/>
      <c r="G327" s="16" t="n"/>
      <c r="H327" s="16" t="n"/>
      <c r="I327" s="16">
        <f>IF(H327&lt;&gt;"","Completed",IF(TODAY()&gt;G327,"Overdue",IF(F327&lt;&gt;"","In Progress","Not Started")))</f>
        <v/>
      </c>
      <c r="J327" s="18">
        <f>IF(I327="Overdue",TODAY()-G327,0)</f>
        <v/>
      </c>
      <c r="K327" s="16" t="n"/>
      <c r="L327" s="16" t="n"/>
      <c r="M327" s="16" t="n"/>
      <c r="N327" s="16" t="n"/>
      <c r="O327" s="16" t="n"/>
    </row>
    <row r="328">
      <c r="A328" s="17" t="inlineStr">
        <is>
          <t>TRK-0325</t>
        </is>
      </c>
      <c r="B328" s="16" t="n"/>
      <c r="C328" s="16" t="n"/>
      <c r="D328" s="16" t="n"/>
      <c r="E328" s="16" t="n"/>
      <c r="F328" s="16" t="n"/>
      <c r="G328" s="16" t="n"/>
      <c r="H328" s="16" t="n"/>
      <c r="I328" s="16">
        <f>IF(H328&lt;&gt;"","Completed",IF(TODAY()&gt;G328,"Overdue",IF(F328&lt;&gt;"","In Progress","Not Started")))</f>
        <v/>
      </c>
      <c r="J328" s="18">
        <f>IF(I328="Overdue",TODAY()-G328,0)</f>
        <v/>
      </c>
      <c r="K328" s="16" t="n"/>
      <c r="L328" s="16" t="n"/>
      <c r="M328" s="16" t="n"/>
      <c r="N328" s="16" t="n"/>
      <c r="O328" s="16" t="n"/>
    </row>
    <row r="329">
      <c r="A329" s="17" t="inlineStr">
        <is>
          <t>TRK-0326</t>
        </is>
      </c>
      <c r="B329" s="16" t="n"/>
      <c r="C329" s="16" t="n"/>
      <c r="D329" s="16" t="n"/>
      <c r="E329" s="16" t="n"/>
      <c r="F329" s="16" t="n"/>
      <c r="G329" s="16" t="n"/>
      <c r="H329" s="16" t="n"/>
      <c r="I329" s="16">
        <f>IF(H329&lt;&gt;"","Completed",IF(TODAY()&gt;G329,"Overdue",IF(F329&lt;&gt;"","In Progress","Not Started")))</f>
        <v/>
      </c>
      <c r="J329" s="18">
        <f>IF(I329="Overdue",TODAY()-G329,0)</f>
        <v/>
      </c>
      <c r="K329" s="16" t="n"/>
      <c r="L329" s="16" t="n"/>
      <c r="M329" s="16" t="n"/>
      <c r="N329" s="16" t="n"/>
      <c r="O329" s="16" t="n"/>
    </row>
    <row r="330">
      <c r="A330" s="17" t="inlineStr">
        <is>
          <t>TRK-0327</t>
        </is>
      </c>
      <c r="B330" s="16" t="n"/>
      <c r="C330" s="16" t="n"/>
      <c r="D330" s="16" t="n"/>
      <c r="E330" s="16" t="n"/>
      <c r="F330" s="16" t="n"/>
      <c r="G330" s="16" t="n"/>
      <c r="H330" s="16" t="n"/>
      <c r="I330" s="16">
        <f>IF(H330&lt;&gt;"","Completed",IF(TODAY()&gt;G330,"Overdue",IF(F330&lt;&gt;"","In Progress","Not Started")))</f>
        <v/>
      </c>
      <c r="J330" s="18">
        <f>IF(I330="Overdue",TODAY()-G330,0)</f>
        <v/>
      </c>
      <c r="K330" s="16" t="n"/>
      <c r="L330" s="16" t="n"/>
      <c r="M330" s="16" t="n"/>
      <c r="N330" s="16" t="n"/>
      <c r="O330" s="16" t="n"/>
    </row>
    <row r="331">
      <c r="A331" s="17" t="inlineStr">
        <is>
          <t>TRK-0328</t>
        </is>
      </c>
      <c r="B331" s="16" t="n"/>
      <c r="C331" s="16" t="n"/>
      <c r="D331" s="16" t="n"/>
      <c r="E331" s="16" t="n"/>
      <c r="F331" s="16" t="n"/>
      <c r="G331" s="16" t="n"/>
      <c r="H331" s="16" t="n"/>
      <c r="I331" s="16">
        <f>IF(H331&lt;&gt;"","Completed",IF(TODAY()&gt;G331,"Overdue",IF(F331&lt;&gt;"","In Progress","Not Started")))</f>
        <v/>
      </c>
      <c r="J331" s="18">
        <f>IF(I331="Overdue",TODAY()-G331,0)</f>
        <v/>
      </c>
      <c r="K331" s="16" t="n"/>
      <c r="L331" s="16" t="n"/>
      <c r="M331" s="16" t="n"/>
      <c r="N331" s="16" t="n"/>
      <c r="O331" s="16" t="n"/>
    </row>
    <row r="332">
      <c r="A332" s="17" t="inlineStr">
        <is>
          <t>TRK-0329</t>
        </is>
      </c>
      <c r="B332" s="16" t="n"/>
      <c r="C332" s="16" t="n"/>
      <c r="D332" s="16" t="n"/>
      <c r="E332" s="16" t="n"/>
      <c r="F332" s="16" t="n"/>
      <c r="G332" s="16" t="n"/>
      <c r="H332" s="16" t="n"/>
      <c r="I332" s="16">
        <f>IF(H332&lt;&gt;"","Completed",IF(TODAY()&gt;G332,"Overdue",IF(F332&lt;&gt;"","In Progress","Not Started")))</f>
        <v/>
      </c>
      <c r="J332" s="18">
        <f>IF(I332="Overdue",TODAY()-G332,0)</f>
        <v/>
      </c>
      <c r="K332" s="16" t="n"/>
      <c r="L332" s="16" t="n"/>
      <c r="M332" s="16" t="n"/>
      <c r="N332" s="16" t="n"/>
      <c r="O332" s="16" t="n"/>
    </row>
    <row r="333">
      <c r="A333" s="17" t="inlineStr">
        <is>
          <t>TRK-0330</t>
        </is>
      </c>
      <c r="B333" s="16" t="n"/>
      <c r="C333" s="16" t="n"/>
      <c r="D333" s="16" t="n"/>
      <c r="E333" s="16" t="n"/>
      <c r="F333" s="16" t="n"/>
      <c r="G333" s="16" t="n"/>
      <c r="H333" s="16" t="n"/>
      <c r="I333" s="16">
        <f>IF(H333&lt;&gt;"","Completed",IF(TODAY()&gt;G333,"Overdue",IF(F333&lt;&gt;"","In Progress","Not Started")))</f>
        <v/>
      </c>
      <c r="J333" s="18">
        <f>IF(I333="Overdue",TODAY()-G333,0)</f>
        <v/>
      </c>
      <c r="K333" s="16" t="n"/>
      <c r="L333" s="16" t="n"/>
      <c r="M333" s="16" t="n"/>
      <c r="N333" s="16" t="n"/>
      <c r="O333" s="16" t="n"/>
    </row>
    <row r="334">
      <c r="A334" s="17" t="inlineStr">
        <is>
          <t>TRK-0331</t>
        </is>
      </c>
      <c r="B334" s="16" t="n"/>
      <c r="C334" s="16" t="n"/>
      <c r="D334" s="16" t="n"/>
      <c r="E334" s="16" t="n"/>
      <c r="F334" s="16" t="n"/>
      <c r="G334" s="16" t="n"/>
      <c r="H334" s="16" t="n"/>
      <c r="I334" s="16">
        <f>IF(H334&lt;&gt;"","Completed",IF(TODAY()&gt;G334,"Overdue",IF(F334&lt;&gt;"","In Progress","Not Started")))</f>
        <v/>
      </c>
      <c r="J334" s="18">
        <f>IF(I334="Overdue",TODAY()-G334,0)</f>
        <v/>
      </c>
      <c r="K334" s="16" t="n"/>
      <c r="L334" s="16" t="n"/>
      <c r="M334" s="16" t="n"/>
      <c r="N334" s="16" t="n"/>
      <c r="O334" s="16" t="n"/>
    </row>
    <row r="335">
      <c r="A335" s="17" t="inlineStr">
        <is>
          <t>TRK-0332</t>
        </is>
      </c>
      <c r="B335" s="16" t="n"/>
      <c r="C335" s="16" t="n"/>
      <c r="D335" s="16" t="n"/>
      <c r="E335" s="16" t="n"/>
      <c r="F335" s="16" t="n"/>
      <c r="G335" s="16" t="n"/>
      <c r="H335" s="16" t="n"/>
      <c r="I335" s="16">
        <f>IF(H335&lt;&gt;"","Completed",IF(TODAY()&gt;G335,"Overdue",IF(F335&lt;&gt;"","In Progress","Not Started")))</f>
        <v/>
      </c>
      <c r="J335" s="18">
        <f>IF(I335="Overdue",TODAY()-G335,0)</f>
        <v/>
      </c>
      <c r="K335" s="16" t="n"/>
      <c r="L335" s="16" t="n"/>
      <c r="M335" s="16" t="n"/>
      <c r="N335" s="16" t="n"/>
      <c r="O335" s="16" t="n"/>
    </row>
    <row r="336">
      <c r="A336" s="17" t="inlineStr">
        <is>
          <t>TRK-0333</t>
        </is>
      </c>
      <c r="B336" s="16" t="n"/>
      <c r="C336" s="16" t="n"/>
      <c r="D336" s="16" t="n"/>
      <c r="E336" s="16" t="n"/>
      <c r="F336" s="16" t="n"/>
      <c r="G336" s="16" t="n"/>
      <c r="H336" s="16" t="n"/>
      <c r="I336" s="16">
        <f>IF(H336&lt;&gt;"","Completed",IF(TODAY()&gt;G336,"Overdue",IF(F336&lt;&gt;"","In Progress","Not Started")))</f>
        <v/>
      </c>
      <c r="J336" s="18">
        <f>IF(I336="Overdue",TODAY()-G336,0)</f>
        <v/>
      </c>
      <c r="K336" s="16" t="n"/>
      <c r="L336" s="16" t="n"/>
      <c r="M336" s="16" t="n"/>
      <c r="N336" s="16" t="n"/>
      <c r="O336" s="16" t="n"/>
    </row>
    <row r="337">
      <c r="A337" s="17" t="inlineStr">
        <is>
          <t>TRK-0334</t>
        </is>
      </c>
      <c r="B337" s="16" t="n"/>
      <c r="C337" s="16" t="n"/>
      <c r="D337" s="16" t="n"/>
      <c r="E337" s="16" t="n"/>
      <c r="F337" s="16" t="n"/>
      <c r="G337" s="16" t="n"/>
      <c r="H337" s="16" t="n"/>
      <c r="I337" s="16">
        <f>IF(H337&lt;&gt;"","Completed",IF(TODAY()&gt;G337,"Overdue",IF(F337&lt;&gt;"","In Progress","Not Started")))</f>
        <v/>
      </c>
      <c r="J337" s="18">
        <f>IF(I337="Overdue",TODAY()-G337,0)</f>
        <v/>
      </c>
      <c r="K337" s="16" t="n"/>
      <c r="L337" s="16" t="n"/>
      <c r="M337" s="16" t="n"/>
      <c r="N337" s="16" t="n"/>
      <c r="O337" s="16" t="n"/>
    </row>
    <row r="338">
      <c r="A338" s="17" t="inlineStr">
        <is>
          <t>TRK-0335</t>
        </is>
      </c>
      <c r="B338" s="16" t="n"/>
      <c r="C338" s="16" t="n"/>
      <c r="D338" s="16" t="n"/>
      <c r="E338" s="16" t="n"/>
      <c r="F338" s="16" t="n"/>
      <c r="G338" s="16" t="n"/>
      <c r="H338" s="16" t="n"/>
      <c r="I338" s="16">
        <f>IF(H338&lt;&gt;"","Completed",IF(TODAY()&gt;G338,"Overdue",IF(F338&lt;&gt;"","In Progress","Not Started")))</f>
        <v/>
      </c>
      <c r="J338" s="18">
        <f>IF(I338="Overdue",TODAY()-G338,0)</f>
        <v/>
      </c>
      <c r="K338" s="16" t="n"/>
      <c r="L338" s="16" t="n"/>
      <c r="M338" s="16" t="n"/>
      <c r="N338" s="16" t="n"/>
      <c r="O338" s="16" t="n"/>
    </row>
    <row r="339">
      <c r="A339" s="17" t="inlineStr">
        <is>
          <t>TRK-0336</t>
        </is>
      </c>
      <c r="B339" s="16" t="n"/>
      <c r="C339" s="16" t="n"/>
      <c r="D339" s="16" t="n"/>
      <c r="E339" s="16" t="n"/>
      <c r="F339" s="16" t="n"/>
      <c r="G339" s="16" t="n"/>
      <c r="H339" s="16" t="n"/>
      <c r="I339" s="16">
        <f>IF(H339&lt;&gt;"","Completed",IF(TODAY()&gt;G339,"Overdue",IF(F339&lt;&gt;"","In Progress","Not Started")))</f>
        <v/>
      </c>
      <c r="J339" s="18">
        <f>IF(I339="Overdue",TODAY()-G339,0)</f>
        <v/>
      </c>
      <c r="K339" s="16" t="n"/>
      <c r="L339" s="16" t="n"/>
      <c r="M339" s="16" t="n"/>
      <c r="N339" s="16" t="n"/>
      <c r="O339" s="16" t="n"/>
    </row>
    <row r="340">
      <c r="A340" s="17" t="inlineStr">
        <is>
          <t>TRK-0337</t>
        </is>
      </c>
      <c r="B340" s="16" t="n"/>
      <c r="C340" s="16" t="n"/>
      <c r="D340" s="16" t="n"/>
      <c r="E340" s="16" t="n"/>
      <c r="F340" s="16" t="n"/>
      <c r="G340" s="16" t="n"/>
      <c r="H340" s="16" t="n"/>
      <c r="I340" s="16">
        <f>IF(H340&lt;&gt;"","Completed",IF(TODAY()&gt;G340,"Overdue",IF(F340&lt;&gt;"","In Progress","Not Started")))</f>
        <v/>
      </c>
      <c r="J340" s="18">
        <f>IF(I340="Overdue",TODAY()-G340,0)</f>
        <v/>
      </c>
      <c r="K340" s="16" t="n"/>
      <c r="L340" s="16" t="n"/>
      <c r="M340" s="16" t="n"/>
      <c r="N340" s="16" t="n"/>
      <c r="O340" s="16" t="n"/>
    </row>
    <row r="341">
      <c r="A341" s="17" t="inlineStr">
        <is>
          <t>TRK-0338</t>
        </is>
      </c>
      <c r="B341" s="16" t="n"/>
      <c r="C341" s="16" t="n"/>
      <c r="D341" s="16" t="n"/>
      <c r="E341" s="16" t="n"/>
      <c r="F341" s="16" t="n"/>
      <c r="G341" s="16" t="n"/>
      <c r="H341" s="16" t="n"/>
      <c r="I341" s="16">
        <f>IF(H341&lt;&gt;"","Completed",IF(TODAY()&gt;G341,"Overdue",IF(F341&lt;&gt;"","In Progress","Not Started")))</f>
        <v/>
      </c>
      <c r="J341" s="18">
        <f>IF(I341="Overdue",TODAY()-G341,0)</f>
        <v/>
      </c>
      <c r="K341" s="16" t="n"/>
      <c r="L341" s="16" t="n"/>
      <c r="M341" s="16" t="n"/>
      <c r="N341" s="16" t="n"/>
      <c r="O341" s="16" t="n"/>
    </row>
    <row r="342">
      <c r="A342" s="17" t="inlineStr">
        <is>
          <t>TRK-0339</t>
        </is>
      </c>
      <c r="B342" s="16" t="n"/>
      <c r="C342" s="16" t="n"/>
      <c r="D342" s="16" t="n"/>
      <c r="E342" s="16" t="n"/>
      <c r="F342" s="16" t="n"/>
      <c r="G342" s="16" t="n"/>
      <c r="H342" s="16" t="n"/>
      <c r="I342" s="16">
        <f>IF(H342&lt;&gt;"","Completed",IF(TODAY()&gt;G342,"Overdue",IF(F342&lt;&gt;"","In Progress","Not Started")))</f>
        <v/>
      </c>
      <c r="J342" s="18">
        <f>IF(I342="Overdue",TODAY()-G342,0)</f>
        <v/>
      </c>
      <c r="K342" s="16" t="n"/>
      <c r="L342" s="16" t="n"/>
      <c r="M342" s="16" t="n"/>
      <c r="N342" s="16" t="n"/>
      <c r="O342" s="16" t="n"/>
    </row>
    <row r="343">
      <c r="A343" s="17" t="inlineStr">
        <is>
          <t>TRK-0340</t>
        </is>
      </c>
      <c r="B343" s="16" t="n"/>
      <c r="C343" s="16" t="n"/>
      <c r="D343" s="16" t="n"/>
      <c r="E343" s="16" t="n"/>
      <c r="F343" s="16" t="n"/>
      <c r="G343" s="16" t="n"/>
      <c r="H343" s="16" t="n"/>
      <c r="I343" s="16">
        <f>IF(H343&lt;&gt;"","Completed",IF(TODAY()&gt;G343,"Overdue",IF(F343&lt;&gt;"","In Progress","Not Started")))</f>
        <v/>
      </c>
      <c r="J343" s="18">
        <f>IF(I343="Overdue",TODAY()-G343,0)</f>
        <v/>
      </c>
      <c r="K343" s="16" t="n"/>
      <c r="L343" s="16" t="n"/>
      <c r="M343" s="16" t="n"/>
      <c r="N343" s="16" t="n"/>
      <c r="O343" s="16" t="n"/>
    </row>
    <row r="344">
      <c r="A344" s="17" t="inlineStr">
        <is>
          <t>TRK-0341</t>
        </is>
      </c>
      <c r="B344" s="16" t="n"/>
      <c r="C344" s="16" t="n"/>
      <c r="D344" s="16" t="n"/>
      <c r="E344" s="16" t="n"/>
      <c r="F344" s="16" t="n"/>
      <c r="G344" s="16" t="n"/>
      <c r="H344" s="16" t="n"/>
      <c r="I344" s="16">
        <f>IF(H344&lt;&gt;"","Completed",IF(TODAY()&gt;G344,"Overdue",IF(F344&lt;&gt;"","In Progress","Not Started")))</f>
        <v/>
      </c>
      <c r="J344" s="18">
        <f>IF(I344="Overdue",TODAY()-G344,0)</f>
        <v/>
      </c>
      <c r="K344" s="16" t="n"/>
      <c r="L344" s="16" t="n"/>
      <c r="M344" s="16" t="n"/>
      <c r="N344" s="16" t="n"/>
      <c r="O344" s="16" t="n"/>
    </row>
    <row r="345">
      <c r="A345" s="17" t="inlineStr">
        <is>
          <t>TRK-0342</t>
        </is>
      </c>
      <c r="B345" s="16" t="n"/>
      <c r="C345" s="16" t="n"/>
      <c r="D345" s="16" t="n"/>
      <c r="E345" s="16" t="n"/>
      <c r="F345" s="16" t="n"/>
      <c r="G345" s="16" t="n"/>
      <c r="H345" s="16" t="n"/>
      <c r="I345" s="16">
        <f>IF(H345&lt;&gt;"","Completed",IF(TODAY()&gt;G345,"Overdue",IF(F345&lt;&gt;"","In Progress","Not Started")))</f>
        <v/>
      </c>
      <c r="J345" s="18">
        <f>IF(I345="Overdue",TODAY()-G345,0)</f>
        <v/>
      </c>
      <c r="K345" s="16" t="n"/>
      <c r="L345" s="16" t="n"/>
      <c r="M345" s="16" t="n"/>
      <c r="N345" s="16" t="n"/>
      <c r="O345" s="16" t="n"/>
    </row>
    <row r="346">
      <c r="A346" s="17" t="inlineStr">
        <is>
          <t>TRK-0343</t>
        </is>
      </c>
      <c r="B346" s="16" t="n"/>
      <c r="C346" s="16" t="n"/>
      <c r="D346" s="16" t="n"/>
      <c r="E346" s="16" t="n"/>
      <c r="F346" s="16" t="n"/>
      <c r="G346" s="16" t="n"/>
      <c r="H346" s="16" t="n"/>
      <c r="I346" s="16">
        <f>IF(H346&lt;&gt;"","Completed",IF(TODAY()&gt;G346,"Overdue",IF(F346&lt;&gt;"","In Progress","Not Started")))</f>
        <v/>
      </c>
      <c r="J346" s="18">
        <f>IF(I346="Overdue",TODAY()-G346,0)</f>
        <v/>
      </c>
      <c r="K346" s="16" t="n"/>
      <c r="L346" s="16" t="n"/>
      <c r="M346" s="16" t="n"/>
      <c r="N346" s="16" t="n"/>
      <c r="O346" s="16" t="n"/>
    </row>
    <row r="347">
      <c r="A347" s="17" t="inlineStr">
        <is>
          <t>TRK-0344</t>
        </is>
      </c>
      <c r="B347" s="16" t="n"/>
      <c r="C347" s="16" t="n"/>
      <c r="D347" s="16" t="n"/>
      <c r="E347" s="16" t="n"/>
      <c r="F347" s="16" t="n"/>
      <c r="G347" s="16" t="n"/>
      <c r="H347" s="16" t="n"/>
      <c r="I347" s="16">
        <f>IF(H347&lt;&gt;"","Completed",IF(TODAY()&gt;G347,"Overdue",IF(F347&lt;&gt;"","In Progress","Not Started")))</f>
        <v/>
      </c>
      <c r="J347" s="18">
        <f>IF(I347="Overdue",TODAY()-G347,0)</f>
        <v/>
      </c>
      <c r="K347" s="16" t="n"/>
      <c r="L347" s="16" t="n"/>
      <c r="M347" s="16" t="n"/>
      <c r="N347" s="16" t="n"/>
      <c r="O347" s="16" t="n"/>
    </row>
    <row r="348">
      <c r="A348" s="17" t="inlineStr">
        <is>
          <t>TRK-0345</t>
        </is>
      </c>
      <c r="B348" s="16" t="n"/>
      <c r="C348" s="16" t="n"/>
      <c r="D348" s="16" t="n"/>
      <c r="E348" s="16" t="n"/>
      <c r="F348" s="16" t="n"/>
      <c r="G348" s="16" t="n"/>
      <c r="H348" s="16" t="n"/>
      <c r="I348" s="16">
        <f>IF(H348&lt;&gt;"","Completed",IF(TODAY()&gt;G348,"Overdue",IF(F348&lt;&gt;"","In Progress","Not Started")))</f>
        <v/>
      </c>
      <c r="J348" s="18">
        <f>IF(I348="Overdue",TODAY()-G348,0)</f>
        <v/>
      </c>
      <c r="K348" s="16" t="n"/>
      <c r="L348" s="16" t="n"/>
      <c r="M348" s="16" t="n"/>
      <c r="N348" s="16" t="n"/>
      <c r="O348" s="16" t="n"/>
    </row>
    <row r="349">
      <c r="A349" s="17" t="inlineStr">
        <is>
          <t>TRK-0346</t>
        </is>
      </c>
      <c r="B349" s="16" t="n"/>
      <c r="C349" s="16" t="n"/>
      <c r="D349" s="16" t="n"/>
      <c r="E349" s="16" t="n"/>
      <c r="F349" s="16" t="n"/>
      <c r="G349" s="16" t="n"/>
      <c r="H349" s="16" t="n"/>
      <c r="I349" s="16">
        <f>IF(H349&lt;&gt;"","Completed",IF(TODAY()&gt;G349,"Overdue",IF(F349&lt;&gt;"","In Progress","Not Started")))</f>
        <v/>
      </c>
      <c r="J349" s="18">
        <f>IF(I349="Overdue",TODAY()-G349,0)</f>
        <v/>
      </c>
      <c r="K349" s="16" t="n"/>
      <c r="L349" s="16" t="n"/>
      <c r="M349" s="16" t="n"/>
      <c r="N349" s="16" t="n"/>
      <c r="O349" s="16" t="n"/>
    </row>
    <row r="350">
      <c r="A350" s="17" t="inlineStr">
        <is>
          <t>TRK-0347</t>
        </is>
      </c>
      <c r="B350" s="16" t="n"/>
      <c r="C350" s="16" t="n"/>
      <c r="D350" s="16" t="n"/>
      <c r="E350" s="16" t="n"/>
      <c r="F350" s="16" t="n"/>
      <c r="G350" s="16" t="n"/>
      <c r="H350" s="16" t="n"/>
      <c r="I350" s="16">
        <f>IF(H350&lt;&gt;"","Completed",IF(TODAY()&gt;G350,"Overdue",IF(F350&lt;&gt;"","In Progress","Not Started")))</f>
        <v/>
      </c>
      <c r="J350" s="18">
        <f>IF(I350="Overdue",TODAY()-G350,0)</f>
        <v/>
      </c>
      <c r="K350" s="16" t="n"/>
      <c r="L350" s="16" t="n"/>
      <c r="M350" s="16" t="n"/>
      <c r="N350" s="16" t="n"/>
      <c r="O350" s="16" t="n"/>
    </row>
    <row r="351">
      <c r="A351" s="17" t="inlineStr">
        <is>
          <t>TRK-0348</t>
        </is>
      </c>
      <c r="B351" s="16" t="n"/>
      <c r="C351" s="16" t="n"/>
      <c r="D351" s="16" t="n"/>
      <c r="E351" s="16" t="n"/>
      <c r="F351" s="16" t="n"/>
      <c r="G351" s="16" t="n"/>
      <c r="H351" s="16" t="n"/>
      <c r="I351" s="16">
        <f>IF(H351&lt;&gt;"","Completed",IF(TODAY()&gt;G351,"Overdue",IF(F351&lt;&gt;"","In Progress","Not Started")))</f>
        <v/>
      </c>
      <c r="J351" s="18">
        <f>IF(I351="Overdue",TODAY()-G351,0)</f>
        <v/>
      </c>
      <c r="K351" s="16" t="n"/>
      <c r="L351" s="16" t="n"/>
      <c r="M351" s="16" t="n"/>
      <c r="N351" s="16" t="n"/>
      <c r="O351" s="16" t="n"/>
    </row>
    <row r="352">
      <c r="A352" s="17" t="inlineStr">
        <is>
          <t>TRK-0349</t>
        </is>
      </c>
      <c r="B352" s="16" t="n"/>
      <c r="C352" s="16" t="n"/>
      <c r="D352" s="16" t="n"/>
      <c r="E352" s="16" t="n"/>
      <c r="F352" s="16" t="n"/>
      <c r="G352" s="16" t="n"/>
      <c r="H352" s="16" t="n"/>
      <c r="I352" s="16">
        <f>IF(H352&lt;&gt;"","Completed",IF(TODAY()&gt;G352,"Overdue",IF(F352&lt;&gt;"","In Progress","Not Started")))</f>
        <v/>
      </c>
      <c r="J352" s="18">
        <f>IF(I352="Overdue",TODAY()-G352,0)</f>
        <v/>
      </c>
      <c r="K352" s="16" t="n"/>
      <c r="L352" s="16" t="n"/>
      <c r="M352" s="16" t="n"/>
      <c r="N352" s="16" t="n"/>
      <c r="O352" s="16" t="n"/>
    </row>
    <row r="353">
      <c r="A353" s="17" t="inlineStr">
        <is>
          <t>TRK-0350</t>
        </is>
      </c>
      <c r="B353" s="16" t="n"/>
      <c r="C353" s="16" t="n"/>
      <c r="D353" s="16" t="n"/>
      <c r="E353" s="16" t="n"/>
      <c r="F353" s="16" t="n"/>
      <c r="G353" s="16" t="n"/>
      <c r="H353" s="16" t="n"/>
      <c r="I353" s="16">
        <f>IF(H353&lt;&gt;"","Completed",IF(TODAY()&gt;G353,"Overdue",IF(F353&lt;&gt;"","In Progress","Not Started")))</f>
        <v/>
      </c>
      <c r="J353" s="18">
        <f>IF(I353="Overdue",TODAY()-G353,0)</f>
        <v/>
      </c>
      <c r="K353" s="16" t="n"/>
      <c r="L353" s="16" t="n"/>
      <c r="M353" s="16" t="n"/>
      <c r="N353" s="16" t="n"/>
      <c r="O353" s="16" t="n"/>
    </row>
    <row r="354">
      <c r="A354" s="17" t="inlineStr">
        <is>
          <t>TRK-0351</t>
        </is>
      </c>
      <c r="B354" s="16" t="n"/>
      <c r="C354" s="16" t="n"/>
      <c r="D354" s="16" t="n"/>
      <c r="E354" s="16" t="n"/>
      <c r="F354" s="16" t="n"/>
      <c r="G354" s="16" t="n"/>
      <c r="H354" s="16" t="n"/>
      <c r="I354" s="16">
        <f>IF(H354&lt;&gt;"","Completed",IF(TODAY()&gt;G354,"Overdue",IF(F354&lt;&gt;"","In Progress","Not Started")))</f>
        <v/>
      </c>
      <c r="J354" s="18">
        <f>IF(I354="Overdue",TODAY()-G354,0)</f>
        <v/>
      </c>
      <c r="K354" s="16" t="n"/>
      <c r="L354" s="16" t="n"/>
      <c r="M354" s="16" t="n"/>
      <c r="N354" s="16" t="n"/>
      <c r="O354" s="16" t="n"/>
    </row>
    <row r="355">
      <c r="A355" s="17" t="inlineStr">
        <is>
          <t>TRK-0352</t>
        </is>
      </c>
      <c r="B355" s="16" t="n"/>
      <c r="C355" s="16" t="n"/>
      <c r="D355" s="16" t="n"/>
      <c r="E355" s="16" t="n"/>
      <c r="F355" s="16" t="n"/>
      <c r="G355" s="16" t="n"/>
      <c r="H355" s="16" t="n"/>
      <c r="I355" s="16">
        <f>IF(H355&lt;&gt;"","Completed",IF(TODAY()&gt;G355,"Overdue",IF(F355&lt;&gt;"","In Progress","Not Started")))</f>
        <v/>
      </c>
      <c r="J355" s="18">
        <f>IF(I355="Overdue",TODAY()-G355,0)</f>
        <v/>
      </c>
      <c r="K355" s="16" t="n"/>
      <c r="L355" s="16" t="n"/>
      <c r="M355" s="16" t="n"/>
      <c r="N355" s="16" t="n"/>
      <c r="O355" s="16" t="n"/>
    </row>
    <row r="356">
      <c r="A356" s="17" t="inlineStr">
        <is>
          <t>TRK-0353</t>
        </is>
      </c>
      <c r="B356" s="16" t="n"/>
      <c r="C356" s="16" t="n"/>
      <c r="D356" s="16" t="n"/>
      <c r="E356" s="16" t="n"/>
      <c r="F356" s="16" t="n"/>
      <c r="G356" s="16" t="n"/>
      <c r="H356" s="16" t="n"/>
      <c r="I356" s="16">
        <f>IF(H356&lt;&gt;"","Completed",IF(TODAY()&gt;G356,"Overdue",IF(F356&lt;&gt;"","In Progress","Not Started")))</f>
        <v/>
      </c>
      <c r="J356" s="18">
        <f>IF(I356="Overdue",TODAY()-G356,0)</f>
        <v/>
      </c>
      <c r="K356" s="16" t="n"/>
      <c r="L356" s="16" t="n"/>
      <c r="M356" s="16" t="n"/>
      <c r="N356" s="16" t="n"/>
      <c r="O356" s="16" t="n"/>
    </row>
    <row r="357">
      <c r="A357" s="17" t="inlineStr">
        <is>
          <t>TRK-0354</t>
        </is>
      </c>
      <c r="B357" s="16" t="n"/>
      <c r="C357" s="16" t="n"/>
      <c r="D357" s="16" t="n"/>
      <c r="E357" s="16" t="n"/>
      <c r="F357" s="16" t="n"/>
      <c r="G357" s="16" t="n"/>
      <c r="H357" s="16" t="n"/>
      <c r="I357" s="16">
        <f>IF(H357&lt;&gt;"","Completed",IF(TODAY()&gt;G357,"Overdue",IF(F357&lt;&gt;"","In Progress","Not Started")))</f>
        <v/>
      </c>
      <c r="J357" s="18">
        <f>IF(I357="Overdue",TODAY()-G357,0)</f>
        <v/>
      </c>
      <c r="K357" s="16" t="n"/>
      <c r="L357" s="16" t="n"/>
      <c r="M357" s="16" t="n"/>
      <c r="N357" s="16" t="n"/>
      <c r="O357" s="16" t="n"/>
    </row>
    <row r="358">
      <c r="A358" s="17" t="inlineStr">
        <is>
          <t>TRK-0355</t>
        </is>
      </c>
      <c r="B358" s="16" t="n"/>
      <c r="C358" s="16" t="n"/>
      <c r="D358" s="16" t="n"/>
      <c r="E358" s="16" t="n"/>
      <c r="F358" s="16" t="n"/>
      <c r="G358" s="16" t="n"/>
      <c r="H358" s="16" t="n"/>
      <c r="I358" s="16">
        <f>IF(H358&lt;&gt;"","Completed",IF(TODAY()&gt;G358,"Overdue",IF(F358&lt;&gt;"","In Progress","Not Started")))</f>
        <v/>
      </c>
      <c r="J358" s="18">
        <f>IF(I358="Overdue",TODAY()-G358,0)</f>
        <v/>
      </c>
      <c r="K358" s="16" t="n"/>
      <c r="L358" s="16" t="n"/>
      <c r="M358" s="16" t="n"/>
      <c r="N358" s="16" t="n"/>
      <c r="O358" s="16" t="n"/>
    </row>
    <row r="359">
      <c r="A359" s="17" t="inlineStr">
        <is>
          <t>TRK-0356</t>
        </is>
      </c>
      <c r="B359" s="16" t="n"/>
      <c r="C359" s="16" t="n"/>
      <c r="D359" s="16" t="n"/>
      <c r="E359" s="16" t="n"/>
      <c r="F359" s="16" t="n"/>
      <c r="G359" s="16" t="n"/>
      <c r="H359" s="16" t="n"/>
      <c r="I359" s="16">
        <f>IF(H359&lt;&gt;"","Completed",IF(TODAY()&gt;G359,"Overdue",IF(F359&lt;&gt;"","In Progress","Not Started")))</f>
        <v/>
      </c>
      <c r="J359" s="18">
        <f>IF(I359="Overdue",TODAY()-G359,0)</f>
        <v/>
      </c>
      <c r="K359" s="16" t="n"/>
      <c r="L359" s="16" t="n"/>
      <c r="M359" s="16" t="n"/>
      <c r="N359" s="16" t="n"/>
      <c r="O359" s="16" t="n"/>
    </row>
    <row r="360">
      <c r="A360" s="17" t="inlineStr">
        <is>
          <t>TRK-0357</t>
        </is>
      </c>
      <c r="B360" s="16" t="n"/>
      <c r="C360" s="16" t="n"/>
      <c r="D360" s="16" t="n"/>
      <c r="E360" s="16" t="n"/>
      <c r="F360" s="16" t="n"/>
      <c r="G360" s="16" t="n"/>
      <c r="H360" s="16" t="n"/>
      <c r="I360" s="16">
        <f>IF(H360&lt;&gt;"","Completed",IF(TODAY()&gt;G360,"Overdue",IF(F360&lt;&gt;"","In Progress","Not Started")))</f>
        <v/>
      </c>
      <c r="J360" s="18">
        <f>IF(I360="Overdue",TODAY()-G360,0)</f>
        <v/>
      </c>
      <c r="K360" s="16" t="n"/>
      <c r="L360" s="16" t="n"/>
      <c r="M360" s="16" t="n"/>
      <c r="N360" s="16" t="n"/>
      <c r="O360" s="16" t="n"/>
    </row>
    <row r="361">
      <c r="A361" s="17" t="inlineStr">
        <is>
          <t>TRK-0358</t>
        </is>
      </c>
      <c r="B361" s="16" t="n"/>
      <c r="C361" s="16" t="n"/>
      <c r="D361" s="16" t="n"/>
      <c r="E361" s="16" t="n"/>
      <c r="F361" s="16" t="n"/>
      <c r="G361" s="16" t="n"/>
      <c r="H361" s="16" t="n"/>
      <c r="I361" s="16">
        <f>IF(H361&lt;&gt;"","Completed",IF(TODAY()&gt;G361,"Overdue",IF(F361&lt;&gt;"","In Progress","Not Started")))</f>
        <v/>
      </c>
      <c r="J361" s="18">
        <f>IF(I361="Overdue",TODAY()-G361,0)</f>
        <v/>
      </c>
      <c r="K361" s="16" t="n"/>
      <c r="L361" s="16" t="n"/>
      <c r="M361" s="16" t="n"/>
      <c r="N361" s="16" t="n"/>
      <c r="O361" s="16" t="n"/>
    </row>
    <row r="362">
      <c r="A362" s="17" t="inlineStr">
        <is>
          <t>TRK-0359</t>
        </is>
      </c>
      <c r="B362" s="16" t="n"/>
      <c r="C362" s="16" t="n"/>
      <c r="D362" s="16" t="n"/>
      <c r="E362" s="16" t="n"/>
      <c r="F362" s="16" t="n"/>
      <c r="G362" s="16" t="n"/>
      <c r="H362" s="16" t="n"/>
      <c r="I362" s="16">
        <f>IF(H362&lt;&gt;"","Completed",IF(TODAY()&gt;G362,"Overdue",IF(F362&lt;&gt;"","In Progress","Not Started")))</f>
        <v/>
      </c>
      <c r="J362" s="18">
        <f>IF(I362="Overdue",TODAY()-G362,0)</f>
        <v/>
      </c>
      <c r="K362" s="16" t="n"/>
      <c r="L362" s="16" t="n"/>
      <c r="M362" s="16" t="n"/>
      <c r="N362" s="16" t="n"/>
      <c r="O362" s="16" t="n"/>
    </row>
    <row r="363">
      <c r="A363" s="17" t="inlineStr">
        <is>
          <t>TRK-0360</t>
        </is>
      </c>
      <c r="B363" s="16" t="n"/>
      <c r="C363" s="16" t="n"/>
      <c r="D363" s="16" t="n"/>
      <c r="E363" s="16" t="n"/>
      <c r="F363" s="16" t="n"/>
      <c r="G363" s="16" t="n"/>
      <c r="H363" s="16" t="n"/>
      <c r="I363" s="16">
        <f>IF(H363&lt;&gt;"","Completed",IF(TODAY()&gt;G363,"Overdue",IF(F363&lt;&gt;"","In Progress","Not Started")))</f>
        <v/>
      </c>
      <c r="J363" s="18">
        <f>IF(I363="Overdue",TODAY()-G363,0)</f>
        <v/>
      </c>
      <c r="K363" s="16" t="n"/>
      <c r="L363" s="16" t="n"/>
      <c r="M363" s="16" t="n"/>
      <c r="N363" s="16" t="n"/>
      <c r="O363" s="16" t="n"/>
    </row>
    <row r="364">
      <c r="A364" s="17" t="inlineStr">
        <is>
          <t>TRK-0361</t>
        </is>
      </c>
      <c r="B364" s="16" t="n"/>
      <c r="C364" s="16" t="n"/>
      <c r="D364" s="16" t="n"/>
      <c r="E364" s="16" t="n"/>
      <c r="F364" s="16" t="n"/>
      <c r="G364" s="16" t="n"/>
      <c r="H364" s="16" t="n"/>
      <c r="I364" s="16">
        <f>IF(H364&lt;&gt;"","Completed",IF(TODAY()&gt;G364,"Overdue",IF(F364&lt;&gt;"","In Progress","Not Started")))</f>
        <v/>
      </c>
      <c r="J364" s="18">
        <f>IF(I364="Overdue",TODAY()-G364,0)</f>
        <v/>
      </c>
      <c r="K364" s="16" t="n"/>
      <c r="L364" s="16" t="n"/>
      <c r="M364" s="16" t="n"/>
      <c r="N364" s="16" t="n"/>
      <c r="O364" s="16" t="n"/>
    </row>
    <row r="365">
      <c r="A365" s="17" t="inlineStr">
        <is>
          <t>TRK-0362</t>
        </is>
      </c>
      <c r="B365" s="16" t="n"/>
      <c r="C365" s="16" t="n"/>
      <c r="D365" s="16" t="n"/>
      <c r="E365" s="16" t="n"/>
      <c r="F365" s="16" t="n"/>
      <c r="G365" s="16" t="n"/>
      <c r="H365" s="16" t="n"/>
      <c r="I365" s="16">
        <f>IF(H365&lt;&gt;"","Completed",IF(TODAY()&gt;G365,"Overdue",IF(F365&lt;&gt;"","In Progress","Not Started")))</f>
        <v/>
      </c>
      <c r="J365" s="18">
        <f>IF(I365="Overdue",TODAY()-G365,0)</f>
        <v/>
      </c>
      <c r="K365" s="16" t="n"/>
      <c r="L365" s="16" t="n"/>
      <c r="M365" s="16" t="n"/>
      <c r="N365" s="16" t="n"/>
      <c r="O365" s="16" t="n"/>
    </row>
    <row r="366">
      <c r="A366" s="17" t="inlineStr">
        <is>
          <t>TRK-0363</t>
        </is>
      </c>
      <c r="B366" s="16" t="n"/>
      <c r="C366" s="16" t="n"/>
      <c r="D366" s="16" t="n"/>
      <c r="E366" s="16" t="n"/>
      <c r="F366" s="16" t="n"/>
      <c r="G366" s="16" t="n"/>
      <c r="H366" s="16" t="n"/>
      <c r="I366" s="16">
        <f>IF(H366&lt;&gt;"","Completed",IF(TODAY()&gt;G366,"Overdue",IF(F366&lt;&gt;"","In Progress","Not Started")))</f>
        <v/>
      </c>
      <c r="J366" s="18">
        <f>IF(I366="Overdue",TODAY()-G366,0)</f>
        <v/>
      </c>
      <c r="K366" s="16" t="n"/>
      <c r="L366" s="16" t="n"/>
      <c r="M366" s="16" t="n"/>
      <c r="N366" s="16" t="n"/>
      <c r="O366" s="16" t="n"/>
    </row>
    <row r="367">
      <c r="A367" s="17" t="inlineStr">
        <is>
          <t>TRK-0364</t>
        </is>
      </c>
      <c r="B367" s="16" t="n"/>
      <c r="C367" s="16" t="n"/>
      <c r="D367" s="16" t="n"/>
      <c r="E367" s="16" t="n"/>
      <c r="F367" s="16" t="n"/>
      <c r="G367" s="16" t="n"/>
      <c r="H367" s="16" t="n"/>
      <c r="I367" s="16">
        <f>IF(H367&lt;&gt;"","Completed",IF(TODAY()&gt;G367,"Overdue",IF(F367&lt;&gt;"","In Progress","Not Started")))</f>
        <v/>
      </c>
      <c r="J367" s="18">
        <f>IF(I367="Overdue",TODAY()-G367,0)</f>
        <v/>
      </c>
      <c r="K367" s="16" t="n"/>
      <c r="L367" s="16" t="n"/>
      <c r="M367" s="16" t="n"/>
      <c r="N367" s="16" t="n"/>
      <c r="O367" s="16" t="n"/>
    </row>
    <row r="368">
      <c r="A368" s="17" t="inlineStr">
        <is>
          <t>TRK-0365</t>
        </is>
      </c>
      <c r="B368" s="16" t="n"/>
      <c r="C368" s="16" t="n"/>
      <c r="D368" s="16" t="n"/>
      <c r="E368" s="16" t="n"/>
      <c r="F368" s="16" t="n"/>
      <c r="G368" s="16" t="n"/>
      <c r="H368" s="16" t="n"/>
      <c r="I368" s="16">
        <f>IF(H368&lt;&gt;"","Completed",IF(TODAY()&gt;G368,"Overdue",IF(F368&lt;&gt;"","In Progress","Not Started")))</f>
        <v/>
      </c>
      <c r="J368" s="18">
        <f>IF(I368="Overdue",TODAY()-G368,0)</f>
        <v/>
      </c>
      <c r="K368" s="16" t="n"/>
      <c r="L368" s="16" t="n"/>
      <c r="M368" s="16" t="n"/>
      <c r="N368" s="16" t="n"/>
      <c r="O368" s="16" t="n"/>
    </row>
    <row r="369">
      <c r="A369" s="17" t="inlineStr">
        <is>
          <t>TRK-0366</t>
        </is>
      </c>
      <c r="B369" s="16" t="n"/>
      <c r="C369" s="16" t="n"/>
      <c r="D369" s="16" t="n"/>
      <c r="E369" s="16" t="n"/>
      <c r="F369" s="16" t="n"/>
      <c r="G369" s="16" t="n"/>
      <c r="H369" s="16" t="n"/>
      <c r="I369" s="16">
        <f>IF(H369&lt;&gt;"","Completed",IF(TODAY()&gt;G369,"Overdue",IF(F369&lt;&gt;"","In Progress","Not Started")))</f>
        <v/>
      </c>
      <c r="J369" s="18">
        <f>IF(I369="Overdue",TODAY()-G369,0)</f>
        <v/>
      </c>
      <c r="K369" s="16" t="n"/>
      <c r="L369" s="16" t="n"/>
      <c r="M369" s="16" t="n"/>
      <c r="N369" s="16" t="n"/>
      <c r="O369" s="16" t="n"/>
    </row>
    <row r="370">
      <c r="A370" s="17" t="inlineStr">
        <is>
          <t>TRK-0367</t>
        </is>
      </c>
      <c r="B370" s="16" t="n"/>
      <c r="C370" s="16" t="n"/>
      <c r="D370" s="16" t="n"/>
      <c r="E370" s="16" t="n"/>
      <c r="F370" s="16" t="n"/>
      <c r="G370" s="16" t="n"/>
      <c r="H370" s="16" t="n"/>
      <c r="I370" s="16">
        <f>IF(H370&lt;&gt;"","Completed",IF(TODAY()&gt;G370,"Overdue",IF(F370&lt;&gt;"","In Progress","Not Started")))</f>
        <v/>
      </c>
      <c r="J370" s="18">
        <f>IF(I370="Overdue",TODAY()-G370,0)</f>
        <v/>
      </c>
      <c r="K370" s="16" t="n"/>
      <c r="L370" s="16" t="n"/>
      <c r="M370" s="16" t="n"/>
      <c r="N370" s="16" t="n"/>
      <c r="O370" s="16" t="n"/>
    </row>
    <row r="371">
      <c r="A371" s="17" t="inlineStr">
        <is>
          <t>TRK-0368</t>
        </is>
      </c>
      <c r="B371" s="16" t="n"/>
      <c r="C371" s="16" t="n"/>
      <c r="D371" s="16" t="n"/>
      <c r="E371" s="16" t="n"/>
      <c r="F371" s="16" t="n"/>
      <c r="G371" s="16" t="n"/>
      <c r="H371" s="16" t="n"/>
      <c r="I371" s="16">
        <f>IF(H371&lt;&gt;"","Completed",IF(TODAY()&gt;G371,"Overdue",IF(F371&lt;&gt;"","In Progress","Not Started")))</f>
        <v/>
      </c>
      <c r="J371" s="18">
        <f>IF(I371="Overdue",TODAY()-G371,0)</f>
        <v/>
      </c>
      <c r="K371" s="16" t="n"/>
      <c r="L371" s="16" t="n"/>
      <c r="M371" s="16" t="n"/>
      <c r="N371" s="16" t="n"/>
      <c r="O371" s="16" t="n"/>
    </row>
    <row r="372">
      <c r="A372" s="17" t="inlineStr">
        <is>
          <t>TRK-0369</t>
        </is>
      </c>
      <c r="B372" s="16" t="n"/>
      <c r="C372" s="16" t="n"/>
      <c r="D372" s="16" t="n"/>
      <c r="E372" s="16" t="n"/>
      <c r="F372" s="16" t="n"/>
      <c r="G372" s="16" t="n"/>
      <c r="H372" s="16" t="n"/>
      <c r="I372" s="16">
        <f>IF(H372&lt;&gt;"","Completed",IF(TODAY()&gt;G372,"Overdue",IF(F372&lt;&gt;"","In Progress","Not Started")))</f>
        <v/>
      </c>
      <c r="J372" s="18">
        <f>IF(I372="Overdue",TODAY()-G372,0)</f>
        <v/>
      </c>
      <c r="K372" s="16" t="n"/>
      <c r="L372" s="16" t="n"/>
      <c r="M372" s="16" t="n"/>
      <c r="N372" s="16" t="n"/>
      <c r="O372" s="16" t="n"/>
    </row>
    <row r="373">
      <c r="A373" s="17" t="inlineStr">
        <is>
          <t>TRK-0370</t>
        </is>
      </c>
      <c r="B373" s="16" t="n"/>
      <c r="C373" s="16" t="n"/>
      <c r="D373" s="16" t="n"/>
      <c r="E373" s="16" t="n"/>
      <c r="F373" s="16" t="n"/>
      <c r="G373" s="16" t="n"/>
      <c r="H373" s="16" t="n"/>
      <c r="I373" s="16">
        <f>IF(H373&lt;&gt;"","Completed",IF(TODAY()&gt;G373,"Overdue",IF(F373&lt;&gt;"","In Progress","Not Started")))</f>
        <v/>
      </c>
      <c r="J373" s="18">
        <f>IF(I373="Overdue",TODAY()-G373,0)</f>
        <v/>
      </c>
      <c r="K373" s="16" t="n"/>
      <c r="L373" s="16" t="n"/>
      <c r="M373" s="16" t="n"/>
      <c r="N373" s="16" t="n"/>
      <c r="O373" s="16" t="n"/>
    </row>
    <row r="374">
      <c r="A374" s="17" t="inlineStr">
        <is>
          <t>TRK-0371</t>
        </is>
      </c>
      <c r="B374" s="16" t="n"/>
      <c r="C374" s="16" t="n"/>
      <c r="D374" s="16" t="n"/>
      <c r="E374" s="16" t="n"/>
      <c r="F374" s="16" t="n"/>
      <c r="G374" s="16" t="n"/>
      <c r="H374" s="16" t="n"/>
      <c r="I374" s="16">
        <f>IF(H374&lt;&gt;"","Completed",IF(TODAY()&gt;G374,"Overdue",IF(F374&lt;&gt;"","In Progress","Not Started")))</f>
        <v/>
      </c>
      <c r="J374" s="18">
        <f>IF(I374="Overdue",TODAY()-G374,0)</f>
        <v/>
      </c>
      <c r="K374" s="16" t="n"/>
      <c r="L374" s="16" t="n"/>
      <c r="M374" s="16" t="n"/>
      <c r="N374" s="16" t="n"/>
      <c r="O374" s="16" t="n"/>
    </row>
    <row r="375">
      <c r="A375" s="17" t="inlineStr">
        <is>
          <t>TRK-0372</t>
        </is>
      </c>
      <c r="B375" s="16" t="n"/>
      <c r="C375" s="16" t="n"/>
      <c r="D375" s="16" t="n"/>
      <c r="E375" s="16" t="n"/>
      <c r="F375" s="16" t="n"/>
      <c r="G375" s="16" t="n"/>
      <c r="H375" s="16" t="n"/>
      <c r="I375" s="16">
        <f>IF(H375&lt;&gt;"","Completed",IF(TODAY()&gt;G375,"Overdue",IF(F375&lt;&gt;"","In Progress","Not Started")))</f>
        <v/>
      </c>
      <c r="J375" s="18">
        <f>IF(I375="Overdue",TODAY()-G375,0)</f>
        <v/>
      </c>
      <c r="K375" s="16" t="n"/>
      <c r="L375" s="16" t="n"/>
      <c r="M375" s="16" t="n"/>
      <c r="N375" s="16" t="n"/>
      <c r="O375" s="16" t="n"/>
    </row>
    <row r="376">
      <c r="A376" s="17" t="inlineStr">
        <is>
          <t>TRK-0373</t>
        </is>
      </c>
      <c r="B376" s="16" t="n"/>
      <c r="C376" s="16" t="n"/>
      <c r="D376" s="16" t="n"/>
      <c r="E376" s="16" t="n"/>
      <c r="F376" s="16" t="n"/>
      <c r="G376" s="16" t="n"/>
      <c r="H376" s="16" t="n"/>
      <c r="I376" s="16">
        <f>IF(H376&lt;&gt;"","Completed",IF(TODAY()&gt;G376,"Overdue",IF(F376&lt;&gt;"","In Progress","Not Started")))</f>
        <v/>
      </c>
      <c r="J376" s="18">
        <f>IF(I376="Overdue",TODAY()-G376,0)</f>
        <v/>
      </c>
      <c r="K376" s="16" t="n"/>
      <c r="L376" s="16" t="n"/>
      <c r="M376" s="16" t="n"/>
      <c r="N376" s="16" t="n"/>
      <c r="O376" s="16" t="n"/>
    </row>
    <row r="377">
      <c r="A377" s="17" t="inlineStr">
        <is>
          <t>TRK-0374</t>
        </is>
      </c>
      <c r="B377" s="16" t="n"/>
      <c r="C377" s="16" t="n"/>
      <c r="D377" s="16" t="n"/>
      <c r="E377" s="16" t="n"/>
      <c r="F377" s="16" t="n"/>
      <c r="G377" s="16" t="n"/>
      <c r="H377" s="16" t="n"/>
      <c r="I377" s="16">
        <f>IF(H377&lt;&gt;"","Completed",IF(TODAY()&gt;G377,"Overdue",IF(F377&lt;&gt;"","In Progress","Not Started")))</f>
        <v/>
      </c>
      <c r="J377" s="18">
        <f>IF(I377="Overdue",TODAY()-G377,0)</f>
        <v/>
      </c>
      <c r="K377" s="16" t="n"/>
      <c r="L377" s="16" t="n"/>
      <c r="M377" s="16" t="n"/>
      <c r="N377" s="16" t="n"/>
      <c r="O377" s="16" t="n"/>
    </row>
    <row r="378">
      <c r="A378" s="17" t="inlineStr">
        <is>
          <t>TRK-0375</t>
        </is>
      </c>
      <c r="B378" s="16" t="n"/>
      <c r="C378" s="16" t="n"/>
      <c r="D378" s="16" t="n"/>
      <c r="E378" s="16" t="n"/>
      <c r="F378" s="16" t="n"/>
      <c r="G378" s="16" t="n"/>
      <c r="H378" s="16" t="n"/>
      <c r="I378" s="16">
        <f>IF(H378&lt;&gt;"","Completed",IF(TODAY()&gt;G378,"Overdue",IF(F378&lt;&gt;"","In Progress","Not Started")))</f>
        <v/>
      </c>
      <c r="J378" s="18">
        <f>IF(I378="Overdue",TODAY()-G378,0)</f>
        <v/>
      </c>
      <c r="K378" s="16" t="n"/>
      <c r="L378" s="16" t="n"/>
      <c r="M378" s="16" t="n"/>
      <c r="N378" s="16" t="n"/>
      <c r="O378" s="16" t="n"/>
    </row>
    <row r="379">
      <c r="A379" s="17" t="inlineStr">
        <is>
          <t>TRK-0376</t>
        </is>
      </c>
      <c r="B379" s="16" t="n"/>
      <c r="C379" s="16" t="n"/>
      <c r="D379" s="16" t="n"/>
      <c r="E379" s="16" t="n"/>
      <c r="F379" s="16" t="n"/>
      <c r="G379" s="16" t="n"/>
      <c r="H379" s="16" t="n"/>
      <c r="I379" s="16">
        <f>IF(H379&lt;&gt;"","Completed",IF(TODAY()&gt;G379,"Overdue",IF(F379&lt;&gt;"","In Progress","Not Started")))</f>
        <v/>
      </c>
      <c r="J379" s="18">
        <f>IF(I379="Overdue",TODAY()-G379,0)</f>
        <v/>
      </c>
      <c r="K379" s="16" t="n"/>
      <c r="L379" s="16" t="n"/>
      <c r="M379" s="16" t="n"/>
      <c r="N379" s="16" t="n"/>
      <c r="O379" s="16" t="n"/>
    </row>
    <row r="380">
      <c r="A380" s="17" t="inlineStr">
        <is>
          <t>TRK-0377</t>
        </is>
      </c>
      <c r="B380" s="16" t="n"/>
      <c r="C380" s="16" t="n"/>
      <c r="D380" s="16" t="n"/>
      <c r="E380" s="16" t="n"/>
      <c r="F380" s="16" t="n"/>
      <c r="G380" s="16" t="n"/>
      <c r="H380" s="16" t="n"/>
      <c r="I380" s="16">
        <f>IF(H380&lt;&gt;"","Completed",IF(TODAY()&gt;G380,"Overdue",IF(F380&lt;&gt;"","In Progress","Not Started")))</f>
        <v/>
      </c>
      <c r="J380" s="18">
        <f>IF(I380="Overdue",TODAY()-G380,0)</f>
        <v/>
      </c>
      <c r="K380" s="16" t="n"/>
      <c r="L380" s="16" t="n"/>
      <c r="M380" s="16" t="n"/>
      <c r="N380" s="16" t="n"/>
      <c r="O380" s="16" t="n"/>
    </row>
    <row r="381">
      <c r="A381" s="17" t="inlineStr">
        <is>
          <t>TRK-0378</t>
        </is>
      </c>
      <c r="B381" s="16" t="n"/>
      <c r="C381" s="16" t="n"/>
      <c r="D381" s="16" t="n"/>
      <c r="E381" s="16" t="n"/>
      <c r="F381" s="16" t="n"/>
      <c r="G381" s="16" t="n"/>
      <c r="H381" s="16" t="n"/>
      <c r="I381" s="16">
        <f>IF(H381&lt;&gt;"","Completed",IF(TODAY()&gt;G381,"Overdue",IF(F381&lt;&gt;"","In Progress","Not Started")))</f>
        <v/>
      </c>
      <c r="J381" s="18">
        <f>IF(I381="Overdue",TODAY()-G381,0)</f>
        <v/>
      </c>
      <c r="K381" s="16" t="n"/>
      <c r="L381" s="16" t="n"/>
      <c r="M381" s="16" t="n"/>
      <c r="N381" s="16" t="n"/>
      <c r="O381" s="16" t="n"/>
    </row>
    <row r="382">
      <c r="A382" s="17" t="inlineStr">
        <is>
          <t>TRK-0379</t>
        </is>
      </c>
      <c r="B382" s="16" t="n"/>
      <c r="C382" s="16" t="n"/>
      <c r="D382" s="16" t="n"/>
      <c r="E382" s="16" t="n"/>
      <c r="F382" s="16" t="n"/>
      <c r="G382" s="16" t="n"/>
      <c r="H382" s="16" t="n"/>
      <c r="I382" s="16">
        <f>IF(H382&lt;&gt;"","Completed",IF(TODAY()&gt;G382,"Overdue",IF(F382&lt;&gt;"","In Progress","Not Started")))</f>
        <v/>
      </c>
      <c r="J382" s="18">
        <f>IF(I382="Overdue",TODAY()-G382,0)</f>
        <v/>
      </c>
      <c r="K382" s="16" t="n"/>
      <c r="L382" s="16" t="n"/>
      <c r="M382" s="16" t="n"/>
      <c r="N382" s="16" t="n"/>
      <c r="O382" s="16" t="n"/>
    </row>
    <row r="383">
      <c r="A383" s="17" t="inlineStr">
        <is>
          <t>TRK-0380</t>
        </is>
      </c>
      <c r="B383" s="16" t="n"/>
      <c r="C383" s="16" t="n"/>
      <c r="D383" s="16" t="n"/>
      <c r="E383" s="16" t="n"/>
      <c r="F383" s="16" t="n"/>
      <c r="G383" s="16" t="n"/>
      <c r="H383" s="16" t="n"/>
      <c r="I383" s="16">
        <f>IF(H383&lt;&gt;"","Completed",IF(TODAY()&gt;G383,"Overdue",IF(F383&lt;&gt;"","In Progress","Not Started")))</f>
        <v/>
      </c>
      <c r="J383" s="18">
        <f>IF(I383="Overdue",TODAY()-G383,0)</f>
        <v/>
      </c>
      <c r="K383" s="16" t="n"/>
      <c r="L383" s="16" t="n"/>
      <c r="M383" s="16" t="n"/>
      <c r="N383" s="16" t="n"/>
      <c r="O383" s="16" t="n"/>
    </row>
    <row r="384">
      <c r="A384" s="17" t="inlineStr">
        <is>
          <t>TRK-0381</t>
        </is>
      </c>
      <c r="B384" s="16" t="n"/>
      <c r="C384" s="16" t="n"/>
      <c r="D384" s="16" t="n"/>
      <c r="E384" s="16" t="n"/>
      <c r="F384" s="16" t="n"/>
      <c r="G384" s="16" t="n"/>
      <c r="H384" s="16" t="n"/>
      <c r="I384" s="16">
        <f>IF(H384&lt;&gt;"","Completed",IF(TODAY()&gt;G384,"Overdue",IF(F384&lt;&gt;"","In Progress","Not Started")))</f>
        <v/>
      </c>
      <c r="J384" s="18">
        <f>IF(I384="Overdue",TODAY()-G384,0)</f>
        <v/>
      </c>
      <c r="K384" s="16" t="n"/>
      <c r="L384" s="16" t="n"/>
      <c r="M384" s="16" t="n"/>
      <c r="N384" s="16" t="n"/>
      <c r="O384" s="16" t="n"/>
    </row>
    <row r="385">
      <c r="A385" s="17" t="inlineStr">
        <is>
          <t>TRK-0382</t>
        </is>
      </c>
      <c r="B385" s="16" t="n"/>
      <c r="C385" s="16" t="n"/>
      <c r="D385" s="16" t="n"/>
      <c r="E385" s="16" t="n"/>
      <c r="F385" s="16" t="n"/>
      <c r="G385" s="16" t="n"/>
      <c r="H385" s="16" t="n"/>
      <c r="I385" s="16">
        <f>IF(H385&lt;&gt;"","Completed",IF(TODAY()&gt;G385,"Overdue",IF(F385&lt;&gt;"","In Progress","Not Started")))</f>
        <v/>
      </c>
      <c r="J385" s="18">
        <f>IF(I385="Overdue",TODAY()-G385,0)</f>
        <v/>
      </c>
      <c r="K385" s="16" t="n"/>
      <c r="L385" s="16" t="n"/>
      <c r="M385" s="16" t="n"/>
      <c r="N385" s="16" t="n"/>
      <c r="O385" s="16" t="n"/>
    </row>
    <row r="386">
      <c r="A386" s="17" t="inlineStr">
        <is>
          <t>TRK-0383</t>
        </is>
      </c>
      <c r="B386" s="16" t="n"/>
      <c r="C386" s="16" t="n"/>
      <c r="D386" s="16" t="n"/>
      <c r="E386" s="16" t="n"/>
      <c r="F386" s="16" t="n"/>
      <c r="G386" s="16" t="n"/>
      <c r="H386" s="16" t="n"/>
      <c r="I386" s="16">
        <f>IF(H386&lt;&gt;"","Completed",IF(TODAY()&gt;G386,"Overdue",IF(F386&lt;&gt;"","In Progress","Not Started")))</f>
        <v/>
      </c>
      <c r="J386" s="18">
        <f>IF(I386="Overdue",TODAY()-G386,0)</f>
        <v/>
      </c>
      <c r="K386" s="16" t="n"/>
      <c r="L386" s="16" t="n"/>
      <c r="M386" s="16" t="n"/>
      <c r="N386" s="16" t="n"/>
      <c r="O386" s="16" t="n"/>
    </row>
    <row r="387">
      <c r="A387" s="17" t="inlineStr">
        <is>
          <t>TRK-0384</t>
        </is>
      </c>
      <c r="B387" s="16" t="n"/>
      <c r="C387" s="16" t="n"/>
      <c r="D387" s="16" t="n"/>
      <c r="E387" s="16" t="n"/>
      <c r="F387" s="16" t="n"/>
      <c r="G387" s="16" t="n"/>
      <c r="H387" s="16" t="n"/>
      <c r="I387" s="16">
        <f>IF(H387&lt;&gt;"","Completed",IF(TODAY()&gt;G387,"Overdue",IF(F387&lt;&gt;"","In Progress","Not Started")))</f>
        <v/>
      </c>
      <c r="J387" s="18">
        <f>IF(I387="Overdue",TODAY()-G387,0)</f>
        <v/>
      </c>
      <c r="K387" s="16" t="n"/>
      <c r="L387" s="16" t="n"/>
      <c r="M387" s="16" t="n"/>
      <c r="N387" s="16" t="n"/>
      <c r="O387" s="16" t="n"/>
    </row>
    <row r="388">
      <c r="A388" s="17" t="inlineStr">
        <is>
          <t>TRK-0385</t>
        </is>
      </c>
      <c r="B388" s="16" t="n"/>
      <c r="C388" s="16" t="n"/>
      <c r="D388" s="16" t="n"/>
      <c r="E388" s="16" t="n"/>
      <c r="F388" s="16" t="n"/>
      <c r="G388" s="16" t="n"/>
      <c r="H388" s="16" t="n"/>
      <c r="I388" s="16">
        <f>IF(H388&lt;&gt;"","Completed",IF(TODAY()&gt;G388,"Overdue",IF(F388&lt;&gt;"","In Progress","Not Started")))</f>
        <v/>
      </c>
      <c r="J388" s="18">
        <f>IF(I388="Overdue",TODAY()-G388,0)</f>
        <v/>
      </c>
      <c r="K388" s="16" t="n"/>
      <c r="L388" s="16" t="n"/>
      <c r="M388" s="16" t="n"/>
      <c r="N388" s="16" t="n"/>
      <c r="O388" s="16" t="n"/>
    </row>
    <row r="389">
      <c r="A389" s="17" t="inlineStr">
        <is>
          <t>TRK-0386</t>
        </is>
      </c>
      <c r="B389" s="16" t="n"/>
      <c r="C389" s="16" t="n"/>
      <c r="D389" s="16" t="n"/>
      <c r="E389" s="16" t="n"/>
      <c r="F389" s="16" t="n"/>
      <c r="G389" s="16" t="n"/>
      <c r="H389" s="16" t="n"/>
      <c r="I389" s="16">
        <f>IF(H389&lt;&gt;"","Completed",IF(TODAY()&gt;G389,"Overdue",IF(F389&lt;&gt;"","In Progress","Not Started")))</f>
        <v/>
      </c>
      <c r="J389" s="18">
        <f>IF(I389="Overdue",TODAY()-G389,0)</f>
        <v/>
      </c>
      <c r="K389" s="16" t="n"/>
      <c r="L389" s="16" t="n"/>
      <c r="M389" s="16" t="n"/>
      <c r="N389" s="16" t="n"/>
      <c r="O389" s="16" t="n"/>
    </row>
    <row r="390">
      <c r="A390" s="17" t="inlineStr">
        <is>
          <t>TRK-0387</t>
        </is>
      </c>
      <c r="B390" s="16" t="n"/>
      <c r="C390" s="16" t="n"/>
      <c r="D390" s="16" t="n"/>
      <c r="E390" s="16" t="n"/>
      <c r="F390" s="16" t="n"/>
      <c r="G390" s="16" t="n"/>
      <c r="H390" s="16" t="n"/>
      <c r="I390" s="16">
        <f>IF(H390&lt;&gt;"","Completed",IF(TODAY()&gt;G390,"Overdue",IF(F390&lt;&gt;"","In Progress","Not Started")))</f>
        <v/>
      </c>
      <c r="J390" s="18">
        <f>IF(I390="Overdue",TODAY()-G390,0)</f>
        <v/>
      </c>
      <c r="K390" s="16" t="n"/>
      <c r="L390" s="16" t="n"/>
      <c r="M390" s="16" t="n"/>
      <c r="N390" s="16" t="n"/>
      <c r="O390" s="16" t="n"/>
    </row>
    <row r="391">
      <c r="A391" s="17" t="inlineStr">
        <is>
          <t>TRK-0388</t>
        </is>
      </c>
      <c r="B391" s="16" t="n"/>
      <c r="C391" s="16" t="n"/>
      <c r="D391" s="16" t="n"/>
      <c r="E391" s="16" t="n"/>
      <c r="F391" s="16" t="n"/>
      <c r="G391" s="16" t="n"/>
      <c r="H391" s="16" t="n"/>
      <c r="I391" s="16">
        <f>IF(H391&lt;&gt;"","Completed",IF(TODAY()&gt;G391,"Overdue",IF(F391&lt;&gt;"","In Progress","Not Started")))</f>
        <v/>
      </c>
      <c r="J391" s="18">
        <f>IF(I391="Overdue",TODAY()-G391,0)</f>
        <v/>
      </c>
      <c r="K391" s="16" t="n"/>
      <c r="L391" s="16" t="n"/>
      <c r="M391" s="16" t="n"/>
      <c r="N391" s="16" t="n"/>
      <c r="O391" s="16" t="n"/>
    </row>
    <row r="392">
      <c r="A392" s="17" t="inlineStr">
        <is>
          <t>TRK-0389</t>
        </is>
      </c>
      <c r="B392" s="16" t="n"/>
      <c r="C392" s="16" t="n"/>
      <c r="D392" s="16" t="n"/>
      <c r="E392" s="16" t="n"/>
      <c r="F392" s="16" t="n"/>
      <c r="G392" s="16" t="n"/>
      <c r="H392" s="16" t="n"/>
      <c r="I392" s="16">
        <f>IF(H392&lt;&gt;"","Completed",IF(TODAY()&gt;G392,"Overdue",IF(F392&lt;&gt;"","In Progress","Not Started")))</f>
        <v/>
      </c>
      <c r="J392" s="18">
        <f>IF(I392="Overdue",TODAY()-G392,0)</f>
        <v/>
      </c>
      <c r="K392" s="16" t="n"/>
      <c r="L392" s="16" t="n"/>
      <c r="M392" s="16" t="n"/>
      <c r="N392" s="16" t="n"/>
      <c r="O392" s="16" t="n"/>
    </row>
    <row r="393">
      <c r="A393" s="17" t="inlineStr">
        <is>
          <t>TRK-0390</t>
        </is>
      </c>
      <c r="B393" s="16" t="n"/>
      <c r="C393" s="16" t="n"/>
      <c r="D393" s="16" t="n"/>
      <c r="E393" s="16" t="n"/>
      <c r="F393" s="16" t="n"/>
      <c r="G393" s="16" t="n"/>
      <c r="H393" s="16" t="n"/>
      <c r="I393" s="16">
        <f>IF(H393&lt;&gt;"","Completed",IF(TODAY()&gt;G393,"Overdue",IF(F393&lt;&gt;"","In Progress","Not Started")))</f>
        <v/>
      </c>
      <c r="J393" s="18">
        <f>IF(I393="Overdue",TODAY()-G393,0)</f>
        <v/>
      </c>
      <c r="K393" s="16" t="n"/>
      <c r="L393" s="16" t="n"/>
      <c r="M393" s="16" t="n"/>
      <c r="N393" s="16" t="n"/>
      <c r="O393" s="16" t="n"/>
    </row>
    <row r="394">
      <c r="A394" s="17" t="inlineStr">
        <is>
          <t>TRK-0391</t>
        </is>
      </c>
      <c r="B394" s="16" t="n"/>
      <c r="C394" s="16" t="n"/>
      <c r="D394" s="16" t="n"/>
      <c r="E394" s="16" t="n"/>
      <c r="F394" s="16" t="n"/>
      <c r="G394" s="16" t="n"/>
      <c r="H394" s="16" t="n"/>
      <c r="I394" s="16">
        <f>IF(H394&lt;&gt;"","Completed",IF(TODAY()&gt;G394,"Overdue",IF(F394&lt;&gt;"","In Progress","Not Started")))</f>
        <v/>
      </c>
      <c r="J394" s="18">
        <f>IF(I394="Overdue",TODAY()-G394,0)</f>
        <v/>
      </c>
      <c r="K394" s="16" t="n"/>
      <c r="L394" s="16" t="n"/>
      <c r="M394" s="16" t="n"/>
      <c r="N394" s="16" t="n"/>
      <c r="O394" s="16" t="n"/>
    </row>
    <row r="395">
      <c r="A395" s="17" t="inlineStr">
        <is>
          <t>TRK-0392</t>
        </is>
      </c>
      <c r="B395" s="16" t="n"/>
      <c r="C395" s="16" t="n"/>
      <c r="D395" s="16" t="n"/>
      <c r="E395" s="16" t="n"/>
      <c r="F395" s="16" t="n"/>
      <c r="G395" s="16" t="n"/>
      <c r="H395" s="16" t="n"/>
      <c r="I395" s="16">
        <f>IF(H395&lt;&gt;"","Completed",IF(TODAY()&gt;G395,"Overdue",IF(F395&lt;&gt;"","In Progress","Not Started")))</f>
        <v/>
      </c>
      <c r="J395" s="18">
        <f>IF(I395="Overdue",TODAY()-G395,0)</f>
        <v/>
      </c>
      <c r="K395" s="16" t="n"/>
      <c r="L395" s="16" t="n"/>
      <c r="M395" s="16" t="n"/>
      <c r="N395" s="16" t="n"/>
      <c r="O395" s="16" t="n"/>
    </row>
    <row r="396">
      <c r="A396" s="17" t="inlineStr">
        <is>
          <t>TRK-0393</t>
        </is>
      </c>
      <c r="B396" s="16" t="n"/>
      <c r="C396" s="16" t="n"/>
      <c r="D396" s="16" t="n"/>
      <c r="E396" s="16" t="n"/>
      <c r="F396" s="16" t="n"/>
      <c r="G396" s="16" t="n"/>
      <c r="H396" s="16" t="n"/>
      <c r="I396" s="16">
        <f>IF(H396&lt;&gt;"","Completed",IF(TODAY()&gt;G396,"Overdue",IF(F396&lt;&gt;"","In Progress","Not Started")))</f>
        <v/>
      </c>
      <c r="J396" s="18">
        <f>IF(I396="Overdue",TODAY()-G396,0)</f>
        <v/>
      </c>
      <c r="K396" s="16" t="n"/>
      <c r="L396" s="16" t="n"/>
      <c r="M396" s="16" t="n"/>
      <c r="N396" s="16" t="n"/>
      <c r="O396" s="16" t="n"/>
    </row>
    <row r="397">
      <c r="A397" s="17" t="inlineStr">
        <is>
          <t>TRK-0394</t>
        </is>
      </c>
      <c r="B397" s="16" t="n"/>
      <c r="C397" s="16" t="n"/>
      <c r="D397" s="16" t="n"/>
      <c r="E397" s="16" t="n"/>
      <c r="F397" s="16" t="n"/>
      <c r="G397" s="16" t="n"/>
      <c r="H397" s="16" t="n"/>
      <c r="I397" s="16">
        <f>IF(H397&lt;&gt;"","Completed",IF(TODAY()&gt;G397,"Overdue",IF(F397&lt;&gt;"","In Progress","Not Started")))</f>
        <v/>
      </c>
      <c r="J397" s="18">
        <f>IF(I397="Overdue",TODAY()-G397,0)</f>
        <v/>
      </c>
      <c r="K397" s="16" t="n"/>
      <c r="L397" s="16" t="n"/>
      <c r="M397" s="16" t="n"/>
      <c r="N397" s="16" t="n"/>
      <c r="O397" s="16" t="n"/>
    </row>
    <row r="398">
      <c r="A398" s="17" t="inlineStr">
        <is>
          <t>TRK-0395</t>
        </is>
      </c>
      <c r="B398" s="16" t="n"/>
      <c r="C398" s="16" t="n"/>
      <c r="D398" s="16" t="n"/>
      <c r="E398" s="16" t="n"/>
      <c r="F398" s="16" t="n"/>
      <c r="G398" s="16" t="n"/>
      <c r="H398" s="16" t="n"/>
      <c r="I398" s="16">
        <f>IF(H398&lt;&gt;"","Completed",IF(TODAY()&gt;G398,"Overdue",IF(F398&lt;&gt;"","In Progress","Not Started")))</f>
        <v/>
      </c>
      <c r="J398" s="18">
        <f>IF(I398="Overdue",TODAY()-G398,0)</f>
        <v/>
      </c>
      <c r="K398" s="16" t="n"/>
      <c r="L398" s="16" t="n"/>
      <c r="M398" s="16" t="n"/>
      <c r="N398" s="16" t="n"/>
      <c r="O398" s="16" t="n"/>
    </row>
    <row r="399">
      <c r="A399" s="17" t="inlineStr">
        <is>
          <t>TRK-0396</t>
        </is>
      </c>
      <c r="B399" s="16" t="n"/>
      <c r="C399" s="16" t="n"/>
      <c r="D399" s="16" t="n"/>
      <c r="E399" s="16" t="n"/>
      <c r="F399" s="16" t="n"/>
      <c r="G399" s="16" t="n"/>
      <c r="H399" s="16" t="n"/>
      <c r="I399" s="16">
        <f>IF(H399&lt;&gt;"","Completed",IF(TODAY()&gt;G399,"Overdue",IF(F399&lt;&gt;"","In Progress","Not Started")))</f>
        <v/>
      </c>
      <c r="J399" s="18">
        <f>IF(I399="Overdue",TODAY()-G399,0)</f>
        <v/>
      </c>
      <c r="K399" s="16" t="n"/>
      <c r="L399" s="16" t="n"/>
      <c r="M399" s="16" t="n"/>
      <c r="N399" s="16" t="n"/>
      <c r="O399" s="16" t="n"/>
    </row>
    <row r="400">
      <c r="A400" s="17" t="inlineStr">
        <is>
          <t>TRK-0397</t>
        </is>
      </c>
      <c r="B400" s="16" t="n"/>
      <c r="C400" s="16" t="n"/>
      <c r="D400" s="16" t="n"/>
      <c r="E400" s="16" t="n"/>
      <c r="F400" s="16" t="n"/>
      <c r="G400" s="16" t="n"/>
      <c r="H400" s="16" t="n"/>
      <c r="I400" s="16">
        <f>IF(H400&lt;&gt;"","Completed",IF(TODAY()&gt;G400,"Overdue",IF(F400&lt;&gt;"","In Progress","Not Started")))</f>
        <v/>
      </c>
      <c r="J400" s="18">
        <f>IF(I400="Overdue",TODAY()-G400,0)</f>
        <v/>
      </c>
      <c r="K400" s="16" t="n"/>
      <c r="L400" s="16" t="n"/>
      <c r="M400" s="16" t="n"/>
      <c r="N400" s="16" t="n"/>
      <c r="O400" s="16" t="n"/>
    </row>
    <row r="401">
      <c r="A401" s="17" t="inlineStr">
        <is>
          <t>TRK-0398</t>
        </is>
      </c>
      <c r="B401" s="16" t="n"/>
      <c r="C401" s="16" t="n"/>
      <c r="D401" s="16" t="n"/>
      <c r="E401" s="16" t="n"/>
      <c r="F401" s="16" t="n"/>
      <c r="G401" s="16" t="n"/>
      <c r="H401" s="16" t="n"/>
      <c r="I401" s="16">
        <f>IF(H401&lt;&gt;"","Completed",IF(TODAY()&gt;G401,"Overdue",IF(F401&lt;&gt;"","In Progress","Not Started")))</f>
        <v/>
      </c>
      <c r="J401" s="18">
        <f>IF(I401="Overdue",TODAY()-G401,0)</f>
        <v/>
      </c>
      <c r="K401" s="16" t="n"/>
      <c r="L401" s="16" t="n"/>
      <c r="M401" s="16" t="n"/>
      <c r="N401" s="16" t="n"/>
      <c r="O401" s="16" t="n"/>
    </row>
    <row r="402">
      <c r="A402" s="17" t="inlineStr">
        <is>
          <t>TRK-0399</t>
        </is>
      </c>
      <c r="B402" s="16" t="n"/>
      <c r="C402" s="16" t="n"/>
      <c r="D402" s="16" t="n"/>
      <c r="E402" s="16" t="n"/>
      <c r="F402" s="16" t="n"/>
      <c r="G402" s="16" t="n"/>
      <c r="H402" s="16" t="n"/>
      <c r="I402" s="16">
        <f>IF(H402&lt;&gt;"","Completed",IF(TODAY()&gt;G402,"Overdue",IF(F402&lt;&gt;"","In Progress","Not Started")))</f>
        <v/>
      </c>
      <c r="J402" s="18">
        <f>IF(I402="Overdue",TODAY()-G402,0)</f>
        <v/>
      </c>
      <c r="K402" s="16" t="n"/>
      <c r="L402" s="16" t="n"/>
      <c r="M402" s="16" t="n"/>
      <c r="N402" s="16" t="n"/>
      <c r="O402" s="16" t="n"/>
    </row>
    <row r="403">
      <c r="A403" s="17" t="inlineStr">
        <is>
          <t>TRK-0400</t>
        </is>
      </c>
      <c r="B403" s="16" t="n"/>
      <c r="C403" s="16" t="n"/>
      <c r="D403" s="16" t="n"/>
      <c r="E403" s="16" t="n"/>
      <c r="F403" s="16" t="n"/>
      <c r="G403" s="16" t="n"/>
      <c r="H403" s="16" t="n"/>
      <c r="I403" s="16">
        <f>IF(H403&lt;&gt;"","Completed",IF(TODAY()&gt;G403,"Overdue",IF(F403&lt;&gt;"","In Progress","Not Started")))</f>
        <v/>
      </c>
      <c r="J403" s="18">
        <f>IF(I403="Overdue",TODAY()-G403,0)</f>
        <v/>
      </c>
      <c r="K403" s="16" t="n"/>
      <c r="L403" s="16" t="n"/>
      <c r="M403" s="16" t="n"/>
      <c r="N403" s="16" t="n"/>
      <c r="O403" s="16" t="n"/>
    </row>
    <row r="404">
      <c r="A404" s="17" t="inlineStr">
        <is>
          <t>TRK-0401</t>
        </is>
      </c>
      <c r="B404" s="16" t="n"/>
      <c r="C404" s="16" t="n"/>
      <c r="D404" s="16" t="n"/>
      <c r="E404" s="16" t="n"/>
      <c r="F404" s="16" t="n"/>
      <c r="G404" s="16" t="n"/>
      <c r="H404" s="16" t="n"/>
      <c r="I404" s="16">
        <f>IF(H404&lt;&gt;"","Completed",IF(TODAY()&gt;G404,"Overdue",IF(F404&lt;&gt;"","In Progress","Not Started")))</f>
        <v/>
      </c>
      <c r="J404" s="18">
        <f>IF(I404="Overdue",TODAY()-G404,0)</f>
        <v/>
      </c>
      <c r="K404" s="16" t="n"/>
      <c r="L404" s="16" t="n"/>
      <c r="M404" s="16" t="n"/>
      <c r="N404" s="16" t="n"/>
      <c r="O404" s="16" t="n"/>
    </row>
    <row r="405">
      <c r="A405" s="17" t="inlineStr">
        <is>
          <t>TRK-0402</t>
        </is>
      </c>
      <c r="B405" s="16" t="n"/>
      <c r="C405" s="16" t="n"/>
      <c r="D405" s="16" t="n"/>
      <c r="E405" s="16" t="n"/>
      <c r="F405" s="16" t="n"/>
      <c r="G405" s="16" t="n"/>
      <c r="H405" s="16" t="n"/>
      <c r="I405" s="16">
        <f>IF(H405&lt;&gt;"","Completed",IF(TODAY()&gt;G405,"Overdue",IF(F405&lt;&gt;"","In Progress","Not Started")))</f>
        <v/>
      </c>
      <c r="J405" s="18">
        <f>IF(I405="Overdue",TODAY()-G405,0)</f>
        <v/>
      </c>
      <c r="K405" s="16" t="n"/>
      <c r="L405" s="16" t="n"/>
      <c r="M405" s="16" t="n"/>
      <c r="N405" s="16" t="n"/>
      <c r="O405" s="16" t="n"/>
    </row>
    <row r="406">
      <c r="A406" s="17" t="inlineStr">
        <is>
          <t>TRK-0403</t>
        </is>
      </c>
      <c r="B406" s="16" t="n"/>
      <c r="C406" s="16" t="n"/>
      <c r="D406" s="16" t="n"/>
      <c r="E406" s="16" t="n"/>
      <c r="F406" s="16" t="n"/>
      <c r="G406" s="16" t="n"/>
      <c r="H406" s="16" t="n"/>
      <c r="I406" s="16">
        <f>IF(H406&lt;&gt;"","Completed",IF(TODAY()&gt;G406,"Overdue",IF(F406&lt;&gt;"","In Progress","Not Started")))</f>
        <v/>
      </c>
      <c r="J406" s="18">
        <f>IF(I406="Overdue",TODAY()-G406,0)</f>
        <v/>
      </c>
      <c r="K406" s="16" t="n"/>
      <c r="L406" s="16" t="n"/>
      <c r="M406" s="16" t="n"/>
      <c r="N406" s="16" t="n"/>
      <c r="O406" s="16" t="n"/>
    </row>
    <row r="407">
      <c r="A407" s="17" t="inlineStr">
        <is>
          <t>TRK-0404</t>
        </is>
      </c>
      <c r="B407" s="16" t="n"/>
      <c r="C407" s="16" t="n"/>
      <c r="D407" s="16" t="n"/>
      <c r="E407" s="16" t="n"/>
      <c r="F407" s="16" t="n"/>
      <c r="G407" s="16" t="n"/>
      <c r="H407" s="16" t="n"/>
      <c r="I407" s="16">
        <f>IF(H407&lt;&gt;"","Completed",IF(TODAY()&gt;G407,"Overdue",IF(F407&lt;&gt;"","In Progress","Not Started")))</f>
        <v/>
      </c>
      <c r="J407" s="18">
        <f>IF(I407="Overdue",TODAY()-G407,0)</f>
        <v/>
      </c>
      <c r="K407" s="16" t="n"/>
      <c r="L407" s="16" t="n"/>
      <c r="M407" s="16" t="n"/>
      <c r="N407" s="16" t="n"/>
      <c r="O407" s="16" t="n"/>
    </row>
    <row r="408">
      <c r="A408" s="17" t="inlineStr">
        <is>
          <t>TRK-0405</t>
        </is>
      </c>
      <c r="B408" s="16" t="n"/>
      <c r="C408" s="16" t="n"/>
      <c r="D408" s="16" t="n"/>
      <c r="E408" s="16" t="n"/>
      <c r="F408" s="16" t="n"/>
      <c r="G408" s="16" t="n"/>
      <c r="H408" s="16" t="n"/>
      <c r="I408" s="16">
        <f>IF(H408&lt;&gt;"","Completed",IF(TODAY()&gt;G408,"Overdue",IF(F408&lt;&gt;"","In Progress","Not Started")))</f>
        <v/>
      </c>
      <c r="J408" s="18">
        <f>IF(I408="Overdue",TODAY()-G408,0)</f>
        <v/>
      </c>
      <c r="K408" s="16" t="n"/>
      <c r="L408" s="16" t="n"/>
      <c r="M408" s="16" t="n"/>
      <c r="N408" s="16" t="n"/>
      <c r="O408" s="16" t="n"/>
    </row>
    <row r="409">
      <c r="A409" s="17" t="inlineStr">
        <is>
          <t>TRK-0406</t>
        </is>
      </c>
      <c r="B409" s="16" t="n"/>
      <c r="C409" s="16" t="n"/>
      <c r="D409" s="16" t="n"/>
      <c r="E409" s="16" t="n"/>
      <c r="F409" s="16" t="n"/>
      <c r="G409" s="16" t="n"/>
      <c r="H409" s="16" t="n"/>
      <c r="I409" s="16">
        <f>IF(H409&lt;&gt;"","Completed",IF(TODAY()&gt;G409,"Overdue",IF(F409&lt;&gt;"","In Progress","Not Started")))</f>
        <v/>
      </c>
      <c r="J409" s="18">
        <f>IF(I409="Overdue",TODAY()-G409,0)</f>
        <v/>
      </c>
      <c r="K409" s="16" t="n"/>
      <c r="L409" s="16" t="n"/>
      <c r="M409" s="16" t="n"/>
      <c r="N409" s="16" t="n"/>
      <c r="O409" s="16" t="n"/>
    </row>
    <row r="410">
      <c r="A410" s="17" t="inlineStr">
        <is>
          <t>TRK-0407</t>
        </is>
      </c>
      <c r="B410" s="16" t="n"/>
      <c r="C410" s="16" t="n"/>
      <c r="D410" s="16" t="n"/>
      <c r="E410" s="16" t="n"/>
      <c r="F410" s="16" t="n"/>
      <c r="G410" s="16" t="n"/>
      <c r="H410" s="16" t="n"/>
      <c r="I410" s="16">
        <f>IF(H410&lt;&gt;"","Completed",IF(TODAY()&gt;G410,"Overdue",IF(F410&lt;&gt;"","In Progress","Not Started")))</f>
        <v/>
      </c>
      <c r="J410" s="18">
        <f>IF(I410="Overdue",TODAY()-G410,0)</f>
        <v/>
      </c>
      <c r="K410" s="16" t="n"/>
      <c r="L410" s="16" t="n"/>
      <c r="M410" s="16" t="n"/>
      <c r="N410" s="16" t="n"/>
      <c r="O410" s="16" t="n"/>
    </row>
    <row r="411">
      <c r="A411" s="17" t="inlineStr">
        <is>
          <t>TRK-0408</t>
        </is>
      </c>
      <c r="B411" s="16" t="n"/>
      <c r="C411" s="16" t="n"/>
      <c r="D411" s="16" t="n"/>
      <c r="E411" s="16" t="n"/>
      <c r="F411" s="16" t="n"/>
      <c r="G411" s="16" t="n"/>
      <c r="H411" s="16" t="n"/>
      <c r="I411" s="16">
        <f>IF(H411&lt;&gt;"","Completed",IF(TODAY()&gt;G411,"Overdue",IF(F411&lt;&gt;"","In Progress","Not Started")))</f>
        <v/>
      </c>
      <c r="J411" s="18">
        <f>IF(I411="Overdue",TODAY()-G411,0)</f>
        <v/>
      </c>
      <c r="K411" s="16" t="n"/>
      <c r="L411" s="16" t="n"/>
      <c r="M411" s="16" t="n"/>
      <c r="N411" s="16" t="n"/>
      <c r="O411" s="16" t="n"/>
    </row>
    <row r="412">
      <c r="A412" s="17" t="inlineStr">
        <is>
          <t>TRK-0409</t>
        </is>
      </c>
      <c r="B412" s="16" t="n"/>
      <c r="C412" s="16" t="n"/>
      <c r="D412" s="16" t="n"/>
      <c r="E412" s="16" t="n"/>
      <c r="F412" s="16" t="n"/>
      <c r="G412" s="16" t="n"/>
      <c r="H412" s="16" t="n"/>
      <c r="I412" s="16">
        <f>IF(H412&lt;&gt;"","Completed",IF(TODAY()&gt;G412,"Overdue",IF(F412&lt;&gt;"","In Progress","Not Started")))</f>
        <v/>
      </c>
      <c r="J412" s="18">
        <f>IF(I412="Overdue",TODAY()-G412,0)</f>
        <v/>
      </c>
      <c r="K412" s="16" t="n"/>
      <c r="L412" s="16" t="n"/>
      <c r="M412" s="16" t="n"/>
      <c r="N412" s="16" t="n"/>
      <c r="O412" s="16" t="n"/>
    </row>
    <row r="413">
      <c r="A413" s="17" t="inlineStr">
        <is>
          <t>TRK-0410</t>
        </is>
      </c>
      <c r="B413" s="16" t="n"/>
      <c r="C413" s="16" t="n"/>
      <c r="D413" s="16" t="n"/>
      <c r="E413" s="16" t="n"/>
      <c r="F413" s="16" t="n"/>
      <c r="G413" s="16" t="n"/>
      <c r="H413" s="16" t="n"/>
      <c r="I413" s="16">
        <f>IF(H413&lt;&gt;"","Completed",IF(TODAY()&gt;G413,"Overdue",IF(F413&lt;&gt;"","In Progress","Not Started")))</f>
        <v/>
      </c>
      <c r="J413" s="18">
        <f>IF(I413="Overdue",TODAY()-G413,0)</f>
        <v/>
      </c>
      <c r="K413" s="16" t="n"/>
      <c r="L413" s="16" t="n"/>
      <c r="M413" s="16" t="n"/>
      <c r="N413" s="16" t="n"/>
      <c r="O413" s="16" t="n"/>
    </row>
    <row r="414">
      <c r="A414" s="17" t="inlineStr">
        <is>
          <t>TRK-0411</t>
        </is>
      </c>
      <c r="B414" s="16" t="n"/>
      <c r="C414" s="16" t="n"/>
      <c r="D414" s="16" t="n"/>
      <c r="E414" s="16" t="n"/>
      <c r="F414" s="16" t="n"/>
      <c r="G414" s="16" t="n"/>
      <c r="H414" s="16" t="n"/>
      <c r="I414" s="16">
        <f>IF(H414&lt;&gt;"","Completed",IF(TODAY()&gt;G414,"Overdue",IF(F414&lt;&gt;"","In Progress","Not Started")))</f>
        <v/>
      </c>
      <c r="J414" s="18">
        <f>IF(I414="Overdue",TODAY()-G414,0)</f>
        <v/>
      </c>
      <c r="K414" s="16" t="n"/>
      <c r="L414" s="16" t="n"/>
      <c r="M414" s="16" t="n"/>
      <c r="N414" s="16" t="n"/>
      <c r="O414" s="16" t="n"/>
    </row>
    <row r="415">
      <c r="A415" s="17" t="inlineStr">
        <is>
          <t>TRK-0412</t>
        </is>
      </c>
      <c r="B415" s="16" t="n"/>
      <c r="C415" s="16" t="n"/>
      <c r="D415" s="16" t="n"/>
      <c r="E415" s="16" t="n"/>
      <c r="F415" s="16" t="n"/>
      <c r="G415" s="16" t="n"/>
      <c r="H415" s="16" t="n"/>
      <c r="I415" s="16">
        <f>IF(H415&lt;&gt;"","Completed",IF(TODAY()&gt;G415,"Overdue",IF(F415&lt;&gt;"","In Progress","Not Started")))</f>
        <v/>
      </c>
      <c r="J415" s="18">
        <f>IF(I415="Overdue",TODAY()-G415,0)</f>
        <v/>
      </c>
      <c r="K415" s="16" t="n"/>
      <c r="L415" s="16" t="n"/>
      <c r="M415" s="16" t="n"/>
      <c r="N415" s="16" t="n"/>
      <c r="O415" s="16" t="n"/>
    </row>
    <row r="416">
      <c r="A416" s="17" t="inlineStr">
        <is>
          <t>TRK-0413</t>
        </is>
      </c>
      <c r="B416" s="16" t="n"/>
      <c r="C416" s="16" t="n"/>
      <c r="D416" s="16" t="n"/>
      <c r="E416" s="16" t="n"/>
      <c r="F416" s="16" t="n"/>
      <c r="G416" s="16" t="n"/>
      <c r="H416" s="16" t="n"/>
      <c r="I416" s="16">
        <f>IF(H416&lt;&gt;"","Completed",IF(TODAY()&gt;G416,"Overdue",IF(F416&lt;&gt;"","In Progress","Not Started")))</f>
        <v/>
      </c>
      <c r="J416" s="18">
        <f>IF(I416="Overdue",TODAY()-G416,0)</f>
        <v/>
      </c>
      <c r="K416" s="16" t="n"/>
      <c r="L416" s="16" t="n"/>
      <c r="M416" s="16" t="n"/>
      <c r="N416" s="16" t="n"/>
      <c r="O416" s="16" t="n"/>
    </row>
    <row r="417">
      <c r="A417" s="17" t="inlineStr">
        <is>
          <t>TRK-0414</t>
        </is>
      </c>
      <c r="B417" s="16" t="n"/>
      <c r="C417" s="16" t="n"/>
      <c r="D417" s="16" t="n"/>
      <c r="E417" s="16" t="n"/>
      <c r="F417" s="16" t="n"/>
      <c r="G417" s="16" t="n"/>
      <c r="H417" s="16" t="n"/>
      <c r="I417" s="16">
        <f>IF(H417&lt;&gt;"","Completed",IF(TODAY()&gt;G417,"Overdue",IF(F417&lt;&gt;"","In Progress","Not Started")))</f>
        <v/>
      </c>
      <c r="J417" s="18">
        <f>IF(I417="Overdue",TODAY()-G417,0)</f>
        <v/>
      </c>
      <c r="K417" s="16" t="n"/>
      <c r="L417" s="16" t="n"/>
      <c r="M417" s="16" t="n"/>
      <c r="N417" s="16" t="n"/>
      <c r="O417" s="16" t="n"/>
    </row>
    <row r="418">
      <c r="A418" s="17" t="inlineStr">
        <is>
          <t>TRK-0415</t>
        </is>
      </c>
      <c r="B418" s="16" t="n"/>
      <c r="C418" s="16" t="n"/>
      <c r="D418" s="16" t="n"/>
      <c r="E418" s="16" t="n"/>
      <c r="F418" s="16" t="n"/>
      <c r="G418" s="16" t="n"/>
      <c r="H418" s="16" t="n"/>
      <c r="I418" s="16">
        <f>IF(H418&lt;&gt;"","Completed",IF(TODAY()&gt;G418,"Overdue",IF(F418&lt;&gt;"","In Progress","Not Started")))</f>
        <v/>
      </c>
      <c r="J418" s="18">
        <f>IF(I418="Overdue",TODAY()-G418,0)</f>
        <v/>
      </c>
      <c r="K418" s="16" t="n"/>
      <c r="L418" s="16" t="n"/>
      <c r="M418" s="16" t="n"/>
      <c r="N418" s="16" t="n"/>
      <c r="O418" s="16" t="n"/>
    </row>
    <row r="419">
      <c r="A419" s="17" t="inlineStr">
        <is>
          <t>TRK-0416</t>
        </is>
      </c>
      <c r="B419" s="16" t="n"/>
      <c r="C419" s="16" t="n"/>
      <c r="D419" s="16" t="n"/>
      <c r="E419" s="16" t="n"/>
      <c r="F419" s="16" t="n"/>
      <c r="G419" s="16" t="n"/>
      <c r="H419" s="16" t="n"/>
      <c r="I419" s="16">
        <f>IF(H419&lt;&gt;"","Completed",IF(TODAY()&gt;G419,"Overdue",IF(F419&lt;&gt;"","In Progress","Not Started")))</f>
        <v/>
      </c>
      <c r="J419" s="18">
        <f>IF(I419="Overdue",TODAY()-G419,0)</f>
        <v/>
      </c>
      <c r="K419" s="16" t="n"/>
      <c r="L419" s="16" t="n"/>
      <c r="M419" s="16" t="n"/>
      <c r="N419" s="16" t="n"/>
      <c r="O419" s="16" t="n"/>
    </row>
    <row r="420">
      <c r="A420" s="17" t="inlineStr">
        <is>
          <t>TRK-0417</t>
        </is>
      </c>
      <c r="B420" s="16" t="n"/>
      <c r="C420" s="16" t="n"/>
      <c r="D420" s="16" t="n"/>
      <c r="E420" s="16" t="n"/>
      <c r="F420" s="16" t="n"/>
      <c r="G420" s="16" t="n"/>
      <c r="H420" s="16" t="n"/>
      <c r="I420" s="16">
        <f>IF(H420&lt;&gt;"","Completed",IF(TODAY()&gt;G420,"Overdue",IF(F420&lt;&gt;"","In Progress","Not Started")))</f>
        <v/>
      </c>
      <c r="J420" s="18">
        <f>IF(I420="Overdue",TODAY()-G420,0)</f>
        <v/>
      </c>
      <c r="K420" s="16" t="n"/>
      <c r="L420" s="16" t="n"/>
      <c r="M420" s="16" t="n"/>
      <c r="N420" s="16" t="n"/>
      <c r="O420" s="16" t="n"/>
    </row>
    <row r="421">
      <c r="A421" s="17" t="inlineStr">
        <is>
          <t>TRK-0418</t>
        </is>
      </c>
      <c r="B421" s="16" t="n"/>
      <c r="C421" s="16" t="n"/>
      <c r="D421" s="16" t="n"/>
      <c r="E421" s="16" t="n"/>
      <c r="F421" s="16" t="n"/>
      <c r="G421" s="16" t="n"/>
      <c r="H421" s="16" t="n"/>
      <c r="I421" s="16">
        <f>IF(H421&lt;&gt;"","Completed",IF(TODAY()&gt;G421,"Overdue",IF(F421&lt;&gt;"","In Progress","Not Started")))</f>
        <v/>
      </c>
      <c r="J421" s="18">
        <f>IF(I421="Overdue",TODAY()-G421,0)</f>
        <v/>
      </c>
      <c r="K421" s="16" t="n"/>
      <c r="L421" s="16" t="n"/>
      <c r="M421" s="16" t="n"/>
      <c r="N421" s="16" t="n"/>
      <c r="O421" s="16" t="n"/>
    </row>
    <row r="422">
      <c r="A422" s="17" t="inlineStr">
        <is>
          <t>TRK-0419</t>
        </is>
      </c>
      <c r="B422" s="16" t="n"/>
      <c r="C422" s="16" t="n"/>
      <c r="D422" s="16" t="n"/>
      <c r="E422" s="16" t="n"/>
      <c r="F422" s="16" t="n"/>
      <c r="G422" s="16" t="n"/>
      <c r="H422" s="16" t="n"/>
      <c r="I422" s="16">
        <f>IF(H422&lt;&gt;"","Completed",IF(TODAY()&gt;G422,"Overdue",IF(F422&lt;&gt;"","In Progress","Not Started")))</f>
        <v/>
      </c>
      <c r="J422" s="18">
        <f>IF(I422="Overdue",TODAY()-G422,0)</f>
        <v/>
      </c>
      <c r="K422" s="16" t="n"/>
      <c r="L422" s="16" t="n"/>
      <c r="M422" s="16" t="n"/>
      <c r="N422" s="16" t="n"/>
      <c r="O422" s="16" t="n"/>
    </row>
    <row r="423">
      <c r="A423" s="17" t="inlineStr">
        <is>
          <t>TRK-0420</t>
        </is>
      </c>
      <c r="B423" s="16" t="n"/>
      <c r="C423" s="16" t="n"/>
      <c r="D423" s="16" t="n"/>
      <c r="E423" s="16" t="n"/>
      <c r="F423" s="16" t="n"/>
      <c r="G423" s="16" t="n"/>
      <c r="H423" s="16" t="n"/>
      <c r="I423" s="16">
        <f>IF(H423&lt;&gt;"","Completed",IF(TODAY()&gt;G423,"Overdue",IF(F423&lt;&gt;"","In Progress","Not Started")))</f>
        <v/>
      </c>
      <c r="J423" s="18">
        <f>IF(I423="Overdue",TODAY()-G423,0)</f>
        <v/>
      </c>
      <c r="K423" s="16" t="n"/>
      <c r="L423" s="16" t="n"/>
      <c r="M423" s="16" t="n"/>
      <c r="N423" s="16" t="n"/>
      <c r="O423" s="16" t="n"/>
    </row>
    <row r="424">
      <c r="A424" s="17" t="inlineStr">
        <is>
          <t>TRK-0421</t>
        </is>
      </c>
      <c r="B424" s="16" t="n"/>
      <c r="C424" s="16" t="n"/>
      <c r="D424" s="16" t="n"/>
      <c r="E424" s="16" t="n"/>
      <c r="F424" s="16" t="n"/>
      <c r="G424" s="16" t="n"/>
      <c r="H424" s="16" t="n"/>
      <c r="I424" s="16">
        <f>IF(H424&lt;&gt;"","Completed",IF(TODAY()&gt;G424,"Overdue",IF(F424&lt;&gt;"","In Progress","Not Started")))</f>
        <v/>
      </c>
      <c r="J424" s="18">
        <f>IF(I424="Overdue",TODAY()-G424,0)</f>
        <v/>
      </c>
      <c r="K424" s="16" t="n"/>
      <c r="L424" s="16" t="n"/>
      <c r="M424" s="16" t="n"/>
      <c r="N424" s="16" t="n"/>
      <c r="O424" s="16" t="n"/>
    </row>
    <row r="425">
      <c r="A425" s="17" t="inlineStr">
        <is>
          <t>TRK-0422</t>
        </is>
      </c>
      <c r="B425" s="16" t="n"/>
      <c r="C425" s="16" t="n"/>
      <c r="D425" s="16" t="n"/>
      <c r="E425" s="16" t="n"/>
      <c r="F425" s="16" t="n"/>
      <c r="G425" s="16" t="n"/>
      <c r="H425" s="16" t="n"/>
      <c r="I425" s="16">
        <f>IF(H425&lt;&gt;"","Completed",IF(TODAY()&gt;G425,"Overdue",IF(F425&lt;&gt;"","In Progress","Not Started")))</f>
        <v/>
      </c>
      <c r="J425" s="18">
        <f>IF(I425="Overdue",TODAY()-G425,0)</f>
        <v/>
      </c>
      <c r="K425" s="16" t="n"/>
      <c r="L425" s="16" t="n"/>
      <c r="M425" s="16" t="n"/>
      <c r="N425" s="16" t="n"/>
      <c r="O425" s="16" t="n"/>
    </row>
    <row r="426">
      <c r="A426" s="17" t="inlineStr">
        <is>
          <t>TRK-0423</t>
        </is>
      </c>
      <c r="B426" s="16" t="n"/>
      <c r="C426" s="16" t="n"/>
      <c r="D426" s="16" t="n"/>
      <c r="E426" s="16" t="n"/>
      <c r="F426" s="16" t="n"/>
      <c r="G426" s="16" t="n"/>
      <c r="H426" s="16" t="n"/>
      <c r="I426" s="16">
        <f>IF(H426&lt;&gt;"","Completed",IF(TODAY()&gt;G426,"Overdue",IF(F426&lt;&gt;"","In Progress","Not Started")))</f>
        <v/>
      </c>
      <c r="J426" s="18">
        <f>IF(I426="Overdue",TODAY()-G426,0)</f>
        <v/>
      </c>
      <c r="K426" s="16" t="n"/>
      <c r="L426" s="16" t="n"/>
      <c r="M426" s="16" t="n"/>
      <c r="N426" s="16" t="n"/>
      <c r="O426" s="16" t="n"/>
    </row>
    <row r="427">
      <c r="A427" s="17" t="inlineStr">
        <is>
          <t>TRK-0424</t>
        </is>
      </c>
      <c r="B427" s="16" t="n"/>
      <c r="C427" s="16" t="n"/>
      <c r="D427" s="16" t="n"/>
      <c r="E427" s="16" t="n"/>
      <c r="F427" s="16" t="n"/>
      <c r="G427" s="16" t="n"/>
      <c r="H427" s="16" t="n"/>
      <c r="I427" s="16">
        <f>IF(H427&lt;&gt;"","Completed",IF(TODAY()&gt;G427,"Overdue",IF(F427&lt;&gt;"","In Progress","Not Started")))</f>
        <v/>
      </c>
      <c r="J427" s="18">
        <f>IF(I427="Overdue",TODAY()-G427,0)</f>
        <v/>
      </c>
      <c r="K427" s="16" t="n"/>
      <c r="L427" s="16" t="n"/>
      <c r="M427" s="16" t="n"/>
      <c r="N427" s="16" t="n"/>
      <c r="O427" s="16" t="n"/>
    </row>
    <row r="428">
      <c r="A428" s="17" t="inlineStr">
        <is>
          <t>TRK-0425</t>
        </is>
      </c>
      <c r="B428" s="16" t="n"/>
      <c r="C428" s="16" t="n"/>
      <c r="D428" s="16" t="n"/>
      <c r="E428" s="16" t="n"/>
      <c r="F428" s="16" t="n"/>
      <c r="G428" s="16" t="n"/>
      <c r="H428" s="16" t="n"/>
      <c r="I428" s="16">
        <f>IF(H428&lt;&gt;"","Completed",IF(TODAY()&gt;G428,"Overdue",IF(F428&lt;&gt;"","In Progress","Not Started")))</f>
        <v/>
      </c>
      <c r="J428" s="18">
        <f>IF(I428="Overdue",TODAY()-G428,0)</f>
        <v/>
      </c>
      <c r="K428" s="16" t="n"/>
      <c r="L428" s="16" t="n"/>
      <c r="M428" s="16" t="n"/>
      <c r="N428" s="16" t="n"/>
      <c r="O428" s="16" t="n"/>
    </row>
    <row r="429">
      <c r="A429" s="17" t="inlineStr">
        <is>
          <t>TRK-0426</t>
        </is>
      </c>
      <c r="B429" s="16" t="n"/>
      <c r="C429" s="16" t="n"/>
      <c r="D429" s="16" t="n"/>
      <c r="E429" s="16" t="n"/>
      <c r="F429" s="16" t="n"/>
      <c r="G429" s="16" t="n"/>
      <c r="H429" s="16" t="n"/>
      <c r="I429" s="16">
        <f>IF(H429&lt;&gt;"","Completed",IF(TODAY()&gt;G429,"Overdue",IF(F429&lt;&gt;"","In Progress","Not Started")))</f>
        <v/>
      </c>
      <c r="J429" s="18">
        <f>IF(I429="Overdue",TODAY()-G429,0)</f>
        <v/>
      </c>
      <c r="K429" s="16" t="n"/>
      <c r="L429" s="16" t="n"/>
      <c r="M429" s="16" t="n"/>
      <c r="N429" s="16" t="n"/>
      <c r="O429" s="16" t="n"/>
    </row>
    <row r="430">
      <c r="A430" s="17" t="inlineStr">
        <is>
          <t>TRK-0427</t>
        </is>
      </c>
      <c r="B430" s="16" t="n"/>
      <c r="C430" s="16" t="n"/>
      <c r="D430" s="16" t="n"/>
      <c r="E430" s="16" t="n"/>
      <c r="F430" s="16" t="n"/>
      <c r="G430" s="16" t="n"/>
      <c r="H430" s="16" t="n"/>
      <c r="I430" s="16">
        <f>IF(H430&lt;&gt;"","Completed",IF(TODAY()&gt;G430,"Overdue",IF(F430&lt;&gt;"","In Progress","Not Started")))</f>
        <v/>
      </c>
      <c r="J430" s="18">
        <f>IF(I430="Overdue",TODAY()-G430,0)</f>
        <v/>
      </c>
      <c r="K430" s="16" t="n"/>
      <c r="L430" s="16" t="n"/>
      <c r="M430" s="16" t="n"/>
      <c r="N430" s="16" t="n"/>
      <c r="O430" s="16" t="n"/>
    </row>
    <row r="431">
      <c r="A431" s="17" t="inlineStr">
        <is>
          <t>TRK-0428</t>
        </is>
      </c>
      <c r="B431" s="16" t="n"/>
      <c r="C431" s="16" t="n"/>
      <c r="D431" s="16" t="n"/>
      <c r="E431" s="16" t="n"/>
      <c r="F431" s="16" t="n"/>
      <c r="G431" s="16" t="n"/>
      <c r="H431" s="16" t="n"/>
      <c r="I431" s="16">
        <f>IF(H431&lt;&gt;"","Completed",IF(TODAY()&gt;G431,"Overdue",IF(F431&lt;&gt;"","In Progress","Not Started")))</f>
        <v/>
      </c>
      <c r="J431" s="18">
        <f>IF(I431="Overdue",TODAY()-G431,0)</f>
        <v/>
      </c>
      <c r="K431" s="16" t="n"/>
      <c r="L431" s="16" t="n"/>
      <c r="M431" s="16" t="n"/>
      <c r="N431" s="16" t="n"/>
      <c r="O431" s="16" t="n"/>
    </row>
    <row r="432">
      <c r="A432" s="17" t="inlineStr">
        <is>
          <t>TRK-0429</t>
        </is>
      </c>
      <c r="B432" s="16" t="n"/>
      <c r="C432" s="16" t="n"/>
      <c r="D432" s="16" t="n"/>
      <c r="E432" s="16" t="n"/>
      <c r="F432" s="16" t="n"/>
      <c r="G432" s="16" t="n"/>
      <c r="H432" s="16" t="n"/>
      <c r="I432" s="16">
        <f>IF(H432&lt;&gt;"","Completed",IF(TODAY()&gt;G432,"Overdue",IF(F432&lt;&gt;"","In Progress","Not Started")))</f>
        <v/>
      </c>
      <c r="J432" s="18">
        <f>IF(I432="Overdue",TODAY()-G432,0)</f>
        <v/>
      </c>
      <c r="K432" s="16" t="n"/>
      <c r="L432" s="16" t="n"/>
      <c r="M432" s="16" t="n"/>
      <c r="N432" s="16" t="n"/>
      <c r="O432" s="16" t="n"/>
    </row>
    <row r="433">
      <c r="A433" s="17" t="inlineStr">
        <is>
          <t>TRK-0430</t>
        </is>
      </c>
      <c r="B433" s="16" t="n"/>
      <c r="C433" s="16" t="n"/>
      <c r="D433" s="16" t="n"/>
      <c r="E433" s="16" t="n"/>
      <c r="F433" s="16" t="n"/>
      <c r="G433" s="16" t="n"/>
      <c r="H433" s="16" t="n"/>
      <c r="I433" s="16">
        <f>IF(H433&lt;&gt;"","Completed",IF(TODAY()&gt;G433,"Overdue",IF(F433&lt;&gt;"","In Progress","Not Started")))</f>
        <v/>
      </c>
      <c r="J433" s="18">
        <f>IF(I433="Overdue",TODAY()-G433,0)</f>
        <v/>
      </c>
      <c r="K433" s="16" t="n"/>
      <c r="L433" s="16" t="n"/>
      <c r="M433" s="16" t="n"/>
      <c r="N433" s="16" t="n"/>
      <c r="O433" s="16" t="n"/>
    </row>
    <row r="434">
      <c r="A434" s="17" t="inlineStr">
        <is>
          <t>TRK-0431</t>
        </is>
      </c>
      <c r="B434" s="16" t="n"/>
      <c r="C434" s="16" t="n"/>
      <c r="D434" s="16" t="n"/>
      <c r="E434" s="16" t="n"/>
      <c r="F434" s="16" t="n"/>
      <c r="G434" s="16" t="n"/>
      <c r="H434" s="16" t="n"/>
      <c r="I434" s="16">
        <f>IF(H434&lt;&gt;"","Completed",IF(TODAY()&gt;G434,"Overdue",IF(F434&lt;&gt;"","In Progress","Not Started")))</f>
        <v/>
      </c>
      <c r="J434" s="18">
        <f>IF(I434="Overdue",TODAY()-G434,0)</f>
        <v/>
      </c>
      <c r="K434" s="16" t="n"/>
      <c r="L434" s="16" t="n"/>
      <c r="M434" s="16" t="n"/>
      <c r="N434" s="16" t="n"/>
      <c r="O434" s="16" t="n"/>
    </row>
    <row r="435">
      <c r="A435" s="17" t="inlineStr">
        <is>
          <t>TRK-0432</t>
        </is>
      </c>
      <c r="B435" s="16" t="n"/>
      <c r="C435" s="16" t="n"/>
      <c r="D435" s="16" t="n"/>
      <c r="E435" s="16" t="n"/>
      <c r="F435" s="16" t="n"/>
      <c r="G435" s="16" t="n"/>
      <c r="H435" s="16" t="n"/>
      <c r="I435" s="16">
        <f>IF(H435&lt;&gt;"","Completed",IF(TODAY()&gt;G435,"Overdue",IF(F435&lt;&gt;"","In Progress","Not Started")))</f>
        <v/>
      </c>
      <c r="J435" s="18">
        <f>IF(I435="Overdue",TODAY()-G435,0)</f>
        <v/>
      </c>
      <c r="K435" s="16" t="n"/>
      <c r="L435" s="16" t="n"/>
      <c r="M435" s="16" t="n"/>
      <c r="N435" s="16" t="n"/>
      <c r="O435" s="16" t="n"/>
    </row>
    <row r="436">
      <c r="A436" s="17" t="inlineStr">
        <is>
          <t>TRK-0433</t>
        </is>
      </c>
      <c r="B436" s="16" t="n"/>
      <c r="C436" s="16" t="n"/>
      <c r="D436" s="16" t="n"/>
      <c r="E436" s="16" t="n"/>
      <c r="F436" s="16" t="n"/>
      <c r="G436" s="16" t="n"/>
      <c r="H436" s="16" t="n"/>
      <c r="I436" s="16">
        <f>IF(H436&lt;&gt;"","Completed",IF(TODAY()&gt;G436,"Overdue",IF(F436&lt;&gt;"","In Progress","Not Started")))</f>
        <v/>
      </c>
      <c r="J436" s="18">
        <f>IF(I436="Overdue",TODAY()-G436,0)</f>
        <v/>
      </c>
      <c r="K436" s="16" t="n"/>
      <c r="L436" s="16" t="n"/>
      <c r="M436" s="16" t="n"/>
      <c r="N436" s="16" t="n"/>
      <c r="O436" s="16" t="n"/>
    </row>
    <row r="437">
      <c r="A437" s="17" t="inlineStr">
        <is>
          <t>TRK-0434</t>
        </is>
      </c>
      <c r="B437" s="16" t="n"/>
      <c r="C437" s="16" t="n"/>
      <c r="D437" s="16" t="n"/>
      <c r="E437" s="16" t="n"/>
      <c r="F437" s="16" t="n"/>
      <c r="G437" s="16" t="n"/>
      <c r="H437" s="16" t="n"/>
      <c r="I437" s="16">
        <f>IF(H437&lt;&gt;"","Completed",IF(TODAY()&gt;G437,"Overdue",IF(F437&lt;&gt;"","In Progress","Not Started")))</f>
        <v/>
      </c>
      <c r="J437" s="18">
        <f>IF(I437="Overdue",TODAY()-G437,0)</f>
        <v/>
      </c>
      <c r="K437" s="16" t="n"/>
      <c r="L437" s="16" t="n"/>
      <c r="M437" s="16" t="n"/>
      <c r="N437" s="16" t="n"/>
      <c r="O437" s="16" t="n"/>
    </row>
    <row r="438">
      <c r="A438" s="17" t="inlineStr">
        <is>
          <t>TRK-0435</t>
        </is>
      </c>
      <c r="B438" s="16" t="n"/>
      <c r="C438" s="16" t="n"/>
      <c r="D438" s="16" t="n"/>
      <c r="E438" s="16" t="n"/>
      <c r="F438" s="16" t="n"/>
      <c r="G438" s="16" t="n"/>
      <c r="H438" s="16" t="n"/>
      <c r="I438" s="16">
        <f>IF(H438&lt;&gt;"","Completed",IF(TODAY()&gt;G438,"Overdue",IF(F438&lt;&gt;"","In Progress","Not Started")))</f>
        <v/>
      </c>
      <c r="J438" s="18">
        <f>IF(I438="Overdue",TODAY()-G438,0)</f>
        <v/>
      </c>
      <c r="K438" s="16" t="n"/>
      <c r="L438" s="16" t="n"/>
      <c r="M438" s="16" t="n"/>
      <c r="N438" s="16" t="n"/>
      <c r="O438" s="16" t="n"/>
    </row>
    <row r="439">
      <c r="A439" s="17" t="inlineStr">
        <is>
          <t>TRK-0436</t>
        </is>
      </c>
      <c r="B439" s="16" t="n"/>
      <c r="C439" s="16" t="n"/>
      <c r="D439" s="16" t="n"/>
      <c r="E439" s="16" t="n"/>
      <c r="F439" s="16" t="n"/>
      <c r="G439" s="16" t="n"/>
      <c r="H439" s="16" t="n"/>
      <c r="I439" s="16">
        <f>IF(H439&lt;&gt;"","Completed",IF(TODAY()&gt;G439,"Overdue",IF(F439&lt;&gt;"","In Progress","Not Started")))</f>
        <v/>
      </c>
      <c r="J439" s="18">
        <f>IF(I439="Overdue",TODAY()-G439,0)</f>
        <v/>
      </c>
      <c r="K439" s="16" t="n"/>
      <c r="L439" s="16" t="n"/>
      <c r="M439" s="16" t="n"/>
      <c r="N439" s="16" t="n"/>
      <c r="O439" s="16" t="n"/>
    </row>
    <row r="440">
      <c r="A440" s="17" t="inlineStr">
        <is>
          <t>TRK-0437</t>
        </is>
      </c>
      <c r="B440" s="16" t="n"/>
      <c r="C440" s="16" t="n"/>
      <c r="D440" s="16" t="n"/>
      <c r="E440" s="16" t="n"/>
      <c r="F440" s="16" t="n"/>
      <c r="G440" s="16" t="n"/>
      <c r="H440" s="16" t="n"/>
      <c r="I440" s="16">
        <f>IF(H440&lt;&gt;"","Completed",IF(TODAY()&gt;G440,"Overdue",IF(F440&lt;&gt;"","In Progress","Not Started")))</f>
        <v/>
      </c>
      <c r="J440" s="18">
        <f>IF(I440="Overdue",TODAY()-G440,0)</f>
        <v/>
      </c>
      <c r="K440" s="16" t="n"/>
      <c r="L440" s="16" t="n"/>
      <c r="M440" s="16" t="n"/>
      <c r="N440" s="16" t="n"/>
      <c r="O440" s="16" t="n"/>
    </row>
    <row r="441">
      <c r="A441" s="17" t="inlineStr">
        <is>
          <t>TRK-0438</t>
        </is>
      </c>
      <c r="B441" s="16" t="n"/>
      <c r="C441" s="16" t="n"/>
      <c r="D441" s="16" t="n"/>
      <c r="E441" s="16" t="n"/>
      <c r="F441" s="16" t="n"/>
      <c r="G441" s="16" t="n"/>
      <c r="H441" s="16" t="n"/>
      <c r="I441" s="16">
        <f>IF(H441&lt;&gt;"","Completed",IF(TODAY()&gt;G441,"Overdue",IF(F441&lt;&gt;"","In Progress","Not Started")))</f>
        <v/>
      </c>
      <c r="J441" s="18">
        <f>IF(I441="Overdue",TODAY()-G441,0)</f>
        <v/>
      </c>
      <c r="K441" s="16" t="n"/>
      <c r="L441" s="16" t="n"/>
      <c r="M441" s="16" t="n"/>
      <c r="N441" s="16" t="n"/>
      <c r="O441" s="16" t="n"/>
    </row>
    <row r="442">
      <c r="A442" s="17" t="inlineStr">
        <is>
          <t>TRK-0439</t>
        </is>
      </c>
      <c r="B442" s="16" t="n"/>
      <c r="C442" s="16" t="n"/>
      <c r="D442" s="16" t="n"/>
      <c r="E442" s="16" t="n"/>
      <c r="F442" s="16" t="n"/>
      <c r="G442" s="16" t="n"/>
      <c r="H442" s="16" t="n"/>
      <c r="I442" s="16">
        <f>IF(H442&lt;&gt;"","Completed",IF(TODAY()&gt;G442,"Overdue",IF(F442&lt;&gt;"","In Progress","Not Started")))</f>
        <v/>
      </c>
      <c r="J442" s="18">
        <f>IF(I442="Overdue",TODAY()-G442,0)</f>
        <v/>
      </c>
      <c r="K442" s="16" t="n"/>
      <c r="L442" s="16" t="n"/>
      <c r="M442" s="16" t="n"/>
      <c r="N442" s="16" t="n"/>
      <c r="O442" s="16" t="n"/>
    </row>
    <row r="443">
      <c r="A443" s="17" t="inlineStr">
        <is>
          <t>TRK-0440</t>
        </is>
      </c>
      <c r="B443" s="16" t="n"/>
      <c r="C443" s="16" t="n"/>
      <c r="D443" s="16" t="n"/>
      <c r="E443" s="16" t="n"/>
      <c r="F443" s="16" t="n"/>
      <c r="G443" s="16" t="n"/>
      <c r="H443" s="16" t="n"/>
      <c r="I443" s="16">
        <f>IF(H443&lt;&gt;"","Completed",IF(TODAY()&gt;G443,"Overdue",IF(F443&lt;&gt;"","In Progress","Not Started")))</f>
        <v/>
      </c>
      <c r="J443" s="18">
        <f>IF(I443="Overdue",TODAY()-G443,0)</f>
        <v/>
      </c>
      <c r="K443" s="16" t="n"/>
      <c r="L443" s="16" t="n"/>
      <c r="M443" s="16" t="n"/>
      <c r="N443" s="16" t="n"/>
      <c r="O443" s="16" t="n"/>
    </row>
    <row r="444">
      <c r="A444" s="17" t="inlineStr">
        <is>
          <t>TRK-0441</t>
        </is>
      </c>
      <c r="B444" s="16" t="n"/>
      <c r="C444" s="16" t="n"/>
      <c r="D444" s="16" t="n"/>
      <c r="E444" s="16" t="n"/>
      <c r="F444" s="16" t="n"/>
      <c r="G444" s="16" t="n"/>
      <c r="H444" s="16" t="n"/>
      <c r="I444" s="16">
        <f>IF(H444&lt;&gt;"","Completed",IF(TODAY()&gt;G444,"Overdue",IF(F444&lt;&gt;"","In Progress","Not Started")))</f>
        <v/>
      </c>
      <c r="J444" s="18">
        <f>IF(I444="Overdue",TODAY()-G444,0)</f>
        <v/>
      </c>
      <c r="K444" s="16" t="n"/>
      <c r="L444" s="16" t="n"/>
      <c r="M444" s="16" t="n"/>
      <c r="N444" s="16" t="n"/>
      <c r="O444" s="16" t="n"/>
    </row>
    <row r="445">
      <c r="A445" s="17" t="inlineStr">
        <is>
          <t>TRK-0442</t>
        </is>
      </c>
      <c r="B445" s="16" t="n"/>
      <c r="C445" s="16" t="n"/>
      <c r="D445" s="16" t="n"/>
      <c r="E445" s="16" t="n"/>
      <c r="F445" s="16" t="n"/>
      <c r="G445" s="16" t="n"/>
      <c r="H445" s="16" t="n"/>
      <c r="I445" s="16">
        <f>IF(H445&lt;&gt;"","Completed",IF(TODAY()&gt;G445,"Overdue",IF(F445&lt;&gt;"","In Progress","Not Started")))</f>
        <v/>
      </c>
      <c r="J445" s="18">
        <f>IF(I445="Overdue",TODAY()-G445,0)</f>
        <v/>
      </c>
      <c r="K445" s="16" t="n"/>
      <c r="L445" s="16" t="n"/>
      <c r="M445" s="16" t="n"/>
      <c r="N445" s="16" t="n"/>
      <c r="O445" s="16" t="n"/>
    </row>
    <row r="446">
      <c r="A446" s="17" t="inlineStr">
        <is>
          <t>TRK-0443</t>
        </is>
      </c>
      <c r="B446" s="16" t="n"/>
      <c r="C446" s="16" t="n"/>
      <c r="D446" s="16" t="n"/>
      <c r="E446" s="16" t="n"/>
      <c r="F446" s="16" t="n"/>
      <c r="G446" s="16" t="n"/>
      <c r="H446" s="16" t="n"/>
      <c r="I446" s="16">
        <f>IF(H446&lt;&gt;"","Completed",IF(TODAY()&gt;G446,"Overdue",IF(F446&lt;&gt;"","In Progress","Not Started")))</f>
        <v/>
      </c>
      <c r="J446" s="18">
        <f>IF(I446="Overdue",TODAY()-G446,0)</f>
        <v/>
      </c>
      <c r="K446" s="16" t="n"/>
      <c r="L446" s="16" t="n"/>
      <c r="M446" s="16" t="n"/>
      <c r="N446" s="16" t="n"/>
      <c r="O446" s="16" t="n"/>
    </row>
    <row r="447">
      <c r="A447" s="17" t="inlineStr">
        <is>
          <t>TRK-0444</t>
        </is>
      </c>
      <c r="B447" s="16" t="n"/>
      <c r="C447" s="16" t="n"/>
      <c r="D447" s="16" t="n"/>
      <c r="E447" s="16" t="n"/>
      <c r="F447" s="16" t="n"/>
      <c r="G447" s="16" t="n"/>
      <c r="H447" s="16" t="n"/>
      <c r="I447" s="16">
        <f>IF(H447&lt;&gt;"","Completed",IF(TODAY()&gt;G447,"Overdue",IF(F447&lt;&gt;"","In Progress","Not Started")))</f>
        <v/>
      </c>
      <c r="J447" s="18">
        <f>IF(I447="Overdue",TODAY()-G447,0)</f>
        <v/>
      </c>
      <c r="K447" s="16" t="n"/>
      <c r="L447" s="16" t="n"/>
      <c r="M447" s="16" t="n"/>
      <c r="N447" s="16" t="n"/>
      <c r="O447" s="16" t="n"/>
    </row>
    <row r="448">
      <c r="A448" s="17" t="inlineStr">
        <is>
          <t>TRK-0445</t>
        </is>
      </c>
      <c r="B448" s="16" t="n"/>
      <c r="C448" s="16" t="n"/>
      <c r="D448" s="16" t="n"/>
      <c r="E448" s="16" t="n"/>
      <c r="F448" s="16" t="n"/>
      <c r="G448" s="16" t="n"/>
      <c r="H448" s="16" t="n"/>
      <c r="I448" s="16">
        <f>IF(H448&lt;&gt;"","Completed",IF(TODAY()&gt;G448,"Overdue",IF(F448&lt;&gt;"","In Progress","Not Started")))</f>
        <v/>
      </c>
      <c r="J448" s="18">
        <f>IF(I448="Overdue",TODAY()-G448,0)</f>
        <v/>
      </c>
      <c r="K448" s="16" t="n"/>
      <c r="L448" s="16" t="n"/>
      <c r="M448" s="16" t="n"/>
      <c r="N448" s="16" t="n"/>
      <c r="O448" s="16" t="n"/>
    </row>
    <row r="449">
      <c r="A449" s="17" t="inlineStr">
        <is>
          <t>TRK-0446</t>
        </is>
      </c>
      <c r="B449" s="16" t="n"/>
      <c r="C449" s="16" t="n"/>
      <c r="D449" s="16" t="n"/>
      <c r="E449" s="16" t="n"/>
      <c r="F449" s="16" t="n"/>
      <c r="G449" s="16" t="n"/>
      <c r="H449" s="16" t="n"/>
      <c r="I449" s="16">
        <f>IF(H449&lt;&gt;"","Completed",IF(TODAY()&gt;G449,"Overdue",IF(F449&lt;&gt;"","In Progress","Not Started")))</f>
        <v/>
      </c>
      <c r="J449" s="18">
        <f>IF(I449="Overdue",TODAY()-G449,0)</f>
        <v/>
      </c>
      <c r="K449" s="16" t="n"/>
      <c r="L449" s="16" t="n"/>
      <c r="M449" s="16" t="n"/>
      <c r="N449" s="16" t="n"/>
      <c r="O449" s="16" t="n"/>
    </row>
    <row r="450">
      <c r="A450" s="17" t="inlineStr">
        <is>
          <t>TRK-0447</t>
        </is>
      </c>
      <c r="B450" s="16" t="n"/>
      <c r="C450" s="16" t="n"/>
      <c r="D450" s="16" t="n"/>
      <c r="E450" s="16" t="n"/>
      <c r="F450" s="16" t="n"/>
      <c r="G450" s="16" t="n"/>
      <c r="H450" s="16" t="n"/>
      <c r="I450" s="16">
        <f>IF(H450&lt;&gt;"","Completed",IF(TODAY()&gt;G450,"Overdue",IF(F450&lt;&gt;"","In Progress","Not Started")))</f>
        <v/>
      </c>
      <c r="J450" s="18">
        <f>IF(I450="Overdue",TODAY()-G450,0)</f>
        <v/>
      </c>
      <c r="K450" s="16" t="n"/>
      <c r="L450" s="16" t="n"/>
      <c r="M450" s="16" t="n"/>
      <c r="N450" s="16" t="n"/>
      <c r="O450" s="16" t="n"/>
    </row>
    <row r="451">
      <c r="A451" s="17" t="inlineStr">
        <is>
          <t>TRK-0448</t>
        </is>
      </c>
      <c r="B451" s="16" t="n"/>
      <c r="C451" s="16" t="n"/>
      <c r="D451" s="16" t="n"/>
      <c r="E451" s="16" t="n"/>
      <c r="F451" s="16" t="n"/>
      <c r="G451" s="16" t="n"/>
      <c r="H451" s="16" t="n"/>
      <c r="I451" s="16">
        <f>IF(H451&lt;&gt;"","Completed",IF(TODAY()&gt;G451,"Overdue",IF(F451&lt;&gt;"","In Progress","Not Started")))</f>
        <v/>
      </c>
      <c r="J451" s="18">
        <f>IF(I451="Overdue",TODAY()-G451,0)</f>
        <v/>
      </c>
      <c r="K451" s="16" t="n"/>
      <c r="L451" s="16" t="n"/>
      <c r="M451" s="16" t="n"/>
      <c r="N451" s="16" t="n"/>
      <c r="O451" s="16" t="n"/>
    </row>
    <row r="452">
      <c r="A452" s="17" t="inlineStr">
        <is>
          <t>TRK-0449</t>
        </is>
      </c>
      <c r="B452" s="16" t="n"/>
      <c r="C452" s="16" t="n"/>
      <c r="D452" s="16" t="n"/>
      <c r="E452" s="16" t="n"/>
      <c r="F452" s="16" t="n"/>
      <c r="G452" s="16" t="n"/>
      <c r="H452" s="16" t="n"/>
      <c r="I452" s="16">
        <f>IF(H452&lt;&gt;"","Completed",IF(TODAY()&gt;G452,"Overdue",IF(F452&lt;&gt;"","In Progress","Not Started")))</f>
        <v/>
      </c>
      <c r="J452" s="18">
        <f>IF(I452="Overdue",TODAY()-G452,0)</f>
        <v/>
      </c>
      <c r="K452" s="16" t="n"/>
      <c r="L452" s="16" t="n"/>
      <c r="M452" s="16" t="n"/>
      <c r="N452" s="16" t="n"/>
      <c r="O452" s="16" t="n"/>
    </row>
    <row r="453">
      <c r="A453" s="17" t="inlineStr">
        <is>
          <t>TRK-0450</t>
        </is>
      </c>
      <c r="B453" s="16" t="n"/>
      <c r="C453" s="16" t="n"/>
      <c r="D453" s="16" t="n"/>
      <c r="E453" s="16" t="n"/>
      <c r="F453" s="16" t="n"/>
      <c r="G453" s="16" t="n"/>
      <c r="H453" s="16" t="n"/>
      <c r="I453" s="16">
        <f>IF(H453&lt;&gt;"","Completed",IF(TODAY()&gt;G453,"Overdue",IF(F453&lt;&gt;"","In Progress","Not Started")))</f>
        <v/>
      </c>
      <c r="J453" s="18">
        <f>IF(I453="Overdue",TODAY()-G453,0)</f>
        <v/>
      </c>
      <c r="K453" s="16" t="n"/>
      <c r="L453" s="16" t="n"/>
      <c r="M453" s="16" t="n"/>
      <c r="N453" s="16" t="n"/>
      <c r="O453" s="16" t="n"/>
    </row>
    <row r="454">
      <c r="A454" s="17" t="inlineStr">
        <is>
          <t>TRK-0451</t>
        </is>
      </c>
      <c r="B454" s="16" t="n"/>
      <c r="C454" s="16" t="n"/>
      <c r="D454" s="16" t="n"/>
      <c r="E454" s="16" t="n"/>
      <c r="F454" s="16" t="n"/>
      <c r="G454" s="16" t="n"/>
      <c r="H454" s="16" t="n"/>
      <c r="I454" s="16">
        <f>IF(H454&lt;&gt;"","Completed",IF(TODAY()&gt;G454,"Overdue",IF(F454&lt;&gt;"","In Progress","Not Started")))</f>
        <v/>
      </c>
      <c r="J454" s="18">
        <f>IF(I454="Overdue",TODAY()-G454,0)</f>
        <v/>
      </c>
      <c r="K454" s="16" t="n"/>
      <c r="L454" s="16" t="n"/>
      <c r="M454" s="16" t="n"/>
      <c r="N454" s="16" t="n"/>
      <c r="O454" s="16" t="n"/>
    </row>
    <row r="455">
      <c r="A455" s="17" t="inlineStr">
        <is>
          <t>TRK-0452</t>
        </is>
      </c>
      <c r="B455" s="16" t="n"/>
      <c r="C455" s="16" t="n"/>
      <c r="D455" s="16" t="n"/>
      <c r="E455" s="16" t="n"/>
      <c r="F455" s="16" t="n"/>
      <c r="G455" s="16" t="n"/>
      <c r="H455" s="16" t="n"/>
      <c r="I455" s="16">
        <f>IF(H455&lt;&gt;"","Completed",IF(TODAY()&gt;G455,"Overdue",IF(F455&lt;&gt;"","In Progress","Not Started")))</f>
        <v/>
      </c>
      <c r="J455" s="18">
        <f>IF(I455="Overdue",TODAY()-G455,0)</f>
        <v/>
      </c>
      <c r="K455" s="16" t="n"/>
      <c r="L455" s="16" t="n"/>
      <c r="M455" s="16" t="n"/>
      <c r="N455" s="16" t="n"/>
      <c r="O455" s="16" t="n"/>
    </row>
    <row r="456">
      <c r="A456" s="17" t="inlineStr">
        <is>
          <t>TRK-0453</t>
        </is>
      </c>
      <c r="B456" s="16" t="n"/>
      <c r="C456" s="16" t="n"/>
      <c r="D456" s="16" t="n"/>
      <c r="E456" s="16" t="n"/>
      <c r="F456" s="16" t="n"/>
      <c r="G456" s="16" t="n"/>
      <c r="H456" s="16" t="n"/>
      <c r="I456" s="16">
        <f>IF(H456&lt;&gt;"","Completed",IF(TODAY()&gt;G456,"Overdue",IF(F456&lt;&gt;"","In Progress","Not Started")))</f>
        <v/>
      </c>
      <c r="J456" s="18">
        <f>IF(I456="Overdue",TODAY()-G456,0)</f>
        <v/>
      </c>
      <c r="K456" s="16" t="n"/>
      <c r="L456" s="16" t="n"/>
      <c r="M456" s="16" t="n"/>
      <c r="N456" s="16" t="n"/>
      <c r="O456" s="16" t="n"/>
    </row>
    <row r="457">
      <c r="A457" s="17" t="inlineStr">
        <is>
          <t>TRK-0454</t>
        </is>
      </c>
      <c r="B457" s="16" t="n"/>
      <c r="C457" s="16" t="n"/>
      <c r="D457" s="16" t="n"/>
      <c r="E457" s="16" t="n"/>
      <c r="F457" s="16" t="n"/>
      <c r="G457" s="16" t="n"/>
      <c r="H457" s="16" t="n"/>
      <c r="I457" s="16">
        <f>IF(H457&lt;&gt;"","Completed",IF(TODAY()&gt;G457,"Overdue",IF(F457&lt;&gt;"","In Progress","Not Started")))</f>
        <v/>
      </c>
      <c r="J457" s="18">
        <f>IF(I457="Overdue",TODAY()-G457,0)</f>
        <v/>
      </c>
      <c r="K457" s="16" t="n"/>
      <c r="L457" s="16" t="n"/>
      <c r="M457" s="16" t="n"/>
      <c r="N457" s="16" t="n"/>
      <c r="O457" s="16" t="n"/>
    </row>
    <row r="458">
      <c r="A458" s="17" t="inlineStr">
        <is>
          <t>TRK-0455</t>
        </is>
      </c>
      <c r="B458" s="16" t="n"/>
      <c r="C458" s="16" t="n"/>
      <c r="D458" s="16" t="n"/>
      <c r="E458" s="16" t="n"/>
      <c r="F458" s="16" t="n"/>
      <c r="G458" s="16" t="n"/>
      <c r="H458" s="16" t="n"/>
      <c r="I458" s="16">
        <f>IF(H458&lt;&gt;"","Completed",IF(TODAY()&gt;G458,"Overdue",IF(F458&lt;&gt;"","In Progress","Not Started")))</f>
        <v/>
      </c>
      <c r="J458" s="18">
        <f>IF(I458="Overdue",TODAY()-G458,0)</f>
        <v/>
      </c>
      <c r="K458" s="16" t="n"/>
      <c r="L458" s="16" t="n"/>
      <c r="M458" s="16" t="n"/>
      <c r="N458" s="16" t="n"/>
      <c r="O458" s="16" t="n"/>
    </row>
    <row r="459">
      <c r="A459" s="17" t="inlineStr">
        <is>
          <t>TRK-0456</t>
        </is>
      </c>
      <c r="B459" s="16" t="n"/>
      <c r="C459" s="16" t="n"/>
      <c r="D459" s="16" t="n"/>
      <c r="E459" s="16" t="n"/>
      <c r="F459" s="16" t="n"/>
      <c r="G459" s="16" t="n"/>
      <c r="H459" s="16" t="n"/>
      <c r="I459" s="16">
        <f>IF(H459&lt;&gt;"","Completed",IF(TODAY()&gt;G459,"Overdue",IF(F459&lt;&gt;"","In Progress","Not Started")))</f>
        <v/>
      </c>
      <c r="J459" s="18">
        <f>IF(I459="Overdue",TODAY()-G459,0)</f>
        <v/>
      </c>
      <c r="K459" s="16" t="n"/>
      <c r="L459" s="16" t="n"/>
      <c r="M459" s="16" t="n"/>
      <c r="N459" s="16" t="n"/>
      <c r="O459" s="16" t="n"/>
    </row>
    <row r="460">
      <c r="A460" s="17" t="inlineStr">
        <is>
          <t>TRK-0457</t>
        </is>
      </c>
      <c r="B460" s="16" t="n"/>
      <c r="C460" s="16" t="n"/>
      <c r="D460" s="16" t="n"/>
      <c r="E460" s="16" t="n"/>
      <c r="F460" s="16" t="n"/>
      <c r="G460" s="16" t="n"/>
      <c r="H460" s="16" t="n"/>
      <c r="I460" s="16">
        <f>IF(H460&lt;&gt;"","Completed",IF(TODAY()&gt;G460,"Overdue",IF(F460&lt;&gt;"","In Progress","Not Started")))</f>
        <v/>
      </c>
      <c r="J460" s="18">
        <f>IF(I460="Overdue",TODAY()-G460,0)</f>
        <v/>
      </c>
      <c r="K460" s="16" t="n"/>
      <c r="L460" s="16" t="n"/>
      <c r="M460" s="16" t="n"/>
      <c r="N460" s="16" t="n"/>
      <c r="O460" s="16" t="n"/>
    </row>
    <row r="461">
      <c r="A461" s="17" t="inlineStr">
        <is>
          <t>TRK-0458</t>
        </is>
      </c>
      <c r="B461" s="16" t="n"/>
      <c r="C461" s="16" t="n"/>
      <c r="D461" s="16" t="n"/>
      <c r="E461" s="16" t="n"/>
      <c r="F461" s="16" t="n"/>
      <c r="G461" s="16" t="n"/>
      <c r="H461" s="16" t="n"/>
      <c r="I461" s="16">
        <f>IF(H461&lt;&gt;"","Completed",IF(TODAY()&gt;G461,"Overdue",IF(F461&lt;&gt;"","In Progress","Not Started")))</f>
        <v/>
      </c>
      <c r="J461" s="18">
        <f>IF(I461="Overdue",TODAY()-G461,0)</f>
        <v/>
      </c>
      <c r="K461" s="16" t="n"/>
      <c r="L461" s="16" t="n"/>
      <c r="M461" s="16" t="n"/>
      <c r="N461" s="16" t="n"/>
      <c r="O461" s="16" t="n"/>
    </row>
    <row r="462">
      <c r="A462" s="17" t="inlineStr">
        <is>
          <t>TRK-0459</t>
        </is>
      </c>
      <c r="B462" s="16" t="n"/>
      <c r="C462" s="16" t="n"/>
      <c r="D462" s="16" t="n"/>
      <c r="E462" s="16" t="n"/>
      <c r="F462" s="16" t="n"/>
      <c r="G462" s="16" t="n"/>
      <c r="H462" s="16" t="n"/>
      <c r="I462" s="16">
        <f>IF(H462&lt;&gt;"","Completed",IF(TODAY()&gt;G462,"Overdue",IF(F462&lt;&gt;"","In Progress","Not Started")))</f>
        <v/>
      </c>
      <c r="J462" s="18">
        <f>IF(I462="Overdue",TODAY()-G462,0)</f>
        <v/>
      </c>
      <c r="K462" s="16" t="n"/>
      <c r="L462" s="16" t="n"/>
      <c r="M462" s="16" t="n"/>
      <c r="N462" s="16" t="n"/>
      <c r="O462" s="16" t="n"/>
    </row>
    <row r="463">
      <c r="A463" s="17" t="inlineStr">
        <is>
          <t>TRK-0460</t>
        </is>
      </c>
      <c r="B463" s="16" t="n"/>
      <c r="C463" s="16" t="n"/>
      <c r="D463" s="16" t="n"/>
      <c r="E463" s="16" t="n"/>
      <c r="F463" s="16" t="n"/>
      <c r="G463" s="16" t="n"/>
      <c r="H463" s="16" t="n"/>
      <c r="I463" s="16">
        <f>IF(H463&lt;&gt;"","Completed",IF(TODAY()&gt;G463,"Overdue",IF(F463&lt;&gt;"","In Progress","Not Started")))</f>
        <v/>
      </c>
      <c r="J463" s="18">
        <f>IF(I463="Overdue",TODAY()-G463,0)</f>
        <v/>
      </c>
      <c r="K463" s="16" t="n"/>
      <c r="L463" s="16" t="n"/>
      <c r="M463" s="16" t="n"/>
      <c r="N463" s="16" t="n"/>
      <c r="O463" s="16" t="n"/>
    </row>
    <row r="464">
      <c r="A464" s="17" t="inlineStr">
        <is>
          <t>TRK-0461</t>
        </is>
      </c>
      <c r="B464" s="16" t="n"/>
      <c r="C464" s="16" t="n"/>
      <c r="D464" s="16" t="n"/>
      <c r="E464" s="16" t="n"/>
      <c r="F464" s="16" t="n"/>
      <c r="G464" s="16" t="n"/>
      <c r="H464" s="16" t="n"/>
      <c r="I464" s="16">
        <f>IF(H464&lt;&gt;"","Completed",IF(TODAY()&gt;G464,"Overdue",IF(F464&lt;&gt;"","In Progress","Not Started")))</f>
        <v/>
      </c>
      <c r="J464" s="18">
        <f>IF(I464="Overdue",TODAY()-G464,0)</f>
        <v/>
      </c>
      <c r="K464" s="16" t="n"/>
      <c r="L464" s="16" t="n"/>
      <c r="M464" s="16" t="n"/>
      <c r="N464" s="16" t="n"/>
      <c r="O464" s="16" t="n"/>
    </row>
    <row r="465">
      <c r="A465" s="17" t="inlineStr">
        <is>
          <t>TRK-0462</t>
        </is>
      </c>
      <c r="B465" s="16" t="n"/>
      <c r="C465" s="16" t="n"/>
      <c r="D465" s="16" t="n"/>
      <c r="E465" s="16" t="n"/>
      <c r="F465" s="16" t="n"/>
      <c r="G465" s="16" t="n"/>
      <c r="H465" s="16" t="n"/>
      <c r="I465" s="16">
        <f>IF(H465&lt;&gt;"","Completed",IF(TODAY()&gt;G465,"Overdue",IF(F465&lt;&gt;"","In Progress","Not Started")))</f>
        <v/>
      </c>
      <c r="J465" s="18">
        <f>IF(I465="Overdue",TODAY()-G465,0)</f>
        <v/>
      </c>
      <c r="K465" s="16" t="n"/>
      <c r="L465" s="16" t="n"/>
      <c r="M465" s="16" t="n"/>
      <c r="N465" s="16" t="n"/>
      <c r="O465" s="16" t="n"/>
    </row>
    <row r="466">
      <c r="A466" s="17" t="inlineStr">
        <is>
          <t>TRK-0463</t>
        </is>
      </c>
      <c r="B466" s="16" t="n"/>
      <c r="C466" s="16" t="n"/>
      <c r="D466" s="16" t="n"/>
      <c r="E466" s="16" t="n"/>
      <c r="F466" s="16" t="n"/>
      <c r="G466" s="16" t="n"/>
      <c r="H466" s="16" t="n"/>
      <c r="I466" s="16">
        <f>IF(H466&lt;&gt;"","Completed",IF(TODAY()&gt;G466,"Overdue",IF(F466&lt;&gt;"","In Progress","Not Started")))</f>
        <v/>
      </c>
      <c r="J466" s="18">
        <f>IF(I466="Overdue",TODAY()-G466,0)</f>
        <v/>
      </c>
      <c r="K466" s="16" t="n"/>
      <c r="L466" s="16" t="n"/>
      <c r="M466" s="16" t="n"/>
      <c r="N466" s="16" t="n"/>
      <c r="O466" s="16" t="n"/>
    </row>
    <row r="467">
      <c r="A467" s="17" t="inlineStr">
        <is>
          <t>TRK-0464</t>
        </is>
      </c>
      <c r="B467" s="16" t="n"/>
      <c r="C467" s="16" t="n"/>
      <c r="D467" s="16" t="n"/>
      <c r="E467" s="16" t="n"/>
      <c r="F467" s="16" t="n"/>
      <c r="G467" s="16" t="n"/>
      <c r="H467" s="16" t="n"/>
      <c r="I467" s="16">
        <f>IF(H467&lt;&gt;"","Completed",IF(TODAY()&gt;G467,"Overdue",IF(F467&lt;&gt;"","In Progress","Not Started")))</f>
        <v/>
      </c>
      <c r="J467" s="18">
        <f>IF(I467="Overdue",TODAY()-G467,0)</f>
        <v/>
      </c>
      <c r="K467" s="16" t="n"/>
      <c r="L467" s="16" t="n"/>
      <c r="M467" s="16" t="n"/>
      <c r="N467" s="16" t="n"/>
      <c r="O467" s="16" t="n"/>
    </row>
    <row r="468">
      <c r="A468" s="17" t="inlineStr">
        <is>
          <t>TRK-0465</t>
        </is>
      </c>
      <c r="B468" s="16" t="n"/>
      <c r="C468" s="16" t="n"/>
      <c r="D468" s="16" t="n"/>
      <c r="E468" s="16" t="n"/>
      <c r="F468" s="16" t="n"/>
      <c r="G468" s="16" t="n"/>
      <c r="H468" s="16" t="n"/>
      <c r="I468" s="16">
        <f>IF(H468&lt;&gt;"","Completed",IF(TODAY()&gt;G468,"Overdue",IF(F468&lt;&gt;"","In Progress","Not Started")))</f>
        <v/>
      </c>
      <c r="J468" s="18">
        <f>IF(I468="Overdue",TODAY()-G468,0)</f>
        <v/>
      </c>
      <c r="K468" s="16" t="n"/>
      <c r="L468" s="16" t="n"/>
      <c r="M468" s="16" t="n"/>
      <c r="N468" s="16" t="n"/>
      <c r="O468" s="16" t="n"/>
    </row>
    <row r="469">
      <c r="A469" s="17" t="inlineStr">
        <is>
          <t>TRK-0466</t>
        </is>
      </c>
      <c r="B469" s="16" t="n"/>
      <c r="C469" s="16" t="n"/>
      <c r="D469" s="16" t="n"/>
      <c r="E469" s="16" t="n"/>
      <c r="F469" s="16" t="n"/>
      <c r="G469" s="16" t="n"/>
      <c r="H469" s="16" t="n"/>
      <c r="I469" s="16">
        <f>IF(H469&lt;&gt;"","Completed",IF(TODAY()&gt;G469,"Overdue",IF(F469&lt;&gt;"","In Progress","Not Started")))</f>
        <v/>
      </c>
      <c r="J469" s="18">
        <f>IF(I469="Overdue",TODAY()-G469,0)</f>
        <v/>
      </c>
      <c r="K469" s="16" t="n"/>
      <c r="L469" s="16" t="n"/>
      <c r="M469" s="16" t="n"/>
      <c r="N469" s="16" t="n"/>
      <c r="O469" s="16" t="n"/>
    </row>
    <row r="470">
      <c r="A470" s="17" t="inlineStr">
        <is>
          <t>TRK-0467</t>
        </is>
      </c>
      <c r="B470" s="16" t="n"/>
      <c r="C470" s="16" t="n"/>
      <c r="D470" s="16" t="n"/>
      <c r="E470" s="16" t="n"/>
      <c r="F470" s="16" t="n"/>
      <c r="G470" s="16" t="n"/>
      <c r="H470" s="16" t="n"/>
      <c r="I470" s="16">
        <f>IF(H470&lt;&gt;"","Completed",IF(TODAY()&gt;G470,"Overdue",IF(F470&lt;&gt;"","In Progress","Not Started")))</f>
        <v/>
      </c>
      <c r="J470" s="18">
        <f>IF(I470="Overdue",TODAY()-G470,0)</f>
        <v/>
      </c>
      <c r="K470" s="16" t="n"/>
      <c r="L470" s="16" t="n"/>
      <c r="M470" s="16" t="n"/>
      <c r="N470" s="16" t="n"/>
      <c r="O470" s="16" t="n"/>
    </row>
    <row r="471">
      <c r="A471" s="17" t="inlineStr">
        <is>
          <t>TRK-0468</t>
        </is>
      </c>
      <c r="B471" s="16" t="n"/>
      <c r="C471" s="16" t="n"/>
      <c r="D471" s="16" t="n"/>
      <c r="E471" s="16" t="n"/>
      <c r="F471" s="16" t="n"/>
      <c r="G471" s="16" t="n"/>
      <c r="H471" s="16" t="n"/>
      <c r="I471" s="16">
        <f>IF(H471&lt;&gt;"","Completed",IF(TODAY()&gt;G471,"Overdue",IF(F471&lt;&gt;"","In Progress","Not Started")))</f>
        <v/>
      </c>
      <c r="J471" s="18">
        <f>IF(I471="Overdue",TODAY()-G471,0)</f>
        <v/>
      </c>
      <c r="K471" s="16" t="n"/>
      <c r="L471" s="16" t="n"/>
      <c r="M471" s="16" t="n"/>
      <c r="N471" s="16" t="n"/>
      <c r="O471" s="16" t="n"/>
    </row>
    <row r="472">
      <c r="A472" s="17" t="inlineStr">
        <is>
          <t>TRK-0469</t>
        </is>
      </c>
      <c r="B472" s="16" t="n"/>
      <c r="C472" s="16" t="n"/>
      <c r="D472" s="16" t="n"/>
      <c r="E472" s="16" t="n"/>
      <c r="F472" s="16" t="n"/>
      <c r="G472" s="16" t="n"/>
      <c r="H472" s="16" t="n"/>
      <c r="I472" s="16">
        <f>IF(H472&lt;&gt;"","Completed",IF(TODAY()&gt;G472,"Overdue",IF(F472&lt;&gt;"","In Progress","Not Started")))</f>
        <v/>
      </c>
      <c r="J472" s="18">
        <f>IF(I472="Overdue",TODAY()-G472,0)</f>
        <v/>
      </c>
      <c r="K472" s="16" t="n"/>
      <c r="L472" s="16" t="n"/>
      <c r="M472" s="16" t="n"/>
      <c r="N472" s="16" t="n"/>
      <c r="O472" s="16" t="n"/>
    </row>
    <row r="473">
      <c r="A473" s="17" t="inlineStr">
        <is>
          <t>TRK-0470</t>
        </is>
      </c>
      <c r="B473" s="16" t="n"/>
      <c r="C473" s="16" t="n"/>
      <c r="D473" s="16" t="n"/>
      <c r="E473" s="16" t="n"/>
      <c r="F473" s="16" t="n"/>
      <c r="G473" s="16" t="n"/>
      <c r="H473" s="16" t="n"/>
      <c r="I473" s="16">
        <f>IF(H473&lt;&gt;"","Completed",IF(TODAY()&gt;G473,"Overdue",IF(F473&lt;&gt;"","In Progress","Not Started")))</f>
        <v/>
      </c>
      <c r="J473" s="18">
        <f>IF(I473="Overdue",TODAY()-G473,0)</f>
        <v/>
      </c>
      <c r="K473" s="16" t="n"/>
      <c r="L473" s="16" t="n"/>
      <c r="M473" s="16" t="n"/>
      <c r="N473" s="16" t="n"/>
      <c r="O473" s="16" t="n"/>
    </row>
    <row r="474">
      <c r="A474" s="17" t="inlineStr">
        <is>
          <t>TRK-0471</t>
        </is>
      </c>
      <c r="B474" s="16" t="n"/>
      <c r="C474" s="16" t="n"/>
      <c r="D474" s="16" t="n"/>
      <c r="E474" s="16" t="n"/>
      <c r="F474" s="16" t="n"/>
      <c r="G474" s="16" t="n"/>
      <c r="H474" s="16" t="n"/>
      <c r="I474" s="16">
        <f>IF(H474&lt;&gt;"","Completed",IF(TODAY()&gt;G474,"Overdue",IF(F474&lt;&gt;"","In Progress","Not Started")))</f>
        <v/>
      </c>
      <c r="J474" s="18">
        <f>IF(I474="Overdue",TODAY()-G474,0)</f>
        <v/>
      </c>
      <c r="K474" s="16" t="n"/>
      <c r="L474" s="16" t="n"/>
      <c r="M474" s="16" t="n"/>
      <c r="N474" s="16" t="n"/>
      <c r="O474" s="16" t="n"/>
    </row>
    <row r="475">
      <c r="A475" s="17" t="inlineStr">
        <is>
          <t>TRK-0472</t>
        </is>
      </c>
      <c r="B475" s="16" t="n"/>
      <c r="C475" s="16" t="n"/>
      <c r="D475" s="16" t="n"/>
      <c r="E475" s="16" t="n"/>
      <c r="F475" s="16" t="n"/>
      <c r="G475" s="16" t="n"/>
      <c r="H475" s="16" t="n"/>
      <c r="I475" s="16">
        <f>IF(H475&lt;&gt;"","Completed",IF(TODAY()&gt;G475,"Overdue",IF(F475&lt;&gt;"","In Progress","Not Started")))</f>
        <v/>
      </c>
      <c r="J475" s="18">
        <f>IF(I475="Overdue",TODAY()-G475,0)</f>
        <v/>
      </c>
      <c r="K475" s="16" t="n"/>
      <c r="L475" s="16" t="n"/>
      <c r="M475" s="16" t="n"/>
      <c r="N475" s="16" t="n"/>
      <c r="O475" s="16" t="n"/>
    </row>
    <row r="476">
      <c r="A476" s="17" t="inlineStr">
        <is>
          <t>TRK-0473</t>
        </is>
      </c>
      <c r="B476" s="16" t="n"/>
      <c r="C476" s="16" t="n"/>
      <c r="D476" s="16" t="n"/>
      <c r="E476" s="16" t="n"/>
      <c r="F476" s="16" t="n"/>
      <c r="G476" s="16" t="n"/>
      <c r="H476" s="16" t="n"/>
      <c r="I476" s="16">
        <f>IF(H476&lt;&gt;"","Completed",IF(TODAY()&gt;G476,"Overdue",IF(F476&lt;&gt;"","In Progress","Not Started")))</f>
        <v/>
      </c>
      <c r="J476" s="18">
        <f>IF(I476="Overdue",TODAY()-G476,0)</f>
        <v/>
      </c>
      <c r="K476" s="16" t="n"/>
      <c r="L476" s="16" t="n"/>
      <c r="M476" s="16" t="n"/>
      <c r="N476" s="16" t="n"/>
      <c r="O476" s="16" t="n"/>
    </row>
    <row r="477">
      <c r="A477" s="17" t="inlineStr">
        <is>
          <t>TRK-0474</t>
        </is>
      </c>
      <c r="B477" s="16" t="n"/>
      <c r="C477" s="16" t="n"/>
      <c r="D477" s="16" t="n"/>
      <c r="E477" s="16" t="n"/>
      <c r="F477" s="16" t="n"/>
      <c r="G477" s="16" t="n"/>
      <c r="H477" s="16" t="n"/>
      <c r="I477" s="16">
        <f>IF(H477&lt;&gt;"","Completed",IF(TODAY()&gt;G477,"Overdue",IF(F477&lt;&gt;"","In Progress","Not Started")))</f>
        <v/>
      </c>
      <c r="J477" s="18">
        <f>IF(I477="Overdue",TODAY()-G477,0)</f>
        <v/>
      </c>
      <c r="K477" s="16" t="n"/>
      <c r="L477" s="16" t="n"/>
      <c r="M477" s="16" t="n"/>
      <c r="N477" s="16" t="n"/>
      <c r="O477" s="16" t="n"/>
    </row>
    <row r="478">
      <c r="A478" s="17" t="inlineStr">
        <is>
          <t>TRK-0475</t>
        </is>
      </c>
      <c r="B478" s="16" t="n"/>
      <c r="C478" s="16" t="n"/>
      <c r="D478" s="16" t="n"/>
      <c r="E478" s="16" t="n"/>
      <c r="F478" s="16" t="n"/>
      <c r="G478" s="16" t="n"/>
      <c r="H478" s="16" t="n"/>
      <c r="I478" s="16">
        <f>IF(H478&lt;&gt;"","Completed",IF(TODAY()&gt;G478,"Overdue",IF(F478&lt;&gt;"","In Progress","Not Started")))</f>
        <v/>
      </c>
      <c r="J478" s="18">
        <f>IF(I478="Overdue",TODAY()-G478,0)</f>
        <v/>
      </c>
      <c r="K478" s="16" t="n"/>
      <c r="L478" s="16" t="n"/>
      <c r="M478" s="16" t="n"/>
      <c r="N478" s="16" t="n"/>
      <c r="O478" s="16" t="n"/>
    </row>
    <row r="479">
      <c r="A479" s="17" t="inlineStr">
        <is>
          <t>TRK-0476</t>
        </is>
      </c>
      <c r="B479" s="16" t="n"/>
      <c r="C479" s="16" t="n"/>
      <c r="D479" s="16" t="n"/>
      <c r="E479" s="16" t="n"/>
      <c r="F479" s="16" t="n"/>
      <c r="G479" s="16" t="n"/>
      <c r="H479" s="16" t="n"/>
      <c r="I479" s="16">
        <f>IF(H479&lt;&gt;"","Completed",IF(TODAY()&gt;G479,"Overdue",IF(F479&lt;&gt;"","In Progress","Not Started")))</f>
        <v/>
      </c>
      <c r="J479" s="18">
        <f>IF(I479="Overdue",TODAY()-G479,0)</f>
        <v/>
      </c>
      <c r="K479" s="16" t="n"/>
      <c r="L479" s="16" t="n"/>
      <c r="M479" s="16" t="n"/>
      <c r="N479" s="16" t="n"/>
      <c r="O479" s="16" t="n"/>
    </row>
    <row r="480">
      <c r="A480" s="17" t="inlineStr">
        <is>
          <t>TRK-0477</t>
        </is>
      </c>
      <c r="B480" s="16" t="n"/>
      <c r="C480" s="16" t="n"/>
      <c r="D480" s="16" t="n"/>
      <c r="E480" s="16" t="n"/>
      <c r="F480" s="16" t="n"/>
      <c r="G480" s="16" t="n"/>
      <c r="H480" s="16" t="n"/>
      <c r="I480" s="16">
        <f>IF(H480&lt;&gt;"","Completed",IF(TODAY()&gt;G480,"Overdue",IF(F480&lt;&gt;"","In Progress","Not Started")))</f>
        <v/>
      </c>
      <c r="J480" s="18">
        <f>IF(I480="Overdue",TODAY()-G480,0)</f>
        <v/>
      </c>
      <c r="K480" s="16" t="n"/>
      <c r="L480" s="16" t="n"/>
      <c r="M480" s="16" t="n"/>
      <c r="N480" s="16" t="n"/>
      <c r="O480" s="16" t="n"/>
    </row>
    <row r="481">
      <c r="A481" s="17" t="inlineStr">
        <is>
          <t>TRK-0478</t>
        </is>
      </c>
      <c r="B481" s="16" t="n"/>
      <c r="C481" s="16" t="n"/>
      <c r="D481" s="16" t="n"/>
      <c r="E481" s="16" t="n"/>
      <c r="F481" s="16" t="n"/>
      <c r="G481" s="16" t="n"/>
      <c r="H481" s="16" t="n"/>
      <c r="I481" s="16">
        <f>IF(H481&lt;&gt;"","Completed",IF(TODAY()&gt;G481,"Overdue",IF(F481&lt;&gt;"","In Progress","Not Started")))</f>
        <v/>
      </c>
      <c r="J481" s="18">
        <f>IF(I481="Overdue",TODAY()-G481,0)</f>
        <v/>
      </c>
      <c r="K481" s="16" t="n"/>
      <c r="L481" s="16" t="n"/>
      <c r="M481" s="16" t="n"/>
      <c r="N481" s="16" t="n"/>
      <c r="O481" s="16" t="n"/>
    </row>
    <row r="482">
      <c r="A482" s="17" t="inlineStr">
        <is>
          <t>TRK-0479</t>
        </is>
      </c>
      <c r="B482" s="16" t="n"/>
      <c r="C482" s="16" t="n"/>
      <c r="D482" s="16" t="n"/>
      <c r="E482" s="16" t="n"/>
      <c r="F482" s="16" t="n"/>
      <c r="G482" s="16" t="n"/>
      <c r="H482" s="16" t="n"/>
      <c r="I482" s="16">
        <f>IF(H482&lt;&gt;"","Completed",IF(TODAY()&gt;G482,"Overdue",IF(F482&lt;&gt;"","In Progress","Not Started")))</f>
        <v/>
      </c>
      <c r="J482" s="18">
        <f>IF(I482="Overdue",TODAY()-G482,0)</f>
        <v/>
      </c>
      <c r="K482" s="16" t="n"/>
      <c r="L482" s="16" t="n"/>
      <c r="M482" s="16" t="n"/>
      <c r="N482" s="16" t="n"/>
      <c r="O482" s="16" t="n"/>
    </row>
    <row r="483">
      <c r="A483" s="17" t="inlineStr">
        <is>
          <t>TRK-0480</t>
        </is>
      </c>
      <c r="B483" s="16" t="n"/>
      <c r="C483" s="16" t="n"/>
      <c r="D483" s="16" t="n"/>
      <c r="E483" s="16" t="n"/>
      <c r="F483" s="16" t="n"/>
      <c r="G483" s="16" t="n"/>
      <c r="H483" s="16" t="n"/>
      <c r="I483" s="16">
        <f>IF(H483&lt;&gt;"","Completed",IF(TODAY()&gt;G483,"Overdue",IF(F483&lt;&gt;"","In Progress","Not Started")))</f>
        <v/>
      </c>
      <c r="J483" s="18">
        <f>IF(I483="Overdue",TODAY()-G483,0)</f>
        <v/>
      </c>
      <c r="K483" s="16" t="n"/>
      <c r="L483" s="16" t="n"/>
      <c r="M483" s="16" t="n"/>
      <c r="N483" s="16" t="n"/>
      <c r="O483" s="16" t="n"/>
    </row>
    <row r="484">
      <c r="A484" s="17" t="inlineStr">
        <is>
          <t>TRK-0481</t>
        </is>
      </c>
      <c r="B484" s="16" t="n"/>
      <c r="C484" s="16" t="n"/>
      <c r="D484" s="16" t="n"/>
      <c r="E484" s="16" t="n"/>
      <c r="F484" s="16" t="n"/>
      <c r="G484" s="16" t="n"/>
      <c r="H484" s="16" t="n"/>
      <c r="I484" s="16">
        <f>IF(H484&lt;&gt;"","Completed",IF(TODAY()&gt;G484,"Overdue",IF(F484&lt;&gt;"","In Progress","Not Started")))</f>
        <v/>
      </c>
      <c r="J484" s="18">
        <f>IF(I484="Overdue",TODAY()-G484,0)</f>
        <v/>
      </c>
      <c r="K484" s="16" t="n"/>
      <c r="L484" s="16" t="n"/>
      <c r="M484" s="16" t="n"/>
      <c r="N484" s="16" t="n"/>
      <c r="O484" s="16" t="n"/>
    </row>
    <row r="485">
      <c r="A485" s="17" t="inlineStr">
        <is>
          <t>TRK-0482</t>
        </is>
      </c>
      <c r="B485" s="16" t="n"/>
      <c r="C485" s="16" t="n"/>
      <c r="D485" s="16" t="n"/>
      <c r="E485" s="16" t="n"/>
      <c r="F485" s="16" t="n"/>
      <c r="G485" s="16" t="n"/>
      <c r="H485" s="16" t="n"/>
      <c r="I485" s="16">
        <f>IF(H485&lt;&gt;"","Completed",IF(TODAY()&gt;G485,"Overdue",IF(F485&lt;&gt;"","In Progress","Not Started")))</f>
        <v/>
      </c>
      <c r="J485" s="18">
        <f>IF(I485="Overdue",TODAY()-G485,0)</f>
        <v/>
      </c>
      <c r="K485" s="16" t="n"/>
      <c r="L485" s="16" t="n"/>
      <c r="M485" s="16" t="n"/>
      <c r="N485" s="16" t="n"/>
      <c r="O485" s="16" t="n"/>
    </row>
    <row r="486">
      <c r="A486" s="17" t="inlineStr">
        <is>
          <t>TRK-0483</t>
        </is>
      </c>
      <c r="B486" s="16" t="n"/>
      <c r="C486" s="16" t="n"/>
      <c r="D486" s="16" t="n"/>
      <c r="E486" s="16" t="n"/>
      <c r="F486" s="16" t="n"/>
      <c r="G486" s="16" t="n"/>
      <c r="H486" s="16" t="n"/>
      <c r="I486" s="16">
        <f>IF(H486&lt;&gt;"","Completed",IF(TODAY()&gt;G486,"Overdue",IF(F486&lt;&gt;"","In Progress","Not Started")))</f>
        <v/>
      </c>
      <c r="J486" s="18">
        <f>IF(I486="Overdue",TODAY()-G486,0)</f>
        <v/>
      </c>
      <c r="K486" s="16" t="n"/>
      <c r="L486" s="16" t="n"/>
      <c r="M486" s="16" t="n"/>
      <c r="N486" s="16" t="n"/>
      <c r="O486" s="16" t="n"/>
    </row>
    <row r="487">
      <c r="A487" s="17" t="inlineStr">
        <is>
          <t>TRK-0484</t>
        </is>
      </c>
      <c r="B487" s="16" t="n"/>
      <c r="C487" s="16" t="n"/>
      <c r="D487" s="16" t="n"/>
      <c r="E487" s="16" t="n"/>
      <c r="F487" s="16" t="n"/>
      <c r="G487" s="16" t="n"/>
      <c r="H487" s="16" t="n"/>
      <c r="I487" s="16">
        <f>IF(H487&lt;&gt;"","Completed",IF(TODAY()&gt;G487,"Overdue",IF(F487&lt;&gt;"","In Progress","Not Started")))</f>
        <v/>
      </c>
      <c r="J487" s="18">
        <f>IF(I487="Overdue",TODAY()-G487,0)</f>
        <v/>
      </c>
      <c r="K487" s="16" t="n"/>
      <c r="L487" s="16" t="n"/>
      <c r="M487" s="16" t="n"/>
      <c r="N487" s="16" t="n"/>
      <c r="O487" s="16" t="n"/>
    </row>
    <row r="488">
      <c r="A488" s="17" t="inlineStr">
        <is>
          <t>TRK-0485</t>
        </is>
      </c>
      <c r="B488" s="16" t="n"/>
      <c r="C488" s="16" t="n"/>
      <c r="D488" s="16" t="n"/>
      <c r="E488" s="16" t="n"/>
      <c r="F488" s="16" t="n"/>
      <c r="G488" s="16" t="n"/>
      <c r="H488" s="16" t="n"/>
      <c r="I488" s="16">
        <f>IF(H488&lt;&gt;"","Completed",IF(TODAY()&gt;G488,"Overdue",IF(F488&lt;&gt;"","In Progress","Not Started")))</f>
        <v/>
      </c>
      <c r="J488" s="18">
        <f>IF(I488="Overdue",TODAY()-G488,0)</f>
        <v/>
      </c>
      <c r="K488" s="16" t="n"/>
      <c r="L488" s="16" t="n"/>
      <c r="M488" s="16" t="n"/>
      <c r="N488" s="16" t="n"/>
      <c r="O488" s="16" t="n"/>
    </row>
    <row r="489">
      <c r="A489" s="17" t="inlineStr">
        <is>
          <t>TRK-0486</t>
        </is>
      </c>
      <c r="B489" s="16" t="n"/>
      <c r="C489" s="16" t="n"/>
      <c r="D489" s="16" t="n"/>
      <c r="E489" s="16" t="n"/>
      <c r="F489" s="16" t="n"/>
      <c r="G489" s="16" t="n"/>
      <c r="H489" s="16" t="n"/>
      <c r="I489" s="16">
        <f>IF(H489&lt;&gt;"","Completed",IF(TODAY()&gt;G489,"Overdue",IF(F489&lt;&gt;"","In Progress","Not Started")))</f>
        <v/>
      </c>
      <c r="J489" s="18">
        <f>IF(I489="Overdue",TODAY()-G489,0)</f>
        <v/>
      </c>
      <c r="K489" s="16" t="n"/>
      <c r="L489" s="16" t="n"/>
      <c r="M489" s="16" t="n"/>
      <c r="N489" s="16" t="n"/>
      <c r="O489" s="16" t="n"/>
    </row>
    <row r="490">
      <c r="A490" s="17" t="inlineStr">
        <is>
          <t>TRK-0487</t>
        </is>
      </c>
      <c r="B490" s="16" t="n"/>
      <c r="C490" s="16" t="n"/>
      <c r="D490" s="16" t="n"/>
      <c r="E490" s="16" t="n"/>
      <c r="F490" s="16" t="n"/>
      <c r="G490" s="16" t="n"/>
      <c r="H490" s="16" t="n"/>
      <c r="I490" s="16">
        <f>IF(H490&lt;&gt;"","Completed",IF(TODAY()&gt;G490,"Overdue",IF(F490&lt;&gt;"","In Progress","Not Started")))</f>
        <v/>
      </c>
      <c r="J490" s="18">
        <f>IF(I490="Overdue",TODAY()-G490,0)</f>
        <v/>
      </c>
      <c r="K490" s="16" t="n"/>
      <c r="L490" s="16" t="n"/>
      <c r="M490" s="16" t="n"/>
      <c r="N490" s="16" t="n"/>
      <c r="O490" s="16" t="n"/>
    </row>
    <row r="491">
      <c r="A491" s="17" t="inlineStr">
        <is>
          <t>TRK-0488</t>
        </is>
      </c>
      <c r="B491" s="16" t="n"/>
      <c r="C491" s="16" t="n"/>
      <c r="D491" s="16" t="n"/>
      <c r="E491" s="16" t="n"/>
      <c r="F491" s="16" t="n"/>
      <c r="G491" s="16" t="n"/>
      <c r="H491" s="16" t="n"/>
      <c r="I491" s="16">
        <f>IF(H491&lt;&gt;"","Completed",IF(TODAY()&gt;G491,"Overdue",IF(F491&lt;&gt;"","In Progress","Not Started")))</f>
        <v/>
      </c>
      <c r="J491" s="18">
        <f>IF(I491="Overdue",TODAY()-G491,0)</f>
        <v/>
      </c>
      <c r="K491" s="16" t="n"/>
      <c r="L491" s="16" t="n"/>
      <c r="M491" s="16" t="n"/>
      <c r="N491" s="16" t="n"/>
      <c r="O491" s="16" t="n"/>
    </row>
    <row r="492">
      <c r="A492" s="17" t="inlineStr">
        <is>
          <t>TRK-0489</t>
        </is>
      </c>
      <c r="B492" s="16" t="n"/>
      <c r="C492" s="16" t="n"/>
      <c r="D492" s="16" t="n"/>
      <c r="E492" s="16" t="n"/>
      <c r="F492" s="16" t="n"/>
      <c r="G492" s="16" t="n"/>
      <c r="H492" s="16" t="n"/>
      <c r="I492" s="16">
        <f>IF(H492&lt;&gt;"","Completed",IF(TODAY()&gt;G492,"Overdue",IF(F492&lt;&gt;"","In Progress","Not Started")))</f>
        <v/>
      </c>
      <c r="J492" s="18">
        <f>IF(I492="Overdue",TODAY()-G492,0)</f>
        <v/>
      </c>
      <c r="K492" s="16" t="n"/>
      <c r="L492" s="16" t="n"/>
      <c r="M492" s="16" t="n"/>
      <c r="N492" s="16" t="n"/>
      <c r="O492" s="16" t="n"/>
    </row>
    <row r="493">
      <c r="A493" s="17" t="inlineStr">
        <is>
          <t>TRK-0490</t>
        </is>
      </c>
      <c r="B493" s="16" t="n"/>
      <c r="C493" s="16" t="n"/>
      <c r="D493" s="16" t="n"/>
      <c r="E493" s="16" t="n"/>
      <c r="F493" s="16" t="n"/>
      <c r="G493" s="16" t="n"/>
      <c r="H493" s="16" t="n"/>
      <c r="I493" s="16">
        <f>IF(H493&lt;&gt;"","Completed",IF(TODAY()&gt;G493,"Overdue",IF(F493&lt;&gt;"","In Progress","Not Started")))</f>
        <v/>
      </c>
      <c r="J493" s="18">
        <f>IF(I493="Overdue",TODAY()-G493,0)</f>
        <v/>
      </c>
      <c r="K493" s="16" t="n"/>
      <c r="L493" s="16" t="n"/>
      <c r="M493" s="16" t="n"/>
      <c r="N493" s="16" t="n"/>
      <c r="O493" s="16" t="n"/>
    </row>
    <row r="494">
      <c r="A494" s="17" t="inlineStr">
        <is>
          <t>TRK-0491</t>
        </is>
      </c>
      <c r="B494" s="16" t="n"/>
      <c r="C494" s="16" t="n"/>
      <c r="D494" s="16" t="n"/>
      <c r="E494" s="16" t="n"/>
      <c r="F494" s="16" t="n"/>
      <c r="G494" s="16" t="n"/>
      <c r="H494" s="16" t="n"/>
      <c r="I494" s="16">
        <f>IF(H494&lt;&gt;"","Completed",IF(TODAY()&gt;G494,"Overdue",IF(F494&lt;&gt;"","In Progress","Not Started")))</f>
        <v/>
      </c>
      <c r="J494" s="18">
        <f>IF(I494="Overdue",TODAY()-G494,0)</f>
        <v/>
      </c>
      <c r="K494" s="16" t="n"/>
      <c r="L494" s="16" t="n"/>
      <c r="M494" s="16" t="n"/>
      <c r="N494" s="16" t="n"/>
      <c r="O494" s="16" t="n"/>
    </row>
    <row r="495">
      <c r="A495" s="17" t="inlineStr">
        <is>
          <t>TRK-0492</t>
        </is>
      </c>
      <c r="B495" s="16" t="n"/>
      <c r="C495" s="16" t="n"/>
      <c r="D495" s="16" t="n"/>
      <c r="E495" s="16" t="n"/>
      <c r="F495" s="16" t="n"/>
      <c r="G495" s="16" t="n"/>
      <c r="H495" s="16" t="n"/>
      <c r="I495" s="16">
        <f>IF(H495&lt;&gt;"","Completed",IF(TODAY()&gt;G495,"Overdue",IF(F495&lt;&gt;"","In Progress","Not Started")))</f>
        <v/>
      </c>
      <c r="J495" s="18">
        <f>IF(I495="Overdue",TODAY()-G495,0)</f>
        <v/>
      </c>
      <c r="K495" s="16" t="n"/>
      <c r="L495" s="16" t="n"/>
      <c r="M495" s="16" t="n"/>
      <c r="N495" s="16" t="n"/>
      <c r="O495" s="16" t="n"/>
    </row>
    <row r="496">
      <c r="A496" s="17" t="inlineStr">
        <is>
          <t>TRK-0493</t>
        </is>
      </c>
      <c r="B496" s="16" t="n"/>
      <c r="C496" s="16" t="n"/>
      <c r="D496" s="16" t="n"/>
      <c r="E496" s="16" t="n"/>
      <c r="F496" s="16" t="n"/>
      <c r="G496" s="16" t="n"/>
      <c r="H496" s="16" t="n"/>
      <c r="I496" s="16">
        <f>IF(H496&lt;&gt;"","Completed",IF(TODAY()&gt;G496,"Overdue",IF(F496&lt;&gt;"","In Progress","Not Started")))</f>
        <v/>
      </c>
      <c r="J496" s="18">
        <f>IF(I496="Overdue",TODAY()-G496,0)</f>
        <v/>
      </c>
      <c r="K496" s="16" t="n"/>
      <c r="L496" s="16" t="n"/>
      <c r="M496" s="16" t="n"/>
      <c r="N496" s="16" t="n"/>
      <c r="O496" s="16" t="n"/>
    </row>
    <row r="497">
      <c r="A497" s="17" t="inlineStr">
        <is>
          <t>TRK-0494</t>
        </is>
      </c>
      <c r="B497" s="16" t="n"/>
      <c r="C497" s="16" t="n"/>
      <c r="D497" s="16" t="n"/>
      <c r="E497" s="16" t="n"/>
      <c r="F497" s="16" t="n"/>
      <c r="G497" s="16" t="n"/>
      <c r="H497" s="16" t="n"/>
      <c r="I497" s="16">
        <f>IF(H497&lt;&gt;"","Completed",IF(TODAY()&gt;G497,"Overdue",IF(F497&lt;&gt;"","In Progress","Not Started")))</f>
        <v/>
      </c>
      <c r="J497" s="18">
        <f>IF(I497="Overdue",TODAY()-G497,0)</f>
        <v/>
      </c>
      <c r="K497" s="16" t="n"/>
      <c r="L497" s="16" t="n"/>
      <c r="M497" s="16" t="n"/>
      <c r="N497" s="16" t="n"/>
      <c r="O497" s="16" t="n"/>
    </row>
    <row r="498">
      <c r="A498" s="17" t="inlineStr">
        <is>
          <t>TRK-0495</t>
        </is>
      </c>
      <c r="B498" s="16" t="n"/>
      <c r="C498" s="16" t="n"/>
      <c r="D498" s="16" t="n"/>
      <c r="E498" s="16" t="n"/>
      <c r="F498" s="16" t="n"/>
      <c r="G498" s="16" t="n"/>
      <c r="H498" s="16" t="n"/>
      <c r="I498" s="16">
        <f>IF(H498&lt;&gt;"","Completed",IF(TODAY()&gt;G498,"Overdue",IF(F498&lt;&gt;"","In Progress","Not Started")))</f>
        <v/>
      </c>
      <c r="J498" s="18">
        <f>IF(I498="Overdue",TODAY()-G498,0)</f>
        <v/>
      </c>
      <c r="K498" s="16" t="n"/>
      <c r="L498" s="16" t="n"/>
      <c r="M498" s="16" t="n"/>
      <c r="N498" s="16" t="n"/>
      <c r="O498" s="16" t="n"/>
    </row>
    <row r="499">
      <c r="A499" s="17" t="inlineStr">
        <is>
          <t>TRK-0496</t>
        </is>
      </c>
      <c r="B499" s="16" t="n"/>
      <c r="C499" s="16" t="n"/>
      <c r="D499" s="16" t="n"/>
      <c r="E499" s="16" t="n"/>
      <c r="F499" s="16" t="n"/>
      <c r="G499" s="16" t="n"/>
      <c r="H499" s="16" t="n"/>
      <c r="I499" s="16">
        <f>IF(H499&lt;&gt;"","Completed",IF(TODAY()&gt;G499,"Overdue",IF(F499&lt;&gt;"","In Progress","Not Started")))</f>
        <v/>
      </c>
      <c r="J499" s="18">
        <f>IF(I499="Overdue",TODAY()-G499,0)</f>
        <v/>
      </c>
      <c r="K499" s="16" t="n"/>
      <c r="L499" s="16" t="n"/>
      <c r="M499" s="16" t="n"/>
      <c r="N499" s="16" t="n"/>
      <c r="O499" s="16" t="n"/>
    </row>
    <row r="500">
      <c r="A500" s="17" t="inlineStr">
        <is>
          <t>TRK-0497</t>
        </is>
      </c>
      <c r="B500" s="16" t="n"/>
      <c r="C500" s="16" t="n"/>
      <c r="D500" s="16" t="n"/>
      <c r="E500" s="16" t="n"/>
      <c r="F500" s="16" t="n"/>
      <c r="G500" s="16" t="n"/>
      <c r="H500" s="16" t="n"/>
      <c r="I500" s="16">
        <f>IF(H500&lt;&gt;"","Completed",IF(TODAY()&gt;G500,"Overdue",IF(F500&lt;&gt;"","In Progress","Not Started")))</f>
        <v/>
      </c>
      <c r="J500" s="18">
        <f>IF(I500="Overdue",TODAY()-G500,0)</f>
        <v/>
      </c>
      <c r="K500" s="16" t="n"/>
      <c r="L500" s="16" t="n"/>
      <c r="M500" s="16" t="n"/>
      <c r="N500" s="16" t="n"/>
      <c r="O500" s="16" t="n"/>
    </row>
    <row r="501">
      <c r="A501" s="17" t="inlineStr">
        <is>
          <t>TRK-0498</t>
        </is>
      </c>
      <c r="B501" s="16" t="n"/>
      <c r="C501" s="16" t="n"/>
      <c r="D501" s="16" t="n"/>
      <c r="E501" s="16" t="n"/>
      <c r="F501" s="16" t="n"/>
      <c r="G501" s="16" t="n"/>
      <c r="H501" s="16" t="n"/>
      <c r="I501" s="16">
        <f>IF(H501&lt;&gt;"","Completed",IF(TODAY()&gt;G501,"Overdue",IF(F501&lt;&gt;"","In Progress","Not Started")))</f>
        <v/>
      </c>
      <c r="J501" s="18">
        <f>IF(I501="Overdue",TODAY()-G501,0)</f>
        <v/>
      </c>
      <c r="K501" s="16" t="n"/>
      <c r="L501" s="16" t="n"/>
      <c r="M501" s="16" t="n"/>
      <c r="N501" s="16" t="n"/>
      <c r="O501" s="16" t="n"/>
    </row>
    <row r="502">
      <c r="A502" s="17" t="inlineStr">
        <is>
          <t>TRK-0499</t>
        </is>
      </c>
      <c r="B502" s="16" t="n"/>
      <c r="C502" s="16" t="n"/>
      <c r="D502" s="16" t="n"/>
      <c r="E502" s="16" t="n"/>
      <c r="F502" s="16" t="n"/>
      <c r="G502" s="16" t="n"/>
      <c r="H502" s="16" t="n"/>
      <c r="I502" s="16">
        <f>IF(H502&lt;&gt;"","Completed",IF(TODAY()&gt;G502,"Overdue",IF(F502&lt;&gt;"","In Progress","Not Started")))</f>
        <v/>
      </c>
      <c r="J502" s="18">
        <f>IF(I502="Overdue",TODAY()-G502,0)</f>
        <v/>
      </c>
      <c r="K502" s="16" t="n"/>
      <c r="L502" s="16" t="n"/>
      <c r="M502" s="16" t="n"/>
      <c r="N502" s="16" t="n"/>
      <c r="O502" s="16" t="n"/>
    </row>
    <row r="503">
      <c r="A503" s="17" t="inlineStr">
        <is>
          <t>TRK-0500</t>
        </is>
      </c>
      <c r="B503" s="16" t="n"/>
      <c r="C503" s="16" t="n"/>
      <c r="D503" s="16" t="n"/>
      <c r="E503" s="16" t="n"/>
      <c r="F503" s="16" t="n"/>
      <c r="G503" s="16" t="n"/>
      <c r="H503" s="16" t="n"/>
      <c r="I503" s="16">
        <f>IF(H503&lt;&gt;"","Completed",IF(TODAY()&gt;G503,"Overdue",IF(F503&lt;&gt;"","In Progress","Not Started")))</f>
        <v/>
      </c>
      <c r="J503" s="18">
        <f>IF(I503="Overdue",TODAY()-G503,0)</f>
        <v/>
      </c>
      <c r="K503" s="16" t="n"/>
      <c r="L503" s="16" t="n"/>
      <c r="M503" s="16" t="n"/>
      <c r="N503" s="16" t="n"/>
      <c r="O503" s="16" t="n"/>
    </row>
    <row r="504">
      <c r="A504" s="17" t="inlineStr">
        <is>
          <t>TRK-0501</t>
        </is>
      </c>
      <c r="B504" s="16" t="n"/>
      <c r="C504" s="16" t="n"/>
      <c r="D504" s="16" t="n"/>
      <c r="E504" s="16" t="n"/>
      <c r="F504" s="16" t="n"/>
      <c r="G504" s="16" t="n"/>
      <c r="H504" s="16" t="n"/>
      <c r="I504" s="16">
        <f>IF(H504&lt;&gt;"","Completed",IF(TODAY()&gt;G504,"Overdue",IF(F504&lt;&gt;"","In Progress","Not Started")))</f>
        <v/>
      </c>
      <c r="J504" s="18">
        <f>IF(I504="Overdue",TODAY()-G504,0)</f>
        <v/>
      </c>
      <c r="K504" s="16" t="n"/>
      <c r="L504" s="16" t="n"/>
      <c r="M504" s="16" t="n"/>
      <c r="N504" s="16" t="n"/>
      <c r="O504" s="16" t="n"/>
    </row>
    <row r="505">
      <c r="A505" s="17" t="inlineStr">
        <is>
          <t>TRK-0502</t>
        </is>
      </c>
      <c r="B505" s="16" t="n"/>
      <c r="C505" s="16" t="n"/>
      <c r="D505" s="16" t="n"/>
      <c r="E505" s="16" t="n"/>
      <c r="F505" s="16" t="n"/>
      <c r="G505" s="16" t="n"/>
      <c r="H505" s="16" t="n"/>
      <c r="I505" s="16">
        <f>IF(H505&lt;&gt;"","Completed",IF(TODAY()&gt;G505,"Overdue",IF(F505&lt;&gt;"","In Progress","Not Started")))</f>
        <v/>
      </c>
      <c r="J505" s="18">
        <f>IF(I505="Overdue",TODAY()-G505,0)</f>
        <v/>
      </c>
      <c r="K505" s="16" t="n"/>
      <c r="L505" s="16" t="n"/>
      <c r="M505" s="16" t="n"/>
      <c r="N505" s="16" t="n"/>
      <c r="O505" s="16" t="n"/>
    </row>
    <row r="506">
      <c r="A506" s="17" t="inlineStr">
        <is>
          <t>TRK-0503</t>
        </is>
      </c>
      <c r="B506" s="16" t="n"/>
      <c r="C506" s="16" t="n"/>
      <c r="D506" s="16" t="n"/>
      <c r="E506" s="16" t="n"/>
      <c r="F506" s="16" t="n"/>
      <c r="G506" s="16" t="n"/>
      <c r="H506" s="16" t="n"/>
      <c r="I506" s="16">
        <f>IF(H506&lt;&gt;"","Completed",IF(TODAY()&gt;G506,"Overdue",IF(F506&lt;&gt;"","In Progress","Not Started")))</f>
        <v/>
      </c>
      <c r="J506" s="18">
        <f>IF(I506="Overdue",TODAY()-G506,0)</f>
        <v/>
      </c>
      <c r="K506" s="16" t="n"/>
      <c r="L506" s="16" t="n"/>
      <c r="M506" s="16" t="n"/>
      <c r="N506" s="16" t="n"/>
      <c r="O506" s="16" t="n"/>
    </row>
    <row r="507">
      <c r="A507" s="17" t="inlineStr">
        <is>
          <t>TRK-0504</t>
        </is>
      </c>
      <c r="B507" s="16" t="n"/>
      <c r="C507" s="16" t="n"/>
      <c r="D507" s="16" t="n"/>
      <c r="E507" s="16" t="n"/>
      <c r="F507" s="16" t="n"/>
      <c r="G507" s="16" t="n"/>
      <c r="H507" s="16" t="n"/>
      <c r="I507" s="16">
        <f>IF(H507&lt;&gt;"","Completed",IF(TODAY()&gt;G507,"Overdue",IF(F507&lt;&gt;"","In Progress","Not Started")))</f>
        <v/>
      </c>
      <c r="J507" s="18">
        <f>IF(I507="Overdue",TODAY()-G507,0)</f>
        <v/>
      </c>
      <c r="K507" s="16" t="n"/>
      <c r="L507" s="16" t="n"/>
      <c r="M507" s="16" t="n"/>
      <c r="N507" s="16" t="n"/>
      <c r="O507" s="16" t="n"/>
    </row>
    <row r="508">
      <c r="A508" s="17" t="inlineStr">
        <is>
          <t>TRK-0505</t>
        </is>
      </c>
      <c r="B508" s="16" t="n"/>
      <c r="C508" s="16" t="n"/>
      <c r="D508" s="16" t="n"/>
      <c r="E508" s="16" t="n"/>
      <c r="F508" s="16" t="n"/>
      <c r="G508" s="16" t="n"/>
      <c r="H508" s="16" t="n"/>
      <c r="I508" s="16">
        <f>IF(H508&lt;&gt;"","Completed",IF(TODAY()&gt;G508,"Overdue",IF(F508&lt;&gt;"","In Progress","Not Started")))</f>
        <v/>
      </c>
      <c r="J508" s="18">
        <f>IF(I508="Overdue",TODAY()-G508,0)</f>
        <v/>
      </c>
      <c r="K508" s="16" t="n"/>
      <c r="L508" s="16" t="n"/>
      <c r="M508" s="16" t="n"/>
      <c r="N508" s="16" t="n"/>
      <c r="O508" s="16" t="n"/>
    </row>
    <row r="509">
      <c r="A509" s="17" t="inlineStr">
        <is>
          <t>TRK-0506</t>
        </is>
      </c>
      <c r="B509" s="16" t="n"/>
      <c r="C509" s="16" t="n"/>
      <c r="D509" s="16" t="n"/>
      <c r="E509" s="16" t="n"/>
      <c r="F509" s="16" t="n"/>
      <c r="G509" s="16" t="n"/>
      <c r="H509" s="16" t="n"/>
      <c r="I509" s="16">
        <f>IF(H509&lt;&gt;"","Completed",IF(TODAY()&gt;G509,"Overdue",IF(F509&lt;&gt;"","In Progress","Not Started")))</f>
        <v/>
      </c>
      <c r="J509" s="18">
        <f>IF(I509="Overdue",TODAY()-G509,0)</f>
        <v/>
      </c>
      <c r="K509" s="16" t="n"/>
      <c r="L509" s="16" t="n"/>
      <c r="M509" s="16" t="n"/>
      <c r="N509" s="16" t="n"/>
      <c r="O509" s="16" t="n"/>
    </row>
    <row r="510">
      <c r="A510" s="17" t="inlineStr">
        <is>
          <t>TRK-0507</t>
        </is>
      </c>
      <c r="B510" s="16" t="n"/>
      <c r="C510" s="16" t="n"/>
      <c r="D510" s="16" t="n"/>
      <c r="E510" s="16" t="n"/>
      <c r="F510" s="16" t="n"/>
      <c r="G510" s="16" t="n"/>
      <c r="H510" s="16" t="n"/>
      <c r="I510" s="16">
        <f>IF(H510&lt;&gt;"","Completed",IF(TODAY()&gt;G510,"Overdue",IF(F510&lt;&gt;"","In Progress","Not Started")))</f>
        <v/>
      </c>
      <c r="J510" s="18">
        <f>IF(I510="Overdue",TODAY()-G510,0)</f>
        <v/>
      </c>
      <c r="K510" s="16" t="n"/>
      <c r="L510" s="16" t="n"/>
      <c r="M510" s="16" t="n"/>
      <c r="N510" s="16" t="n"/>
      <c r="O510" s="16" t="n"/>
    </row>
    <row r="511">
      <c r="A511" s="17" t="inlineStr">
        <is>
          <t>TRK-0508</t>
        </is>
      </c>
      <c r="B511" s="16" t="n"/>
      <c r="C511" s="16" t="n"/>
      <c r="D511" s="16" t="n"/>
      <c r="E511" s="16" t="n"/>
      <c r="F511" s="16" t="n"/>
      <c r="G511" s="16" t="n"/>
      <c r="H511" s="16" t="n"/>
      <c r="I511" s="16">
        <f>IF(H511&lt;&gt;"","Completed",IF(TODAY()&gt;G511,"Overdue",IF(F511&lt;&gt;"","In Progress","Not Started")))</f>
        <v/>
      </c>
      <c r="J511" s="18">
        <f>IF(I511="Overdue",TODAY()-G511,0)</f>
        <v/>
      </c>
      <c r="K511" s="16" t="n"/>
      <c r="L511" s="16" t="n"/>
      <c r="M511" s="16" t="n"/>
      <c r="N511" s="16" t="n"/>
      <c r="O511" s="16" t="n"/>
    </row>
    <row r="512">
      <c r="A512" s="17" t="inlineStr">
        <is>
          <t>TRK-0509</t>
        </is>
      </c>
      <c r="B512" s="16" t="n"/>
      <c r="C512" s="16" t="n"/>
      <c r="D512" s="16" t="n"/>
      <c r="E512" s="16" t="n"/>
      <c r="F512" s="16" t="n"/>
      <c r="G512" s="16" t="n"/>
      <c r="H512" s="16" t="n"/>
      <c r="I512" s="16">
        <f>IF(H512&lt;&gt;"","Completed",IF(TODAY()&gt;G512,"Overdue",IF(F512&lt;&gt;"","In Progress","Not Started")))</f>
        <v/>
      </c>
      <c r="J512" s="18">
        <f>IF(I512="Overdue",TODAY()-G512,0)</f>
        <v/>
      </c>
      <c r="K512" s="16" t="n"/>
      <c r="L512" s="16" t="n"/>
      <c r="M512" s="16" t="n"/>
      <c r="N512" s="16" t="n"/>
      <c r="O512" s="16" t="n"/>
    </row>
    <row r="513">
      <c r="A513" s="17" t="inlineStr">
        <is>
          <t>TRK-0510</t>
        </is>
      </c>
      <c r="B513" s="16" t="n"/>
      <c r="C513" s="16" t="n"/>
      <c r="D513" s="16" t="n"/>
      <c r="E513" s="16" t="n"/>
      <c r="F513" s="16" t="n"/>
      <c r="G513" s="16" t="n"/>
      <c r="H513" s="16" t="n"/>
      <c r="I513" s="16">
        <f>IF(H513&lt;&gt;"","Completed",IF(TODAY()&gt;G513,"Overdue",IF(F513&lt;&gt;"","In Progress","Not Started")))</f>
        <v/>
      </c>
      <c r="J513" s="18">
        <f>IF(I513="Overdue",TODAY()-G513,0)</f>
        <v/>
      </c>
      <c r="K513" s="16" t="n"/>
      <c r="L513" s="16" t="n"/>
      <c r="M513" s="16" t="n"/>
      <c r="N513" s="16" t="n"/>
      <c r="O513" s="16" t="n"/>
    </row>
    <row r="514">
      <c r="A514" s="17" t="inlineStr">
        <is>
          <t>TRK-0511</t>
        </is>
      </c>
      <c r="B514" s="16" t="n"/>
      <c r="C514" s="16" t="n"/>
      <c r="D514" s="16" t="n"/>
      <c r="E514" s="16" t="n"/>
      <c r="F514" s="16" t="n"/>
      <c r="G514" s="16" t="n"/>
      <c r="H514" s="16" t="n"/>
      <c r="I514" s="16">
        <f>IF(H514&lt;&gt;"","Completed",IF(TODAY()&gt;G514,"Overdue",IF(F514&lt;&gt;"","In Progress","Not Started")))</f>
        <v/>
      </c>
      <c r="J514" s="18">
        <f>IF(I514="Overdue",TODAY()-G514,0)</f>
        <v/>
      </c>
      <c r="K514" s="16" t="n"/>
      <c r="L514" s="16" t="n"/>
      <c r="M514" s="16" t="n"/>
      <c r="N514" s="16" t="n"/>
      <c r="O514" s="16" t="n"/>
    </row>
    <row r="515">
      <c r="A515" s="17" t="inlineStr">
        <is>
          <t>TRK-0512</t>
        </is>
      </c>
      <c r="B515" s="16" t="n"/>
      <c r="C515" s="16" t="n"/>
      <c r="D515" s="16" t="n"/>
      <c r="E515" s="16" t="n"/>
      <c r="F515" s="16" t="n"/>
      <c r="G515" s="16" t="n"/>
      <c r="H515" s="16" t="n"/>
      <c r="I515" s="16">
        <f>IF(H515&lt;&gt;"","Completed",IF(TODAY()&gt;G515,"Overdue",IF(F515&lt;&gt;"","In Progress","Not Started")))</f>
        <v/>
      </c>
      <c r="J515" s="18">
        <f>IF(I515="Overdue",TODAY()-G515,0)</f>
        <v/>
      </c>
      <c r="K515" s="16" t="n"/>
      <c r="L515" s="16" t="n"/>
      <c r="M515" s="16" t="n"/>
      <c r="N515" s="16" t="n"/>
      <c r="O515" s="16" t="n"/>
    </row>
    <row r="516">
      <c r="A516" s="17" t="inlineStr">
        <is>
          <t>TRK-0513</t>
        </is>
      </c>
      <c r="B516" s="16" t="n"/>
      <c r="C516" s="16" t="n"/>
      <c r="D516" s="16" t="n"/>
      <c r="E516" s="16" t="n"/>
      <c r="F516" s="16" t="n"/>
      <c r="G516" s="16" t="n"/>
      <c r="H516" s="16" t="n"/>
      <c r="I516" s="16">
        <f>IF(H516&lt;&gt;"","Completed",IF(TODAY()&gt;G516,"Overdue",IF(F516&lt;&gt;"","In Progress","Not Started")))</f>
        <v/>
      </c>
      <c r="J516" s="18">
        <f>IF(I516="Overdue",TODAY()-G516,0)</f>
        <v/>
      </c>
      <c r="K516" s="16" t="n"/>
      <c r="L516" s="16" t="n"/>
      <c r="M516" s="16" t="n"/>
      <c r="N516" s="16" t="n"/>
      <c r="O516" s="16" t="n"/>
    </row>
    <row r="517">
      <c r="A517" s="17" t="inlineStr">
        <is>
          <t>TRK-0514</t>
        </is>
      </c>
      <c r="B517" s="16" t="n"/>
      <c r="C517" s="16" t="n"/>
      <c r="D517" s="16" t="n"/>
      <c r="E517" s="16" t="n"/>
      <c r="F517" s="16" t="n"/>
      <c r="G517" s="16" t="n"/>
      <c r="H517" s="16" t="n"/>
      <c r="I517" s="16">
        <f>IF(H517&lt;&gt;"","Completed",IF(TODAY()&gt;G517,"Overdue",IF(F517&lt;&gt;"","In Progress","Not Started")))</f>
        <v/>
      </c>
      <c r="J517" s="18">
        <f>IF(I517="Overdue",TODAY()-G517,0)</f>
        <v/>
      </c>
      <c r="K517" s="16" t="n"/>
      <c r="L517" s="16" t="n"/>
      <c r="M517" s="16" t="n"/>
      <c r="N517" s="16" t="n"/>
      <c r="O517" s="16" t="n"/>
    </row>
    <row r="518">
      <c r="A518" s="17" t="inlineStr">
        <is>
          <t>TRK-0515</t>
        </is>
      </c>
      <c r="B518" s="16" t="n"/>
      <c r="C518" s="16" t="n"/>
      <c r="D518" s="16" t="n"/>
      <c r="E518" s="16" t="n"/>
      <c r="F518" s="16" t="n"/>
      <c r="G518" s="16" t="n"/>
      <c r="H518" s="16" t="n"/>
      <c r="I518" s="16">
        <f>IF(H518&lt;&gt;"","Completed",IF(TODAY()&gt;G518,"Overdue",IF(F518&lt;&gt;"","In Progress","Not Started")))</f>
        <v/>
      </c>
      <c r="J518" s="18">
        <f>IF(I518="Overdue",TODAY()-G518,0)</f>
        <v/>
      </c>
      <c r="K518" s="16" t="n"/>
      <c r="L518" s="16" t="n"/>
      <c r="M518" s="16" t="n"/>
      <c r="N518" s="16" t="n"/>
      <c r="O518" s="16" t="n"/>
    </row>
    <row r="519">
      <c r="A519" s="17" t="inlineStr">
        <is>
          <t>TRK-0516</t>
        </is>
      </c>
      <c r="B519" s="16" t="n"/>
      <c r="C519" s="16" t="n"/>
      <c r="D519" s="16" t="n"/>
      <c r="E519" s="16" t="n"/>
      <c r="F519" s="16" t="n"/>
      <c r="G519" s="16" t="n"/>
      <c r="H519" s="16" t="n"/>
      <c r="I519" s="16">
        <f>IF(H519&lt;&gt;"","Completed",IF(TODAY()&gt;G519,"Overdue",IF(F519&lt;&gt;"","In Progress","Not Started")))</f>
        <v/>
      </c>
      <c r="J519" s="18">
        <f>IF(I519="Overdue",TODAY()-G519,0)</f>
        <v/>
      </c>
      <c r="K519" s="16" t="n"/>
      <c r="L519" s="16" t="n"/>
      <c r="M519" s="16" t="n"/>
      <c r="N519" s="16" t="n"/>
      <c r="O519" s="16" t="n"/>
    </row>
    <row r="520">
      <c r="A520" s="17" t="inlineStr">
        <is>
          <t>TRK-0517</t>
        </is>
      </c>
      <c r="B520" s="16" t="n"/>
      <c r="C520" s="16" t="n"/>
      <c r="D520" s="16" t="n"/>
      <c r="E520" s="16" t="n"/>
      <c r="F520" s="16" t="n"/>
      <c r="G520" s="16" t="n"/>
      <c r="H520" s="16" t="n"/>
      <c r="I520" s="16">
        <f>IF(H520&lt;&gt;"","Completed",IF(TODAY()&gt;G520,"Overdue",IF(F520&lt;&gt;"","In Progress","Not Started")))</f>
        <v/>
      </c>
      <c r="J520" s="18">
        <f>IF(I520="Overdue",TODAY()-G520,0)</f>
        <v/>
      </c>
      <c r="K520" s="16" t="n"/>
      <c r="L520" s="16" t="n"/>
      <c r="M520" s="16" t="n"/>
      <c r="N520" s="16" t="n"/>
      <c r="O520" s="16" t="n"/>
    </row>
    <row r="521">
      <c r="A521" s="17" t="inlineStr">
        <is>
          <t>TRK-0518</t>
        </is>
      </c>
      <c r="B521" s="16" t="n"/>
      <c r="C521" s="16" t="n"/>
      <c r="D521" s="16" t="n"/>
      <c r="E521" s="16" t="n"/>
      <c r="F521" s="16" t="n"/>
      <c r="G521" s="16" t="n"/>
      <c r="H521" s="16" t="n"/>
      <c r="I521" s="16">
        <f>IF(H521&lt;&gt;"","Completed",IF(TODAY()&gt;G521,"Overdue",IF(F521&lt;&gt;"","In Progress","Not Started")))</f>
        <v/>
      </c>
      <c r="J521" s="18">
        <f>IF(I521="Overdue",TODAY()-G521,0)</f>
        <v/>
      </c>
      <c r="K521" s="16" t="n"/>
      <c r="L521" s="16" t="n"/>
      <c r="M521" s="16" t="n"/>
      <c r="N521" s="16" t="n"/>
      <c r="O521" s="16" t="n"/>
    </row>
    <row r="522">
      <c r="A522" s="17" t="inlineStr">
        <is>
          <t>TRK-0519</t>
        </is>
      </c>
      <c r="B522" s="16" t="n"/>
      <c r="C522" s="16" t="n"/>
      <c r="D522" s="16" t="n"/>
      <c r="E522" s="16" t="n"/>
      <c r="F522" s="16" t="n"/>
      <c r="G522" s="16" t="n"/>
      <c r="H522" s="16" t="n"/>
      <c r="I522" s="16">
        <f>IF(H522&lt;&gt;"","Completed",IF(TODAY()&gt;G522,"Overdue",IF(F522&lt;&gt;"","In Progress","Not Started")))</f>
        <v/>
      </c>
      <c r="J522" s="18">
        <f>IF(I522="Overdue",TODAY()-G522,0)</f>
        <v/>
      </c>
      <c r="K522" s="16" t="n"/>
      <c r="L522" s="16" t="n"/>
      <c r="M522" s="16" t="n"/>
      <c r="N522" s="16" t="n"/>
      <c r="O522" s="16" t="n"/>
    </row>
    <row r="523">
      <c r="A523" s="17" t="inlineStr">
        <is>
          <t>TRK-0520</t>
        </is>
      </c>
      <c r="B523" s="16" t="n"/>
      <c r="C523" s="16" t="n"/>
      <c r="D523" s="16" t="n"/>
      <c r="E523" s="16" t="n"/>
      <c r="F523" s="16" t="n"/>
      <c r="G523" s="16" t="n"/>
      <c r="H523" s="16" t="n"/>
      <c r="I523" s="16">
        <f>IF(H523&lt;&gt;"","Completed",IF(TODAY()&gt;G523,"Overdue",IF(F523&lt;&gt;"","In Progress","Not Started")))</f>
        <v/>
      </c>
      <c r="J523" s="18">
        <f>IF(I523="Overdue",TODAY()-G523,0)</f>
        <v/>
      </c>
      <c r="K523" s="16" t="n"/>
      <c r="L523" s="16" t="n"/>
      <c r="M523" s="16" t="n"/>
      <c r="N523" s="16" t="n"/>
      <c r="O523" s="16" t="n"/>
    </row>
    <row r="524">
      <c r="A524" s="17" t="inlineStr">
        <is>
          <t>TRK-0521</t>
        </is>
      </c>
      <c r="B524" s="16" t="n"/>
      <c r="C524" s="16" t="n"/>
      <c r="D524" s="16" t="n"/>
      <c r="E524" s="16" t="n"/>
      <c r="F524" s="16" t="n"/>
      <c r="G524" s="16" t="n"/>
      <c r="H524" s="16" t="n"/>
      <c r="I524" s="16">
        <f>IF(H524&lt;&gt;"","Completed",IF(TODAY()&gt;G524,"Overdue",IF(F524&lt;&gt;"","In Progress","Not Started")))</f>
        <v/>
      </c>
      <c r="J524" s="18">
        <f>IF(I524="Overdue",TODAY()-G524,0)</f>
        <v/>
      </c>
      <c r="K524" s="16" t="n"/>
      <c r="L524" s="16" t="n"/>
      <c r="M524" s="16" t="n"/>
      <c r="N524" s="16" t="n"/>
      <c r="O524" s="16" t="n"/>
    </row>
    <row r="525">
      <c r="A525" s="17" t="inlineStr">
        <is>
          <t>TRK-0522</t>
        </is>
      </c>
      <c r="B525" s="16" t="n"/>
      <c r="C525" s="16" t="n"/>
      <c r="D525" s="16" t="n"/>
      <c r="E525" s="16" t="n"/>
      <c r="F525" s="16" t="n"/>
      <c r="G525" s="16" t="n"/>
      <c r="H525" s="16" t="n"/>
      <c r="I525" s="16">
        <f>IF(H525&lt;&gt;"","Completed",IF(TODAY()&gt;G525,"Overdue",IF(F525&lt;&gt;"","In Progress","Not Started")))</f>
        <v/>
      </c>
      <c r="J525" s="18">
        <f>IF(I525="Overdue",TODAY()-G525,0)</f>
        <v/>
      </c>
      <c r="K525" s="16" t="n"/>
      <c r="L525" s="16" t="n"/>
      <c r="M525" s="16" t="n"/>
      <c r="N525" s="16" t="n"/>
      <c r="O525" s="16" t="n"/>
    </row>
    <row r="526">
      <c r="A526" s="17" t="inlineStr">
        <is>
          <t>TRK-0523</t>
        </is>
      </c>
      <c r="B526" s="16" t="n"/>
      <c r="C526" s="16" t="n"/>
      <c r="D526" s="16" t="n"/>
      <c r="E526" s="16" t="n"/>
      <c r="F526" s="16" t="n"/>
      <c r="G526" s="16" t="n"/>
      <c r="H526" s="16" t="n"/>
      <c r="I526" s="16">
        <f>IF(H526&lt;&gt;"","Completed",IF(TODAY()&gt;G526,"Overdue",IF(F526&lt;&gt;"","In Progress","Not Started")))</f>
        <v/>
      </c>
      <c r="J526" s="18">
        <f>IF(I526="Overdue",TODAY()-G526,0)</f>
        <v/>
      </c>
      <c r="K526" s="16" t="n"/>
      <c r="L526" s="16" t="n"/>
      <c r="M526" s="16" t="n"/>
      <c r="N526" s="16" t="n"/>
      <c r="O526" s="16" t="n"/>
    </row>
    <row r="527">
      <c r="A527" s="17" t="inlineStr">
        <is>
          <t>TRK-0524</t>
        </is>
      </c>
      <c r="B527" s="16" t="n"/>
      <c r="C527" s="16" t="n"/>
      <c r="D527" s="16" t="n"/>
      <c r="E527" s="16" t="n"/>
      <c r="F527" s="16" t="n"/>
      <c r="G527" s="16" t="n"/>
      <c r="H527" s="16" t="n"/>
      <c r="I527" s="16">
        <f>IF(H527&lt;&gt;"","Completed",IF(TODAY()&gt;G527,"Overdue",IF(F527&lt;&gt;"","In Progress","Not Started")))</f>
        <v/>
      </c>
      <c r="J527" s="18">
        <f>IF(I527="Overdue",TODAY()-G527,0)</f>
        <v/>
      </c>
      <c r="K527" s="16" t="n"/>
      <c r="L527" s="16" t="n"/>
      <c r="M527" s="16" t="n"/>
      <c r="N527" s="16" t="n"/>
      <c r="O527" s="16" t="n"/>
    </row>
    <row r="528">
      <c r="A528" s="17" t="inlineStr">
        <is>
          <t>TRK-0525</t>
        </is>
      </c>
      <c r="B528" s="16" t="n"/>
      <c r="C528" s="16" t="n"/>
      <c r="D528" s="16" t="n"/>
      <c r="E528" s="16" t="n"/>
      <c r="F528" s="16" t="n"/>
      <c r="G528" s="16" t="n"/>
      <c r="H528" s="16" t="n"/>
      <c r="I528" s="16">
        <f>IF(H528&lt;&gt;"","Completed",IF(TODAY()&gt;G528,"Overdue",IF(F528&lt;&gt;"","In Progress","Not Started")))</f>
        <v/>
      </c>
      <c r="J528" s="18">
        <f>IF(I528="Overdue",TODAY()-G528,0)</f>
        <v/>
      </c>
      <c r="K528" s="16" t="n"/>
      <c r="L528" s="16" t="n"/>
      <c r="M528" s="16" t="n"/>
      <c r="N528" s="16" t="n"/>
      <c r="O528" s="16" t="n"/>
    </row>
    <row r="529">
      <c r="A529" s="17" t="inlineStr">
        <is>
          <t>TRK-0526</t>
        </is>
      </c>
      <c r="B529" s="16" t="n"/>
      <c r="C529" s="16" t="n"/>
      <c r="D529" s="16" t="n"/>
      <c r="E529" s="16" t="n"/>
      <c r="F529" s="16" t="n"/>
      <c r="G529" s="16" t="n"/>
      <c r="H529" s="16" t="n"/>
      <c r="I529" s="16">
        <f>IF(H529&lt;&gt;"","Completed",IF(TODAY()&gt;G529,"Overdue",IF(F529&lt;&gt;"","In Progress","Not Started")))</f>
        <v/>
      </c>
      <c r="J529" s="18">
        <f>IF(I529="Overdue",TODAY()-G529,0)</f>
        <v/>
      </c>
      <c r="K529" s="16" t="n"/>
      <c r="L529" s="16" t="n"/>
      <c r="M529" s="16" t="n"/>
      <c r="N529" s="16" t="n"/>
      <c r="O529" s="16" t="n"/>
    </row>
    <row r="530">
      <c r="A530" s="17" t="inlineStr">
        <is>
          <t>TRK-0527</t>
        </is>
      </c>
      <c r="B530" s="16" t="n"/>
      <c r="C530" s="16" t="n"/>
      <c r="D530" s="16" t="n"/>
      <c r="E530" s="16" t="n"/>
      <c r="F530" s="16" t="n"/>
      <c r="G530" s="16" t="n"/>
      <c r="H530" s="16" t="n"/>
      <c r="I530" s="16">
        <f>IF(H530&lt;&gt;"","Completed",IF(TODAY()&gt;G530,"Overdue",IF(F530&lt;&gt;"","In Progress","Not Started")))</f>
        <v/>
      </c>
      <c r="J530" s="18">
        <f>IF(I530="Overdue",TODAY()-G530,0)</f>
        <v/>
      </c>
      <c r="K530" s="16" t="n"/>
      <c r="L530" s="16" t="n"/>
      <c r="M530" s="16" t="n"/>
      <c r="N530" s="16" t="n"/>
      <c r="O530" s="16" t="n"/>
    </row>
    <row r="531">
      <c r="A531" s="17" t="inlineStr">
        <is>
          <t>TRK-0528</t>
        </is>
      </c>
      <c r="B531" s="16" t="n"/>
      <c r="C531" s="16" t="n"/>
      <c r="D531" s="16" t="n"/>
      <c r="E531" s="16" t="n"/>
      <c r="F531" s="16" t="n"/>
      <c r="G531" s="16" t="n"/>
      <c r="H531" s="16" t="n"/>
      <c r="I531" s="16">
        <f>IF(H531&lt;&gt;"","Completed",IF(TODAY()&gt;G531,"Overdue",IF(F531&lt;&gt;"","In Progress","Not Started")))</f>
        <v/>
      </c>
      <c r="J531" s="18">
        <f>IF(I531="Overdue",TODAY()-G531,0)</f>
        <v/>
      </c>
      <c r="K531" s="16" t="n"/>
      <c r="L531" s="16" t="n"/>
      <c r="M531" s="16" t="n"/>
      <c r="N531" s="16" t="n"/>
      <c r="O531" s="16" t="n"/>
    </row>
    <row r="532">
      <c r="A532" s="17" t="inlineStr">
        <is>
          <t>TRK-0529</t>
        </is>
      </c>
      <c r="B532" s="16" t="n"/>
      <c r="C532" s="16" t="n"/>
      <c r="D532" s="16" t="n"/>
      <c r="E532" s="16" t="n"/>
      <c r="F532" s="16" t="n"/>
      <c r="G532" s="16" t="n"/>
      <c r="H532" s="16" t="n"/>
      <c r="I532" s="16">
        <f>IF(H532&lt;&gt;"","Completed",IF(TODAY()&gt;G532,"Overdue",IF(F532&lt;&gt;"","In Progress","Not Started")))</f>
        <v/>
      </c>
      <c r="J532" s="18">
        <f>IF(I532="Overdue",TODAY()-G532,0)</f>
        <v/>
      </c>
      <c r="K532" s="16" t="n"/>
      <c r="L532" s="16" t="n"/>
      <c r="M532" s="16" t="n"/>
      <c r="N532" s="16" t="n"/>
      <c r="O532" s="16" t="n"/>
    </row>
    <row r="533">
      <c r="A533" s="17" t="inlineStr">
        <is>
          <t>TRK-0530</t>
        </is>
      </c>
      <c r="B533" s="16" t="n"/>
      <c r="C533" s="16" t="n"/>
      <c r="D533" s="16" t="n"/>
      <c r="E533" s="16" t="n"/>
      <c r="F533" s="16" t="n"/>
      <c r="G533" s="16" t="n"/>
      <c r="H533" s="16" t="n"/>
      <c r="I533" s="16">
        <f>IF(H533&lt;&gt;"","Completed",IF(TODAY()&gt;G533,"Overdue",IF(F533&lt;&gt;"","In Progress","Not Started")))</f>
        <v/>
      </c>
      <c r="J533" s="18">
        <f>IF(I533="Overdue",TODAY()-G533,0)</f>
        <v/>
      </c>
      <c r="K533" s="16" t="n"/>
      <c r="L533" s="16" t="n"/>
      <c r="M533" s="16" t="n"/>
      <c r="N533" s="16" t="n"/>
      <c r="O533" s="16" t="n"/>
    </row>
    <row r="534">
      <c r="A534" s="17" t="inlineStr">
        <is>
          <t>TRK-0531</t>
        </is>
      </c>
      <c r="B534" s="16" t="n"/>
      <c r="C534" s="16" t="n"/>
      <c r="D534" s="16" t="n"/>
      <c r="E534" s="16" t="n"/>
      <c r="F534" s="16" t="n"/>
      <c r="G534" s="16" t="n"/>
      <c r="H534" s="16" t="n"/>
      <c r="I534" s="16">
        <f>IF(H534&lt;&gt;"","Completed",IF(TODAY()&gt;G534,"Overdue",IF(F534&lt;&gt;"","In Progress","Not Started")))</f>
        <v/>
      </c>
      <c r="J534" s="18">
        <f>IF(I534="Overdue",TODAY()-G534,0)</f>
        <v/>
      </c>
      <c r="K534" s="16" t="n"/>
      <c r="L534" s="16" t="n"/>
      <c r="M534" s="16" t="n"/>
      <c r="N534" s="16" t="n"/>
      <c r="O534" s="16" t="n"/>
    </row>
    <row r="535">
      <c r="A535" s="17" t="inlineStr">
        <is>
          <t>TRK-0532</t>
        </is>
      </c>
      <c r="B535" s="16" t="n"/>
      <c r="C535" s="16" t="n"/>
      <c r="D535" s="16" t="n"/>
      <c r="E535" s="16" t="n"/>
      <c r="F535" s="16" t="n"/>
      <c r="G535" s="16" t="n"/>
      <c r="H535" s="16" t="n"/>
      <c r="I535" s="16">
        <f>IF(H535&lt;&gt;"","Completed",IF(TODAY()&gt;G535,"Overdue",IF(F535&lt;&gt;"","In Progress","Not Started")))</f>
        <v/>
      </c>
      <c r="J535" s="18">
        <f>IF(I535="Overdue",TODAY()-G535,0)</f>
        <v/>
      </c>
      <c r="K535" s="16" t="n"/>
      <c r="L535" s="16" t="n"/>
      <c r="M535" s="16" t="n"/>
      <c r="N535" s="16" t="n"/>
      <c r="O535" s="16" t="n"/>
    </row>
    <row r="536">
      <c r="A536" s="17" t="inlineStr">
        <is>
          <t>TRK-0533</t>
        </is>
      </c>
      <c r="B536" s="16" t="n"/>
      <c r="C536" s="16" t="n"/>
      <c r="D536" s="16" t="n"/>
      <c r="E536" s="16" t="n"/>
      <c r="F536" s="16" t="n"/>
      <c r="G536" s="16" t="n"/>
      <c r="H536" s="16" t="n"/>
      <c r="I536" s="16">
        <f>IF(H536&lt;&gt;"","Completed",IF(TODAY()&gt;G536,"Overdue",IF(F536&lt;&gt;"","In Progress","Not Started")))</f>
        <v/>
      </c>
      <c r="J536" s="18">
        <f>IF(I536="Overdue",TODAY()-G536,0)</f>
        <v/>
      </c>
      <c r="K536" s="16" t="n"/>
      <c r="L536" s="16" t="n"/>
      <c r="M536" s="16" t="n"/>
      <c r="N536" s="16" t="n"/>
      <c r="O536" s="16" t="n"/>
    </row>
    <row r="537">
      <c r="A537" s="17" t="inlineStr">
        <is>
          <t>TRK-0534</t>
        </is>
      </c>
      <c r="B537" s="16" t="n"/>
      <c r="C537" s="16" t="n"/>
      <c r="D537" s="16" t="n"/>
      <c r="E537" s="16" t="n"/>
      <c r="F537" s="16" t="n"/>
      <c r="G537" s="16" t="n"/>
      <c r="H537" s="16" t="n"/>
      <c r="I537" s="16">
        <f>IF(H537&lt;&gt;"","Completed",IF(TODAY()&gt;G537,"Overdue",IF(F537&lt;&gt;"","In Progress","Not Started")))</f>
        <v/>
      </c>
      <c r="J537" s="18">
        <f>IF(I537="Overdue",TODAY()-G537,0)</f>
        <v/>
      </c>
      <c r="K537" s="16" t="n"/>
      <c r="L537" s="16" t="n"/>
      <c r="M537" s="16" t="n"/>
      <c r="N537" s="16" t="n"/>
      <c r="O537" s="16" t="n"/>
    </row>
    <row r="538">
      <c r="A538" s="17" t="inlineStr">
        <is>
          <t>TRK-0535</t>
        </is>
      </c>
      <c r="B538" s="16" t="n"/>
      <c r="C538" s="16" t="n"/>
      <c r="D538" s="16" t="n"/>
      <c r="E538" s="16" t="n"/>
      <c r="F538" s="16" t="n"/>
      <c r="G538" s="16" t="n"/>
      <c r="H538" s="16" t="n"/>
      <c r="I538" s="16">
        <f>IF(H538&lt;&gt;"","Completed",IF(TODAY()&gt;G538,"Overdue",IF(F538&lt;&gt;"","In Progress","Not Started")))</f>
        <v/>
      </c>
      <c r="J538" s="18">
        <f>IF(I538="Overdue",TODAY()-G538,0)</f>
        <v/>
      </c>
      <c r="K538" s="16" t="n"/>
      <c r="L538" s="16" t="n"/>
      <c r="M538" s="16" t="n"/>
      <c r="N538" s="16" t="n"/>
      <c r="O538" s="16" t="n"/>
    </row>
    <row r="539">
      <c r="A539" s="17" t="inlineStr">
        <is>
          <t>TRK-0536</t>
        </is>
      </c>
      <c r="B539" s="16" t="n"/>
      <c r="C539" s="16" t="n"/>
      <c r="D539" s="16" t="n"/>
      <c r="E539" s="16" t="n"/>
      <c r="F539" s="16" t="n"/>
      <c r="G539" s="16" t="n"/>
      <c r="H539" s="16" t="n"/>
      <c r="I539" s="16">
        <f>IF(H539&lt;&gt;"","Completed",IF(TODAY()&gt;G539,"Overdue",IF(F539&lt;&gt;"","In Progress","Not Started")))</f>
        <v/>
      </c>
      <c r="J539" s="18">
        <f>IF(I539="Overdue",TODAY()-G539,0)</f>
        <v/>
      </c>
      <c r="K539" s="16" t="n"/>
      <c r="L539" s="16" t="n"/>
      <c r="M539" s="16" t="n"/>
      <c r="N539" s="16" t="n"/>
      <c r="O539" s="16" t="n"/>
    </row>
    <row r="540">
      <c r="A540" s="17" t="inlineStr">
        <is>
          <t>TRK-0537</t>
        </is>
      </c>
      <c r="B540" s="16" t="n"/>
      <c r="C540" s="16" t="n"/>
      <c r="D540" s="16" t="n"/>
      <c r="E540" s="16" t="n"/>
      <c r="F540" s="16" t="n"/>
      <c r="G540" s="16" t="n"/>
      <c r="H540" s="16" t="n"/>
      <c r="I540" s="16">
        <f>IF(H540&lt;&gt;"","Completed",IF(TODAY()&gt;G540,"Overdue",IF(F540&lt;&gt;"","In Progress","Not Started")))</f>
        <v/>
      </c>
      <c r="J540" s="18">
        <f>IF(I540="Overdue",TODAY()-G540,0)</f>
        <v/>
      </c>
      <c r="K540" s="16" t="n"/>
      <c r="L540" s="16" t="n"/>
      <c r="M540" s="16" t="n"/>
      <c r="N540" s="16" t="n"/>
      <c r="O540" s="16" t="n"/>
    </row>
    <row r="541">
      <c r="A541" s="17" t="inlineStr">
        <is>
          <t>TRK-0538</t>
        </is>
      </c>
      <c r="B541" s="16" t="n"/>
      <c r="C541" s="16" t="n"/>
      <c r="D541" s="16" t="n"/>
      <c r="E541" s="16" t="n"/>
      <c r="F541" s="16" t="n"/>
      <c r="G541" s="16" t="n"/>
      <c r="H541" s="16" t="n"/>
      <c r="I541" s="16">
        <f>IF(H541&lt;&gt;"","Completed",IF(TODAY()&gt;G541,"Overdue",IF(F541&lt;&gt;"","In Progress","Not Started")))</f>
        <v/>
      </c>
      <c r="J541" s="18">
        <f>IF(I541="Overdue",TODAY()-G541,0)</f>
        <v/>
      </c>
      <c r="K541" s="16" t="n"/>
      <c r="L541" s="16" t="n"/>
      <c r="M541" s="16" t="n"/>
      <c r="N541" s="16" t="n"/>
      <c r="O541" s="16" t="n"/>
    </row>
    <row r="542">
      <c r="A542" s="17" t="inlineStr">
        <is>
          <t>TRK-0539</t>
        </is>
      </c>
      <c r="B542" s="16" t="n"/>
      <c r="C542" s="16" t="n"/>
      <c r="D542" s="16" t="n"/>
      <c r="E542" s="16" t="n"/>
      <c r="F542" s="16" t="n"/>
      <c r="G542" s="16" t="n"/>
      <c r="H542" s="16" t="n"/>
      <c r="I542" s="16">
        <f>IF(H542&lt;&gt;"","Completed",IF(TODAY()&gt;G542,"Overdue",IF(F542&lt;&gt;"","In Progress","Not Started")))</f>
        <v/>
      </c>
      <c r="J542" s="18">
        <f>IF(I542="Overdue",TODAY()-G542,0)</f>
        <v/>
      </c>
      <c r="K542" s="16" t="n"/>
      <c r="L542" s="16" t="n"/>
      <c r="M542" s="16" t="n"/>
      <c r="N542" s="16" t="n"/>
      <c r="O542" s="16" t="n"/>
    </row>
    <row r="543">
      <c r="A543" s="17" t="inlineStr">
        <is>
          <t>TRK-0540</t>
        </is>
      </c>
      <c r="B543" s="16" t="n"/>
      <c r="C543" s="16" t="n"/>
      <c r="D543" s="16" t="n"/>
      <c r="E543" s="16" t="n"/>
      <c r="F543" s="16" t="n"/>
      <c r="G543" s="16" t="n"/>
      <c r="H543" s="16" t="n"/>
      <c r="I543" s="16">
        <f>IF(H543&lt;&gt;"","Completed",IF(TODAY()&gt;G543,"Overdue",IF(F543&lt;&gt;"","In Progress","Not Started")))</f>
        <v/>
      </c>
      <c r="J543" s="18">
        <f>IF(I543="Overdue",TODAY()-G543,0)</f>
        <v/>
      </c>
      <c r="K543" s="16" t="n"/>
      <c r="L543" s="16" t="n"/>
      <c r="M543" s="16" t="n"/>
      <c r="N543" s="16" t="n"/>
      <c r="O543" s="16" t="n"/>
    </row>
    <row r="544">
      <c r="A544" s="17" t="inlineStr">
        <is>
          <t>TRK-0541</t>
        </is>
      </c>
      <c r="B544" s="16" t="n"/>
      <c r="C544" s="16" t="n"/>
      <c r="D544" s="16" t="n"/>
      <c r="E544" s="16" t="n"/>
      <c r="F544" s="16" t="n"/>
      <c r="G544" s="16" t="n"/>
      <c r="H544" s="16" t="n"/>
      <c r="I544" s="16">
        <f>IF(H544&lt;&gt;"","Completed",IF(TODAY()&gt;G544,"Overdue",IF(F544&lt;&gt;"","In Progress","Not Started")))</f>
        <v/>
      </c>
      <c r="J544" s="18">
        <f>IF(I544="Overdue",TODAY()-G544,0)</f>
        <v/>
      </c>
      <c r="K544" s="16" t="n"/>
      <c r="L544" s="16" t="n"/>
      <c r="M544" s="16" t="n"/>
      <c r="N544" s="16" t="n"/>
      <c r="O544" s="16" t="n"/>
    </row>
    <row r="545">
      <c r="A545" s="17" t="inlineStr">
        <is>
          <t>TRK-0542</t>
        </is>
      </c>
      <c r="B545" s="16" t="n"/>
      <c r="C545" s="16" t="n"/>
      <c r="D545" s="16" t="n"/>
      <c r="E545" s="16" t="n"/>
      <c r="F545" s="16" t="n"/>
      <c r="G545" s="16" t="n"/>
      <c r="H545" s="16" t="n"/>
      <c r="I545" s="16">
        <f>IF(H545&lt;&gt;"","Completed",IF(TODAY()&gt;G545,"Overdue",IF(F545&lt;&gt;"","In Progress","Not Started")))</f>
        <v/>
      </c>
      <c r="J545" s="18">
        <f>IF(I545="Overdue",TODAY()-G545,0)</f>
        <v/>
      </c>
      <c r="K545" s="16" t="n"/>
      <c r="L545" s="16" t="n"/>
      <c r="M545" s="16" t="n"/>
      <c r="N545" s="16" t="n"/>
      <c r="O545" s="16" t="n"/>
    </row>
    <row r="546">
      <c r="A546" s="17" t="inlineStr">
        <is>
          <t>TRK-0543</t>
        </is>
      </c>
      <c r="B546" s="16" t="n"/>
      <c r="C546" s="16" t="n"/>
      <c r="D546" s="16" t="n"/>
      <c r="E546" s="16" t="n"/>
      <c r="F546" s="16" t="n"/>
      <c r="G546" s="16" t="n"/>
      <c r="H546" s="16" t="n"/>
      <c r="I546" s="16">
        <f>IF(H546&lt;&gt;"","Completed",IF(TODAY()&gt;G546,"Overdue",IF(F546&lt;&gt;"","In Progress","Not Started")))</f>
        <v/>
      </c>
      <c r="J546" s="18">
        <f>IF(I546="Overdue",TODAY()-G546,0)</f>
        <v/>
      </c>
      <c r="K546" s="16" t="n"/>
      <c r="L546" s="16" t="n"/>
      <c r="M546" s="16" t="n"/>
      <c r="N546" s="16" t="n"/>
      <c r="O546" s="16" t="n"/>
    </row>
    <row r="547">
      <c r="A547" s="17" t="inlineStr">
        <is>
          <t>TRK-0544</t>
        </is>
      </c>
      <c r="B547" s="16" t="n"/>
      <c r="C547" s="16" t="n"/>
      <c r="D547" s="16" t="n"/>
      <c r="E547" s="16" t="n"/>
      <c r="F547" s="16" t="n"/>
      <c r="G547" s="16" t="n"/>
      <c r="H547" s="16" t="n"/>
      <c r="I547" s="16">
        <f>IF(H547&lt;&gt;"","Completed",IF(TODAY()&gt;G547,"Overdue",IF(F547&lt;&gt;"","In Progress","Not Started")))</f>
        <v/>
      </c>
      <c r="J547" s="18">
        <f>IF(I547="Overdue",TODAY()-G547,0)</f>
        <v/>
      </c>
      <c r="K547" s="16" t="n"/>
      <c r="L547" s="16" t="n"/>
      <c r="M547" s="16" t="n"/>
      <c r="N547" s="16" t="n"/>
      <c r="O547" s="16" t="n"/>
    </row>
    <row r="548">
      <c r="A548" s="17" t="inlineStr">
        <is>
          <t>TRK-0545</t>
        </is>
      </c>
      <c r="B548" s="16" t="n"/>
      <c r="C548" s="16" t="n"/>
      <c r="D548" s="16" t="n"/>
      <c r="E548" s="16" t="n"/>
      <c r="F548" s="16" t="n"/>
      <c r="G548" s="16" t="n"/>
      <c r="H548" s="16" t="n"/>
      <c r="I548" s="16">
        <f>IF(H548&lt;&gt;"","Completed",IF(TODAY()&gt;G548,"Overdue",IF(F548&lt;&gt;"","In Progress","Not Started")))</f>
        <v/>
      </c>
      <c r="J548" s="18">
        <f>IF(I548="Overdue",TODAY()-G548,0)</f>
        <v/>
      </c>
      <c r="K548" s="16" t="n"/>
      <c r="L548" s="16" t="n"/>
      <c r="M548" s="16" t="n"/>
      <c r="N548" s="16" t="n"/>
      <c r="O548" s="16" t="n"/>
    </row>
    <row r="549">
      <c r="A549" s="17" t="inlineStr">
        <is>
          <t>TRK-0546</t>
        </is>
      </c>
      <c r="B549" s="16" t="n"/>
      <c r="C549" s="16" t="n"/>
      <c r="D549" s="16" t="n"/>
      <c r="E549" s="16" t="n"/>
      <c r="F549" s="16" t="n"/>
      <c r="G549" s="16" t="n"/>
      <c r="H549" s="16" t="n"/>
      <c r="I549" s="16">
        <f>IF(H549&lt;&gt;"","Completed",IF(TODAY()&gt;G549,"Overdue",IF(F549&lt;&gt;"","In Progress","Not Started")))</f>
        <v/>
      </c>
      <c r="J549" s="18">
        <f>IF(I549="Overdue",TODAY()-G549,0)</f>
        <v/>
      </c>
      <c r="K549" s="16" t="n"/>
      <c r="L549" s="16" t="n"/>
      <c r="M549" s="16" t="n"/>
      <c r="N549" s="16" t="n"/>
      <c r="O549" s="16" t="n"/>
    </row>
    <row r="550">
      <c r="A550" s="17" t="inlineStr">
        <is>
          <t>TRK-0547</t>
        </is>
      </c>
      <c r="B550" s="16" t="n"/>
      <c r="C550" s="16" t="n"/>
      <c r="D550" s="16" t="n"/>
      <c r="E550" s="16" t="n"/>
      <c r="F550" s="16" t="n"/>
      <c r="G550" s="16" t="n"/>
      <c r="H550" s="16" t="n"/>
      <c r="I550" s="16">
        <f>IF(H550&lt;&gt;"","Completed",IF(TODAY()&gt;G550,"Overdue",IF(F550&lt;&gt;"","In Progress","Not Started")))</f>
        <v/>
      </c>
      <c r="J550" s="18">
        <f>IF(I550="Overdue",TODAY()-G550,0)</f>
        <v/>
      </c>
      <c r="K550" s="16" t="n"/>
      <c r="L550" s="16" t="n"/>
      <c r="M550" s="16" t="n"/>
      <c r="N550" s="16" t="n"/>
      <c r="O550" s="16" t="n"/>
    </row>
    <row r="551">
      <c r="A551" s="17" t="inlineStr">
        <is>
          <t>TRK-0548</t>
        </is>
      </c>
      <c r="B551" s="16" t="n"/>
      <c r="C551" s="16" t="n"/>
      <c r="D551" s="16" t="n"/>
      <c r="E551" s="16" t="n"/>
      <c r="F551" s="16" t="n"/>
      <c r="G551" s="16" t="n"/>
      <c r="H551" s="16" t="n"/>
      <c r="I551" s="16">
        <f>IF(H551&lt;&gt;"","Completed",IF(TODAY()&gt;G551,"Overdue",IF(F551&lt;&gt;"","In Progress","Not Started")))</f>
        <v/>
      </c>
      <c r="J551" s="18">
        <f>IF(I551="Overdue",TODAY()-G551,0)</f>
        <v/>
      </c>
      <c r="K551" s="16" t="n"/>
      <c r="L551" s="16" t="n"/>
      <c r="M551" s="16" t="n"/>
      <c r="N551" s="16" t="n"/>
      <c r="O551" s="16" t="n"/>
    </row>
    <row r="552">
      <c r="A552" s="17" t="inlineStr">
        <is>
          <t>TRK-0549</t>
        </is>
      </c>
      <c r="B552" s="16" t="n"/>
      <c r="C552" s="16" t="n"/>
      <c r="D552" s="16" t="n"/>
      <c r="E552" s="16" t="n"/>
      <c r="F552" s="16" t="n"/>
      <c r="G552" s="16" t="n"/>
      <c r="H552" s="16" t="n"/>
      <c r="I552" s="16">
        <f>IF(H552&lt;&gt;"","Completed",IF(TODAY()&gt;G552,"Overdue",IF(F552&lt;&gt;"","In Progress","Not Started")))</f>
        <v/>
      </c>
      <c r="J552" s="18">
        <f>IF(I552="Overdue",TODAY()-G552,0)</f>
        <v/>
      </c>
      <c r="K552" s="16" t="n"/>
      <c r="L552" s="16" t="n"/>
      <c r="M552" s="16" t="n"/>
      <c r="N552" s="16" t="n"/>
      <c r="O552" s="16" t="n"/>
    </row>
    <row r="553">
      <c r="A553" s="17" t="inlineStr">
        <is>
          <t>TRK-0550</t>
        </is>
      </c>
      <c r="B553" s="16" t="n"/>
      <c r="C553" s="16" t="n"/>
      <c r="D553" s="16" t="n"/>
      <c r="E553" s="16" t="n"/>
      <c r="F553" s="16" t="n"/>
      <c r="G553" s="16" t="n"/>
      <c r="H553" s="16" t="n"/>
      <c r="I553" s="16">
        <f>IF(H553&lt;&gt;"","Completed",IF(TODAY()&gt;G553,"Overdue",IF(F553&lt;&gt;"","In Progress","Not Started")))</f>
        <v/>
      </c>
      <c r="J553" s="18">
        <f>IF(I553="Overdue",TODAY()-G553,0)</f>
        <v/>
      </c>
      <c r="K553" s="16" t="n"/>
      <c r="L553" s="16" t="n"/>
      <c r="M553" s="16" t="n"/>
      <c r="N553" s="16" t="n"/>
      <c r="O553" s="16" t="n"/>
    </row>
    <row r="554">
      <c r="A554" s="17" t="inlineStr">
        <is>
          <t>TRK-0551</t>
        </is>
      </c>
      <c r="B554" s="16" t="n"/>
      <c r="C554" s="16" t="n"/>
      <c r="D554" s="16" t="n"/>
      <c r="E554" s="16" t="n"/>
      <c r="F554" s="16" t="n"/>
      <c r="G554" s="16" t="n"/>
      <c r="H554" s="16" t="n"/>
      <c r="I554" s="16">
        <f>IF(H554&lt;&gt;"","Completed",IF(TODAY()&gt;G554,"Overdue",IF(F554&lt;&gt;"","In Progress","Not Started")))</f>
        <v/>
      </c>
      <c r="J554" s="18">
        <f>IF(I554="Overdue",TODAY()-G554,0)</f>
        <v/>
      </c>
      <c r="K554" s="16" t="n"/>
      <c r="L554" s="16" t="n"/>
      <c r="M554" s="16" t="n"/>
      <c r="N554" s="16" t="n"/>
      <c r="O554" s="16" t="n"/>
    </row>
    <row r="555">
      <c r="A555" s="17" t="inlineStr">
        <is>
          <t>TRK-0552</t>
        </is>
      </c>
      <c r="B555" s="16" t="n"/>
      <c r="C555" s="16" t="n"/>
      <c r="D555" s="16" t="n"/>
      <c r="E555" s="16" t="n"/>
      <c r="F555" s="16" t="n"/>
      <c r="G555" s="16" t="n"/>
      <c r="H555" s="16" t="n"/>
      <c r="I555" s="16">
        <f>IF(H555&lt;&gt;"","Completed",IF(TODAY()&gt;G555,"Overdue",IF(F555&lt;&gt;"","In Progress","Not Started")))</f>
        <v/>
      </c>
      <c r="J555" s="18">
        <f>IF(I555="Overdue",TODAY()-G555,0)</f>
        <v/>
      </c>
      <c r="K555" s="16" t="n"/>
      <c r="L555" s="16" t="n"/>
      <c r="M555" s="16" t="n"/>
      <c r="N555" s="16" t="n"/>
      <c r="O555" s="16" t="n"/>
    </row>
    <row r="556">
      <c r="A556" s="17" t="inlineStr">
        <is>
          <t>TRK-0553</t>
        </is>
      </c>
      <c r="B556" s="16" t="n"/>
      <c r="C556" s="16" t="n"/>
      <c r="D556" s="16" t="n"/>
      <c r="E556" s="16" t="n"/>
      <c r="F556" s="16" t="n"/>
      <c r="G556" s="16" t="n"/>
      <c r="H556" s="16" t="n"/>
      <c r="I556" s="16">
        <f>IF(H556&lt;&gt;"","Completed",IF(TODAY()&gt;G556,"Overdue",IF(F556&lt;&gt;"","In Progress","Not Started")))</f>
        <v/>
      </c>
      <c r="J556" s="18">
        <f>IF(I556="Overdue",TODAY()-G556,0)</f>
        <v/>
      </c>
      <c r="K556" s="16" t="n"/>
      <c r="L556" s="16" t="n"/>
      <c r="M556" s="16" t="n"/>
      <c r="N556" s="16" t="n"/>
      <c r="O556" s="16" t="n"/>
    </row>
    <row r="557">
      <c r="A557" s="17" t="inlineStr">
        <is>
          <t>TRK-0554</t>
        </is>
      </c>
      <c r="B557" s="16" t="n"/>
      <c r="C557" s="16" t="n"/>
      <c r="D557" s="16" t="n"/>
      <c r="E557" s="16" t="n"/>
      <c r="F557" s="16" t="n"/>
      <c r="G557" s="16" t="n"/>
      <c r="H557" s="16" t="n"/>
      <c r="I557" s="16">
        <f>IF(H557&lt;&gt;"","Completed",IF(TODAY()&gt;G557,"Overdue",IF(F557&lt;&gt;"","In Progress","Not Started")))</f>
        <v/>
      </c>
      <c r="J557" s="18">
        <f>IF(I557="Overdue",TODAY()-G557,0)</f>
        <v/>
      </c>
      <c r="K557" s="16" t="n"/>
      <c r="L557" s="16" t="n"/>
      <c r="M557" s="16" t="n"/>
      <c r="N557" s="16" t="n"/>
      <c r="O557" s="16" t="n"/>
    </row>
    <row r="558">
      <c r="A558" s="17" t="inlineStr">
        <is>
          <t>TRK-0555</t>
        </is>
      </c>
      <c r="B558" s="16" t="n"/>
      <c r="C558" s="16" t="n"/>
      <c r="D558" s="16" t="n"/>
      <c r="E558" s="16" t="n"/>
      <c r="F558" s="16" t="n"/>
      <c r="G558" s="16" t="n"/>
      <c r="H558" s="16" t="n"/>
      <c r="I558" s="16">
        <f>IF(H558&lt;&gt;"","Completed",IF(TODAY()&gt;G558,"Overdue",IF(F558&lt;&gt;"","In Progress","Not Started")))</f>
        <v/>
      </c>
      <c r="J558" s="18">
        <f>IF(I558="Overdue",TODAY()-G558,0)</f>
        <v/>
      </c>
      <c r="K558" s="16" t="n"/>
      <c r="L558" s="16" t="n"/>
      <c r="M558" s="16" t="n"/>
      <c r="N558" s="16" t="n"/>
      <c r="O558" s="16" t="n"/>
    </row>
    <row r="559">
      <c r="A559" s="17" t="inlineStr">
        <is>
          <t>TRK-0556</t>
        </is>
      </c>
      <c r="B559" s="16" t="n"/>
      <c r="C559" s="16" t="n"/>
      <c r="D559" s="16" t="n"/>
      <c r="E559" s="16" t="n"/>
      <c r="F559" s="16" t="n"/>
      <c r="G559" s="16" t="n"/>
      <c r="H559" s="16" t="n"/>
      <c r="I559" s="16">
        <f>IF(H559&lt;&gt;"","Completed",IF(TODAY()&gt;G559,"Overdue",IF(F559&lt;&gt;"","In Progress","Not Started")))</f>
        <v/>
      </c>
      <c r="J559" s="18">
        <f>IF(I559="Overdue",TODAY()-G559,0)</f>
        <v/>
      </c>
      <c r="K559" s="16" t="n"/>
      <c r="L559" s="16" t="n"/>
      <c r="M559" s="16" t="n"/>
      <c r="N559" s="16" t="n"/>
      <c r="O559" s="16" t="n"/>
    </row>
    <row r="560">
      <c r="A560" s="17" t="inlineStr">
        <is>
          <t>TRK-0557</t>
        </is>
      </c>
      <c r="B560" s="16" t="n"/>
      <c r="C560" s="16" t="n"/>
      <c r="D560" s="16" t="n"/>
      <c r="E560" s="16" t="n"/>
      <c r="F560" s="16" t="n"/>
      <c r="G560" s="16" t="n"/>
      <c r="H560" s="16" t="n"/>
      <c r="I560" s="16">
        <f>IF(H560&lt;&gt;"","Completed",IF(TODAY()&gt;G560,"Overdue",IF(F560&lt;&gt;"","In Progress","Not Started")))</f>
        <v/>
      </c>
      <c r="J560" s="18">
        <f>IF(I560="Overdue",TODAY()-G560,0)</f>
        <v/>
      </c>
      <c r="K560" s="16" t="n"/>
      <c r="L560" s="16" t="n"/>
      <c r="M560" s="16" t="n"/>
      <c r="N560" s="16" t="n"/>
      <c r="O560" s="16" t="n"/>
    </row>
    <row r="561">
      <c r="A561" s="17" t="inlineStr">
        <is>
          <t>TRK-0558</t>
        </is>
      </c>
      <c r="B561" s="16" t="n"/>
      <c r="C561" s="16" t="n"/>
      <c r="D561" s="16" t="n"/>
      <c r="E561" s="16" t="n"/>
      <c r="F561" s="16" t="n"/>
      <c r="G561" s="16" t="n"/>
      <c r="H561" s="16" t="n"/>
      <c r="I561" s="16">
        <f>IF(H561&lt;&gt;"","Completed",IF(TODAY()&gt;G561,"Overdue",IF(F561&lt;&gt;"","In Progress","Not Started")))</f>
        <v/>
      </c>
      <c r="J561" s="18">
        <f>IF(I561="Overdue",TODAY()-G561,0)</f>
        <v/>
      </c>
      <c r="K561" s="16" t="n"/>
      <c r="L561" s="16" t="n"/>
      <c r="M561" s="16" t="n"/>
      <c r="N561" s="16" t="n"/>
      <c r="O561" s="16" t="n"/>
    </row>
    <row r="562">
      <c r="A562" s="17" t="inlineStr">
        <is>
          <t>TRK-0559</t>
        </is>
      </c>
      <c r="B562" s="16" t="n"/>
      <c r="C562" s="16" t="n"/>
      <c r="D562" s="16" t="n"/>
      <c r="E562" s="16" t="n"/>
      <c r="F562" s="16" t="n"/>
      <c r="G562" s="16" t="n"/>
      <c r="H562" s="16" t="n"/>
      <c r="I562" s="16">
        <f>IF(H562&lt;&gt;"","Completed",IF(TODAY()&gt;G562,"Overdue",IF(F562&lt;&gt;"","In Progress","Not Started")))</f>
        <v/>
      </c>
      <c r="J562" s="18">
        <f>IF(I562="Overdue",TODAY()-G562,0)</f>
        <v/>
      </c>
      <c r="K562" s="16" t="n"/>
      <c r="L562" s="16" t="n"/>
      <c r="M562" s="16" t="n"/>
      <c r="N562" s="16" t="n"/>
      <c r="O562" s="16" t="n"/>
    </row>
    <row r="563">
      <c r="A563" s="17" t="inlineStr">
        <is>
          <t>TRK-0560</t>
        </is>
      </c>
      <c r="B563" s="16" t="n"/>
      <c r="C563" s="16" t="n"/>
      <c r="D563" s="16" t="n"/>
      <c r="E563" s="16" t="n"/>
      <c r="F563" s="16" t="n"/>
      <c r="G563" s="16" t="n"/>
      <c r="H563" s="16" t="n"/>
      <c r="I563" s="16">
        <f>IF(H563&lt;&gt;"","Completed",IF(TODAY()&gt;G563,"Overdue",IF(F563&lt;&gt;"","In Progress","Not Started")))</f>
        <v/>
      </c>
      <c r="J563" s="18">
        <f>IF(I563="Overdue",TODAY()-G563,0)</f>
        <v/>
      </c>
      <c r="K563" s="16" t="n"/>
      <c r="L563" s="16" t="n"/>
      <c r="M563" s="16" t="n"/>
      <c r="N563" s="16" t="n"/>
      <c r="O563" s="16" t="n"/>
    </row>
    <row r="564">
      <c r="A564" s="17" t="inlineStr">
        <is>
          <t>TRK-0561</t>
        </is>
      </c>
      <c r="B564" s="16" t="n"/>
      <c r="C564" s="16" t="n"/>
      <c r="D564" s="16" t="n"/>
      <c r="E564" s="16" t="n"/>
      <c r="F564" s="16" t="n"/>
      <c r="G564" s="16" t="n"/>
      <c r="H564" s="16" t="n"/>
      <c r="I564" s="16">
        <f>IF(H564&lt;&gt;"","Completed",IF(TODAY()&gt;G564,"Overdue",IF(F564&lt;&gt;"","In Progress","Not Started")))</f>
        <v/>
      </c>
      <c r="J564" s="18">
        <f>IF(I564="Overdue",TODAY()-G564,0)</f>
        <v/>
      </c>
      <c r="K564" s="16" t="n"/>
      <c r="L564" s="16" t="n"/>
      <c r="M564" s="16" t="n"/>
      <c r="N564" s="16" t="n"/>
      <c r="O564" s="16" t="n"/>
    </row>
    <row r="565">
      <c r="A565" s="17" t="inlineStr">
        <is>
          <t>TRK-0562</t>
        </is>
      </c>
      <c r="B565" s="16" t="n"/>
      <c r="C565" s="16" t="n"/>
      <c r="D565" s="16" t="n"/>
      <c r="E565" s="16" t="n"/>
      <c r="F565" s="16" t="n"/>
      <c r="G565" s="16" t="n"/>
      <c r="H565" s="16" t="n"/>
      <c r="I565" s="16">
        <f>IF(H565&lt;&gt;"","Completed",IF(TODAY()&gt;G565,"Overdue",IF(F565&lt;&gt;"","In Progress","Not Started")))</f>
        <v/>
      </c>
      <c r="J565" s="18">
        <f>IF(I565="Overdue",TODAY()-G565,0)</f>
        <v/>
      </c>
      <c r="K565" s="16" t="n"/>
      <c r="L565" s="16" t="n"/>
      <c r="M565" s="16" t="n"/>
      <c r="N565" s="16" t="n"/>
      <c r="O565" s="16" t="n"/>
    </row>
    <row r="566">
      <c r="A566" s="17" t="inlineStr">
        <is>
          <t>TRK-0563</t>
        </is>
      </c>
      <c r="B566" s="16" t="n"/>
      <c r="C566" s="16" t="n"/>
      <c r="D566" s="16" t="n"/>
      <c r="E566" s="16" t="n"/>
      <c r="F566" s="16" t="n"/>
      <c r="G566" s="16" t="n"/>
      <c r="H566" s="16" t="n"/>
      <c r="I566" s="16">
        <f>IF(H566&lt;&gt;"","Completed",IF(TODAY()&gt;G566,"Overdue",IF(F566&lt;&gt;"","In Progress","Not Started")))</f>
        <v/>
      </c>
      <c r="J566" s="18">
        <f>IF(I566="Overdue",TODAY()-G566,0)</f>
        <v/>
      </c>
      <c r="K566" s="16" t="n"/>
      <c r="L566" s="16" t="n"/>
      <c r="M566" s="16" t="n"/>
      <c r="N566" s="16" t="n"/>
      <c r="O566" s="16" t="n"/>
    </row>
    <row r="567">
      <c r="A567" s="17" t="inlineStr">
        <is>
          <t>TRK-0564</t>
        </is>
      </c>
      <c r="B567" s="16" t="n"/>
      <c r="C567" s="16" t="n"/>
      <c r="D567" s="16" t="n"/>
      <c r="E567" s="16" t="n"/>
      <c r="F567" s="16" t="n"/>
      <c r="G567" s="16" t="n"/>
      <c r="H567" s="16" t="n"/>
      <c r="I567" s="16">
        <f>IF(H567&lt;&gt;"","Completed",IF(TODAY()&gt;G567,"Overdue",IF(F567&lt;&gt;"","In Progress","Not Started")))</f>
        <v/>
      </c>
      <c r="J567" s="18">
        <f>IF(I567="Overdue",TODAY()-G567,0)</f>
        <v/>
      </c>
      <c r="K567" s="16" t="n"/>
      <c r="L567" s="16" t="n"/>
      <c r="M567" s="16" t="n"/>
      <c r="N567" s="16" t="n"/>
      <c r="O567" s="16" t="n"/>
    </row>
    <row r="568">
      <c r="A568" s="17" t="inlineStr">
        <is>
          <t>TRK-0565</t>
        </is>
      </c>
      <c r="B568" s="16" t="n"/>
      <c r="C568" s="16" t="n"/>
      <c r="D568" s="16" t="n"/>
      <c r="E568" s="16" t="n"/>
      <c r="F568" s="16" t="n"/>
      <c r="G568" s="16" t="n"/>
      <c r="H568" s="16" t="n"/>
      <c r="I568" s="16">
        <f>IF(H568&lt;&gt;"","Completed",IF(TODAY()&gt;G568,"Overdue",IF(F568&lt;&gt;"","In Progress","Not Started")))</f>
        <v/>
      </c>
      <c r="J568" s="18">
        <f>IF(I568="Overdue",TODAY()-G568,0)</f>
        <v/>
      </c>
      <c r="K568" s="16" t="n"/>
      <c r="L568" s="16" t="n"/>
      <c r="M568" s="16" t="n"/>
      <c r="N568" s="16" t="n"/>
      <c r="O568" s="16" t="n"/>
    </row>
    <row r="569">
      <c r="A569" s="17" t="inlineStr">
        <is>
          <t>TRK-0566</t>
        </is>
      </c>
      <c r="B569" s="16" t="n"/>
      <c r="C569" s="16" t="n"/>
      <c r="D569" s="16" t="n"/>
      <c r="E569" s="16" t="n"/>
      <c r="F569" s="16" t="n"/>
      <c r="G569" s="16" t="n"/>
      <c r="H569" s="16" t="n"/>
      <c r="I569" s="16">
        <f>IF(H569&lt;&gt;"","Completed",IF(TODAY()&gt;G569,"Overdue",IF(F569&lt;&gt;"","In Progress","Not Started")))</f>
        <v/>
      </c>
      <c r="J569" s="18">
        <f>IF(I569="Overdue",TODAY()-G569,0)</f>
        <v/>
      </c>
      <c r="K569" s="16" t="n"/>
      <c r="L569" s="16" t="n"/>
      <c r="M569" s="16" t="n"/>
      <c r="N569" s="16" t="n"/>
      <c r="O569" s="16" t="n"/>
    </row>
    <row r="570">
      <c r="A570" s="17" t="inlineStr">
        <is>
          <t>TRK-0567</t>
        </is>
      </c>
      <c r="B570" s="16" t="n"/>
      <c r="C570" s="16" t="n"/>
      <c r="D570" s="16" t="n"/>
      <c r="E570" s="16" t="n"/>
      <c r="F570" s="16" t="n"/>
      <c r="G570" s="16" t="n"/>
      <c r="H570" s="16" t="n"/>
      <c r="I570" s="16">
        <f>IF(H570&lt;&gt;"","Completed",IF(TODAY()&gt;G570,"Overdue",IF(F570&lt;&gt;"","In Progress","Not Started")))</f>
        <v/>
      </c>
      <c r="J570" s="18">
        <f>IF(I570="Overdue",TODAY()-G570,0)</f>
        <v/>
      </c>
      <c r="K570" s="16" t="n"/>
      <c r="L570" s="16" t="n"/>
      <c r="M570" s="16" t="n"/>
      <c r="N570" s="16" t="n"/>
      <c r="O570" s="16" t="n"/>
    </row>
    <row r="571">
      <c r="A571" s="17" t="inlineStr">
        <is>
          <t>TRK-0568</t>
        </is>
      </c>
      <c r="B571" s="16" t="n"/>
      <c r="C571" s="16" t="n"/>
      <c r="D571" s="16" t="n"/>
      <c r="E571" s="16" t="n"/>
      <c r="F571" s="16" t="n"/>
      <c r="G571" s="16" t="n"/>
      <c r="H571" s="16" t="n"/>
      <c r="I571" s="16">
        <f>IF(H571&lt;&gt;"","Completed",IF(TODAY()&gt;G571,"Overdue",IF(F571&lt;&gt;"","In Progress","Not Started")))</f>
        <v/>
      </c>
      <c r="J571" s="18">
        <f>IF(I571="Overdue",TODAY()-G571,0)</f>
        <v/>
      </c>
      <c r="K571" s="16" t="n"/>
      <c r="L571" s="16" t="n"/>
      <c r="M571" s="16" t="n"/>
      <c r="N571" s="16" t="n"/>
      <c r="O571" s="16" t="n"/>
    </row>
    <row r="572">
      <c r="A572" s="17" t="inlineStr">
        <is>
          <t>TRK-0569</t>
        </is>
      </c>
      <c r="B572" s="16" t="n"/>
      <c r="C572" s="16" t="n"/>
      <c r="D572" s="16" t="n"/>
      <c r="E572" s="16" t="n"/>
      <c r="F572" s="16" t="n"/>
      <c r="G572" s="16" t="n"/>
      <c r="H572" s="16" t="n"/>
      <c r="I572" s="16">
        <f>IF(H572&lt;&gt;"","Completed",IF(TODAY()&gt;G572,"Overdue",IF(F572&lt;&gt;"","In Progress","Not Started")))</f>
        <v/>
      </c>
      <c r="J572" s="18">
        <f>IF(I572="Overdue",TODAY()-G572,0)</f>
        <v/>
      </c>
      <c r="K572" s="16" t="n"/>
      <c r="L572" s="16" t="n"/>
      <c r="M572" s="16" t="n"/>
      <c r="N572" s="16" t="n"/>
      <c r="O572" s="16" t="n"/>
    </row>
    <row r="573">
      <c r="A573" s="17" t="inlineStr">
        <is>
          <t>TRK-0570</t>
        </is>
      </c>
      <c r="B573" s="16" t="n"/>
      <c r="C573" s="16" t="n"/>
      <c r="D573" s="16" t="n"/>
      <c r="E573" s="16" t="n"/>
      <c r="F573" s="16" t="n"/>
      <c r="G573" s="16" t="n"/>
      <c r="H573" s="16" t="n"/>
      <c r="I573" s="16">
        <f>IF(H573&lt;&gt;"","Completed",IF(TODAY()&gt;G573,"Overdue",IF(F573&lt;&gt;"","In Progress","Not Started")))</f>
        <v/>
      </c>
      <c r="J573" s="18">
        <f>IF(I573="Overdue",TODAY()-G573,0)</f>
        <v/>
      </c>
      <c r="K573" s="16" t="n"/>
      <c r="L573" s="16" t="n"/>
      <c r="M573" s="16" t="n"/>
      <c r="N573" s="16" t="n"/>
      <c r="O573" s="16" t="n"/>
    </row>
    <row r="574">
      <c r="A574" s="17" t="inlineStr">
        <is>
          <t>TRK-0571</t>
        </is>
      </c>
      <c r="B574" s="16" t="n"/>
      <c r="C574" s="16" t="n"/>
      <c r="D574" s="16" t="n"/>
      <c r="E574" s="16" t="n"/>
      <c r="F574" s="16" t="n"/>
      <c r="G574" s="16" t="n"/>
      <c r="H574" s="16" t="n"/>
      <c r="I574" s="16">
        <f>IF(H574&lt;&gt;"","Completed",IF(TODAY()&gt;G574,"Overdue",IF(F574&lt;&gt;"","In Progress","Not Started")))</f>
        <v/>
      </c>
      <c r="J574" s="18">
        <f>IF(I574="Overdue",TODAY()-G574,0)</f>
        <v/>
      </c>
      <c r="K574" s="16" t="n"/>
      <c r="L574" s="16" t="n"/>
      <c r="M574" s="16" t="n"/>
      <c r="N574" s="16" t="n"/>
      <c r="O574" s="16" t="n"/>
    </row>
    <row r="575">
      <c r="A575" s="17" t="inlineStr">
        <is>
          <t>TRK-0572</t>
        </is>
      </c>
      <c r="B575" s="16" t="n"/>
      <c r="C575" s="16" t="n"/>
      <c r="D575" s="16" t="n"/>
      <c r="E575" s="16" t="n"/>
      <c r="F575" s="16" t="n"/>
      <c r="G575" s="16" t="n"/>
      <c r="H575" s="16" t="n"/>
      <c r="I575" s="16">
        <f>IF(H575&lt;&gt;"","Completed",IF(TODAY()&gt;G575,"Overdue",IF(F575&lt;&gt;"","In Progress","Not Started")))</f>
        <v/>
      </c>
      <c r="J575" s="18">
        <f>IF(I575="Overdue",TODAY()-G575,0)</f>
        <v/>
      </c>
      <c r="K575" s="16" t="n"/>
      <c r="L575" s="16" t="n"/>
      <c r="M575" s="16" t="n"/>
      <c r="N575" s="16" t="n"/>
      <c r="O575" s="16" t="n"/>
    </row>
    <row r="576">
      <c r="A576" s="17" t="inlineStr">
        <is>
          <t>TRK-0573</t>
        </is>
      </c>
      <c r="B576" s="16" t="n"/>
      <c r="C576" s="16" t="n"/>
      <c r="D576" s="16" t="n"/>
      <c r="E576" s="16" t="n"/>
      <c r="F576" s="16" t="n"/>
      <c r="G576" s="16" t="n"/>
      <c r="H576" s="16" t="n"/>
      <c r="I576" s="16">
        <f>IF(H576&lt;&gt;"","Completed",IF(TODAY()&gt;G576,"Overdue",IF(F576&lt;&gt;"","In Progress","Not Started")))</f>
        <v/>
      </c>
      <c r="J576" s="18">
        <f>IF(I576="Overdue",TODAY()-G576,0)</f>
        <v/>
      </c>
      <c r="K576" s="16" t="n"/>
      <c r="L576" s="16" t="n"/>
      <c r="M576" s="16" t="n"/>
      <c r="N576" s="16" t="n"/>
      <c r="O576" s="16" t="n"/>
    </row>
    <row r="577">
      <c r="A577" s="17" t="inlineStr">
        <is>
          <t>TRK-0574</t>
        </is>
      </c>
      <c r="B577" s="16" t="n"/>
      <c r="C577" s="16" t="n"/>
      <c r="D577" s="16" t="n"/>
      <c r="E577" s="16" t="n"/>
      <c r="F577" s="16" t="n"/>
      <c r="G577" s="16" t="n"/>
      <c r="H577" s="16" t="n"/>
      <c r="I577" s="16">
        <f>IF(H577&lt;&gt;"","Completed",IF(TODAY()&gt;G577,"Overdue",IF(F577&lt;&gt;"","In Progress","Not Started")))</f>
        <v/>
      </c>
      <c r="J577" s="18">
        <f>IF(I577="Overdue",TODAY()-G577,0)</f>
        <v/>
      </c>
      <c r="K577" s="16" t="n"/>
      <c r="L577" s="16" t="n"/>
      <c r="M577" s="16" t="n"/>
      <c r="N577" s="16" t="n"/>
      <c r="O577" s="16" t="n"/>
    </row>
    <row r="578">
      <c r="A578" s="17" t="inlineStr">
        <is>
          <t>TRK-0575</t>
        </is>
      </c>
      <c r="B578" s="16" t="n"/>
      <c r="C578" s="16" t="n"/>
      <c r="D578" s="16" t="n"/>
      <c r="E578" s="16" t="n"/>
      <c r="F578" s="16" t="n"/>
      <c r="G578" s="16" t="n"/>
      <c r="H578" s="16" t="n"/>
      <c r="I578" s="16">
        <f>IF(H578&lt;&gt;"","Completed",IF(TODAY()&gt;G578,"Overdue",IF(F578&lt;&gt;"","In Progress","Not Started")))</f>
        <v/>
      </c>
      <c r="J578" s="18">
        <f>IF(I578="Overdue",TODAY()-G578,0)</f>
        <v/>
      </c>
      <c r="K578" s="16" t="n"/>
      <c r="L578" s="16" t="n"/>
      <c r="M578" s="16" t="n"/>
      <c r="N578" s="16" t="n"/>
      <c r="O578" s="16" t="n"/>
    </row>
    <row r="579">
      <c r="A579" s="17" t="inlineStr">
        <is>
          <t>TRK-0576</t>
        </is>
      </c>
      <c r="B579" s="16" t="n"/>
      <c r="C579" s="16" t="n"/>
      <c r="D579" s="16" t="n"/>
      <c r="E579" s="16" t="n"/>
      <c r="F579" s="16" t="n"/>
      <c r="G579" s="16" t="n"/>
      <c r="H579" s="16" t="n"/>
      <c r="I579" s="16">
        <f>IF(H579&lt;&gt;"","Completed",IF(TODAY()&gt;G579,"Overdue",IF(F579&lt;&gt;"","In Progress","Not Started")))</f>
        <v/>
      </c>
      <c r="J579" s="18">
        <f>IF(I579="Overdue",TODAY()-G579,0)</f>
        <v/>
      </c>
      <c r="K579" s="16" t="n"/>
      <c r="L579" s="16" t="n"/>
      <c r="M579" s="16" t="n"/>
      <c r="N579" s="16" t="n"/>
      <c r="O579" s="16" t="n"/>
    </row>
    <row r="580">
      <c r="A580" s="17" t="inlineStr">
        <is>
          <t>TRK-0577</t>
        </is>
      </c>
      <c r="B580" s="16" t="n"/>
      <c r="C580" s="16" t="n"/>
      <c r="D580" s="16" t="n"/>
      <c r="E580" s="16" t="n"/>
      <c r="F580" s="16" t="n"/>
      <c r="G580" s="16" t="n"/>
      <c r="H580" s="16" t="n"/>
      <c r="I580" s="16">
        <f>IF(H580&lt;&gt;"","Completed",IF(TODAY()&gt;G580,"Overdue",IF(F580&lt;&gt;"","In Progress","Not Started")))</f>
        <v/>
      </c>
      <c r="J580" s="18">
        <f>IF(I580="Overdue",TODAY()-G580,0)</f>
        <v/>
      </c>
      <c r="K580" s="16" t="n"/>
      <c r="L580" s="16" t="n"/>
      <c r="M580" s="16" t="n"/>
      <c r="N580" s="16" t="n"/>
      <c r="O580" s="16" t="n"/>
    </row>
    <row r="581">
      <c r="A581" s="17" t="inlineStr">
        <is>
          <t>TRK-0578</t>
        </is>
      </c>
      <c r="B581" s="16" t="n"/>
      <c r="C581" s="16" t="n"/>
      <c r="D581" s="16" t="n"/>
      <c r="E581" s="16" t="n"/>
      <c r="F581" s="16" t="n"/>
      <c r="G581" s="16" t="n"/>
      <c r="H581" s="16" t="n"/>
      <c r="I581" s="16">
        <f>IF(H581&lt;&gt;"","Completed",IF(TODAY()&gt;G581,"Overdue",IF(F581&lt;&gt;"","In Progress","Not Started")))</f>
        <v/>
      </c>
      <c r="J581" s="18">
        <f>IF(I581="Overdue",TODAY()-G581,0)</f>
        <v/>
      </c>
      <c r="K581" s="16" t="n"/>
      <c r="L581" s="16" t="n"/>
      <c r="M581" s="16" t="n"/>
      <c r="N581" s="16" t="n"/>
      <c r="O581" s="16" t="n"/>
    </row>
    <row r="582">
      <c r="A582" s="17" t="inlineStr">
        <is>
          <t>TRK-0579</t>
        </is>
      </c>
      <c r="B582" s="16" t="n"/>
      <c r="C582" s="16" t="n"/>
      <c r="D582" s="16" t="n"/>
      <c r="E582" s="16" t="n"/>
      <c r="F582" s="16" t="n"/>
      <c r="G582" s="16" t="n"/>
      <c r="H582" s="16" t="n"/>
      <c r="I582" s="16">
        <f>IF(H582&lt;&gt;"","Completed",IF(TODAY()&gt;G582,"Overdue",IF(F582&lt;&gt;"","In Progress","Not Started")))</f>
        <v/>
      </c>
      <c r="J582" s="18">
        <f>IF(I582="Overdue",TODAY()-G582,0)</f>
        <v/>
      </c>
      <c r="K582" s="16" t="n"/>
      <c r="L582" s="16" t="n"/>
      <c r="M582" s="16" t="n"/>
      <c r="N582" s="16" t="n"/>
      <c r="O582" s="16" t="n"/>
    </row>
    <row r="583">
      <c r="A583" s="17" t="inlineStr">
        <is>
          <t>TRK-0580</t>
        </is>
      </c>
      <c r="B583" s="16" t="n"/>
      <c r="C583" s="16" t="n"/>
      <c r="D583" s="16" t="n"/>
      <c r="E583" s="16" t="n"/>
      <c r="F583" s="16" t="n"/>
      <c r="G583" s="16" t="n"/>
      <c r="H583" s="16" t="n"/>
      <c r="I583" s="16">
        <f>IF(H583&lt;&gt;"","Completed",IF(TODAY()&gt;G583,"Overdue",IF(F583&lt;&gt;"","In Progress","Not Started")))</f>
        <v/>
      </c>
      <c r="J583" s="18">
        <f>IF(I583="Overdue",TODAY()-G583,0)</f>
        <v/>
      </c>
      <c r="K583" s="16" t="n"/>
      <c r="L583" s="16" t="n"/>
      <c r="M583" s="16" t="n"/>
      <c r="N583" s="16" t="n"/>
      <c r="O583" s="16" t="n"/>
    </row>
    <row r="584">
      <c r="A584" s="17" t="inlineStr">
        <is>
          <t>TRK-0581</t>
        </is>
      </c>
      <c r="B584" s="16" t="n"/>
      <c r="C584" s="16" t="n"/>
      <c r="D584" s="16" t="n"/>
      <c r="E584" s="16" t="n"/>
      <c r="F584" s="16" t="n"/>
      <c r="G584" s="16" t="n"/>
      <c r="H584" s="16" t="n"/>
      <c r="I584" s="16">
        <f>IF(H584&lt;&gt;"","Completed",IF(TODAY()&gt;G584,"Overdue",IF(F584&lt;&gt;"","In Progress","Not Started")))</f>
        <v/>
      </c>
      <c r="J584" s="18">
        <f>IF(I584="Overdue",TODAY()-G584,0)</f>
        <v/>
      </c>
      <c r="K584" s="16" t="n"/>
      <c r="L584" s="16" t="n"/>
      <c r="M584" s="16" t="n"/>
      <c r="N584" s="16" t="n"/>
      <c r="O584" s="16" t="n"/>
    </row>
    <row r="585">
      <c r="A585" s="17" t="inlineStr">
        <is>
          <t>TRK-0582</t>
        </is>
      </c>
      <c r="B585" s="16" t="n"/>
      <c r="C585" s="16" t="n"/>
      <c r="D585" s="16" t="n"/>
      <c r="E585" s="16" t="n"/>
      <c r="F585" s="16" t="n"/>
      <c r="G585" s="16" t="n"/>
      <c r="H585" s="16" t="n"/>
      <c r="I585" s="16">
        <f>IF(H585&lt;&gt;"","Completed",IF(TODAY()&gt;G585,"Overdue",IF(F585&lt;&gt;"","In Progress","Not Started")))</f>
        <v/>
      </c>
      <c r="J585" s="18">
        <f>IF(I585="Overdue",TODAY()-G585,0)</f>
        <v/>
      </c>
      <c r="K585" s="16" t="n"/>
      <c r="L585" s="16" t="n"/>
      <c r="M585" s="16" t="n"/>
      <c r="N585" s="16" t="n"/>
      <c r="O585" s="16" t="n"/>
    </row>
    <row r="586">
      <c r="A586" s="17" t="inlineStr">
        <is>
          <t>TRK-0583</t>
        </is>
      </c>
      <c r="B586" s="16" t="n"/>
      <c r="C586" s="16" t="n"/>
      <c r="D586" s="16" t="n"/>
      <c r="E586" s="16" t="n"/>
      <c r="F586" s="16" t="n"/>
      <c r="G586" s="16" t="n"/>
      <c r="H586" s="16" t="n"/>
      <c r="I586" s="16">
        <f>IF(H586&lt;&gt;"","Completed",IF(TODAY()&gt;G586,"Overdue",IF(F586&lt;&gt;"","In Progress","Not Started")))</f>
        <v/>
      </c>
      <c r="J586" s="18">
        <f>IF(I586="Overdue",TODAY()-G586,0)</f>
        <v/>
      </c>
      <c r="K586" s="16" t="n"/>
      <c r="L586" s="16" t="n"/>
      <c r="M586" s="16" t="n"/>
      <c r="N586" s="16" t="n"/>
      <c r="O586" s="16" t="n"/>
    </row>
    <row r="587">
      <c r="A587" s="17" t="inlineStr">
        <is>
          <t>TRK-0584</t>
        </is>
      </c>
      <c r="B587" s="16" t="n"/>
      <c r="C587" s="16" t="n"/>
      <c r="D587" s="16" t="n"/>
      <c r="E587" s="16" t="n"/>
      <c r="F587" s="16" t="n"/>
      <c r="G587" s="16" t="n"/>
      <c r="H587" s="16" t="n"/>
      <c r="I587" s="16">
        <f>IF(H587&lt;&gt;"","Completed",IF(TODAY()&gt;G587,"Overdue",IF(F587&lt;&gt;"","In Progress","Not Started")))</f>
        <v/>
      </c>
      <c r="J587" s="18">
        <f>IF(I587="Overdue",TODAY()-G587,0)</f>
        <v/>
      </c>
      <c r="K587" s="16" t="n"/>
      <c r="L587" s="16" t="n"/>
      <c r="M587" s="16" t="n"/>
      <c r="N587" s="16" t="n"/>
      <c r="O587" s="16" t="n"/>
    </row>
    <row r="588">
      <c r="A588" s="17" t="inlineStr">
        <is>
          <t>TRK-0585</t>
        </is>
      </c>
      <c r="B588" s="16" t="n"/>
      <c r="C588" s="16" t="n"/>
      <c r="D588" s="16" t="n"/>
      <c r="E588" s="16" t="n"/>
      <c r="F588" s="16" t="n"/>
      <c r="G588" s="16" t="n"/>
      <c r="H588" s="16" t="n"/>
      <c r="I588" s="16">
        <f>IF(H588&lt;&gt;"","Completed",IF(TODAY()&gt;G588,"Overdue",IF(F588&lt;&gt;"","In Progress","Not Started")))</f>
        <v/>
      </c>
      <c r="J588" s="18">
        <f>IF(I588="Overdue",TODAY()-G588,0)</f>
        <v/>
      </c>
      <c r="K588" s="16" t="n"/>
      <c r="L588" s="16" t="n"/>
      <c r="M588" s="16" t="n"/>
      <c r="N588" s="16" t="n"/>
      <c r="O588" s="16" t="n"/>
    </row>
    <row r="589">
      <c r="A589" s="17" t="inlineStr">
        <is>
          <t>TRK-0586</t>
        </is>
      </c>
      <c r="B589" s="16" t="n"/>
      <c r="C589" s="16" t="n"/>
      <c r="D589" s="16" t="n"/>
      <c r="E589" s="16" t="n"/>
      <c r="F589" s="16" t="n"/>
      <c r="G589" s="16" t="n"/>
      <c r="H589" s="16" t="n"/>
      <c r="I589" s="16">
        <f>IF(H589&lt;&gt;"","Completed",IF(TODAY()&gt;G589,"Overdue",IF(F589&lt;&gt;"","In Progress","Not Started")))</f>
        <v/>
      </c>
      <c r="J589" s="18">
        <f>IF(I589="Overdue",TODAY()-G589,0)</f>
        <v/>
      </c>
      <c r="K589" s="16" t="n"/>
      <c r="L589" s="16" t="n"/>
      <c r="M589" s="16" t="n"/>
      <c r="N589" s="16" t="n"/>
      <c r="O589" s="16" t="n"/>
    </row>
    <row r="590">
      <c r="A590" s="17" t="inlineStr">
        <is>
          <t>TRK-0587</t>
        </is>
      </c>
      <c r="B590" s="16" t="n"/>
      <c r="C590" s="16" t="n"/>
      <c r="D590" s="16" t="n"/>
      <c r="E590" s="16" t="n"/>
      <c r="F590" s="16" t="n"/>
      <c r="G590" s="16" t="n"/>
      <c r="H590" s="16" t="n"/>
      <c r="I590" s="16">
        <f>IF(H590&lt;&gt;"","Completed",IF(TODAY()&gt;G590,"Overdue",IF(F590&lt;&gt;"","In Progress","Not Started")))</f>
        <v/>
      </c>
      <c r="J590" s="18">
        <f>IF(I590="Overdue",TODAY()-G590,0)</f>
        <v/>
      </c>
      <c r="K590" s="16" t="n"/>
      <c r="L590" s="16" t="n"/>
      <c r="M590" s="16" t="n"/>
      <c r="N590" s="16" t="n"/>
      <c r="O590" s="16" t="n"/>
    </row>
    <row r="591">
      <c r="A591" s="17" t="inlineStr">
        <is>
          <t>TRK-0588</t>
        </is>
      </c>
      <c r="B591" s="16" t="n"/>
      <c r="C591" s="16" t="n"/>
      <c r="D591" s="16" t="n"/>
      <c r="E591" s="16" t="n"/>
      <c r="F591" s="16" t="n"/>
      <c r="G591" s="16" t="n"/>
      <c r="H591" s="16" t="n"/>
      <c r="I591" s="16">
        <f>IF(H591&lt;&gt;"","Completed",IF(TODAY()&gt;G591,"Overdue",IF(F591&lt;&gt;"","In Progress","Not Started")))</f>
        <v/>
      </c>
      <c r="J591" s="18">
        <f>IF(I591="Overdue",TODAY()-G591,0)</f>
        <v/>
      </c>
      <c r="K591" s="16" t="n"/>
      <c r="L591" s="16" t="n"/>
      <c r="M591" s="16" t="n"/>
      <c r="N591" s="16" t="n"/>
      <c r="O591" s="16" t="n"/>
    </row>
    <row r="592">
      <c r="A592" s="17" t="inlineStr">
        <is>
          <t>TRK-0589</t>
        </is>
      </c>
      <c r="B592" s="16" t="n"/>
      <c r="C592" s="16" t="n"/>
      <c r="D592" s="16" t="n"/>
      <c r="E592" s="16" t="n"/>
      <c r="F592" s="16" t="n"/>
      <c r="G592" s="16" t="n"/>
      <c r="H592" s="16" t="n"/>
      <c r="I592" s="16">
        <f>IF(H592&lt;&gt;"","Completed",IF(TODAY()&gt;G592,"Overdue",IF(F592&lt;&gt;"","In Progress","Not Started")))</f>
        <v/>
      </c>
      <c r="J592" s="18">
        <f>IF(I592="Overdue",TODAY()-G592,0)</f>
        <v/>
      </c>
      <c r="K592" s="16" t="n"/>
      <c r="L592" s="16" t="n"/>
      <c r="M592" s="16" t="n"/>
      <c r="N592" s="16" t="n"/>
      <c r="O592" s="16" t="n"/>
    </row>
    <row r="593">
      <c r="A593" s="17" t="inlineStr">
        <is>
          <t>TRK-0590</t>
        </is>
      </c>
      <c r="B593" s="16" t="n"/>
      <c r="C593" s="16" t="n"/>
      <c r="D593" s="16" t="n"/>
      <c r="E593" s="16" t="n"/>
      <c r="F593" s="16" t="n"/>
      <c r="G593" s="16" t="n"/>
      <c r="H593" s="16" t="n"/>
      <c r="I593" s="16">
        <f>IF(H593&lt;&gt;"","Completed",IF(TODAY()&gt;G593,"Overdue",IF(F593&lt;&gt;"","In Progress","Not Started")))</f>
        <v/>
      </c>
      <c r="J593" s="18">
        <f>IF(I593="Overdue",TODAY()-G593,0)</f>
        <v/>
      </c>
      <c r="K593" s="16" t="n"/>
      <c r="L593" s="16" t="n"/>
      <c r="M593" s="16" t="n"/>
      <c r="N593" s="16" t="n"/>
      <c r="O593" s="16" t="n"/>
    </row>
    <row r="594">
      <c r="A594" s="17" t="inlineStr">
        <is>
          <t>TRK-0591</t>
        </is>
      </c>
      <c r="B594" s="16" t="n"/>
      <c r="C594" s="16" t="n"/>
      <c r="D594" s="16" t="n"/>
      <c r="E594" s="16" t="n"/>
      <c r="F594" s="16" t="n"/>
      <c r="G594" s="16" t="n"/>
      <c r="H594" s="16" t="n"/>
      <c r="I594" s="16">
        <f>IF(H594&lt;&gt;"","Completed",IF(TODAY()&gt;G594,"Overdue",IF(F594&lt;&gt;"","In Progress","Not Started")))</f>
        <v/>
      </c>
      <c r="J594" s="18">
        <f>IF(I594="Overdue",TODAY()-G594,0)</f>
        <v/>
      </c>
      <c r="K594" s="16" t="n"/>
      <c r="L594" s="16" t="n"/>
      <c r="M594" s="16" t="n"/>
      <c r="N594" s="16" t="n"/>
      <c r="O594" s="16" t="n"/>
    </row>
    <row r="595">
      <c r="A595" s="17" t="inlineStr">
        <is>
          <t>TRK-0592</t>
        </is>
      </c>
      <c r="B595" s="16" t="n"/>
      <c r="C595" s="16" t="n"/>
      <c r="D595" s="16" t="n"/>
      <c r="E595" s="16" t="n"/>
      <c r="F595" s="16" t="n"/>
      <c r="G595" s="16" t="n"/>
      <c r="H595" s="16" t="n"/>
      <c r="I595" s="16">
        <f>IF(H595&lt;&gt;"","Completed",IF(TODAY()&gt;G595,"Overdue",IF(F595&lt;&gt;"","In Progress","Not Started")))</f>
        <v/>
      </c>
      <c r="J595" s="18">
        <f>IF(I595="Overdue",TODAY()-G595,0)</f>
        <v/>
      </c>
      <c r="K595" s="16" t="n"/>
      <c r="L595" s="16" t="n"/>
      <c r="M595" s="16" t="n"/>
      <c r="N595" s="16" t="n"/>
      <c r="O595" s="16" t="n"/>
    </row>
    <row r="596">
      <c r="A596" s="17" t="inlineStr">
        <is>
          <t>TRK-0593</t>
        </is>
      </c>
      <c r="B596" s="16" t="n"/>
      <c r="C596" s="16" t="n"/>
      <c r="D596" s="16" t="n"/>
      <c r="E596" s="16" t="n"/>
      <c r="F596" s="16" t="n"/>
      <c r="G596" s="16" t="n"/>
      <c r="H596" s="16" t="n"/>
      <c r="I596" s="16">
        <f>IF(H596&lt;&gt;"","Completed",IF(TODAY()&gt;G596,"Overdue",IF(F596&lt;&gt;"","In Progress","Not Started")))</f>
        <v/>
      </c>
      <c r="J596" s="18">
        <f>IF(I596="Overdue",TODAY()-G596,0)</f>
        <v/>
      </c>
      <c r="K596" s="16" t="n"/>
      <c r="L596" s="16" t="n"/>
      <c r="M596" s="16" t="n"/>
      <c r="N596" s="16" t="n"/>
      <c r="O596" s="16" t="n"/>
    </row>
    <row r="597">
      <c r="A597" s="17" t="inlineStr">
        <is>
          <t>TRK-0594</t>
        </is>
      </c>
      <c r="B597" s="16" t="n"/>
      <c r="C597" s="16" t="n"/>
      <c r="D597" s="16" t="n"/>
      <c r="E597" s="16" t="n"/>
      <c r="F597" s="16" t="n"/>
      <c r="G597" s="16" t="n"/>
      <c r="H597" s="16" t="n"/>
      <c r="I597" s="16">
        <f>IF(H597&lt;&gt;"","Completed",IF(TODAY()&gt;G597,"Overdue",IF(F597&lt;&gt;"","In Progress","Not Started")))</f>
        <v/>
      </c>
      <c r="J597" s="18">
        <f>IF(I597="Overdue",TODAY()-G597,0)</f>
        <v/>
      </c>
      <c r="K597" s="16" t="n"/>
      <c r="L597" s="16" t="n"/>
      <c r="M597" s="16" t="n"/>
      <c r="N597" s="16" t="n"/>
      <c r="O597" s="16" t="n"/>
    </row>
    <row r="598">
      <c r="A598" s="17" t="inlineStr">
        <is>
          <t>TRK-0595</t>
        </is>
      </c>
      <c r="B598" s="16" t="n"/>
      <c r="C598" s="16" t="n"/>
      <c r="D598" s="16" t="n"/>
      <c r="E598" s="16" t="n"/>
      <c r="F598" s="16" t="n"/>
      <c r="G598" s="16" t="n"/>
      <c r="H598" s="16" t="n"/>
      <c r="I598" s="16">
        <f>IF(H598&lt;&gt;"","Completed",IF(TODAY()&gt;G598,"Overdue",IF(F598&lt;&gt;"","In Progress","Not Started")))</f>
        <v/>
      </c>
      <c r="J598" s="18">
        <f>IF(I598="Overdue",TODAY()-G598,0)</f>
        <v/>
      </c>
      <c r="K598" s="16" t="n"/>
      <c r="L598" s="16" t="n"/>
      <c r="M598" s="16" t="n"/>
      <c r="N598" s="16" t="n"/>
      <c r="O598" s="16" t="n"/>
    </row>
    <row r="599">
      <c r="A599" s="17" t="inlineStr">
        <is>
          <t>TRK-0596</t>
        </is>
      </c>
      <c r="B599" s="16" t="n"/>
      <c r="C599" s="16" t="n"/>
      <c r="D599" s="16" t="n"/>
      <c r="E599" s="16" t="n"/>
      <c r="F599" s="16" t="n"/>
      <c r="G599" s="16" t="n"/>
      <c r="H599" s="16" t="n"/>
      <c r="I599" s="16">
        <f>IF(H599&lt;&gt;"","Completed",IF(TODAY()&gt;G599,"Overdue",IF(F599&lt;&gt;"","In Progress","Not Started")))</f>
        <v/>
      </c>
      <c r="J599" s="18">
        <f>IF(I599="Overdue",TODAY()-G599,0)</f>
        <v/>
      </c>
      <c r="K599" s="16" t="n"/>
      <c r="L599" s="16" t="n"/>
      <c r="M599" s="16" t="n"/>
      <c r="N599" s="16" t="n"/>
      <c r="O599" s="16" t="n"/>
    </row>
    <row r="600">
      <c r="A600" s="17" t="inlineStr">
        <is>
          <t>TRK-0597</t>
        </is>
      </c>
      <c r="B600" s="16" t="n"/>
      <c r="C600" s="16" t="n"/>
      <c r="D600" s="16" t="n"/>
      <c r="E600" s="16" t="n"/>
      <c r="F600" s="16" t="n"/>
      <c r="G600" s="16" t="n"/>
      <c r="H600" s="16" t="n"/>
      <c r="I600" s="16">
        <f>IF(H600&lt;&gt;"","Completed",IF(TODAY()&gt;G600,"Overdue",IF(F600&lt;&gt;"","In Progress","Not Started")))</f>
        <v/>
      </c>
      <c r="J600" s="18">
        <f>IF(I600="Overdue",TODAY()-G600,0)</f>
        <v/>
      </c>
      <c r="K600" s="16" t="n"/>
      <c r="L600" s="16" t="n"/>
      <c r="M600" s="16" t="n"/>
      <c r="N600" s="16" t="n"/>
      <c r="O600" s="16" t="n"/>
    </row>
    <row r="601">
      <c r="A601" s="17" t="inlineStr">
        <is>
          <t>TRK-0598</t>
        </is>
      </c>
      <c r="B601" s="16" t="n"/>
      <c r="C601" s="16" t="n"/>
      <c r="D601" s="16" t="n"/>
      <c r="E601" s="16" t="n"/>
      <c r="F601" s="16" t="n"/>
      <c r="G601" s="16" t="n"/>
      <c r="H601" s="16" t="n"/>
      <c r="I601" s="16">
        <f>IF(H601&lt;&gt;"","Completed",IF(TODAY()&gt;G601,"Overdue",IF(F601&lt;&gt;"","In Progress","Not Started")))</f>
        <v/>
      </c>
      <c r="J601" s="18">
        <f>IF(I601="Overdue",TODAY()-G601,0)</f>
        <v/>
      </c>
      <c r="K601" s="16" t="n"/>
      <c r="L601" s="16" t="n"/>
      <c r="M601" s="16" t="n"/>
      <c r="N601" s="16" t="n"/>
      <c r="O601" s="16" t="n"/>
    </row>
    <row r="602">
      <c r="A602" s="17" t="inlineStr">
        <is>
          <t>TRK-0599</t>
        </is>
      </c>
      <c r="B602" s="16" t="n"/>
      <c r="C602" s="16" t="n"/>
      <c r="D602" s="16" t="n"/>
      <c r="E602" s="16" t="n"/>
      <c r="F602" s="16" t="n"/>
      <c r="G602" s="16" t="n"/>
      <c r="H602" s="16" t="n"/>
      <c r="I602" s="16">
        <f>IF(H602&lt;&gt;"","Completed",IF(TODAY()&gt;G602,"Overdue",IF(F602&lt;&gt;"","In Progress","Not Started")))</f>
        <v/>
      </c>
      <c r="J602" s="18">
        <f>IF(I602="Overdue",TODAY()-G602,0)</f>
        <v/>
      </c>
      <c r="K602" s="16" t="n"/>
      <c r="L602" s="16" t="n"/>
      <c r="M602" s="16" t="n"/>
      <c r="N602" s="16" t="n"/>
      <c r="O602" s="16" t="n"/>
    </row>
    <row r="603">
      <c r="A603" s="17" t="inlineStr">
        <is>
          <t>TRK-0600</t>
        </is>
      </c>
      <c r="B603" s="16" t="n"/>
      <c r="C603" s="16" t="n"/>
      <c r="D603" s="16" t="n"/>
      <c r="E603" s="16" t="n"/>
      <c r="F603" s="16" t="n"/>
      <c r="G603" s="16" t="n"/>
      <c r="H603" s="16" t="n"/>
      <c r="I603" s="16">
        <f>IF(H603&lt;&gt;"","Completed",IF(TODAY()&gt;G603,"Overdue",IF(F603&lt;&gt;"","In Progress","Not Started")))</f>
        <v/>
      </c>
      <c r="J603" s="18">
        <f>IF(I603="Overdue",TODAY()-G603,0)</f>
        <v/>
      </c>
      <c r="K603" s="16" t="n"/>
      <c r="L603" s="16" t="n"/>
      <c r="M603" s="16" t="n"/>
      <c r="N603" s="16" t="n"/>
      <c r="O603" s="16" t="n"/>
    </row>
    <row r="604">
      <c r="A604" s="17" t="inlineStr">
        <is>
          <t>TRK-0601</t>
        </is>
      </c>
      <c r="B604" s="16" t="n"/>
      <c r="C604" s="16" t="n"/>
      <c r="D604" s="16" t="n"/>
      <c r="E604" s="16" t="n"/>
      <c r="F604" s="16" t="n"/>
      <c r="G604" s="16" t="n"/>
      <c r="H604" s="16" t="n"/>
      <c r="I604" s="16">
        <f>IF(H604&lt;&gt;"","Completed",IF(TODAY()&gt;G604,"Overdue",IF(F604&lt;&gt;"","In Progress","Not Started")))</f>
        <v/>
      </c>
      <c r="J604" s="18">
        <f>IF(I604="Overdue",TODAY()-G604,0)</f>
        <v/>
      </c>
      <c r="K604" s="16" t="n"/>
      <c r="L604" s="16" t="n"/>
      <c r="M604" s="16" t="n"/>
      <c r="N604" s="16" t="n"/>
      <c r="O604" s="16" t="n"/>
    </row>
    <row r="605">
      <c r="A605" s="17" t="inlineStr">
        <is>
          <t>TRK-0602</t>
        </is>
      </c>
      <c r="B605" s="16" t="n"/>
      <c r="C605" s="16" t="n"/>
      <c r="D605" s="16" t="n"/>
      <c r="E605" s="16" t="n"/>
      <c r="F605" s="16" t="n"/>
      <c r="G605" s="16" t="n"/>
      <c r="H605" s="16" t="n"/>
      <c r="I605" s="16">
        <f>IF(H605&lt;&gt;"","Completed",IF(TODAY()&gt;G605,"Overdue",IF(F605&lt;&gt;"","In Progress","Not Started")))</f>
        <v/>
      </c>
      <c r="J605" s="18">
        <f>IF(I605="Overdue",TODAY()-G605,0)</f>
        <v/>
      </c>
      <c r="K605" s="16" t="n"/>
      <c r="L605" s="16" t="n"/>
      <c r="M605" s="16" t="n"/>
      <c r="N605" s="16" t="n"/>
      <c r="O605" s="16" t="n"/>
    </row>
    <row r="606">
      <c r="A606" s="17" t="inlineStr">
        <is>
          <t>TRK-0603</t>
        </is>
      </c>
      <c r="B606" s="16" t="n"/>
      <c r="C606" s="16" t="n"/>
      <c r="D606" s="16" t="n"/>
      <c r="E606" s="16" t="n"/>
      <c r="F606" s="16" t="n"/>
      <c r="G606" s="16" t="n"/>
      <c r="H606" s="16" t="n"/>
      <c r="I606" s="16">
        <f>IF(H606&lt;&gt;"","Completed",IF(TODAY()&gt;G606,"Overdue",IF(F606&lt;&gt;"","In Progress","Not Started")))</f>
        <v/>
      </c>
      <c r="J606" s="18">
        <f>IF(I606="Overdue",TODAY()-G606,0)</f>
        <v/>
      </c>
      <c r="K606" s="16" t="n"/>
      <c r="L606" s="16" t="n"/>
      <c r="M606" s="16" t="n"/>
      <c r="N606" s="16" t="n"/>
      <c r="O606" s="16" t="n"/>
    </row>
    <row r="607">
      <c r="A607" s="17" t="inlineStr">
        <is>
          <t>TRK-0604</t>
        </is>
      </c>
      <c r="B607" s="16" t="n"/>
      <c r="C607" s="16" t="n"/>
      <c r="D607" s="16" t="n"/>
      <c r="E607" s="16" t="n"/>
      <c r="F607" s="16" t="n"/>
      <c r="G607" s="16" t="n"/>
      <c r="H607" s="16" t="n"/>
      <c r="I607" s="16">
        <f>IF(H607&lt;&gt;"","Completed",IF(TODAY()&gt;G607,"Overdue",IF(F607&lt;&gt;"","In Progress","Not Started")))</f>
        <v/>
      </c>
      <c r="J607" s="18">
        <f>IF(I607="Overdue",TODAY()-G607,0)</f>
        <v/>
      </c>
      <c r="K607" s="16" t="n"/>
      <c r="L607" s="16" t="n"/>
      <c r="M607" s="16" t="n"/>
      <c r="N607" s="16" t="n"/>
      <c r="O607" s="16" t="n"/>
    </row>
    <row r="608">
      <c r="A608" s="17" t="inlineStr">
        <is>
          <t>TRK-0605</t>
        </is>
      </c>
      <c r="B608" s="16" t="n"/>
      <c r="C608" s="16" t="n"/>
      <c r="D608" s="16" t="n"/>
      <c r="E608" s="16" t="n"/>
      <c r="F608" s="16" t="n"/>
      <c r="G608" s="16" t="n"/>
      <c r="H608" s="16" t="n"/>
      <c r="I608" s="16">
        <f>IF(H608&lt;&gt;"","Completed",IF(TODAY()&gt;G608,"Overdue",IF(F608&lt;&gt;"","In Progress","Not Started")))</f>
        <v/>
      </c>
      <c r="J608" s="18">
        <f>IF(I608="Overdue",TODAY()-G608,0)</f>
        <v/>
      </c>
      <c r="K608" s="16" t="n"/>
      <c r="L608" s="16" t="n"/>
      <c r="M608" s="16" t="n"/>
      <c r="N608" s="16" t="n"/>
      <c r="O608" s="16" t="n"/>
    </row>
    <row r="609">
      <c r="A609" s="17" t="inlineStr">
        <is>
          <t>TRK-0606</t>
        </is>
      </c>
      <c r="B609" s="16" t="n"/>
      <c r="C609" s="16" t="n"/>
      <c r="D609" s="16" t="n"/>
      <c r="E609" s="16" t="n"/>
      <c r="F609" s="16" t="n"/>
      <c r="G609" s="16" t="n"/>
      <c r="H609" s="16" t="n"/>
      <c r="I609" s="16">
        <f>IF(H609&lt;&gt;"","Completed",IF(TODAY()&gt;G609,"Overdue",IF(F609&lt;&gt;"","In Progress","Not Started")))</f>
        <v/>
      </c>
      <c r="J609" s="18">
        <f>IF(I609="Overdue",TODAY()-G609,0)</f>
        <v/>
      </c>
      <c r="K609" s="16" t="n"/>
      <c r="L609" s="16" t="n"/>
      <c r="M609" s="16" t="n"/>
      <c r="N609" s="16" t="n"/>
      <c r="O609" s="16" t="n"/>
    </row>
    <row r="610">
      <c r="A610" s="17" t="inlineStr">
        <is>
          <t>TRK-0607</t>
        </is>
      </c>
      <c r="B610" s="16" t="n"/>
      <c r="C610" s="16" t="n"/>
      <c r="D610" s="16" t="n"/>
      <c r="E610" s="16" t="n"/>
      <c r="F610" s="16" t="n"/>
      <c r="G610" s="16" t="n"/>
      <c r="H610" s="16" t="n"/>
      <c r="I610" s="16">
        <f>IF(H610&lt;&gt;"","Completed",IF(TODAY()&gt;G610,"Overdue",IF(F610&lt;&gt;"","In Progress","Not Started")))</f>
        <v/>
      </c>
      <c r="J610" s="18">
        <f>IF(I610="Overdue",TODAY()-G610,0)</f>
        <v/>
      </c>
      <c r="K610" s="16" t="n"/>
      <c r="L610" s="16" t="n"/>
      <c r="M610" s="16" t="n"/>
      <c r="N610" s="16" t="n"/>
      <c r="O610" s="16" t="n"/>
    </row>
    <row r="611">
      <c r="A611" s="17" t="inlineStr">
        <is>
          <t>TRK-0608</t>
        </is>
      </c>
      <c r="B611" s="16" t="n"/>
      <c r="C611" s="16" t="n"/>
      <c r="D611" s="16" t="n"/>
      <c r="E611" s="16" t="n"/>
      <c r="F611" s="16" t="n"/>
      <c r="G611" s="16" t="n"/>
      <c r="H611" s="16" t="n"/>
      <c r="I611" s="16">
        <f>IF(H611&lt;&gt;"","Completed",IF(TODAY()&gt;G611,"Overdue",IF(F611&lt;&gt;"","In Progress","Not Started")))</f>
        <v/>
      </c>
      <c r="J611" s="18">
        <f>IF(I611="Overdue",TODAY()-G611,0)</f>
        <v/>
      </c>
      <c r="K611" s="16" t="n"/>
      <c r="L611" s="16" t="n"/>
      <c r="M611" s="16" t="n"/>
      <c r="N611" s="16" t="n"/>
      <c r="O611" s="16" t="n"/>
    </row>
    <row r="612">
      <c r="A612" s="17" t="inlineStr">
        <is>
          <t>TRK-0609</t>
        </is>
      </c>
      <c r="B612" s="16" t="n"/>
      <c r="C612" s="16" t="n"/>
      <c r="D612" s="16" t="n"/>
      <c r="E612" s="16" t="n"/>
      <c r="F612" s="16" t="n"/>
      <c r="G612" s="16" t="n"/>
      <c r="H612" s="16" t="n"/>
      <c r="I612" s="16">
        <f>IF(H612&lt;&gt;"","Completed",IF(TODAY()&gt;G612,"Overdue",IF(F612&lt;&gt;"","In Progress","Not Started")))</f>
        <v/>
      </c>
      <c r="J612" s="18">
        <f>IF(I612="Overdue",TODAY()-G612,0)</f>
        <v/>
      </c>
      <c r="K612" s="16" t="n"/>
      <c r="L612" s="16" t="n"/>
      <c r="M612" s="16" t="n"/>
      <c r="N612" s="16" t="n"/>
      <c r="O612" s="16" t="n"/>
    </row>
    <row r="613">
      <c r="A613" s="17" t="inlineStr">
        <is>
          <t>TRK-0610</t>
        </is>
      </c>
      <c r="B613" s="16" t="n"/>
      <c r="C613" s="16" t="n"/>
      <c r="D613" s="16" t="n"/>
      <c r="E613" s="16" t="n"/>
      <c r="F613" s="16" t="n"/>
      <c r="G613" s="16" t="n"/>
      <c r="H613" s="16" t="n"/>
      <c r="I613" s="16">
        <f>IF(H613&lt;&gt;"","Completed",IF(TODAY()&gt;G613,"Overdue",IF(F613&lt;&gt;"","In Progress","Not Started")))</f>
        <v/>
      </c>
      <c r="J613" s="18">
        <f>IF(I613="Overdue",TODAY()-G613,0)</f>
        <v/>
      </c>
      <c r="K613" s="16" t="n"/>
      <c r="L613" s="16" t="n"/>
      <c r="M613" s="16" t="n"/>
      <c r="N613" s="16" t="n"/>
      <c r="O613" s="16" t="n"/>
    </row>
    <row r="614">
      <c r="A614" s="17" t="inlineStr">
        <is>
          <t>TRK-0611</t>
        </is>
      </c>
      <c r="B614" s="16" t="n"/>
      <c r="C614" s="16" t="n"/>
      <c r="D614" s="16" t="n"/>
      <c r="E614" s="16" t="n"/>
      <c r="F614" s="16" t="n"/>
      <c r="G614" s="16" t="n"/>
      <c r="H614" s="16" t="n"/>
      <c r="I614" s="16">
        <f>IF(H614&lt;&gt;"","Completed",IF(TODAY()&gt;G614,"Overdue",IF(F614&lt;&gt;"","In Progress","Not Started")))</f>
        <v/>
      </c>
      <c r="J614" s="18">
        <f>IF(I614="Overdue",TODAY()-G614,0)</f>
        <v/>
      </c>
      <c r="K614" s="16" t="n"/>
      <c r="L614" s="16" t="n"/>
      <c r="M614" s="16" t="n"/>
      <c r="N614" s="16" t="n"/>
      <c r="O614" s="16" t="n"/>
    </row>
    <row r="615">
      <c r="A615" s="17" t="inlineStr">
        <is>
          <t>TRK-0612</t>
        </is>
      </c>
      <c r="B615" s="16" t="n"/>
      <c r="C615" s="16" t="n"/>
      <c r="D615" s="16" t="n"/>
      <c r="E615" s="16" t="n"/>
      <c r="F615" s="16" t="n"/>
      <c r="G615" s="16" t="n"/>
      <c r="H615" s="16" t="n"/>
      <c r="I615" s="16">
        <f>IF(H615&lt;&gt;"","Completed",IF(TODAY()&gt;G615,"Overdue",IF(F615&lt;&gt;"","In Progress","Not Started")))</f>
        <v/>
      </c>
      <c r="J615" s="18">
        <f>IF(I615="Overdue",TODAY()-G615,0)</f>
        <v/>
      </c>
      <c r="K615" s="16" t="n"/>
      <c r="L615" s="16" t="n"/>
      <c r="M615" s="16" t="n"/>
      <c r="N615" s="16" t="n"/>
      <c r="O615" s="16" t="n"/>
    </row>
    <row r="616">
      <c r="A616" s="17" t="inlineStr">
        <is>
          <t>TRK-0613</t>
        </is>
      </c>
      <c r="B616" s="16" t="n"/>
      <c r="C616" s="16" t="n"/>
      <c r="D616" s="16" t="n"/>
      <c r="E616" s="16" t="n"/>
      <c r="F616" s="16" t="n"/>
      <c r="G616" s="16" t="n"/>
      <c r="H616" s="16" t="n"/>
      <c r="I616" s="16">
        <f>IF(H616&lt;&gt;"","Completed",IF(TODAY()&gt;G616,"Overdue",IF(F616&lt;&gt;"","In Progress","Not Started")))</f>
        <v/>
      </c>
      <c r="J616" s="18">
        <f>IF(I616="Overdue",TODAY()-G616,0)</f>
        <v/>
      </c>
      <c r="K616" s="16" t="n"/>
      <c r="L616" s="16" t="n"/>
      <c r="M616" s="16" t="n"/>
      <c r="N616" s="16" t="n"/>
      <c r="O616" s="16" t="n"/>
    </row>
    <row r="617">
      <c r="A617" s="17" t="inlineStr">
        <is>
          <t>TRK-0614</t>
        </is>
      </c>
      <c r="B617" s="16" t="n"/>
      <c r="C617" s="16" t="n"/>
      <c r="D617" s="16" t="n"/>
      <c r="E617" s="16" t="n"/>
      <c r="F617" s="16" t="n"/>
      <c r="G617" s="16" t="n"/>
      <c r="H617" s="16" t="n"/>
      <c r="I617" s="16">
        <f>IF(H617&lt;&gt;"","Completed",IF(TODAY()&gt;G617,"Overdue",IF(F617&lt;&gt;"","In Progress","Not Started")))</f>
        <v/>
      </c>
      <c r="J617" s="18">
        <f>IF(I617="Overdue",TODAY()-G617,0)</f>
        <v/>
      </c>
      <c r="K617" s="16" t="n"/>
      <c r="L617" s="16" t="n"/>
      <c r="M617" s="16" t="n"/>
      <c r="N617" s="16" t="n"/>
      <c r="O617" s="16" t="n"/>
    </row>
    <row r="618">
      <c r="A618" s="17" t="inlineStr">
        <is>
          <t>TRK-0615</t>
        </is>
      </c>
      <c r="B618" s="16" t="n"/>
      <c r="C618" s="16" t="n"/>
      <c r="D618" s="16" t="n"/>
      <c r="E618" s="16" t="n"/>
      <c r="F618" s="16" t="n"/>
      <c r="G618" s="16" t="n"/>
      <c r="H618" s="16" t="n"/>
      <c r="I618" s="16">
        <f>IF(H618&lt;&gt;"","Completed",IF(TODAY()&gt;G618,"Overdue",IF(F618&lt;&gt;"","In Progress","Not Started")))</f>
        <v/>
      </c>
      <c r="J618" s="18">
        <f>IF(I618="Overdue",TODAY()-G618,0)</f>
        <v/>
      </c>
      <c r="K618" s="16" t="n"/>
      <c r="L618" s="16" t="n"/>
      <c r="M618" s="16" t="n"/>
      <c r="N618" s="16" t="n"/>
      <c r="O618" s="16" t="n"/>
    </row>
    <row r="619">
      <c r="A619" s="17" t="inlineStr">
        <is>
          <t>TRK-0616</t>
        </is>
      </c>
      <c r="B619" s="16" t="n"/>
      <c r="C619" s="16" t="n"/>
      <c r="D619" s="16" t="n"/>
      <c r="E619" s="16" t="n"/>
      <c r="F619" s="16" t="n"/>
      <c r="G619" s="16" t="n"/>
      <c r="H619" s="16" t="n"/>
      <c r="I619" s="16">
        <f>IF(H619&lt;&gt;"","Completed",IF(TODAY()&gt;G619,"Overdue",IF(F619&lt;&gt;"","In Progress","Not Started")))</f>
        <v/>
      </c>
      <c r="J619" s="18">
        <f>IF(I619="Overdue",TODAY()-G619,0)</f>
        <v/>
      </c>
      <c r="K619" s="16" t="n"/>
      <c r="L619" s="16" t="n"/>
      <c r="M619" s="16" t="n"/>
      <c r="N619" s="16" t="n"/>
      <c r="O619" s="16" t="n"/>
    </row>
    <row r="620">
      <c r="A620" s="17" t="inlineStr">
        <is>
          <t>TRK-0617</t>
        </is>
      </c>
      <c r="B620" s="16" t="n"/>
      <c r="C620" s="16" t="n"/>
      <c r="D620" s="16" t="n"/>
      <c r="E620" s="16" t="n"/>
      <c r="F620" s="16" t="n"/>
      <c r="G620" s="16" t="n"/>
      <c r="H620" s="16" t="n"/>
      <c r="I620" s="16">
        <f>IF(H620&lt;&gt;"","Completed",IF(TODAY()&gt;G620,"Overdue",IF(F620&lt;&gt;"","In Progress","Not Started")))</f>
        <v/>
      </c>
      <c r="J620" s="18">
        <f>IF(I620="Overdue",TODAY()-G620,0)</f>
        <v/>
      </c>
      <c r="K620" s="16" t="n"/>
      <c r="L620" s="16" t="n"/>
      <c r="M620" s="16" t="n"/>
      <c r="N620" s="16" t="n"/>
      <c r="O620" s="16" t="n"/>
    </row>
    <row r="621">
      <c r="A621" s="17" t="inlineStr">
        <is>
          <t>TRK-0618</t>
        </is>
      </c>
      <c r="B621" s="16" t="n"/>
      <c r="C621" s="16" t="n"/>
      <c r="D621" s="16" t="n"/>
      <c r="E621" s="16" t="n"/>
      <c r="F621" s="16" t="n"/>
      <c r="G621" s="16" t="n"/>
      <c r="H621" s="16" t="n"/>
      <c r="I621" s="16">
        <f>IF(H621&lt;&gt;"","Completed",IF(TODAY()&gt;G621,"Overdue",IF(F621&lt;&gt;"","In Progress","Not Started")))</f>
        <v/>
      </c>
      <c r="J621" s="18">
        <f>IF(I621="Overdue",TODAY()-G621,0)</f>
        <v/>
      </c>
      <c r="K621" s="16" t="n"/>
      <c r="L621" s="16" t="n"/>
      <c r="M621" s="16" t="n"/>
      <c r="N621" s="16" t="n"/>
      <c r="O621" s="16" t="n"/>
    </row>
    <row r="622">
      <c r="A622" s="17" t="inlineStr">
        <is>
          <t>TRK-0619</t>
        </is>
      </c>
      <c r="B622" s="16" t="n"/>
      <c r="C622" s="16" t="n"/>
      <c r="D622" s="16" t="n"/>
      <c r="E622" s="16" t="n"/>
      <c r="F622" s="16" t="n"/>
      <c r="G622" s="16" t="n"/>
      <c r="H622" s="16" t="n"/>
      <c r="I622" s="16">
        <f>IF(H622&lt;&gt;"","Completed",IF(TODAY()&gt;G622,"Overdue",IF(F622&lt;&gt;"","In Progress","Not Started")))</f>
        <v/>
      </c>
      <c r="J622" s="18">
        <f>IF(I622="Overdue",TODAY()-G622,0)</f>
        <v/>
      </c>
      <c r="K622" s="16" t="n"/>
      <c r="L622" s="16" t="n"/>
      <c r="M622" s="16" t="n"/>
      <c r="N622" s="16" t="n"/>
      <c r="O622" s="16" t="n"/>
    </row>
    <row r="623">
      <c r="A623" s="17" t="inlineStr">
        <is>
          <t>TRK-0620</t>
        </is>
      </c>
      <c r="B623" s="16" t="n"/>
      <c r="C623" s="16" t="n"/>
      <c r="D623" s="16" t="n"/>
      <c r="E623" s="16" t="n"/>
      <c r="F623" s="16" t="n"/>
      <c r="G623" s="16" t="n"/>
      <c r="H623" s="16" t="n"/>
      <c r="I623" s="16">
        <f>IF(H623&lt;&gt;"","Completed",IF(TODAY()&gt;G623,"Overdue",IF(F623&lt;&gt;"","In Progress","Not Started")))</f>
        <v/>
      </c>
      <c r="J623" s="18">
        <f>IF(I623="Overdue",TODAY()-G623,0)</f>
        <v/>
      </c>
      <c r="K623" s="16" t="n"/>
      <c r="L623" s="16" t="n"/>
      <c r="M623" s="16" t="n"/>
      <c r="N623" s="16" t="n"/>
      <c r="O623" s="16" t="n"/>
    </row>
    <row r="624">
      <c r="A624" s="17" t="inlineStr">
        <is>
          <t>TRK-0621</t>
        </is>
      </c>
      <c r="B624" s="16" t="n"/>
      <c r="C624" s="16" t="n"/>
      <c r="D624" s="16" t="n"/>
      <c r="E624" s="16" t="n"/>
      <c r="F624" s="16" t="n"/>
      <c r="G624" s="16" t="n"/>
      <c r="H624" s="16" t="n"/>
      <c r="I624" s="16">
        <f>IF(H624&lt;&gt;"","Completed",IF(TODAY()&gt;G624,"Overdue",IF(F624&lt;&gt;"","In Progress","Not Started")))</f>
        <v/>
      </c>
      <c r="J624" s="18">
        <f>IF(I624="Overdue",TODAY()-G624,0)</f>
        <v/>
      </c>
      <c r="K624" s="16" t="n"/>
      <c r="L624" s="16" t="n"/>
      <c r="M624" s="16" t="n"/>
      <c r="N624" s="16" t="n"/>
      <c r="O624" s="16" t="n"/>
    </row>
    <row r="625">
      <c r="A625" s="17" t="inlineStr">
        <is>
          <t>TRK-0622</t>
        </is>
      </c>
      <c r="B625" s="16" t="n"/>
      <c r="C625" s="16" t="n"/>
      <c r="D625" s="16" t="n"/>
      <c r="E625" s="16" t="n"/>
      <c r="F625" s="16" t="n"/>
      <c r="G625" s="16" t="n"/>
      <c r="H625" s="16" t="n"/>
      <c r="I625" s="16">
        <f>IF(H625&lt;&gt;"","Completed",IF(TODAY()&gt;G625,"Overdue",IF(F625&lt;&gt;"","In Progress","Not Started")))</f>
        <v/>
      </c>
      <c r="J625" s="18">
        <f>IF(I625="Overdue",TODAY()-G625,0)</f>
        <v/>
      </c>
      <c r="K625" s="16" t="n"/>
      <c r="L625" s="16" t="n"/>
      <c r="M625" s="16" t="n"/>
      <c r="N625" s="16" t="n"/>
      <c r="O625" s="16" t="n"/>
    </row>
    <row r="626">
      <c r="A626" s="17" t="inlineStr">
        <is>
          <t>TRK-0623</t>
        </is>
      </c>
      <c r="B626" s="16" t="n"/>
      <c r="C626" s="16" t="n"/>
      <c r="D626" s="16" t="n"/>
      <c r="E626" s="16" t="n"/>
      <c r="F626" s="16" t="n"/>
      <c r="G626" s="16" t="n"/>
      <c r="H626" s="16" t="n"/>
      <c r="I626" s="16">
        <f>IF(H626&lt;&gt;"","Completed",IF(TODAY()&gt;G626,"Overdue",IF(F626&lt;&gt;"","In Progress","Not Started")))</f>
        <v/>
      </c>
      <c r="J626" s="18">
        <f>IF(I626="Overdue",TODAY()-G626,0)</f>
        <v/>
      </c>
      <c r="K626" s="16" t="n"/>
      <c r="L626" s="16" t="n"/>
      <c r="M626" s="16" t="n"/>
      <c r="N626" s="16" t="n"/>
      <c r="O626" s="16" t="n"/>
    </row>
    <row r="627">
      <c r="A627" s="17" t="inlineStr">
        <is>
          <t>TRK-0624</t>
        </is>
      </c>
      <c r="B627" s="16" t="n"/>
      <c r="C627" s="16" t="n"/>
      <c r="D627" s="16" t="n"/>
      <c r="E627" s="16" t="n"/>
      <c r="F627" s="16" t="n"/>
      <c r="G627" s="16" t="n"/>
      <c r="H627" s="16" t="n"/>
      <c r="I627" s="16">
        <f>IF(H627&lt;&gt;"","Completed",IF(TODAY()&gt;G627,"Overdue",IF(F627&lt;&gt;"","In Progress","Not Started")))</f>
        <v/>
      </c>
      <c r="J627" s="18">
        <f>IF(I627="Overdue",TODAY()-G627,0)</f>
        <v/>
      </c>
      <c r="K627" s="16" t="n"/>
      <c r="L627" s="16" t="n"/>
      <c r="M627" s="16" t="n"/>
      <c r="N627" s="16" t="n"/>
      <c r="O627" s="16" t="n"/>
    </row>
    <row r="628">
      <c r="A628" s="17" t="inlineStr">
        <is>
          <t>TRK-0625</t>
        </is>
      </c>
      <c r="B628" s="16" t="n"/>
      <c r="C628" s="16" t="n"/>
      <c r="D628" s="16" t="n"/>
      <c r="E628" s="16" t="n"/>
      <c r="F628" s="16" t="n"/>
      <c r="G628" s="16" t="n"/>
      <c r="H628" s="16" t="n"/>
      <c r="I628" s="16">
        <f>IF(H628&lt;&gt;"","Completed",IF(TODAY()&gt;G628,"Overdue",IF(F628&lt;&gt;"","In Progress","Not Started")))</f>
        <v/>
      </c>
      <c r="J628" s="18">
        <f>IF(I628="Overdue",TODAY()-G628,0)</f>
        <v/>
      </c>
      <c r="K628" s="16" t="n"/>
      <c r="L628" s="16" t="n"/>
      <c r="M628" s="16" t="n"/>
      <c r="N628" s="16" t="n"/>
      <c r="O628" s="16" t="n"/>
    </row>
    <row r="629">
      <c r="A629" s="17" t="inlineStr">
        <is>
          <t>TRK-0626</t>
        </is>
      </c>
      <c r="B629" s="16" t="n"/>
      <c r="C629" s="16" t="n"/>
      <c r="D629" s="16" t="n"/>
      <c r="E629" s="16" t="n"/>
      <c r="F629" s="16" t="n"/>
      <c r="G629" s="16" t="n"/>
      <c r="H629" s="16" t="n"/>
      <c r="I629" s="16">
        <f>IF(H629&lt;&gt;"","Completed",IF(TODAY()&gt;G629,"Overdue",IF(F629&lt;&gt;"","In Progress","Not Started")))</f>
        <v/>
      </c>
      <c r="J629" s="18">
        <f>IF(I629="Overdue",TODAY()-G629,0)</f>
        <v/>
      </c>
      <c r="K629" s="16" t="n"/>
      <c r="L629" s="16" t="n"/>
      <c r="M629" s="16" t="n"/>
      <c r="N629" s="16" t="n"/>
      <c r="O629" s="16" t="n"/>
    </row>
    <row r="630">
      <c r="A630" s="17" t="inlineStr">
        <is>
          <t>TRK-0627</t>
        </is>
      </c>
      <c r="B630" s="16" t="n"/>
      <c r="C630" s="16" t="n"/>
      <c r="D630" s="16" t="n"/>
      <c r="E630" s="16" t="n"/>
      <c r="F630" s="16" t="n"/>
      <c r="G630" s="16" t="n"/>
      <c r="H630" s="16" t="n"/>
      <c r="I630" s="16">
        <f>IF(H630&lt;&gt;"","Completed",IF(TODAY()&gt;G630,"Overdue",IF(F630&lt;&gt;"","In Progress","Not Started")))</f>
        <v/>
      </c>
      <c r="J630" s="18">
        <f>IF(I630="Overdue",TODAY()-G630,0)</f>
        <v/>
      </c>
      <c r="K630" s="16" t="n"/>
      <c r="L630" s="16" t="n"/>
      <c r="M630" s="16" t="n"/>
      <c r="N630" s="16" t="n"/>
      <c r="O630" s="16" t="n"/>
    </row>
    <row r="631">
      <c r="A631" s="17" t="inlineStr">
        <is>
          <t>TRK-0628</t>
        </is>
      </c>
      <c r="B631" s="16" t="n"/>
      <c r="C631" s="16" t="n"/>
      <c r="D631" s="16" t="n"/>
      <c r="E631" s="16" t="n"/>
      <c r="F631" s="16" t="n"/>
      <c r="G631" s="16" t="n"/>
      <c r="H631" s="16" t="n"/>
      <c r="I631" s="16">
        <f>IF(H631&lt;&gt;"","Completed",IF(TODAY()&gt;G631,"Overdue",IF(F631&lt;&gt;"","In Progress","Not Started")))</f>
        <v/>
      </c>
      <c r="J631" s="18">
        <f>IF(I631="Overdue",TODAY()-G631,0)</f>
        <v/>
      </c>
      <c r="K631" s="16" t="n"/>
      <c r="L631" s="16" t="n"/>
      <c r="M631" s="16" t="n"/>
      <c r="N631" s="16" t="n"/>
      <c r="O631" s="16" t="n"/>
    </row>
    <row r="632">
      <c r="A632" s="17" t="inlineStr">
        <is>
          <t>TRK-0629</t>
        </is>
      </c>
      <c r="B632" s="16" t="n"/>
      <c r="C632" s="16" t="n"/>
      <c r="D632" s="16" t="n"/>
      <c r="E632" s="16" t="n"/>
      <c r="F632" s="16" t="n"/>
      <c r="G632" s="16" t="n"/>
      <c r="H632" s="16" t="n"/>
      <c r="I632" s="16">
        <f>IF(H632&lt;&gt;"","Completed",IF(TODAY()&gt;G632,"Overdue",IF(F632&lt;&gt;"","In Progress","Not Started")))</f>
        <v/>
      </c>
      <c r="J632" s="18">
        <f>IF(I632="Overdue",TODAY()-G632,0)</f>
        <v/>
      </c>
      <c r="K632" s="16" t="n"/>
      <c r="L632" s="16" t="n"/>
      <c r="M632" s="16" t="n"/>
      <c r="N632" s="16" t="n"/>
      <c r="O632" s="16" t="n"/>
    </row>
    <row r="633">
      <c r="A633" s="17" t="inlineStr">
        <is>
          <t>TRK-0630</t>
        </is>
      </c>
      <c r="B633" s="16" t="n"/>
      <c r="C633" s="16" t="n"/>
      <c r="D633" s="16" t="n"/>
      <c r="E633" s="16" t="n"/>
      <c r="F633" s="16" t="n"/>
      <c r="G633" s="16" t="n"/>
      <c r="H633" s="16" t="n"/>
      <c r="I633" s="16">
        <f>IF(H633&lt;&gt;"","Completed",IF(TODAY()&gt;G633,"Overdue",IF(F633&lt;&gt;"","In Progress","Not Started")))</f>
        <v/>
      </c>
      <c r="J633" s="18">
        <f>IF(I633="Overdue",TODAY()-G633,0)</f>
        <v/>
      </c>
      <c r="K633" s="16" t="n"/>
      <c r="L633" s="16" t="n"/>
      <c r="M633" s="16" t="n"/>
      <c r="N633" s="16" t="n"/>
      <c r="O633" s="16" t="n"/>
    </row>
    <row r="634">
      <c r="A634" s="17" t="inlineStr">
        <is>
          <t>TRK-0631</t>
        </is>
      </c>
      <c r="B634" s="16" t="n"/>
      <c r="C634" s="16" t="n"/>
      <c r="D634" s="16" t="n"/>
      <c r="E634" s="16" t="n"/>
      <c r="F634" s="16" t="n"/>
      <c r="G634" s="16" t="n"/>
      <c r="H634" s="16" t="n"/>
      <c r="I634" s="16">
        <f>IF(H634&lt;&gt;"","Completed",IF(TODAY()&gt;G634,"Overdue",IF(F634&lt;&gt;"","In Progress","Not Started")))</f>
        <v/>
      </c>
      <c r="J634" s="18">
        <f>IF(I634="Overdue",TODAY()-G634,0)</f>
        <v/>
      </c>
      <c r="K634" s="16" t="n"/>
      <c r="L634" s="16" t="n"/>
      <c r="M634" s="16" t="n"/>
      <c r="N634" s="16" t="n"/>
      <c r="O634" s="16" t="n"/>
    </row>
    <row r="635">
      <c r="A635" s="17" t="inlineStr">
        <is>
          <t>TRK-0632</t>
        </is>
      </c>
      <c r="B635" s="16" t="n"/>
      <c r="C635" s="16" t="n"/>
      <c r="D635" s="16" t="n"/>
      <c r="E635" s="16" t="n"/>
      <c r="F635" s="16" t="n"/>
      <c r="G635" s="16" t="n"/>
      <c r="H635" s="16" t="n"/>
      <c r="I635" s="16">
        <f>IF(H635&lt;&gt;"","Completed",IF(TODAY()&gt;G635,"Overdue",IF(F635&lt;&gt;"","In Progress","Not Started")))</f>
        <v/>
      </c>
      <c r="J635" s="18">
        <f>IF(I635="Overdue",TODAY()-G635,0)</f>
        <v/>
      </c>
      <c r="K635" s="16" t="n"/>
      <c r="L635" s="16" t="n"/>
      <c r="M635" s="16" t="n"/>
      <c r="N635" s="16" t="n"/>
      <c r="O635" s="16" t="n"/>
    </row>
    <row r="636">
      <c r="A636" s="17" t="inlineStr">
        <is>
          <t>TRK-0633</t>
        </is>
      </c>
      <c r="B636" s="16" t="n"/>
      <c r="C636" s="16" t="n"/>
      <c r="D636" s="16" t="n"/>
      <c r="E636" s="16" t="n"/>
      <c r="F636" s="16" t="n"/>
      <c r="G636" s="16" t="n"/>
      <c r="H636" s="16" t="n"/>
      <c r="I636" s="16">
        <f>IF(H636&lt;&gt;"","Completed",IF(TODAY()&gt;G636,"Overdue",IF(F636&lt;&gt;"","In Progress","Not Started")))</f>
        <v/>
      </c>
      <c r="J636" s="18">
        <f>IF(I636="Overdue",TODAY()-G636,0)</f>
        <v/>
      </c>
      <c r="K636" s="16" t="n"/>
      <c r="L636" s="16" t="n"/>
      <c r="M636" s="16" t="n"/>
      <c r="N636" s="16" t="n"/>
      <c r="O636" s="16" t="n"/>
    </row>
    <row r="637">
      <c r="A637" s="17" t="inlineStr">
        <is>
          <t>TRK-0634</t>
        </is>
      </c>
      <c r="B637" s="16" t="n"/>
      <c r="C637" s="16" t="n"/>
      <c r="D637" s="16" t="n"/>
      <c r="E637" s="16" t="n"/>
      <c r="F637" s="16" t="n"/>
      <c r="G637" s="16" t="n"/>
      <c r="H637" s="16" t="n"/>
      <c r="I637" s="16">
        <f>IF(H637&lt;&gt;"","Completed",IF(TODAY()&gt;G637,"Overdue",IF(F637&lt;&gt;"","In Progress","Not Started")))</f>
        <v/>
      </c>
      <c r="J637" s="18">
        <f>IF(I637="Overdue",TODAY()-G637,0)</f>
        <v/>
      </c>
      <c r="K637" s="16" t="n"/>
      <c r="L637" s="16" t="n"/>
      <c r="M637" s="16" t="n"/>
      <c r="N637" s="16" t="n"/>
      <c r="O637" s="16" t="n"/>
    </row>
    <row r="638">
      <c r="A638" s="17" t="inlineStr">
        <is>
          <t>TRK-0635</t>
        </is>
      </c>
      <c r="B638" s="16" t="n"/>
      <c r="C638" s="16" t="n"/>
      <c r="D638" s="16" t="n"/>
      <c r="E638" s="16" t="n"/>
      <c r="F638" s="16" t="n"/>
      <c r="G638" s="16" t="n"/>
      <c r="H638" s="16" t="n"/>
      <c r="I638" s="16">
        <f>IF(H638&lt;&gt;"","Completed",IF(TODAY()&gt;G638,"Overdue",IF(F638&lt;&gt;"","In Progress","Not Started")))</f>
        <v/>
      </c>
      <c r="J638" s="18">
        <f>IF(I638="Overdue",TODAY()-G638,0)</f>
        <v/>
      </c>
      <c r="K638" s="16" t="n"/>
      <c r="L638" s="16" t="n"/>
      <c r="M638" s="16" t="n"/>
      <c r="N638" s="16" t="n"/>
      <c r="O638" s="16" t="n"/>
    </row>
    <row r="639">
      <c r="A639" s="17" t="inlineStr">
        <is>
          <t>TRK-0636</t>
        </is>
      </c>
      <c r="B639" s="16" t="n"/>
      <c r="C639" s="16" t="n"/>
      <c r="D639" s="16" t="n"/>
      <c r="E639" s="16" t="n"/>
      <c r="F639" s="16" t="n"/>
      <c r="G639" s="16" t="n"/>
      <c r="H639" s="16" t="n"/>
      <c r="I639" s="16">
        <f>IF(H639&lt;&gt;"","Completed",IF(TODAY()&gt;G639,"Overdue",IF(F639&lt;&gt;"","In Progress","Not Started")))</f>
        <v/>
      </c>
      <c r="J639" s="18">
        <f>IF(I639="Overdue",TODAY()-G639,0)</f>
        <v/>
      </c>
      <c r="K639" s="16" t="n"/>
      <c r="L639" s="16" t="n"/>
      <c r="M639" s="16" t="n"/>
      <c r="N639" s="16" t="n"/>
      <c r="O639" s="16" t="n"/>
    </row>
    <row r="640">
      <c r="A640" s="17" t="inlineStr">
        <is>
          <t>TRK-0637</t>
        </is>
      </c>
      <c r="B640" s="16" t="n"/>
      <c r="C640" s="16" t="n"/>
      <c r="D640" s="16" t="n"/>
      <c r="E640" s="16" t="n"/>
      <c r="F640" s="16" t="n"/>
      <c r="G640" s="16" t="n"/>
      <c r="H640" s="16" t="n"/>
      <c r="I640" s="16">
        <f>IF(H640&lt;&gt;"","Completed",IF(TODAY()&gt;G640,"Overdue",IF(F640&lt;&gt;"","In Progress","Not Started")))</f>
        <v/>
      </c>
      <c r="J640" s="18">
        <f>IF(I640="Overdue",TODAY()-G640,0)</f>
        <v/>
      </c>
      <c r="K640" s="16" t="n"/>
      <c r="L640" s="16" t="n"/>
      <c r="M640" s="16" t="n"/>
      <c r="N640" s="16" t="n"/>
      <c r="O640" s="16" t="n"/>
    </row>
    <row r="641">
      <c r="A641" s="17" t="inlineStr">
        <is>
          <t>TRK-0638</t>
        </is>
      </c>
      <c r="B641" s="16" t="n"/>
      <c r="C641" s="16" t="n"/>
      <c r="D641" s="16" t="n"/>
      <c r="E641" s="16" t="n"/>
      <c r="F641" s="16" t="n"/>
      <c r="G641" s="16" t="n"/>
      <c r="H641" s="16" t="n"/>
      <c r="I641" s="16">
        <f>IF(H641&lt;&gt;"","Completed",IF(TODAY()&gt;G641,"Overdue",IF(F641&lt;&gt;"","In Progress","Not Started")))</f>
        <v/>
      </c>
      <c r="J641" s="18">
        <f>IF(I641="Overdue",TODAY()-G641,0)</f>
        <v/>
      </c>
      <c r="K641" s="16" t="n"/>
      <c r="L641" s="16" t="n"/>
      <c r="M641" s="16" t="n"/>
      <c r="N641" s="16" t="n"/>
      <c r="O641" s="16" t="n"/>
    </row>
    <row r="642">
      <c r="A642" s="17" t="inlineStr">
        <is>
          <t>TRK-0639</t>
        </is>
      </c>
      <c r="B642" s="16" t="n"/>
      <c r="C642" s="16" t="n"/>
      <c r="D642" s="16" t="n"/>
      <c r="E642" s="16" t="n"/>
      <c r="F642" s="16" t="n"/>
      <c r="G642" s="16" t="n"/>
      <c r="H642" s="16" t="n"/>
      <c r="I642" s="16">
        <f>IF(H642&lt;&gt;"","Completed",IF(TODAY()&gt;G642,"Overdue",IF(F642&lt;&gt;"","In Progress","Not Started")))</f>
        <v/>
      </c>
      <c r="J642" s="18">
        <f>IF(I642="Overdue",TODAY()-G642,0)</f>
        <v/>
      </c>
      <c r="K642" s="16" t="n"/>
      <c r="L642" s="16" t="n"/>
      <c r="M642" s="16" t="n"/>
      <c r="N642" s="16" t="n"/>
      <c r="O642" s="16" t="n"/>
    </row>
    <row r="643">
      <c r="A643" s="17" t="inlineStr">
        <is>
          <t>TRK-0640</t>
        </is>
      </c>
      <c r="B643" s="16" t="n"/>
      <c r="C643" s="16" t="n"/>
      <c r="D643" s="16" t="n"/>
      <c r="E643" s="16" t="n"/>
      <c r="F643" s="16" t="n"/>
      <c r="G643" s="16" t="n"/>
      <c r="H643" s="16" t="n"/>
      <c r="I643" s="16">
        <f>IF(H643&lt;&gt;"","Completed",IF(TODAY()&gt;G643,"Overdue",IF(F643&lt;&gt;"","In Progress","Not Started")))</f>
        <v/>
      </c>
      <c r="J643" s="18">
        <f>IF(I643="Overdue",TODAY()-G643,0)</f>
        <v/>
      </c>
      <c r="K643" s="16" t="n"/>
      <c r="L643" s="16" t="n"/>
      <c r="M643" s="16" t="n"/>
      <c r="N643" s="16" t="n"/>
      <c r="O643" s="16" t="n"/>
    </row>
    <row r="644">
      <c r="A644" s="17" t="inlineStr">
        <is>
          <t>TRK-0641</t>
        </is>
      </c>
      <c r="B644" s="16" t="n"/>
      <c r="C644" s="16" t="n"/>
      <c r="D644" s="16" t="n"/>
      <c r="E644" s="16" t="n"/>
      <c r="F644" s="16" t="n"/>
      <c r="G644" s="16" t="n"/>
      <c r="H644" s="16" t="n"/>
      <c r="I644" s="16">
        <f>IF(H644&lt;&gt;"","Completed",IF(TODAY()&gt;G644,"Overdue",IF(F644&lt;&gt;"","In Progress","Not Started")))</f>
        <v/>
      </c>
      <c r="J644" s="18">
        <f>IF(I644="Overdue",TODAY()-G644,0)</f>
        <v/>
      </c>
      <c r="K644" s="16" t="n"/>
      <c r="L644" s="16" t="n"/>
      <c r="M644" s="16" t="n"/>
      <c r="N644" s="16" t="n"/>
      <c r="O644" s="16" t="n"/>
    </row>
    <row r="645">
      <c r="A645" s="17" t="inlineStr">
        <is>
          <t>TRK-0642</t>
        </is>
      </c>
      <c r="B645" s="16" t="n"/>
      <c r="C645" s="16" t="n"/>
      <c r="D645" s="16" t="n"/>
      <c r="E645" s="16" t="n"/>
      <c r="F645" s="16" t="n"/>
      <c r="G645" s="16" t="n"/>
      <c r="H645" s="16" t="n"/>
      <c r="I645" s="16">
        <f>IF(H645&lt;&gt;"","Completed",IF(TODAY()&gt;G645,"Overdue",IF(F645&lt;&gt;"","In Progress","Not Started")))</f>
        <v/>
      </c>
      <c r="J645" s="18">
        <f>IF(I645="Overdue",TODAY()-G645,0)</f>
        <v/>
      </c>
      <c r="K645" s="16" t="n"/>
      <c r="L645" s="16" t="n"/>
      <c r="M645" s="16" t="n"/>
      <c r="N645" s="16" t="n"/>
      <c r="O645" s="16" t="n"/>
    </row>
    <row r="646">
      <c r="A646" s="17" t="inlineStr">
        <is>
          <t>TRK-0643</t>
        </is>
      </c>
      <c r="B646" s="16" t="n"/>
      <c r="C646" s="16" t="n"/>
      <c r="D646" s="16" t="n"/>
      <c r="E646" s="16" t="n"/>
      <c r="F646" s="16" t="n"/>
      <c r="G646" s="16" t="n"/>
      <c r="H646" s="16" t="n"/>
      <c r="I646" s="16">
        <f>IF(H646&lt;&gt;"","Completed",IF(TODAY()&gt;G646,"Overdue",IF(F646&lt;&gt;"","In Progress","Not Started")))</f>
        <v/>
      </c>
      <c r="J646" s="18">
        <f>IF(I646="Overdue",TODAY()-G646,0)</f>
        <v/>
      </c>
      <c r="K646" s="16" t="n"/>
      <c r="L646" s="16" t="n"/>
      <c r="M646" s="16" t="n"/>
      <c r="N646" s="16" t="n"/>
      <c r="O646" s="16" t="n"/>
    </row>
    <row r="647">
      <c r="A647" s="17" t="inlineStr">
        <is>
          <t>TRK-0644</t>
        </is>
      </c>
      <c r="B647" s="16" t="n"/>
      <c r="C647" s="16" t="n"/>
      <c r="D647" s="16" t="n"/>
      <c r="E647" s="16" t="n"/>
      <c r="F647" s="16" t="n"/>
      <c r="G647" s="16" t="n"/>
      <c r="H647" s="16" t="n"/>
      <c r="I647" s="16">
        <f>IF(H647&lt;&gt;"","Completed",IF(TODAY()&gt;G647,"Overdue",IF(F647&lt;&gt;"","In Progress","Not Started")))</f>
        <v/>
      </c>
      <c r="J647" s="18">
        <f>IF(I647="Overdue",TODAY()-G647,0)</f>
        <v/>
      </c>
      <c r="K647" s="16" t="n"/>
      <c r="L647" s="16" t="n"/>
      <c r="M647" s="16" t="n"/>
      <c r="N647" s="16" t="n"/>
      <c r="O647" s="16" t="n"/>
    </row>
    <row r="648">
      <c r="A648" s="17" t="inlineStr">
        <is>
          <t>TRK-0645</t>
        </is>
      </c>
      <c r="B648" s="16" t="n"/>
      <c r="C648" s="16" t="n"/>
      <c r="D648" s="16" t="n"/>
      <c r="E648" s="16" t="n"/>
      <c r="F648" s="16" t="n"/>
      <c r="G648" s="16" t="n"/>
      <c r="H648" s="16" t="n"/>
      <c r="I648" s="16">
        <f>IF(H648&lt;&gt;"","Completed",IF(TODAY()&gt;G648,"Overdue",IF(F648&lt;&gt;"","In Progress","Not Started")))</f>
        <v/>
      </c>
      <c r="J648" s="18">
        <f>IF(I648="Overdue",TODAY()-G648,0)</f>
        <v/>
      </c>
      <c r="K648" s="16" t="n"/>
      <c r="L648" s="16" t="n"/>
      <c r="M648" s="16" t="n"/>
      <c r="N648" s="16" t="n"/>
      <c r="O648" s="16" t="n"/>
    </row>
    <row r="649">
      <c r="A649" s="17" t="inlineStr">
        <is>
          <t>TRK-0646</t>
        </is>
      </c>
      <c r="B649" s="16" t="n"/>
      <c r="C649" s="16" t="n"/>
      <c r="D649" s="16" t="n"/>
      <c r="E649" s="16" t="n"/>
      <c r="F649" s="16" t="n"/>
      <c r="G649" s="16" t="n"/>
      <c r="H649" s="16" t="n"/>
      <c r="I649" s="16">
        <f>IF(H649&lt;&gt;"","Completed",IF(TODAY()&gt;G649,"Overdue",IF(F649&lt;&gt;"","In Progress","Not Started")))</f>
        <v/>
      </c>
      <c r="J649" s="18">
        <f>IF(I649="Overdue",TODAY()-G649,0)</f>
        <v/>
      </c>
      <c r="K649" s="16" t="n"/>
      <c r="L649" s="16" t="n"/>
      <c r="M649" s="16" t="n"/>
      <c r="N649" s="16" t="n"/>
      <c r="O649" s="16" t="n"/>
    </row>
    <row r="650">
      <c r="A650" s="17" t="inlineStr">
        <is>
          <t>TRK-0647</t>
        </is>
      </c>
      <c r="B650" s="16" t="n"/>
      <c r="C650" s="16" t="n"/>
      <c r="D650" s="16" t="n"/>
      <c r="E650" s="16" t="n"/>
      <c r="F650" s="16" t="n"/>
      <c r="G650" s="16" t="n"/>
      <c r="H650" s="16" t="n"/>
      <c r="I650" s="16">
        <f>IF(H650&lt;&gt;"","Completed",IF(TODAY()&gt;G650,"Overdue",IF(F650&lt;&gt;"","In Progress","Not Started")))</f>
        <v/>
      </c>
      <c r="J650" s="18">
        <f>IF(I650="Overdue",TODAY()-G650,0)</f>
        <v/>
      </c>
      <c r="K650" s="16" t="n"/>
      <c r="L650" s="16" t="n"/>
      <c r="M650" s="16" t="n"/>
      <c r="N650" s="16" t="n"/>
      <c r="O650" s="16" t="n"/>
    </row>
    <row r="651">
      <c r="A651" s="17" t="inlineStr">
        <is>
          <t>TRK-0648</t>
        </is>
      </c>
      <c r="B651" s="16" t="n"/>
      <c r="C651" s="16" t="n"/>
      <c r="D651" s="16" t="n"/>
      <c r="E651" s="16" t="n"/>
      <c r="F651" s="16" t="n"/>
      <c r="G651" s="16" t="n"/>
      <c r="H651" s="16" t="n"/>
      <c r="I651" s="16">
        <f>IF(H651&lt;&gt;"","Completed",IF(TODAY()&gt;G651,"Overdue",IF(F651&lt;&gt;"","In Progress","Not Started")))</f>
        <v/>
      </c>
      <c r="J651" s="18">
        <f>IF(I651="Overdue",TODAY()-G651,0)</f>
        <v/>
      </c>
      <c r="K651" s="16" t="n"/>
      <c r="L651" s="16" t="n"/>
      <c r="M651" s="16" t="n"/>
      <c r="N651" s="16" t="n"/>
      <c r="O651" s="16" t="n"/>
    </row>
    <row r="652">
      <c r="A652" s="17" t="inlineStr">
        <is>
          <t>TRK-0649</t>
        </is>
      </c>
      <c r="B652" s="16" t="n"/>
      <c r="C652" s="16" t="n"/>
      <c r="D652" s="16" t="n"/>
      <c r="E652" s="16" t="n"/>
      <c r="F652" s="16" t="n"/>
      <c r="G652" s="16" t="n"/>
      <c r="H652" s="16" t="n"/>
      <c r="I652" s="16">
        <f>IF(H652&lt;&gt;"","Completed",IF(TODAY()&gt;G652,"Overdue",IF(F652&lt;&gt;"","In Progress","Not Started")))</f>
        <v/>
      </c>
      <c r="J652" s="18">
        <f>IF(I652="Overdue",TODAY()-G652,0)</f>
        <v/>
      </c>
      <c r="K652" s="16" t="n"/>
      <c r="L652" s="16" t="n"/>
      <c r="M652" s="16" t="n"/>
      <c r="N652" s="16" t="n"/>
      <c r="O652" s="16" t="n"/>
    </row>
    <row r="653">
      <c r="A653" s="17" t="inlineStr">
        <is>
          <t>TRK-0650</t>
        </is>
      </c>
      <c r="B653" s="16" t="n"/>
      <c r="C653" s="16" t="n"/>
      <c r="D653" s="16" t="n"/>
      <c r="E653" s="16" t="n"/>
      <c r="F653" s="16" t="n"/>
      <c r="G653" s="16" t="n"/>
      <c r="H653" s="16" t="n"/>
      <c r="I653" s="16">
        <f>IF(H653&lt;&gt;"","Completed",IF(TODAY()&gt;G653,"Overdue",IF(F653&lt;&gt;"","In Progress","Not Started")))</f>
        <v/>
      </c>
      <c r="J653" s="18">
        <f>IF(I653="Overdue",TODAY()-G653,0)</f>
        <v/>
      </c>
      <c r="K653" s="16" t="n"/>
      <c r="L653" s="16" t="n"/>
      <c r="M653" s="16" t="n"/>
      <c r="N653" s="16" t="n"/>
      <c r="O653" s="16" t="n"/>
    </row>
    <row r="654">
      <c r="A654" s="17" t="inlineStr">
        <is>
          <t>TRK-0651</t>
        </is>
      </c>
      <c r="B654" s="16" t="n"/>
      <c r="C654" s="16" t="n"/>
      <c r="D654" s="16" t="n"/>
      <c r="E654" s="16" t="n"/>
      <c r="F654" s="16" t="n"/>
      <c r="G654" s="16" t="n"/>
      <c r="H654" s="16" t="n"/>
      <c r="I654" s="16">
        <f>IF(H654&lt;&gt;"","Completed",IF(TODAY()&gt;G654,"Overdue",IF(F654&lt;&gt;"","In Progress","Not Started")))</f>
        <v/>
      </c>
      <c r="J654" s="18">
        <f>IF(I654="Overdue",TODAY()-G654,0)</f>
        <v/>
      </c>
      <c r="K654" s="16" t="n"/>
      <c r="L654" s="16" t="n"/>
      <c r="M654" s="16" t="n"/>
      <c r="N654" s="16" t="n"/>
      <c r="O654" s="16" t="n"/>
    </row>
    <row r="655">
      <c r="A655" s="17" t="inlineStr">
        <is>
          <t>TRK-0652</t>
        </is>
      </c>
      <c r="B655" s="16" t="n"/>
      <c r="C655" s="16" t="n"/>
      <c r="D655" s="16" t="n"/>
      <c r="E655" s="16" t="n"/>
      <c r="F655" s="16" t="n"/>
      <c r="G655" s="16" t="n"/>
      <c r="H655" s="16" t="n"/>
      <c r="I655" s="16">
        <f>IF(H655&lt;&gt;"","Completed",IF(TODAY()&gt;G655,"Overdue",IF(F655&lt;&gt;"","In Progress","Not Started")))</f>
        <v/>
      </c>
      <c r="J655" s="18">
        <f>IF(I655="Overdue",TODAY()-G655,0)</f>
        <v/>
      </c>
      <c r="K655" s="16" t="n"/>
      <c r="L655" s="16" t="n"/>
      <c r="M655" s="16" t="n"/>
      <c r="N655" s="16" t="n"/>
      <c r="O655" s="16" t="n"/>
    </row>
    <row r="656">
      <c r="A656" s="17" t="inlineStr">
        <is>
          <t>TRK-0653</t>
        </is>
      </c>
      <c r="B656" s="16" t="n"/>
      <c r="C656" s="16" t="n"/>
      <c r="D656" s="16" t="n"/>
      <c r="E656" s="16" t="n"/>
      <c r="F656" s="16" t="n"/>
      <c r="G656" s="16" t="n"/>
      <c r="H656" s="16" t="n"/>
      <c r="I656" s="16">
        <f>IF(H656&lt;&gt;"","Completed",IF(TODAY()&gt;G656,"Overdue",IF(F656&lt;&gt;"","In Progress","Not Started")))</f>
        <v/>
      </c>
      <c r="J656" s="18">
        <f>IF(I656="Overdue",TODAY()-G656,0)</f>
        <v/>
      </c>
      <c r="K656" s="16" t="n"/>
      <c r="L656" s="16" t="n"/>
      <c r="M656" s="16" t="n"/>
      <c r="N656" s="16" t="n"/>
      <c r="O656" s="16" t="n"/>
    </row>
    <row r="657">
      <c r="A657" s="17" t="inlineStr">
        <is>
          <t>TRK-0654</t>
        </is>
      </c>
      <c r="B657" s="16" t="n"/>
      <c r="C657" s="16" t="n"/>
      <c r="D657" s="16" t="n"/>
      <c r="E657" s="16" t="n"/>
      <c r="F657" s="16" t="n"/>
      <c r="G657" s="16" t="n"/>
      <c r="H657" s="16" t="n"/>
      <c r="I657" s="16">
        <f>IF(H657&lt;&gt;"","Completed",IF(TODAY()&gt;G657,"Overdue",IF(F657&lt;&gt;"","In Progress","Not Started")))</f>
        <v/>
      </c>
      <c r="J657" s="18">
        <f>IF(I657="Overdue",TODAY()-G657,0)</f>
        <v/>
      </c>
      <c r="K657" s="16" t="n"/>
      <c r="L657" s="16" t="n"/>
      <c r="M657" s="16" t="n"/>
      <c r="N657" s="16" t="n"/>
      <c r="O657" s="16" t="n"/>
    </row>
    <row r="658">
      <c r="A658" s="17" t="inlineStr">
        <is>
          <t>TRK-0655</t>
        </is>
      </c>
      <c r="B658" s="16" t="n"/>
      <c r="C658" s="16" t="n"/>
      <c r="D658" s="16" t="n"/>
      <c r="E658" s="16" t="n"/>
      <c r="F658" s="16" t="n"/>
      <c r="G658" s="16" t="n"/>
      <c r="H658" s="16" t="n"/>
      <c r="I658" s="16">
        <f>IF(H658&lt;&gt;"","Completed",IF(TODAY()&gt;G658,"Overdue",IF(F658&lt;&gt;"","In Progress","Not Started")))</f>
        <v/>
      </c>
      <c r="J658" s="18">
        <f>IF(I658="Overdue",TODAY()-G658,0)</f>
        <v/>
      </c>
      <c r="K658" s="16" t="n"/>
      <c r="L658" s="16" t="n"/>
      <c r="M658" s="16" t="n"/>
      <c r="N658" s="16" t="n"/>
      <c r="O658" s="16" t="n"/>
    </row>
    <row r="659">
      <c r="A659" s="17" t="inlineStr">
        <is>
          <t>TRK-0656</t>
        </is>
      </c>
      <c r="B659" s="16" t="n"/>
      <c r="C659" s="16" t="n"/>
      <c r="D659" s="16" t="n"/>
      <c r="E659" s="16" t="n"/>
      <c r="F659" s="16" t="n"/>
      <c r="G659" s="16" t="n"/>
      <c r="H659" s="16" t="n"/>
      <c r="I659" s="16">
        <f>IF(H659&lt;&gt;"","Completed",IF(TODAY()&gt;G659,"Overdue",IF(F659&lt;&gt;"","In Progress","Not Started")))</f>
        <v/>
      </c>
      <c r="J659" s="18">
        <f>IF(I659="Overdue",TODAY()-G659,0)</f>
        <v/>
      </c>
      <c r="K659" s="16" t="n"/>
      <c r="L659" s="16" t="n"/>
      <c r="M659" s="16" t="n"/>
      <c r="N659" s="16" t="n"/>
      <c r="O659" s="16" t="n"/>
    </row>
    <row r="660">
      <c r="A660" s="17" t="inlineStr">
        <is>
          <t>TRK-0657</t>
        </is>
      </c>
      <c r="B660" s="16" t="n"/>
      <c r="C660" s="16" t="n"/>
      <c r="D660" s="16" t="n"/>
      <c r="E660" s="16" t="n"/>
      <c r="F660" s="16" t="n"/>
      <c r="G660" s="16" t="n"/>
      <c r="H660" s="16" t="n"/>
      <c r="I660" s="16">
        <f>IF(H660&lt;&gt;"","Completed",IF(TODAY()&gt;G660,"Overdue",IF(F660&lt;&gt;"","In Progress","Not Started")))</f>
        <v/>
      </c>
      <c r="J660" s="18">
        <f>IF(I660="Overdue",TODAY()-G660,0)</f>
        <v/>
      </c>
      <c r="K660" s="16" t="n"/>
      <c r="L660" s="16" t="n"/>
      <c r="M660" s="16" t="n"/>
      <c r="N660" s="16" t="n"/>
      <c r="O660" s="16" t="n"/>
    </row>
    <row r="661">
      <c r="A661" s="17" t="inlineStr">
        <is>
          <t>TRK-0658</t>
        </is>
      </c>
      <c r="B661" s="16" t="n"/>
      <c r="C661" s="16" t="n"/>
      <c r="D661" s="16" t="n"/>
      <c r="E661" s="16" t="n"/>
      <c r="F661" s="16" t="n"/>
      <c r="G661" s="16" t="n"/>
      <c r="H661" s="16" t="n"/>
      <c r="I661" s="16">
        <f>IF(H661&lt;&gt;"","Completed",IF(TODAY()&gt;G661,"Overdue",IF(F661&lt;&gt;"","In Progress","Not Started")))</f>
        <v/>
      </c>
      <c r="J661" s="18">
        <f>IF(I661="Overdue",TODAY()-G661,0)</f>
        <v/>
      </c>
      <c r="K661" s="16" t="n"/>
      <c r="L661" s="16" t="n"/>
      <c r="M661" s="16" t="n"/>
      <c r="N661" s="16" t="n"/>
      <c r="O661" s="16" t="n"/>
    </row>
    <row r="662">
      <c r="A662" s="17" t="inlineStr">
        <is>
          <t>TRK-0659</t>
        </is>
      </c>
      <c r="B662" s="16" t="n"/>
      <c r="C662" s="16" t="n"/>
      <c r="D662" s="16" t="n"/>
      <c r="E662" s="16" t="n"/>
      <c r="F662" s="16" t="n"/>
      <c r="G662" s="16" t="n"/>
      <c r="H662" s="16" t="n"/>
      <c r="I662" s="16">
        <f>IF(H662&lt;&gt;"","Completed",IF(TODAY()&gt;G662,"Overdue",IF(F662&lt;&gt;"","In Progress","Not Started")))</f>
        <v/>
      </c>
      <c r="J662" s="18">
        <f>IF(I662="Overdue",TODAY()-G662,0)</f>
        <v/>
      </c>
      <c r="K662" s="16" t="n"/>
      <c r="L662" s="16" t="n"/>
      <c r="M662" s="16" t="n"/>
      <c r="N662" s="16" t="n"/>
      <c r="O662" s="16" t="n"/>
    </row>
    <row r="663">
      <c r="A663" s="17" t="inlineStr">
        <is>
          <t>TRK-0660</t>
        </is>
      </c>
      <c r="B663" s="16" t="n"/>
      <c r="C663" s="16" t="n"/>
      <c r="D663" s="16" t="n"/>
      <c r="E663" s="16" t="n"/>
      <c r="F663" s="16" t="n"/>
      <c r="G663" s="16" t="n"/>
      <c r="H663" s="16" t="n"/>
      <c r="I663" s="16">
        <f>IF(H663&lt;&gt;"","Completed",IF(TODAY()&gt;G663,"Overdue",IF(F663&lt;&gt;"","In Progress","Not Started")))</f>
        <v/>
      </c>
      <c r="J663" s="18">
        <f>IF(I663="Overdue",TODAY()-G663,0)</f>
        <v/>
      </c>
      <c r="K663" s="16" t="n"/>
      <c r="L663" s="16" t="n"/>
      <c r="M663" s="16" t="n"/>
      <c r="N663" s="16" t="n"/>
      <c r="O663" s="16" t="n"/>
    </row>
    <row r="664">
      <c r="A664" s="17" t="inlineStr">
        <is>
          <t>TRK-0661</t>
        </is>
      </c>
      <c r="B664" s="16" t="n"/>
      <c r="C664" s="16" t="n"/>
      <c r="D664" s="16" t="n"/>
      <c r="E664" s="16" t="n"/>
      <c r="F664" s="16" t="n"/>
      <c r="G664" s="16" t="n"/>
      <c r="H664" s="16" t="n"/>
      <c r="I664" s="16">
        <f>IF(H664&lt;&gt;"","Completed",IF(TODAY()&gt;G664,"Overdue",IF(F664&lt;&gt;"","In Progress","Not Started")))</f>
        <v/>
      </c>
      <c r="J664" s="18">
        <f>IF(I664="Overdue",TODAY()-G664,0)</f>
        <v/>
      </c>
      <c r="K664" s="16" t="n"/>
      <c r="L664" s="16" t="n"/>
      <c r="M664" s="16" t="n"/>
      <c r="N664" s="16" t="n"/>
      <c r="O664" s="16" t="n"/>
    </row>
    <row r="665">
      <c r="A665" s="17" t="inlineStr">
        <is>
          <t>TRK-0662</t>
        </is>
      </c>
      <c r="B665" s="16" t="n"/>
      <c r="C665" s="16" t="n"/>
      <c r="D665" s="16" t="n"/>
      <c r="E665" s="16" t="n"/>
      <c r="F665" s="16" t="n"/>
      <c r="G665" s="16" t="n"/>
      <c r="H665" s="16" t="n"/>
      <c r="I665" s="16">
        <f>IF(H665&lt;&gt;"","Completed",IF(TODAY()&gt;G665,"Overdue",IF(F665&lt;&gt;"","In Progress","Not Started")))</f>
        <v/>
      </c>
      <c r="J665" s="18">
        <f>IF(I665="Overdue",TODAY()-G665,0)</f>
        <v/>
      </c>
      <c r="K665" s="16" t="n"/>
      <c r="L665" s="16" t="n"/>
      <c r="M665" s="16" t="n"/>
      <c r="N665" s="16" t="n"/>
      <c r="O665" s="16" t="n"/>
    </row>
    <row r="666">
      <c r="A666" s="17" t="inlineStr">
        <is>
          <t>TRK-0663</t>
        </is>
      </c>
      <c r="B666" s="16" t="n"/>
      <c r="C666" s="16" t="n"/>
      <c r="D666" s="16" t="n"/>
      <c r="E666" s="16" t="n"/>
      <c r="F666" s="16" t="n"/>
      <c r="G666" s="16" t="n"/>
      <c r="H666" s="16" t="n"/>
      <c r="I666" s="16">
        <f>IF(H666&lt;&gt;"","Completed",IF(TODAY()&gt;G666,"Overdue",IF(F666&lt;&gt;"","In Progress","Not Started")))</f>
        <v/>
      </c>
      <c r="J666" s="18">
        <f>IF(I666="Overdue",TODAY()-G666,0)</f>
        <v/>
      </c>
      <c r="K666" s="16" t="n"/>
      <c r="L666" s="16" t="n"/>
      <c r="M666" s="16" t="n"/>
      <c r="N666" s="16" t="n"/>
      <c r="O666" s="16" t="n"/>
    </row>
    <row r="667">
      <c r="A667" s="17" t="inlineStr">
        <is>
          <t>TRK-0664</t>
        </is>
      </c>
      <c r="B667" s="16" t="n"/>
      <c r="C667" s="16" t="n"/>
      <c r="D667" s="16" t="n"/>
      <c r="E667" s="16" t="n"/>
      <c r="F667" s="16" t="n"/>
      <c r="G667" s="16" t="n"/>
      <c r="H667" s="16" t="n"/>
      <c r="I667" s="16">
        <f>IF(H667&lt;&gt;"","Completed",IF(TODAY()&gt;G667,"Overdue",IF(F667&lt;&gt;"","In Progress","Not Started")))</f>
        <v/>
      </c>
      <c r="J667" s="18">
        <f>IF(I667="Overdue",TODAY()-G667,0)</f>
        <v/>
      </c>
      <c r="K667" s="16" t="n"/>
      <c r="L667" s="16" t="n"/>
      <c r="M667" s="16" t="n"/>
      <c r="N667" s="16" t="n"/>
      <c r="O667" s="16" t="n"/>
    </row>
    <row r="668">
      <c r="A668" s="17" t="inlineStr">
        <is>
          <t>TRK-0665</t>
        </is>
      </c>
      <c r="B668" s="16" t="n"/>
      <c r="C668" s="16" t="n"/>
      <c r="D668" s="16" t="n"/>
      <c r="E668" s="16" t="n"/>
      <c r="F668" s="16" t="n"/>
      <c r="G668" s="16" t="n"/>
      <c r="H668" s="16" t="n"/>
      <c r="I668" s="16">
        <f>IF(H668&lt;&gt;"","Completed",IF(TODAY()&gt;G668,"Overdue",IF(F668&lt;&gt;"","In Progress","Not Started")))</f>
        <v/>
      </c>
      <c r="J668" s="18">
        <f>IF(I668="Overdue",TODAY()-G668,0)</f>
        <v/>
      </c>
      <c r="K668" s="16" t="n"/>
      <c r="L668" s="16" t="n"/>
      <c r="M668" s="16" t="n"/>
      <c r="N668" s="16" t="n"/>
      <c r="O668" s="16" t="n"/>
    </row>
    <row r="669">
      <c r="A669" s="17" t="inlineStr">
        <is>
          <t>TRK-0666</t>
        </is>
      </c>
      <c r="B669" s="16" t="n"/>
      <c r="C669" s="16" t="n"/>
      <c r="D669" s="16" t="n"/>
      <c r="E669" s="16" t="n"/>
      <c r="F669" s="16" t="n"/>
      <c r="G669" s="16" t="n"/>
      <c r="H669" s="16" t="n"/>
      <c r="I669" s="16">
        <f>IF(H669&lt;&gt;"","Completed",IF(TODAY()&gt;G669,"Overdue",IF(F669&lt;&gt;"","In Progress","Not Started")))</f>
        <v/>
      </c>
      <c r="J669" s="18">
        <f>IF(I669="Overdue",TODAY()-G669,0)</f>
        <v/>
      </c>
      <c r="K669" s="16" t="n"/>
      <c r="L669" s="16" t="n"/>
      <c r="M669" s="16" t="n"/>
      <c r="N669" s="16" t="n"/>
      <c r="O669" s="16" t="n"/>
    </row>
    <row r="670">
      <c r="A670" s="17" t="inlineStr">
        <is>
          <t>TRK-0667</t>
        </is>
      </c>
      <c r="B670" s="16" t="n"/>
      <c r="C670" s="16" t="n"/>
      <c r="D670" s="16" t="n"/>
      <c r="E670" s="16" t="n"/>
      <c r="F670" s="16" t="n"/>
      <c r="G670" s="16" t="n"/>
      <c r="H670" s="16" t="n"/>
      <c r="I670" s="16">
        <f>IF(H670&lt;&gt;"","Completed",IF(TODAY()&gt;G670,"Overdue",IF(F670&lt;&gt;"","In Progress","Not Started")))</f>
        <v/>
      </c>
      <c r="J670" s="18">
        <f>IF(I670="Overdue",TODAY()-G670,0)</f>
        <v/>
      </c>
      <c r="K670" s="16" t="n"/>
      <c r="L670" s="16" t="n"/>
      <c r="M670" s="16" t="n"/>
      <c r="N670" s="16" t="n"/>
      <c r="O670" s="16" t="n"/>
    </row>
    <row r="671">
      <c r="A671" s="17" t="inlineStr">
        <is>
          <t>TRK-0668</t>
        </is>
      </c>
      <c r="B671" s="16" t="n"/>
      <c r="C671" s="16" t="n"/>
      <c r="D671" s="16" t="n"/>
      <c r="E671" s="16" t="n"/>
      <c r="F671" s="16" t="n"/>
      <c r="G671" s="16" t="n"/>
      <c r="H671" s="16" t="n"/>
      <c r="I671" s="16">
        <f>IF(H671&lt;&gt;"","Completed",IF(TODAY()&gt;G671,"Overdue",IF(F671&lt;&gt;"","In Progress","Not Started")))</f>
        <v/>
      </c>
      <c r="J671" s="18">
        <f>IF(I671="Overdue",TODAY()-G671,0)</f>
        <v/>
      </c>
      <c r="K671" s="16" t="n"/>
      <c r="L671" s="16" t="n"/>
      <c r="M671" s="16" t="n"/>
      <c r="N671" s="16" t="n"/>
      <c r="O671" s="16" t="n"/>
    </row>
    <row r="672">
      <c r="A672" s="17" t="inlineStr">
        <is>
          <t>TRK-0669</t>
        </is>
      </c>
      <c r="B672" s="16" t="n"/>
      <c r="C672" s="16" t="n"/>
      <c r="D672" s="16" t="n"/>
      <c r="E672" s="16" t="n"/>
      <c r="F672" s="16" t="n"/>
      <c r="G672" s="16" t="n"/>
      <c r="H672" s="16" t="n"/>
      <c r="I672" s="16">
        <f>IF(H672&lt;&gt;"","Completed",IF(TODAY()&gt;G672,"Overdue",IF(F672&lt;&gt;"","In Progress","Not Started")))</f>
        <v/>
      </c>
      <c r="J672" s="18">
        <f>IF(I672="Overdue",TODAY()-G672,0)</f>
        <v/>
      </c>
      <c r="K672" s="16" t="n"/>
      <c r="L672" s="16" t="n"/>
      <c r="M672" s="16" t="n"/>
      <c r="N672" s="16" t="n"/>
      <c r="O672" s="16" t="n"/>
    </row>
    <row r="673">
      <c r="A673" s="17" t="inlineStr">
        <is>
          <t>TRK-0670</t>
        </is>
      </c>
      <c r="B673" s="16" t="n"/>
      <c r="C673" s="16" t="n"/>
      <c r="D673" s="16" t="n"/>
      <c r="E673" s="16" t="n"/>
      <c r="F673" s="16" t="n"/>
      <c r="G673" s="16" t="n"/>
      <c r="H673" s="16" t="n"/>
      <c r="I673" s="16">
        <f>IF(H673&lt;&gt;"","Completed",IF(TODAY()&gt;G673,"Overdue",IF(F673&lt;&gt;"","In Progress","Not Started")))</f>
        <v/>
      </c>
      <c r="J673" s="18">
        <f>IF(I673="Overdue",TODAY()-G673,0)</f>
        <v/>
      </c>
      <c r="K673" s="16" t="n"/>
      <c r="L673" s="16" t="n"/>
      <c r="M673" s="16" t="n"/>
      <c r="N673" s="16" t="n"/>
      <c r="O673" s="16" t="n"/>
    </row>
    <row r="674">
      <c r="A674" s="17" t="inlineStr">
        <is>
          <t>TRK-0671</t>
        </is>
      </c>
      <c r="B674" s="16" t="n"/>
      <c r="C674" s="16" t="n"/>
      <c r="D674" s="16" t="n"/>
      <c r="E674" s="16" t="n"/>
      <c r="F674" s="16" t="n"/>
      <c r="G674" s="16" t="n"/>
      <c r="H674" s="16" t="n"/>
      <c r="I674" s="16">
        <f>IF(H674&lt;&gt;"","Completed",IF(TODAY()&gt;G674,"Overdue",IF(F674&lt;&gt;"","In Progress","Not Started")))</f>
        <v/>
      </c>
      <c r="J674" s="18">
        <f>IF(I674="Overdue",TODAY()-G674,0)</f>
        <v/>
      </c>
      <c r="K674" s="16" t="n"/>
      <c r="L674" s="16" t="n"/>
      <c r="M674" s="16" t="n"/>
      <c r="N674" s="16" t="n"/>
      <c r="O674" s="16" t="n"/>
    </row>
    <row r="675">
      <c r="A675" s="17" t="inlineStr">
        <is>
          <t>TRK-0672</t>
        </is>
      </c>
      <c r="B675" s="16" t="n"/>
      <c r="C675" s="16" t="n"/>
      <c r="D675" s="16" t="n"/>
      <c r="E675" s="16" t="n"/>
      <c r="F675" s="16" t="n"/>
      <c r="G675" s="16" t="n"/>
      <c r="H675" s="16" t="n"/>
      <c r="I675" s="16">
        <f>IF(H675&lt;&gt;"","Completed",IF(TODAY()&gt;G675,"Overdue",IF(F675&lt;&gt;"","In Progress","Not Started")))</f>
        <v/>
      </c>
      <c r="J675" s="18">
        <f>IF(I675="Overdue",TODAY()-G675,0)</f>
        <v/>
      </c>
      <c r="K675" s="16" t="n"/>
      <c r="L675" s="16" t="n"/>
      <c r="M675" s="16" t="n"/>
      <c r="N675" s="16" t="n"/>
      <c r="O675" s="16" t="n"/>
    </row>
    <row r="676">
      <c r="A676" s="17" t="inlineStr">
        <is>
          <t>TRK-0673</t>
        </is>
      </c>
      <c r="B676" s="16" t="n"/>
      <c r="C676" s="16" t="n"/>
      <c r="D676" s="16" t="n"/>
      <c r="E676" s="16" t="n"/>
      <c r="F676" s="16" t="n"/>
      <c r="G676" s="16" t="n"/>
      <c r="H676" s="16" t="n"/>
      <c r="I676" s="16">
        <f>IF(H676&lt;&gt;"","Completed",IF(TODAY()&gt;G676,"Overdue",IF(F676&lt;&gt;"","In Progress","Not Started")))</f>
        <v/>
      </c>
      <c r="J676" s="18">
        <f>IF(I676="Overdue",TODAY()-G676,0)</f>
        <v/>
      </c>
      <c r="K676" s="16" t="n"/>
      <c r="L676" s="16" t="n"/>
      <c r="M676" s="16" t="n"/>
      <c r="N676" s="16" t="n"/>
      <c r="O676" s="16" t="n"/>
    </row>
    <row r="677">
      <c r="A677" s="17" t="inlineStr">
        <is>
          <t>TRK-0674</t>
        </is>
      </c>
      <c r="B677" s="16" t="n"/>
      <c r="C677" s="16" t="n"/>
      <c r="D677" s="16" t="n"/>
      <c r="E677" s="16" t="n"/>
      <c r="F677" s="16" t="n"/>
      <c r="G677" s="16" t="n"/>
      <c r="H677" s="16" t="n"/>
      <c r="I677" s="16">
        <f>IF(H677&lt;&gt;"","Completed",IF(TODAY()&gt;G677,"Overdue",IF(F677&lt;&gt;"","In Progress","Not Started")))</f>
        <v/>
      </c>
      <c r="J677" s="18">
        <f>IF(I677="Overdue",TODAY()-G677,0)</f>
        <v/>
      </c>
      <c r="K677" s="16" t="n"/>
      <c r="L677" s="16" t="n"/>
      <c r="M677" s="16" t="n"/>
      <c r="N677" s="16" t="n"/>
      <c r="O677" s="16" t="n"/>
    </row>
    <row r="678">
      <c r="A678" s="17" t="inlineStr">
        <is>
          <t>TRK-0675</t>
        </is>
      </c>
      <c r="B678" s="16" t="n"/>
      <c r="C678" s="16" t="n"/>
      <c r="D678" s="16" t="n"/>
      <c r="E678" s="16" t="n"/>
      <c r="F678" s="16" t="n"/>
      <c r="G678" s="16" t="n"/>
      <c r="H678" s="16" t="n"/>
      <c r="I678" s="16">
        <f>IF(H678&lt;&gt;"","Completed",IF(TODAY()&gt;G678,"Overdue",IF(F678&lt;&gt;"","In Progress","Not Started")))</f>
        <v/>
      </c>
      <c r="J678" s="18">
        <f>IF(I678="Overdue",TODAY()-G678,0)</f>
        <v/>
      </c>
      <c r="K678" s="16" t="n"/>
      <c r="L678" s="16" t="n"/>
      <c r="M678" s="16" t="n"/>
      <c r="N678" s="16" t="n"/>
      <c r="O678" s="16" t="n"/>
    </row>
    <row r="679">
      <c r="A679" s="17" t="inlineStr">
        <is>
          <t>TRK-0676</t>
        </is>
      </c>
      <c r="B679" s="16" t="n"/>
      <c r="C679" s="16" t="n"/>
      <c r="D679" s="16" t="n"/>
      <c r="E679" s="16" t="n"/>
      <c r="F679" s="16" t="n"/>
      <c r="G679" s="16" t="n"/>
      <c r="H679" s="16" t="n"/>
      <c r="I679" s="16">
        <f>IF(H679&lt;&gt;"","Completed",IF(TODAY()&gt;G679,"Overdue",IF(F679&lt;&gt;"","In Progress","Not Started")))</f>
        <v/>
      </c>
      <c r="J679" s="18">
        <f>IF(I679="Overdue",TODAY()-G679,0)</f>
        <v/>
      </c>
      <c r="K679" s="16" t="n"/>
      <c r="L679" s="16" t="n"/>
      <c r="M679" s="16" t="n"/>
      <c r="N679" s="16" t="n"/>
      <c r="O679" s="16" t="n"/>
    </row>
    <row r="680">
      <c r="A680" s="17" t="inlineStr">
        <is>
          <t>TRK-0677</t>
        </is>
      </c>
      <c r="B680" s="16" t="n"/>
      <c r="C680" s="16" t="n"/>
      <c r="D680" s="16" t="n"/>
      <c r="E680" s="16" t="n"/>
      <c r="F680" s="16" t="n"/>
      <c r="G680" s="16" t="n"/>
      <c r="H680" s="16" t="n"/>
      <c r="I680" s="16">
        <f>IF(H680&lt;&gt;"","Completed",IF(TODAY()&gt;G680,"Overdue",IF(F680&lt;&gt;"","In Progress","Not Started")))</f>
        <v/>
      </c>
      <c r="J680" s="18">
        <f>IF(I680="Overdue",TODAY()-G680,0)</f>
        <v/>
      </c>
      <c r="K680" s="16" t="n"/>
      <c r="L680" s="16" t="n"/>
      <c r="M680" s="16" t="n"/>
      <c r="N680" s="16" t="n"/>
      <c r="O680" s="16" t="n"/>
    </row>
    <row r="681">
      <c r="A681" s="17" t="inlineStr">
        <is>
          <t>TRK-0678</t>
        </is>
      </c>
      <c r="B681" s="16" t="n"/>
      <c r="C681" s="16" t="n"/>
      <c r="D681" s="16" t="n"/>
      <c r="E681" s="16" t="n"/>
      <c r="F681" s="16" t="n"/>
      <c r="G681" s="16" t="n"/>
      <c r="H681" s="16" t="n"/>
      <c r="I681" s="16">
        <f>IF(H681&lt;&gt;"","Completed",IF(TODAY()&gt;G681,"Overdue",IF(F681&lt;&gt;"","In Progress","Not Started")))</f>
        <v/>
      </c>
      <c r="J681" s="18">
        <f>IF(I681="Overdue",TODAY()-G681,0)</f>
        <v/>
      </c>
      <c r="K681" s="16" t="n"/>
      <c r="L681" s="16" t="n"/>
      <c r="M681" s="16" t="n"/>
      <c r="N681" s="16" t="n"/>
      <c r="O681" s="16" t="n"/>
    </row>
    <row r="682">
      <c r="A682" s="17" t="inlineStr">
        <is>
          <t>TRK-0679</t>
        </is>
      </c>
      <c r="B682" s="16" t="n"/>
      <c r="C682" s="16" t="n"/>
      <c r="D682" s="16" t="n"/>
      <c r="E682" s="16" t="n"/>
      <c r="F682" s="16" t="n"/>
      <c r="G682" s="16" t="n"/>
      <c r="H682" s="16" t="n"/>
      <c r="I682" s="16">
        <f>IF(H682&lt;&gt;"","Completed",IF(TODAY()&gt;G682,"Overdue",IF(F682&lt;&gt;"","In Progress","Not Started")))</f>
        <v/>
      </c>
      <c r="J682" s="18">
        <f>IF(I682="Overdue",TODAY()-G682,0)</f>
        <v/>
      </c>
      <c r="K682" s="16" t="n"/>
      <c r="L682" s="16" t="n"/>
      <c r="M682" s="16" t="n"/>
      <c r="N682" s="16" t="n"/>
      <c r="O682" s="16" t="n"/>
    </row>
    <row r="683">
      <c r="A683" s="17" t="inlineStr">
        <is>
          <t>TRK-0680</t>
        </is>
      </c>
      <c r="B683" s="16" t="n"/>
      <c r="C683" s="16" t="n"/>
      <c r="D683" s="16" t="n"/>
      <c r="E683" s="16" t="n"/>
      <c r="F683" s="16" t="n"/>
      <c r="G683" s="16" t="n"/>
      <c r="H683" s="16" t="n"/>
      <c r="I683" s="16">
        <f>IF(H683&lt;&gt;"","Completed",IF(TODAY()&gt;G683,"Overdue",IF(F683&lt;&gt;"","In Progress","Not Started")))</f>
        <v/>
      </c>
      <c r="J683" s="18">
        <f>IF(I683="Overdue",TODAY()-G683,0)</f>
        <v/>
      </c>
      <c r="K683" s="16" t="n"/>
      <c r="L683" s="16" t="n"/>
      <c r="M683" s="16" t="n"/>
      <c r="N683" s="16" t="n"/>
      <c r="O683" s="16" t="n"/>
    </row>
    <row r="684">
      <c r="A684" s="17" t="inlineStr">
        <is>
          <t>TRK-0681</t>
        </is>
      </c>
      <c r="B684" s="16" t="n"/>
      <c r="C684" s="16" t="n"/>
      <c r="D684" s="16" t="n"/>
      <c r="E684" s="16" t="n"/>
      <c r="F684" s="16" t="n"/>
      <c r="G684" s="16" t="n"/>
      <c r="H684" s="16" t="n"/>
      <c r="I684" s="16">
        <f>IF(H684&lt;&gt;"","Completed",IF(TODAY()&gt;G684,"Overdue",IF(F684&lt;&gt;"","In Progress","Not Started")))</f>
        <v/>
      </c>
      <c r="J684" s="18">
        <f>IF(I684="Overdue",TODAY()-G684,0)</f>
        <v/>
      </c>
      <c r="K684" s="16" t="n"/>
      <c r="L684" s="16" t="n"/>
      <c r="M684" s="16" t="n"/>
      <c r="N684" s="16" t="n"/>
      <c r="O684" s="16" t="n"/>
    </row>
    <row r="685">
      <c r="A685" s="17" t="inlineStr">
        <is>
          <t>TRK-0682</t>
        </is>
      </c>
      <c r="B685" s="16" t="n"/>
      <c r="C685" s="16" t="n"/>
      <c r="D685" s="16" t="n"/>
      <c r="E685" s="16" t="n"/>
      <c r="F685" s="16" t="n"/>
      <c r="G685" s="16" t="n"/>
      <c r="H685" s="16" t="n"/>
      <c r="I685" s="16">
        <f>IF(H685&lt;&gt;"","Completed",IF(TODAY()&gt;G685,"Overdue",IF(F685&lt;&gt;"","In Progress","Not Started")))</f>
        <v/>
      </c>
      <c r="J685" s="18">
        <f>IF(I685="Overdue",TODAY()-G685,0)</f>
        <v/>
      </c>
      <c r="K685" s="16" t="n"/>
      <c r="L685" s="16" t="n"/>
      <c r="M685" s="16" t="n"/>
      <c r="N685" s="16" t="n"/>
      <c r="O685" s="16" t="n"/>
    </row>
    <row r="686">
      <c r="A686" s="17" t="inlineStr">
        <is>
          <t>TRK-0683</t>
        </is>
      </c>
      <c r="B686" s="16" t="n"/>
      <c r="C686" s="16" t="n"/>
      <c r="D686" s="16" t="n"/>
      <c r="E686" s="16" t="n"/>
      <c r="F686" s="16" t="n"/>
      <c r="G686" s="16" t="n"/>
      <c r="H686" s="16" t="n"/>
      <c r="I686" s="16">
        <f>IF(H686&lt;&gt;"","Completed",IF(TODAY()&gt;G686,"Overdue",IF(F686&lt;&gt;"","In Progress","Not Started")))</f>
        <v/>
      </c>
      <c r="J686" s="18">
        <f>IF(I686="Overdue",TODAY()-G686,0)</f>
        <v/>
      </c>
      <c r="K686" s="16" t="n"/>
      <c r="L686" s="16" t="n"/>
      <c r="M686" s="16" t="n"/>
      <c r="N686" s="16" t="n"/>
      <c r="O686" s="16" t="n"/>
    </row>
    <row r="687">
      <c r="A687" s="17" t="inlineStr">
        <is>
          <t>TRK-0684</t>
        </is>
      </c>
      <c r="B687" s="16" t="n"/>
      <c r="C687" s="16" t="n"/>
      <c r="D687" s="16" t="n"/>
      <c r="E687" s="16" t="n"/>
      <c r="F687" s="16" t="n"/>
      <c r="G687" s="16" t="n"/>
      <c r="H687" s="16" t="n"/>
      <c r="I687" s="16">
        <f>IF(H687&lt;&gt;"","Completed",IF(TODAY()&gt;G687,"Overdue",IF(F687&lt;&gt;"","In Progress","Not Started")))</f>
        <v/>
      </c>
      <c r="J687" s="18">
        <f>IF(I687="Overdue",TODAY()-G687,0)</f>
        <v/>
      </c>
      <c r="K687" s="16" t="n"/>
      <c r="L687" s="16" t="n"/>
      <c r="M687" s="16" t="n"/>
      <c r="N687" s="16" t="n"/>
      <c r="O687" s="16" t="n"/>
    </row>
    <row r="688">
      <c r="A688" s="17" t="inlineStr">
        <is>
          <t>TRK-0685</t>
        </is>
      </c>
      <c r="B688" s="16" t="n"/>
      <c r="C688" s="16" t="n"/>
      <c r="D688" s="16" t="n"/>
      <c r="E688" s="16" t="n"/>
      <c r="F688" s="16" t="n"/>
      <c r="G688" s="16" t="n"/>
      <c r="H688" s="16" t="n"/>
      <c r="I688" s="16">
        <f>IF(H688&lt;&gt;"","Completed",IF(TODAY()&gt;G688,"Overdue",IF(F688&lt;&gt;"","In Progress","Not Started")))</f>
        <v/>
      </c>
      <c r="J688" s="18">
        <f>IF(I688="Overdue",TODAY()-G688,0)</f>
        <v/>
      </c>
      <c r="K688" s="16" t="n"/>
      <c r="L688" s="16" t="n"/>
      <c r="M688" s="16" t="n"/>
      <c r="N688" s="16" t="n"/>
      <c r="O688" s="16" t="n"/>
    </row>
    <row r="689">
      <c r="A689" s="17" t="inlineStr">
        <is>
          <t>TRK-0686</t>
        </is>
      </c>
      <c r="B689" s="16" t="n"/>
      <c r="C689" s="16" t="n"/>
      <c r="D689" s="16" t="n"/>
      <c r="E689" s="16" t="n"/>
      <c r="F689" s="16" t="n"/>
      <c r="G689" s="16" t="n"/>
      <c r="H689" s="16" t="n"/>
      <c r="I689" s="16">
        <f>IF(H689&lt;&gt;"","Completed",IF(TODAY()&gt;G689,"Overdue",IF(F689&lt;&gt;"","In Progress","Not Started")))</f>
        <v/>
      </c>
      <c r="J689" s="18">
        <f>IF(I689="Overdue",TODAY()-G689,0)</f>
        <v/>
      </c>
      <c r="K689" s="16" t="n"/>
      <c r="L689" s="16" t="n"/>
      <c r="M689" s="16" t="n"/>
      <c r="N689" s="16" t="n"/>
      <c r="O689" s="16" t="n"/>
    </row>
    <row r="690">
      <c r="A690" s="17" t="inlineStr">
        <is>
          <t>TRK-0687</t>
        </is>
      </c>
      <c r="B690" s="16" t="n"/>
      <c r="C690" s="16" t="n"/>
      <c r="D690" s="16" t="n"/>
      <c r="E690" s="16" t="n"/>
      <c r="F690" s="16" t="n"/>
      <c r="G690" s="16" t="n"/>
      <c r="H690" s="16" t="n"/>
      <c r="I690" s="16">
        <f>IF(H690&lt;&gt;"","Completed",IF(TODAY()&gt;G690,"Overdue",IF(F690&lt;&gt;"","In Progress","Not Started")))</f>
        <v/>
      </c>
      <c r="J690" s="18">
        <f>IF(I690="Overdue",TODAY()-G690,0)</f>
        <v/>
      </c>
      <c r="K690" s="16" t="n"/>
      <c r="L690" s="16" t="n"/>
      <c r="M690" s="16" t="n"/>
      <c r="N690" s="16" t="n"/>
      <c r="O690" s="16" t="n"/>
    </row>
    <row r="691">
      <c r="A691" s="17" t="inlineStr">
        <is>
          <t>TRK-0688</t>
        </is>
      </c>
      <c r="B691" s="16" t="n"/>
      <c r="C691" s="16" t="n"/>
      <c r="D691" s="16" t="n"/>
      <c r="E691" s="16" t="n"/>
      <c r="F691" s="16" t="n"/>
      <c r="G691" s="16" t="n"/>
      <c r="H691" s="16" t="n"/>
      <c r="I691" s="16">
        <f>IF(H691&lt;&gt;"","Completed",IF(TODAY()&gt;G691,"Overdue",IF(F691&lt;&gt;"","In Progress","Not Started")))</f>
        <v/>
      </c>
      <c r="J691" s="18">
        <f>IF(I691="Overdue",TODAY()-G691,0)</f>
        <v/>
      </c>
      <c r="K691" s="16" t="n"/>
      <c r="L691" s="16" t="n"/>
      <c r="M691" s="16" t="n"/>
      <c r="N691" s="16" t="n"/>
      <c r="O691" s="16" t="n"/>
    </row>
    <row r="692">
      <c r="A692" s="17" t="inlineStr">
        <is>
          <t>TRK-0689</t>
        </is>
      </c>
      <c r="B692" s="16" t="n"/>
      <c r="C692" s="16" t="n"/>
      <c r="D692" s="16" t="n"/>
      <c r="E692" s="16" t="n"/>
      <c r="F692" s="16" t="n"/>
      <c r="G692" s="16" t="n"/>
      <c r="H692" s="16" t="n"/>
      <c r="I692" s="16">
        <f>IF(H692&lt;&gt;"","Completed",IF(TODAY()&gt;G692,"Overdue",IF(F692&lt;&gt;"","In Progress","Not Started")))</f>
        <v/>
      </c>
      <c r="J692" s="18">
        <f>IF(I692="Overdue",TODAY()-G692,0)</f>
        <v/>
      </c>
      <c r="K692" s="16" t="n"/>
      <c r="L692" s="16" t="n"/>
      <c r="M692" s="16" t="n"/>
      <c r="N692" s="16" t="n"/>
      <c r="O692" s="16" t="n"/>
    </row>
    <row r="693">
      <c r="A693" s="17" t="inlineStr">
        <is>
          <t>TRK-0690</t>
        </is>
      </c>
      <c r="B693" s="16" t="n"/>
      <c r="C693" s="16" t="n"/>
      <c r="D693" s="16" t="n"/>
      <c r="E693" s="16" t="n"/>
      <c r="F693" s="16" t="n"/>
      <c r="G693" s="16" t="n"/>
      <c r="H693" s="16" t="n"/>
      <c r="I693" s="16">
        <f>IF(H693&lt;&gt;"","Completed",IF(TODAY()&gt;G693,"Overdue",IF(F693&lt;&gt;"","In Progress","Not Started")))</f>
        <v/>
      </c>
      <c r="J693" s="18">
        <f>IF(I693="Overdue",TODAY()-G693,0)</f>
        <v/>
      </c>
      <c r="K693" s="16" t="n"/>
      <c r="L693" s="16" t="n"/>
      <c r="M693" s="16" t="n"/>
      <c r="N693" s="16" t="n"/>
      <c r="O693" s="16" t="n"/>
    </row>
    <row r="694">
      <c r="A694" s="17" t="inlineStr">
        <is>
          <t>TRK-0691</t>
        </is>
      </c>
      <c r="B694" s="16" t="n"/>
      <c r="C694" s="16" t="n"/>
      <c r="D694" s="16" t="n"/>
      <c r="E694" s="16" t="n"/>
      <c r="F694" s="16" t="n"/>
      <c r="G694" s="16" t="n"/>
      <c r="H694" s="16" t="n"/>
      <c r="I694" s="16">
        <f>IF(H694&lt;&gt;"","Completed",IF(TODAY()&gt;G694,"Overdue",IF(F694&lt;&gt;"","In Progress","Not Started")))</f>
        <v/>
      </c>
      <c r="J694" s="18">
        <f>IF(I694="Overdue",TODAY()-G694,0)</f>
        <v/>
      </c>
      <c r="K694" s="16" t="n"/>
      <c r="L694" s="16" t="n"/>
      <c r="M694" s="16" t="n"/>
      <c r="N694" s="16" t="n"/>
      <c r="O694" s="16" t="n"/>
    </row>
    <row r="695">
      <c r="A695" s="17" t="inlineStr">
        <is>
          <t>TRK-0692</t>
        </is>
      </c>
      <c r="B695" s="16" t="n"/>
      <c r="C695" s="16" t="n"/>
      <c r="D695" s="16" t="n"/>
      <c r="E695" s="16" t="n"/>
      <c r="F695" s="16" t="n"/>
      <c r="G695" s="16" t="n"/>
      <c r="H695" s="16" t="n"/>
      <c r="I695" s="16">
        <f>IF(H695&lt;&gt;"","Completed",IF(TODAY()&gt;G695,"Overdue",IF(F695&lt;&gt;"","In Progress","Not Started")))</f>
        <v/>
      </c>
      <c r="J695" s="18">
        <f>IF(I695="Overdue",TODAY()-G695,0)</f>
        <v/>
      </c>
      <c r="K695" s="16" t="n"/>
      <c r="L695" s="16" t="n"/>
      <c r="M695" s="16" t="n"/>
      <c r="N695" s="16" t="n"/>
      <c r="O695" s="16" t="n"/>
    </row>
    <row r="696">
      <c r="A696" s="17" t="inlineStr">
        <is>
          <t>TRK-0693</t>
        </is>
      </c>
      <c r="B696" s="16" t="n"/>
      <c r="C696" s="16" t="n"/>
      <c r="D696" s="16" t="n"/>
      <c r="E696" s="16" t="n"/>
      <c r="F696" s="16" t="n"/>
      <c r="G696" s="16" t="n"/>
      <c r="H696" s="16" t="n"/>
      <c r="I696" s="16">
        <f>IF(H696&lt;&gt;"","Completed",IF(TODAY()&gt;G696,"Overdue",IF(F696&lt;&gt;"","In Progress","Not Started")))</f>
        <v/>
      </c>
      <c r="J696" s="18">
        <f>IF(I696="Overdue",TODAY()-G696,0)</f>
        <v/>
      </c>
      <c r="K696" s="16" t="n"/>
      <c r="L696" s="16" t="n"/>
      <c r="M696" s="16" t="n"/>
      <c r="N696" s="16" t="n"/>
      <c r="O696" s="16" t="n"/>
    </row>
    <row r="697">
      <c r="A697" s="17" t="inlineStr">
        <is>
          <t>TRK-0694</t>
        </is>
      </c>
      <c r="B697" s="16" t="n"/>
      <c r="C697" s="16" t="n"/>
      <c r="D697" s="16" t="n"/>
      <c r="E697" s="16" t="n"/>
      <c r="F697" s="16" t="n"/>
      <c r="G697" s="16" t="n"/>
      <c r="H697" s="16" t="n"/>
      <c r="I697" s="16">
        <f>IF(H697&lt;&gt;"","Completed",IF(TODAY()&gt;G697,"Overdue",IF(F697&lt;&gt;"","In Progress","Not Started")))</f>
        <v/>
      </c>
      <c r="J697" s="18">
        <f>IF(I697="Overdue",TODAY()-G697,0)</f>
        <v/>
      </c>
      <c r="K697" s="16" t="n"/>
      <c r="L697" s="16" t="n"/>
      <c r="M697" s="16" t="n"/>
      <c r="N697" s="16" t="n"/>
      <c r="O697" s="16" t="n"/>
    </row>
    <row r="698">
      <c r="A698" s="17" t="inlineStr">
        <is>
          <t>TRK-0695</t>
        </is>
      </c>
      <c r="B698" s="16" t="n"/>
      <c r="C698" s="16" t="n"/>
      <c r="D698" s="16" t="n"/>
      <c r="E698" s="16" t="n"/>
      <c r="F698" s="16" t="n"/>
      <c r="G698" s="16" t="n"/>
      <c r="H698" s="16" t="n"/>
      <c r="I698" s="16">
        <f>IF(H698&lt;&gt;"","Completed",IF(TODAY()&gt;G698,"Overdue",IF(F698&lt;&gt;"","In Progress","Not Started")))</f>
        <v/>
      </c>
      <c r="J698" s="18">
        <f>IF(I698="Overdue",TODAY()-G698,0)</f>
        <v/>
      </c>
      <c r="K698" s="16" t="n"/>
      <c r="L698" s="16" t="n"/>
      <c r="M698" s="16" t="n"/>
      <c r="N698" s="16" t="n"/>
      <c r="O698" s="16" t="n"/>
    </row>
    <row r="699">
      <c r="A699" s="17" t="inlineStr">
        <is>
          <t>TRK-0696</t>
        </is>
      </c>
      <c r="B699" s="16" t="n"/>
      <c r="C699" s="16" t="n"/>
      <c r="D699" s="16" t="n"/>
      <c r="E699" s="16" t="n"/>
      <c r="F699" s="16" t="n"/>
      <c r="G699" s="16" t="n"/>
      <c r="H699" s="16" t="n"/>
      <c r="I699" s="16">
        <f>IF(H699&lt;&gt;"","Completed",IF(TODAY()&gt;G699,"Overdue",IF(F699&lt;&gt;"","In Progress","Not Started")))</f>
        <v/>
      </c>
      <c r="J699" s="18">
        <f>IF(I699="Overdue",TODAY()-G699,0)</f>
        <v/>
      </c>
      <c r="K699" s="16" t="n"/>
      <c r="L699" s="16" t="n"/>
      <c r="M699" s="16" t="n"/>
      <c r="N699" s="16" t="n"/>
      <c r="O699" s="16" t="n"/>
    </row>
    <row r="700">
      <c r="A700" s="17" t="inlineStr">
        <is>
          <t>TRK-0697</t>
        </is>
      </c>
      <c r="B700" s="16" t="n"/>
      <c r="C700" s="16" t="n"/>
      <c r="D700" s="16" t="n"/>
      <c r="E700" s="16" t="n"/>
      <c r="F700" s="16" t="n"/>
      <c r="G700" s="16" t="n"/>
      <c r="H700" s="16" t="n"/>
      <c r="I700" s="16">
        <f>IF(H700&lt;&gt;"","Completed",IF(TODAY()&gt;G700,"Overdue",IF(F700&lt;&gt;"","In Progress","Not Started")))</f>
        <v/>
      </c>
      <c r="J700" s="18">
        <f>IF(I700="Overdue",TODAY()-G700,0)</f>
        <v/>
      </c>
      <c r="K700" s="16" t="n"/>
      <c r="L700" s="16" t="n"/>
      <c r="M700" s="16" t="n"/>
      <c r="N700" s="16" t="n"/>
      <c r="O700" s="16" t="n"/>
    </row>
    <row r="701">
      <c r="A701" s="17" t="inlineStr">
        <is>
          <t>TRK-0698</t>
        </is>
      </c>
      <c r="B701" s="16" t="n"/>
      <c r="C701" s="16" t="n"/>
      <c r="D701" s="16" t="n"/>
      <c r="E701" s="16" t="n"/>
      <c r="F701" s="16" t="n"/>
      <c r="G701" s="16" t="n"/>
      <c r="H701" s="16" t="n"/>
      <c r="I701" s="16">
        <f>IF(H701&lt;&gt;"","Completed",IF(TODAY()&gt;G701,"Overdue",IF(F701&lt;&gt;"","In Progress","Not Started")))</f>
        <v/>
      </c>
      <c r="J701" s="18">
        <f>IF(I701="Overdue",TODAY()-G701,0)</f>
        <v/>
      </c>
      <c r="K701" s="16" t="n"/>
      <c r="L701" s="16" t="n"/>
      <c r="M701" s="16" t="n"/>
      <c r="N701" s="16" t="n"/>
      <c r="O701" s="16" t="n"/>
    </row>
    <row r="702">
      <c r="A702" s="17" t="inlineStr">
        <is>
          <t>TRK-0699</t>
        </is>
      </c>
      <c r="B702" s="16" t="n"/>
      <c r="C702" s="16" t="n"/>
      <c r="D702" s="16" t="n"/>
      <c r="E702" s="16" t="n"/>
      <c r="F702" s="16" t="n"/>
      <c r="G702" s="16" t="n"/>
      <c r="H702" s="16" t="n"/>
      <c r="I702" s="16">
        <f>IF(H702&lt;&gt;"","Completed",IF(TODAY()&gt;G702,"Overdue",IF(F702&lt;&gt;"","In Progress","Not Started")))</f>
        <v/>
      </c>
      <c r="J702" s="18">
        <f>IF(I702="Overdue",TODAY()-G702,0)</f>
        <v/>
      </c>
      <c r="K702" s="16" t="n"/>
      <c r="L702" s="16" t="n"/>
      <c r="M702" s="16" t="n"/>
      <c r="N702" s="16" t="n"/>
      <c r="O702" s="16" t="n"/>
    </row>
    <row r="703">
      <c r="A703" s="17" t="inlineStr">
        <is>
          <t>TRK-0700</t>
        </is>
      </c>
      <c r="B703" s="16" t="n"/>
      <c r="C703" s="16" t="n"/>
      <c r="D703" s="16" t="n"/>
      <c r="E703" s="16" t="n"/>
      <c r="F703" s="16" t="n"/>
      <c r="G703" s="16" t="n"/>
      <c r="H703" s="16" t="n"/>
      <c r="I703" s="16">
        <f>IF(H703&lt;&gt;"","Completed",IF(TODAY()&gt;G703,"Overdue",IF(F703&lt;&gt;"","In Progress","Not Started")))</f>
        <v/>
      </c>
      <c r="J703" s="18">
        <f>IF(I703="Overdue",TODAY()-G703,0)</f>
        <v/>
      </c>
      <c r="K703" s="16" t="n"/>
      <c r="L703" s="16" t="n"/>
      <c r="M703" s="16" t="n"/>
      <c r="N703" s="16" t="n"/>
      <c r="O703" s="16" t="n"/>
    </row>
    <row r="704">
      <c r="A704" s="17" t="inlineStr">
        <is>
          <t>TRK-0701</t>
        </is>
      </c>
      <c r="B704" s="16" t="n"/>
      <c r="C704" s="16" t="n"/>
      <c r="D704" s="16" t="n"/>
      <c r="E704" s="16" t="n"/>
      <c r="F704" s="16" t="n"/>
      <c r="G704" s="16" t="n"/>
      <c r="H704" s="16" t="n"/>
      <c r="I704" s="16">
        <f>IF(H704&lt;&gt;"","Completed",IF(TODAY()&gt;G704,"Overdue",IF(F704&lt;&gt;"","In Progress","Not Started")))</f>
        <v/>
      </c>
      <c r="J704" s="18">
        <f>IF(I704="Overdue",TODAY()-G704,0)</f>
        <v/>
      </c>
      <c r="K704" s="16" t="n"/>
      <c r="L704" s="16" t="n"/>
      <c r="M704" s="16" t="n"/>
      <c r="N704" s="16" t="n"/>
      <c r="O704" s="16" t="n"/>
    </row>
    <row r="705">
      <c r="A705" s="17" t="inlineStr">
        <is>
          <t>TRK-0702</t>
        </is>
      </c>
      <c r="B705" s="16" t="n"/>
      <c r="C705" s="16" t="n"/>
      <c r="D705" s="16" t="n"/>
      <c r="E705" s="16" t="n"/>
      <c r="F705" s="16" t="n"/>
      <c r="G705" s="16" t="n"/>
      <c r="H705" s="16" t="n"/>
      <c r="I705" s="16">
        <f>IF(H705&lt;&gt;"","Completed",IF(TODAY()&gt;G705,"Overdue",IF(F705&lt;&gt;"","In Progress","Not Started")))</f>
        <v/>
      </c>
      <c r="J705" s="18">
        <f>IF(I705="Overdue",TODAY()-G705,0)</f>
        <v/>
      </c>
      <c r="K705" s="16" t="n"/>
      <c r="L705" s="16" t="n"/>
      <c r="M705" s="16" t="n"/>
      <c r="N705" s="16" t="n"/>
      <c r="O705" s="16" t="n"/>
    </row>
    <row r="706">
      <c r="A706" s="17" t="inlineStr">
        <is>
          <t>TRK-0703</t>
        </is>
      </c>
      <c r="B706" s="16" t="n"/>
      <c r="C706" s="16" t="n"/>
      <c r="D706" s="16" t="n"/>
      <c r="E706" s="16" t="n"/>
      <c r="F706" s="16" t="n"/>
      <c r="G706" s="16" t="n"/>
      <c r="H706" s="16" t="n"/>
      <c r="I706" s="16">
        <f>IF(H706&lt;&gt;"","Completed",IF(TODAY()&gt;G706,"Overdue",IF(F706&lt;&gt;"","In Progress","Not Started")))</f>
        <v/>
      </c>
      <c r="J706" s="18">
        <f>IF(I706="Overdue",TODAY()-G706,0)</f>
        <v/>
      </c>
      <c r="K706" s="16" t="n"/>
      <c r="L706" s="16" t="n"/>
      <c r="M706" s="16" t="n"/>
      <c r="N706" s="16" t="n"/>
      <c r="O706" s="16" t="n"/>
    </row>
    <row r="707">
      <c r="A707" s="17" t="inlineStr">
        <is>
          <t>TRK-0704</t>
        </is>
      </c>
      <c r="B707" s="16" t="n"/>
      <c r="C707" s="16" t="n"/>
      <c r="D707" s="16" t="n"/>
      <c r="E707" s="16" t="n"/>
      <c r="F707" s="16" t="n"/>
      <c r="G707" s="16" t="n"/>
      <c r="H707" s="16" t="n"/>
      <c r="I707" s="16">
        <f>IF(H707&lt;&gt;"","Completed",IF(TODAY()&gt;G707,"Overdue",IF(F707&lt;&gt;"","In Progress","Not Started")))</f>
        <v/>
      </c>
      <c r="J707" s="18">
        <f>IF(I707="Overdue",TODAY()-G707,0)</f>
        <v/>
      </c>
      <c r="K707" s="16" t="n"/>
      <c r="L707" s="16" t="n"/>
      <c r="M707" s="16" t="n"/>
      <c r="N707" s="16" t="n"/>
      <c r="O707" s="16" t="n"/>
    </row>
    <row r="708">
      <c r="A708" s="17" t="inlineStr">
        <is>
          <t>TRK-0705</t>
        </is>
      </c>
      <c r="B708" s="16" t="n"/>
      <c r="C708" s="16" t="n"/>
      <c r="D708" s="16" t="n"/>
      <c r="E708" s="16" t="n"/>
      <c r="F708" s="16" t="n"/>
      <c r="G708" s="16" t="n"/>
      <c r="H708" s="16" t="n"/>
      <c r="I708" s="16">
        <f>IF(H708&lt;&gt;"","Completed",IF(TODAY()&gt;G708,"Overdue",IF(F708&lt;&gt;"","In Progress","Not Started")))</f>
        <v/>
      </c>
      <c r="J708" s="18">
        <f>IF(I708="Overdue",TODAY()-G708,0)</f>
        <v/>
      </c>
      <c r="K708" s="16" t="n"/>
      <c r="L708" s="16" t="n"/>
      <c r="M708" s="16" t="n"/>
      <c r="N708" s="16" t="n"/>
      <c r="O708" s="16" t="n"/>
    </row>
    <row r="709">
      <c r="A709" s="17" t="inlineStr">
        <is>
          <t>TRK-0706</t>
        </is>
      </c>
      <c r="B709" s="16" t="n"/>
      <c r="C709" s="16" t="n"/>
      <c r="D709" s="16" t="n"/>
      <c r="E709" s="16" t="n"/>
      <c r="F709" s="16" t="n"/>
      <c r="G709" s="16" t="n"/>
      <c r="H709" s="16" t="n"/>
      <c r="I709" s="16">
        <f>IF(H709&lt;&gt;"","Completed",IF(TODAY()&gt;G709,"Overdue",IF(F709&lt;&gt;"","In Progress","Not Started")))</f>
        <v/>
      </c>
      <c r="J709" s="18">
        <f>IF(I709="Overdue",TODAY()-G709,0)</f>
        <v/>
      </c>
      <c r="K709" s="16" t="n"/>
      <c r="L709" s="16" t="n"/>
      <c r="M709" s="16" t="n"/>
      <c r="N709" s="16" t="n"/>
      <c r="O709" s="16" t="n"/>
    </row>
    <row r="710">
      <c r="A710" s="17" t="inlineStr">
        <is>
          <t>TRK-0707</t>
        </is>
      </c>
      <c r="B710" s="16" t="n"/>
      <c r="C710" s="16" t="n"/>
      <c r="D710" s="16" t="n"/>
      <c r="E710" s="16" t="n"/>
      <c r="F710" s="16" t="n"/>
      <c r="G710" s="16" t="n"/>
      <c r="H710" s="16" t="n"/>
      <c r="I710" s="16">
        <f>IF(H710&lt;&gt;"","Completed",IF(TODAY()&gt;G710,"Overdue",IF(F710&lt;&gt;"","In Progress","Not Started")))</f>
        <v/>
      </c>
      <c r="J710" s="18">
        <f>IF(I710="Overdue",TODAY()-G710,0)</f>
        <v/>
      </c>
      <c r="K710" s="16" t="n"/>
      <c r="L710" s="16" t="n"/>
      <c r="M710" s="16" t="n"/>
      <c r="N710" s="16" t="n"/>
      <c r="O710" s="16" t="n"/>
    </row>
    <row r="711">
      <c r="A711" s="17" t="inlineStr">
        <is>
          <t>TRK-0708</t>
        </is>
      </c>
      <c r="B711" s="16" t="n"/>
      <c r="C711" s="16" t="n"/>
      <c r="D711" s="16" t="n"/>
      <c r="E711" s="16" t="n"/>
      <c r="F711" s="16" t="n"/>
      <c r="G711" s="16" t="n"/>
      <c r="H711" s="16" t="n"/>
      <c r="I711" s="16">
        <f>IF(H711&lt;&gt;"","Completed",IF(TODAY()&gt;G711,"Overdue",IF(F711&lt;&gt;"","In Progress","Not Started")))</f>
        <v/>
      </c>
      <c r="J711" s="18">
        <f>IF(I711="Overdue",TODAY()-G711,0)</f>
        <v/>
      </c>
      <c r="K711" s="16" t="n"/>
      <c r="L711" s="16" t="n"/>
      <c r="M711" s="16" t="n"/>
      <c r="N711" s="16" t="n"/>
      <c r="O711" s="16" t="n"/>
    </row>
    <row r="712">
      <c r="A712" s="17" t="inlineStr">
        <is>
          <t>TRK-0709</t>
        </is>
      </c>
      <c r="B712" s="16" t="n"/>
      <c r="C712" s="16" t="n"/>
      <c r="D712" s="16" t="n"/>
      <c r="E712" s="16" t="n"/>
      <c r="F712" s="16" t="n"/>
      <c r="G712" s="16" t="n"/>
      <c r="H712" s="16" t="n"/>
      <c r="I712" s="16">
        <f>IF(H712&lt;&gt;"","Completed",IF(TODAY()&gt;G712,"Overdue",IF(F712&lt;&gt;"","In Progress","Not Started")))</f>
        <v/>
      </c>
      <c r="J712" s="18">
        <f>IF(I712="Overdue",TODAY()-G712,0)</f>
        <v/>
      </c>
      <c r="K712" s="16" t="n"/>
      <c r="L712" s="16" t="n"/>
      <c r="M712" s="16" t="n"/>
      <c r="N712" s="16" t="n"/>
      <c r="O712" s="16" t="n"/>
    </row>
    <row r="713">
      <c r="A713" s="17" t="inlineStr">
        <is>
          <t>TRK-0710</t>
        </is>
      </c>
      <c r="B713" s="16" t="n"/>
      <c r="C713" s="16" t="n"/>
      <c r="D713" s="16" t="n"/>
      <c r="E713" s="16" t="n"/>
      <c r="F713" s="16" t="n"/>
      <c r="G713" s="16" t="n"/>
      <c r="H713" s="16" t="n"/>
      <c r="I713" s="16">
        <f>IF(H713&lt;&gt;"","Completed",IF(TODAY()&gt;G713,"Overdue",IF(F713&lt;&gt;"","In Progress","Not Started")))</f>
        <v/>
      </c>
      <c r="J713" s="18">
        <f>IF(I713="Overdue",TODAY()-G713,0)</f>
        <v/>
      </c>
      <c r="K713" s="16" t="n"/>
      <c r="L713" s="16" t="n"/>
      <c r="M713" s="16" t="n"/>
      <c r="N713" s="16" t="n"/>
      <c r="O713" s="16" t="n"/>
    </row>
    <row r="714">
      <c r="A714" s="17" t="inlineStr">
        <is>
          <t>TRK-0711</t>
        </is>
      </c>
      <c r="B714" s="16" t="n"/>
      <c r="C714" s="16" t="n"/>
      <c r="D714" s="16" t="n"/>
      <c r="E714" s="16" t="n"/>
      <c r="F714" s="16" t="n"/>
      <c r="G714" s="16" t="n"/>
      <c r="H714" s="16" t="n"/>
      <c r="I714" s="16">
        <f>IF(H714&lt;&gt;"","Completed",IF(TODAY()&gt;G714,"Overdue",IF(F714&lt;&gt;"","In Progress","Not Started")))</f>
        <v/>
      </c>
      <c r="J714" s="18">
        <f>IF(I714="Overdue",TODAY()-G714,0)</f>
        <v/>
      </c>
      <c r="K714" s="16" t="n"/>
      <c r="L714" s="16" t="n"/>
      <c r="M714" s="16" t="n"/>
      <c r="N714" s="16" t="n"/>
      <c r="O714" s="16" t="n"/>
    </row>
    <row r="715">
      <c r="A715" s="17" t="inlineStr">
        <is>
          <t>TRK-0712</t>
        </is>
      </c>
      <c r="B715" s="16" t="n"/>
      <c r="C715" s="16" t="n"/>
      <c r="D715" s="16" t="n"/>
      <c r="E715" s="16" t="n"/>
      <c r="F715" s="16" t="n"/>
      <c r="G715" s="16" t="n"/>
      <c r="H715" s="16" t="n"/>
      <c r="I715" s="16">
        <f>IF(H715&lt;&gt;"","Completed",IF(TODAY()&gt;G715,"Overdue",IF(F715&lt;&gt;"","In Progress","Not Started")))</f>
        <v/>
      </c>
      <c r="J715" s="18">
        <f>IF(I715="Overdue",TODAY()-G715,0)</f>
        <v/>
      </c>
      <c r="K715" s="16" t="n"/>
      <c r="L715" s="16" t="n"/>
      <c r="M715" s="16" t="n"/>
      <c r="N715" s="16" t="n"/>
      <c r="O715" s="16" t="n"/>
    </row>
    <row r="716">
      <c r="A716" s="17" t="inlineStr">
        <is>
          <t>TRK-0713</t>
        </is>
      </c>
      <c r="B716" s="16" t="n"/>
      <c r="C716" s="16" t="n"/>
      <c r="D716" s="16" t="n"/>
      <c r="E716" s="16" t="n"/>
      <c r="F716" s="16" t="n"/>
      <c r="G716" s="16" t="n"/>
      <c r="H716" s="16" t="n"/>
      <c r="I716" s="16">
        <f>IF(H716&lt;&gt;"","Completed",IF(TODAY()&gt;G716,"Overdue",IF(F716&lt;&gt;"","In Progress","Not Started")))</f>
        <v/>
      </c>
      <c r="J716" s="18">
        <f>IF(I716="Overdue",TODAY()-G716,0)</f>
        <v/>
      </c>
      <c r="K716" s="16" t="n"/>
      <c r="L716" s="16" t="n"/>
      <c r="M716" s="16" t="n"/>
      <c r="N716" s="16" t="n"/>
      <c r="O716" s="16" t="n"/>
    </row>
    <row r="717">
      <c r="A717" s="17" t="inlineStr">
        <is>
          <t>TRK-0714</t>
        </is>
      </c>
      <c r="B717" s="16" t="n"/>
      <c r="C717" s="16" t="n"/>
      <c r="D717" s="16" t="n"/>
      <c r="E717" s="16" t="n"/>
      <c r="F717" s="16" t="n"/>
      <c r="G717" s="16" t="n"/>
      <c r="H717" s="16" t="n"/>
      <c r="I717" s="16">
        <f>IF(H717&lt;&gt;"","Completed",IF(TODAY()&gt;G717,"Overdue",IF(F717&lt;&gt;"","In Progress","Not Started")))</f>
        <v/>
      </c>
      <c r="J717" s="18">
        <f>IF(I717="Overdue",TODAY()-G717,0)</f>
        <v/>
      </c>
      <c r="K717" s="16" t="n"/>
      <c r="L717" s="16" t="n"/>
      <c r="M717" s="16" t="n"/>
      <c r="N717" s="16" t="n"/>
      <c r="O717" s="16" t="n"/>
    </row>
    <row r="718">
      <c r="A718" s="17" t="inlineStr">
        <is>
          <t>TRK-0715</t>
        </is>
      </c>
      <c r="B718" s="16" t="n"/>
      <c r="C718" s="16" t="n"/>
      <c r="D718" s="16" t="n"/>
      <c r="E718" s="16" t="n"/>
      <c r="F718" s="16" t="n"/>
      <c r="G718" s="16" t="n"/>
      <c r="H718" s="16" t="n"/>
      <c r="I718" s="16">
        <f>IF(H718&lt;&gt;"","Completed",IF(TODAY()&gt;G718,"Overdue",IF(F718&lt;&gt;"","In Progress","Not Started")))</f>
        <v/>
      </c>
      <c r="J718" s="18">
        <f>IF(I718="Overdue",TODAY()-G718,0)</f>
        <v/>
      </c>
      <c r="K718" s="16" t="n"/>
      <c r="L718" s="16" t="n"/>
      <c r="M718" s="16" t="n"/>
      <c r="N718" s="16" t="n"/>
      <c r="O718" s="16" t="n"/>
    </row>
    <row r="719">
      <c r="A719" s="17" t="inlineStr">
        <is>
          <t>TRK-0716</t>
        </is>
      </c>
      <c r="B719" s="16" t="n"/>
      <c r="C719" s="16" t="n"/>
      <c r="D719" s="16" t="n"/>
      <c r="E719" s="16" t="n"/>
      <c r="F719" s="16" t="n"/>
      <c r="G719" s="16" t="n"/>
      <c r="H719" s="16" t="n"/>
      <c r="I719" s="16">
        <f>IF(H719&lt;&gt;"","Completed",IF(TODAY()&gt;G719,"Overdue",IF(F719&lt;&gt;"","In Progress","Not Started")))</f>
        <v/>
      </c>
      <c r="J719" s="18">
        <f>IF(I719="Overdue",TODAY()-G719,0)</f>
        <v/>
      </c>
      <c r="K719" s="16" t="n"/>
      <c r="L719" s="16" t="n"/>
      <c r="M719" s="16" t="n"/>
      <c r="N719" s="16" t="n"/>
      <c r="O719" s="16" t="n"/>
    </row>
    <row r="720">
      <c r="A720" s="17" t="inlineStr">
        <is>
          <t>TRK-0717</t>
        </is>
      </c>
      <c r="B720" s="16" t="n"/>
      <c r="C720" s="16" t="n"/>
      <c r="D720" s="16" t="n"/>
      <c r="E720" s="16" t="n"/>
      <c r="F720" s="16" t="n"/>
      <c r="G720" s="16" t="n"/>
      <c r="H720" s="16" t="n"/>
      <c r="I720" s="16">
        <f>IF(H720&lt;&gt;"","Completed",IF(TODAY()&gt;G720,"Overdue",IF(F720&lt;&gt;"","In Progress","Not Started")))</f>
        <v/>
      </c>
      <c r="J720" s="18">
        <f>IF(I720="Overdue",TODAY()-G720,0)</f>
        <v/>
      </c>
      <c r="K720" s="16" t="n"/>
      <c r="L720" s="16" t="n"/>
      <c r="M720" s="16" t="n"/>
      <c r="N720" s="16" t="n"/>
      <c r="O720" s="16" t="n"/>
    </row>
    <row r="721">
      <c r="A721" s="17" t="inlineStr">
        <is>
          <t>TRK-0718</t>
        </is>
      </c>
      <c r="B721" s="16" t="n"/>
      <c r="C721" s="16" t="n"/>
      <c r="D721" s="16" t="n"/>
      <c r="E721" s="16" t="n"/>
      <c r="F721" s="16" t="n"/>
      <c r="G721" s="16" t="n"/>
      <c r="H721" s="16" t="n"/>
      <c r="I721" s="16">
        <f>IF(H721&lt;&gt;"","Completed",IF(TODAY()&gt;G721,"Overdue",IF(F721&lt;&gt;"","In Progress","Not Started")))</f>
        <v/>
      </c>
      <c r="J721" s="18">
        <f>IF(I721="Overdue",TODAY()-G721,0)</f>
        <v/>
      </c>
      <c r="K721" s="16" t="n"/>
      <c r="L721" s="16" t="n"/>
      <c r="M721" s="16" t="n"/>
      <c r="N721" s="16" t="n"/>
      <c r="O721" s="16" t="n"/>
    </row>
    <row r="722">
      <c r="A722" s="17" t="inlineStr">
        <is>
          <t>TRK-0719</t>
        </is>
      </c>
      <c r="B722" s="16" t="n"/>
      <c r="C722" s="16" t="n"/>
      <c r="D722" s="16" t="n"/>
      <c r="E722" s="16" t="n"/>
      <c r="F722" s="16" t="n"/>
      <c r="G722" s="16" t="n"/>
      <c r="H722" s="16" t="n"/>
      <c r="I722" s="16">
        <f>IF(H722&lt;&gt;"","Completed",IF(TODAY()&gt;G722,"Overdue",IF(F722&lt;&gt;"","In Progress","Not Started")))</f>
        <v/>
      </c>
      <c r="J722" s="18">
        <f>IF(I722="Overdue",TODAY()-G722,0)</f>
        <v/>
      </c>
      <c r="K722" s="16" t="n"/>
      <c r="L722" s="16" t="n"/>
      <c r="M722" s="16" t="n"/>
      <c r="N722" s="16" t="n"/>
      <c r="O722" s="16" t="n"/>
    </row>
    <row r="723">
      <c r="A723" s="17" t="inlineStr">
        <is>
          <t>TRK-0720</t>
        </is>
      </c>
      <c r="B723" s="16" t="n"/>
      <c r="C723" s="16" t="n"/>
      <c r="D723" s="16" t="n"/>
      <c r="E723" s="16" t="n"/>
      <c r="F723" s="16" t="n"/>
      <c r="G723" s="16" t="n"/>
      <c r="H723" s="16" t="n"/>
      <c r="I723" s="16">
        <f>IF(H723&lt;&gt;"","Completed",IF(TODAY()&gt;G723,"Overdue",IF(F723&lt;&gt;"","In Progress","Not Started")))</f>
        <v/>
      </c>
      <c r="J723" s="18">
        <f>IF(I723="Overdue",TODAY()-G723,0)</f>
        <v/>
      </c>
      <c r="K723" s="16" t="n"/>
      <c r="L723" s="16" t="n"/>
      <c r="M723" s="16" t="n"/>
      <c r="N723" s="16" t="n"/>
      <c r="O723" s="16" t="n"/>
    </row>
    <row r="724">
      <c r="A724" s="17" t="inlineStr">
        <is>
          <t>TRK-0721</t>
        </is>
      </c>
      <c r="B724" s="16" t="n"/>
      <c r="C724" s="16" t="n"/>
      <c r="D724" s="16" t="n"/>
      <c r="E724" s="16" t="n"/>
      <c r="F724" s="16" t="n"/>
      <c r="G724" s="16" t="n"/>
      <c r="H724" s="16" t="n"/>
      <c r="I724" s="16">
        <f>IF(H724&lt;&gt;"","Completed",IF(TODAY()&gt;G724,"Overdue",IF(F724&lt;&gt;"","In Progress","Not Started")))</f>
        <v/>
      </c>
      <c r="J724" s="18">
        <f>IF(I724="Overdue",TODAY()-G724,0)</f>
        <v/>
      </c>
      <c r="K724" s="16" t="n"/>
      <c r="L724" s="16" t="n"/>
      <c r="M724" s="16" t="n"/>
      <c r="N724" s="16" t="n"/>
      <c r="O724" s="16" t="n"/>
    </row>
    <row r="725">
      <c r="A725" s="17" t="inlineStr">
        <is>
          <t>TRK-0722</t>
        </is>
      </c>
      <c r="B725" s="16" t="n"/>
      <c r="C725" s="16" t="n"/>
      <c r="D725" s="16" t="n"/>
      <c r="E725" s="16" t="n"/>
      <c r="F725" s="16" t="n"/>
      <c r="G725" s="16" t="n"/>
      <c r="H725" s="16" t="n"/>
      <c r="I725" s="16">
        <f>IF(H725&lt;&gt;"","Completed",IF(TODAY()&gt;G725,"Overdue",IF(F725&lt;&gt;"","In Progress","Not Started")))</f>
        <v/>
      </c>
      <c r="J725" s="18">
        <f>IF(I725="Overdue",TODAY()-G725,0)</f>
        <v/>
      </c>
      <c r="K725" s="16" t="n"/>
      <c r="L725" s="16" t="n"/>
      <c r="M725" s="16" t="n"/>
      <c r="N725" s="16" t="n"/>
      <c r="O725" s="16" t="n"/>
    </row>
    <row r="726">
      <c r="A726" s="17" t="inlineStr">
        <is>
          <t>TRK-0723</t>
        </is>
      </c>
      <c r="B726" s="16" t="n"/>
      <c r="C726" s="16" t="n"/>
      <c r="D726" s="16" t="n"/>
      <c r="E726" s="16" t="n"/>
      <c r="F726" s="16" t="n"/>
      <c r="G726" s="16" t="n"/>
      <c r="H726" s="16" t="n"/>
      <c r="I726" s="16">
        <f>IF(H726&lt;&gt;"","Completed",IF(TODAY()&gt;G726,"Overdue",IF(F726&lt;&gt;"","In Progress","Not Started")))</f>
        <v/>
      </c>
      <c r="J726" s="18">
        <f>IF(I726="Overdue",TODAY()-G726,0)</f>
        <v/>
      </c>
      <c r="K726" s="16" t="n"/>
      <c r="L726" s="16" t="n"/>
      <c r="M726" s="16" t="n"/>
      <c r="N726" s="16" t="n"/>
      <c r="O726" s="16" t="n"/>
    </row>
    <row r="727">
      <c r="A727" s="17" t="inlineStr">
        <is>
          <t>TRK-0724</t>
        </is>
      </c>
      <c r="B727" s="16" t="n"/>
      <c r="C727" s="16" t="n"/>
      <c r="D727" s="16" t="n"/>
      <c r="E727" s="16" t="n"/>
      <c r="F727" s="16" t="n"/>
      <c r="G727" s="16" t="n"/>
      <c r="H727" s="16" t="n"/>
      <c r="I727" s="16">
        <f>IF(H727&lt;&gt;"","Completed",IF(TODAY()&gt;G727,"Overdue",IF(F727&lt;&gt;"","In Progress","Not Started")))</f>
        <v/>
      </c>
      <c r="J727" s="18">
        <f>IF(I727="Overdue",TODAY()-G727,0)</f>
        <v/>
      </c>
      <c r="K727" s="16" t="n"/>
      <c r="L727" s="16" t="n"/>
      <c r="M727" s="16" t="n"/>
      <c r="N727" s="16" t="n"/>
      <c r="O727" s="16" t="n"/>
    </row>
    <row r="728">
      <c r="A728" s="17" t="inlineStr">
        <is>
          <t>TRK-0725</t>
        </is>
      </c>
      <c r="B728" s="16" t="n"/>
      <c r="C728" s="16" t="n"/>
      <c r="D728" s="16" t="n"/>
      <c r="E728" s="16" t="n"/>
      <c r="F728" s="16" t="n"/>
      <c r="G728" s="16" t="n"/>
      <c r="H728" s="16" t="n"/>
      <c r="I728" s="16">
        <f>IF(H728&lt;&gt;"","Completed",IF(TODAY()&gt;G728,"Overdue",IF(F728&lt;&gt;"","In Progress","Not Started")))</f>
        <v/>
      </c>
      <c r="J728" s="18">
        <f>IF(I728="Overdue",TODAY()-G728,0)</f>
        <v/>
      </c>
      <c r="K728" s="16" t="n"/>
      <c r="L728" s="16" t="n"/>
      <c r="M728" s="16" t="n"/>
      <c r="N728" s="16" t="n"/>
      <c r="O728" s="16" t="n"/>
    </row>
    <row r="729">
      <c r="A729" s="17" t="inlineStr">
        <is>
          <t>TRK-0726</t>
        </is>
      </c>
      <c r="B729" s="16" t="n"/>
      <c r="C729" s="16" t="n"/>
      <c r="D729" s="16" t="n"/>
      <c r="E729" s="16" t="n"/>
      <c r="F729" s="16" t="n"/>
      <c r="G729" s="16" t="n"/>
      <c r="H729" s="16" t="n"/>
      <c r="I729" s="16">
        <f>IF(H729&lt;&gt;"","Completed",IF(TODAY()&gt;G729,"Overdue",IF(F729&lt;&gt;"","In Progress","Not Started")))</f>
        <v/>
      </c>
      <c r="J729" s="18">
        <f>IF(I729="Overdue",TODAY()-G729,0)</f>
        <v/>
      </c>
      <c r="K729" s="16" t="n"/>
      <c r="L729" s="16" t="n"/>
      <c r="M729" s="16" t="n"/>
      <c r="N729" s="16" t="n"/>
      <c r="O729" s="16" t="n"/>
    </row>
    <row r="730">
      <c r="A730" s="17" t="inlineStr">
        <is>
          <t>TRK-0727</t>
        </is>
      </c>
      <c r="B730" s="16" t="n"/>
      <c r="C730" s="16" t="n"/>
      <c r="D730" s="16" t="n"/>
      <c r="E730" s="16" t="n"/>
      <c r="F730" s="16" t="n"/>
      <c r="G730" s="16" t="n"/>
      <c r="H730" s="16" t="n"/>
      <c r="I730" s="16">
        <f>IF(H730&lt;&gt;"","Completed",IF(TODAY()&gt;G730,"Overdue",IF(F730&lt;&gt;"","In Progress","Not Started")))</f>
        <v/>
      </c>
      <c r="J730" s="18">
        <f>IF(I730="Overdue",TODAY()-G730,0)</f>
        <v/>
      </c>
      <c r="K730" s="16" t="n"/>
      <c r="L730" s="16" t="n"/>
      <c r="M730" s="16" t="n"/>
      <c r="N730" s="16" t="n"/>
      <c r="O730" s="16" t="n"/>
    </row>
    <row r="731">
      <c r="A731" s="17" t="inlineStr">
        <is>
          <t>TRK-0728</t>
        </is>
      </c>
      <c r="B731" s="16" t="n"/>
      <c r="C731" s="16" t="n"/>
      <c r="D731" s="16" t="n"/>
      <c r="E731" s="16" t="n"/>
      <c r="F731" s="16" t="n"/>
      <c r="G731" s="16" t="n"/>
      <c r="H731" s="16" t="n"/>
      <c r="I731" s="16">
        <f>IF(H731&lt;&gt;"","Completed",IF(TODAY()&gt;G731,"Overdue",IF(F731&lt;&gt;"","In Progress","Not Started")))</f>
        <v/>
      </c>
      <c r="J731" s="18">
        <f>IF(I731="Overdue",TODAY()-G731,0)</f>
        <v/>
      </c>
      <c r="K731" s="16" t="n"/>
      <c r="L731" s="16" t="n"/>
      <c r="M731" s="16" t="n"/>
      <c r="N731" s="16" t="n"/>
      <c r="O731" s="16" t="n"/>
    </row>
    <row r="732">
      <c r="A732" s="17" t="inlineStr">
        <is>
          <t>TRK-0729</t>
        </is>
      </c>
      <c r="B732" s="16" t="n"/>
      <c r="C732" s="16" t="n"/>
      <c r="D732" s="16" t="n"/>
      <c r="E732" s="16" t="n"/>
      <c r="F732" s="16" t="n"/>
      <c r="G732" s="16" t="n"/>
      <c r="H732" s="16" t="n"/>
      <c r="I732" s="16">
        <f>IF(H732&lt;&gt;"","Completed",IF(TODAY()&gt;G732,"Overdue",IF(F732&lt;&gt;"","In Progress","Not Started")))</f>
        <v/>
      </c>
      <c r="J732" s="18">
        <f>IF(I732="Overdue",TODAY()-G732,0)</f>
        <v/>
      </c>
      <c r="K732" s="16" t="n"/>
      <c r="L732" s="16" t="n"/>
      <c r="M732" s="16" t="n"/>
      <c r="N732" s="16" t="n"/>
      <c r="O732" s="16" t="n"/>
    </row>
    <row r="733">
      <c r="A733" s="17" t="inlineStr">
        <is>
          <t>TRK-0730</t>
        </is>
      </c>
      <c r="B733" s="16" t="n"/>
      <c r="C733" s="16" t="n"/>
      <c r="D733" s="16" t="n"/>
      <c r="E733" s="16" t="n"/>
      <c r="F733" s="16" t="n"/>
      <c r="G733" s="16" t="n"/>
      <c r="H733" s="16" t="n"/>
      <c r="I733" s="16">
        <f>IF(H733&lt;&gt;"","Completed",IF(TODAY()&gt;G733,"Overdue",IF(F733&lt;&gt;"","In Progress","Not Started")))</f>
        <v/>
      </c>
      <c r="J733" s="18">
        <f>IF(I733="Overdue",TODAY()-G733,0)</f>
        <v/>
      </c>
      <c r="K733" s="16" t="n"/>
      <c r="L733" s="16" t="n"/>
      <c r="M733" s="16" t="n"/>
      <c r="N733" s="16" t="n"/>
      <c r="O733" s="16" t="n"/>
    </row>
    <row r="734">
      <c r="A734" s="17" t="inlineStr">
        <is>
          <t>TRK-0731</t>
        </is>
      </c>
      <c r="B734" s="16" t="n"/>
      <c r="C734" s="16" t="n"/>
      <c r="D734" s="16" t="n"/>
      <c r="E734" s="16" t="n"/>
      <c r="F734" s="16" t="n"/>
      <c r="G734" s="16" t="n"/>
      <c r="H734" s="16" t="n"/>
      <c r="I734" s="16">
        <f>IF(H734&lt;&gt;"","Completed",IF(TODAY()&gt;G734,"Overdue",IF(F734&lt;&gt;"","In Progress","Not Started")))</f>
        <v/>
      </c>
      <c r="J734" s="18">
        <f>IF(I734="Overdue",TODAY()-G734,0)</f>
        <v/>
      </c>
      <c r="K734" s="16" t="n"/>
      <c r="L734" s="16" t="n"/>
      <c r="M734" s="16" t="n"/>
      <c r="N734" s="16" t="n"/>
      <c r="O734" s="16" t="n"/>
    </row>
    <row r="735">
      <c r="A735" s="17" t="inlineStr">
        <is>
          <t>TRK-0732</t>
        </is>
      </c>
      <c r="B735" s="16" t="n"/>
      <c r="C735" s="16" t="n"/>
      <c r="D735" s="16" t="n"/>
      <c r="E735" s="16" t="n"/>
      <c r="F735" s="16" t="n"/>
      <c r="G735" s="16" t="n"/>
      <c r="H735" s="16" t="n"/>
      <c r="I735" s="16">
        <f>IF(H735&lt;&gt;"","Completed",IF(TODAY()&gt;G735,"Overdue",IF(F735&lt;&gt;"","In Progress","Not Started")))</f>
        <v/>
      </c>
      <c r="J735" s="18">
        <f>IF(I735="Overdue",TODAY()-G735,0)</f>
        <v/>
      </c>
      <c r="K735" s="16" t="n"/>
      <c r="L735" s="16" t="n"/>
      <c r="M735" s="16" t="n"/>
      <c r="N735" s="16" t="n"/>
      <c r="O735" s="16" t="n"/>
    </row>
    <row r="736">
      <c r="A736" s="17" t="inlineStr">
        <is>
          <t>TRK-0733</t>
        </is>
      </c>
      <c r="B736" s="16" t="n"/>
      <c r="C736" s="16" t="n"/>
      <c r="D736" s="16" t="n"/>
      <c r="E736" s="16" t="n"/>
      <c r="F736" s="16" t="n"/>
      <c r="G736" s="16" t="n"/>
      <c r="H736" s="16" t="n"/>
      <c r="I736" s="16">
        <f>IF(H736&lt;&gt;"","Completed",IF(TODAY()&gt;G736,"Overdue",IF(F736&lt;&gt;"","In Progress","Not Started")))</f>
        <v/>
      </c>
      <c r="J736" s="18">
        <f>IF(I736="Overdue",TODAY()-G736,0)</f>
        <v/>
      </c>
      <c r="K736" s="16" t="n"/>
      <c r="L736" s="16" t="n"/>
      <c r="M736" s="16" t="n"/>
      <c r="N736" s="16" t="n"/>
      <c r="O736" s="16" t="n"/>
    </row>
    <row r="737">
      <c r="A737" s="17" t="inlineStr">
        <is>
          <t>TRK-0734</t>
        </is>
      </c>
      <c r="B737" s="16" t="n"/>
      <c r="C737" s="16" t="n"/>
      <c r="D737" s="16" t="n"/>
      <c r="E737" s="16" t="n"/>
      <c r="F737" s="16" t="n"/>
      <c r="G737" s="16" t="n"/>
      <c r="H737" s="16" t="n"/>
      <c r="I737" s="16">
        <f>IF(H737&lt;&gt;"","Completed",IF(TODAY()&gt;G737,"Overdue",IF(F737&lt;&gt;"","In Progress","Not Started")))</f>
        <v/>
      </c>
      <c r="J737" s="18">
        <f>IF(I737="Overdue",TODAY()-G737,0)</f>
        <v/>
      </c>
      <c r="K737" s="16" t="n"/>
      <c r="L737" s="16" t="n"/>
      <c r="M737" s="16" t="n"/>
      <c r="N737" s="16" t="n"/>
      <c r="O737" s="16" t="n"/>
    </row>
    <row r="738">
      <c r="A738" s="17" t="inlineStr">
        <is>
          <t>TRK-0735</t>
        </is>
      </c>
      <c r="B738" s="16" t="n"/>
      <c r="C738" s="16" t="n"/>
      <c r="D738" s="16" t="n"/>
      <c r="E738" s="16" t="n"/>
      <c r="F738" s="16" t="n"/>
      <c r="G738" s="16" t="n"/>
      <c r="H738" s="16" t="n"/>
      <c r="I738" s="16">
        <f>IF(H738&lt;&gt;"","Completed",IF(TODAY()&gt;G738,"Overdue",IF(F738&lt;&gt;"","In Progress","Not Started")))</f>
        <v/>
      </c>
      <c r="J738" s="18">
        <f>IF(I738="Overdue",TODAY()-G738,0)</f>
        <v/>
      </c>
      <c r="K738" s="16" t="n"/>
      <c r="L738" s="16" t="n"/>
      <c r="M738" s="16" t="n"/>
      <c r="N738" s="16" t="n"/>
      <c r="O738" s="16" t="n"/>
    </row>
    <row r="739">
      <c r="A739" s="17" t="inlineStr">
        <is>
          <t>TRK-0736</t>
        </is>
      </c>
      <c r="B739" s="16" t="n"/>
      <c r="C739" s="16" t="n"/>
      <c r="D739" s="16" t="n"/>
      <c r="E739" s="16" t="n"/>
      <c r="F739" s="16" t="n"/>
      <c r="G739" s="16" t="n"/>
      <c r="H739" s="16" t="n"/>
      <c r="I739" s="16">
        <f>IF(H739&lt;&gt;"","Completed",IF(TODAY()&gt;G739,"Overdue",IF(F739&lt;&gt;"","In Progress","Not Started")))</f>
        <v/>
      </c>
      <c r="J739" s="18">
        <f>IF(I739="Overdue",TODAY()-G739,0)</f>
        <v/>
      </c>
      <c r="K739" s="16" t="n"/>
      <c r="L739" s="16" t="n"/>
      <c r="M739" s="16" t="n"/>
      <c r="N739" s="16" t="n"/>
      <c r="O739" s="16" t="n"/>
    </row>
    <row r="740">
      <c r="A740" s="17" t="inlineStr">
        <is>
          <t>TRK-0737</t>
        </is>
      </c>
      <c r="B740" s="16" t="n"/>
      <c r="C740" s="16" t="n"/>
      <c r="D740" s="16" t="n"/>
      <c r="E740" s="16" t="n"/>
      <c r="F740" s="16" t="n"/>
      <c r="G740" s="16" t="n"/>
      <c r="H740" s="16" t="n"/>
      <c r="I740" s="16">
        <f>IF(H740&lt;&gt;"","Completed",IF(TODAY()&gt;G740,"Overdue",IF(F740&lt;&gt;"","In Progress","Not Started")))</f>
        <v/>
      </c>
      <c r="J740" s="18">
        <f>IF(I740="Overdue",TODAY()-G740,0)</f>
        <v/>
      </c>
      <c r="K740" s="16" t="n"/>
      <c r="L740" s="16" t="n"/>
      <c r="M740" s="16" t="n"/>
      <c r="N740" s="16" t="n"/>
      <c r="O740" s="16" t="n"/>
    </row>
    <row r="741">
      <c r="A741" s="17" t="inlineStr">
        <is>
          <t>TRK-0738</t>
        </is>
      </c>
      <c r="B741" s="16" t="n"/>
      <c r="C741" s="16" t="n"/>
      <c r="D741" s="16" t="n"/>
      <c r="E741" s="16" t="n"/>
      <c r="F741" s="16" t="n"/>
      <c r="G741" s="16" t="n"/>
      <c r="H741" s="16" t="n"/>
      <c r="I741" s="16">
        <f>IF(H741&lt;&gt;"","Completed",IF(TODAY()&gt;G741,"Overdue",IF(F741&lt;&gt;"","In Progress","Not Started")))</f>
        <v/>
      </c>
      <c r="J741" s="18">
        <f>IF(I741="Overdue",TODAY()-G741,0)</f>
        <v/>
      </c>
      <c r="K741" s="16" t="n"/>
      <c r="L741" s="16" t="n"/>
      <c r="M741" s="16" t="n"/>
      <c r="N741" s="16" t="n"/>
      <c r="O741" s="16" t="n"/>
    </row>
    <row r="742">
      <c r="A742" s="17" t="inlineStr">
        <is>
          <t>TRK-0739</t>
        </is>
      </c>
      <c r="B742" s="16" t="n"/>
      <c r="C742" s="16" t="n"/>
      <c r="D742" s="16" t="n"/>
      <c r="E742" s="16" t="n"/>
      <c r="F742" s="16" t="n"/>
      <c r="G742" s="16" t="n"/>
      <c r="H742" s="16" t="n"/>
      <c r="I742" s="16">
        <f>IF(H742&lt;&gt;"","Completed",IF(TODAY()&gt;G742,"Overdue",IF(F742&lt;&gt;"","In Progress","Not Started")))</f>
        <v/>
      </c>
      <c r="J742" s="18">
        <f>IF(I742="Overdue",TODAY()-G742,0)</f>
        <v/>
      </c>
      <c r="K742" s="16" t="n"/>
      <c r="L742" s="16" t="n"/>
      <c r="M742" s="16" t="n"/>
      <c r="N742" s="16" t="n"/>
      <c r="O742" s="16" t="n"/>
    </row>
    <row r="743">
      <c r="A743" s="17" t="inlineStr">
        <is>
          <t>TRK-0740</t>
        </is>
      </c>
      <c r="B743" s="16" t="n"/>
      <c r="C743" s="16" t="n"/>
      <c r="D743" s="16" t="n"/>
      <c r="E743" s="16" t="n"/>
      <c r="F743" s="16" t="n"/>
      <c r="G743" s="16" t="n"/>
      <c r="H743" s="16" t="n"/>
      <c r="I743" s="16">
        <f>IF(H743&lt;&gt;"","Completed",IF(TODAY()&gt;G743,"Overdue",IF(F743&lt;&gt;"","In Progress","Not Started")))</f>
        <v/>
      </c>
      <c r="J743" s="18">
        <f>IF(I743="Overdue",TODAY()-G743,0)</f>
        <v/>
      </c>
      <c r="K743" s="16" t="n"/>
      <c r="L743" s="16" t="n"/>
      <c r="M743" s="16" t="n"/>
      <c r="N743" s="16" t="n"/>
      <c r="O743" s="16" t="n"/>
    </row>
    <row r="744">
      <c r="A744" s="17" t="inlineStr">
        <is>
          <t>TRK-0741</t>
        </is>
      </c>
      <c r="B744" s="16" t="n"/>
      <c r="C744" s="16" t="n"/>
      <c r="D744" s="16" t="n"/>
      <c r="E744" s="16" t="n"/>
      <c r="F744" s="16" t="n"/>
      <c r="G744" s="16" t="n"/>
      <c r="H744" s="16" t="n"/>
      <c r="I744" s="16">
        <f>IF(H744&lt;&gt;"","Completed",IF(TODAY()&gt;G744,"Overdue",IF(F744&lt;&gt;"","In Progress","Not Started")))</f>
        <v/>
      </c>
      <c r="J744" s="18">
        <f>IF(I744="Overdue",TODAY()-G744,0)</f>
        <v/>
      </c>
      <c r="K744" s="16" t="n"/>
      <c r="L744" s="16" t="n"/>
      <c r="M744" s="16" t="n"/>
      <c r="N744" s="16" t="n"/>
      <c r="O744" s="16" t="n"/>
    </row>
    <row r="745">
      <c r="A745" s="17" t="inlineStr">
        <is>
          <t>TRK-0742</t>
        </is>
      </c>
      <c r="B745" s="16" t="n"/>
      <c r="C745" s="16" t="n"/>
      <c r="D745" s="16" t="n"/>
      <c r="E745" s="16" t="n"/>
      <c r="F745" s="16" t="n"/>
      <c r="G745" s="16" t="n"/>
      <c r="H745" s="16" t="n"/>
      <c r="I745" s="16">
        <f>IF(H745&lt;&gt;"","Completed",IF(TODAY()&gt;G745,"Overdue",IF(F745&lt;&gt;"","In Progress","Not Started")))</f>
        <v/>
      </c>
      <c r="J745" s="18">
        <f>IF(I745="Overdue",TODAY()-G745,0)</f>
        <v/>
      </c>
      <c r="K745" s="16" t="n"/>
      <c r="L745" s="16" t="n"/>
      <c r="M745" s="16" t="n"/>
      <c r="N745" s="16" t="n"/>
      <c r="O745" s="16" t="n"/>
    </row>
    <row r="746">
      <c r="A746" s="17" t="inlineStr">
        <is>
          <t>TRK-0743</t>
        </is>
      </c>
      <c r="B746" s="16" t="n"/>
      <c r="C746" s="16" t="n"/>
      <c r="D746" s="16" t="n"/>
      <c r="E746" s="16" t="n"/>
      <c r="F746" s="16" t="n"/>
      <c r="G746" s="16" t="n"/>
      <c r="H746" s="16" t="n"/>
      <c r="I746" s="16">
        <f>IF(H746&lt;&gt;"","Completed",IF(TODAY()&gt;G746,"Overdue",IF(F746&lt;&gt;"","In Progress","Not Started")))</f>
        <v/>
      </c>
      <c r="J746" s="18">
        <f>IF(I746="Overdue",TODAY()-G746,0)</f>
        <v/>
      </c>
      <c r="K746" s="16" t="n"/>
      <c r="L746" s="16" t="n"/>
      <c r="M746" s="16" t="n"/>
      <c r="N746" s="16" t="n"/>
      <c r="O746" s="16" t="n"/>
    </row>
    <row r="747">
      <c r="A747" s="17" t="inlineStr">
        <is>
          <t>TRK-0744</t>
        </is>
      </c>
      <c r="B747" s="16" t="n"/>
      <c r="C747" s="16" t="n"/>
      <c r="D747" s="16" t="n"/>
      <c r="E747" s="16" t="n"/>
      <c r="F747" s="16" t="n"/>
      <c r="G747" s="16" t="n"/>
      <c r="H747" s="16" t="n"/>
      <c r="I747" s="16">
        <f>IF(H747&lt;&gt;"","Completed",IF(TODAY()&gt;G747,"Overdue",IF(F747&lt;&gt;"","In Progress","Not Started")))</f>
        <v/>
      </c>
      <c r="J747" s="18">
        <f>IF(I747="Overdue",TODAY()-G747,0)</f>
        <v/>
      </c>
      <c r="K747" s="16" t="n"/>
      <c r="L747" s="16" t="n"/>
      <c r="M747" s="16" t="n"/>
      <c r="N747" s="16" t="n"/>
      <c r="O747" s="16" t="n"/>
    </row>
    <row r="748">
      <c r="A748" s="17" t="inlineStr">
        <is>
          <t>TRK-0745</t>
        </is>
      </c>
      <c r="B748" s="16" t="n"/>
      <c r="C748" s="16" t="n"/>
      <c r="D748" s="16" t="n"/>
      <c r="E748" s="16" t="n"/>
      <c r="F748" s="16" t="n"/>
      <c r="G748" s="16" t="n"/>
      <c r="H748" s="16" t="n"/>
      <c r="I748" s="16">
        <f>IF(H748&lt;&gt;"","Completed",IF(TODAY()&gt;G748,"Overdue",IF(F748&lt;&gt;"","In Progress","Not Started")))</f>
        <v/>
      </c>
      <c r="J748" s="18">
        <f>IF(I748="Overdue",TODAY()-G748,0)</f>
        <v/>
      </c>
      <c r="K748" s="16" t="n"/>
      <c r="L748" s="16" t="n"/>
      <c r="M748" s="16" t="n"/>
      <c r="N748" s="16" t="n"/>
      <c r="O748" s="16" t="n"/>
    </row>
    <row r="749">
      <c r="A749" s="17" t="inlineStr">
        <is>
          <t>TRK-0746</t>
        </is>
      </c>
      <c r="B749" s="16" t="n"/>
      <c r="C749" s="16" t="n"/>
      <c r="D749" s="16" t="n"/>
      <c r="E749" s="16" t="n"/>
      <c r="F749" s="16" t="n"/>
      <c r="G749" s="16" t="n"/>
      <c r="H749" s="16" t="n"/>
      <c r="I749" s="16">
        <f>IF(H749&lt;&gt;"","Completed",IF(TODAY()&gt;G749,"Overdue",IF(F749&lt;&gt;"","In Progress","Not Started")))</f>
        <v/>
      </c>
      <c r="J749" s="18">
        <f>IF(I749="Overdue",TODAY()-G749,0)</f>
        <v/>
      </c>
      <c r="K749" s="16" t="n"/>
      <c r="L749" s="16" t="n"/>
      <c r="M749" s="16" t="n"/>
      <c r="N749" s="16" t="n"/>
      <c r="O749" s="16" t="n"/>
    </row>
    <row r="750">
      <c r="A750" s="17" t="inlineStr">
        <is>
          <t>TRK-0747</t>
        </is>
      </c>
      <c r="B750" s="16" t="n"/>
      <c r="C750" s="16" t="n"/>
      <c r="D750" s="16" t="n"/>
      <c r="E750" s="16" t="n"/>
      <c r="F750" s="16" t="n"/>
      <c r="G750" s="16" t="n"/>
      <c r="H750" s="16" t="n"/>
      <c r="I750" s="16">
        <f>IF(H750&lt;&gt;"","Completed",IF(TODAY()&gt;G750,"Overdue",IF(F750&lt;&gt;"","In Progress","Not Started")))</f>
        <v/>
      </c>
      <c r="J750" s="18">
        <f>IF(I750="Overdue",TODAY()-G750,0)</f>
        <v/>
      </c>
      <c r="K750" s="16" t="n"/>
      <c r="L750" s="16" t="n"/>
      <c r="M750" s="16" t="n"/>
      <c r="N750" s="16" t="n"/>
      <c r="O750" s="16" t="n"/>
    </row>
    <row r="751">
      <c r="A751" s="17" t="inlineStr">
        <is>
          <t>TRK-0748</t>
        </is>
      </c>
      <c r="B751" s="16" t="n"/>
      <c r="C751" s="16" t="n"/>
      <c r="D751" s="16" t="n"/>
      <c r="E751" s="16" t="n"/>
      <c r="F751" s="16" t="n"/>
      <c r="G751" s="16" t="n"/>
      <c r="H751" s="16" t="n"/>
      <c r="I751" s="16">
        <f>IF(H751&lt;&gt;"","Completed",IF(TODAY()&gt;G751,"Overdue",IF(F751&lt;&gt;"","In Progress","Not Started")))</f>
        <v/>
      </c>
      <c r="J751" s="18">
        <f>IF(I751="Overdue",TODAY()-G751,0)</f>
        <v/>
      </c>
      <c r="K751" s="16" t="n"/>
      <c r="L751" s="16" t="n"/>
      <c r="M751" s="16" t="n"/>
      <c r="N751" s="16" t="n"/>
      <c r="O751" s="16" t="n"/>
    </row>
    <row r="752">
      <c r="A752" s="17" t="inlineStr">
        <is>
          <t>TRK-0749</t>
        </is>
      </c>
      <c r="B752" s="16" t="n"/>
      <c r="C752" s="16" t="n"/>
      <c r="D752" s="16" t="n"/>
      <c r="E752" s="16" t="n"/>
      <c r="F752" s="16" t="n"/>
      <c r="G752" s="16" t="n"/>
      <c r="H752" s="16" t="n"/>
      <c r="I752" s="16">
        <f>IF(H752&lt;&gt;"","Completed",IF(TODAY()&gt;G752,"Overdue",IF(F752&lt;&gt;"","In Progress","Not Started")))</f>
        <v/>
      </c>
      <c r="J752" s="18">
        <f>IF(I752="Overdue",TODAY()-G752,0)</f>
        <v/>
      </c>
      <c r="K752" s="16" t="n"/>
      <c r="L752" s="16" t="n"/>
      <c r="M752" s="16" t="n"/>
      <c r="N752" s="16" t="n"/>
      <c r="O752" s="16" t="n"/>
    </row>
    <row r="753">
      <c r="A753" s="17" t="inlineStr">
        <is>
          <t>TRK-0750</t>
        </is>
      </c>
      <c r="B753" s="16" t="n"/>
      <c r="C753" s="16" t="n"/>
      <c r="D753" s="16" t="n"/>
      <c r="E753" s="16" t="n"/>
      <c r="F753" s="16" t="n"/>
      <c r="G753" s="16" t="n"/>
      <c r="H753" s="16" t="n"/>
      <c r="I753" s="16">
        <f>IF(H753&lt;&gt;"","Completed",IF(TODAY()&gt;G753,"Overdue",IF(F753&lt;&gt;"","In Progress","Not Started")))</f>
        <v/>
      </c>
      <c r="J753" s="18">
        <f>IF(I753="Overdue",TODAY()-G753,0)</f>
        <v/>
      </c>
      <c r="K753" s="16" t="n"/>
      <c r="L753" s="16" t="n"/>
      <c r="M753" s="16" t="n"/>
      <c r="N753" s="16" t="n"/>
      <c r="O753" s="16" t="n"/>
    </row>
    <row r="754">
      <c r="A754" s="17" t="inlineStr">
        <is>
          <t>TRK-0751</t>
        </is>
      </c>
      <c r="B754" s="16" t="n"/>
      <c r="C754" s="16" t="n"/>
      <c r="D754" s="16" t="n"/>
      <c r="E754" s="16" t="n"/>
      <c r="F754" s="16" t="n"/>
      <c r="G754" s="16" t="n"/>
      <c r="H754" s="16" t="n"/>
      <c r="I754" s="16">
        <f>IF(H754&lt;&gt;"","Completed",IF(TODAY()&gt;G754,"Overdue",IF(F754&lt;&gt;"","In Progress","Not Started")))</f>
        <v/>
      </c>
      <c r="J754" s="18">
        <f>IF(I754="Overdue",TODAY()-G754,0)</f>
        <v/>
      </c>
      <c r="K754" s="16" t="n"/>
      <c r="L754" s="16" t="n"/>
      <c r="M754" s="16" t="n"/>
      <c r="N754" s="16" t="n"/>
      <c r="O754" s="16" t="n"/>
    </row>
    <row r="755">
      <c r="A755" s="17" t="inlineStr">
        <is>
          <t>TRK-0752</t>
        </is>
      </c>
      <c r="B755" s="16" t="n"/>
      <c r="C755" s="16" t="n"/>
      <c r="D755" s="16" t="n"/>
      <c r="E755" s="16" t="n"/>
      <c r="F755" s="16" t="n"/>
      <c r="G755" s="16" t="n"/>
      <c r="H755" s="16" t="n"/>
      <c r="I755" s="16">
        <f>IF(H755&lt;&gt;"","Completed",IF(TODAY()&gt;G755,"Overdue",IF(F755&lt;&gt;"","In Progress","Not Started")))</f>
        <v/>
      </c>
      <c r="J755" s="18">
        <f>IF(I755="Overdue",TODAY()-G755,0)</f>
        <v/>
      </c>
      <c r="K755" s="16" t="n"/>
      <c r="L755" s="16" t="n"/>
      <c r="M755" s="16" t="n"/>
      <c r="N755" s="16" t="n"/>
      <c r="O755" s="16" t="n"/>
    </row>
    <row r="756">
      <c r="A756" s="17" t="inlineStr">
        <is>
          <t>TRK-0753</t>
        </is>
      </c>
      <c r="B756" s="16" t="n"/>
      <c r="C756" s="16" t="n"/>
      <c r="D756" s="16" t="n"/>
      <c r="E756" s="16" t="n"/>
      <c r="F756" s="16" t="n"/>
      <c r="G756" s="16" t="n"/>
      <c r="H756" s="16" t="n"/>
      <c r="I756" s="16">
        <f>IF(H756&lt;&gt;"","Completed",IF(TODAY()&gt;G756,"Overdue",IF(F756&lt;&gt;"","In Progress","Not Started")))</f>
        <v/>
      </c>
      <c r="J756" s="18">
        <f>IF(I756="Overdue",TODAY()-G756,0)</f>
        <v/>
      </c>
      <c r="K756" s="16" t="n"/>
      <c r="L756" s="16" t="n"/>
      <c r="M756" s="16" t="n"/>
      <c r="N756" s="16" t="n"/>
      <c r="O756" s="16" t="n"/>
    </row>
    <row r="757">
      <c r="A757" s="17" t="inlineStr">
        <is>
          <t>TRK-0754</t>
        </is>
      </c>
      <c r="B757" s="16" t="n"/>
      <c r="C757" s="16" t="n"/>
      <c r="D757" s="16" t="n"/>
      <c r="E757" s="16" t="n"/>
      <c r="F757" s="16" t="n"/>
      <c r="G757" s="16" t="n"/>
      <c r="H757" s="16" t="n"/>
      <c r="I757" s="16">
        <f>IF(H757&lt;&gt;"","Completed",IF(TODAY()&gt;G757,"Overdue",IF(F757&lt;&gt;"","In Progress","Not Started")))</f>
        <v/>
      </c>
      <c r="J757" s="18">
        <f>IF(I757="Overdue",TODAY()-G757,0)</f>
        <v/>
      </c>
      <c r="K757" s="16" t="n"/>
      <c r="L757" s="16" t="n"/>
      <c r="M757" s="16" t="n"/>
      <c r="N757" s="16" t="n"/>
      <c r="O757" s="16" t="n"/>
    </row>
    <row r="758">
      <c r="A758" s="17" t="inlineStr">
        <is>
          <t>TRK-0755</t>
        </is>
      </c>
      <c r="B758" s="16" t="n"/>
      <c r="C758" s="16" t="n"/>
      <c r="D758" s="16" t="n"/>
      <c r="E758" s="16" t="n"/>
      <c r="F758" s="16" t="n"/>
      <c r="G758" s="16" t="n"/>
      <c r="H758" s="16" t="n"/>
      <c r="I758" s="16">
        <f>IF(H758&lt;&gt;"","Completed",IF(TODAY()&gt;G758,"Overdue",IF(F758&lt;&gt;"","In Progress","Not Started")))</f>
        <v/>
      </c>
      <c r="J758" s="18">
        <f>IF(I758="Overdue",TODAY()-G758,0)</f>
        <v/>
      </c>
      <c r="K758" s="16" t="n"/>
      <c r="L758" s="16" t="n"/>
      <c r="M758" s="16" t="n"/>
      <c r="N758" s="16" t="n"/>
      <c r="O758" s="16" t="n"/>
    </row>
    <row r="759">
      <c r="A759" s="17" t="inlineStr">
        <is>
          <t>TRK-0756</t>
        </is>
      </c>
      <c r="B759" s="16" t="n"/>
      <c r="C759" s="16" t="n"/>
      <c r="D759" s="16" t="n"/>
      <c r="E759" s="16" t="n"/>
      <c r="F759" s="16" t="n"/>
      <c r="G759" s="16" t="n"/>
      <c r="H759" s="16" t="n"/>
      <c r="I759" s="16">
        <f>IF(H759&lt;&gt;"","Completed",IF(TODAY()&gt;G759,"Overdue",IF(F759&lt;&gt;"","In Progress","Not Started")))</f>
        <v/>
      </c>
      <c r="J759" s="18">
        <f>IF(I759="Overdue",TODAY()-G759,0)</f>
        <v/>
      </c>
      <c r="K759" s="16" t="n"/>
      <c r="L759" s="16" t="n"/>
      <c r="M759" s="16" t="n"/>
      <c r="N759" s="16" t="n"/>
      <c r="O759" s="16" t="n"/>
    </row>
    <row r="760">
      <c r="A760" s="17" t="inlineStr">
        <is>
          <t>TRK-0757</t>
        </is>
      </c>
      <c r="B760" s="16" t="n"/>
      <c r="C760" s="16" t="n"/>
      <c r="D760" s="16" t="n"/>
      <c r="E760" s="16" t="n"/>
      <c r="F760" s="16" t="n"/>
      <c r="G760" s="16" t="n"/>
      <c r="H760" s="16" t="n"/>
      <c r="I760" s="16">
        <f>IF(H760&lt;&gt;"","Completed",IF(TODAY()&gt;G760,"Overdue",IF(F760&lt;&gt;"","In Progress","Not Started")))</f>
        <v/>
      </c>
      <c r="J760" s="18">
        <f>IF(I760="Overdue",TODAY()-G760,0)</f>
        <v/>
      </c>
      <c r="K760" s="16" t="n"/>
      <c r="L760" s="16" t="n"/>
      <c r="M760" s="16" t="n"/>
      <c r="N760" s="16" t="n"/>
      <c r="O760" s="16" t="n"/>
    </row>
    <row r="761">
      <c r="A761" s="17" t="inlineStr">
        <is>
          <t>TRK-0758</t>
        </is>
      </c>
      <c r="B761" s="16" t="n"/>
      <c r="C761" s="16" t="n"/>
      <c r="D761" s="16" t="n"/>
      <c r="E761" s="16" t="n"/>
      <c r="F761" s="16" t="n"/>
      <c r="G761" s="16" t="n"/>
      <c r="H761" s="16" t="n"/>
      <c r="I761" s="16">
        <f>IF(H761&lt;&gt;"","Completed",IF(TODAY()&gt;G761,"Overdue",IF(F761&lt;&gt;"","In Progress","Not Started")))</f>
        <v/>
      </c>
      <c r="J761" s="18">
        <f>IF(I761="Overdue",TODAY()-G761,0)</f>
        <v/>
      </c>
      <c r="K761" s="16" t="n"/>
      <c r="L761" s="16" t="n"/>
      <c r="M761" s="16" t="n"/>
      <c r="N761" s="16" t="n"/>
      <c r="O761" s="16" t="n"/>
    </row>
    <row r="762">
      <c r="A762" s="17" t="inlineStr">
        <is>
          <t>TRK-0759</t>
        </is>
      </c>
      <c r="B762" s="16" t="n"/>
      <c r="C762" s="16" t="n"/>
      <c r="D762" s="16" t="n"/>
      <c r="E762" s="16" t="n"/>
      <c r="F762" s="16" t="n"/>
      <c r="G762" s="16" t="n"/>
      <c r="H762" s="16" t="n"/>
      <c r="I762" s="16">
        <f>IF(H762&lt;&gt;"","Completed",IF(TODAY()&gt;G762,"Overdue",IF(F762&lt;&gt;"","In Progress","Not Started")))</f>
        <v/>
      </c>
      <c r="J762" s="18">
        <f>IF(I762="Overdue",TODAY()-G762,0)</f>
        <v/>
      </c>
      <c r="K762" s="16" t="n"/>
      <c r="L762" s="16" t="n"/>
      <c r="M762" s="16" t="n"/>
      <c r="N762" s="16" t="n"/>
      <c r="O762" s="16" t="n"/>
    </row>
    <row r="763">
      <c r="A763" s="17" t="inlineStr">
        <is>
          <t>TRK-0760</t>
        </is>
      </c>
      <c r="B763" s="16" t="n"/>
      <c r="C763" s="16" t="n"/>
      <c r="D763" s="16" t="n"/>
      <c r="E763" s="16" t="n"/>
      <c r="F763" s="16" t="n"/>
      <c r="G763" s="16" t="n"/>
      <c r="H763" s="16" t="n"/>
      <c r="I763" s="16">
        <f>IF(H763&lt;&gt;"","Completed",IF(TODAY()&gt;G763,"Overdue",IF(F763&lt;&gt;"","In Progress","Not Started")))</f>
        <v/>
      </c>
      <c r="J763" s="18">
        <f>IF(I763="Overdue",TODAY()-G763,0)</f>
        <v/>
      </c>
      <c r="K763" s="16" t="n"/>
      <c r="L763" s="16" t="n"/>
      <c r="M763" s="16" t="n"/>
      <c r="N763" s="16" t="n"/>
      <c r="O763" s="16" t="n"/>
    </row>
    <row r="764">
      <c r="A764" s="17" t="inlineStr">
        <is>
          <t>TRK-0761</t>
        </is>
      </c>
      <c r="B764" s="16" t="n"/>
      <c r="C764" s="16" t="n"/>
      <c r="D764" s="16" t="n"/>
      <c r="E764" s="16" t="n"/>
      <c r="F764" s="16" t="n"/>
      <c r="G764" s="16" t="n"/>
      <c r="H764" s="16" t="n"/>
      <c r="I764" s="16">
        <f>IF(H764&lt;&gt;"","Completed",IF(TODAY()&gt;G764,"Overdue",IF(F764&lt;&gt;"","In Progress","Not Started")))</f>
        <v/>
      </c>
      <c r="J764" s="18">
        <f>IF(I764="Overdue",TODAY()-G764,0)</f>
        <v/>
      </c>
      <c r="K764" s="16" t="n"/>
      <c r="L764" s="16" t="n"/>
      <c r="M764" s="16" t="n"/>
      <c r="N764" s="16" t="n"/>
      <c r="O764" s="16" t="n"/>
    </row>
    <row r="765">
      <c r="A765" s="17" t="inlineStr">
        <is>
          <t>TRK-0762</t>
        </is>
      </c>
      <c r="B765" s="16" t="n"/>
      <c r="C765" s="16" t="n"/>
      <c r="D765" s="16" t="n"/>
      <c r="E765" s="16" t="n"/>
      <c r="F765" s="16" t="n"/>
      <c r="G765" s="16" t="n"/>
      <c r="H765" s="16" t="n"/>
      <c r="I765" s="16">
        <f>IF(H765&lt;&gt;"","Completed",IF(TODAY()&gt;G765,"Overdue",IF(F765&lt;&gt;"","In Progress","Not Started")))</f>
        <v/>
      </c>
      <c r="J765" s="18">
        <f>IF(I765="Overdue",TODAY()-G765,0)</f>
        <v/>
      </c>
      <c r="K765" s="16" t="n"/>
      <c r="L765" s="16" t="n"/>
      <c r="M765" s="16" t="n"/>
      <c r="N765" s="16" t="n"/>
      <c r="O765" s="16" t="n"/>
    </row>
    <row r="766">
      <c r="A766" s="17" t="inlineStr">
        <is>
          <t>TRK-0763</t>
        </is>
      </c>
      <c r="B766" s="16" t="n"/>
      <c r="C766" s="16" t="n"/>
      <c r="D766" s="16" t="n"/>
      <c r="E766" s="16" t="n"/>
      <c r="F766" s="16" t="n"/>
      <c r="G766" s="16" t="n"/>
      <c r="H766" s="16" t="n"/>
      <c r="I766" s="16">
        <f>IF(H766&lt;&gt;"","Completed",IF(TODAY()&gt;G766,"Overdue",IF(F766&lt;&gt;"","In Progress","Not Started")))</f>
        <v/>
      </c>
      <c r="J766" s="18">
        <f>IF(I766="Overdue",TODAY()-G766,0)</f>
        <v/>
      </c>
      <c r="K766" s="16" t="n"/>
      <c r="L766" s="16" t="n"/>
      <c r="M766" s="16" t="n"/>
      <c r="N766" s="16" t="n"/>
      <c r="O766" s="16" t="n"/>
    </row>
    <row r="767">
      <c r="A767" s="17" t="inlineStr">
        <is>
          <t>TRK-0764</t>
        </is>
      </c>
      <c r="B767" s="16" t="n"/>
      <c r="C767" s="16" t="n"/>
      <c r="D767" s="16" t="n"/>
      <c r="E767" s="16" t="n"/>
      <c r="F767" s="16" t="n"/>
      <c r="G767" s="16" t="n"/>
      <c r="H767" s="16" t="n"/>
      <c r="I767" s="16">
        <f>IF(H767&lt;&gt;"","Completed",IF(TODAY()&gt;G767,"Overdue",IF(F767&lt;&gt;"","In Progress","Not Started")))</f>
        <v/>
      </c>
      <c r="J767" s="18">
        <f>IF(I767="Overdue",TODAY()-G767,0)</f>
        <v/>
      </c>
      <c r="K767" s="16" t="n"/>
      <c r="L767" s="16" t="n"/>
      <c r="M767" s="16" t="n"/>
      <c r="N767" s="16" t="n"/>
      <c r="O767" s="16" t="n"/>
    </row>
    <row r="768">
      <c r="A768" s="17" t="inlineStr">
        <is>
          <t>TRK-0765</t>
        </is>
      </c>
      <c r="B768" s="16" t="n"/>
      <c r="C768" s="16" t="n"/>
      <c r="D768" s="16" t="n"/>
      <c r="E768" s="16" t="n"/>
      <c r="F768" s="16" t="n"/>
      <c r="G768" s="16" t="n"/>
      <c r="H768" s="16" t="n"/>
      <c r="I768" s="16">
        <f>IF(H768&lt;&gt;"","Completed",IF(TODAY()&gt;G768,"Overdue",IF(F768&lt;&gt;"","In Progress","Not Started")))</f>
        <v/>
      </c>
      <c r="J768" s="18">
        <f>IF(I768="Overdue",TODAY()-G768,0)</f>
        <v/>
      </c>
      <c r="K768" s="16" t="n"/>
      <c r="L768" s="16" t="n"/>
      <c r="M768" s="16" t="n"/>
      <c r="N768" s="16" t="n"/>
      <c r="O768" s="16" t="n"/>
    </row>
    <row r="769">
      <c r="A769" s="17" t="inlineStr">
        <is>
          <t>TRK-0766</t>
        </is>
      </c>
      <c r="B769" s="16" t="n"/>
      <c r="C769" s="16" t="n"/>
      <c r="D769" s="16" t="n"/>
      <c r="E769" s="16" t="n"/>
      <c r="F769" s="16" t="n"/>
      <c r="G769" s="16" t="n"/>
      <c r="H769" s="16" t="n"/>
      <c r="I769" s="16">
        <f>IF(H769&lt;&gt;"","Completed",IF(TODAY()&gt;G769,"Overdue",IF(F769&lt;&gt;"","In Progress","Not Started")))</f>
        <v/>
      </c>
      <c r="J769" s="18">
        <f>IF(I769="Overdue",TODAY()-G769,0)</f>
        <v/>
      </c>
      <c r="K769" s="16" t="n"/>
      <c r="L769" s="16" t="n"/>
      <c r="M769" s="16" t="n"/>
      <c r="N769" s="16" t="n"/>
      <c r="O769" s="16" t="n"/>
    </row>
    <row r="770">
      <c r="A770" s="17" t="inlineStr">
        <is>
          <t>TRK-0767</t>
        </is>
      </c>
      <c r="B770" s="16" t="n"/>
      <c r="C770" s="16" t="n"/>
      <c r="D770" s="16" t="n"/>
      <c r="E770" s="16" t="n"/>
      <c r="F770" s="16" t="n"/>
      <c r="G770" s="16" t="n"/>
      <c r="H770" s="16" t="n"/>
      <c r="I770" s="16">
        <f>IF(H770&lt;&gt;"","Completed",IF(TODAY()&gt;G770,"Overdue",IF(F770&lt;&gt;"","In Progress","Not Started")))</f>
        <v/>
      </c>
      <c r="J770" s="18">
        <f>IF(I770="Overdue",TODAY()-G770,0)</f>
        <v/>
      </c>
      <c r="K770" s="16" t="n"/>
      <c r="L770" s="16" t="n"/>
      <c r="M770" s="16" t="n"/>
      <c r="N770" s="16" t="n"/>
      <c r="O770" s="16" t="n"/>
    </row>
    <row r="771">
      <c r="A771" s="17" t="inlineStr">
        <is>
          <t>TRK-0768</t>
        </is>
      </c>
      <c r="B771" s="16" t="n"/>
      <c r="C771" s="16" t="n"/>
      <c r="D771" s="16" t="n"/>
      <c r="E771" s="16" t="n"/>
      <c r="F771" s="16" t="n"/>
      <c r="G771" s="16" t="n"/>
      <c r="H771" s="16" t="n"/>
      <c r="I771" s="16">
        <f>IF(H771&lt;&gt;"","Completed",IF(TODAY()&gt;G771,"Overdue",IF(F771&lt;&gt;"","In Progress","Not Started")))</f>
        <v/>
      </c>
      <c r="J771" s="18">
        <f>IF(I771="Overdue",TODAY()-G771,0)</f>
        <v/>
      </c>
      <c r="K771" s="16" t="n"/>
      <c r="L771" s="16" t="n"/>
      <c r="M771" s="16" t="n"/>
      <c r="N771" s="16" t="n"/>
      <c r="O771" s="16" t="n"/>
    </row>
    <row r="772">
      <c r="A772" s="17" t="inlineStr">
        <is>
          <t>TRK-0769</t>
        </is>
      </c>
      <c r="B772" s="16" t="n"/>
      <c r="C772" s="16" t="n"/>
      <c r="D772" s="16" t="n"/>
      <c r="E772" s="16" t="n"/>
      <c r="F772" s="16" t="n"/>
      <c r="G772" s="16" t="n"/>
      <c r="H772" s="16" t="n"/>
      <c r="I772" s="16">
        <f>IF(H772&lt;&gt;"","Completed",IF(TODAY()&gt;G772,"Overdue",IF(F772&lt;&gt;"","In Progress","Not Started")))</f>
        <v/>
      </c>
      <c r="J772" s="18">
        <f>IF(I772="Overdue",TODAY()-G772,0)</f>
        <v/>
      </c>
      <c r="K772" s="16" t="n"/>
      <c r="L772" s="16" t="n"/>
      <c r="M772" s="16" t="n"/>
      <c r="N772" s="16" t="n"/>
      <c r="O772" s="16" t="n"/>
    </row>
    <row r="773">
      <c r="A773" s="17" t="inlineStr">
        <is>
          <t>TRK-0770</t>
        </is>
      </c>
      <c r="B773" s="16" t="n"/>
      <c r="C773" s="16" t="n"/>
      <c r="D773" s="16" t="n"/>
      <c r="E773" s="16" t="n"/>
      <c r="F773" s="16" t="n"/>
      <c r="G773" s="16" t="n"/>
      <c r="H773" s="16" t="n"/>
      <c r="I773" s="16">
        <f>IF(H773&lt;&gt;"","Completed",IF(TODAY()&gt;G773,"Overdue",IF(F773&lt;&gt;"","In Progress","Not Started")))</f>
        <v/>
      </c>
      <c r="J773" s="18">
        <f>IF(I773="Overdue",TODAY()-G773,0)</f>
        <v/>
      </c>
      <c r="K773" s="16" t="n"/>
      <c r="L773" s="16" t="n"/>
      <c r="M773" s="16" t="n"/>
      <c r="N773" s="16" t="n"/>
      <c r="O773" s="16" t="n"/>
    </row>
    <row r="774">
      <c r="A774" s="17" t="inlineStr">
        <is>
          <t>TRK-0771</t>
        </is>
      </c>
      <c r="B774" s="16" t="n"/>
      <c r="C774" s="16" t="n"/>
      <c r="D774" s="16" t="n"/>
      <c r="E774" s="16" t="n"/>
      <c r="F774" s="16" t="n"/>
      <c r="G774" s="16" t="n"/>
      <c r="H774" s="16" t="n"/>
      <c r="I774" s="16">
        <f>IF(H774&lt;&gt;"","Completed",IF(TODAY()&gt;G774,"Overdue",IF(F774&lt;&gt;"","In Progress","Not Started")))</f>
        <v/>
      </c>
      <c r="J774" s="18">
        <f>IF(I774="Overdue",TODAY()-G774,0)</f>
        <v/>
      </c>
      <c r="K774" s="16" t="n"/>
      <c r="L774" s="16" t="n"/>
      <c r="M774" s="16" t="n"/>
      <c r="N774" s="16" t="n"/>
      <c r="O774" s="16" t="n"/>
    </row>
    <row r="775">
      <c r="A775" s="17" t="inlineStr">
        <is>
          <t>TRK-0772</t>
        </is>
      </c>
      <c r="B775" s="16" t="n"/>
      <c r="C775" s="16" t="n"/>
      <c r="D775" s="16" t="n"/>
      <c r="E775" s="16" t="n"/>
      <c r="F775" s="16" t="n"/>
      <c r="G775" s="16" t="n"/>
      <c r="H775" s="16" t="n"/>
      <c r="I775" s="16">
        <f>IF(H775&lt;&gt;"","Completed",IF(TODAY()&gt;G775,"Overdue",IF(F775&lt;&gt;"","In Progress","Not Started")))</f>
        <v/>
      </c>
      <c r="J775" s="18">
        <f>IF(I775="Overdue",TODAY()-G775,0)</f>
        <v/>
      </c>
      <c r="K775" s="16" t="n"/>
      <c r="L775" s="16" t="n"/>
      <c r="M775" s="16" t="n"/>
      <c r="N775" s="16" t="n"/>
      <c r="O775" s="16" t="n"/>
    </row>
    <row r="776">
      <c r="A776" s="17" t="inlineStr">
        <is>
          <t>TRK-0773</t>
        </is>
      </c>
      <c r="B776" s="16" t="n"/>
      <c r="C776" s="16" t="n"/>
      <c r="D776" s="16" t="n"/>
      <c r="E776" s="16" t="n"/>
      <c r="F776" s="16" t="n"/>
      <c r="G776" s="16" t="n"/>
      <c r="H776" s="16" t="n"/>
      <c r="I776" s="16">
        <f>IF(H776&lt;&gt;"","Completed",IF(TODAY()&gt;G776,"Overdue",IF(F776&lt;&gt;"","In Progress","Not Started")))</f>
        <v/>
      </c>
      <c r="J776" s="18">
        <f>IF(I776="Overdue",TODAY()-G776,0)</f>
        <v/>
      </c>
      <c r="K776" s="16" t="n"/>
      <c r="L776" s="16" t="n"/>
      <c r="M776" s="16" t="n"/>
      <c r="N776" s="16" t="n"/>
      <c r="O776" s="16" t="n"/>
    </row>
    <row r="777">
      <c r="A777" s="17" t="inlineStr">
        <is>
          <t>TRK-0774</t>
        </is>
      </c>
      <c r="B777" s="16" t="n"/>
      <c r="C777" s="16" t="n"/>
      <c r="D777" s="16" t="n"/>
      <c r="E777" s="16" t="n"/>
      <c r="F777" s="16" t="n"/>
      <c r="G777" s="16" t="n"/>
      <c r="H777" s="16" t="n"/>
      <c r="I777" s="16">
        <f>IF(H777&lt;&gt;"","Completed",IF(TODAY()&gt;G777,"Overdue",IF(F777&lt;&gt;"","In Progress","Not Started")))</f>
        <v/>
      </c>
      <c r="J777" s="18">
        <f>IF(I777="Overdue",TODAY()-G777,0)</f>
        <v/>
      </c>
      <c r="K777" s="16" t="n"/>
      <c r="L777" s="16" t="n"/>
      <c r="M777" s="16" t="n"/>
      <c r="N777" s="16" t="n"/>
      <c r="O777" s="16" t="n"/>
    </row>
    <row r="778">
      <c r="A778" s="17" t="inlineStr">
        <is>
          <t>TRK-0775</t>
        </is>
      </c>
      <c r="B778" s="16" t="n"/>
      <c r="C778" s="16" t="n"/>
      <c r="D778" s="16" t="n"/>
      <c r="E778" s="16" t="n"/>
      <c r="F778" s="16" t="n"/>
      <c r="G778" s="16" t="n"/>
      <c r="H778" s="16" t="n"/>
      <c r="I778" s="16">
        <f>IF(H778&lt;&gt;"","Completed",IF(TODAY()&gt;G778,"Overdue",IF(F778&lt;&gt;"","In Progress","Not Started")))</f>
        <v/>
      </c>
      <c r="J778" s="18">
        <f>IF(I778="Overdue",TODAY()-G778,0)</f>
        <v/>
      </c>
      <c r="K778" s="16" t="n"/>
      <c r="L778" s="16" t="n"/>
      <c r="M778" s="16" t="n"/>
      <c r="N778" s="16" t="n"/>
      <c r="O778" s="16" t="n"/>
    </row>
    <row r="779">
      <c r="A779" s="17" t="inlineStr">
        <is>
          <t>TRK-0776</t>
        </is>
      </c>
      <c r="B779" s="16" t="n"/>
      <c r="C779" s="16" t="n"/>
      <c r="D779" s="16" t="n"/>
      <c r="E779" s="16" t="n"/>
      <c r="F779" s="16" t="n"/>
      <c r="G779" s="16" t="n"/>
      <c r="H779" s="16" t="n"/>
      <c r="I779" s="16">
        <f>IF(H779&lt;&gt;"","Completed",IF(TODAY()&gt;G779,"Overdue",IF(F779&lt;&gt;"","In Progress","Not Started")))</f>
        <v/>
      </c>
      <c r="J779" s="18">
        <f>IF(I779="Overdue",TODAY()-G779,0)</f>
        <v/>
      </c>
      <c r="K779" s="16" t="n"/>
      <c r="L779" s="16" t="n"/>
      <c r="M779" s="16" t="n"/>
      <c r="N779" s="16" t="n"/>
      <c r="O779" s="16" t="n"/>
    </row>
    <row r="780">
      <c r="A780" s="17" t="inlineStr">
        <is>
          <t>TRK-0777</t>
        </is>
      </c>
      <c r="B780" s="16" t="n"/>
      <c r="C780" s="16" t="n"/>
      <c r="D780" s="16" t="n"/>
      <c r="E780" s="16" t="n"/>
      <c r="F780" s="16" t="n"/>
      <c r="G780" s="16" t="n"/>
      <c r="H780" s="16" t="n"/>
      <c r="I780" s="16">
        <f>IF(H780&lt;&gt;"","Completed",IF(TODAY()&gt;G780,"Overdue",IF(F780&lt;&gt;"","In Progress","Not Started")))</f>
        <v/>
      </c>
      <c r="J780" s="18">
        <f>IF(I780="Overdue",TODAY()-G780,0)</f>
        <v/>
      </c>
      <c r="K780" s="16" t="n"/>
      <c r="L780" s="16" t="n"/>
      <c r="M780" s="16" t="n"/>
      <c r="N780" s="16" t="n"/>
      <c r="O780" s="16" t="n"/>
    </row>
    <row r="781">
      <c r="A781" s="17" t="inlineStr">
        <is>
          <t>TRK-0778</t>
        </is>
      </c>
      <c r="B781" s="16" t="n"/>
      <c r="C781" s="16" t="n"/>
      <c r="D781" s="16" t="n"/>
      <c r="E781" s="16" t="n"/>
      <c r="F781" s="16" t="n"/>
      <c r="G781" s="16" t="n"/>
      <c r="H781" s="16" t="n"/>
      <c r="I781" s="16">
        <f>IF(H781&lt;&gt;"","Completed",IF(TODAY()&gt;G781,"Overdue",IF(F781&lt;&gt;"","In Progress","Not Started")))</f>
        <v/>
      </c>
      <c r="J781" s="18">
        <f>IF(I781="Overdue",TODAY()-G781,0)</f>
        <v/>
      </c>
      <c r="K781" s="16" t="n"/>
      <c r="L781" s="16" t="n"/>
      <c r="M781" s="16" t="n"/>
      <c r="N781" s="16" t="n"/>
      <c r="O781" s="16" t="n"/>
    </row>
    <row r="782">
      <c r="A782" s="17" t="inlineStr">
        <is>
          <t>TRK-0779</t>
        </is>
      </c>
      <c r="B782" s="16" t="n"/>
      <c r="C782" s="16" t="n"/>
      <c r="D782" s="16" t="n"/>
      <c r="E782" s="16" t="n"/>
      <c r="F782" s="16" t="n"/>
      <c r="G782" s="16" t="n"/>
      <c r="H782" s="16" t="n"/>
      <c r="I782" s="16">
        <f>IF(H782&lt;&gt;"","Completed",IF(TODAY()&gt;G782,"Overdue",IF(F782&lt;&gt;"","In Progress","Not Started")))</f>
        <v/>
      </c>
      <c r="J782" s="18">
        <f>IF(I782="Overdue",TODAY()-G782,0)</f>
        <v/>
      </c>
      <c r="K782" s="16" t="n"/>
      <c r="L782" s="16" t="n"/>
      <c r="M782" s="16" t="n"/>
      <c r="N782" s="16" t="n"/>
      <c r="O782" s="16" t="n"/>
    </row>
    <row r="783">
      <c r="A783" s="17" t="inlineStr">
        <is>
          <t>TRK-0780</t>
        </is>
      </c>
      <c r="B783" s="16" t="n"/>
      <c r="C783" s="16" t="n"/>
      <c r="D783" s="16" t="n"/>
      <c r="E783" s="16" t="n"/>
      <c r="F783" s="16" t="n"/>
      <c r="G783" s="16" t="n"/>
      <c r="H783" s="16" t="n"/>
      <c r="I783" s="16">
        <f>IF(H783&lt;&gt;"","Completed",IF(TODAY()&gt;G783,"Overdue",IF(F783&lt;&gt;"","In Progress","Not Started")))</f>
        <v/>
      </c>
      <c r="J783" s="18">
        <f>IF(I783="Overdue",TODAY()-G783,0)</f>
        <v/>
      </c>
      <c r="K783" s="16" t="n"/>
      <c r="L783" s="16" t="n"/>
      <c r="M783" s="16" t="n"/>
      <c r="N783" s="16" t="n"/>
      <c r="O783" s="16" t="n"/>
    </row>
    <row r="784">
      <c r="A784" s="17" t="inlineStr">
        <is>
          <t>TRK-0781</t>
        </is>
      </c>
      <c r="B784" s="16" t="n"/>
      <c r="C784" s="16" t="n"/>
      <c r="D784" s="16" t="n"/>
      <c r="E784" s="16" t="n"/>
      <c r="F784" s="16" t="n"/>
      <c r="G784" s="16" t="n"/>
      <c r="H784" s="16" t="n"/>
      <c r="I784" s="16">
        <f>IF(H784&lt;&gt;"","Completed",IF(TODAY()&gt;G784,"Overdue",IF(F784&lt;&gt;"","In Progress","Not Started")))</f>
        <v/>
      </c>
      <c r="J784" s="18">
        <f>IF(I784="Overdue",TODAY()-G784,0)</f>
        <v/>
      </c>
      <c r="K784" s="16" t="n"/>
      <c r="L784" s="16" t="n"/>
      <c r="M784" s="16" t="n"/>
      <c r="N784" s="16" t="n"/>
      <c r="O784" s="16" t="n"/>
    </row>
    <row r="785">
      <c r="A785" s="17" t="inlineStr">
        <is>
          <t>TRK-0782</t>
        </is>
      </c>
      <c r="B785" s="16" t="n"/>
      <c r="C785" s="16" t="n"/>
      <c r="D785" s="16" t="n"/>
      <c r="E785" s="16" t="n"/>
      <c r="F785" s="16" t="n"/>
      <c r="G785" s="16" t="n"/>
      <c r="H785" s="16" t="n"/>
      <c r="I785" s="16">
        <f>IF(H785&lt;&gt;"","Completed",IF(TODAY()&gt;G785,"Overdue",IF(F785&lt;&gt;"","In Progress","Not Started")))</f>
        <v/>
      </c>
      <c r="J785" s="18">
        <f>IF(I785="Overdue",TODAY()-G785,0)</f>
        <v/>
      </c>
      <c r="K785" s="16" t="n"/>
      <c r="L785" s="16" t="n"/>
      <c r="M785" s="16" t="n"/>
      <c r="N785" s="16" t="n"/>
      <c r="O785" s="16" t="n"/>
    </row>
    <row r="786">
      <c r="A786" s="17" t="inlineStr">
        <is>
          <t>TRK-0783</t>
        </is>
      </c>
      <c r="B786" s="16" t="n"/>
      <c r="C786" s="16" t="n"/>
      <c r="D786" s="16" t="n"/>
      <c r="E786" s="16" t="n"/>
      <c r="F786" s="16" t="n"/>
      <c r="G786" s="16" t="n"/>
      <c r="H786" s="16" t="n"/>
      <c r="I786" s="16">
        <f>IF(H786&lt;&gt;"","Completed",IF(TODAY()&gt;G786,"Overdue",IF(F786&lt;&gt;"","In Progress","Not Started")))</f>
        <v/>
      </c>
      <c r="J786" s="18">
        <f>IF(I786="Overdue",TODAY()-G786,0)</f>
        <v/>
      </c>
      <c r="K786" s="16" t="n"/>
      <c r="L786" s="16" t="n"/>
      <c r="M786" s="16" t="n"/>
      <c r="N786" s="16" t="n"/>
      <c r="O786" s="16" t="n"/>
    </row>
    <row r="787">
      <c r="A787" s="17" t="inlineStr">
        <is>
          <t>TRK-0784</t>
        </is>
      </c>
      <c r="B787" s="16" t="n"/>
      <c r="C787" s="16" t="n"/>
      <c r="D787" s="16" t="n"/>
      <c r="E787" s="16" t="n"/>
      <c r="F787" s="16" t="n"/>
      <c r="G787" s="16" t="n"/>
      <c r="H787" s="16" t="n"/>
      <c r="I787" s="16">
        <f>IF(H787&lt;&gt;"","Completed",IF(TODAY()&gt;G787,"Overdue",IF(F787&lt;&gt;"","In Progress","Not Started")))</f>
        <v/>
      </c>
      <c r="J787" s="18">
        <f>IF(I787="Overdue",TODAY()-G787,0)</f>
        <v/>
      </c>
      <c r="K787" s="16" t="n"/>
      <c r="L787" s="16" t="n"/>
      <c r="M787" s="16" t="n"/>
      <c r="N787" s="16" t="n"/>
      <c r="O787" s="16" t="n"/>
    </row>
    <row r="788">
      <c r="A788" s="17" t="inlineStr">
        <is>
          <t>TRK-0785</t>
        </is>
      </c>
      <c r="B788" s="16" t="n"/>
      <c r="C788" s="16" t="n"/>
      <c r="D788" s="16" t="n"/>
      <c r="E788" s="16" t="n"/>
      <c r="F788" s="16" t="n"/>
      <c r="G788" s="16" t="n"/>
      <c r="H788" s="16" t="n"/>
      <c r="I788" s="16">
        <f>IF(H788&lt;&gt;"","Completed",IF(TODAY()&gt;G788,"Overdue",IF(F788&lt;&gt;"","In Progress","Not Started")))</f>
        <v/>
      </c>
      <c r="J788" s="18">
        <f>IF(I788="Overdue",TODAY()-G788,0)</f>
        <v/>
      </c>
      <c r="K788" s="16" t="n"/>
      <c r="L788" s="16" t="n"/>
      <c r="M788" s="16" t="n"/>
      <c r="N788" s="16" t="n"/>
      <c r="O788" s="16" t="n"/>
    </row>
    <row r="789">
      <c r="A789" s="17" t="inlineStr">
        <is>
          <t>TRK-0786</t>
        </is>
      </c>
      <c r="B789" s="16" t="n"/>
      <c r="C789" s="16" t="n"/>
      <c r="D789" s="16" t="n"/>
      <c r="E789" s="16" t="n"/>
      <c r="F789" s="16" t="n"/>
      <c r="G789" s="16" t="n"/>
      <c r="H789" s="16" t="n"/>
      <c r="I789" s="16">
        <f>IF(H789&lt;&gt;"","Completed",IF(TODAY()&gt;G789,"Overdue",IF(F789&lt;&gt;"","In Progress","Not Started")))</f>
        <v/>
      </c>
      <c r="J789" s="18">
        <f>IF(I789="Overdue",TODAY()-G789,0)</f>
        <v/>
      </c>
      <c r="K789" s="16" t="n"/>
      <c r="L789" s="16" t="n"/>
      <c r="M789" s="16" t="n"/>
      <c r="N789" s="16" t="n"/>
      <c r="O789" s="16" t="n"/>
    </row>
    <row r="790">
      <c r="A790" s="17" t="inlineStr">
        <is>
          <t>TRK-0787</t>
        </is>
      </c>
      <c r="B790" s="16" t="n"/>
      <c r="C790" s="16" t="n"/>
      <c r="D790" s="16" t="n"/>
      <c r="E790" s="16" t="n"/>
      <c r="F790" s="16" t="n"/>
      <c r="G790" s="16" t="n"/>
      <c r="H790" s="16" t="n"/>
      <c r="I790" s="16">
        <f>IF(H790&lt;&gt;"","Completed",IF(TODAY()&gt;G790,"Overdue",IF(F790&lt;&gt;"","In Progress","Not Started")))</f>
        <v/>
      </c>
      <c r="J790" s="18">
        <f>IF(I790="Overdue",TODAY()-G790,0)</f>
        <v/>
      </c>
      <c r="K790" s="16" t="n"/>
      <c r="L790" s="16" t="n"/>
      <c r="M790" s="16" t="n"/>
      <c r="N790" s="16" t="n"/>
      <c r="O790" s="16" t="n"/>
    </row>
    <row r="791">
      <c r="A791" s="17" t="inlineStr">
        <is>
          <t>TRK-0788</t>
        </is>
      </c>
      <c r="B791" s="16" t="n"/>
      <c r="C791" s="16" t="n"/>
      <c r="D791" s="16" t="n"/>
      <c r="E791" s="16" t="n"/>
      <c r="F791" s="16" t="n"/>
      <c r="G791" s="16" t="n"/>
      <c r="H791" s="16" t="n"/>
      <c r="I791" s="16">
        <f>IF(H791&lt;&gt;"","Completed",IF(TODAY()&gt;G791,"Overdue",IF(F791&lt;&gt;"","In Progress","Not Started")))</f>
        <v/>
      </c>
      <c r="J791" s="18">
        <f>IF(I791="Overdue",TODAY()-G791,0)</f>
        <v/>
      </c>
      <c r="K791" s="16" t="n"/>
      <c r="L791" s="16" t="n"/>
      <c r="M791" s="16" t="n"/>
      <c r="N791" s="16" t="n"/>
      <c r="O791" s="16" t="n"/>
    </row>
    <row r="792">
      <c r="A792" s="17" t="inlineStr">
        <is>
          <t>TRK-0789</t>
        </is>
      </c>
      <c r="B792" s="16" t="n"/>
      <c r="C792" s="16" t="n"/>
      <c r="D792" s="16" t="n"/>
      <c r="E792" s="16" t="n"/>
      <c r="F792" s="16" t="n"/>
      <c r="G792" s="16" t="n"/>
      <c r="H792" s="16" t="n"/>
      <c r="I792" s="16">
        <f>IF(H792&lt;&gt;"","Completed",IF(TODAY()&gt;G792,"Overdue",IF(F792&lt;&gt;"","In Progress","Not Started")))</f>
        <v/>
      </c>
      <c r="J792" s="18">
        <f>IF(I792="Overdue",TODAY()-G792,0)</f>
        <v/>
      </c>
      <c r="K792" s="16" t="n"/>
      <c r="L792" s="16" t="n"/>
      <c r="M792" s="16" t="n"/>
      <c r="N792" s="16" t="n"/>
      <c r="O792" s="16" t="n"/>
    </row>
    <row r="793">
      <c r="A793" s="17" t="inlineStr">
        <is>
          <t>TRK-0790</t>
        </is>
      </c>
      <c r="B793" s="16" t="n"/>
      <c r="C793" s="16" t="n"/>
      <c r="D793" s="16" t="n"/>
      <c r="E793" s="16" t="n"/>
      <c r="F793" s="16" t="n"/>
      <c r="G793" s="16" t="n"/>
      <c r="H793" s="16" t="n"/>
      <c r="I793" s="16">
        <f>IF(H793&lt;&gt;"","Completed",IF(TODAY()&gt;G793,"Overdue",IF(F793&lt;&gt;"","In Progress","Not Started")))</f>
        <v/>
      </c>
      <c r="J793" s="18">
        <f>IF(I793="Overdue",TODAY()-G793,0)</f>
        <v/>
      </c>
      <c r="K793" s="16" t="n"/>
      <c r="L793" s="16" t="n"/>
      <c r="M793" s="16" t="n"/>
      <c r="N793" s="16" t="n"/>
      <c r="O793" s="16" t="n"/>
    </row>
    <row r="794">
      <c r="A794" s="17" t="inlineStr">
        <is>
          <t>TRK-0791</t>
        </is>
      </c>
      <c r="B794" s="16" t="n"/>
      <c r="C794" s="16" t="n"/>
      <c r="D794" s="16" t="n"/>
      <c r="E794" s="16" t="n"/>
      <c r="F794" s="16" t="n"/>
      <c r="G794" s="16" t="n"/>
      <c r="H794" s="16" t="n"/>
      <c r="I794" s="16">
        <f>IF(H794&lt;&gt;"","Completed",IF(TODAY()&gt;G794,"Overdue",IF(F794&lt;&gt;"","In Progress","Not Started")))</f>
        <v/>
      </c>
      <c r="J794" s="18">
        <f>IF(I794="Overdue",TODAY()-G794,0)</f>
        <v/>
      </c>
      <c r="K794" s="16" t="n"/>
      <c r="L794" s="16" t="n"/>
      <c r="M794" s="16" t="n"/>
      <c r="N794" s="16" t="n"/>
      <c r="O794" s="16" t="n"/>
    </row>
    <row r="795">
      <c r="A795" s="17" t="inlineStr">
        <is>
          <t>TRK-0792</t>
        </is>
      </c>
      <c r="B795" s="16" t="n"/>
      <c r="C795" s="16" t="n"/>
      <c r="D795" s="16" t="n"/>
      <c r="E795" s="16" t="n"/>
      <c r="F795" s="16" t="n"/>
      <c r="G795" s="16" t="n"/>
      <c r="H795" s="16" t="n"/>
      <c r="I795" s="16">
        <f>IF(H795&lt;&gt;"","Completed",IF(TODAY()&gt;G795,"Overdue",IF(F795&lt;&gt;"","In Progress","Not Started")))</f>
        <v/>
      </c>
      <c r="J795" s="18">
        <f>IF(I795="Overdue",TODAY()-G795,0)</f>
        <v/>
      </c>
      <c r="K795" s="16" t="n"/>
      <c r="L795" s="16" t="n"/>
      <c r="M795" s="16" t="n"/>
      <c r="N795" s="16" t="n"/>
      <c r="O795" s="16" t="n"/>
    </row>
    <row r="796">
      <c r="A796" s="17" t="inlineStr">
        <is>
          <t>TRK-0793</t>
        </is>
      </c>
      <c r="B796" s="16" t="n"/>
      <c r="C796" s="16" t="n"/>
      <c r="D796" s="16" t="n"/>
      <c r="E796" s="16" t="n"/>
      <c r="F796" s="16" t="n"/>
      <c r="G796" s="16" t="n"/>
      <c r="H796" s="16" t="n"/>
      <c r="I796" s="16">
        <f>IF(H796&lt;&gt;"","Completed",IF(TODAY()&gt;G796,"Overdue",IF(F796&lt;&gt;"","In Progress","Not Started")))</f>
        <v/>
      </c>
      <c r="J796" s="18">
        <f>IF(I796="Overdue",TODAY()-G796,0)</f>
        <v/>
      </c>
      <c r="K796" s="16" t="n"/>
      <c r="L796" s="16" t="n"/>
      <c r="M796" s="16" t="n"/>
      <c r="N796" s="16" t="n"/>
      <c r="O796" s="16" t="n"/>
    </row>
    <row r="797">
      <c r="A797" s="17" t="inlineStr">
        <is>
          <t>TRK-0794</t>
        </is>
      </c>
      <c r="B797" s="16" t="n"/>
      <c r="C797" s="16" t="n"/>
      <c r="D797" s="16" t="n"/>
      <c r="E797" s="16" t="n"/>
      <c r="F797" s="16" t="n"/>
      <c r="G797" s="16" t="n"/>
      <c r="H797" s="16" t="n"/>
      <c r="I797" s="16">
        <f>IF(H797&lt;&gt;"","Completed",IF(TODAY()&gt;G797,"Overdue",IF(F797&lt;&gt;"","In Progress","Not Started")))</f>
        <v/>
      </c>
      <c r="J797" s="18">
        <f>IF(I797="Overdue",TODAY()-G797,0)</f>
        <v/>
      </c>
      <c r="K797" s="16" t="n"/>
      <c r="L797" s="16" t="n"/>
      <c r="M797" s="16" t="n"/>
      <c r="N797" s="16" t="n"/>
      <c r="O797" s="16" t="n"/>
    </row>
    <row r="798">
      <c r="A798" s="17" t="inlineStr">
        <is>
          <t>TRK-0795</t>
        </is>
      </c>
      <c r="B798" s="16" t="n"/>
      <c r="C798" s="16" t="n"/>
      <c r="D798" s="16" t="n"/>
      <c r="E798" s="16" t="n"/>
      <c r="F798" s="16" t="n"/>
      <c r="G798" s="16" t="n"/>
      <c r="H798" s="16" t="n"/>
      <c r="I798" s="16">
        <f>IF(H798&lt;&gt;"","Completed",IF(TODAY()&gt;G798,"Overdue",IF(F798&lt;&gt;"","In Progress","Not Started")))</f>
        <v/>
      </c>
      <c r="J798" s="18">
        <f>IF(I798="Overdue",TODAY()-G798,0)</f>
        <v/>
      </c>
      <c r="K798" s="16" t="n"/>
      <c r="L798" s="16" t="n"/>
      <c r="M798" s="16" t="n"/>
      <c r="N798" s="16" t="n"/>
      <c r="O798" s="16" t="n"/>
    </row>
    <row r="799">
      <c r="A799" s="17" t="inlineStr">
        <is>
          <t>TRK-0796</t>
        </is>
      </c>
      <c r="B799" s="16" t="n"/>
      <c r="C799" s="16" t="n"/>
      <c r="D799" s="16" t="n"/>
      <c r="E799" s="16" t="n"/>
      <c r="F799" s="16" t="n"/>
      <c r="G799" s="16" t="n"/>
      <c r="H799" s="16" t="n"/>
      <c r="I799" s="16">
        <f>IF(H799&lt;&gt;"","Completed",IF(TODAY()&gt;G799,"Overdue",IF(F799&lt;&gt;"","In Progress","Not Started")))</f>
        <v/>
      </c>
      <c r="J799" s="18">
        <f>IF(I799="Overdue",TODAY()-G799,0)</f>
        <v/>
      </c>
      <c r="K799" s="16" t="n"/>
      <c r="L799" s="16" t="n"/>
      <c r="M799" s="16" t="n"/>
      <c r="N799" s="16" t="n"/>
      <c r="O799" s="16" t="n"/>
    </row>
    <row r="800">
      <c r="A800" s="17" t="inlineStr">
        <is>
          <t>TRK-0797</t>
        </is>
      </c>
      <c r="B800" s="16" t="n"/>
      <c r="C800" s="16" t="n"/>
      <c r="D800" s="16" t="n"/>
      <c r="E800" s="16" t="n"/>
      <c r="F800" s="16" t="n"/>
      <c r="G800" s="16" t="n"/>
      <c r="H800" s="16" t="n"/>
      <c r="I800" s="16">
        <f>IF(H800&lt;&gt;"","Completed",IF(TODAY()&gt;G800,"Overdue",IF(F800&lt;&gt;"","In Progress","Not Started")))</f>
        <v/>
      </c>
      <c r="J800" s="18">
        <f>IF(I800="Overdue",TODAY()-G800,0)</f>
        <v/>
      </c>
      <c r="K800" s="16" t="n"/>
      <c r="L800" s="16" t="n"/>
      <c r="M800" s="16" t="n"/>
      <c r="N800" s="16" t="n"/>
      <c r="O800" s="16" t="n"/>
    </row>
    <row r="801">
      <c r="A801" s="17" t="inlineStr">
        <is>
          <t>TRK-0798</t>
        </is>
      </c>
      <c r="B801" s="16" t="n"/>
      <c r="C801" s="16" t="n"/>
      <c r="D801" s="16" t="n"/>
      <c r="E801" s="16" t="n"/>
      <c r="F801" s="16" t="n"/>
      <c r="G801" s="16" t="n"/>
      <c r="H801" s="16" t="n"/>
      <c r="I801" s="16">
        <f>IF(H801&lt;&gt;"","Completed",IF(TODAY()&gt;G801,"Overdue",IF(F801&lt;&gt;"","In Progress","Not Started")))</f>
        <v/>
      </c>
      <c r="J801" s="18">
        <f>IF(I801="Overdue",TODAY()-G801,0)</f>
        <v/>
      </c>
      <c r="K801" s="16" t="n"/>
      <c r="L801" s="16" t="n"/>
      <c r="M801" s="16" t="n"/>
      <c r="N801" s="16" t="n"/>
      <c r="O801" s="16" t="n"/>
    </row>
    <row r="802">
      <c r="A802" s="17" t="inlineStr">
        <is>
          <t>TRK-0799</t>
        </is>
      </c>
      <c r="B802" s="16" t="n"/>
      <c r="C802" s="16" t="n"/>
      <c r="D802" s="16" t="n"/>
      <c r="E802" s="16" t="n"/>
      <c r="F802" s="16" t="n"/>
      <c r="G802" s="16" t="n"/>
      <c r="H802" s="16" t="n"/>
      <c r="I802" s="16">
        <f>IF(H802&lt;&gt;"","Completed",IF(TODAY()&gt;G802,"Overdue",IF(F802&lt;&gt;"","In Progress","Not Started")))</f>
        <v/>
      </c>
      <c r="J802" s="18">
        <f>IF(I802="Overdue",TODAY()-G802,0)</f>
        <v/>
      </c>
      <c r="K802" s="16" t="n"/>
      <c r="L802" s="16" t="n"/>
      <c r="M802" s="16" t="n"/>
      <c r="N802" s="16" t="n"/>
      <c r="O802" s="16" t="n"/>
    </row>
    <row r="803">
      <c r="A803" s="17" t="inlineStr">
        <is>
          <t>TRK-0800</t>
        </is>
      </c>
      <c r="B803" s="16" t="n"/>
      <c r="C803" s="16" t="n"/>
      <c r="D803" s="16" t="n"/>
      <c r="E803" s="16" t="n"/>
      <c r="F803" s="16" t="n"/>
      <c r="G803" s="16" t="n"/>
      <c r="H803" s="16" t="n"/>
      <c r="I803" s="16">
        <f>IF(H803&lt;&gt;"","Completed",IF(TODAY()&gt;G803,"Overdue",IF(F803&lt;&gt;"","In Progress","Not Started")))</f>
        <v/>
      </c>
      <c r="J803" s="18">
        <f>IF(I803="Overdue",TODAY()-G803,0)</f>
        <v/>
      </c>
      <c r="K803" s="16" t="n"/>
      <c r="L803" s="16" t="n"/>
      <c r="M803" s="16" t="n"/>
      <c r="N803" s="16" t="n"/>
      <c r="O803" s="16" t="n"/>
    </row>
    <row r="804">
      <c r="A804" s="17" t="inlineStr">
        <is>
          <t>TRK-0801</t>
        </is>
      </c>
      <c r="B804" s="16" t="n"/>
      <c r="C804" s="16" t="n"/>
      <c r="D804" s="16" t="n"/>
      <c r="E804" s="16" t="n"/>
      <c r="F804" s="16" t="n"/>
      <c r="G804" s="16" t="n"/>
      <c r="H804" s="16" t="n"/>
      <c r="I804" s="16">
        <f>IF(H804&lt;&gt;"","Completed",IF(TODAY()&gt;G804,"Overdue",IF(F804&lt;&gt;"","In Progress","Not Started")))</f>
        <v/>
      </c>
      <c r="J804" s="18">
        <f>IF(I804="Overdue",TODAY()-G804,0)</f>
        <v/>
      </c>
      <c r="K804" s="16" t="n"/>
      <c r="L804" s="16" t="n"/>
      <c r="M804" s="16" t="n"/>
      <c r="N804" s="16" t="n"/>
      <c r="O804" s="16" t="n"/>
    </row>
    <row r="805">
      <c r="A805" s="17" t="inlineStr">
        <is>
          <t>TRK-0802</t>
        </is>
      </c>
      <c r="B805" s="16" t="n"/>
      <c r="C805" s="16" t="n"/>
      <c r="D805" s="16" t="n"/>
      <c r="E805" s="16" t="n"/>
      <c r="F805" s="16" t="n"/>
      <c r="G805" s="16" t="n"/>
      <c r="H805" s="16" t="n"/>
      <c r="I805" s="16">
        <f>IF(H805&lt;&gt;"","Completed",IF(TODAY()&gt;G805,"Overdue",IF(F805&lt;&gt;"","In Progress","Not Started")))</f>
        <v/>
      </c>
      <c r="J805" s="18">
        <f>IF(I805="Overdue",TODAY()-G805,0)</f>
        <v/>
      </c>
      <c r="K805" s="16" t="n"/>
      <c r="L805" s="16" t="n"/>
      <c r="M805" s="16" t="n"/>
      <c r="N805" s="16" t="n"/>
      <c r="O805" s="16" t="n"/>
    </row>
    <row r="806">
      <c r="A806" s="17" t="inlineStr">
        <is>
          <t>TRK-0803</t>
        </is>
      </c>
      <c r="B806" s="16" t="n"/>
      <c r="C806" s="16" t="n"/>
      <c r="D806" s="16" t="n"/>
      <c r="E806" s="16" t="n"/>
      <c r="F806" s="16" t="n"/>
      <c r="G806" s="16" t="n"/>
      <c r="H806" s="16" t="n"/>
      <c r="I806" s="16">
        <f>IF(H806&lt;&gt;"","Completed",IF(TODAY()&gt;G806,"Overdue",IF(F806&lt;&gt;"","In Progress","Not Started")))</f>
        <v/>
      </c>
      <c r="J806" s="18">
        <f>IF(I806="Overdue",TODAY()-G806,0)</f>
        <v/>
      </c>
      <c r="K806" s="16" t="n"/>
      <c r="L806" s="16" t="n"/>
      <c r="M806" s="16" t="n"/>
      <c r="N806" s="16" t="n"/>
      <c r="O806" s="16" t="n"/>
    </row>
    <row r="807">
      <c r="A807" s="17" t="inlineStr">
        <is>
          <t>TRK-0804</t>
        </is>
      </c>
      <c r="B807" s="16" t="n"/>
      <c r="C807" s="16" t="n"/>
      <c r="D807" s="16" t="n"/>
      <c r="E807" s="16" t="n"/>
      <c r="F807" s="16" t="n"/>
      <c r="G807" s="16" t="n"/>
      <c r="H807" s="16" t="n"/>
      <c r="I807" s="16">
        <f>IF(H807&lt;&gt;"","Completed",IF(TODAY()&gt;G807,"Overdue",IF(F807&lt;&gt;"","In Progress","Not Started")))</f>
        <v/>
      </c>
      <c r="J807" s="18">
        <f>IF(I807="Overdue",TODAY()-G807,0)</f>
        <v/>
      </c>
      <c r="K807" s="16" t="n"/>
      <c r="L807" s="16" t="n"/>
      <c r="M807" s="16" t="n"/>
      <c r="N807" s="16" t="n"/>
      <c r="O807" s="16" t="n"/>
    </row>
    <row r="808">
      <c r="A808" s="17" t="inlineStr">
        <is>
          <t>TRK-0805</t>
        </is>
      </c>
      <c r="B808" s="16" t="n"/>
      <c r="C808" s="16" t="n"/>
      <c r="D808" s="16" t="n"/>
      <c r="E808" s="16" t="n"/>
      <c r="F808" s="16" t="n"/>
      <c r="G808" s="16" t="n"/>
      <c r="H808" s="16" t="n"/>
      <c r="I808" s="16">
        <f>IF(H808&lt;&gt;"","Completed",IF(TODAY()&gt;G808,"Overdue",IF(F808&lt;&gt;"","In Progress","Not Started")))</f>
        <v/>
      </c>
      <c r="J808" s="18">
        <f>IF(I808="Overdue",TODAY()-G808,0)</f>
        <v/>
      </c>
      <c r="K808" s="16" t="n"/>
      <c r="L808" s="16" t="n"/>
      <c r="M808" s="16" t="n"/>
      <c r="N808" s="16" t="n"/>
      <c r="O808" s="16" t="n"/>
    </row>
    <row r="809">
      <c r="A809" s="17" t="inlineStr">
        <is>
          <t>TRK-0806</t>
        </is>
      </c>
      <c r="B809" s="16" t="n"/>
      <c r="C809" s="16" t="n"/>
      <c r="D809" s="16" t="n"/>
      <c r="E809" s="16" t="n"/>
      <c r="F809" s="16" t="n"/>
      <c r="G809" s="16" t="n"/>
      <c r="H809" s="16" t="n"/>
      <c r="I809" s="16">
        <f>IF(H809&lt;&gt;"","Completed",IF(TODAY()&gt;G809,"Overdue",IF(F809&lt;&gt;"","In Progress","Not Started")))</f>
        <v/>
      </c>
      <c r="J809" s="18">
        <f>IF(I809="Overdue",TODAY()-G809,0)</f>
        <v/>
      </c>
      <c r="K809" s="16" t="n"/>
      <c r="L809" s="16" t="n"/>
      <c r="M809" s="16" t="n"/>
      <c r="N809" s="16" t="n"/>
      <c r="O809" s="16" t="n"/>
    </row>
    <row r="810">
      <c r="A810" s="17" t="inlineStr">
        <is>
          <t>TRK-0807</t>
        </is>
      </c>
      <c r="B810" s="16" t="n"/>
      <c r="C810" s="16" t="n"/>
      <c r="D810" s="16" t="n"/>
      <c r="E810" s="16" t="n"/>
      <c r="F810" s="16" t="n"/>
      <c r="G810" s="16" t="n"/>
      <c r="H810" s="16" t="n"/>
      <c r="I810" s="16">
        <f>IF(H810&lt;&gt;"","Completed",IF(TODAY()&gt;G810,"Overdue",IF(F810&lt;&gt;"","In Progress","Not Started")))</f>
        <v/>
      </c>
      <c r="J810" s="18">
        <f>IF(I810="Overdue",TODAY()-G810,0)</f>
        <v/>
      </c>
      <c r="K810" s="16" t="n"/>
      <c r="L810" s="16" t="n"/>
      <c r="M810" s="16" t="n"/>
      <c r="N810" s="16" t="n"/>
      <c r="O810" s="16" t="n"/>
    </row>
    <row r="811">
      <c r="A811" s="17" t="inlineStr">
        <is>
          <t>TRK-0808</t>
        </is>
      </c>
      <c r="B811" s="16" t="n"/>
      <c r="C811" s="16" t="n"/>
      <c r="D811" s="16" t="n"/>
      <c r="E811" s="16" t="n"/>
      <c r="F811" s="16" t="n"/>
      <c r="G811" s="16" t="n"/>
      <c r="H811" s="16" t="n"/>
      <c r="I811" s="16">
        <f>IF(H811&lt;&gt;"","Completed",IF(TODAY()&gt;G811,"Overdue",IF(F811&lt;&gt;"","In Progress","Not Started")))</f>
        <v/>
      </c>
      <c r="J811" s="18">
        <f>IF(I811="Overdue",TODAY()-G811,0)</f>
        <v/>
      </c>
      <c r="K811" s="16" t="n"/>
      <c r="L811" s="16" t="n"/>
      <c r="M811" s="16" t="n"/>
      <c r="N811" s="16" t="n"/>
      <c r="O811" s="16" t="n"/>
    </row>
    <row r="812">
      <c r="A812" s="17" t="inlineStr">
        <is>
          <t>TRK-0809</t>
        </is>
      </c>
      <c r="B812" s="16" t="n"/>
      <c r="C812" s="16" t="n"/>
      <c r="D812" s="16" t="n"/>
      <c r="E812" s="16" t="n"/>
      <c r="F812" s="16" t="n"/>
      <c r="G812" s="16" t="n"/>
      <c r="H812" s="16" t="n"/>
      <c r="I812" s="16">
        <f>IF(H812&lt;&gt;"","Completed",IF(TODAY()&gt;G812,"Overdue",IF(F812&lt;&gt;"","In Progress","Not Started")))</f>
        <v/>
      </c>
      <c r="J812" s="18">
        <f>IF(I812="Overdue",TODAY()-G812,0)</f>
        <v/>
      </c>
      <c r="K812" s="16" t="n"/>
      <c r="L812" s="16" t="n"/>
      <c r="M812" s="16" t="n"/>
      <c r="N812" s="16" t="n"/>
      <c r="O812" s="16" t="n"/>
    </row>
    <row r="813">
      <c r="A813" s="17" t="inlineStr">
        <is>
          <t>TRK-0810</t>
        </is>
      </c>
      <c r="B813" s="16" t="n"/>
      <c r="C813" s="16" t="n"/>
      <c r="D813" s="16" t="n"/>
      <c r="E813" s="16" t="n"/>
      <c r="F813" s="16" t="n"/>
      <c r="G813" s="16" t="n"/>
      <c r="H813" s="16" t="n"/>
      <c r="I813" s="16">
        <f>IF(H813&lt;&gt;"","Completed",IF(TODAY()&gt;G813,"Overdue",IF(F813&lt;&gt;"","In Progress","Not Started")))</f>
        <v/>
      </c>
      <c r="J813" s="18">
        <f>IF(I813="Overdue",TODAY()-G813,0)</f>
        <v/>
      </c>
      <c r="K813" s="16" t="n"/>
      <c r="L813" s="16" t="n"/>
      <c r="M813" s="16" t="n"/>
      <c r="N813" s="16" t="n"/>
      <c r="O813" s="16" t="n"/>
    </row>
    <row r="814">
      <c r="A814" s="17" t="inlineStr">
        <is>
          <t>TRK-0811</t>
        </is>
      </c>
      <c r="B814" s="16" t="n"/>
      <c r="C814" s="16" t="n"/>
      <c r="D814" s="16" t="n"/>
      <c r="E814" s="16" t="n"/>
      <c r="F814" s="16" t="n"/>
      <c r="G814" s="16" t="n"/>
      <c r="H814" s="16" t="n"/>
      <c r="I814" s="16">
        <f>IF(H814&lt;&gt;"","Completed",IF(TODAY()&gt;G814,"Overdue",IF(F814&lt;&gt;"","In Progress","Not Started")))</f>
        <v/>
      </c>
      <c r="J814" s="18">
        <f>IF(I814="Overdue",TODAY()-G814,0)</f>
        <v/>
      </c>
      <c r="K814" s="16" t="n"/>
      <c r="L814" s="16" t="n"/>
      <c r="M814" s="16" t="n"/>
      <c r="N814" s="16" t="n"/>
      <c r="O814" s="16" t="n"/>
    </row>
    <row r="815">
      <c r="A815" s="17" t="inlineStr">
        <is>
          <t>TRK-0812</t>
        </is>
      </c>
      <c r="B815" s="16" t="n"/>
      <c r="C815" s="16" t="n"/>
      <c r="D815" s="16" t="n"/>
      <c r="E815" s="16" t="n"/>
      <c r="F815" s="16" t="n"/>
      <c r="G815" s="16" t="n"/>
      <c r="H815" s="16" t="n"/>
      <c r="I815" s="16">
        <f>IF(H815&lt;&gt;"","Completed",IF(TODAY()&gt;G815,"Overdue",IF(F815&lt;&gt;"","In Progress","Not Started")))</f>
        <v/>
      </c>
      <c r="J815" s="18">
        <f>IF(I815="Overdue",TODAY()-G815,0)</f>
        <v/>
      </c>
      <c r="K815" s="16" t="n"/>
      <c r="L815" s="16" t="n"/>
      <c r="M815" s="16" t="n"/>
      <c r="N815" s="16" t="n"/>
      <c r="O815" s="16" t="n"/>
    </row>
    <row r="816">
      <c r="A816" s="17" t="inlineStr">
        <is>
          <t>TRK-0813</t>
        </is>
      </c>
      <c r="B816" s="16" t="n"/>
      <c r="C816" s="16" t="n"/>
      <c r="D816" s="16" t="n"/>
      <c r="E816" s="16" t="n"/>
      <c r="F816" s="16" t="n"/>
      <c r="G816" s="16" t="n"/>
      <c r="H816" s="16" t="n"/>
      <c r="I816" s="16">
        <f>IF(H816&lt;&gt;"","Completed",IF(TODAY()&gt;G816,"Overdue",IF(F816&lt;&gt;"","In Progress","Not Started")))</f>
        <v/>
      </c>
      <c r="J816" s="18">
        <f>IF(I816="Overdue",TODAY()-G816,0)</f>
        <v/>
      </c>
      <c r="K816" s="16" t="n"/>
      <c r="L816" s="16" t="n"/>
      <c r="M816" s="16" t="n"/>
      <c r="N816" s="16" t="n"/>
      <c r="O816" s="16" t="n"/>
    </row>
    <row r="817">
      <c r="A817" s="17" t="inlineStr">
        <is>
          <t>TRK-0814</t>
        </is>
      </c>
      <c r="B817" s="16" t="n"/>
      <c r="C817" s="16" t="n"/>
      <c r="D817" s="16" t="n"/>
      <c r="E817" s="16" t="n"/>
      <c r="F817" s="16" t="n"/>
      <c r="G817" s="16" t="n"/>
      <c r="H817" s="16" t="n"/>
      <c r="I817" s="16">
        <f>IF(H817&lt;&gt;"","Completed",IF(TODAY()&gt;G817,"Overdue",IF(F817&lt;&gt;"","In Progress","Not Started")))</f>
        <v/>
      </c>
      <c r="J817" s="18">
        <f>IF(I817="Overdue",TODAY()-G817,0)</f>
        <v/>
      </c>
      <c r="K817" s="16" t="n"/>
      <c r="L817" s="16" t="n"/>
      <c r="M817" s="16" t="n"/>
      <c r="N817" s="16" t="n"/>
      <c r="O817" s="16" t="n"/>
    </row>
    <row r="818">
      <c r="A818" s="17" t="inlineStr">
        <is>
          <t>TRK-0815</t>
        </is>
      </c>
      <c r="B818" s="16" t="n"/>
      <c r="C818" s="16" t="n"/>
      <c r="D818" s="16" t="n"/>
      <c r="E818" s="16" t="n"/>
      <c r="F818" s="16" t="n"/>
      <c r="G818" s="16" t="n"/>
      <c r="H818" s="16" t="n"/>
      <c r="I818" s="16">
        <f>IF(H818&lt;&gt;"","Completed",IF(TODAY()&gt;G818,"Overdue",IF(F818&lt;&gt;"","In Progress","Not Started")))</f>
        <v/>
      </c>
      <c r="J818" s="18">
        <f>IF(I818="Overdue",TODAY()-G818,0)</f>
        <v/>
      </c>
      <c r="K818" s="16" t="n"/>
      <c r="L818" s="16" t="n"/>
      <c r="M818" s="16" t="n"/>
      <c r="N818" s="16" t="n"/>
      <c r="O818" s="16" t="n"/>
    </row>
    <row r="819">
      <c r="A819" s="17" t="inlineStr">
        <is>
          <t>TRK-0816</t>
        </is>
      </c>
      <c r="B819" s="16" t="n"/>
      <c r="C819" s="16" t="n"/>
      <c r="D819" s="16" t="n"/>
      <c r="E819" s="16" t="n"/>
      <c r="F819" s="16" t="n"/>
      <c r="G819" s="16" t="n"/>
      <c r="H819" s="16" t="n"/>
      <c r="I819" s="16">
        <f>IF(H819&lt;&gt;"","Completed",IF(TODAY()&gt;G819,"Overdue",IF(F819&lt;&gt;"","In Progress","Not Started")))</f>
        <v/>
      </c>
      <c r="J819" s="18">
        <f>IF(I819="Overdue",TODAY()-G819,0)</f>
        <v/>
      </c>
      <c r="K819" s="16" t="n"/>
      <c r="L819" s="16" t="n"/>
      <c r="M819" s="16" t="n"/>
      <c r="N819" s="16" t="n"/>
      <c r="O819" s="16" t="n"/>
    </row>
    <row r="820">
      <c r="A820" s="17" t="inlineStr">
        <is>
          <t>TRK-0817</t>
        </is>
      </c>
      <c r="B820" s="16" t="n"/>
      <c r="C820" s="16" t="n"/>
      <c r="D820" s="16" t="n"/>
      <c r="E820" s="16" t="n"/>
      <c r="F820" s="16" t="n"/>
      <c r="G820" s="16" t="n"/>
      <c r="H820" s="16" t="n"/>
      <c r="I820" s="16">
        <f>IF(H820&lt;&gt;"","Completed",IF(TODAY()&gt;G820,"Overdue",IF(F820&lt;&gt;"","In Progress","Not Started")))</f>
        <v/>
      </c>
      <c r="J820" s="18">
        <f>IF(I820="Overdue",TODAY()-G820,0)</f>
        <v/>
      </c>
      <c r="K820" s="16" t="n"/>
      <c r="L820" s="16" t="n"/>
      <c r="M820" s="16" t="n"/>
      <c r="N820" s="16" t="n"/>
      <c r="O820" s="16" t="n"/>
    </row>
    <row r="821">
      <c r="A821" s="17" t="inlineStr">
        <is>
          <t>TRK-0818</t>
        </is>
      </c>
      <c r="B821" s="16" t="n"/>
      <c r="C821" s="16" t="n"/>
      <c r="D821" s="16" t="n"/>
      <c r="E821" s="16" t="n"/>
      <c r="F821" s="16" t="n"/>
      <c r="G821" s="16" t="n"/>
      <c r="H821" s="16" t="n"/>
      <c r="I821" s="16">
        <f>IF(H821&lt;&gt;"","Completed",IF(TODAY()&gt;G821,"Overdue",IF(F821&lt;&gt;"","In Progress","Not Started")))</f>
        <v/>
      </c>
      <c r="J821" s="18">
        <f>IF(I821="Overdue",TODAY()-G821,0)</f>
        <v/>
      </c>
      <c r="K821" s="16" t="n"/>
      <c r="L821" s="16" t="n"/>
      <c r="M821" s="16" t="n"/>
      <c r="N821" s="16" t="n"/>
      <c r="O821" s="16" t="n"/>
    </row>
    <row r="822">
      <c r="A822" s="17" t="inlineStr">
        <is>
          <t>TRK-0819</t>
        </is>
      </c>
      <c r="B822" s="16" t="n"/>
      <c r="C822" s="16" t="n"/>
      <c r="D822" s="16" t="n"/>
      <c r="E822" s="16" t="n"/>
      <c r="F822" s="16" t="n"/>
      <c r="G822" s="16" t="n"/>
      <c r="H822" s="16" t="n"/>
      <c r="I822" s="16">
        <f>IF(H822&lt;&gt;"","Completed",IF(TODAY()&gt;G822,"Overdue",IF(F822&lt;&gt;"","In Progress","Not Started")))</f>
        <v/>
      </c>
      <c r="J822" s="18">
        <f>IF(I822="Overdue",TODAY()-G822,0)</f>
        <v/>
      </c>
      <c r="K822" s="16" t="n"/>
      <c r="L822" s="16" t="n"/>
      <c r="M822" s="16" t="n"/>
      <c r="N822" s="16" t="n"/>
      <c r="O822" s="16" t="n"/>
    </row>
    <row r="823">
      <c r="A823" s="17" t="inlineStr">
        <is>
          <t>TRK-0820</t>
        </is>
      </c>
      <c r="B823" s="16" t="n"/>
      <c r="C823" s="16" t="n"/>
      <c r="D823" s="16" t="n"/>
      <c r="E823" s="16" t="n"/>
      <c r="F823" s="16" t="n"/>
      <c r="G823" s="16" t="n"/>
      <c r="H823" s="16" t="n"/>
      <c r="I823" s="16">
        <f>IF(H823&lt;&gt;"","Completed",IF(TODAY()&gt;G823,"Overdue",IF(F823&lt;&gt;"","In Progress","Not Started")))</f>
        <v/>
      </c>
      <c r="J823" s="18">
        <f>IF(I823="Overdue",TODAY()-G823,0)</f>
        <v/>
      </c>
      <c r="K823" s="16" t="n"/>
      <c r="L823" s="16" t="n"/>
      <c r="M823" s="16" t="n"/>
      <c r="N823" s="16" t="n"/>
      <c r="O823" s="16" t="n"/>
    </row>
    <row r="824">
      <c r="A824" s="17" t="inlineStr">
        <is>
          <t>TRK-0821</t>
        </is>
      </c>
      <c r="B824" s="16" t="n"/>
      <c r="C824" s="16" t="n"/>
      <c r="D824" s="16" t="n"/>
      <c r="E824" s="16" t="n"/>
      <c r="F824" s="16" t="n"/>
      <c r="G824" s="16" t="n"/>
      <c r="H824" s="16" t="n"/>
      <c r="I824" s="16">
        <f>IF(H824&lt;&gt;"","Completed",IF(TODAY()&gt;G824,"Overdue",IF(F824&lt;&gt;"","In Progress","Not Started")))</f>
        <v/>
      </c>
      <c r="J824" s="18">
        <f>IF(I824="Overdue",TODAY()-G824,0)</f>
        <v/>
      </c>
      <c r="K824" s="16" t="n"/>
      <c r="L824" s="16" t="n"/>
      <c r="M824" s="16" t="n"/>
      <c r="N824" s="16" t="n"/>
      <c r="O824" s="16" t="n"/>
    </row>
    <row r="825">
      <c r="A825" s="17" t="inlineStr">
        <is>
          <t>TRK-0822</t>
        </is>
      </c>
      <c r="B825" s="16" t="n"/>
      <c r="C825" s="16" t="n"/>
      <c r="D825" s="16" t="n"/>
      <c r="E825" s="16" t="n"/>
      <c r="F825" s="16" t="n"/>
      <c r="G825" s="16" t="n"/>
      <c r="H825" s="16" t="n"/>
      <c r="I825" s="16">
        <f>IF(H825&lt;&gt;"","Completed",IF(TODAY()&gt;G825,"Overdue",IF(F825&lt;&gt;"","In Progress","Not Started")))</f>
        <v/>
      </c>
      <c r="J825" s="18">
        <f>IF(I825="Overdue",TODAY()-G825,0)</f>
        <v/>
      </c>
      <c r="K825" s="16" t="n"/>
      <c r="L825" s="16" t="n"/>
      <c r="M825" s="16" t="n"/>
      <c r="N825" s="16" t="n"/>
      <c r="O825" s="16" t="n"/>
    </row>
    <row r="826">
      <c r="A826" s="17" t="inlineStr">
        <is>
          <t>TRK-0823</t>
        </is>
      </c>
      <c r="B826" s="16" t="n"/>
      <c r="C826" s="16" t="n"/>
      <c r="D826" s="16" t="n"/>
      <c r="E826" s="16" t="n"/>
      <c r="F826" s="16" t="n"/>
      <c r="G826" s="16" t="n"/>
      <c r="H826" s="16" t="n"/>
      <c r="I826" s="16">
        <f>IF(H826&lt;&gt;"","Completed",IF(TODAY()&gt;G826,"Overdue",IF(F826&lt;&gt;"","In Progress","Not Started")))</f>
        <v/>
      </c>
      <c r="J826" s="18">
        <f>IF(I826="Overdue",TODAY()-G826,0)</f>
        <v/>
      </c>
      <c r="K826" s="16" t="n"/>
      <c r="L826" s="16" t="n"/>
      <c r="M826" s="16" t="n"/>
      <c r="N826" s="16" t="n"/>
      <c r="O826" s="16" t="n"/>
    </row>
    <row r="827">
      <c r="A827" s="17" t="inlineStr">
        <is>
          <t>TRK-0824</t>
        </is>
      </c>
      <c r="B827" s="16" t="n"/>
      <c r="C827" s="16" t="n"/>
      <c r="D827" s="16" t="n"/>
      <c r="E827" s="16" t="n"/>
      <c r="F827" s="16" t="n"/>
      <c r="G827" s="16" t="n"/>
      <c r="H827" s="16" t="n"/>
      <c r="I827" s="16">
        <f>IF(H827&lt;&gt;"","Completed",IF(TODAY()&gt;G827,"Overdue",IF(F827&lt;&gt;"","In Progress","Not Started")))</f>
        <v/>
      </c>
      <c r="J827" s="18">
        <f>IF(I827="Overdue",TODAY()-G827,0)</f>
        <v/>
      </c>
      <c r="K827" s="16" t="n"/>
      <c r="L827" s="16" t="n"/>
      <c r="M827" s="16" t="n"/>
      <c r="N827" s="16" t="n"/>
      <c r="O827" s="16" t="n"/>
    </row>
    <row r="828">
      <c r="A828" s="17" t="inlineStr">
        <is>
          <t>TRK-0825</t>
        </is>
      </c>
      <c r="B828" s="16" t="n"/>
      <c r="C828" s="16" t="n"/>
      <c r="D828" s="16" t="n"/>
      <c r="E828" s="16" t="n"/>
      <c r="F828" s="16" t="n"/>
      <c r="G828" s="16" t="n"/>
      <c r="H828" s="16" t="n"/>
      <c r="I828" s="16">
        <f>IF(H828&lt;&gt;"","Completed",IF(TODAY()&gt;G828,"Overdue",IF(F828&lt;&gt;"","In Progress","Not Started")))</f>
        <v/>
      </c>
      <c r="J828" s="18">
        <f>IF(I828="Overdue",TODAY()-G828,0)</f>
        <v/>
      </c>
      <c r="K828" s="16" t="n"/>
      <c r="L828" s="16" t="n"/>
      <c r="M828" s="16" t="n"/>
      <c r="N828" s="16" t="n"/>
      <c r="O828" s="16" t="n"/>
    </row>
    <row r="829">
      <c r="A829" s="17" t="inlineStr">
        <is>
          <t>TRK-0826</t>
        </is>
      </c>
      <c r="B829" s="16" t="n"/>
      <c r="C829" s="16" t="n"/>
      <c r="D829" s="16" t="n"/>
      <c r="E829" s="16" t="n"/>
      <c r="F829" s="16" t="n"/>
      <c r="G829" s="16" t="n"/>
      <c r="H829" s="16" t="n"/>
      <c r="I829" s="16">
        <f>IF(H829&lt;&gt;"","Completed",IF(TODAY()&gt;G829,"Overdue",IF(F829&lt;&gt;"","In Progress","Not Started")))</f>
        <v/>
      </c>
      <c r="J829" s="18">
        <f>IF(I829="Overdue",TODAY()-G829,0)</f>
        <v/>
      </c>
      <c r="K829" s="16" t="n"/>
      <c r="L829" s="16" t="n"/>
      <c r="M829" s="16" t="n"/>
      <c r="N829" s="16" t="n"/>
      <c r="O829" s="16" t="n"/>
    </row>
    <row r="830">
      <c r="A830" s="17" t="inlineStr">
        <is>
          <t>TRK-0827</t>
        </is>
      </c>
      <c r="B830" s="16" t="n"/>
      <c r="C830" s="16" t="n"/>
      <c r="D830" s="16" t="n"/>
      <c r="E830" s="16" t="n"/>
      <c r="F830" s="16" t="n"/>
      <c r="G830" s="16" t="n"/>
      <c r="H830" s="16" t="n"/>
      <c r="I830" s="16">
        <f>IF(H830&lt;&gt;"","Completed",IF(TODAY()&gt;G830,"Overdue",IF(F830&lt;&gt;"","In Progress","Not Started")))</f>
        <v/>
      </c>
      <c r="J830" s="18">
        <f>IF(I830="Overdue",TODAY()-G830,0)</f>
        <v/>
      </c>
      <c r="K830" s="16" t="n"/>
      <c r="L830" s="16" t="n"/>
      <c r="M830" s="16" t="n"/>
      <c r="N830" s="16" t="n"/>
      <c r="O830" s="16" t="n"/>
    </row>
    <row r="831">
      <c r="A831" s="17" t="inlineStr">
        <is>
          <t>TRK-0828</t>
        </is>
      </c>
      <c r="B831" s="16" t="n"/>
      <c r="C831" s="16" t="n"/>
      <c r="D831" s="16" t="n"/>
      <c r="E831" s="16" t="n"/>
      <c r="F831" s="16" t="n"/>
      <c r="G831" s="16" t="n"/>
      <c r="H831" s="16" t="n"/>
      <c r="I831" s="16">
        <f>IF(H831&lt;&gt;"","Completed",IF(TODAY()&gt;G831,"Overdue",IF(F831&lt;&gt;"","In Progress","Not Started")))</f>
        <v/>
      </c>
      <c r="J831" s="18">
        <f>IF(I831="Overdue",TODAY()-G831,0)</f>
        <v/>
      </c>
      <c r="K831" s="16" t="n"/>
      <c r="L831" s="16" t="n"/>
      <c r="M831" s="16" t="n"/>
      <c r="N831" s="16" t="n"/>
      <c r="O831" s="16" t="n"/>
    </row>
    <row r="832">
      <c r="A832" s="17" t="inlineStr">
        <is>
          <t>TRK-0829</t>
        </is>
      </c>
      <c r="B832" s="16" t="n"/>
      <c r="C832" s="16" t="n"/>
      <c r="D832" s="16" t="n"/>
      <c r="E832" s="16" t="n"/>
      <c r="F832" s="16" t="n"/>
      <c r="G832" s="16" t="n"/>
      <c r="H832" s="16" t="n"/>
      <c r="I832" s="16">
        <f>IF(H832&lt;&gt;"","Completed",IF(TODAY()&gt;G832,"Overdue",IF(F832&lt;&gt;"","In Progress","Not Started")))</f>
        <v/>
      </c>
      <c r="J832" s="18">
        <f>IF(I832="Overdue",TODAY()-G832,0)</f>
        <v/>
      </c>
      <c r="K832" s="16" t="n"/>
      <c r="L832" s="16" t="n"/>
      <c r="M832" s="16" t="n"/>
      <c r="N832" s="16" t="n"/>
      <c r="O832" s="16" t="n"/>
    </row>
    <row r="833">
      <c r="A833" s="17" t="inlineStr">
        <is>
          <t>TRK-0830</t>
        </is>
      </c>
      <c r="B833" s="16" t="n"/>
      <c r="C833" s="16" t="n"/>
      <c r="D833" s="16" t="n"/>
      <c r="E833" s="16" t="n"/>
      <c r="F833" s="16" t="n"/>
      <c r="G833" s="16" t="n"/>
      <c r="H833" s="16" t="n"/>
      <c r="I833" s="16">
        <f>IF(H833&lt;&gt;"","Completed",IF(TODAY()&gt;G833,"Overdue",IF(F833&lt;&gt;"","In Progress","Not Started")))</f>
        <v/>
      </c>
      <c r="J833" s="18">
        <f>IF(I833="Overdue",TODAY()-G833,0)</f>
        <v/>
      </c>
      <c r="K833" s="16" t="n"/>
      <c r="L833" s="16" t="n"/>
      <c r="M833" s="16" t="n"/>
      <c r="N833" s="16" t="n"/>
      <c r="O833" s="16" t="n"/>
    </row>
    <row r="834">
      <c r="A834" s="17" t="inlineStr">
        <is>
          <t>TRK-0831</t>
        </is>
      </c>
      <c r="B834" s="16" t="n"/>
      <c r="C834" s="16" t="n"/>
      <c r="D834" s="16" t="n"/>
      <c r="E834" s="16" t="n"/>
      <c r="F834" s="16" t="n"/>
      <c r="G834" s="16" t="n"/>
      <c r="H834" s="16" t="n"/>
      <c r="I834" s="16">
        <f>IF(H834&lt;&gt;"","Completed",IF(TODAY()&gt;G834,"Overdue",IF(F834&lt;&gt;"","In Progress","Not Started")))</f>
        <v/>
      </c>
      <c r="J834" s="18">
        <f>IF(I834="Overdue",TODAY()-G834,0)</f>
        <v/>
      </c>
      <c r="K834" s="16" t="n"/>
      <c r="L834" s="16" t="n"/>
      <c r="M834" s="16" t="n"/>
      <c r="N834" s="16" t="n"/>
      <c r="O834" s="16" t="n"/>
    </row>
    <row r="835">
      <c r="A835" s="17" t="inlineStr">
        <is>
          <t>TRK-0832</t>
        </is>
      </c>
      <c r="B835" s="16" t="n"/>
      <c r="C835" s="16" t="n"/>
      <c r="D835" s="16" t="n"/>
      <c r="E835" s="16" t="n"/>
      <c r="F835" s="16" t="n"/>
      <c r="G835" s="16" t="n"/>
      <c r="H835" s="16" t="n"/>
      <c r="I835" s="16">
        <f>IF(H835&lt;&gt;"","Completed",IF(TODAY()&gt;G835,"Overdue",IF(F835&lt;&gt;"","In Progress","Not Started")))</f>
        <v/>
      </c>
      <c r="J835" s="18">
        <f>IF(I835="Overdue",TODAY()-G835,0)</f>
        <v/>
      </c>
      <c r="K835" s="16" t="n"/>
      <c r="L835" s="16" t="n"/>
      <c r="M835" s="16" t="n"/>
      <c r="N835" s="16" t="n"/>
      <c r="O835" s="16" t="n"/>
    </row>
    <row r="836">
      <c r="A836" s="17" t="inlineStr">
        <is>
          <t>TRK-0833</t>
        </is>
      </c>
      <c r="B836" s="16" t="n"/>
      <c r="C836" s="16" t="n"/>
      <c r="D836" s="16" t="n"/>
      <c r="E836" s="16" t="n"/>
      <c r="F836" s="16" t="n"/>
      <c r="G836" s="16" t="n"/>
      <c r="H836" s="16" t="n"/>
      <c r="I836" s="16">
        <f>IF(H836&lt;&gt;"","Completed",IF(TODAY()&gt;G836,"Overdue",IF(F836&lt;&gt;"","In Progress","Not Started")))</f>
        <v/>
      </c>
      <c r="J836" s="18">
        <f>IF(I836="Overdue",TODAY()-G836,0)</f>
        <v/>
      </c>
      <c r="K836" s="16" t="n"/>
      <c r="L836" s="16" t="n"/>
      <c r="M836" s="16" t="n"/>
      <c r="N836" s="16" t="n"/>
      <c r="O836" s="16" t="n"/>
    </row>
    <row r="837">
      <c r="A837" s="17" t="inlineStr">
        <is>
          <t>TRK-0834</t>
        </is>
      </c>
      <c r="B837" s="16" t="n"/>
      <c r="C837" s="16" t="n"/>
      <c r="D837" s="16" t="n"/>
      <c r="E837" s="16" t="n"/>
      <c r="F837" s="16" t="n"/>
      <c r="G837" s="16" t="n"/>
      <c r="H837" s="16" t="n"/>
      <c r="I837" s="16">
        <f>IF(H837&lt;&gt;"","Completed",IF(TODAY()&gt;G837,"Overdue",IF(F837&lt;&gt;"","In Progress","Not Started")))</f>
        <v/>
      </c>
      <c r="J837" s="18">
        <f>IF(I837="Overdue",TODAY()-G837,0)</f>
        <v/>
      </c>
      <c r="K837" s="16" t="n"/>
      <c r="L837" s="16" t="n"/>
      <c r="M837" s="16" t="n"/>
      <c r="N837" s="16" t="n"/>
      <c r="O837" s="16" t="n"/>
    </row>
    <row r="838">
      <c r="A838" s="17" t="inlineStr">
        <is>
          <t>TRK-0835</t>
        </is>
      </c>
      <c r="B838" s="16" t="n"/>
      <c r="C838" s="16" t="n"/>
      <c r="D838" s="16" t="n"/>
      <c r="E838" s="16" t="n"/>
      <c r="F838" s="16" t="n"/>
      <c r="G838" s="16" t="n"/>
      <c r="H838" s="16" t="n"/>
      <c r="I838" s="16">
        <f>IF(H838&lt;&gt;"","Completed",IF(TODAY()&gt;G838,"Overdue",IF(F838&lt;&gt;"","In Progress","Not Started")))</f>
        <v/>
      </c>
      <c r="J838" s="18">
        <f>IF(I838="Overdue",TODAY()-G838,0)</f>
        <v/>
      </c>
      <c r="K838" s="16" t="n"/>
      <c r="L838" s="16" t="n"/>
      <c r="M838" s="16" t="n"/>
      <c r="N838" s="16" t="n"/>
      <c r="O838" s="16" t="n"/>
    </row>
    <row r="839">
      <c r="A839" s="17" t="inlineStr">
        <is>
          <t>TRK-0836</t>
        </is>
      </c>
      <c r="B839" s="16" t="n"/>
      <c r="C839" s="16" t="n"/>
      <c r="D839" s="16" t="n"/>
      <c r="E839" s="16" t="n"/>
      <c r="F839" s="16" t="n"/>
      <c r="G839" s="16" t="n"/>
      <c r="H839" s="16" t="n"/>
      <c r="I839" s="16">
        <f>IF(H839&lt;&gt;"","Completed",IF(TODAY()&gt;G839,"Overdue",IF(F839&lt;&gt;"","In Progress","Not Started")))</f>
        <v/>
      </c>
      <c r="J839" s="18">
        <f>IF(I839="Overdue",TODAY()-G839,0)</f>
        <v/>
      </c>
      <c r="K839" s="16" t="n"/>
      <c r="L839" s="16" t="n"/>
      <c r="M839" s="16" t="n"/>
      <c r="N839" s="16" t="n"/>
      <c r="O839" s="16" t="n"/>
    </row>
    <row r="840">
      <c r="A840" s="17" t="inlineStr">
        <is>
          <t>TRK-0837</t>
        </is>
      </c>
      <c r="B840" s="16" t="n"/>
      <c r="C840" s="16" t="n"/>
      <c r="D840" s="16" t="n"/>
      <c r="E840" s="16" t="n"/>
      <c r="F840" s="16" t="n"/>
      <c r="G840" s="16" t="n"/>
      <c r="H840" s="16" t="n"/>
      <c r="I840" s="16">
        <f>IF(H840&lt;&gt;"","Completed",IF(TODAY()&gt;G840,"Overdue",IF(F840&lt;&gt;"","In Progress","Not Started")))</f>
        <v/>
      </c>
      <c r="J840" s="18">
        <f>IF(I840="Overdue",TODAY()-G840,0)</f>
        <v/>
      </c>
      <c r="K840" s="16" t="n"/>
      <c r="L840" s="16" t="n"/>
      <c r="M840" s="16" t="n"/>
      <c r="N840" s="16" t="n"/>
      <c r="O840" s="16" t="n"/>
    </row>
    <row r="841">
      <c r="A841" s="17" t="inlineStr">
        <is>
          <t>TRK-0838</t>
        </is>
      </c>
      <c r="B841" s="16" t="n"/>
      <c r="C841" s="16" t="n"/>
      <c r="D841" s="16" t="n"/>
      <c r="E841" s="16" t="n"/>
      <c r="F841" s="16" t="n"/>
      <c r="G841" s="16" t="n"/>
      <c r="H841" s="16" t="n"/>
      <c r="I841" s="16">
        <f>IF(H841&lt;&gt;"","Completed",IF(TODAY()&gt;G841,"Overdue",IF(F841&lt;&gt;"","In Progress","Not Started")))</f>
        <v/>
      </c>
      <c r="J841" s="18">
        <f>IF(I841="Overdue",TODAY()-G841,0)</f>
        <v/>
      </c>
      <c r="K841" s="16" t="n"/>
      <c r="L841" s="16" t="n"/>
      <c r="M841" s="16" t="n"/>
      <c r="N841" s="16" t="n"/>
      <c r="O841" s="16" t="n"/>
    </row>
    <row r="842">
      <c r="A842" s="17" t="inlineStr">
        <is>
          <t>TRK-0839</t>
        </is>
      </c>
      <c r="B842" s="16" t="n"/>
      <c r="C842" s="16" t="n"/>
      <c r="D842" s="16" t="n"/>
      <c r="E842" s="16" t="n"/>
      <c r="F842" s="16" t="n"/>
      <c r="G842" s="16" t="n"/>
      <c r="H842" s="16" t="n"/>
      <c r="I842" s="16">
        <f>IF(H842&lt;&gt;"","Completed",IF(TODAY()&gt;G842,"Overdue",IF(F842&lt;&gt;"","In Progress","Not Started")))</f>
        <v/>
      </c>
      <c r="J842" s="18">
        <f>IF(I842="Overdue",TODAY()-G842,0)</f>
        <v/>
      </c>
      <c r="K842" s="16" t="n"/>
      <c r="L842" s="16" t="n"/>
      <c r="M842" s="16" t="n"/>
      <c r="N842" s="16" t="n"/>
      <c r="O842" s="16" t="n"/>
    </row>
    <row r="843">
      <c r="A843" s="17" t="inlineStr">
        <is>
          <t>TRK-0840</t>
        </is>
      </c>
      <c r="B843" s="16" t="n"/>
      <c r="C843" s="16" t="n"/>
      <c r="D843" s="16" t="n"/>
      <c r="E843" s="16" t="n"/>
      <c r="F843" s="16" t="n"/>
      <c r="G843" s="16" t="n"/>
      <c r="H843" s="16" t="n"/>
      <c r="I843" s="16">
        <f>IF(H843&lt;&gt;"","Completed",IF(TODAY()&gt;G843,"Overdue",IF(F843&lt;&gt;"","In Progress","Not Started")))</f>
        <v/>
      </c>
      <c r="J843" s="18">
        <f>IF(I843="Overdue",TODAY()-G843,0)</f>
        <v/>
      </c>
      <c r="K843" s="16" t="n"/>
      <c r="L843" s="16" t="n"/>
      <c r="M843" s="16" t="n"/>
      <c r="N843" s="16" t="n"/>
      <c r="O843" s="16" t="n"/>
    </row>
    <row r="844">
      <c r="A844" s="17" t="inlineStr">
        <is>
          <t>TRK-0841</t>
        </is>
      </c>
      <c r="B844" s="16" t="n"/>
      <c r="C844" s="16" t="n"/>
      <c r="D844" s="16" t="n"/>
      <c r="E844" s="16" t="n"/>
      <c r="F844" s="16" t="n"/>
      <c r="G844" s="16" t="n"/>
      <c r="H844" s="16" t="n"/>
      <c r="I844" s="16">
        <f>IF(H844&lt;&gt;"","Completed",IF(TODAY()&gt;G844,"Overdue",IF(F844&lt;&gt;"","In Progress","Not Started")))</f>
        <v/>
      </c>
      <c r="J844" s="18">
        <f>IF(I844="Overdue",TODAY()-G844,0)</f>
        <v/>
      </c>
      <c r="K844" s="16" t="n"/>
      <c r="L844" s="16" t="n"/>
      <c r="M844" s="16" t="n"/>
      <c r="N844" s="16" t="n"/>
      <c r="O844" s="16" t="n"/>
    </row>
    <row r="845">
      <c r="A845" s="17" t="inlineStr">
        <is>
          <t>TRK-0842</t>
        </is>
      </c>
      <c r="B845" s="16" t="n"/>
      <c r="C845" s="16" t="n"/>
      <c r="D845" s="16" t="n"/>
      <c r="E845" s="16" t="n"/>
      <c r="F845" s="16" t="n"/>
      <c r="G845" s="16" t="n"/>
      <c r="H845" s="16" t="n"/>
      <c r="I845" s="16">
        <f>IF(H845&lt;&gt;"","Completed",IF(TODAY()&gt;G845,"Overdue",IF(F845&lt;&gt;"","In Progress","Not Started")))</f>
        <v/>
      </c>
      <c r="J845" s="18">
        <f>IF(I845="Overdue",TODAY()-G845,0)</f>
        <v/>
      </c>
      <c r="K845" s="16" t="n"/>
      <c r="L845" s="16" t="n"/>
      <c r="M845" s="16" t="n"/>
      <c r="N845" s="16" t="n"/>
      <c r="O845" s="16" t="n"/>
    </row>
    <row r="846">
      <c r="A846" s="17" t="inlineStr">
        <is>
          <t>TRK-0843</t>
        </is>
      </c>
      <c r="B846" s="16" t="n"/>
      <c r="C846" s="16" t="n"/>
      <c r="D846" s="16" t="n"/>
      <c r="E846" s="16" t="n"/>
      <c r="F846" s="16" t="n"/>
      <c r="G846" s="16" t="n"/>
      <c r="H846" s="16" t="n"/>
      <c r="I846" s="16">
        <f>IF(H846&lt;&gt;"","Completed",IF(TODAY()&gt;G846,"Overdue",IF(F846&lt;&gt;"","In Progress","Not Started")))</f>
        <v/>
      </c>
      <c r="J846" s="18">
        <f>IF(I846="Overdue",TODAY()-G846,0)</f>
        <v/>
      </c>
      <c r="K846" s="16" t="n"/>
      <c r="L846" s="16" t="n"/>
      <c r="M846" s="16" t="n"/>
      <c r="N846" s="16" t="n"/>
      <c r="O846" s="16" t="n"/>
    </row>
    <row r="847">
      <c r="A847" s="17" t="inlineStr">
        <is>
          <t>TRK-0844</t>
        </is>
      </c>
      <c r="B847" s="16" t="n"/>
      <c r="C847" s="16" t="n"/>
      <c r="D847" s="16" t="n"/>
      <c r="E847" s="16" t="n"/>
      <c r="F847" s="16" t="n"/>
      <c r="G847" s="16" t="n"/>
      <c r="H847" s="16" t="n"/>
      <c r="I847" s="16">
        <f>IF(H847&lt;&gt;"","Completed",IF(TODAY()&gt;G847,"Overdue",IF(F847&lt;&gt;"","In Progress","Not Started")))</f>
        <v/>
      </c>
      <c r="J847" s="18">
        <f>IF(I847="Overdue",TODAY()-G847,0)</f>
        <v/>
      </c>
      <c r="K847" s="16" t="n"/>
      <c r="L847" s="16" t="n"/>
      <c r="M847" s="16" t="n"/>
      <c r="N847" s="16" t="n"/>
      <c r="O847" s="16" t="n"/>
    </row>
    <row r="848">
      <c r="A848" s="17" t="inlineStr">
        <is>
          <t>TRK-0845</t>
        </is>
      </c>
      <c r="B848" s="16" t="n"/>
      <c r="C848" s="16" t="n"/>
      <c r="D848" s="16" t="n"/>
      <c r="E848" s="16" t="n"/>
      <c r="F848" s="16" t="n"/>
      <c r="G848" s="16" t="n"/>
      <c r="H848" s="16" t="n"/>
      <c r="I848" s="16">
        <f>IF(H848&lt;&gt;"","Completed",IF(TODAY()&gt;G848,"Overdue",IF(F848&lt;&gt;"","In Progress","Not Started")))</f>
        <v/>
      </c>
      <c r="J848" s="18">
        <f>IF(I848="Overdue",TODAY()-G848,0)</f>
        <v/>
      </c>
      <c r="K848" s="16" t="n"/>
      <c r="L848" s="16" t="n"/>
      <c r="M848" s="16" t="n"/>
      <c r="N848" s="16" t="n"/>
      <c r="O848" s="16" t="n"/>
    </row>
    <row r="849">
      <c r="A849" s="17" t="inlineStr">
        <is>
          <t>TRK-0846</t>
        </is>
      </c>
      <c r="B849" s="16" t="n"/>
      <c r="C849" s="16" t="n"/>
      <c r="D849" s="16" t="n"/>
      <c r="E849" s="16" t="n"/>
      <c r="F849" s="16" t="n"/>
      <c r="G849" s="16" t="n"/>
      <c r="H849" s="16" t="n"/>
      <c r="I849" s="16">
        <f>IF(H849&lt;&gt;"","Completed",IF(TODAY()&gt;G849,"Overdue",IF(F849&lt;&gt;"","In Progress","Not Started")))</f>
        <v/>
      </c>
      <c r="J849" s="18">
        <f>IF(I849="Overdue",TODAY()-G849,0)</f>
        <v/>
      </c>
      <c r="K849" s="16" t="n"/>
      <c r="L849" s="16" t="n"/>
      <c r="M849" s="16" t="n"/>
      <c r="N849" s="16" t="n"/>
      <c r="O849" s="16" t="n"/>
    </row>
    <row r="850">
      <c r="A850" s="17" t="inlineStr">
        <is>
          <t>TRK-0847</t>
        </is>
      </c>
      <c r="B850" s="16" t="n"/>
      <c r="C850" s="16" t="n"/>
      <c r="D850" s="16" t="n"/>
      <c r="E850" s="16" t="n"/>
      <c r="F850" s="16" t="n"/>
      <c r="G850" s="16" t="n"/>
      <c r="H850" s="16" t="n"/>
      <c r="I850" s="16">
        <f>IF(H850&lt;&gt;"","Completed",IF(TODAY()&gt;G850,"Overdue",IF(F850&lt;&gt;"","In Progress","Not Started")))</f>
        <v/>
      </c>
      <c r="J850" s="18">
        <f>IF(I850="Overdue",TODAY()-G850,0)</f>
        <v/>
      </c>
      <c r="K850" s="16" t="n"/>
      <c r="L850" s="16" t="n"/>
      <c r="M850" s="16" t="n"/>
      <c r="N850" s="16" t="n"/>
      <c r="O850" s="16" t="n"/>
    </row>
    <row r="851">
      <c r="A851" s="17" t="inlineStr">
        <is>
          <t>TRK-0848</t>
        </is>
      </c>
      <c r="B851" s="16" t="n"/>
      <c r="C851" s="16" t="n"/>
      <c r="D851" s="16" t="n"/>
      <c r="E851" s="16" t="n"/>
      <c r="F851" s="16" t="n"/>
      <c r="G851" s="16" t="n"/>
      <c r="H851" s="16" t="n"/>
      <c r="I851" s="16">
        <f>IF(H851&lt;&gt;"","Completed",IF(TODAY()&gt;G851,"Overdue",IF(F851&lt;&gt;"","In Progress","Not Started")))</f>
        <v/>
      </c>
      <c r="J851" s="18">
        <f>IF(I851="Overdue",TODAY()-G851,0)</f>
        <v/>
      </c>
      <c r="K851" s="16" t="n"/>
      <c r="L851" s="16" t="n"/>
      <c r="M851" s="16" t="n"/>
      <c r="N851" s="16" t="n"/>
      <c r="O851" s="16" t="n"/>
    </row>
    <row r="852">
      <c r="A852" s="17" t="inlineStr">
        <is>
          <t>TRK-0849</t>
        </is>
      </c>
      <c r="B852" s="16" t="n"/>
      <c r="C852" s="16" t="n"/>
      <c r="D852" s="16" t="n"/>
      <c r="E852" s="16" t="n"/>
      <c r="F852" s="16" t="n"/>
      <c r="G852" s="16" t="n"/>
      <c r="H852" s="16" t="n"/>
      <c r="I852" s="16">
        <f>IF(H852&lt;&gt;"","Completed",IF(TODAY()&gt;G852,"Overdue",IF(F852&lt;&gt;"","In Progress","Not Started")))</f>
        <v/>
      </c>
      <c r="J852" s="18">
        <f>IF(I852="Overdue",TODAY()-G852,0)</f>
        <v/>
      </c>
      <c r="K852" s="16" t="n"/>
      <c r="L852" s="16" t="n"/>
      <c r="M852" s="16" t="n"/>
      <c r="N852" s="16" t="n"/>
      <c r="O852" s="16" t="n"/>
    </row>
    <row r="853">
      <c r="A853" s="17" t="inlineStr">
        <is>
          <t>TRK-0850</t>
        </is>
      </c>
      <c r="B853" s="16" t="n"/>
      <c r="C853" s="16" t="n"/>
      <c r="D853" s="16" t="n"/>
      <c r="E853" s="16" t="n"/>
      <c r="F853" s="16" t="n"/>
      <c r="G853" s="16" t="n"/>
      <c r="H853" s="16" t="n"/>
      <c r="I853" s="16">
        <f>IF(H853&lt;&gt;"","Completed",IF(TODAY()&gt;G853,"Overdue",IF(F853&lt;&gt;"","In Progress","Not Started")))</f>
        <v/>
      </c>
      <c r="J853" s="18">
        <f>IF(I853="Overdue",TODAY()-G853,0)</f>
        <v/>
      </c>
      <c r="K853" s="16" t="n"/>
      <c r="L853" s="16" t="n"/>
      <c r="M853" s="16" t="n"/>
      <c r="N853" s="16" t="n"/>
      <c r="O853" s="16" t="n"/>
    </row>
    <row r="854">
      <c r="A854" s="17" t="inlineStr">
        <is>
          <t>TRK-0851</t>
        </is>
      </c>
      <c r="B854" s="16" t="n"/>
      <c r="C854" s="16" t="n"/>
      <c r="D854" s="16" t="n"/>
      <c r="E854" s="16" t="n"/>
      <c r="F854" s="16" t="n"/>
      <c r="G854" s="16" t="n"/>
      <c r="H854" s="16" t="n"/>
      <c r="I854" s="16">
        <f>IF(H854&lt;&gt;"","Completed",IF(TODAY()&gt;G854,"Overdue",IF(F854&lt;&gt;"","In Progress","Not Started")))</f>
        <v/>
      </c>
      <c r="J854" s="18">
        <f>IF(I854="Overdue",TODAY()-G854,0)</f>
        <v/>
      </c>
      <c r="K854" s="16" t="n"/>
      <c r="L854" s="16" t="n"/>
      <c r="M854" s="16" t="n"/>
      <c r="N854" s="16" t="n"/>
      <c r="O854" s="16" t="n"/>
    </row>
    <row r="855">
      <c r="A855" s="17" t="inlineStr">
        <is>
          <t>TRK-0852</t>
        </is>
      </c>
      <c r="B855" s="16" t="n"/>
      <c r="C855" s="16" t="n"/>
      <c r="D855" s="16" t="n"/>
      <c r="E855" s="16" t="n"/>
      <c r="F855" s="16" t="n"/>
      <c r="G855" s="16" t="n"/>
      <c r="H855" s="16" t="n"/>
      <c r="I855" s="16">
        <f>IF(H855&lt;&gt;"","Completed",IF(TODAY()&gt;G855,"Overdue",IF(F855&lt;&gt;"","In Progress","Not Started")))</f>
        <v/>
      </c>
      <c r="J855" s="18">
        <f>IF(I855="Overdue",TODAY()-G855,0)</f>
        <v/>
      </c>
      <c r="K855" s="16" t="n"/>
      <c r="L855" s="16" t="n"/>
      <c r="M855" s="16" t="n"/>
      <c r="N855" s="16" t="n"/>
      <c r="O855" s="16" t="n"/>
    </row>
    <row r="856">
      <c r="A856" s="17" t="inlineStr">
        <is>
          <t>TRK-0853</t>
        </is>
      </c>
      <c r="B856" s="16" t="n"/>
      <c r="C856" s="16" t="n"/>
      <c r="D856" s="16" t="n"/>
      <c r="E856" s="16" t="n"/>
      <c r="F856" s="16" t="n"/>
      <c r="G856" s="16" t="n"/>
      <c r="H856" s="16" t="n"/>
      <c r="I856" s="16">
        <f>IF(H856&lt;&gt;"","Completed",IF(TODAY()&gt;G856,"Overdue",IF(F856&lt;&gt;"","In Progress","Not Started")))</f>
        <v/>
      </c>
      <c r="J856" s="18">
        <f>IF(I856="Overdue",TODAY()-G856,0)</f>
        <v/>
      </c>
      <c r="K856" s="16" t="n"/>
      <c r="L856" s="16" t="n"/>
      <c r="M856" s="16" t="n"/>
      <c r="N856" s="16" t="n"/>
      <c r="O856" s="16" t="n"/>
    </row>
    <row r="857">
      <c r="A857" s="17" t="inlineStr">
        <is>
          <t>TRK-0854</t>
        </is>
      </c>
      <c r="B857" s="16" t="n"/>
      <c r="C857" s="16" t="n"/>
      <c r="D857" s="16" t="n"/>
      <c r="E857" s="16" t="n"/>
      <c r="F857" s="16" t="n"/>
      <c r="G857" s="16" t="n"/>
      <c r="H857" s="16" t="n"/>
      <c r="I857" s="16">
        <f>IF(H857&lt;&gt;"","Completed",IF(TODAY()&gt;G857,"Overdue",IF(F857&lt;&gt;"","In Progress","Not Started")))</f>
        <v/>
      </c>
      <c r="J857" s="18">
        <f>IF(I857="Overdue",TODAY()-G857,0)</f>
        <v/>
      </c>
      <c r="K857" s="16" t="n"/>
      <c r="L857" s="16" t="n"/>
      <c r="M857" s="16" t="n"/>
      <c r="N857" s="16" t="n"/>
      <c r="O857" s="16" t="n"/>
    </row>
    <row r="858">
      <c r="A858" s="17" t="inlineStr">
        <is>
          <t>TRK-0855</t>
        </is>
      </c>
      <c r="B858" s="16" t="n"/>
      <c r="C858" s="16" t="n"/>
      <c r="D858" s="16" t="n"/>
      <c r="E858" s="16" t="n"/>
      <c r="F858" s="16" t="n"/>
      <c r="G858" s="16" t="n"/>
      <c r="H858" s="16" t="n"/>
      <c r="I858" s="16">
        <f>IF(H858&lt;&gt;"","Completed",IF(TODAY()&gt;G858,"Overdue",IF(F858&lt;&gt;"","In Progress","Not Started")))</f>
        <v/>
      </c>
      <c r="J858" s="18">
        <f>IF(I858="Overdue",TODAY()-G858,0)</f>
        <v/>
      </c>
      <c r="K858" s="16" t="n"/>
      <c r="L858" s="16" t="n"/>
      <c r="M858" s="16" t="n"/>
      <c r="N858" s="16" t="n"/>
      <c r="O858" s="16" t="n"/>
    </row>
    <row r="859">
      <c r="A859" s="17" t="inlineStr">
        <is>
          <t>TRK-0856</t>
        </is>
      </c>
      <c r="B859" s="16" t="n"/>
      <c r="C859" s="16" t="n"/>
      <c r="D859" s="16" t="n"/>
      <c r="E859" s="16" t="n"/>
      <c r="F859" s="16" t="n"/>
      <c r="G859" s="16" t="n"/>
      <c r="H859" s="16" t="n"/>
      <c r="I859" s="16">
        <f>IF(H859&lt;&gt;"","Completed",IF(TODAY()&gt;G859,"Overdue",IF(F859&lt;&gt;"","In Progress","Not Started")))</f>
        <v/>
      </c>
      <c r="J859" s="18">
        <f>IF(I859="Overdue",TODAY()-G859,0)</f>
        <v/>
      </c>
      <c r="K859" s="16" t="n"/>
      <c r="L859" s="16" t="n"/>
      <c r="M859" s="16" t="n"/>
      <c r="N859" s="16" t="n"/>
      <c r="O859" s="16" t="n"/>
    </row>
    <row r="860">
      <c r="A860" s="17" t="inlineStr">
        <is>
          <t>TRK-0857</t>
        </is>
      </c>
      <c r="B860" s="16" t="n"/>
      <c r="C860" s="16" t="n"/>
      <c r="D860" s="16" t="n"/>
      <c r="E860" s="16" t="n"/>
      <c r="F860" s="16" t="n"/>
      <c r="G860" s="16" t="n"/>
      <c r="H860" s="16" t="n"/>
      <c r="I860" s="16">
        <f>IF(H860&lt;&gt;"","Completed",IF(TODAY()&gt;G860,"Overdue",IF(F860&lt;&gt;"","In Progress","Not Started")))</f>
        <v/>
      </c>
      <c r="J860" s="18">
        <f>IF(I860="Overdue",TODAY()-G860,0)</f>
        <v/>
      </c>
      <c r="K860" s="16" t="n"/>
      <c r="L860" s="16" t="n"/>
      <c r="M860" s="16" t="n"/>
      <c r="N860" s="16" t="n"/>
      <c r="O860" s="16" t="n"/>
    </row>
    <row r="861">
      <c r="A861" s="17" t="inlineStr">
        <is>
          <t>TRK-0858</t>
        </is>
      </c>
      <c r="B861" s="16" t="n"/>
      <c r="C861" s="16" t="n"/>
      <c r="D861" s="16" t="n"/>
      <c r="E861" s="16" t="n"/>
      <c r="F861" s="16" t="n"/>
      <c r="G861" s="16" t="n"/>
      <c r="H861" s="16" t="n"/>
      <c r="I861" s="16">
        <f>IF(H861&lt;&gt;"","Completed",IF(TODAY()&gt;G861,"Overdue",IF(F861&lt;&gt;"","In Progress","Not Started")))</f>
        <v/>
      </c>
      <c r="J861" s="18">
        <f>IF(I861="Overdue",TODAY()-G861,0)</f>
        <v/>
      </c>
      <c r="K861" s="16" t="n"/>
      <c r="L861" s="16" t="n"/>
      <c r="M861" s="16" t="n"/>
      <c r="N861" s="16" t="n"/>
      <c r="O861" s="16" t="n"/>
    </row>
    <row r="862">
      <c r="A862" s="17" t="inlineStr">
        <is>
          <t>TRK-0859</t>
        </is>
      </c>
      <c r="B862" s="16" t="n"/>
      <c r="C862" s="16" t="n"/>
      <c r="D862" s="16" t="n"/>
      <c r="E862" s="16" t="n"/>
      <c r="F862" s="16" t="n"/>
      <c r="G862" s="16" t="n"/>
      <c r="H862" s="16" t="n"/>
      <c r="I862" s="16">
        <f>IF(H862&lt;&gt;"","Completed",IF(TODAY()&gt;G862,"Overdue",IF(F862&lt;&gt;"","In Progress","Not Started")))</f>
        <v/>
      </c>
      <c r="J862" s="18">
        <f>IF(I862="Overdue",TODAY()-G862,0)</f>
        <v/>
      </c>
      <c r="K862" s="16" t="n"/>
      <c r="L862" s="16" t="n"/>
      <c r="M862" s="16" t="n"/>
      <c r="N862" s="16" t="n"/>
      <c r="O862" s="16" t="n"/>
    </row>
    <row r="863">
      <c r="A863" s="17" t="inlineStr">
        <is>
          <t>TRK-0860</t>
        </is>
      </c>
      <c r="B863" s="16" t="n"/>
      <c r="C863" s="16" t="n"/>
      <c r="D863" s="16" t="n"/>
      <c r="E863" s="16" t="n"/>
      <c r="F863" s="16" t="n"/>
      <c r="G863" s="16" t="n"/>
      <c r="H863" s="16" t="n"/>
      <c r="I863" s="16">
        <f>IF(H863&lt;&gt;"","Completed",IF(TODAY()&gt;G863,"Overdue",IF(F863&lt;&gt;"","In Progress","Not Started")))</f>
        <v/>
      </c>
      <c r="J863" s="18">
        <f>IF(I863="Overdue",TODAY()-G863,0)</f>
        <v/>
      </c>
      <c r="K863" s="16" t="n"/>
      <c r="L863" s="16" t="n"/>
      <c r="M863" s="16" t="n"/>
      <c r="N863" s="16" t="n"/>
      <c r="O863" s="16" t="n"/>
    </row>
    <row r="864">
      <c r="A864" s="17" t="inlineStr">
        <is>
          <t>TRK-0861</t>
        </is>
      </c>
      <c r="B864" s="16" t="n"/>
      <c r="C864" s="16" t="n"/>
      <c r="D864" s="16" t="n"/>
      <c r="E864" s="16" t="n"/>
      <c r="F864" s="16" t="n"/>
      <c r="G864" s="16" t="n"/>
      <c r="H864" s="16" t="n"/>
      <c r="I864" s="16">
        <f>IF(H864&lt;&gt;"","Completed",IF(TODAY()&gt;G864,"Overdue",IF(F864&lt;&gt;"","In Progress","Not Started")))</f>
        <v/>
      </c>
      <c r="J864" s="18">
        <f>IF(I864="Overdue",TODAY()-G864,0)</f>
        <v/>
      </c>
      <c r="K864" s="16" t="n"/>
      <c r="L864" s="16" t="n"/>
      <c r="M864" s="16" t="n"/>
      <c r="N864" s="16" t="n"/>
      <c r="O864" s="16" t="n"/>
    </row>
    <row r="865">
      <c r="A865" s="17" t="inlineStr">
        <is>
          <t>TRK-0862</t>
        </is>
      </c>
      <c r="B865" s="16" t="n"/>
      <c r="C865" s="16" t="n"/>
      <c r="D865" s="16" t="n"/>
      <c r="E865" s="16" t="n"/>
      <c r="F865" s="16" t="n"/>
      <c r="G865" s="16" t="n"/>
      <c r="H865" s="16" t="n"/>
      <c r="I865" s="16">
        <f>IF(H865&lt;&gt;"","Completed",IF(TODAY()&gt;G865,"Overdue",IF(F865&lt;&gt;"","In Progress","Not Started")))</f>
        <v/>
      </c>
      <c r="J865" s="18">
        <f>IF(I865="Overdue",TODAY()-G865,0)</f>
        <v/>
      </c>
      <c r="K865" s="16" t="n"/>
      <c r="L865" s="16" t="n"/>
      <c r="M865" s="16" t="n"/>
      <c r="N865" s="16" t="n"/>
      <c r="O865" s="16" t="n"/>
    </row>
    <row r="866">
      <c r="A866" s="17" t="inlineStr">
        <is>
          <t>TRK-0863</t>
        </is>
      </c>
      <c r="B866" s="16" t="n"/>
      <c r="C866" s="16" t="n"/>
      <c r="D866" s="16" t="n"/>
      <c r="E866" s="16" t="n"/>
      <c r="F866" s="16" t="n"/>
      <c r="G866" s="16" t="n"/>
      <c r="H866" s="16" t="n"/>
      <c r="I866" s="16">
        <f>IF(H866&lt;&gt;"","Completed",IF(TODAY()&gt;G866,"Overdue",IF(F866&lt;&gt;"","In Progress","Not Started")))</f>
        <v/>
      </c>
      <c r="J866" s="18">
        <f>IF(I866="Overdue",TODAY()-G866,0)</f>
        <v/>
      </c>
      <c r="K866" s="16" t="n"/>
      <c r="L866" s="16" t="n"/>
      <c r="M866" s="16" t="n"/>
      <c r="N866" s="16" t="n"/>
      <c r="O866" s="16" t="n"/>
    </row>
    <row r="867">
      <c r="A867" s="17" t="inlineStr">
        <is>
          <t>TRK-0864</t>
        </is>
      </c>
      <c r="B867" s="16" t="n"/>
      <c r="C867" s="16" t="n"/>
      <c r="D867" s="16" t="n"/>
      <c r="E867" s="16" t="n"/>
      <c r="F867" s="16" t="n"/>
      <c r="G867" s="16" t="n"/>
      <c r="H867" s="16" t="n"/>
      <c r="I867" s="16">
        <f>IF(H867&lt;&gt;"","Completed",IF(TODAY()&gt;G867,"Overdue",IF(F867&lt;&gt;"","In Progress","Not Started")))</f>
        <v/>
      </c>
      <c r="J867" s="18">
        <f>IF(I867="Overdue",TODAY()-G867,0)</f>
        <v/>
      </c>
      <c r="K867" s="16" t="n"/>
      <c r="L867" s="16" t="n"/>
      <c r="M867" s="16" t="n"/>
      <c r="N867" s="16" t="n"/>
      <c r="O867" s="16" t="n"/>
    </row>
    <row r="868">
      <c r="A868" s="17" t="inlineStr">
        <is>
          <t>TRK-0865</t>
        </is>
      </c>
      <c r="B868" s="16" t="n"/>
      <c r="C868" s="16" t="n"/>
      <c r="D868" s="16" t="n"/>
      <c r="E868" s="16" t="n"/>
      <c r="F868" s="16" t="n"/>
      <c r="G868" s="16" t="n"/>
      <c r="H868" s="16" t="n"/>
      <c r="I868" s="16">
        <f>IF(H868&lt;&gt;"","Completed",IF(TODAY()&gt;G868,"Overdue",IF(F868&lt;&gt;"","In Progress","Not Started")))</f>
        <v/>
      </c>
      <c r="J868" s="18">
        <f>IF(I868="Overdue",TODAY()-G868,0)</f>
        <v/>
      </c>
      <c r="K868" s="16" t="n"/>
      <c r="L868" s="16" t="n"/>
      <c r="M868" s="16" t="n"/>
      <c r="N868" s="16" t="n"/>
      <c r="O868" s="16" t="n"/>
    </row>
    <row r="869">
      <c r="A869" s="17" t="inlineStr">
        <is>
          <t>TRK-0866</t>
        </is>
      </c>
      <c r="B869" s="16" t="n"/>
      <c r="C869" s="16" t="n"/>
      <c r="D869" s="16" t="n"/>
      <c r="E869" s="16" t="n"/>
      <c r="F869" s="16" t="n"/>
      <c r="G869" s="16" t="n"/>
      <c r="H869" s="16" t="n"/>
      <c r="I869" s="16">
        <f>IF(H869&lt;&gt;"","Completed",IF(TODAY()&gt;G869,"Overdue",IF(F869&lt;&gt;"","In Progress","Not Started")))</f>
        <v/>
      </c>
      <c r="J869" s="18">
        <f>IF(I869="Overdue",TODAY()-G869,0)</f>
        <v/>
      </c>
      <c r="K869" s="16" t="n"/>
      <c r="L869" s="16" t="n"/>
      <c r="M869" s="16" t="n"/>
      <c r="N869" s="16" t="n"/>
      <c r="O869" s="16" t="n"/>
    </row>
    <row r="870">
      <c r="A870" s="17" t="inlineStr">
        <is>
          <t>TRK-0867</t>
        </is>
      </c>
      <c r="B870" s="16" t="n"/>
      <c r="C870" s="16" t="n"/>
      <c r="D870" s="16" t="n"/>
      <c r="E870" s="16" t="n"/>
      <c r="F870" s="16" t="n"/>
      <c r="G870" s="16" t="n"/>
      <c r="H870" s="16" t="n"/>
      <c r="I870" s="16">
        <f>IF(H870&lt;&gt;"","Completed",IF(TODAY()&gt;G870,"Overdue",IF(F870&lt;&gt;"","In Progress","Not Started")))</f>
        <v/>
      </c>
      <c r="J870" s="18">
        <f>IF(I870="Overdue",TODAY()-G870,0)</f>
        <v/>
      </c>
      <c r="K870" s="16" t="n"/>
      <c r="L870" s="16" t="n"/>
      <c r="M870" s="16" t="n"/>
      <c r="N870" s="16" t="n"/>
      <c r="O870" s="16" t="n"/>
    </row>
    <row r="871">
      <c r="A871" s="17" t="inlineStr">
        <is>
          <t>TRK-0868</t>
        </is>
      </c>
      <c r="B871" s="16" t="n"/>
      <c r="C871" s="16" t="n"/>
      <c r="D871" s="16" t="n"/>
      <c r="E871" s="16" t="n"/>
      <c r="F871" s="16" t="n"/>
      <c r="G871" s="16" t="n"/>
      <c r="H871" s="16" t="n"/>
      <c r="I871" s="16">
        <f>IF(H871&lt;&gt;"","Completed",IF(TODAY()&gt;G871,"Overdue",IF(F871&lt;&gt;"","In Progress","Not Started")))</f>
        <v/>
      </c>
      <c r="J871" s="18">
        <f>IF(I871="Overdue",TODAY()-G871,0)</f>
        <v/>
      </c>
      <c r="K871" s="16" t="n"/>
      <c r="L871" s="16" t="n"/>
      <c r="M871" s="16" t="n"/>
      <c r="N871" s="16" t="n"/>
      <c r="O871" s="16" t="n"/>
    </row>
    <row r="872">
      <c r="A872" s="17" t="inlineStr">
        <is>
          <t>TRK-0869</t>
        </is>
      </c>
      <c r="B872" s="16" t="n"/>
      <c r="C872" s="16" t="n"/>
      <c r="D872" s="16" t="n"/>
      <c r="E872" s="16" t="n"/>
      <c r="F872" s="16" t="n"/>
      <c r="G872" s="16" t="n"/>
      <c r="H872" s="16" t="n"/>
      <c r="I872" s="16">
        <f>IF(H872&lt;&gt;"","Completed",IF(TODAY()&gt;G872,"Overdue",IF(F872&lt;&gt;"","In Progress","Not Started")))</f>
        <v/>
      </c>
      <c r="J872" s="18">
        <f>IF(I872="Overdue",TODAY()-G872,0)</f>
        <v/>
      </c>
      <c r="K872" s="16" t="n"/>
      <c r="L872" s="16" t="n"/>
      <c r="M872" s="16" t="n"/>
      <c r="N872" s="16" t="n"/>
      <c r="O872" s="16" t="n"/>
    </row>
    <row r="873">
      <c r="A873" s="17" t="inlineStr">
        <is>
          <t>TRK-0870</t>
        </is>
      </c>
      <c r="B873" s="16" t="n"/>
      <c r="C873" s="16" t="n"/>
      <c r="D873" s="16" t="n"/>
      <c r="E873" s="16" t="n"/>
      <c r="F873" s="16" t="n"/>
      <c r="G873" s="16" t="n"/>
      <c r="H873" s="16" t="n"/>
      <c r="I873" s="16">
        <f>IF(H873&lt;&gt;"","Completed",IF(TODAY()&gt;G873,"Overdue",IF(F873&lt;&gt;"","In Progress","Not Started")))</f>
        <v/>
      </c>
      <c r="J873" s="18">
        <f>IF(I873="Overdue",TODAY()-G873,0)</f>
        <v/>
      </c>
      <c r="K873" s="16" t="n"/>
      <c r="L873" s="16" t="n"/>
      <c r="M873" s="16" t="n"/>
      <c r="N873" s="16" t="n"/>
      <c r="O873" s="16" t="n"/>
    </row>
    <row r="874">
      <c r="A874" s="17" t="inlineStr">
        <is>
          <t>TRK-0871</t>
        </is>
      </c>
      <c r="B874" s="16" t="n"/>
      <c r="C874" s="16" t="n"/>
      <c r="D874" s="16" t="n"/>
      <c r="E874" s="16" t="n"/>
      <c r="F874" s="16" t="n"/>
      <c r="G874" s="16" t="n"/>
      <c r="H874" s="16" t="n"/>
      <c r="I874" s="16">
        <f>IF(H874&lt;&gt;"","Completed",IF(TODAY()&gt;G874,"Overdue",IF(F874&lt;&gt;"","In Progress","Not Started")))</f>
        <v/>
      </c>
      <c r="J874" s="18">
        <f>IF(I874="Overdue",TODAY()-G874,0)</f>
        <v/>
      </c>
      <c r="K874" s="16" t="n"/>
      <c r="L874" s="16" t="n"/>
      <c r="M874" s="16" t="n"/>
      <c r="N874" s="16" t="n"/>
      <c r="O874" s="16" t="n"/>
    </row>
    <row r="875">
      <c r="A875" s="17" t="inlineStr">
        <is>
          <t>TRK-0872</t>
        </is>
      </c>
      <c r="B875" s="16" t="n"/>
      <c r="C875" s="16" t="n"/>
      <c r="D875" s="16" t="n"/>
      <c r="E875" s="16" t="n"/>
      <c r="F875" s="16" t="n"/>
      <c r="G875" s="16" t="n"/>
      <c r="H875" s="16" t="n"/>
      <c r="I875" s="16">
        <f>IF(H875&lt;&gt;"","Completed",IF(TODAY()&gt;G875,"Overdue",IF(F875&lt;&gt;"","In Progress","Not Started")))</f>
        <v/>
      </c>
      <c r="J875" s="18">
        <f>IF(I875="Overdue",TODAY()-G875,0)</f>
        <v/>
      </c>
      <c r="K875" s="16" t="n"/>
      <c r="L875" s="16" t="n"/>
      <c r="M875" s="16" t="n"/>
      <c r="N875" s="16" t="n"/>
      <c r="O875" s="16" t="n"/>
    </row>
    <row r="876">
      <c r="A876" s="17" t="inlineStr">
        <is>
          <t>TRK-0873</t>
        </is>
      </c>
      <c r="B876" s="16" t="n"/>
      <c r="C876" s="16" t="n"/>
      <c r="D876" s="16" t="n"/>
      <c r="E876" s="16" t="n"/>
      <c r="F876" s="16" t="n"/>
      <c r="G876" s="16" t="n"/>
      <c r="H876" s="16" t="n"/>
      <c r="I876" s="16">
        <f>IF(H876&lt;&gt;"","Completed",IF(TODAY()&gt;G876,"Overdue",IF(F876&lt;&gt;"","In Progress","Not Started")))</f>
        <v/>
      </c>
      <c r="J876" s="18">
        <f>IF(I876="Overdue",TODAY()-G876,0)</f>
        <v/>
      </c>
      <c r="K876" s="16" t="n"/>
      <c r="L876" s="16" t="n"/>
      <c r="M876" s="16" t="n"/>
      <c r="N876" s="16" t="n"/>
      <c r="O876" s="16" t="n"/>
    </row>
    <row r="877">
      <c r="A877" s="17" t="inlineStr">
        <is>
          <t>TRK-0874</t>
        </is>
      </c>
      <c r="B877" s="16" t="n"/>
      <c r="C877" s="16" t="n"/>
      <c r="D877" s="16" t="n"/>
      <c r="E877" s="16" t="n"/>
      <c r="F877" s="16" t="n"/>
      <c r="G877" s="16" t="n"/>
      <c r="H877" s="16" t="n"/>
      <c r="I877" s="16">
        <f>IF(H877&lt;&gt;"","Completed",IF(TODAY()&gt;G877,"Overdue",IF(F877&lt;&gt;"","In Progress","Not Started")))</f>
        <v/>
      </c>
      <c r="J877" s="18">
        <f>IF(I877="Overdue",TODAY()-G877,0)</f>
        <v/>
      </c>
      <c r="K877" s="16" t="n"/>
      <c r="L877" s="16" t="n"/>
      <c r="M877" s="16" t="n"/>
      <c r="N877" s="16" t="n"/>
      <c r="O877" s="16" t="n"/>
    </row>
    <row r="878">
      <c r="A878" s="17" t="inlineStr">
        <is>
          <t>TRK-0875</t>
        </is>
      </c>
      <c r="B878" s="16" t="n"/>
      <c r="C878" s="16" t="n"/>
      <c r="D878" s="16" t="n"/>
      <c r="E878" s="16" t="n"/>
      <c r="F878" s="16" t="n"/>
      <c r="G878" s="16" t="n"/>
      <c r="H878" s="16" t="n"/>
      <c r="I878" s="16">
        <f>IF(H878&lt;&gt;"","Completed",IF(TODAY()&gt;G878,"Overdue",IF(F878&lt;&gt;"","In Progress","Not Started")))</f>
        <v/>
      </c>
      <c r="J878" s="18">
        <f>IF(I878="Overdue",TODAY()-G878,0)</f>
        <v/>
      </c>
      <c r="K878" s="16" t="n"/>
      <c r="L878" s="16" t="n"/>
      <c r="M878" s="16" t="n"/>
      <c r="N878" s="16" t="n"/>
      <c r="O878" s="16" t="n"/>
    </row>
    <row r="879">
      <c r="A879" s="17" t="inlineStr">
        <is>
          <t>TRK-0876</t>
        </is>
      </c>
      <c r="B879" s="16" t="n"/>
      <c r="C879" s="16" t="n"/>
      <c r="D879" s="16" t="n"/>
      <c r="E879" s="16" t="n"/>
      <c r="F879" s="16" t="n"/>
      <c r="G879" s="16" t="n"/>
      <c r="H879" s="16" t="n"/>
      <c r="I879" s="16">
        <f>IF(H879&lt;&gt;"","Completed",IF(TODAY()&gt;G879,"Overdue",IF(F879&lt;&gt;"","In Progress","Not Started")))</f>
        <v/>
      </c>
      <c r="J879" s="18">
        <f>IF(I879="Overdue",TODAY()-G879,0)</f>
        <v/>
      </c>
      <c r="K879" s="16" t="n"/>
      <c r="L879" s="16" t="n"/>
      <c r="M879" s="16" t="n"/>
      <c r="N879" s="16" t="n"/>
      <c r="O879" s="16" t="n"/>
    </row>
    <row r="880">
      <c r="A880" s="17" t="inlineStr">
        <is>
          <t>TRK-0877</t>
        </is>
      </c>
      <c r="B880" s="16" t="n"/>
      <c r="C880" s="16" t="n"/>
      <c r="D880" s="16" t="n"/>
      <c r="E880" s="16" t="n"/>
      <c r="F880" s="16" t="n"/>
      <c r="G880" s="16" t="n"/>
      <c r="H880" s="16" t="n"/>
      <c r="I880" s="16">
        <f>IF(H880&lt;&gt;"","Completed",IF(TODAY()&gt;G880,"Overdue",IF(F880&lt;&gt;"","In Progress","Not Started")))</f>
        <v/>
      </c>
      <c r="J880" s="18">
        <f>IF(I880="Overdue",TODAY()-G880,0)</f>
        <v/>
      </c>
      <c r="K880" s="16" t="n"/>
      <c r="L880" s="16" t="n"/>
      <c r="M880" s="16" t="n"/>
      <c r="N880" s="16" t="n"/>
      <c r="O880" s="16" t="n"/>
    </row>
    <row r="881">
      <c r="A881" s="17" t="inlineStr">
        <is>
          <t>TRK-0878</t>
        </is>
      </c>
      <c r="B881" s="16" t="n"/>
      <c r="C881" s="16" t="n"/>
      <c r="D881" s="16" t="n"/>
      <c r="E881" s="16" t="n"/>
      <c r="F881" s="16" t="n"/>
      <c r="G881" s="16" t="n"/>
      <c r="H881" s="16" t="n"/>
      <c r="I881" s="16">
        <f>IF(H881&lt;&gt;"","Completed",IF(TODAY()&gt;G881,"Overdue",IF(F881&lt;&gt;"","In Progress","Not Started")))</f>
        <v/>
      </c>
      <c r="J881" s="18">
        <f>IF(I881="Overdue",TODAY()-G881,0)</f>
        <v/>
      </c>
      <c r="K881" s="16" t="n"/>
      <c r="L881" s="16" t="n"/>
      <c r="M881" s="16" t="n"/>
      <c r="N881" s="16" t="n"/>
      <c r="O881" s="16" t="n"/>
    </row>
    <row r="882">
      <c r="A882" s="17" t="inlineStr">
        <is>
          <t>TRK-0879</t>
        </is>
      </c>
      <c r="B882" s="16" t="n"/>
      <c r="C882" s="16" t="n"/>
      <c r="D882" s="16" t="n"/>
      <c r="E882" s="16" t="n"/>
      <c r="F882" s="16" t="n"/>
      <c r="G882" s="16" t="n"/>
      <c r="H882" s="16" t="n"/>
      <c r="I882" s="16">
        <f>IF(H882&lt;&gt;"","Completed",IF(TODAY()&gt;G882,"Overdue",IF(F882&lt;&gt;"","In Progress","Not Started")))</f>
        <v/>
      </c>
      <c r="J882" s="18">
        <f>IF(I882="Overdue",TODAY()-G882,0)</f>
        <v/>
      </c>
      <c r="K882" s="16" t="n"/>
      <c r="L882" s="16" t="n"/>
      <c r="M882" s="16" t="n"/>
      <c r="N882" s="16" t="n"/>
      <c r="O882" s="16" t="n"/>
    </row>
    <row r="883">
      <c r="A883" s="17" t="inlineStr">
        <is>
          <t>TRK-0880</t>
        </is>
      </c>
      <c r="B883" s="16" t="n"/>
      <c r="C883" s="16" t="n"/>
      <c r="D883" s="16" t="n"/>
      <c r="E883" s="16" t="n"/>
      <c r="F883" s="16" t="n"/>
      <c r="G883" s="16" t="n"/>
      <c r="H883" s="16" t="n"/>
      <c r="I883" s="16">
        <f>IF(H883&lt;&gt;"","Completed",IF(TODAY()&gt;G883,"Overdue",IF(F883&lt;&gt;"","In Progress","Not Started")))</f>
        <v/>
      </c>
      <c r="J883" s="18">
        <f>IF(I883="Overdue",TODAY()-G883,0)</f>
        <v/>
      </c>
      <c r="K883" s="16" t="n"/>
      <c r="L883" s="16" t="n"/>
      <c r="M883" s="16" t="n"/>
      <c r="N883" s="16" t="n"/>
      <c r="O883" s="16" t="n"/>
    </row>
    <row r="884">
      <c r="A884" s="17" t="inlineStr">
        <is>
          <t>TRK-0881</t>
        </is>
      </c>
      <c r="B884" s="16" t="n"/>
      <c r="C884" s="16" t="n"/>
      <c r="D884" s="16" t="n"/>
      <c r="E884" s="16" t="n"/>
      <c r="F884" s="16" t="n"/>
      <c r="G884" s="16" t="n"/>
      <c r="H884" s="16" t="n"/>
      <c r="I884" s="16">
        <f>IF(H884&lt;&gt;"","Completed",IF(TODAY()&gt;G884,"Overdue",IF(F884&lt;&gt;"","In Progress","Not Started")))</f>
        <v/>
      </c>
      <c r="J884" s="18">
        <f>IF(I884="Overdue",TODAY()-G884,0)</f>
        <v/>
      </c>
      <c r="K884" s="16" t="n"/>
      <c r="L884" s="16" t="n"/>
      <c r="M884" s="16" t="n"/>
      <c r="N884" s="16" t="n"/>
      <c r="O884" s="16" t="n"/>
    </row>
    <row r="885">
      <c r="A885" s="17" t="inlineStr">
        <is>
          <t>TRK-0882</t>
        </is>
      </c>
      <c r="B885" s="16" t="n"/>
      <c r="C885" s="16" t="n"/>
      <c r="D885" s="16" t="n"/>
      <c r="E885" s="16" t="n"/>
      <c r="F885" s="16" t="n"/>
      <c r="G885" s="16" t="n"/>
      <c r="H885" s="16" t="n"/>
      <c r="I885" s="16">
        <f>IF(H885&lt;&gt;"","Completed",IF(TODAY()&gt;G885,"Overdue",IF(F885&lt;&gt;"","In Progress","Not Started")))</f>
        <v/>
      </c>
      <c r="J885" s="18">
        <f>IF(I885="Overdue",TODAY()-G885,0)</f>
        <v/>
      </c>
      <c r="K885" s="16" t="n"/>
      <c r="L885" s="16" t="n"/>
      <c r="M885" s="16" t="n"/>
      <c r="N885" s="16" t="n"/>
      <c r="O885" s="16" t="n"/>
    </row>
    <row r="886">
      <c r="A886" s="17" t="inlineStr">
        <is>
          <t>TRK-0883</t>
        </is>
      </c>
      <c r="B886" s="16" t="n"/>
      <c r="C886" s="16" t="n"/>
      <c r="D886" s="16" t="n"/>
      <c r="E886" s="16" t="n"/>
      <c r="F886" s="16" t="n"/>
      <c r="G886" s="16" t="n"/>
      <c r="H886" s="16" t="n"/>
      <c r="I886" s="16">
        <f>IF(H886&lt;&gt;"","Completed",IF(TODAY()&gt;G886,"Overdue",IF(F886&lt;&gt;"","In Progress","Not Started")))</f>
        <v/>
      </c>
      <c r="J886" s="18">
        <f>IF(I886="Overdue",TODAY()-G886,0)</f>
        <v/>
      </c>
      <c r="K886" s="16" t="n"/>
      <c r="L886" s="16" t="n"/>
      <c r="M886" s="16" t="n"/>
      <c r="N886" s="16" t="n"/>
      <c r="O886" s="16" t="n"/>
    </row>
    <row r="887">
      <c r="A887" s="17" t="inlineStr">
        <is>
          <t>TRK-0884</t>
        </is>
      </c>
      <c r="B887" s="16" t="n"/>
      <c r="C887" s="16" t="n"/>
      <c r="D887" s="16" t="n"/>
      <c r="E887" s="16" t="n"/>
      <c r="F887" s="16" t="n"/>
      <c r="G887" s="16" t="n"/>
      <c r="H887" s="16" t="n"/>
      <c r="I887" s="16">
        <f>IF(H887&lt;&gt;"","Completed",IF(TODAY()&gt;G887,"Overdue",IF(F887&lt;&gt;"","In Progress","Not Started")))</f>
        <v/>
      </c>
      <c r="J887" s="18">
        <f>IF(I887="Overdue",TODAY()-G887,0)</f>
        <v/>
      </c>
      <c r="K887" s="16" t="n"/>
      <c r="L887" s="16" t="n"/>
      <c r="M887" s="16" t="n"/>
      <c r="N887" s="16" t="n"/>
      <c r="O887" s="16" t="n"/>
    </row>
    <row r="888">
      <c r="A888" s="17" t="inlineStr">
        <is>
          <t>TRK-0885</t>
        </is>
      </c>
      <c r="B888" s="16" t="n"/>
      <c r="C888" s="16" t="n"/>
      <c r="D888" s="16" t="n"/>
      <c r="E888" s="16" t="n"/>
      <c r="F888" s="16" t="n"/>
      <c r="G888" s="16" t="n"/>
      <c r="H888" s="16" t="n"/>
      <c r="I888" s="16">
        <f>IF(H888&lt;&gt;"","Completed",IF(TODAY()&gt;G888,"Overdue",IF(F888&lt;&gt;"","In Progress","Not Started")))</f>
        <v/>
      </c>
      <c r="J888" s="18">
        <f>IF(I888="Overdue",TODAY()-G888,0)</f>
        <v/>
      </c>
      <c r="K888" s="16" t="n"/>
      <c r="L888" s="16" t="n"/>
      <c r="M888" s="16" t="n"/>
      <c r="N888" s="16" t="n"/>
      <c r="O888" s="16" t="n"/>
    </row>
    <row r="889">
      <c r="A889" s="17" t="inlineStr">
        <is>
          <t>TRK-0886</t>
        </is>
      </c>
      <c r="B889" s="16" t="n"/>
      <c r="C889" s="16" t="n"/>
      <c r="D889" s="16" t="n"/>
      <c r="E889" s="16" t="n"/>
      <c r="F889" s="16" t="n"/>
      <c r="G889" s="16" t="n"/>
      <c r="H889" s="16" t="n"/>
      <c r="I889" s="16">
        <f>IF(H889&lt;&gt;"","Completed",IF(TODAY()&gt;G889,"Overdue",IF(F889&lt;&gt;"","In Progress","Not Started")))</f>
        <v/>
      </c>
      <c r="J889" s="18">
        <f>IF(I889="Overdue",TODAY()-G889,0)</f>
        <v/>
      </c>
      <c r="K889" s="16" t="n"/>
      <c r="L889" s="16" t="n"/>
      <c r="M889" s="16" t="n"/>
      <c r="N889" s="16" t="n"/>
      <c r="O889" s="16" t="n"/>
    </row>
    <row r="890">
      <c r="A890" s="17" t="inlineStr">
        <is>
          <t>TRK-0887</t>
        </is>
      </c>
      <c r="B890" s="16" t="n"/>
      <c r="C890" s="16" t="n"/>
      <c r="D890" s="16" t="n"/>
      <c r="E890" s="16" t="n"/>
      <c r="F890" s="16" t="n"/>
      <c r="G890" s="16" t="n"/>
      <c r="H890" s="16" t="n"/>
      <c r="I890" s="16">
        <f>IF(H890&lt;&gt;"","Completed",IF(TODAY()&gt;G890,"Overdue",IF(F890&lt;&gt;"","In Progress","Not Started")))</f>
        <v/>
      </c>
      <c r="J890" s="18">
        <f>IF(I890="Overdue",TODAY()-G890,0)</f>
        <v/>
      </c>
      <c r="K890" s="16" t="n"/>
      <c r="L890" s="16" t="n"/>
      <c r="M890" s="16" t="n"/>
      <c r="N890" s="16" t="n"/>
      <c r="O890" s="16" t="n"/>
    </row>
    <row r="891">
      <c r="A891" s="17" t="inlineStr">
        <is>
          <t>TRK-0888</t>
        </is>
      </c>
      <c r="B891" s="16" t="n"/>
      <c r="C891" s="16" t="n"/>
      <c r="D891" s="16" t="n"/>
      <c r="E891" s="16" t="n"/>
      <c r="F891" s="16" t="n"/>
      <c r="G891" s="16" t="n"/>
      <c r="H891" s="16" t="n"/>
      <c r="I891" s="16">
        <f>IF(H891&lt;&gt;"","Completed",IF(TODAY()&gt;G891,"Overdue",IF(F891&lt;&gt;"","In Progress","Not Started")))</f>
        <v/>
      </c>
      <c r="J891" s="18">
        <f>IF(I891="Overdue",TODAY()-G891,0)</f>
        <v/>
      </c>
      <c r="K891" s="16" t="n"/>
      <c r="L891" s="16" t="n"/>
      <c r="M891" s="16" t="n"/>
      <c r="N891" s="16" t="n"/>
      <c r="O891" s="16" t="n"/>
    </row>
    <row r="892">
      <c r="A892" s="17" t="inlineStr">
        <is>
          <t>TRK-0889</t>
        </is>
      </c>
      <c r="B892" s="16" t="n"/>
      <c r="C892" s="16" t="n"/>
      <c r="D892" s="16" t="n"/>
      <c r="E892" s="16" t="n"/>
      <c r="F892" s="16" t="n"/>
      <c r="G892" s="16" t="n"/>
      <c r="H892" s="16" t="n"/>
      <c r="I892" s="16">
        <f>IF(H892&lt;&gt;"","Completed",IF(TODAY()&gt;G892,"Overdue",IF(F892&lt;&gt;"","In Progress","Not Started")))</f>
        <v/>
      </c>
      <c r="J892" s="18">
        <f>IF(I892="Overdue",TODAY()-G892,0)</f>
        <v/>
      </c>
      <c r="K892" s="16" t="n"/>
      <c r="L892" s="16" t="n"/>
      <c r="M892" s="16" t="n"/>
      <c r="N892" s="16" t="n"/>
      <c r="O892" s="16" t="n"/>
    </row>
    <row r="893">
      <c r="A893" s="17" t="inlineStr">
        <is>
          <t>TRK-0890</t>
        </is>
      </c>
      <c r="B893" s="16" t="n"/>
      <c r="C893" s="16" t="n"/>
      <c r="D893" s="16" t="n"/>
      <c r="E893" s="16" t="n"/>
      <c r="F893" s="16" t="n"/>
      <c r="G893" s="16" t="n"/>
      <c r="H893" s="16" t="n"/>
      <c r="I893" s="16">
        <f>IF(H893&lt;&gt;"","Completed",IF(TODAY()&gt;G893,"Overdue",IF(F893&lt;&gt;"","In Progress","Not Started")))</f>
        <v/>
      </c>
      <c r="J893" s="18">
        <f>IF(I893="Overdue",TODAY()-G893,0)</f>
        <v/>
      </c>
      <c r="K893" s="16" t="n"/>
      <c r="L893" s="16" t="n"/>
      <c r="M893" s="16" t="n"/>
      <c r="N893" s="16" t="n"/>
      <c r="O893" s="16" t="n"/>
    </row>
    <row r="894">
      <c r="A894" s="17" t="inlineStr">
        <is>
          <t>TRK-0891</t>
        </is>
      </c>
      <c r="B894" s="16" t="n"/>
      <c r="C894" s="16" t="n"/>
      <c r="D894" s="16" t="n"/>
      <c r="E894" s="16" t="n"/>
      <c r="F894" s="16" t="n"/>
      <c r="G894" s="16" t="n"/>
      <c r="H894" s="16" t="n"/>
      <c r="I894" s="16">
        <f>IF(H894&lt;&gt;"","Completed",IF(TODAY()&gt;G894,"Overdue",IF(F894&lt;&gt;"","In Progress","Not Started")))</f>
        <v/>
      </c>
      <c r="J894" s="18">
        <f>IF(I894="Overdue",TODAY()-G894,0)</f>
        <v/>
      </c>
      <c r="K894" s="16" t="n"/>
      <c r="L894" s="16" t="n"/>
      <c r="M894" s="16" t="n"/>
      <c r="N894" s="16" t="n"/>
      <c r="O894" s="16" t="n"/>
    </row>
    <row r="895">
      <c r="A895" s="17" t="inlineStr">
        <is>
          <t>TRK-0892</t>
        </is>
      </c>
      <c r="B895" s="16" t="n"/>
      <c r="C895" s="16" t="n"/>
      <c r="D895" s="16" t="n"/>
      <c r="E895" s="16" t="n"/>
      <c r="F895" s="16" t="n"/>
      <c r="G895" s="16" t="n"/>
      <c r="H895" s="16" t="n"/>
      <c r="I895" s="16">
        <f>IF(H895&lt;&gt;"","Completed",IF(TODAY()&gt;G895,"Overdue",IF(F895&lt;&gt;"","In Progress","Not Started")))</f>
        <v/>
      </c>
      <c r="J895" s="18">
        <f>IF(I895="Overdue",TODAY()-G895,0)</f>
        <v/>
      </c>
      <c r="K895" s="16" t="n"/>
      <c r="L895" s="16" t="n"/>
      <c r="M895" s="16" t="n"/>
      <c r="N895" s="16" t="n"/>
      <c r="O895" s="16" t="n"/>
    </row>
    <row r="896">
      <c r="A896" s="17" t="inlineStr">
        <is>
          <t>TRK-0893</t>
        </is>
      </c>
      <c r="B896" s="16" t="n"/>
      <c r="C896" s="16" t="n"/>
      <c r="D896" s="16" t="n"/>
      <c r="E896" s="16" t="n"/>
      <c r="F896" s="16" t="n"/>
      <c r="G896" s="16" t="n"/>
      <c r="H896" s="16" t="n"/>
      <c r="I896" s="16">
        <f>IF(H896&lt;&gt;"","Completed",IF(TODAY()&gt;G896,"Overdue",IF(F896&lt;&gt;"","In Progress","Not Started")))</f>
        <v/>
      </c>
      <c r="J896" s="18">
        <f>IF(I896="Overdue",TODAY()-G896,0)</f>
        <v/>
      </c>
      <c r="K896" s="16" t="n"/>
      <c r="L896" s="16" t="n"/>
      <c r="M896" s="16" t="n"/>
      <c r="N896" s="16" t="n"/>
      <c r="O896" s="16" t="n"/>
    </row>
    <row r="897">
      <c r="A897" s="17" t="inlineStr">
        <is>
          <t>TRK-0894</t>
        </is>
      </c>
      <c r="B897" s="16" t="n"/>
      <c r="C897" s="16" t="n"/>
      <c r="D897" s="16" t="n"/>
      <c r="E897" s="16" t="n"/>
      <c r="F897" s="16" t="n"/>
      <c r="G897" s="16" t="n"/>
      <c r="H897" s="16" t="n"/>
      <c r="I897" s="16">
        <f>IF(H897&lt;&gt;"","Completed",IF(TODAY()&gt;G897,"Overdue",IF(F897&lt;&gt;"","In Progress","Not Started")))</f>
        <v/>
      </c>
      <c r="J897" s="18">
        <f>IF(I897="Overdue",TODAY()-G897,0)</f>
        <v/>
      </c>
      <c r="K897" s="16" t="n"/>
      <c r="L897" s="16" t="n"/>
      <c r="M897" s="16" t="n"/>
      <c r="N897" s="16" t="n"/>
      <c r="O897" s="16" t="n"/>
    </row>
    <row r="898">
      <c r="A898" s="17" t="inlineStr">
        <is>
          <t>TRK-0895</t>
        </is>
      </c>
      <c r="B898" s="16" t="n"/>
      <c r="C898" s="16" t="n"/>
      <c r="D898" s="16" t="n"/>
      <c r="E898" s="16" t="n"/>
      <c r="F898" s="16" t="n"/>
      <c r="G898" s="16" t="n"/>
      <c r="H898" s="16" t="n"/>
      <c r="I898" s="16">
        <f>IF(H898&lt;&gt;"","Completed",IF(TODAY()&gt;G898,"Overdue",IF(F898&lt;&gt;"","In Progress","Not Started")))</f>
        <v/>
      </c>
      <c r="J898" s="18">
        <f>IF(I898="Overdue",TODAY()-G898,0)</f>
        <v/>
      </c>
      <c r="K898" s="16" t="n"/>
      <c r="L898" s="16" t="n"/>
      <c r="M898" s="16" t="n"/>
      <c r="N898" s="16" t="n"/>
      <c r="O898" s="16" t="n"/>
    </row>
    <row r="899">
      <c r="A899" s="17" t="inlineStr">
        <is>
          <t>TRK-0896</t>
        </is>
      </c>
      <c r="B899" s="16" t="n"/>
      <c r="C899" s="16" t="n"/>
      <c r="D899" s="16" t="n"/>
      <c r="E899" s="16" t="n"/>
      <c r="F899" s="16" t="n"/>
      <c r="G899" s="16" t="n"/>
      <c r="H899" s="16" t="n"/>
      <c r="I899" s="16">
        <f>IF(H899&lt;&gt;"","Completed",IF(TODAY()&gt;G899,"Overdue",IF(F899&lt;&gt;"","In Progress","Not Started")))</f>
        <v/>
      </c>
      <c r="J899" s="18">
        <f>IF(I899="Overdue",TODAY()-G899,0)</f>
        <v/>
      </c>
      <c r="K899" s="16" t="n"/>
      <c r="L899" s="16" t="n"/>
      <c r="M899" s="16" t="n"/>
      <c r="N899" s="16" t="n"/>
      <c r="O899" s="16" t="n"/>
    </row>
    <row r="900">
      <c r="A900" s="17" t="inlineStr">
        <is>
          <t>TRK-0897</t>
        </is>
      </c>
      <c r="B900" s="16" t="n"/>
      <c r="C900" s="16" t="n"/>
      <c r="D900" s="16" t="n"/>
      <c r="E900" s="16" t="n"/>
      <c r="F900" s="16" t="n"/>
      <c r="G900" s="16" t="n"/>
      <c r="H900" s="16" t="n"/>
      <c r="I900" s="16">
        <f>IF(H900&lt;&gt;"","Completed",IF(TODAY()&gt;G900,"Overdue",IF(F900&lt;&gt;"","In Progress","Not Started")))</f>
        <v/>
      </c>
      <c r="J900" s="18">
        <f>IF(I900="Overdue",TODAY()-G900,0)</f>
        <v/>
      </c>
      <c r="K900" s="16" t="n"/>
      <c r="L900" s="16" t="n"/>
      <c r="M900" s="16" t="n"/>
      <c r="N900" s="16" t="n"/>
      <c r="O900" s="16" t="n"/>
    </row>
    <row r="901">
      <c r="A901" s="17" t="inlineStr">
        <is>
          <t>TRK-0898</t>
        </is>
      </c>
      <c r="B901" s="16" t="n"/>
      <c r="C901" s="16" t="n"/>
      <c r="D901" s="16" t="n"/>
      <c r="E901" s="16" t="n"/>
      <c r="F901" s="16" t="n"/>
      <c r="G901" s="16" t="n"/>
      <c r="H901" s="16" t="n"/>
      <c r="I901" s="16">
        <f>IF(H901&lt;&gt;"","Completed",IF(TODAY()&gt;G901,"Overdue",IF(F901&lt;&gt;"","In Progress","Not Started")))</f>
        <v/>
      </c>
      <c r="J901" s="18">
        <f>IF(I901="Overdue",TODAY()-G901,0)</f>
        <v/>
      </c>
      <c r="K901" s="16" t="n"/>
      <c r="L901" s="16" t="n"/>
      <c r="M901" s="16" t="n"/>
      <c r="N901" s="16" t="n"/>
      <c r="O901" s="16" t="n"/>
    </row>
    <row r="902">
      <c r="A902" s="17" t="inlineStr">
        <is>
          <t>TRK-0899</t>
        </is>
      </c>
      <c r="B902" s="16" t="n"/>
      <c r="C902" s="16" t="n"/>
      <c r="D902" s="16" t="n"/>
      <c r="E902" s="16" t="n"/>
      <c r="F902" s="16" t="n"/>
      <c r="G902" s="16" t="n"/>
      <c r="H902" s="16" t="n"/>
      <c r="I902" s="16">
        <f>IF(H902&lt;&gt;"","Completed",IF(TODAY()&gt;G902,"Overdue",IF(F902&lt;&gt;"","In Progress","Not Started")))</f>
        <v/>
      </c>
      <c r="J902" s="18">
        <f>IF(I902="Overdue",TODAY()-G902,0)</f>
        <v/>
      </c>
      <c r="K902" s="16" t="n"/>
      <c r="L902" s="16" t="n"/>
      <c r="M902" s="16" t="n"/>
      <c r="N902" s="16" t="n"/>
      <c r="O902" s="16" t="n"/>
    </row>
    <row r="903">
      <c r="A903" s="17" t="inlineStr">
        <is>
          <t>TRK-0900</t>
        </is>
      </c>
      <c r="B903" s="16" t="n"/>
      <c r="C903" s="16" t="n"/>
      <c r="D903" s="16" t="n"/>
      <c r="E903" s="16" t="n"/>
      <c r="F903" s="16" t="n"/>
      <c r="G903" s="16" t="n"/>
      <c r="H903" s="16" t="n"/>
      <c r="I903" s="16">
        <f>IF(H903&lt;&gt;"","Completed",IF(TODAY()&gt;G903,"Overdue",IF(F903&lt;&gt;"","In Progress","Not Started")))</f>
        <v/>
      </c>
      <c r="J903" s="18">
        <f>IF(I903="Overdue",TODAY()-G903,0)</f>
        <v/>
      </c>
      <c r="K903" s="16" t="n"/>
      <c r="L903" s="16" t="n"/>
      <c r="M903" s="16" t="n"/>
      <c r="N903" s="16" t="n"/>
      <c r="O903" s="16" t="n"/>
    </row>
    <row r="904">
      <c r="A904" s="17" t="inlineStr">
        <is>
          <t>TRK-0901</t>
        </is>
      </c>
      <c r="B904" s="16" t="n"/>
      <c r="C904" s="16" t="n"/>
      <c r="D904" s="16" t="n"/>
      <c r="E904" s="16" t="n"/>
      <c r="F904" s="16" t="n"/>
      <c r="G904" s="16" t="n"/>
      <c r="H904" s="16" t="n"/>
      <c r="I904" s="16">
        <f>IF(H904&lt;&gt;"","Completed",IF(TODAY()&gt;G904,"Overdue",IF(F904&lt;&gt;"","In Progress","Not Started")))</f>
        <v/>
      </c>
      <c r="J904" s="18">
        <f>IF(I904="Overdue",TODAY()-G904,0)</f>
        <v/>
      </c>
      <c r="K904" s="16" t="n"/>
      <c r="L904" s="16" t="n"/>
      <c r="M904" s="16" t="n"/>
      <c r="N904" s="16" t="n"/>
      <c r="O904" s="16" t="n"/>
    </row>
    <row r="905">
      <c r="A905" s="17" t="inlineStr">
        <is>
          <t>TRK-0902</t>
        </is>
      </c>
      <c r="B905" s="16" t="n"/>
      <c r="C905" s="16" t="n"/>
      <c r="D905" s="16" t="n"/>
      <c r="E905" s="16" t="n"/>
      <c r="F905" s="16" t="n"/>
      <c r="G905" s="16" t="n"/>
      <c r="H905" s="16" t="n"/>
      <c r="I905" s="16">
        <f>IF(H905&lt;&gt;"","Completed",IF(TODAY()&gt;G905,"Overdue",IF(F905&lt;&gt;"","In Progress","Not Started")))</f>
        <v/>
      </c>
      <c r="J905" s="18">
        <f>IF(I905="Overdue",TODAY()-G905,0)</f>
        <v/>
      </c>
      <c r="K905" s="16" t="n"/>
      <c r="L905" s="16" t="n"/>
      <c r="M905" s="16" t="n"/>
      <c r="N905" s="16" t="n"/>
      <c r="O905" s="16" t="n"/>
    </row>
    <row r="906">
      <c r="A906" s="17" t="inlineStr">
        <is>
          <t>TRK-0903</t>
        </is>
      </c>
      <c r="B906" s="16" t="n"/>
      <c r="C906" s="16" t="n"/>
      <c r="D906" s="16" t="n"/>
      <c r="E906" s="16" t="n"/>
      <c r="F906" s="16" t="n"/>
      <c r="G906" s="16" t="n"/>
      <c r="H906" s="16" t="n"/>
      <c r="I906" s="16">
        <f>IF(H906&lt;&gt;"","Completed",IF(TODAY()&gt;G906,"Overdue",IF(F906&lt;&gt;"","In Progress","Not Started")))</f>
        <v/>
      </c>
      <c r="J906" s="18">
        <f>IF(I906="Overdue",TODAY()-G906,0)</f>
        <v/>
      </c>
      <c r="K906" s="16" t="n"/>
      <c r="L906" s="16" t="n"/>
      <c r="M906" s="16" t="n"/>
      <c r="N906" s="16" t="n"/>
      <c r="O906" s="16" t="n"/>
    </row>
    <row r="907">
      <c r="A907" s="17" t="inlineStr">
        <is>
          <t>TRK-0904</t>
        </is>
      </c>
      <c r="B907" s="16" t="n"/>
      <c r="C907" s="16" t="n"/>
      <c r="D907" s="16" t="n"/>
      <c r="E907" s="16" t="n"/>
      <c r="F907" s="16" t="n"/>
      <c r="G907" s="16" t="n"/>
      <c r="H907" s="16" t="n"/>
      <c r="I907" s="16">
        <f>IF(H907&lt;&gt;"","Completed",IF(TODAY()&gt;G907,"Overdue",IF(F907&lt;&gt;"","In Progress","Not Started")))</f>
        <v/>
      </c>
      <c r="J907" s="18">
        <f>IF(I907="Overdue",TODAY()-G907,0)</f>
        <v/>
      </c>
      <c r="K907" s="16" t="n"/>
      <c r="L907" s="16" t="n"/>
      <c r="M907" s="16" t="n"/>
      <c r="N907" s="16" t="n"/>
      <c r="O907" s="16" t="n"/>
    </row>
    <row r="908">
      <c r="A908" s="17" t="inlineStr">
        <is>
          <t>TRK-0905</t>
        </is>
      </c>
      <c r="B908" s="16" t="n"/>
      <c r="C908" s="16" t="n"/>
      <c r="D908" s="16" t="n"/>
      <c r="E908" s="16" t="n"/>
      <c r="F908" s="16" t="n"/>
      <c r="G908" s="16" t="n"/>
      <c r="H908" s="16" t="n"/>
      <c r="I908" s="16">
        <f>IF(H908&lt;&gt;"","Completed",IF(TODAY()&gt;G908,"Overdue",IF(F908&lt;&gt;"","In Progress","Not Started")))</f>
        <v/>
      </c>
      <c r="J908" s="18">
        <f>IF(I908="Overdue",TODAY()-G908,0)</f>
        <v/>
      </c>
      <c r="K908" s="16" t="n"/>
      <c r="L908" s="16" t="n"/>
      <c r="M908" s="16" t="n"/>
      <c r="N908" s="16" t="n"/>
      <c r="O908" s="16" t="n"/>
    </row>
    <row r="909">
      <c r="A909" s="17" t="inlineStr">
        <is>
          <t>TRK-0906</t>
        </is>
      </c>
      <c r="B909" s="16" t="n"/>
      <c r="C909" s="16" t="n"/>
      <c r="D909" s="16" t="n"/>
      <c r="E909" s="16" t="n"/>
      <c r="F909" s="16" t="n"/>
      <c r="G909" s="16" t="n"/>
      <c r="H909" s="16" t="n"/>
      <c r="I909" s="16">
        <f>IF(H909&lt;&gt;"","Completed",IF(TODAY()&gt;G909,"Overdue",IF(F909&lt;&gt;"","In Progress","Not Started")))</f>
        <v/>
      </c>
      <c r="J909" s="18">
        <f>IF(I909="Overdue",TODAY()-G909,0)</f>
        <v/>
      </c>
      <c r="K909" s="16" t="n"/>
      <c r="L909" s="16" t="n"/>
      <c r="M909" s="16" t="n"/>
      <c r="N909" s="16" t="n"/>
      <c r="O909" s="16" t="n"/>
    </row>
    <row r="910">
      <c r="A910" s="17" t="inlineStr">
        <is>
          <t>TRK-0907</t>
        </is>
      </c>
      <c r="B910" s="16" t="n"/>
      <c r="C910" s="16" t="n"/>
      <c r="D910" s="16" t="n"/>
      <c r="E910" s="16" t="n"/>
      <c r="F910" s="16" t="n"/>
      <c r="G910" s="16" t="n"/>
      <c r="H910" s="16" t="n"/>
      <c r="I910" s="16">
        <f>IF(H910&lt;&gt;"","Completed",IF(TODAY()&gt;G910,"Overdue",IF(F910&lt;&gt;"","In Progress","Not Started")))</f>
        <v/>
      </c>
      <c r="J910" s="18">
        <f>IF(I910="Overdue",TODAY()-G910,0)</f>
        <v/>
      </c>
      <c r="K910" s="16" t="n"/>
      <c r="L910" s="16" t="n"/>
      <c r="M910" s="16" t="n"/>
      <c r="N910" s="16" t="n"/>
      <c r="O910" s="16" t="n"/>
    </row>
    <row r="911">
      <c r="A911" s="17" t="inlineStr">
        <is>
          <t>TRK-0908</t>
        </is>
      </c>
      <c r="B911" s="16" t="n"/>
      <c r="C911" s="16" t="n"/>
      <c r="D911" s="16" t="n"/>
      <c r="E911" s="16" t="n"/>
      <c r="F911" s="16" t="n"/>
      <c r="G911" s="16" t="n"/>
      <c r="H911" s="16" t="n"/>
      <c r="I911" s="16">
        <f>IF(H911&lt;&gt;"","Completed",IF(TODAY()&gt;G911,"Overdue",IF(F911&lt;&gt;"","In Progress","Not Started")))</f>
        <v/>
      </c>
      <c r="J911" s="18">
        <f>IF(I911="Overdue",TODAY()-G911,0)</f>
        <v/>
      </c>
      <c r="K911" s="16" t="n"/>
      <c r="L911" s="16" t="n"/>
      <c r="M911" s="16" t="n"/>
      <c r="N911" s="16" t="n"/>
      <c r="O911" s="16" t="n"/>
    </row>
    <row r="912">
      <c r="A912" s="17" t="inlineStr">
        <is>
          <t>TRK-0909</t>
        </is>
      </c>
      <c r="B912" s="16" t="n"/>
      <c r="C912" s="16" t="n"/>
      <c r="D912" s="16" t="n"/>
      <c r="E912" s="16" t="n"/>
      <c r="F912" s="16" t="n"/>
      <c r="G912" s="16" t="n"/>
      <c r="H912" s="16" t="n"/>
      <c r="I912" s="16">
        <f>IF(H912&lt;&gt;"","Completed",IF(TODAY()&gt;G912,"Overdue",IF(F912&lt;&gt;"","In Progress","Not Started")))</f>
        <v/>
      </c>
      <c r="J912" s="18">
        <f>IF(I912="Overdue",TODAY()-G912,0)</f>
        <v/>
      </c>
      <c r="K912" s="16" t="n"/>
      <c r="L912" s="16" t="n"/>
      <c r="M912" s="16" t="n"/>
      <c r="N912" s="16" t="n"/>
      <c r="O912" s="16" t="n"/>
    </row>
    <row r="913">
      <c r="A913" s="17" t="inlineStr">
        <is>
          <t>TRK-0910</t>
        </is>
      </c>
      <c r="B913" s="16" t="n"/>
      <c r="C913" s="16" t="n"/>
      <c r="D913" s="16" t="n"/>
      <c r="E913" s="16" t="n"/>
      <c r="F913" s="16" t="n"/>
      <c r="G913" s="16" t="n"/>
      <c r="H913" s="16" t="n"/>
      <c r="I913" s="16">
        <f>IF(H913&lt;&gt;"","Completed",IF(TODAY()&gt;G913,"Overdue",IF(F913&lt;&gt;"","In Progress","Not Started")))</f>
        <v/>
      </c>
      <c r="J913" s="18">
        <f>IF(I913="Overdue",TODAY()-G913,0)</f>
        <v/>
      </c>
      <c r="K913" s="16" t="n"/>
      <c r="L913" s="16" t="n"/>
      <c r="M913" s="16" t="n"/>
      <c r="N913" s="16" t="n"/>
      <c r="O913" s="16" t="n"/>
    </row>
    <row r="914">
      <c r="A914" s="17" t="inlineStr">
        <is>
          <t>TRK-0911</t>
        </is>
      </c>
      <c r="B914" s="16" t="n"/>
      <c r="C914" s="16" t="n"/>
      <c r="D914" s="16" t="n"/>
      <c r="E914" s="16" t="n"/>
      <c r="F914" s="16" t="n"/>
      <c r="G914" s="16" t="n"/>
      <c r="H914" s="16" t="n"/>
      <c r="I914" s="16">
        <f>IF(H914&lt;&gt;"","Completed",IF(TODAY()&gt;G914,"Overdue",IF(F914&lt;&gt;"","In Progress","Not Started")))</f>
        <v/>
      </c>
      <c r="J914" s="18">
        <f>IF(I914="Overdue",TODAY()-G914,0)</f>
        <v/>
      </c>
      <c r="K914" s="16" t="n"/>
      <c r="L914" s="16" t="n"/>
      <c r="M914" s="16" t="n"/>
      <c r="N914" s="16" t="n"/>
      <c r="O914" s="16" t="n"/>
    </row>
    <row r="915">
      <c r="A915" s="17" t="inlineStr">
        <is>
          <t>TRK-0912</t>
        </is>
      </c>
      <c r="B915" s="16" t="n"/>
      <c r="C915" s="16" t="n"/>
      <c r="D915" s="16" t="n"/>
      <c r="E915" s="16" t="n"/>
      <c r="F915" s="16" t="n"/>
      <c r="G915" s="16" t="n"/>
      <c r="H915" s="16" t="n"/>
      <c r="I915" s="16">
        <f>IF(H915&lt;&gt;"","Completed",IF(TODAY()&gt;G915,"Overdue",IF(F915&lt;&gt;"","In Progress","Not Started")))</f>
        <v/>
      </c>
      <c r="J915" s="18">
        <f>IF(I915="Overdue",TODAY()-G915,0)</f>
        <v/>
      </c>
      <c r="K915" s="16" t="n"/>
      <c r="L915" s="16" t="n"/>
      <c r="M915" s="16" t="n"/>
      <c r="N915" s="16" t="n"/>
      <c r="O915" s="16" t="n"/>
    </row>
    <row r="916">
      <c r="A916" s="17" t="inlineStr">
        <is>
          <t>TRK-0913</t>
        </is>
      </c>
      <c r="B916" s="16" t="n"/>
      <c r="C916" s="16" t="n"/>
      <c r="D916" s="16" t="n"/>
      <c r="E916" s="16" t="n"/>
      <c r="F916" s="16" t="n"/>
      <c r="G916" s="16" t="n"/>
      <c r="H916" s="16" t="n"/>
      <c r="I916" s="16">
        <f>IF(H916&lt;&gt;"","Completed",IF(TODAY()&gt;G916,"Overdue",IF(F916&lt;&gt;"","In Progress","Not Started")))</f>
        <v/>
      </c>
      <c r="J916" s="18">
        <f>IF(I916="Overdue",TODAY()-G916,0)</f>
        <v/>
      </c>
      <c r="K916" s="16" t="n"/>
      <c r="L916" s="16" t="n"/>
      <c r="M916" s="16" t="n"/>
      <c r="N916" s="16" t="n"/>
      <c r="O916" s="16" t="n"/>
    </row>
    <row r="917">
      <c r="A917" s="17" t="inlineStr">
        <is>
          <t>TRK-0914</t>
        </is>
      </c>
      <c r="B917" s="16" t="n"/>
      <c r="C917" s="16" t="n"/>
      <c r="D917" s="16" t="n"/>
      <c r="E917" s="16" t="n"/>
      <c r="F917" s="16" t="n"/>
      <c r="G917" s="16" t="n"/>
      <c r="H917" s="16" t="n"/>
      <c r="I917" s="16">
        <f>IF(H917&lt;&gt;"","Completed",IF(TODAY()&gt;G917,"Overdue",IF(F917&lt;&gt;"","In Progress","Not Started")))</f>
        <v/>
      </c>
      <c r="J917" s="18">
        <f>IF(I917="Overdue",TODAY()-G917,0)</f>
        <v/>
      </c>
      <c r="K917" s="16" t="n"/>
      <c r="L917" s="16" t="n"/>
      <c r="M917" s="16" t="n"/>
      <c r="N917" s="16" t="n"/>
      <c r="O917" s="16" t="n"/>
    </row>
    <row r="918">
      <c r="A918" s="17" t="inlineStr">
        <is>
          <t>TRK-0915</t>
        </is>
      </c>
      <c r="B918" s="16" t="n"/>
      <c r="C918" s="16" t="n"/>
      <c r="D918" s="16" t="n"/>
      <c r="E918" s="16" t="n"/>
      <c r="F918" s="16" t="n"/>
      <c r="G918" s="16" t="n"/>
      <c r="H918" s="16" t="n"/>
      <c r="I918" s="16">
        <f>IF(H918&lt;&gt;"","Completed",IF(TODAY()&gt;G918,"Overdue",IF(F918&lt;&gt;"","In Progress","Not Started")))</f>
        <v/>
      </c>
      <c r="J918" s="18">
        <f>IF(I918="Overdue",TODAY()-G918,0)</f>
        <v/>
      </c>
      <c r="K918" s="16" t="n"/>
      <c r="L918" s="16" t="n"/>
      <c r="M918" s="16" t="n"/>
      <c r="N918" s="16" t="n"/>
      <c r="O918" s="16" t="n"/>
    </row>
    <row r="919">
      <c r="A919" s="17" t="inlineStr">
        <is>
          <t>TRK-0916</t>
        </is>
      </c>
      <c r="B919" s="16" t="n"/>
      <c r="C919" s="16" t="n"/>
      <c r="D919" s="16" t="n"/>
      <c r="E919" s="16" t="n"/>
      <c r="F919" s="16" t="n"/>
      <c r="G919" s="16" t="n"/>
      <c r="H919" s="16" t="n"/>
      <c r="I919" s="16">
        <f>IF(H919&lt;&gt;"","Completed",IF(TODAY()&gt;G919,"Overdue",IF(F919&lt;&gt;"","In Progress","Not Started")))</f>
        <v/>
      </c>
      <c r="J919" s="18">
        <f>IF(I919="Overdue",TODAY()-G919,0)</f>
        <v/>
      </c>
      <c r="K919" s="16" t="n"/>
      <c r="L919" s="16" t="n"/>
      <c r="M919" s="16" t="n"/>
      <c r="N919" s="16" t="n"/>
      <c r="O919" s="16" t="n"/>
    </row>
    <row r="920">
      <c r="A920" s="17" t="inlineStr">
        <is>
          <t>TRK-0917</t>
        </is>
      </c>
      <c r="B920" s="16" t="n"/>
      <c r="C920" s="16" t="n"/>
      <c r="D920" s="16" t="n"/>
      <c r="E920" s="16" t="n"/>
      <c r="F920" s="16" t="n"/>
      <c r="G920" s="16" t="n"/>
      <c r="H920" s="16" t="n"/>
      <c r="I920" s="16">
        <f>IF(H920&lt;&gt;"","Completed",IF(TODAY()&gt;G920,"Overdue",IF(F920&lt;&gt;"","In Progress","Not Started")))</f>
        <v/>
      </c>
      <c r="J920" s="18">
        <f>IF(I920="Overdue",TODAY()-G920,0)</f>
        <v/>
      </c>
      <c r="K920" s="16" t="n"/>
      <c r="L920" s="16" t="n"/>
      <c r="M920" s="16" t="n"/>
      <c r="N920" s="16" t="n"/>
      <c r="O920" s="16" t="n"/>
    </row>
    <row r="921">
      <c r="A921" s="17" t="inlineStr">
        <is>
          <t>TRK-0918</t>
        </is>
      </c>
      <c r="B921" s="16" t="n"/>
      <c r="C921" s="16" t="n"/>
      <c r="D921" s="16" t="n"/>
      <c r="E921" s="16" t="n"/>
      <c r="F921" s="16" t="n"/>
      <c r="G921" s="16" t="n"/>
      <c r="H921" s="16" t="n"/>
      <c r="I921" s="16">
        <f>IF(H921&lt;&gt;"","Completed",IF(TODAY()&gt;G921,"Overdue",IF(F921&lt;&gt;"","In Progress","Not Started")))</f>
        <v/>
      </c>
      <c r="J921" s="18">
        <f>IF(I921="Overdue",TODAY()-G921,0)</f>
        <v/>
      </c>
      <c r="K921" s="16" t="n"/>
      <c r="L921" s="16" t="n"/>
      <c r="M921" s="16" t="n"/>
      <c r="N921" s="16" t="n"/>
      <c r="O921" s="16" t="n"/>
    </row>
    <row r="922">
      <c r="A922" s="17" t="inlineStr">
        <is>
          <t>TRK-0919</t>
        </is>
      </c>
      <c r="B922" s="16" t="n"/>
      <c r="C922" s="16" t="n"/>
      <c r="D922" s="16" t="n"/>
      <c r="E922" s="16" t="n"/>
      <c r="F922" s="16" t="n"/>
      <c r="G922" s="16" t="n"/>
      <c r="H922" s="16" t="n"/>
      <c r="I922" s="16">
        <f>IF(H922&lt;&gt;"","Completed",IF(TODAY()&gt;G922,"Overdue",IF(F922&lt;&gt;"","In Progress","Not Started")))</f>
        <v/>
      </c>
      <c r="J922" s="18">
        <f>IF(I922="Overdue",TODAY()-G922,0)</f>
        <v/>
      </c>
      <c r="K922" s="16" t="n"/>
      <c r="L922" s="16" t="n"/>
      <c r="M922" s="16" t="n"/>
      <c r="N922" s="16" t="n"/>
      <c r="O922" s="16" t="n"/>
    </row>
    <row r="923">
      <c r="A923" s="17" t="inlineStr">
        <is>
          <t>TRK-0920</t>
        </is>
      </c>
      <c r="B923" s="16" t="n"/>
      <c r="C923" s="16" t="n"/>
      <c r="D923" s="16" t="n"/>
      <c r="E923" s="16" t="n"/>
      <c r="F923" s="16" t="n"/>
      <c r="G923" s="16" t="n"/>
      <c r="H923" s="16" t="n"/>
      <c r="I923" s="16">
        <f>IF(H923&lt;&gt;"","Completed",IF(TODAY()&gt;G923,"Overdue",IF(F923&lt;&gt;"","In Progress","Not Started")))</f>
        <v/>
      </c>
      <c r="J923" s="18">
        <f>IF(I923="Overdue",TODAY()-G923,0)</f>
        <v/>
      </c>
      <c r="K923" s="16" t="n"/>
      <c r="L923" s="16" t="n"/>
      <c r="M923" s="16" t="n"/>
      <c r="N923" s="16" t="n"/>
      <c r="O923" s="16" t="n"/>
    </row>
    <row r="924">
      <c r="A924" s="17" t="inlineStr">
        <is>
          <t>TRK-0921</t>
        </is>
      </c>
      <c r="B924" s="16" t="n"/>
      <c r="C924" s="16" t="n"/>
      <c r="D924" s="16" t="n"/>
      <c r="E924" s="16" t="n"/>
      <c r="F924" s="16" t="n"/>
      <c r="G924" s="16" t="n"/>
      <c r="H924" s="16" t="n"/>
      <c r="I924" s="16">
        <f>IF(H924&lt;&gt;"","Completed",IF(TODAY()&gt;G924,"Overdue",IF(F924&lt;&gt;"","In Progress","Not Started")))</f>
        <v/>
      </c>
      <c r="J924" s="18">
        <f>IF(I924="Overdue",TODAY()-G924,0)</f>
        <v/>
      </c>
      <c r="K924" s="16" t="n"/>
      <c r="L924" s="16" t="n"/>
      <c r="M924" s="16" t="n"/>
      <c r="N924" s="16" t="n"/>
      <c r="O924" s="16" t="n"/>
    </row>
    <row r="925">
      <c r="A925" s="17" t="inlineStr">
        <is>
          <t>TRK-0922</t>
        </is>
      </c>
      <c r="B925" s="16" t="n"/>
      <c r="C925" s="16" t="n"/>
      <c r="D925" s="16" t="n"/>
      <c r="E925" s="16" t="n"/>
      <c r="F925" s="16" t="n"/>
      <c r="G925" s="16" t="n"/>
      <c r="H925" s="16" t="n"/>
      <c r="I925" s="16">
        <f>IF(H925&lt;&gt;"","Completed",IF(TODAY()&gt;G925,"Overdue",IF(F925&lt;&gt;"","In Progress","Not Started")))</f>
        <v/>
      </c>
      <c r="J925" s="18">
        <f>IF(I925="Overdue",TODAY()-G925,0)</f>
        <v/>
      </c>
      <c r="K925" s="16" t="n"/>
      <c r="L925" s="16" t="n"/>
      <c r="M925" s="16" t="n"/>
      <c r="N925" s="16" t="n"/>
      <c r="O925" s="16" t="n"/>
    </row>
    <row r="926">
      <c r="A926" s="17" t="inlineStr">
        <is>
          <t>TRK-0923</t>
        </is>
      </c>
      <c r="B926" s="16" t="n"/>
      <c r="C926" s="16" t="n"/>
      <c r="D926" s="16" t="n"/>
      <c r="E926" s="16" t="n"/>
      <c r="F926" s="16" t="n"/>
      <c r="G926" s="16" t="n"/>
      <c r="H926" s="16" t="n"/>
      <c r="I926" s="16">
        <f>IF(H926&lt;&gt;"","Completed",IF(TODAY()&gt;G926,"Overdue",IF(F926&lt;&gt;"","In Progress","Not Started")))</f>
        <v/>
      </c>
      <c r="J926" s="18">
        <f>IF(I926="Overdue",TODAY()-G926,0)</f>
        <v/>
      </c>
      <c r="K926" s="16" t="n"/>
      <c r="L926" s="16" t="n"/>
      <c r="M926" s="16" t="n"/>
      <c r="N926" s="16" t="n"/>
      <c r="O926" s="16" t="n"/>
    </row>
    <row r="927">
      <c r="A927" s="17" t="inlineStr">
        <is>
          <t>TRK-0924</t>
        </is>
      </c>
      <c r="B927" s="16" t="n"/>
      <c r="C927" s="16" t="n"/>
      <c r="D927" s="16" t="n"/>
      <c r="E927" s="16" t="n"/>
      <c r="F927" s="16" t="n"/>
      <c r="G927" s="16" t="n"/>
      <c r="H927" s="16" t="n"/>
      <c r="I927" s="16">
        <f>IF(H927&lt;&gt;"","Completed",IF(TODAY()&gt;G927,"Overdue",IF(F927&lt;&gt;"","In Progress","Not Started")))</f>
        <v/>
      </c>
      <c r="J927" s="18">
        <f>IF(I927="Overdue",TODAY()-G927,0)</f>
        <v/>
      </c>
      <c r="K927" s="16" t="n"/>
      <c r="L927" s="16" t="n"/>
      <c r="M927" s="16" t="n"/>
      <c r="N927" s="16" t="n"/>
      <c r="O927" s="16" t="n"/>
    </row>
    <row r="928">
      <c r="A928" s="17" t="inlineStr">
        <is>
          <t>TRK-0925</t>
        </is>
      </c>
      <c r="B928" s="16" t="n"/>
      <c r="C928" s="16" t="n"/>
      <c r="D928" s="16" t="n"/>
      <c r="E928" s="16" t="n"/>
      <c r="F928" s="16" t="n"/>
      <c r="G928" s="16" t="n"/>
      <c r="H928" s="16" t="n"/>
      <c r="I928" s="16">
        <f>IF(H928&lt;&gt;"","Completed",IF(TODAY()&gt;G928,"Overdue",IF(F928&lt;&gt;"","In Progress","Not Started")))</f>
        <v/>
      </c>
      <c r="J928" s="18">
        <f>IF(I928="Overdue",TODAY()-G928,0)</f>
        <v/>
      </c>
      <c r="K928" s="16" t="n"/>
      <c r="L928" s="16" t="n"/>
      <c r="M928" s="16" t="n"/>
      <c r="N928" s="16" t="n"/>
      <c r="O928" s="16" t="n"/>
    </row>
    <row r="929">
      <c r="A929" s="17" t="inlineStr">
        <is>
          <t>TRK-0926</t>
        </is>
      </c>
      <c r="B929" s="16" t="n"/>
      <c r="C929" s="16" t="n"/>
      <c r="D929" s="16" t="n"/>
      <c r="E929" s="16" t="n"/>
      <c r="F929" s="16" t="n"/>
      <c r="G929" s="16" t="n"/>
      <c r="H929" s="16" t="n"/>
      <c r="I929" s="16">
        <f>IF(H929&lt;&gt;"","Completed",IF(TODAY()&gt;G929,"Overdue",IF(F929&lt;&gt;"","In Progress","Not Started")))</f>
        <v/>
      </c>
      <c r="J929" s="18">
        <f>IF(I929="Overdue",TODAY()-G929,0)</f>
        <v/>
      </c>
      <c r="K929" s="16" t="n"/>
      <c r="L929" s="16" t="n"/>
      <c r="M929" s="16" t="n"/>
      <c r="N929" s="16" t="n"/>
      <c r="O929" s="16" t="n"/>
    </row>
    <row r="930">
      <c r="A930" s="17" t="inlineStr">
        <is>
          <t>TRK-0927</t>
        </is>
      </c>
      <c r="B930" s="16" t="n"/>
      <c r="C930" s="16" t="n"/>
      <c r="D930" s="16" t="n"/>
      <c r="E930" s="16" t="n"/>
      <c r="F930" s="16" t="n"/>
      <c r="G930" s="16" t="n"/>
      <c r="H930" s="16" t="n"/>
      <c r="I930" s="16">
        <f>IF(H930&lt;&gt;"","Completed",IF(TODAY()&gt;G930,"Overdue",IF(F930&lt;&gt;"","In Progress","Not Started")))</f>
        <v/>
      </c>
      <c r="J930" s="18">
        <f>IF(I930="Overdue",TODAY()-G930,0)</f>
        <v/>
      </c>
      <c r="K930" s="16" t="n"/>
      <c r="L930" s="16" t="n"/>
      <c r="M930" s="16" t="n"/>
      <c r="N930" s="16" t="n"/>
      <c r="O930" s="16" t="n"/>
    </row>
    <row r="931">
      <c r="A931" s="17" t="inlineStr">
        <is>
          <t>TRK-0928</t>
        </is>
      </c>
      <c r="B931" s="16" t="n"/>
      <c r="C931" s="16" t="n"/>
      <c r="D931" s="16" t="n"/>
      <c r="E931" s="16" t="n"/>
      <c r="F931" s="16" t="n"/>
      <c r="G931" s="16" t="n"/>
      <c r="H931" s="16" t="n"/>
      <c r="I931" s="16">
        <f>IF(H931&lt;&gt;"","Completed",IF(TODAY()&gt;G931,"Overdue",IF(F931&lt;&gt;"","In Progress","Not Started")))</f>
        <v/>
      </c>
      <c r="J931" s="18">
        <f>IF(I931="Overdue",TODAY()-G931,0)</f>
        <v/>
      </c>
      <c r="K931" s="16" t="n"/>
      <c r="L931" s="16" t="n"/>
      <c r="M931" s="16" t="n"/>
      <c r="N931" s="16" t="n"/>
      <c r="O931" s="16" t="n"/>
    </row>
    <row r="932">
      <c r="A932" s="17" t="inlineStr">
        <is>
          <t>TRK-0929</t>
        </is>
      </c>
      <c r="B932" s="16" t="n"/>
      <c r="C932" s="16" t="n"/>
      <c r="D932" s="16" t="n"/>
      <c r="E932" s="16" t="n"/>
      <c r="F932" s="16" t="n"/>
      <c r="G932" s="16" t="n"/>
      <c r="H932" s="16" t="n"/>
      <c r="I932" s="16">
        <f>IF(H932&lt;&gt;"","Completed",IF(TODAY()&gt;G932,"Overdue",IF(F932&lt;&gt;"","In Progress","Not Started")))</f>
        <v/>
      </c>
      <c r="J932" s="18">
        <f>IF(I932="Overdue",TODAY()-G932,0)</f>
        <v/>
      </c>
      <c r="K932" s="16" t="n"/>
      <c r="L932" s="16" t="n"/>
      <c r="M932" s="16" t="n"/>
      <c r="N932" s="16" t="n"/>
      <c r="O932" s="16" t="n"/>
    </row>
    <row r="933">
      <c r="A933" s="17" t="inlineStr">
        <is>
          <t>TRK-0930</t>
        </is>
      </c>
      <c r="B933" s="16" t="n"/>
      <c r="C933" s="16" t="n"/>
      <c r="D933" s="16" t="n"/>
      <c r="E933" s="16" t="n"/>
      <c r="F933" s="16" t="n"/>
      <c r="G933" s="16" t="n"/>
      <c r="H933" s="16" t="n"/>
      <c r="I933" s="16">
        <f>IF(H933&lt;&gt;"","Completed",IF(TODAY()&gt;G933,"Overdue",IF(F933&lt;&gt;"","In Progress","Not Started")))</f>
        <v/>
      </c>
      <c r="J933" s="18">
        <f>IF(I933="Overdue",TODAY()-G933,0)</f>
        <v/>
      </c>
      <c r="K933" s="16" t="n"/>
      <c r="L933" s="16" t="n"/>
      <c r="M933" s="16" t="n"/>
      <c r="N933" s="16" t="n"/>
      <c r="O933" s="16" t="n"/>
    </row>
    <row r="934">
      <c r="A934" s="17" t="inlineStr">
        <is>
          <t>TRK-0931</t>
        </is>
      </c>
      <c r="B934" s="16" t="n"/>
      <c r="C934" s="16" t="n"/>
      <c r="D934" s="16" t="n"/>
      <c r="E934" s="16" t="n"/>
      <c r="F934" s="16" t="n"/>
      <c r="G934" s="16" t="n"/>
      <c r="H934" s="16" t="n"/>
      <c r="I934" s="16">
        <f>IF(H934&lt;&gt;"","Completed",IF(TODAY()&gt;G934,"Overdue",IF(F934&lt;&gt;"","In Progress","Not Started")))</f>
        <v/>
      </c>
      <c r="J934" s="18">
        <f>IF(I934="Overdue",TODAY()-G934,0)</f>
        <v/>
      </c>
      <c r="K934" s="16" t="n"/>
      <c r="L934" s="16" t="n"/>
      <c r="M934" s="16" t="n"/>
      <c r="N934" s="16" t="n"/>
      <c r="O934" s="16" t="n"/>
    </row>
    <row r="935">
      <c r="A935" s="17" t="inlineStr">
        <is>
          <t>TRK-0932</t>
        </is>
      </c>
      <c r="B935" s="16" t="n"/>
      <c r="C935" s="16" t="n"/>
      <c r="D935" s="16" t="n"/>
      <c r="E935" s="16" t="n"/>
      <c r="F935" s="16" t="n"/>
      <c r="G935" s="16" t="n"/>
      <c r="H935" s="16" t="n"/>
      <c r="I935" s="16">
        <f>IF(H935&lt;&gt;"","Completed",IF(TODAY()&gt;G935,"Overdue",IF(F935&lt;&gt;"","In Progress","Not Started")))</f>
        <v/>
      </c>
      <c r="J935" s="18">
        <f>IF(I935="Overdue",TODAY()-G935,0)</f>
        <v/>
      </c>
      <c r="K935" s="16" t="n"/>
      <c r="L935" s="16" t="n"/>
      <c r="M935" s="16" t="n"/>
      <c r="N935" s="16" t="n"/>
      <c r="O935" s="16" t="n"/>
    </row>
    <row r="936">
      <c r="A936" s="17" t="inlineStr">
        <is>
          <t>TRK-0933</t>
        </is>
      </c>
      <c r="B936" s="16" t="n"/>
      <c r="C936" s="16" t="n"/>
      <c r="D936" s="16" t="n"/>
      <c r="E936" s="16" t="n"/>
      <c r="F936" s="16" t="n"/>
      <c r="G936" s="16" t="n"/>
      <c r="H936" s="16" t="n"/>
      <c r="I936" s="16">
        <f>IF(H936&lt;&gt;"","Completed",IF(TODAY()&gt;G936,"Overdue",IF(F936&lt;&gt;"","In Progress","Not Started")))</f>
        <v/>
      </c>
      <c r="J936" s="18">
        <f>IF(I936="Overdue",TODAY()-G936,0)</f>
        <v/>
      </c>
      <c r="K936" s="16" t="n"/>
      <c r="L936" s="16" t="n"/>
      <c r="M936" s="16" t="n"/>
      <c r="N936" s="16" t="n"/>
      <c r="O936" s="16" t="n"/>
    </row>
    <row r="937">
      <c r="A937" s="17" t="inlineStr">
        <is>
          <t>TRK-0934</t>
        </is>
      </c>
      <c r="B937" s="16" t="n"/>
      <c r="C937" s="16" t="n"/>
      <c r="D937" s="16" t="n"/>
      <c r="E937" s="16" t="n"/>
      <c r="F937" s="16" t="n"/>
      <c r="G937" s="16" t="n"/>
      <c r="H937" s="16" t="n"/>
      <c r="I937" s="16">
        <f>IF(H937&lt;&gt;"","Completed",IF(TODAY()&gt;G937,"Overdue",IF(F937&lt;&gt;"","In Progress","Not Started")))</f>
        <v/>
      </c>
      <c r="J937" s="18">
        <f>IF(I937="Overdue",TODAY()-G937,0)</f>
        <v/>
      </c>
      <c r="K937" s="16" t="n"/>
      <c r="L937" s="16" t="n"/>
      <c r="M937" s="16" t="n"/>
      <c r="N937" s="16" t="n"/>
      <c r="O937" s="16" t="n"/>
    </row>
    <row r="938">
      <c r="A938" s="17" t="inlineStr">
        <is>
          <t>TRK-0935</t>
        </is>
      </c>
      <c r="B938" s="16" t="n"/>
      <c r="C938" s="16" t="n"/>
      <c r="D938" s="16" t="n"/>
      <c r="E938" s="16" t="n"/>
      <c r="F938" s="16" t="n"/>
      <c r="G938" s="16" t="n"/>
      <c r="H938" s="16" t="n"/>
      <c r="I938" s="16">
        <f>IF(H938&lt;&gt;"","Completed",IF(TODAY()&gt;G938,"Overdue",IF(F938&lt;&gt;"","In Progress","Not Started")))</f>
        <v/>
      </c>
      <c r="J938" s="18">
        <f>IF(I938="Overdue",TODAY()-G938,0)</f>
        <v/>
      </c>
      <c r="K938" s="16" t="n"/>
      <c r="L938" s="16" t="n"/>
      <c r="M938" s="16" t="n"/>
      <c r="N938" s="16" t="n"/>
      <c r="O938" s="16" t="n"/>
    </row>
    <row r="939">
      <c r="A939" s="17" t="inlineStr">
        <is>
          <t>TRK-0936</t>
        </is>
      </c>
      <c r="B939" s="16" t="n"/>
      <c r="C939" s="16" t="n"/>
      <c r="D939" s="16" t="n"/>
      <c r="E939" s="16" t="n"/>
      <c r="F939" s="16" t="n"/>
      <c r="G939" s="16" t="n"/>
      <c r="H939" s="16" t="n"/>
      <c r="I939" s="16">
        <f>IF(H939&lt;&gt;"","Completed",IF(TODAY()&gt;G939,"Overdue",IF(F939&lt;&gt;"","In Progress","Not Started")))</f>
        <v/>
      </c>
      <c r="J939" s="18">
        <f>IF(I939="Overdue",TODAY()-G939,0)</f>
        <v/>
      </c>
      <c r="K939" s="16" t="n"/>
      <c r="L939" s="16" t="n"/>
      <c r="M939" s="16" t="n"/>
      <c r="N939" s="16" t="n"/>
      <c r="O939" s="16" t="n"/>
    </row>
    <row r="940">
      <c r="A940" s="17" t="inlineStr">
        <is>
          <t>TRK-0937</t>
        </is>
      </c>
      <c r="B940" s="16" t="n"/>
      <c r="C940" s="16" t="n"/>
      <c r="D940" s="16" t="n"/>
      <c r="E940" s="16" t="n"/>
      <c r="F940" s="16" t="n"/>
      <c r="G940" s="16" t="n"/>
      <c r="H940" s="16" t="n"/>
      <c r="I940" s="16">
        <f>IF(H940&lt;&gt;"","Completed",IF(TODAY()&gt;G940,"Overdue",IF(F940&lt;&gt;"","In Progress","Not Started")))</f>
        <v/>
      </c>
      <c r="J940" s="18">
        <f>IF(I940="Overdue",TODAY()-G940,0)</f>
        <v/>
      </c>
      <c r="K940" s="16" t="n"/>
      <c r="L940" s="16" t="n"/>
      <c r="M940" s="16" t="n"/>
      <c r="N940" s="16" t="n"/>
      <c r="O940" s="16" t="n"/>
    </row>
    <row r="941">
      <c r="A941" s="17" t="inlineStr">
        <is>
          <t>TRK-0938</t>
        </is>
      </c>
      <c r="B941" s="16" t="n"/>
      <c r="C941" s="16" t="n"/>
      <c r="D941" s="16" t="n"/>
      <c r="E941" s="16" t="n"/>
      <c r="F941" s="16" t="n"/>
      <c r="G941" s="16" t="n"/>
      <c r="H941" s="16" t="n"/>
      <c r="I941" s="16">
        <f>IF(H941&lt;&gt;"","Completed",IF(TODAY()&gt;G941,"Overdue",IF(F941&lt;&gt;"","In Progress","Not Started")))</f>
        <v/>
      </c>
      <c r="J941" s="18">
        <f>IF(I941="Overdue",TODAY()-G941,0)</f>
        <v/>
      </c>
      <c r="K941" s="16" t="n"/>
      <c r="L941" s="16" t="n"/>
      <c r="M941" s="16" t="n"/>
      <c r="N941" s="16" t="n"/>
      <c r="O941" s="16" t="n"/>
    </row>
    <row r="942">
      <c r="A942" s="17" t="inlineStr">
        <is>
          <t>TRK-0939</t>
        </is>
      </c>
      <c r="B942" s="16" t="n"/>
      <c r="C942" s="16" t="n"/>
      <c r="D942" s="16" t="n"/>
      <c r="E942" s="16" t="n"/>
      <c r="F942" s="16" t="n"/>
      <c r="G942" s="16" t="n"/>
      <c r="H942" s="16" t="n"/>
      <c r="I942" s="16">
        <f>IF(H942&lt;&gt;"","Completed",IF(TODAY()&gt;G942,"Overdue",IF(F942&lt;&gt;"","In Progress","Not Started")))</f>
        <v/>
      </c>
      <c r="J942" s="18">
        <f>IF(I942="Overdue",TODAY()-G942,0)</f>
        <v/>
      </c>
      <c r="K942" s="16" t="n"/>
      <c r="L942" s="16" t="n"/>
      <c r="M942" s="16" t="n"/>
      <c r="N942" s="16" t="n"/>
      <c r="O942" s="16" t="n"/>
    </row>
    <row r="943">
      <c r="A943" s="17" t="inlineStr">
        <is>
          <t>TRK-0940</t>
        </is>
      </c>
      <c r="B943" s="16" t="n"/>
      <c r="C943" s="16" t="n"/>
      <c r="D943" s="16" t="n"/>
      <c r="E943" s="16" t="n"/>
      <c r="F943" s="16" t="n"/>
      <c r="G943" s="16" t="n"/>
      <c r="H943" s="16" t="n"/>
      <c r="I943" s="16">
        <f>IF(H943&lt;&gt;"","Completed",IF(TODAY()&gt;G943,"Overdue",IF(F943&lt;&gt;"","In Progress","Not Started")))</f>
        <v/>
      </c>
      <c r="J943" s="18">
        <f>IF(I943="Overdue",TODAY()-G943,0)</f>
        <v/>
      </c>
      <c r="K943" s="16" t="n"/>
      <c r="L943" s="16" t="n"/>
      <c r="M943" s="16" t="n"/>
      <c r="N943" s="16" t="n"/>
      <c r="O943" s="16" t="n"/>
    </row>
    <row r="944">
      <c r="A944" s="17" t="inlineStr">
        <is>
          <t>TRK-0941</t>
        </is>
      </c>
      <c r="B944" s="16" t="n"/>
      <c r="C944" s="16" t="n"/>
      <c r="D944" s="16" t="n"/>
      <c r="E944" s="16" t="n"/>
      <c r="F944" s="16" t="n"/>
      <c r="G944" s="16" t="n"/>
      <c r="H944" s="16" t="n"/>
      <c r="I944" s="16">
        <f>IF(H944&lt;&gt;"","Completed",IF(TODAY()&gt;G944,"Overdue",IF(F944&lt;&gt;"","In Progress","Not Started")))</f>
        <v/>
      </c>
      <c r="J944" s="18">
        <f>IF(I944="Overdue",TODAY()-G944,0)</f>
        <v/>
      </c>
      <c r="K944" s="16" t="n"/>
      <c r="L944" s="16" t="n"/>
      <c r="M944" s="16" t="n"/>
      <c r="N944" s="16" t="n"/>
      <c r="O944" s="16" t="n"/>
    </row>
    <row r="945">
      <c r="A945" s="17" t="inlineStr">
        <is>
          <t>TRK-0942</t>
        </is>
      </c>
      <c r="B945" s="16" t="n"/>
      <c r="C945" s="16" t="n"/>
      <c r="D945" s="16" t="n"/>
      <c r="E945" s="16" t="n"/>
      <c r="F945" s="16" t="n"/>
      <c r="G945" s="16" t="n"/>
      <c r="H945" s="16" t="n"/>
      <c r="I945" s="16">
        <f>IF(H945&lt;&gt;"","Completed",IF(TODAY()&gt;G945,"Overdue",IF(F945&lt;&gt;"","In Progress","Not Started")))</f>
        <v/>
      </c>
      <c r="J945" s="18">
        <f>IF(I945="Overdue",TODAY()-G945,0)</f>
        <v/>
      </c>
      <c r="K945" s="16" t="n"/>
      <c r="L945" s="16" t="n"/>
      <c r="M945" s="16" t="n"/>
      <c r="N945" s="16" t="n"/>
      <c r="O945" s="16" t="n"/>
    </row>
    <row r="946">
      <c r="A946" s="17" t="inlineStr">
        <is>
          <t>TRK-0943</t>
        </is>
      </c>
      <c r="B946" s="16" t="n"/>
      <c r="C946" s="16" t="n"/>
      <c r="D946" s="16" t="n"/>
      <c r="E946" s="16" t="n"/>
      <c r="F946" s="16" t="n"/>
      <c r="G946" s="16" t="n"/>
      <c r="H946" s="16" t="n"/>
      <c r="I946" s="16">
        <f>IF(H946&lt;&gt;"","Completed",IF(TODAY()&gt;G946,"Overdue",IF(F946&lt;&gt;"","In Progress","Not Started")))</f>
        <v/>
      </c>
      <c r="J946" s="18">
        <f>IF(I946="Overdue",TODAY()-G946,0)</f>
        <v/>
      </c>
      <c r="K946" s="16" t="n"/>
      <c r="L946" s="16" t="n"/>
      <c r="M946" s="16" t="n"/>
      <c r="N946" s="16" t="n"/>
      <c r="O946" s="16" t="n"/>
    </row>
    <row r="947">
      <c r="A947" s="17" t="inlineStr">
        <is>
          <t>TRK-0944</t>
        </is>
      </c>
      <c r="B947" s="16" t="n"/>
      <c r="C947" s="16" t="n"/>
      <c r="D947" s="16" t="n"/>
      <c r="E947" s="16" t="n"/>
      <c r="F947" s="16" t="n"/>
      <c r="G947" s="16" t="n"/>
      <c r="H947" s="16" t="n"/>
      <c r="I947" s="16">
        <f>IF(H947&lt;&gt;"","Completed",IF(TODAY()&gt;G947,"Overdue",IF(F947&lt;&gt;"","In Progress","Not Started")))</f>
        <v/>
      </c>
      <c r="J947" s="18">
        <f>IF(I947="Overdue",TODAY()-G947,0)</f>
        <v/>
      </c>
      <c r="K947" s="16" t="n"/>
      <c r="L947" s="16" t="n"/>
      <c r="M947" s="16" t="n"/>
      <c r="N947" s="16" t="n"/>
      <c r="O947" s="16" t="n"/>
    </row>
    <row r="948">
      <c r="A948" s="17" t="inlineStr">
        <is>
          <t>TRK-0945</t>
        </is>
      </c>
      <c r="B948" s="16" t="n"/>
      <c r="C948" s="16" t="n"/>
      <c r="D948" s="16" t="n"/>
      <c r="E948" s="16" t="n"/>
      <c r="F948" s="16" t="n"/>
      <c r="G948" s="16" t="n"/>
      <c r="H948" s="16" t="n"/>
      <c r="I948" s="16">
        <f>IF(H948&lt;&gt;"","Completed",IF(TODAY()&gt;G948,"Overdue",IF(F948&lt;&gt;"","In Progress","Not Started")))</f>
        <v/>
      </c>
      <c r="J948" s="18">
        <f>IF(I948="Overdue",TODAY()-G948,0)</f>
        <v/>
      </c>
      <c r="K948" s="16" t="n"/>
      <c r="L948" s="16" t="n"/>
      <c r="M948" s="16" t="n"/>
      <c r="N948" s="16" t="n"/>
      <c r="O948" s="16" t="n"/>
    </row>
    <row r="949">
      <c r="A949" s="17" t="inlineStr">
        <is>
          <t>TRK-0946</t>
        </is>
      </c>
      <c r="B949" s="16" t="n"/>
      <c r="C949" s="16" t="n"/>
      <c r="D949" s="16" t="n"/>
      <c r="E949" s="16" t="n"/>
      <c r="F949" s="16" t="n"/>
      <c r="G949" s="16" t="n"/>
      <c r="H949" s="16" t="n"/>
      <c r="I949" s="16">
        <f>IF(H949&lt;&gt;"","Completed",IF(TODAY()&gt;G949,"Overdue",IF(F949&lt;&gt;"","In Progress","Not Started")))</f>
        <v/>
      </c>
      <c r="J949" s="18">
        <f>IF(I949="Overdue",TODAY()-G949,0)</f>
        <v/>
      </c>
      <c r="K949" s="16" t="n"/>
      <c r="L949" s="16" t="n"/>
      <c r="M949" s="16" t="n"/>
      <c r="N949" s="16" t="n"/>
      <c r="O949" s="16" t="n"/>
    </row>
    <row r="950">
      <c r="A950" s="17" t="inlineStr">
        <is>
          <t>TRK-0947</t>
        </is>
      </c>
      <c r="B950" s="16" t="n"/>
      <c r="C950" s="16" t="n"/>
      <c r="D950" s="16" t="n"/>
      <c r="E950" s="16" t="n"/>
      <c r="F950" s="16" t="n"/>
      <c r="G950" s="16" t="n"/>
      <c r="H950" s="16" t="n"/>
      <c r="I950" s="16">
        <f>IF(H950&lt;&gt;"","Completed",IF(TODAY()&gt;G950,"Overdue",IF(F950&lt;&gt;"","In Progress","Not Started")))</f>
        <v/>
      </c>
      <c r="J950" s="18">
        <f>IF(I950="Overdue",TODAY()-G950,0)</f>
        <v/>
      </c>
      <c r="K950" s="16" t="n"/>
      <c r="L950" s="16" t="n"/>
      <c r="M950" s="16" t="n"/>
      <c r="N950" s="16" t="n"/>
      <c r="O950" s="16" t="n"/>
    </row>
    <row r="951">
      <c r="A951" s="17" t="inlineStr">
        <is>
          <t>TRK-0948</t>
        </is>
      </c>
      <c r="B951" s="16" t="n"/>
      <c r="C951" s="16" t="n"/>
      <c r="D951" s="16" t="n"/>
      <c r="E951" s="16" t="n"/>
      <c r="F951" s="16" t="n"/>
      <c r="G951" s="16" t="n"/>
      <c r="H951" s="16" t="n"/>
      <c r="I951" s="16">
        <f>IF(H951&lt;&gt;"","Completed",IF(TODAY()&gt;G951,"Overdue",IF(F951&lt;&gt;"","In Progress","Not Started")))</f>
        <v/>
      </c>
      <c r="J951" s="18">
        <f>IF(I951="Overdue",TODAY()-G951,0)</f>
        <v/>
      </c>
      <c r="K951" s="16" t="n"/>
      <c r="L951" s="16" t="n"/>
      <c r="M951" s="16" t="n"/>
      <c r="N951" s="16" t="n"/>
      <c r="O951" s="16" t="n"/>
    </row>
    <row r="952">
      <c r="A952" s="17" t="inlineStr">
        <is>
          <t>TRK-0949</t>
        </is>
      </c>
      <c r="B952" s="16" t="n"/>
      <c r="C952" s="16" t="n"/>
      <c r="D952" s="16" t="n"/>
      <c r="E952" s="16" t="n"/>
      <c r="F952" s="16" t="n"/>
      <c r="G952" s="16" t="n"/>
      <c r="H952" s="16" t="n"/>
      <c r="I952" s="16">
        <f>IF(H952&lt;&gt;"","Completed",IF(TODAY()&gt;G952,"Overdue",IF(F952&lt;&gt;"","In Progress","Not Started")))</f>
        <v/>
      </c>
      <c r="J952" s="18">
        <f>IF(I952="Overdue",TODAY()-G952,0)</f>
        <v/>
      </c>
      <c r="K952" s="16" t="n"/>
      <c r="L952" s="16" t="n"/>
      <c r="M952" s="16" t="n"/>
      <c r="N952" s="16" t="n"/>
      <c r="O952" s="16" t="n"/>
    </row>
    <row r="953">
      <c r="A953" s="17" t="inlineStr">
        <is>
          <t>TRK-0950</t>
        </is>
      </c>
      <c r="B953" s="16" t="n"/>
      <c r="C953" s="16" t="n"/>
      <c r="D953" s="16" t="n"/>
      <c r="E953" s="16" t="n"/>
      <c r="F953" s="16" t="n"/>
      <c r="G953" s="16" t="n"/>
      <c r="H953" s="16" t="n"/>
      <c r="I953" s="16">
        <f>IF(H953&lt;&gt;"","Completed",IF(TODAY()&gt;G953,"Overdue",IF(F953&lt;&gt;"","In Progress","Not Started")))</f>
        <v/>
      </c>
      <c r="J953" s="18">
        <f>IF(I953="Overdue",TODAY()-G953,0)</f>
        <v/>
      </c>
      <c r="K953" s="16" t="n"/>
      <c r="L953" s="16" t="n"/>
      <c r="M953" s="16" t="n"/>
      <c r="N953" s="16" t="n"/>
      <c r="O953" s="16" t="n"/>
    </row>
    <row r="954">
      <c r="A954" s="17" t="inlineStr">
        <is>
          <t>TRK-0951</t>
        </is>
      </c>
      <c r="B954" s="16" t="n"/>
      <c r="C954" s="16" t="n"/>
      <c r="D954" s="16" t="n"/>
      <c r="E954" s="16" t="n"/>
      <c r="F954" s="16" t="n"/>
      <c r="G954" s="16" t="n"/>
      <c r="H954" s="16" t="n"/>
      <c r="I954" s="16">
        <f>IF(H954&lt;&gt;"","Completed",IF(TODAY()&gt;G954,"Overdue",IF(F954&lt;&gt;"","In Progress","Not Started")))</f>
        <v/>
      </c>
      <c r="J954" s="18">
        <f>IF(I954="Overdue",TODAY()-G954,0)</f>
        <v/>
      </c>
      <c r="K954" s="16" t="n"/>
      <c r="L954" s="16" t="n"/>
      <c r="M954" s="16" t="n"/>
      <c r="N954" s="16" t="n"/>
      <c r="O954" s="16" t="n"/>
    </row>
    <row r="955">
      <c r="A955" s="17" t="inlineStr">
        <is>
          <t>TRK-0952</t>
        </is>
      </c>
      <c r="B955" s="16" t="n"/>
      <c r="C955" s="16" t="n"/>
      <c r="D955" s="16" t="n"/>
      <c r="E955" s="16" t="n"/>
      <c r="F955" s="16" t="n"/>
      <c r="G955" s="16" t="n"/>
      <c r="H955" s="16" t="n"/>
      <c r="I955" s="16">
        <f>IF(H955&lt;&gt;"","Completed",IF(TODAY()&gt;G955,"Overdue",IF(F955&lt;&gt;"","In Progress","Not Started")))</f>
        <v/>
      </c>
      <c r="J955" s="18">
        <f>IF(I955="Overdue",TODAY()-G955,0)</f>
        <v/>
      </c>
      <c r="K955" s="16" t="n"/>
      <c r="L955" s="16" t="n"/>
      <c r="M955" s="16" t="n"/>
      <c r="N955" s="16" t="n"/>
      <c r="O955" s="16" t="n"/>
    </row>
    <row r="956">
      <c r="A956" s="17" t="inlineStr">
        <is>
          <t>TRK-0953</t>
        </is>
      </c>
      <c r="B956" s="16" t="n"/>
      <c r="C956" s="16" t="n"/>
      <c r="D956" s="16" t="n"/>
      <c r="E956" s="16" t="n"/>
      <c r="F956" s="16" t="n"/>
      <c r="G956" s="16" t="n"/>
      <c r="H956" s="16" t="n"/>
      <c r="I956" s="16">
        <f>IF(H956&lt;&gt;"","Completed",IF(TODAY()&gt;G956,"Overdue",IF(F956&lt;&gt;"","In Progress","Not Started")))</f>
        <v/>
      </c>
      <c r="J956" s="18">
        <f>IF(I956="Overdue",TODAY()-G956,0)</f>
        <v/>
      </c>
      <c r="K956" s="16" t="n"/>
      <c r="L956" s="16" t="n"/>
      <c r="M956" s="16" t="n"/>
      <c r="N956" s="16" t="n"/>
      <c r="O956" s="16" t="n"/>
    </row>
    <row r="957">
      <c r="A957" s="17" t="inlineStr">
        <is>
          <t>TRK-0954</t>
        </is>
      </c>
      <c r="B957" s="16" t="n"/>
      <c r="C957" s="16" t="n"/>
      <c r="D957" s="16" t="n"/>
      <c r="E957" s="16" t="n"/>
      <c r="F957" s="16" t="n"/>
      <c r="G957" s="16" t="n"/>
      <c r="H957" s="16" t="n"/>
      <c r="I957" s="16">
        <f>IF(H957&lt;&gt;"","Completed",IF(TODAY()&gt;G957,"Overdue",IF(F957&lt;&gt;"","In Progress","Not Started")))</f>
        <v/>
      </c>
      <c r="J957" s="18">
        <f>IF(I957="Overdue",TODAY()-G957,0)</f>
        <v/>
      </c>
      <c r="K957" s="16" t="n"/>
      <c r="L957" s="16" t="n"/>
      <c r="M957" s="16" t="n"/>
      <c r="N957" s="16" t="n"/>
      <c r="O957" s="16" t="n"/>
    </row>
    <row r="958">
      <c r="A958" s="17" t="inlineStr">
        <is>
          <t>TRK-0955</t>
        </is>
      </c>
      <c r="B958" s="16" t="n"/>
      <c r="C958" s="16" t="n"/>
      <c r="D958" s="16" t="n"/>
      <c r="E958" s="16" t="n"/>
      <c r="F958" s="16" t="n"/>
      <c r="G958" s="16" t="n"/>
      <c r="H958" s="16" t="n"/>
      <c r="I958" s="16">
        <f>IF(H958&lt;&gt;"","Completed",IF(TODAY()&gt;G958,"Overdue",IF(F958&lt;&gt;"","In Progress","Not Started")))</f>
        <v/>
      </c>
      <c r="J958" s="18">
        <f>IF(I958="Overdue",TODAY()-G958,0)</f>
        <v/>
      </c>
      <c r="K958" s="16" t="n"/>
      <c r="L958" s="16" t="n"/>
      <c r="M958" s="16" t="n"/>
      <c r="N958" s="16" t="n"/>
      <c r="O958" s="16" t="n"/>
    </row>
    <row r="959">
      <c r="A959" s="17" t="inlineStr">
        <is>
          <t>TRK-0956</t>
        </is>
      </c>
      <c r="B959" s="16" t="n"/>
      <c r="C959" s="16" t="n"/>
      <c r="D959" s="16" t="n"/>
      <c r="E959" s="16" t="n"/>
      <c r="F959" s="16" t="n"/>
      <c r="G959" s="16" t="n"/>
      <c r="H959" s="16" t="n"/>
      <c r="I959" s="16">
        <f>IF(H959&lt;&gt;"","Completed",IF(TODAY()&gt;G959,"Overdue",IF(F959&lt;&gt;"","In Progress","Not Started")))</f>
        <v/>
      </c>
      <c r="J959" s="18">
        <f>IF(I959="Overdue",TODAY()-G959,0)</f>
        <v/>
      </c>
      <c r="K959" s="16" t="n"/>
      <c r="L959" s="16" t="n"/>
      <c r="M959" s="16" t="n"/>
      <c r="N959" s="16" t="n"/>
      <c r="O959" s="16" t="n"/>
    </row>
    <row r="960">
      <c r="A960" s="17" t="inlineStr">
        <is>
          <t>TRK-0957</t>
        </is>
      </c>
      <c r="B960" s="16" t="n"/>
      <c r="C960" s="16" t="n"/>
      <c r="D960" s="16" t="n"/>
      <c r="E960" s="16" t="n"/>
      <c r="F960" s="16" t="n"/>
      <c r="G960" s="16" t="n"/>
      <c r="H960" s="16" t="n"/>
      <c r="I960" s="16">
        <f>IF(H960&lt;&gt;"","Completed",IF(TODAY()&gt;G960,"Overdue",IF(F960&lt;&gt;"","In Progress","Not Started")))</f>
        <v/>
      </c>
      <c r="J960" s="18">
        <f>IF(I960="Overdue",TODAY()-G960,0)</f>
        <v/>
      </c>
      <c r="K960" s="16" t="n"/>
      <c r="L960" s="16" t="n"/>
      <c r="M960" s="16" t="n"/>
      <c r="N960" s="16" t="n"/>
      <c r="O960" s="16" t="n"/>
    </row>
    <row r="961">
      <c r="A961" s="17" t="inlineStr">
        <is>
          <t>TRK-0958</t>
        </is>
      </c>
      <c r="B961" s="16" t="n"/>
      <c r="C961" s="16" t="n"/>
      <c r="D961" s="16" t="n"/>
      <c r="E961" s="16" t="n"/>
      <c r="F961" s="16" t="n"/>
      <c r="G961" s="16" t="n"/>
      <c r="H961" s="16" t="n"/>
      <c r="I961" s="16">
        <f>IF(H961&lt;&gt;"","Completed",IF(TODAY()&gt;G961,"Overdue",IF(F961&lt;&gt;"","In Progress","Not Started")))</f>
        <v/>
      </c>
      <c r="J961" s="18">
        <f>IF(I961="Overdue",TODAY()-G961,0)</f>
        <v/>
      </c>
      <c r="K961" s="16" t="n"/>
      <c r="L961" s="16" t="n"/>
      <c r="M961" s="16" t="n"/>
      <c r="N961" s="16" t="n"/>
      <c r="O961" s="16" t="n"/>
    </row>
    <row r="962">
      <c r="A962" s="17" t="inlineStr">
        <is>
          <t>TRK-0959</t>
        </is>
      </c>
      <c r="B962" s="16" t="n"/>
      <c r="C962" s="16" t="n"/>
      <c r="D962" s="16" t="n"/>
      <c r="E962" s="16" t="n"/>
      <c r="F962" s="16" t="n"/>
      <c r="G962" s="16" t="n"/>
      <c r="H962" s="16" t="n"/>
      <c r="I962" s="16">
        <f>IF(H962&lt;&gt;"","Completed",IF(TODAY()&gt;G962,"Overdue",IF(F962&lt;&gt;"","In Progress","Not Started")))</f>
        <v/>
      </c>
      <c r="J962" s="18">
        <f>IF(I962="Overdue",TODAY()-G962,0)</f>
        <v/>
      </c>
      <c r="K962" s="16" t="n"/>
      <c r="L962" s="16" t="n"/>
      <c r="M962" s="16" t="n"/>
      <c r="N962" s="16" t="n"/>
      <c r="O962" s="16" t="n"/>
    </row>
    <row r="963">
      <c r="A963" s="17" t="inlineStr">
        <is>
          <t>TRK-0960</t>
        </is>
      </c>
      <c r="B963" s="16" t="n"/>
      <c r="C963" s="16" t="n"/>
      <c r="D963" s="16" t="n"/>
      <c r="E963" s="16" t="n"/>
      <c r="F963" s="16" t="n"/>
      <c r="G963" s="16" t="n"/>
      <c r="H963" s="16" t="n"/>
      <c r="I963" s="16">
        <f>IF(H963&lt;&gt;"","Completed",IF(TODAY()&gt;G963,"Overdue",IF(F963&lt;&gt;"","In Progress","Not Started")))</f>
        <v/>
      </c>
      <c r="J963" s="18">
        <f>IF(I963="Overdue",TODAY()-G963,0)</f>
        <v/>
      </c>
      <c r="K963" s="16" t="n"/>
      <c r="L963" s="16" t="n"/>
      <c r="M963" s="16" t="n"/>
      <c r="N963" s="16" t="n"/>
      <c r="O963" s="16" t="n"/>
    </row>
    <row r="964">
      <c r="A964" s="17" t="inlineStr">
        <is>
          <t>TRK-0961</t>
        </is>
      </c>
      <c r="B964" s="16" t="n"/>
      <c r="C964" s="16" t="n"/>
      <c r="D964" s="16" t="n"/>
      <c r="E964" s="16" t="n"/>
      <c r="F964" s="16" t="n"/>
      <c r="G964" s="16" t="n"/>
      <c r="H964" s="16" t="n"/>
      <c r="I964" s="16">
        <f>IF(H964&lt;&gt;"","Completed",IF(TODAY()&gt;G964,"Overdue",IF(F964&lt;&gt;"","In Progress","Not Started")))</f>
        <v/>
      </c>
      <c r="J964" s="18">
        <f>IF(I964="Overdue",TODAY()-G964,0)</f>
        <v/>
      </c>
      <c r="K964" s="16" t="n"/>
      <c r="L964" s="16" t="n"/>
      <c r="M964" s="16" t="n"/>
      <c r="N964" s="16" t="n"/>
      <c r="O964" s="16" t="n"/>
    </row>
    <row r="965">
      <c r="A965" s="17" t="inlineStr">
        <is>
          <t>TRK-0962</t>
        </is>
      </c>
      <c r="B965" s="16" t="n"/>
      <c r="C965" s="16" t="n"/>
      <c r="D965" s="16" t="n"/>
      <c r="E965" s="16" t="n"/>
      <c r="F965" s="16" t="n"/>
      <c r="G965" s="16" t="n"/>
      <c r="H965" s="16" t="n"/>
      <c r="I965" s="16">
        <f>IF(H965&lt;&gt;"","Completed",IF(TODAY()&gt;G965,"Overdue",IF(F965&lt;&gt;"","In Progress","Not Started")))</f>
        <v/>
      </c>
      <c r="J965" s="18">
        <f>IF(I965="Overdue",TODAY()-G965,0)</f>
        <v/>
      </c>
      <c r="K965" s="16" t="n"/>
      <c r="L965" s="16" t="n"/>
      <c r="M965" s="16" t="n"/>
      <c r="N965" s="16" t="n"/>
      <c r="O965" s="16" t="n"/>
    </row>
    <row r="966">
      <c r="A966" s="17" t="inlineStr">
        <is>
          <t>TRK-0963</t>
        </is>
      </c>
      <c r="B966" s="16" t="n"/>
      <c r="C966" s="16" t="n"/>
      <c r="D966" s="16" t="n"/>
      <c r="E966" s="16" t="n"/>
      <c r="F966" s="16" t="n"/>
      <c r="G966" s="16" t="n"/>
      <c r="H966" s="16" t="n"/>
      <c r="I966" s="16">
        <f>IF(H966&lt;&gt;"","Completed",IF(TODAY()&gt;G966,"Overdue",IF(F966&lt;&gt;"","In Progress","Not Started")))</f>
        <v/>
      </c>
      <c r="J966" s="18">
        <f>IF(I966="Overdue",TODAY()-G966,0)</f>
        <v/>
      </c>
      <c r="K966" s="16" t="n"/>
      <c r="L966" s="16" t="n"/>
      <c r="M966" s="16" t="n"/>
      <c r="N966" s="16" t="n"/>
      <c r="O966" s="16" t="n"/>
    </row>
    <row r="967">
      <c r="A967" s="17" t="inlineStr">
        <is>
          <t>TRK-0964</t>
        </is>
      </c>
      <c r="B967" s="16" t="n"/>
      <c r="C967" s="16" t="n"/>
      <c r="D967" s="16" t="n"/>
      <c r="E967" s="16" t="n"/>
      <c r="F967" s="16" t="n"/>
      <c r="G967" s="16" t="n"/>
      <c r="H967" s="16" t="n"/>
      <c r="I967" s="16">
        <f>IF(H967&lt;&gt;"","Completed",IF(TODAY()&gt;G967,"Overdue",IF(F967&lt;&gt;"","In Progress","Not Started")))</f>
        <v/>
      </c>
      <c r="J967" s="18">
        <f>IF(I967="Overdue",TODAY()-G967,0)</f>
        <v/>
      </c>
      <c r="K967" s="16" t="n"/>
      <c r="L967" s="16" t="n"/>
      <c r="M967" s="16" t="n"/>
      <c r="N967" s="16" t="n"/>
      <c r="O967" s="16" t="n"/>
    </row>
    <row r="968">
      <c r="A968" s="17" t="inlineStr">
        <is>
          <t>TRK-0965</t>
        </is>
      </c>
      <c r="B968" s="16" t="n"/>
      <c r="C968" s="16" t="n"/>
      <c r="D968" s="16" t="n"/>
      <c r="E968" s="16" t="n"/>
      <c r="F968" s="16" t="n"/>
      <c r="G968" s="16" t="n"/>
      <c r="H968" s="16" t="n"/>
      <c r="I968" s="16">
        <f>IF(H968&lt;&gt;"","Completed",IF(TODAY()&gt;G968,"Overdue",IF(F968&lt;&gt;"","In Progress","Not Started")))</f>
        <v/>
      </c>
      <c r="J968" s="18">
        <f>IF(I968="Overdue",TODAY()-G968,0)</f>
        <v/>
      </c>
      <c r="K968" s="16" t="n"/>
      <c r="L968" s="16" t="n"/>
      <c r="M968" s="16" t="n"/>
      <c r="N968" s="16" t="n"/>
      <c r="O968" s="16" t="n"/>
    </row>
    <row r="969">
      <c r="A969" s="17" t="inlineStr">
        <is>
          <t>TRK-0966</t>
        </is>
      </c>
      <c r="B969" s="16" t="n"/>
      <c r="C969" s="16" t="n"/>
      <c r="D969" s="16" t="n"/>
      <c r="E969" s="16" t="n"/>
      <c r="F969" s="16" t="n"/>
      <c r="G969" s="16" t="n"/>
      <c r="H969" s="16" t="n"/>
      <c r="I969" s="16">
        <f>IF(H969&lt;&gt;"","Completed",IF(TODAY()&gt;G969,"Overdue",IF(F969&lt;&gt;"","In Progress","Not Started")))</f>
        <v/>
      </c>
      <c r="J969" s="18">
        <f>IF(I969="Overdue",TODAY()-G969,0)</f>
        <v/>
      </c>
      <c r="K969" s="16" t="n"/>
      <c r="L969" s="16" t="n"/>
      <c r="M969" s="16" t="n"/>
      <c r="N969" s="16" t="n"/>
      <c r="O969" s="16" t="n"/>
    </row>
    <row r="970">
      <c r="A970" s="17" t="inlineStr">
        <is>
          <t>TRK-0967</t>
        </is>
      </c>
      <c r="B970" s="16" t="n"/>
      <c r="C970" s="16" t="n"/>
      <c r="D970" s="16" t="n"/>
      <c r="E970" s="16" t="n"/>
      <c r="F970" s="16" t="n"/>
      <c r="G970" s="16" t="n"/>
      <c r="H970" s="16" t="n"/>
      <c r="I970" s="16">
        <f>IF(H970&lt;&gt;"","Completed",IF(TODAY()&gt;G970,"Overdue",IF(F970&lt;&gt;"","In Progress","Not Started")))</f>
        <v/>
      </c>
      <c r="J970" s="18">
        <f>IF(I970="Overdue",TODAY()-G970,0)</f>
        <v/>
      </c>
      <c r="K970" s="16" t="n"/>
      <c r="L970" s="16" t="n"/>
      <c r="M970" s="16" t="n"/>
      <c r="N970" s="16" t="n"/>
      <c r="O970" s="16" t="n"/>
    </row>
    <row r="971">
      <c r="A971" s="17" t="inlineStr">
        <is>
          <t>TRK-0968</t>
        </is>
      </c>
      <c r="B971" s="16" t="n"/>
      <c r="C971" s="16" t="n"/>
      <c r="D971" s="16" t="n"/>
      <c r="E971" s="16" t="n"/>
      <c r="F971" s="16" t="n"/>
      <c r="G971" s="16" t="n"/>
      <c r="H971" s="16" t="n"/>
      <c r="I971" s="16">
        <f>IF(H971&lt;&gt;"","Completed",IF(TODAY()&gt;G971,"Overdue",IF(F971&lt;&gt;"","In Progress","Not Started")))</f>
        <v/>
      </c>
      <c r="J971" s="18">
        <f>IF(I971="Overdue",TODAY()-G971,0)</f>
        <v/>
      </c>
      <c r="K971" s="16" t="n"/>
      <c r="L971" s="16" t="n"/>
      <c r="M971" s="16" t="n"/>
      <c r="N971" s="16" t="n"/>
      <c r="O971" s="16" t="n"/>
    </row>
    <row r="972">
      <c r="A972" s="17" t="inlineStr">
        <is>
          <t>TRK-0969</t>
        </is>
      </c>
      <c r="B972" s="16" t="n"/>
      <c r="C972" s="16" t="n"/>
      <c r="D972" s="16" t="n"/>
      <c r="E972" s="16" t="n"/>
      <c r="F972" s="16" t="n"/>
      <c r="G972" s="16" t="n"/>
      <c r="H972" s="16" t="n"/>
      <c r="I972" s="16">
        <f>IF(H972&lt;&gt;"","Completed",IF(TODAY()&gt;G972,"Overdue",IF(F972&lt;&gt;"","In Progress","Not Started")))</f>
        <v/>
      </c>
      <c r="J972" s="18">
        <f>IF(I972="Overdue",TODAY()-G972,0)</f>
        <v/>
      </c>
      <c r="K972" s="16" t="n"/>
      <c r="L972" s="16" t="n"/>
      <c r="M972" s="16" t="n"/>
      <c r="N972" s="16" t="n"/>
      <c r="O972" s="16" t="n"/>
    </row>
    <row r="973">
      <c r="A973" s="17" t="inlineStr">
        <is>
          <t>TRK-0970</t>
        </is>
      </c>
      <c r="B973" s="16" t="n"/>
      <c r="C973" s="16" t="n"/>
      <c r="D973" s="16" t="n"/>
      <c r="E973" s="16" t="n"/>
      <c r="F973" s="16" t="n"/>
      <c r="G973" s="16" t="n"/>
      <c r="H973" s="16" t="n"/>
      <c r="I973" s="16">
        <f>IF(H973&lt;&gt;"","Completed",IF(TODAY()&gt;G973,"Overdue",IF(F973&lt;&gt;"","In Progress","Not Started")))</f>
        <v/>
      </c>
      <c r="J973" s="18">
        <f>IF(I973="Overdue",TODAY()-G973,0)</f>
        <v/>
      </c>
      <c r="K973" s="16" t="n"/>
      <c r="L973" s="16" t="n"/>
      <c r="M973" s="16" t="n"/>
      <c r="N973" s="16" t="n"/>
      <c r="O973" s="16" t="n"/>
    </row>
    <row r="974">
      <c r="A974" s="17" t="inlineStr">
        <is>
          <t>TRK-0971</t>
        </is>
      </c>
      <c r="B974" s="16" t="n"/>
      <c r="C974" s="16" t="n"/>
      <c r="D974" s="16" t="n"/>
      <c r="E974" s="16" t="n"/>
      <c r="F974" s="16" t="n"/>
      <c r="G974" s="16" t="n"/>
      <c r="H974" s="16" t="n"/>
      <c r="I974" s="16">
        <f>IF(H974&lt;&gt;"","Completed",IF(TODAY()&gt;G974,"Overdue",IF(F974&lt;&gt;"","In Progress","Not Started")))</f>
        <v/>
      </c>
      <c r="J974" s="18">
        <f>IF(I974="Overdue",TODAY()-G974,0)</f>
        <v/>
      </c>
      <c r="K974" s="16" t="n"/>
      <c r="L974" s="16" t="n"/>
      <c r="M974" s="16" t="n"/>
      <c r="N974" s="16" t="n"/>
      <c r="O974" s="16" t="n"/>
    </row>
    <row r="975">
      <c r="A975" s="17" t="inlineStr">
        <is>
          <t>TRK-0972</t>
        </is>
      </c>
      <c r="B975" s="16" t="n"/>
      <c r="C975" s="16" t="n"/>
      <c r="D975" s="16" t="n"/>
      <c r="E975" s="16" t="n"/>
      <c r="F975" s="16" t="n"/>
      <c r="G975" s="16" t="n"/>
      <c r="H975" s="16" t="n"/>
      <c r="I975" s="16">
        <f>IF(H975&lt;&gt;"","Completed",IF(TODAY()&gt;G975,"Overdue",IF(F975&lt;&gt;"","In Progress","Not Started")))</f>
        <v/>
      </c>
      <c r="J975" s="18">
        <f>IF(I975="Overdue",TODAY()-G975,0)</f>
        <v/>
      </c>
      <c r="K975" s="16" t="n"/>
      <c r="L975" s="16" t="n"/>
      <c r="M975" s="16" t="n"/>
      <c r="N975" s="16" t="n"/>
      <c r="O975" s="16" t="n"/>
    </row>
    <row r="976">
      <c r="A976" s="17" t="inlineStr">
        <is>
          <t>TRK-0973</t>
        </is>
      </c>
      <c r="B976" s="16" t="n"/>
      <c r="C976" s="16" t="n"/>
      <c r="D976" s="16" t="n"/>
      <c r="E976" s="16" t="n"/>
      <c r="F976" s="16" t="n"/>
      <c r="G976" s="16" t="n"/>
      <c r="H976" s="16" t="n"/>
      <c r="I976" s="16">
        <f>IF(H976&lt;&gt;"","Completed",IF(TODAY()&gt;G976,"Overdue",IF(F976&lt;&gt;"","In Progress","Not Started")))</f>
        <v/>
      </c>
      <c r="J976" s="18">
        <f>IF(I976="Overdue",TODAY()-G976,0)</f>
        <v/>
      </c>
      <c r="K976" s="16" t="n"/>
      <c r="L976" s="16" t="n"/>
      <c r="M976" s="16" t="n"/>
      <c r="N976" s="16" t="n"/>
      <c r="O976" s="16" t="n"/>
    </row>
    <row r="977">
      <c r="A977" s="17" t="inlineStr">
        <is>
          <t>TRK-0974</t>
        </is>
      </c>
      <c r="B977" s="16" t="n"/>
      <c r="C977" s="16" t="n"/>
      <c r="D977" s="16" t="n"/>
      <c r="E977" s="16" t="n"/>
      <c r="F977" s="16" t="n"/>
      <c r="G977" s="16" t="n"/>
      <c r="H977" s="16" t="n"/>
      <c r="I977" s="16">
        <f>IF(H977&lt;&gt;"","Completed",IF(TODAY()&gt;G977,"Overdue",IF(F977&lt;&gt;"","In Progress","Not Started")))</f>
        <v/>
      </c>
      <c r="J977" s="18">
        <f>IF(I977="Overdue",TODAY()-G977,0)</f>
        <v/>
      </c>
      <c r="K977" s="16" t="n"/>
      <c r="L977" s="16" t="n"/>
      <c r="M977" s="16" t="n"/>
      <c r="N977" s="16" t="n"/>
      <c r="O977" s="16" t="n"/>
    </row>
    <row r="978">
      <c r="A978" s="17" t="inlineStr">
        <is>
          <t>TRK-0975</t>
        </is>
      </c>
      <c r="B978" s="16" t="n"/>
      <c r="C978" s="16" t="n"/>
      <c r="D978" s="16" t="n"/>
      <c r="E978" s="16" t="n"/>
      <c r="F978" s="16" t="n"/>
      <c r="G978" s="16" t="n"/>
      <c r="H978" s="16" t="n"/>
      <c r="I978" s="16">
        <f>IF(H978&lt;&gt;"","Completed",IF(TODAY()&gt;G978,"Overdue",IF(F978&lt;&gt;"","In Progress","Not Started")))</f>
        <v/>
      </c>
      <c r="J978" s="18">
        <f>IF(I978="Overdue",TODAY()-G978,0)</f>
        <v/>
      </c>
      <c r="K978" s="16" t="n"/>
      <c r="L978" s="16" t="n"/>
      <c r="M978" s="16" t="n"/>
      <c r="N978" s="16" t="n"/>
      <c r="O978" s="16" t="n"/>
    </row>
    <row r="979">
      <c r="A979" s="17" t="inlineStr">
        <is>
          <t>TRK-0976</t>
        </is>
      </c>
      <c r="B979" s="16" t="n"/>
      <c r="C979" s="16" t="n"/>
      <c r="D979" s="16" t="n"/>
      <c r="E979" s="16" t="n"/>
      <c r="F979" s="16" t="n"/>
      <c r="G979" s="16" t="n"/>
      <c r="H979" s="16" t="n"/>
      <c r="I979" s="16">
        <f>IF(H979&lt;&gt;"","Completed",IF(TODAY()&gt;G979,"Overdue",IF(F979&lt;&gt;"","In Progress","Not Started")))</f>
        <v/>
      </c>
      <c r="J979" s="18">
        <f>IF(I979="Overdue",TODAY()-G979,0)</f>
        <v/>
      </c>
      <c r="K979" s="16" t="n"/>
      <c r="L979" s="16" t="n"/>
      <c r="M979" s="16" t="n"/>
      <c r="N979" s="16" t="n"/>
      <c r="O979" s="16" t="n"/>
    </row>
    <row r="980">
      <c r="A980" s="17" t="inlineStr">
        <is>
          <t>TRK-0977</t>
        </is>
      </c>
      <c r="B980" s="16" t="n"/>
      <c r="C980" s="16" t="n"/>
      <c r="D980" s="16" t="n"/>
      <c r="E980" s="16" t="n"/>
      <c r="F980" s="16" t="n"/>
      <c r="G980" s="16" t="n"/>
      <c r="H980" s="16" t="n"/>
      <c r="I980" s="16">
        <f>IF(H980&lt;&gt;"","Completed",IF(TODAY()&gt;G980,"Overdue",IF(F980&lt;&gt;"","In Progress","Not Started")))</f>
        <v/>
      </c>
      <c r="J980" s="18">
        <f>IF(I980="Overdue",TODAY()-G980,0)</f>
        <v/>
      </c>
      <c r="K980" s="16" t="n"/>
      <c r="L980" s="16" t="n"/>
      <c r="M980" s="16" t="n"/>
      <c r="N980" s="16" t="n"/>
      <c r="O980" s="16" t="n"/>
    </row>
    <row r="981">
      <c r="A981" s="17" t="inlineStr">
        <is>
          <t>TRK-0978</t>
        </is>
      </c>
      <c r="B981" s="16" t="n"/>
      <c r="C981" s="16" t="n"/>
      <c r="D981" s="16" t="n"/>
      <c r="E981" s="16" t="n"/>
      <c r="F981" s="16" t="n"/>
      <c r="G981" s="16" t="n"/>
      <c r="H981" s="16" t="n"/>
      <c r="I981" s="16">
        <f>IF(H981&lt;&gt;"","Completed",IF(TODAY()&gt;G981,"Overdue",IF(F981&lt;&gt;"","In Progress","Not Started")))</f>
        <v/>
      </c>
      <c r="J981" s="18">
        <f>IF(I981="Overdue",TODAY()-G981,0)</f>
        <v/>
      </c>
      <c r="K981" s="16" t="n"/>
      <c r="L981" s="16" t="n"/>
      <c r="M981" s="16" t="n"/>
      <c r="N981" s="16" t="n"/>
      <c r="O981" s="16" t="n"/>
    </row>
    <row r="982">
      <c r="A982" s="17" t="inlineStr">
        <is>
          <t>TRK-0979</t>
        </is>
      </c>
      <c r="B982" s="16" t="n"/>
      <c r="C982" s="16" t="n"/>
      <c r="D982" s="16" t="n"/>
      <c r="E982" s="16" t="n"/>
      <c r="F982" s="16" t="n"/>
      <c r="G982" s="16" t="n"/>
      <c r="H982" s="16" t="n"/>
      <c r="I982" s="16">
        <f>IF(H982&lt;&gt;"","Completed",IF(TODAY()&gt;G982,"Overdue",IF(F982&lt;&gt;"","In Progress","Not Started")))</f>
        <v/>
      </c>
      <c r="J982" s="18">
        <f>IF(I982="Overdue",TODAY()-G982,0)</f>
        <v/>
      </c>
      <c r="K982" s="16" t="n"/>
      <c r="L982" s="16" t="n"/>
      <c r="M982" s="16" t="n"/>
      <c r="N982" s="16" t="n"/>
      <c r="O982" s="16" t="n"/>
    </row>
    <row r="983">
      <c r="A983" s="17" t="inlineStr">
        <is>
          <t>TRK-0980</t>
        </is>
      </c>
      <c r="B983" s="16" t="n"/>
      <c r="C983" s="16" t="n"/>
      <c r="D983" s="16" t="n"/>
      <c r="E983" s="16" t="n"/>
      <c r="F983" s="16" t="n"/>
      <c r="G983" s="16" t="n"/>
      <c r="H983" s="16" t="n"/>
      <c r="I983" s="16">
        <f>IF(H983&lt;&gt;"","Completed",IF(TODAY()&gt;G983,"Overdue",IF(F983&lt;&gt;"","In Progress","Not Started")))</f>
        <v/>
      </c>
      <c r="J983" s="18">
        <f>IF(I983="Overdue",TODAY()-G983,0)</f>
        <v/>
      </c>
      <c r="K983" s="16" t="n"/>
      <c r="L983" s="16" t="n"/>
      <c r="M983" s="16" t="n"/>
      <c r="N983" s="16" t="n"/>
      <c r="O983" s="16" t="n"/>
    </row>
    <row r="984">
      <c r="A984" s="17" t="inlineStr">
        <is>
          <t>TRK-0981</t>
        </is>
      </c>
      <c r="B984" s="16" t="n"/>
      <c r="C984" s="16" t="n"/>
      <c r="D984" s="16" t="n"/>
      <c r="E984" s="16" t="n"/>
      <c r="F984" s="16" t="n"/>
      <c r="G984" s="16" t="n"/>
      <c r="H984" s="16" t="n"/>
      <c r="I984" s="16">
        <f>IF(H984&lt;&gt;"","Completed",IF(TODAY()&gt;G984,"Overdue",IF(F984&lt;&gt;"","In Progress","Not Started")))</f>
        <v/>
      </c>
      <c r="J984" s="18">
        <f>IF(I984="Overdue",TODAY()-G984,0)</f>
        <v/>
      </c>
      <c r="K984" s="16" t="n"/>
      <c r="L984" s="16" t="n"/>
      <c r="M984" s="16" t="n"/>
      <c r="N984" s="16" t="n"/>
      <c r="O984" s="16" t="n"/>
    </row>
    <row r="985">
      <c r="A985" s="17" t="inlineStr">
        <is>
          <t>TRK-0982</t>
        </is>
      </c>
      <c r="B985" s="16" t="n"/>
      <c r="C985" s="16" t="n"/>
      <c r="D985" s="16" t="n"/>
      <c r="E985" s="16" t="n"/>
      <c r="F985" s="16" t="n"/>
      <c r="G985" s="16" t="n"/>
      <c r="H985" s="16" t="n"/>
      <c r="I985" s="16">
        <f>IF(H985&lt;&gt;"","Completed",IF(TODAY()&gt;G985,"Overdue",IF(F985&lt;&gt;"","In Progress","Not Started")))</f>
        <v/>
      </c>
      <c r="J985" s="18">
        <f>IF(I985="Overdue",TODAY()-G985,0)</f>
        <v/>
      </c>
      <c r="K985" s="16" t="n"/>
      <c r="L985" s="16" t="n"/>
      <c r="M985" s="16" t="n"/>
      <c r="N985" s="16" t="n"/>
      <c r="O985" s="16" t="n"/>
    </row>
    <row r="986">
      <c r="A986" s="17" t="inlineStr">
        <is>
          <t>TRK-0983</t>
        </is>
      </c>
      <c r="B986" s="16" t="n"/>
      <c r="C986" s="16" t="n"/>
      <c r="D986" s="16" t="n"/>
      <c r="E986" s="16" t="n"/>
      <c r="F986" s="16" t="n"/>
      <c r="G986" s="16" t="n"/>
      <c r="H986" s="16" t="n"/>
      <c r="I986" s="16">
        <f>IF(H986&lt;&gt;"","Completed",IF(TODAY()&gt;G986,"Overdue",IF(F986&lt;&gt;"","In Progress","Not Started")))</f>
        <v/>
      </c>
      <c r="J986" s="18">
        <f>IF(I986="Overdue",TODAY()-G986,0)</f>
        <v/>
      </c>
      <c r="K986" s="16" t="n"/>
      <c r="L986" s="16" t="n"/>
      <c r="M986" s="16" t="n"/>
      <c r="N986" s="16" t="n"/>
      <c r="O986" s="16" t="n"/>
    </row>
    <row r="987">
      <c r="A987" s="17" t="inlineStr">
        <is>
          <t>TRK-0984</t>
        </is>
      </c>
      <c r="B987" s="16" t="n"/>
      <c r="C987" s="16" t="n"/>
      <c r="D987" s="16" t="n"/>
      <c r="E987" s="16" t="n"/>
      <c r="F987" s="16" t="n"/>
      <c r="G987" s="16" t="n"/>
      <c r="H987" s="16" t="n"/>
      <c r="I987" s="16">
        <f>IF(H987&lt;&gt;"","Completed",IF(TODAY()&gt;G987,"Overdue",IF(F987&lt;&gt;"","In Progress","Not Started")))</f>
        <v/>
      </c>
      <c r="J987" s="18">
        <f>IF(I987="Overdue",TODAY()-G987,0)</f>
        <v/>
      </c>
      <c r="K987" s="16" t="n"/>
      <c r="L987" s="16" t="n"/>
      <c r="M987" s="16" t="n"/>
      <c r="N987" s="16" t="n"/>
      <c r="O987" s="16" t="n"/>
    </row>
    <row r="988">
      <c r="A988" s="17" t="inlineStr">
        <is>
          <t>TRK-0985</t>
        </is>
      </c>
      <c r="B988" s="16" t="n"/>
      <c r="C988" s="16" t="n"/>
      <c r="D988" s="16" t="n"/>
      <c r="E988" s="16" t="n"/>
      <c r="F988" s="16" t="n"/>
      <c r="G988" s="16" t="n"/>
      <c r="H988" s="16" t="n"/>
      <c r="I988" s="16">
        <f>IF(H988&lt;&gt;"","Completed",IF(TODAY()&gt;G988,"Overdue",IF(F988&lt;&gt;"","In Progress","Not Started")))</f>
        <v/>
      </c>
      <c r="J988" s="18">
        <f>IF(I988="Overdue",TODAY()-G988,0)</f>
        <v/>
      </c>
      <c r="K988" s="16" t="n"/>
      <c r="L988" s="16" t="n"/>
      <c r="M988" s="16" t="n"/>
      <c r="N988" s="16" t="n"/>
      <c r="O988" s="16" t="n"/>
    </row>
    <row r="989">
      <c r="A989" s="17" t="inlineStr">
        <is>
          <t>TRK-0986</t>
        </is>
      </c>
      <c r="B989" s="16" t="n"/>
      <c r="C989" s="16" t="n"/>
      <c r="D989" s="16" t="n"/>
      <c r="E989" s="16" t="n"/>
      <c r="F989" s="16" t="n"/>
      <c r="G989" s="16" t="n"/>
      <c r="H989" s="16" t="n"/>
      <c r="I989" s="16">
        <f>IF(H989&lt;&gt;"","Completed",IF(TODAY()&gt;G989,"Overdue",IF(F989&lt;&gt;"","In Progress","Not Started")))</f>
        <v/>
      </c>
      <c r="J989" s="18">
        <f>IF(I989="Overdue",TODAY()-G989,0)</f>
        <v/>
      </c>
      <c r="K989" s="16" t="n"/>
      <c r="L989" s="16" t="n"/>
      <c r="M989" s="16" t="n"/>
      <c r="N989" s="16" t="n"/>
      <c r="O989" s="16" t="n"/>
    </row>
    <row r="990">
      <c r="A990" s="17" t="inlineStr">
        <is>
          <t>TRK-0987</t>
        </is>
      </c>
      <c r="B990" s="16" t="n"/>
      <c r="C990" s="16" t="n"/>
      <c r="D990" s="16" t="n"/>
      <c r="E990" s="16" t="n"/>
      <c r="F990" s="16" t="n"/>
      <c r="G990" s="16" t="n"/>
      <c r="H990" s="16" t="n"/>
      <c r="I990" s="16">
        <f>IF(H990&lt;&gt;"","Completed",IF(TODAY()&gt;G990,"Overdue",IF(F990&lt;&gt;"","In Progress","Not Started")))</f>
        <v/>
      </c>
      <c r="J990" s="18">
        <f>IF(I990="Overdue",TODAY()-G990,0)</f>
        <v/>
      </c>
      <c r="K990" s="16" t="n"/>
      <c r="L990" s="16" t="n"/>
      <c r="M990" s="16" t="n"/>
      <c r="N990" s="16" t="n"/>
      <c r="O990" s="16" t="n"/>
    </row>
    <row r="991">
      <c r="A991" s="17" t="inlineStr">
        <is>
          <t>TRK-0988</t>
        </is>
      </c>
      <c r="B991" s="16" t="n"/>
      <c r="C991" s="16" t="n"/>
      <c r="D991" s="16" t="n"/>
      <c r="E991" s="16" t="n"/>
      <c r="F991" s="16" t="n"/>
      <c r="G991" s="16" t="n"/>
      <c r="H991" s="16" t="n"/>
      <c r="I991" s="16">
        <f>IF(H991&lt;&gt;"","Completed",IF(TODAY()&gt;G991,"Overdue",IF(F991&lt;&gt;"","In Progress","Not Started")))</f>
        <v/>
      </c>
      <c r="J991" s="18">
        <f>IF(I991="Overdue",TODAY()-G991,0)</f>
        <v/>
      </c>
      <c r="K991" s="16" t="n"/>
      <c r="L991" s="16" t="n"/>
      <c r="M991" s="16" t="n"/>
      <c r="N991" s="16" t="n"/>
      <c r="O991" s="16" t="n"/>
    </row>
    <row r="992">
      <c r="A992" s="17" t="inlineStr">
        <is>
          <t>TRK-0989</t>
        </is>
      </c>
      <c r="B992" s="16" t="n"/>
      <c r="C992" s="16" t="n"/>
      <c r="D992" s="16" t="n"/>
      <c r="E992" s="16" t="n"/>
      <c r="F992" s="16" t="n"/>
      <c r="G992" s="16" t="n"/>
      <c r="H992" s="16" t="n"/>
      <c r="I992" s="16">
        <f>IF(H992&lt;&gt;"","Completed",IF(TODAY()&gt;G992,"Overdue",IF(F992&lt;&gt;"","In Progress","Not Started")))</f>
        <v/>
      </c>
      <c r="J992" s="18">
        <f>IF(I992="Overdue",TODAY()-G992,0)</f>
        <v/>
      </c>
      <c r="K992" s="16" t="n"/>
      <c r="L992" s="16" t="n"/>
      <c r="M992" s="16" t="n"/>
      <c r="N992" s="16" t="n"/>
      <c r="O992" s="16" t="n"/>
    </row>
    <row r="993">
      <c r="A993" s="17" t="inlineStr">
        <is>
          <t>TRK-0990</t>
        </is>
      </c>
      <c r="B993" s="16" t="n"/>
      <c r="C993" s="16" t="n"/>
      <c r="D993" s="16" t="n"/>
      <c r="E993" s="16" t="n"/>
      <c r="F993" s="16" t="n"/>
      <c r="G993" s="16" t="n"/>
      <c r="H993" s="16" t="n"/>
      <c r="I993" s="16">
        <f>IF(H993&lt;&gt;"","Completed",IF(TODAY()&gt;G993,"Overdue",IF(F993&lt;&gt;"","In Progress","Not Started")))</f>
        <v/>
      </c>
      <c r="J993" s="18">
        <f>IF(I993="Overdue",TODAY()-G993,0)</f>
        <v/>
      </c>
      <c r="K993" s="16" t="n"/>
      <c r="L993" s="16" t="n"/>
      <c r="M993" s="16" t="n"/>
      <c r="N993" s="16" t="n"/>
      <c r="O993" s="16" t="n"/>
    </row>
    <row r="994">
      <c r="A994" s="17" t="inlineStr">
        <is>
          <t>TRK-0991</t>
        </is>
      </c>
      <c r="B994" s="16" t="n"/>
      <c r="C994" s="16" t="n"/>
      <c r="D994" s="16" t="n"/>
      <c r="E994" s="16" t="n"/>
      <c r="F994" s="16" t="n"/>
      <c r="G994" s="16" t="n"/>
      <c r="H994" s="16" t="n"/>
      <c r="I994" s="16">
        <f>IF(H994&lt;&gt;"","Completed",IF(TODAY()&gt;G994,"Overdue",IF(F994&lt;&gt;"","In Progress","Not Started")))</f>
        <v/>
      </c>
      <c r="J994" s="18">
        <f>IF(I994="Overdue",TODAY()-G994,0)</f>
        <v/>
      </c>
      <c r="K994" s="16" t="n"/>
      <c r="L994" s="16" t="n"/>
      <c r="M994" s="16" t="n"/>
      <c r="N994" s="16" t="n"/>
      <c r="O994" s="16" t="n"/>
    </row>
    <row r="995">
      <c r="A995" s="17" t="inlineStr">
        <is>
          <t>TRK-0992</t>
        </is>
      </c>
      <c r="B995" s="16" t="n"/>
      <c r="C995" s="16" t="n"/>
      <c r="D995" s="16" t="n"/>
      <c r="E995" s="16" t="n"/>
      <c r="F995" s="16" t="n"/>
      <c r="G995" s="16" t="n"/>
      <c r="H995" s="16" t="n"/>
      <c r="I995" s="16">
        <f>IF(H995&lt;&gt;"","Completed",IF(TODAY()&gt;G995,"Overdue",IF(F995&lt;&gt;"","In Progress","Not Started")))</f>
        <v/>
      </c>
      <c r="J995" s="18">
        <f>IF(I995="Overdue",TODAY()-G995,0)</f>
        <v/>
      </c>
      <c r="K995" s="16" t="n"/>
      <c r="L995" s="16" t="n"/>
      <c r="M995" s="16" t="n"/>
      <c r="N995" s="16" t="n"/>
      <c r="O995" s="16" t="n"/>
    </row>
    <row r="996">
      <c r="A996" s="17" t="inlineStr">
        <is>
          <t>TRK-0993</t>
        </is>
      </c>
      <c r="B996" s="16" t="n"/>
      <c r="C996" s="16" t="n"/>
      <c r="D996" s="16" t="n"/>
      <c r="E996" s="16" t="n"/>
      <c r="F996" s="16" t="n"/>
      <c r="G996" s="16" t="n"/>
      <c r="H996" s="16" t="n"/>
      <c r="I996" s="16">
        <f>IF(H996&lt;&gt;"","Completed",IF(TODAY()&gt;G996,"Overdue",IF(F996&lt;&gt;"","In Progress","Not Started")))</f>
        <v/>
      </c>
      <c r="J996" s="18">
        <f>IF(I996="Overdue",TODAY()-G996,0)</f>
        <v/>
      </c>
      <c r="K996" s="16" t="n"/>
      <c r="L996" s="16" t="n"/>
      <c r="M996" s="16" t="n"/>
      <c r="N996" s="16" t="n"/>
      <c r="O996" s="16" t="n"/>
    </row>
    <row r="997">
      <c r="A997" s="17" t="inlineStr">
        <is>
          <t>TRK-0994</t>
        </is>
      </c>
      <c r="B997" s="16" t="n"/>
      <c r="C997" s="16" t="n"/>
      <c r="D997" s="16" t="n"/>
      <c r="E997" s="16" t="n"/>
      <c r="F997" s="16" t="n"/>
      <c r="G997" s="16" t="n"/>
      <c r="H997" s="16" t="n"/>
      <c r="I997" s="16">
        <f>IF(H997&lt;&gt;"","Completed",IF(TODAY()&gt;G997,"Overdue",IF(F997&lt;&gt;"","In Progress","Not Started")))</f>
        <v/>
      </c>
      <c r="J997" s="18">
        <f>IF(I997="Overdue",TODAY()-G997,0)</f>
        <v/>
      </c>
      <c r="K997" s="16" t="n"/>
      <c r="L997" s="16" t="n"/>
      <c r="M997" s="16" t="n"/>
      <c r="N997" s="16" t="n"/>
      <c r="O997" s="16" t="n"/>
    </row>
    <row r="998">
      <c r="A998" s="17" t="inlineStr">
        <is>
          <t>TRK-0995</t>
        </is>
      </c>
      <c r="B998" s="16" t="n"/>
      <c r="C998" s="16" t="n"/>
      <c r="D998" s="16" t="n"/>
      <c r="E998" s="16" t="n"/>
      <c r="F998" s="16" t="n"/>
      <c r="G998" s="16" t="n"/>
      <c r="H998" s="16" t="n"/>
      <c r="I998" s="16">
        <f>IF(H998&lt;&gt;"","Completed",IF(TODAY()&gt;G998,"Overdue",IF(F998&lt;&gt;"","In Progress","Not Started")))</f>
        <v/>
      </c>
      <c r="J998" s="18">
        <f>IF(I998="Overdue",TODAY()-G998,0)</f>
        <v/>
      </c>
      <c r="K998" s="16" t="n"/>
      <c r="L998" s="16" t="n"/>
      <c r="M998" s="16" t="n"/>
      <c r="N998" s="16" t="n"/>
      <c r="O998" s="16" t="n"/>
    </row>
    <row r="999">
      <c r="A999" s="17" t="inlineStr">
        <is>
          <t>TRK-0996</t>
        </is>
      </c>
      <c r="B999" s="16" t="n"/>
      <c r="C999" s="16" t="n"/>
      <c r="D999" s="16" t="n"/>
      <c r="E999" s="16" t="n"/>
      <c r="F999" s="16" t="n"/>
      <c r="G999" s="16" t="n"/>
      <c r="H999" s="16" t="n"/>
      <c r="I999" s="16">
        <f>IF(H999&lt;&gt;"","Completed",IF(TODAY()&gt;G999,"Overdue",IF(F999&lt;&gt;"","In Progress","Not Started")))</f>
        <v/>
      </c>
      <c r="J999" s="18">
        <f>IF(I999="Overdue",TODAY()-G999,0)</f>
        <v/>
      </c>
      <c r="K999" s="16" t="n"/>
      <c r="L999" s="16" t="n"/>
      <c r="M999" s="16" t="n"/>
      <c r="N999" s="16" t="n"/>
      <c r="O999" s="16" t="n"/>
    </row>
    <row r="1000">
      <c r="A1000" s="17" t="inlineStr">
        <is>
          <t>TRK-0997</t>
        </is>
      </c>
      <c r="B1000" s="16" t="n"/>
      <c r="C1000" s="16" t="n"/>
      <c r="D1000" s="16" t="n"/>
      <c r="E1000" s="16" t="n"/>
      <c r="F1000" s="16" t="n"/>
      <c r="G1000" s="16" t="n"/>
      <c r="H1000" s="16" t="n"/>
      <c r="I1000" s="16">
        <f>IF(H1000&lt;&gt;"","Completed",IF(TODAY()&gt;G1000,"Overdue",IF(F1000&lt;&gt;"","In Progress","Not Started")))</f>
        <v/>
      </c>
      <c r="J1000" s="18">
        <f>IF(I1000="Overdue",TODAY()-G1000,0)</f>
        <v/>
      </c>
      <c r="K1000" s="16" t="n"/>
      <c r="L1000" s="16" t="n"/>
      <c r="M1000" s="16" t="n"/>
      <c r="N1000" s="16" t="n"/>
      <c r="O1000" s="16" t="n"/>
    </row>
    <row r="1001">
      <c r="A1001" s="17" t="inlineStr">
        <is>
          <t>TRK-0998</t>
        </is>
      </c>
      <c r="B1001" s="16" t="n"/>
      <c r="C1001" s="16" t="n"/>
      <c r="D1001" s="16" t="n"/>
      <c r="E1001" s="16" t="n"/>
      <c r="F1001" s="16" t="n"/>
      <c r="G1001" s="16" t="n"/>
      <c r="H1001" s="16" t="n"/>
      <c r="I1001" s="16">
        <f>IF(H1001&lt;&gt;"","Completed",IF(TODAY()&gt;G1001,"Overdue",IF(F1001&lt;&gt;"","In Progress","Not Started")))</f>
        <v/>
      </c>
      <c r="J1001" s="18">
        <f>IF(I1001="Overdue",TODAY()-G1001,0)</f>
        <v/>
      </c>
      <c r="K1001" s="16" t="n"/>
      <c r="L1001" s="16" t="n"/>
      <c r="M1001" s="16" t="n"/>
      <c r="N1001" s="16" t="n"/>
      <c r="O1001" s="16" t="n"/>
    </row>
    <row r="1002">
      <c r="A1002" s="17" t="inlineStr">
        <is>
          <t>TRK-0999</t>
        </is>
      </c>
      <c r="B1002" s="16" t="n"/>
      <c r="C1002" s="16" t="n"/>
      <c r="D1002" s="16" t="n"/>
      <c r="E1002" s="16" t="n"/>
      <c r="F1002" s="16" t="n"/>
      <c r="G1002" s="16" t="n"/>
      <c r="H1002" s="16" t="n"/>
      <c r="I1002" s="16">
        <f>IF(H1002&lt;&gt;"","Completed",IF(TODAY()&gt;G1002,"Overdue",IF(F1002&lt;&gt;"","In Progress","Not Started")))</f>
        <v/>
      </c>
      <c r="J1002" s="18">
        <f>IF(I1002="Overdue",TODAY()-G1002,0)</f>
        <v/>
      </c>
      <c r="K1002" s="16" t="n"/>
      <c r="L1002" s="16" t="n"/>
      <c r="M1002" s="16" t="n"/>
      <c r="N1002" s="16" t="n"/>
      <c r="O1002" s="16" t="n"/>
    </row>
    <row r="1003">
      <c r="A1003" s="17" t="inlineStr">
        <is>
          <t>TRK-1000</t>
        </is>
      </c>
      <c r="B1003" s="16" t="n"/>
      <c r="C1003" s="16" t="n"/>
      <c r="D1003" s="16" t="n"/>
      <c r="E1003" s="16" t="n"/>
      <c r="F1003" s="16" t="n"/>
      <c r="G1003" s="16" t="n"/>
      <c r="H1003" s="16" t="n"/>
      <c r="I1003" s="16">
        <f>IF(H1003&lt;&gt;"","Completed",IF(TODAY()&gt;G1003,"Overdue",IF(F1003&lt;&gt;"","In Progress","Not Started")))</f>
        <v/>
      </c>
      <c r="J1003" s="18">
        <f>IF(I1003="Overdue",TODAY()-G1003,0)</f>
        <v/>
      </c>
      <c r="K1003" s="16" t="n"/>
      <c r="L1003" s="16" t="n"/>
      <c r="M1003" s="16" t="n"/>
      <c r="N1003" s="16" t="n"/>
      <c r="O1003" s="16" t="n"/>
    </row>
  </sheetData>
  <mergeCells count="1">
    <mergeCell ref="A1:O1"/>
  </mergeCells>
  <dataValidations count="1">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showDropDown="0" showInputMessage="0" showErrorMessage="0" allowBlank="0" type="list">
      <formula1>"Pass,Fail,N/A"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03"/>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15" customWidth="1" min="3" max="3"/>
    <col width="18" customWidth="1" min="4" max="4"/>
    <col width="12" customWidth="1" min="5" max="5"/>
    <col width="10" customWidth="1" min="6" max="6"/>
    <col width="15" customWidth="1" min="7" max="7"/>
    <col width="10" customWidth="1" min="8" max="8"/>
    <col width="15" customWidth="1" min="9" max="9"/>
    <col width="12" customWidth="1" min="10" max="10"/>
    <col width="18" customWidth="1" min="11" max="11"/>
    <col width="15" customWidth="1" min="12" max="12"/>
    <col width="18" customWidth="1" min="13" max="13"/>
    <col width="18" customWidth="1" min="14" max="14"/>
  </cols>
  <sheetData>
    <row r="1" ht="35" customHeight="1">
      <c r="A1" s="11" t="inlineStr">
        <is>
          <t>ASSESSMENT RESULTS
Detailed assessment performance data</t>
        </is>
      </c>
    </row>
    <row r="2">
      <c r="A2" s="12" t="inlineStr">
        <is>
          <t>Detailed performance data from all assessments, tests and competency evaluations</t>
        </is>
      </c>
    </row>
    <row r="3">
      <c r="A3" s="13" t="inlineStr">
        <is>
          <t>Assessment ID</t>
        </is>
      </c>
      <c r="B3" s="13" t="inlineStr">
        <is>
          <t>Employee ID</t>
        </is>
      </c>
      <c r="C3" s="13" t="inlineStr">
        <is>
          <t>Module ID</t>
        </is>
      </c>
      <c r="D3" s="13" t="inlineStr">
        <is>
          <t>Assessment Type</t>
        </is>
      </c>
      <c r="E3" s="13" t="inlineStr">
        <is>
          <t>Date Taken</t>
        </is>
      </c>
      <c r="F3" s="13" t="inlineStr">
        <is>
          <t>Score</t>
        </is>
      </c>
      <c r="G3" s="13" t="inlineStr">
        <is>
          <t>Pass Threshold</t>
        </is>
      </c>
      <c r="H3" s="13" t="inlineStr">
        <is>
          <t>Pass Fail</t>
        </is>
      </c>
      <c r="I3" s="13" t="inlineStr">
        <is>
          <t>Attempt Number</t>
        </is>
      </c>
      <c r="J3" s="13" t="inlineStr">
        <is>
          <t>Time Taken</t>
        </is>
      </c>
      <c r="K3" s="13" t="inlineStr">
        <is>
          <t>Questions Correct</t>
        </is>
      </c>
      <c r="L3" s="13" t="inlineStr">
        <is>
          <t>Questions Total</t>
        </is>
      </c>
      <c r="M3" s="13" t="inlineStr">
        <is>
          <t>Feedback Provided</t>
        </is>
      </c>
      <c r="N3" s="13" t="inlineStr">
        <is>
          <t>Remediation Required</t>
        </is>
      </c>
    </row>
    <row r="4">
      <c r="A4" s="17" t="inlineStr">
        <is>
          <t>ASS-0001</t>
        </is>
      </c>
      <c r="B4" s="16" t="n"/>
      <c r="C4" s="16" t="n"/>
      <c r="D4" s="16" t="n"/>
      <c r="E4" s="16" t="n"/>
      <c r="F4" s="16" t="n"/>
      <c r="G4" s="16" t="n"/>
      <c r="H4" s="16" t="n"/>
      <c r="I4" s="16" t="n"/>
      <c r="J4" s="16" t="n"/>
      <c r="K4" s="16" t="n"/>
      <c r="L4" s="16" t="n"/>
      <c r="M4" s="16" t="n"/>
      <c r="N4" s="16" t="n"/>
    </row>
    <row r="5">
      <c r="A5" s="17" t="inlineStr">
        <is>
          <t>ASS-0002</t>
        </is>
      </c>
      <c r="B5" s="16" t="n"/>
      <c r="C5" s="16" t="n"/>
      <c r="D5" s="16" t="n"/>
      <c r="E5" s="16" t="n"/>
      <c r="F5" s="16" t="n"/>
      <c r="G5" s="16" t="n"/>
      <c r="H5" s="16" t="n"/>
      <c r="I5" s="16" t="n"/>
      <c r="J5" s="16" t="n"/>
      <c r="K5" s="16" t="n"/>
      <c r="L5" s="16" t="n"/>
      <c r="M5" s="16" t="n"/>
      <c r="N5" s="16" t="n"/>
    </row>
    <row r="6">
      <c r="A6" s="17" t="inlineStr">
        <is>
          <t>ASS-0003</t>
        </is>
      </c>
      <c r="B6" s="16" t="n"/>
      <c r="C6" s="16" t="n"/>
      <c r="D6" s="16" t="n"/>
      <c r="E6" s="16" t="n"/>
      <c r="F6" s="16" t="n"/>
      <c r="G6" s="16" t="n"/>
      <c r="H6" s="16" t="n"/>
      <c r="I6" s="16" t="n"/>
      <c r="J6" s="16" t="n"/>
      <c r="K6" s="16" t="n"/>
      <c r="L6" s="16" t="n"/>
      <c r="M6" s="16" t="n"/>
      <c r="N6" s="16" t="n"/>
    </row>
    <row r="7">
      <c r="A7" s="17" t="inlineStr">
        <is>
          <t>ASS-0004</t>
        </is>
      </c>
      <c r="B7" s="16" t="n"/>
      <c r="C7" s="16" t="n"/>
      <c r="D7" s="16" t="n"/>
      <c r="E7" s="16" t="n"/>
      <c r="F7" s="16" t="n"/>
      <c r="G7" s="16" t="n"/>
      <c r="H7" s="16" t="n"/>
      <c r="I7" s="16" t="n"/>
      <c r="J7" s="16" t="n"/>
      <c r="K7" s="16" t="n"/>
      <c r="L7" s="16" t="n"/>
      <c r="M7" s="16" t="n"/>
      <c r="N7" s="16" t="n"/>
    </row>
    <row r="8">
      <c r="A8" s="17" t="inlineStr">
        <is>
          <t>ASS-0005</t>
        </is>
      </c>
      <c r="B8" s="16" t="n"/>
      <c r="C8" s="16" t="n"/>
      <c r="D8" s="16" t="n"/>
      <c r="E8" s="16" t="n"/>
      <c r="F8" s="16" t="n"/>
      <c r="G8" s="16" t="n"/>
      <c r="H8" s="16" t="n"/>
      <c r="I8" s="16" t="n"/>
      <c r="J8" s="16" t="n"/>
      <c r="K8" s="16" t="n"/>
      <c r="L8" s="16" t="n"/>
      <c r="M8" s="16" t="n"/>
      <c r="N8" s="16" t="n"/>
    </row>
    <row r="9">
      <c r="A9" s="17" t="inlineStr">
        <is>
          <t>ASS-0006</t>
        </is>
      </c>
      <c r="B9" s="16" t="n"/>
      <c r="C9" s="16" t="n"/>
      <c r="D9" s="16" t="n"/>
      <c r="E9" s="16" t="n"/>
      <c r="F9" s="16" t="n"/>
      <c r="G9" s="16" t="n"/>
      <c r="H9" s="16" t="n"/>
      <c r="I9" s="16" t="n"/>
      <c r="J9" s="16" t="n"/>
      <c r="K9" s="16" t="n"/>
      <c r="L9" s="16" t="n"/>
      <c r="M9" s="16" t="n"/>
      <c r="N9" s="16" t="n"/>
    </row>
    <row r="10">
      <c r="A10" s="17" t="inlineStr">
        <is>
          <t>ASS-0007</t>
        </is>
      </c>
      <c r="B10" s="16" t="n"/>
      <c r="C10" s="16" t="n"/>
      <c r="D10" s="16" t="n"/>
      <c r="E10" s="16" t="n"/>
      <c r="F10" s="16" t="n"/>
      <c r="G10" s="16" t="n"/>
      <c r="H10" s="16" t="n"/>
      <c r="I10" s="16" t="n"/>
      <c r="J10" s="16" t="n"/>
      <c r="K10" s="16" t="n"/>
      <c r="L10" s="16" t="n"/>
      <c r="M10" s="16" t="n"/>
      <c r="N10" s="16" t="n"/>
    </row>
    <row r="11">
      <c r="A11" s="17" t="inlineStr">
        <is>
          <t>ASS-0008</t>
        </is>
      </c>
      <c r="B11" s="16" t="n"/>
      <c r="C11" s="16" t="n"/>
      <c r="D11" s="16" t="n"/>
      <c r="E11" s="16" t="n"/>
      <c r="F11" s="16" t="n"/>
      <c r="G11" s="16" t="n"/>
      <c r="H11" s="16" t="n"/>
      <c r="I11" s="16" t="n"/>
      <c r="J11" s="16" t="n"/>
      <c r="K11" s="16" t="n"/>
      <c r="L11" s="16" t="n"/>
      <c r="M11" s="16" t="n"/>
      <c r="N11" s="16" t="n"/>
    </row>
    <row r="12">
      <c r="A12" s="17" t="inlineStr">
        <is>
          <t>ASS-0009</t>
        </is>
      </c>
      <c r="B12" s="16" t="n"/>
      <c r="C12" s="16" t="n"/>
      <c r="D12" s="16" t="n"/>
      <c r="E12" s="16" t="n"/>
      <c r="F12" s="16" t="n"/>
      <c r="G12" s="16" t="n"/>
      <c r="H12" s="16" t="n"/>
      <c r="I12" s="16" t="n"/>
      <c r="J12" s="16" t="n"/>
      <c r="K12" s="16" t="n"/>
      <c r="L12" s="16" t="n"/>
      <c r="M12" s="16" t="n"/>
      <c r="N12" s="16" t="n"/>
    </row>
    <row r="13">
      <c r="A13" s="17" t="inlineStr">
        <is>
          <t>ASS-0010</t>
        </is>
      </c>
      <c r="B13" s="16" t="n"/>
      <c r="C13" s="16" t="n"/>
      <c r="D13" s="16" t="n"/>
      <c r="E13" s="16" t="n"/>
      <c r="F13" s="16" t="n"/>
      <c r="G13" s="16" t="n"/>
      <c r="H13" s="16" t="n"/>
      <c r="I13" s="16" t="n"/>
      <c r="J13" s="16" t="n"/>
      <c r="K13" s="16" t="n"/>
      <c r="L13" s="16" t="n"/>
      <c r="M13" s="16" t="n"/>
      <c r="N13" s="16" t="n"/>
    </row>
    <row r="14">
      <c r="A14" s="17" t="inlineStr">
        <is>
          <t>ASS-0011</t>
        </is>
      </c>
      <c r="B14" s="16" t="n"/>
      <c r="C14" s="16" t="n"/>
      <c r="D14" s="16" t="n"/>
      <c r="E14" s="16" t="n"/>
      <c r="F14" s="16" t="n"/>
      <c r="G14" s="16" t="n"/>
      <c r="H14" s="16" t="n"/>
      <c r="I14" s="16" t="n"/>
      <c r="J14" s="16" t="n"/>
      <c r="K14" s="16" t="n"/>
      <c r="L14" s="16" t="n"/>
      <c r="M14" s="16" t="n"/>
      <c r="N14" s="16" t="n"/>
    </row>
    <row r="15">
      <c r="A15" s="17" t="inlineStr">
        <is>
          <t>ASS-0012</t>
        </is>
      </c>
      <c r="B15" s="16" t="n"/>
      <c r="C15" s="16" t="n"/>
      <c r="D15" s="16" t="n"/>
      <c r="E15" s="16" t="n"/>
      <c r="F15" s="16" t="n"/>
      <c r="G15" s="16" t="n"/>
      <c r="H15" s="16" t="n"/>
      <c r="I15" s="16" t="n"/>
      <c r="J15" s="16" t="n"/>
      <c r="K15" s="16" t="n"/>
      <c r="L15" s="16" t="n"/>
      <c r="M15" s="16" t="n"/>
      <c r="N15" s="16" t="n"/>
    </row>
    <row r="16">
      <c r="A16" s="17" t="inlineStr">
        <is>
          <t>ASS-0013</t>
        </is>
      </c>
      <c r="B16" s="16" t="n"/>
      <c r="C16" s="16" t="n"/>
      <c r="D16" s="16" t="n"/>
      <c r="E16" s="16" t="n"/>
      <c r="F16" s="16" t="n"/>
      <c r="G16" s="16" t="n"/>
      <c r="H16" s="16" t="n"/>
      <c r="I16" s="16" t="n"/>
      <c r="J16" s="16" t="n"/>
      <c r="K16" s="16" t="n"/>
      <c r="L16" s="16" t="n"/>
      <c r="M16" s="16" t="n"/>
      <c r="N16" s="16" t="n"/>
    </row>
    <row r="17">
      <c r="A17" s="17" t="inlineStr">
        <is>
          <t>ASS-0014</t>
        </is>
      </c>
      <c r="B17" s="16" t="n"/>
      <c r="C17" s="16" t="n"/>
      <c r="D17" s="16" t="n"/>
      <c r="E17" s="16" t="n"/>
      <c r="F17" s="16" t="n"/>
      <c r="G17" s="16" t="n"/>
      <c r="H17" s="16" t="n"/>
      <c r="I17" s="16" t="n"/>
      <c r="J17" s="16" t="n"/>
      <c r="K17" s="16" t="n"/>
      <c r="L17" s="16" t="n"/>
      <c r="M17" s="16" t="n"/>
      <c r="N17" s="16" t="n"/>
    </row>
    <row r="18">
      <c r="A18" s="17" t="inlineStr">
        <is>
          <t>ASS-0015</t>
        </is>
      </c>
      <c r="B18" s="16" t="n"/>
      <c r="C18" s="16" t="n"/>
      <c r="D18" s="16" t="n"/>
      <c r="E18" s="16" t="n"/>
      <c r="F18" s="16" t="n"/>
      <c r="G18" s="16" t="n"/>
      <c r="H18" s="16" t="n"/>
      <c r="I18" s="16" t="n"/>
      <c r="J18" s="16" t="n"/>
      <c r="K18" s="16" t="n"/>
      <c r="L18" s="16" t="n"/>
      <c r="M18" s="16" t="n"/>
      <c r="N18" s="16" t="n"/>
    </row>
    <row r="19">
      <c r="A19" s="17" t="inlineStr">
        <is>
          <t>ASS-0016</t>
        </is>
      </c>
      <c r="B19" s="16" t="n"/>
      <c r="C19" s="16" t="n"/>
      <c r="D19" s="16" t="n"/>
      <c r="E19" s="16" t="n"/>
      <c r="F19" s="16" t="n"/>
      <c r="G19" s="16" t="n"/>
      <c r="H19" s="16" t="n"/>
      <c r="I19" s="16" t="n"/>
      <c r="J19" s="16" t="n"/>
      <c r="K19" s="16" t="n"/>
      <c r="L19" s="16" t="n"/>
      <c r="M19" s="16" t="n"/>
      <c r="N19" s="16" t="n"/>
    </row>
    <row r="20">
      <c r="A20" s="17" t="inlineStr">
        <is>
          <t>ASS-0017</t>
        </is>
      </c>
      <c r="B20" s="16" t="n"/>
      <c r="C20" s="16" t="n"/>
      <c r="D20" s="16" t="n"/>
      <c r="E20" s="16" t="n"/>
      <c r="F20" s="16" t="n"/>
      <c r="G20" s="16" t="n"/>
      <c r="H20" s="16" t="n"/>
      <c r="I20" s="16" t="n"/>
      <c r="J20" s="16" t="n"/>
      <c r="K20" s="16" t="n"/>
      <c r="L20" s="16" t="n"/>
      <c r="M20" s="16" t="n"/>
      <c r="N20" s="16" t="n"/>
    </row>
    <row r="21">
      <c r="A21" s="17" t="inlineStr">
        <is>
          <t>ASS-0018</t>
        </is>
      </c>
      <c r="B21" s="16" t="n"/>
      <c r="C21" s="16" t="n"/>
      <c r="D21" s="16" t="n"/>
      <c r="E21" s="16" t="n"/>
      <c r="F21" s="16" t="n"/>
      <c r="G21" s="16" t="n"/>
      <c r="H21" s="16" t="n"/>
      <c r="I21" s="16" t="n"/>
      <c r="J21" s="16" t="n"/>
      <c r="K21" s="16" t="n"/>
      <c r="L21" s="16" t="n"/>
      <c r="M21" s="16" t="n"/>
      <c r="N21" s="16" t="n"/>
    </row>
    <row r="22">
      <c r="A22" s="17" t="inlineStr">
        <is>
          <t>ASS-0019</t>
        </is>
      </c>
      <c r="B22" s="16" t="n"/>
      <c r="C22" s="16" t="n"/>
      <c r="D22" s="16" t="n"/>
      <c r="E22" s="16" t="n"/>
      <c r="F22" s="16" t="n"/>
      <c r="G22" s="16" t="n"/>
      <c r="H22" s="16" t="n"/>
      <c r="I22" s="16" t="n"/>
      <c r="J22" s="16" t="n"/>
      <c r="K22" s="16" t="n"/>
      <c r="L22" s="16" t="n"/>
      <c r="M22" s="16" t="n"/>
      <c r="N22" s="16" t="n"/>
    </row>
    <row r="23">
      <c r="A23" s="17" t="inlineStr">
        <is>
          <t>ASS-0020</t>
        </is>
      </c>
      <c r="B23" s="16" t="n"/>
      <c r="C23" s="16" t="n"/>
      <c r="D23" s="16" t="n"/>
      <c r="E23" s="16" t="n"/>
      <c r="F23" s="16" t="n"/>
      <c r="G23" s="16" t="n"/>
      <c r="H23" s="16" t="n"/>
      <c r="I23" s="16" t="n"/>
      <c r="J23" s="16" t="n"/>
      <c r="K23" s="16" t="n"/>
      <c r="L23" s="16" t="n"/>
      <c r="M23" s="16" t="n"/>
      <c r="N23" s="16" t="n"/>
    </row>
    <row r="24">
      <c r="A24" s="17" t="inlineStr">
        <is>
          <t>ASS-0021</t>
        </is>
      </c>
      <c r="B24" s="16" t="n"/>
      <c r="C24" s="16" t="n"/>
      <c r="D24" s="16" t="n"/>
      <c r="E24" s="16" t="n"/>
      <c r="F24" s="16" t="n"/>
      <c r="G24" s="16" t="n"/>
      <c r="H24" s="16" t="n"/>
      <c r="I24" s="16" t="n"/>
      <c r="J24" s="16" t="n"/>
      <c r="K24" s="16" t="n"/>
      <c r="L24" s="16" t="n"/>
      <c r="M24" s="16" t="n"/>
      <c r="N24" s="16" t="n"/>
    </row>
    <row r="25">
      <c r="A25" s="17" t="inlineStr">
        <is>
          <t>ASS-0022</t>
        </is>
      </c>
      <c r="B25" s="16" t="n"/>
      <c r="C25" s="16" t="n"/>
      <c r="D25" s="16" t="n"/>
      <c r="E25" s="16" t="n"/>
      <c r="F25" s="16" t="n"/>
      <c r="G25" s="16" t="n"/>
      <c r="H25" s="16" t="n"/>
      <c r="I25" s="16" t="n"/>
      <c r="J25" s="16" t="n"/>
      <c r="K25" s="16" t="n"/>
      <c r="L25" s="16" t="n"/>
      <c r="M25" s="16" t="n"/>
      <c r="N25" s="16" t="n"/>
    </row>
    <row r="26">
      <c r="A26" s="17" t="inlineStr">
        <is>
          <t>ASS-0023</t>
        </is>
      </c>
      <c r="B26" s="16" t="n"/>
      <c r="C26" s="16" t="n"/>
      <c r="D26" s="16" t="n"/>
      <c r="E26" s="16" t="n"/>
      <c r="F26" s="16" t="n"/>
      <c r="G26" s="16" t="n"/>
      <c r="H26" s="16" t="n"/>
      <c r="I26" s="16" t="n"/>
      <c r="J26" s="16" t="n"/>
      <c r="K26" s="16" t="n"/>
      <c r="L26" s="16" t="n"/>
      <c r="M26" s="16" t="n"/>
      <c r="N26" s="16" t="n"/>
    </row>
    <row r="27">
      <c r="A27" s="17" t="inlineStr">
        <is>
          <t>ASS-0024</t>
        </is>
      </c>
      <c r="B27" s="16" t="n"/>
      <c r="C27" s="16" t="n"/>
      <c r="D27" s="16" t="n"/>
      <c r="E27" s="16" t="n"/>
      <c r="F27" s="16" t="n"/>
      <c r="G27" s="16" t="n"/>
      <c r="H27" s="16" t="n"/>
      <c r="I27" s="16" t="n"/>
      <c r="J27" s="16" t="n"/>
      <c r="K27" s="16" t="n"/>
      <c r="L27" s="16" t="n"/>
      <c r="M27" s="16" t="n"/>
      <c r="N27" s="16" t="n"/>
    </row>
    <row r="28">
      <c r="A28" s="17" t="inlineStr">
        <is>
          <t>ASS-0025</t>
        </is>
      </c>
      <c r="B28" s="16" t="n"/>
      <c r="C28" s="16" t="n"/>
      <c r="D28" s="16" t="n"/>
      <c r="E28" s="16" t="n"/>
      <c r="F28" s="16" t="n"/>
      <c r="G28" s="16" t="n"/>
      <c r="H28" s="16" t="n"/>
      <c r="I28" s="16" t="n"/>
      <c r="J28" s="16" t="n"/>
      <c r="K28" s="16" t="n"/>
      <c r="L28" s="16" t="n"/>
      <c r="M28" s="16" t="n"/>
      <c r="N28" s="16" t="n"/>
    </row>
    <row r="29">
      <c r="A29" s="17" t="inlineStr">
        <is>
          <t>ASS-0026</t>
        </is>
      </c>
      <c r="B29" s="16" t="n"/>
      <c r="C29" s="16" t="n"/>
      <c r="D29" s="16" t="n"/>
      <c r="E29" s="16" t="n"/>
      <c r="F29" s="16" t="n"/>
      <c r="G29" s="16" t="n"/>
      <c r="H29" s="16" t="n"/>
      <c r="I29" s="16" t="n"/>
      <c r="J29" s="16" t="n"/>
      <c r="K29" s="16" t="n"/>
      <c r="L29" s="16" t="n"/>
      <c r="M29" s="16" t="n"/>
      <c r="N29" s="16" t="n"/>
    </row>
    <row r="30">
      <c r="A30" s="17" t="inlineStr">
        <is>
          <t>ASS-0027</t>
        </is>
      </c>
      <c r="B30" s="16" t="n"/>
      <c r="C30" s="16" t="n"/>
      <c r="D30" s="16" t="n"/>
      <c r="E30" s="16" t="n"/>
      <c r="F30" s="16" t="n"/>
      <c r="G30" s="16" t="n"/>
      <c r="H30" s="16" t="n"/>
      <c r="I30" s="16" t="n"/>
      <c r="J30" s="16" t="n"/>
      <c r="K30" s="16" t="n"/>
      <c r="L30" s="16" t="n"/>
      <c r="M30" s="16" t="n"/>
      <c r="N30" s="16" t="n"/>
    </row>
    <row r="31">
      <c r="A31" s="17" t="inlineStr">
        <is>
          <t>ASS-0028</t>
        </is>
      </c>
      <c r="B31" s="16" t="n"/>
      <c r="C31" s="16" t="n"/>
      <c r="D31" s="16" t="n"/>
      <c r="E31" s="16" t="n"/>
      <c r="F31" s="16" t="n"/>
      <c r="G31" s="16" t="n"/>
      <c r="H31" s="16" t="n"/>
      <c r="I31" s="16" t="n"/>
      <c r="J31" s="16" t="n"/>
      <c r="K31" s="16" t="n"/>
      <c r="L31" s="16" t="n"/>
      <c r="M31" s="16" t="n"/>
      <c r="N31" s="16" t="n"/>
    </row>
    <row r="32">
      <c r="A32" s="17" t="inlineStr">
        <is>
          <t>ASS-0029</t>
        </is>
      </c>
      <c r="B32" s="16" t="n"/>
      <c r="C32" s="16" t="n"/>
      <c r="D32" s="16" t="n"/>
      <c r="E32" s="16" t="n"/>
      <c r="F32" s="16" t="n"/>
      <c r="G32" s="16" t="n"/>
      <c r="H32" s="16" t="n"/>
      <c r="I32" s="16" t="n"/>
      <c r="J32" s="16" t="n"/>
      <c r="K32" s="16" t="n"/>
      <c r="L32" s="16" t="n"/>
      <c r="M32" s="16" t="n"/>
      <c r="N32" s="16" t="n"/>
    </row>
    <row r="33">
      <c r="A33" s="17" t="inlineStr">
        <is>
          <t>ASS-0030</t>
        </is>
      </c>
      <c r="B33" s="16" t="n"/>
      <c r="C33" s="16" t="n"/>
      <c r="D33" s="16" t="n"/>
      <c r="E33" s="16" t="n"/>
      <c r="F33" s="16" t="n"/>
      <c r="G33" s="16" t="n"/>
      <c r="H33" s="16" t="n"/>
      <c r="I33" s="16" t="n"/>
      <c r="J33" s="16" t="n"/>
      <c r="K33" s="16" t="n"/>
      <c r="L33" s="16" t="n"/>
      <c r="M33" s="16" t="n"/>
      <c r="N33" s="16" t="n"/>
    </row>
    <row r="34">
      <c r="A34" s="17" t="inlineStr">
        <is>
          <t>ASS-0031</t>
        </is>
      </c>
      <c r="B34" s="16" t="n"/>
      <c r="C34" s="16" t="n"/>
      <c r="D34" s="16" t="n"/>
      <c r="E34" s="16" t="n"/>
      <c r="F34" s="16" t="n"/>
      <c r="G34" s="16" t="n"/>
      <c r="H34" s="16" t="n"/>
      <c r="I34" s="16" t="n"/>
      <c r="J34" s="16" t="n"/>
      <c r="K34" s="16" t="n"/>
      <c r="L34" s="16" t="n"/>
      <c r="M34" s="16" t="n"/>
      <c r="N34" s="16" t="n"/>
    </row>
    <row r="35">
      <c r="A35" s="17" t="inlineStr">
        <is>
          <t>ASS-0032</t>
        </is>
      </c>
      <c r="B35" s="16" t="n"/>
      <c r="C35" s="16" t="n"/>
      <c r="D35" s="16" t="n"/>
      <c r="E35" s="16" t="n"/>
      <c r="F35" s="16" t="n"/>
      <c r="G35" s="16" t="n"/>
      <c r="H35" s="16" t="n"/>
      <c r="I35" s="16" t="n"/>
      <c r="J35" s="16" t="n"/>
      <c r="K35" s="16" t="n"/>
      <c r="L35" s="16" t="n"/>
      <c r="M35" s="16" t="n"/>
      <c r="N35" s="16" t="n"/>
    </row>
    <row r="36">
      <c r="A36" s="17" t="inlineStr">
        <is>
          <t>ASS-0033</t>
        </is>
      </c>
      <c r="B36" s="16" t="n"/>
      <c r="C36" s="16" t="n"/>
      <c r="D36" s="16" t="n"/>
      <c r="E36" s="16" t="n"/>
      <c r="F36" s="16" t="n"/>
      <c r="G36" s="16" t="n"/>
      <c r="H36" s="16" t="n"/>
      <c r="I36" s="16" t="n"/>
      <c r="J36" s="16" t="n"/>
      <c r="K36" s="16" t="n"/>
      <c r="L36" s="16" t="n"/>
      <c r="M36" s="16" t="n"/>
      <c r="N36" s="16" t="n"/>
    </row>
    <row r="37">
      <c r="A37" s="17" t="inlineStr">
        <is>
          <t>ASS-0034</t>
        </is>
      </c>
      <c r="B37" s="16" t="n"/>
      <c r="C37" s="16" t="n"/>
      <c r="D37" s="16" t="n"/>
      <c r="E37" s="16" t="n"/>
      <c r="F37" s="16" t="n"/>
      <c r="G37" s="16" t="n"/>
      <c r="H37" s="16" t="n"/>
      <c r="I37" s="16" t="n"/>
      <c r="J37" s="16" t="n"/>
      <c r="K37" s="16" t="n"/>
      <c r="L37" s="16" t="n"/>
      <c r="M37" s="16" t="n"/>
      <c r="N37" s="16" t="n"/>
    </row>
    <row r="38">
      <c r="A38" s="17" t="inlineStr">
        <is>
          <t>ASS-0035</t>
        </is>
      </c>
      <c r="B38" s="16" t="n"/>
      <c r="C38" s="16" t="n"/>
      <c r="D38" s="16" t="n"/>
      <c r="E38" s="16" t="n"/>
      <c r="F38" s="16" t="n"/>
      <c r="G38" s="16" t="n"/>
      <c r="H38" s="16" t="n"/>
      <c r="I38" s="16" t="n"/>
      <c r="J38" s="16" t="n"/>
      <c r="K38" s="16" t="n"/>
      <c r="L38" s="16" t="n"/>
      <c r="M38" s="16" t="n"/>
      <c r="N38" s="16" t="n"/>
    </row>
    <row r="39">
      <c r="A39" s="17" t="inlineStr">
        <is>
          <t>ASS-0036</t>
        </is>
      </c>
      <c r="B39" s="16" t="n"/>
      <c r="C39" s="16" t="n"/>
      <c r="D39" s="16" t="n"/>
      <c r="E39" s="16" t="n"/>
      <c r="F39" s="16" t="n"/>
      <c r="G39" s="16" t="n"/>
      <c r="H39" s="16" t="n"/>
      <c r="I39" s="16" t="n"/>
      <c r="J39" s="16" t="n"/>
      <c r="K39" s="16" t="n"/>
      <c r="L39" s="16" t="n"/>
      <c r="M39" s="16" t="n"/>
      <c r="N39" s="16" t="n"/>
    </row>
    <row r="40">
      <c r="A40" s="17" t="inlineStr">
        <is>
          <t>ASS-0037</t>
        </is>
      </c>
      <c r="B40" s="16" t="n"/>
      <c r="C40" s="16" t="n"/>
      <c r="D40" s="16" t="n"/>
      <c r="E40" s="16" t="n"/>
      <c r="F40" s="16" t="n"/>
      <c r="G40" s="16" t="n"/>
      <c r="H40" s="16" t="n"/>
      <c r="I40" s="16" t="n"/>
      <c r="J40" s="16" t="n"/>
      <c r="K40" s="16" t="n"/>
      <c r="L40" s="16" t="n"/>
      <c r="M40" s="16" t="n"/>
      <c r="N40" s="16" t="n"/>
    </row>
    <row r="41">
      <c r="A41" s="17" t="inlineStr">
        <is>
          <t>ASS-0038</t>
        </is>
      </c>
      <c r="B41" s="16" t="n"/>
      <c r="C41" s="16" t="n"/>
      <c r="D41" s="16" t="n"/>
      <c r="E41" s="16" t="n"/>
      <c r="F41" s="16" t="n"/>
      <c r="G41" s="16" t="n"/>
      <c r="H41" s="16" t="n"/>
      <c r="I41" s="16" t="n"/>
      <c r="J41" s="16" t="n"/>
      <c r="K41" s="16" t="n"/>
      <c r="L41" s="16" t="n"/>
      <c r="M41" s="16" t="n"/>
      <c r="N41" s="16" t="n"/>
    </row>
    <row r="42">
      <c r="A42" s="17" t="inlineStr">
        <is>
          <t>ASS-0039</t>
        </is>
      </c>
      <c r="B42" s="16" t="n"/>
      <c r="C42" s="16" t="n"/>
      <c r="D42" s="16" t="n"/>
      <c r="E42" s="16" t="n"/>
      <c r="F42" s="16" t="n"/>
      <c r="G42" s="16" t="n"/>
      <c r="H42" s="16" t="n"/>
      <c r="I42" s="16" t="n"/>
      <c r="J42" s="16" t="n"/>
      <c r="K42" s="16" t="n"/>
      <c r="L42" s="16" t="n"/>
      <c r="M42" s="16" t="n"/>
      <c r="N42" s="16" t="n"/>
    </row>
    <row r="43">
      <c r="A43" s="17" t="inlineStr">
        <is>
          <t>ASS-0040</t>
        </is>
      </c>
      <c r="B43" s="16" t="n"/>
      <c r="C43" s="16" t="n"/>
      <c r="D43" s="16" t="n"/>
      <c r="E43" s="16" t="n"/>
      <c r="F43" s="16" t="n"/>
      <c r="G43" s="16" t="n"/>
      <c r="H43" s="16" t="n"/>
      <c r="I43" s="16" t="n"/>
      <c r="J43" s="16" t="n"/>
      <c r="K43" s="16" t="n"/>
      <c r="L43" s="16" t="n"/>
      <c r="M43" s="16" t="n"/>
      <c r="N43" s="16" t="n"/>
    </row>
    <row r="44">
      <c r="A44" s="17" t="inlineStr">
        <is>
          <t>ASS-0041</t>
        </is>
      </c>
      <c r="B44" s="16" t="n"/>
      <c r="C44" s="16" t="n"/>
      <c r="D44" s="16" t="n"/>
      <c r="E44" s="16" t="n"/>
      <c r="F44" s="16" t="n"/>
      <c r="G44" s="16" t="n"/>
      <c r="H44" s="16" t="n"/>
      <c r="I44" s="16" t="n"/>
      <c r="J44" s="16" t="n"/>
      <c r="K44" s="16" t="n"/>
      <c r="L44" s="16" t="n"/>
      <c r="M44" s="16" t="n"/>
      <c r="N44" s="16" t="n"/>
    </row>
    <row r="45">
      <c r="A45" s="17" t="inlineStr">
        <is>
          <t>ASS-0042</t>
        </is>
      </c>
      <c r="B45" s="16" t="n"/>
      <c r="C45" s="16" t="n"/>
      <c r="D45" s="16" t="n"/>
      <c r="E45" s="16" t="n"/>
      <c r="F45" s="16" t="n"/>
      <c r="G45" s="16" t="n"/>
      <c r="H45" s="16" t="n"/>
      <c r="I45" s="16" t="n"/>
      <c r="J45" s="16" t="n"/>
      <c r="K45" s="16" t="n"/>
      <c r="L45" s="16" t="n"/>
      <c r="M45" s="16" t="n"/>
      <c r="N45" s="16" t="n"/>
    </row>
    <row r="46">
      <c r="A46" s="17" t="inlineStr">
        <is>
          <t>ASS-0043</t>
        </is>
      </c>
      <c r="B46" s="16" t="n"/>
      <c r="C46" s="16" t="n"/>
      <c r="D46" s="16" t="n"/>
      <c r="E46" s="16" t="n"/>
      <c r="F46" s="16" t="n"/>
      <c r="G46" s="16" t="n"/>
      <c r="H46" s="16" t="n"/>
      <c r="I46" s="16" t="n"/>
      <c r="J46" s="16" t="n"/>
      <c r="K46" s="16" t="n"/>
      <c r="L46" s="16" t="n"/>
      <c r="M46" s="16" t="n"/>
      <c r="N46" s="16" t="n"/>
    </row>
    <row r="47">
      <c r="A47" s="17" t="inlineStr">
        <is>
          <t>ASS-0044</t>
        </is>
      </c>
      <c r="B47" s="16" t="n"/>
      <c r="C47" s="16" t="n"/>
      <c r="D47" s="16" t="n"/>
      <c r="E47" s="16" t="n"/>
      <c r="F47" s="16" t="n"/>
      <c r="G47" s="16" t="n"/>
      <c r="H47" s="16" t="n"/>
      <c r="I47" s="16" t="n"/>
      <c r="J47" s="16" t="n"/>
      <c r="K47" s="16" t="n"/>
      <c r="L47" s="16" t="n"/>
      <c r="M47" s="16" t="n"/>
      <c r="N47" s="16" t="n"/>
    </row>
    <row r="48">
      <c r="A48" s="17" t="inlineStr">
        <is>
          <t>ASS-0045</t>
        </is>
      </c>
      <c r="B48" s="16" t="n"/>
      <c r="C48" s="16" t="n"/>
      <c r="D48" s="16" t="n"/>
      <c r="E48" s="16" t="n"/>
      <c r="F48" s="16" t="n"/>
      <c r="G48" s="16" t="n"/>
      <c r="H48" s="16" t="n"/>
      <c r="I48" s="16" t="n"/>
      <c r="J48" s="16" t="n"/>
      <c r="K48" s="16" t="n"/>
      <c r="L48" s="16" t="n"/>
      <c r="M48" s="16" t="n"/>
      <c r="N48" s="16" t="n"/>
    </row>
    <row r="49">
      <c r="A49" s="17" t="inlineStr">
        <is>
          <t>ASS-0046</t>
        </is>
      </c>
      <c r="B49" s="16" t="n"/>
      <c r="C49" s="16" t="n"/>
      <c r="D49" s="16" t="n"/>
      <c r="E49" s="16" t="n"/>
      <c r="F49" s="16" t="n"/>
      <c r="G49" s="16" t="n"/>
      <c r="H49" s="16" t="n"/>
      <c r="I49" s="16" t="n"/>
      <c r="J49" s="16" t="n"/>
      <c r="K49" s="16" t="n"/>
      <c r="L49" s="16" t="n"/>
      <c r="M49" s="16" t="n"/>
      <c r="N49" s="16" t="n"/>
    </row>
    <row r="50">
      <c r="A50" s="17" t="inlineStr">
        <is>
          <t>ASS-0047</t>
        </is>
      </c>
      <c r="B50" s="16" t="n"/>
      <c r="C50" s="16" t="n"/>
      <c r="D50" s="16" t="n"/>
      <c r="E50" s="16" t="n"/>
      <c r="F50" s="16" t="n"/>
      <c r="G50" s="16" t="n"/>
      <c r="H50" s="16" t="n"/>
      <c r="I50" s="16" t="n"/>
      <c r="J50" s="16" t="n"/>
      <c r="K50" s="16" t="n"/>
      <c r="L50" s="16" t="n"/>
      <c r="M50" s="16" t="n"/>
      <c r="N50" s="16" t="n"/>
    </row>
    <row r="51">
      <c r="A51" s="17" t="inlineStr">
        <is>
          <t>ASS-0048</t>
        </is>
      </c>
      <c r="B51" s="16" t="n"/>
      <c r="C51" s="16" t="n"/>
      <c r="D51" s="16" t="n"/>
      <c r="E51" s="16" t="n"/>
      <c r="F51" s="16" t="n"/>
      <c r="G51" s="16" t="n"/>
      <c r="H51" s="16" t="n"/>
      <c r="I51" s="16" t="n"/>
      <c r="J51" s="16" t="n"/>
      <c r="K51" s="16" t="n"/>
      <c r="L51" s="16" t="n"/>
      <c r="M51" s="16" t="n"/>
      <c r="N51" s="16" t="n"/>
    </row>
    <row r="52">
      <c r="A52" s="17" t="inlineStr">
        <is>
          <t>ASS-0049</t>
        </is>
      </c>
      <c r="B52" s="16" t="n"/>
      <c r="C52" s="16" t="n"/>
      <c r="D52" s="16" t="n"/>
      <c r="E52" s="16" t="n"/>
      <c r="F52" s="16" t="n"/>
      <c r="G52" s="16" t="n"/>
      <c r="H52" s="16" t="n"/>
      <c r="I52" s="16" t="n"/>
      <c r="J52" s="16" t="n"/>
      <c r="K52" s="16" t="n"/>
      <c r="L52" s="16" t="n"/>
      <c r="M52" s="16" t="n"/>
      <c r="N52" s="16" t="n"/>
    </row>
    <row r="53">
      <c r="A53" s="17" t="inlineStr">
        <is>
          <t>ASS-0050</t>
        </is>
      </c>
      <c r="B53" s="16" t="n"/>
      <c r="C53" s="16" t="n"/>
      <c r="D53" s="16" t="n"/>
      <c r="E53" s="16" t="n"/>
      <c r="F53" s="16" t="n"/>
      <c r="G53" s="16" t="n"/>
      <c r="H53" s="16" t="n"/>
      <c r="I53" s="16" t="n"/>
      <c r="J53" s="16" t="n"/>
      <c r="K53" s="16" t="n"/>
      <c r="L53" s="16" t="n"/>
      <c r="M53" s="16" t="n"/>
      <c r="N53" s="16" t="n"/>
    </row>
    <row r="54">
      <c r="A54" s="17" t="inlineStr">
        <is>
          <t>ASS-0051</t>
        </is>
      </c>
      <c r="B54" s="16" t="n"/>
      <c r="C54" s="16" t="n"/>
      <c r="D54" s="16" t="n"/>
      <c r="E54" s="16" t="n"/>
      <c r="F54" s="16" t="n"/>
      <c r="G54" s="16" t="n"/>
      <c r="H54" s="16" t="n"/>
      <c r="I54" s="16" t="n"/>
      <c r="J54" s="16" t="n"/>
      <c r="K54" s="16" t="n"/>
      <c r="L54" s="16" t="n"/>
      <c r="M54" s="16" t="n"/>
      <c r="N54" s="16" t="n"/>
    </row>
    <row r="55">
      <c r="A55" s="17" t="inlineStr">
        <is>
          <t>ASS-0052</t>
        </is>
      </c>
      <c r="B55" s="16" t="n"/>
      <c r="C55" s="16" t="n"/>
      <c r="D55" s="16" t="n"/>
      <c r="E55" s="16" t="n"/>
      <c r="F55" s="16" t="n"/>
      <c r="G55" s="16" t="n"/>
      <c r="H55" s="16" t="n"/>
      <c r="I55" s="16" t="n"/>
      <c r="J55" s="16" t="n"/>
      <c r="K55" s="16" t="n"/>
      <c r="L55" s="16" t="n"/>
      <c r="M55" s="16" t="n"/>
      <c r="N55" s="16" t="n"/>
    </row>
    <row r="56">
      <c r="A56" s="17" t="inlineStr">
        <is>
          <t>ASS-0053</t>
        </is>
      </c>
      <c r="B56" s="16" t="n"/>
      <c r="C56" s="16" t="n"/>
      <c r="D56" s="16" t="n"/>
      <c r="E56" s="16" t="n"/>
      <c r="F56" s="16" t="n"/>
      <c r="G56" s="16" t="n"/>
      <c r="H56" s="16" t="n"/>
      <c r="I56" s="16" t="n"/>
      <c r="J56" s="16" t="n"/>
      <c r="K56" s="16" t="n"/>
      <c r="L56" s="16" t="n"/>
      <c r="M56" s="16" t="n"/>
      <c r="N56" s="16" t="n"/>
    </row>
    <row r="57">
      <c r="A57" s="17" t="inlineStr">
        <is>
          <t>ASS-0054</t>
        </is>
      </c>
      <c r="B57" s="16" t="n"/>
      <c r="C57" s="16" t="n"/>
      <c r="D57" s="16" t="n"/>
      <c r="E57" s="16" t="n"/>
      <c r="F57" s="16" t="n"/>
      <c r="G57" s="16" t="n"/>
      <c r="H57" s="16" t="n"/>
      <c r="I57" s="16" t="n"/>
      <c r="J57" s="16" t="n"/>
      <c r="K57" s="16" t="n"/>
      <c r="L57" s="16" t="n"/>
      <c r="M57" s="16" t="n"/>
      <c r="N57" s="16" t="n"/>
    </row>
    <row r="58">
      <c r="A58" s="17" t="inlineStr">
        <is>
          <t>ASS-0055</t>
        </is>
      </c>
      <c r="B58" s="16" t="n"/>
      <c r="C58" s="16" t="n"/>
      <c r="D58" s="16" t="n"/>
      <c r="E58" s="16" t="n"/>
      <c r="F58" s="16" t="n"/>
      <c r="G58" s="16" t="n"/>
      <c r="H58" s="16" t="n"/>
      <c r="I58" s="16" t="n"/>
      <c r="J58" s="16" t="n"/>
      <c r="K58" s="16" t="n"/>
      <c r="L58" s="16" t="n"/>
      <c r="M58" s="16" t="n"/>
      <c r="N58" s="16" t="n"/>
    </row>
    <row r="59">
      <c r="A59" s="17" t="inlineStr">
        <is>
          <t>ASS-0056</t>
        </is>
      </c>
      <c r="B59" s="16" t="n"/>
      <c r="C59" s="16" t="n"/>
      <c r="D59" s="16" t="n"/>
      <c r="E59" s="16" t="n"/>
      <c r="F59" s="16" t="n"/>
      <c r="G59" s="16" t="n"/>
      <c r="H59" s="16" t="n"/>
      <c r="I59" s="16" t="n"/>
      <c r="J59" s="16" t="n"/>
      <c r="K59" s="16" t="n"/>
      <c r="L59" s="16" t="n"/>
      <c r="M59" s="16" t="n"/>
      <c r="N59" s="16" t="n"/>
    </row>
    <row r="60">
      <c r="A60" s="17" t="inlineStr">
        <is>
          <t>ASS-0057</t>
        </is>
      </c>
      <c r="B60" s="16" t="n"/>
      <c r="C60" s="16" t="n"/>
      <c r="D60" s="16" t="n"/>
      <c r="E60" s="16" t="n"/>
      <c r="F60" s="16" t="n"/>
      <c r="G60" s="16" t="n"/>
      <c r="H60" s="16" t="n"/>
      <c r="I60" s="16" t="n"/>
      <c r="J60" s="16" t="n"/>
      <c r="K60" s="16" t="n"/>
      <c r="L60" s="16" t="n"/>
      <c r="M60" s="16" t="n"/>
      <c r="N60" s="16" t="n"/>
    </row>
    <row r="61">
      <c r="A61" s="17" t="inlineStr">
        <is>
          <t>ASS-0058</t>
        </is>
      </c>
      <c r="B61" s="16" t="n"/>
      <c r="C61" s="16" t="n"/>
      <c r="D61" s="16" t="n"/>
      <c r="E61" s="16" t="n"/>
      <c r="F61" s="16" t="n"/>
      <c r="G61" s="16" t="n"/>
      <c r="H61" s="16" t="n"/>
      <c r="I61" s="16" t="n"/>
      <c r="J61" s="16" t="n"/>
      <c r="K61" s="16" t="n"/>
      <c r="L61" s="16" t="n"/>
      <c r="M61" s="16" t="n"/>
      <c r="N61" s="16" t="n"/>
    </row>
    <row r="62">
      <c r="A62" s="17" t="inlineStr">
        <is>
          <t>ASS-0059</t>
        </is>
      </c>
      <c r="B62" s="16" t="n"/>
      <c r="C62" s="16" t="n"/>
      <c r="D62" s="16" t="n"/>
      <c r="E62" s="16" t="n"/>
      <c r="F62" s="16" t="n"/>
      <c r="G62" s="16" t="n"/>
      <c r="H62" s="16" t="n"/>
      <c r="I62" s="16" t="n"/>
      <c r="J62" s="16" t="n"/>
      <c r="K62" s="16" t="n"/>
      <c r="L62" s="16" t="n"/>
      <c r="M62" s="16" t="n"/>
      <c r="N62" s="16" t="n"/>
    </row>
    <row r="63">
      <c r="A63" s="17" t="inlineStr">
        <is>
          <t>ASS-0060</t>
        </is>
      </c>
      <c r="B63" s="16" t="n"/>
      <c r="C63" s="16" t="n"/>
      <c r="D63" s="16" t="n"/>
      <c r="E63" s="16" t="n"/>
      <c r="F63" s="16" t="n"/>
      <c r="G63" s="16" t="n"/>
      <c r="H63" s="16" t="n"/>
      <c r="I63" s="16" t="n"/>
      <c r="J63" s="16" t="n"/>
      <c r="K63" s="16" t="n"/>
      <c r="L63" s="16" t="n"/>
      <c r="M63" s="16" t="n"/>
      <c r="N63" s="16" t="n"/>
    </row>
    <row r="64">
      <c r="A64" s="17" t="inlineStr">
        <is>
          <t>ASS-0061</t>
        </is>
      </c>
      <c r="B64" s="16" t="n"/>
      <c r="C64" s="16" t="n"/>
      <c r="D64" s="16" t="n"/>
      <c r="E64" s="16" t="n"/>
      <c r="F64" s="16" t="n"/>
      <c r="G64" s="16" t="n"/>
      <c r="H64" s="16" t="n"/>
      <c r="I64" s="16" t="n"/>
      <c r="J64" s="16" t="n"/>
      <c r="K64" s="16" t="n"/>
      <c r="L64" s="16" t="n"/>
      <c r="M64" s="16" t="n"/>
      <c r="N64" s="16" t="n"/>
    </row>
    <row r="65">
      <c r="A65" s="17" t="inlineStr">
        <is>
          <t>ASS-0062</t>
        </is>
      </c>
      <c r="B65" s="16" t="n"/>
      <c r="C65" s="16" t="n"/>
      <c r="D65" s="16" t="n"/>
      <c r="E65" s="16" t="n"/>
      <c r="F65" s="16" t="n"/>
      <c r="G65" s="16" t="n"/>
      <c r="H65" s="16" t="n"/>
      <c r="I65" s="16" t="n"/>
      <c r="J65" s="16" t="n"/>
      <c r="K65" s="16" t="n"/>
      <c r="L65" s="16" t="n"/>
      <c r="M65" s="16" t="n"/>
      <c r="N65" s="16" t="n"/>
    </row>
    <row r="66">
      <c r="A66" s="17" t="inlineStr">
        <is>
          <t>ASS-0063</t>
        </is>
      </c>
      <c r="B66" s="16" t="n"/>
      <c r="C66" s="16" t="n"/>
      <c r="D66" s="16" t="n"/>
      <c r="E66" s="16" t="n"/>
      <c r="F66" s="16" t="n"/>
      <c r="G66" s="16" t="n"/>
      <c r="H66" s="16" t="n"/>
      <c r="I66" s="16" t="n"/>
      <c r="J66" s="16" t="n"/>
      <c r="K66" s="16" t="n"/>
      <c r="L66" s="16" t="n"/>
      <c r="M66" s="16" t="n"/>
      <c r="N66" s="16" t="n"/>
    </row>
    <row r="67">
      <c r="A67" s="17" t="inlineStr">
        <is>
          <t>ASS-0064</t>
        </is>
      </c>
      <c r="B67" s="16" t="n"/>
      <c r="C67" s="16" t="n"/>
      <c r="D67" s="16" t="n"/>
      <c r="E67" s="16" t="n"/>
      <c r="F67" s="16" t="n"/>
      <c r="G67" s="16" t="n"/>
      <c r="H67" s="16" t="n"/>
      <c r="I67" s="16" t="n"/>
      <c r="J67" s="16" t="n"/>
      <c r="K67" s="16" t="n"/>
      <c r="L67" s="16" t="n"/>
      <c r="M67" s="16" t="n"/>
      <c r="N67" s="16" t="n"/>
    </row>
    <row r="68">
      <c r="A68" s="17" t="inlineStr">
        <is>
          <t>ASS-0065</t>
        </is>
      </c>
      <c r="B68" s="16" t="n"/>
      <c r="C68" s="16" t="n"/>
      <c r="D68" s="16" t="n"/>
      <c r="E68" s="16" t="n"/>
      <c r="F68" s="16" t="n"/>
      <c r="G68" s="16" t="n"/>
      <c r="H68" s="16" t="n"/>
      <c r="I68" s="16" t="n"/>
      <c r="J68" s="16" t="n"/>
      <c r="K68" s="16" t="n"/>
      <c r="L68" s="16" t="n"/>
      <c r="M68" s="16" t="n"/>
      <c r="N68" s="16" t="n"/>
    </row>
    <row r="69">
      <c r="A69" s="17" t="inlineStr">
        <is>
          <t>ASS-0066</t>
        </is>
      </c>
      <c r="B69" s="16" t="n"/>
      <c r="C69" s="16" t="n"/>
      <c r="D69" s="16" t="n"/>
      <c r="E69" s="16" t="n"/>
      <c r="F69" s="16" t="n"/>
      <c r="G69" s="16" t="n"/>
      <c r="H69" s="16" t="n"/>
      <c r="I69" s="16" t="n"/>
      <c r="J69" s="16" t="n"/>
      <c r="K69" s="16" t="n"/>
      <c r="L69" s="16" t="n"/>
      <c r="M69" s="16" t="n"/>
      <c r="N69" s="16" t="n"/>
    </row>
    <row r="70">
      <c r="A70" s="17" t="inlineStr">
        <is>
          <t>ASS-0067</t>
        </is>
      </c>
      <c r="B70" s="16" t="n"/>
      <c r="C70" s="16" t="n"/>
      <c r="D70" s="16" t="n"/>
      <c r="E70" s="16" t="n"/>
      <c r="F70" s="16" t="n"/>
      <c r="G70" s="16" t="n"/>
      <c r="H70" s="16" t="n"/>
      <c r="I70" s="16" t="n"/>
      <c r="J70" s="16" t="n"/>
      <c r="K70" s="16" t="n"/>
      <c r="L70" s="16" t="n"/>
      <c r="M70" s="16" t="n"/>
      <c r="N70" s="16" t="n"/>
    </row>
    <row r="71">
      <c r="A71" s="17" t="inlineStr">
        <is>
          <t>ASS-0068</t>
        </is>
      </c>
      <c r="B71" s="16" t="n"/>
      <c r="C71" s="16" t="n"/>
      <c r="D71" s="16" t="n"/>
      <c r="E71" s="16" t="n"/>
      <c r="F71" s="16" t="n"/>
      <c r="G71" s="16" t="n"/>
      <c r="H71" s="16" t="n"/>
      <c r="I71" s="16" t="n"/>
      <c r="J71" s="16" t="n"/>
      <c r="K71" s="16" t="n"/>
      <c r="L71" s="16" t="n"/>
      <c r="M71" s="16" t="n"/>
      <c r="N71" s="16" t="n"/>
    </row>
    <row r="72">
      <c r="A72" s="17" t="inlineStr">
        <is>
          <t>ASS-0069</t>
        </is>
      </c>
      <c r="B72" s="16" t="n"/>
      <c r="C72" s="16" t="n"/>
      <c r="D72" s="16" t="n"/>
      <c r="E72" s="16" t="n"/>
      <c r="F72" s="16" t="n"/>
      <c r="G72" s="16" t="n"/>
      <c r="H72" s="16" t="n"/>
      <c r="I72" s="16" t="n"/>
      <c r="J72" s="16" t="n"/>
      <c r="K72" s="16" t="n"/>
      <c r="L72" s="16" t="n"/>
      <c r="M72" s="16" t="n"/>
      <c r="N72" s="16" t="n"/>
    </row>
    <row r="73">
      <c r="A73" s="17" t="inlineStr">
        <is>
          <t>ASS-0070</t>
        </is>
      </c>
      <c r="B73" s="16" t="n"/>
      <c r="C73" s="16" t="n"/>
      <c r="D73" s="16" t="n"/>
      <c r="E73" s="16" t="n"/>
      <c r="F73" s="16" t="n"/>
      <c r="G73" s="16" t="n"/>
      <c r="H73" s="16" t="n"/>
      <c r="I73" s="16" t="n"/>
      <c r="J73" s="16" t="n"/>
      <c r="K73" s="16" t="n"/>
      <c r="L73" s="16" t="n"/>
      <c r="M73" s="16" t="n"/>
      <c r="N73" s="16" t="n"/>
    </row>
    <row r="74">
      <c r="A74" s="17" t="inlineStr">
        <is>
          <t>ASS-0071</t>
        </is>
      </c>
      <c r="B74" s="16" t="n"/>
      <c r="C74" s="16" t="n"/>
      <c r="D74" s="16" t="n"/>
      <c r="E74" s="16" t="n"/>
      <c r="F74" s="16" t="n"/>
      <c r="G74" s="16" t="n"/>
      <c r="H74" s="16" t="n"/>
      <c r="I74" s="16" t="n"/>
      <c r="J74" s="16" t="n"/>
      <c r="K74" s="16" t="n"/>
      <c r="L74" s="16" t="n"/>
      <c r="M74" s="16" t="n"/>
      <c r="N74" s="16" t="n"/>
    </row>
    <row r="75">
      <c r="A75" s="17" t="inlineStr">
        <is>
          <t>ASS-0072</t>
        </is>
      </c>
      <c r="B75" s="16" t="n"/>
      <c r="C75" s="16" t="n"/>
      <c r="D75" s="16" t="n"/>
      <c r="E75" s="16" t="n"/>
      <c r="F75" s="16" t="n"/>
      <c r="G75" s="16" t="n"/>
      <c r="H75" s="16" t="n"/>
      <c r="I75" s="16" t="n"/>
      <c r="J75" s="16" t="n"/>
      <c r="K75" s="16" t="n"/>
      <c r="L75" s="16" t="n"/>
      <c r="M75" s="16" t="n"/>
      <c r="N75" s="16" t="n"/>
    </row>
    <row r="76">
      <c r="A76" s="17" t="inlineStr">
        <is>
          <t>ASS-0073</t>
        </is>
      </c>
      <c r="B76" s="16" t="n"/>
      <c r="C76" s="16" t="n"/>
      <c r="D76" s="16" t="n"/>
      <c r="E76" s="16" t="n"/>
      <c r="F76" s="16" t="n"/>
      <c r="G76" s="16" t="n"/>
      <c r="H76" s="16" t="n"/>
      <c r="I76" s="16" t="n"/>
      <c r="J76" s="16" t="n"/>
      <c r="K76" s="16" t="n"/>
      <c r="L76" s="16" t="n"/>
      <c r="M76" s="16" t="n"/>
      <c r="N76" s="16" t="n"/>
    </row>
    <row r="77">
      <c r="A77" s="17" t="inlineStr">
        <is>
          <t>ASS-0074</t>
        </is>
      </c>
      <c r="B77" s="16" t="n"/>
      <c r="C77" s="16" t="n"/>
      <c r="D77" s="16" t="n"/>
      <c r="E77" s="16" t="n"/>
      <c r="F77" s="16" t="n"/>
      <c r="G77" s="16" t="n"/>
      <c r="H77" s="16" t="n"/>
      <c r="I77" s="16" t="n"/>
      <c r="J77" s="16" t="n"/>
      <c r="K77" s="16" t="n"/>
      <c r="L77" s="16" t="n"/>
      <c r="M77" s="16" t="n"/>
      <c r="N77" s="16" t="n"/>
    </row>
    <row r="78">
      <c r="A78" s="17" t="inlineStr">
        <is>
          <t>ASS-0075</t>
        </is>
      </c>
      <c r="B78" s="16" t="n"/>
      <c r="C78" s="16" t="n"/>
      <c r="D78" s="16" t="n"/>
      <c r="E78" s="16" t="n"/>
      <c r="F78" s="16" t="n"/>
      <c r="G78" s="16" t="n"/>
      <c r="H78" s="16" t="n"/>
      <c r="I78" s="16" t="n"/>
      <c r="J78" s="16" t="n"/>
      <c r="K78" s="16" t="n"/>
      <c r="L78" s="16" t="n"/>
      <c r="M78" s="16" t="n"/>
      <c r="N78" s="16" t="n"/>
    </row>
    <row r="79">
      <c r="A79" s="17" t="inlineStr">
        <is>
          <t>ASS-0076</t>
        </is>
      </c>
      <c r="B79" s="16" t="n"/>
      <c r="C79" s="16" t="n"/>
      <c r="D79" s="16" t="n"/>
      <c r="E79" s="16" t="n"/>
      <c r="F79" s="16" t="n"/>
      <c r="G79" s="16" t="n"/>
      <c r="H79" s="16" t="n"/>
      <c r="I79" s="16" t="n"/>
      <c r="J79" s="16" t="n"/>
      <c r="K79" s="16" t="n"/>
      <c r="L79" s="16" t="n"/>
      <c r="M79" s="16" t="n"/>
      <c r="N79" s="16" t="n"/>
    </row>
    <row r="80">
      <c r="A80" s="17" t="inlineStr">
        <is>
          <t>ASS-0077</t>
        </is>
      </c>
      <c r="B80" s="16" t="n"/>
      <c r="C80" s="16" t="n"/>
      <c r="D80" s="16" t="n"/>
      <c r="E80" s="16" t="n"/>
      <c r="F80" s="16" t="n"/>
      <c r="G80" s="16" t="n"/>
      <c r="H80" s="16" t="n"/>
      <c r="I80" s="16" t="n"/>
      <c r="J80" s="16" t="n"/>
      <c r="K80" s="16" t="n"/>
      <c r="L80" s="16" t="n"/>
      <c r="M80" s="16" t="n"/>
      <c r="N80" s="16" t="n"/>
    </row>
    <row r="81">
      <c r="A81" s="17" t="inlineStr">
        <is>
          <t>ASS-0078</t>
        </is>
      </c>
      <c r="B81" s="16" t="n"/>
      <c r="C81" s="16" t="n"/>
      <c r="D81" s="16" t="n"/>
      <c r="E81" s="16" t="n"/>
      <c r="F81" s="16" t="n"/>
      <c r="G81" s="16" t="n"/>
      <c r="H81" s="16" t="n"/>
      <c r="I81" s="16" t="n"/>
      <c r="J81" s="16" t="n"/>
      <c r="K81" s="16" t="n"/>
      <c r="L81" s="16" t="n"/>
      <c r="M81" s="16" t="n"/>
      <c r="N81" s="16" t="n"/>
    </row>
    <row r="82">
      <c r="A82" s="17" t="inlineStr">
        <is>
          <t>ASS-0079</t>
        </is>
      </c>
      <c r="B82" s="16" t="n"/>
      <c r="C82" s="16" t="n"/>
      <c r="D82" s="16" t="n"/>
      <c r="E82" s="16" t="n"/>
      <c r="F82" s="16" t="n"/>
      <c r="G82" s="16" t="n"/>
      <c r="H82" s="16" t="n"/>
      <c r="I82" s="16" t="n"/>
      <c r="J82" s="16" t="n"/>
      <c r="K82" s="16" t="n"/>
      <c r="L82" s="16" t="n"/>
      <c r="M82" s="16" t="n"/>
      <c r="N82" s="16" t="n"/>
    </row>
    <row r="83">
      <c r="A83" s="17" t="inlineStr">
        <is>
          <t>ASS-0080</t>
        </is>
      </c>
      <c r="B83" s="16" t="n"/>
      <c r="C83" s="16" t="n"/>
      <c r="D83" s="16" t="n"/>
      <c r="E83" s="16" t="n"/>
      <c r="F83" s="16" t="n"/>
      <c r="G83" s="16" t="n"/>
      <c r="H83" s="16" t="n"/>
      <c r="I83" s="16" t="n"/>
      <c r="J83" s="16" t="n"/>
      <c r="K83" s="16" t="n"/>
      <c r="L83" s="16" t="n"/>
      <c r="M83" s="16" t="n"/>
      <c r="N83" s="16" t="n"/>
    </row>
    <row r="84">
      <c r="A84" s="17" t="inlineStr">
        <is>
          <t>ASS-0081</t>
        </is>
      </c>
      <c r="B84" s="16" t="n"/>
      <c r="C84" s="16" t="n"/>
      <c r="D84" s="16" t="n"/>
      <c r="E84" s="16" t="n"/>
      <c r="F84" s="16" t="n"/>
      <c r="G84" s="16" t="n"/>
      <c r="H84" s="16" t="n"/>
      <c r="I84" s="16" t="n"/>
      <c r="J84" s="16" t="n"/>
      <c r="K84" s="16" t="n"/>
      <c r="L84" s="16" t="n"/>
      <c r="M84" s="16" t="n"/>
      <c r="N84" s="16" t="n"/>
    </row>
    <row r="85">
      <c r="A85" s="17" t="inlineStr">
        <is>
          <t>ASS-0082</t>
        </is>
      </c>
      <c r="B85" s="16" t="n"/>
      <c r="C85" s="16" t="n"/>
      <c r="D85" s="16" t="n"/>
      <c r="E85" s="16" t="n"/>
      <c r="F85" s="16" t="n"/>
      <c r="G85" s="16" t="n"/>
      <c r="H85" s="16" t="n"/>
      <c r="I85" s="16" t="n"/>
      <c r="J85" s="16" t="n"/>
      <c r="K85" s="16" t="n"/>
      <c r="L85" s="16" t="n"/>
      <c r="M85" s="16" t="n"/>
      <c r="N85" s="16" t="n"/>
    </row>
    <row r="86">
      <c r="A86" s="17" t="inlineStr">
        <is>
          <t>ASS-0083</t>
        </is>
      </c>
      <c r="B86" s="16" t="n"/>
      <c r="C86" s="16" t="n"/>
      <c r="D86" s="16" t="n"/>
      <c r="E86" s="16" t="n"/>
      <c r="F86" s="16" t="n"/>
      <c r="G86" s="16" t="n"/>
      <c r="H86" s="16" t="n"/>
      <c r="I86" s="16" t="n"/>
      <c r="J86" s="16" t="n"/>
      <c r="K86" s="16" t="n"/>
      <c r="L86" s="16" t="n"/>
      <c r="M86" s="16" t="n"/>
      <c r="N86" s="16" t="n"/>
    </row>
    <row r="87">
      <c r="A87" s="17" t="inlineStr">
        <is>
          <t>ASS-0084</t>
        </is>
      </c>
      <c r="B87" s="16" t="n"/>
      <c r="C87" s="16" t="n"/>
      <c r="D87" s="16" t="n"/>
      <c r="E87" s="16" t="n"/>
      <c r="F87" s="16" t="n"/>
      <c r="G87" s="16" t="n"/>
      <c r="H87" s="16" t="n"/>
      <c r="I87" s="16" t="n"/>
      <c r="J87" s="16" t="n"/>
      <c r="K87" s="16" t="n"/>
      <c r="L87" s="16" t="n"/>
      <c r="M87" s="16" t="n"/>
      <c r="N87" s="16" t="n"/>
    </row>
    <row r="88">
      <c r="A88" s="17" t="inlineStr">
        <is>
          <t>ASS-0085</t>
        </is>
      </c>
      <c r="B88" s="16" t="n"/>
      <c r="C88" s="16" t="n"/>
      <c r="D88" s="16" t="n"/>
      <c r="E88" s="16" t="n"/>
      <c r="F88" s="16" t="n"/>
      <c r="G88" s="16" t="n"/>
      <c r="H88" s="16" t="n"/>
      <c r="I88" s="16" t="n"/>
      <c r="J88" s="16" t="n"/>
      <c r="K88" s="16" t="n"/>
      <c r="L88" s="16" t="n"/>
      <c r="M88" s="16" t="n"/>
      <c r="N88" s="16" t="n"/>
    </row>
    <row r="89">
      <c r="A89" s="17" t="inlineStr">
        <is>
          <t>ASS-0086</t>
        </is>
      </c>
      <c r="B89" s="16" t="n"/>
      <c r="C89" s="16" t="n"/>
      <c r="D89" s="16" t="n"/>
      <c r="E89" s="16" t="n"/>
      <c r="F89" s="16" t="n"/>
      <c r="G89" s="16" t="n"/>
      <c r="H89" s="16" t="n"/>
      <c r="I89" s="16" t="n"/>
      <c r="J89" s="16" t="n"/>
      <c r="K89" s="16" t="n"/>
      <c r="L89" s="16" t="n"/>
      <c r="M89" s="16" t="n"/>
      <c r="N89" s="16" t="n"/>
    </row>
    <row r="90">
      <c r="A90" s="17" t="inlineStr">
        <is>
          <t>ASS-0087</t>
        </is>
      </c>
      <c r="B90" s="16" t="n"/>
      <c r="C90" s="16" t="n"/>
      <c r="D90" s="16" t="n"/>
      <c r="E90" s="16" t="n"/>
      <c r="F90" s="16" t="n"/>
      <c r="G90" s="16" t="n"/>
      <c r="H90" s="16" t="n"/>
      <c r="I90" s="16" t="n"/>
      <c r="J90" s="16" t="n"/>
      <c r="K90" s="16" t="n"/>
      <c r="L90" s="16" t="n"/>
      <c r="M90" s="16" t="n"/>
      <c r="N90" s="16" t="n"/>
    </row>
    <row r="91">
      <c r="A91" s="17" t="inlineStr">
        <is>
          <t>ASS-0088</t>
        </is>
      </c>
      <c r="B91" s="16" t="n"/>
      <c r="C91" s="16" t="n"/>
      <c r="D91" s="16" t="n"/>
      <c r="E91" s="16" t="n"/>
      <c r="F91" s="16" t="n"/>
      <c r="G91" s="16" t="n"/>
      <c r="H91" s="16" t="n"/>
      <c r="I91" s="16" t="n"/>
      <c r="J91" s="16" t="n"/>
      <c r="K91" s="16" t="n"/>
      <c r="L91" s="16" t="n"/>
      <c r="M91" s="16" t="n"/>
      <c r="N91" s="16" t="n"/>
    </row>
    <row r="92">
      <c r="A92" s="17" t="inlineStr">
        <is>
          <t>ASS-0089</t>
        </is>
      </c>
      <c r="B92" s="16" t="n"/>
      <c r="C92" s="16" t="n"/>
      <c r="D92" s="16" t="n"/>
      <c r="E92" s="16" t="n"/>
      <c r="F92" s="16" t="n"/>
      <c r="G92" s="16" t="n"/>
      <c r="H92" s="16" t="n"/>
      <c r="I92" s="16" t="n"/>
      <c r="J92" s="16" t="n"/>
      <c r="K92" s="16" t="n"/>
      <c r="L92" s="16" t="n"/>
      <c r="M92" s="16" t="n"/>
      <c r="N92" s="16" t="n"/>
    </row>
    <row r="93">
      <c r="A93" s="17" t="inlineStr">
        <is>
          <t>ASS-0090</t>
        </is>
      </c>
      <c r="B93" s="16" t="n"/>
      <c r="C93" s="16" t="n"/>
      <c r="D93" s="16" t="n"/>
      <c r="E93" s="16" t="n"/>
      <c r="F93" s="16" t="n"/>
      <c r="G93" s="16" t="n"/>
      <c r="H93" s="16" t="n"/>
      <c r="I93" s="16" t="n"/>
      <c r="J93" s="16" t="n"/>
      <c r="K93" s="16" t="n"/>
      <c r="L93" s="16" t="n"/>
      <c r="M93" s="16" t="n"/>
      <c r="N93" s="16" t="n"/>
    </row>
    <row r="94">
      <c r="A94" s="17" t="inlineStr">
        <is>
          <t>ASS-0091</t>
        </is>
      </c>
      <c r="B94" s="16" t="n"/>
      <c r="C94" s="16" t="n"/>
      <c r="D94" s="16" t="n"/>
      <c r="E94" s="16" t="n"/>
      <c r="F94" s="16" t="n"/>
      <c r="G94" s="16" t="n"/>
      <c r="H94" s="16" t="n"/>
      <c r="I94" s="16" t="n"/>
      <c r="J94" s="16" t="n"/>
      <c r="K94" s="16" t="n"/>
      <c r="L94" s="16" t="n"/>
      <c r="M94" s="16" t="n"/>
      <c r="N94" s="16" t="n"/>
    </row>
    <row r="95">
      <c r="A95" s="17" t="inlineStr">
        <is>
          <t>ASS-0092</t>
        </is>
      </c>
      <c r="B95" s="16" t="n"/>
      <c r="C95" s="16" t="n"/>
      <c r="D95" s="16" t="n"/>
      <c r="E95" s="16" t="n"/>
      <c r="F95" s="16" t="n"/>
      <c r="G95" s="16" t="n"/>
      <c r="H95" s="16" t="n"/>
      <c r="I95" s="16" t="n"/>
      <c r="J95" s="16" t="n"/>
      <c r="K95" s="16" t="n"/>
      <c r="L95" s="16" t="n"/>
      <c r="M95" s="16" t="n"/>
      <c r="N95" s="16" t="n"/>
    </row>
    <row r="96">
      <c r="A96" s="17" t="inlineStr">
        <is>
          <t>ASS-0093</t>
        </is>
      </c>
      <c r="B96" s="16" t="n"/>
      <c r="C96" s="16" t="n"/>
      <c r="D96" s="16" t="n"/>
      <c r="E96" s="16" t="n"/>
      <c r="F96" s="16" t="n"/>
      <c r="G96" s="16" t="n"/>
      <c r="H96" s="16" t="n"/>
      <c r="I96" s="16" t="n"/>
      <c r="J96" s="16" t="n"/>
      <c r="K96" s="16" t="n"/>
      <c r="L96" s="16" t="n"/>
      <c r="M96" s="16" t="n"/>
      <c r="N96" s="16" t="n"/>
    </row>
    <row r="97">
      <c r="A97" s="17" t="inlineStr">
        <is>
          <t>ASS-0094</t>
        </is>
      </c>
      <c r="B97" s="16" t="n"/>
      <c r="C97" s="16" t="n"/>
      <c r="D97" s="16" t="n"/>
      <c r="E97" s="16" t="n"/>
      <c r="F97" s="16" t="n"/>
      <c r="G97" s="16" t="n"/>
      <c r="H97" s="16" t="n"/>
      <c r="I97" s="16" t="n"/>
      <c r="J97" s="16" t="n"/>
      <c r="K97" s="16" t="n"/>
      <c r="L97" s="16" t="n"/>
      <c r="M97" s="16" t="n"/>
      <c r="N97" s="16" t="n"/>
    </row>
    <row r="98">
      <c r="A98" s="17" t="inlineStr">
        <is>
          <t>ASS-0095</t>
        </is>
      </c>
      <c r="B98" s="16" t="n"/>
      <c r="C98" s="16" t="n"/>
      <c r="D98" s="16" t="n"/>
      <c r="E98" s="16" t="n"/>
      <c r="F98" s="16" t="n"/>
      <c r="G98" s="16" t="n"/>
      <c r="H98" s="16" t="n"/>
      <c r="I98" s="16" t="n"/>
      <c r="J98" s="16" t="n"/>
      <c r="K98" s="16" t="n"/>
      <c r="L98" s="16" t="n"/>
      <c r="M98" s="16" t="n"/>
      <c r="N98" s="16" t="n"/>
    </row>
    <row r="99">
      <c r="A99" s="17" t="inlineStr">
        <is>
          <t>ASS-0096</t>
        </is>
      </c>
      <c r="B99" s="16" t="n"/>
      <c r="C99" s="16" t="n"/>
      <c r="D99" s="16" t="n"/>
      <c r="E99" s="16" t="n"/>
      <c r="F99" s="16" t="n"/>
      <c r="G99" s="16" t="n"/>
      <c r="H99" s="16" t="n"/>
      <c r="I99" s="16" t="n"/>
      <c r="J99" s="16" t="n"/>
      <c r="K99" s="16" t="n"/>
      <c r="L99" s="16" t="n"/>
      <c r="M99" s="16" t="n"/>
      <c r="N99" s="16" t="n"/>
    </row>
    <row r="100">
      <c r="A100" s="17" t="inlineStr">
        <is>
          <t>ASS-0097</t>
        </is>
      </c>
      <c r="B100" s="16" t="n"/>
      <c r="C100" s="16" t="n"/>
      <c r="D100" s="16" t="n"/>
      <c r="E100" s="16" t="n"/>
      <c r="F100" s="16" t="n"/>
      <c r="G100" s="16" t="n"/>
      <c r="H100" s="16" t="n"/>
      <c r="I100" s="16" t="n"/>
      <c r="J100" s="16" t="n"/>
      <c r="K100" s="16" t="n"/>
      <c r="L100" s="16" t="n"/>
      <c r="M100" s="16" t="n"/>
      <c r="N100" s="16" t="n"/>
    </row>
    <row r="101">
      <c r="A101" s="17" t="inlineStr">
        <is>
          <t>ASS-0098</t>
        </is>
      </c>
      <c r="B101" s="16" t="n"/>
      <c r="C101" s="16" t="n"/>
      <c r="D101" s="16" t="n"/>
      <c r="E101" s="16" t="n"/>
      <c r="F101" s="16" t="n"/>
      <c r="G101" s="16" t="n"/>
      <c r="H101" s="16" t="n"/>
      <c r="I101" s="16" t="n"/>
      <c r="J101" s="16" t="n"/>
      <c r="K101" s="16" t="n"/>
      <c r="L101" s="16" t="n"/>
      <c r="M101" s="16" t="n"/>
      <c r="N101" s="16" t="n"/>
    </row>
    <row r="102">
      <c r="A102" s="17" t="inlineStr">
        <is>
          <t>ASS-0099</t>
        </is>
      </c>
      <c r="B102" s="16" t="n"/>
      <c r="C102" s="16" t="n"/>
      <c r="D102" s="16" t="n"/>
      <c r="E102" s="16" t="n"/>
      <c r="F102" s="16" t="n"/>
      <c r="G102" s="16" t="n"/>
      <c r="H102" s="16" t="n"/>
      <c r="I102" s="16" t="n"/>
      <c r="J102" s="16" t="n"/>
      <c r="K102" s="16" t="n"/>
      <c r="L102" s="16" t="n"/>
      <c r="M102" s="16" t="n"/>
      <c r="N102" s="16" t="n"/>
    </row>
    <row r="103">
      <c r="A103" s="17" t="inlineStr">
        <is>
          <t>ASS-0100</t>
        </is>
      </c>
      <c r="B103" s="16" t="n"/>
      <c r="C103" s="16" t="n"/>
      <c r="D103" s="16" t="n"/>
      <c r="E103" s="16" t="n"/>
      <c r="F103" s="16" t="n"/>
      <c r="G103" s="16" t="n"/>
      <c r="H103" s="16" t="n"/>
      <c r="I103" s="16" t="n"/>
      <c r="J103" s="16" t="n"/>
      <c r="K103" s="16" t="n"/>
      <c r="L103" s="16" t="n"/>
      <c r="M103" s="16" t="n"/>
      <c r="N103" s="16" t="n"/>
    </row>
    <row r="104">
      <c r="A104" s="17" t="inlineStr">
        <is>
          <t>ASS-0101</t>
        </is>
      </c>
      <c r="B104" s="16" t="n"/>
      <c r="C104" s="16" t="n"/>
      <c r="D104" s="16" t="n"/>
      <c r="E104" s="16" t="n"/>
      <c r="F104" s="16" t="n"/>
      <c r="G104" s="16" t="n"/>
      <c r="H104" s="16" t="n"/>
      <c r="I104" s="16" t="n"/>
      <c r="J104" s="16" t="n"/>
      <c r="K104" s="16" t="n"/>
      <c r="L104" s="16" t="n"/>
      <c r="M104" s="16" t="n"/>
      <c r="N104" s="16" t="n"/>
    </row>
    <row r="105">
      <c r="A105" s="17" t="inlineStr">
        <is>
          <t>ASS-0102</t>
        </is>
      </c>
      <c r="B105" s="16" t="n"/>
      <c r="C105" s="16" t="n"/>
      <c r="D105" s="16" t="n"/>
      <c r="E105" s="16" t="n"/>
      <c r="F105" s="16" t="n"/>
      <c r="G105" s="16" t="n"/>
      <c r="H105" s="16" t="n"/>
      <c r="I105" s="16" t="n"/>
      <c r="J105" s="16" t="n"/>
      <c r="K105" s="16" t="n"/>
      <c r="L105" s="16" t="n"/>
      <c r="M105" s="16" t="n"/>
      <c r="N105" s="16" t="n"/>
    </row>
    <row r="106">
      <c r="A106" s="17" t="inlineStr">
        <is>
          <t>ASS-0103</t>
        </is>
      </c>
      <c r="B106" s="16" t="n"/>
      <c r="C106" s="16" t="n"/>
      <c r="D106" s="16" t="n"/>
      <c r="E106" s="16" t="n"/>
      <c r="F106" s="16" t="n"/>
      <c r="G106" s="16" t="n"/>
      <c r="H106" s="16" t="n"/>
      <c r="I106" s="16" t="n"/>
      <c r="J106" s="16" t="n"/>
      <c r="K106" s="16" t="n"/>
      <c r="L106" s="16" t="n"/>
      <c r="M106" s="16" t="n"/>
      <c r="N106" s="16" t="n"/>
    </row>
    <row r="107">
      <c r="A107" s="17" t="inlineStr">
        <is>
          <t>ASS-0104</t>
        </is>
      </c>
      <c r="B107" s="16" t="n"/>
      <c r="C107" s="16" t="n"/>
      <c r="D107" s="16" t="n"/>
      <c r="E107" s="16" t="n"/>
      <c r="F107" s="16" t="n"/>
      <c r="G107" s="16" t="n"/>
      <c r="H107" s="16" t="n"/>
      <c r="I107" s="16" t="n"/>
      <c r="J107" s="16" t="n"/>
      <c r="K107" s="16" t="n"/>
      <c r="L107" s="16" t="n"/>
      <c r="M107" s="16" t="n"/>
      <c r="N107" s="16" t="n"/>
    </row>
    <row r="108">
      <c r="A108" s="17" t="inlineStr">
        <is>
          <t>ASS-0105</t>
        </is>
      </c>
      <c r="B108" s="16" t="n"/>
      <c r="C108" s="16" t="n"/>
      <c r="D108" s="16" t="n"/>
      <c r="E108" s="16" t="n"/>
      <c r="F108" s="16" t="n"/>
      <c r="G108" s="16" t="n"/>
      <c r="H108" s="16" t="n"/>
      <c r="I108" s="16" t="n"/>
      <c r="J108" s="16" t="n"/>
      <c r="K108" s="16" t="n"/>
      <c r="L108" s="16" t="n"/>
      <c r="M108" s="16" t="n"/>
      <c r="N108" s="16" t="n"/>
    </row>
    <row r="109">
      <c r="A109" s="17" t="inlineStr">
        <is>
          <t>ASS-0106</t>
        </is>
      </c>
      <c r="B109" s="16" t="n"/>
      <c r="C109" s="16" t="n"/>
      <c r="D109" s="16" t="n"/>
      <c r="E109" s="16" t="n"/>
      <c r="F109" s="16" t="n"/>
      <c r="G109" s="16" t="n"/>
      <c r="H109" s="16" t="n"/>
      <c r="I109" s="16" t="n"/>
      <c r="J109" s="16" t="n"/>
      <c r="K109" s="16" t="n"/>
      <c r="L109" s="16" t="n"/>
      <c r="M109" s="16" t="n"/>
      <c r="N109" s="16" t="n"/>
    </row>
    <row r="110">
      <c r="A110" s="17" t="inlineStr">
        <is>
          <t>ASS-0107</t>
        </is>
      </c>
      <c r="B110" s="16" t="n"/>
      <c r="C110" s="16" t="n"/>
      <c r="D110" s="16" t="n"/>
      <c r="E110" s="16" t="n"/>
      <c r="F110" s="16" t="n"/>
      <c r="G110" s="16" t="n"/>
      <c r="H110" s="16" t="n"/>
      <c r="I110" s="16" t="n"/>
      <c r="J110" s="16" t="n"/>
      <c r="K110" s="16" t="n"/>
      <c r="L110" s="16" t="n"/>
      <c r="M110" s="16" t="n"/>
      <c r="N110" s="16" t="n"/>
    </row>
    <row r="111">
      <c r="A111" s="17" t="inlineStr">
        <is>
          <t>ASS-0108</t>
        </is>
      </c>
      <c r="B111" s="16" t="n"/>
      <c r="C111" s="16" t="n"/>
      <c r="D111" s="16" t="n"/>
      <c r="E111" s="16" t="n"/>
      <c r="F111" s="16" t="n"/>
      <c r="G111" s="16" t="n"/>
      <c r="H111" s="16" t="n"/>
      <c r="I111" s="16" t="n"/>
      <c r="J111" s="16" t="n"/>
      <c r="K111" s="16" t="n"/>
      <c r="L111" s="16" t="n"/>
      <c r="M111" s="16" t="n"/>
      <c r="N111" s="16" t="n"/>
    </row>
    <row r="112">
      <c r="A112" s="17" t="inlineStr">
        <is>
          <t>ASS-0109</t>
        </is>
      </c>
      <c r="B112" s="16" t="n"/>
      <c r="C112" s="16" t="n"/>
      <c r="D112" s="16" t="n"/>
      <c r="E112" s="16" t="n"/>
      <c r="F112" s="16" t="n"/>
      <c r="G112" s="16" t="n"/>
      <c r="H112" s="16" t="n"/>
      <c r="I112" s="16" t="n"/>
      <c r="J112" s="16" t="n"/>
      <c r="K112" s="16" t="n"/>
      <c r="L112" s="16" t="n"/>
      <c r="M112" s="16" t="n"/>
      <c r="N112" s="16" t="n"/>
    </row>
    <row r="113">
      <c r="A113" s="17" t="inlineStr">
        <is>
          <t>ASS-0110</t>
        </is>
      </c>
      <c r="B113" s="16" t="n"/>
      <c r="C113" s="16" t="n"/>
      <c r="D113" s="16" t="n"/>
      <c r="E113" s="16" t="n"/>
      <c r="F113" s="16" t="n"/>
      <c r="G113" s="16" t="n"/>
      <c r="H113" s="16" t="n"/>
      <c r="I113" s="16" t="n"/>
      <c r="J113" s="16" t="n"/>
      <c r="K113" s="16" t="n"/>
      <c r="L113" s="16" t="n"/>
      <c r="M113" s="16" t="n"/>
      <c r="N113" s="16" t="n"/>
    </row>
    <row r="114">
      <c r="A114" s="17" t="inlineStr">
        <is>
          <t>ASS-0111</t>
        </is>
      </c>
      <c r="B114" s="16" t="n"/>
      <c r="C114" s="16" t="n"/>
      <c r="D114" s="16" t="n"/>
      <c r="E114" s="16" t="n"/>
      <c r="F114" s="16" t="n"/>
      <c r="G114" s="16" t="n"/>
      <c r="H114" s="16" t="n"/>
      <c r="I114" s="16" t="n"/>
      <c r="J114" s="16" t="n"/>
      <c r="K114" s="16" t="n"/>
      <c r="L114" s="16" t="n"/>
      <c r="M114" s="16" t="n"/>
      <c r="N114" s="16" t="n"/>
    </row>
    <row r="115">
      <c r="A115" s="17" t="inlineStr">
        <is>
          <t>ASS-0112</t>
        </is>
      </c>
      <c r="B115" s="16" t="n"/>
      <c r="C115" s="16" t="n"/>
      <c r="D115" s="16" t="n"/>
      <c r="E115" s="16" t="n"/>
      <c r="F115" s="16" t="n"/>
      <c r="G115" s="16" t="n"/>
      <c r="H115" s="16" t="n"/>
      <c r="I115" s="16" t="n"/>
      <c r="J115" s="16" t="n"/>
      <c r="K115" s="16" t="n"/>
      <c r="L115" s="16" t="n"/>
      <c r="M115" s="16" t="n"/>
      <c r="N115" s="16" t="n"/>
    </row>
    <row r="116">
      <c r="A116" s="17" t="inlineStr">
        <is>
          <t>ASS-0113</t>
        </is>
      </c>
      <c r="B116" s="16" t="n"/>
      <c r="C116" s="16" t="n"/>
      <c r="D116" s="16" t="n"/>
      <c r="E116" s="16" t="n"/>
      <c r="F116" s="16" t="n"/>
      <c r="G116" s="16" t="n"/>
      <c r="H116" s="16" t="n"/>
      <c r="I116" s="16" t="n"/>
      <c r="J116" s="16" t="n"/>
      <c r="K116" s="16" t="n"/>
      <c r="L116" s="16" t="n"/>
      <c r="M116" s="16" t="n"/>
      <c r="N116" s="16" t="n"/>
    </row>
    <row r="117">
      <c r="A117" s="17" t="inlineStr">
        <is>
          <t>ASS-0114</t>
        </is>
      </c>
      <c r="B117" s="16" t="n"/>
      <c r="C117" s="16" t="n"/>
      <c r="D117" s="16" t="n"/>
      <c r="E117" s="16" t="n"/>
      <c r="F117" s="16" t="n"/>
      <c r="G117" s="16" t="n"/>
      <c r="H117" s="16" t="n"/>
      <c r="I117" s="16" t="n"/>
      <c r="J117" s="16" t="n"/>
      <c r="K117" s="16" t="n"/>
      <c r="L117" s="16" t="n"/>
      <c r="M117" s="16" t="n"/>
      <c r="N117" s="16" t="n"/>
    </row>
    <row r="118">
      <c r="A118" s="17" t="inlineStr">
        <is>
          <t>ASS-0115</t>
        </is>
      </c>
      <c r="B118" s="16" t="n"/>
      <c r="C118" s="16" t="n"/>
      <c r="D118" s="16" t="n"/>
      <c r="E118" s="16" t="n"/>
      <c r="F118" s="16" t="n"/>
      <c r="G118" s="16" t="n"/>
      <c r="H118" s="16" t="n"/>
      <c r="I118" s="16" t="n"/>
      <c r="J118" s="16" t="n"/>
      <c r="K118" s="16" t="n"/>
      <c r="L118" s="16" t="n"/>
      <c r="M118" s="16" t="n"/>
      <c r="N118" s="16" t="n"/>
    </row>
    <row r="119">
      <c r="A119" s="17" t="inlineStr">
        <is>
          <t>ASS-0116</t>
        </is>
      </c>
      <c r="B119" s="16" t="n"/>
      <c r="C119" s="16" t="n"/>
      <c r="D119" s="16" t="n"/>
      <c r="E119" s="16" t="n"/>
      <c r="F119" s="16" t="n"/>
      <c r="G119" s="16" t="n"/>
      <c r="H119" s="16" t="n"/>
      <c r="I119" s="16" t="n"/>
      <c r="J119" s="16" t="n"/>
      <c r="K119" s="16" t="n"/>
      <c r="L119" s="16" t="n"/>
      <c r="M119" s="16" t="n"/>
      <c r="N119" s="16" t="n"/>
    </row>
    <row r="120">
      <c r="A120" s="17" t="inlineStr">
        <is>
          <t>ASS-0117</t>
        </is>
      </c>
      <c r="B120" s="16" t="n"/>
      <c r="C120" s="16" t="n"/>
      <c r="D120" s="16" t="n"/>
      <c r="E120" s="16" t="n"/>
      <c r="F120" s="16" t="n"/>
      <c r="G120" s="16" t="n"/>
      <c r="H120" s="16" t="n"/>
      <c r="I120" s="16" t="n"/>
      <c r="J120" s="16" t="n"/>
      <c r="K120" s="16" t="n"/>
      <c r="L120" s="16" t="n"/>
      <c r="M120" s="16" t="n"/>
      <c r="N120" s="16" t="n"/>
    </row>
    <row r="121">
      <c r="A121" s="17" t="inlineStr">
        <is>
          <t>ASS-0118</t>
        </is>
      </c>
      <c r="B121" s="16" t="n"/>
      <c r="C121" s="16" t="n"/>
      <c r="D121" s="16" t="n"/>
      <c r="E121" s="16" t="n"/>
      <c r="F121" s="16" t="n"/>
      <c r="G121" s="16" t="n"/>
      <c r="H121" s="16" t="n"/>
      <c r="I121" s="16" t="n"/>
      <c r="J121" s="16" t="n"/>
      <c r="K121" s="16" t="n"/>
      <c r="L121" s="16" t="n"/>
      <c r="M121" s="16" t="n"/>
      <c r="N121" s="16" t="n"/>
    </row>
    <row r="122">
      <c r="A122" s="17" t="inlineStr">
        <is>
          <t>ASS-0119</t>
        </is>
      </c>
      <c r="B122" s="16" t="n"/>
      <c r="C122" s="16" t="n"/>
      <c r="D122" s="16" t="n"/>
      <c r="E122" s="16" t="n"/>
      <c r="F122" s="16" t="n"/>
      <c r="G122" s="16" t="n"/>
      <c r="H122" s="16" t="n"/>
      <c r="I122" s="16" t="n"/>
      <c r="J122" s="16" t="n"/>
      <c r="K122" s="16" t="n"/>
      <c r="L122" s="16" t="n"/>
      <c r="M122" s="16" t="n"/>
      <c r="N122" s="16" t="n"/>
    </row>
    <row r="123">
      <c r="A123" s="17" t="inlineStr">
        <is>
          <t>ASS-0120</t>
        </is>
      </c>
      <c r="B123" s="16" t="n"/>
      <c r="C123" s="16" t="n"/>
      <c r="D123" s="16" t="n"/>
      <c r="E123" s="16" t="n"/>
      <c r="F123" s="16" t="n"/>
      <c r="G123" s="16" t="n"/>
      <c r="H123" s="16" t="n"/>
      <c r="I123" s="16" t="n"/>
      <c r="J123" s="16" t="n"/>
      <c r="K123" s="16" t="n"/>
      <c r="L123" s="16" t="n"/>
      <c r="M123" s="16" t="n"/>
      <c r="N123" s="16" t="n"/>
    </row>
    <row r="124">
      <c r="A124" s="17" t="inlineStr">
        <is>
          <t>ASS-0121</t>
        </is>
      </c>
      <c r="B124" s="16" t="n"/>
      <c r="C124" s="16" t="n"/>
      <c r="D124" s="16" t="n"/>
      <c r="E124" s="16" t="n"/>
      <c r="F124" s="16" t="n"/>
      <c r="G124" s="16" t="n"/>
      <c r="H124" s="16" t="n"/>
      <c r="I124" s="16" t="n"/>
      <c r="J124" s="16" t="n"/>
      <c r="K124" s="16" t="n"/>
      <c r="L124" s="16" t="n"/>
      <c r="M124" s="16" t="n"/>
      <c r="N124" s="16" t="n"/>
    </row>
    <row r="125">
      <c r="A125" s="17" t="inlineStr">
        <is>
          <t>ASS-0122</t>
        </is>
      </c>
      <c r="B125" s="16" t="n"/>
      <c r="C125" s="16" t="n"/>
      <c r="D125" s="16" t="n"/>
      <c r="E125" s="16" t="n"/>
      <c r="F125" s="16" t="n"/>
      <c r="G125" s="16" t="n"/>
      <c r="H125" s="16" t="n"/>
      <c r="I125" s="16" t="n"/>
      <c r="J125" s="16" t="n"/>
      <c r="K125" s="16" t="n"/>
      <c r="L125" s="16" t="n"/>
      <c r="M125" s="16" t="n"/>
      <c r="N125" s="16" t="n"/>
    </row>
    <row r="126">
      <c r="A126" s="17" t="inlineStr">
        <is>
          <t>ASS-0123</t>
        </is>
      </c>
      <c r="B126" s="16" t="n"/>
      <c r="C126" s="16" t="n"/>
      <c r="D126" s="16" t="n"/>
      <c r="E126" s="16" t="n"/>
      <c r="F126" s="16" t="n"/>
      <c r="G126" s="16" t="n"/>
      <c r="H126" s="16" t="n"/>
      <c r="I126" s="16" t="n"/>
      <c r="J126" s="16" t="n"/>
      <c r="K126" s="16" t="n"/>
      <c r="L126" s="16" t="n"/>
      <c r="M126" s="16" t="n"/>
      <c r="N126" s="16" t="n"/>
    </row>
    <row r="127">
      <c r="A127" s="17" t="inlineStr">
        <is>
          <t>ASS-0124</t>
        </is>
      </c>
      <c r="B127" s="16" t="n"/>
      <c r="C127" s="16" t="n"/>
      <c r="D127" s="16" t="n"/>
      <c r="E127" s="16" t="n"/>
      <c r="F127" s="16" t="n"/>
      <c r="G127" s="16" t="n"/>
      <c r="H127" s="16" t="n"/>
      <c r="I127" s="16" t="n"/>
      <c r="J127" s="16" t="n"/>
      <c r="K127" s="16" t="n"/>
      <c r="L127" s="16" t="n"/>
      <c r="M127" s="16" t="n"/>
      <c r="N127" s="16" t="n"/>
    </row>
    <row r="128">
      <c r="A128" s="17" t="inlineStr">
        <is>
          <t>ASS-0125</t>
        </is>
      </c>
      <c r="B128" s="16" t="n"/>
      <c r="C128" s="16" t="n"/>
      <c r="D128" s="16" t="n"/>
      <c r="E128" s="16" t="n"/>
      <c r="F128" s="16" t="n"/>
      <c r="G128" s="16" t="n"/>
      <c r="H128" s="16" t="n"/>
      <c r="I128" s="16" t="n"/>
      <c r="J128" s="16" t="n"/>
      <c r="K128" s="16" t="n"/>
      <c r="L128" s="16" t="n"/>
      <c r="M128" s="16" t="n"/>
      <c r="N128" s="16" t="n"/>
    </row>
    <row r="129">
      <c r="A129" s="17" t="inlineStr">
        <is>
          <t>ASS-0126</t>
        </is>
      </c>
      <c r="B129" s="16" t="n"/>
      <c r="C129" s="16" t="n"/>
      <c r="D129" s="16" t="n"/>
      <c r="E129" s="16" t="n"/>
      <c r="F129" s="16" t="n"/>
      <c r="G129" s="16" t="n"/>
      <c r="H129" s="16" t="n"/>
      <c r="I129" s="16" t="n"/>
      <c r="J129" s="16" t="n"/>
      <c r="K129" s="16" t="n"/>
      <c r="L129" s="16" t="n"/>
      <c r="M129" s="16" t="n"/>
      <c r="N129" s="16" t="n"/>
    </row>
    <row r="130">
      <c r="A130" s="17" t="inlineStr">
        <is>
          <t>ASS-0127</t>
        </is>
      </c>
      <c r="B130" s="16" t="n"/>
      <c r="C130" s="16" t="n"/>
      <c r="D130" s="16" t="n"/>
      <c r="E130" s="16" t="n"/>
      <c r="F130" s="16" t="n"/>
      <c r="G130" s="16" t="n"/>
      <c r="H130" s="16" t="n"/>
      <c r="I130" s="16" t="n"/>
      <c r="J130" s="16" t="n"/>
      <c r="K130" s="16" t="n"/>
      <c r="L130" s="16" t="n"/>
      <c r="M130" s="16" t="n"/>
      <c r="N130" s="16" t="n"/>
    </row>
    <row r="131">
      <c r="A131" s="17" t="inlineStr">
        <is>
          <t>ASS-0128</t>
        </is>
      </c>
      <c r="B131" s="16" t="n"/>
      <c r="C131" s="16" t="n"/>
      <c r="D131" s="16" t="n"/>
      <c r="E131" s="16" t="n"/>
      <c r="F131" s="16" t="n"/>
      <c r="G131" s="16" t="n"/>
      <c r="H131" s="16" t="n"/>
      <c r="I131" s="16" t="n"/>
      <c r="J131" s="16" t="n"/>
      <c r="K131" s="16" t="n"/>
      <c r="L131" s="16" t="n"/>
      <c r="M131" s="16" t="n"/>
      <c r="N131" s="16" t="n"/>
    </row>
    <row r="132">
      <c r="A132" s="17" t="inlineStr">
        <is>
          <t>ASS-0129</t>
        </is>
      </c>
      <c r="B132" s="16" t="n"/>
      <c r="C132" s="16" t="n"/>
      <c r="D132" s="16" t="n"/>
      <c r="E132" s="16" t="n"/>
      <c r="F132" s="16" t="n"/>
      <c r="G132" s="16" t="n"/>
      <c r="H132" s="16" t="n"/>
      <c r="I132" s="16" t="n"/>
      <c r="J132" s="16" t="n"/>
      <c r="K132" s="16" t="n"/>
      <c r="L132" s="16" t="n"/>
      <c r="M132" s="16" t="n"/>
      <c r="N132" s="16" t="n"/>
    </row>
    <row r="133">
      <c r="A133" s="17" t="inlineStr">
        <is>
          <t>ASS-0130</t>
        </is>
      </c>
      <c r="B133" s="16" t="n"/>
      <c r="C133" s="16" t="n"/>
      <c r="D133" s="16" t="n"/>
      <c r="E133" s="16" t="n"/>
      <c r="F133" s="16" t="n"/>
      <c r="G133" s="16" t="n"/>
      <c r="H133" s="16" t="n"/>
      <c r="I133" s="16" t="n"/>
      <c r="J133" s="16" t="n"/>
      <c r="K133" s="16" t="n"/>
      <c r="L133" s="16" t="n"/>
      <c r="M133" s="16" t="n"/>
      <c r="N133" s="16" t="n"/>
    </row>
    <row r="134">
      <c r="A134" s="17" t="inlineStr">
        <is>
          <t>ASS-0131</t>
        </is>
      </c>
      <c r="B134" s="16" t="n"/>
      <c r="C134" s="16" t="n"/>
      <c r="D134" s="16" t="n"/>
      <c r="E134" s="16" t="n"/>
      <c r="F134" s="16" t="n"/>
      <c r="G134" s="16" t="n"/>
      <c r="H134" s="16" t="n"/>
      <c r="I134" s="16" t="n"/>
      <c r="J134" s="16" t="n"/>
      <c r="K134" s="16" t="n"/>
      <c r="L134" s="16" t="n"/>
      <c r="M134" s="16" t="n"/>
      <c r="N134" s="16" t="n"/>
    </row>
    <row r="135">
      <c r="A135" s="17" t="inlineStr">
        <is>
          <t>ASS-0132</t>
        </is>
      </c>
      <c r="B135" s="16" t="n"/>
      <c r="C135" s="16" t="n"/>
      <c r="D135" s="16" t="n"/>
      <c r="E135" s="16" t="n"/>
      <c r="F135" s="16" t="n"/>
      <c r="G135" s="16" t="n"/>
      <c r="H135" s="16" t="n"/>
      <c r="I135" s="16" t="n"/>
      <c r="J135" s="16" t="n"/>
      <c r="K135" s="16" t="n"/>
      <c r="L135" s="16" t="n"/>
      <c r="M135" s="16" t="n"/>
      <c r="N135" s="16" t="n"/>
    </row>
    <row r="136">
      <c r="A136" s="17" t="inlineStr">
        <is>
          <t>ASS-0133</t>
        </is>
      </c>
      <c r="B136" s="16" t="n"/>
      <c r="C136" s="16" t="n"/>
      <c r="D136" s="16" t="n"/>
      <c r="E136" s="16" t="n"/>
      <c r="F136" s="16" t="n"/>
      <c r="G136" s="16" t="n"/>
      <c r="H136" s="16" t="n"/>
      <c r="I136" s="16" t="n"/>
      <c r="J136" s="16" t="n"/>
      <c r="K136" s="16" t="n"/>
      <c r="L136" s="16" t="n"/>
      <c r="M136" s="16" t="n"/>
      <c r="N136" s="16" t="n"/>
    </row>
    <row r="137">
      <c r="A137" s="17" t="inlineStr">
        <is>
          <t>ASS-0134</t>
        </is>
      </c>
      <c r="B137" s="16" t="n"/>
      <c r="C137" s="16" t="n"/>
      <c r="D137" s="16" t="n"/>
      <c r="E137" s="16" t="n"/>
      <c r="F137" s="16" t="n"/>
      <c r="G137" s="16" t="n"/>
      <c r="H137" s="16" t="n"/>
      <c r="I137" s="16" t="n"/>
      <c r="J137" s="16" t="n"/>
      <c r="K137" s="16" t="n"/>
      <c r="L137" s="16" t="n"/>
      <c r="M137" s="16" t="n"/>
      <c r="N137" s="16" t="n"/>
    </row>
    <row r="138">
      <c r="A138" s="17" t="inlineStr">
        <is>
          <t>ASS-0135</t>
        </is>
      </c>
      <c r="B138" s="16" t="n"/>
      <c r="C138" s="16" t="n"/>
      <c r="D138" s="16" t="n"/>
      <c r="E138" s="16" t="n"/>
      <c r="F138" s="16" t="n"/>
      <c r="G138" s="16" t="n"/>
      <c r="H138" s="16" t="n"/>
      <c r="I138" s="16" t="n"/>
      <c r="J138" s="16" t="n"/>
      <c r="K138" s="16" t="n"/>
      <c r="L138" s="16" t="n"/>
      <c r="M138" s="16" t="n"/>
      <c r="N138" s="16" t="n"/>
    </row>
    <row r="139">
      <c r="A139" s="17" t="inlineStr">
        <is>
          <t>ASS-0136</t>
        </is>
      </c>
      <c r="B139" s="16" t="n"/>
      <c r="C139" s="16" t="n"/>
      <c r="D139" s="16" t="n"/>
      <c r="E139" s="16" t="n"/>
      <c r="F139" s="16" t="n"/>
      <c r="G139" s="16" t="n"/>
      <c r="H139" s="16" t="n"/>
      <c r="I139" s="16" t="n"/>
      <c r="J139" s="16" t="n"/>
      <c r="K139" s="16" t="n"/>
      <c r="L139" s="16" t="n"/>
      <c r="M139" s="16" t="n"/>
      <c r="N139" s="16" t="n"/>
    </row>
    <row r="140">
      <c r="A140" s="17" t="inlineStr">
        <is>
          <t>ASS-0137</t>
        </is>
      </c>
      <c r="B140" s="16" t="n"/>
      <c r="C140" s="16" t="n"/>
      <c r="D140" s="16" t="n"/>
      <c r="E140" s="16" t="n"/>
      <c r="F140" s="16" t="n"/>
      <c r="G140" s="16" t="n"/>
      <c r="H140" s="16" t="n"/>
      <c r="I140" s="16" t="n"/>
      <c r="J140" s="16" t="n"/>
      <c r="K140" s="16" t="n"/>
      <c r="L140" s="16" t="n"/>
      <c r="M140" s="16" t="n"/>
      <c r="N140" s="16" t="n"/>
    </row>
    <row r="141">
      <c r="A141" s="17" t="inlineStr">
        <is>
          <t>ASS-0138</t>
        </is>
      </c>
      <c r="B141" s="16" t="n"/>
      <c r="C141" s="16" t="n"/>
      <c r="D141" s="16" t="n"/>
      <c r="E141" s="16" t="n"/>
      <c r="F141" s="16" t="n"/>
      <c r="G141" s="16" t="n"/>
      <c r="H141" s="16" t="n"/>
      <c r="I141" s="16" t="n"/>
      <c r="J141" s="16" t="n"/>
      <c r="K141" s="16" t="n"/>
      <c r="L141" s="16" t="n"/>
      <c r="M141" s="16" t="n"/>
      <c r="N141" s="16" t="n"/>
    </row>
    <row r="142">
      <c r="A142" s="17" t="inlineStr">
        <is>
          <t>ASS-0139</t>
        </is>
      </c>
      <c r="B142" s="16" t="n"/>
      <c r="C142" s="16" t="n"/>
      <c r="D142" s="16" t="n"/>
      <c r="E142" s="16" t="n"/>
      <c r="F142" s="16" t="n"/>
      <c r="G142" s="16" t="n"/>
      <c r="H142" s="16" t="n"/>
      <c r="I142" s="16" t="n"/>
      <c r="J142" s="16" t="n"/>
      <c r="K142" s="16" t="n"/>
      <c r="L142" s="16" t="n"/>
      <c r="M142" s="16" t="n"/>
      <c r="N142" s="16" t="n"/>
    </row>
    <row r="143">
      <c r="A143" s="17" t="inlineStr">
        <is>
          <t>ASS-0140</t>
        </is>
      </c>
      <c r="B143" s="16" t="n"/>
      <c r="C143" s="16" t="n"/>
      <c r="D143" s="16" t="n"/>
      <c r="E143" s="16" t="n"/>
      <c r="F143" s="16" t="n"/>
      <c r="G143" s="16" t="n"/>
      <c r="H143" s="16" t="n"/>
      <c r="I143" s="16" t="n"/>
      <c r="J143" s="16" t="n"/>
      <c r="K143" s="16" t="n"/>
      <c r="L143" s="16" t="n"/>
      <c r="M143" s="16" t="n"/>
      <c r="N143" s="16" t="n"/>
    </row>
    <row r="144">
      <c r="A144" s="17" t="inlineStr">
        <is>
          <t>ASS-0141</t>
        </is>
      </c>
      <c r="B144" s="16" t="n"/>
      <c r="C144" s="16" t="n"/>
      <c r="D144" s="16" t="n"/>
      <c r="E144" s="16" t="n"/>
      <c r="F144" s="16" t="n"/>
      <c r="G144" s="16" t="n"/>
      <c r="H144" s="16" t="n"/>
      <c r="I144" s="16" t="n"/>
      <c r="J144" s="16" t="n"/>
      <c r="K144" s="16" t="n"/>
      <c r="L144" s="16" t="n"/>
      <c r="M144" s="16" t="n"/>
      <c r="N144" s="16" t="n"/>
    </row>
    <row r="145">
      <c r="A145" s="17" t="inlineStr">
        <is>
          <t>ASS-0142</t>
        </is>
      </c>
      <c r="B145" s="16" t="n"/>
      <c r="C145" s="16" t="n"/>
      <c r="D145" s="16" t="n"/>
      <c r="E145" s="16" t="n"/>
      <c r="F145" s="16" t="n"/>
      <c r="G145" s="16" t="n"/>
      <c r="H145" s="16" t="n"/>
      <c r="I145" s="16" t="n"/>
      <c r="J145" s="16" t="n"/>
      <c r="K145" s="16" t="n"/>
      <c r="L145" s="16" t="n"/>
      <c r="M145" s="16" t="n"/>
      <c r="N145" s="16" t="n"/>
    </row>
    <row r="146">
      <c r="A146" s="17" t="inlineStr">
        <is>
          <t>ASS-0143</t>
        </is>
      </c>
      <c r="B146" s="16" t="n"/>
      <c r="C146" s="16" t="n"/>
      <c r="D146" s="16" t="n"/>
      <c r="E146" s="16" t="n"/>
      <c r="F146" s="16" t="n"/>
      <c r="G146" s="16" t="n"/>
      <c r="H146" s="16" t="n"/>
      <c r="I146" s="16" t="n"/>
      <c r="J146" s="16" t="n"/>
      <c r="K146" s="16" t="n"/>
      <c r="L146" s="16" t="n"/>
      <c r="M146" s="16" t="n"/>
      <c r="N146" s="16" t="n"/>
    </row>
    <row r="147">
      <c r="A147" s="17" t="inlineStr">
        <is>
          <t>ASS-0144</t>
        </is>
      </c>
      <c r="B147" s="16" t="n"/>
      <c r="C147" s="16" t="n"/>
      <c r="D147" s="16" t="n"/>
      <c r="E147" s="16" t="n"/>
      <c r="F147" s="16" t="n"/>
      <c r="G147" s="16" t="n"/>
      <c r="H147" s="16" t="n"/>
      <c r="I147" s="16" t="n"/>
      <c r="J147" s="16" t="n"/>
      <c r="K147" s="16" t="n"/>
      <c r="L147" s="16" t="n"/>
      <c r="M147" s="16" t="n"/>
      <c r="N147" s="16" t="n"/>
    </row>
    <row r="148">
      <c r="A148" s="17" t="inlineStr">
        <is>
          <t>ASS-0145</t>
        </is>
      </c>
      <c r="B148" s="16" t="n"/>
      <c r="C148" s="16" t="n"/>
      <c r="D148" s="16" t="n"/>
      <c r="E148" s="16" t="n"/>
      <c r="F148" s="16" t="n"/>
      <c r="G148" s="16" t="n"/>
      <c r="H148" s="16" t="n"/>
      <c r="I148" s="16" t="n"/>
      <c r="J148" s="16" t="n"/>
      <c r="K148" s="16" t="n"/>
      <c r="L148" s="16" t="n"/>
      <c r="M148" s="16" t="n"/>
      <c r="N148" s="16" t="n"/>
    </row>
    <row r="149">
      <c r="A149" s="17" t="inlineStr">
        <is>
          <t>ASS-0146</t>
        </is>
      </c>
      <c r="B149" s="16" t="n"/>
      <c r="C149" s="16" t="n"/>
      <c r="D149" s="16" t="n"/>
      <c r="E149" s="16" t="n"/>
      <c r="F149" s="16" t="n"/>
      <c r="G149" s="16" t="n"/>
      <c r="H149" s="16" t="n"/>
      <c r="I149" s="16" t="n"/>
      <c r="J149" s="16" t="n"/>
      <c r="K149" s="16" t="n"/>
      <c r="L149" s="16" t="n"/>
      <c r="M149" s="16" t="n"/>
      <c r="N149" s="16" t="n"/>
    </row>
    <row r="150">
      <c r="A150" s="17" t="inlineStr">
        <is>
          <t>ASS-0147</t>
        </is>
      </c>
      <c r="B150" s="16" t="n"/>
      <c r="C150" s="16" t="n"/>
      <c r="D150" s="16" t="n"/>
      <c r="E150" s="16" t="n"/>
      <c r="F150" s="16" t="n"/>
      <c r="G150" s="16" t="n"/>
      <c r="H150" s="16" t="n"/>
      <c r="I150" s="16" t="n"/>
      <c r="J150" s="16" t="n"/>
      <c r="K150" s="16" t="n"/>
      <c r="L150" s="16" t="n"/>
      <c r="M150" s="16" t="n"/>
      <c r="N150" s="16" t="n"/>
    </row>
    <row r="151">
      <c r="A151" s="17" t="inlineStr">
        <is>
          <t>ASS-0148</t>
        </is>
      </c>
      <c r="B151" s="16" t="n"/>
      <c r="C151" s="16" t="n"/>
      <c r="D151" s="16" t="n"/>
      <c r="E151" s="16" t="n"/>
      <c r="F151" s="16" t="n"/>
      <c r="G151" s="16" t="n"/>
      <c r="H151" s="16" t="n"/>
      <c r="I151" s="16" t="n"/>
      <c r="J151" s="16" t="n"/>
      <c r="K151" s="16" t="n"/>
      <c r="L151" s="16" t="n"/>
      <c r="M151" s="16" t="n"/>
      <c r="N151" s="16" t="n"/>
    </row>
    <row r="152">
      <c r="A152" s="17" t="inlineStr">
        <is>
          <t>ASS-0149</t>
        </is>
      </c>
      <c r="B152" s="16" t="n"/>
      <c r="C152" s="16" t="n"/>
      <c r="D152" s="16" t="n"/>
      <c r="E152" s="16" t="n"/>
      <c r="F152" s="16" t="n"/>
      <c r="G152" s="16" t="n"/>
      <c r="H152" s="16" t="n"/>
      <c r="I152" s="16" t="n"/>
      <c r="J152" s="16" t="n"/>
      <c r="K152" s="16" t="n"/>
      <c r="L152" s="16" t="n"/>
      <c r="M152" s="16" t="n"/>
      <c r="N152" s="16" t="n"/>
    </row>
    <row r="153">
      <c r="A153" s="17" t="inlineStr">
        <is>
          <t>ASS-0150</t>
        </is>
      </c>
      <c r="B153" s="16" t="n"/>
      <c r="C153" s="16" t="n"/>
      <c r="D153" s="16" t="n"/>
      <c r="E153" s="16" t="n"/>
      <c r="F153" s="16" t="n"/>
      <c r="G153" s="16" t="n"/>
      <c r="H153" s="16" t="n"/>
      <c r="I153" s="16" t="n"/>
      <c r="J153" s="16" t="n"/>
      <c r="K153" s="16" t="n"/>
      <c r="L153" s="16" t="n"/>
      <c r="M153" s="16" t="n"/>
      <c r="N153" s="16" t="n"/>
    </row>
    <row r="154">
      <c r="A154" s="17" t="inlineStr">
        <is>
          <t>ASS-0151</t>
        </is>
      </c>
      <c r="B154" s="16" t="n"/>
      <c r="C154" s="16" t="n"/>
      <c r="D154" s="16" t="n"/>
      <c r="E154" s="16" t="n"/>
      <c r="F154" s="16" t="n"/>
      <c r="G154" s="16" t="n"/>
      <c r="H154" s="16" t="n"/>
      <c r="I154" s="16" t="n"/>
      <c r="J154" s="16" t="n"/>
      <c r="K154" s="16" t="n"/>
      <c r="L154" s="16" t="n"/>
      <c r="M154" s="16" t="n"/>
      <c r="N154" s="16" t="n"/>
    </row>
    <row r="155">
      <c r="A155" s="17" t="inlineStr">
        <is>
          <t>ASS-0152</t>
        </is>
      </c>
      <c r="B155" s="16" t="n"/>
      <c r="C155" s="16" t="n"/>
      <c r="D155" s="16" t="n"/>
      <c r="E155" s="16" t="n"/>
      <c r="F155" s="16" t="n"/>
      <c r="G155" s="16" t="n"/>
      <c r="H155" s="16" t="n"/>
      <c r="I155" s="16" t="n"/>
      <c r="J155" s="16" t="n"/>
      <c r="K155" s="16" t="n"/>
      <c r="L155" s="16" t="n"/>
      <c r="M155" s="16" t="n"/>
      <c r="N155" s="16" t="n"/>
    </row>
    <row r="156">
      <c r="A156" s="17" t="inlineStr">
        <is>
          <t>ASS-0153</t>
        </is>
      </c>
      <c r="B156" s="16" t="n"/>
      <c r="C156" s="16" t="n"/>
      <c r="D156" s="16" t="n"/>
      <c r="E156" s="16" t="n"/>
      <c r="F156" s="16" t="n"/>
      <c r="G156" s="16" t="n"/>
      <c r="H156" s="16" t="n"/>
      <c r="I156" s="16" t="n"/>
      <c r="J156" s="16" t="n"/>
      <c r="K156" s="16" t="n"/>
      <c r="L156" s="16" t="n"/>
      <c r="M156" s="16" t="n"/>
      <c r="N156" s="16" t="n"/>
    </row>
    <row r="157">
      <c r="A157" s="17" t="inlineStr">
        <is>
          <t>ASS-0154</t>
        </is>
      </c>
      <c r="B157" s="16" t="n"/>
      <c r="C157" s="16" t="n"/>
      <c r="D157" s="16" t="n"/>
      <c r="E157" s="16" t="n"/>
      <c r="F157" s="16" t="n"/>
      <c r="G157" s="16" t="n"/>
      <c r="H157" s="16" t="n"/>
      <c r="I157" s="16" t="n"/>
      <c r="J157" s="16" t="n"/>
      <c r="K157" s="16" t="n"/>
      <c r="L157" s="16" t="n"/>
      <c r="M157" s="16" t="n"/>
      <c r="N157" s="16" t="n"/>
    </row>
    <row r="158">
      <c r="A158" s="17" t="inlineStr">
        <is>
          <t>ASS-0155</t>
        </is>
      </c>
      <c r="B158" s="16" t="n"/>
      <c r="C158" s="16" t="n"/>
      <c r="D158" s="16" t="n"/>
      <c r="E158" s="16" t="n"/>
      <c r="F158" s="16" t="n"/>
      <c r="G158" s="16" t="n"/>
      <c r="H158" s="16" t="n"/>
      <c r="I158" s="16" t="n"/>
      <c r="J158" s="16" t="n"/>
      <c r="K158" s="16" t="n"/>
      <c r="L158" s="16" t="n"/>
      <c r="M158" s="16" t="n"/>
      <c r="N158" s="16" t="n"/>
    </row>
    <row r="159">
      <c r="A159" s="17" t="inlineStr">
        <is>
          <t>ASS-0156</t>
        </is>
      </c>
      <c r="B159" s="16" t="n"/>
      <c r="C159" s="16" t="n"/>
      <c r="D159" s="16" t="n"/>
      <c r="E159" s="16" t="n"/>
      <c r="F159" s="16" t="n"/>
      <c r="G159" s="16" t="n"/>
      <c r="H159" s="16" t="n"/>
      <c r="I159" s="16" t="n"/>
      <c r="J159" s="16" t="n"/>
      <c r="K159" s="16" t="n"/>
      <c r="L159" s="16" t="n"/>
      <c r="M159" s="16" t="n"/>
      <c r="N159" s="16" t="n"/>
    </row>
    <row r="160">
      <c r="A160" s="17" t="inlineStr">
        <is>
          <t>ASS-0157</t>
        </is>
      </c>
      <c r="B160" s="16" t="n"/>
      <c r="C160" s="16" t="n"/>
      <c r="D160" s="16" t="n"/>
      <c r="E160" s="16" t="n"/>
      <c r="F160" s="16" t="n"/>
      <c r="G160" s="16" t="n"/>
      <c r="H160" s="16" t="n"/>
      <c r="I160" s="16" t="n"/>
      <c r="J160" s="16" t="n"/>
      <c r="K160" s="16" t="n"/>
      <c r="L160" s="16" t="n"/>
      <c r="M160" s="16" t="n"/>
      <c r="N160" s="16" t="n"/>
    </row>
    <row r="161">
      <c r="A161" s="17" t="inlineStr">
        <is>
          <t>ASS-0158</t>
        </is>
      </c>
      <c r="B161" s="16" t="n"/>
      <c r="C161" s="16" t="n"/>
      <c r="D161" s="16" t="n"/>
      <c r="E161" s="16" t="n"/>
      <c r="F161" s="16" t="n"/>
      <c r="G161" s="16" t="n"/>
      <c r="H161" s="16" t="n"/>
      <c r="I161" s="16" t="n"/>
      <c r="J161" s="16" t="n"/>
      <c r="K161" s="16" t="n"/>
      <c r="L161" s="16" t="n"/>
      <c r="M161" s="16" t="n"/>
      <c r="N161" s="16" t="n"/>
    </row>
    <row r="162">
      <c r="A162" s="17" t="inlineStr">
        <is>
          <t>ASS-0159</t>
        </is>
      </c>
      <c r="B162" s="16" t="n"/>
      <c r="C162" s="16" t="n"/>
      <c r="D162" s="16" t="n"/>
      <c r="E162" s="16" t="n"/>
      <c r="F162" s="16" t="n"/>
      <c r="G162" s="16" t="n"/>
      <c r="H162" s="16" t="n"/>
      <c r="I162" s="16" t="n"/>
      <c r="J162" s="16" t="n"/>
      <c r="K162" s="16" t="n"/>
      <c r="L162" s="16" t="n"/>
      <c r="M162" s="16" t="n"/>
      <c r="N162" s="16" t="n"/>
    </row>
    <row r="163">
      <c r="A163" s="17" t="inlineStr">
        <is>
          <t>ASS-0160</t>
        </is>
      </c>
      <c r="B163" s="16" t="n"/>
      <c r="C163" s="16" t="n"/>
      <c r="D163" s="16" t="n"/>
      <c r="E163" s="16" t="n"/>
      <c r="F163" s="16" t="n"/>
      <c r="G163" s="16" t="n"/>
      <c r="H163" s="16" t="n"/>
      <c r="I163" s="16" t="n"/>
      <c r="J163" s="16" t="n"/>
      <c r="K163" s="16" t="n"/>
      <c r="L163" s="16" t="n"/>
      <c r="M163" s="16" t="n"/>
      <c r="N163" s="16" t="n"/>
    </row>
    <row r="164">
      <c r="A164" s="17" t="inlineStr">
        <is>
          <t>ASS-0161</t>
        </is>
      </c>
      <c r="B164" s="16" t="n"/>
      <c r="C164" s="16" t="n"/>
      <c r="D164" s="16" t="n"/>
      <c r="E164" s="16" t="n"/>
      <c r="F164" s="16" t="n"/>
      <c r="G164" s="16" t="n"/>
      <c r="H164" s="16" t="n"/>
      <c r="I164" s="16" t="n"/>
      <c r="J164" s="16" t="n"/>
      <c r="K164" s="16" t="n"/>
      <c r="L164" s="16" t="n"/>
      <c r="M164" s="16" t="n"/>
      <c r="N164" s="16" t="n"/>
    </row>
    <row r="165">
      <c r="A165" s="17" t="inlineStr">
        <is>
          <t>ASS-0162</t>
        </is>
      </c>
      <c r="B165" s="16" t="n"/>
      <c r="C165" s="16" t="n"/>
      <c r="D165" s="16" t="n"/>
      <c r="E165" s="16" t="n"/>
      <c r="F165" s="16" t="n"/>
      <c r="G165" s="16" t="n"/>
      <c r="H165" s="16" t="n"/>
      <c r="I165" s="16" t="n"/>
      <c r="J165" s="16" t="n"/>
      <c r="K165" s="16" t="n"/>
      <c r="L165" s="16" t="n"/>
      <c r="M165" s="16" t="n"/>
      <c r="N165" s="16" t="n"/>
    </row>
    <row r="166">
      <c r="A166" s="17" t="inlineStr">
        <is>
          <t>ASS-0163</t>
        </is>
      </c>
      <c r="B166" s="16" t="n"/>
      <c r="C166" s="16" t="n"/>
      <c r="D166" s="16" t="n"/>
      <c r="E166" s="16" t="n"/>
      <c r="F166" s="16" t="n"/>
      <c r="G166" s="16" t="n"/>
      <c r="H166" s="16" t="n"/>
      <c r="I166" s="16" t="n"/>
      <c r="J166" s="16" t="n"/>
      <c r="K166" s="16" t="n"/>
      <c r="L166" s="16" t="n"/>
      <c r="M166" s="16" t="n"/>
      <c r="N166" s="16" t="n"/>
    </row>
    <row r="167">
      <c r="A167" s="17" t="inlineStr">
        <is>
          <t>ASS-0164</t>
        </is>
      </c>
      <c r="B167" s="16" t="n"/>
      <c r="C167" s="16" t="n"/>
      <c r="D167" s="16" t="n"/>
      <c r="E167" s="16" t="n"/>
      <c r="F167" s="16" t="n"/>
      <c r="G167" s="16" t="n"/>
      <c r="H167" s="16" t="n"/>
      <c r="I167" s="16" t="n"/>
      <c r="J167" s="16" t="n"/>
      <c r="K167" s="16" t="n"/>
      <c r="L167" s="16" t="n"/>
      <c r="M167" s="16" t="n"/>
      <c r="N167" s="16" t="n"/>
    </row>
    <row r="168">
      <c r="A168" s="17" t="inlineStr">
        <is>
          <t>ASS-0165</t>
        </is>
      </c>
      <c r="B168" s="16" t="n"/>
      <c r="C168" s="16" t="n"/>
      <c r="D168" s="16" t="n"/>
      <c r="E168" s="16" t="n"/>
      <c r="F168" s="16" t="n"/>
      <c r="G168" s="16" t="n"/>
      <c r="H168" s="16" t="n"/>
      <c r="I168" s="16" t="n"/>
      <c r="J168" s="16" t="n"/>
      <c r="K168" s="16" t="n"/>
      <c r="L168" s="16" t="n"/>
      <c r="M168" s="16" t="n"/>
      <c r="N168" s="16" t="n"/>
    </row>
    <row r="169">
      <c r="A169" s="17" t="inlineStr">
        <is>
          <t>ASS-0166</t>
        </is>
      </c>
      <c r="B169" s="16" t="n"/>
      <c r="C169" s="16" t="n"/>
      <c r="D169" s="16" t="n"/>
      <c r="E169" s="16" t="n"/>
      <c r="F169" s="16" t="n"/>
      <c r="G169" s="16" t="n"/>
      <c r="H169" s="16" t="n"/>
      <c r="I169" s="16" t="n"/>
      <c r="J169" s="16" t="n"/>
      <c r="K169" s="16" t="n"/>
      <c r="L169" s="16" t="n"/>
      <c r="M169" s="16" t="n"/>
      <c r="N169" s="16" t="n"/>
    </row>
    <row r="170">
      <c r="A170" s="17" t="inlineStr">
        <is>
          <t>ASS-0167</t>
        </is>
      </c>
      <c r="B170" s="16" t="n"/>
      <c r="C170" s="16" t="n"/>
      <c r="D170" s="16" t="n"/>
      <c r="E170" s="16" t="n"/>
      <c r="F170" s="16" t="n"/>
      <c r="G170" s="16" t="n"/>
      <c r="H170" s="16" t="n"/>
      <c r="I170" s="16" t="n"/>
      <c r="J170" s="16" t="n"/>
      <c r="K170" s="16" t="n"/>
      <c r="L170" s="16" t="n"/>
      <c r="M170" s="16" t="n"/>
      <c r="N170" s="16" t="n"/>
    </row>
    <row r="171">
      <c r="A171" s="17" t="inlineStr">
        <is>
          <t>ASS-0168</t>
        </is>
      </c>
      <c r="B171" s="16" t="n"/>
      <c r="C171" s="16" t="n"/>
      <c r="D171" s="16" t="n"/>
      <c r="E171" s="16" t="n"/>
      <c r="F171" s="16" t="n"/>
      <c r="G171" s="16" t="n"/>
      <c r="H171" s="16" t="n"/>
      <c r="I171" s="16" t="n"/>
      <c r="J171" s="16" t="n"/>
      <c r="K171" s="16" t="n"/>
      <c r="L171" s="16" t="n"/>
      <c r="M171" s="16" t="n"/>
      <c r="N171" s="16" t="n"/>
    </row>
    <row r="172">
      <c r="A172" s="17" t="inlineStr">
        <is>
          <t>ASS-0169</t>
        </is>
      </c>
      <c r="B172" s="16" t="n"/>
      <c r="C172" s="16" t="n"/>
      <c r="D172" s="16" t="n"/>
      <c r="E172" s="16" t="n"/>
      <c r="F172" s="16" t="n"/>
      <c r="G172" s="16" t="n"/>
      <c r="H172" s="16" t="n"/>
      <c r="I172" s="16" t="n"/>
      <c r="J172" s="16" t="n"/>
      <c r="K172" s="16" t="n"/>
      <c r="L172" s="16" t="n"/>
      <c r="M172" s="16" t="n"/>
      <c r="N172" s="16" t="n"/>
    </row>
    <row r="173">
      <c r="A173" s="17" t="inlineStr">
        <is>
          <t>ASS-0170</t>
        </is>
      </c>
      <c r="B173" s="16" t="n"/>
      <c r="C173" s="16" t="n"/>
      <c r="D173" s="16" t="n"/>
      <c r="E173" s="16" t="n"/>
      <c r="F173" s="16" t="n"/>
      <c r="G173" s="16" t="n"/>
      <c r="H173" s="16" t="n"/>
      <c r="I173" s="16" t="n"/>
      <c r="J173" s="16" t="n"/>
      <c r="K173" s="16" t="n"/>
      <c r="L173" s="16" t="n"/>
      <c r="M173" s="16" t="n"/>
      <c r="N173" s="16" t="n"/>
    </row>
    <row r="174">
      <c r="A174" s="17" t="inlineStr">
        <is>
          <t>ASS-0171</t>
        </is>
      </c>
      <c r="B174" s="16" t="n"/>
      <c r="C174" s="16" t="n"/>
      <c r="D174" s="16" t="n"/>
      <c r="E174" s="16" t="n"/>
      <c r="F174" s="16" t="n"/>
      <c r="G174" s="16" t="n"/>
      <c r="H174" s="16" t="n"/>
      <c r="I174" s="16" t="n"/>
      <c r="J174" s="16" t="n"/>
      <c r="K174" s="16" t="n"/>
      <c r="L174" s="16" t="n"/>
      <c r="M174" s="16" t="n"/>
      <c r="N174" s="16" t="n"/>
    </row>
    <row r="175">
      <c r="A175" s="17" t="inlineStr">
        <is>
          <t>ASS-0172</t>
        </is>
      </c>
      <c r="B175" s="16" t="n"/>
      <c r="C175" s="16" t="n"/>
      <c r="D175" s="16" t="n"/>
      <c r="E175" s="16" t="n"/>
      <c r="F175" s="16" t="n"/>
      <c r="G175" s="16" t="n"/>
      <c r="H175" s="16" t="n"/>
      <c r="I175" s="16" t="n"/>
      <c r="J175" s="16" t="n"/>
      <c r="K175" s="16" t="n"/>
      <c r="L175" s="16" t="n"/>
      <c r="M175" s="16" t="n"/>
      <c r="N175" s="16" t="n"/>
    </row>
    <row r="176">
      <c r="A176" s="17" t="inlineStr">
        <is>
          <t>ASS-0173</t>
        </is>
      </c>
      <c r="B176" s="16" t="n"/>
      <c r="C176" s="16" t="n"/>
      <c r="D176" s="16" t="n"/>
      <c r="E176" s="16" t="n"/>
      <c r="F176" s="16" t="n"/>
      <c r="G176" s="16" t="n"/>
      <c r="H176" s="16" t="n"/>
      <c r="I176" s="16" t="n"/>
      <c r="J176" s="16" t="n"/>
      <c r="K176" s="16" t="n"/>
      <c r="L176" s="16" t="n"/>
      <c r="M176" s="16" t="n"/>
      <c r="N176" s="16" t="n"/>
    </row>
    <row r="177">
      <c r="A177" s="17" t="inlineStr">
        <is>
          <t>ASS-0174</t>
        </is>
      </c>
      <c r="B177" s="16" t="n"/>
      <c r="C177" s="16" t="n"/>
      <c r="D177" s="16" t="n"/>
      <c r="E177" s="16" t="n"/>
      <c r="F177" s="16" t="n"/>
      <c r="G177" s="16" t="n"/>
      <c r="H177" s="16" t="n"/>
      <c r="I177" s="16" t="n"/>
      <c r="J177" s="16" t="n"/>
      <c r="K177" s="16" t="n"/>
      <c r="L177" s="16" t="n"/>
      <c r="M177" s="16" t="n"/>
      <c r="N177" s="16" t="n"/>
    </row>
    <row r="178">
      <c r="A178" s="17" t="inlineStr">
        <is>
          <t>ASS-0175</t>
        </is>
      </c>
      <c r="B178" s="16" t="n"/>
      <c r="C178" s="16" t="n"/>
      <c r="D178" s="16" t="n"/>
      <c r="E178" s="16" t="n"/>
      <c r="F178" s="16" t="n"/>
      <c r="G178" s="16" t="n"/>
      <c r="H178" s="16" t="n"/>
      <c r="I178" s="16" t="n"/>
      <c r="J178" s="16" t="n"/>
      <c r="K178" s="16" t="n"/>
      <c r="L178" s="16" t="n"/>
      <c r="M178" s="16" t="n"/>
      <c r="N178" s="16" t="n"/>
    </row>
    <row r="179">
      <c r="A179" s="17" t="inlineStr">
        <is>
          <t>ASS-0176</t>
        </is>
      </c>
      <c r="B179" s="16" t="n"/>
      <c r="C179" s="16" t="n"/>
      <c r="D179" s="16" t="n"/>
      <c r="E179" s="16" t="n"/>
      <c r="F179" s="16" t="n"/>
      <c r="G179" s="16" t="n"/>
      <c r="H179" s="16" t="n"/>
      <c r="I179" s="16" t="n"/>
      <c r="J179" s="16" t="n"/>
      <c r="K179" s="16" t="n"/>
      <c r="L179" s="16" t="n"/>
      <c r="M179" s="16" t="n"/>
      <c r="N179" s="16" t="n"/>
    </row>
    <row r="180">
      <c r="A180" s="17" t="inlineStr">
        <is>
          <t>ASS-0177</t>
        </is>
      </c>
      <c r="B180" s="16" t="n"/>
      <c r="C180" s="16" t="n"/>
      <c r="D180" s="16" t="n"/>
      <c r="E180" s="16" t="n"/>
      <c r="F180" s="16" t="n"/>
      <c r="G180" s="16" t="n"/>
      <c r="H180" s="16" t="n"/>
      <c r="I180" s="16" t="n"/>
      <c r="J180" s="16" t="n"/>
      <c r="K180" s="16" t="n"/>
      <c r="L180" s="16" t="n"/>
      <c r="M180" s="16" t="n"/>
      <c r="N180" s="16" t="n"/>
    </row>
    <row r="181">
      <c r="A181" s="17" t="inlineStr">
        <is>
          <t>ASS-0178</t>
        </is>
      </c>
      <c r="B181" s="16" t="n"/>
      <c r="C181" s="16" t="n"/>
      <c r="D181" s="16" t="n"/>
      <c r="E181" s="16" t="n"/>
      <c r="F181" s="16" t="n"/>
      <c r="G181" s="16" t="n"/>
      <c r="H181" s="16" t="n"/>
      <c r="I181" s="16" t="n"/>
      <c r="J181" s="16" t="n"/>
      <c r="K181" s="16" t="n"/>
      <c r="L181" s="16" t="n"/>
      <c r="M181" s="16" t="n"/>
      <c r="N181" s="16" t="n"/>
    </row>
    <row r="182">
      <c r="A182" s="17" t="inlineStr">
        <is>
          <t>ASS-0179</t>
        </is>
      </c>
      <c r="B182" s="16" t="n"/>
      <c r="C182" s="16" t="n"/>
      <c r="D182" s="16" t="n"/>
      <c r="E182" s="16" t="n"/>
      <c r="F182" s="16" t="n"/>
      <c r="G182" s="16" t="n"/>
      <c r="H182" s="16" t="n"/>
      <c r="I182" s="16" t="n"/>
      <c r="J182" s="16" t="n"/>
      <c r="K182" s="16" t="n"/>
      <c r="L182" s="16" t="n"/>
      <c r="M182" s="16" t="n"/>
      <c r="N182" s="16" t="n"/>
    </row>
    <row r="183">
      <c r="A183" s="17" t="inlineStr">
        <is>
          <t>ASS-0180</t>
        </is>
      </c>
      <c r="B183" s="16" t="n"/>
      <c r="C183" s="16" t="n"/>
      <c r="D183" s="16" t="n"/>
      <c r="E183" s="16" t="n"/>
      <c r="F183" s="16" t="n"/>
      <c r="G183" s="16" t="n"/>
      <c r="H183" s="16" t="n"/>
      <c r="I183" s="16" t="n"/>
      <c r="J183" s="16" t="n"/>
      <c r="K183" s="16" t="n"/>
      <c r="L183" s="16" t="n"/>
      <c r="M183" s="16" t="n"/>
      <c r="N183" s="16" t="n"/>
    </row>
    <row r="184">
      <c r="A184" s="17" t="inlineStr">
        <is>
          <t>ASS-0181</t>
        </is>
      </c>
      <c r="B184" s="16" t="n"/>
      <c r="C184" s="16" t="n"/>
      <c r="D184" s="16" t="n"/>
      <c r="E184" s="16" t="n"/>
      <c r="F184" s="16" t="n"/>
      <c r="G184" s="16" t="n"/>
      <c r="H184" s="16" t="n"/>
      <c r="I184" s="16" t="n"/>
      <c r="J184" s="16" t="n"/>
      <c r="K184" s="16" t="n"/>
      <c r="L184" s="16" t="n"/>
      <c r="M184" s="16" t="n"/>
      <c r="N184" s="16" t="n"/>
    </row>
    <row r="185">
      <c r="A185" s="17" t="inlineStr">
        <is>
          <t>ASS-0182</t>
        </is>
      </c>
      <c r="B185" s="16" t="n"/>
      <c r="C185" s="16" t="n"/>
      <c r="D185" s="16" t="n"/>
      <c r="E185" s="16" t="n"/>
      <c r="F185" s="16" t="n"/>
      <c r="G185" s="16" t="n"/>
      <c r="H185" s="16" t="n"/>
      <c r="I185" s="16" t="n"/>
      <c r="J185" s="16" t="n"/>
      <c r="K185" s="16" t="n"/>
      <c r="L185" s="16" t="n"/>
      <c r="M185" s="16" t="n"/>
      <c r="N185" s="16" t="n"/>
    </row>
    <row r="186">
      <c r="A186" s="17" t="inlineStr">
        <is>
          <t>ASS-0183</t>
        </is>
      </c>
      <c r="B186" s="16" t="n"/>
      <c r="C186" s="16" t="n"/>
      <c r="D186" s="16" t="n"/>
      <c r="E186" s="16" t="n"/>
      <c r="F186" s="16" t="n"/>
      <c r="G186" s="16" t="n"/>
      <c r="H186" s="16" t="n"/>
      <c r="I186" s="16" t="n"/>
      <c r="J186" s="16" t="n"/>
      <c r="K186" s="16" t="n"/>
      <c r="L186" s="16" t="n"/>
      <c r="M186" s="16" t="n"/>
      <c r="N186" s="16" t="n"/>
    </row>
    <row r="187">
      <c r="A187" s="17" t="inlineStr">
        <is>
          <t>ASS-0184</t>
        </is>
      </c>
      <c r="B187" s="16" t="n"/>
      <c r="C187" s="16" t="n"/>
      <c r="D187" s="16" t="n"/>
      <c r="E187" s="16" t="n"/>
      <c r="F187" s="16" t="n"/>
      <c r="G187" s="16" t="n"/>
      <c r="H187" s="16" t="n"/>
      <c r="I187" s="16" t="n"/>
      <c r="J187" s="16" t="n"/>
      <c r="K187" s="16" t="n"/>
      <c r="L187" s="16" t="n"/>
      <c r="M187" s="16" t="n"/>
      <c r="N187" s="16" t="n"/>
    </row>
    <row r="188">
      <c r="A188" s="17" t="inlineStr">
        <is>
          <t>ASS-0185</t>
        </is>
      </c>
      <c r="B188" s="16" t="n"/>
      <c r="C188" s="16" t="n"/>
      <c r="D188" s="16" t="n"/>
      <c r="E188" s="16" t="n"/>
      <c r="F188" s="16" t="n"/>
      <c r="G188" s="16" t="n"/>
      <c r="H188" s="16" t="n"/>
      <c r="I188" s="16" t="n"/>
      <c r="J188" s="16" t="n"/>
      <c r="K188" s="16" t="n"/>
      <c r="L188" s="16" t="n"/>
      <c r="M188" s="16" t="n"/>
      <c r="N188" s="16" t="n"/>
    </row>
    <row r="189">
      <c r="A189" s="17" t="inlineStr">
        <is>
          <t>ASS-0186</t>
        </is>
      </c>
      <c r="B189" s="16" t="n"/>
      <c r="C189" s="16" t="n"/>
      <c r="D189" s="16" t="n"/>
      <c r="E189" s="16" t="n"/>
      <c r="F189" s="16" t="n"/>
      <c r="G189" s="16" t="n"/>
      <c r="H189" s="16" t="n"/>
      <c r="I189" s="16" t="n"/>
      <c r="J189" s="16" t="n"/>
      <c r="K189" s="16" t="n"/>
      <c r="L189" s="16" t="n"/>
      <c r="M189" s="16" t="n"/>
      <c r="N189" s="16" t="n"/>
    </row>
    <row r="190">
      <c r="A190" s="17" t="inlineStr">
        <is>
          <t>ASS-0187</t>
        </is>
      </c>
      <c r="B190" s="16" t="n"/>
      <c r="C190" s="16" t="n"/>
      <c r="D190" s="16" t="n"/>
      <c r="E190" s="16" t="n"/>
      <c r="F190" s="16" t="n"/>
      <c r="G190" s="16" t="n"/>
      <c r="H190" s="16" t="n"/>
      <c r="I190" s="16" t="n"/>
      <c r="J190" s="16" t="n"/>
      <c r="K190" s="16" t="n"/>
      <c r="L190" s="16" t="n"/>
      <c r="M190" s="16" t="n"/>
      <c r="N190" s="16" t="n"/>
    </row>
    <row r="191">
      <c r="A191" s="17" t="inlineStr">
        <is>
          <t>ASS-0188</t>
        </is>
      </c>
      <c r="B191" s="16" t="n"/>
      <c r="C191" s="16" t="n"/>
      <c r="D191" s="16" t="n"/>
      <c r="E191" s="16" t="n"/>
      <c r="F191" s="16" t="n"/>
      <c r="G191" s="16" t="n"/>
      <c r="H191" s="16" t="n"/>
      <c r="I191" s="16" t="n"/>
      <c r="J191" s="16" t="n"/>
      <c r="K191" s="16" t="n"/>
      <c r="L191" s="16" t="n"/>
      <c r="M191" s="16" t="n"/>
      <c r="N191" s="16" t="n"/>
    </row>
    <row r="192">
      <c r="A192" s="17" t="inlineStr">
        <is>
          <t>ASS-0189</t>
        </is>
      </c>
      <c r="B192" s="16" t="n"/>
      <c r="C192" s="16" t="n"/>
      <c r="D192" s="16" t="n"/>
      <c r="E192" s="16" t="n"/>
      <c r="F192" s="16" t="n"/>
      <c r="G192" s="16" t="n"/>
      <c r="H192" s="16" t="n"/>
      <c r="I192" s="16" t="n"/>
      <c r="J192" s="16" t="n"/>
      <c r="K192" s="16" t="n"/>
      <c r="L192" s="16" t="n"/>
      <c r="M192" s="16" t="n"/>
      <c r="N192" s="16" t="n"/>
    </row>
    <row r="193">
      <c r="A193" s="17" t="inlineStr">
        <is>
          <t>ASS-0190</t>
        </is>
      </c>
      <c r="B193" s="16" t="n"/>
      <c r="C193" s="16" t="n"/>
      <c r="D193" s="16" t="n"/>
      <c r="E193" s="16" t="n"/>
      <c r="F193" s="16" t="n"/>
      <c r="G193" s="16" t="n"/>
      <c r="H193" s="16" t="n"/>
      <c r="I193" s="16" t="n"/>
      <c r="J193" s="16" t="n"/>
      <c r="K193" s="16" t="n"/>
      <c r="L193" s="16" t="n"/>
      <c r="M193" s="16" t="n"/>
      <c r="N193" s="16" t="n"/>
    </row>
    <row r="194">
      <c r="A194" s="17" t="inlineStr">
        <is>
          <t>ASS-0191</t>
        </is>
      </c>
      <c r="B194" s="16" t="n"/>
      <c r="C194" s="16" t="n"/>
      <c r="D194" s="16" t="n"/>
      <c r="E194" s="16" t="n"/>
      <c r="F194" s="16" t="n"/>
      <c r="G194" s="16" t="n"/>
      <c r="H194" s="16" t="n"/>
      <c r="I194" s="16" t="n"/>
      <c r="J194" s="16" t="n"/>
      <c r="K194" s="16" t="n"/>
      <c r="L194" s="16" t="n"/>
      <c r="M194" s="16" t="n"/>
      <c r="N194" s="16" t="n"/>
    </row>
    <row r="195">
      <c r="A195" s="17" t="inlineStr">
        <is>
          <t>ASS-0192</t>
        </is>
      </c>
      <c r="B195" s="16" t="n"/>
      <c r="C195" s="16" t="n"/>
      <c r="D195" s="16" t="n"/>
      <c r="E195" s="16" t="n"/>
      <c r="F195" s="16" t="n"/>
      <c r="G195" s="16" t="n"/>
      <c r="H195" s="16" t="n"/>
      <c r="I195" s="16" t="n"/>
      <c r="J195" s="16" t="n"/>
      <c r="K195" s="16" t="n"/>
      <c r="L195" s="16" t="n"/>
      <c r="M195" s="16" t="n"/>
      <c r="N195" s="16" t="n"/>
    </row>
    <row r="196">
      <c r="A196" s="17" t="inlineStr">
        <is>
          <t>ASS-0193</t>
        </is>
      </c>
      <c r="B196" s="16" t="n"/>
      <c r="C196" s="16" t="n"/>
      <c r="D196" s="16" t="n"/>
      <c r="E196" s="16" t="n"/>
      <c r="F196" s="16" t="n"/>
      <c r="G196" s="16" t="n"/>
      <c r="H196" s="16" t="n"/>
      <c r="I196" s="16" t="n"/>
      <c r="J196" s="16" t="n"/>
      <c r="K196" s="16" t="n"/>
      <c r="L196" s="16" t="n"/>
      <c r="M196" s="16" t="n"/>
      <c r="N196" s="16" t="n"/>
    </row>
    <row r="197">
      <c r="A197" s="17" t="inlineStr">
        <is>
          <t>ASS-0194</t>
        </is>
      </c>
      <c r="B197" s="16" t="n"/>
      <c r="C197" s="16" t="n"/>
      <c r="D197" s="16" t="n"/>
      <c r="E197" s="16" t="n"/>
      <c r="F197" s="16" t="n"/>
      <c r="G197" s="16" t="n"/>
      <c r="H197" s="16" t="n"/>
      <c r="I197" s="16" t="n"/>
      <c r="J197" s="16" t="n"/>
      <c r="K197" s="16" t="n"/>
      <c r="L197" s="16" t="n"/>
      <c r="M197" s="16" t="n"/>
      <c r="N197" s="16" t="n"/>
    </row>
    <row r="198">
      <c r="A198" s="17" t="inlineStr">
        <is>
          <t>ASS-0195</t>
        </is>
      </c>
      <c r="B198" s="16" t="n"/>
      <c r="C198" s="16" t="n"/>
      <c r="D198" s="16" t="n"/>
      <c r="E198" s="16" t="n"/>
      <c r="F198" s="16" t="n"/>
      <c r="G198" s="16" t="n"/>
      <c r="H198" s="16" t="n"/>
      <c r="I198" s="16" t="n"/>
      <c r="J198" s="16" t="n"/>
      <c r="K198" s="16" t="n"/>
      <c r="L198" s="16" t="n"/>
      <c r="M198" s="16" t="n"/>
      <c r="N198" s="16" t="n"/>
    </row>
    <row r="199">
      <c r="A199" s="17" t="inlineStr">
        <is>
          <t>ASS-0196</t>
        </is>
      </c>
      <c r="B199" s="16" t="n"/>
      <c r="C199" s="16" t="n"/>
      <c r="D199" s="16" t="n"/>
      <c r="E199" s="16" t="n"/>
      <c r="F199" s="16" t="n"/>
      <c r="G199" s="16" t="n"/>
      <c r="H199" s="16" t="n"/>
      <c r="I199" s="16" t="n"/>
      <c r="J199" s="16" t="n"/>
      <c r="K199" s="16" t="n"/>
      <c r="L199" s="16" t="n"/>
      <c r="M199" s="16" t="n"/>
      <c r="N199" s="16" t="n"/>
    </row>
    <row r="200">
      <c r="A200" s="17" t="inlineStr">
        <is>
          <t>ASS-0197</t>
        </is>
      </c>
      <c r="B200" s="16" t="n"/>
      <c r="C200" s="16" t="n"/>
      <c r="D200" s="16" t="n"/>
      <c r="E200" s="16" t="n"/>
      <c r="F200" s="16" t="n"/>
      <c r="G200" s="16" t="n"/>
      <c r="H200" s="16" t="n"/>
      <c r="I200" s="16" t="n"/>
      <c r="J200" s="16" t="n"/>
      <c r="K200" s="16" t="n"/>
      <c r="L200" s="16" t="n"/>
      <c r="M200" s="16" t="n"/>
      <c r="N200" s="16" t="n"/>
    </row>
    <row r="201">
      <c r="A201" s="17" t="inlineStr">
        <is>
          <t>ASS-0198</t>
        </is>
      </c>
      <c r="B201" s="16" t="n"/>
      <c r="C201" s="16" t="n"/>
      <c r="D201" s="16" t="n"/>
      <c r="E201" s="16" t="n"/>
      <c r="F201" s="16" t="n"/>
      <c r="G201" s="16" t="n"/>
      <c r="H201" s="16" t="n"/>
      <c r="I201" s="16" t="n"/>
      <c r="J201" s="16" t="n"/>
      <c r="K201" s="16" t="n"/>
      <c r="L201" s="16" t="n"/>
      <c r="M201" s="16" t="n"/>
      <c r="N201" s="16" t="n"/>
    </row>
    <row r="202">
      <c r="A202" s="17" t="inlineStr">
        <is>
          <t>ASS-0199</t>
        </is>
      </c>
      <c r="B202" s="16" t="n"/>
      <c r="C202" s="16" t="n"/>
      <c r="D202" s="16" t="n"/>
      <c r="E202" s="16" t="n"/>
      <c r="F202" s="16" t="n"/>
      <c r="G202" s="16" t="n"/>
      <c r="H202" s="16" t="n"/>
      <c r="I202" s="16" t="n"/>
      <c r="J202" s="16" t="n"/>
      <c r="K202" s="16" t="n"/>
      <c r="L202" s="16" t="n"/>
      <c r="M202" s="16" t="n"/>
      <c r="N202" s="16" t="n"/>
    </row>
    <row r="203">
      <c r="A203" s="17" t="inlineStr">
        <is>
          <t>ASS-0200</t>
        </is>
      </c>
      <c r="B203" s="16" t="n"/>
      <c r="C203" s="16" t="n"/>
      <c r="D203" s="16" t="n"/>
      <c r="E203" s="16" t="n"/>
      <c r="F203" s="16" t="n"/>
      <c r="G203" s="16" t="n"/>
      <c r="H203" s="16" t="n"/>
      <c r="I203" s="16" t="n"/>
      <c r="J203" s="16" t="n"/>
      <c r="K203" s="16" t="n"/>
      <c r="L203" s="16" t="n"/>
      <c r="M203" s="16" t="n"/>
      <c r="N203" s="16" t="n"/>
    </row>
    <row r="204">
      <c r="A204" s="17" t="inlineStr">
        <is>
          <t>ASS-0201</t>
        </is>
      </c>
      <c r="B204" s="16" t="n"/>
      <c r="C204" s="16" t="n"/>
      <c r="D204" s="16" t="n"/>
      <c r="E204" s="16" t="n"/>
      <c r="F204" s="16" t="n"/>
      <c r="G204" s="16" t="n"/>
      <c r="H204" s="16" t="n"/>
      <c r="I204" s="16" t="n"/>
      <c r="J204" s="16" t="n"/>
      <c r="K204" s="16" t="n"/>
      <c r="L204" s="16" t="n"/>
      <c r="M204" s="16" t="n"/>
      <c r="N204" s="16" t="n"/>
    </row>
    <row r="205">
      <c r="A205" s="17" t="inlineStr">
        <is>
          <t>ASS-0202</t>
        </is>
      </c>
      <c r="B205" s="16" t="n"/>
      <c r="C205" s="16" t="n"/>
      <c r="D205" s="16" t="n"/>
      <c r="E205" s="16" t="n"/>
      <c r="F205" s="16" t="n"/>
      <c r="G205" s="16" t="n"/>
      <c r="H205" s="16" t="n"/>
      <c r="I205" s="16" t="n"/>
      <c r="J205" s="16" t="n"/>
      <c r="K205" s="16" t="n"/>
      <c r="L205" s="16" t="n"/>
      <c r="M205" s="16" t="n"/>
      <c r="N205" s="16" t="n"/>
    </row>
    <row r="206">
      <c r="A206" s="17" t="inlineStr">
        <is>
          <t>ASS-0203</t>
        </is>
      </c>
      <c r="B206" s="16" t="n"/>
      <c r="C206" s="16" t="n"/>
      <c r="D206" s="16" t="n"/>
      <c r="E206" s="16" t="n"/>
      <c r="F206" s="16" t="n"/>
      <c r="G206" s="16" t="n"/>
      <c r="H206" s="16" t="n"/>
      <c r="I206" s="16" t="n"/>
      <c r="J206" s="16" t="n"/>
      <c r="K206" s="16" t="n"/>
      <c r="L206" s="16" t="n"/>
      <c r="M206" s="16" t="n"/>
      <c r="N206" s="16" t="n"/>
    </row>
    <row r="207">
      <c r="A207" s="17" t="inlineStr">
        <is>
          <t>ASS-0204</t>
        </is>
      </c>
      <c r="B207" s="16" t="n"/>
      <c r="C207" s="16" t="n"/>
      <c r="D207" s="16" t="n"/>
      <c r="E207" s="16" t="n"/>
      <c r="F207" s="16" t="n"/>
      <c r="G207" s="16" t="n"/>
      <c r="H207" s="16" t="n"/>
      <c r="I207" s="16" t="n"/>
      <c r="J207" s="16" t="n"/>
      <c r="K207" s="16" t="n"/>
      <c r="L207" s="16" t="n"/>
      <c r="M207" s="16" t="n"/>
      <c r="N207" s="16" t="n"/>
    </row>
    <row r="208">
      <c r="A208" s="17" t="inlineStr">
        <is>
          <t>ASS-0205</t>
        </is>
      </c>
      <c r="B208" s="16" t="n"/>
      <c r="C208" s="16" t="n"/>
      <c r="D208" s="16" t="n"/>
      <c r="E208" s="16" t="n"/>
      <c r="F208" s="16" t="n"/>
      <c r="G208" s="16" t="n"/>
      <c r="H208" s="16" t="n"/>
      <c r="I208" s="16" t="n"/>
      <c r="J208" s="16" t="n"/>
      <c r="K208" s="16" t="n"/>
      <c r="L208" s="16" t="n"/>
      <c r="M208" s="16" t="n"/>
      <c r="N208" s="16" t="n"/>
    </row>
    <row r="209">
      <c r="A209" s="17" t="inlineStr">
        <is>
          <t>ASS-0206</t>
        </is>
      </c>
      <c r="B209" s="16" t="n"/>
      <c r="C209" s="16" t="n"/>
      <c r="D209" s="16" t="n"/>
      <c r="E209" s="16" t="n"/>
      <c r="F209" s="16" t="n"/>
      <c r="G209" s="16" t="n"/>
      <c r="H209" s="16" t="n"/>
      <c r="I209" s="16" t="n"/>
      <c r="J209" s="16" t="n"/>
      <c r="K209" s="16" t="n"/>
      <c r="L209" s="16" t="n"/>
      <c r="M209" s="16" t="n"/>
      <c r="N209" s="16" t="n"/>
    </row>
    <row r="210">
      <c r="A210" s="17" t="inlineStr">
        <is>
          <t>ASS-0207</t>
        </is>
      </c>
      <c r="B210" s="16" t="n"/>
      <c r="C210" s="16" t="n"/>
      <c r="D210" s="16" t="n"/>
      <c r="E210" s="16" t="n"/>
      <c r="F210" s="16" t="n"/>
      <c r="G210" s="16" t="n"/>
      <c r="H210" s="16" t="n"/>
      <c r="I210" s="16" t="n"/>
      <c r="J210" s="16" t="n"/>
      <c r="K210" s="16" t="n"/>
      <c r="L210" s="16" t="n"/>
      <c r="M210" s="16" t="n"/>
      <c r="N210" s="16" t="n"/>
    </row>
    <row r="211">
      <c r="A211" s="17" t="inlineStr">
        <is>
          <t>ASS-0208</t>
        </is>
      </c>
      <c r="B211" s="16" t="n"/>
      <c r="C211" s="16" t="n"/>
      <c r="D211" s="16" t="n"/>
      <c r="E211" s="16" t="n"/>
      <c r="F211" s="16" t="n"/>
      <c r="G211" s="16" t="n"/>
      <c r="H211" s="16" t="n"/>
      <c r="I211" s="16" t="n"/>
      <c r="J211" s="16" t="n"/>
      <c r="K211" s="16" t="n"/>
      <c r="L211" s="16" t="n"/>
      <c r="M211" s="16" t="n"/>
      <c r="N211" s="16" t="n"/>
    </row>
    <row r="212">
      <c r="A212" s="17" t="inlineStr">
        <is>
          <t>ASS-0209</t>
        </is>
      </c>
      <c r="B212" s="16" t="n"/>
      <c r="C212" s="16" t="n"/>
      <c r="D212" s="16" t="n"/>
      <c r="E212" s="16" t="n"/>
      <c r="F212" s="16" t="n"/>
      <c r="G212" s="16" t="n"/>
      <c r="H212" s="16" t="n"/>
      <c r="I212" s="16" t="n"/>
      <c r="J212" s="16" t="n"/>
      <c r="K212" s="16" t="n"/>
      <c r="L212" s="16" t="n"/>
      <c r="M212" s="16" t="n"/>
      <c r="N212" s="16" t="n"/>
    </row>
    <row r="213">
      <c r="A213" s="17" t="inlineStr">
        <is>
          <t>ASS-0210</t>
        </is>
      </c>
      <c r="B213" s="16" t="n"/>
      <c r="C213" s="16" t="n"/>
      <c r="D213" s="16" t="n"/>
      <c r="E213" s="16" t="n"/>
      <c r="F213" s="16" t="n"/>
      <c r="G213" s="16" t="n"/>
      <c r="H213" s="16" t="n"/>
      <c r="I213" s="16" t="n"/>
      <c r="J213" s="16" t="n"/>
      <c r="K213" s="16" t="n"/>
      <c r="L213" s="16" t="n"/>
      <c r="M213" s="16" t="n"/>
      <c r="N213" s="16" t="n"/>
    </row>
    <row r="214">
      <c r="A214" s="17" t="inlineStr">
        <is>
          <t>ASS-0211</t>
        </is>
      </c>
      <c r="B214" s="16" t="n"/>
      <c r="C214" s="16" t="n"/>
      <c r="D214" s="16" t="n"/>
      <c r="E214" s="16" t="n"/>
      <c r="F214" s="16" t="n"/>
      <c r="G214" s="16" t="n"/>
      <c r="H214" s="16" t="n"/>
      <c r="I214" s="16" t="n"/>
      <c r="J214" s="16" t="n"/>
      <c r="K214" s="16" t="n"/>
      <c r="L214" s="16" t="n"/>
      <c r="M214" s="16" t="n"/>
      <c r="N214" s="16" t="n"/>
    </row>
    <row r="215">
      <c r="A215" s="17" t="inlineStr">
        <is>
          <t>ASS-0212</t>
        </is>
      </c>
      <c r="B215" s="16" t="n"/>
      <c r="C215" s="16" t="n"/>
      <c r="D215" s="16" t="n"/>
      <c r="E215" s="16" t="n"/>
      <c r="F215" s="16" t="n"/>
      <c r="G215" s="16" t="n"/>
      <c r="H215" s="16" t="n"/>
      <c r="I215" s="16" t="n"/>
      <c r="J215" s="16" t="n"/>
      <c r="K215" s="16" t="n"/>
      <c r="L215" s="16" t="n"/>
      <c r="M215" s="16" t="n"/>
      <c r="N215" s="16" t="n"/>
    </row>
    <row r="216">
      <c r="A216" s="17" t="inlineStr">
        <is>
          <t>ASS-0213</t>
        </is>
      </c>
      <c r="B216" s="16" t="n"/>
      <c r="C216" s="16" t="n"/>
      <c r="D216" s="16" t="n"/>
      <c r="E216" s="16" t="n"/>
      <c r="F216" s="16" t="n"/>
      <c r="G216" s="16" t="n"/>
      <c r="H216" s="16" t="n"/>
      <c r="I216" s="16" t="n"/>
      <c r="J216" s="16" t="n"/>
      <c r="K216" s="16" t="n"/>
      <c r="L216" s="16" t="n"/>
      <c r="M216" s="16" t="n"/>
      <c r="N216" s="16" t="n"/>
    </row>
    <row r="217">
      <c r="A217" s="17" t="inlineStr">
        <is>
          <t>ASS-0214</t>
        </is>
      </c>
      <c r="B217" s="16" t="n"/>
      <c r="C217" s="16" t="n"/>
      <c r="D217" s="16" t="n"/>
      <c r="E217" s="16" t="n"/>
      <c r="F217" s="16" t="n"/>
      <c r="G217" s="16" t="n"/>
      <c r="H217" s="16" t="n"/>
      <c r="I217" s="16" t="n"/>
      <c r="J217" s="16" t="n"/>
      <c r="K217" s="16" t="n"/>
      <c r="L217" s="16" t="n"/>
      <c r="M217" s="16" t="n"/>
      <c r="N217" s="16" t="n"/>
    </row>
    <row r="218">
      <c r="A218" s="17" t="inlineStr">
        <is>
          <t>ASS-0215</t>
        </is>
      </c>
      <c r="B218" s="16" t="n"/>
      <c r="C218" s="16" t="n"/>
      <c r="D218" s="16" t="n"/>
      <c r="E218" s="16" t="n"/>
      <c r="F218" s="16" t="n"/>
      <c r="G218" s="16" t="n"/>
      <c r="H218" s="16" t="n"/>
      <c r="I218" s="16" t="n"/>
      <c r="J218" s="16" t="n"/>
      <c r="K218" s="16" t="n"/>
      <c r="L218" s="16" t="n"/>
      <c r="M218" s="16" t="n"/>
      <c r="N218" s="16" t="n"/>
    </row>
    <row r="219">
      <c r="A219" s="17" t="inlineStr">
        <is>
          <t>ASS-0216</t>
        </is>
      </c>
      <c r="B219" s="16" t="n"/>
      <c r="C219" s="16" t="n"/>
      <c r="D219" s="16" t="n"/>
      <c r="E219" s="16" t="n"/>
      <c r="F219" s="16" t="n"/>
      <c r="G219" s="16" t="n"/>
      <c r="H219" s="16" t="n"/>
      <c r="I219" s="16" t="n"/>
      <c r="J219" s="16" t="n"/>
      <c r="K219" s="16" t="n"/>
      <c r="L219" s="16" t="n"/>
      <c r="M219" s="16" t="n"/>
      <c r="N219" s="16" t="n"/>
    </row>
    <row r="220">
      <c r="A220" s="17" t="inlineStr">
        <is>
          <t>ASS-0217</t>
        </is>
      </c>
      <c r="B220" s="16" t="n"/>
      <c r="C220" s="16" t="n"/>
      <c r="D220" s="16" t="n"/>
      <c r="E220" s="16" t="n"/>
      <c r="F220" s="16" t="n"/>
      <c r="G220" s="16" t="n"/>
      <c r="H220" s="16" t="n"/>
      <c r="I220" s="16" t="n"/>
      <c r="J220" s="16" t="n"/>
      <c r="K220" s="16" t="n"/>
      <c r="L220" s="16" t="n"/>
      <c r="M220" s="16" t="n"/>
      <c r="N220" s="16" t="n"/>
    </row>
    <row r="221">
      <c r="A221" s="17" t="inlineStr">
        <is>
          <t>ASS-0218</t>
        </is>
      </c>
      <c r="B221" s="16" t="n"/>
      <c r="C221" s="16" t="n"/>
      <c r="D221" s="16" t="n"/>
      <c r="E221" s="16" t="n"/>
      <c r="F221" s="16" t="n"/>
      <c r="G221" s="16" t="n"/>
      <c r="H221" s="16" t="n"/>
      <c r="I221" s="16" t="n"/>
      <c r="J221" s="16" t="n"/>
      <c r="K221" s="16" t="n"/>
      <c r="L221" s="16" t="n"/>
      <c r="M221" s="16" t="n"/>
      <c r="N221" s="16" t="n"/>
    </row>
    <row r="222">
      <c r="A222" s="17" t="inlineStr">
        <is>
          <t>ASS-0219</t>
        </is>
      </c>
      <c r="B222" s="16" t="n"/>
      <c r="C222" s="16" t="n"/>
      <c r="D222" s="16" t="n"/>
      <c r="E222" s="16" t="n"/>
      <c r="F222" s="16" t="n"/>
      <c r="G222" s="16" t="n"/>
      <c r="H222" s="16" t="n"/>
      <c r="I222" s="16" t="n"/>
      <c r="J222" s="16" t="n"/>
      <c r="K222" s="16" t="n"/>
      <c r="L222" s="16" t="n"/>
      <c r="M222" s="16" t="n"/>
      <c r="N222" s="16" t="n"/>
    </row>
    <row r="223">
      <c r="A223" s="17" t="inlineStr">
        <is>
          <t>ASS-0220</t>
        </is>
      </c>
      <c r="B223" s="16" t="n"/>
      <c r="C223" s="16" t="n"/>
      <c r="D223" s="16" t="n"/>
      <c r="E223" s="16" t="n"/>
      <c r="F223" s="16" t="n"/>
      <c r="G223" s="16" t="n"/>
      <c r="H223" s="16" t="n"/>
      <c r="I223" s="16" t="n"/>
      <c r="J223" s="16" t="n"/>
      <c r="K223" s="16" t="n"/>
      <c r="L223" s="16" t="n"/>
      <c r="M223" s="16" t="n"/>
      <c r="N223" s="16" t="n"/>
    </row>
    <row r="224">
      <c r="A224" s="17" t="inlineStr">
        <is>
          <t>ASS-0221</t>
        </is>
      </c>
      <c r="B224" s="16" t="n"/>
      <c r="C224" s="16" t="n"/>
      <c r="D224" s="16" t="n"/>
      <c r="E224" s="16" t="n"/>
      <c r="F224" s="16" t="n"/>
      <c r="G224" s="16" t="n"/>
      <c r="H224" s="16" t="n"/>
      <c r="I224" s="16" t="n"/>
      <c r="J224" s="16" t="n"/>
      <c r="K224" s="16" t="n"/>
      <c r="L224" s="16" t="n"/>
      <c r="M224" s="16" t="n"/>
      <c r="N224" s="16" t="n"/>
    </row>
    <row r="225">
      <c r="A225" s="17" t="inlineStr">
        <is>
          <t>ASS-0222</t>
        </is>
      </c>
      <c r="B225" s="16" t="n"/>
      <c r="C225" s="16" t="n"/>
      <c r="D225" s="16" t="n"/>
      <c r="E225" s="16" t="n"/>
      <c r="F225" s="16" t="n"/>
      <c r="G225" s="16" t="n"/>
      <c r="H225" s="16" t="n"/>
      <c r="I225" s="16" t="n"/>
      <c r="J225" s="16" t="n"/>
      <c r="K225" s="16" t="n"/>
      <c r="L225" s="16" t="n"/>
      <c r="M225" s="16" t="n"/>
      <c r="N225" s="16" t="n"/>
    </row>
    <row r="226">
      <c r="A226" s="17" t="inlineStr">
        <is>
          <t>ASS-0223</t>
        </is>
      </c>
      <c r="B226" s="16" t="n"/>
      <c r="C226" s="16" t="n"/>
      <c r="D226" s="16" t="n"/>
      <c r="E226" s="16" t="n"/>
      <c r="F226" s="16" t="n"/>
      <c r="G226" s="16" t="n"/>
      <c r="H226" s="16" t="n"/>
      <c r="I226" s="16" t="n"/>
      <c r="J226" s="16" t="n"/>
      <c r="K226" s="16" t="n"/>
      <c r="L226" s="16" t="n"/>
      <c r="M226" s="16" t="n"/>
      <c r="N226" s="16" t="n"/>
    </row>
    <row r="227">
      <c r="A227" s="17" t="inlineStr">
        <is>
          <t>ASS-0224</t>
        </is>
      </c>
      <c r="B227" s="16" t="n"/>
      <c r="C227" s="16" t="n"/>
      <c r="D227" s="16" t="n"/>
      <c r="E227" s="16" t="n"/>
      <c r="F227" s="16" t="n"/>
      <c r="G227" s="16" t="n"/>
      <c r="H227" s="16" t="n"/>
      <c r="I227" s="16" t="n"/>
      <c r="J227" s="16" t="n"/>
      <c r="K227" s="16" t="n"/>
      <c r="L227" s="16" t="n"/>
      <c r="M227" s="16" t="n"/>
      <c r="N227" s="16" t="n"/>
    </row>
    <row r="228">
      <c r="A228" s="17" t="inlineStr">
        <is>
          <t>ASS-0225</t>
        </is>
      </c>
      <c r="B228" s="16" t="n"/>
      <c r="C228" s="16" t="n"/>
      <c r="D228" s="16" t="n"/>
      <c r="E228" s="16" t="n"/>
      <c r="F228" s="16" t="n"/>
      <c r="G228" s="16" t="n"/>
      <c r="H228" s="16" t="n"/>
      <c r="I228" s="16" t="n"/>
      <c r="J228" s="16" t="n"/>
      <c r="K228" s="16" t="n"/>
      <c r="L228" s="16" t="n"/>
      <c r="M228" s="16" t="n"/>
      <c r="N228" s="16" t="n"/>
    </row>
    <row r="229">
      <c r="A229" s="17" t="inlineStr">
        <is>
          <t>ASS-0226</t>
        </is>
      </c>
      <c r="B229" s="16" t="n"/>
      <c r="C229" s="16" t="n"/>
      <c r="D229" s="16" t="n"/>
      <c r="E229" s="16" t="n"/>
      <c r="F229" s="16" t="n"/>
      <c r="G229" s="16" t="n"/>
      <c r="H229" s="16" t="n"/>
      <c r="I229" s="16" t="n"/>
      <c r="J229" s="16" t="n"/>
      <c r="K229" s="16" t="n"/>
      <c r="L229" s="16" t="n"/>
      <c r="M229" s="16" t="n"/>
      <c r="N229" s="16" t="n"/>
    </row>
    <row r="230">
      <c r="A230" s="17" t="inlineStr">
        <is>
          <t>ASS-0227</t>
        </is>
      </c>
      <c r="B230" s="16" t="n"/>
      <c r="C230" s="16" t="n"/>
      <c r="D230" s="16" t="n"/>
      <c r="E230" s="16" t="n"/>
      <c r="F230" s="16" t="n"/>
      <c r="G230" s="16" t="n"/>
      <c r="H230" s="16" t="n"/>
      <c r="I230" s="16" t="n"/>
      <c r="J230" s="16" t="n"/>
      <c r="K230" s="16" t="n"/>
      <c r="L230" s="16" t="n"/>
      <c r="M230" s="16" t="n"/>
      <c r="N230" s="16" t="n"/>
    </row>
    <row r="231">
      <c r="A231" s="17" t="inlineStr">
        <is>
          <t>ASS-0228</t>
        </is>
      </c>
      <c r="B231" s="16" t="n"/>
      <c r="C231" s="16" t="n"/>
      <c r="D231" s="16" t="n"/>
      <c r="E231" s="16" t="n"/>
      <c r="F231" s="16" t="n"/>
      <c r="G231" s="16" t="n"/>
      <c r="H231" s="16" t="n"/>
      <c r="I231" s="16" t="n"/>
      <c r="J231" s="16" t="n"/>
      <c r="K231" s="16" t="n"/>
      <c r="L231" s="16" t="n"/>
      <c r="M231" s="16" t="n"/>
      <c r="N231" s="16" t="n"/>
    </row>
    <row r="232">
      <c r="A232" s="17" t="inlineStr">
        <is>
          <t>ASS-0229</t>
        </is>
      </c>
      <c r="B232" s="16" t="n"/>
      <c r="C232" s="16" t="n"/>
      <c r="D232" s="16" t="n"/>
      <c r="E232" s="16" t="n"/>
      <c r="F232" s="16" t="n"/>
      <c r="G232" s="16" t="n"/>
      <c r="H232" s="16" t="n"/>
      <c r="I232" s="16" t="n"/>
      <c r="J232" s="16" t="n"/>
      <c r="K232" s="16" t="n"/>
      <c r="L232" s="16" t="n"/>
      <c r="M232" s="16" t="n"/>
      <c r="N232" s="16" t="n"/>
    </row>
    <row r="233">
      <c r="A233" s="17" t="inlineStr">
        <is>
          <t>ASS-0230</t>
        </is>
      </c>
      <c r="B233" s="16" t="n"/>
      <c r="C233" s="16" t="n"/>
      <c r="D233" s="16" t="n"/>
      <c r="E233" s="16" t="n"/>
      <c r="F233" s="16" t="n"/>
      <c r="G233" s="16" t="n"/>
      <c r="H233" s="16" t="n"/>
      <c r="I233" s="16" t="n"/>
      <c r="J233" s="16" t="n"/>
      <c r="K233" s="16" t="n"/>
      <c r="L233" s="16" t="n"/>
      <c r="M233" s="16" t="n"/>
      <c r="N233" s="16" t="n"/>
    </row>
    <row r="234">
      <c r="A234" s="17" t="inlineStr">
        <is>
          <t>ASS-0231</t>
        </is>
      </c>
      <c r="B234" s="16" t="n"/>
      <c r="C234" s="16" t="n"/>
      <c r="D234" s="16" t="n"/>
      <c r="E234" s="16" t="n"/>
      <c r="F234" s="16" t="n"/>
      <c r="G234" s="16" t="n"/>
      <c r="H234" s="16" t="n"/>
      <c r="I234" s="16" t="n"/>
      <c r="J234" s="16" t="n"/>
      <c r="K234" s="16" t="n"/>
      <c r="L234" s="16" t="n"/>
      <c r="M234" s="16" t="n"/>
      <c r="N234" s="16" t="n"/>
    </row>
    <row r="235">
      <c r="A235" s="17" t="inlineStr">
        <is>
          <t>ASS-0232</t>
        </is>
      </c>
      <c r="B235" s="16" t="n"/>
      <c r="C235" s="16" t="n"/>
      <c r="D235" s="16" t="n"/>
      <c r="E235" s="16" t="n"/>
      <c r="F235" s="16" t="n"/>
      <c r="G235" s="16" t="n"/>
      <c r="H235" s="16" t="n"/>
      <c r="I235" s="16" t="n"/>
      <c r="J235" s="16" t="n"/>
      <c r="K235" s="16" t="n"/>
      <c r="L235" s="16" t="n"/>
      <c r="M235" s="16" t="n"/>
      <c r="N235" s="16" t="n"/>
    </row>
    <row r="236">
      <c r="A236" s="17" t="inlineStr">
        <is>
          <t>ASS-0233</t>
        </is>
      </c>
      <c r="B236" s="16" t="n"/>
      <c r="C236" s="16" t="n"/>
      <c r="D236" s="16" t="n"/>
      <c r="E236" s="16" t="n"/>
      <c r="F236" s="16" t="n"/>
      <c r="G236" s="16" t="n"/>
      <c r="H236" s="16" t="n"/>
      <c r="I236" s="16" t="n"/>
      <c r="J236" s="16" t="n"/>
      <c r="K236" s="16" t="n"/>
      <c r="L236" s="16" t="n"/>
      <c r="M236" s="16" t="n"/>
      <c r="N236" s="16" t="n"/>
    </row>
    <row r="237">
      <c r="A237" s="17" t="inlineStr">
        <is>
          <t>ASS-0234</t>
        </is>
      </c>
      <c r="B237" s="16" t="n"/>
      <c r="C237" s="16" t="n"/>
      <c r="D237" s="16" t="n"/>
      <c r="E237" s="16" t="n"/>
      <c r="F237" s="16" t="n"/>
      <c r="G237" s="16" t="n"/>
      <c r="H237" s="16" t="n"/>
      <c r="I237" s="16" t="n"/>
      <c r="J237" s="16" t="n"/>
      <c r="K237" s="16" t="n"/>
      <c r="L237" s="16" t="n"/>
      <c r="M237" s="16" t="n"/>
      <c r="N237" s="16" t="n"/>
    </row>
    <row r="238">
      <c r="A238" s="17" t="inlineStr">
        <is>
          <t>ASS-0235</t>
        </is>
      </c>
      <c r="B238" s="16" t="n"/>
      <c r="C238" s="16" t="n"/>
      <c r="D238" s="16" t="n"/>
      <c r="E238" s="16" t="n"/>
      <c r="F238" s="16" t="n"/>
      <c r="G238" s="16" t="n"/>
      <c r="H238" s="16" t="n"/>
      <c r="I238" s="16" t="n"/>
      <c r="J238" s="16" t="n"/>
      <c r="K238" s="16" t="n"/>
      <c r="L238" s="16" t="n"/>
      <c r="M238" s="16" t="n"/>
      <c r="N238" s="16" t="n"/>
    </row>
    <row r="239">
      <c r="A239" s="17" t="inlineStr">
        <is>
          <t>ASS-0236</t>
        </is>
      </c>
      <c r="B239" s="16" t="n"/>
      <c r="C239" s="16" t="n"/>
      <c r="D239" s="16" t="n"/>
      <c r="E239" s="16" t="n"/>
      <c r="F239" s="16" t="n"/>
      <c r="G239" s="16" t="n"/>
      <c r="H239" s="16" t="n"/>
      <c r="I239" s="16" t="n"/>
      <c r="J239" s="16" t="n"/>
      <c r="K239" s="16" t="n"/>
      <c r="L239" s="16" t="n"/>
      <c r="M239" s="16" t="n"/>
      <c r="N239" s="16" t="n"/>
    </row>
    <row r="240">
      <c r="A240" s="17" t="inlineStr">
        <is>
          <t>ASS-0237</t>
        </is>
      </c>
      <c r="B240" s="16" t="n"/>
      <c r="C240" s="16" t="n"/>
      <c r="D240" s="16" t="n"/>
      <c r="E240" s="16" t="n"/>
      <c r="F240" s="16" t="n"/>
      <c r="G240" s="16" t="n"/>
      <c r="H240" s="16" t="n"/>
      <c r="I240" s="16" t="n"/>
      <c r="J240" s="16" t="n"/>
      <c r="K240" s="16" t="n"/>
      <c r="L240" s="16" t="n"/>
      <c r="M240" s="16" t="n"/>
      <c r="N240" s="16" t="n"/>
    </row>
    <row r="241">
      <c r="A241" s="17" t="inlineStr">
        <is>
          <t>ASS-0238</t>
        </is>
      </c>
      <c r="B241" s="16" t="n"/>
      <c r="C241" s="16" t="n"/>
      <c r="D241" s="16" t="n"/>
      <c r="E241" s="16" t="n"/>
      <c r="F241" s="16" t="n"/>
      <c r="G241" s="16" t="n"/>
      <c r="H241" s="16" t="n"/>
      <c r="I241" s="16" t="n"/>
      <c r="J241" s="16" t="n"/>
      <c r="K241" s="16" t="n"/>
      <c r="L241" s="16" t="n"/>
      <c r="M241" s="16" t="n"/>
      <c r="N241" s="16" t="n"/>
    </row>
    <row r="242">
      <c r="A242" s="17" t="inlineStr">
        <is>
          <t>ASS-0239</t>
        </is>
      </c>
      <c r="B242" s="16" t="n"/>
      <c r="C242" s="16" t="n"/>
      <c r="D242" s="16" t="n"/>
      <c r="E242" s="16" t="n"/>
      <c r="F242" s="16" t="n"/>
      <c r="G242" s="16" t="n"/>
      <c r="H242" s="16" t="n"/>
      <c r="I242" s="16" t="n"/>
      <c r="J242" s="16" t="n"/>
      <c r="K242" s="16" t="n"/>
      <c r="L242" s="16" t="n"/>
      <c r="M242" s="16" t="n"/>
      <c r="N242" s="16" t="n"/>
    </row>
    <row r="243">
      <c r="A243" s="17" t="inlineStr">
        <is>
          <t>ASS-0240</t>
        </is>
      </c>
      <c r="B243" s="16" t="n"/>
      <c r="C243" s="16" t="n"/>
      <c r="D243" s="16" t="n"/>
      <c r="E243" s="16" t="n"/>
      <c r="F243" s="16" t="n"/>
      <c r="G243" s="16" t="n"/>
      <c r="H243" s="16" t="n"/>
      <c r="I243" s="16" t="n"/>
      <c r="J243" s="16" t="n"/>
      <c r="K243" s="16" t="n"/>
      <c r="L243" s="16" t="n"/>
      <c r="M243" s="16" t="n"/>
      <c r="N243" s="16" t="n"/>
    </row>
    <row r="244">
      <c r="A244" s="17" t="inlineStr">
        <is>
          <t>ASS-0241</t>
        </is>
      </c>
      <c r="B244" s="16" t="n"/>
      <c r="C244" s="16" t="n"/>
      <c r="D244" s="16" t="n"/>
      <c r="E244" s="16" t="n"/>
      <c r="F244" s="16" t="n"/>
      <c r="G244" s="16" t="n"/>
      <c r="H244" s="16" t="n"/>
      <c r="I244" s="16" t="n"/>
      <c r="J244" s="16" t="n"/>
      <c r="K244" s="16" t="n"/>
      <c r="L244" s="16" t="n"/>
      <c r="M244" s="16" t="n"/>
      <c r="N244" s="16" t="n"/>
    </row>
    <row r="245">
      <c r="A245" s="17" t="inlineStr">
        <is>
          <t>ASS-0242</t>
        </is>
      </c>
      <c r="B245" s="16" t="n"/>
      <c r="C245" s="16" t="n"/>
      <c r="D245" s="16" t="n"/>
      <c r="E245" s="16" t="n"/>
      <c r="F245" s="16" t="n"/>
      <c r="G245" s="16" t="n"/>
      <c r="H245" s="16" t="n"/>
      <c r="I245" s="16" t="n"/>
      <c r="J245" s="16" t="n"/>
      <c r="K245" s="16" t="n"/>
      <c r="L245" s="16" t="n"/>
      <c r="M245" s="16" t="n"/>
      <c r="N245" s="16" t="n"/>
    </row>
    <row r="246">
      <c r="A246" s="17" t="inlineStr">
        <is>
          <t>ASS-0243</t>
        </is>
      </c>
      <c r="B246" s="16" t="n"/>
      <c r="C246" s="16" t="n"/>
      <c r="D246" s="16" t="n"/>
      <c r="E246" s="16" t="n"/>
      <c r="F246" s="16" t="n"/>
      <c r="G246" s="16" t="n"/>
      <c r="H246" s="16" t="n"/>
      <c r="I246" s="16" t="n"/>
      <c r="J246" s="16" t="n"/>
      <c r="K246" s="16" t="n"/>
      <c r="L246" s="16" t="n"/>
      <c r="M246" s="16" t="n"/>
      <c r="N246" s="16" t="n"/>
    </row>
    <row r="247">
      <c r="A247" s="17" t="inlineStr">
        <is>
          <t>ASS-0244</t>
        </is>
      </c>
      <c r="B247" s="16" t="n"/>
      <c r="C247" s="16" t="n"/>
      <c r="D247" s="16" t="n"/>
      <c r="E247" s="16" t="n"/>
      <c r="F247" s="16" t="n"/>
      <c r="G247" s="16" t="n"/>
      <c r="H247" s="16" t="n"/>
      <c r="I247" s="16" t="n"/>
      <c r="J247" s="16" t="n"/>
      <c r="K247" s="16" t="n"/>
      <c r="L247" s="16" t="n"/>
      <c r="M247" s="16" t="n"/>
      <c r="N247" s="16" t="n"/>
    </row>
    <row r="248">
      <c r="A248" s="17" t="inlineStr">
        <is>
          <t>ASS-0245</t>
        </is>
      </c>
      <c r="B248" s="16" t="n"/>
      <c r="C248" s="16" t="n"/>
      <c r="D248" s="16" t="n"/>
      <c r="E248" s="16" t="n"/>
      <c r="F248" s="16" t="n"/>
      <c r="G248" s="16" t="n"/>
      <c r="H248" s="16" t="n"/>
      <c r="I248" s="16" t="n"/>
      <c r="J248" s="16" t="n"/>
      <c r="K248" s="16" t="n"/>
      <c r="L248" s="16" t="n"/>
      <c r="M248" s="16" t="n"/>
      <c r="N248" s="16" t="n"/>
    </row>
    <row r="249">
      <c r="A249" s="17" t="inlineStr">
        <is>
          <t>ASS-0246</t>
        </is>
      </c>
      <c r="B249" s="16" t="n"/>
      <c r="C249" s="16" t="n"/>
      <c r="D249" s="16" t="n"/>
      <c r="E249" s="16" t="n"/>
      <c r="F249" s="16" t="n"/>
      <c r="G249" s="16" t="n"/>
      <c r="H249" s="16" t="n"/>
      <c r="I249" s="16" t="n"/>
      <c r="J249" s="16" t="n"/>
      <c r="K249" s="16" t="n"/>
      <c r="L249" s="16" t="n"/>
      <c r="M249" s="16" t="n"/>
      <c r="N249" s="16" t="n"/>
    </row>
    <row r="250">
      <c r="A250" s="17" t="inlineStr">
        <is>
          <t>ASS-0247</t>
        </is>
      </c>
      <c r="B250" s="16" t="n"/>
      <c r="C250" s="16" t="n"/>
      <c r="D250" s="16" t="n"/>
      <c r="E250" s="16" t="n"/>
      <c r="F250" s="16" t="n"/>
      <c r="G250" s="16" t="n"/>
      <c r="H250" s="16" t="n"/>
      <c r="I250" s="16" t="n"/>
      <c r="J250" s="16" t="n"/>
      <c r="K250" s="16" t="n"/>
      <c r="L250" s="16" t="n"/>
      <c r="M250" s="16" t="n"/>
      <c r="N250" s="16" t="n"/>
    </row>
    <row r="251">
      <c r="A251" s="17" t="inlineStr">
        <is>
          <t>ASS-0248</t>
        </is>
      </c>
      <c r="B251" s="16" t="n"/>
      <c r="C251" s="16" t="n"/>
      <c r="D251" s="16" t="n"/>
      <c r="E251" s="16" t="n"/>
      <c r="F251" s="16" t="n"/>
      <c r="G251" s="16" t="n"/>
      <c r="H251" s="16" t="n"/>
      <c r="I251" s="16" t="n"/>
      <c r="J251" s="16" t="n"/>
      <c r="K251" s="16" t="n"/>
      <c r="L251" s="16" t="n"/>
      <c r="M251" s="16" t="n"/>
      <c r="N251" s="16" t="n"/>
    </row>
    <row r="252">
      <c r="A252" s="17" t="inlineStr">
        <is>
          <t>ASS-0249</t>
        </is>
      </c>
      <c r="B252" s="16" t="n"/>
      <c r="C252" s="16" t="n"/>
      <c r="D252" s="16" t="n"/>
      <c r="E252" s="16" t="n"/>
      <c r="F252" s="16" t="n"/>
      <c r="G252" s="16" t="n"/>
      <c r="H252" s="16" t="n"/>
      <c r="I252" s="16" t="n"/>
      <c r="J252" s="16" t="n"/>
      <c r="K252" s="16" t="n"/>
      <c r="L252" s="16" t="n"/>
      <c r="M252" s="16" t="n"/>
      <c r="N252" s="16" t="n"/>
    </row>
    <row r="253">
      <c r="A253" s="17" t="inlineStr">
        <is>
          <t>ASS-0250</t>
        </is>
      </c>
      <c r="B253" s="16" t="n"/>
      <c r="C253" s="16" t="n"/>
      <c r="D253" s="16" t="n"/>
      <c r="E253" s="16" t="n"/>
      <c r="F253" s="16" t="n"/>
      <c r="G253" s="16" t="n"/>
      <c r="H253" s="16" t="n"/>
      <c r="I253" s="16" t="n"/>
      <c r="J253" s="16" t="n"/>
      <c r="K253" s="16" t="n"/>
      <c r="L253" s="16" t="n"/>
      <c r="M253" s="16" t="n"/>
      <c r="N253" s="16" t="n"/>
    </row>
    <row r="254">
      <c r="A254" s="17" t="inlineStr">
        <is>
          <t>ASS-0251</t>
        </is>
      </c>
      <c r="B254" s="16" t="n"/>
      <c r="C254" s="16" t="n"/>
      <c r="D254" s="16" t="n"/>
      <c r="E254" s="16" t="n"/>
      <c r="F254" s="16" t="n"/>
      <c r="G254" s="16" t="n"/>
      <c r="H254" s="16" t="n"/>
      <c r="I254" s="16" t="n"/>
      <c r="J254" s="16" t="n"/>
      <c r="K254" s="16" t="n"/>
      <c r="L254" s="16" t="n"/>
      <c r="M254" s="16" t="n"/>
      <c r="N254" s="16" t="n"/>
    </row>
    <row r="255">
      <c r="A255" s="17" t="inlineStr">
        <is>
          <t>ASS-0252</t>
        </is>
      </c>
      <c r="B255" s="16" t="n"/>
      <c r="C255" s="16" t="n"/>
      <c r="D255" s="16" t="n"/>
      <c r="E255" s="16" t="n"/>
      <c r="F255" s="16" t="n"/>
      <c r="G255" s="16" t="n"/>
      <c r="H255" s="16" t="n"/>
      <c r="I255" s="16" t="n"/>
      <c r="J255" s="16" t="n"/>
      <c r="K255" s="16" t="n"/>
      <c r="L255" s="16" t="n"/>
      <c r="M255" s="16" t="n"/>
      <c r="N255" s="16" t="n"/>
    </row>
    <row r="256">
      <c r="A256" s="17" t="inlineStr">
        <is>
          <t>ASS-0253</t>
        </is>
      </c>
      <c r="B256" s="16" t="n"/>
      <c r="C256" s="16" t="n"/>
      <c r="D256" s="16" t="n"/>
      <c r="E256" s="16" t="n"/>
      <c r="F256" s="16" t="n"/>
      <c r="G256" s="16" t="n"/>
      <c r="H256" s="16" t="n"/>
      <c r="I256" s="16" t="n"/>
      <c r="J256" s="16" t="n"/>
      <c r="K256" s="16" t="n"/>
      <c r="L256" s="16" t="n"/>
      <c r="M256" s="16" t="n"/>
      <c r="N256" s="16" t="n"/>
    </row>
    <row r="257">
      <c r="A257" s="17" t="inlineStr">
        <is>
          <t>ASS-0254</t>
        </is>
      </c>
      <c r="B257" s="16" t="n"/>
      <c r="C257" s="16" t="n"/>
      <c r="D257" s="16" t="n"/>
      <c r="E257" s="16" t="n"/>
      <c r="F257" s="16" t="n"/>
      <c r="G257" s="16" t="n"/>
      <c r="H257" s="16" t="n"/>
      <c r="I257" s="16" t="n"/>
      <c r="J257" s="16" t="n"/>
      <c r="K257" s="16" t="n"/>
      <c r="L257" s="16" t="n"/>
      <c r="M257" s="16" t="n"/>
      <c r="N257" s="16" t="n"/>
    </row>
    <row r="258">
      <c r="A258" s="17" t="inlineStr">
        <is>
          <t>ASS-0255</t>
        </is>
      </c>
      <c r="B258" s="16" t="n"/>
      <c r="C258" s="16" t="n"/>
      <c r="D258" s="16" t="n"/>
      <c r="E258" s="16" t="n"/>
      <c r="F258" s="16" t="n"/>
      <c r="G258" s="16" t="n"/>
      <c r="H258" s="16" t="n"/>
      <c r="I258" s="16" t="n"/>
      <c r="J258" s="16" t="n"/>
      <c r="K258" s="16" t="n"/>
      <c r="L258" s="16" t="n"/>
      <c r="M258" s="16" t="n"/>
      <c r="N258" s="16" t="n"/>
    </row>
    <row r="259">
      <c r="A259" s="17" t="inlineStr">
        <is>
          <t>ASS-0256</t>
        </is>
      </c>
      <c r="B259" s="16" t="n"/>
      <c r="C259" s="16" t="n"/>
      <c r="D259" s="16" t="n"/>
      <c r="E259" s="16" t="n"/>
      <c r="F259" s="16" t="n"/>
      <c r="G259" s="16" t="n"/>
      <c r="H259" s="16" t="n"/>
      <c r="I259" s="16" t="n"/>
      <c r="J259" s="16" t="n"/>
      <c r="K259" s="16" t="n"/>
      <c r="L259" s="16" t="n"/>
      <c r="M259" s="16" t="n"/>
      <c r="N259" s="16" t="n"/>
    </row>
    <row r="260">
      <c r="A260" s="17" t="inlineStr">
        <is>
          <t>ASS-0257</t>
        </is>
      </c>
      <c r="B260" s="16" t="n"/>
      <c r="C260" s="16" t="n"/>
      <c r="D260" s="16" t="n"/>
      <c r="E260" s="16" t="n"/>
      <c r="F260" s="16" t="n"/>
      <c r="G260" s="16" t="n"/>
      <c r="H260" s="16" t="n"/>
      <c r="I260" s="16" t="n"/>
      <c r="J260" s="16" t="n"/>
      <c r="K260" s="16" t="n"/>
      <c r="L260" s="16" t="n"/>
      <c r="M260" s="16" t="n"/>
      <c r="N260" s="16" t="n"/>
    </row>
    <row r="261">
      <c r="A261" s="17" t="inlineStr">
        <is>
          <t>ASS-0258</t>
        </is>
      </c>
      <c r="B261" s="16" t="n"/>
      <c r="C261" s="16" t="n"/>
      <c r="D261" s="16" t="n"/>
      <c r="E261" s="16" t="n"/>
      <c r="F261" s="16" t="n"/>
      <c r="G261" s="16" t="n"/>
      <c r="H261" s="16" t="n"/>
      <c r="I261" s="16" t="n"/>
      <c r="J261" s="16" t="n"/>
      <c r="K261" s="16" t="n"/>
      <c r="L261" s="16" t="n"/>
      <c r="M261" s="16" t="n"/>
      <c r="N261" s="16" t="n"/>
    </row>
    <row r="262">
      <c r="A262" s="17" t="inlineStr">
        <is>
          <t>ASS-0259</t>
        </is>
      </c>
      <c r="B262" s="16" t="n"/>
      <c r="C262" s="16" t="n"/>
      <c r="D262" s="16" t="n"/>
      <c r="E262" s="16" t="n"/>
      <c r="F262" s="16" t="n"/>
      <c r="G262" s="16" t="n"/>
      <c r="H262" s="16" t="n"/>
      <c r="I262" s="16" t="n"/>
      <c r="J262" s="16" t="n"/>
      <c r="K262" s="16" t="n"/>
      <c r="L262" s="16" t="n"/>
      <c r="M262" s="16" t="n"/>
      <c r="N262" s="16" t="n"/>
    </row>
    <row r="263">
      <c r="A263" s="17" t="inlineStr">
        <is>
          <t>ASS-0260</t>
        </is>
      </c>
      <c r="B263" s="16" t="n"/>
      <c r="C263" s="16" t="n"/>
      <c r="D263" s="16" t="n"/>
      <c r="E263" s="16" t="n"/>
      <c r="F263" s="16" t="n"/>
      <c r="G263" s="16" t="n"/>
      <c r="H263" s="16" t="n"/>
      <c r="I263" s="16" t="n"/>
      <c r="J263" s="16" t="n"/>
      <c r="K263" s="16" t="n"/>
      <c r="L263" s="16" t="n"/>
      <c r="M263" s="16" t="n"/>
      <c r="N263" s="16" t="n"/>
    </row>
    <row r="264">
      <c r="A264" s="17" t="inlineStr">
        <is>
          <t>ASS-0261</t>
        </is>
      </c>
      <c r="B264" s="16" t="n"/>
      <c r="C264" s="16" t="n"/>
      <c r="D264" s="16" t="n"/>
      <c r="E264" s="16" t="n"/>
      <c r="F264" s="16" t="n"/>
      <c r="G264" s="16" t="n"/>
      <c r="H264" s="16" t="n"/>
      <c r="I264" s="16" t="n"/>
      <c r="J264" s="16" t="n"/>
      <c r="K264" s="16" t="n"/>
      <c r="L264" s="16" t="n"/>
      <c r="M264" s="16" t="n"/>
      <c r="N264" s="16" t="n"/>
    </row>
    <row r="265">
      <c r="A265" s="17" t="inlineStr">
        <is>
          <t>ASS-0262</t>
        </is>
      </c>
      <c r="B265" s="16" t="n"/>
      <c r="C265" s="16" t="n"/>
      <c r="D265" s="16" t="n"/>
      <c r="E265" s="16" t="n"/>
      <c r="F265" s="16" t="n"/>
      <c r="G265" s="16" t="n"/>
      <c r="H265" s="16" t="n"/>
      <c r="I265" s="16" t="n"/>
      <c r="J265" s="16" t="n"/>
      <c r="K265" s="16" t="n"/>
      <c r="L265" s="16" t="n"/>
      <c r="M265" s="16" t="n"/>
      <c r="N265" s="16" t="n"/>
    </row>
    <row r="266">
      <c r="A266" s="17" t="inlineStr">
        <is>
          <t>ASS-0263</t>
        </is>
      </c>
      <c r="B266" s="16" t="n"/>
      <c r="C266" s="16" t="n"/>
      <c r="D266" s="16" t="n"/>
      <c r="E266" s="16" t="n"/>
      <c r="F266" s="16" t="n"/>
      <c r="G266" s="16" t="n"/>
      <c r="H266" s="16" t="n"/>
      <c r="I266" s="16" t="n"/>
      <c r="J266" s="16" t="n"/>
      <c r="K266" s="16" t="n"/>
      <c r="L266" s="16" t="n"/>
      <c r="M266" s="16" t="n"/>
      <c r="N266" s="16" t="n"/>
    </row>
    <row r="267">
      <c r="A267" s="17" t="inlineStr">
        <is>
          <t>ASS-0264</t>
        </is>
      </c>
      <c r="B267" s="16" t="n"/>
      <c r="C267" s="16" t="n"/>
      <c r="D267" s="16" t="n"/>
      <c r="E267" s="16" t="n"/>
      <c r="F267" s="16" t="n"/>
      <c r="G267" s="16" t="n"/>
      <c r="H267" s="16" t="n"/>
      <c r="I267" s="16" t="n"/>
      <c r="J267" s="16" t="n"/>
      <c r="K267" s="16" t="n"/>
      <c r="L267" s="16" t="n"/>
      <c r="M267" s="16" t="n"/>
      <c r="N267" s="16" t="n"/>
    </row>
    <row r="268">
      <c r="A268" s="17" t="inlineStr">
        <is>
          <t>ASS-0265</t>
        </is>
      </c>
      <c r="B268" s="16" t="n"/>
      <c r="C268" s="16" t="n"/>
      <c r="D268" s="16" t="n"/>
      <c r="E268" s="16" t="n"/>
      <c r="F268" s="16" t="n"/>
      <c r="G268" s="16" t="n"/>
      <c r="H268" s="16" t="n"/>
      <c r="I268" s="16" t="n"/>
      <c r="J268" s="16" t="n"/>
      <c r="K268" s="16" t="n"/>
      <c r="L268" s="16" t="n"/>
      <c r="M268" s="16" t="n"/>
      <c r="N268" s="16" t="n"/>
    </row>
    <row r="269">
      <c r="A269" s="17" t="inlineStr">
        <is>
          <t>ASS-0266</t>
        </is>
      </c>
      <c r="B269" s="16" t="n"/>
      <c r="C269" s="16" t="n"/>
      <c r="D269" s="16" t="n"/>
      <c r="E269" s="16" t="n"/>
      <c r="F269" s="16" t="n"/>
      <c r="G269" s="16" t="n"/>
      <c r="H269" s="16" t="n"/>
      <c r="I269" s="16" t="n"/>
      <c r="J269" s="16" t="n"/>
      <c r="K269" s="16" t="n"/>
      <c r="L269" s="16" t="n"/>
      <c r="M269" s="16" t="n"/>
      <c r="N269" s="16" t="n"/>
    </row>
    <row r="270">
      <c r="A270" s="17" t="inlineStr">
        <is>
          <t>ASS-0267</t>
        </is>
      </c>
      <c r="B270" s="16" t="n"/>
      <c r="C270" s="16" t="n"/>
      <c r="D270" s="16" t="n"/>
      <c r="E270" s="16" t="n"/>
      <c r="F270" s="16" t="n"/>
      <c r="G270" s="16" t="n"/>
      <c r="H270" s="16" t="n"/>
      <c r="I270" s="16" t="n"/>
      <c r="J270" s="16" t="n"/>
      <c r="K270" s="16" t="n"/>
      <c r="L270" s="16" t="n"/>
      <c r="M270" s="16" t="n"/>
      <c r="N270" s="16" t="n"/>
    </row>
    <row r="271">
      <c r="A271" s="17" t="inlineStr">
        <is>
          <t>ASS-0268</t>
        </is>
      </c>
      <c r="B271" s="16" t="n"/>
      <c r="C271" s="16" t="n"/>
      <c r="D271" s="16" t="n"/>
      <c r="E271" s="16" t="n"/>
      <c r="F271" s="16" t="n"/>
      <c r="G271" s="16" t="n"/>
      <c r="H271" s="16" t="n"/>
      <c r="I271" s="16" t="n"/>
      <c r="J271" s="16" t="n"/>
      <c r="K271" s="16" t="n"/>
      <c r="L271" s="16" t="n"/>
      <c r="M271" s="16" t="n"/>
      <c r="N271" s="16" t="n"/>
    </row>
    <row r="272">
      <c r="A272" s="17" t="inlineStr">
        <is>
          <t>ASS-0269</t>
        </is>
      </c>
      <c r="B272" s="16" t="n"/>
      <c r="C272" s="16" t="n"/>
      <c r="D272" s="16" t="n"/>
      <c r="E272" s="16" t="n"/>
      <c r="F272" s="16" t="n"/>
      <c r="G272" s="16" t="n"/>
      <c r="H272" s="16" t="n"/>
      <c r="I272" s="16" t="n"/>
      <c r="J272" s="16" t="n"/>
      <c r="K272" s="16" t="n"/>
      <c r="L272" s="16" t="n"/>
      <c r="M272" s="16" t="n"/>
      <c r="N272" s="16" t="n"/>
    </row>
    <row r="273">
      <c r="A273" s="17" t="inlineStr">
        <is>
          <t>ASS-0270</t>
        </is>
      </c>
      <c r="B273" s="16" t="n"/>
      <c r="C273" s="16" t="n"/>
      <c r="D273" s="16" t="n"/>
      <c r="E273" s="16" t="n"/>
      <c r="F273" s="16" t="n"/>
      <c r="G273" s="16" t="n"/>
      <c r="H273" s="16" t="n"/>
      <c r="I273" s="16" t="n"/>
      <c r="J273" s="16" t="n"/>
      <c r="K273" s="16" t="n"/>
      <c r="L273" s="16" t="n"/>
      <c r="M273" s="16" t="n"/>
      <c r="N273" s="16" t="n"/>
    </row>
    <row r="274">
      <c r="A274" s="17" t="inlineStr">
        <is>
          <t>ASS-0271</t>
        </is>
      </c>
      <c r="B274" s="16" t="n"/>
      <c r="C274" s="16" t="n"/>
      <c r="D274" s="16" t="n"/>
      <c r="E274" s="16" t="n"/>
      <c r="F274" s="16" t="n"/>
      <c r="G274" s="16" t="n"/>
      <c r="H274" s="16" t="n"/>
      <c r="I274" s="16" t="n"/>
      <c r="J274" s="16" t="n"/>
      <c r="K274" s="16" t="n"/>
      <c r="L274" s="16" t="n"/>
      <c r="M274" s="16" t="n"/>
      <c r="N274" s="16" t="n"/>
    </row>
    <row r="275">
      <c r="A275" s="17" t="inlineStr">
        <is>
          <t>ASS-0272</t>
        </is>
      </c>
      <c r="B275" s="16" t="n"/>
      <c r="C275" s="16" t="n"/>
      <c r="D275" s="16" t="n"/>
      <c r="E275" s="16" t="n"/>
      <c r="F275" s="16" t="n"/>
      <c r="G275" s="16" t="n"/>
      <c r="H275" s="16" t="n"/>
      <c r="I275" s="16" t="n"/>
      <c r="J275" s="16" t="n"/>
      <c r="K275" s="16" t="n"/>
      <c r="L275" s="16" t="n"/>
      <c r="M275" s="16" t="n"/>
      <c r="N275" s="16" t="n"/>
    </row>
    <row r="276">
      <c r="A276" s="17" t="inlineStr">
        <is>
          <t>ASS-0273</t>
        </is>
      </c>
      <c r="B276" s="16" t="n"/>
      <c r="C276" s="16" t="n"/>
      <c r="D276" s="16" t="n"/>
      <c r="E276" s="16" t="n"/>
      <c r="F276" s="16" t="n"/>
      <c r="G276" s="16" t="n"/>
      <c r="H276" s="16" t="n"/>
      <c r="I276" s="16" t="n"/>
      <c r="J276" s="16" t="n"/>
      <c r="K276" s="16" t="n"/>
      <c r="L276" s="16" t="n"/>
      <c r="M276" s="16" t="n"/>
      <c r="N276" s="16" t="n"/>
    </row>
    <row r="277">
      <c r="A277" s="17" t="inlineStr">
        <is>
          <t>ASS-0274</t>
        </is>
      </c>
      <c r="B277" s="16" t="n"/>
      <c r="C277" s="16" t="n"/>
      <c r="D277" s="16" t="n"/>
      <c r="E277" s="16" t="n"/>
      <c r="F277" s="16" t="n"/>
      <c r="G277" s="16" t="n"/>
      <c r="H277" s="16" t="n"/>
      <c r="I277" s="16" t="n"/>
      <c r="J277" s="16" t="n"/>
      <c r="K277" s="16" t="n"/>
      <c r="L277" s="16" t="n"/>
      <c r="M277" s="16" t="n"/>
      <c r="N277" s="16" t="n"/>
    </row>
    <row r="278">
      <c r="A278" s="17" t="inlineStr">
        <is>
          <t>ASS-0275</t>
        </is>
      </c>
      <c r="B278" s="16" t="n"/>
      <c r="C278" s="16" t="n"/>
      <c r="D278" s="16" t="n"/>
      <c r="E278" s="16" t="n"/>
      <c r="F278" s="16" t="n"/>
      <c r="G278" s="16" t="n"/>
      <c r="H278" s="16" t="n"/>
      <c r="I278" s="16" t="n"/>
      <c r="J278" s="16" t="n"/>
      <c r="K278" s="16" t="n"/>
      <c r="L278" s="16" t="n"/>
      <c r="M278" s="16" t="n"/>
      <c r="N278" s="16" t="n"/>
    </row>
    <row r="279">
      <c r="A279" s="17" t="inlineStr">
        <is>
          <t>ASS-0276</t>
        </is>
      </c>
      <c r="B279" s="16" t="n"/>
      <c r="C279" s="16" t="n"/>
      <c r="D279" s="16" t="n"/>
      <c r="E279" s="16" t="n"/>
      <c r="F279" s="16" t="n"/>
      <c r="G279" s="16" t="n"/>
      <c r="H279" s="16" t="n"/>
      <c r="I279" s="16" t="n"/>
      <c r="J279" s="16" t="n"/>
      <c r="K279" s="16" t="n"/>
      <c r="L279" s="16" t="n"/>
      <c r="M279" s="16" t="n"/>
      <c r="N279" s="16" t="n"/>
    </row>
    <row r="280">
      <c r="A280" s="17" t="inlineStr">
        <is>
          <t>ASS-0277</t>
        </is>
      </c>
      <c r="B280" s="16" t="n"/>
      <c r="C280" s="16" t="n"/>
      <c r="D280" s="16" t="n"/>
      <c r="E280" s="16" t="n"/>
      <c r="F280" s="16" t="n"/>
      <c r="G280" s="16" t="n"/>
      <c r="H280" s="16" t="n"/>
      <c r="I280" s="16" t="n"/>
      <c r="J280" s="16" t="n"/>
      <c r="K280" s="16" t="n"/>
      <c r="L280" s="16" t="n"/>
      <c r="M280" s="16" t="n"/>
      <c r="N280" s="16" t="n"/>
    </row>
    <row r="281">
      <c r="A281" s="17" t="inlineStr">
        <is>
          <t>ASS-0278</t>
        </is>
      </c>
      <c r="B281" s="16" t="n"/>
      <c r="C281" s="16" t="n"/>
      <c r="D281" s="16" t="n"/>
      <c r="E281" s="16" t="n"/>
      <c r="F281" s="16" t="n"/>
      <c r="G281" s="16" t="n"/>
      <c r="H281" s="16" t="n"/>
      <c r="I281" s="16" t="n"/>
      <c r="J281" s="16" t="n"/>
      <c r="K281" s="16" t="n"/>
      <c r="L281" s="16" t="n"/>
      <c r="M281" s="16" t="n"/>
      <c r="N281" s="16" t="n"/>
    </row>
    <row r="282">
      <c r="A282" s="17" t="inlineStr">
        <is>
          <t>ASS-0279</t>
        </is>
      </c>
      <c r="B282" s="16" t="n"/>
      <c r="C282" s="16" t="n"/>
      <c r="D282" s="16" t="n"/>
      <c r="E282" s="16" t="n"/>
      <c r="F282" s="16" t="n"/>
      <c r="G282" s="16" t="n"/>
      <c r="H282" s="16" t="n"/>
      <c r="I282" s="16" t="n"/>
      <c r="J282" s="16" t="n"/>
      <c r="K282" s="16" t="n"/>
      <c r="L282" s="16" t="n"/>
      <c r="M282" s="16" t="n"/>
      <c r="N282" s="16" t="n"/>
    </row>
    <row r="283">
      <c r="A283" s="17" t="inlineStr">
        <is>
          <t>ASS-0280</t>
        </is>
      </c>
      <c r="B283" s="16" t="n"/>
      <c r="C283" s="16" t="n"/>
      <c r="D283" s="16" t="n"/>
      <c r="E283" s="16" t="n"/>
      <c r="F283" s="16" t="n"/>
      <c r="G283" s="16" t="n"/>
      <c r="H283" s="16" t="n"/>
      <c r="I283" s="16" t="n"/>
      <c r="J283" s="16" t="n"/>
      <c r="K283" s="16" t="n"/>
      <c r="L283" s="16" t="n"/>
      <c r="M283" s="16" t="n"/>
      <c r="N283" s="16" t="n"/>
    </row>
    <row r="284">
      <c r="A284" s="17" t="inlineStr">
        <is>
          <t>ASS-0281</t>
        </is>
      </c>
      <c r="B284" s="16" t="n"/>
      <c r="C284" s="16" t="n"/>
      <c r="D284" s="16" t="n"/>
      <c r="E284" s="16" t="n"/>
      <c r="F284" s="16" t="n"/>
      <c r="G284" s="16" t="n"/>
      <c r="H284" s="16" t="n"/>
      <c r="I284" s="16" t="n"/>
      <c r="J284" s="16" t="n"/>
      <c r="K284" s="16" t="n"/>
      <c r="L284" s="16" t="n"/>
      <c r="M284" s="16" t="n"/>
      <c r="N284" s="16" t="n"/>
    </row>
    <row r="285">
      <c r="A285" s="17" t="inlineStr">
        <is>
          <t>ASS-0282</t>
        </is>
      </c>
      <c r="B285" s="16" t="n"/>
      <c r="C285" s="16" t="n"/>
      <c r="D285" s="16" t="n"/>
      <c r="E285" s="16" t="n"/>
      <c r="F285" s="16" t="n"/>
      <c r="G285" s="16" t="n"/>
      <c r="H285" s="16" t="n"/>
      <c r="I285" s="16" t="n"/>
      <c r="J285" s="16" t="n"/>
      <c r="K285" s="16" t="n"/>
      <c r="L285" s="16" t="n"/>
      <c r="M285" s="16" t="n"/>
      <c r="N285" s="16" t="n"/>
    </row>
    <row r="286">
      <c r="A286" s="17" t="inlineStr">
        <is>
          <t>ASS-0283</t>
        </is>
      </c>
      <c r="B286" s="16" t="n"/>
      <c r="C286" s="16" t="n"/>
      <c r="D286" s="16" t="n"/>
      <c r="E286" s="16" t="n"/>
      <c r="F286" s="16" t="n"/>
      <c r="G286" s="16" t="n"/>
      <c r="H286" s="16" t="n"/>
      <c r="I286" s="16" t="n"/>
      <c r="J286" s="16" t="n"/>
      <c r="K286" s="16" t="n"/>
      <c r="L286" s="16" t="n"/>
      <c r="M286" s="16" t="n"/>
      <c r="N286" s="16" t="n"/>
    </row>
    <row r="287">
      <c r="A287" s="17" t="inlineStr">
        <is>
          <t>ASS-0284</t>
        </is>
      </c>
      <c r="B287" s="16" t="n"/>
      <c r="C287" s="16" t="n"/>
      <c r="D287" s="16" t="n"/>
      <c r="E287" s="16" t="n"/>
      <c r="F287" s="16" t="n"/>
      <c r="G287" s="16" t="n"/>
      <c r="H287" s="16" t="n"/>
      <c r="I287" s="16" t="n"/>
      <c r="J287" s="16" t="n"/>
      <c r="K287" s="16" t="n"/>
      <c r="L287" s="16" t="n"/>
      <c r="M287" s="16" t="n"/>
      <c r="N287" s="16" t="n"/>
    </row>
    <row r="288">
      <c r="A288" s="17" t="inlineStr">
        <is>
          <t>ASS-0285</t>
        </is>
      </c>
      <c r="B288" s="16" t="n"/>
      <c r="C288" s="16" t="n"/>
      <c r="D288" s="16" t="n"/>
      <c r="E288" s="16" t="n"/>
      <c r="F288" s="16" t="n"/>
      <c r="G288" s="16" t="n"/>
      <c r="H288" s="16" t="n"/>
      <c r="I288" s="16" t="n"/>
      <c r="J288" s="16" t="n"/>
      <c r="K288" s="16" t="n"/>
      <c r="L288" s="16" t="n"/>
      <c r="M288" s="16" t="n"/>
      <c r="N288" s="16" t="n"/>
    </row>
    <row r="289">
      <c r="A289" s="17" t="inlineStr">
        <is>
          <t>ASS-0286</t>
        </is>
      </c>
      <c r="B289" s="16" t="n"/>
      <c r="C289" s="16" t="n"/>
      <c r="D289" s="16" t="n"/>
      <c r="E289" s="16" t="n"/>
      <c r="F289" s="16" t="n"/>
      <c r="G289" s="16" t="n"/>
      <c r="H289" s="16" t="n"/>
      <c r="I289" s="16" t="n"/>
      <c r="J289" s="16" t="n"/>
      <c r="K289" s="16" t="n"/>
      <c r="L289" s="16" t="n"/>
      <c r="M289" s="16" t="n"/>
      <c r="N289" s="16" t="n"/>
    </row>
    <row r="290">
      <c r="A290" s="17" t="inlineStr">
        <is>
          <t>ASS-0287</t>
        </is>
      </c>
      <c r="B290" s="16" t="n"/>
      <c r="C290" s="16" t="n"/>
      <c r="D290" s="16" t="n"/>
      <c r="E290" s="16" t="n"/>
      <c r="F290" s="16" t="n"/>
      <c r="G290" s="16" t="n"/>
      <c r="H290" s="16" t="n"/>
      <c r="I290" s="16" t="n"/>
      <c r="J290" s="16" t="n"/>
      <c r="K290" s="16" t="n"/>
      <c r="L290" s="16" t="n"/>
      <c r="M290" s="16" t="n"/>
      <c r="N290" s="16" t="n"/>
    </row>
    <row r="291">
      <c r="A291" s="17" t="inlineStr">
        <is>
          <t>ASS-0288</t>
        </is>
      </c>
      <c r="B291" s="16" t="n"/>
      <c r="C291" s="16" t="n"/>
      <c r="D291" s="16" t="n"/>
      <c r="E291" s="16" t="n"/>
      <c r="F291" s="16" t="n"/>
      <c r="G291" s="16" t="n"/>
      <c r="H291" s="16" t="n"/>
      <c r="I291" s="16" t="n"/>
      <c r="J291" s="16" t="n"/>
      <c r="K291" s="16" t="n"/>
      <c r="L291" s="16" t="n"/>
      <c r="M291" s="16" t="n"/>
      <c r="N291" s="16" t="n"/>
    </row>
    <row r="292">
      <c r="A292" s="17" t="inlineStr">
        <is>
          <t>ASS-0289</t>
        </is>
      </c>
      <c r="B292" s="16" t="n"/>
      <c r="C292" s="16" t="n"/>
      <c r="D292" s="16" t="n"/>
      <c r="E292" s="16" t="n"/>
      <c r="F292" s="16" t="n"/>
      <c r="G292" s="16" t="n"/>
      <c r="H292" s="16" t="n"/>
      <c r="I292" s="16" t="n"/>
      <c r="J292" s="16" t="n"/>
      <c r="K292" s="16" t="n"/>
      <c r="L292" s="16" t="n"/>
      <c r="M292" s="16" t="n"/>
      <c r="N292" s="16" t="n"/>
    </row>
    <row r="293">
      <c r="A293" s="17" t="inlineStr">
        <is>
          <t>ASS-0290</t>
        </is>
      </c>
      <c r="B293" s="16" t="n"/>
      <c r="C293" s="16" t="n"/>
      <c r="D293" s="16" t="n"/>
      <c r="E293" s="16" t="n"/>
      <c r="F293" s="16" t="n"/>
      <c r="G293" s="16" t="n"/>
      <c r="H293" s="16" t="n"/>
      <c r="I293" s="16" t="n"/>
      <c r="J293" s="16" t="n"/>
      <c r="K293" s="16" t="n"/>
      <c r="L293" s="16" t="n"/>
      <c r="M293" s="16" t="n"/>
      <c r="N293" s="16" t="n"/>
    </row>
    <row r="294">
      <c r="A294" s="17" t="inlineStr">
        <is>
          <t>ASS-0291</t>
        </is>
      </c>
      <c r="B294" s="16" t="n"/>
      <c r="C294" s="16" t="n"/>
      <c r="D294" s="16" t="n"/>
      <c r="E294" s="16" t="n"/>
      <c r="F294" s="16" t="n"/>
      <c r="G294" s="16" t="n"/>
      <c r="H294" s="16" t="n"/>
      <c r="I294" s="16" t="n"/>
      <c r="J294" s="16" t="n"/>
      <c r="K294" s="16" t="n"/>
      <c r="L294" s="16" t="n"/>
      <c r="M294" s="16" t="n"/>
      <c r="N294" s="16" t="n"/>
    </row>
    <row r="295">
      <c r="A295" s="17" t="inlineStr">
        <is>
          <t>ASS-0292</t>
        </is>
      </c>
      <c r="B295" s="16" t="n"/>
      <c r="C295" s="16" t="n"/>
      <c r="D295" s="16" t="n"/>
      <c r="E295" s="16" t="n"/>
      <c r="F295" s="16" t="n"/>
      <c r="G295" s="16" t="n"/>
      <c r="H295" s="16" t="n"/>
      <c r="I295" s="16" t="n"/>
      <c r="J295" s="16" t="n"/>
      <c r="K295" s="16" t="n"/>
      <c r="L295" s="16" t="n"/>
      <c r="M295" s="16" t="n"/>
      <c r="N295" s="16" t="n"/>
    </row>
    <row r="296">
      <c r="A296" s="17" t="inlineStr">
        <is>
          <t>ASS-0293</t>
        </is>
      </c>
      <c r="B296" s="16" t="n"/>
      <c r="C296" s="16" t="n"/>
      <c r="D296" s="16" t="n"/>
      <c r="E296" s="16" t="n"/>
      <c r="F296" s="16" t="n"/>
      <c r="G296" s="16" t="n"/>
      <c r="H296" s="16" t="n"/>
      <c r="I296" s="16" t="n"/>
      <c r="J296" s="16" t="n"/>
      <c r="K296" s="16" t="n"/>
      <c r="L296" s="16" t="n"/>
      <c r="M296" s="16" t="n"/>
      <c r="N296" s="16" t="n"/>
    </row>
    <row r="297">
      <c r="A297" s="17" t="inlineStr">
        <is>
          <t>ASS-0294</t>
        </is>
      </c>
      <c r="B297" s="16" t="n"/>
      <c r="C297" s="16" t="n"/>
      <c r="D297" s="16" t="n"/>
      <c r="E297" s="16" t="n"/>
      <c r="F297" s="16" t="n"/>
      <c r="G297" s="16" t="n"/>
      <c r="H297" s="16" t="n"/>
      <c r="I297" s="16" t="n"/>
      <c r="J297" s="16" t="n"/>
      <c r="K297" s="16" t="n"/>
      <c r="L297" s="16" t="n"/>
      <c r="M297" s="16" t="n"/>
      <c r="N297" s="16" t="n"/>
    </row>
    <row r="298">
      <c r="A298" s="17" t="inlineStr">
        <is>
          <t>ASS-0295</t>
        </is>
      </c>
      <c r="B298" s="16" t="n"/>
      <c r="C298" s="16" t="n"/>
      <c r="D298" s="16" t="n"/>
      <c r="E298" s="16" t="n"/>
      <c r="F298" s="16" t="n"/>
      <c r="G298" s="16" t="n"/>
      <c r="H298" s="16" t="n"/>
      <c r="I298" s="16" t="n"/>
      <c r="J298" s="16" t="n"/>
      <c r="K298" s="16" t="n"/>
      <c r="L298" s="16" t="n"/>
      <c r="M298" s="16" t="n"/>
      <c r="N298" s="16" t="n"/>
    </row>
    <row r="299">
      <c r="A299" s="17" t="inlineStr">
        <is>
          <t>ASS-0296</t>
        </is>
      </c>
      <c r="B299" s="16" t="n"/>
      <c r="C299" s="16" t="n"/>
      <c r="D299" s="16" t="n"/>
      <c r="E299" s="16" t="n"/>
      <c r="F299" s="16" t="n"/>
      <c r="G299" s="16" t="n"/>
      <c r="H299" s="16" t="n"/>
      <c r="I299" s="16" t="n"/>
      <c r="J299" s="16" t="n"/>
      <c r="K299" s="16" t="n"/>
      <c r="L299" s="16" t="n"/>
      <c r="M299" s="16" t="n"/>
      <c r="N299" s="16" t="n"/>
    </row>
    <row r="300">
      <c r="A300" s="17" t="inlineStr">
        <is>
          <t>ASS-0297</t>
        </is>
      </c>
      <c r="B300" s="16" t="n"/>
      <c r="C300" s="16" t="n"/>
      <c r="D300" s="16" t="n"/>
      <c r="E300" s="16" t="n"/>
      <c r="F300" s="16" t="n"/>
      <c r="G300" s="16" t="n"/>
      <c r="H300" s="16" t="n"/>
      <c r="I300" s="16" t="n"/>
      <c r="J300" s="16" t="n"/>
      <c r="K300" s="16" t="n"/>
      <c r="L300" s="16" t="n"/>
      <c r="M300" s="16" t="n"/>
      <c r="N300" s="16" t="n"/>
    </row>
    <row r="301">
      <c r="A301" s="17" t="inlineStr">
        <is>
          <t>ASS-0298</t>
        </is>
      </c>
      <c r="B301" s="16" t="n"/>
      <c r="C301" s="16" t="n"/>
      <c r="D301" s="16" t="n"/>
      <c r="E301" s="16" t="n"/>
      <c r="F301" s="16" t="n"/>
      <c r="G301" s="16" t="n"/>
      <c r="H301" s="16" t="n"/>
      <c r="I301" s="16" t="n"/>
      <c r="J301" s="16" t="n"/>
      <c r="K301" s="16" t="n"/>
      <c r="L301" s="16" t="n"/>
      <c r="M301" s="16" t="n"/>
      <c r="N301" s="16" t="n"/>
    </row>
    <row r="302">
      <c r="A302" s="17" t="inlineStr">
        <is>
          <t>ASS-0299</t>
        </is>
      </c>
      <c r="B302" s="16" t="n"/>
      <c r="C302" s="16" t="n"/>
      <c r="D302" s="16" t="n"/>
      <c r="E302" s="16" t="n"/>
      <c r="F302" s="16" t="n"/>
      <c r="G302" s="16" t="n"/>
      <c r="H302" s="16" t="n"/>
      <c r="I302" s="16" t="n"/>
      <c r="J302" s="16" t="n"/>
      <c r="K302" s="16" t="n"/>
      <c r="L302" s="16" t="n"/>
      <c r="M302" s="16" t="n"/>
      <c r="N302" s="16" t="n"/>
    </row>
    <row r="303">
      <c r="A303" s="17" t="inlineStr">
        <is>
          <t>ASS-0300</t>
        </is>
      </c>
      <c r="B303" s="16" t="n"/>
      <c r="C303" s="16" t="n"/>
      <c r="D303" s="16" t="n"/>
      <c r="E303" s="16" t="n"/>
      <c r="F303" s="16" t="n"/>
      <c r="G303" s="16" t="n"/>
      <c r="H303" s="16" t="n"/>
      <c r="I303" s="16" t="n"/>
      <c r="J303" s="16" t="n"/>
      <c r="K303" s="16" t="n"/>
      <c r="L303" s="16" t="n"/>
      <c r="M303" s="16" t="n"/>
      <c r="N303" s="16" t="n"/>
    </row>
    <row r="304">
      <c r="A304" s="17" t="inlineStr">
        <is>
          <t>ASS-0301</t>
        </is>
      </c>
      <c r="B304" s="16" t="n"/>
      <c r="C304" s="16" t="n"/>
      <c r="D304" s="16" t="n"/>
      <c r="E304" s="16" t="n"/>
      <c r="F304" s="16" t="n"/>
      <c r="G304" s="16" t="n"/>
      <c r="H304" s="16" t="n"/>
      <c r="I304" s="16" t="n"/>
      <c r="J304" s="16" t="n"/>
      <c r="K304" s="16" t="n"/>
      <c r="L304" s="16" t="n"/>
      <c r="M304" s="16" t="n"/>
      <c r="N304" s="16" t="n"/>
    </row>
    <row r="305">
      <c r="A305" s="17" t="inlineStr">
        <is>
          <t>ASS-0302</t>
        </is>
      </c>
      <c r="B305" s="16" t="n"/>
      <c r="C305" s="16" t="n"/>
      <c r="D305" s="16" t="n"/>
      <c r="E305" s="16" t="n"/>
      <c r="F305" s="16" t="n"/>
      <c r="G305" s="16" t="n"/>
      <c r="H305" s="16" t="n"/>
      <c r="I305" s="16" t="n"/>
      <c r="J305" s="16" t="n"/>
      <c r="K305" s="16" t="n"/>
      <c r="L305" s="16" t="n"/>
      <c r="M305" s="16" t="n"/>
      <c r="N305" s="16" t="n"/>
    </row>
    <row r="306">
      <c r="A306" s="17" t="inlineStr">
        <is>
          <t>ASS-0303</t>
        </is>
      </c>
      <c r="B306" s="16" t="n"/>
      <c r="C306" s="16" t="n"/>
      <c r="D306" s="16" t="n"/>
      <c r="E306" s="16" t="n"/>
      <c r="F306" s="16" t="n"/>
      <c r="G306" s="16" t="n"/>
      <c r="H306" s="16" t="n"/>
      <c r="I306" s="16" t="n"/>
      <c r="J306" s="16" t="n"/>
      <c r="K306" s="16" t="n"/>
      <c r="L306" s="16" t="n"/>
      <c r="M306" s="16" t="n"/>
      <c r="N306" s="16" t="n"/>
    </row>
    <row r="307">
      <c r="A307" s="17" t="inlineStr">
        <is>
          <t>ASS-0304</t>
        </is>
      </c>
      <c r="B307" s="16" t="n"/>
      <c r="C307" s="16" t="n"/>
      <c r="D307" s="16" t="n"/>
      <c r="E307" s="16" t="n"/>
      <c r="F307" s="16" t="n"/>
      <c r="G307" s="16" t="n"/>
      <c r="H307" s="16" t="n"/>
      <c r="I307" s="16" t="n"/>
      <c r="J307" s="16" t="n"/>
      <c r="K307" s="16" t="n"/>
      <c r="L307" s="16" t="n"/>
      <c r="M307" s="16" t="n"/>
      <c r="N307" s="16" t="n"/>
    </row>
    <row r="308">
      <c r="A308" s="17" t="inlineStr">
        <is>
          <t>ASS-0305</t>
        </is>
      </c>
      <c r="B308" s="16" t="n"/>
      <c r="C308" s="16" t="n"/>
      <c r="D308" s="16" t="n"/>
      <c r="E308" s="16" t="n"/>
      <c r="F308" s="16" t="n"/>
      <c r="G308" s="16" t="n"/>
      <c r="H308" s="16" t="n"/>
      <c r="I308" s="16" t="n"/>
      <c r="J308" s="16" t="n"/>
      <c r="K308" s="16" t="n"/>
      <c r="L308" s="16" t="n"/>
      <c r="M308" s="16" t="n"/>
      <c r="N308" s="16" t="n"/>
    </row>
    <row r="309">
      <c r="A309" s="17" t="inlineStr">
        <is>
          <t>ASS-0306</t>
        </is>
      </c>
      <c r="B309" s="16" t="n"/>
      <c r="C309" s="16" t="n"/>
      <c r="D309" s="16" t="n"/>
      <c r="E309" s="16" t="n"/>
      <c r="F309" s="16" t="n"/>
      <c r="G309" s="16" t="n"/>
      <c r="H309" s="16" t="n"/>
      <c r="I309" s="16" t="n"/>
      <c r="J309" s="16" t="n"/>
      <c r="K309" s="16" t="n"/>
      <c r="L309" s="16" t="n"/>
      <c r="M309" s="16" t="n"/>
      <c r="N309" s="16" t="n"/>
    </row>
    <row r="310">
      <c r="A310" s="17" t="inlineStr">
        <is>
          <t>ASS-0307</t>
        </is>
      </c>
      <c r="B310" s="16" t="n"/>
      <c r="C310" s="16" t="n"/>
      <c r="D310" s="16" t="n"/>
      <c r="E310" s="16" t="n"/>
      <c r="F310" s="16" t="n"/>
      <c r="G310" s="16" t="n"/>
      <c r="H310" s="16" t="n"/>
      <c r="I310" s="16" t="n"/>
      <c r="J310" s="16" t="n"/>
      <c r="K310" s="16" t="n"/>
      <c r="L310" s="16" t="n"/>
      <c r="M310" s="16" t="n"/>
      <c r="N310" s="16" t="n"/>
    </row>
    <row r="311">
      <c r="A311" s="17" t="inlineStr">
        <is>
          <t>ASS-0308</t>
        </is>
      </c>
      <c r="B311" s="16" t="n"/>
      <c r="C311" s="16" t="n"/>
      <c r="D311" s="16" t="n"/>
      <c r="E311" s="16" t="n"/>
      <c r="F311" s="16" t="n"/>
      <c r="G311" s="16" t="n"/>
      <c r="H311" s="16" t="n"/>
      <c r="I311" s="16" t="n"/>
      <c r="J311" s="16" t="n"/>
      <c r="K311" s="16" t="n"/>
      <c r="L311" s="16" t="n"/>
      <c r="M311" s="16" t="n"/>
      <c r="N311" s="16" t="n"/>
    </row>
    <row r="312">
      <c r="A312" s="17" t="inlineStr">
        <is>
          <t>ASS-0309</t>
        </is>
      </c>
      <c r="B312" s="16" t="n"/>
      <c r="C312" s="16" t="n"/>
      <c r="D312" s="16" t="n"/>
      <c r="E312" s="16" t="n"/>
      <c r="F312" s="16" t="n"/>
      <c r="G312" s="16" t="n"/>
      <c r="H312" s="16" t="n"/>
      <c r="I312" s="16" t="n"/>
      <c r="J312" s="16" t="n"/>
      <c r="K312" s="16" t="n"/>
      <c r="L312" s="16" t="n"/>
      <c r="M312" s="16" t="n"/>
      <c r="N312" s="16" t="n"/>
    </row>
    <row r="313">
      <c r="A313" s="17" t="inlineStr">
        <is>
          <t>ASS-0310</t>
        </is>
      </c>
      <c r="B313" s="16" t="n"/>
      <c r="C313" s="16" t="n"/>
      <c r="D313" s="16" t="n"/>
      <c r="E313" s="16" t="n"/>
      <c r="F313" s="16" t="n"/>
      <c r="G313" s="16" t="n"/>
      <c r="H313" s="16" t="n"/>
      <c r="I313" s="16" t="n"/>
      <c r="J313" s="16" t="n"/>
      <c r="K313" s="16" t="n"/>
      <c r="L313" s="16" t="n"/>
      <c r="M313" s="16" t="n"/>
      <c r="N313" s="16" t="n"/>
    </row>
    <row r="314">
      <c r="A314" s="17" t="inlineStr">
        <is>
          <t>ASS-0311</t>
        </is>
      </c>
      <c r="B314" s="16" t="n"/>
      <c r="C314" s="16" t="n"/>
      <c r="D314" s="16" t="n"/>
      <c r="E314" s="16" t="n"/>
      <c r="F314" s="16" t="n"/>
      <c r="G314" s="16" t="n"/>
      <c r="H314" s="16" t="n"/>
      <c r="I314" s="16" t="n"/>
      <c r="J314" s="16" t="n"/>
      <c r="K314" s="16" t="n"/>
      <c r="L314" s="16" t="n"/>
      <c r="M314" s="16" t="n"/>
      <c r="N314" s="16" t="n"/>
    </row>
    <row r="315">
      <c r="A315" s="17" t="inlineStr">
        <is>
          <t>ASS-0312</t>
        </is>
      </c>
      <c r="B315" s="16" t="n"/>
      <c r="C315" s="16" t="n"/>
      <c r="D315" s="16" t="n"/>
      <c r="E315" s="16" t="n"/>
      <c r="F315" s="16" t="n"/>
      <c r="G315" s="16" t="n"/>
      <c r="H315" s="16" t="n"/>
      <c r="I315" s="16" t="n"/>
      <c r="J315" s="16" t="n"/>
      <c r="K315" s="16" t="n"/>
      <c r="L315" s="16" t="n"/>
      <c r="M315" s="16" t="n"/>
      <c r="N315" s="16" t="n"/>
    </row>
    <row r="316">
      <c r="A316" s="17" t="inlineStr">
        <is>
          <t>ASS-0313</t>
        </is>
      </c>
      <c r="B316" s="16" t="n"/>
      <c r="C316" s="16" t="n"/>
      <c r="D316" s="16" t="n"/>
      <c r="E316" s="16" t="n"/>
      <c r="F316" s="16" t="n"/>
      <c r="G316" s="16" t="n"/>
      <c r="H316" s="16" t="n"/>
      <c r="I316" s="16" t="n"/>
      <c r="J316" s="16" t="n"/>
      <c r="K316" s="16" t="n"/>
      <c r="L316" s="16" t="n"/>
      <c r="M316" s="16" t="n"/>
      <c r="N316" s="16" t="n"/>
    </row>
    <row r="317">
      <c r="A317" s="17" t="inlineStr">
        <is>
          <t>ASS-0314</t>
        </is>
      </c>
      <c r="B317" s="16" t="n"/>
      <c r="C317" s="16" t="n"/>
      <c r="D317" s="16" t="n"/>
      <c r="E317" s="16" t="n"/>
      <c r="F317" s="16" t="n"/>
      <c r="G317" s="16" t="n"/>
      <c r="H317" s="16" t="n"/>
      <c r="I317" s="16" t="n"/>
      <c r="J317" s="16" t="n"/>
      <c r="K317" s="16" t="n"/>
      <c r="L317" s="16" t="n"/>
      <c r="M317" s="16" t="n"/>
      <c r="N317" s="16" t="n"/>
    </row>
    <row r="318">
      <c r="A318" s="17" t="inlineStr">
        <is>
          <t>ASS-0315</t>
        </is>
      </c>
      <c r="B318" s="16" t="n"/>
      <c r="C318" s="16" t="n"/>
      <c r="D318" s="16" t="n"/>
      <c r="E318" s="16" t="n"/>
      <c r="F318" s="16" t="n"/>
      <c r="G318" s="16" t="n"/>
      <c r="H318" s="16" t="n"/>
      <c r="I318" s="16" t="n"/>
      <c r="J318" s="16" t="n"/>
      <c r="K318" s="16" t="n"/>
      <c r="L318" s="16" t="n"/>
      <c r="M318" s="16" t="n"/>
      <c r="N318" s="16" t="n"/>
    </row>
    <row r="319">
      <c r="A319" s="17" t="inlineStr">
        <is>
          <t>ASS-0316</t>
        </is>
      </c>
      <c r="B319" s="16" t="n"/>
      <c r="C319" s="16" t="n"/>
      <c r="D319" s="16" t="n"/>
      <c r="E319" s="16" t="n"/>
      <c r="F319" s="16" t="n"/>
      <c r="G319" s="16" t="n"/>
      <c r="H319" s="16" t="n"/>
      <c r="I319" s="16" t="n"/>
      <c r="J319" s="16" t="n"/>
      <c r="K319" s="16" t="n"/>
      <c r="L319" s="16" t="n"/>
      <c r="M319" s="16" t="n"/>
      <c r="N319" s="16" t="n"/>
    </row>
    <row r="320">
      <c r="A320" s="17" t="inlineStr">
        <is>
          <t>ASS-0317</t>
        </is>
      </c>
      <c r="B320" s="16" t="n"/>
      <c r="C320" s="16" t="n"/>
      <c r="D320" s="16" t="n"/>
      <c r="E320" s="16" t="n"/>
      <c r="F320" s="16" t="n"/>
      <c r="G320" s="16" t="n"/>
      <c r="H320" s="16" t="n"/>
      <c r="I320" s="16" t="n"/>
      <c r="J320" s="16" t="n"/>
      <c r="K320" s="16" t="n"/>
      <c r="L320" s="16" t="n"/>
      <c r="M320" s="16" t="n"/>
      <c r="N320" s="16" t="n"/>
    </row>
    <row r="321">
      <c r="A321" s="17" t="inlineStr">
        <is>
          <t>ASS-0318</t>
        </is>
      </c>
      <c r="B321" s="16" t="n"/>
      <c r="C321" s="16" t="n"/>
      <c r="D321" s="16" t="n"/>
      <c r="E321" s="16" t="n"/>
      <c r="F321" s="16" t="n"/>
      <c r="G321" s="16" t="n"/>
      <c r="H321" s="16" t="n"/>
      <c r="I321" s="16" t="n"/>
      <c r="J321" s="16" t="n"/>
      <c r="K321" s="16" t="n"/>
      <c r="L321" s="16" t="n"/>
      <c r="M321" s="16" t="n"/>
      <c r="N321" s="16" t="n"/>
    </row>
    <row r="322">
      <c r="A322" s="17" t="inlineStr">
        <is>
          <t>ASS-0319</t>
        </is>
      </c>
      <c r="B322" s="16" t="n"/>
      <c r="C322" s="16" t="n"/>
      <c r="D322" s="16" t="n"/>
      <c r="E322" s="16" t="n"/>
      <c r="F322" s="16" t="n"/>
      <c r="G322" s="16" t="n"/>
      <c r="H322" s="16" t="n"/>
      <c r="I322" s="16" t="n"/>
      <c r="J322" s="16" t="n"/>
      <c r="K322" s="16" t="n"/>
      <c r="L322" s="16" t="n"/>
      <c r="M322" s="16" t="n"/>
      <c r="N322" s="16" t="n"/>
    </row>
    <row r="323">
      <c r="A323" s="17" t="inlineStr">
        <is>
          <t>ASS-0320</t>
        </is>
      </c>
      <c r="B323" s="16" t="n"/>
      <c r="C323" s="16" t="n"/>
      <c r="D323" s="16" t="n"/>
      <c r="E323" s="16" t="n"/>
      <c r="F323" s="16" t="n"/>
      <c r="G323" s="16" t="n"/>
      <c r="H323" s="16" t="n"/>
      <c r="I323" s="16" t="n"/>
      <c r="J323" s="16" t="n"/>
      <c r="K323" s="16" t="n"/>
      <c r="L323" s="16" t="n"/>
      <c r="M323" s="16" t="n"/>
      <c r="N323" s="16" t="n"/>
    </row>
    <row r="324">
      <c r="A324" s="17" t="inlineStr">
        <is>
          <t>ASS-0321</t>
        </is>
      </c>
      <c r="B324" s="16" t="n"/>
      <c r="C324" s="16" t="n"/>
      <c r="D324" s="16" t="n"/>
      <c r="E324" s="16" t="n"/>
      <c r="F324" s="16" t="n"/>
      <c r="G324" s="16" t="n"/>
      <c r="H324" s="16" t="n"/>
      <c r="I324" s="16" t="n"/>
      <c r="J324" s="16" t="n"/>
      <c r="K324" s="16" t="n"/>
      <c r="L324" s="16" t="n"/>
      <c r="M324" s="16" t="n"/>
      <c r="N324" s="16" t="n"/>
    </row>
    <row r="325">
      <c r="A325" s="17" t="inlineStr">
        <is>
          <t>ASS-0322</t>
        </is>
      </c>
      <c r="B325" s="16" t="n"/>
      <c r="C325" s="16" t="n"/>
      <c r="D325" s="16" t="n"/>
      <c r="E325" s="16" t="n"/>
      <c r="F325" s="16" t="n"/>
      <c r="G325" s="16" t="n"/>
      <c r="H325" s="16" t="n"/>
      <c r="I325" s="16" t="n"/>
      <c r="J325" s="16" t="n"/>
      <c r="K325" s="16" t="n"/>
      <c r="L325" s="16" t="n"/>
      <c r="M325" s="16" t="n"/>
      <c r="N325" s="16" t="n"/>
    </row>
    <row r="326">
      <c r="A326" s="17" t="inlineStr">
        <is>
          <t>ASS-0323</t>
        </is>
      </c>
      <c r="B326" s="16" t="n"/>
      <c r="C326" s="16" t="n"/>
      <c r="D326" s="16" t="n"/>
      <c r="E326" s="16" t="n"/>
      <c r="F326" s="16" t="n"/>
      <c r="G326" s="16" t="n"/>
      <c r="H326" s="16" t="n"/>
      <c r="I326" s="16" t="n"/>
      <c r="J326" s="16" t="n"/>
      <c r="K326" s="16" t="n"/>
      <c r="L326" s="16" t="n"/>
      <c r="M326" s="16" t="n"/>
      <c r="N326" s="16" t="n"/>
    </row>
    <row r="327">
      <c r="A327" s="17" t="inlineStr">
        <is>
          <t>ASS-0324</t>
        </is>
      </c>
      <c r="B327" s="16" t="n"/>
      <c r="C327" s="16" t="n"/>
      <c r="D327" s="16" t="n"/>
      <c r="E327" s="16" t="n"/>
      <c r="F327" s="16" t="n"/>
      <c r="G327" s="16" t="n"/>
      <c r="H327" s="16" t="n"/>
      <c r="I327" s="16" t="n"/>
      <c r="J327" s="16" t="n"/>
      <c r="K327" s="16" t="n"/>
      <c r="L327" s="16" t="n"/>
      <c r="M327" s="16" t="n"/>
      <c r="N327" s="16" t="n"/>
    </row>
    <row r="328">
      <c r="A328" s="17" t="inlineStr">
        <is>
          <t>ASS-0325</t>
        </is>
      </c>
      <c r="B328" s="16" t="n"/>
      <c r="C328" s="16" t="n"/>
      <c r="D328" s="16" t="n"/>
      <c r="E328" s="16" t="n"/>
      <c r="F328" s="16" t="n"/>
      <c r="G328" s="16" t="n"/>
      <c r="H328" s="16" t="n"/>
      <c r="I328" s="16" t="n"/>
      <c r="J328" s="16" t="n"/>
      <c r="K328" s="16" t="n"/>
      <c r="L328" s="16" t="n"/>
      <c r="M328" s="16" t="n"/>
      <c r="N328" s="16" t="n"/>
    </row>
    <row r="329">
      <c r="A329" s="17" t="inlineStr">
        <is>
          <t>ASS-0326</t>
        </is>
      </c>
      <c r="B329" s="16" t="n"/>
      <c r="C329" s="16" t="n"/>
      <c r="D329" s="16" t="n"/>
      <c r="E329" s="16" t="n"/>
      <c r="F329" s="16" t="n"/>
      <c r="G329" s="16" t="n"/>
      <c r="H329" s="16" t="n"/>
      <c r="I329" s="16" t="n"/>
      <c r="J329" s="16" t="n"/>
      <c r="K329" s="16" t="n"/>
      <c r="L329" s="16" t="n"/>
      <c r="M329" s="16" t="n"/>
      <c r="N329" s="16" t="n"/>
    </row>
    <row r="330">
      <c r="A330" s="17" t="inlineStr">
        <is>
          <t>ASS-0327</t>
        </is>
      </c>
      <c r="B330" s="16" t="n"/>
      <c r="C330" s="16" t="n"/>
      <c r="D330" s="16" t="n"/>
      <c r="E330" s="16" t="n"/>
      <c r="F330" s="16" t="n"/>
      <c r="G330" s="16" t="n"/>
      <c r="H330" s="16" t="n"/>
      <c r="I330" s="16" t="n"/>
      <c r="J330" s="16" t="n"/>
      <c r="K330" s="16" t="n"/>
      <c r="L330" s="16" t="n"/>
      <c r="M330" s="16" t="n"/>
      <c r="N330" s="16" t="n"/>
    </row>
    <row r="331">
      <c r="A331" s="17" t="inlineStr">
        <is>
          <t>ASS-0328</t>
        </is>
      </c>
      <c r="B331" s="16" t="n"/>
      <c r="C331" s="16" t="n"/>
      <c r="D331" s="16" t="n"/>
      <c r="E331" s="16" t="n"/>
      <c r="F331" s="16" t="n"/>
      <c r="G331" s="16" t="n"/>
      <c r="H331" s="16" t="n"/>
      <c r="I331" s="16" t="n"/>
      <c r="J331" s="16" t="n"/>
      <c r="K331" s="16" t="n"/>
      <c r="L331" s="16" t="n"/>
      <c r="M331" s="16" t="n"/>
      <c r="N331" s="16" t="n"/>
    </row>
    <row r="332">
      <c r="A332" s="17" t="inlineStr">
        <is>
          <t>ASS-0329</t>
        </is>
      </c>
      <c r="B332" s="16" t="n"/>
      <c r="C332" s="16" t="n"/>
      <c r="D332" s="16" t="n"/>
      <c r="E332" s="16" t="n"/>
      <c r="F332" s="16" t="n"/>
      <c r="G332" s="16" t="n"/>
      <c r="H332" s="16" t="n"/>
      <c r="I332" s="16" t="n"/>
      <c r="J332" s="16" t="n"/>
      <c r="K332" s="16" t="n"/>
      <c r="L332" s="16" t="n"/>
      <c r="M332" s="16" t="n"/>
      <c r="N332" s="16" t="n"/>
    </row>
    <row r="333">
      <c r="A333" s="17" t="inlineStr">
        <is>
          <t>ASS-0330</t>
        </is>
      </c>
      <c r="B333" s="16" t="n"/>
      <c r="C333" s="16" t="n"/>
      <c r="D333" s="16" t="n"/>
      <c r="E333" s="16" t="n"/>
      <c r="F333" s="16" t="n"/>
      <c r="G333" s="16" t="n"/>
      <c r="H333" s="16" t="n"/>
      <c r="I333" s="16" t="n"/>
      <c r="J333" s="16" t="n"/>
      <c r="K333" s="16" t="n"/>
      <c r="L333" s="16" t="n"/>
      <c r="M333" s="16" t="n"/>
      <c r="N333" s="16" t="n"/>
    </row>
    <row r="334">
      <c r="A334" s="17" t="inlineStr">
        <is>
          <t>ASS-0331</t>
        </is>
      </c>
      <c r="B334" s="16" t="n"/>
      <c r="C334" s="16" t="n"/>
      <c r="D334" s="16" t="n"/>
      <c r="E334" s="16" t="n"/>
      <c r="F334" s="16" t="n"/>
      <c r="G334" s="16" t="n"/>
      <c r="H334" s="16" t="n"/>
      <c r="I334" s="16" t="n"/>
      <c r="J334" s="16" t="n"/>
      <c r="K334" s="16" t="n"/>
      <c r="L334" s="16" t="n"/>
      <c r="M334" s="16" t="n"/>
      <c r="N334" s="16" t="n"/>
    </row>
    <row r="335">
      <c r="A335" s="17" t="inlineStr">
        <is>
          <t>ASS-0332</t>
        </is>
      </c>
      <c r="B335" s="16" t="n"/>
      <c r="C335" s="16" t="n"/>
      <c r="D335" s="16" t="n"/>
      <c r="E335" s="16" t="n"/>
      <c r="F335" s="16" t="n"/>
      <c r="G335" s="16" t="n"/>
      <c r="H335" s="16" t="n"/>
      <c r="I335" s="16" t="n"/>
      <c r="J335" s="16" t="n"/>
      <c r="K335" s="16" t="n"/>
      <c r="L335" s="16" t="n"/>
      <c r="M335" s="16" t="n"/>
      <c r="N335" s="16" t="n"/>
    </row>
    <row r="336">
      <c r="A336" s="17" t="inlineStr">
        <is>
          <t>ASS-0333</t>
        </is>
      </c>
      <c r="B336" s="16" t="n"/>
      <c r="C336" s="16" t="n"/>
      <c r="D336" s="16" t="n"/>
      <c r="E336" s="16" t="n"/>
      <c r="F336" s="16" t="n"/>
      <c r="G336" s="16" t="n"/>
      <c r="H336" s="16" t="n"/>
      <c r="I336" s="16" t="n"/>
      <c r="J336" s="16" t="n"/>
      <c r="K336" s="16" t="n"/>
      <c r="L336" s="16" t="n"/>
      <c r="M336" s="16" t="n"/>
      <c r="N336" s="16" t="n"/>
    </row>
    <row r="337">
      <c r="A337" s="17" t="inlineStr">
        <is>
          <t>ASS-0334</t>
        </is>
      </c>
      <c r="B337" s="16" t="n"/>
      <c r="C337" s="16" t="n"/>
      <c r="D337" s="16" t="n"/>
      <c r="E337" s="16" t="n"/>
      <c r="F337" s="16" t="n"/>
      <c r="G337" s="16" t="n"/>
      <c r="H337" s="16" t="n"/>
      <c r="I337" s="16" t="n"/>
      <c r="J337" s="16" t="n"/>
      <c r="K337" s="16" t="n"/>
      <c r="L337" s="16" t="n"/>
      <c r="M337" s="16" t="n"/>
      <c r="N337" s="16" t="n"/>
    </row>
    <row r="338">
      <c r="A338" s="17" t="inlineStr">
        <is>
          <t>ASS-0335</t>
        </is>
      </c>
      <c r="B338" s="16" t="n"/>
      <c r="C338" s="16" t="n"/>
      <c r="D338" s="16" t="n"/>
      <c r="E338" s="16" t="n"/>
      <c r="F338" s="16" t="n"/>
      <c r="G338" s="16" t="n"/>
      <c r="H338" s="16" t="n"/>
      <c r="I338" s="16" t="n"/>
      <c r="J338" s="16" t="n"/>
      <c r="K338" s="16" t="n"/>
      <c r="L338" s="16" t="n"/>
      <c r="M338" s="16" t="n"/>
      <c r="N338" s="16" t="n"/>
    </row>
    <row r="339">
      <c r="A339" s="17" t="inlineStr">
        <is>
          <t>ASS-0336</t>
        </is>
      </c>
      <c r="B339" s="16" t="n"/>
      <c r="C339" s="16" t="n"/>
      <c r="D339" s="16" t="n"/>
      <c r="E339" s="16" t="n"/>
      <c r="F339" s="16" t="n"/>
      <c r="G339" s="16" t="n"/>
      <c r="H339" s="16" t="n"/>
      <c r="I339" s="16" t="n"/>
      <c r="J339" s="16" t="n"/>
      <c r="K339" s="16" t="n"/>
      <c r="L339" s="16" t="n"/>
      <c r="M339" s="16" t="n"/>
      <c r="N339" s="16" t="n"/>
    </row>
    <row r="340">
      <c r="A340" s="17" t="inlineStr">
        <is>
          <t>ASS-0337</t>
        </is>
      </c>
      <c r="B340" s="16" t="n"/>
      <c r="C340" s="16" t="n"/>
      <c r="D340" s="16" t="n"/>
      <c r="E340" s="16" t="n"/>
      <c r="F340" s="16" t="n"/>
      <c r="G340" s="16" t="n"/>
      <c r="H340" s="16" t="n"/>
      <c r="I340" s="16" t="n"/>
      <c r="J340" s="16" t="n"/>
      <c r="K340" s="16" t="n"/>
      <c r="L340" s="16" t="n"/>
      <c r="M340" s="16" t="n"/>
      <c r="N340" s="16" t="n"/>
    </row>
    <row r="341">
      <c r="A341" s="17" t="inlineStr">
        <is>
          <t>ASS-0338</t>
        </is>
      </c>
      <c r="B341" s="16" t="n"/>
      <c r="C341" s="16" t="n"/>
      <c r="D341" s="16" t="n"/>
      <c r="E341" s="16" t="n"/>
      <c r="F341" s="16" t="n"/>
      <c r="G341" s="16" t="n"/>
      <c r="H341" s="16" t="n"/>
      <c r="I341" s="16" t="n"/>
      <c r="J341" s="16" t="n"/>
      <c r="K341" s="16" t="n"/>
      <c r="L341" s="16" t="n"/>
      <c r="M341" s="16" t="n"/>
      <c r="N341" s="16" t="n"/>
    </row>
    <row r="342">
      <c r="A342" s="17" t="inlineStr">
        <is>
          <t>ASS-0339</t>
        </is>
      </c>
      <c r="B342" s="16" t="n"/>
      <c r="C342" s="16" t="n"/>
      <c r="D342" s="16" t="n"/>
      <c r="E342" s="16" t="n"/>
      <c r="F342" s="16" t="n"/>
      <c r="G342" s="16" t="n"/>
      <c r="H342" s="16" t="n"/>
      <c r="I342" s="16" t="n"/>
      <c r="J342" s="16" t="n"/>
      <c r="K342" s="16" t="n"/>
      <c r="L342" s="16" t="n"/>
      <c r="M342" s="16" t="n"/>
      <c r="N342" s="16" t="n"/>
    </row>
    <row r="343">
      <c r="A343" s="17" t="inlineStr">
        <is>
          <t>ASS-0340</t>
        </is>
      </c>
      <c r="B343" s="16" t="n"/>
      <c r="C343" s="16" t="n"/>
      <c r="D343" s="16" t="n"/>
      <c r="E343" s="16" t="n"/>
      <c r="F343" s="16" t="n"/>
      <c r="G343" s="16" t="n"/>
      <c r="H343" s="16" t="n"/>
      <c r="I343" s="16" t="n"/>
      <c r="J343" s="16" t="n"/>
      <c r="K343" s="16" t="n"/>
      <c r="L343" s="16" t="n"/>
      <c r="M343" s="16" t="n"/>
      <c r="N343" s="16" t="n"/>
    </row>
    <row r="344">
      <c r="A344" s="17" t="inlineStr">
        <is>
          <t>ASS-0341</t>
        </is>
      </c>
      <c r="B344" s="16" t="n"/>
      <c r="C344" s="16" t="n"/>
      <c r="D344" s="16" t="n"/>
      <c r="E344" s="16" t="n"/>
      <c r="F344" s="16" t="n"/>
      <c r="G344" s="16" t="n"/>
      <c r="H344" s="16" t="n"/>
      <c r="I344" s="16" t="n"/>
      <c r="J344" s="16" t="n"/>
      <c r="K344" s="16" t="n"/>
      <c r="L344" s="16" t="n"/>
      <c r="M344" s="16" t="n"/>
      <c r="N344" s="16" t="n"/>
    </row>
    <row r="345">
      <c r="A345" s="17" t="inlineStr">
        <is>
          <t>ASS-0342</t>
        </is>
      </c>
      <c r="B345" s="16" t="n"/>
      <c r="C345" s="16" t="n"/>
      <c r="D345" s="16" t="n"/>
      <c r="E345" s="16" t="n"/>
      <c r="F345" s="16" t="n"/>
      <c r="G345" s="16" t="n"/>
      <c r="H345" s="16" t="n"/>
      <c r="I345" s="16" t="n"/>
      <c r="J345" s="16" t="n"/>
      <c r="K345" s="16" t="n"/>
      <c r="L345" s="16" t="n"/>
      <c r="M345" s="16" t="n"/>
      <c r="N345" s="16" t="n"/>
    </row>
    <row r="346">
      <c r="A346" s="17" t="inlineStr">
        <is>
          <t>ASS-0343</t>
        </is>
      </c>
      <c r="B346" s="16" t="n"/>
      <c r="C346" s="16" t="n"/>
      <c r="D346" s="16" t="n"/>
      <c r="E346" s="16" t="n"/>
      <c r="F346" s="16" t="n"/>
      <c r="G346" s="16" t="n"/>
      <c r="H346" s="16" t="n"/>
      <c r="I346" s="16" t="n"/>
      <c r="J346" s="16" t="n"/>
      <c r="K346" s="16" t="n"/>
      <c r="L346" s="16" t="n"/>
      <c r="M346" s="16" t="n"/>
      <c r="N346" s="16" t="n"/>
    </row>
    <row r="347">
      <c r="A347" s="17" t="inlineStr">
        <is>
          <t>ASS-0344</t>
        </is>
      </c>
      <c r="B347" s="16" t="n"/>
      <c r="C347" s="16" t="n"/>
      <c r="D347" s="16" t="n"/>
      <c r="E347" s="16" t="n"/>
      <c r="F347" s="16" t="n"/>
      <c r="G347" s="16" t="n"/>
      <c r="H347" s="16" t="n"/>
      <c r="I347" s="16" t="n"/>
      <c r="J347" s="16" t="n"/>
      <c r="K347" s="16" t="n"/>
      <c r="L347" s="16" t="n"/>
      <c r="M347" s="16" t="n"/>
      <c r="N347" s="16" t="n"/>
    </row>
    <row r="348">
      <c r="A348" s="17" t="inlineStr">
        <is>
          <t>ASS-0345</t>
        </is>
      </c>
      <c r="B348" s="16" t="n"/>
      <c r="C348" s="16" t="n"/>
      <c r="D348" s="16" t="n"/>
      <c r="E348" s="16" t="n"/>
      <c r="F348" s="16" t="n"/>
      <c r="G348" s="16" t="n"/>
      <c r="H348" s="16" t="n"/>
      <c r="I348" s="16" t="n"/>
      <c r="J348" s="16" t="n"/>
      <c r="K348" s="16" t="n"/>
      <c r="L348" s="16" t="n"/>
      <c r="M348" s="16" t="n"/>
      <c r="N348" s="16" t="n"/>
    </row>
    <row r="349">
      <c r="A349" s="17" t="inlineStr">
        <is>
          <t>ASS-0346</t>
        </is>
      </c>
      <c r="B349" s="16" t="n"/>
      <c r="C349" s="16" t="n"/>
      <c r="D349" s="16" t="n"/>
      <c r="E349" s="16" t="n"/>
      <c r="F349" s="16" t="n"/>
      <c r="G349" s="16" t="n"/>
      <c r="H349" s="16" t="n"/>
      <c r="I349" s="16" t="n"/>
      <c r="J349" s="16" t="n"/>
      <c r="K349" s="16" t="n"/>
      <c r="L349" s="16" t="n"/>
      <c r="M349" s="16" t="n"/>
      <c r="N349" s="16" t="n"/>
    </row>
    <row r="350">
      <c r="A350" s="17" t="inlineStr">
        <is>
          <t>ASS-0347</t>
        </is>
      </c>
      <c r="B350" s="16" t="n"/>
      <c r="C350" s="16" t="n"/>
      <c r="D350" s="16" t="n"/>
      <c r="E350" s="16" t="n"/>
      <c r="F350" s="16" t="n"/>
      <c r="G350" s="16" t="n"/>
      <c r="H350" s="16" t="n"/>
      <c r="I350" s="16" t="n"/>
      <c r="J350" s="16" t="n"/>
      <c r="K350" s="16" t="n"/>
      <c r="L350" s="16" t="n"/>
      <c r="M350" s="16" t="n"/>
      <c r="N350" s="16" t="n"/>
    </row>
    <row r="351">
      <c r="A351" s="17" t="inlineStr">
        <is>
          <t>ASS-0348</t>
        </is>
      </c>
      <c r="B351" s="16" t="n"/>
      <c r="C351" s="16" t="n"/>
      <c r="D351" s="16" t="n"/>
      <c r="E351" s="16" t="n"/>
      <c r="F351" s="16" t="n"/>
      <c r="G351" s="16" t="n"/>
      <c r="H351" s="16" t="n"/>
      <c r="I351" s="16" t="n"/>
      <c r="J351" s="16" t="n"/>
      <c r="K351" s="16" t="n"/>
      <c r="L351" s="16" t="n"/>
      <c r="M351" s="16" t="n"/>
      <c r="N351" s="16" t="n"/>
    </row>
    <row r="352">
      <c r="A352" s="17" t="inlineStr">
        <is>
          <t>ASS-0349</t>
        </is>
      </c>
      <c r="B352" s="16" t="n"/>
      <c r="C352" s="16" t="n"/>
      <c r="D352" s="16" t="n"/>
      <c r="E352" s="16" t="n"/>
      <c r="F352" s="16" t="n"/>
      <c r="G352" s="16" t="n"/>
      <c r="H352" s="16" t="n"/>
      <c r="I352" s="16" t="n"/>
      <c r="J352" s="16" t="n"/>
      <c r="K352" s="16" t="n"/>
      <c r="L352" s="16" t="n"/>
      <c r="M352" s="16" t="n"/>
      <c r="N352" s="16" t="n"/>
    </row>
    <row r="353">
      <c r="A353" s="17" t="inlineStr">
        <is>
          <t>ASS-0350</t>
        </is>
      </c>
      <c r="B353" s="16" t="n"/>
      <c r="C353" s="16" t="n"/>
      <c r="D353" s="16" t="n"/>
      <c r="E353" s="16" t="n"/>
      <c r="F353" s="16" t="n"/>
      <c r="G353" s="16" t="n"/>
      <c r="H353" s="16" t="n"/>
      <c r="I353" s="16" t="n"/>
      <c r="J353" s="16" t="n"/>
      <c r="K353" s="16" t="n"/>
      <c r="L353" s="16" t="n"/>
      <c r="M353" s="16" t="n"/>
      <c r="N353" s="16" t="n"/>
    </row>
    <row r="354">
      <c r="A354" s="17" t="inlineStr">
        <is>
          <t>ASS-0351</t>
        </is>
      </c>
      <c r="B354" s="16" t="n"/>
      <c r="C354" s="16" t="n"/>
      <c r="D354" s="16" t="n"/>
      <c r="E354" s="16" t="n"/>
      <c r="F354" s="16" t="n"/>
      <c r="G354" s="16" t="n"/>
      <c r="H354" s="16" t="n"/>
      <c r="I354" s="16" t="n"/>
      <c r="J354" s="16" t="n"/>
      <c r="K354" s="16" t="n"/>
      <c r="L354" s="16" t="n"/>
      <c r="M354" s="16" t="n"/>
      <c r="N354" s="16" t="n"/>
    </row>
    <row r="355">
      <c r="A355" s="17" t="inlineStr">
        <is>
          <t>ASS-0352</t>
        </is>
      </c>
      <c r="B355" s="16" t="n"/>
      <c r="C355" s="16" t="n"/>
      <c r="D355" s="16" t="n"/>
      <c r="E355" s="16" t="n"/>
      <c r="F355" s="16" t="n"/>
      <c r="G355" s="16" t="n"/>
      <c r="H355" s="16" t="n"/>
      <c r="I355" s="16" t="n"/>
      <c r="J355" s="16" t="n"/>
      <c r="K355" s="16" t="n"/>
      <c r="L355" s="16" t="n"/>
      <c r="M355" s="16" t="n"/>
      <c r="N355" s="16" t="n"/>
    </row>
    <row r="356">
      <c r="A356" s="17" t="inlineStr">
        <is>
          <t>ASS-0353</t>
        </is>
      </c>
      <c r="B356" s="16" t="n"/>
      <c r="C356" s="16" t="n"/>
      <c r="D356" s="16" t="n"/>
      <c r="E356" s="16" t="n"/>
      <c r="F356" s="16" t="n"/>
      <c r="G356" s="16" t="n"/>
      <c r="H356" s="16" t="n"/>
      <c r="I356" s="16" t="n"/>
      <c r="J356" s="16" t="n"/>
      <c r="K356" s="16" t="n"/>
      <c r="L356" s="16" t="n"/>
      <c r="M356" s="16" t="n"/>
      <c r="N356" s="16" t="n"/>
    </row>
    <row r="357">
      <c r="A357" s="17" t="inlineStr">
        <is>
          <t>ASS-0354</t>
        </is>
      </c>
      <c r="B357" s="16" t="n"/>
      <c r="C357" s="16" t="n"/>
      <c r="D357" s="16" t="n"/>
      <c r="E357" s="16" t="n"/>
      <c r="F357" s="16" t="n"/>
      <c r="G357" s="16" t="n"/>
      <c r="H357" s="16" t="n"/>
      <c r="I357" s="16" t="n"/>
      <c r="J357" s="16" t="n"/>
      <c r="K357" s="16" t="n"/>
      <c r="L357" s="16" t="n"/>
      <c r="M357" s="16" t="n"/>
      <c r="N357" s="16" t="n"/>
    </row>
    <row r="358">
      <c r="A358" s="17" t="inlineStr">
        <is>
          <t>ASS-0355</t>
        </is>
      </c>
      <c r="B358" s="16" t="n"/>
      <c r="C358" s="16" t="n"/>
      <c r="D358" s="16" t="n"/>
      <c r="E358" s="16" t="n"/>
      <c r="F358" s="16" t="n"/>
      <c r="G358" s="16" t="n"/>
      <c r="H358" s="16" t="n"/>
      <c r="I358" s="16" t="n"/>
      <c r="J358" s="16" t="n"/>
      <c r="K358" s="16" t="n"/>
      <c r="L358" s="16" t="n"/>
      <c r="M358" s="16" t="n"/>
      <c r="N358" s="16" t="n"/>
    </row>
    <row r="359">
      <c r="A359" s="17" t="inlineStr">
        <is>
          <t>ASS-0356</t>
        </is>
      </c>
      <c r="B359" s="16" t="n"/>
      <c r="C359" s="16" t="n"/>
      <c r="D359" s="16" t="n"/>
      <c r="E359" s="16" t="n"/>
      <c r="F359" s="16" t="n"/>
      <c r="G359" s="16" t="n"/>
      <c r="H359" s="16" t="n"/>
      <c r="I359" s="16" t="n"/>
      <c r="J359" s="16" t="n"/>
      <c r="K359" s="16" t="n"/>
      <c r="L359" s="16" t="n"/>
      <c r="M359" s="16" t="n"/>
      <c r="N359" s="16" t="n"/>
    </row>
    <row r="360">
      <c r="A360" s="17" t="inlineStr">
        <is>
          <t>ASS-0357</t>
        </is>
      </c>
      <c r="B360" s="16" t="n"/>
      <c r="C360" s="16" t="n"/>
      <c r="D360" s="16" t="n"/>
      <c r="E360" s="16" t="n"/>
      <c r="F360" s="16" t="n"/>
      <c r="G360" s="16" t="n"/>
      <c r="H360" s="16" t="n"/>
      <c r="I360" s="16" t="n"/>
      <c r="J360" s="16" t="n"/>
      <c r="K360" s="16" t="n"/>
      <c r="L360" s="16" t="n"/>
      <c r="M360" s="16" t="n"/>
      <c r="N360" s="16" t="n"/>
    </row>
    <row r="361">
      <c r="A361" s="17" t="inlineStr">
        <is>
          <t>ASS-0358</t>
        </is>
      </c>
      <c r="B361" s="16" t="n"/>
      <c r="C361" s="16" t="n"/>
      <c r="D361" s="16" t="n"/>
      <c r="E361" s="16" t="n"/>
      <c r="F361" s="16" t="n"/>
      <c r="G361" s="16" t="n"/>
      <c r="H361" s="16" t="n"/>
      <c r="I361" s="16" t="n"/>
      <c r="J361" s="16" t="n"/>
      <c r="K361" s="16" t="n"/>
      <c r="L361" s="16" t="n"/>
      <c r="M361" s="16" t="n"/>
      <c r="N361" s="16" t="n"/>
    </row>
    <row r="362">
      <c r="A362" s="17" t="inlineStr">
        <is>
          <t>ASS-0359</t>
        </is>
      </c>
      <c r="B362" s="16" t="n"/>
      <c r="C362" s="16" t="n"/>
      <c r="D362" s="16" t="n"/>
      <c r="E362" s="16" t="n"/>
      <c r="F362" s="16" t="n"/>
      <c r="G362" s="16" t="n"/>
      <c r="H362" s="16" t="n"/>
      <c r="I362" s="16" t="n"/>
      <c r="J362" s="16" t="n"/>
      <c r="K362" s="16" t="n"/>
      <c r="L362" s="16" t="n"/>
      <c r="M362" s="16" t="n"/>
      <c r="N362" s="16" t="n"/>
    </row>
    <row r="363">
      <c r="A363" s="17" t="inlineStr">
        <is>
          <t>ASS-0360</t>
        </is>
      </c>
      <c r="B363" s="16" t="n"/>
      <c r="C363" s="16" t="n"/>
      <c r="D363" s="16" t="n"/>
      <c r="E363" s="16" t="n"/>
      <c r="F363" s="16" t="n"/>
      <c r="G363" s="16" t="n"/>
      <c r="H363" s="16" t="n"/>
      <c r="I363" s="16" t="n"/>
      <c r="J363" s="16" t="n"/>
      <c r="K363" s="16" t="n"/>
      <c r="L363" s="16" t="n"/>
      <c r="M363" s="16" t="n"/>
      <c r="N363" s="16" t="n"/>
    </row>
    <row r="364">
      <c r="A364" s="17" t="inlineStr">
        <is>
          <t>ASS-0361</t>
        </is>
      </c>
      <c r="B364" s="16" t="n"/>
      <c r="C364" s="16" t="n"/>
      <c r="D364" s="16" t="n"/>
      <c r="E364" s="16" t="n"/>
      <c r="F364" s="16" t="n"/>
      <c r="G364" s="16" t="n"/>
      <c r="H364" s="16" t="n"/>
      <c r="I364" s="16" t="n"/>
      <c r="J364" s="16" t="n"/>
      <c r="K364" s="16" t="n"/>
      <c r="L364" s="16" t="n"/>
      <c r="M364" s="16" t="n"/>
      <c r="N364" s="16" t="n"/>
    </row>
    <row r="365">
      <c r="A365" s="17" t="inlineStr">
        <is>
          <t>ASS-0362</t>
        </is>
      </c>
      <c r="B365" s="16" t="n"/>
      <c r="C365" s="16" t="n"/>
      <c r="D365" s="16" t="n"/>
      <c r="E365" s="16" t="n"/>
      <c r="F365" s="16" t="n"/>
      <c r="G365" s="16" t="n"/>
      <c r="H365" s="16" t="n"/>
      <c r="I365" s="16" t="n"/>
      <c r="J365" s="16" t="n"/>
      <c r="K365" s="16" t="n"/>
      <c r="L365" s="16" t="n"/>
      <c r="M365" s="16" t="n"/>
      <c r="N365" s="16" t="n"/>
    </row>
    <row r="366">
      <c r="A366" s="17" t="inlineStr">
        <is>
          <t>ASS-0363</t>
        </is>
      </c>
      <c r="B366" s="16" t="n"/>
      <c r="C366" s="16" t="n"/>
      <c r="D366" s="16" t="n"/>
      <c r="E366" s="16" t="n"/>
      <c r="F366" s="16" t="n"/>
      <c r="G366" s="16" t="n"/>
      <c r="H366" s="16" t="n"/>
      <c r="I366" s="16" t="n"/>
      <c r="J366" s="16" t="n"/>
      <c r="K366" s="16" t="n"/>
      <c r="L366" s="16" t="n"/>
      <c r="M366" s="16" t="n"/>
      <c r="N366" s="16" t="n"/>
    </row>
    <row r="367">
      <c r="A367" s="17" t="inlineStr">
        <is>
          <t>ASS-0364</t>
        </is>
      </c>
      <c r="B367" s="16" t="n"/>
      <c r="C367" s="16" t="n"/>
      <c r="D367" s="16" t="n"/>
      <c r="E367" s="16" t="n"/>
      <c r="F367" s="16" t="n"/>
      <c r="G367" s="16" t="n"/>
      <c r="H367" s="16" t="n"/>
      <c r="I367" s="16" t="n"/>
      <c r="J367" s="16" t="n"/>
      <c r="K367" s="16" t="n"/>
      <c r="L367" s="16" t="n"/>
      <c r="M367" s="16" t="n"/>
      <c r="N367" s="16" t="n"/>
    </row>
    <row r="368">
      <c r="A368" s="17" t="inlineStr">
        <is>
          <t>ASS-0365</t>
        </is>
      </c>
      <c r="B368" s="16" t="n"/>
      <c r="C368" s="16" t="n"/>
      <c r="D368" s="16" t="n"/>
      <c r="E368" s="16" t="n"/>
      <c r="F368" s="16" t="n"/>
      <c r="G368" s="16" t="n"/>
      <c r="H368" s="16" t="n"/>
      <c r="I368" s="16" t="n"/>
      <c r="J368" s="16" t="n"/>
      <c r="K368" s="16" t="n"/>
      <c r="L368" s="16" t="n"/>
      <c r="M368" s="16" t="n"/>
      <c r="N368" s="16" t="n"/>
    </row>
    <row r="369">
      <c r="A369" s="17" t="inlineStr">
        <is>
          <t>ASS-0366</t>
        </is>
      </c>
      <c r="B369" s="16" t="n"/>
      <c r="C369" s="16" t="n"/>
      <c r="D369" s="16" t="n"/>
      <c r="E369" s="16" t="n"/>
      <c r="F369" s="16" t="n"/>
      <c r="G369" s="16" t="n"/>
      <c r="H369" s="16" t="n"/>
      <c r="I369" s="16" t="n"/>
      <c r="J369" s="16" t="n"/>
      <c r="K369" s="16" t="n"/>
      <c r="L369" s="16" t="n"/>
      <c r="M369" s="16" t="n"/>
      <c r="N369" s="16" t="n"/>
    </row>
    <row r="370">
      <c r="A370" s="17" t="inlineStr">
        <is>
          <t>ASS-0367</t>
        </is>
      </c>
      <c r="B370" s="16" t="n"/>
      <c r="C370" s="16" t="n"/>
      <c r="D370" s="16" t="n"/>
      <c r="E370" s="16" t="n"/>
      <c r="F370" s="16" t="n"/>
      <c r="G370" s="16" t="n"/>
      <c r="H370" s="16" t="n"/>
      <c r="I370" s="16" t="n"/>
      <c r="J370" s="16" t="n"/>
      <c r="K370" s="16" t="n"/>
      <c r="L370" s="16" t="n"/>
      <c r="M370" s="16" t="n"/>
      <c r="N370" s="16" t="n"/>
    </row>
    <row r="371">
      <c r="A371" s="17" t="inlineStr">
        <is>
          <t>ASS-0368</t>
        </is>
      </c>
      <c r="B371" s="16" t="n"/>
      <c r="C371" s="16" t="n"/>
      <c r="D371" s="16" t="n"/>
      <c r="E371" s="16" t="n"/>
      <c r="F371" s="16" t="n"/>
      <c r="G371" s="16" t="n"/>
      <c r="H371" s="16" t="n"/>
      <c r="I371" s="16" t="n"/>
      <c r="J371" s="16" t="n"/>
      <c r="K371" s="16" t="n"/>
      <c r="L371" s="16" t="n"/>
      <c r="M371" s="16" t="n"/>
      <c r="N371" s="16" t="n"/>
    </row>
    <row r="372">
      <c r="A372" s="17" t="inlineStr">
        <is>
          <t>ASS-0369</t>
        </is>
      </c>
      <c r="B372" s="16" t="n"/>
      <c r="C372" s="16" t="n"/>
      <c r="D372" s="16" t="n"/>
      <c r="E372" s="16" t="n"/>
      <c r="F372" s="16" t="n"/>
      <c r="G372" s="16" t="n"/>
      <c r="H372" s="16" t="n"/>
      <c r="I372" s="16" t="n"/>
      <c r="J372" s="16" t="n"/>
      <c r="K372" s="16" t="n"/>
      <c r="L372" s="16" t="n"/>
      <c r="M372" s="16" t="n"/>
      <c r="N372" s="16" t="n"/>
    </row>
    <row r="373">
      <c r="A373" s="17" t="inlineStr">
        <is>
          <t>ASS-0370</t>
        </is>
      </c>
      <c r="B373" s="16" t="n"/>
      <c r="C373" s="16" t="n"/>
      <c r="D373" s="16" t="n"/>
      <c r="E373" s="16" t="n"/>
      <c r="F373" s="16" t="n"/>
      <c r="G373" s="16" t="n"/>
      <c r="H373" s="16" t="n"/>
      <c r="I373" s="16" t="n"/>
      <c r="J373" s="16" t="n"/>
      <c r="K373" s="16" t="n"/>
      <c r="L373" s="16" t="n"/>
      <c r="M373" s="16" t="n"/>
      <c r="N373" s="16" t="n"/>
    </row>
    <row r="374">
      <c r="A374" s="17" t="inlineStr">
        <is>
          <t>ASS-0371</t>
        </is>
      </c>
      <c r="B374" s="16" t="n"/>
      <c r="C374" s="16" t="n"/>
      <c r="D374" s="16" t="n"/>
      <c r="E374" s="16" t="n"/>
      <c r="F374" s="16" t="n"/>
      <c r="G374" s="16" t="n"/>
      <c r="H374" s="16" t="n"/>
      <c r="I374" s="16" t="n"/>
      <c r="J374" s="16" t="n"/>
      <c r="K374" s="16" t="n"/>
      <c r="L374" s="16" t="n"/>
      <c r="M374" s="16" t="n"/>
      <c r="N374" s="16" t="n"/>
    </row>
    <row r="375">
      <c r="A375" s="17" t="inlineStr">
        <is>
          <t>ASS-0372</t>
        </is>
      </c>
      <c r="B375" s="16" t="n"/>
      <c r="C375" s="16" t="n"/>
      <c r="D375" s="16" t="n"/>
      <c r="E375" s="16" t="n"/>
      <c r="F375" s="16" t="n"/>
      <c r="G375" s="16" t="n"/>
      <c r="H375" s="16" t="n"/>
      <c r="I375" s="16" t="n"/>
      <c r="J375" s="16" t="n"/>
      <c r="K375" s="16" t="n"/>
      <c r="L375" s="16" t="n"/>
      <c r="M375" s="16" t="n"/>
      <c r="N375" s="16" t="n"/>
    </row>
    <row r="376">
      <c r="A376" s="17" t="inlineStr">
        <is>
          <t>ASS-0373</t>
        </is>
      </c>
      <c r="B376" s="16" t="n"/>
      <c r="C376" s="16" t="n"/>
      <c r="D376" s="16" t="n"/>
      <c r="E376" s="16" t="n"/>
      <c r="F376" s="16" t="n"/>
      <c r="G376" s="16" t="n"/>
      <c r="H376" s="16" t="n"/>
      <c r="I376" s="16" t="n"/>
      <c r="J376" s="16" t="n"/>
      <c r="K376" s="16" t="n"/>
      <c r="L376" s="16" t="n"/>
      <c r="M376" s="16" t="n"/>
      <c r="N376" s="16" t="n"/>
    </row>
    <row r="377">
      <c r="A377" s="17" t="inlineStr">
        <is>
          <t>ASS-0374</t>
        </is>
      </c>
      <c r="B377" s="16" t="n"/>
      <c r="C377" s="16" t="n"/>
      <c r="D377" s="16" t="n"/>
      <c r="E377" s="16" t="n"/>
      <c r="F377" s="16" t="n"/>
      <c r="G377" s="16" t="n"/>
      <c r="H377" s="16" t="n"/>
      <c r="I377" s="16" t="n"/>
      <c r="J377" s="16" t="n"/>
      <c r="K377" s="16" t="n"/>
      <c r="L377" s="16" t="n"/>
      <c r="M377" s="16" t="n"/>
      <c r="N377" s="16" t="n"/>
    </row>
    <row r="378">
      <c r="A378" s="17" t="inlineStr">
        <is>
          <t>ASS-0375</t>
        </is>
      </c>
      <c r="B378" s="16" t="n"/>
      <c r="C378" s="16" t="n"/>
      <c r="D378" s="16" t="n"/>
      <c r="E378" s="16" t="n"/>
      <c r="F378" s="16" t="n"/>
      <c r="G378" s="16" t="n"/>
      <c r="H378" s="16" t="n"/>
      <c r="I378" s="16" t="n"/>
      <c r="J378" s="16" t="n"/>
      <c r="K378" s="16" t="n"/>
      <c r="L378" s="16" t="n"/>
      <c r="M378" s="16" t="n"/>
      <c r="N378" s="16" t="n"/>
    </row>
    <row r="379">
      <c r="A379" s="17" t="inlineStr">
        <is>
          <t>ASS-0376</t>
        </is>
      </c>
      <c r="B379" s="16" t="n"/>
      <c r="C379" s="16" t="n"/>
      <c r="D379" s="16" t="n"/>
      <c r="E379" s="16" t="n"/>
      <c r="F379" s="16" t="n"/>
      <c r="G379" s="16" t="n"/>
      <c r="H379" s="16" t="n"/>
      <c r="I379" s="16" t="n"/>
      <c r="J379" s="16" t="n"/>
      <c r="K379" s="16" t="n"/>
      <c r="L379" s="16" t="n"/>
      <c r="M379" s="16" t="n"/>
      <c r="N379" s="16" t="n"/>
    </row>
    <row r="380">
      <c r="A380" s="17" t="inlineStr">
        <is>
          <t>ASS-0377</t>
        </is>
      </c>
      <c r="B380" s="16" t="n"/>
      <c r="C380" s="16" t="n"/>
      <c r="D380" s="16" t="n"/>
      <c r="E380" s="16" t="n"/>
      <c r="F380" s="16" t="n"/>
      <c r="G380" s="16" t="n"/>
      <c r="H380" s="16" t="n"/>
      <c r="I380" s="16" t="n"/>
      <c r="J380" s="16" t="n"/>
      <c r="K380" s="16" t="n"/>
      <c r="L380" s="16" t="n"/>
      <c r="M380" s="16" t="n"/>
      <c r="N380" s="16" t="n"/>
    </row>
    <row r="381">
      <c r="A381" s="17" t="inlineStr">
        <is>
          <t>ASS-0378</t>
        </is>
      </c>
      <c r="B381" s="16" t="n"/>
      <c r="C381" s="16" t="n"/>
      <c r="D381" s="16" t="n"/>
      <c r="E381" s="16" t="n"/>
      <c r="F381" s="16" t="n"/>
      <c r="G381" s="16" t="n"/>
      <c r="H381" s="16" t="n"/>
      <c r="I381" s="16" t="n"/>
      <c r="J381" s="16" t="n"/>
      <c r="K381" s="16" t="n"/>
      <c r="L381" s="16" t="n"/>
      <c r="M381" s="16" t="n"/>
      <c r="N381" s="16" t="n"/>
    </row>
    <row r="382">
      <c r="A382" s="17" t="inlineStr">
        <is>
          <t>ASS-0379</t>
        </is>
      </c>
      <c r="B382" s="16" t="n"/>
      <c r="C382" s="16" t="n"/>
      <c r="D382" s="16" t="n"/>
      <c r="E382" s="16" t="n"/>
      <c r="F382" s="16" t="n"/>
      <c r="G382" s="16" t="n"/>
      <c r="H382" s="16" t="n"/>
      <c r="I382" s="16" t="n"/>
      <c r="J382" s="16" t="n"/>
      <c r="K382" s="16" t="n"/>
      <c r="L382" s="16" t="n"/>
      <c r="M382" s="16" t="n"/>
      <c r="N382" s="16" t="n"/>
    </row>
    <row r="383">
      <c r="A383" s="17" t="inlineStr">
        <is>
          <t>ASS-0380</t>
        </is>
      </c>
      <c r="B383" s="16" t="n"/>
      <c r="C383" s="16" t="n"/>
      <c r="D383" s="16" t="n"/>
      <c r="E383" s="16" t="n"/>
      <c r="F383" s="16" t="n"/>
      <c r="G383" s="16" t="n"/>
      <c r="H383" s="16" t="n"/>
      <c r="I383" s="16" t="n"/>
      <c r="J383" s="16" t="n"/>
      <c r="K383" s="16" t="n"/>
      <c r="L383" s="16" t="n"/>
      <c r="M383" s="16" t="n"/>
      <c r="N383" s="16" t="n"/>
    </row>
    <row r="384">
      <c r="A384" s="17" t="inlineStr">
        <is>
          <t>ASS-0381</t>
        </is>
      </c>
      <c r="B384" s="16" t="n"/>
      <c r="C384" s="16" t="n"/>
      <c r="D384" s="16" t="n"/>
      <c r="E384" s="16" t="n"/>
      <c r="F384" s="16" t="n"/>
      <c r="G384" s="16" t="n"/>
      <c r="H384" s="16" t="n"/>
      <c r="I384" s="16" t="n"/>
      <c r="J384" s="16" t="n"/>
      <c r="K384" s="16" t="n"/>
      <c r="L384" s="16" t="n"/>
      <c r="M384" s="16" t="n"/>
      <c r="N384" s="16" t="n"/>
    </row>
    <row r="385">
      <c r="A385" s="17" t="inlineStr">
        <is>
          <t>ASS-0382</t>
        </is>
      </c>
      <c r="B385" s="16" t="n"/>
      <c r="C385" s="16" t="n"/>
      <c r="D385" s="16" t="n"/>
      <c r="E385" s="16" t="n"/>
      <c r="F385" s="16" t="n"/>
      <c r="G385" s="16" t="n"/>
      <c r="H385" s="16" t="n"/>
      <c r="I385" s="16" t="n"/>
      <c r="J385" s="16" t="n"/>
      <c r="K385" s="16" t="n"/>
      <c r="L385" s="16" t="n"/>
      <c r="M385" s="16" t="n"/>
      <c r="N385" s="16" t="n"/>
    </row>
    <row r="386">
      <c r="A386" s="17" t="inlineStr">
        <is>
          <t>ASS-0383</t>
        </is>
      </c>
      <c r="B386" s="16" t="n"/>
      <c r="C386" s="16" t="n"/>
      <c r="D386" s="16" t="n"/>
      <c r="E386" s="16" t="n"/>
      <c r="F386" s="16" t="n"/>
      <c r="G386" s="16" t="n"/>
      <c r="H386" s="16" t="n"/>
      <c r="I386" s="16" t="n"/>
      <c r="J386" s="16" t="n"/>
      <c r="K386" s="16" t="n"/>
      <c r="L386" s="16" t="n"/>
      <c r="M386" s="16" t="n"/>
      <c r="N386" s="16" t="n"/>
    </row>
    <row r="387">
      <c r="A387" s="17" t="inlineStr">
        <is>
          <t>ASS-0384</t>
        </is>
      </c>
      <c r="B387" s="16" t="n"/>
      <c r="C387" s="16" t="n"/>
      <c r="D387" s="16" t="n"/>
      <c r="E387" s="16" t="n"/>
      <c r="F387" s="16" t="n"/>
      <c r="G387" s="16" t="n"/>
      <c r="H387" s="16" t="n"/>
      <c r="I387" s="16" t="n"/>
      <c r="J387" s="16" t="n"/>
      <c r="K387" s="16" t="n"/>
      <c r="L387" s="16" t="n"/>
      <c r="M387" s="16" t="n"/>
      <c r="N387" s="16" t="n"/>
    </row>
    <row r="388">
      <c r="A388" s="17" t="inlineStr">
        <is>
          <t>ASS-0385</t>
        </is>
      </c>
      <c r="B388" s="16" t="n"/>
      <c r="C388" s="16" t="n"/>
      <c r="D388" s="16" t="n"/>
      <c r="E388" s="16" t="n"/>
      <c r="F388" s="16" t="n"/>
      <c r="G388" s="16" t="n"/>
      <c r="H388" s="16" t="n"/>
      <c r="I388" s="16" t="n"/>
      <c r="J388" s="16" t="n"/>
      <c r="K388" s="16" t="n"/>
      <c r="L388" s="16" t="n"/>
      <c r="M388" s="16" t="n"/>
      <c r="N388" s="16" t="n"/>
    </row>
    <row r="389">
      <c r="A389" s="17" t="inlineStr">
        <is>
          <t>ASS-0386</t>
        </is>
      </c>
      <c r="B389" s="16" t="n"/>
      <c r="C389" s="16" t="n"/>
      <c r="D389" s="16" t="n"/>
      <c r="E389" s="16" t="n"/>
      <c r="F389" s="16" t="n"/>
      <c r="G389" s="16" t="n"/>
      <c r="H389" s="16" t="n"/>
      <c r="I389" s="16" t="n"/>
      <c r="J389" s="16" t="n"/>
      <c r="K389" s="16" t="n"/>
      <c r="L389" s="16" t="n"/>
      <c r="M389" s="16" t="n"/>
      <c r="N389" s="16" t="n"/>
    </row>
    <row r="390">
      <c r="A390" s="17" t="inlineStr">
        <is>
          <t>ASS-0387</t>
        </is>
      </c>
      <c r="B390" s="16" t="n"/>
      <c r="C390" s="16" t="n"/>
      <c r="D390" s="16" t="n"/>
      <c r="E390" s="16" t="n"/>
      <c r="F390" s="16" t="n"/>
      <c r="G390" s="16" t="n"/>
      <c r="H390" s="16" t="n"/>
      <c r="I390" s="16" t="n"/>
      <c r="J390" s="16" t="n"/>
      <c r="K390" s="16" t="n"/>
      <c r="L390" s="16" t="n"/>
      <c r="M390" s="16" t="n"/>
      <c r="N390" s="16" t="n"/>
    </row>
    <row r="391">
      <c r="A391" s="17" t="inlineStr">
        <is>
          <t>ASS-0388</t>
        </is>
      </c>
      <c r="B391" s="16" t="n"/>
      <c r="C391" s="16" t="n"/>
      <c r="D391" s="16" t="n"/>
      <c r="E391" s="16" t="n"/>
      <c r="F391" s="16" t="n"/>
      <c r="G391" s="16" t="n"/>
      <c r="H391" s="16" t="n"/>
      <c r="I391" s="16" t="n"/>
      <c r="J391" s="16" t="n"/>
      <c r="K391" s="16" t="n"/>
      <c r="L391" s="16" t="n"/>
      <c r="M391" s="16" t="n"/>
      <c r="N391" s="16" t="n"/>
    </row>
    <row r="392">
      <c r="A392" s="17" t="inlineStr">
        <is>
          <t>ASS-0389</t>
        </is>
      </c>
      <c r="B392" s="16" t="n"/>
      <c r="C392" s="16" t="n"/>
      <c r="D392" s="16" t="n"/>
      <c r="E392" s="16" t="n"/>
      <c r="F392" s="16" t="n"/>
      <c r="G392" s="16" t="n"/>
      <c r="H392" s="16" t="n"/>
      <c r="I392" s="16" t="n"/>
      <c r="J392" s="16" t="n"/>
      <c r="K392" s="16" t="n"/>
      <c r="L392" s="16" t="n"/>
      <c r="M392" s="16" t="n"/>
      <c r="N392" s="16" t="n"/>
    </row>
    <row r="393">
      <c r="A393" s="17" t="inlineStr">
        <is>
          <t>ASS-0390</t>
        </is>
      </c>
      <c r="B393" s="16" t="n"/>
      <c r="C393" s="16" t="n"/>
      <c r="D393" s="16" t="n"/>
      <c r="E393" s="16" t="n"/>
      <c r="F393" s="16" t="n"/>
      <c r="G393" s="16" t="n"/>
      <c r="H393" s="16" t="n"/>
      <c r="I393" s="16" t="n"/>
      <c r="J393" s="16" t="n"/>
      <c r="K393" s="16" t="n"/>
      <c r="L393" s="16" t="n"/>
      <c r="M393" s="16" t="n"/>
      <c r="N393" s="16" t="n"/>
    </row>
    <row r="394">
      <c r="A394" s="17" t="inlineStr">
        <is>
          <t>ASS-0391</t>
        </is>
      </c>
      <c r="B394" s="16" t="n"/>
      <c r="C394" s="16" t="n"/>
      <c r="D394" s="16" t="n"/>
      <c r="E394" s="16" t="n"/>
      <c r="F394" s="16" t="n"/>
      <c r="G394" s="16" t="n"/>
      <c r="H394" s="16" t="n"/>
      <c r="I394" s="16" t="n"/>
      <c r="J394" s="16" t="n"/>
      <c r="K394" s="16" t="n"/>
      <c r="L394" s="16" t="n"/>
      <c r="M394" s="16" t="n"/>
      <c r="N394" s="16" t="n"/>
    </row>
    <row r="395">
      <c r="A395" s="17" t="inlineStr">
        <is>
          <t>ASS-0392</t>
        </is>
      </c>
      <c r="B395" s="16" t="n"/>
      <c r="C395" s="16" t="n"/>
      <c r="D395" s="16" t="n"/>
      <c r="E395" s="16" t="n"/>
      <c r="F395" s="16" t="n"/>
      <c r="G395" s="16" t="n"/>
      <c r="H395" s="16" t="n"/>
      <c r="I395" s="16" t="n"/>
      <c r="J395" s="16" t="n"/>
      <c r="K395" s="16" t="n"/>
      <c r="L395" s="16" t="n"/>
      <c r="M395" s="16" t="n"/>
      <c r="N395" s="16" t="n"/>
    </row>
    <row r="396">
      <c r="A396" s="17" t="inlineStr">
        <is>
          <t>ASS-0393</t>
        </is>
      </c>
      <c r="B396" s="16" t="n"/>
      <c r="C396" s="16" t="n"/>
      <c r="D396" s="16" t="n"/>
      <c r="E396" s="16" t="n"/>
      <c r="F396" s="16" t="n"/>
      <c r="G396" s="16" t="n"/>
      <c r="H396" s="16" t="n"/>
      <c r="I396" s="16" t="n"/>
      <c r="J396" s="16" t="n"/>
      <c r="K396" s="16" t="n"/>
      <c r="L396" s="16" t="n"/>
      <c r="M396" s="16" t="n"/>
      <c r="N396" s="16" t="n"/>
    </row>
    <row r="397">
      <c r="A397" s="17" t="inlineStr">
        <is>
          <t>ASS-0394</t>
        </is>
      </c>
      <c r="B397" s="16" t="n"/>
      <c r="C397" s="16" t="n"/>
      <c r="D397" s="16" t="n"/>
      <c r="E397" s="16" t="n"/>
      <c r="F397" s="16" t="n"/>
      <c r="G397" s="16" t="n"/>
      <c r="H397" s="16" t="n"/>
      <c r="I397" s="16" t="n"/>
      <c r="J397" s="16" t="n"/>
      <c r="K397" s="16" t="n"/>
      <c r="L397" s="16" t="n"/>
      <c r="M397" s="16" t="n"/>
      <c r="N397" s="16" t="n"/>
    </row>
    <row r="398">
      <c r="A398" s="17" t="inlineStr">
        <is>
          <t>ASS-0395</t>
        </is>
      </c>
      <c r="B398" s="16" t="n"/>
      <c r="C398" s="16" t="n"/>
      <c r="D398" s="16" t="n"/>
      <c r="E398" s="16" t="n"/>
      <c r="F398" s="16" t="n"/>
      <c r="G398" s="16" t="n"/>
      <c r="H398" s="16" t="n"/>
      <c r="I398" s="16" t="n"/>
      <c r="J398" s="16" t="n"/>
      <c r="K398" s="16" t="n"/>
      <c r="L398" s="16" t="n"/>
      <c r="M398" s="16" t="n"/>
      <c r="N398" s="16" t="n"/>
    </row>
    <row r="399">
      <c r="A399" s="17" t="inlineStr">
        <is>
          <t>ASS-0396</t>
        </is>
      </c>
      <c r="B399" s="16" t="n"/>
      <c r="C399" s="16" t="n"/>
      <c r="D399" s="16" t="n"/>
      <c r="E399" s="16" t="n"/>
      <c r="F399" s="16" t="n"/>
      <c r="G399" s="16" t="n"/>
      <c r="H399" s="16" t="n"/>
      <c r="I399" s="16" t="n"/>
      <c r="J399" s="16" t="n"/>
      <c r="K399" s="16" t="n"/>
      <c r="L399" s="16" t="n"/>
      <c r="M399" s="16" t="n"/>
      <c r="N399" s="16" t="n"/>
    </row>
    <row r="400">
      <c r="A400" s="17" t="inlineStr">
        <is>
          <t>ASS-0397</t>
        </is>
      </c>
      <c r="B400" s="16" t="n"/>
      <c r="C400" s="16" t="n"/>
      <c r="D400" s="16" t="n"/>
      <c r="E400" s="16" t="n"/>
      <c r="F400" s="16" t="n"/>
      <c r="G400" s="16" t="n"/>
      <c r="H400" s="16" t="n"/>
      <c r="I400" s="16" t="n"/>
      <c r="J400" s="16" t="n"/>
      <c r="K400" s="16" t="n"/>
      <c r="L400" s="16" t="n"/>
      <c r="M400" s="16" t="n"/>
      <c r="N400" s="16" t="n"/>
    </row>
    <row r="401">
      <c r="A401" s="17" t="inlineStr">
        <is>
          <t>ASS-0398</t>
        </is>
      </c>
      <c r="B401" s="16" t="n"/>
      <c r="C401" s="16" t="n"/>
      <c r="D401" s="16" t="n"/>
      <c r="E401" s="16" t="n"/>
      <c r="F401" s="16" t="n"/>
      <c r="G401" s="16" t="n"/>
      <c r="H401" s="16" t="n"/>
      <c r="I401" s="16" t="n"/>
      <c r="J401" s="16" t="n"/>
      <c r="K401" s="16" t="n"/>
      <c r="L401" s="16" t="n"/>
      <c r="M401" s="16" t="n"/>
      <c r="N401" s="16" t="n"/>
    </row>
    <row r="402">
      <c r="A402" s="17" t="inlineStr">
        <is>
          <t>ASS-0399</t>
        </is>
      </c>
      <c r="B402" s="16" t="n"/>
      <c r="C402" s="16" t="n"/>
      <c r="D402" s="16" t="n"/>
      <c r="E402" s="16" t="n"/>
      <c r="F402" s="16" t="n"/>
      <c r="G402" s="16" t="n"/>
      <c r="H402" s="16" t="n"/>
      <c r="I402" s="16" t="n"/>
      <c r="J402" s="16" t="n"/>
      <c r="K402" s="16" t="n"/>
      <c r="L402" s="16" t="n"/>
      <c r="M402" s="16" t="n"/>
      <c r="N402" s="16" t="n"/>
    </row>
    <row r="403">
      <c r="A403" s="17" t="inlineStr">
        <is>
          <t>ASS-0400</t>
        </is>
      </c>
      <c r="B403" s="16" t="n"/>
      <c r="C403" s="16" t="n"/>
      <c r="D403" s="16" t="n"/>
      <c r="E403" s="16" t="n"/>
      <c r="F403" s="16" t="n"/>
      <c r="G403" s="16" t="n"/>
      <c r="H403" s="16" t="n"/>
      <c r="I403" s="16" t="n"/>
      <c r="J403" s="16" t="n"/>
      <c r="K403" s="16" t="n"/>
      <c r="L403" s="16" t="n"/>
      <c r="M403" s="16" t="n"/>
      <c r="N403" s="16" t="n"/>
    </row>
    <row r="404">
      <c r="A404" s="17" t="inlineStr">
        <is>
          <t>ASS-0401</t>
        </is>
      </c>
      <c r="B404" s="16" t="n"/>
      <c r="C404" s="16" t="n"/>
      <c r="D404" s="16" t="n"/>
      <c r="E404" s="16" t="n"/>
      <c r="F404" s="16" t="n"/>
      <c r="G404" s="16" t="n"/>
      <c r="H404" s="16" t="n"/>
      <c r="I404" s="16" t="n"/>
      <c r="J404" s="16" t="n"/>
      <c r="K404" s="16" t="n"/>
      <c r="L404" s="16" t="n"/>
      <c r="M404" s="16" t="n"/>
      <c r="N404" s="16" t="n"/>
    </row>
    <row r="405">
      <c r="A405" s="17" t="inlineStr">
        <is>
          <t>ASS-0402</t>
        </is>
      </c>
      <c r="B405" s="16" t="n"/>
      <c r="C405" s="16" t="n"/>
      <c r="D405" s="16" t="n"/>
      <c r="E405" s="16" t="n"/>
      <c r="F405" s="16" t="n"/>
      <c r="G405" s="16" t="n"/>
      <c r="H405" s="16" t="n"/>
      <c r="I405" s="16" t="n"/>
      <c r="J405" s="16" t="n"/>
      <c r="K405" s="16" t="n"/>
      <c r="L405" s="16" t="n"/>
      <c r="M405" s="16" t="n"/>
      <c r="N405" s="16" t="n"/>
    </row>
    <row r="406">
      <c r="A406" s="17" t="inlineStr">
        <is>
          <t>ASS-0403</t>
        </is>
      </c>
      <c r="B406" s="16" t="n"/>
      <c r="C406" s="16" t="n"/>
      <c r="D406" s="16" t="n"/>
      <c r="E406" s="16" t="n"/>
      <c r="F406" s="16" t="n"/>
      <c r="G406" s="16" t="n"/>
      <c r="H406" s="16" t="n"/>
      <c r="I406" s="16" t="n"/>
      <c r="J406" s="16" t="n"/>
      <c r="K406" s="16" t="n"/>
      <c r="L406" s="16" t="n"/>
      <c r="M406" s="16" t="n"/>
      <c r="N406" s="16" t="n"/>
    </row>
    <row r="407">
      <c r="A407" s="17" t="inlineStr">
        <is>
          <t>ASS-0404</t>
        </is>
      </c>
      <c r="B407" s="16" t="n"/>
      <c r="C407" s="16" t="n"/>
      <c r="D407" s="16" t="n"/>
      <c r="E407" s="16" t="n"/>
      <c r="F407" s="16" t="n"/>
      <c r="G407" s="16" t="n"/>
      <c r="H407" s="16" t="n"/>
      <c r="I407" s="16" t="n"/>
      <c r="J407" s="16" t="n"/>
      <c r="K407" s="16" t="n"/>
      <c r="L407" s="16" t="n"/>
      <c r="M407" s="16" t="n"/>
      <c r="N407" s="16" t="n"/>
    </row>
    <row r="408">
      <c r="A408" s="17" t="inlineStr">
        <is>
          <t>ASS-0405</t>
        </is>
      </c>
      <c r="B408" s="16" t="n"/>
      <c r="C408" s="16" t="n"/>
      <c r="D408" s="16" t="n"/>
      <c r="E408" s="16" t="n"/>
      <c r="F408" s="16" t="n"/>
      <c r="G408" s="16" t="n"/>
      <c r="H408" s="16" t="n"/>
      <c r="I408" s="16" t="n"/>
      <c r="J408" s="16" t="n"/>
      <c r="K408" s="16" t="n"/>
      <c r="L408" s="16" t="n"/>
      <c r="M408" s="16" t="n"/>
      <c r="N408" s="16" t="n"/>
    </row>
    <row r="409">
      <c r="A409" s="17" t="inlineStr">
        <is>
          <t>ASS-0406</t>
        </is>
      </c>
      <c r="B409" s="16" t="n"/>
      <c r="C409" s="16" t="n"/>
      <c r="D409" s="16" t="n"/>
      <c r="E409" s="16" t="n"/>
      <c r="F409" s="16" t="n"/>
      <c r="G409" s="16" t="n"/>
      <c r="H409" s="16" t="n"/>
      <c r="I409" s="16" t="n"/>
      <c r="J409" s="16" t="n"/>
      <c r="K409" s="16" t="n"/>
      <c r="L409" s="16" t="n"/>
      <c r="M409" s="16" t="n"/>
      <c r="N409" s="16" t="n"/>
    </row>
    <row r="410">
      <c r="A410" s="17" t="inlineStr">
        <is>
          <t>ASS-0407</t>
        </is>
      </c>
      <c r="B410" s="16" t="n"/>
      <c r="C410" s="16" t="n"/>
      <c r="D410" s="16" t="n"/>
      <c r="E410" s="16" t="n"/>
      <c r="F410" s="16" t="n"/>
      <c r="G410" s="16" t="n"/>
      <c r="H410" s="16" t="n"/>
      <c r="I410" s="16" t="n"/>
      <c r="J410" s="16" t="n"/>
      <c r="K410" s="16" t="n"/>
      <c r="L410" s="16" t="n"/>
      <c r="M410" s="16" t="n"/>
      <c r="N410" s="16" t="n"/>
    </row>
    <row r="411">
      <c r="A411" s="17" t="inlineStr">
        <is>
          <t>ASS-0408</t>
        </is>
      </c>
      <c r="B411" s="16" t="n"/>
      <c r="C411" s="16" t="n"/>
      <c r="D411" s="16" t="n"/>
      <c r="E411" s="16" t="n"/>
      <c r="F411" s="16" t="n"/>
      <c r="G411" s="16" t="n"/>
      <c r="H411" s="16" t="n"/>
      <c r="I411" s="16" t="n"/>
      <c r="J411" s="16" t="n"/>
      <c r="K411" s="16" t="n"/>
      <c r="L411" s="16" t="n"/>
      <c r="M411" s="16" t="n"/>
      <c r="N411" s="16" t="n"/>
    </row>
    <row r="412">
      <c r="A412" s="17" t="inlineStr">
        <is>
          <t>ASS-0409</t>
        </is>
      </c>
      <c r="B412" s="16" t="n"/>
      <c r="C412" s="16" t="n"/>
      <c r="D412" s="16" t="n"/>
      <c r="E412" s="16" t="n"/>
      <c r="F412" s="16" t="n"/>
      <c r="G412" s="16" t="n"/>
      <c r="H412" s="16" t="n"/>
      <c r="I412" s="16" t="n"/>
      <c r="J412" s="16" t="n"/>
      <c r="K412" s="16" t="n"/>
      <c r="L412" s="16" t="n"/>
      <c r="M412" s="16" t="n"/>
      <c r="N412" s="16" t="n"/>
    </row>
    <row r="413">
      <c r="A413" s="17" t="inlineStr">
        <is>
          <t>ASS-0410</t>
        </is>
      </c>
      <c r="B413" s="16" t="n"/>
      <c r="C413" s="16" t="n"/>
      <c r="D413" s="16" t="n"/>
      <c r="E413" s="16" t="n"/>
      <c r="F413" s="16" t="n"/>
      <c r="G413" s="16" t="n"/>
      <c r="H413" s="16" t="n"/>
      <c r="I413" s="16" t="n"/>
      <c r="J413" s="16" t="n"/>
      <c r="K413" s="16" t="n"/>
      <c r="L413" s="16" t="n"/>
      <c r="M413" s="16" t="n"/>
      <c r="N413" s="16" t="n"/>
    </row>
    <row r="414">
      <c r="A414" s="17" t="inlineStr">
        <is>
          <t>ASS-0411</t>
        </is>
      </c>
      <c r="B414" s="16" t="n"/>
      <c r="C414" s="16" t="n"/>
      <c r="D414" s="16" t="n"/>
      <c r="E414" s="16" t="n"/>
      <c r="F414" s="16" t="n"/>
      <c r="G414" s="16" t="n"/>
      <c r="H414" s="16" t="n"/>
      <c r="I414" s="16" t="n"/>
      <c r="J414" s="16" t="n"/>
      <c r="K414" s="16" t="n"/>
      <c r="L414" s="16" t="n"/>
      <c r="M414" s="16" t="n"/>
      <c r="N414" s="16" t="n"/>
    </row>
    <row r="415">
      <c r="A415" s="17" t="inlineStr">
        <is>
          <t>ASS-0412</t>
        </is>
      </c>
      <c r="B415" s="16" t="n"/>
      <c r="C415" s="16" t="n"/>
      <c r="D415" s="16" t="n"/>
      <c r="E415" s="16" t="n"/>
      <c r="F415" s="16" t="n"/>
      <c r="G415" s="16" t="n"/>
      <c r="H415" s="16" t="n"/>
      <c r="I415" s="16" t="n"/>
      <c r="J415" s="16" t="n"/>
      <c r="K415" s="16" t="n"/>
      <c r="L415" s="16" t="n"/>
      <c r="M415" s="16" t="n"/>
      <c r="N415" s="16" t="n"/>
    </row>
    <row r="416">
      <c r="A416" s="17" t="inlineStr">
        <is>
          <t>ASS-0413</t>
        </is>
      </c>
      <c r="B416" s="16" t="n"/>
      <c r="C416" s="16" t="n"/>
      <c r="D416" s="16" t="n"/>
      <c r="E416" s="16" t="n"/>
      <c r="F416" s="16" t="n"/>
      <c r="G416" s="16" t="n"/>
      <c r="H416" s="16" t="n"/>
      <c r="I416" s="16" t="n"/>
      <c r="J416" s="16" t="n"/>
      <c r="K416" s="16" t="n"/>
      <c r="L416" s="16" t="n"/>
      <c r="M416" s="16" t="n"/>
      <c r="N416" s="16" t="n"/>
    </row>
    <row r="417">
      <c r="A417" s="17" t="inlineStr">
        <is>
          <t>ASS-0414</t>
        </is>
      </c>
      <c r="B417" s="16" t="n"/>
      <c r="C417" s="16" t="n"/>
      <c r="D417" s="16" t="n"/>
      <c r="E417" s="16" t="n"/>
      <c r="F417" s="16" t="n"/>
      <c r="G417" s="16" t="n"/>
      <c r="H417" s="16" t="n"/>
      <c r="I417" s="16" t="n"/>
      <c r="J417" s="16" t="n"/>
      <c r="K417" s="16" t="n"/>
      <c r="L417" s="16" t="n"/>
      <c r="M417" s="16" t="n"/>
      <c r="N417" s="16" t="n"/>
    </row>
    <row r="418">
      <c r="A418" s="17" t="inlineStr">
        <is>
          <t>ASS-0415</t>
        </is>
      </c>
      <c r="B418" s="16" t="n"/>
      <c r="C418" s="16" t="n"/>
      <c r="D418" s="16" t="n"/>
      <c r="E418" s="16" t="n"/>
      <c r="F418" s="16" t="n"/>
      <c r="G418" s="16" t="n"/>
      <c r="H418" s="16" t="n"/>
      <c r="I418" s="16" t="n"/>
      <c r="J418" s="16" t="n"/>
      <c r="K418" s="16" t="n"/>
      <c r="L418" s="16" t="n"/>
      <c r="M418" s="16" t="n"/>
      <c r="N418" s="16" t="n"/>
    </row>
    <row r="419">
      <c r="A419" s="17" t="inlineStr">
        <is>
          <t>ASS-0416</t>
        </is>
      </c>
      <c r="B419" s="16" t="n"/>
      <c r="C419" s="16" t="n"/>
      <c r="D419" s="16" t="n"/>
      <c r="E419" s="16" t="n"/>
      <c r="F419" s="16" t="n"/>
      <c r="G419" s="16" t="n"/>
      <c r="H419" s="16" t="n"/>
      <c r="I419" s="16" t="n"/>
      <c r="J419" s="16" t="n"/>
      <c r="K419" s="16" t="n"/>
      <c r="L419" s="16" t="n"/>
      <c r="M419" s="16" t="n"/>
      <c r="N419" s="16" t="n"/>
    </row>
    <row r="420">
      <c r="A420" s="17" t="inlineStr">
        <is>
          <t>ASS-0417</t>
        </is>
      </c>
      <c r="B420" s="16" t="n"/>
      <c r="C420" s="16" t="n"/>
      <c r="D420" s="16" t="n"/>
      <c r="E420" s="16" t="n"/>
      <c r="F420" s="16" t="n"/>
      <c r="G420" s="16" t="n"/>
      <c r="H420" s="16" t="n"/>
      <c r="I420" s="16" t="n"/>
      <c r="J420" s="16" t="n"/>
      <c r="K420" s="16" t="n"/>
      <c r="L420" s="16" t="n"/>
      <c r="M420" s="16" t="n"/>
      <c r="N420" s="16" t="n"/>
    </row>
    <row r="421">
      <c r="A421" s="17" t="inlineStr">
        <is>
          <t>ASS-0418</t>
        </is>
      </c>
      <c r="B421" s="16" t="n"/>
      <c r="C421" s="16" t="n"/>
      <c r="D421" s="16" t="n"/>
      <c r="E421" s="16" t="n"/>
      <c r="F421" s="16" t="n"/>
      <c r="G421" s="16" t="n"/>
      <c r="H421" s="16" t="n"/>
      <c r="I421" s="16" t="n"/>
      <c r="J421" s="16" t="n"/>
      <c r="K421" s="16" t="n"/>
      <c r="L421" s="16" t="n"/>
      <c r="M421" s="16" t="n"/>
      <c r="N421" s="16" t="n"/>
    </row>
    <row r="422">
      <c r="A422" s="17" t="inlineStr">
        <is>
          <t>ASS-0419</t>
        </is>
      </c>
      <c r="B422" s="16" t="n"/>
      <c r="C422" s="16" t="n"/>
      <c r="D422" s="16" t="n"/>
      <c r="E422" s="16" t="n"/>
      <c r="F422" s="16" t="n"/>
      <c r="G422" s="16" t="n"/>
      <c r="H422" s="16" t="n"/>
      <c r="I422" s="16" t="n"/>
      <c r="J422" s="16" t="n"/>
      <c r="K422" s="16" t="n"/>
      <c r="L422" s="16" t="n"/>
      <c r="M422" s="16" t="n"/>
      <c r="N422" s="16" t="n"/>
    </row>
    <row r="423">
      <c r="A423" s="17" t="inlineStr">
        <is>
          <t>ASS-0420</t>
        </is>
      </c>
      <c r="B423" s="16" t="n"/>
      <c r="C423" s="16" t="n"/>
      <c r="D423" s="16" t="n"/>
      <c r="E423" s="16" t="n"/>
      <c r="F423" s="16" t="n"/>
      <c r="G423" s="16" t="n"/>
      <c r="H423" s="16" t="n"/>
      <c r="I423" s="16" t="n"/>
      <c r="J423" s="16" t="n"/>
      <c r="K423" s="16" t="n"/>
      <c r="L423" s="16" t="n"/>
      <c r="M423" s="16" t="n"/>
      <c r="N423" s="16" t="n"/>
    </row>
    <row r="424">
      <c r="A424" s="17" t="inlineStr">
        <is>
          <t>ASS-0421</t>
        </is>
      </c>
      <c r="B424" s="16" t="n"/>
      <c r="C424" s="16" t="n"/>
      <c r="D424" s="16" t="n"/>
      <c r="E424" s="16" t="n"/>
      <c r="F424" s="16" t="n"/>
      <c r="G424" s="16" t="n"/>
      <c r="H424" s="16" t="n"/>
      <c r="I424" s="16" t="n"/>
      <c r="J424" s="16" t="n"/>
      <c r="K424" s="16" t="n"/>
      <c r="L424" s="16" t="n"/>
      <c r="M424" s="16" t="n"/>
      <c r="N424" s="16" t="n"/>
    </row>
    <row r="425">
      <c r="A425" s="17" t="inlineStr">
        <is>
          <t>ASS-0422</t>
        </is>
      </c>
      <c r="B425" s="16" t="n"/>
      <c r="C425" s="16" t="n"/>
      <c r="D425" s="16" t="n"/>
      <c r="E425" s="16" t="n"/>
      <c r="F425" s="16" t="n"/>
      <c r="G425" s="16" t="n"/>
      <c r="H425" s="16" t="n"/>
      <c r="I425" s="16" t="n"/>
      <c r="J425" s="16" t="n"/>
      <c r="K425" s="16" t="n"/>
      <c r="L425" s="16" t="n"/>
      <c r="M425" s="16" t="n"/>
      <c r="N425" s="16" t="n"/>
    </row>
    <row r="426">
      <c r="A426" s="17" t="inlineStr">
        <is>
          <t>ASS-0423</t>
        </is>
      </c>
      <c r="B426" s="16" t="n"/>
      <c r="C426" s="16" t="n"/>
      <c r="D426" s="16" t="n"/>
      <c r="E426" s="16" t="n"/>
      <c r="F426" s="16" t="n"/>
      <c r="G426" s="16" t="n"/>
      <c r="H426" s="16" t="n"/>
      <c r="I426" s="16" t="n"/>
      <c r="J426" s="16" t="n"/>
      <c r="K426" s="16" t="n"/>
      <c r="L426" s="16" t="n"/>
      <c r="M426" s="16" t="n"/>
      <c r="N426" s="16" t="n"/>
    </row>
    <row r="427">
      <c r="A427" s="17" t="inlineStr">
        <is>
          <t>ASS-0424</t>
        </is>
      </c>
      <c r="B427" s="16" t="n"/>
      <c r="C427" s="16" t="n"/>
      <c r="D427" s="16" t="n"/>
      <c r="E427" s="16" t="n"/>
      <c r="F427" s="16" t="n"/>
      <c r="G427" s="16" t="n"/>
      <c r="H427" s="16" t="n"/>
      <c r="I427" s="16" t="n"/>
      <c r="J427" s="16" t="n"/>
      <c r="K427" s="16" t="n"/>
      <c r="L427" s="16" t="n"/>
      <c r="M427" s="16" t="n"/>
      <c r="N427" s="16" t="n"/>
    </row>
    <row r="428">
      <c r="A428" s="17" t="inlineStr">
        <is>
          <t>ASS-0425</t>
        </is>
      </c>
      <c r="B428" s="16" t="n"/>
      <c r="C428" s="16" t="n"/>
      <c r="D428" s="16" t="n"/>
      <c r="E428" s="16" t="n"/>
      <c r="F428" s="16" t="n"/>
      <c r="G428" s="16" t="n"/>
      <c r="H428" s="16" t="n"/>
      <c r="I428" s="16" t="n"/>
      <c r="J428" s="16" t="n"/>
      <c r="K428" s="16" t="n"/>
      <c r="L428" s="16" t="n"/>
      <c r="M428" s="16" t="n"/>
      <c r="N428" s="16" t="n"/>
    </row>
    <row r="429">
      <c r="A429" s="17" t="inlineStr">
        <is>
          <t>ASS-0426</t>
        </is>
      </c>
      <c r="B429" s="16" t="n"/>
      <c r="C429" s="16" t="n"/>
      <c r="D429" s="16" t="n"/>
      <c r="E429" s="16" t="n"/>
      <c r="F429" s="16" t="n"/>
      <c r="G429" s="16" t="n"/>
      <c r="H429" s="16" t="n"/>
      <c r="I429" s="16" t="n"/>
      <c r="J429" s="16" t="n"/>
      <c r="K429" s="16" t="n"/>
      <c r="L429" s="16" t="n"/>
      <c r="M429" s="16" t="n"/>
      <c r="N429" s="16" t="n"/>
    </row>
    <row r="430">
      <c r="A430" s="17" t="inlineStr">
        <is>
          <t>ASS-0427</t>
        </is>
      </c>
      <c r="B430" s="16" t="n"/>
      <c r="C430" s="16" t="n"/>
      <c r="D430" s="16" t="n"/>
      <c r="E430" s="16" t="n"/>
      <c r="F430" s="16" t="n"/>
      <c r="G430" s="16" t="n"/>
      <c r="H430" s="16" t="n"/>
      <c r="I430" s="16" t="n"/>
      <c r="J430" s="16" t="n"/>
      <c r="K430" s="16" t="n"/>
      <c r="L430" s="16" t="n"/>
      <c r="M430" s="16" t="n"/>
      <c r="N430" s="16" t="n"/>
    </row>
    <row r="431">
      <c r="A431" s="17" t="inlineStr">
        <is>
          <t>ASS-0428</t>
        </is>
      </c>
      <c r="B431" s="16" t="n"/>
      <c r="C431" s="16" t="n"/>
      <c r="D431" s="16" t="n"/>
      <c r="E431" s="16" t="n"/>
      <c r="F431" s="16" t="n"/>
      <c r="G431" s="16" t="n"/>
      <c r="H431" s="16" t="n"/>
      <c r="I431" s="16" t="n"/>
      <c r="J431" s="16" t="n"/>
      <c r="K431" s="16" t="n"/>
      <c r="L431" s="16" t="n"/>
      <c r="M431" s="16" t="n"/>
      <c r="N431" s="16" t="n"/>
    </row>
    <row r="432">
      <c r="A432" s="17" t="inlineStr">
        <is>
          <t>ASS-0429</t>
        </is>
      </c>
      <c r="B432" s="16" t="n"/>
      <c r="C432" s="16" t="n"/>
      <c r="D432" s="16" t="n"/>
      <c r="E432" s="16" t="n"/>
      <c r="F432" s="16" t="n"/>
      <c r="G432" s="16" t="n"/>
      <c r="H432" s="16" t="n"/>
      <c r="I432" s="16" t="n"/>
      <c r="J432" s="16" t="n"/>
      <c r="K432" s="16" t="n"/>
      <c r="L432" s="16" t="n"/>
      <c r="M432" s="16" t="n"/>
      <c r="N432" s="16" t="n"/>
    </row>
    <row r="433">
      <c r="A433" s="17" t="inlineStr">
        <is>
          <t>ASS-0430</t>
        </is>
      </c>
      <c r="B433" s="16" t="n"/>
      <c r="C433" s="16" t="n"/>
      <c r="D433" s="16" t="n"/>
      <c r="E433" s="16" t="n"/>
      <c r="F433" s="16" t="n"/>
      <c r="G433" s="16" t="n"/>
      <c r="H433" s="16" t="n"/>
      <c r="I433" s="16" t="n"/>
      <c r="J433" s="16" t="n"/>
      <c r="K433" s="16" t="n"/>
      <c r="L433" s="16" t="n"/>
      <c r="M433" s="16" t="n"/>
      <c r="N433" s="16" t="n"/>
    </row>
    <row r="434">
      <c r="A434" s="17" t="inlineStr">
        <is>
          <t>ASS-0431</t>
        </is>
      </c>
      <c r="B434" s="16" t="n"/>
      <c r="C434" s="16" t="n"/>
      <c r="D434" s="16" t="n"/>
      <c r="E434" s="16" t="n"/>
      <c r="F434" s="16" t="n"/>
      <c r="G434" s="16" t="n"/>
      <c r="H434" s="16" t="n"/>
      <c r="I434" s="16" t="n"/>
      <c r="J434" s="16" t="n"/>
      <c r="K434" s="16" t="n"/>
      <c r="L434" s="16" t="n"/>
      <c r="M434" s="16" t="n"/>
      <c r="N434" s="16" t="n"/>
    </row>
    <row r="435">
      <c r="A435" s="17" t="inlineStr">
        <is>
          <t>ASS-0432</t>
        </is>
      </c>
      <c r="B435" s="16" t="n"/>
      <c r="C435" s="16" t="n"/>
      <c r="D435" s="16" t="n"/>
      <c r="E435" s="16" t="n"/>
      <c r="F435" s="16" t="n"/>
      <c r="G435" s="16" t="n"/>
      <c r="H435" s="16" t="n"/>
      <c r="I435" s="16" t="n"/>
      <c r="J435" s="16" t="n"/>
      <c r="K435" s="16" t="n"/>
      <c r="L435" s="16" t="n"/>
      <c r="M435" s="16" t="n"/>
      <c r="N435" s="16" t="n"/>
    </row>
    <row r="436">
      <c r="A436" s="17" t="inlineStr">
        <is>
          <t>ASS-0433</t>
        </is>
      </c>
      <c r="B436" s="16" t="n"/>
      <c r="C436" s="16" t="n"/>
      <c r="D436" s="16" t="n"/>
      <c r="E436" s="16" t="n"/>
      <c r="F436" s="16" t="n"/>
      <c r="G436" s="16" t="n"/>
      <c r="H436" s="16" t="n"/>
      <c r="I436" s="16" t="n"/>
      <c r="J436" s="16" t="n"/>
      <c r="K436" s="16" t="n"/>
      <c r="L436" s="16" t="n"/>
      <c r="M436" s="16" t="n"/>
      <c r="N436" s="16" t="n"/>
    </row>
    <row r="437">
      <c r="A437" s="17" t="inlineStr">
        <is>
          <t>ASS-0434</t>
        </is>
      </c>
      <c r="B437" s="16" t="n"/>
      <c r="C437" s="16" t="n"/>
      <c r="D437" s="16" t="n"/>
      <c r="E437" s="16" t="n"/>
      <c r="F437" s="16" t="n"/>
      <c r="G437" s="16" t="n"/>
      <c r="H437" s="16" t="n"/>
      <c r="I437" s="16" t="n"/>
      <c r="J437" s="16" t="n"/>
      <c r="K437" s="16" t="n"/>
      <c r="L437" s="16" t="n"/>
      <c r="M437" s="16" t="n"/>
      <c r="N437" s="16" t="n"/>
    </row>
    <row r="438">
      <c r="A438" s="17" t="inlineStr">
        <is>
          <t>ASS-0435</t>
        </is>
      </c>
      <c r="B438" s="16" t="n"/>
      <c r="C438" s="16" t="n"/>
      <c r="D438" s="16" t="n"/>
      <c r="E438" s="16" t="n"/>
      <c r="F438" s="16" t="n"/>
      <c r="G438" s="16" t="n"/>
      <c r="H438" s="16" t="n"/>
      <c r="I438" s="16" t="n"/>
      <c r="J438" s="16" t="n"/>
      <c r="K438" s="16" t="n"/>
      <c r="L438" s="16" t="n"/>
      <c r="M438" s="16" t="n"/>
      <c r="N438" s="16" t="n"/>
    </row>
    <row r="439">
      <c r="A439" s="17" t="inlineStr">
        <is>
          <t>ASS-0436</t>
        </is>
      </c>
      <c r="B439" s="16" t="n"/>
      <c r="C439" s="16" t="n"/>
      <c r="D439" s="16" t="n"/>
      <c r="E439" s="16" t="n"/>
      <c r="F439" s="16" t="n"/>
      <c r="G439" s="16" t="n"/>
      <c r="H439" s="16" t="n"/>
      <c r="I439" s="16" t="n"/>
      <c r="J439" s="16" t="n"/>
      <c r="K439" s="16" t="n"/>
      <c r="L439" s="16" t="n"/>
      <c r="M439" s="16" t="n"/>
      <c r="N439" s="16" t="n"/>
    </row>
    <row r="440">
      <c r="A440" s="17" t="inlineStr">
        <is>
          <t>ASS-0437</t>
        </is>
      </c>
      <c r="B440" s="16" t="n"/>
      <c r="C440" s="16" t="n"/>
      <c r="D440" s="16" t="n"/>
      <c r="E440" s="16" t="n"/>
      <c r="F440" s="16" t="n"/>
      <c r="G440" s="16" t="n"/>
      <c r="H440" s="16" t="n"/>
      <c r="I440" s="16" t="n"/>
      <c r="J440" s="16" t="n"/>
      <c r="K440" s="16" t="n"/>
      <c r="L440" s="16" t="n"/>
      <c r="M440" s="16" t="n"/>
      <c r="N440" s="16" t="n"/>
    </row>
    <row r="441">
      <c r="A441" s="17" t="inlineStr">
        <is>
          <t>ASS-0438</t>
        </is>
      </c>
      <c r="B441" s="16" t="n"/>
      <c r="C441" s="16" t="n"/>
      <c r="D441" s="16" t="n"/>
      <c r="E441" s="16" t="n"/>
      <c r="F441" s="16" t="n"/>
      <c r="G441" s="16" t="n"/>
      <c r="H441" s="16" t="n"/>
      <c r="I441" s="16" t="n"/>
      <c r="J441" s="16" t="n"/>
      <c r="K441" s="16" t="n"/>
      <c r="L441" s="16" t="n"/>
      <c r="M441" s="16" t="n"/>
      <c r="N441" s="16" t="n"/>
    </row>
    <row r="442">
      <c r="A442" s="17" t="inlineStr">
        <is>
          <t>ASS-0439</t>
        </is>
      </c>
      <c r="B442" s="16" t="n"/>
      <c r="C442" s="16" t="n"/>
      <c r="D442" s="16" t="n"/>
      <c r="E442" s="16" t="n"/>
      <c r="F442" s="16" t="n"/>
      <c r="G442" s="16" t="n"/>
      <c r="H442" s="16" t="n"/>
      <c r="I442" s="16" t="n"/>
      <c r="J442" s="16" t="n"/>
      <c r="K442" s="16" t="n"/>
      <c r="L442" s="16" t="n"/>
      <c r="M442" s="16" t="n"/>
      <c r="N442" s="16" t="n"/>
    </row>
    <row r="443">
      <c r="A443" s="17" t="inlineStr">
        <is>
          <t>ASS-0440</t>
        </is>
      </c>
      <c r="B443" s="16" t="n"/>
      <c r="C443" s="16" t="n"/>
      <c r="D443" s="16" t="n"/>
      <c r="E443" s="16" t="n"/>
      <c r="F443" s="16" t="n"/>
      <c r="G443" s="16" t="n"/>
      <c r="H443" s="16" t="n"/>
      <c r="I443" s="16" t="n"/>
      <c r="J443" s="16" t="n"/>
      <c r="K443" s="16" t="n"/>
      <c r="L443" s="16" t="n"/>
      <c r="M443" s="16" t="n"/>
      <c r="N443" s="16" t="n"/>
    </row>
    <row r="444">
      <c r="A444" s="17" t="inlineStr">
        <is>
          <t>ASS-0441</t>
        </is>
      </c>
      <c r="B444" s="16" t="n"/>
      <c r="C444" s="16" t="n"/>
      <c r="D444" s="16" t="n"/>
      <c r="E444" s="16" t="n"/>
      <c r="F444" s="16" t="n"/>
      <c r="G444" s="16" t="n"/>
      <c r="H444" s="16" t="n"/>
      <c r="I444" s="16" t="n"/>
      <c r="J444" s="16" t="n"/>
      <c r="K444" s="16" t="n"/>
      <c r="L444" s="16" t="n"/>
      <c r="M444" s="16" t="n"/>
      <c r="N444" s="16" t="n"/>
    </row>
    <row r="445">
      <c r="A445" s="17" t="inlineStr">
        <is>
          <t>ASS-0442</t>
        </is>
      </c>
      <c r="B445" s="16" t="n"/>
      <c r="C445" s="16" t="n"/>
      <c r="D445" s="16" t="n"/>
      <c r="E445" s="16" t="n"/>
      <c r="F445" s="16" t="n"/>
      <c r="G445" s="16" t="n"/>
      <c r="H445" s="16" t="n"/>
      <c r="I445" s="16" t="n"/>
      <c r="J445" s="16" t="n"/>
      <c r="K445" s="16" t="n"/>
      <c r="L445" s="16" t="n"/>
      <c r="M445" s="16" t="n"/>
      <c r="N445" s="16" t="n"/>
    </row>
    <row r="446">
      <c r="A446" s="17" t="inlineStr">
        <is>
          <t>ASS-0443</t>
        </is>
      </c>
      <c r="B446" s="16" t="n"/>
      <c r="C446" s="16" t="n"/>
      <c r="D446" s="16" t="n"/>
      <c r="E446" s="16" t="n"/>
      <c r="F446" s="16" t="n"/>
      <c r="G446" s="16" t="n"/>
      <c r="H446" s="16" t="n"/>
      <c r="I446" s="16" t="n"/>
      <c r="J446" s="16" t="n"/>
      <c r="K446" s="16" t="n"/>
      <c r="L446" s="16" t="n"/>
      <c r="M446" s="16" t="n"/>
      <c r="N446" s="16" t="n"/>
    </row>
    <row r="447">
      <c r="A447" s="17" t="inlineStr">
        <is>
          <t>ASS-0444</t>
        </is>
      </c>
      <c r="B447" s="16" t="n"/>
      <c r="C447" s="16" t="n"/>
      <c r="D447" s="16" t="n"/>
      <c r="E447" s="16" t="n"/>
      <c r="F447" s="16" t="n"/>
      <c r="G447" s="16" t="n"/>
      <c r="H447" s="16" t="n"/>
      <c r="I447" s="16" t="n"/>
      <c r="J447" s="16" t="n"/>
      <c r="K447" s="16" t="n"/>
      <c r="L447" s="16" t="n"/>
      <c r="M447" s="16" t="n"/>
      <c r="N447" s="16" t="n"/>
    </row>
    <row r="448">
      <c r="A448" s="17" t="inlineStr">
        <is>
          <t>ASS-0445</t>
        </is>
      </c>
      <c r="B448" s="16" t="n"/>
      <c r="C448" s="16" t="n"/>
      <c r="D448" s="16" t="n"/>
      <c r="E448" s="16" t="n"/>
      <c r="F448" s="16" t="n"/>
      <c r="G448" s="16" t="n"/>
      <c r="H448" s="16" t="n"/>
      <c r="I448" s="16" t="n"/>
      <c r="J448" s="16" t="n"/>
      <c r="K448" s="16" t="n"/>
      <c r="L448" s="16" t="n"/>
      <c r="M448" s="16" t="n"/>
      <c r="N448" s="16" t="n"/>
    </row>
    <row r="449">
      <c r="A449" s="17" t="inlineStr">
        <is>
          <t>ASS-0446</t>
        </is>
      </c>
      <c r="B449" s="16" t="n"/>
      <c r="C449" s="16" t="n"/>
      <c r="D449" s="16" t="n"/>
      <c r="E449" s="16" t="n"/>
      <c r="F449" s="16" t="n"/>
      <c r="G449" s="16" t="n"/>
      <c r="H449" s="16" t="n"/>
      <c r="I449" s="16" t="n"/>
      <c r="J449" s="16" t="n"/>
      <c r="K449" s="16" t="n"/>
      <c r="L449" s="16" t="n"/>
      <c r="M449" s="16" t="n"/>
      <c r="N449" s="16" t="n"/>
    </row>
    <row r="450">
      <c r="A450" s="17" t="inlineStr">
        <is>
          <t>ASS-0447</t>
        </is>
      </c>
      <c r="B450" s="16" t="n"/>
      <c r="C450" s="16" t="n"/>
      <c r="D450" s="16" t="n"/>
      <c r="E450" s="16" t="n"/>
      <c r="F450" s="16" t="n"/>
      <c r="G450" s="16" t="n"/>
      <c r="H450" s="16" t="n"/>
      <c r="I450" s="16" t="n"/>
      <c r="J450" s="16" t="n"/>
      <c r="K450" s="16" t="n"/>
      <c r="L450" s="16" t="n"/>
      <c r="M450" s="16" t="n"/>
      <c r="N450" s="16" t="n"/>
    </row>
    <row r="451">
      <c r="A451" s="17" t="inlineStr">
        <is>
          <t>ASS-0448</t>
        </is>
      </c>
      <c r="B451" s="16" t="n"/>
      <c r="C451" s="16" t="n"/>
      <c r="D451" s="16" t="n"/>
      <c r="E451" s="16" t="n"/>
      <c r="F451" s="16" t="n"/>
      <c r="G451" s="16" t="n"/>
      <c r="H451" s="16" t="n"/>
      <c r="I451" s="16" t="n"/>
      <c r="J451" s="16" t="n"/>
      <c r="K451" s="16" t="n"/>
      <c r="L451" s="16" t="n"/>
      <c r="M451" s="16" t="n"/>
      <c r="N451" s="16" t="n"/>
    </row>
    <row r="452">
      <c r="A452" s="17" t="inlineStr">
        <is>
          <t>ASS-0449</t>
        </is>
      </c>
      <c r="B452" s="16" t="n"/>
      <c r="C452" s="16" t="n"/>
      <c r="D452" s="16" t="n"/>
      <c r="E452" s="16" t="n"/>
      <c r="F452" s="16" t="n"/>
      <c r="G452" s="16" t="n"/>
      <c r="H452" s="16" t="n"/>
      <c r="I452" s="16" t="n"/>
      <c r="J452" s="16" t="n"/>
      <c r="K452" s="16" t="n"/>
      <c r="L452" s="16" t="n"/>
      <c r="M452" s="16" t="n"/>
      <c r="N452" s="16" t="n"/>
    </row>
    <row r="453">
      <c r="A453" s="17" t="inlineStr">
        <is>
          <t>ASS-0450</t>
        </is>
      </c>
      <c r="B453" s="16" t="n"/>
      <c r="C453" s="16" t="n"/>
      <c r="D453" s="16" t="n"/>
      <c r="E453" s="16" t="n"/>
      <c r="F453" s="16" t="n"/>
      <c r="G453" s="16" t="n"/>
      <c r="H453" s="16" t="n"/>
      <c r="I453" s="16" t="n"/>
      <c r="J453" s="16" t="n"/>
      <c r="K453" s="16" t="n"/>
      <c r="L453" s="16" t="n"/>
      <c r="M453" s="16" t="n"/>
      <c r="N453" s="16" t="n"/>
    </row>
    <row r="454">
      <c r="A454" s="17" t="inlineStr">
        <is>
          <t>ASS-0451</t>
        </is>
      </c>
      <c r="B454" s="16" t="n"/>
      <c r="C454" s="16" t="n"/>
      <c r="D454" s="16" t="n"/>
      <c r="E454" s="16" t="n"/>
      <c r="F454" s="16" t="n"/>
      <c r="G454" s="16" t="n"/>
      <c r="H454" s="16" t="n"/>
      <c r="I454" s="16" t="n"/>
      <c r="J454" s="16" t="n"/>
      <c r="K454" s="16" t="n"/>
      <c r="L454" s="16" t="n"/>
      <c r="M454" s="16" t="n"/>
      <c r="N454" s="16" t="n"/>
    </row>
    <row r="455">
      <c r="A455" s="17" t="inlineStr">
        <is>
          <t>ASS-0452</t>
        </is>
      </c>
      <c r="B455" s="16" t="n"/>
      <c r="C455" s="16" t="n"/>
      <c r="D455" s="16" t="n"/>
      <c r="E455" s="16" t="n"/>
      <c r="F455" s="16" t="n"/>
      <c r="G455" s="16" t="n"/>
      <c r="H455" s="16" t="n"/>
      <c r="I455" s="16" t="n"/>
      <c r="J455" s="16" t="n"/>
      <c r="K455" s="16" t="n"/>
      <c r="L455" s="16" t="n"/>
      <c r="M455" s="16" t="n"/>
      <c r="N455" s="16" t="n"/>
    </row>
    <row r="456">
      <c r="A456" s="17" t="inlineStr">
        <is>
          <t>ASS-0453</t>
        </is>
      </c>
      <c r="B456" s="16" t="n"/>
      <c r="C456" s="16" t="n"/>
      <c r="D456" s="16" t="n"/>
      <c r="E456" s="16" t="n"/>
      <c r="F456" s="16" t="n"/>
      <c r="G456" s="16" t="n"/>
      <c r="H456" s="16" t="n"/>
      <c r="I456" s="16" t="n"/>
      <c r="J456" s="16" t="n"/>
      <c r="K456" s="16" t="n"/>
      <c r="L456" s="16" t="n"/>
      <c r="M456" s="16" t="n"/>
      <c r="N456" s="16" t="n"/>
    </row>
    <row r="457">
      <c r="A457" s="17" t="inlineStr">
        <is>
          <t>ASS-0454</t>
        </is>
      </c>
      <c r="B457" s="16" t="n"/>
      <c r="C457" s="16" t="n"/>
      <c r="D457" s="16" t="n"/>
      <c r="E457" s="16" t="n"/>
      <c r="F457" s="16" t="n"/>
      <c r="G457" s="16" t="n"/>
      <c r="H457" s="16" t="n"/>
      <c r="I457" s="16" t="n"/>
      <c r="J457" s="16" t="n"/>
      <c r="K457" s="16" t="n"/>
      <c r="L457" s="16" t="n"/>
      <c r="M457" s="16" t="n"/>
      <c r="N457" s="16" t="n"/>
    </row>
    <row r="458">
      <c r="A458" s="17" t="inlineStr">
        <is>
          <t>ASS-0455</t>
        </is>
      </c>
      <c r="B458" s="16" t="n"/>
      <c r="C458" s="16" t="n"/>
      <c r="D458" s="16" t="n"/>
      <c r="E458" s="16" t="n"/>
      <c r="F458" s="16" t="n"/>
      <c r="G458" s="16" t="n"/>
      <c r="H458" s="16" t="n"/>
      <c r="I458" s="16" t="n"/>
      <c r="J458" s="16" t="n"/>
      <c r="K458" s="16" t="n"/>
      <c r="L458" s="16" t="n"/>
      <c r="M458" s="16" t="n"/>
      <c r="N458" s="16" t="n"/>
    </row>
    <row r="459">
      <c r="A459" s="17" t="inlineStr">
        <is>
          <t>ASS-0456</t>
        </is>
      </c>
      <c r="B459" s="16" t="n"/>
      <c r="C459" s="16" t="n"/>
      <c r="D459" s="16" t="n"/>
      <c r="E459" s="16" t="n"/>
      <c r="F459" s="16" t="n"/>
      <c r="G459" s="16" t="n"/>
      <c r="H459" s="16" t="n"/>
      <c r="I459" s="16" t="n"/>
      <c r="J459" s="16" t="n"/>
      <c r="K459" s="16" t="n"/>
      <c r="L459" s="16" t="n"/>
      <c r="M459" s="16" t="n"/>
      <c r="N459" s="16" t="n"/>
    </row>
    <row r="460">
      <c r="A460" s="17" t="inlineStr">
        <is>
          <t>ASS-0457</t>
        </is>
      </c>
      <c r="B460" s="16" t="n"/>
      <c r="C460" s="16" t="n"/>
      <c r="D460" s="16" t="n"/>
      <c r="E460" s="16" t="n"/>
      <c r="F460" s="16" t="n"/>
      <c r="G460" s="16" t="n"/>
      <c r="H460" s="16" t="n"/>
      <c r="I460" s="16" t="n"/>
      <c r="J460" s="16" t="n"/>
      <c r="K460" s="16" t="n"/>
      <c r="L460" s="16" t="n"/>
      <c r="M460" s="16" t="n"/>
      <c r="N460" s="16" t="n"/>
    </row>
    <row r="461">
      <c r="A461" s="17" t="inlineStr">
        <is>
          <t>ASS-0458</t>
        </is>
      </c>
      <c r="B461" s="16" t="n"/>
      <c r="C461" s="16" t="n"/>
      <c r="D461" s="16" t="n"/>
      <c r="E461" s="16" t="n"/>
      <c r="F461" s="16" t="n"/>
      <c r="G461" s="16" t="n"/>
      <c r="H461" s="16" t="n"/>
      <c r="I461" s="16" t="n"/>
      <c r="J461" s="16" t="n"/>
      <c r="K461" s="16" t="n"/>
      <c r="L461" s="16" t="n"/>
      <c r="M461" s="16" t="n"/>
      <c r="N461" s="16" t="n"/>
    </row>
    <row r="462">
      <c r="A462" s="17" t="inlineStr">
        <is>
          <t>ASS-0459</t>
        </is>
      </c>
      <c r="B462" s="16" t="n"/>
      <c r="C462" s="16" t="n"/>
      <c r="D462" s="16" t="n"/>
      <c r="E462" s="16" t="n"/>
      <c r="F462" s="16" t="n"/>
      <c r="G462" s="16" t="n"/>
      <c r="H462" s="16" t="n"/>
      <c r="I462" s="16" t="n"/>
      <c r="J462" s="16" t="n"/>
      <c r="K462" s="16" t="n"/>
      <c r="L462" s="16" t="n"/>
      <c r="M462" s="16" t="n"/>
      <c r="N462" s="16" t="n"/>
    </row>
    <row r="463">
      <c r="A463" s="17" t="inlineStr">
        <is>
          <t>ASS-0460</t>
        </is>
      </c>
      <c r="B463" s="16" t="n"/>
      <c r="C463" s="16" t="n"/>
      <c r="D463" s="16" t="n"/>
      <c r="E463" s="16" t="n"/>
      <c r="F463" s="16" t="n"/>
      <c r="G463" s="16" t="n"/>
      <c r="H463" s="16" t="n"/>
      <c r="I463" s="16" t="n"/>
      <c r="J463" s="16" t="n"/>
      <c r="K463" s="16" t="n"/>
      <c r="L463" s="16" t="n"/>
      <c r="M463" s="16" t="n"/>
      <c r="N463" s="16" t="n"/>
    </row>
    <row r="464">
      <c r="A464" s="17" t="inlineStr">
        <is>
          <t>ASS-0461</t>
        </is>
      </c>
      <c r="B464" s="16" t="n"/>
      <c r="C464" s="16" t="n"/>
      <c r="D464" s="16" t="n"/>
      <c r="E464" s="16" t="n"/>
      <c r="F464" s="16" t="n"/>
      <c r="G464" s="16" t="n"/>
      <c r="H464" s="16" t="n"/>
      <c r="I464" s="16" t="n"/>
      <c r="J464" s="16" t="n"/>
      <c r="K464" s="16" t="n"/>
      <c r="L464" s="16" t="n"/>
      <c r="M464" s="16" t="n"/>
      <c r="N464" s="16" t="n"/>
    </row>
    <row r="465">
      <c r="A465" s="17" t="inlineStr">
        <is>
          <t>ASS-0462</t>
        </is>
      </c>
      <c r="B465" s="16" t="n"/>
      <c r="C465" s="16" t="n"/>
      <c r="D465" s="16" t="n"/>
      <c r="E465" s="16" t="n"/>
      <c r="F465" s="16" t="n"/>
      <c r="G465" s="16" t="n"/>
      <c r="H465" s="16" t="n"/>
      <c r="I465" s="16" t="n"/>
      <c r="J465" s="16" t="n"/>
      <c r="K465" s="16" t="n"/>
      <c r="L465" s="16" t="n"/>
      <c r="M465" s="16" t="n"/>
      <c r="N465" s="16" t="n"/>
    </row>
    <row r="466">
      <c r="A466" s="17" t="inlineStr">
        <is>
          <t>ASS-0463</t>
        </is>
      </c>
      <c r="B466" s="16" t="n"/>
      <c r="C466" s="16" t="n"/>
      <c r="D466" s="16" t="n"/>
      <c r="E466" s="16" t="n"/>
      <c r="F466" s="16" t="n"/>
      <c r="G466" s="16" t="n"/>
      <c r="H466" s="16" t="n"/>
      <c r="I466" s="16" t="n"/>
      <c r="J466" s="16" t="n"/>
      <c r="K466" s="16" t="n"/>
      <c r="L466" s="16" t="n"/>
      <c r="M466" s="16" t="n"/>
      <c r="N466" s="16" t="n"/>
    </row>
    <row r="467">
      <c r="A467" s="17" t="inlineStr">
        <is>
          <t>ASS-0464</t>
        </is>
      </c>
      <c r="B467" s="16" t="n"/>
      <c r="C467" s="16" t="n"/>
      <c r="D467" s="16" t="n"/>
      <c r="E467" s="16" t="n"/>
      <c r="F467" s="16" t="n"/>
      <c r="G467" s="16" t="n"/>
      <c r="H467" s="16" t="n"/>
      <c r="I467" s="16" t="n"/>
      <c r="J467" s="16" t="n"/>
      <c r="K467" s="16" t="n"/>
      <c r="L467" s="16" t="n"/>
      <c r="M467" s="16" t="n"/>
      <c r="N467" s="16" t="n"/>
    </row>
    <row r="468">
      <c r="A468" s="17" t="inlineStr">
        <is>
          <t>ASS-0465</t>
        </is>
      </c>
      <c r="B468" s="16" t="n"/>
      <c r="C468" s="16" t="n"/>
      <c r="D468" s="16" t="n"/>
      <c r="E468" s="16" t="n"/>
      <c r="F468" s="16" t="n"/>
      <c r="G468" s="16" t="n"/>
      <c r="H468" s="16" t="n"/>
      <c r="I468" s="16" t="n"/>
      <c r="J468" s="16" t="n"/>
      <c r="K468" s="16" t="n"/>
      <c r="L468" s="16" t="n"/>
      <c r="M468" s="16" t="n"/>
      <c r="N468" s="16" t="n"/>
    </row>
    <row r="469">
      <c r="A469" s="17" t="inlineStr">
        <is>
          <t>ASS-0466</t>
        </is>
      </c>
      <c r="B469" s="16" t="n"/>
      <c r="C469" s="16" t="n"/>
      <c r="D469" s="16" t="n"/>
      <c r="E469" s="16" t="n"/>
      <c r="F469" s="16" t="n"/>
      <c r="G469" s="16" t="n"/>
      <c r="H469" s="16" t="n"/>
      <c r="I469" s="16" t="n"/>
      <c r="J469" s="16" t="n"/>
      <c r="K469" s="16" t="n"/>
      <c r="L469" s="16" t="n"/>
      <c r="M469" s="16" t="n"/>
      <c r="N469" s="16" t="n"/>
    </row>
    <row r="470">
      <c r="A470" s="17" t="inlineStr">
        <is>
          <t>ASS-0467</t>
        </is>
      </c>
      <c r="B470" s="16" t="n"/>
      <c r="C470" s="16" t="n"/>
      <c r="D470" s="16" t="n"/>
      <c r="E470" s="16" t="n"/>
      <c r="F470" s="16" t="n"/>
      <c r="G470" s="16" t="n"/>
      <c r="H470" s="16" t="n"/>
      <c r="I470" s="16" t="n"/>
      <c r="J470" s="16" t="n"/>
      <c r="K470" s="16" t="n"/>
      <c r="L470" s="16" t="n"/>
      <c r="M470" s="16" t="n"/>
      <c r="N470" s="16" t="n"/>
    </row>
    <row r="471">
      <c r="A471" s="17" t="inlineStr">
        <is>
          <t>ASS-0468</t>
        </is>
      </c>
      <c r="B471" s="16" t="n"/>
      <c r="C471" s="16" t="n"/>
      <c r="D471" s="16" t="n"/>
      <c r="E471" s="16" t="n"/>
      <c r="F471" s="16" t="n"/>
      <c r="G471" s="16" t="n"/>
      <c r="H471" s="16" t="n"/>
      <c r="I471" s="16" t="n"/>
      <c r="J471" s="16" t="n"/>
      <c r="K471" s="16" t="n"/>
      <c r="L471" s="16" t="n"/>
      <c r="M471" s="16" t="n"/>
      <c r="N471" s="16" t="n"/>
    </row>
    <row r="472">
      <c r="A472" s="17" t="inlineStr">
        <is>
          <t>ASS-0469</t>
        </is>
      </c>
      <c r="B472" s="16" t="n"/>
      <c r="C472" s="16" t="n"/>
      <c r="D472" s="16" t="n"/>
      <c r="E472" s="16" t="n"/>
      <c r="F472" s="16" t="n"/>
      <c r="G472" s="16" t="n"/>
      <c r="H472" s="16" t="n"/>
      <c r="I472" s="16" t="n"/>
      <c r="J472" s="16" t="n"/>
      <c r="K472" s="16" t="n"/>
      <c r="L472" s="16" t="n"/>
      <c r="M472" s="16" t="n"/>
      <c r="N472" s="16" t="n"/>
    </row>
    <row r="473">
      <c r="A473" s="17" t="inlineStr">
        <is>
          <t>ASS-0470</t>
        </is>
      </c>
      <c r="B473" s="16" t="n"/>
      <c r="C473" s="16" t="n"/>
      <c r="D473" s="16" t="n"/>
      <c r="E473" s="16" t="n"/>
      <c r="F473" s="16" t="n"/>
      <c r="G473" s="16" t="n"/>
      <c r="H473" s="16" t="n"/>
      <c r="I473" s="16" t="n"/>
      <c r="J473" s="16" t="n"/>
      <c r="K473" s="16" t="n"/>
      <c r="L473" s="16" t="n"/>
      <c r="M473" s="16" t="n"/>
      <c r="N473" s="16" t="n"/>
    </row>
    <row r="474">
      <c r="A474" s="17" t="inlineStr">
        <is>
          <t>ASS-0471</t>
        </is>
      </c>
      <c r="B474" s="16" t="n"/>
      <c r="C474" s="16" t="n"/>
      <c r="D474" s="16" t="n"/>
      <c r="E474" s="16" t="n"/>
      <c r="F474" s="16" t="n"/>
      <c r="G474" s="16" t="n"/>
      <c r="H474" s="16" t="n"/>
      <c r="I474" s="16" t="n"/>
      <c r="J474" s="16" t="n"/>
      <c r="K474" s="16" t="n"/>
      <c r="L474" s="16" t="n"/>
      <c r="M474" s="16" t="n"/>
      <c r="N474" s="16" t="n"/>
    </row>
    <row r="475">
      <c r="A475" s="17" t="inlineStr">
        <is>
          <t>ASS-0472</t>
        </is>
      </c>
      <c r="B475" s="16" t="n"/>
      <c r="C475" s="16" t="n"/>
      <c r="D475" s="16" t="n"/>
      <c r="E475" s="16" t="n"/>
      <c r="F475" s="16" t="n"/>
      <c r="G475" s="16" t="n"/>
      <c r="H475" s="16" t="n"/>
      <c r="I475" s="16" t="n"/>
      <c r="J475" s="16" t="n"/>
      <c r="K475" s="16" t="n"/>
      <c r="L475" s="16" t="n"/>
      <c r="M475" s="16" t="n"/>
      <c r="N475" s="16" t="n"/>
    </row>
    <row r="476">
      <c r="A476" s="17" t="inlineStr">
        <is>
          <t>ASS-0473</t>
        </is>
      </c>
      <c r="B476" s="16" t="n"/>
      <c r="C476" s="16" t="n"/>
      <c r="D476" s="16" t="n"/>
      <c r="E476" s="16" t="n"/>
      <c r="F476" s="16" t="n"/>
      <c r="G476" s="16" t="n"/>
      <c r="H476" s="16" t="n"/>
      <c r="I476" s="16" t="n"/>
      <c r="J476" s="16" t="n"/>
      <c r="K476" s="16" t="n"/>
      <c r="L476" s="16" t="n"/>
      <c r="M476" s="16" t="n"/>
      <c r="N476" s="16" t="n"/>
    </row>
    <row r="477">
      <c r="A477" s="17" t="inlineStr">
        <is>
          <t>ASS-0474</t>
        </is>
      </c>
      <c r="B477" s="16" t="n"/>
      <c r="C477" s="16" t="n"/>
      <c r="D477" s="16" t="n"/>
      <c r="E477" s="16" t="n"/>
      <c r="F477" s="16" t="n"/>
      <c r="G477" s="16" t="n"/>
      <c r="H477" s="16" t="n"/>
      <c r="I477" s="16" t="n"/>
      <c r="J477" s="16" t="n"/>
      <c r="K477" s="16" t="n"/>
      <c r="L477" s="16" t="n"/>
      <c r="M477" s="16" t="n"/>
      <c r="N477" s="16" t="n"/>
    </row>
    <row r="478">
      <c r="A478" s="17" t="inlineStr">
        <is>
          <t>ASS-0475</t>
        </is>
      </c>
      <c r="B478" s="16" t="n"/>
      <c r="C478" s="16" t="n"/>
      <c r="D478" s="16" t="n"/>
      <c r="E478" s="16" t="n"/>
      <c r="F478" s="16" t="n"/>
      <c r="G478" s="16" t="n"/>
      <c r="H478" s="16" t="n"/>
      <c r="I478" s="16" t="n"/>
      <c r="J478" s="16" t="n"/>
      <c r="K478" s="16" t="n"/>
      <c r="L478" s="16" t="n"/>
      <c r="M478" s="16" t="n"/>
      <c r="N478" s="16" t="n"/>
    </row>
    <row r="479">
      <c r="A479" s="17" t="inlineStr">
        <is>
          <t>ASS-0476</t>
        </is>
      </c>
      <c r="B479" s="16" t="n"/>
      <c r="C479" s="16" t="n"/>
      <c r="D479" s="16" t="n"/>
      <c r="E479" s="16" t="n"/>
      <c r="F479" s="16" t="n"/>
      <c r="G479" s="16" t="n"/>
      <c r="H479" s="16" t="n"/>
      <c r="I479" s="16" t="n"/>
      <c r="J479" s="16" t="n"/>
      <c r="K479" s="16" t="n"/>
      <c r="L479" s="16" t="n"/>
      <c r="M479" s="16" t="n"/>
      <c r="N479" s="16" t="n"/>
    </row>
    <row r="480">
      <c r="A480" s="17" t="inlineStr">
        <is>
          <t>ASS-0477</t>
        </is>
      </c>
      <c r="B480" s="16" t="n"/>
      <c r="C480" s="16" t="n"/>
      <c r="D480" s="16" t="n"/>
      <c r="E480" s="16" t="n"/>
      <c r="F480" s="16" t="n"/>
      <c r="G480" s="16" t="n"/>
      <c r="H480" s="16" t="n"/>
      <c r="I480" s="16" t="n"/>
      <c r="J480" s="16" t="n"/>
      <c r="K480" s="16" t="n"/>
      <c r="L480" s="16" t="n"/>
      <c r="M480" s="16" t="n"/>
      <c r="N480" s="16" t="n"/>
    </row>
    <row r="481">
      <c r="A481" s="17" t="inlineStr">
        <is>
          <t>ASS-0478</t>
        </is>
      </c>
      <c r="B481" s="16" t="n"/>
      <c r="C481" s="16" t="n"/>
      <c r="D481" s="16" t="n"/>
      <c r="E481" s="16" t="n"/>
      <c r="F481" s="16" t="n"/>
      <c r="G481" s="16" t="n"/>
      <c r="H481" s="16" t="n"/>
      <c r="I481" s="16" t="n"/>
      <c r="J481" s="16" t="n"/>
      <c r="K481" s="16" t="n"/>
      <c r="L481" s="16" t="n"/>
      <c r="M481" s="16" t="n"/>
      <c r="N481" s="16" t="n"/>
    </row>
    <row r="482">
      <c r="A482" s="17" t="inlineStr">
        <is>
          <t>ASS-0479</t>
        </is>
      </c>
      <c r="B482" s="16" t="n"/>
      <c r="C482" s="16" t="n"/>
      <c r="D482" s="16" t="n"/>
      <c r="E482" s="16" t="n"/>
      <c r="F482" s="16" t="n"/>
      <c r="G482" s="16" t="n"/>
      <c r="H482" s="16" t="n"/>
      <c r="I482" s="16" t="n"/>
      <c r="J482" s="16" t="n"/>
      <c r="K482" s="16" t="n"/>
      <c r="L482" s="16" t="n"/>
      <c r="M482" s="16" t="n"/>
      <c r="N482" s="16" t="n"/>
    </row>
    <row r="483">
      <c r="A483" s="17" t="inlineStr">
        <is>
          <t>ASS-0480</t>
        </is>
      </c>
      <c r="B483" s="16" t="n"/>
      <c r="C483" s="16" t="n"/>
      <c r="D483" s="16" t="n"/>
      <c r="E483" s="16" t="n"/>
      <c r="F483" s="16" t="n"/>
      <c r="G483" s="16" t="n"/>
      <c r="H483" s="16" t="n"/>
      <c r="I483" s="16" t="n"/>
      <c r="J483" s="16" t="n"/>
      <c r="K483" s="16" t="n"/>
      <c r="L483" s="16" t="n"/>
      <c r="M483" s="16" t="n"/>
      <c r="N483" s="16" t="n"/>
    </row>
    <row r="484">
      <c r="A484" s="17" t="inlineStr">
        <is>
          <t>ASS-0481</t>
        </is>
      </c>
      <c r="B484" s="16" t="n"/>
      <c r="C484" s="16" t="n"/>
      <c r="D484" s="16" t="n"/>
      <c r="E484" s="16" t="n"/>
      <c r="F484" s="16" t="n"/>
      <c r="G484" s="16" t="n"/>
      <c r="H484" s="16" t="n"/>
      <c r="I484" s="16" t="n"/>
      <c r="J484" s="16" t="n"/>
      <c r="K484" s="16" t="n"/>
      <c r="L484" s="16" t="n"/>
      <c r="M484" s="16" t="n"/>
      <c r="N484" s="16" t="n"/>
    </row>
    <row r="485">
      <c r="A485" s="17" t="inlineStr">
        <is>
          <t>ASS-0482</t>
        </is>
      </c>
      <c r="B485" s="16" t="n"/>
      <c r="C485" s="16" t="n"/>
      <c r="D485" s="16" t="n"/>
      <c r="E485" s="16" t="n"/>
      <c r="F485" s="16" t="n"/>
      <c r="G485" s="16" t="n"/>
      <c r="H485" s="16" t="n"/>
      <c r="I485" s="16" t="n"/>
      <c r="J485" s="16" t="n"/>
      <c r="K485" s="16" t="n"/>
      <c r="L485" s="16" t="n"/>
      <c r="M485" s="16" t="n"/>
      <c r="N485" s="16" t="n"/>
    </row>
    <row r="486">
      <c r="A486" s="17" t="inlineStr">
        <is>
          <t>ASS-0483</t>
        </is>
      </c>
      <c r="B486" s="16" t="n"/>
      <c r="C486" s="16" t="n"/>
      <c r="D486" s="16" t="n"/>
      <c r="E486" s="16" t="n"/>
      <c r="F486" s="16" t="n"/>
      <c r="G486" s="16" t="n"/>
      <c r="H486" s="16" t="n"/>
      <c r="I486" s="16" t="n"/>
      <c r="J486" s="16" t="n"/>
      <c r="K486" s="16" t="n"/>
      <c r="L486" s="16" t="n"/>
      <c r="M486" s="16" t="n"/>
      <c r="N486" s="16" t="n"/>
    </row>
    <row r="487">
      <c r="A487" s="17" t="inlineStr">
        <is>
          <t>ASS-0484</t>
        </is>
      </c>
      <c r="B487" s="16" t="n"/>
      <c r="C487" s="16" t="n"/>
      <c r="D487" s="16" t="n"/>
      <c r="E487" s="16" t="n"/>
      <c r="F487" s="16" t="n"/>
      <c r="G487" s="16" t="n"/>
      <c r="H487" s="16" t="n"/>
      <c r="I487" s="16" t="n"/>
      <c r="J487" s="16" t="n"/>
      <c r="K487" s="16" t="n"/>
      <c r="L487" s="16" t="n"/>
      <c r="M487" s="16" t="n"/>
      <c r="N487" s="16" t="n"/>
    </row>
    <row r="488">
      <c r="A488" s="17" t="inlineStr">
        <is>
          <t>ASS-0485</t>
        </is>
      </c>
      <c r="B488" s="16" t="n"/>
      <c r="C488" s="16" t="n"/>
      <c r="D488" s="16" t="n"/>
      <c r="E488" s="16" t="n"/>
      <c r="F488" s="16" t="n"/>
      <c r="G488" s="16" t="n"/>
      <c r="H488" s="16" t="n"/>
      <c r="I488" s="16" t="n"/>
      <c r="J488" s="16" t="n"/>
      <c r="K488" s="16" t="n"/>
      <c r="L488" s="16" t="n"/>
      <c r="M488" s="16" t="n"/>
      <c r="N488" s="16" t="n"/>
    </row>
    <row r="489">
      <c r="A489" s="17" t="inlineStr">
        <is>
          <t>ASS-0486</t>
        </is>
      </c>
      <c r="B489" s="16" t="n"/>
      <c r="C489" s="16" t="n"/>
      <c r="D489" s="16" t="n"/>
      <c r="E489" s="16" t="n"/>
      <c r="F489" s="16" t="n"/>
      <c r="G489" s="16" t="n"/>
      <c r="H489" s="16" t="n"/>
      <c r="I489" s="16" t="n"/>
      <c r="J489" s="16" t="n"/>
      <c r="K489" s="16" t="n"/>
      <c r="L489" s="16" t="n"/>
      <c r="M489" s="16" t="n"/>
      <c r="N489" s="16" t="n"/>
    </row>
    <row r="490">
      <c r="A490" s="17" t="inlineStr">
        <is>
          <t>ASS-0487</t>
        </is>
      </c>
      <c r="B490" s="16" t="n"/>
      <c r="C490" s="16" t="n"/>
      <c r="D490" s="16" t="n"/>
      <c r="E490" s="16" t="n"/>
      <c r="F490" s="16" t="n"/>
      <c r="G490" s="16" t="n"/>
      <c r="H490" s="16" t="n"/>
      <c r="I490" s="16" t="n"/>
      <c r="J490" s="16" t="n"/>
      <c r="K490" s="16" t="n"/>
      <c r="L490" s="16" t="n"/>
      <c r="M490" s="16" t="n"/>
      <c r="N490" s="16" t="n"/>
    </row>
    <row r="491">
      <c r="A491" s="17" t="inlineStr">
        <is>
          <t>ASS-0488</t>
        </is>
      </c>
      <c r="B491" s="16" t="n"/>
      <c r="C491" s="16" t="n"/>
      <c r="D491" s="16" t="n"/>
      <c r="E491" s="16" t="n"/>
      <c r="F491" s="16" t="n"/>
      <c r="G491" s="16" t="n"/>
      <c r="H491" s="16" t="n"/>
      <c r="I491" s="16" t="n"/>
      <c r="J491" s="16" t="n"/>
      <c r="K491" s="16" t="n"/>
      <c r="L491" s="16" t="n"/>
      <c r="M491" s="16" t="n"/>
      <c r="N491" s="16" t="n"/>
    </row>
    <row r="492">
      <c r="A492" s="17" t="inlineStr">
        <is>
          <t>ASS-0489</t>
        </is>
      </c>
      <c r="B492" s="16" t="n"/>
      <c r="C492" s="16" t="n"/>
      <c r="D492" s="16" t="n"/>
      <c r="E492" s="16" t="n"/>
      <c r="F492" s="16" t="n"/>
      <c r="G492" s="16" t="n"/>
      <c r="H492" s="16" t="n"/>
      <c r="I492" s="16" t="n"/>
      <c r="J492" s="16" t="n"/>
      <c r="K492" s="16" t="n"/>
      <c r="L492" s="16" t="n"/>
      <c r="M492" s="16" t="n"/>
      <c r="N492" s="16" t="n"/>
    </row>
    <row r="493">
      <c r="A493" s="17" t="inlineStr">
        <is>
          <t>ASS-0490</t>
        </is>
      </c>
      <c r="B493" s="16" t="n"/>
      <c r="C493" s="16" t="n"/>
      <c r="D493" s="16" t="n"/>
      <c r="E493" s="16" t="n"/>
      <c r="F493" s="16" t="n"/>
      <c r="G493" s="16" t="n"/>
      <c r="H493" s="16" t="n"/>
      <c r="I493" s="16" t="n"/>
      <c r="J493" s="16" t="n"/>
      <c r="K493" s="16" t="n"/>
      <c r="L493" s="16" t="n"/>
      <c r="M493" s="16" t="n"/>
      <c r="N493" s="16" t="n"/>
    </row>
    <row r="494">
      <c r="A494" s="17" t="inlineStr">
        <is>
          <t>ASS-0491</t>
        </is>
      </c>
      <c r="B494" s="16" t="n"/>
      <c r="C494" s="16" t="n"/>
      <c r="D494" s="16" t="n"/>
      <c r="E494" s="16" t="n"/>
      <c r="F494" s="16" t="n"/>
      <c r="G494" s="16" t="n"/>
      <c r="H494" s="16" t="n"/>
      <c r="I494" s="16" t="n"/>
      <c r="J494" s="16" t="n"/>
      <c r="K494" s="16" t="n"/>
      <c r="L494" s="16" t="n"/>
      <c r="M494" s="16" t="n"/>
      <c r="N494" s="16" t="n"/>
    </row>
    <row r="495">
      <c r="A495" s="17" t="inlineStr">
        <is>
          <t>ASS-0492</t>
        </is>
      </c>
      <c r="B495" s="16" t="n"/>
      <c r="C495" s="16" t="n"/>
      <c r="D495" s="16" t="n"/>
      <c r="E495" s="16" t="n"/>
      <c r="F495" s="16" t="n"/>
      <c r="G495" s="16" t="n"/>
      <c r="H495" s="16" t="n"/>
      <c r="I495" s="16" t="n"/>
      <c r="J495" s="16" t="n"/>
      <c r="K495" s="16" t="n"/>
      <c r="L495" s="16" t="n"/>
      <c r="M495" s="16" t="n"/>
      <c r="N495" s="16" t="n"/>
    </row>
    <row r="496">
      <c r="A496" s="17" t="inlineStr">
        <is>
          <t>ASS-0493</t>
        </is>
      </c>
      <c r="B496" s="16" t="n"/>
      <c r="C496" s="16" t="n"/>
      <c r="D496" s="16" t="n"/>
      <c r="E496" s="16" t="n"/>
      <c r="F496" s="16" t="n"/>
      <c r="G496" s="16" t="n"/>
      <c r="H496" s="16" t="n"/>
      <c r="I496" s="16" t="n"/>
      <c r="J496" s="16" t="n"/>
      <c r="K496" s="16" t="n"/>
      <c r="L496" s="16" t="n"/>
      <c r="M496" s="16" t="n"/>
      <c r="N496" s="16" t="n"/>
    </row>
    <row r="497">
      <c r="A497" s="17" t="inlineStr">
        <is>
          <t>ASS-0494</t>
        </is>
      </c>
      <c r="B497" s="16" t="n"/>
      <c r="C497" s="16" t="n"/>
      <c r="D497" s="16" t="n"/>
      <c r="E497" s="16" t="n"/>
      <c r="F497" s="16" t="n"/>
      <c r="G497" s="16" t="n"/>
      <c r="H497" s="16" t="n"/>
      <c r="I497" s="16" t="n"/>
      <c r="J497" s="16" t="n"/>
      <c r="K497" s="16" t="n"/>
      <c r="L497" s="16" t="n"/>
      <c r="M497" s="16" t="n"/>
      <c r="N497" s="16" t="n"/>
    </row>
    <row r="498">
      <c r="A498" s="17" t="inlineStr">
        <is>
          <t>ASS-0495</t>
        </is>
      </c>
      <c r="B498" s="16" t="n"/>
      <c r="C498" s="16" t="n"/>
      <c r="D498" s="16" t="n"/>
      <c r="E498" s="16" t="n"/>
      <c r="F498" s="16" t="n"/>
      <c r="G498" s="16" t="n"/>
      <c r="H498" s="16" t="n"/>
      <c r="I498" s="16" t="n"/>
      <c r="J498" s="16" t="n"/>
      <c r="K498" s="16" t="n"/>
      <c r="L498" s="16" t="n"/>
      <c r="M498" s="16" t="n"/>
      <c r="N498" s="16" t="n"/>
    </row>
    <row r="499">
      <c r="A499" s="17" t="inlineStr">
        <is>
          <t>ASS-0496</t>
        </is>
      </c>
      <c r="B499" s="16" t="n"/>
      <c r="C499" s="16" t="n"/>
      <c r="D499" s="16" t="n"/>
      <c r="E499" s="16" t="n"/>
      <c r="F499" s="16" t="n"/>
      <c r="G499" s="16" t="n"/>
      <c r="H499" s="16" t="n"/>
      <c r="I499" s="16" t="n"/>
      <c r="J499" s="16" t="n"/>
      <c r="K499" s="16" t="n"/>
      <c r="L499" s="16" t="n"/>
      <c r="M499" s="16" t="n"/>
      <c r="N499" s="16" t="n"/>
    </row>
    <row r="500">
      <c r="A500" s="17" t="inlineStr">
        <is>
          <t>ASS-0497</t>
        </is>
      </c>
      <c r="B500" s="16" t="n"/>
      <c r="C500" s="16" t="n"/>
      <c r="D500" s="16" t="n"/>
      <c r="E500" s="16" t="n"/>
      <c r="F500" s="16" t="n"/>
      <c r="G500" s="16" t="n"/>
      <c r="H500" s="16" t="n"/>
      <c r="I500" s="16" t="n"/>
      <c r="J500" s="16" t="n"/>
      <c r="K500" s="16" t="n"/>
      <c r="L500" s="16" t="n"/>
      <c r="M500" s="16" t="n"/>
      <c r="N500" s="16" t="n"/>
    </row>
    <row r="501">
      <c r="A501" s="17" t="inlineStr">
        <is>
          <t>ASS-0498</t>
        </is>
      </c>
      <c r="B501" s="16" t="n"/>
      <c r="C501" s="16" t="n"/>
      <c r="D501" s="16" t="n"/>
      <c r="E501" s="16" t="n"/>
      <c r="F501" s="16" t="n"/>
      <c r="G501" s="16" t="n"/>
      <c r="H501" s="16" t="n"/>
      <c r="I501" s="16" t="n"/>
      <c r="J501" s="16" t="n"/>
      <c r="K501" s="16" t="n"/>
      <c r="L501" s="16" t="n"/>
      <c r="M501" s="16" t="n"/>
      <c r="N501" s="16" t="n"/>
    </row>
    <row r="502">
      <c r="A502" s="17" t="inlineStr">
        <is>
          <t>ASS-0499</t>
        </is>
      </c>
      <c r="B502" s="16" t="n"/>
      <c r="C502" s="16" t="n"/>
      <c r="D502" s="16" t="n"/>
      <c r="E502" s="16" t="n"/>
      <c r="F502" s="16" t="n"/>
      <c r="G502" s="16" t="n"/>
      <c r="H502" s="16" t="n"/>
      <c r="I502" s="16" t="n"/>
      <c r="J502" s="16" t="n"/>
      <c r="K502" s="16" t="n"/>
      <c r="L502" s="16" t="n"/>
      <c r="M502" s="16" t="n"/>
      <c r="N502" s="16" t="n"/>
    </row>
    <row r="503">
      <c r="A503" s="17" t="inlineStr">
        <is>
          <t>ASS-0500</t>
        </is>
      </c>
      <c r="B503" s="16" t="n"/>
      <c r="C503" s="16" t="n"/>
      <c r="D503" s="16" t="n"/>
      <c r="E503" s="16" t="n"/>
      <c r="F503" s="16" t="n"/>
      <c r="G503" s="16" t="n"/>
      <c r="H503" s="16" t="n"/>
      <c r="I503" s="16" t="n"/>
      <c r="J503" s="16" t="n"/>
      <c r="K503" s="16" t="n"/>
      <c r="L503" s="16" t="n"/>
      <c r="M503" s="16" t="n"/>
      <c r="N503" s="16" t="n"/>
    </row>
  </sheetData>
  <mergeCells count="1">
    <mergeCell ref="A1:N1"/>
  </mergeCells>
  <dataValidations count="3">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showDropDown="0" showInputMessage="0" showErrorMessage="0" allowBlank="0" type="list">
      <formula1>"Quiz,Practical,Simulation,Scenario,Tabletop"</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showDropDown="0" showInputMessage="0" showErrorMessage="0" allowBlank="0" type="list">
      <formula1>"Pass,Fail"</formula1>
    </dataValidation>
    <dataValidation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2" customWidth="1" min="3" max="3"/>
    <col width="12" customWidth="1" min="4" max="4"/>
    <col width="10" customWidth="1" min="5" max="5"/>
    <col width="12" customWidth="1" min="6" max="6"/>
    <col width="12" customWidth="1" min="7" max="7"/>
    <col width="18" customWidth="1" min="8" max="8"/>
    <col width="18" customWidth="1" min="9" max="9"/>
    <col width="15" customWidth="1" min="10" max="10"/>
    <col width="15" customWidth="1" min="11" max="11"/>
    <col width="18" customWidth="1" min="12" max="12"/>
    <col width="18" customWidth="1" min="13" max="13"/>
  </cols>
  <sheetData>
    <row r="1" ht="35" customHeight="1">
      <c r="A1" s="11" t="inlineStr">
        <is>
          <t>SIMULATION RESULTS
Phishing and behavioural simulation tracking</t>
        </is>
      </c>
    </row>
    <row r="2">
      <c r="A2" s="12" t="inlineStr">
        <is>
          <t>Phishing and behavioural simulation campaign results and remediation tracking</t>
        </is>
      </c>
    </row>
    <row r="3">
      <c r="A3" s="13" t="inlineStr">
        <is>
          <t>Campaign ID</t>
        </is>
      </c>
      <c r="B3" s="13" t="inlineStr">
        <is>
          <t>Campaign Name</t>
        </is>
      </c>
      <c r="C3" s="13" t="inlineStr">
        <is>
          <t>Campaign Date</t>
        </is>
      </c>
      <c r="D3" s="13" t="inlineStr">
        <is>
          <t>Employee ID</t>
        </is>
      </c>
      <c r="E3" s="13" t="inlineStr">
        <is>
          <t>Email Sent</t>
        </is>
      </c>
      <c r="F3" s="13" t="inlineStr">
        <is>
          <t>Email Opened</t>
        </is>
      </c>
      <c r="G3" s="13" t="inlineStr">
        <is>
          <t>Link Clicked</t>
        </is>
      </c>
      <c r="H3" s="13" t="inlineStr">
        <is>
          <t>Credentials Submitted</t>
        </is>
      </c>
      <c r="I3" s="13" t="inlineStr">
        <is>
          <t>Reported Suspicious</t>
        </is>
      </c>
      <c r="J3" s="13" t="inlineStr">
        <is>
          <t>Time To Click</t>
        </is>
      </c>
      <c r="K3" s="13" t="inlineStr">
        <is>
          <t>Time To Report</t>
        </is>
      </c>
      <c r="L3" s="13" t="inlineStr">
        <is>
          <t>Remediation Assigned</t>
        </is>
      </c>
      <c r="M3" s="13" t="inlineStr">
        <is>
          <t>Remediation Completed</t>
        </is>
      </c>
    </row>
    <row r="4">
      <c r="A4" s="14" t="inlineStr">
        <is>
          <t>CAM-001</t>
        </is>
      </c>
      <c r="B4" s="15" t="n"/>
      <c r="C4" s="15" t="n"/>
      <c r="D4" s="15" t="n"/>
      <c r="E4" s="15" t="n"/>
      <c r="F4" s="15" t="n"/>
      <c r="G4" s="15" t="n"/>
      <c r="H4" s="15" t="n"/>
      <c r="I4" s="15" t="n"/>
      <c r="J4" s="15" t="n"/>
      <c r="K4" s="15" t="n"/>
      <c r="L4" s="15" t="n"/>
      <c r="M4" s="15" t="n"/>
    </row>
    <row r="5">
      <c r="A5" s="16" t="n"/>
      <c r="B5" s="16" t="n"/>
      <c r="C5" s="16" t="n"/>
      <c r="D5" s="16" t="n"/>
      <c r="E5" s="16" t="n"/>
      <c r="F5" s="16" t="n"/>
      <c r="G5" s="16" t="n"/>
      <c r="H5" s="16" t="n"/>
      <c r="I5" s="16" t="n"/>
      <c r="J5" s="16" t="n"/>
      <c r="K5" s="16" t="n"/>
      <c r="L5" s="16" t="n"/>
      <c r="M5" s="16" t="n"/>
    </row>
    <row r="6">
      <c r="A6" s="16" t="n"/>
      <c r="B6" s="16" t="n"/>
      <c r="C6" s="16" t="n"/>
      <c r="D6" s="16" t="n"/>
      <c r="E6" s="16" t="n"/>
      <c r="F6" s="16" t="n"/>
      <c r="G6" s="16" t="n"/>
      <c r="H6" s="16" t="n"/>
      <c r="I6" s="16" t="n"/>
      <c r="J6" s="16" t="n"/>
      <c r="K6" s="16" t="n"/>
      <c r="L6" s="16" t="n"/>
      <c r="M6" s="16" t="n"/>
    </row>
    <row r="7">
      <c r="A7" s="16" t="n"/>
      <c r="B7" s="16" t="n"/>
      <c r="C7" s="16" t="n"/>
      <c r="D7" s="16" t="n"/>
      <c r="E7" s="16" t="n"/>
      <c r="F7" s="16" t="n"/>
      <c r="G7" s="16" t="n"/>
      <c r="H7" s="16" t="n"/>
      <c r="I7" s="16" t="n"/>
      <c r="J7" s="16" t="n"/>
      <c r="K7" s="16" t="n"/>
      <c r="L7" s="16" t="n"/>
      <c r="M7" s="16" t="n"/>
    </row>
    <row r="8">
      <c r="A8" s="16" t="n"/>
      <c r="B8" s="16" t="n"/>
      <c r="C8" s="16" t="n"/>
      <c r="D8" s="16" t="n"/>
      <c r="E8" s="16" t="n"/>
      <c r="F8" s="16" t="n"/>
      <c r="G8" s="16" t="n"/>
      <c r="H8" s="16" t="n"/>
      <c r="I8" s="16" t="n"/>
      <c r="J8" s="16" t="n"/>
      <c r="K8" s="16" t="n"/>
      <c r="L8" s="16" t="n"/>
      <c r="M8" s="16" t="n"/>
    </row>
    <row r="9">
      <c r="A9" s="16" t="n"/>
      <c r="B9" s="16" t="n"/>
      <c r="C9" s="16" t="n"/>
      <c r="D9" s="16" t="n"/>
      <c r="E9" s="16" t="n"/>
      <c r="F9" s="16" t="n"/>
      <c r="G9" s="16" t="n"/>
      <c r="H9" s="16" t="n"/>
      <c r="I9" s="16" t="n"/>
      <c r="J9" s="16" t="n"/>
      <c r="K9" s="16" t="n"/>
      <c r="L9" s="16" t="n"/>
      <c r="M9" s="16" t="n"/>
    </row>
    <row r="10">
      <c r="A10" s="16" t="n"/>
      <c r="B10" s="16" t="n"/>
      <c r="C10" s="16" t="n"/>
      <c r="D10" s="16" t="n"/>
      <c r="E10" s="16" t="n"/>
      <c r="F10" s="16" t="n"/>
      <c r="G10" s="16" t="n"/>
      <c r="H10" s="16" t="n"/>
      <c r="I10" s="16" t="n"/>
      <c r="J10" s="16" t="n"/>
      <c r="K10" s="16" t="n"/>
      <c r="L10" s="16" t="n"/>
      <c r="M10" s="16" t="n"/>
    </row>
    <row r="11">
      <c r="A11" s="16" t="n"/>
      <c r="B11" s="16" t="n"/>
      <c r="C11" s="16" t="n"/>
      <c r="D11" s="16" t="n"/>
      <c r="E11" s="16" t="n"/>
      <c r="F11" s="16" t="n"/>
      <c r="G11" s="16" t="n"/>
      <c r="H11" s="16" t="n"/>
      <c r="I11" s="16" t="n"/>
      <c r="J11" s="16" t="n"/>
      <c r="K11" s="16" t="n"/>
      <c r="L11" s="16" t="n"/>
      <c r="M11" s="16" t="n"/>
    </row>
    <row r="12">
      <c r="A12" s="16" t="n"/>
      <c r="B12" s="16" t="n"/>
      <c r="C12" s="16" t="n"/>
      <c r="D12" s="16" t="n"/>
      <c r="E12" s="16" t="n"/>
      <c r="F12" s="16" t="n"/>
      <c r="G12" s="16" t="n"/>
      <c r="H12" s="16" t="n"/>
      <c r="I12" s="16" t="n"/>
      <c r="J12" s="16" t="n"/>
      <c r="K12" s="16" t="n"/>
      <c r="L12" s="16" t="n"/>
      <c r="M12" s="16" t="n"/>
    </row>
    <row r="13">
      <c r="A13" s="16" t="n"/>
      <c r="B13" s="16" t="n"/>
      <c r="C13" s="16" t="n"/>
      <c r="D13" s="16" t="n"/>
      <c r="E13" s="16" t="n"/>
      <c r="F13" s="16" t="n"/>
      <c r="G13" s="16" t="n"/>
      <c r="H13" s="16" t="n"/>
      <c r="I13" s="16" t="n"/>
      <c r="J13" s="16" t="n"/>
      <c r="K13" s="16" t="n"/>
      <c r="L13" s="16" t="n"/>
      <c r="M13" s="16" t="n"/>
    </row>
    <row r="14">
      <c r="A14" s="16" t="n"/>
      <c r="B14" s="16" t="n"/>
      <c r="C14" s="16" t="n"/>
      <c r="D14" s="16" t="n"/>
      <c r="E14" s="16" t="n"/>
      <c r="F14" s="16" t="n"/>
      <c r="G14" s="16" t="n"/>
      <c r="H14" s="16" t="n"/>
      <c r="I14" s="16" t="n"/>
      <c r="J14" s="16" t="n"/>
      <c r="K14" s="16" t="n"/>
      <c r="L14" s="16" t="n"/>
      <c r="M14" s="16" t="n"/>
    </row>
    <row r="15">
      <c r="A15" s="16" t="n"/>
      <c r="B15" s="16" t="n"/>
      <c r="C15" s="16" t="n"/>
      <c r="D15" s="16" t="n"/>
      <c r="E15" s="16" t="n"/>
      <c r="F15" s="16" t="n"/>
      <c r="G15" s="16" t="n"/>
      <c r="H15" s="16" t="n"/>
      <c r="I15" s="16" t="n"/>
      <c r="J15" s="16" t="n"/>
      <c r="K15" s="16" t="n"/>
      <c r="L15" s="16" t="n"/>
      <c r="M15" s="16" t="n"/>
    </row>
    <row r="16">
      <c r="A16" s="16" t="n"/>
      <c r="B16" s="16" t="n"/>
      <c r="C16" s="16" t="n"/>
      <c r="D16" s="16" t="n"/>
      <c r="E16" s="16" t="n"/>
      <c r="F16" s="16" t="n"/>
      <c r="G16" s="16" t="n"/>
      <c r="H16" s="16" t="n"/>
      <c r="I16" s="16" t="n"/>
      <c r="J16" s="16" t="n"/>
      <c r="K16" s="16" t="n"/>
      <c r="L16" s="16" t="n"/>
      <c r="M16" s="16" t="n"/>
    </row>
    <row r="17">
      <c r="A17" s="16" t="n"/>
      <c r="B17" s="16" t="n"/>
      <c r="C17" s="16" t="n"/>
      <c r="D17" s="16" t="n"/>
      <c r="E17" s="16" t="n"/>
      <c r="F17" s="16" t="n"/>
      <c r="G17" s="16" t="n"/>
      <c r="H17" s="16" t="n"/>
      <c r="I17" s="16" t="n"/>
      <c r="J17" s="16" t="n"/>
      <c r="K17" s="16" t="n"/>
      <c r="L17" s="16" t="n"/>
      <c r="M17" s="16" t="n"/>
    </row>
    <row r="18">
      <c r="A18" s="16" t="n"/>
      <c r="B18" s="16" t="n"/>
      <c r="C18" s="16" t="n"/>
      <c r="D18" s="16" t="n"/>
      <c r="E18" s="16" t="n"/>
      <c r="F18" s="16" t="n"/>
      <c r="G18" s="16" t="n"/>
      <c r="H18" s="16" t="n"/>
      <c r="I18" s="16" t="n"/>
      <c r="J18" s="16" t="n"/>
      <c r="K18" s="16" t="n"/>
      <c r="L18" s="16" t="n"/>
      <c r="M18" s="16" t="n"/>
    </row>
    <row r="19">
      <c r="A19" s="16" t="n"/>
      <c r="B19" s="16" t="n"/>
      <c r="C19" s="16" t="n"/>
      <c r="D19" s="16" t="n"/>
      <c r="E19" s="16" t="n"/>
      <c r="F19" s="16" t="n"/>
      <c r="G19" s="16" t="n"/>
      <c r="H19" s="16" t="n"/>
      <c r="I19" s="16" t="n"/>
      <c r="J19" s="16" t="n"/>
      <c r="K19" s="16" t="n"/>
      <c r="L19" s="16" t="n"/>
      <c r="M19" s="16" t="n"/>
    </row>
    <row r="20">
      <c r="A20" s="16" t="n"/>
      <c r="B20" s="16" t="n"/>
      <c r="C20" s="16" t="n"/>
      <c r="D20" s="16" t="n"/>
      <c r="E20" s="16" t="n"/>
      <c r="F20" s="16" t="n"/>
      <c r="G20" s="16" t="n"/>
      <c r="H20" s="16" t="n"/>
      <c r="I20" s="16" t="n"/>
      <c r="J20" s="16" t="n"/>
      <c r="K20" s="16" t="n"/>
      <c r="L20" s="16" t="n"/>
      <c r="M20" s="16" t="n"/>
    </row>
    <row r="21">
      <c r="A21" s="16" t="n"/>
      <c r="B21" s="16" t="n"/>
      <c r="C21" s="16" t="n"/>
      <c r="D21" s="16" t="n"/>
      <c r="E21" s="16" t="n"/>
      <c r="F21" s="16" t="n"/>
      <c r="G21" s="16" t="n"/>
      <c r="H21" s="16" t="n"/>
      <c r="I21" s="16" t="n"/>
      <c r="J21" s="16" t="n"/>
      <c r="K21" s="16" t="n"/>
      <c r="L21" s="16" t="n"/>
      <c r="M21" s="16" t="n"/>
    </row>
    <row r="22">
      <c r="A22" s="16" t="n"/>
      <c r="B22" s="16" t="n"/>
      <c r="C22" s="16" t="n"/>
      <c r="D22" s="16" t="n"/>
      <c r="E22" s="16" t="n"/>
      <c r="F22" s="16" t="n"/>
      <c r="G22" s="16" t="n"/>
      <c r="H22" s="16" t="n"/>
      <c r="I22" s="16" t="n"/>
      <c r="J22" s="16" t="n"/>
      <c r="K22" s="16" t="n"/>
      <c r="L22" s="16" t="n"/>
      <c r="M22" s="16" t="n"/>
    </row>
    <row r="23">
      <c r="A23" s="16" t="n"/>
      <c r="B23" s="16" t="n"/>
      <c r="C23" s="16" t="n"/>
      <c r="D23" s="16" t="n"/>
      <c r="E23" s="16" t="n"/>
      <c r="F23" s="16" t="n"/>
      <c r="G23" s="16" t="n"/>
      <c r="H23" s="16" t="n"/>
      <c r="I23" s="16" t="n"/>
      <c r="J23" s="16" t="n"/>
      <c r="K23" s="16" t="n"/>
      <c r="L23" s="16" t="n"/>
      <c r="M23" s="16" t="n"/>
    </row>
    <row r="24">
      <c r="A24" s="16" t="n"/>
      <c r="B24" s="16" t="n"/>
      <c r="C24" s="16" t="n"/>
      <c r="D24" s="16" t="n"/>
      <c r="E24" s="16" t="n"/>
      <c r="F24" s="16" t="n"/>
      <c r="G24" s="16" t="n"/>
      <c r="H24" s="16" t="n"/>
      <c r="I24" s="16" t="n"/>
      <c r="J24" s="16" t="n"/>
      <c r="K24" s="16" t="n"/>
      <c r="L24" s="16" t="n"/>
      <c r="M24" s="16" t="n"/>
    </row>
    <row r="25">
      <c r="A25" s="16" t="n"/>
      <c r="B25" s="16" t="n"/>
      <c r="C25" s="16" t="n"/>
      <c r="D25" s="16" t="n"/>
      <c r="E25" s="16" t="n"/>
      <c r="F25" s="16" t="n"/>
      <c r="G25" s="16" t="n"/>
      <c r="H25" s="16" t="n"/>
      <c r="I25" s="16" t="n"/>
      <c r="J25" s="16" t="n"/>
      <c r="K25" s="16" t="n"/>
      <c r="L25" s="16" t="n"/>
      <c r="M25" s="16" t="n"/>
    </row>
    <row r="26">
      <c r="A26" s="16" t="n"/>
      <c r="B26" s="16" t="n"/>
      <c r="C26" s="16" t="n"/>
      <c r="D26" s="16" t="n"/>
      <c r="E26" s="16" t="n"/>
      <c r="F26" s="16" t="n"/>
      <c r="G26" s="16" t="n"/>
      <c r="H26" s="16" t="n"/>
      <c r="I26" s="16" t="n"/>
      <c r="J26" s="16" t="n"/>
      <c r="K26" s="16" t="n"/>
      <c r="L26" s="16" t="n"/>
      <c r="M26" s="16" t="n"/>
    </row>
    <row r="27">
      <c r="A27" s="16" t="n"/>
      <c r="B27" s="16" t="n"/>
      <c r="C27" s="16" t="n"/>
      <c r="D27" s="16" t="n"/>
      <c r="E27" s="16" t="n"/>
      <c r="F27" s="16" t="n"/>
      <c r="G27" s="16" t="n"/>
      <c r="H27" s="16" t="n"/>
      <c r="I27" s="16" t="n"/>
      <c r="J27" s="16" t="n"/>
      <c r="K27" s="16" t="n"/>
      <c r="L27" s="16" t="n"/>
      <c r="M27" s="16" t="n"/>
    </row>
    <row r="28">
      <c r="A28" s="16" t="n"/>
      <c r="B28" s="16" t="n"/>
      <c r="C28" s="16" t="n"/>
      <c r="D28" s="16" t="n"/>
      <c r="E28" s="16" t="n"/>
      <c r="F28" s="16" t="n"/>
      <c r="G28" s="16" t="n"/>
      <c r="H28" s="16" t="n"/>
      <c r="I28" s="16" t="n"/>
      <c r="J28" s="16" t="n"/>
      <c r="K28" s="16" t="n"/>
      <c r="L28" s="16" t="n"/>
      <c r="M28" s="16" t="n"/>
    </row>
    <row r="29">
      <c r="A29" s="16" t="n"/>
      <c r="B29" s="16" t="n"/>
      <c r="C29" s="16" t="n"/>
      <c r="D29" s="16" t="n"/>
      <c r="E29" s="16" t="n"/>
      <c r="F29" s="16" t="n"/>
      <c r="G29" s="16" t="n"/>
      <c r="H29" s="16" t="n"/>
      <c r="I29" s="16" t="n"/>
      <c r="J29" s="16" t="n"/>
      <c r="K29" s="16" t="n"/>
      <c r="L29" s="16" t="n"/>
      <c r="M29" s="16" t="n"/>
    </row>
    <row r="30">
      <c r="A30" s="16" t="n"/>
      <c r="B30" s="16" t="n"/>
      <c r="C30" s="16" t="n"/>
      <c r="D30" s="16" t="n"/>
      <c r="E30" s="16" t="n"/>
      <c r="F30" s="16" t="n"/>
      <c r="G30" s="16" t="n"/>
      <c r="H30" s="16" t="n"/>
      <c r="I30" s="16" t="n"/>
      <c r="J30" s="16" t="n"/>
      <c r="K30" s="16" t="n"/>
      <c r="L30" s="16" t="n"/>
      <c r="M30" s="16" t="n"/>
    </row>
    <row r="31">
      <c r="A31" s="16" t="n"/>
      <c r="B31" s="16" t="n"/>
      <c r="C31" s="16" t="n"/>
      <c r="D31" s="16" t="n"/>
      <c r="E31" s="16" t="n"/>
      <c r="F31" s="16" t="n"/>
      <c r="G31" s="16" t="n"/>
      <c r="H31" s="16" t="n"/>
      <c r="I31" s="16" t="n"/>
      <c r="J31" s="16" t="n"/>
      <c r="K31" s="16" t="n"/>
      <c r="L31" s="16" t="n"/>
      <c r="M31" s="16" t="n"/>
    </row>
    <row r="32">
      <c r="A32" s="16" t="n"/>
      <c r="B32" s="16" t="n"/>
      <c r="C32" s="16" t="n"/>
      <c r="D32" s="16" t="n"/>
      <c r="E32" s="16" t="n"/>
      <c r="F32" s="16" t="n"/>
      <c r="G32" s="16" t="n"/>
      <c r="H32" s="16" t="n"/>
      <c r="I32" s="16" t="n"/>
      <c r="J32" s="16" t="n"/>
      <c r="K32" s="16" t="n"/>
      <c r="L32" s="16" t="n"/>
      <c r="M32" s="16" t="n"/>
    </row>
    <row r="33">
      <c r="A33" s="16" t="n"/>
      <c r="B33" s="16" t="n"/>
      <c r="C33" s="16" t="n"/>
      <c r="D33" s="16" t="n"/>
      <c r="E33" s="16" t="n"/>
      <c r="F33" s="16" t="n"/>
      <c r="G33" s="16" t="n"/>
      <c r="H33" s="16" t="n"/>
      <c r="I33" s="16" t="n"/>
      <c r="J33" s="16" t="n"/>
      <c r="K33" s="16" t="n"/>
      <c r="L33" s="16" t="n"/>
      <c r="M33" s="16" t="n"/>
    </row>
    <row r="34">
      <c r="A34" s="16" t="n"/>
      <c r="B34" s="16" t="n"/>
      <c r="C34" s="16" t="n"/>
      <c r="D34" s="16" t="n"/>
      <c r="E34" s="16" t="n"/>
      <c r="F34" s="16" t="n"/>
      <c r="G34" s="16" t="n"/>
      <c r="H34" s="16" t="n"/>
      <c r="I34" s="16" t="n"/>
      <c r="J34" s="16" t="n"/>
      <c r="K34" s="16" t="n"/>
      <c r="L34" s="16" t="n"/>
      <c r="M34" s="16" t="n"/>
    </row>
    <row r="35">
      <c r="A35" s="16" t="n"/>
      <c r="B35" s="16" t="n"/>
      <c r="C35" s="16" t="n"/>
      <c r="D35" s="16" t="n"/>
      <c r="E35" s="16" t="n"/>
      <c r="F35" s="16" t="n"/>
      <c r="G35" s="16" t="n"/>
      <c r="H35" s="16" t="n"/>
      <c r="I35" s="16" t="n"/>
      <c r="J35" s="16" t="n"/>
      <c r="K35" s="16" t="n"/>
      <c r="L35" s="16" t="n"/>
      <c r="M35" s="16" t="n"/>
    </row>
    <row r="36">
      <c r="A36" s="16" t="n"/>
      <c r="B36" s="16" t="n"/>
      <c r="C36" s="16" t="n"/>
      <c r="D36" s="16" t="n"/>
      <c r="E36" s="16" t="n"/>
      <c r="F36" s="16" t="n"/>
      <c r="G36" s="16" t="n"/>
      <c r="H36" s="16" t="n"/>
      <c r="I36" s="16" t="n"/>
      <c r="J36" s="16" t="n"/>
      <c r="K36" s="16" t="n"/>
      <c r="L36" s="16" t="n"/>
      <c r="M36" s="16" t="n"/>
    </row>
    <row r="37">
      <c r="A37" s="16" t="n"/>
      <c r="B37" s="16" t="n"/>
      <c r="C37" s="16" t="n"/>
      <c r="D37" s="16" t="n"/>
      <c r="E37" s="16" t="n"/>
      <c r="F37" s="16" t="n"/>
      <c r="G37" s="16" t="n"/>
      <c r="H37" s="16" t="n"/>
      <c r="I37" s="16" t="n"/>
      <c r="J37" s="16" t="n"/>
      <c r="K37" s="16" t="n"/>
      <c r="L37" s="16" t="n"/>
      <c r="M37" s="16" t="n"/>
    </row>
    <row r="38">
      <c r="A38" s="16" t="n"/>
      <c r="B38" s="16" t="n"/>
      <c r="C38" s="16" t="n"/>
      <c r="D38" s="16" t="n"/>
      <c r="E38" s="16" t="n"/>
      <c r="F38" s="16" t="n"/>
      <c r="G38" s="16" t="n"/>
      <c r="H38" s="16" t="n"/>
      <c r="I38" s="16" t="n"/>
      <c r="J38" s="16" t="n"/>
      <c r="K38" s="16" t="n"/>
      <c r="L38" s="16" t="n"/>
      <c r="M38" s="16" t="n"/>
    </row>
    <row r="39">
      <c r="A39" s="16" t="n"/>
      <c r="B39" s="16" t="n"/>
      <c r="C39" s="16" t="n"/>
      <c r="D39" s="16" t="n"/>
      <c r="E39" s="16" t="n"/>
      <c r="F39" s="16" t="n"/>
      <c r="G39" s="16" t="n"/>
      <c r="H39" s="16" t="n"/>
      <c r="I39" s="16" t="n"/>
      <c r="J39" s="16" t="n"/>
      <c r="K39" s="16" t="n"/>
      <c r="L39" s="16" t="n"/>
      <c r="M39" s="16" t="n"/>
    </row>
    <row r="40">
      <c r="A40" s="16" t="n"/>
      <c r="B40" s="16" t="n"/>
      <c r="C40" s="16" t="n"/>
      <c r="D40" s="16" t="n"/>
      <c r="E40" s="16" t="n"/>
      <c r="F40" s="16" t="n"/>
      <c r="G40" s="16" t="n"/>
      <c r="H40" s="16" t="n"/>
      <c r="I40" s="16" t="n"/>
      <c r="J40" s="16" t="n"/>
      <c r="K40" s="16" t="n"/>
      <c r="L40" s="16" t="n"/>
      <c r="M40" s="16" t="n"/>
    </row>
    <row r="41">
      <c r="A41" s="16" t="n"/>
      <c r="B41" s="16" t="n"/>
      <c r="C41" s="16" t="n"/>
      <c r="D41" s="16" t="n"/>
      <c r="E41" s="16" t="n"/>
      <c r="F41" s="16" t="n"/>
      <c r="G41" s="16" t="n"/>
      <c r="H41" s="16" t="n"/>
      <c r="I41" s="16" t="n"/>
      <c r="J41" s="16" t="n"/>
      <c r="K41" s="16" t="n"/>
      <c r="L41" s="16" t="n"/>
      <c r="M41" s="16" t="n"/>
    </row>
    <row r="42">
      <c r="A42" s="16" t="n"/>
      <c r="B42" s="16" t="n"/>
      <c r="C42" s="16" t="n"/>
      <c r="D42" s="16" t="n"/>
      <c r="E42" s="16" t="n"/>
      <c r="F42" s="16" t="n"/>
      <c r="G42" s="16" t="n"/>
      <c r="H42" s="16" t="n"/>
      <c r="I42" s="16" t="n"/>
      <c r="J42" s="16" t="n"/>
      <c r="K42" s="16" t="n"/>
      <c r="L42" s="16" t="n"/>
      <c r="M42" s="16" t="n"/>
    </row>
    <row r="43">
      <c r="A43" s="16" t="n"/>
      <c r="B43" s="16" t="n"/>
      <c r="C43" s="16" t="n"/>
      <c r="D43" s="16" t="n"/>
      <c r="E43" s="16" t="n"/>
      <c r="F43" s="16" t="n"/>
      <c r="G43" s="16" t="n"/>
      <c r="H43" s="16" t="n"/>
      <c r="I43" s="16" t="n"/>
      <c r="J43" s="16" t="n"/>
      <c r="K43" s="16" t="n"/>
      <c r="L43" s="16" t="n"/>
      <c r="M43" s="16" t="n"/>
    </row>
    <row r="44">
      <c r="A44" s="16" t="n"/>
      <c r="B44" s="16" t="n"/>
      <c r="C44" s="16" t="n"/>
      <c r="D44" s="16" t="n"/>
      <c r="E44" s="16" t="n"/>
      <c r="F44" s="16" t="n"/>
      <c r="G44" s="16" t="n"/>
      <c r="H44" s="16" t="n"/>
      <c r="I44" s="16" t="n"/>
      <c r="J44" s="16" t="n"/>
      <c r="K44" s="16" t="n"/>
      <c r="L44" s="16" t="n"/>
      <c r="M44" s="16" t="n"/>
    </row>
    <row r="45">
      <c r="A45" s="16" t="n"/>
      <c r="B45" s="16" t="n"/>
      <c r="C45" s="16" t="n"/>
      <c r="D45" s="16" t="n"/>
      <c r="E45" s="16" t="n"/>
      <c r="F45" s="16" t="n"/>
      <c r="G45" s="16" t="n"/>
      <c r="H45" s="16" t="n"/>
      <c r="I45" s="16" t="n"/>
      <c r="J45" s="16" t="n"/>
      <c r="K45" s="16" t="n"/>
      <c r="L45" s="16" t="n"/>
      <c r="M45" s="16" t="n"/>
    </row>
    <row r="46">
      <c r="A46" s="16" t="n"/>
      <c r="B46" s="16" t="n"/>
      <c r="C46" s="16" t="n"/>
      <c r="D46" s="16" t="n"/>
      <c r="E46" s="16" t="n"/>
      <c r="F46" s="16" t="n"/>
      <c r="G46" s="16" t="n"/>
      <c r="H46" s="16" t="n"/>
      <c r="I46" s="16" t="n"/>
      <c r="J46" s="16" t="n"/>
      <c r="K46" s="16" t="n"/>
      <c r="L46" s="16" t="n"/>
      <c r="M46" s="16" t="n"/>
    </row>
    <row r="47">
      <c r="A47" s="16" t="n"/>
      <c r="B47" s="16" t="n"/>
      <c r="C47" s="16" t="n"/>
      <c r="D47" s="16" t="n"/>
      <c r="E47" s="16" t="n"/>
      <c r="F47" s="16" t="n"/>
      <c r="G47" s="16" t="n"/>
      <c r="H47" s="16" t="n"/>
      <c r="I47" s="16" t="n"/>
      <c r="J47" s="16" t="n"/>
      <c r="K47" s="16" t="n"/>
      <c r="L47" s="16" t="n"/>
      <c r="M47" s="16" t="n"/>
    </row>
    <row r="48">
      <c r="A48" s="16" t="n"/>
      <c r="B48" s="16" t="n"/>
      <c r="C48" s="16" t="n"/>
      <c r="D48" s="16" t="n"/>
      <c r="E48" s="16" t="n"/>
      <c r="F48" s="16" t="n"/>
      <c r="G48" s="16" t="n"/>
      <c r="H48" s="16" t="n"/>
      <c r="I48" s="16" t="n"/>
      <c r="J48" s="16" t="n"/>
      <c r="K48" s="16" t="n"/>
      <c r="L48" s="16" t="n"/>
      <c r="M48" s="16" t="n"/>
    </row>
    <row r="49">
      <c r="A49" s="16" t="n"/>
      <c r="B49" s="16" t="n"/>
      <c r="C49" s="16" t="n"/>
      <c r="D49" s="16" t="n"/>
      <c r="E49" s="16" t="n"/>
      <c r="F49" s="16" t="n"/>
      <c r="G49" s="16" t="n"/>
      <c r="H49" s="16" t="n"/>
      <c r="I49" s="16" t="n"/>
      <c r="J49" s="16" t="n"/>
      <c r="K49" s="16" t="n"/>
      <c r="L49" s="16" t="n"/>
      <c r="M49" s="16" t="n"/>
    </row>
    <row r="50">
      <c r="A50" s="16" t="n"/>
      <c r="B50" s="16" t="n"/>
      <c r="C50" s="16" t="n"/>
      <c r="D50" s="16" t="n"/>
      <c r="E50" s="16" t="n"/>
      <c r="F50" s="16" t="n"/>
      <c r="G50" s="16" t="n"/>
      <c r="H50" s="16" t="n"/>
      <c r="I50" s="16" t="n"/>
      <c r="J50" s="16" t="n"/>
      <c r="K50" s="16" t="n"/>
      <c r="L50" s="16" t="n"/>
      <c r="M50" s="16" t="n"/>
    </row>
    <row r="51">
      <c r="A51" s="16" t="n"/>
      <c r="B51" s="16" t="n"/>
      <c r="C51" s="16" t="n"/>
      <c r="D51" s="16" t="n"/>
      <c r="E51" s="16" t="n"/>
      <c r="F51" s="16" t="n"/>
      <c r="G51" s="16" t="n"/>
      <c r="H51" s="16" t="n"/>
      <c r="I51" s="16" t="n"/>
      <c r="J51" s="16" t="n"/>
      <c r="K51" s="16" t="n"/>
      <c r="L51" s="16" t="n"/>
      <c r="M51" s="16" t="n"/>
    </row>
    <row r="52">
      <c r="A52" s="16" t="n"/>
      <c r="B52" s="16" t="n"/>
      <c r="C52" s="16" t="n"/>
      <c r="D52" s="16" t="n"/>
      <c r="E52" s="16" t="n"/>
      <c r="F52" s="16" t="n"/>
      <c r="G52" s="16" t="n"/>
      <c r="H52" s="16" t="n"/>
      <c r="I52" s="16" t="n"/>
      <c r="J52" s="16" t="n"/>
      <c r="K52" s="16" t="n"/>
      <c r="L52" s="16" t="n"/>
      <c r="M52" s="16" t="n"/>
    </row>
    <row r="53">
      <c r="A53" s="16" t="n"/>
      <c r="B53" s="16" t="n"/>
      <c r="C53" s="16" t="n"/>
      <c r="D53" s="16" t="n"/>
      <c r="E53" s="16" t="n"/>
      <c r="F53" s="16" t="n"/>
      <c r="G53" s="16" t="n"/>
      <c r="H53" s="16" t="n"/>
      <c r="I53" s="16" t="n"/>
      <c r="J53" s="16" t="n"/>
      <c r="K53" s="16" t="n"/>
      <c r="L53" s="16" t="n"/>
      <c r="M53" s="16" t="n"/>
    </row>
    <row r="54">
      <c r="A54" s="16" t="n"/>
      <c r="B54" s="16" t="n"/>
      <c r="C54" s="16" t="n"/>
      <c r="D54" s="16" t="n"/>
      <c r="E54" s="16" t="n"/>
      <c r="F54" s="16" t="n"/>
      <c r="G54" s="16" t="n"/>
      <c r="H54" s="16" t="n"/>
      <c r="I54" s="16" t="n"/>
      <c r="J54" s="16" t="n"/>
      <c r="K54" s="16" t="n"/>
      <c r="L54" s="16" t="n"/>
      <c r="M54" s="16" t="n"/>
    </row>
  </sheetData>
  <mergeCells count="1">
    <mergeCell ref="A1:M1"/>
  </mergeCells>
  <dataValidations count="1">
    <dataValidation sqref="E4 E5 E6 E7 E8 E9 E10 E11 E12 E13 E14 E15 E16 E17 E18 E19 E20 E21 E22 E23 E24 E25 E26 E27 E28 E29 E30 E31 E32 E33 E34 E35 E36 E37 E38 E39 E40 E41 E42 E43 E44 E45 E46 E47 E48 E49 E50 E51 E52 E53 E54 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H4 H5 H6 H7 H8 H9 H10 H11 H12 H13 H14 H15 H16 H17 H18 H19 H20 H21 H22 H23 H24 H25 H26 H27 H28 H29 H30 H31 H32 H33 H34 H35 H36 H37 H38 H39 H40 H41 H42 H43 H44 H45 H46 H47 H48 H49 H50 H51 H52 H53 H54 I4 I5 I6 I7 I8 I9 I10 I11 I12 I13 I14 I15 I16 I17 I18 I19 I20 I21 I22 I23 I24 I25 I26 I27 I28 I29 I30 I31 I32 I33 I34 I35 I36 I37 I38 I39 I40 I41 I42 I43 I44 I45 I46 I47 I48 I49 I50 I51 I52 I53 I54 L4 L5 L6 L7 L8 L9 L10 L11 L12 L13 L14 L15 L16 L17 L18 L19 L20 L21 L22 L23 L24 L25 L26 L27 L28 L29 L30 L31 L32 L33 L34 L35 L36 L37 L38 L39 L40 L41 L42 L43 L44 L45 L46 L47 L48 L49 L50 L51 L52 L53 L54 M4 M5 M6 M7 M8 M9 M10 M11 M12 M13 M14 M15 M16 M17 M18 M19 M20 M21 M22 M23 M24 M25 M26 M27 M28 M29 M30 M31 M32 M33 M34 M35 M36 M37 M38 M39 M40 M41 M42 M43 M44 M45 M46 M47 M48 M49 M50 M51 M52 M53 M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20" customWidth="1" min="3" max="3"/>
    <col width="12" customWidth="1" min="4" max="4"/>
    <col width="18" customWidth="1" min="5" max="5"/>
    <col width="35" customWidth="1" min="6" max="6"/>
    <col width="12" customWidth="1" min="7" max="7"/>
    <col width="12" customWidth="1" min="8" max="8"/>
    <col width="15" customWidth="1" min="9" max="9"/>
    <col width="15" customWidth="1" min="10" max="10"/>
    <col width="15" customWidth="1" min="11" max="11"/>
    <col width="12" customWidth="1" min="12" max="12"/>
    <col width="50" customWidth="1" min="13" max="13"/>
  </cols>
  <sheetData>
    <row r="1" ht="35" customHeight="1">
      <c r="A1" s="11" t="inlineStr">
        <is>
          <t>REMEDIATION TRACKING
Track remediation for failed assessments/simulations</t>
        </is>
      </c>
    </row>
    <row r="2">
      <c r="A2" s="12" t="inlineStr">
        <is>
          <t>Track and manage remediation activities for failed assessments and simulation incidents</t>
        </is>
      </c>
    </row>
    <row r="3">
      <c r="A3" s="13" t="inlineStr">
        <is>
          <t>Remediation ID</t>
        </is>
      </c>
      <c r="B3" s="13" t="inlineStr">
        <is>
          <t>Employee ID</t>
        </is>
      </c>
      <c r="C3" s="13" t="inlineStr">
        <is>
          <t>Trigger Event</t>
        </is>
      </c>
      <c r="D3" s="13" t="inlineStr">
        <is>
          <t>Trigger Date</t>
        </is>
      </c>
      <c r="E3" s="13" t="inlineStr">
        <is>
          <t>Remediation Level</t>
        </is>
      </c>
      <c r="F3" s="13" t="inlineStr">
        <is>
          <t>Remediation Training</t>
        </is>
      </c>
      <c r="G3" s="13" t="inlineStr">
        <is>
          <t>Assigned Date</t>
        </is>
      </c>
      <c r="H3" s="13" t="inlineStr">
        <is>
          <t>Due Date</t>
        </is>
      </c>
      <c r="I3" s="13" t="inlineStr">
        <is>
          <t>Completion Date</t>
        </is>
      </c>
      <c r="J3" s="13" t="inlineStr">
        <is>
          <t>Outcome</t>
        </is>
      </c>
      <c r="K3" s="13" t="inlineStr">
        <is>
          <t>Manager Notified</t>
        </is>
      </c>
      <c r="L3" s="13" t="inlineStr">
        <is>
          <t>HR Notified</t>
        </is>
      </c>
      <c r="M3" s="13" t="inlineStr">
        <is>
          <t>Notes</t>
        </is>
      </c>
    </row>
    <row r="4">
      <c r="A4" s="14" t="inlineStr">
        <is>
          <t>REM-001</t>
        </is>
      </c>
      <c r="B4" s="15" t="n"/>
      <c r="C4" s="15" t="n"/>
      <c r="D4" s="15" t="n"/>
      <c r="E4" s="15" t="n"/>
      <c r="F4" s="15" t="n"/>
      <c r="G4" s="15" t="n"/>
      <c r="H4" s="15" t="n"/>
      <c r="I4" s="15" t="n"/>
      <c r="J4" s="15" t="n"/>
      <c r="K4" s="15" t="n"/>
      <c r="L4" s="15" t="n"/>
      <c r="M4" s="15" t="n"/>
    </row>
    <row r="5">
      <c r="A5" s="16" t="n"/>
      <c r="B5" s="16" t="n"/>
      <c r="C5" s="16" t="n"/>
      <c r="D5" s="16" t="n"/>
      <c r="E5" s="16" t="n"/>
      <c r="F5" s="16" t="n"/>
      <c r="G5" s="16" t="n"/>
      <c r="H5" s="16" t="n"/>
      <c r="I5" s="16" t="n"/>
      <c r="J5" s="16" t="n"/>
      <c r="K5" s="16" t="n"/>
      <c r="L5" s="16" t="n"/>
      <c r="M5" s="16" t="n"/>
    </row>
    <row r="6">
      <c r="A6" s="16" t="n"/>
      <c r="B6" s="16" t="n"/>
      <c r="C6" s="16" t="n"/>
      <c r="D6" s="16" t="n"/>
      <c r="E6" s="16" t="n"/>
      <c r="F6" s="16" t="n"/>
      <c r="G6" s="16" t="n"/>
      <c r="H6" s="16" t="n"/>
      <c r="I6" s="16" t="n"/>
      <c r="J6" s="16" t="n"/>
      <c r="K6" s="16" t="n"/>
      <c r="L6" s="16" t="n"/>
      <c r="M6" s="16" t="n"/>
    </row>
    <row r="7">
      <c r="A7" s="16" t="n"/>
      <c r="B7" s="16" t="n"/>
      <c r="C7" s="16" t="n"/>
      <c r="D7" s="16" t="n"/>
      <c r="E7" s="16" t="n"/>
      <c r="F7" s="16" t="n"/>
      <c r="G7" s="16" t="n"/>
      <c r="H7" s="16" t="n"/>
      <c r="I7" s="16" t="n"/>
      <c r="J7" s="16" t="n"/>
      <c r="K7" s="16" t="n"/>
      <c r="L7" s="16" t="n"/>
      <c r="M7" s="16" t="n"/>
    </row>
    <row r="8">
      <c r="A8" s="16" t="n"/>
      <c r="B8" s="16" t="n"/>
      <c r="C8" s="16" t="n"/>
      <c r="D8" s="16" t="n"/>
      <c r="E8" s="16" t="n"/>
      <c r="F8" s="16" t="n"/>
      <c r="G8" s="16" t="n"/>
      <c r="H8" s="16" t="n"/>
      <c r="I8" s="16" t="n"/>
      <c r="J8" s="16" t="n"/>
      <c r="K8" s="16" t="n"/>
      <c r="L8" s="16" t="n"/>
      <c r="M8" s="16" t="n"/>
    </row>
    <row r="9">
      <c r="A9" s="16" t="n"/>
      <c r="B9" s="16" t="n"/>
      <c r="C9" s="16" t="n"/>
      <c r="D9" s="16" t="n"/>
      <c r="E9" s="16" t="n"/>
      <c r="F9" s="16" t="n"/>
      <c r="G9" s="16" t="n"/>
      <c r="H9" s="16" t="n"/>
      <c r="I9" s="16" t="n"/>
      <c r="J9" s="16" t="n"/>
      <c r="K9" s="16" t="n"/>
      <c r="L9" s="16" t="n"/>
      <c r="M9" s="16" t="n"/>
    </row>
    <row r="10">
      <c r="A10" s="16" t="n"/>
      <c r="B10" s="16" t="n"/>
      <c r="C10" s="16" t="n"/>
      <c r="D10" s="16" t="n"/>
      <c r="E10" s="16" t="n"/>
      <c r="F10" s="16" t="n"/>
      <c r="G10" s="16" t="n"/>
      <c r="H10" s="16" t="n"/>
      <c r="I10" s="16" t="n"/>
      <c r="J10" s="16" t="n"/>
      <c r="K10" s="16" t="n"/>
      <c r="L10" s="16" t="n"/>
      <c r="M10" s="16" t="n"/>
    </row>
    <row r="11">
      <c r="A11" s="16" t="n"/>
      <c r="B11" s="16" t="n"/>
      <c r="C11" s="16" t="n"/>
      <c r="D11" s="16" t="n"/>
      <c r="E11" s="16" t="n"/>
      <c r="F11" s="16" t="n"/>
      <c r="G11" s="16" t="n"/>
      <c r="H11" s="16" t="n"/>
      <c r="I11" s="16" t="n"/>
      <c r="J11" s="16" t="n"/>
      <c r="K11" s="16" t="n"/>
      <c r="L11" s="16" t="n"/>
      <c r="M11" s="16" t="n"/>
    </row>
    <row r="12">
      <c r="A12" s="16" t="n"/>
      <c r="B12" s="16" t="n"/>
      <c r="C12" s="16" t="n"/>
      <c r="D12" s="16" t="n"/>
      <c r="E12" s="16" t="n"/>
      <c r="F12" s="16" t="n"/>
      <c r="G12" s="16" t="n"/>
      <c r="H12" s="16" t="n"/>
      <c r="I12" s="16" t="n"/>
      <c r="J12" s="16" t="n"/>
      <c r="K12" s="16" t="n"/>
      <c r="L12" s="16" t="n"/>
      <c r="M12" s="16" t="n"/>
    </row>
    <row r="13">
      <c r="A13" s="16" t="n"/>
      <c r="B13" s="16" t="n"/>
      <c r="C13" s="16" t="n"/>
      <c r="D13" s="16" t="n"/>
      <c r="E13" s="16" t="n"/>
      <c r="F13" s="16" t="n"/>
      <c r="G13" s="16" t="n"/>
      <c r="H13" s="16" t="n"/>
      <c r="I13" s="16" t="n"/>
      <c r="J13" s="16" t="n"/>
      <c r="K13" s="16" t="n"/>
      <c r="L13" s="16" t="n"/>
      <c r="M13" s="16" t="n"/>
    </row>
    <row r="14">
      <c r="A14" s="16" t="n"/>
      <c r="B14" s="16" t="n"/>
      <c r="C14" s="16" t="n"/>
      <c r="D14" s="16" t="n"/>
      <c r="E14" s="16" t="n"/>
      <c r="F14" s="16" t="n"/>
      <c r="G14" s="16" t="n"/>
      <c r="H14" s="16" t="n"/>
      <c r="I14" s="16" t="n"/>
      <c r="J14" s="16" t="n"/>
      <c r="K14" s="16" t="n"/>
      <c r="L14" s="16" t="n"/>
      <c r="M14" s="16" t="n"/>
    </row>
    <row r="15">
      <c r="A15" s="16" t="n"/>
      <c r="B15" s="16" t="n"/>
      <c r="C15" s="16" t="n"/>
      <c r="D15" s="16" t="n"/>
      <c r="E15" s="16" t="n"/>
      <c r="F15" s="16" t="n"/>
      <c r="G15" s="16" t="n"/>
      <c r="H15" s="16" t="n"/>
      <c r="I15" s="16" t="n"/>
      <c r="J15" s="16" t="n"/>
      <c r="K15" s="16" t="n"/>
      <c r="L15" s="16" t="n"/>
      <c r="M15" s="16" t="n"/>
    </row>
    <row r="16">
      <c r="A16" s="16" t="n"/>
      <c r="B16" s="16" t="n"/>
      <c r="C16" s="16" t="n"/>
      <c r="D16" s="16" t="n"/>
      <c r="E16" s="16" t="n"/>
      <c r="F16" s="16" t="n"/>
      <c r="G16" s="16" t="n"/>
      <c r="H16" s="16" t="n"/>
      <c r="I16" s="16" t="n"/>
      <c r="J16" s="16" t="n"/>
      <c r="K16" s="16" t="n"/>
      <c r="L16" s="16" t="n"/>
      <c r="M16" s="16" t="n"/>
    </row>
    <row r="17">
      <c r="A17" s="16" t="n"/>
      <c r="B17" s="16" t="n"/>
      <c r="C17" s="16" t="n"/>
      <c r="D17" s="16" t="n"/>
      <c r="E17" s="16" t="n"/>
      <c r="F17" s="16" t="n"/>
      <c r="G17" s="16" t="n"/>
      <c r="H17" s="16" t="n"/>
      <c r="I17" s="16" t="n"/>
      <c r="J17" s="16" t="n"/>
      <c r="K17" s="16" t="n"/>
      <c r="L17" s="16" t="n"/>
      <c r="M17" s="16" t="n"/>
    </row>
    <row r="18">
      <c r="A18" s="16" t="n"/>
      <c r="B18" s="16" t="n"/>
      <c r="C18" s="16" t="n"/>
      <c r="D18" s="16" t="n"/>
      <c r="E18" s="16" t="n"/>
      <c r="F18" s="16" t="n"/>
      <c r="G18" s="16" t="n"/>
      <c r="H18" s="16" t="n"/>
      <c r="I18" s="16" t="n"/>
      <c r="J18" s="16" t="n"/>
      <c r="K18" s="16" t="n"/>
      <c r="L18" s="16" t="n"/>
      <c r="M18" s="16" t="n"/>
    </row>
    <row r="19">
      <c r="A19" s="16" t="n"/>
      <c r="B19" s="16" t="n"/>
      <c r="C19" s="16" t="n"/>
      <c r="D19" s="16" t="n"/>
      <c r="E19" s="16" t="n"/>
      <c r="F19" s="16" t="n"/>
      <c r="G19" s="16" t="n"/>
      <c r="H19" s="16" t="n"/>
      <c r="I19" s="16" t="n"/>
      <c r="J19" s="16" t="n"/>
      <c r="K19" s="16" t="n"/>
      <c r="L19" s="16" t="n"/>
      <c r="M19" s="16" t="n"/>
    </row>
    <row r="20">
      <c r="A20" s="16" t="n"/>
      <c r="B20" s="16" t="n"/>
      <c r="C20" s="16" t="n"/>
      <c r="D20" s="16" t="n"/>
      <c r="E20" s="16" t="n"/>
      <c r="F20" s="16" t="n"/>
      <c r="G20" s="16" t="n"/>
      <c r="H20" s="16" t="n"/>
      <c r="I20" s="16" t="n"/>
      <c r="J20" s="16" t="n"/>
      <c r="K20" s="16" t="n"/>
      <c r="L20" s="16" t="n"/>
      <c r="M20" s="16" t="n"/>
    </row>
    <row r="21">
      <c r="A21" s="16" t="n"/>
      <c r="B21" s="16" t="n"/>
      <c r="C21" s="16" t="n"/>
      <c r="D21" s="16" t="n"/>
      <c r="E21" s="16" t="n"/>
      <c r="F21" s="16" t="n"/>
      <c r="G21" s="16" t="n"/>
      <c r="H21" s="16" t="n"/>
      <c r="I21" s="16" t="n"/>
      <c r="J21" s="16" t="n"/>
      <c r="K21" s="16" t="n"/>
      <c r="L21" s="16" t="n"/>
      <c r="M21" s="16" t="n"/>
    </row>
    <row r="22">
      <c r="A22" s="16" t="n"/>
      <c r="B22" s="16" t="n"/>
      <c r="C22" s="16" t="n"/>
      <c r="D22" s="16" t="n"/>
      <c r="E22" s="16" t="n"/>
      <c r="F22" s="16" t="n"/>
      <c r="G22" s="16" t="n"/>
      <c r="H22" s="16" t="n"/>
      <c r="I22" s="16" t="n"/>
      <c r="J22" s="16" t="n"/>
      <c r="K22" s="16" t="n"/>
      <c r="L22" s="16" t="n"/>
      <c r="M22" s="16" t="n"/>
    </row>
    <row r="23">
      <c r="A23" s="16" t="n"/>
      <c r="B23" s="16" t="n"/>
      <c r="C23" s="16" t="n"/>
      <c r="D23" s="16" t="n"/>
      <c r="E23" s="16" t="n"/>
      <c r="F23" s="16" t="n"/>
      <c r="G23" s="16" t="n"/>
      <c r="H23" s="16" t="n"/>
      <c r="I23" s="16" t="n"/>
      <c r="J23" s="16" t="n"/>
      <c r="K23" s="16" t="n"/>
      <c r="L23" s="16" t="n"/>
      <c r="M23" s="16" t="n"/>
    </row>
    <row r="24">
      <c r="A24" s="16" t="n"/>
      <c r="B24" s="16" t="n"/>
      <c r="C24" s="16" t="n"/>
      <c r="D24" s="16" t="n"/>
      <c r="E24" s="16" t="n"/>
      <c r="F24" s="16" t="n"/>
      <c r="G24" s="16" t="n"/>
      <c r="H24" s="16" t="n"/>
      <c r="I24" s="16" t="n"/>
      <c r="J24" s="16" t="n"/>
      <c r="K24" s="16" t="n"/>
      <c r="L24" s="16" t="n"/>
      <c r="M24" s="16" t="n"/>
    </row>
    <row r="25">
      <c r="A25" s="16" t="n"/>
      <c r="B25" s="16" t="n"/>
      <c r="C25" s="16" t="n"/>
      <c r="D25" s="16" t="n"/>
      <c r="E25" s="16" t="n"/>
      <c r="F25" s="16" t="n"/>
      <c r="G25" s="16" t="n"/>
      <c r="H25" s="16" t="n"/>
      <c r="I25" s="16" t="n"/>
      <c r="J25" s="16" t="n"/>
      <c r="K25" s="16" t="n"/>
      <c r="L25" s="16" t="n"/>
      <c r="M25" s="16" t="n"/>
    </row>
    <row r="26">
      <c r="A26" s="16" t="n"/>
      <c r="B26" s="16" t="n"/>
      <c r="C26" s="16" t="n"/>
      <c r="D26" s="16" t="n"/>
      <c r="E26" s="16" t="n"/>
      <c r="F26" s="16" t="n"/>
      <c r="G26" s="16" t="n"/>
      <c r="H26" s="16" t="n"/>
      <c r="I26" s="16" t="n"/>
      <c r="J26" s="16" t="n"/>
      <c r="K26" s="16" t="n"/>
      <c r="L26" s="16" t="n"/>
      <c r="M26" s="16" t="n"/>
    </row>
    <row r="27">
      <c r="A27" s="16" t="n"/>
      <c r="B27" s="16" t="n"/>
      <c r="C27" s="16" t="n"/>
      <c r="D27" s="16" t="n"/>
      <c r="E27" s="16" t="n"/>
      <c r="F27" s="16" t="n"/>
      <c r="G27" s="16" t="n"/>
      <c r="H27" s="16" t="n"/>
      <c r="I27" s="16" t="n"/>
      <c r="J27" s="16" t="n"/>
      <c r="K27" s="16" t="n"/>
      <c r="L27" s="16" t="n"/>
      <c r="M27" s="16" t="n"/>
    </row>
    <row r="28">
      <c r="A28" s="16" t="n"/>
      <c r="B28" s="16" t="n"/>
      <c r="C28" s="16" t="n"/>
      <c r="D28" s="16" t="n"/>
      <c r="E28" s="16" t="n"/>
      <c r="F28" s="16" t="n"/>
      <c r="G28" s="16" t="n"/>
      <c r="H28" s="16" t="n"/>
      <c r="I28" s="16" t="n"/>
      <c r="J28" s="16" t="n"/>
      <c r="K28" s="16" t="n"/>
      <c r="L28" s="16" t="n"/>
      <c r="M28" s="16" t="n"/>
    </row>
    <row r="29">
      <c r="A29" s="16" t="n"/>
      <c r="B29" s="16" t="n"/>
      <c r="C29" s="16" t="n"/>
      <c r="D29" s="16" t="n"/>
      <c r="E29" s="16" t="n"/>
      <c r="F29" s="16" t="n"/>
      <c r="G29" s="16" t="n"/>
      <c r="H29" s="16" t="n"/>
      <c r="I29" s="16" t="n"/>
      <c r="J29" s="16" t="n"/>
      <c r="K29" s="16" t="n"/>
      <c r="L29" s="16" t="n"/>
      <c r="M29" s="16" t="n"/>
    </row>
    <row r="30">
      <c r="A30" s="16" t="n"/>
      <c r="B30" s="16" t="n"/>
      <c r="C30" s="16" t="n"/>
      <c r="D30" s="16" t="n"/>
      <c r="E30" s="16" t="n"/>
      <c r="F30" s="16" t="n"/>
      <c r="G30" s="16" t="n"/>
      <c r="H30" s="16" t="n"/>
      <c r="I30" s="16" t="n"/>
      <c r="J30" s="16" t="n"/>
      <c r="K30" s="16" t="n"/>
      <c r="L30" s="16" t="n"/>
      <c r="M30" s="16" t="n"/>
    </row>
    <row r="31">
      <c r="A31" s="16" t="n"/>
      <c r="B31" s="16" t="n"/>
      <c r="C31" s="16" t="n"/>
      <c r="D31" s="16" t="n"/>
      <c r="E31" s="16" t="n"/>
      <c r="F31" s="16" t="n"/>
      <c r="G31" s="16" t="n"/>
      <c r="H31" s="16" t="n"/>
      <c r="I31" s="16" t="n"/>
      <c r="J31" s="16" t="n"/>
      <c r="K31" s="16" t="n"/>
      <c r="L31" s="16" t="n"/>
      <c r="M31" s="16" t="n"/>
    </row>
    <row r="32">
      <c r="A32" s="16" t="n"/>
      <c r="B32" s="16" t="n"/>
      <c r="C32" s="16" t="n"/>
      <c r="D32" s="16" t="n"/>
      <c r="E32" s="16" t="n"/>
      <c r="F32" s="16" t="n"/>
      <c r="G32" s="16" t="n"/>
      <c r="H32" s="16" t="n"/>
      <c r="I32" s="16" t="n"/>
      <c r="J32" s="16" t="n"/>
      <c r="K32" s="16" t="n"/>
      <c r="L32" s="16" t="n"/>
      <c r="M32" s="16" t="n"/>
    </row>
    <row r="33">
      <c r="A33" s="16" t="n"/>
      <c r="B33" s="16" t="n"/>
      <c r="C33" s="16" t="n"/>
      <c r="D33" s="16" t="n"/>
      <c r="E33" s="16" t="n"/>
      <c r="F33" s="16" t="n"/>
      <c r="G33" s="16" t="n"/>
      <c r="H33" s="16" t="n"/>
      <c r="I33" s="16" t="n"/>
      <c r="J33" s="16" t="n"/>
      <c r="K33" s="16" t="n"/>
      <c r="L33" s="16" t="n"/>
      <c r="M33" s="16" t="n"/>
    </row>
    <row r="34">
      <c r="A34" s="16" t="n"/>
      <c r="B34" s="16" t="n"/>
      <c r="C34" s="16" t="n"/>
      <c r="D34" s="16" t="n"/>
      <c r="E34" s="16" t="n"/>
      <c r="F34" s="16" t="n"/>
      <c r="G34" s="16" t="n"/>
      <c r="H34" s="16" t="n"/>
      <c r="I34" s="16" t="n"/>
      <c r="J34" s="16" t="n"/>
      <c r="K34" s="16" t="n"/>
      <c r="L34" s="16" t="n"/>
      <c r="M34" s="16" t="n"/>
    </row>
    <row r="35">
      <c r="A35" s="16" t="n"/>
      <c r="B35" s="16" t="n"/>
      <c r="C35" s="16" t="n"/>
      <c r="D35" s="16" t="n"/>
      <c r="E35" s="16" t="n"/>
      <c r="F35" s="16" t="n"/>
      <c r="G35" s="16" t="n"/>
      <c r="H35" s="16" t="n"/>
      <c r="I35" s="16" t="n"/>
      <c r="J35" s="16" t="n"/>
      <c r="K35" s="16" t="n"/>
      <c r="L35" s="16" t="n"/>
      <c r="M35" s="16" t="n"/>
    </row>
    <row r="36">
      <c r="A36" s="16" t="n"/>
      <c r="B36" s="16" t="n"/>
      <c r="C36" s="16" t="n"/>
      <c r="D36" s="16" t="n"/>
      <c r="E36" s="16" t="n"/>
      <c r="F36" s="16" t="n"/>
      <c r="G36" s="16" t="n"/>
      <c r="H36" s="16" t="n"/>
      <c r="I36" s="16" t="n"/>
      <c r="J36" s="16" t="n"/>
      <c r="K36" s="16" t="n"/>
      <c r="L36" s="16" t="n"/>
      <c r="M36" s="16" t="n"/>
    </row>
    <row r="37">
      <c r="A37" s="16" t="n"/>
      <c r="B37" s="16" t="n"/>
      <c r="C37" s="16" t="n"/>
      <c r="D37" s="16" t="n"/>
      <c r="E37" s="16" t="n"/>
      <c r="F37" s="16" t="n"/>
      <c r="G37" s="16" t="n"/>
      <c r="H37" s="16" t="n"/>
      <c r="I37" s="16" t="n"/>
      <c r="J37" s="16" t="n"/>
      <c r="K37" s="16" t="n"/>
      <c r="L37" s="16" t="n"/>
      <c r="M37" s="16" t="n"/>
    </row>
    <row r="38">
      <c r="A38" s="16" t="n"/>
      <c r="B38" s="16" t="n"/>
      <c r="C38" s="16" t="n"/>
      <c r="D38" s="16" t="n"/>
      <c r="E38" s="16" t="n"/>
      <c r="F38" s="16" t="n"/>
      <c r="G38" s="16" t="n"/>
      <c r="H38" s="16" t="n"/>
      <c r="I38" s="16" t="n"/>
      <c r="J38" s="16" t="n"/>
      <c r="K38" s="16" t="n"/>
      <c r="L38" s="16" t="n"/>
      <c r="M38" s="16" t="n"/>
    </row>
    <row r="39">
      <c r="A39" s="16" t="n"/>
      <c r="B39" s="16" t="n"/>
      <c r="C39" s="16" t="n"/>
      <c r="D39" s="16" t="n"/>
      <c r="E39" s="16" t="n"/>
      <c r="F39" s="16" t="n"/>
      <c r="G39" s="16" t="n"/>
      <c r="H39" s="16" t="n"/>
      <c r="I39" s="16" t="n"/>
      <c r="J39" s="16" t="n"/>
      <c r="K39" s="16" t="n"/>
      <c r="L39" s="16" t="n"/>
      <c r="M39" s="16" t="n"/>
    </row>
    <row r="40">
      <c r="A40" s="16" t="n"/>
      <c r="B40" s="16" t="n"/>
      <c r="C40" s="16" t="n"/>
      <c r="D40" s="16" t="n"/>
      <c r="E40" s="16" t="n"/>
      <c r="F40" s="16" t="n"/>
      <c r="G40" s="16" t="n"/>
      <c r="H40" s="16" t="n"/>
      <c r="I40" s="16" t="n"/>
      <c r="J40" s="16" t="n"/>
      <c r="K40" s="16" t="n"/>
      <c r="L40" s="16" t="n"/>
      <c r="M40" s="16" t="n"/>
    </row>
    <row r="41">
      <c r="A41" s="16" t="n"/>
      <c r="B41" s="16" t="n"/>
      <c r="C41" s="16" t="n"/>
      <c r="D41" s="16" t="n"/>
      <c r="E41" s="16" t="n"/>
      <c r="F41" s="16" t="n"/>
      <c r="G41" s="16" t="n"/>
      <c r="H41" s="16" t="n"/>
      <c r="I41" s="16" t="n"/>
      <c r="J41" s="16" t="n"/>
      <c r="K41" s="16" t="n"/>
      <c r="L41" s="16" t="n"/>
      <c r="M41" s="16" t="n"/>
    </row>
    <row r="42">
      <c r="A42" s="16" t="n"/>
      <c r="B42" s="16" t="n"/>
      <c r="C42" s="16" t="n"/>
      <c r="D42" s="16" t="n"/>
      <c r="E42" s="16" t="n"/>
      <c r="F42" s="16" t="n"/>
      <c r="G42" s="16" t="n"/>
      <c r="H42" s="16" t="n"/>
      <c r="I42" s="16" t="n"/>
      <c r="J42" s="16" t="n"/>
      <c r="K42" s="16" t="n"/>
      <c r="L42" s="16" t="n"/>
      <c r="M42" s="16" t="n"/>
    </row>
    <row r="43">
      <c r="A43" s="16" t="n"/>
      <c r="B43" s="16" t="n"/>
      <c r="C43" s="16" t="n"/>
      <c r="D43" s="16" t="n"/>
      <c r="E43" s="16" t="n"/>
      <c r="F43" s="16" t="n"/>
      <c r="G43" s="16" t="n"/>
      <c r="H43" s="16" t="n"/>
      <c r="I43" s="16" t="n"/>
      <c r="J43" s="16" t="n"/>
      <c r="K43" s="16" t="n"/>
      <c r="L43" s="16" t="n"/>
      <c r="M43" s="16" t="n"/>
    </row>
    <row r="44">
      <c r="A44" s="16" t="n"/>
      <c r="B44" s="16" t="n"/>
      <c r="C44" s="16" t="n"/>
      <c r="D44" s="16" t="n"/>
      <c r="E44" s="16" t="n"/>
      <c r="F44" s="16" t="n"/>
      <c r="G44" s="16" t="n"/>
      <c r="H44" s="16" t="n"/>
      <c r="I44" s="16" t="n"/>
      <c r="J44" s="16" t="n"/>
      <c r="K44" s="16" t="n"/>
      <c r="L44" s="16" t="n"/>
      <c r="M44" s="16" t="n"/>
    </row>
    <row r="45">
      <c r="A45" s="16" t="n"/>
      <c r="B45" s="16" t="n"/>
      <c r="C45" s="16" t="n"/>
      <c r="D45" s="16" t="n"/>
      <c r="E45" s="16" t="n"/>
      <c r="F45" s="16" t="n"/>
      <c r="G45" s="16" t="n"/>
      <c r="H45" s="16" t="n"/>
      <c r="I45" s="16" t="n"/>
      <c r="J45" s="16" t="n"/>
      <c r="K45" s="16" t="n"/>
      <c r="L45" s="16" t="n"/>
      <c r="M45" s="16" t="n"/>
    </row>
    <row r="46">
      <c r="A46" s="16" t="n"/>
      <c r="B46" s="16" t="n"/>
      <c r="C46" s="16" t="n"/>
      <c r="D46" s="16" t="n"/>
      <c r="E46" s="16" t="n"/>
      <c r="F46" s="16" t="n"/>
      <c r="G46" s="16" t="n"/>
      <c r="H46" s="16" t="n"/>
      <c r="I46" s="16" t="n"/>
      <c r="J46" s="16" t="n"/>
      <c r="K46" s="16" t="n"/>
      <c r="L46" s="16" t="n"/>
      <c r="M46" s="16" t="n"/>
    </row>
    <row r="47">
      <c r="A47" s="16" t="n"/>
      <c r="B47" s="16" t="n"/>
      <c r="C47" s="16" t="n"/>
      <c r="D47" s="16" t="n"/>
      <c r="E47" s="16" t="n"/>
      <c r="F47" s="16" t="n"/>
      <c r="G47" s="16" t="n"/>
      <c r="H47" s="16" t="n"/>
      <c r="I47" s="16" t="n"/>
      <c r="J47" s="16" t="n"/>
      <c r="K47" s="16" t="n"/>
      <c r="L47" s="16" t="n"/>
      <c r="M47" s="16" t="n"/>
    </row>
    <row r="48">
      <c r="A48" s="16" t="n"/>
      <c r="B48" s="16" t="n"/>
      <c r="C48" s="16" t="n"/>
      <c r="D48" s="16" t="n"/>
      <c r="E48" s="16" t="n"/>
      <c r="F48" s="16" t="n"/>
      <c r="G48" s="16" t="n"/>
      <c r="H48" s="16" t="n"/>
      <c r="I48" s="16" t="n"/>
      <c r="J48" s="16" t="n"/>
      <c r="K48" s="16" t="n"/>
      <c r="L48" s="16" t="n"/>
      <c r="M48" s="16" t="n"/>
    </row>
    <row r="49">
      <c r="A49" s="16" t="n"/>
      <c r="B49" s="16" t="n"/>
      <c r="C49" s="16" t="n"/>
      <c r="D49" s="16" t="n"/>
      <c r="E49" s="16" t="n"/>
      <c r="F49" s="16" t="n"/>
      <c r="G49" s="16" t="n"/>
      <c r="H49" s="16" t="n"/>
      <c r="I49" s="16" t="n"/>
      <c r="J49" s="16" t="n"/>
      <c r="K49" s="16" t="n"/>
      <c r="L49" s="16" t="n"/>
      <c r="M49" s="16" t="n"/>
    </row>
    <row r="50">
      <c r="A50" s="16" t="n"/>
      <c r="B50" s="16" t="n"/>
      <c r="C50" s="16" t="n"/>
      <c r="D50" s="16" t="n"/>
      <c r="E50" s="16" t="n"/>
      <c r="F50" s="16" t="n"/>
      <c r="G50" s="16" t="n"/>
      <c r="H50" s="16" t="n"/>
      <c r="I50" s="16" t="n"/>
      <c r="J50" s="16" t="n"/>
      <c r="K50" s="16" t="n"/>
      <c r="L50" s="16" t="n"/>
      <c r="M50" s="16" t="n"/>
    </row>
    <row r="51">
      <c r="A51" s="16" t="n"/>
      <c r="B51" s="16" t="n"/>
      <c r="C51" s="16" t="n"/>
      <c r="D51" s="16" t="n"/>
      <c r="E51" s="16" t="n"/>
      <c r="F51" s="16" t="n"/>
      <c r="G51" s="16" t="n"/>
      <c r="H51" s="16" t="n"/>
      <c r="I51" s="16" t="n"/>
      <c r="J51" s="16" t="n"/>
      <c r="K51" s="16" t="n"/>
      <c r="L51" s="16" t="n"/>
      <c r="M51" s="16" t="n"/>
    </row>
    <row r="52">
      <c r="A52" s="16" t="n"/>
      <c r="B52" s="16" t="n"/>
      <c r="C52" s="16" t="n"/>
      <c r="D52" s="16" t="n"/>
      <c r="E52" s="16" t="n"/>
      <c r="F52" s="16" t="n"/>
      <c r="G52" s="16" t="n"/>
      <c r="H52" s="16" t="n"/>
      <c r="I52" s="16" t="n"/>
      <c r="J52" s="16" t="n"/>
      <c r="K52" s="16" t="n"/>
      <c r="L52" s="16" t="n"/>
      <c r="M52" s="16" t="n"/>
    </row>
    <row r="53">
      <c r="A53" s="16" t="n"/>
      <c r="B53" s="16" t="n"/>
      <c r="C53" s="16" t="n"/>
      <c r="D53" s="16" t="n"/>
      <c r="E53" s="16" t="n"/>
      <c r="F53" s="16" t="n"/>
      <c r="G53" s="16" t="n"/>
      <c r="H53" s="16" t="n"/>
      <c r="I53" s="16" t="n"/>
      <c r="J53" s="16" t="n"/>
      <c r="K53" s="16" t="n"/>
      <c r="L53" s="16" t="n"/>
      <c r="M53" s="16" t="n"/>
    </row>
    <row r="54">
      <c r="A54" s="16" t="n"/>
      <c r="B54" s="16" t="n"/>
      <c r="C54" s="16" t="n"/>
      <c r="D54" s="16" t="n"/>
      <c r="E54" s="16" t="n"/>
      <c r="F54" s="16" t="n"/>
      <c r="G54" s="16" t="n"/>
      <c r="H54" s="16" t="n"/>
      <c r="I54" s="16" t="n"/>
      <c r="J54" s="16" t="n"/>
      <c r="K54" s="16" t="n"/>
      <c r="L54" s="16" t="n"/>
      <c r="M54" s="16" t="n"/>
    </row>
  </sheetData>
  <mergeCells count="1">
    <mergeCell ref="A1:M1"/>
  </mergeCells>
  <dataValidations count="4">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"Failed Assessment,Clicked Phishing,Submitted Credentials,Pattern Failure"</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"Level 1,Level 2,Level 3"</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"Passed,Failed,Escalated,In Progress"</formula1>
    </dataValidation>
    <dataValidation sqref="K4 K5 K6 K7 K8 K9 K10 K11 K12 K13 K14 K15 K16 K17 K18 K19 K20 K21 K22 K23 K24 K25 K26 K27 K28 K29 K30 K31 K32 K33 K34 K35 K36 K37 K38 K39 K40 K41 K42 K43 K44 K45 K46 K47 K48 K49 K50 K51 K52 K53 K54 L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7"/>
  <sheetViews>
    <sheetView showGridLines="0" workbookViewId="0">
      <pane ySplit="3" topLeftCell="A4" activePane="bottomLeft" state="frozen"/>
      <selection pane="bottomLeft" activeCell="A1" sqref="A1"/>
    </sheetView>
  </sheetViews>
  <sheetFormatPr baseColWidth="8" defaultRowHeight="15"/>
  <cols>
    <col width="25" customWidth="1" min="1" max="1"/>
    <col width="15" customWidth="1" min="2" max="2"/>
    <col width="18" customWidth="1" min="3" max="3"/>
    <col width="12" customWidth="1" min="4" max="4"/>
    <col width="15" customWidth="1" min="5" max="5"/>
    <col width="15" customWidth="1" min="6" max="6"/>
    <col width="15" customWidth="1" min="7" max="7"/>
    <col width="15" customWidth="1" min="8" max="8"/>
    <col width="18" customWidth="1" min="9" max="9"/>
  </cols>
  <sheetData>
    <row r="1" ht="35" customHeight="1">
      <c r="A1" s="11" t="inlineStr">
        <is>
          <t>COMPLIANCE SUMMARY
Aggregated compliance metrics by department/tier</t>
        </is>
      </c>
    </row>
    <row r="2">
      <c r="A2" s="12" t="inlineStr">
        <is>
          <t>Aggregated compliance metrics by department and training tier</t>
        </is>
      </c>
    </row>
    <row r="3">
      <c r="A3" s="19" t="inlineStr">
        <is>
          <t>BY DEPARTMENT</t>
        </is>
      </c>
    </row>
    <row r="4">
      <c r="A4" s="13" t="inlineStr">
        <is>
          <t>Department</t>
        </is>
      </c>
      <c r="B4" s="13" t="inlineStr">
        <is>
          <t>Total Personnel</t>
        </is>
      </c>
      <c r="C4" s="13" t="inlineStr">
        <is>
          <t>Training Required</t>
        </is>
      </c>
      <c r="D4" s="13" t="inlineStr">
        <is>
          <t>Completed</t>
        </is>
      </c>
      <c r="E4" s="13" t="inlineStr">
        <is>
          <t>Completion Rate</t>
        </is>
      </c>
      <c r="F4" s="13" t="inlineStr">
        <is>
          <t>On Time Rate</t>
        </is>
      </c>
      <c r="G4" s="13" t="inlineStr">
        <is>
          <t>Average Score</t>
        </is>
      </c>
      <c r="H4" s="13" t="inlineStr">
        <is>
          <t>Overdue Count</t>
        </is>
      </c>
      <c r="I4" s="13" t="inlineStr">
        <is>
          <t>Compliance Status</t>
        </is>
      </c>
    </row>
    <row r="5">
      <c r="A5" s="14" t="inlineStr">
        <is>
          <t>Dept-001</t>
        </is>
      </c>
      <c r="B5" s="15" t="n"/>
      <c r="C5" s="15" t="n"/>
      <c r="D5" s="15" t="n"/>
      <c r="E5" s="15" t="n"/>
      <c r="F5" s="15" t="n"/>
      <c r="G5" s="15" t="n"/>
      <c r="H5" s="15" t="n"/>
      <c r="I5" s="15"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7">
      <c r="A27" s="19" t="inlineStr">
        <is>
          <t>BY TRAINING TIER</t>
        </is>
      </c>
    </row>
    <row r="28">
      <c r="A28" s="13" t="inlineStr">
        <is>
          <t>Training_Tier</t>
        </is>
      </c>
      <c r="B28" s="13" t="inlineStr">
        <is>
          <t>Total Personnel</t>
        </is>
      </c>
      <c r="C28" s="13" t="inlineStr">
        <is>
          <t>Training Required</t>
        </is>
      </c>
      <c r="D28" s="13" t="inlineStr">
        <is>
          <t>Completed</t>
        </is>
      </c>
      <c r="E28" s="13" t="inlineStr">
        <is>
          <t>Completion Rate</t>
        </is>
      </c>
      <c r="F28" s="13" t="inlineStr">
        <is>
          <t>On Time Rate</t>
        </is>
      </c>
      <c r="G28" s="13" t="inlineStr">
        <is>
          <t>Average Score</t>
        </is>
      </c>
      <c r="H28" s="13" t="inlineStr">
        <is>
          <t>Overdue Count</t>
        </is>
      </c>
      <c r="I28" s="13" t="inlineStr">
        <is>
          <t>Compliance Status</t>
        </is>
      </c>
    </row>
    <row r="29">
      <c r="A29" s="20" t="n"/>
      <c r="B29" s="20" t="n"/>
      <c r="C29" s="20" t="n"/>
      <c r="D29" s="20" t="n"/>
      <c r="E29" s="20" t="n"/>
      <c r="F29" s="20" t="n"/>
      <c r="G29" s="20" t="n"/>
      <c r="H29" s="20" t="n"/>
      <c r="I29" s="20" t="n"/>
    </row>
    <row r="30">
      <c r="A30" s="20" t="n"/>
      <c r="B30" s="20" t="n"/>
      <c r="C30" s="20" t="n"/>
      <c r="D30" s="20" t="n"/>
      <c r="E30" s="20" t="n"/>
      <c r="F30" s="20" t="n"/>
      <c r="G30" s="20" t="n"/>
      <c r="H30" s="20" t="n"/>
      <c r="I30" s="20" t="n"/>
    </row>
    <row r="31">
      <c r="A31" s="20" t="n"/>
      <c r="B31" s="20" t="n"/>
      <c r="C31" s="20" t="n"/>
      <c r="D31" s="20" t="n"/>
      <c r="E31" s="20" t="n"/>
      <c r="F31" s="20" t="n"/>
      <c r="G31" s="20" t="n"/>
      <c r="H31" s="20" t="n"/>
      <c r="I31" s="20" t="n"/>
    </row>
    <row r="32">
      <c r="A32" s="20" t="n"/>
      <c r="B32" s="20" t="n"/>
      <c r="C32" s="20" t="n"/>
      <c r="D32" s="20" t="n"/>
      <c r="E32" s="20" t="n"/>
      <c r="F32" s="20" t="n"/>
      <c r="G32" s="20" t="n"/>
      <c r="H32" s="20" t="n"/>
      <c r="I32" s="20" t="n"/>
    </row>
    <row r="33">
      <c r="A33" s="20" t="n"/>
      <c r="B33" s="20" t="n"/>
      <c r="C33" s="20" t="n"/>
      <c r="D33" s="20" t="n"/>
      <c r="E33" s="20" t="n"/>
      <c r="F33" s="20" t="n"/>
      <c r="G33" s="20" t="n"/>
      <c r="H33" s="20" t="n"/>
      <c r="I33" s="20" t="n"/>
    </row>
    <row r="34">
      <c r="A34" s="20" t="n"/>
      <c r="B34" s="20" t="n"/>
      <c r="C34" s="20" t="n"/>
      <c r="D34" s="20" t="n"/>
      <c r="E34" s="20" t="n"/>
      <c r="F34" s="20" t="n"/>
      <c r="G34" s="20" t="n"/>
      <c r="H34" s="20" t="n"/>
      <c r="I34" s="20" t="n"/>
    </row>
    <row r="35">
      <c r="A35" s="20" t="n"/>
      <c r="B35" s="20" t="n"/>
      <c r="C35" s="20" t="n"/>
      <c r="D35" s="20" t="n"/>
      <c r="E35" s="20" t="n"/>
      <c r="F35" s="20" t="n"/>
      <c r="G35" s="20" t="n"/>
      <c r="H35" s="20" t="n"/>
      <c r="I35" s="20" t="n"/>
    </row>
    <row r="36">
      <c r="A36" s="20" t="n"/>
      <c r="B36" s="20" t="n"/>
      <c r="C36" s="20" t="n"/>
      <c r="D36" s="20" t="n"/>
      <c r="E36" s="20" t="n"/>
      <c r="F36" s="20" t="n"/>
      <c r="G36" s="20" t="n"/>
      <c r="H36" s="20" t="n"/>
      <c r="I36" s="20" t="n"/>
    </row>
    <row r="37">
      <c r="A37" s="20" t="n"/>
      <c r="B37" s="20" t="n"/>
      <c r="C37" s="20" t="n"/>
      <c r="D37" s="20" t="n"/>
      <c r="E37" s="20" t="n"/>
      <c r="F37" s="20" t="n"/>
      <c r="G37" s="20" t="n"/>
      <c r="H37" s="20" t="n"/>
      <c r="I37" s="20" t="n"/>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0" customWidth="1" min="4" max="4"/>
    <col width="35" customWidth="1" min="5" max="5"/>
    <col width="12" customWidth="1" min="6" max="6"/>
    <col width="15" customWidth="1" min="7" max="7"/>
    <col width="18" customWidth="1" min="8" max="8"/>
    <col width="18" customWidth="1" min="9" max="9"/>
    <col width="40" customWidth="1" min="10" max="10"/>
  </cols>
  <sheetData>
    <row r="1" ht="35" customHeight="1">
      <c r="A1" s="11" t="inlineStr">
        <is>
          <t>OVERDUE ALERTS
Real-time overdue training alerts</t>
        </is>
      </c>
    </row>
    <row r="2">
      <c r="A2" s="12" t="inlineStr">
        <is>
          <t>Real-time alerts for overdue and at-risk training obligations requiring follow-up</t>
        </is>
      </c>
    </row>
    <row r="3">
      <c r="A3" s="13" t="inlineStr">
        <is>
          <t>Employee ID</t>
        </is>
      </c>
      <c r="B3" s="13" t="inlineStr">
        <is>
          <t>Employee Name</t>
        </is>
      </c>
      <c r="C3" s="13" t="inlineStr">
        <is>
          <t>Manager</t>
        </is>
      </c>
      <c r="D3" s="13" t="inlineStr">
        <is>
          <t>Department</t>
        </is>
      </c>
      <c r="E3" s="13" t="inlineStr">
        <is>
          <t>Module Title</t>
        </is>
      </c>
      <c r="F3" s="13" t="inlineStr">
        <is>
          <t>Due Date</t>
        </is>
      </c>
      <c r="G3" s="13" t="inlineStr">
        <is>
          <t>Days Overdue</t>
        </is>
      </c>
      <c r="H3" s="13" t="inlineStr">
        <is>
          <t>Escalation Level</t>
        </is>
      </c>
      <c r="I3" s="13" t="inlineStr">
        <is>
          <t>Last Reminder Sent</t>
        </is>
      </c>
      <c r="J3" s="13" t="inlineStr">
        <is>
          <t>Action Required</t>
        </is>
      </c>
    </row>
    <row r="4">
      <c r="A4" s="14" t="inlineStr">
        <is>
          <t>EMP-001</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1">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"Level 1 (1-7 days),Level 2 (8-14 days),Level 3 (15-30 days),Level 4 (&gt;30 days)"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5" customHeight="1">
      <c r="A1" s="21" t="inlineStr">
        <is>
          <t>EVIDENCE REGISTER</t>
        </is>
      </c>
    </row>
    <row r="2">
      <c r="A2" s="22" t="inlineStr">
        <is>
          <t>ISMS-IMP-A.6.3.3 — Training Delivery Tracking | Audit evidence tracking</t>
        </is>
      </c>
    </row>
    <row r="4">
      <c r="A4" s="23" t="inlineStr">
        <is>
          <t>Evidence ID</t>
        </is>
      </c>
      <c r="B4" s="23" t="inlineStr">
        <is>
          <t>Evidence Type</t>
        </is>
      </c>
      <c r="C4" s="23" t="inlineStr">
        <is>
          <t>Description</t>
        </is>
      </c>
      <c r="D4" s="23" t="inlineStr">
        <is>
          <t>Location / Source</t>
        </is>
      </c>
      <c r="E4" s="23" t="inlineStr">
        <is>
          <t>Date Collected</t>
        </is>
      </c>
      <c r="F4" s="23" t="inlineStr">
        <is>
          <t>Collected By</t>
        </is>
      </c>
      <c r="G4" s="23" t="inlineStr">
        <is>
          <t>Status</t>
        </is>
      </c>
      <c r="H4" s="23" t="inlineStr">
        <is>
          <t>Notes</t>
        </is>
      </c>
    </row>
    <row r="5">
      <c r="A5" s="24" t="inlineStr">
        <is>
          <t>EV-001</t>
        </is>
      </c>
      <c r="B5" s="15" t="n"/>
      <c r="C5" s="15" t="n"/>
      <c r="D5" s="15" t="n"/>
      <c r="E5" s="15" t="n"/>
      <c r="F5" s="15" t="n"/>
      <c r="G5" s="15" t="n"/>
      <c r="H5" s="15"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1" type="list">
      <formula1>"Verified,Pending,Requires update,Not available"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16" customWidth="1" min="5" max="5"/>
    <col width="10" customWidth="1" min="6" max="6"/>
    <col width="14" customWidth="1" min="7" max="7"/>
  </cols>
  <sheetData>
    <row r="1" ht="35" customHeight="1">
      <c r="A1" s="25" t="inlineStr">
        <is>
          <t>TRAINING DELIVERY TRACKING — SUMMARY DASHBOARD</t>
        </is>
      </c>
      <c r="B1" s="26" t="n"/>
      <c r="C1" s="26" t="n"/>
      <c r="D1" s="26" t="n"/>
      <c r="E1" s="26" t="n"/>
      <c r="F1" s="26" t="n"/>
      <c r="G1" s="26" t="n"/>
    </row>
    <row r="2">
      <c r="A2" s="27" t="inlineStr">
        <is>
          <t>ISO/IEC 27001:2022 — Control A.6.3: Information Security Awareness, Education and Training | Delivery &amp; Tracking</t>
        </is>
      </c>
    </row>
    <row r="4" ht="20" customHeight="1">
      <c r="A4" s="28" t="inlineStr">
        <is>
          <t>TABLE 1: ASSESSMENT AREA COMPLIANCE OVERVIEW</t>
        </is>
      </c>
      <c r="B4" s="26" t="n"/>
      <c r="C4" s="26" t="n"/>
      <c r="D4" s="26" t="n"/>
      <c r="E4" s="26" t="n"/>
      <c r="F4" s="26" t="n"/>
      <c r="G4" s="26" t="n"/>
    </row>
    <row r="5" ht="30" customHeight="1">
      <c r="A5" s="29" t="inlineStr">
        <is>
          <t>Assessment Area</t>
        </is>
      </c>
      <c r="B5" s="29" t="inlineStr">
        <is>
          <t>Count</t>
        </is>
      </c>
      <c r="C5" s="29" t="inlineStr">
        <is>
          <t>Compliant</t>
        </is>
      </c>
      <c r="D5" s="29" t="inlineStr">
        <is>
          <t>Partial</t>
        </is>
      </c>
      <c r="E5" s="29" t="inlineStr">
        <is>
          <t>Non-Compliant</t>
        </is>
      </c>
      <c r="F5" s="29" t="inlineStr">
        <is>
          <t>N/A</t>
        </is>
      </c>
      <c r="G5" s="29" t="inlineStr">
        <is>
          <t>Compliance %</t>
        </is>
      </c>
    </row>
    <row r="6">
      <c r="A6" s="30" t="inlineStr">
        <is>
          <t>Personnel Register</t>
        </is>
      </c>
      <c r="B6" s="31">
        <f>COUNTA('Personnel Register'!A5:A54)</f>
        <v/>
      </c>
      <c r="C6" s="31">
        <f>COUNTIF('Personnel Register'!H5:H54,"Active")</f>
        <v/>
      </c>
      <c r="D6" s="31">
        <f>COUNTIF('Personnel Register'!H5:H54,"On Leave")</f>
        <v/>
      </c>
      <c r="E6" s="31">
        <f>COUNTIF('Personnel Register'!H5:H54,"Terminated")</f>
        <v/>
      </c>
      <c r="F6" s="31" t="n">
        <v>0</v>
      </c>
      <c r="G6" s="32">
        <f>IF((B6-F6)=0,0,C6/(B6-F6))</f>
        <v/>
      </c>
    </row>
    <row r="7">
      <c r="A7" s="30" t="inlineStr">
        <is>
          <t>Training Completion</t>
        </is>
      </c>
      <c r="B7" s="31">
        <f>COUNTA('Completion Tracking'!B4:B1003)</f>
        <v/>
      </c>
      <c r="C7" s="31">
        <f>COUNTIFS('Completion Tracking'!B4:B1003,"&lt;&gt;",'Completion Tracking'!I4:I1003,"Completed")</f>
        <v/>
      </c>
      <c r="D7" s="31">
        <f>COUNTIFS('Completion Tracking'!B4:B1003,"&lt;&gt;",'Completion Tracking'!I4:I1003,"In Progress")</f>
        <v/>
      </c>
      <c r="E7" s="31">
        <f>COUNTIFS('Completion Tracking'!B4:B1003,"&lt;&gt;",'Completion Tracking'!I4:I1003,"Overdue")</f>
        <v/>
      </c>
      <c r="F7" s="31" t="n">
        <v>0</v>
      </c>
      <c r="G7" s="32">
        <f>IF((B7-F7)=0,0,C7/(B7-F7))</f>
        <v/>
      </c>
    </row>
    <row r="8">
      <c r="A8" s="30" t="inlineStr">
        <is>
          <t>Assessment Results</t>
        </is>
      </c>
      <c r="B8" s="31">
        <f>COUNTA('Assessment Results'!B4:B503)</f>
        <v/>
      </c>
      <c r="C8" s="31">
        <f>COUNTIF('Assessment Results'!H4:H503,"Pass")</f>
        <v/>
      </c>
      <c r="D8" s="31" t="n">
        <v>0</v>
      </c>
      <c r="E8" s="31">
        <f>COUNTIF('Assessment Results'!H4:H503,"Fail")</f>
        <v/>
      </c>
      <c r="F8" s="31" t="n">
        <v>0</v>
      </c>
      <c r="G8" s="32">
        <f>IF((B8-F8)=0,0,C8/(B8-F8))</f>
        <v/>
      </c>
    </row>
    <row r="9">
      <c r="A9" s="33" t="inlineStr">
        <is>
          <t>TOTAL</t>
        </is>
      </c>
      <c r="B9" s="34">
        <f>SUM(B6:B8)</f>
        <v/>
      </c>
      <c r="C9" s="34">
        <f>SUM(C6:C8)</f>
        <v/>
      </c>
      <c r="D9" s="34">
        <f>SUM(D6:D8)</f>
        <v/>
      </c>
      <c r="E9" s="34">
        <f>SUM(E6:E8)</f>
        <v/>
      </c>
      <c r="F9" s="34">
        <f>SUM(F6:F8)</f>
        <v/>
      </c>
      <c r="G9" s="35">
        <f>IF((B9-F9)=0,0,C9/(B9-F9))</f>
        <v/>
      </c>
    </row>
    <row r="11" ht="20" customHeight="1">
      <c r="A11" s="28" t="inlineStr">
        <is>
          <t>TABLE 2: KEY METRICS</t>
        </is>
      </c>
      <c r="B11" s="26" t="n"/>
      <c r="C11" s="26" t="n"/>
      <c r="D11" s="26" t="n"/>
      <c r="E11" s="26" t="n"/>
      <c r="F11" s="26" t="n"/>
      <c r="G11" s="26" t="n"/>
    </row>
    <row r="12">
      <c r="A12" s="34" t="inlineStr">
        <is>
          <t>Metric</t>
        </is>
      </c>
      <c r="B12" s="34" t="inlineStr">
        <is>
          <t>Value</t>
        </is>
      </c>
      <c r="C12" s="34" t="n"/>
      <c r="D12" s="34" t="n"/>
      <c r="E12" s="34" t="n"/>
      <c r="F12" s="34" t="n"/>
      <c r="G12" s="34" t="n"/>
    </row>
    <row r="13">
      <c r="A13" s="30" t="inlineStr">
        <is>
          <t>Total Personnel Registered</t>
        </is>
      </c>
      <c r="B13" s="31">
        <f>COUNTA('Personnel Register'!A5:A54)</f>
        <v/>
      </c>
      <c r="C13" s="26" t="n"/>
      <c r="D13" s="26" t="n"/>
      <c r="E13" s="26" t="n"/>
      <c r="F13" s="26" t="n"/>
      <c r="G13" s="26" t="n"/>
    </row>
    <row r="14">
      <c r="A14" s="30" t="inlineStr">
        <is>
          <t>Total Training Records</t>
        </is>
      </c>
      <c r="B14" s="31">
        <f>COUNTA('Completion Tracking'!B4:B1003)</f>
        <v/>
      </c>
      <c r="C14" s="26" t="n"/>
      <c r="D14" s="26" t="n"/>
      <c r="E14" s="26" t="n"/>
      <c r="F14" s="26" t="n"/>
      <c r="G14" s="26" t="n"/>
    </row>
    <row r="15">
      <c r="A15" s="30" t="inlineStr">
        <is>
          <t>Training Completion Rate</t>
        </is>
      </c>
      <c r="B15" s="32">
        <f>IFERROR(COUNTIFS('Completion Tracking'!B4:B1003,"&lt;&gt;",'Completion Tracking'!I4:I1003,"Completed")/COUNTA('Completion Tracking'!B4:B1003),0)</f>
        <v/>
      </c>
      <c r="C15" s="26" t="n"/>
      <c r="D15" s="26" t="n"/>
      <c r="E15" s="26" t="n"/>
      <c r="F15" s="26" t="n"/>
      <c r="G15" s="26" t="n"/>
    </row>
    <row r="16">
      <c r="A16" s="30" t="inlineStr">
        <is>
          <t>Overdue Training Items</t>
        </is>
      </c>
      <c r="B16" s="31">
        <f>COUNTIFS('Completion Tracking'!B4:B1003,"&lt;&gt;",'Completion Tracking'!I4:I1003,"Overdue")</f>
        <v/>
      </c>
      <c r="C16" s="26" t="n"/>
      <c r="D16" s="26" t="n"/>
      <c r="E16" s="26" t="n"/>
      <c r="F16" s="26" t="n"/>
      <c r="G16" s="26" t="n"/>
    </row>
    <row r="17">
      <c r="A17" s="30" t="inlineStr">
        <is>
          <t>Total Assessment Records</t>
        </is>
      </c>
      <c r="B17" s="31">
        <f>COUNTA('Assessment Results'!B4:B503)</f>
        <v/>
      </c>
      <c r="C17" s="26" t="n"/>
      <c r="D17" s="26" t="n"/>
      <c r="E17" s="26" t="n"/>
      <c r="F17" s="26" t="n"/>
      <c r="G17" s="26" t="n"/>
    </row>
    <row r="18">
      <c r="A18" s="30" t="inlineStr">
        <is>
          <t>Assessment Pass Rate</t>
        </is>
      </c>
      <c r="B18" s="32">
        <f>IFERROR(COUNTIF('Assessment Results'!H4:H503,"Pass")/COUNTA('Assessment Results'!B4:B503),0)</f>
        <v/>
      </c>
      <c r="C18" s="26" t="n"/>
      <c r="D18" s="26" t="n"/>
      <c r="E18" s="26" t="n"/>
      <c r="F18" s="26" t="n"/>
      <c r="G18" s="26" t="n"/>
    </row>
    <row r="19">
      <c r="A19" s="30" t="inlineStr">
        <is>
          <t>Phishing Simulation Records</t>
        </is>
      </c>
      <c r="B19" s="31">
        <f>COUNTA('Simulation Results'!B4:B503)</f>
        <v/>
      </c>
      <c r="C19" s="26" t="n"/>
      <c r="D19" s="26" t="n"/>
      <c r="E19" s="26" t="n"/>
      <c r="F19" s="26" t="n"/>
      <c r="G19" s="26" t="n"/>
    </row>
    <row r="20">
      <c r="A20" s="30" t="inlineStr">
        <is>
          <t>Phishing Click Rate</t>
        </is>
      </c>
      <c r="B20" s="32">
        <f>IFERROR(COUNTIF('Simulation Results'!G4:G503,"Yes")/COUNTA('Simulation Results'!B4:B503),0)</f>
        <v/>
      </c>
      <c r="C20" s="26" t="n"/>
      <c r="D20" s="26" t="n"/>
      <c r="E20" s="26" t="n"/>
      <c r="F20" s="26" t="n"/>
      <c r="G20" s="26" t="n"/>
    </row>
    <row r="21">
      <c r="A21" s="30" t="inlineStr">
        <is>
          <t>Active Remediation Cases</t>
        </is>
      </c>
      <c r="B21" s="31">
        <f>COUNTIF('Remediation Tracking'!J5:J54,"In Progress")</f>
        <v/>
      </c>
      <c r="C21" s="26" t="n"/>
      <c r="D21" s="26" t="n"/>
      <c r="E21" s="26" t="n"/>
      <c r="F21" s="26" t="n"/>
      <c r="G21" s="26" t="n"/>
    </row>
    <row r="22">
      <c r="A22" s="30" t="inlineStr">
        <is>
          <t>Completed Remediation Cases</t>
        </is>
      </c>
      <c r="B22" s="31">
        <f>COUNTIF('Remediation Tracking'!J5:J54,"Passed")</f>
        <v/>
      </c>
      <c r="C22" s="26" t="n"/>
      <c r="D22" s="26" t="n"/>
      <c r="E22" s="26" t="n"/>
      <c r="F22" s="26" t="n"/>
      <c r="G22" s="26" t="n"/>
    </row>
    <row r="23">
      <c r="A23" s="26" t="n"/>
      <c r="B23" s="26" t="n"/>
      <c r="C23" s="26" t="n"/>
      <c r="D23" s="26" t="n"/>
      <c r="E23" s="26" t="n"/>
      <c r="F23" s="26" t="n"/>
      <c r="G23" s="26" t="n"/>
    </row>
    <row r="24">
      <c r="A24" s="26" t="n"/>
      <c r="B24" s="26" t="n"/>
      <c r="C24" s="26" t="n"/>
      <c r="D24" s="26" t="n"/>
      <c r="E24" s="26" t="n"/>
      <c r="F24" s="26" t="n"/>
      <c r="G24" s="26" t="n"/>
    </row>
    <row r="26" ht="20" customHeight="1">
      <c r="A26" s="36" t="inlineStr">
        <is>
          <t>TABLE 3: CRITICAL FINDINGS REQUIRING IMMEDIATE ATTENTION</t>
        </is>
      </c>
      <c r="B26" s="26" t="n"/>
      <c r="C26" s="26" t="n"/>
      <c r="D26" s="26" t="n"/>
      <c r="E26" s="26" t="n"/>
      <c r="F26" s="26" t="n"/>
      <c r="G26" s="26" t="n"/>
    </row>
    <row r="27">
      <c r="A27" s="34" t="inlineStr">
        <is>
          <t>Category</t>
        </is>
      </c>
      <c r="B27" s="34" t="inlineStr">
        <is>
          <t>Finding</t>
        </is>
      </c>
      <c r="C27" s="34" t="inlineStr">
        <is>
          <t>Count</t>
        </is>
      </c>
      <c r="D27" s="34" t="inlineStr">
        <is>
          <t>Severity</t>
        </is>
      </c>
      <c r="E27" s="34" t="inlineStr">
        <is>
          <t>Action Required</t>
        </is>
      </c>
      <c r="F27" s="34" t="n"/>
      <c r="G27" s="34" t="n"/>
    </row>
    <row r="28">
      <c r="A28" s="37" t="inlineStr">
        <is>
          <t>Completion</t>
        </is>
      </c>
      <c r="B28" s="37" t="inlineStr">
        <is>
          <t>Overdue training items (not completed by due date)</t>
        </is>
      </c>
      <c r="C28" s="38">
        <f>COUNTIFS('Completion Tracking'!B4:B1003,"&lt;&gt;",'Completion Tracking'!I4:I1003,"Overdue")</f>
        <v/>
      </c>
      <c r="D28" s="37" t="inlineStr">
        <is>
          <t>Critical</t>
        </is>
      </c>
      <c r="E28" s="37" t="inlineStr">
        <is>
          <t>Immediate</t>
        </is>
      </c>
      <c r="F28" s="37" t="n"/>
      <c r="G28" s="37" t="n"/>
    </row>
    <row r="29">
      <c r="A29" s="37" t="inlineStr">
        <is>
          <t>Assessment</t>
        </is>
      </c>
      <c r="B29" s="37" t="inlineStr">
        <is>
          <t>Failed assessments requiring remediation</t>
        </is>
      </c>
      <c r="C29" s="38">
        <f>COUNTIF('Assessment Results'!H4:H503,"Fail")</f>
        <v/>
      </c>
      <c r="D29" s="37" t="inlineStr">
        <is>
          <t>High</t>
        </is>
      </c>
      <c r="E29" s="37" t="inlineStr">
        <is>
          <t>Urgent</t>
        </is>
      </c>
      <c r="F29" s="37" t="n"/>
      <c r="G29" s="37" t="n"/>
    </row>
    <row r="30">
      <c r="A30" s="37" t="inlineStr">
        <is>
          <t>Simulation</t>
        </is>
      </c>
      <c r="B30" s="37" t="inlineStr">
        <is>
          <t>Phishing simulation clicks (behavioural risk indicator)</t>
        </is>
      </c>
      <c r="C30" s="38">
        <f>COUNTIF('Simulation Results'!G4:G503,"Yes")</f>
        <v/>
      </c>
      <c r="D30" s="37" t="inlineStr">
        <is>
          <t>High</t>
        </is>
      </c>
      <c r="E30" s="37" t="inlineStr">
        <is>
          <t>Urgent</t>
        </is>
      </c>
      <c r="F30" s="37" t="n"/>
      <c r="G30" s="37" t="n"/>
    </row>
    <row r="31">
      <c r="A31" s="37" t="inlineStr">
        <is>
          <t>Completion</t>
        </is>
      </c>
      <c r="B31" s="37" t="inlineStr">
        <is>
          <t>Not started training items (registered but untrained)</t>
        </is>
      </c>
      <c r="C31" s="38">
        <f>COUNTIFS('Completion Tracking'!B4:B1003,"&lt;&gt;",'Completion Tracking'!I4:I1003,"Not Started")</f>
        <v/>
      </c>
      <c r="D31" s="37" t="inlineStr">
        <is>
          <t>High</t>
        </is>
      </c>
      <c r="E31" s="37" t="inlineStr">
        <is>
          <t>Urgent</t>
        </is>
      </c>
      <c r="F31" s="37" t="n"/>
      <c r="G31" s="37" t="n"/>
    </row>
    <row r="32">
      <c r="A32" s="37" t="inlineStr">
        <is>
          <t>Remediation</t>
        </is>
      </c>
      <c r="B32" s="37" t="inlineStr">
        <is>
          <t>Active remediation cases (in progress)</t>
        </is>
      </c>
      <c r="C32" s="38">
        <f>COUNTIF('Remediation Tracking'!J5:J54,"In Progress")</f>
        <v/>
      </c>
      <c r="D32" s="37" t="inlineStr">
        <is>
          <t>Medium</t>
        </is>
      </c>
      <c r="E32" s="37" t="inlineStr">
        <is>
          <t>Monitor</t>
        </is>
      </c>
      <c r="F32" s="37" t="n"/>
      <c r="G32" s="37" t="n"/>
    </row>
    <row r="33">
      <c r="A33" s="39" t="n"/>
      <c r="B33" s="39" t="n"/>
      <c r="C33" s="39" t="n"/>
      <c r="D33" s="39" t="n"/>
      <c r="E33" s="39" t="n"/>
      <c r="F33" s="39" t="n"/>
      <c r="G33" s="39" t="n"/>
    </row>
    <row r="34">
      <c r="A34" s="39" t="n"/>
      <c r="B34" s="39" t="n"/>
      <c r="C34" s="39" t="n"/>
      <c r="D34" s="39" t="n"/>
      <c r="E34" s="39" t="n"/>
      <c r="F34" s="39" t="n"/>
      <c r="G34" s="39" t="n"/>
    </row>
  </sheetData>
  <mergeCells count="5">
    <mergeCell ref="A1:G1"/>
    <mergeCell ref="A4:G4"/>
    <mergeCell ref="A26:G26"/>
    <mergeCell ref="A2:G2"/>
    <mergeCell ref="A11:G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1" t="inlineStr">
        <is>
          <t>ASSESSMENT APPROVAL AND SIGN-OFF</t>
        </is>
      </c>
      <c r="B1" s="6" t="n"/>
      <c r="C1" s="6" t="n"/>
      <c r="D1" s="6" t="n"/>
      <c r="E1" s="6" t="n"/>
    </row>
    <row r="2">
      <c r="A2" s="40" t="inlineStr">
        <is>
          <t>ISO/IEC 27001:2022 - Control A.6.3: Information Security Awareness, Education and Training</t>
        </is>
      </c>
      <c r="B2" s="6" t="n"/>
      <c r="C2" s="6" t="n"/>
      <c r="D2" s="6" t="n"/>
      <c r="E2" s="6" t="n"/>
    </row>
    <row r="3">
      <c r="A3" s="41" t="inlineStr">
        <is>
          <t>ASSESSMENT SUMMARY</t>
        </is>
      </c>
      <c r="B3" s="6" t="n"/>
      <c r="C3" s="6" t="n"/>
      <c r="D3" s="6" t="n"/>
      <c r="E3" s="6" t="n"/>
    </row>
    <row r="4">
      <c r="A4" s="42" t="inlineStr">
        <is>
          <t>Document:</t>
        </is>
      </c>
      <c r="B4" s="6" t="inlineStr">
        <is>
          <t>ISMS-IMP-A.6.3.3 - Training Delivery Tracking</t>
        </is>
      </c>
      <c r="C4" s="6" t="n"/>
      <c r="D4" s="6" t="n"/>
      <c r="E4" s="6" t="n"/>
    </row>
    <row r="5">
      <c r="A5" s="42" t="inlineStr">
        <is>
          <t>Assessment Period:</t>
        </is>
      </c>
      <c r="B5" s="20" t="inlineStr"/>
      <c r="C5" s="20" t="n"/>
      <c r="D5" s="20" t="n"/>
      <c r="E5" s="20" t="n"/>
    </row>
    <row r="6">
      <c r="A6" s="42" t="inlineStr">
        <is>
          <t>Overall Compliance Rating:</t>
        </is>
      </c>
      <c r="B6" s="43">
        <f>IFERROR(AVERAGE('Summary Dashboard'!G6:G8),"")</f>
        <v/>
      </c>
      <c r="C6" s="6" t="n"/>
      <c r="D6" s="6" t="n"/>
      <c r="E6" s="6" t="n"/>
    </row>
    <row r="7">
      <c r="A7" s="42" t="inlineStr">
        <is>
          <t>Assessment Status:</t>
        </is>
      </c>
      <c r="B7" s="20" t="inlineStr"/>
      <c r="C7" s="20" t="n"/>
      <c r="D7" s="20" t="n"/>
      <c r="E7" s="20" t="n"/>
    </row>
    <row r="8">
      <c r="A8" s="42" t="inlineStr">
        <is>
          <t>Assessed By:</t>
        </is>
      </c>
      <c r="B8" s="20" t="inlineStr"/>
      <c r="C8" s="20" t="n"/>
      <c r="D8" s="20" t="n"/>
      <c r="E8" s="20" t="n"/>
    </row>
    <row r="11">
      <c r="A11" s="41" t="inlineStr">
        <is>
          <t>COMPLETED BY (ASSESSOR)</t>
        </is>
      </c>
      <c r="B11" s="6" t="n"/>
      <c r="C11" s="6" t="n"/>
      <c r="D11" s="6" t="n"/>
      <c r="E11" s="6" t="n"/>
    </row>
    <row r="12">
      <c r="A12" s="42" t="inlineStr">
        <is>
          <t>Name:</t>
        </is>
      </c>
      <c r="B12" s="20" t="n"/>
      <c r="C12" s="20" t="n"/>
      <c r="D12" s="20" t="n"/>
      <c r="E12" s="20" t="n"/>
    </row>
    <row r="13">
      <c r="A13" s="42" t="inlineStr">
        <is>
          <t>Title:</t>
        </is>
      </c>
      <c r="B13" s="20" t="n"/>
      <c r="C13" s="20" t="n"/>
      <c r="D13" s="20" t="n"/>
      <c r="E13" s="20" t="n"/>
    </row>
    <row r="14">
      <c r="A14" s="42" t="inlineStr">
        <is>
          <t>Date:</t>
        </is>
      </c>
      <c r="B14" s="20" t="n"/>
      <c r="C14" s="20" t="n"/>
      <c r="D14" s="20" t="n"/>
      <c r="E14" s="20" t="n"/>
    </row>
    <row r="15">
      <c r="A15" s="42" t="inlineStr">
        <is>
          <t>Signature:</t>
        </is>
      </c>
      <c r="B15" s="20" t="n"/>
      <c r="C15" s="20" t="n"/>
      <c r="D15" s="20" t="n"/>
      <c r="E15" s="20" t="n"/>
    </row>
    <row r="16">
      <c r="A16" s="42" t="inlineStr">
        <is>
          <t>Comments:</t>
        </is>
      </c>
      <c r="B16" s="20" t="n"/>
      <c r="C16" s="20" t="n"/>
      <c r="D16" s="20" t="n"/>
      <c r="E16" s="20" t="n"/>
    </row>
    <row r="18">
      <c r="A18" s="41" t="inlineStr">
        <is>
          <t>REVIEWED BY (INFORMATION SECURITY OFFICER)</t>
        </is>
      </c>
      <c r="B18" s="6" t="n"/>
      <c r="C18" s="6" t="n"/>
      <c r="D18" s="6" t="n"/>
      <c r="E18" s="6" t="n"/>
    </row>
    <row r="19">
      <c r="A19" s="42" t="inlineStr">
        <is>
          <t>Name:</t>
        </is>
      </c>
      <c r="B19" s="20" t="n"/>
      <c r="C19" s="20" t="n"/>
      <c r="D19" s="20" t="n"/>
      <c r="E19" s="20" t="n"/>
    </row>
    <row r="20">
      <c r="A20" s="42" t="inlineStr">
        <is>
          <t>Title:</t>
        </is>
      </c>
      <c r="B20" s="20" t="n"/>
      <c r="C20" s="20" t="n"/>
      <c r="D20" s="20" t="n"/>
      <c r="E20" s="20" t="n"/>
    </row>
    <row r="21">
      <c r="A21" s="42" t="inlineStr">
        <is>
          <t>Date:</t>
        </is>
      </c>
      <c r="B21" s="20" t="n"/>
      <c r="C21" s="20" t="n"/>
      <c r="D21" s="20" t="n"/>
      <c r="E21" s="20" t="n"/>
    </row>
    <row r="22">
      <c r="A22" s="42" t="inlineStr">
        <is>
          <t>Signature:</t>
        </is>
      </c>
      <c r="B22" s="20" t="n"/>
      <c r="C22" s="20" t="n"/>
      <c r="D22" s="20" t="n"/>
      <c r="E22" s="20" t="n"/>
    </row>
    <row r="23">
      <c r="A23" s="42" t="inlineStr">
        <is>
          <t>Comments:</t>
        </is>
      </c>
      <c r="B23" s="20" t="n"/>
      <c r="C23" s="20" t="n"/>
      <c r="D23" s="20" t="n"/>
      <c r="E23" s="20" t="n"/>
    </row>
    <row r="25">
      <c r="A25" s="44" t="inlineStr">
        <is>
          <t>APPROVED BY (CISO)</t>
        </is>
      </c>
      <c r="B25" s="6" t="n"/>
      <c r="C25" s="6" t="n"/>
      <c r="D25" s="6" t="n"/>
      <c r="E25" s="6" t="n"/>
    </row>
    <row r="26">
      <c r="A26" s="42" t="inlineStr">
        <is>
          <t>Name:</t>
        </is>
      </c>
      <c r="B26" s="20" t="n"/>
      <c r="C26" s="20" t="n"/>
      <c r="D26" s="20" t="n"/>
      <c r="E26" s="20" t="n"/>
    </row>
    <row r="27">
      <c r="A27" s="42" t="inlineStr">
        <is>
          <t>Title:</t>
        </is>
      </c>
      <c r="B27" s="20" t="n"/>
      <c r="C27" s="20" t="n"/>
      <c r="D27" s="20" t="n"/>
      <c r="E27" s="20" t="n"/>
    </row>
    <row r="28">
      <c r="A28" s="42" t="inlineStr">
        <is>
          <t>Date:</t>
        </is>
      </c>
      <c r="B28" s="20" t="n"/>
      <c r="C28" s="20" t="n"/>
      <c r="D28" s="20" t="n"/>
      <c r="E28" s="20" t="n"/>
    </row>
    <row r="29">
      <c r="A29" s="42" t="inlineStr">
        <is>
          <t>Signature:</t>
        </is>
      </c>
      <c r="B29" s="20" t="n"/>
      <c r="C29" s="20" t="n"/>
      <c r="D29" s="20" t="n"/>
      <c r="E29" s="20" t="n"/>
    </row>
    <row r="30">
      <c r="A30" s="42" t="inlineStr">
        <is>
          <t>Comments:</t>
        </is>
      </c>
      <c r="B30" s="20" t="n"/>
      <c r="C30" s="20" t="n"/>
      <c r="D30" s="20" t="n"/>
      <c r="E30" s="20" t="n"/>
    </row>
    <row r="32">
      <c r="A32" s="45" t="inlineStr">
        <is>
          <t>FINAL DECISION:</t>
        </is>
      </c>
      <c r="B32" s="20" t="n"/>
      <c r="C32" s="20" t="n"/>
      <c r="D32" s="20" t="n"/>
      <c r="E32" s="20" t="n"/>
    </row>
    <row r="35">
      <c r="A35" s="41" t="inlineStr">
        <is>
          <t>NEXT REVIEW DETAILS</t>
        </is>
      </c>
      <c r="B35" s="6" t="n"/>
      <c r="C35" s="6" t="n"/>
      <c r="D35" s="6" t="n"/>
      <c r="E35" s="6" t="n"/>
    </row>
    <row r="36">
      <c r="A36" s="42" t="inlineStr">
        <is>
          <t>Next Review Date:</t>
        </is>
      </c>
      <c r="B36" s="20" t="n"/>
      <c r="C36" s="20" t="n"/>
      <c r="D36" s="20" t="n"/>
      <c r="E36" s="20" t="n"/>
    </row>
    <row r="37">
      <c r="A37" s="42" t="inlineStr">
        <is>
          <t>Review Responsible:</t>
        </is>
      </c>
      <c r="B37" s="20" t="n"/>
      <c r="C37" s="20" t="n"/>
      <c r="D37" s="20" t="n"/>
      <c r="E37" s="20" t="n"/>
    </row>
    <row r="38">
      <c r="A38" s="42" t="inlineStr">
        <is>
          <t>Special Considerations:</t>
        </is>
      </c>
      <c r="B38" s="20" t="n"/>
      <c r="C38" s="20" t="n"/>
      <c r="D38" s="20" t="n"/>
      <c r="E38" s="20"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ISMS-IMP-A.6.3.3 — Training Delivery Tracking</dc:title>
  <dc:description xmlns:dc="http://purl.org/dc/elements/1.1/">ISMS Implementation Workbook — ISMS-IMP-A.6.3.3</dc:description>
  <dc:subject xmlns:dc="http://purl.org/dc/elements/1.1/">ISO/IEC 27001:2022 — Control A.6.3: Information Security Awareness, Education and Training</dc:subject>
  <dcterms:created xmlns:dcterms="http://purl.org/dc/terms/" xmlns:xsi="http://www.w3.org/2001/XMLSchema-instance" xsi:type="dcterms:W3CDTF">2026-03-07T11:27:48Z</dcterms:created>
  <dcterms:modified xmlns:dcterms="http://purl.org/dc/terms/" xmlns:xsi="http://www.w3.org/2001/XMLSchema-instance" xsi:type="dcterms:W3CDTF">2026-03-07T11:27:50Z</dcterms:modified>
</cp:coreProperties>
</file>