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urriculum Catalog" sheetId="2" state="visible" r:id="rId2"/>
    <sheet xmlns:r="http://schemas.openxmlformats.org/officeDocument/2006/relationships" name="Content Specifications" sheetId="3" state="visible" r:id="rId3"/>
    <sheet xmlns:r="http://schemas.openxmlformats.org/officeDocument/2006/relationships" name="Delivery Standards" sheetId="4" state="visible" r:id="rId4"/>
    <sheet xmlns:r="http://schemas.openxmlformats.org/officeDocument/2006/relationships" name="Assessment Design" sheetId="5" state="visible" r:id="rId5"/>
    <sheet xmlns:r="http://schemas.openxmlformats.org/officeDocument/2006/relationships" name="Content Lifecycle"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6" fillId="11" borderId="0" pivotButton="0" quotePrefix="0" xfId="0"/>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11"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9" fillId="8" borderId="2" applyAlignment="1" pivotButton="0" quotePrefix="0" xfId="0">
      <alignment horizontal="left" vertical="center"/>
    </xf>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applyAlignment="1" pivotButton="0" quotePrefix="0" xfId="0">
      <alignment horizontal="left" vertical="center"/>
    </xf>
    <xf numFmtId="0" fontId="11" fillId="10" borderId="2" pivotButton="0" quotePrefix="0" xfId="0"/>
    <xf numFmtId="0" fontId="11" fillId="10" borderId="2" applyAlignment="1" pivotButton="0" quotePrefix="0" xfId="0">
      <alignment horizontal="center"/>
    </xf>
    <xf numFmtId="0" fontId="0" fillId="10" borderId="2" pivotButton="0" quotePrefix="0" xfId="0"/>
    <xf numFmtId="0" fontId="5" fillId="0" borderId="1" applyAlignment="1" pivotButton="0" quotePrefix="0" xfId="0">
      <alignment horizontal="center" vertical="center"/>
    </xf>
    <xf numFmtId="0" fontId="12" fillId="13" borderId="1" applyAlignment="1" pivotButton="0" quotePrefix="0" xfId="0">
      <alignment horizontal="left" vertical="center"/>
    </xf>
    <xf numFmtId="0" fontId="4" fillId="0" borderId="1" pivotButton="0" quotePrefix="0" xfId="0"/>
    <xf numFmtId="164" fontId="0" fillId="0" borderId="1" pivotButton="0" quotePrefix="0" xfId="0"/>
    <xf numFmtId="0" fontId="12"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Workbook Title</t>
        </is>
      </c>
      <c r="B5" t="inlineStr">
        <is>
          <t>Training Program Design</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Curriculum Catalog — list all training modules with topics, duration, and target audience.</t>
        </is>
      </c>
    </row>
    <row r="14">
      <c r="A14" t="inlineStr">
        <is>
          <t>2. Complete Content Specifications — document learning objectives and assessment criteria per module.</t>
        </is>
      </c>
    </row>
    <row r="15">
      <c r="A15" t="inlineStr">
        <is>
          <t>3. Complete Delivery Standards — define delivery method (e-learning, classroom, simulation) requirements.</t>
        </is>
      </c>
    </row>
    <row r="16">
      <c r="A16" t="inlineStr">
        <is>
          <t>4. Complete Assessment Design — document assessment methods and minimum pass scores.</t>
        </is>
      </c>
    </row>
    <row r="17">
      <c r="A17" t="inlineStr">
        <is>
          <t>5. Complete Content Lifecycle — track module review dates and version control.</t>
        </is>
      </c>
    </row>
    <row r="18">
      <c r="A18" t="inlineStr">
        <is>
          <t>6. Complete Gap Analysis — identify curriculum gaps relative to ISO 27001:2022 A.6.3 requirements.</t>
        </is>
      </c>
    </row>
    <row r="19">
      <c r="A19" t="inlineStr">
        <is>
          <t>7. Maintain the Evidence Register with curriculum documentation and approval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35" customHeight="1">
      <c r="A1" s="11" t="inlineStr">
        <is>
          <t>CURRICULUM CATALOG
Master catalog of all training modules</t>
        </is>
      </c>
    </row>
    <row r="2">
      <c r="A2" s="12" t="inlineStr">
        <is>
          <t>Master catalog of all training modules with delivery specifications and status tracking</t>
        </is>
      </c>
    </row>
    <row r="3">
      <c r="A3" s="13" t="inlineStr">
        <is>
          <t>Module ID</t>
        </is>
      </c>
      <c r="B3" s="13" t="inlineStr">
        <is>
          <t>Module Title</t>
        </is>
      </c>
      <c r="C3" s="13" t="inlineStr">
        <is>
          <t>Training Tier</t>
        </is>
      </c>
      <c r="D3" s="13" t="inlineStr">
        <is>
          <t>Category</t>
        </is>
      </c>
      <c r="E3" s="13" t="inlineStr">
        <is>
          <t>Mandatory Optional</t>
        </is>
      </c>
      <c r="F3" s="13" t="inlineStr">
        <is>
          <t>Duration Minutes</t>
        </is>
      </c>
      <c r="G3" s="13" t="inlineStr">
        <is>
          <t>Delivery Method</t>
        </is>
      </c>
      <c r="H3" s="13" t="inlineStr">
        <is>
          <t>Assessment Type</t>
        </is>
      </c>
      <c r="I3" s="13" t="inlineStr">
        <is>
          <t>Frequency</t>
        </is>
      </c>
      <c r="J3" s="13" t="inlineStr">
        <is>
          <t>Policy Reference</t>
        </is>
      </c>
      <c r="K3" s="13" t="inlineStr">
        <is>
          <t>Content Owner</t>
        </is>
      </c>
      <c r="L3" s="13" t="inlineStr">
        <is>
          <t>Last Updated</t>
        </is>
      </c>
      <c r="M3" s="13" t="inlineStr">
        <is>
          <t>Next Review</t>
        </is>
      </c>
      <c r="N3" s="13" t="inlineStr">
        <is>
          <t>Status</t>
        </is>
      </c>
    </row>
    <row r="4">
      <c r="A4" s="8" t="inlineStr">
        <is>
          <t>MOD-T1-001</t>
        </is>
      </c>
      <c r="B4" s="8" t="inlineStr">
        <is>
          <t>Information Security Fundamentals</t>
        </is>
      </c>
      <c r="C4" s="8" t="inlineStr">
        <is>
          <t>Tier 1</t>
        </is>
      </c>
      <c r="D4" s="8" t="inlineStr">
        <is>
          <t>Baseline Awareness</t>
        </is>
      </c>
      <c r="E4" s="8" t="inlineStr">
        <is>
          <t>Mandatory</t>
        </is>
      </c>
      <c r="F4" s="8" t="n">
        <v>30</v>
      </c>
      <c r="G4" s="8" t="inlineStr">
        <is>
          <t>eLearning</t>
        </is>
      </c>
      <c r="H4" s="8" t="inlineStr">
        <is>
          <t>Quiz</t>
        </is>
      </c>
      <c r="I4" s="8" t="inlineStr">
        <is>
          <t>Onboarding</t>
        </is>
      </c>
      <c r="J4" s="8" t="inlineStr">
        <is>
          <t>POL-A.6.3 S2.3.1</t>
        </is>
      </c>
      <c r="K4" s="14" t="n"/>
      <c r="L4" s="14" t="n"/>
      <c r="M4" s="14" t="n"/>
      <c r="N4" s="14" t="n"/>
    </row>
    <row r="5">
      <c r="A5" s="8" t="inlineStr">
        <is>
          <t>MOD-T1-002</t>
        </is>
      </c>
      <c r="B5" s="8" t="inlineStr">
        <is>
          <t>Acceptable Use Policy</t>
        </is>
      </c>
      <c r="C5" s="8" t="inlineStr">
        <is>
          <t>Tier 1</t>
        </is>
      </c>
      <c r="D5" s="8" t="inlineStr">
        <is>
          <t>Baseline Awareness</t>
        </is>
      </c>
      <c r="E5" s="8" t="inlineStr">
        <is>
          <t>Mandatory</t>
        </is>
      </c>
      <c r="F5" s="8" t="n">
        <v>20</v>
      </c>
      <c r="G5" s="8" t="inlineStr">
        <is>
          <t>eLearning</t>
        </is>
      </c>
      <c r="H5" s="8" t="inlineStr">
        <is>
          <t>Quiz</t>
        </is>
      </c>
      <c r="I5" s="8" t="inlineStr">
        <is>
          <t>Annual</t>
        </is>
      </c>
      <c r="J5" s="8" t="inlineStr">
        <is>
          <t>POL-A.6.3 S2.3.2</t>
        </is>
      </c>
      <c r="K5" s="14" t="n"/>
      <c r="L5" s="14" t="n"/>
      <c r="M5" s="14" t="n"/>
      <c r="N5" s="14" t="n"/>
    </row>
    <row r="6">
      <c r="A6" s="8" t="inlineStr">
        <is>
          <t>MOD-T1-003</t>
        </is>
      </c>
      <c r="B6" s="8" t="inlineStr">
        <is>
          <t>Data Classification and Handling</t>
        </is>
      </c>
      <c r="C6" s="8" t="inlineStr">
        <is>
          <t>Tier 1</t>
        </is>
      </c>
      <c r="D6" s="8" t="inlineStr">
        <is>
          <t>Baseline Awareness</t>
        </is>
      </c>
      <c r="E6" s="8" t="inlineStr">
        <is>
          <t>Mandatory</t>
        </is>
      </c>
      <c r="F6" s="8" t="n">
        <v>25</v>
      </c>
      <c r="G6" s="8" t="inlineStr">
        <is>
          <t>eLearning</t>
        </is>
      </c>
      <c r="H6" s="8" t="inlineStr">
        <is>
          <t>Quiz</t>
        </is>
      </c>
      <c r="I6" s="8" t="inlineStr">
        <is>
          <t>Annual</t>
        </is>
      </c>
      <c r="J6" s="8" t="inlineStr">
        <is>
          <t>POL-A.6.3 S2.3.3</t>
        </is>
      </c>
      <c r="K6" s="14" t="n"/>
      <c r="L6" s="14" t="n"/>
      <c r="M6" s="14" t="n"/>
      <c r="N6" s="14" t="n"/>
    </row>
    <row r="7">
      <c r="A7" s="8" t="inlineStr">
        <is>
          <t>MOD-T1-004</t>
        </is>
      </c>
      <c r="B7" s="8" t="inlineStr">
        <is>
          <t>Password Security and Authentication</t>
        </is>
      </c>
      <c r="C7" s="8" t="inlineStr">
        <is>
          <t>Tier 1</t>
        </is>
      </c>
      <c r="D7" s="8" t="inlineStr">
        <is>
          <t>Baseline Awareness</t>
        </is>
      </c>
      <c r="E7" s="8" t="inlineStr">
        <is>
          <t>Mandatory</t>
        </is>
      </c>
      <c r="F7" s="8" t="n">
        <v>20</v>
      </c>
      <c r="G7" s="8" t="inlineStr">
        <is>
          <t>eLearning</t>
        </is>
      </c>
      <c r="H7" s="8" t="inlineStr">
        <is>
          <t>Quiz</t>
        </is>
      </c>
      <c r="I7" s="8" t="inlineStr">
        <is>
          <t>Annual</t>
        </is>
      </c>
      <c r="J7" s="8" t="inlineStr">
        <is>
          <t>POL-A.6.3 S2.3.4</t>
        </is>
      </c>
      <c r="K7" s="14" t="n"/>
      <c r="L7" s="14" t="n"/>
      <c r="M7" s="14" t="n"/>
      <c r="N7" s="14" t="n"/>
    </row>
    <row r="8">
      <c r="A8" s="8" t="inlineStr">
        <is>
          <t>MOD-T1-005</t>
        </is>
      </c>
      <c r="B8" s="8" t="inlineStr">
        <is>
          <t>Phishing and Social Engineering</t>
        </is>
      </c>
      <c r="C8" s="8" t="inlineStr">
        <is>
          <t>Tier 1</t>
        </is>
      </c>
      <c r="D8" s="8" t="inlineStr">
        <is>
          <t>Baseline Awareness</t>
        </is>
      </c>
      <c r="E8" s="8" t="inlineStr">
        <is>
          <t>Mandatory</t>
        </is>
      </c>
      <c r="F8" s="8" t="n">
        <v>30</v>
      </c>
      <c r="G8" s="8" t="inlineStr">
        <is>
          <t>eLearning + Simulation</t>
        </is>
      </c>
      <c r="H8" s="8" t="inlineStr">
        <is>
          <t>Quiz + Simulation</t>
        </is>
      </c>
      <c r="I8" s="8" t="inlineStr">
        <is>
          <t>Annual</t>
        </is>
      </c>
      <c r="J8" s="8" t="inlineStr">
        <is>
          <t>POL-A.6.3 S2.3.5</t>
        </is>
      </c>
      <c r="K8" s="14" t="n"/>
      <c r="L8" s="14" t="n"/>
      <c r="M8" s="14" t="n"/>
      <c r="N8" s="14" t="n"/>
    </row>
    <row r="9">
      <c r="A9" s="8" t="inlineStr">
        <is>
          <t>MOD-T1-006</t>
        </is>
      </c>
      <c r="B9" s="8" t="inlineStr">
        <is>
          <t>Security Incident Reporting</t>
        </is>
      </c>
      <c r="C9" s="8" t="inlineStr">
        <is>
          <t>Tier 1</t>
        </is>
      </c>
      <c r="D9" s="8" t="inlineStr">
        <is>
          <t>Baseline Awareness</t>
        </is>
      </c>
      <c r="E9" s="8" t="inlineStr">
        <is>
          <t>Mandatory</t>
        </is>
      </c>
      <c r="F9" s="8" t="n">
        <v>15</v>
      </c>
      <c r="G9" s="8" t="inlineStr">
        <is>
          <t>eLearning</t>
        </is>
      </c>
      <c r="H9" s="8" t="inlineStr">
        <is>
          <t>Quiz</t>
        </is>
      </c>
      <c r="I9" s="8" t="inlineStr">
        <is>
          <t>Onboarding</t>
        </is>
      </c>
      <c r="J9" s="8" t="inlineStr">
        <is>
          <t>POL-A.6.3 S2.3.6</t>
        </is>
      </c>
      <c r="K9" s="14" t="n"/>
      <c r="L9" s="14" t="n"/>
      <c r="M9" s="14" t="n"/>
      <c r="N9" s="14" t="n"/>
    </row>
    <row r="10">
      <c r="A10" s="8" t="inlineStr">
        <is>
          <t>MOD-T1-007</t>
        </is>
      </c>
      <c r="B10" s="8" t="inlineStr">
        <is>
          <t>Physical Security Awareness</t>
        </is>
      </c>
      <c r="C10" s="8" t="inlineStr">
        <is>
          <t>Tier 1</t>
        </is>
      </c>
      <c r="D10" s="8" t="inlineStr">
        <is>
          <t>Baseline Awareness</t>
        </is>
      </c>
      <c r="E10" s="8" t="inlineStr">
        <is>
          <t>Mandatory</t>
        </is>
      </c>
      <c r="F10" s="8" t="n">
        <v>15</v>
      </c>
      <c r="G10" s="8" t="inlineStr">
        <is>
          <t>eLearning</t>
        </is>
      </c>
      <c r="H10" s="8" t="inlineStr">
        <is>
          <t>Quiz</t>
        </is>
      </c>
      <c r="I10" s="8" t="inlineStr">
        <is>
          <t>Annual</t>
        </is>
      </c>
      <c r="J10" s="8" t="inlineStr">
        <is>
          <t>POL-A.6.3 S2.3.7</t>
        </is>
      </c>
      <c r="K10" s="14" t="n"/>
      <c r="L10" s="14" t="n"/>
      <c r="M10" s="14" t="n"/>
      <c r="N10" s="14" t="n"/>
    </row>
    <row r="11">
      <c r="A11" s="8" t="inlineStr">
        <is>
          <t>MOD-T1-008</t>
        </is>
      </c>
      <c r="B11" s="8" t="inlineStr">
        <is>
          <t>Remote Working Security</t>
        </is>
      </c>
      <c r="C11" s="8" t="inlineStr">
        <is>
          <t>Tier 1</t>
        </is>
      </c>
      <c r="D11" s="8" t="inlineStr">
        <is>
          <t>Baseline Awareness</t>
        </is>
      </c>
      <c r="E11" s="8" t="inlineStr">
        <is>
          <t>Mandatory</t>
        </is>
      </c>
      <c r="F11" s="8" t="n">
        <v>20</v>
      </c>
      <c r="G11" s="8" t="inlineStr">
        <is>
          <t>eLearning</t>
        </is>
      </c>
      <c r="H11" s="8" t="inlineStr">
        <is>
          <t>Quiz</t>
        </is>
      </c>
      <c r="I11" s="8" t="inlineStr">
        <is>
          <t>Annual</t>
        </is>
      </c>
      <c r="J11" s="8" t="inlineStr">
        <is>
          <t>POL-A.6.3 S2.3.8</t>
        </is>
      </c>
      <c r="K11" s="14" t="n"/>
      <c r="L11" s="14" t="n"/>
      <c r="M11" s="14" t="n"/>
      <c r="N11" s="14" t="n"/>
    </row>
    <row r="12">
      <c r="A12" s="8" t="inlineStr">
        <is>
          <t>MOD-T3-001</t>
        </is>
      </c>
      <c r="B12" s="8" t="inlineStr">
        <is>
          <t>Privacy and Data Protection Fundamentals</t>
        </is>
      </c>
      <c r="C12" s="8" t="inlineStr">
        <is>
          <t>Tier 3</t>
        </is>
      </c>
      <c r="D12" s="8" t="inlineStr">
        <is>
          <t>Data Protection</t>
        </is>
      </c>
      <c r="E12" s="8" t="inlineStr">
        <is>
          <t>Mandatory</t>
        </is>
      </c>
      <c r="F12" s="8" t="n">
        <v>45</v>
      </c>
      <c r="G12" s="8" t="inlineStr">
        <is>
          <t>eLearning</t>
        </is>
      </c>
      <c r="H12" s="8" t="inlineStr">
        <is>
          <t>Quiz</t>
        </is>
      </c>
      <c r="I12" s="8" t="inlineStr">
        <is>
          <t>Annual</t>
        </is>
      </c>
      <c r="J12" s="8" t="inlineStr">
        <is>
          <t>POL-A.6.3 S2.4.1</t>
        </is>
      </c>
      <c r="K12" s="14" t="n"/>
      <c r="L12" s="14" t="n"/>
      <c r="M12" s="14" t="n"/>
      <c r="N12" s="14" t="n"/>
    </row>
    <row r="13">
      <c r="A13" s="8" t="inlineStr">
        <is>
          <t>MOD-T3-002</t>
        </is>
      </c>
      <c r="B13" s="8" t="inlineStr">
        <is>
          <t>Data Subject Rights and Obligations</t>
        </is>
      </c>
      <c r="C13" s="8" t="inlineStr">
        <is>
          <t>Tier 3</t>
        </is>
      </c>
      <c r="D13" s="8" t="inlineStr">
        <is>
          <t>Data Protection</t>
        </is>
      </c>
      <c r="E13" s="8" t="inlineStr">
        <is>
          <t>Mandatory</t>
        </is>
      </c>
      <c r="F13" s="8" t="n">
        <v>30</v>
      </c>
      <c r="G13" s="8" t="inlineStr">
        <is>
          <t>eLearning</t>
        </is>
      </c>
      <c r="H13" s="8" t="inlineStr">
        <is>
          <t>Quiz</t>
        </is>
      </c>
      <c r="I13" s="8" t="inlineStr">
        <is>
          <t>Annual</t>
        </is>
      </c>
      <c r="J13" s="8" t="inlineStr">
        <is>
          <t>POL-A.6.3 S2.4.1</t>
        </is>
      </c>
      <c r="K13" s="14" t="n"/>
      <c r="L13" s="14" t="n"/>
      <c r="M13" s="14" t="n"/>
      <c r="N13" s="14" t="n"/>
    </row>
    <row r="14">
      <c r="A14" s="8" t="inlineStr">
        <is>
          <t>MOD-T3-003</t>
        </is>
      </c>
      <c r="B14" s="8" t="inlineStr">
        <is>
          <t>Data Retention and Secure Deletion</t>
        </is>
      </c>
      <c r="C14" s="8" t="inlineStr">
        <is>
          <t>Tier 3</t>
        </is>
      </c>
      <c r="D14" s="8" t="inlineStr">
        <is>
          <t>Data Protection</t>
        </is>
      </c>
      <c r="E14" s="8" t="inlineStr">
        <is>
          <t>Mandatory</t>
        </is>
      </c>
      <c r="F14" s="8" t="n">
        <v>25</v>
      </c>
      <c r="G14" s="8" t="inlineStr">
        <is>
          <t>eLearning</t>
        </is>
      </c>
      <c r="H14" s="8" t="inlineStr">
        <is>
          <t>Quiz</t>
        </is>
      </c>
      <c r="I14" s="8" t="inlineStr">
        <is>
          <t>Annual</t>
        </is>
      </c>
      <c r="J14" s="8" t="inlineStr">
        <is>
          <t>POL-A.6.3 S2.4.1</t>
        </is>
      </c>
      <c r="K14" s="14" t="n"/>
      <c r="L14" s="14" t="n"/>
      <c r="M14" s="14" t="n"/>
      <c r="N14" s="14" t="n"/>
    </row>
    <row r="15">
      <c r="A15" s="8" t="inlineStr">
        <is>
          <t>MOD-T4-001</t>
        </is>
      </c>
      <c r="B15" s="8" t="inlineStr">
        <is>
          <t>Secure Coding Practices</t>
        </is>
      </c>
      <c r="C15" s="8" t="inlineStr">
        <is>
          <t>Tier 4</t>
        </is>
      </c>
      <c r="D15" s="8" t="inlineStr">
        <is>
          <t>Technical Security</t>
        </is>
      </c>
      <c r="E15" s="8" t="inlineStr">
        <is>
          <t>Mandatory</t>
        </is>
      </c>
      <c r="F15" s="8" t="n">
        <v>60</v>
      </c>
      <c r="G15" s="8" t="inlineStr">
        <is>
          <t>eLearning + Workshop</t>
        </is>
      </c>
      <c r="H15" s="8" t="inlineStr">
        <is>
          <t>Quiz + Practical</t>
        </is>
      </c>
      <c r="I15" s="8" t="inlineStr">
        <is>
          <t>Annual</t>
        </is>
      </c>
      <c r="J15" s="8" t="inlineStr">
        <is>
          <t>POL-A.6.3 S2.4.2</t>
        </is>
      </c>
      <c r="K15" s="14" t="n"/>
      <c r="L15" s="14" t="n"/>
      <c r="M15" s="14" t="n"/>
      <c r="N15" s="14" t="n"/>
    </row>
    <row r="16">
      <c r="A16" s="8" t="inlineStr">
        <is>
          <t>MOD-T4-002</t>
        </is>
      </c>
      <c r="B16" s="8" t="inlineStr">
        <is>
          <t>OWASP Top 10 Vulnerabilities</t>
        </is>
      </c>
      <c r="C16" s="8" t="inlineStr">
        <is>
          <t>Tier 4</t>
        </is>
      </c>
      <c r="D16" s="8" t="inlineStr">
        <is>
          <t>Technical Security</t>
        </is>
      </c>
      <c r="E16" s="8" t="inlineStr">
        <is>
          <t>Mandatory</t>
        </is>
      </c>
      <c r="F16" s="8" t="n">
        <v>45</v>
      </c>
      <c r="G16" s="8" t="inlineStr">
        <is>
          <t>eLearning</t>
        </is>
      </c>
      <c r="H16" s="8" t="inlineStr">
        <is>
          <t>Quiz</t>
        </is>
      </c>
      <c r="I16" s="8" t="inlineStr">
        <is>
          <t>Annual</t>
        </is>
      </c>
      <c r="J16" s="8" t="inlineStr">
        <is>
          <t>POL-A.6.3 S2.4.2</t>
        </is>
      </c>
      <c r="K16" s="14" t="n"/>
      <c r="L16" s="14" t="n"/>
      <c r="M16" s="14" t="n"/>
      <c r="N16" s="14" t="n"/>
    </row>
    <row r="17">
      <c r="A17" s="8" t="inlineStr">
        <is>
          <t>MOD-T4-003</t>
        </is>
      </c>
      <c r="B17" s="8" t="inlineStr">
        <is>
          <t>Secure Configuration Management</t>
        </is>
      </c>
      <c r="C17" s="8" t="inlineStr">
        <is>
          <t>Tier 4</t>
        </is>
      </c>
      <c r="D17" s="8" t="inlineStr">
        <is>
          <t>Technical Security</t>
        </is>
      </c>
      <c r="E17" s="8" t="inlineStr">
        <is>
          <t>Mandatory</t>
        </is>
      </c>
      <c r="F17" s="8" t="n">
        <v>30</v>
      </c>
      <c r="G17" s="8" t="inlineStr">
        <is>
          <t>eLearning</t>
        </is>
      </c>
      <c r="H17" s="8" t="inlineStr">
        <is>
          <t>Quiz</t>
        </is>
      </c>
      <c r="I17" s="8" t="inlineStr">
        <is>
          <t>Annual</t>
        </is>
      </c>
      <c r="J17" s="8" t="inlineStr">
        <is>
          <t>POL-A.6.3 S2.4.2</t>
        </is>
      </c>
      <c r="K17" s="14" t="n"/>
      <c r="L17" s="14" t="n"/>
      <c r="M17" s="14" t="n"/>
      <c r="N17" s="14" t="n"/>
    </row>
    <row r="18">
      <c r="A18" s="8" t="inlineStr">
        <is>
          <t>MOD-T5-001</t>
        </is>
      </c>
      <c r="B18" s="8" t="inlineStr">
        <is>
          <t>Privileged Access Management</t>
        </is>
      </c>
      <c r="C18" s="8" t="inlineStr">
        <is>
          <t>Tier 5</t>
        </is>
      </c>
      <c r="D18" s="8" t="inlineStr">
        <is>
          <t>Privileged Access</t>
        </is>
      </c>
      <c r="E18" s="8" t="inlineStr">
        <is>
          <t>Mandatory</t>
        </is>
      </c>
      <c r="F18" s="8" t="n">
        <v>45</v>
      </c>
      <c r="G18" s="8" t="inlineStr">
        <is>
          <t>Instructor-Led</t>
        </is>
      </c>
      <c r="H18" s="8" t="inlineStr">
        <is>
          <t>Quiz + Scenario</t>
        </is>
      </c>
      <c r="I18" s="8" t="inlineStr">
        <is>
          <t>Annual</t>
        </is>
      </c>
      <c r="J18" s="8" t="inlineStr">
        <is>
          <t>POL-A.6.3 S2.4.3</t>
        </is>
      </c>
      <c r="K18" s="14" t="n"/>
      <c r="L18" s="14" t="n"/>
      <c r="M18" s="14" t="n"/>
      <c r="N18" s="14" t="n"/>
    </row>
    <row r="19">
      <c r="A19" s="8" t="inlineStr">
        <is>
          <t>MOD-T5-002</t>
        </is>
      </c>
      <c r="B19" s="8" t="inlineStr">
        <is>
          <t>Incident Response for System Admins</t>
        </is>
      </c>
      <c r="C19" s="8" t="inlineStr">
        <is>
          <t>Tier 5</t>
        </is>
      </c>
      <c r="D19" s="8" t="inlineStr">
        <is>
          <t>Privileged Access</t>
        </is>
      </c>
      <c r="E19" s="8" t="inlineStr">
        <is>
          <t>Mandatory</t>
        </is>
      </c>
      <c r="F19" s="8" t="n">
        <v>60</v>
      </c>
      <c r="G19" s="8" t="inlineStr">
        <is>
          <t>Workshop</t>
        </is>
      </c>
      <c r="H19" s="8" t="inlineStr">
        <is>
          <t>Practical</t>
        </is>
      </c>
      <c r="I19" s="8" t="inlineStr">
        <is>
          <t>Annual</t>
        </is>
      </c>
      <c r="J19" s="8" t="inlineStr">
        <is>
          <t>POL-A.6.3 S2.4.3</t>
        </is>
      </c>
      <c r="K19" s="14" t="n"/>
      <c r="L19" s="14" t="n"/>
      <c r="M19" s="14" t="n"/>
      <c r="N19" s="14" t="n"/>
    </row>
    <row r="20">
      <c r="A20" s="8" t="inlineStr">
        <is>
          <t>MOD-T6-001</t>
        </is>
      </c>
      <c r="B20" s="8" t="inlineStr">
        <is>
          <t>Risk Assessment Methodology</t>
        </is>
      </c>
      <c r="C20" s="8" t="inlineStr">
        <is>
          <t>Tier 6</t>
        </is>
      </c>
      <c r="D20" s="8" t="inlineStr">
        <is>
          <t>Specialized</t>
        </is>
      </c>
      <c r="E20" s="8" t="inlineStr">
        <is>
          <t>Mandatory</t>
        </is>
      </c>
      <c r="F20" s="8" t="n">
        <v>120</v>
      </c>
      <c r="G20" s="8" t="inlineStr">
        <is>
          <t>Instructor-Led</t>
        </is>
      </c>
      <c r="H20" s="8" t="inlineStr">
        <is>
          <t>Practical</t>
        </is>
      </c>
      <c r="I20" s="8" t="inlineStr">
        <is>
          <t>Annual</t>
        </is>
      </c>
      <c r="J20" s="8" t="inlineStr">
        <is>
          <t>POL-A.6.3 S2.4.4</t>
        </is>
      </c>
      <c r="K20" s="14" t="n"/>
      <c r="L20" s="14" t="n"/>
      <c r="M20" s="14" t="n"/>
      <c r="N20" s="14" t="n"/>
    </row>
    <row r="21">
      <c r="A21" s="8" t="inlineStr">
        <is>
          <t>MOD-T6-002</t>
        </is>
      </c>
      <c r="B21" s="8" t="inlineStr">
        <is>
          <t>Incident Response and Forensics</t>
        </is>
      </c>
      <c r="C21" s="8" t="inlineStr">
        <is>
          <t>Tier 6</t>
        </is>
      </c>
      <c r="D21" s="8" t="inlineStr">
        <is>
          <t>Specialized</t>
        </is>
      </c>
      <c r="E21" s="8" t="inlineStr">
        <is>
          <t>Mandatory</t>
        </is>
      </c>
      <c r="F21" s="8" t="n">
        <v>240</v>
      </c>
      <c r="G21" s="8" t="inlineStr">
        <is>
          <t>Workshop</t>
        </is>
      </c>
      <c r="H21" s="8" t="inlineStr">
        <is>
          <t>Tabletop + Practical</t>
        </is>
      </c>
      <c r="I21" s="8" t="inlineStr">
        <is>
          <t>Annual</t>
        </is>
      </c>
      <c r="J21" s="8" t="inlineStr">
        <is>
          <t>POL-A.6.3 S2.4.4</t>
        </is>
      </c>
      <c r="K21" s="14" t="n"/>
      <c r="L21" s="14" t="n"/>
      <c r="M21" s="14" t="n"/>
      <c r="N21" s="14" t="n"/>
    </row>
    <row r="22">
      <c r="A22" s="8" t="inlineStr">
        <is>
          <t>MOD-T7-001</t>
        </is>
      </c>
      <c r="B22" s="8" t="inlineStr">
        <is>
          <t>Information Security Governance</t>
        </is>
      </c>
      <c r="C22" s="8" t="inlineStr">
        <is>
          <t>Tier 7</t>
        </is>
      </c>
      <c r="D22" s="8" t="inlineStr">
        <is>
          <t>Governance</t>
        </is>
      </c>
      <c r="E22" s="8" t="inlineStr">
        <is>
          <t>Mandatory</t>
        </is>
      </c>
      <c r="F22" s="8" t="n">
        <v>45</v>
      </c>
      <c r="G22" s="8" t="inlineStr">
        <is>
          <t>eLearning + Briefing</t>
        </is>
      </c>
      <c r="H22" s="8" t="inlineStr">
        <is>
          <t>N/A</t>
        </is>
      </c>
      <c r="I22" s="8" t="inlineStr">
        <is>
          <t>Annual</t>
        </is>
      </c>
      <c r="J22" s="8" t="inlineStr">
        <is>
          <t>POL-A.6.3 S2.4.5</t>
        </is>
      </c>
      <c r="K22" s="14" t="n"/>
      <c r="L22" s="14" t="n"/>
      <c r="M22" s="14" t="n"/>
      <c r="N22" s="14" t="n"/>
    </row>
    <row r="23">
      <c r="A23" s="8" t="inlineStr">
        <is>
          <t>MOD-T7-002</t>
        </is>
      </c>
      <c r="B23" s="8" t="inlineStr">
        <is>
          <t>Executive Cyber Risk Briefing</t>
        </is>
      </c>
      <c r="C23" s="8" t="inlineStr">
        <is>
          <t>Tier 7</t>
        </is>
      </c>
      <c r="D23" s="8" t="inlineStr">
        <is>
          <t>Governance</t>
        </is>
      </c>
      <c r="E23" s="8" t="inlineStr">
        <is>
          <t>Mandatory</t>
        </is>
      </c>
      <c r="F23" s="8" t="n">
        <v>30</v>
      </c>
      <c r="G23" s="8" t="inlineStr">
        <is>
          <t>Briefing</t>
        </is>
      </c>
      <c r="H23" s="8" t="inlineStr">
        <is>
          <t>N/A</t>
        </is>
      </c>
      <c r="I23" s="8" t="inlineStr">
        <is>
          <t>Quarterly</t>
        </is>
      </c>
      <c r="J23" s="8" t="inlineStr">
        <is>
          <t>POL-A.6.3 S2.4.5</t>
        </is>
      </c>
      <c r="K23" s="14" t="n"/>
      <c r="L23" s="14" t="n"/>
      <c r="M23" s="14" t="n"/>
      <c r="N23" s="14" t="n"/>
    </row>
    <row r="24">
      <c r="A24" s="15" t="inlineStr">
        <is>
          <t>MOD-XXXX</t>
        </is>
      </c>
      <c r="B24" s="16" t="n"/>
      <c r="C24" s="16" t="n"/>
      <c r="D24" s="16" t="n"/>
      <c r="E24" s="16" t="n"/>
      <c r="F24" s="16" t="n"/>
      <c r="G24" s="16" t="n"/>
      <c r="H24" s="16" t="n"/>
      <c r="I24" s="16" t="n"/>
      <c r="J24" s="16" t="n"/>
      <c r="K24" s="16" t="n"/>
      <c r="L24" s="16" t="n"/>
      <c r="M24" s="16" t="n"/>
      <c r="N24" s="16"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35" customHeight="1">
      <c r="A1" s="11" t="inlineStr">
        <is>
          <t>CONTENT SPECIFICATIONS
Detailed specifications for each module</t>
        </is>
      </c>
    </row>
    <row r="2">
      <c r="A2" s="12" t="inlineStr">
        <is>
          <t>Detailed content requirements for each training module including objectives and assessments</t>
        </is>
      </c>
    </row>
    <row r="3">
      <c r="A3" s="13" t="inlineStr">
        <is>
          <t>Module ID</t>
        </is>
      </c>
      <c r="B3" s="13" t="inlineStr">
        <is>
          <t>Learning Objectives</t>
        </is>
      </c>
      <c r="C3" s="13" t="inlineStr">
        <is>
          <t>Topics Covered</t>
        </is>
      </c>
      <c r="D3" s="13" t="inlineStr">
        <is>
          <t>Prerequisites</t>
        </is>
      </c>
      <c r="E3" s="13" t="inlineStr">
        <is>
          <t>Target Audience</t>
        </is>
      </c>
      <c r="F3" s="13" t="inlineStr">
        <is>
          <t>Accessibility Requirements</t>
        </is>
      </c>
      <c r="G3" s="13" t="inlineStr">
        <is>
          <t>Language Versions</t>
        </is>
      </c>
      <c r="H3" s="13" t="inlineStr">
        <is>
          <t>Format Requirements</t>
        </is>
      </c>
      <c r="I3" s="13" t="inlineStr">
        <is>
          <t>Assessment Questions Count</t>
        </is>
      </c>
      <c r="J3" s="13" t="inlineStr">
        <is>
          <t>Pass Threshold</t>
        </is>
      </c>
      <c r="K3" s="13" t="inlineStr">
        <is>
          <t>Remediation Path</t>
        </is>
      </c>
      <c r="L3" s="13" t="inlineStr">
        <is>
          <t>Regulatory Mapping</t>
        </is>
      </c>
    </row>
    <row r="4">
      <c r="A4" s="15" t="inlineStr">
        <is>
          <t>CS-001</t>
        </is>
      </c>
      <c r="B4" s="17" t="n"/>
      <c r="C4" s="17" t="n"/>
      <c r="D4" s="17" t="n"/>
      <c r="E4" s="17" t="n"/>
      <c r="F4" s="17" t="n"/>
      <c r="G4" s="17" t="n"/>
      <c r="H4" s="17" t="n"/>
      <c r="I4" s="17" t="n"/>
      <c r="J4" s="17" t="n"/>
      <c r="K4" s="17" t="n"/>
      <c r="L4" s="17" t="n"/>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35" customHeight="1">
      <c r="A1" s="11" t="inlineStr">
        <is>
          <t>DELIVERY STANDARDS
Standards for each delivery method</t>
        </is>
      </c>
    </row>
    <row r="3">
      <c r="A3" s="13" t="inlineStr">
        <is>
          <t>Delivery Method</t>
        </is>
      </c>
      <c r="B3" s="13" t="inlineStr">
        <is>
          <t>Description</t>
        </is>
      </c>
      <c r="C3" s="13" t="inlineStr">
        <is>
          <t>Use Cases</t>
        </is>
      </c>
      <c r="D3" s="13" t="inlineStr">
        <is>
          <t>Technical Requirements</t>
        </is>
      </c>
      <c r="E3" s="13" t="inlineStr">
        <is>
          <t>Instructor Requirements</t>
        </is>
      </c>
      <c r="F3" s="13" t="inlineStr">
        <is>
          <t>Completion Tracking</t>
        </is>
      </c>
      <c r="G3" s="13" t="inlineStr">
        <is>
          <t>Assessment Integration</t>
        </is>
      </c>
      <c r="H3" s="13" t="inlineStr">
        <is>
          <t>Accessibility Standard</t>
        </is>
      </c>
    </row>
    <row r="4">
      <c r="A4" s="8" t="inlineStr">
        <is>
          <t>eLearning</t>
        </is>
      </c>
      <c r="B4" s="8" t="inlineStr">
        <is>
          <t>Self-paced online modules</t>
        </is>
      </c>
      <c r="C4" s="8" t="inlineStr">
        <is>
          <t>Baseline awareness, refresher training</t>
        </is>
      </c>
      <c r="D4" s="8" t="inlineStr">
        <is>
          <t>LMS access, modern browser</t>
        </is>
      </c>
      <c r="E4" s="8" t="inlineStr">
        <is>
          <t>N/A</t>
        </is>
      </c>
      <c r="F4" s="8" t="inlineStr">
        <is>
          <t>Automatic via LMS</t>
        </is>
      </c>
      <c r="G4" s="8" t="inlineStr">
        <is>
          <t>Integrated quiz</t>
        </is>
      </c>
      <c r="H4" s="8" t="inlineStr">
        <is>
          <t>WCAG 2.1 AA</t>
        </is>
      </c>
    </row>
    <row r="5">
      <c r="A5" s="8" t="inlineStr">
        <is>
          <t>Instructor-Led</t>
        </is>
      </c>
      <c r="B5" s="8" t="inlineStr">
        <is>
          <t>Facilitated classroom or virtual</t>
        </is>
      </c>
      <c r="C5" s="8" t="inlineStr">
        <is>
          <t>Complex topics, specialized roles</t>
        </is>
      </c>
      <c r="D5" s="8" t="inlineStr">
        <is>
          <t>Classroom/VC platform</t>
        </is>
      </c>
      <c r="E5" s="8" t="inlineStr">
        <is>
          <t>Certified instructor</t>
        </is>
      </c>
      <c r="F5" s="8" t="inlineStr">
        <is>
          <t>Attendance record</t>
        </is>
      </c>
      <c r="G5" s="8" t="inlineStr">
        <is>
          <t>Post-session assessment</t>
        </is>
      </c>
      <c r="H5" s="8" t="inlineStr">
        <is>
          <t>Accessible venue</t>
        </is>
      </c>
    </row>
    <row r="6">
      <c r="A6" s="8" t="inlineStr">
        <is>
          <t>Workshop</t>
        </is>
      </c>
      <c r="B6" s="8" t="inlineStr">
        <is>
          <t>Hands-on practical exercises</t>
        </is>
      </c>
      <c r="C6" s="8" t="inlineStr">
        <is>
          <t>Technical skills, incident response</t>
        </is>
      </c>
      <c r="D6" s="8" t="inlineStr">
        <is>
          <t>Lab environment</t>
        </is>
      </c>
      <c r="E6" s="8" t="inlineStr">
        <is>
          <t>Technical SME</t>
        </is>
      </c>
      <c r="F6" s="8" t="inlineStr">
        <is>
          <t>Participation record</t>
        </is>
      </c>
      <c r="G6" s="8" t="inlineStr">
        <is>
          <t>Practical assessment</t>
        </is>
      </c>
      <c r="H6" s="8" t="inlineStr">
        <is>
          <t>Adjustable workstations</t>
        </is>
      </c>
    </row>
    <row r="7">
      <c r="A7" s="8" t="inlineStr">
        <is>
          <t>Simulation</t>
        </is>
      </c>
      <c r="B7" s="8" t="inlineStr">
        <is>
          <t>Realistic scenario exercises</t>
        </is>
      </c>
      <c r="C7" s="8" t="inlineStr">
        <is>
          <t>Phishing, social engineering</t>
        </is>
      </c>
      <c r="D7" s="8" t="inlineStr">
        <is>
          <t>Simulation platform</t>
        </is>
      </c>
      <c r="E7" s="8" t="inlineStr">
        <is>
          <t>Campaign design expertise</t>
        </is>
      </c>
      <c r="F7" s="8" t="inlineStr">
        <is>
          <t>Engagement tracking</t>
        </is>
      </c>
      <c r="G7" s="8" t="inlineStr">
        <is>
          <t>Behavioural measurement</t>
        </is>
      </c>
      <c r="H7" s="8" t="inlineStr">
        <is>
          <t>Text alternatives</t>
        </is>
      </c>
    </row>
    <row r="8">
      <c r="A8" s="8" t="inlineStr">
        <is>
          <t>Briefing</t>
        </is>
      </c>
      <c r="B8" s="8" t="inlineStr">
        <is>
          <t>Executive-level sessions</t>
        </is>
      </c>
      <c r="C8" s="8" t="inlineStr">
        <is>
          <t>Leadership updates</t>
        </is>
      </c>
      <c r="D8" s="8" t="inlineStr">
        <is>
          <t>Executive meeting space</t>
        </is>
      </c>
      <c r="E8" s="8" t="inlineStr">
        <is>
          <t>Senior security leadership</t>
        </is>
      </c>
      <c r="F8" s="8" t="inlineStr">
        <is>
          <t>Attendance record</t>
        </is>
      </c>
      <c r="G8" s="8" t="inlineStr">
        <is>
          <t>N/A</t>
        </is>
      </c>
      <c r="H8" s="8" t="inlineStr">
        <is>
          <t>Standard meeting access</t>
        </is>
      </c>
    </row>
    <row r="9">
      <c r="A9" s="8" t="inlineStr">
        <is>
          <t>Microlearning</t>
        </is>
      </c>
      <c r="B9" s="8" t="inlineStr">
        <is>
          <t>Brief focused modules (2-5 min)</t>
        </is>
      </c>
      <c r="C9" s="8" t="inlineStr">
        <is>
          <t>Reinforcement, quick updates</t>
        </is>
      </c>
      <c r="D9" s="8" t="inlineStr">
        <is>
          <t>Mobile-friendly delivery</t>
        </is>
      </c>
      <c r="E9" s="8" t="inlineStr">
        <is>
          <t>N/A</t>
        </is>
      </c>
      <c r="F9" s="8" t="inlineStr">
        <is>
          <t>View tracking</t>
        </is>
      </c>
      <c r="G9" s="8" t="inlineStr">
        <is>
          <t>Optional quick check</t>
        </is>
      </c>
      <c r="H9" s="8"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35" customHeight="1">
      <c r="A1" s="11" t="inlineStr">
        <is>
          <t>ASSESSMENT DESIGN
Assessment methodology standards</t>
        </is>
      </c>
    </row>
    <row r="3">
      <c r="A3" s="13" t="inlineStr">
        <is>
          <t>Assessment Type</t>
        </is>
      </c>
      <c r="B3" s="13" t="inlineStr">
        <is>
          <t>Purpose</t>
        </is>
      </c>
      <c r="C3" s="13" t="inlineStr">
        <is>
          <t>Question Types</t>
        </is>
      </c>
      <c r="D3" s="13" t="inlineStr">
        <is>
          <t>Minimum Questions</t>
        </is>
      </c>
      <c r="E3" s="13" t="inlineStr">
        <is>
          <t>Pass Threshold</t>
        </is>
      </c>
      <c r="F3" s="13" t="inlineStr">
        <is>
          <t>Attempt Limits</t>
        </is>
      </c>
      <c r="G3" s="13" t="inlineStr">
        <is>
          <t>Feedback Approach</t>
        </is>
      </c>
      <c r="H3" s="13" t="inlineStr">
        <is>
          <t>Remediation Requirements</t>
        </is>
      </c>
      <c r="I3" s="13" t="inlineStr">
        <is>
          <t>Record Retention</t>
        </is>
      </c>
    </row>
    <row r="4">
      <c r="A4" s="8" t="inlineStr">
        <is>
          <t>Quiz</t>
        </is>
      </c>
      <c r="B4" s="8" t="inlineStr">
        <is>
          <t>Knowledge verification</t>
        </is>
      </c>
      <c r="C4" s="8" t="inlineStr">
        <is>
          <t>Multiple choice, True/False, Matching</t>
        </is>
      </c>
      <c r="D4" s="8" t="n">
        <v>10</v>
      </c>
      <c r="E4" s="8" t="inlineStr">
        <is>
          <t>80%</t>
        </is>
      </c>
      <c r="F4" s="8" t="n">
        <v>3</v>
      </c>
      <c r="G4" s="8" t="inlineStr">
        <is>
          <t>Immediate feedback</t>
        </is>
      </c>
      <c r="H4" s="8" t="inlineStr">
        <is>
          <t>Retake training if 3 fails</t>
        </is>
      </c>
      <c r="I4" s="8" t="inlineStr">
        <is>
          <t>5 years</t>
        </is>
      </c>
    </row>
    <row r="5">
      <c r="A5" s="8" t="inlineStr">
        <is>
          <t>Practical</t>
        </is>
      </c>
      <c r="B5" s="8" t="inlineStr">
        <is>
          <t>Skills demonstration</t>
        </is>
      </c>
      <c r="C5" s="8" t="inlineStr">
        <is>
          <t>Hands-on exercises, scenario completion</t>
        </is>
      </c>
      <c r="D5" s="8" t="n">
        <v>3</v>
      </c>
      <c r="E5" s="8" t="inlineStr">
        <is>
          <t>Pass/Fail per task</t>
        </is>
      </c>
      <c r="F5" s="8" t="n">
        <v>2</v>
      </c>
      <c r="G5" s="8" t="inlineStr">
        <is>
          <t>Instructor feedback</t>
        </is>
      </c>
      <c r="H5" s="8" t="inlineStr">
        <is>
          <t>Additional coaching</t>
        </is>
      </c>
      <c r="I5" s="8" t="inlineStr">
        <is>
          <t>3 years</t>
        </is>
      </c>
    </row>
    <row r="6">
      <c r="A6" s="8" t="inlineStr">
        <is>
          <t>Simulation</t>
        </is>
      </c>
      <c r="B6" s="8" t="inlineStr">
        <is>
          <t>Behavioural assessment</t>
        </is>
      </c>
      <c r="C6" s="8" t="inlineStr">
        <is>
          <t>Phishing response, social engineering</t>
        </is>
      </c>
      <c r="D6" s="8" t="n">
        <v>1</v>
      </c>
      <c r="E6" s="8" t="inlineStr">
        <is>
          <t>Did not click + reported</t>
        </is>
      </c>
      <c r="F6" s="8" t="inlineStr">
        <is>
          <t>N/A</t>
        </is>
      </c>
      <c r="G6" s="8" t="inlineStr">
        <is>
          <t>Educational landing page</t>
        </is>
      </c>
      <c r="H6" s="8" t="inlineStr">
        <is>
          <t>Targeted remedial training</t>
        </is>
      </c>
      <c r="I6" s="8" t="inlineStr">
        <is>
          <t>3 years</t>
        </is>
      </c>
    </row>
    <row r="7">
      <c r="A7" s="8" t="inlineStr">
        <is>
          <t>Scenario</t>
        </is>
      </c>
      <c r="B7" s="8" t="inlineStr">
        <is>
          <t>Situational judgment</t>
        </is>
      </c>
      <c r="C7" s="8" t="inlineStr">
        <is>
          <t>Case studies, decision scenarios</t>
        </is>
      </c>
      <c r="D7" s="8" t="n">
        <v>5</v>
      </c>
      <c r="E7" s="8" t="inlineStr">
        <is>
          <t>80%</t>
        </is>
      </c>
      <c r="F7" s="8" t="n">
        <v>2</v>
      </c>
      <c r="G7" s="8" t="inlineStr">
        <is>
          <t>Explanation of optimal response</t>
        </is>
      </c>
      <c r="H7" s="8" t="inlineStr">
        <is>
          <t>Review with SME</t>
        </is>
      </c>
      <c r="I7" s="8" t="inlineStr">
        <is>
          <t>5 years</t>
        </is>
      </c>
    </row>
    <row r="8">
      <c r="A8" s="8" t="inlineStr">
        <is>
          <t>Tabletop</t>
        </is>
      </c>
      <c r="B8" s="8" t="inlineStr">
        <is>
          <t>Group decision-making</t>
        </is>
      </c>
      <c r="C8" s="8" t="inlineStr">
        <is>
          <t>Incident scenarios, team response</t>
        </is>
      </c>
      <c r="D8" s="8" t="n">
        <v>1</v>
      </c>
      <c r="E8" s="8" t="inlineStr">
        <is>
          <t>Participation + contribution</t>
        </is>
      </c>
      <c r="F8" s="8" t="n">
        <v>1</v>
      </c>
      <c r="G8" s="8" t="inlineStr">
        <is>
          <t>Facilitator debrief</t>
        </is>
      </c>
      <c r="H8" s="8" t="inlineStr">
        <is>
          <t>Individual follow-up</t>
        </is>
      </c>
      <c r="I8" s="8"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35" customHeight="1">
      <c r="A1" s="11" t="inlineStr">
        <is>
          <t>CONTENT LIFECYCLE
Version control and update schedule</t>
        </is>
      </c>
    </row>
    <row r="2">
      <c r="A2" s="12" t="inlineStr">
        <is>
          <t>Version control records and update schedule for all training content</t>
        </is>
      </c>
    </row>
    <row r="3">
      <c r="A3" s="13" t="inlineStr">
        <is>
          <t>Module ID</t>
        </is>
      </c>
      <c r="B3" s="13" t="inlineStr">
        <is>
          <t>Current Version</t>
        </is>
      </c>
      <c r="C3" s="13" t="inlineStr">
        <is>
          <t>Version Date</t>
        </is>
      </c>
      <c r="D3" s="13" t="inlineStr">
        <is>
          <t>Change Summary</t>
        </is>
      </c>
      <c r="E3" s="13" t="inlineStr">
        <is>
          <t>Review Cycle</t>
        </is>
      </c>
      <c r="F3" s="13" t="inlineStr">
        <is>
          <t>Next Review Date</t>
        </is>
      </c>
      <c r="G3" s="13" t="inlineStr">
        <is>
          <t>Trigger Events</t>
        </is>
      </c>
      <c r="H3" s="13" t="inlineStr">
        <is>
          <t>Update Owner</t>
        </is>
      </c>
      <c r="I3" s="13" t="inlineStr">
        <is>
          <t>ApprovalRequired</t>
        </is>
      </c>
    </row>
    <row r="4">
      <c r="A4" s="15" t="inlineStr">
        <is>
          <t>MOD-T1-001</t>
        </is>
      </c>
      <c r="B4" s="17" t="n"/>
      <c r="C4" s="17" t="n"/>
      <c r="D4" s="17" t="n"/>
      <c r="E4" s="17" t="n"/>
      <c r="F4" s="17" t="n"/>
      <c r="G4" s="17" t="n"/>
      <c r="H4" s="17" t="n"/>
      <c r="I4" s="17" t="n"/>
    </row>
    <row r="5">
      <c r="A5" s="18" t="n"/>
      <c r="B5" s="18" t="n"/>
      <c r="C5" s="18" t="n"/>
      <c r="D5" s="18" t="n"/>
      <c r="E5" s="18" t="n"/>
      <c r="F5" s="18" t="n"/>
      <c r="G5" s="18" t="n"/>
      <c r="H5" s="18" t="n"/>
      <c r="I5" s="18" t="n"/>
    </row>
    <row r="6">
      <c r="A6" s="18" t="n"/>
      <c r="B6" s="18" t="n"/>
      <c r="C6" s="18" t="n"/>
      <c r="D6" s="18" t="n"/>
      <c r="E6" s="18" t="n"/>
      <c r="F6" s="18" t="n"/>
      <c r="G6" s="18" t="n"/>
      <c r="H6" s="18" t="n"/>
      <c r="I6" s="18" t="n"/>
    </row>
    <row r="7">
      <c r="A7" s="18" t="n"/>
      <c r="B7" s="18" t="n"/>
      <c r="C7" s="18" t="n"/>
      <c r="D7" s="18" t="n"/>
      <c r="E7" s="18" t="n"/>
      <c r="F7" s="18" t="n"/>
      <c r="G7" s="18" t="n"/>
      <c r="H7" s="18" t="n"/>
      <c r="I7" s="18" t="n"/>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1">
      <c r="A31" s="18" t="n"/>
      <c r="B31" s="18" t="n"/>
      <c r="C31" s="18" t="n"/>
      <c r="D31" s="18" t="n"/>
      <c r="E31" s="18" t="n"/>
      <c r="F31" s="18" t="n"/>
      <c r="G31" s="18" t="n"/>
      <c r="H31" s="18" t="n"/>
      <c r="I31" s="18" t="n"/>
    </row>
    <row r="32">
      <c r="A32" s="18" t="n"/>
      <c r="B32" s="18" t="n"/>
      <c r="C32" s="18" t="n"/>
      <c r="D32" s="18" t="n"/>
      <c r="E32" s="18" t="n"/>
      <c r="F32" s="18" t="n"/>
      <c r="G32" s="18" t="n"/>
      <c r="H32" s="18" t="n"/>
      <c r="I32" s="18" t="n"/>
    </row>
    <row r="33">
      <c r="A33" s="18" t="n"/>
      <c r="B33" s="18" t="n"/>
      <c r="C33" s="18" t="n"/>
      <c r="D33" s="18" t="n"/>
      <c r="E33" s="18" t="n"/>
      <c r="F33" s="18" t="n"/>
      <c r="G33" s="18" t="n"/>
      <c r="H33" s="18" t="n"/>
      <c r="I33" s="18" t="n"/>
    </row>
    <row r="34">
      <c r="A34" s="18" t="n"/>
      <c r="B34" s="18" t="n"/>
      <c r="C34" s="18" t="n"/>
      <c r="D34" s="18" t="n"/>
      <c r="E34" s="18" t="n"/>
      <c r="F34" s="18" t="n"/>
      <c r="G34" s="18" t="n"/>
      <c r="H34" s="18" t="n"/>
      <c r="I34" s="18" t="n"/>
    </row>
    <row r="35">
      <c r="A35" s="18" t="n"/>
      <c r="B35" s="18" t="n"/>
      <c r="C35" s="18" t="n"/>
      <c r="D35" s="18" t="n"/>
      <c r="E35" s="18" t="n"/>
      <c r="F35" s="18" t="n"/>
      <c r="G35" s="18" t="n"/>
      <c r="H35" s="18" t="n"/>
      <c r="I35" s="18" t="n"/>
    </row>
    <row r="36">
      <c r="A36" s="18" t="n"/>
      <c r="B36" s="18" t="n"/>
      <c r="C36" s="18" t="n"/>
      <c r="D36" s="18" t="n"/>
      <c r="E36" s="18" t="n"/>
      <c r="F36" s="18" t="n"/>
      <c r="G36" s="18" t="n"/>
      <c r="H36" s="18" t="n"/>
      <c r="I36" s="18" t="n"/>
    </row>
    <row r="37">
      <c r="A37" s="18" t="n"/>
      <c r="B37" s="18" t="n"/>
      <c r="C37" s="18" t="n"/>
      <c r="D37" s="18" t="n"/>
      <c r="E37" s="18" t="n"/>
      <c r="F37" s="18" t="n"/>
      <c r="G37" s="18" t="n"/>
      <c r="H37" s="18" t="n"/>
      <c r="I37" s="18" t="n"/>
    </row>
    <row r="38">
      <c r="A38" s="18" t="n"/>
      <c r="B38" s="18" t="n"/>
      <c r="C38" s="18" t="n"/>
      <c r="D38" s="18" t="n"/>
      <c r="E38" s="18" t="n"/>
      <c r="F38" s="18" t="n"/>
      <c r="G38" s="18" t="n"/>
      <c r="H38" s="18" t="n"/>
      <c r="I38" s="18" t="n"/>
    </row>
    <row r="39">
      <c r="A39" s="18" t="n"/>
      <c r="B39" s="18" t="n"/>
      <c r="C39" s="18" t="n"/>
      <c r="D39" s="18" t="n"/>
      <c r="E39" s="18" t="n"/>
      <c r="F39" s="18" t="n"/>
      <c r="G39" s="18" t="n"/>
      <c r="H39" s="18" t="n"/>
      <c r="I39" s="18" t="n"/>
    </row>
    <row r="40">
      <c r="A40" s="18" t="n"/>
      <c r="B40" s="18" t="n"/>
      <c r="C40" s="18" t="n"/>
      <c r="D40" s="18" t="n"/>
      <c r="E40" s="18" t="n"/>
      <c r="F40" s="18" t="n"/>
      <c r="G40" s="18" t="n"/>
      <c r="H40" s="18" t="n"/>
      <c r="I40" s="18" t="n"/>
    </row>
    <row r="41">
      <c r="A41" s="18" t="n"/>
      <c r="B41" s="18" t="n"/>
      <c r="C41" s="18" t="n"/>
      <c r="D41" s="18" t="n"/>
      <c r="E41" s="18" t="n"/>
      <c r="F41" s="18" t="n"/>
      <c r="G41" s="18" t="n"/>
      <c r="H41" s="18" t="n"/>
      <c r="I41" s="18" t="n"/>
    </row>
    <row r="42">
      <c r="A42" s="18" t="n"/>
      <c r="B42" s="18" t="n"/>
      <c r="C42" s="18" t="n"/>
      <c r="D42" s="18" t="n"/>
      <c r="E42" s="18" t="n"/>
      <c r="F42" s="18" t="n"/>
      <c r="G42" s="18" t="n"/>
      <c r="H42" s="18" t="n"/>
      <c r="I42" s="18" t="n"/>
    </row>
    <row r="43">
      <c r="A43" s="18" t="n"/>
      <c r="B43" s="18" t="n"/>
      <c r="C43" s="18" t="n"/>
      <c r="D43" s="18" t="n"/>
      <c r="E43" s="18" t="n"/>
      <c r="F43" s="18" t="n"/>
      <c r="G43" s="18" t="n"/>
      <c r="H43" s="18" t="n"/>
      <c r="I43" s="18" t="n"/>
    </row>
    <row r="44">
      <c r="A44" s="18" t="n"/>
      <c r="B44" s="18" t="n"/>
      <c r="C44" s="18" t="n"/>
      <c r="D44" s="18" t="n"/>
      <c r="E44" s="18" t="n"/>
      <c r="F44" s="18" t="n"/>
      <c r="G44" s="18" t="n"/>
      <c r="H44" s="18" t="n"/>
      <c r="I44" s="18" t="n"/>
    </row>
    <row r="45">
      <c r="A45" s="18" t="n"/>
      <c r="B45" s="18" t="n"/>
      <c r="C45" s="18" t="n"/>
      <c r="D45" s="18" t="n"/>
      <c r="E45" s="18" t="n"/>
      <c r="F45" s="18" t="n"/>
      <c r="G45" s="18" t="n"/>
      <c r="H45" s="18" t="n"/>
      <c r="I45" s="18" t="n"/>
    </row>
    <row r="46">
      <c r="A46" s="18" t="n"/>
      <c r="B46" s="18" t="n"/>
      <c r="C46" s="18" t="n"/>
      <c r="D46" s="18" t="n"/>
      <c r="E46" s="18" t="n"/>
      <c r="F46" s="18" t="n"/>
      <c r="G46" s="18" t="n"/>
      <c r="H46" s="18" t="n"/>
      <c r="I46" s="18" t="n"/>
    </row>
    <row r="47">
      <c r="A47" s="18" t="n"/>
      <c r="B47" s="18" t="n"/>
      <c r="C47" s="18" t="n"/>
      <c r="D47" s="18" t="n"/>
      <c r="E47" s="18" t="n"/>
      <c r="F47" s="18" t="n"/>
      <c r="G47" s="18" t="n"/>
      <c r="H47" s="18" t="n"/>
      <c r="I47" s="18" t="n"/>
    </row>
    <row r="48">
      <c r="A48" s="18" t="n"/>
      <c r="B48" s="18" t="n"/>
      <c r="C48" s="18" t="n"/>
      <c r="D48" s="18" t="n"/>
      <c r="E48" s="18" t="n"/>
      <c r="F48" s="18" t="n"/>
      <c r="G48" s="18" t="n"/>
      <c r="H48" s="18" t="n"/>
      <c r="I48" s="18" t="n"/>
    </row>
    <row r="49">
      <c r="A49" s="18" t="n"/>
      <c r="B49" s="18" t="n"/>
      <c r="C49" s="18" t="n"/>
      <c r="D49" s="18" t="n"/>
      <c r="E49" s="18" t="n"/>
      <c r="F49" s="18" t="n"/>
      <c r="G49" s="18" t="n"/>
      <c r="H49" s="18" t="n"/>
      <c r="I49" s="18" t="n"/>
    </row>
    <row r="50">
      <c r="A50" s="18" t="n"/>
      <c r="B50" s="18" t="n"/>
      <c r="C50" s="18" t="n"/>
      <c r="D50" s="18" t="n"/>
      <c r="E50" s="18" t="n"/>
      <c r="F50" s="18" t="n"/>
      <c r="G50" s="18" t="n"/>
      <c r="H50" s="18" t="n"/>
      <c r="I50" s="18" t="n"/>
    </row>
    <row r="51">
      <c r="A51" s="18" t="n"/>
      <c r="B51" s="18" t="n"/>
      <c r="C51" s="18" t="n"/>
      <c r="D51" s="18" t="n"/>
      <c r="E51" s="18" t="n"/>
      <c r="F51" s="18" t="n"/>
      <c r="G51" s="18" t="n"/>
      <c r="H51" s="18" t="n"/>
      <c r="I51" s="18" t="n"/>
    </row>
    <row r="52">
      <c r="A52" s="18" t="n"/>
      <c r="B52" s="18" t="n"/>
      <c r="C52" s="18" t="n"/>
      <c r="D52" s="18" t="n"/>
      <c r="E52" s="18" t="n"/>
      <c r="F52" s="18" t="n"/>
      <c r="G52" s="18" t="n"/>
      <c r="H52" s="18" t="n"/>
      <c r="I52" s="18" t="n"/>
    </row>
    <row r="53">
      <c r="A53" s="18" t="n"/>
      <c r="B53" s="18" t="n"/>
      <c r="C53" s="18" t="n"/>
      <c r="D53" s="18" t="n"/>
      <c r="E53" s="18" t="n"/>
      <c r="F53" s="18" t="n"/>
      <c r="G53" s="18" t="n"/>
      <c r="H53" s="18" t="n"/>
      <c r="I53" s="18" t="n"/>
    </row>
    <row r="54">
      <c r="A54" s="18" t="n"/>
      <c r="B54" s="18" t="n"/>
      <c r="C54" s="18" t="n"/>
      <c r="D54" s="18" t="n"/>
      <c r="E54" s="18" t="n"/>
      <c r="F54" s="18" t="n"/>
      <c r="G54" s="18" t="n"/>
      <c r="H54" s="18" t="n"/>
      <c r="I54" s="18"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35" customHeight="1">
      <c r="A1" s="11" t="inlineStr">
        <is>
          <t>GAP ANALYSIS
Identify curriculum gaps vs. policy requirements</t>
        </is>
      </c>
    </row>
    <row r="2">
      <c r="A2" s="12" t="inlineStr">
        <is>
          <t>Identify curriculum gaps against policy requirements and track remediation</t>
        </is>
      </c>
    </row>
    <row r="3">
      <c r="A3" s="13" t="inlineStr">
        <is>
          <t>Policy Requirement</t>
        </is>
      </c>
      <c r="B3" s="13" t="inlineStr">
        <is>
          <t>Policy Reference</t>
        </is>
      </c>
      <c r="C3" s="13" t="inlineStr">
        <is>
          <t>Current Module</t>
        </is>
      </c>
      <c r="D3" s="13" t="inlineStr">
        <is>
          <t>Gap Description</t>
        </is>
      </c>
      <c r="E3" s="13" t="inlineStr">
        <is>
          <t>Priority</t>
        </is>
      </c>
      <c r="F3" s="13" t="inlineStr">
        <is>
          <t>Remediation Plan</t>
        </is>
      </c>
      <c r="G3" s="13" t="inlineStr">
        <is>
          <t>Target Date</t>
        </is>
      </c>
      <c r="H3" s="13" t="inlineStr">
        <is>
          <t>Owner</t>
        </is>
      </c>
    </row>
    <row r="4">
      <c r="A4" s="15" t="inlineStr">
        <is>
          <t>GAP-001</t>
        </is>
      </c>
      <c r="B4" s="17" t="n"/>
      <c r="C4" s="17" t="n"/>
      <c r="D4" s="17" t="n"/>
      <c r="E4" s="17" t="n"/>
      <c r="F4" s="17" t="n"/>
      <c r="G4" s="17" t="n"/>
      <c r="H4" s="17" t="n"/>
    </row>
    <row r="5">
      <c r="A5" s="18" t="n"/>
      <c r="B5" s="18" t="n"/>
      <c r="C5" s="18" t="n"/>
      <c r="D5" s="18" t="n"/>
      <c r="E5" s="18" t="n"/>
      <c r="F5" s="18" t="n"/>
      <c r="G5" s="18" t="n"/>
      <c r="H5" s="18"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19" t="inlineStr">
        <is>
          <t>EVIDENCE REGISTER</t>
        </is>
      </c>
    </row>
    <row r="2">
      <c r="A2" s="20" t="inlineStr">
        <is>
          <t>ISMS-IMP-A.6.3.2 — Training Program Design | Audit evidence tracking</t>
        </is>
      </c>
    </row>
    <row r="4">
      <c r="A4" s="21" t="inlineStr">
        <is>
          <t>Evidence ID</t>
        </is>
      </c>
      <c r="B4" s="21" t="inlineStr">
        <is>
          <t>Evidence Type</t>
        </is>
      </c>
      <c r="C4" s="21" t="inlineStr">
        <is>
          <t>Description</t>
        </is>
      </c>
      <c r="D4" s="21" t="inlineStr">
        <is>
          <t>Location / Source</t>
        </is>
      </c>
      <c r="E4" s="21" t="inlineStr">
        <is>
          <t>Date Collected</t>
        </is>
      </c>
      <c r="F4" s="21" t="inlineStr">
        <is>
          <t>Collected By</t>
        </is>
      </c>
      <c r="G4" s="21" t="inlineStr">
        <is>
          <t>Status</t>
        </is>
      </c>
      <c r="H4" s="21" t="inlineStr">
        <is>
          <t>Notes</t>
        </is>
      </c>
    </row>
    <row r="5">
      <c r="A5" s="22" t="inlineStr">
        <is>
          <t>EV-001</t>
        </is>
      </c>
      <c r="B5" s="17" t="n"/>
      <c r="C5" s="17" t="n"/>
      <c r="D5" s="17" t="n"/>
      <c r="E5" s="17" t="n"/>
      <c r="F5" s="17" t="n"/>
      <c r="G5" s="17" t="n"/>
      <c r="H5" s="17"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3" t="inlineStr">
        <is>
          <t>TRAINING PROGRAM DESIGN — SUMMARY DASHBOARD</t>
        </is>
      </c>
      <c r="B1" s="24" t="n"/>
      <c r="C1" s="24" t="n"/>
      <c r="D1" s="24" t="n"/>
      <c r="E1" s="24" t="n"/>
      <c r="F1" s="24" t="n"/>
      <c r="G1" s="24" t="n"/>
    </row>
    <row r="2">
      <c r="A2" s="25" t="inlineStr">
        <is>
          <t>ISO/IEC 27001:2022 — Control A.6.3: Information Security Awareness, Education and Training | Program Design</t>
        </is>
      </c>
    </row>
    <row r="4" ht="20" customHeight="1">
      <c r="A4" s="26" t="inlineStr">
        <is>
          <t>TABLE 1: ASSESSMENT AREA COMPLIANCE OVERVIEW</t>
        </is>
      </c>
      <c r="B4" s="24" t="n"/>
      <c r="C4" s="24" t="n"/>
      <c r="D4" s="24" t="n"/>
      <c r="E4" s="24" t="n"/>
      <c r="F4" s="24" t="n"/>
      <c r="G4" s="24" t="n"/>
    </row>
    <row r="5" ht="30" customHeight="1">
      <c r="A5" s="27" t="inlineStr">
        <is>
          <t>Assessment Area</t>
        </is>
      </c>
      <c r="B5" s="27" t="inlineStr">
        <is>
          <t>Count</t>
        </is>
      </c>
      <c r="C5" s="27" t="inlineStr">
        <is>
          <t>Compliant</t>
        </is>
      </c>
      <c r="D5" s="27" t="inlineStr">
        <is>
          <t>Partial</t>
        </is>
      </c>
      <c r="E5" s="27" t="inlineStr">
        <is>
          <t>Non-Compliant</t>
        </is>
      </c>
      <c r="F5" s="27" t="inlineStr">
        <is>
          <t>N/A</t>
        </is>
      </c>
      <c r="G5" s="27" t="inlineStr">
        <is>
          <t>Compliance %</t>
        </is>
      </c>
    </row>
    <row r="6">
      <c r="A6" s="28" t="inlineStr">
        <is>
          <t>Curriculum Catalog</t>
        </is>
      </c>
      <c r="B6" s="29">
        <f>COUNTA('Curriculum Catalog'!A4:A75)</f>
        <v/>
      </c>
      <c r="C6" s="29">
        <f>COUNTIF('Curriculum Catalog'!N4:N75,"Active")</f>
        <v/>
      </c>
      <c r="D6" s="29">
        <f>COUNTIF('Curriculum Catalog'!N4:N75,"Draft")+COUNTIF('Curriculum Catalog'!N4:N75,"Under Review")</f>
        <v/>
      </c>
      <c r="E6" s="29" t="n">
        <v>0</v>
      </c>
      <c r="F6" s="29">
        <f>COUNTIF('Curriculum Catalog'!N4:N75,"Retired")</f>
        <v/>
      </c>
      <c r="G6" s="30">
        <f>IF((B6-F6)=0,0,C6/(B6-F6))</f>
        <v/>
      </c>
    </row>
    <row r="7">
      <c r="A7" s="28" t="inlineStr">
        <is>
          <t>Curriculum Gap Analysis</t>
        </is>
      </c>
      <c r="B7" s="29">
        <f>COUNTA('Gap Analysis'!A5:A54)</f>
        <v/>
      </c>
      <c r="C7" s="29">
        <f>COUNTIF('Gap Analysis'!E5:E54,"Low")</f>
        <v/>
      </c>
      <c r="D7" s="29">
        <f>COUNTIF('Gap Analysis'!E5:E54,"Medium")</f>
        <v/>
      </c>
      <c r="E7" s="29">
        <f>COUNTIF('Gap Analysis'!E5:E54,"Critical")+COUNTIF('Gap Analysis'!E5:E54,"High")</f>
        <v/>
      </c>
      <c r="F7" s="29" t="n">
        <v>0</v>
      </c>
      <c r="G7" s="30">
        <f>IF((B7-F7)=0,0,C7/(B7-F7))</f>
        <v/>
      </c>
    </row>
    <row r="8">
      <c r="A8" s="31" t="inlineStr">
        <is>
          <t>TOTAL</t>
        </is>
      </c>
      <c r="B8" s="32">
        <f>SUM(B6:B7)</f>
        <v/>
      </c>
      <c r="C8" s="32">
        <f>SUM(C6:C7)</f>
        <v/>
      </c>
      <c r="D8" s="32">
        <f>SUM(D6:D7)</f>
        <v/>
      </c>
      <c r="E8" s="32">
        <f>SUM(E6:E7)</f>
        <v/>
      </c>
      <c r="F8" s="32">
        <f>SUM(F6:F7)</f>
        <v/>
      </c>
      <c r="G8" s="33">
        <f>IF((B8-F8)=0,0,C8/(B8-F8))</f>
        <v/>
      </c>
    </row>
    <row r="10" ht="20" customHeight="1">
      <c r="A10" s="26" t="inlineStr">
        <is>
          <t>TABLE 2: KEY METRICS</t>
        </is>
      </c>
      <c r="B10" s="24" t="n"/>
      <c r="C10" s="24" t="n"/>
      <c r="D10" s="24" t="n"/>
      <c r="E10" s="24" t="n"/>
      <c r="F10" s="24" t="n"/>
      <c r="G10" s="24" t="n"/>
    </row>
    <row r="11">
      <c r="A11" s="32" t="inlineStr">
        <is>
          <t>Metric</t>
        </is>
      </c>
      <c r="B11" s="32" t="inlineStr">
        <is>
          <t>Value</t>
        </is>
      </c>
      <c r="C11" s="32" t="n"/>
      <c r="D11" s="32" t="n"/>
      <c r="E11" s="32" t="n"/>
      <c r="F11" s="32" t="n"/>
      <c r="G11" s="32" t="n"/>
    </row>
    <row r="12">
      <c r="A12" s="28" t="inlineStr">
        <is>
          <t>Total Modules in Catalog</t>
        </is>
      </c>
      <c r="B12" s="29">
        <f>COUNTA('Curriculum Catalog'!A4:A75)</f>
        <v/>
      </c>
      <c r="C12" s="24" t="n"/>
      <c r="D12" s="24" t="n"/>
      <c r="E12" s="24" t="n"/>
      <c r="F12" s="24" t="n"/>
      <c r="G12" s="24" t="n"/>
    </row>
    <row r="13">
      <c r="A13" s="28" t="inlineStr">
        <is>
          <t>Active Modules</t>
        </is>
      </c>
      <c r="B13" s="29">
        <f>COUNTIF('Curriculum Catalog'!N4:N75,"Active")</f>
        <v/>
      </c>
      <c r="C13" s="24" t="n"/>
      <c r="D13" s="24" t="n"/>
      <c r="E13" s="24" t="n"/>
      <c r="F13" s="24" t="n"/>
      <c r="G13" s="24" t="n"/>
    </row>
    <row r="14">
      <c r="A14" s="28" t="inlineStr">
        <is>
          <t>Modules Under Review or Draft</t>
        </is>
      </c>
      <c r="B14" s="29">
        <f>COUNTIF('Curriculum Catalog'!N4:N75,"Under Review")+COUNTIF('Curriculum Catalog'!N4:N75,"Draft")</f>
        <v/>
      </c>
      <c r="C14" s="24" t="n"/>
      <c r="D14" s="24" t="n"/>
      <c r="E14" s="24" t="n"/>
      <c r="F14" s="24" t="n"/>
      <c r="G14" s="24" t="n"/>
    </row>
    <row r="15">
      <c r="A15" s="28" t="inlineStr">
        <is>
          <t>Mandatory Modules</t>
        </is>
      </c>
      <c r="B15" s="29">
        <f>COUNTIF('Curriculum Catalog'!E4:E75,"Mandatory")</f>
        <v/>
      </c>
      <c r="C15" s="24" t="n"/>
      <c r="D15" s="24" t="n"/>
      <c r="E15" s="24" t="n"/>
      <c r="F15" s="24" t="n"/>
      <c r="G15" s="24" t="n"/>
    </row>
    <row r="16">
      <c r="A16" s="28" t="inlineStr">
        <is>
          <t>Optional Modules</t>
        </is>
      </c>
      <c r="B16" s="29">
        <f>COUNTIF('Curriculum Catalog'!E4:E75,"Optional")</f>
        <v/>
      </c>
      <c r="C16" s="24" t="n"/>
      <c r="D16" s="24" t="n"/>
      <c r="E16" s="24" t="n"/>
      <c r="F16" s="24" t="n"/>
      <c r="G16" s="24" t="n"/>
    </row>
    <row r="17">
      <c r="A17" s="28" t="inlineStr">
        <is>
          <t>Total Curriculum Gaps Identified</t>
        </is>
      </c>
      <c r="B17" s="29">
        <f>COUNTA('Gap Analysis'!A5:A54)</f>
        <v/>
      </c>
      <c r="C17" s="24" t="n"/>
      <c r="D17" s="24" t="n"/>
      <c r="E17" s="24" t="n"/>
      <c r="F17" s="24" t="n"/>
      <c r="G17" s="24" t="n"/>
    </row>
    <row r="18">
      <c r="A18" s="28" t="inlineStr">
        <is>
          <t>Critical / High Priority Curriculum Gaps</t>
        </is>
      </c>
      <c r="B18" s="29">
        <f>COUNTIF('Gap Analysis'!E5:E54,"Critical")+COUNTIF('Gap Analysis'!E5:E54,"High")</f>
        <v/>
      </c>
      <c r="C18" s="24" t="n"/>
      <c r="D18" s="24" t="n"/>
      <c r="E18" s="24" t="n"/>
      <c r="F18" s="24" t="n"/>
      <c r="G18" s="24" t="n"/>
    </row>
    <row r="19">
      <c r="A19" s="28" t="inlineStr">
        <is>
          <t>Medium / Low Priority Curriculum Gaps</t>
        </is>
      </c>
      <c r="B19" s="29">
        <f>COUNTIF('Gap Analysis'!E5:E54,"Medium")+COUNTIF('Gap Analysis'!E5:E54,"Low")</f>
        <v/>
      </c>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3" ht="20" customHeight="1">
      <c r="A23" s="34" t="inlineStr">
        <is>
          <t>TABLE 3: CRITICAL FINDINGS REQUIRING IMMEDIATE ATTENTION</t>
        </is>
      </c>
      <c r="B23" s="24" t="n"/>
      <c r="C23" s="24" t="n"/>
      <c r="D23" s="24" t="n"/>
      <c r="E23" s="24" t="n"/>
      <c r="F23" s="24" t="n"/>
      <c r="G23" s="24" t="n"/>
    </row>
    <row r="24">
      <c r="A24" s="32" t="inlineStr">
        <is>
          <t>Category</t>
        </is>
      </c>
      <c r="B24" s="32" t="inlineStr">
        <is>
          <t>Finding</t>
        </is>
      </c>
      <c r="C24" s="32" t="inlineStr">
        <is>
          <t>Count</t>
        </is>
      </c>
      <c r="D24" s="32" t="inlineStr">
        <is>
          <t>Severity</t>
        </is>
      </c>
      <c r="E24" s="32" t="inlineStr">
        <is>
          <t>Action Required</t>
        </is>
      </c>
      <c r="F24" s="32" t="n"/>
      <c r="G24" s="32" t="n"/>
    </row>
    <row r="25">
      <c r="A25" s="35" t="inlineStr">
        <is>
          <t>Curriculum Gap</t>
        </is>
      </c>
      <c r="B25" s="35" t="inlineStr">
        <is>
          <t>Critical priority curriculum gaps</t>
        </is>
      </c>
      <c r="C25" s="36">
        <f>COUNTIF('Gap Analysis'!E5:E54,"Critical")</f>
        <v/>
      </c>
      <c r="D25" s="35" t="inlineStr">
        <is>
          <t>Critical</t>
        </is>
      </c>
      <c r="E25" s="35" t="inlineStr">
        <is>
          <t>Immediate</t>
        </is>
      </c>
      <c r="F25" s="35" t="n"/>
      <c r="G25" s="35" t="n"/>
    </row>
    <row r="26">
      <c r="A26" s="35" t="inlineStr">
        <is>
          <t>Curriculum Gap</t>
        </is>
      </c>
      <c r="B26" s="35" t="inlineStr">
        <is>
          <t>High priority curriculum gaps</t>
        </is>
      </c>
      <c r="C26" s="36">
        <f>COUNTIF('Gap Analysis'!E5:E54,"High")</f>
        <v/>
      </c>
      <c r="D26" s="35" t="inlineStr">
        <is>
          <t>High</t>
        </is>
      </c>
      <c r="E26" s="35" t="inlineStr">
        <is>
          <t>Urgent</t>
        </is>
      </c>
      <c r="F26" s="35" t="n"/>
      <c r="G26" s="35" t="n"/>
    </row>
    <row r="27">
      <c r="A27" s="35" t="inlineStr">
        <is>
          <t>Module Status</t>
        </is>
      </c>
      <c r="B27" s="35" t="inlineStr">
        <is>
          <t>Modules under review or draft (not yet active)</t>
        </is>
      </c>
      <c r="C27" s="36">
        <f>COUNTIF('Curriculum Catalog'!N4:N75,"Under Review")+COUNTIF('Curriculum Catalog'!N4:N75,"Draft")</f>
        <v/>
      </c>
      <c r="D27" s="35" t="inlineStr">
        <is>
          <t>Medium</t>
        </is>
      </c>
      <c r="E27" s="35" t="inlineStr">
        <is>
          <t>Monitor</t>
        </is>
      </c>
      <c r="F27" s="35" t="n"/>
      <c r="G27" s="35" t="n"/>
    </row>
    <row r="28">
      <c r="A28" s="35" t="inlineStr">
        <is>
          <t>Module Status</t>
        </is>
      </c>
      <c r="B28" s="35" t="inlineStr">
        <is>
          <t>Retired modules in catalog</t>
        </is>
      </c>
      <c r="C28" s="36">
        <f>COUNTIF('Curriculum Catalog'!N4:N75,"Retired")</f>
        <v/>
      </c>
      <c r="D28" s="35" t="inlineStr">
        <is>
          <t>Low</t>
        </is>
      </c>
      <c r="E28" s="35" t="inlineStr">
        <is>
          <t>Review</t>
        </is>
      </c>
      <c r="F28" s="35" t="n"/>
      <c r="G28" s="35" t="n"/>
    </row>
    <row r="29">
      <c r="A29" s="37" t="n"/>
      <c r="B29" s="37" t="n"/>
      <c r="C29" s="37" t="n"/>
      <c r="D29" s="37" t="n"/>
      <c r="E29" s="37" t="n"/>
      <c r="F29" s="37" t="n"/>
      <c r="G29" s="37" t="n"/>
    </row>
    <row r="30">
      <c r="A30" s="37" t="n"/>
      <c r="B30" s="37" t="n"/>
      <c r="C30" s="37" t="n"/>
      <c r="D30" s="37" t="n"/>
      <c r="E30" s="37" t="n"/>
      <c r="F30" s="37" t="n"/>
      <c r="G30" s="37" t="n"/>
    </row>
  </sheetData>
  <mergeCells count="5">
    <mergeCell ref="A1:G1"/>
    <mergeCell ref="A4:G4"/>
    <mergeCell ref="A2:G2"/>
    <mergeCell ref="A10:G10"/>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8" t="inlineStr">
        <is>
          <t>ISO/IEC 27001:2022 - Control A.6.3: Information Security Awareness, Education and Training</t>
        </is>
      </c>
      <c r="B2" s="6" t="n"/>
      <c r="C2" s="6" t="n"/>
      <c r="D2" s="6" t="n"/>
      <c r="E2" s="6" t="n"/>
    </row>
    <row r="3">
      <c r="A3" s="39" t="inlineStr">
        <is>
          <t>ASSESSMENT SUMMARY</t>
        </is>
      </c>
      <c r="B3" s="6" t="n"/>
      <c r="C3" s="6" t="n"/>
      <c r="D3" s="6" t="n"/>
      <c r="E3" s="6" t="n"/>
    </row>
    <row r="4">
      <c r="A4" s="40" t="inlineStr">
        <is>
          <t>Document:</t>
        </is>
      </c>
      <c r="B4" s="6" t="inlineStr">
        <is>
          <t>ISMS-IMP-A.6.3.2 - Training Program Design</t>
        </is>
      </c>
      <c r="C4" s="6" t="n"/>
      <c r="D4" s="6" t="n"/>
      <c r="E4" s="6" t="n"/>
    </row>
    <row r="5">
      <c r="A5" s="40" t="inlineStr">
        <is>
          <t>Assessment Period:</t>
        </is>
      </c>
      <c r="B5" s="14" t="inlineStr"/>
      <c r="C5" s="14" t="n"/>
      <c r="D5" s="14" t="n"/>
      <c r="E5" s="14" t="n"/>
    </row>
    <row r="6">
      <c r="A6" s="40" t="inlineStr">
        <is>
          <t>Overall Compliance Rating:</t>
        </is>
      </c>
      <c r="B6" s="41">
        <f>IFERROR(AVERAGE('Summary Dashboard'!G6:G7),"")</f>
        <v/>
      </c>
      <c r="C6" s="6" t="n"/>
      <c r="D6" s="6" t="n"/>
      <c r="E6" s="6" t="n"/>
    </row>
    <row r="7">
      <c r="A7" s="40" t="inlineStr">
        <is>
          <t>Assessment Status:</t>
        </is>
      </c>
      <c r="B7" s="14" t="inlineStr"/>
      <c r="C7" s="14" t="n"/>
      <c r="D7" s="14" t="n"/>
      <c r="E7" s="14" t="n"/>
    </row>
    <row r="8">
      <c r="A8" s="40" t="inlineStr">
        <is>
          <t>Assessed By:</t>
        </is>
      </c>
      <c r="B8" s="14" t="inlineStr"/>
      <c r="C8" s="14" t="n"/>
      <c r="D8" s="14" t="n"/>
      <c r="E8" s="14" t="n"/>
    </row>
    <row r="11">
      <c r="A11" s="39" t="inlineStr">
        <is>
          <t>COMPLETED BY (ASSESSOR)</t>
        </is>
      </c>
      <c r="B11" s="6" t="n"/>
      <c r="C11" s="6" t="n"/>
      <c r="D11" s="6" t="n"/>
      <c r="E11" s="6" t="n"/>
    </row>
    <row r="12">
      <c r="A12" s="40" t="inlineStr">
        <is>
          <t>Name:</t>
        </is>
      </c>
      <c r="B12" s="14" t="n"/>
      <c r="C12" s="14" t="n"/>
      <c r="D12" s="14" t="n"/>
      <c r="E12" s="14" t="n"/>
    </row>
    <row r="13">
      <c r="A13" s="40" t="inlineStr">
        <is>
          <t>Title:</t>
        </is>
      </c>
      <c r="B13" s="14" t="n"/>
      <c r="C13" s="14" t="n"/>
      <c r="D13" s="14" t="n"/>
      <c r="E13" s="14" t="n"/>
    </row>
    <row r="14">
      <c r="A14" s="40" t="inlineStr">
        <is>
          <t>Date:</t>
        </is>
      </c>
      <c r="B14" s="14" t="n"/>
      <c r="C14" s="14" t="n"/>
      <c r="D14" s="14" t="n"/>
      <c r="E14" s="14" t="n"/>
    </row>
    <row r="15">
      <c r="A15" s="40" t="inlineStr">
        <is>
          <t>Signature:</t>
        </is>
      </c>
      <c r="B15" s="14" t="n"/>
      <c r="C15" s="14" t="n"/>
      <c r="D15" s="14" t="n"/>
      <c r="E15" s="14" t="n"/>
    </row>
    <row r="16">
      <c r="A16" s="40" t="inlineStr">
        <is>
          <t>Comments:</t>
        </is>
      </c>
      <c r="B16" s="14" t="n"/>
      <c r="C16" s="14" t="n"/>
      <c r="D16" s="14" t="n"/>
      <c r="E16" s="14" t="n"/>
    </row>
    <row r="18">
      <c r="A18" s="39" t="inlineStr">
        <is>
          <t>REVIEWED BY (INFORMATION SECURITY OFFICER)</t>
        </is>
      </c>
      <c r="B18" s="6" t="n"/>
      <c r="C18" s="6" t="n"/>
      <c r="D18" s="6" t="n"/>
      <c r="E18" s="6" t="n"/>
    </row>
    <row r="19">
      <c r="A19" s="40" t="inlineStr">
        <is>
          <t>Name:</t>
        </is>
      </c>
      <c r="B19" s="14" t="n"/>
      <c r="C19" s="14" t="n"/>
      <c r="D19" s="14" t="n"/>
      <c r="E19" s="14" t="n"/>
    </row>
    <row r="20">
      <c r="A20" s="40" t="inlineStr">
        <is>
          <t>Title:</t>
        </is>
      </c>
      <c r="B20" s="14" t="n"/>
      <c r="C20" s="14" t="n"/>
      <c r="D20" s="14" t="n"/>
      <c r="E20" s="14" t="n"/>
    </row>
    <row r="21">
      <c r="A21" s="40" t="inlineStr">
        <is>
          <t>Date:</t>
        </is>
      </c>
      <c r="B21" s="14" t="n"/>
      <c r="C21" s="14" t="n"/>
      <c r="D21" s="14" t="n"/>
      <c r="E21" s="14" t="n"/>
    </row>
    <row r="22">
      <c r="A22" s="40" t="inlineStr">
        <is>
          <t>Signature:</t>
        </is>
      </c>
      <c r="B22" s="14" t="n"/>
      <c r="C22" s="14" t="n"/>
      <c r="D22" s="14" t="n"/>
      <c r="E22" s="14" t="n"/>
    </row>
    <row r="23">
      <c r="A23" s="40" t="inlineStr">
        <is>
          <t>Comments:</t>
        </is>
      </c>
      <c r="B23" s="14" t="n"/>
      <c r="C23" s="14" t="n"/>
      <c r="D23" s="14" t="n"/>
      <c r="E23" s="14" t="n"/>
    </row>
    <row r="25">
      <c r="A25" s="42" t="inlineStr">
        <is>
          <t>APPROVED BY (CISO)</t>
        </is>
      </c>
      <c r="B25" s="6" t="n"/>
      <c r="C25" s="6" t="n"/>
      <c r="D25" s="6" t="n"/>
      <c r="E25" s="6" t="n"/>
    </row>
    <row r="26">
      <c r="A26" s="40" t="inlineStr">
        <is>
          <t>Name:</t>
        </is>
      </c>
      <c r="B26" s="14" t="n"/>
      <c r="C26" s="14" t="n"/>
      <c r="D26" s="14" t="n"/>
      <c r="E26" s="14" t="n"/>
    </row>
    <row r="27">
      <c r="A27" s="40" t="inlineStr">
        <is>
          <t>Title:</t>
        </is>
      </c>
      <c r="B27" s="14" t="n"/>
      <c r="C27" s="14" t="n"/>
      <c r="D27" s="14" t="n"/>
      <c r="E27" s="14" t="n"/>
    </row>
    <row r="28">
      <c r="A28" s="40" t="inlineStr">
        <is>
          <t>Date:</t>
        </is>
      </c>
      <c r="B28" s="14" t="n"/>
      <c r="C28" s="14" t="n"/>
      <c r="D28" s="14" t="n"/>
      <c r="E28" s="14" t="n"/>
    </row>
    <row r="29">
      <c r="A29" s="40" t="inlineStr">
        <is>
          <t>Signature:</t>
        </is>
      </c>
      <c r="B29" s="14" t="n"/>
      <c r="C29" s="14" t="n"/>
      <c r="D29" s="14" t="n"/>
      <c r="E29" s="14" t="n"/>
    </row>
    <row r="30">
      <c r="A30" s="40" t="inlineStr">
        <is>
          <t>Comments:</t>
        </is>
      </c>
      <c r="B30" s="14" t="n"/>
      <c r="C30" s="14" t="n"/>
      <c r="D30" s="14" t="n"/>
      <c r="E30" s="14" t="n"/>
    </row>
    <row r="32">
      <c r="A32" s="43" t="inlineStr">
        <is>
          <t>FINAL DECISION:</t>
        </is>
      </c>
      <c r="B32" s="14" t="n"/>
      <c r="C32" s="14" t="n"/>
      <c r="D32" s="14" t="n"/>
      <c r="E32" s="14" t="n"/>
    </row>
    <row r="35">
      <c r="A35" s="39" t="inlineStr">
        <is>
          <t>NEXT REVIEW DETAILS</t>
        </is>
      </c>
      <c r="B35" s="6" t="n"/>
      <c r="C35" s="6" t="n"/>
      <c r="D35" s="6" t="n"/>
      <c r="E35" s="6" t="n"/>
    </row>
    <row r="36">
      <c r="A36" s="40" t="inlineStr">
        <is>
          <t>Next Review Date:</t>
        </is>
      </c>
      <c r="B36" s="14" t="n"/>
      <c r="C36" s="14" t="n"/>
      <c r="D36" s="14" t="n"/>
      <c r="E36" s="14" t="n"/>
    </row>
    <row r="37">
      <c r="A37" s="40" t="inlineStr">
        <is>
          <t>Review Responsible:</t>
        </is>
      </c>
      <c r="B37" s="14" t="n"/>
      <c r="C37" s="14" t="n"/>
      <c r="D37" s="14" t="n"/>
      <c r="E37" s="14" t="n"/>
    </row>
    <row r="38">
      <c r="A38" s="40"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ISMS-IMP-A.6.3.2 — Training Program Design</dc:title>
  <dc:description xmlns:dc="http://purl.org/dc/elements/1.1/">ISMS Implementation Workbook — ISMS-IMP-A.6.3.2</dc:description>
  <dc:subject xmlns:dc="http://purl.org/dc/elements/1.1/">ISO/IEC 27001:2022 — Control A.6.3: Information Security Awareness, Education and Training</dc:subject>
  <dcterms:created xmlns:dcterms="http://purl.org/dc/terms/" xmlns:xsi="http://www.w3.org/2001/XMLSchema-instance" xsi:type="dcterms:W3CDTF">2026-03-01T16:57:41Z</dcterms:created>
  <dcterms:modified xmlns:dcterms="http://purl.org/dc/terms/" xmlns:xsi="http://www.w3.org/2001/XMLSchema-instance" xsi:type="dcterms:W3CDTF">2026-03-01T16:57:41Z</dcterms:modified>
</cp:coreProperties>
</file>