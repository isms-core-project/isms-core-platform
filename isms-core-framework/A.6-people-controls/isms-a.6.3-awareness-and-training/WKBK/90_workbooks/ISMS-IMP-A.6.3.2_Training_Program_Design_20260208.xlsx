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urriculum_Catalog" sheetId="2" state="visible" r:id="rId2"/>
    <sheet xmlns:r="http://schemas.openxmlformats.org/officeDocument/2006/relationships" name="Content_Specifications" sheetId="3" state="visible" r:id="rId3"/>
    <sheet xmlns:r="http://schemas.openxmlformats.org/officeDocument/2006/relationships" name="Delivery_Standards" sheetId="4" state="visible" r:id="rId4"/>
    <sheet xmlns:r="http://schemas.openxmlformats.org/officeDocument/2006/relationships" name="Assessment_Design" sheetId="5" state="visible" r:id="rId5"/>
    <sheet xmlns:r="http://schemas.openxmlformats.org/officeDocument/2006/relationships" name="Content_Lifecycle" sheetId="6" state="visible" r:id="rId6"/>
    <sheet xmlns:r="http://schemas.openxmlformats.org/officeDocument/2006/relationships" name="Gap_Analysis" sheetId="7" state="visible" r:id="rId7"/>
    <sheet xmlns:r="http://schemas.openxmlformats.org/officeDocument/2006/relationships" name="Evidence_Register" sheetId="8" state="visible" r:id="rId8"/>
    <sheet xmlns:r="http://schemas.openxmlformats.org/officeDocument/2006/relationships" name="Dashboard" sheetId="9" state="visible" r:id="rId9"/>
    <sheet xmlns:r="http://schemas.openxmlformats.org/officeDocument/2006/relationships" name="Approval_Sign_Off" sheetId="10" state="visible"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b val="1"/>
      <sz val="12"/>
    </font>
    <font>
      <b val="1"/>
    </font>
    <font>
      <name val="Calibri"/>
      <b val="1"/>
      <sz val="10"/>
    </font>
    <font>
      <color rgb="00808080"/>
    </font>
    <font>
      <b val="1"/>
      <color rgb="000000FF"/>
      <sz val="14"/>
    </font>
    <font>
      <b val="1"/>
      <color rgb="000000FF"/>
    </font>
    <font>
      <b val="1"/>
      <color rgb="00FFFFFF"/>
      <sz val="11"/>
    </font>
  </fonts>
  <fills count="6">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6" fillId="0" borderId="0" pivotButton="0" quotePrefix="0" xfId="0"/>
    <xf numFmtId="0" fontId="0" fillId="0" borderId="1" pivotButton="0" quotePrefix="0" xfId="0"/>
    <xf numFmtId="0" fontId="7" fillId="0" borderId="0" pivotButton="0" quotePrefix="0" xfId="0"/>
    <xf numFmtId="0" fontId="8" fillId="5" borderId="0" applyAlignment="1" pivotButton="0" quotePrefix="0" xfId="0">
      <alignment horizontal="center" vertical="center"/>
    </xf>
    <xf numFmtId="0" fontId="8"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0" customWidth="1" min="1" max="1"/>
    <col width="50" customWidth="1" min="2" max="2"/>
  </cols>
  <sheetData>
    <row r="1" ht="40" customHeight="1">
      <c r="A1" s="1" t="inlineStr">
        <is>
          <t>ISMS-IMP-A.6.3.2 - Training Program Design
ISO/IEC 27001:2022 - Control A.6.3: Information Security Awareness, Education and Training</t>
        </is>
      </c>
    </row>
    <row r="3">
      <c r="A3" s="2" t="inlineStr">
        <is>
          <t>Document Information</t>
        </is>
      </c>
    </row>
    <row r="4">
      <c r="A4" s="3" t="inlineStr">
        <is>
          <t>Document ID</t>
        </is>
      </c>
      <c r="B4" t="inlineStr">
        <is>
          <t>ISMS-IMP-A.6.3.2</t>
        </is>
      </c>
    </row>
    <row r="5">
      <c r="A5" s="3" t="inlineStr">
        <is>
          <t>Assessment Area</t>
        </is>
      </c>
      <c r="B5" t="inlineStr">
        <is>
          <t>Training Curriculum Framework and Content Management</t>
        </is>
      </c>
    </row>
    <row r="6">
      <c r="A6" s="3" t="inlineStr">
        <is>
          <t>Related Policy</t>
        </is>
      </c>
      <c r="B6" t="inlineStr">
        <is>
          <t>ISMS-POL-A.6.3, Sections 2.3-2.5</t>
        </is>
      </c>
    </row>
    <row r="7">
      <c r="A7" s="3" t="inlineStr">
        <is>
          <t>Version</t>
        </is>
      </c>
      <c r="B7" t="inlineStr">
        <is>
          <t>1.0</t>
        </is>
      </c>
    </row>
    <row r="8">
      <c r="A8" s="3" t="inlineStr">
        <is>
          <t>Review Date</t>
        </is>
      </c>
      <c r="B8" s="4" t="inlineStr"/>
    </row>
    <row r="9">
      <c r="A9" s="3" t="inlineStr">
        <is>
          <t>Completed By</t>
        </is>
      </c>
      <c r="B9" s="4" t="inlineStr"/>
    </row>
    <row r="10">
      <c r="A10" s="3" t="inlineStr">
        <is>
          <t>Review Cycle</t>
        </is>
      </c>
      <c r="B10" t="inlineStr">
        <is>
          <t>Annual + upon significant changes</t>
        </is>
      </c>
    </row>
    <row r="12">
      <c r="A12" s="2" t="inlineStr">
        <is>
          <t>HOW TO USE THIS WORKBOOK</t>
        </is>
      </c>
    </row>
    <row r="13">
      <c r="A13" t="inlineStr">
        <is>
          <t>1. Review and customize Curriculum_Catalog with your training modules.</t>
        </is>
      </c>
    </row>
    <row r="14">
      <c r="A14" t="inlineStr">
        <is>
          <t>2. Complete Content_Specifications for each module.</t>
        </is>
      </c>
    </row>
    <row r="15">
      <c r="A15" t="inlineStr">
        <is>
          <t>3. Review Delivery_Standards for applicable delivery methods.</t>
        </is>
      </c>
    </row>
    <row r="16">
      <c r="A16" t="inlineStr">
        <is>
          <t>4. Configure Assessment_Design standards per your requirements.</t>
        </is>
      </c>
    </row>
    <row r="17">
      <c r="A17" t="inlineStr">
        <is>
          <t>5. Maintain Content_Lifecycle for version control.</t>
        </is>
      </c>
    </row>
    <row r="18">
      <c r="A18" t="inlineStr">
        <is>
          <t>6. Complete Gap_Analysis against policy requirements.</t>
        </is>
      </c>
    </row>
    <row r="19">
      <c r="A19" t="inlineStr">
        <is>
          <t>7. Maintain Evidence_Register for audit traceability.</t>
        </is>
      </c>
    </row>
    <row r="20">
      <c r="A20" t="inlineStr">
        <is>
          <t>8. Obtain approvals in Approval_Sign_Off.</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3"/>
  <sheetViews>
    <sheetView workbookViewId="0">
      <pane ySplit="3" topLeftCell="A4" activePane="bottomLeft" state="frozen"/>
      <selection pane="bottomLeft" activeCell="A1" sqref="A1"/>
    </sheetView>
  </sheetViews>
  <sheetFormatPr baseColWidth="8" defaultRowHeight="15"/>
  <cols>
    <col width="15" customWidth="1" min="1" max="1"/>
    <col width="40" customWidth="1" min="2" max="2"/>
    <col width="12" customWidth="1" min="3" max="3"/>
    <col width="20" customWidth="1" min="4" max="4"/>
    <col width="18" customWidth="1" min="5" max="5"/>
    <col width="18" customWidth="1" min="6" max="6"/>
    <col width="25" customWidth="1" min="7" max="7"/>
    <col width="20" customWidth="1" min="8" max="8"/>
    <col width="15" customWidth="1" min="9" max="9"/>
    <col width="20" customWidth="1" min="10" max="10"/>
    <col width="20" customWidth="1" min="11" max="11"/>
    <col width="12" customWidth="1" min="12" max="12"/>
    <col width="12" customWidth="1" min="13" max="13"/>
    <col width="12" customWidth="1" min="14" max="14"/>
  </cols>
  <sheetData>
    <row r="1" ht="40" customHeight="1">
      <c r="A1" s="1" t="inlineStr">
        <is>
          <t>CURRICULUM CATALOG
Master catalog of all training modules</t>
        </is>
      </c>
    </row>
    <row r="3">
      <c r="A3" s="5" t="inlineStr">
        <is>
          <t>Module_ID</t>
        </is>
      </c>
      <c r="B3" s="5" t="inlineStr">
        <is>
          <t>Module_Title</t>
        </is>
      </c>
      <c r="C3" s="5" t="inlineStr">
        <is>
          <t>Training_Tier</t>
        </is>
      </c>
      <c r="D3" s="5" t="inlineStr">
        <is>
          <t>Category</t>
        </is>
      </c>
      <c r="E3" s="5" t="inlineStr">
        <is>
          <t>Mandatory_Optional</t>
        </is>
      </c>
      <c r="F3" s="5" t="inlineStr">
        <is>
          <t>Duration_Minutes</t>
        </is>
      </c>
      <c r="G3" s="5" t="inlineStr">
        <is>
          <t>Delivery_Method</t>
        </is>
      </c>
      <c r="H3" s="5" t="inlineStr">
        <is>
          <t>Assessment_Type</t>
        </is>
      </c>
      <c r="I3" s="5" t="inlineStr">
        <is>
          <t>Frequency</t>
        </is>
      </c>
      <c r="J3" s="5" t="inlineStr">
        <is>
          <t>Policy_Reference</t>
        </is>
      </c>
      <c r="K3" s="5" t="inlineStr">
        <is>
          <t>Content_Owner</t>
        </is>
      </c>
      <c r="L3" s="5" t="inlineStr">
        <is>
          <t>Last_Updated</t>
        </is>
      </c>
      <c r="M3" s="5" t="inlineStr">
        <is>
          <t>Next_Review</t>
        </is>
      </c>
      <c r="N3" s="5" t="inlineStr">
        <is>
          <t>Status</t>
        </is>
      </c>
    </row>
    <row r="4">
      <c r="A4" s="6" t="inlineStr">
        <is>
          <t>MOD-T1-001</t>
        </is>
      </c>
      <c r="B4" s="6" t="inlineStr">
        <is>
          <t>Information Security Fundamentals</t>
        </is>
      </c>
      <c r="C4" s="6" t="inlineStr">
        <is>
          <t>Tier 1</t>
        </is>
      </c>
      <c r="D4" s="6" t="inlineStr">
        <is>
          <t>Baseline Awareness</t>
        </is>
      </c>
      <c r="E4" s="6" t="inlineStr">
        <is>
          <t>Mandatory</t>
        </is>
      </c>
      <c r="F4" s="6" t="n">
        <v>30</v>
      </c>
      <c r="G4" s="6" t="inlineStr">
        <is>
          <t>eLearning</t>
        </is>
      </c>
      <c r="H4" s="6" t="inlineStr">
        <is>
          <t>Quiz</t>
        </is>
      </c>
      <c r="I4" s="6" t="inlineStr">
        <is>
          <t>Onboarding</t>
        </is>
      </c>
      <c r="J4" s="6" t="inlineStr">
        <is>
          <t>POL-A.6.3 S2.3.1</t>
        </is>
      </c>
      <c r="K4" s="4" t="n"/>
      <c r="L4" s="4" t="n"/>
      <c r="M4" s="4" t="n"/>
      <c r="N4" s="4" t="n"/>
    </row>
    <row r="5">
      <c r="A5" s="6" t="inlineStr">
        <is>
          <t>MOD-T1-002</t>
        </is>
      </c>
      <c r="B5" s="6" t="inlineStr">
        <is>
          <t>Acceptable Use Policy</t>
        </is>
      </c>
      <c r="C5" s="6" t="inlineStr">
        <is>
          <t>Tier 1</t>
        </is>
      </c>
      <c r="D5" s="6" t="inlineStr">
        <is>
          <t>Baseline Awareness</t>
        </is>
      </c>
      <c r="E5" s="6" t="inlineStr">
        <is>
          <t>Mandatory</t>
        </is>
      </c>
      <c r="F5" s="6" t="n">
        <v>20</v>
      </c>
      <c r="G5" s="6" t="inlineStr">
        <is>
          <t>eLearning</t>
        </is>
      </c>
      <c r="H5" s="6" t="inlineStr">
        <is>
          <t>Quiz</t>
        </is>
      </c>
      <c r="I5" s="6" t="inlineStr">
        <is>
          <t>Annual</t>
        </is>
      </c>
      <c r="J5" s="6" t="inlineStr">
        <is>
          <t>POL-A.6.3 S2.3.2</t>
        </is>
      </c>
      <c r="K5" s="4" t="n"/>
      <c r="L5" s="4" t="n"/>
      <c r="M5" s="4" t="n"/>
      <c r="N5" s="4" t="n"/>
    </row>
    <row r="6">
      <c r="A6" s="6" t="inlineStr">
        <is>
          <t>MOD-T1-003</t>
        </is>
      </c>
      <c r="B6" s="6" t="inlineStr">
        <is>
          <t>Data Classification and Handling</t>
        </is>
      </c>
      <c r="C6" s="6" t="inlineStr">
        <is>
          <t>Tier 1</t>
        </is>
      </c>
      <c r="D6" s="6" t="inlineStr">
        <is>
          <t>Baseline Awareness</t>
        </is>
      </c>
      <c r="E6" s="6" t="inlineStr">
        <is>
          <t>Mandatory</t>
        </is>
      </c>
      <c r="F6" s="6" t="n">
        <v>25</v>
      </c>
      <c r="G6" s="6" t="inlineStr">
        <is>
          <t>eLearning</t>
        </is>
      </c>
      <c r="H6" s="6" t="inlineStr">
        <is>
          <t>Quiz</t>
        </is>
      </c>
      <c r="I6" s="6" t="inlineStr">
        <is>
          <t>Annual</t>
        </is>
      </c>
      <c r="J6" s="6" t="inlineStr">
        <is>
          <t>POL-A.6.3 S2.3.3</t>
        </is>
      </c>
      <c r="K6" s="4" t="n"/>
      <c r="L6" s="4" t="n"/>
      <c r="M6" s="4" t="n"/>
      <c r="N6" s="4" t="n"/>
    </row>
    <row r="7">
      <c r="A7" s="6" t="inlineStr">
        <is>
          <t>MOD-T1-004</t>
        </is>
      </c>
      <c r="B7" s="6" t="inlineStr">
        <is>
          <t>Password Security and Authentication</t>
        </is>
      </c>
      <c r="C7" s="6" t="inlineStr">
        <is>
          <t>Tier 1</t>
        </is>
      </c>
      <c r="D7" s="6" t="inlineStr">
        <is>
          <t>Baseline Awareness</t>
        </is>
      </c>
      <c r="E7" s="6" t="inlineStr">
        <is>
          <t>Mandatory</t>
        </is>
      </c>
      <c r="F7" s="6" t="n">
        <v>20</v>
      </c>
      <c r="G7" s="6" t="inlineStr">
        <is>
          <t>eLearning</t>
        </is>
      </c>
      <c r="H7" s="6" t="inlineStr">
        <is>
          <t>Quiz</t>
        </is>
      </c>
      <c r="I7" s="6" t="inlineStr">
        <is>
          <t>Annual</t>
        </is>
      </c>
      <c r="J7" s="6" t="inlineStr">
        <is>
          <t>POL-A.6.3 S2.3.4</t>
        </is>
      </c>
      <c r="K7" s="4" t="n"/>
      <c r="L7" s="4" t="n"/>
      <c r="M7" s="4" t="n"/>
      <c r="N7" s="4" t="n"/>
    </row>
    <row r="8">
      <c r="A8" s="6" t="inlineStr">
        <is>
          <t>MOD-T1-005</t>
        </is>
      </c>
      <c r="B8" s="6" t="inlineStr">
        <is>
          <t>Phishing and Social Engineering</t>
        </is>
      </c>
      <c r="C8" s="6" t="inlineStr">
        <is>
          <t>Tier 1</t>
        </is>
      </c>
      <c r="D8" s="6" t="inlineStr">
        <is>
          <t>Baseline Awareness</t>
        </is>
      </c>
      <c r="E8" s="6" t="inlineStr">
        <is>
          <t>Mandatory</t>
        </is>
      </c>
      <c r="F8" s="6" t="n">
        <v>30</v>
      </c>
      <c r="G8" s="6" t="inlineStr">
        <is>
          <t>eLearning + Simulation</t>
        </is>
      </c>
      <c r="H8" s="6" t="inlineStr">
        <is>
          <t>Quiz + Simulation</t>
        </is>
      </c>
      <c r="I8" s="6" t="inlineStr">
        <is>
          <t>Annual</t>
        </is>
      </c>
      <c r="J8" s="6" t="inlineStr">
        <is>
          <t>POL-A.6.3 S2.3.5</t>
        </is>
      </c>
      <c r="K8" s="4" t="n"/>
      <c r="L8" s="4" t="n"/>
      <c r="M8" s="4" t="n"/>
      <c r="N8" s="4" t="n"/>
    </row>
    <row r="9">
      <c r="A9" s="6" t="inlineStr">
        <is>
          <t>MOD-T1-006</t>
        </is>
      </c>
      <c r="B9" s="6" t="inlineStr">
        <is>
          <t>Security Incident Reporting</t>
        </is>
      </c>
      <c r="C9" s="6" t="inlineStr">
        <is>
          <t>Tier 1</t>
        </is>
      </c>
      <c r="D9" s="6" t="inlineStr">
        <is>
          <t>Baseline Awareness</t>
        </is>
      </c>
      <c r="E9" s="6" t="inlineStr">
        <is>
          <t>Mandatory</t>
        </is>
      </c>
      <c r="F9" s="6" t="n">
        <v>15</v>
      </c>
      <c r="G9" s="6" t="inlineStr">
        <is>
          <t>eLearning</t>
        </is>
      </c>
      <c r="H9" s="6" t="inlineStr">
        <is>
          <t>Quiz</t>
        </is>
      </c>
      <c r="I9" s="6" t="inlineStr">
        <is>
          <t>Onboarding</t>
        </is>
      </c>
      <c r="J9" s="6" t="inlineStr">
        <is>
          <t>POL-A.6.3 S2.3.6</t>
        </is>
      </c>
      <c r="K9" s="4" t="n"/>
      <c r="L9" s="4" t="n"/>
      <c r="M9" s="4" t="n"/>
      <c r="N9" s="4" t="n"/>
    </row>
    <row r="10">
      <c r="A10" s="6" t="inlineStr">
        <is>
          <t>MOD-T1-007</t>
        </is>
      </c>
      <c r="B10" s="6" t="inlineStr">
        <is>
          <t>Physical Security Awareness</t>
        </is>
      </c>
      <c r="C10" s="6" t="inlineStr">
        <is>
          <t>Tier 1</t>
        </is>
      </c>
      <c r="D10" s="6" t="inlineStr">
        <is>
          <t>Baseline Awareness</t>
        </is>
      </c>
      <c r="E10" s="6" t="inlineStr">
        <is>
          <t>Mandatory</t>
        </is>
      </c>
      <c r="F10" s="6" t="n">
        <v>15</v>
      </c>
      <c r="G10" s="6" t="inlineStr">
        <is>
          <t>eLearning</t>
        </is>
      </c>
      <c r="H10" s="6" t="inlineStr">
        <is>
          <t>Quiz</t>
        </is>
      </c>
      <c r="I10" s="6" t="inlineStr">
        <is>
          <t>Annual</t>
        </is>
      </c>
      <c r="J10" s="6" t="inlineStr">
        <is>
          <t>POL-A.6.3 S2.3.7</t>
        </is>
      </c>
      <c r="K10" s="4" t="n"/>
      <c r="L10" s="4" t="n"/>
      <c r="M10" s="4" t="n"/>
      <c r="N10" s="4" t="n"/>
    </row>
    <row r="11">
      <c r="A11" s="6" t="inlineStr">
        <is>
          <t>MOD-T1-008</t>
        </is>
      </c>
      <c r="B11" s="6" t="inlineStr">
        <is>
          <t>Remote Working Security</t>
        </is>
      </c>
      <c r="C11" s="6" t="inlineStr">
        <is>
          <t>Tier 1</t>
        </is>
      </c>
      <c r="D11" s="6" t="inlineStr">
        <is>
          <t>Baseline Awareness</t>
        </is>
      </c>
      <c r="E11" s="6" t="inlineStr">
        <is>
          <t>Mandatory</t>
        </is>
      </c>
      <c r="F11" s="6" t="n">
        <v>20</v>
      </c>
      <c r="G11" s="6" t="inlineStr">
        <is>
          <t>eLearning</t>
        </is>
      </c>
      <c r="H11" s="6" t="inlineStr">
        <is>
          <t>Quiz</t>
        </is>
      </c>
      <c r="I11" s="6" t="inlineStr">
        <is>
          <t>Annual</t>
        </is>
      </c>
      <c r="J11" s="6" t="inlineStr">
        <is>
          <t>POL-A.6.3 S2.3.8</t>
        </is>
      </c>
      <c r="K11" s="4" t="n"/>
      <c r="L11" s="4" t="n"/>
      <c r="M11" s="4" t="n"/>
      <c r="N11" s="4" t="n"/>
    </row>
    <row r="12">
      <c r="A12" s="6" t="inlineStr">
        <is>
          <t>MOD-T3-001</t>
        </is>
      </c>
      <c r="B12" s="6" t="inlineStr">
        <is>
          <t>Privacy and Data Protection Fundamentals</t>
        </is>
      </c>
      <c r="C12" s="6" t="inlineStr">
        <is>
          <t>Tier 3</t>
        </is>
      </c>
      <c r="D12" s="6" t="inlineStr">
        <is>
          <t>Data Protection</t>
        </is>
      </c>
      <c r="E12" s="6" t="inlineStr">
        <is>
          <t>Mandatory</t>
        </is>
      </c>
      <c r="F12" s="6" t="n">
        <v>45</v>
      </c>
      <c r="G12" s="6" t="inlineStr">
        <is>
          <t>eLearning</t>
        </is>
      </c>
      <c r="H12" s="6" t="inlineStr">
        <is>
          <t>Quiz</t>
        </is>
      </c>
      <c r="I12" s="6" t="inlineStr">
        <is>
          <t>Annual</t>
        </is>
      </c>
      <c r="J12" s="6" t="inlineStr">
        <is>
          <t>POL-A.6.3 S2.4.1</t>
        </is>
      </c>
      <c r="K12" s="4" t="n"/>
      <c r="L12" s="4" t="n"/>
      <c r="M12" s="4" t="n"/>
      <c r="N12" s="4" t="n"/>
    </row>
    <row r="13">
      <c r="A13" s="6" t="inlineStr">
        <is>
          <t>MOD-T3-002</t>
        </is>
      </c>
      <c r="B13" s="6" t="inlineStr">
        <is>
          <t>Data Subject Rights and Obligations</t>
        </is>
      </c>
      <c r="C13" s="6" t="inlineStr">
        <is>
          <t>Tier 3</t>
        </is>
      </c>
      <c r="D13" s="6" t="inlineStr">
        <is>
          <t>Data Protection</t>
        </is>
      </c>
      <c r="E13" s="6" t="inlineStr">
        <is>
          <t>Mandatory</t>
        </is>
      </c>
      <c r="F13" s="6" t="n">
        <v>30</v>
      </c>
      <c r="G13" s="6" t="inlineStr">
        <is>
          <t>eLearning</t>
        </is>
      </c>
      <c r="H13" s="6" t="inlineStr">
        <is>
          <t>Quiz</t>
        </is>
      </c>
      <c r="I13" s="6" t="inlineStr">
        <is>
          <t>Annual</t>
        </is>
      </c>
      <c r="J13" s="6" t="inlineStr">
        <is>
          <t>POL-A.6.3 S2.4.1</t>
        </is>
      </c>
      <c r="K13" s="4" t="n"/>
      <c r="L13" s="4" t="n"/>
      <c r="M13" s="4" t="n"/>
      <c r="N13" s="4" t="n"/>
    </row>
    <row r="14">
      <c r="A14" s="6" t="inlineStr">
        <is>
          <t>MOD-T3-003</t>
        </is>
      </c>
      <c r="B14" s="6" t="inlineStr">
        <is>
          <t>Data Retention and Secure Deletion</t>
        </is>
      </c>
      <c r="C14" s="6" t="inlineStr">
        <is>
          <t>Tier 3</t>
        </is>
      </c>
      <c r="D14" s="6" t="inlineStr">
        <is>
          <t>Data Protection</t>
        </is>
      </c>
      <c r="E14" s="6" t="inlineStr">
        <is>
          <t>Mandatory</t>
        </is>
      </c>
      <c r="F14" s="6" t="n">
        <v>25</v>
      </c>
      <c r="G14" s="6" t="inlineStr">
        <is>
          <t>eLearning</t>
        </is>
      </c>
      <c r="H14" s="6" t="inlineStr">
        <is>
          <t>Quiz</t>
        </is>
      </c>
      <c r="I14" s="6" t="inlineStr">
        <is>
          <t>Annual</t>
        </is>
      </c>
      <c r="J14" s="6" t="inlineStr">
        <is>
          <t>POL-A.6.3 S2.4.1</t>
        </is>
      </c>
      <c r="K14" s="4" t="n"/>
      <c r="L14" s="4" t="n"/>
      <c r="M14" s="4" t="n"/>
      <c r="N14" s="4" t="n"/>
    </row>
    <row r="15">
      <c r="A15" s="6" t="inlineStr">
        <is>
          <t>MOD-T4-001</t>
        </is>
      </c>
      <c r="B15" s="6" t="inlineStr">
        <is>
          <t>Secure Coding Practices</t>
        </is>
      </c>
      <c r="C15" s="6" t="inlineStr">
        <is>
          <t>Tier 4</t>
        </is>
      </c>
      <c r="D15" s="6" t="inlineStr">
        <is>
          <t>Technical Security</t>
        </is>
      </c>
      <c r="E15" s="6" t="inlineStr">
        <is>
          <t>Mandatory</t>
        </is>
      </c>
      <c r="F15" s="6" t="n">
        <v>60</v>
      </c>
      <c r="G15" s="6" t="inlineStr">
        <is>
          <t>eLearning + Workshop</t>
        </is>
      </c>
      <c r="H15" s="6" t="inlineStr">
        <is>
          <t>Quiz + Practical</t>
        </is>
      </c>
      <c r="I15" s="6" t="inlineStr">
        <is>
          <t>Annual</t>
        </is>
      </c>
      <c r="J15" s="6" t="inlineStr">
        <is>
          <t>POL-A.6.3 S2.4.2</t>
        </is>
      </c>
      <c r="K15" s="4" t="n"/>
      <c r="L15" s="4" t="n"/>
      <c r="M15" s="4" t="n"/>
      <c r="N15" s="4" t="n"/>
    </row>
    <row r="16">
      <c r="A16" s="6" t="inlineStr">
        <is>
          <t>MOD-T4-002</t>
        </is>
      </c>
      <c r="B16" s="6" t="inlineStr">
        <is>
          <t>OWASP Top 10 Vulnerabilities</t>
        </is>
      </c>
      <c r="C16" s="6" t="inlineStr">
        <is>
          <t>Tier 4</t>
        </is>
      </c>
      <c r="D16" s="6" t="inlineStr">
        <is>
          <t>Technical Security</t>
        </is>
      </c>
      <c r="E16" s="6" t="inlineStr">
        <is>
          <t>Mandatory</t>
        </is>
      </c>
      <c r="F16" s="6" t="n">
        <v>45</v>
      </c>
      <c r="G16" s="6" t="inlineStr">
        <is>
          <t>eLearning</t>
        </is>
      </c>
      <c r="H16" s="6" t="inlineStr">
        <is>
          <t>Quiz</t>
        </is>
      </c>
      <c r="I16" s="6" t="inlineStr">
        <is>
          <t>Annual</t>
        </is>
      </c>
      <c r="J16" s="6" t="inlineStr">
        <is>
          <t>POL-A.6.3 S2.4.2</t>
        </is>
      </c>
      <c r="K16" s="4" t="n"/>
      <c r="L16" s="4" t="n"/>
      <c r="M16" s="4" t="n"/>
      <c r="N16" s="4" t="n"/>
    </row>
    <row r="17">
      <c r="A17" s="6" t="inlineStr">
        <is>
          <t>MOD-T4-003</t>
        </is>
      </c>
      <c r="B17" s="6" t="inlineStr">
        <is>
          <t>Secure Configuration Management</t>
        </is>
      </c>
      <c r="C17" s="6" t="inlineStr">
        <is>
          <t>Tier 4</t>
        </is>
      </c>
      <c r="D17" s="6" t="inlineStr">
        <is>
          <t>Technical Security</t>
        </is>
      </c>
      <c r="E17" s="6" t="inlineStr">
        <is>
          <t>Mandatory</t>
        </is>
      </c>
      <c r="F17" s="6" t="n">
        <v>30</v>
      </c>
      <c r="G17" s="6" t="inlineStr">
        <is>
          <t>eLearning</t>
        </is>
      </c>
      <c r="H17" s="6" t="inlineStr">
        <is>
          <t>Quiz</t>
        </is>
      </c>
      <c r="I17" s="6" t="inlineStr">
        <is>
          <t>Annual</t>
        </is>
      </c>
      <c r="J17" s="6" t="inlineStr">
        <is>
          <t>POL-A.6.3 S2.4.2</t>
        </is>
      </c>
      <c r="K17" s="4" t="n"/>
      <c r="L17" s="4" t="n"/>
      <c r="M17" s="4" t="n"/>
      <c r="N17" s="4" t="n"/>
    </row>
    <row r="18">
      <c r="A18" s="6" t="inlineStr">
        <is>
          <t>MOD-T5-001</t>
        </is>
      </c>
      <c r="B18" s="6" t="inlineStr">
        <is>
          <t>Privileged Access Management</t>
        </is>
      </c>
      <c r="C18" s="6" t="inlineStr">
        <is>
          <t>Tier 5</t>
        </is>
      </c>
      <c r="D18" s="6" t="inlineStr">
        <is>
          <t>Privileged Access</t>
        </is>
      </c>
      <c r="E18" s="6" t="inlineStr">
        <is>
          <t>Mandatory</t>
        </is>
      </c>
      <c r="F18" s="6" t="n">
        <v>45</v>
      </c>
      <c r="G18" s="6" t="inlineStr">
        <is>
          <t>Instructor-Led</t>
        </is>
      </c>
      <c r="H18" s="6" t="inlineStr">
        <is>
          <t>Quiz + Scenario</t>
        </is>
      </c>
      <c r="I18" s="6" t="inlineStr">
        <is>
          <t>Annual</t>
        </is>
      </c>
      <c r="J18" s="6" t="inlineStr">
        <is>
          <t>POL-A.6.3 S2.4.3</t>
        </is>
      </c>
      <c r="K18" s="4" t="n"/>
      <c r="L18" s="4" t="n"/>
      <c r="M18" s="4" t="n"/>
      <c r="N18" s="4" t="n"/>
    </row>
    <row r="19">
      <c r="A19" s="6" t="inlineStr">
        <is>
          <t>MOD-T5-002</t>
        </is>
      </c>
      <c r="B19" s="6" t="inlineStr">
        <is>
          <t>Incident Response for System Admins</t>
        </is>
      </c>
      <c r="C19" s="6" t="inlineStr">
        <is>
          <t>Tier 5</t>
        </is>
      </c>
      <c r="D19" s="6" t="inlineStr">
        <is>
          <t>Privileged Access</t>
        </is>
      </c>
      <c r="E19" s="6" t="inlineStr">
        <is>
          <t>Mandatory</t>
        </is>
      </c>
      <c r="F19" s="6" t="n">
        <v>60</v>
      </c>
      <c r="G19" s="6" t="inlineStr">
        <is>
          <t>Workshop</t>
        </is>
      </c>
      <c r="H19" s="6" t="inlineStr">
        <is>
          <t>Practical</t>
        </is>
      </c>
      <c r="I19" s="6" t="inlineStr">
        <is>
          <t>Annual</t>
        </is>
      </c>
      <c r="J19" s="6" t="inlineStr">
        <is>
          <t>POL-A.6.3 S2.4.3</t>
        </is>
      </c>
      <c r="K19" s="4" t="n"/>
      <c r="L19" s="4" t="n"/>
      <c r="M19" s="4" t="n"/>
      <c r="N19" s="4" t="n"/>
    </row>
    <row r="20">
      <c r="A20" s="6" t="inlineStr">
        <is>
          <t>MOD-T6-001</t>
        </is>
      </c>
      <c r="B20" s="6" t="inlineStr">
        <is>
          <t>Risk Assessment Methodology</t>
        </is>
      </c>
      <c r="C20" s="6" t="inlineStr">
        <is>
          <t>Tier 6</t>
        </is>
      </c>
      <c r="D20" s="6" t="inlineStr">
        <is>
          <t>Specialized</t>
        </is>
      </c>
      <c r="E20" s="6" t="inlineStr">
        <is>
          <t>Mandatory</t>
        </is>
      </c>
      <c r="F20" s="6" t="n">
        <v>120</v>
      </c>
      <c r="G20" s="6" t="inlineStr">
        <is>
          <t>Instructor-Led</t>
        </is>
      </c>
      <c r="H20" s="6" t="inlineStr">
        <is>
          <t>Practical</t>
        </is>
      </c>
      <c r="I20" s="6" t="inlineStr">
        <is>
          <t>Annual</t>
        </is>
      </c>
      <c r="J20" s="6" t="inlineStr">
        <is>
          <t>POL-A.6.3 S2.4.4</t>
        </is>
      </c>
      <c r="K20" s="4" t="n"/>
      <c r="L20" s="4" t="n"/>
      <c r="M20" s="4" t="n"/>
      <c r="N20" s="4" t="n"/>
    </row>
    <row r="21">
      <c r="A21" s="6" t="inlineStr">
        <is>
          <t>MOD-T6-002</t>
        </is>
      </c>
      <c r="B21" s="6" t="inlineStr">
        <is>
          <t>Incident Response and Forensics</t>
        </is>
      </c>
      <c r="C21" s="6" t="inlineStr">
        <is>
          <t>Tier 6</t>
        </is>
      </c>
      <c r="D21" s="6" t="inlineStr">
        <is>
          <t>Specialized</t>
        </is>
      </c>
      <c r="E21" s="6" t="inlineStr">
        <is>
          <t>Mandatory</t>
        </is>
      </c>
      <c r="F21" s="6" t="n">
        <v>240</v>
      </c>
      <c r="G21" s="6" t="inlineStr">
        <is>
          <t>Workshop</t>
        </is>
      </c>
      <c r="H21" s="6" t="inlineStr">
        <is>
          <t>Tabletop + Practical</t>
        </is>
      </c>
      <c r="I21" s="6" t="inlineStr">
        <is>
          <t>Annual</t>
        </is>
      </c>
      <c r="J21" s="6" t="inlineStr">
        <is>
          <t>POL-A.6.3 S2.4.4</t>
        </is>
      </c>
      <c r="K21" s="4" t="n"/>
      <c r="L21" s="4" t="n"/>
      <c r="M21" s="4" t="n"/>
      <c r="N21" s="4" t="n"/>
    </row>
    <row r="22">
      <c r="A22" s="6" t="inlineStr">
        <is>
          <t>MOD-T7-001</t>
        </is>
      </c>
      <c r="B22" s="6" t="inlineStr">
        <is>
          <t>Information Security Governance</t>
        </is>
      </c>
      <c r="C22" s="6" t="inlineStr">
        <is>
          <t>Tier 7</t>
        </is>
      </c>
      <c r="D22" s="6" t="inlineStr">
        <is>
          <t>Governance</t>
        </is>
      </c>
      <c r="E22" s="6" t="inlineStr">
        <is>
          <t>Mandatory</t>
        </is>
      </c>
      <c r="F22" s="6" t="n">
        <v>45</v>
      </c>
      <c r="G22" s="6" t="inlineStr">
        <is>
          <t>eLearning + Briefing</t>
        </is>
      </c>
      <c r="H22" s="6" t="inlineStr">
        <is>
          <t>N/A</t>
        </is>
      </c>
      <c r="I22" s="6" t="inlineStr">
        <is>
          <t>Annual</t>
        </is>
      </c>
      <c r="J22" s="6" t="inlineStr">
        <is>
          <t>POL-A.6.3 S2.4.5</t>
        </is>
      </c>
      <c r="K22" s="4" t="n"/>
      <c r="L22" s="4" t="n"/>
      <c r="M22" s="4" t="n"/>
      <c r="N22" s="4" t="n"/>
    </row>
    <row r="23">
      <c r="A23" s="6" t="inlineStr">
        <is>
          <t>MOD-T7-002</t>
        </is>
      </c>
      <c r="B23" s="6" t="inlineStr">
        <is>
          <t>Executive Cyber Risk Briefing</t>
        </is>
      </c>
      <c r="C23" s="6" t="inlineStr">
        <is>
          <t>Tier 7</t>
        </is>
      </c>
      <c r="D23" s="6" t="inlineStr">
        <is>
          <t>Governance</t>
        </is>
      </c>
      <c r="E23" s="6" t="inlineStr">
        <is>
          <t>Mandatory</t>
        </is>
      </c>
      <c r="F23" s="6" t="n">
        <v>30</v>
      </c>
      <c r="G23" s="6" t="inlineStr">
        <is>
          <t>Briefing</t>
        </is>
      </c>
      <c r="H23" s="6" t="inlineStr">
        <is>
          <t>N/A</t>
        </is>
      </c>
      <c r="I23" s="6" t="inlineStr">
        <is>
          <t>Quarterly</t>
        </is>
      </c>
      <c r="J23" s="6" t="inlineStr">
        <is>
          <t>POL-A.6.3 S2.4.5</t>
        </is>
      </c>
      <c r="K23" s="4" t="n"/>
      <c r="L23" s="4" t="n"/>
      <c r="M23" s="4" t="n"/>
      <c r="N23" s="4" t="n"/>
    </row>
    <row r="24">
      <c r="A24" s="4" t="n"/>
      <c r="B24" s="4" t="n"/>
      <c r="C24" s="4" t="n"/>
      <c r="D24" s="4" t="n"/>
      <c r="E24" s="4" t="n"/>
      <c r="F24" s="4" t="n"/>
      <c r="G24" s="4" t="n"/>
      <c r="H24" s="4" t="n"/>
      <c r="I24" s="4" t="n"/>
      <c r="J24" s="4" t="n"/>
      <c r="K24" s="4" t="n"/>
      <c r="L24" s="4" t="n"/>
      <c r="M24" s="4" t="n"/>
      <c r="N24" s="4" t="n"/>
    </row>
    <row r="25">
      <c r="A25" s="4" t="n"/>
      <c r="B25" s="4" t="n"/>
      <c r="C25" s="4" t="n"/>
      <c r="D25" s="4" t="n"/>
      <c r="E25" s="4" t="n"/>
      <c r="F25" s="4" t="n"/>
      <c r="G25" s="4" t="n"/>
      <c r="H25" s="4" t="n"/>
      <c r="I25" s="4" t="n"/>
      <c r="J25" s="4" t="n"/>
      <c r="K25" s="4" t="n"/>
      <c r="L25" s="4" t="n"/>
      <c r="M25" s="4" t="n"/>
      <c r="N25" s="4" t="n"/>
    </row>
    <row r="26">
      <c r="A26" s="4" t="n"/>
      <c r="B26" s="4" t="n"/>
      <c r="C26" s="4" t="n"/>
      <c r="D26" s="4" t="n"/>
      <c r="E26" s="4" t="n"/>
      <c r="F26" s="4" t="n"/>
      <c r="G26" s="4" t="n"/>
      <c r="H26" s="4" t="n"/>
      <c r="I26" s="4" t="n"/>
      <c r="J26" s="4" t="n"/>
      <c r="K26" s="4" t="n"/>
      <c r="L26" s="4" t="n"/>
      <c r="M26" s="4" t="n"/>
      <c r="N26" s="4" t="n"/>
    </row>
    <row r="27">
      <c r="A27" s="4" t="n"/>
      <c r="B27" s="4" t="n"/>
      <c r="C27" s="4" t="n"/>
      <c r="D27" s="4" t="n"/>
      <c r="E27" s="4" t="n"/>
      <c r="F27" s="4" t="n"/>
      <c r="G27" s="4" t="n"/>
      <c r="H27" s="4" t="n"/>
      <c r="I27" s="4" t="n"/>
      <c r="J27" s="4" t="n"/>
      <c r="K27" s="4" t="n"/>
      <c r="L27" s="4" t="n"/>
      <c r="M27" s="4" t="n"/>
      <c r="N27" s="4" t="n"/>
    </row>
    <row r="28">
      <c r="A28" s="4" t="n"/>
      <c r="B28" s="4" t="n"/>
      <c r="C28" s="4" t="n"/>
      <c r="D28" s="4" t="n"/>
      <c r="E28" s="4" t="n"/>
      <c r="F28" s="4" t="n"/>
      <c r="G28" s="4" t="n"/>
      <c r="H28" s="4" t="n"/>
      <c r="I28" s="4" t="n"/>
      <c r="J28" s="4" t="n"/>
      <c r="K28" s="4" t="n"/>
      <c r="L28" s="4" t="n"/>
      <c r="M28" s="4" t="n"/>
      <c r="N28" s="4" t="n"/>
    </row>
    <row r="29">
      <c r="A29" s="4" t="n"/>
      <c r="B29" s="4" t="n"/>
      <c r="C29" s="4" t="n"/>
      <c r="D29" s="4" t="n"/>
      <c r="E29" s="4" t="n"/>
      <c r="F29" s="4" t="n"/>
      <c r="G29" s="4" t="n"/>
      <c r="H29" s="4" t="n"/>
      <c r="I29" s="4" t="n"/>
      <c r="J29" s="4" t="n"/>
      <c r="K29" s="4" t="n"/>
      <c r="L29" s="4" t="n"/>
      <c r="M29" s="4" t="n"/>
      <c r="N29" s="4" t="n"/>
    </row>
    <row r="30">
      <c r="A30" s="4" t="n"/>
      <c r="B30" s="4" t="n"/>
      <c r="C30" s="4" t="n"/>
      <c r="D30" s="4" t="n"/>
      <c r="E30" s="4" t="n"/>
      <c r="F30" s="4" t="n"/>
      <c r="G30" s="4" t="n"/>
      <c r="H30" s="4" t="n"/>
      <c r="I30" s="4" t="n"/>
      <c r="J30" s="4" t="n"/>
      <c r="K30" s="4" t="n"/>
      <c r="L30" s="4" t="n"/>
      <c r="M30" s="4" t="n"/>
      <c r="N30" s="4" t="n"/>
    </row>
    <row r="31">
      <c r="A31" s="4" t="n"/>
      <c r="B31" s="4" t="n"/>
      <c r="C31" s="4" t="n"/>
      <c r="D31" s="4" t="n"/>
      <c r="E31" s="4" t="n"/>
      <c r="F31" s="4" t="n"/>
      <c r="G31" s="4" t="n"/>
      <c r="H31" s="4" t="n"/>
      <c r="I31" s="4" t="n"/>
      <c r="J31" s="4" t="n"/>
      <c r="K31" s="4" t="n"/>
      <c r="L31" s="4" t="n"/>
      <c r="M31" s="4" t="n"/>
      <c r="N31" s="4" t="n"/>
    </row>
    <row r="32">
      <c r="A32" s="4" t="n"/>
      <c r="B32" s="4" t="n"/>
      <c r="C32" s="4" t="n"/>
      <c r="D32" s="4" t="n"/>
      <c r="E32" s="4" t="n"/>
      <c r="F32" s="4" t="n"/>
      <c r="G32" s="4" t="n"/>
      <c r="H32" s="4" t="n"/>
      <c r="I32" s="4" t="n"/>
      <c r="J32" s="4" t="n"/>
      <c r="K32" s="4" t="n"/>
      <c r="L32" s="4" t="n"/>
      <c r="M32" s="4" t="n"/>
      <c r="N32" s="4" t="n"/>
    </row>
    <row r="33">
      <c r="A33" s="4" t="n"/>
      <c r="B33" s="4" t="n"/>
      <c r="C33" s="4" t="n"/>
      <c r="D33" s="4" t="n"/>
      <c r="E33" s="4" t="n"/>
      <c r="F33" s="4" t="n"/>
      <c r="G33" s="4" t="n"/>
      <c r="H33" s="4" t="n"/>
      <c r="I33" s="4" t="n"/>
      <c r="J33" s="4" t="n"/>
      <c r="K33" s="4" t="n"/>
      <c r="L33" s="4" t="n"/>
      <c r="M33" s="4" t="n"/>
      <c r="N33" s="4" t="n"/>
    </row>
    <row r="34">
      <c r="A34" s="4" t="n"/>
      <c r="B34" s="4" t="n"/>
      <c r="C34" s="4" t="n"/>
      <c r="D34" s="4" t="n"/>
      <c r="E34" s="4" t="n"/>
      <c r="F34" s="4" t="n"/>
      <c r="G34" s="4" t="n"/>
      <c r="H34" s="4" t="n"/>
      <c r="I34" s="4" t="n"/>
      <c r="J34" s="4" t="n"/>
      <c r="K34" s="4" t="n"/>
      <c r="L34" s="4" t="n"/>
      <c r="M34" s="4" t="n"/>
      <c r="N34" s="4" t="n"/>
    </row>
    <row r="35">
      <c r="A35" s="4" t="n"/>
      <c r="B35" s="4" t="n"/>
      <c r="C35" s="4" t="n"/>
      <c r="D35" s="4" t="n"/>
      <c r="E35" s="4" t="n"/>
      <c r="F35" s="4" t="n"/>
      <c r="G35" s="4" t="n"/>
      <c r="H35" s="4" t="n"/>
      <c r="I35" s="4" t="n"/>
      <c r="J35" s="4" t="n"/>
      <c r="K35" s="4" t="n"/>
      <c r="L35" s="4" t="n"/>
      <c r="M35" s="4" t="n"/>
      <c r="N35" s="4" t="n"/>
    </row>
    <row r="36">
      <c r="A36" s="4" t="n"/>
      <c r="B36" s="4" t="n"/>
      <c r="C36" s="4" t="n"/>
      <c r="D36" s="4" t="n"/>
      <c r="E36" s="4" t="n"/>
      <c r="F36" s="4" t="n"/>
      <c r="G36" s="4" t="n"/>
      <c r="H36" s="4" t="n"/>
      <c r="I36" s="4" t="n"/>
      <c r="J36" s="4" t="n"/>
      <c r="K36" s="4" t="n"/>
      <c r="L36" s="4" t="n"/>
      <c r="M36" s="4" t="n"/>
      <c r="N36" s="4" t="n"/>
    </row>
    <row r="37">
      <c r="A37" s="4" t="n"/>
      <c r="B37" s="4" t="n"/>
      <c r="C37" s="4" t="n"/>
      <c r="D37" s="4" t="n"/>
      <c r="E37" s="4" t="n"/>
      <c r="F37" s="4" t="n"/>
      <c r="G37" s="4" t="n"/>
      <c r="H37" s="4" t="n"/>
      <c r="I37" s="4" t="n"/>
      <c r="J37" s="4" t="n"/>
      <c r="K37" s="4" t="n"/>
      <c r="L37" s="4" t="n"/>
      <c r="M37" s="4" t="n"/>
      <c r="N37" s="4" t="n"/>
    </row>
    <row r="38">
      <c r="A38" s="4" t="n"/>
      <c r="B38" s="4" t="n"/>
      <c r="C38" s="4" t="n"/>
      <c r="D38" s="4" t="n"/>
      <c r="E38" s="4" t="n"/>
      <c r="F38" s="4" t="n"/>
      <c r="G38" s="4" t="n"/>
      <c r="H38" s="4" t="n"/>
      <c r="I38" s="4" t="n"/>
      <c r="J38" s="4" t="n"/>
      <c r="K38" s="4" t="n"/>
      <c r="L38" s="4" t="n"/>
      <c r="M38" s="4" t="n"/>
      <c r="N38" s="4" t="n"/>
    </row>
    <row r="39">
      <c r="A39" s="4" t="n"/>
      <c r="B39" s="4" t="n"/>
      <c r="C39" s="4" t="n"/>
      <c r="D39" s="4" t="n"/>
      <c r="E39" s="4" t="n"/>
      <c r="F39" s="4" t="n"/>
      <c r="G39" s="4" t="n"/>
      <c r="H39" s="4" t="n"/>
      <c r="I39" s="4" t="n"/>
      <c r="J39" s="4" t="n"/>
      <c r="K39" s="4" t="n"/>
      <c r="L39" s="4" t="n"/>
      <c r="M39" s="4" t="n"/>
      <c r="N39" s="4" t="n"/>
    </row>
    <row r="40">
      <c r="A40" s="4" t="n"/>
      <c r="B40" s="4" t="n"/>
      <c r="C40" s="4" t="n"/>
      <c r="D40" s="4" t="n"/>
      <c r="E40" s="4" t="n"/>
      <c r="F40" s="4" t="n"/>
      <c r="G40" s="4" t="n"/>
      <c r="H40" s="4" t="n"/>
      <c r="I40" s="4" t="n"/>
      <c r="J40" s="4" t="n"/>
      <c r="K40" s="4" t="n"/>
      <c r="L40" s="4" t="n"/>
      <c r="M40" s="4" t="n"/>
      <c r="N40" s="4" t="n"/>
    </row>
    <row r="41">
      <c r="A41" s="4" t="n"/>
      <c r="B41" s="4" t="n"/>
      <c r="C41" s="4" t="n"/>
      <c r="D41" s="4" t="n"/>
      <c r="E41" s="4" t="n"/>
      <c r="F41" s="4" t="n"/>
      <c r="G41" s="4" t="n"/>
      <c r="H41" s="4" t="n"/>
      <c r="I41" s="4" t="n"/>
      <c r="J41" s="4" t="n"/>
      <c r="K41" s="4" t="n"/>
      <c r="L41" s="4" t="n"/>
      <c r="M41" s="4" t="n"/>
      <c r="N41" s="4" t="n"/>
    </row>
    <row r="42">
      <c r="A42" s="4" t="n"/>
      <c r="B42" s="4" t="n"/>
      <c r="C42" s="4" t="n"/>
      <c r="D42" s="4" t="n"/>
      <c r="E42" s="4" t="n"/>
      <c r="F42" s="4" t="n"/>
      <c r="G42" s="4" t="n"/>
      <c r="H42" s="4" t="n"/>
      <c r="I42" s="4" t="n"/>
      <c r="J42" s="4" t="n"/>
      <c r="K42" s="4" t="n"/>
      <c r="L42" s="4" t="n"/>
      <c r="M42" s="4" t="n"/>
      <c r="N42" s="4" t="n"/>
    </row>
    <row r="43">
      <c r="A43" s="4" t="n"/>
      <c r="B43" s="4" t="n"/>
      <c r="C43" s="4" t="n"/>
      <c r="D43" s="4" t="n"/>
      <c r="E43" s="4" t="n"/>
      <c r="F43" s="4" t="n"/>
      <c r="G43" s="4" t="n"/>
      <c r="H43" s="4" t="n"/>
      <c r="I43" s="4" t="n"/>
      <c r="J43" s="4" t="n"/>
      <c r="K43" s="4" t="n"/>
      <c r="L43" s="4" t="n"/>
      <c r="M43" s="4" t="n"/>
      <c r="N43" s="4" t="n"/>
    </row>
    <row r="44">
      <c r="A44" s="4" t="n"/>
      <c r="B44" s="4" t="n"/>
      <c r="C44" s="4" t="n"/>
      <c r="D44" s="4" t="n"/>
      <c r="E44" s="4" t="n"/>
      <c r="F44" s="4" t="n"/>
      <c r="G44" s="4" t="n"/>
      <c r="H44" s="4" t="n"/>
      <c r="I44" s="4" t="n"/>
      <c r="J44" s="4" t="n"/>
      <c r="K44" s="4" t="n"/>
      <c r="L44" s="4" t="n"/>
      <c r="M44" s="4" t="n"/>
      <c r="N44" s="4" t="n"/>
    </row>
    <row r="45">
      <c r="A45" s="4" t="n"/>
      <c r="B45" s="4" t="n"/>
      <c r="C45" s="4" t="n"/>
      <c r="D45" s="4" t="n"/>
      <c r="E45" s="4" t="n"/>
      <c r="F45" s="4" t="n"/>
      <c r="G45" s="4" t="n"/>
      <c r="H45" s="4" t="n"/>
      <c r="I45" s="4" t="n"/>
      <c r="J45" s="4" t="n"/>
      <c r="K45" s="4" t="n"/>
      <c r="L45" s="4" t="n"/>
      <c r="M45" s="4" t="n"/>
      <c r="N45" s="4" t="n"/>
    </row>
    <row r="46">
      <c r="A46" s="4" t="n"/>
      <c r="B46" s="4" t="n"/>
      <c r="C46" s="4" t="n"/>
      <c r="D46" s="4" t="n"/>
      <c r="E46" s="4" t="n"/>
      <c r="F46" s="4" t="n"/>
      <c r="G46" s="4" t="n"/>
      <c r="H46" s="4" t="n"/>
      <c r="I46" s="4" t="n"/>
      <c r="J46" s="4" t="n"/>
      <c r="K46" s="4" t="n"/>
      <c r="L46" s="4" t="n"/>
      <c r="M46" s="4" t="n"/>
      <c r="N46" s="4" t="n"/>
    </row>
    <row r="47">
      <c r="A47" s="4" t="n"/>
      <c r="B47" s="4" t="n"/>
      <c r="C47" s="4" t="n"/>
      <c r="D47" s="4" t="n"/>
      <c r="E47" s="4" t="n"/>
      <c r="F47" s="4" t="n"/>
      <c r="G47" s="4" t="n"/>
      <c r="H47" s="4" t="n"/>
      <c r="I47" s="4" t="n"/>
      <c r="J47" s="4" t="n"/>
      <c r="K47" s="4" t="n"/>
      <c r="L47" s="4" t="n"/>
      <c r="M47" s="4" t="n"/>
      <c r="N47" s="4" t="n"/>
    </row>
    <row r="48">
      <c r="A48" s="4" t="n"/>
      <c r="B48" s="4" t="n"/>
      <c r="C48" s="4" t="n"/>
      <c r="D48" s="4" t="n"/>
      <c r="E48" s="4" t="n"/>
      <c r="F48" s="4" t="n"/>
      <c r="G48" s="4" t="n"/>
      <c r="H48" s="4" t="n"/>
      <c r="I48" s="4" t="n"/>
      <c r="J48" s="4" t="n"/>
      <c r="K48" s="4" t="n"/>
      <c r="L48" s="4" t="n"/>
      <c r="M48" s="4" t="n"/>
      <c r="N48" s="4" t="n"/>
    </row>
    <row r="49">
      <c r="A49" s="4" t="n"/>
      <c r="B49" s="4" t="n"/>
      <c r="C49" s="4" t="n"/>
      <c r="D49" s="4" t="n"/>
      <c r="E49" s="4" t="n"/>
      <c r="F49" s="4" t="n"/>
      <c r="G49" s="4" t="n"/>
      <c r="H49" s="4" t="n"/>
      <c r="I49" s="4" t="n"/>
      <c r="J49" s="4" t="n"/>
      <c r="K49" s="4" t="n"/>
      <c r="L49" s="4" t="n"/>
      <c r="M49" s="4" t="n"/>
      <c r="N49" s="4" t="n"/>
    </row>
    <row r="50">
      <c r="A50" s="4" t="n"/>
      <c r="B50" s="4" t="n"/>
      <c r="C50" s="4" t="n"/>
      <c r="D50" s="4" t="n"/>
      <c r="E50" s="4" t="n"/>
      <c r="F50" s="4" t="n"/>
      <c r="G50" s="4" t="n"/>
      <c r="H50" s="4" t="n"/>
      <c r="I50" s="4" t="n"/>
      <c r="J50" s="4" t="n"/>
      <c r="K50" s="4" t="n"/>
      <c r="L50" s="4" t="n"/>
      <c r="M50" s="4" t="n"/>
      <c r="N50" s="4" t="n"/>
    </row>
    <row r="51">
      <c r="A51" s="4" t="n"/>
      <c r="B51" s="4" t="n"/>
      <c r="C51" s="4" t="n"/>
      <c r="D51" s="4" t="n"/>
      <c r="E51" s="4" t="n"/>
      <c r="F51" s="4" t="n"/>
      <c r="G51" s="4" t="n"/>
      <c r="H51" s="4" t="n"/>
      <c r="I51" s="4" t="n"/>
      <c r="J51" s="4" t="n"/>
      <c r="K51" s="4" t="n"/>
      <c r="L51" s="4" t="n"/>
      <c r="M51" s="4" t="n"/>
      <c r="N51" s="4" t="n"/>
    </row>
    <row r="52">
      <c r="A52" s="4" t="n"/>
      <c r="B52" s="4" t="n"/>
      <c r="C52" s="4" t="n"/>
      <c r="D52" s="4" t="n"/>
      <c r="E52" s="4" t="n"/>
      <c r="F52" s="4" t="n"/>
      <c r="G52" s="4" t="n"/>
      <c r="H52" s="4" t="n"/>
      <c r="I52" s="4" t="n"/>
      <c r="J52" s="4" t="n"/>
      <c r="K52" s="4" t="n"/>
      <c r="L52" s="4" t="n"/>
      <c r="M52" s="4" t="n"/>
      <c r="N52" s="4" t="n"/>
    </row>
    <row r="53">
      <c r="A53" s="4" t="n"/>
      <c r="B53" s="4" t="n"/>
      <c r="C53" s="4" t="n"/>
      <c r="D53" s="4" t="n"/>
      <c r="E53" s="4" t="n"/>
      <c r="F53" s="4" t="n"/>
      <c r="G53" s="4" t="n"/>
      <c r="H53" s="4" t="n"/>
      <c r="I53" s="4" t="n"/>
      <c r="J53" s="4" t="n"/>
      <c r="K53" s="4" t="n"/>
      <c r="L53" s="4" t="n"/>
      <c r="M53" s="4" t="n"/>
      <c r="N53" s="4" t="n"/>
    </row>
  </sheetData>
  <mergeCells count="1">
    <mergeCell ref="A1:N1"/>
  </mergeCells>
  <dataValidations count="5">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"Tier 1,Tier 2,Tier 3,Tier 4,Tier 5,Tier 6,Tier 7"</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"Mandatory,Optional"</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"eLearning,Instructor-Led,Workshop,Simulation,Briefing,Microlearning,Blended"</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"Onboarding,Annual,Bi-Annual,Quarterly,As Needed"</formula1>
    </dataValidation>
    <dataValidation sqref="N4 N5 N6 N7 N8 N9 N10 N11 N12 N13 N14 N15 N16 N17 N18 N19 N20 N21 N22 N23 N24 N25 N26 N27 N28 N29 N30 N31 N32 N33 N34 N35 N36 N37 N38 N39 N40 N41 N42 N43 N44 N45 N46 N47 N48 N49 N50 N51 N52 N53" showDropDown="0" showInputMessage="0" showErrorMessage="0" allowBlank="0" type="list">
      <formula1>"Active,Draft,Under Review,Retired"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
  <sheetViews>
    <sheetView workbookViewId="0">
      <pane ySplit="3" topLeftCell="A4" activePane="bottomLeft" state="frozen"/>
      <selection pane="bottomLeft" activeCell="A1" sqref="A1"/>
    </sheetView>
  </sheetViews>
  <sheetFormatPr baseColWidth="8" defaultRowHeight="15"/>
  <cols>
    <col width="15" customWidth="1" min="1" max="1"/>
    <col width="50" customWidth="1" min="2" max="2"/>
    <col width="50" customWidth="1" min="3" max="3"/>
    <col width="25" customWidth="1" min="4" max="4"/>
    <col width="25" customWidth="1" min="5" max="5"/>
    <col width="30" customWidth="1" min="6" max="6"/>
    <col width="18" customWidth="1" min="7" max="7"/>
    <col width="30" customWidth="1" min="8" max="8"/>
    <col width="22" customWidth="1" min="9" max="9"/>
    <col width="15" customWidth="1" min="10" max="10"/>
    <col width="30" customWidth="1" min="11" max="11"/>
    <col width="30" customWidth="1" min="12" max="12"/>
  </cols>
  <sheetData>
    <row r="1" ht="40" customHeight="1">
      <c r="A1" s="1" t="inlineStr">
        <is>
          <t>CONTENT SPECIFICATIONS
Detailed specifications for each module</t>
        </is>
      </c>
    </row>
    <row r="3">
      <c r="A3" s="5" t="inlineStr">
        <is>
          <t>Module_ID</t>
        </is>
      </c>
      <c r="B3" s="5" t="inlineStr">
        <is>
          <t>Learning_Objectives</t>
        </is>
      </c>
      <c r="C3" s="5" t="inlineStr">
        <is>
          <t>Topics_Covered</t>
        </is>
      </c>
      <c r="D3" s="5" t="inlineStr">
        <is>
          <t>Prerequisites</t>
        </is>
      </c>
      <c r="E3" s="5" t="inlineStr">
        <is>
          <t>Target_Audience</t>
        </is>
      </c>
      <c r="F3" s="5" t="inlineStr">
        <is>
          <t>Accessibility_Requirements</t>
        </is>
      </c>
      <c r="G3" s="5" t="inlineStr">
        <is>
          <t>Language_Versions</t>
        </is>
      </c>
      <c r="H3" s="5" t="inlineStr">
        <is>
          <t>Format_Requirements</t>
        </is>
      </c>
      <c r="I3" s="5" t="inlineStr">
        <is>
          <t>Assessment_Questions_Count</t>
        </is>
      </c>
      <c r="J3" s="5" t="inlineStr">
        <is>
          <t>Pass_Threshold</t>
        </is>
      </c>
      <c r="K3" s="5" t="inlineStr">
        <is>
          <t>Remediation_Path</t>
        </is>
      </c>
      <c r="L3" s="5" t="inlineStr">
        <is>
          <t>Regulatory_Mapping</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row r="10">
      <c r="A10" s="7" t="n"/>
      <c r="B10" s="7" t="n"/>
      <c r="C10" s="7" t="n"/>
      <c r="D10" s="7" t="n"/>
      <c r="E10" s="7" t="n"/>
      <c r="F10" s="7" t="n"/>
      <c r="G10" s="7" t="n"/>
      <c r="H10" s="7" t="n"/>
      <c r="I10" s="7" t="n"/>
      <c r="J10" s="7" t="n"/>
      <c r="K10" s="7" t="n"/>
      <c r="L10" s="7" t="n"/>
    </row>
    <row r="11">
      <c r="A11" s="7" t="n"/>
      <c r="B11" s="7" t="n"/>
      <c r="C11" s="7" t="n"/>
      <c r="D11" s="7" t="n"/>
      <c r="E11" s="7" t="n"/>
      <c r="F11" s="7" t="n"/>
      <c r="G11" s="7" t="n"/>
      <c r="H11" s="7" t="n"/>
      <c r="I11" s="7" t="n"/>
      <c r="J11" s="7" t="n"/>
      <c r="K11" s="7" t="n"/>
      <c r="L11" s="7" t="n"/>
    </row>
    <row r="12">
      <c r="A12" s="7" t="n"/>
      <c r="B12" s="7" t="n"/>
      <c r="C12" s="7" t="n"/>
      <c r="D12" s="7" t="n"/>
      <c r="E12" s="7" t="n"/>
      <c r="F12" s="7" t="n"/>
      <c r="G12" s="7" t="n"/>
      <c r="H12" s="7" t="n"/>
      <c r="I12" s="7" t="n"/>
      <c r="J12" s="7" t="n"/>
      <c r="K12" s="7" t="n"/>
      <c r="L12" s="7" t="n"/>
    </row>
    <row r="13">
      <c r="A13" s="7" t="n"/>
      <c r="B13" s="7" t="n"/>
      <c r="C13" s="7" t="n"/>
      <c r="D13" s="7" t="n"/>
      <c r="E13" s="7" t="n"/>
      <c r="F13" s="7" t="n"/>
      <c r="G13" s="7" t="n"/>
      <c r="H13" s="7" t="n"/>
      <c r="I13" s="7" t="n"/>
      <c r="J13" s="7" t="n"/>
      <c r="K13" s="7" t="n"/>
      <c r="L13" s="7" t="n"/>
    </row>
    <row r="14">
      <c r="A14" s="7" t="n"/>
      <c r="B14" s="7" t="n"/>
      <c r="C14" s="7" t="n"/>
      <c r="D14" s="7" t="n"/>
      <c r="E14" s="7" t="n"/>
      <c r="F14" s="7" t="n"/>
      <c r="G14" s="7" t="n"/>
      <c r="H14" s="7" t="n"/>
      <c r="I14" s="7" t="n"/>
      <c r="J14" s="7" t="n"/>
      <c r="K14" s="7" t="n"/>
      <c r="L14" s="7" t="n"/>
    </row>
    <row r="15">
      <c r="A15" s="7" t="n"/>
      <c r="B15" s="7" t="n"/>
      <c r="C15" s="7" t="n"/>
      <c r="D15" s="7" t="n"/>
      <c r="E15" s="7" t="n"/>
      <c r="F15" s="7" t="n"/>
      <c r="G15" s="7" t="n"/>
      <c r="H15" s="7" t="n"/>
      <c r="I15" s="7" t="n"/>
      <c r="J15" s="7" t="n"/>
      <c r="K15" s="7" t="n"/>
      <c r="L15" s="7" t="n"/>
    </row>
    <row r="16">
      <c r="A16" s="7" t="n"/>
      <c r="B16" s="7" t="n"/>
      <c r="C16" s="7" t="n"/>
      <c r="D16" s="7" t="n"/>
      <c r="E16" s="7" t="n"/>
      <c r="F16" s="7" t="n"/>
      <c r="G16" s="7" t="n"/>
      <c r="H16" s="7" t="n"/>
      <c r="I16" s="7" t="n"/>
      <c r="J16" s="7" t="n"/>
      <c r="K16" s="7" t="n"/>
      <c r="L16" s="7" t="n"/>
    </row>
    <row r="17">
      <c r="A17" s="7" t="n"/>
      <c r="B17" s="7" t="n"/>
      <c r="C17" s="7" t="n"/>
      <c r="D17" s="7" t="n"/>
      <c r="E17" s="7" t="n"/>
      <c r="F17" s="7" t="n"/>
      <c r="G17" s="7" t="n"/>
      <c r="H17" s="7" t="n"/>
      <c r="I17" s="7" t="n"/>
      <c r="J17" s="7" t="n"/>
      <c r="K17" s="7" t="n"/>
      <c r="L17" s="7" t="n"/>
    </row>
    <row r="18">
      <c r="A18" s="7" t="n"/>
      <c r="B18" s="7" t="n"/>
      <c r="C18" s="7" t="n"/>
      <c r="D18" s="7" t="n"/>
      <c r="E18" s="7" t="n"/>
      <c r="F18" s="7" t="n"/>
      <c r="G18" s="7" t="n"/>
      <c r="H18" s="7" t="n"/>
      <c r="I18" s="7" t="n"/>
      <c r="J18" s="7" t="n"/>
      <c r="K18" s="7" t="n"/>
      <c r="L18" s="7" t="n"/>
    </row>
    <row r="19">
      <c r="A19" s="7" t="n"/>
      <c r="B19" s="7" t="n"/>
      <c r="C19" s="7" t="n"/>
      <c r="D19" s="7" t="n"/>
      <c r="E19" s="7" t="n"/>
      <c r="F19" s="7" t="n"/>
      <c r="G19" s="7" t="n"/>
      <c r="H19" s="7" t="n"/>
      <c r="I19" s="7" t="n"/>
      <c r="J19" s="7" t="n"/>
      <c r="K19" s="7" t="n"/>
      <c r="L19" s="7" t="n"/>
    </row>
    <row r="20">
      <c r="A20" s="7" t="n"/>
      <c r="B20" s="7" t="n"/>
      <c r="C20" s="7" t="n"/>
      <c r="D20" s="7" t="n"/>
      <c r="E20" s="7" t="n"/>
      <c r="F20" s="7" t="n"/>
      <c r="G20" s="7" t="n"/>
      <c r="H20" s="7" t="n"/>
      <c r="I20" s="7" t="n"/>
      <c r="J20" s="7" t="n"/>
      <c r="K20" s="7" t="n"/>
      <c r="L20" s="7" t="n"/>
    </row>
    <row r="21">
      <c r="A21" s="7" t="n"/>
      <c r="B21" s="7" t="n"/>
      <c r="C21" s="7" t="n"/>
      <c r="D21" s="7" t="n"/>
      <c r="E21" s="7" t="n"/>
      <c r="F21" s="7" t="n"/>
      <c r="G21" s="7" t="n"/>
      <c r="H21" s="7" t="n"/>
      <c r="I21" s="7" t="n"/>
      <c r="J21" s="7" t="n"/>
      <c r="K21" s="7" t="n"/>
      <c r="L21" s="7" t="n"/>
    </row>
    <row r="22">
      <c r="A22" s="7" t="n"/>
      <c r="B22" s="7" t="n"/>
      <c r="C22" s="7" t="n"/>
      <c r="D22" s="7" t="n"/>
      <c r="E22" s="7" t="n"/>
      <c r="F22" s="7" t="n"/>
      <c r="G22" s="7" t="n"/>
      <c r="H22" s="7" t="n"/>
      <c r="I22" s="7" t="n"/>
      <c r="J22" s="7" t="n"/>
      <c r="K22" s="7" t="n"/>
      <c r="L22" s="7" t="n"/>
    </row>
    <row r="23">
      <c r="A23" s="7" t="n"/>
      <c r="B23" s="7" t="n"/>
      <c r="C23" s="7" t="n"/>
      <c r="D23" s="7" t="n"/>
      <c r="E23" s="7" t="n"/>
      <c r="F23" s="7" t="n"/>
      <c r="G23" s="7" t="n"/>
      <c r="H23" s="7" t="n"/>
      <c r="I23" s="7" t="n"/>
      <c r="J23" s="7" t="n"/>
      <c r="K23" s="7" t="n"/>
      <c r="L23" s="7" t="n"/>
    </row>
    <row r="24">
      <c r="A24" s="7" t="n"/>
      <c r="B24" s="7" t="n"/>
      <c r="C24" s="7" t="n"/>
      <c r="D24" s="7" t="n"/>
      <c r="E24" s="7" t="n"/>
      <c r="F24" s="7" t="n"/>
      <c r="G24" s="7" t="n"/>
      <c r="H24" s="7" t="n"/>
      <c r="I24" s="7" t="n"/>
      <c r="J24" s="7" t="n"/>
      <c r="K24" s="7" t="n"/>
      <c r="L24" s="7" t="n"/>
    </row>
    <row r="25">
      <c r="A25" s="7" t="n"/>
      <c r="B25" s="7" t="n"/>
      <c r="C25" s="7" t="n"/>
      <c r="D25" s="7" t="n"/>
      <c r="E25" s="7" t="n"/>
      <c r="F25" s="7" t="n"/>
      <c r="G25" s="7" t="n"/>
      <c r="H25" s="7" t="n"/>
      <c r="I25" s="7" t="n"/>
      <c r="J25" s="7" t="n"/>
      <c r="K25" s="7" t="n"/>
      <c r="L25" s="7" t="n"/>
    </row>
    <row r="26">
      <c r="A26" s="7" t="n"/>
      <c r="B26" s="7" t="n"/>
      <c r="C26" s="7" t="n"/>
      <c r="D26" s="7" t="n"/>
      <c r="E26" s="7" t="n"/>
      <c r="F26" s="7" t="n"/>
      <c r="G26" s="7" t="n"/>
      <c r="H26" s="7" t="n"/>
      <c r="I26" s="7" t="n"/>
      <c r="J26" s="7" t="n"/>
      <c r="K26" s="7" t="n"/>
      <c r="L26" s="7" t="n"/>
    </row>
    <row r="27">
      <c r="A27" s="7" t="n"/>
      <c r="B27" s="7" t="n"/>
      <c r="C27" s="7" t="n"/>
      <c r="D27" s="7" t="n"/>
      <c r="E27" s="7" t="n"/>
      <c r="F27" s="7" t="n"/>
      <c r="G27" s="7" t="n"/>
      <c r="H27" s="7" t="n"/>
      <c r="I27" s="7" t="n"/>
      <c r="J27" s="7" t="n"/>
      <c r="K27" s="7" t="n"/>
      <c r="L27" s="7" t="n"/>
    </row>
    <row r="28">
      <c r="A28" s="7" t="n"/>
      <c r="B28" s="7" t="n"/>
      <c r="C28" s="7" t="n"/>
      <c r="D28" s="7" t="n"/>
      <c r="E28" s="7" t="n"/>
      <c r="F28" s="7" t="n"/>
      <c r="G28" s="7" t="n"/>
      <c r="H28" s="7" t="n"/>
      <c r="I28" s="7" t="n"/>
      <c r="J28" s="7" t="n"/>
      <c r="K28" s="7" t="n"/>
      <c r="L28" s="7" t="n"/>
    </row>
    <row r="29">
      <c r="A29" s="7" t="n"/>
      <c r="B29" s="7" t="n"/>
      <c r="C29" s="7" t="n"/>
      <c r="D29" s="7" t="n"/>
      <c r="E29" s="7" t="n"/>
      <c r="F29" s="7" t="n"/>
      <c r="G29" s="7" t="n"/>
      <c r="H29" s="7" t="n"/>
      <c r="I29" s="7" t="n"/>
      <c r="J29" s="7" t="n"/>
      <c r="K29" s="7" t="n"/>
      <c r="L29" s="7" t="n"/>
    </row>
    <row r="30">
      <c r="A30" s="7" t="n"/>
      <c r="B30" s="7" t="n"/>
      <c r="C30" s="7" t="n"/>
      <c r="D30" s="7" t="n"/>
      <c r="E30" s="7" t="n"/>
      <c r="F30" s="7" t="n"/>
      <c r="G30" s="7" t="n"/>
      <c r="H30" s="7" t="n"/>
      <c r="I30" s="7" t="n"/>
      <c r="J30" s="7" t="n"/>
      <c r="K30" s="7" t="n"/>
      <c r="L30" s="7" t="n"/>
    </row>
    <row r="31">
      <c r="A31" s="7" t="n"/>
      <c r="B31" s="7" t="n"/>
      <c r="C31" s="7" t="n"/>
      <c r="D31" s="7" t="n"/>
      <c r="E31" s="7" t="n"/>
      <c r="F31" s="7" t="n"/>
      <c r="G31" s="7" t="n"/>
      <c r="H31" s="7" t="n"/>
      <c r="I31" s="7" t="n"/>
      <c r="J31" s="7" t="n"/>
      <c r="K31" s="7" t="n"/>
      <c r="L31" s="7" t="n"/>
    </row>
    <row r="32">
      <c r="A32" s="7" t="n"/>
      <c r="B32" s="7" t="n"/>
      <c r="C32" s="7" t="n"/>
      <c r="D32" s="7" t="n"/>
      <c r="E32" s="7" t="n"/>
      <c r="F32" s="7" t="n"/>
      <c r="G32" s="7" t="n"/>
      <c r="H32" s="7" t="n"/>
      <c r="I32" s="7" t="n"/>
      <c r="J32" s="7" t="n"/>
      <c r="K32" s="7" t="n"/>
      <c r="L32" s="7" t="n"/>
    </row>
    <row r="33">
      <c r="A33" s="7" t="n"/>
      <c r="B33" s="7" t="n"/>
      <c r="C33" s="7" t="n"/>
      <c r="D33" s="7" t="n"/>
      <c r="E33" s="7" t="n"/>
      <c r="F33" s="7" t="n"/>
      <c r="G33" s="7" t="n"/>
      <c r="H33" s="7" t="n"/>
      <c r="I33" s="7" t="n"/>
      <c r="J33" s="7" t="n"/>
      <c r="K33" s="7" t="n"/>
      <c r="L33" s="7" t="n"/>
    </row>
    <row r="34">
      <c r="A34" s="7" t="n"/>
      <c r="B34" s="7" t="n"/>
      <c r="C34" s="7" t="n"/>
      <c r="D34" s="7" t="n"/>
      <c r="E34" s="7" t="n"/>
      <c r="F34" s="7" t="n"/>
      <c r="G34" s="7" t="n"/>
      <c r="H34" s="7" t="n"/>
      <c r="I34" s="7" t="n"/>
      <c r="J34" s="7" t="n"/>
      <c r="K34" s="7" t="n"/>
      <c r="L34" s="7" t="n"/>
    </row>
    <row r="35">
      <c r="A35" s="7" t="n"/>
      <c r="B35" s="7" t="n"/>
      <c r="C35" s="7" t="n"/>
      <c r="D35" s="7" t="n"/>
      <c r="E35" s="7" t="n"/>
      <c r="F35" s="7" t="n"/>
      <c r="G35" s="7" t="n"/>
      <c r="H35" s="7" t="n"/>
      <c r="I35" s="7" t="n"/>
      <c r="J35" s="7" t="n"/>
      <c r="K35" s="7" t="n"/>
      <c r="L35" s="7" t="n"/>
    </row>
    <row r="36">
      <c r="A36" s="7" t="n"/>
      <c r="B36" s="7" t="n"/>
      <c r="C36" s="7" t="n"/>
      <c r="D36" s="7" t="n"/>
      <c r="E36" s="7" t="n"/>
      <c r="F36" s="7" t="n"/>
      <c r="G36" s="7" t="n"/>
      <c r="H36" s="7" t="n"/>
      <c r="I36" s="7" t="n"/>
      <c r="J36" s="7" t="n"/>
      <c r="K36" s="7" t="n"/>
      <c r="L36" s="7" t="n"/>
    </row>
    <row r="37">
      <c r="A37" s="7" t="n"/>
      <c r="B37" s="7" t="n"/>
      <c r="C37" s="7" t="n"/>
      <c r="D37" s="7" t="n"/>
      <c r="E37" s="7" t="n"/>
      <c r="F37" s="7" t="n"/>
      <c r="G37" s="7" t="n"/>
      <c r="H37" s="7" t="n"/>
      <c r="I37" s="7" t="n"/>
      <c r="J37" s="7" t="n"/>
      <c r="K37" s="7" t="n"/>
      <c r="L37" s="7" t="n"/>
    </row>
    <row r="38">
      <c r="A38" s="7" t="n"/>
      <c r="B38" s="7" t="n"/>
      <c r="C38" s="7" t="n"/>
      <c r="D38" s="7" t="n"/>
      <c r="E38" s="7" t="n"/>
      <c r="F38" s="7" t="n"/>
      <c r="G38" s="7" t="n"/>
      <c r="H38" s="7" t="n"/>
      <c r="I38" s="7" t="n"/>
      <c r="J38" s="7" t="n"/>
      <c r="K38" s="7" t="n"/>
      <c r="L38" s="7" t="n"/>
    </row>
    <row r="39">
      <c r="A39" s="7" t="n"/>
      <c r="B39" s="7" t="n"/>
      <c r="C39" s="7" t="n"/>
      <c r="D39" s="7" t="n"/>
      <c r="E39" s="7" t="n"/>
      <c r="F39" s="7" t="n"/>
      <c r="G39" s="7" t="n"/>
      <c r="H39" s="7" t="n"/>
      <c r="I39" s="7" t="n"/>
      <c r="J39" s="7" t="n"/>
      <c r="K39" s="7" t="n"/>
      <c r="L39" s="7" t="n"/>
    </row>
    <row r="40">
      <c r="A40" s="7" t="n"/>
      <c r="B40" s="7" t="n"/>
      <c r="C40" s="7" t="n"/>
      <c r="D40" s="7" t="n"/>
      <c r="E40" s="7" t="n"/>
      <c r="F40" s="7" t="n"/>
      <c r="G40" s="7" t="n"/>
      <c r="H40" s="7" t="n"/>
      <c r="I40" s="7" t="n"/>
      <c r="J40" s="7" t="n"/>
      <c r="K40" s="7" t="n"/>
      <c r="L40" s="7" t="n"/>
    </row>
    <row r="41">
      <c r="A41" s="7" t="n"/>
      <c r="B41" s="7" t="n"/>
      <c r="C41" s="7" t="n"/>
      <c r="D41" s="7" t="n"/>
      <c r="E41" s="7" t="n"/>
      <c r="F41" s="7" t="n"/>
      <c r="G41" s="7" t="n"/>
      <c r="H41" s="7" t="n"/>
      <c r="I41" s="7" t="n"/>
      <c r="J41" s="7" t="n"/>
      <c r="K41" s="7" t="n"/>
      <c r="L41" s="7" t="n"/>
    </row>
    <row r="42">
      <c r="A42" s="7" t="n"/>
      <c r="B42" s="7" t="n"/>
      <c r="C42" s="7" t="n"/>
      <c r="D42" s="7" t="n"/>
      <c r="E42" s="7" t="n"/>
      <c r="F42" s="7" t="n"/>
      <c r="G42" s="7" t="n"/>
      <c r="H42" s="7" t="n"/>
      <c r="I42" s="7" t="n"/>
      <c r="J42" s="7" t="n"/>
      <c r="K42" s="7" t="n"/>
      <c r="L42" s="7" t="n"/>
    </row>
    <row r="43">
      <c r="A43" s="7" t="n"/>
      <c r="B43" s="7" t="n"/>
      <c r="C43" s="7" t="n"/>
      <c r="D43" s="7" t="n"/>
      <c r="E43" s="7" t="n"/>
      <c r="F43" s="7" t="n"/>
      <c r="G43" s="7" t="n"/>
      <c r="H43" s="7" t="n"/>
      <c r="I43" s="7" t="n"/>
      <c r="J43" s="7" t="n"/>
      <c r="K43" s="7" t="n"/>
      <c r="L43" s="7" t="n"/>
    </row>
    <row r="44">
      <c r="A44" s="7" t="n"/>
      <c r="B44" s="7" t="n"/>
      <c r="C44" s="7" t="n"/>
      <c r="D44" s="7" t="n"/>
      <c r="E44" s="7" t="n"/>
      <c r="F44" s="7" t="n"/>
      <c r="G44" s="7" t="n"/>
      <c r="H44" s="7" t="n"/>
      <c r="I44" s="7" t="n"/>
      <c r="J44" s="7" t="n"/>
      <c r="K44" s="7" t="n"/>
      <c r="L44" s="7" t="n"/>
    </row>
    <row r="45">
      <c r="A45" s="7" t="n"/>
      <c r="B45" s="7" t="n"/>
      <c r="C45" s="7" t="n"/>
      <c r="D45" s="7" t="n"/>
      <c r="E45" s="7" t="n"/>
      <c r="F45" s="7" t="n"/>
      <c r="G45" s="7" t="n"/>
      <c r="H45" s="7" t="n"/>
      <c r="I45" s="7" t="n"/>
      <c r="J45" s="7" t="n"/>
      <c r="K45" s="7" t="n"/>
      <c r="L45" s="7" t="n"/>
    </row>
    <row r="46">
      <c r="A46" s="7" t="n"/>
      <c r="B46" s="7" t="n"/>
      <c r="C46" s="7" t="n"/>
      <c r="D46" s="7" t="n"/>
      <c r="E46" s="7" t="n"/>
      <c r="F46" s="7" t="n"/>
      <c r="G46" s="7" t="n"/>
      <c r="H46" s="7" t="n"/>
      <c r="I46" s="7" t="n"/>
      <c r="J46" s="7" t="n"/>
      <c r="K46" s="7" t="n"/>
      <c r="L46" s="7" t="n"/>
    </row>
    <row r="47">
      <c r="A47" s="7" t="n"/>
      <c r="B47" s="7" t="n"/>
      <c r="C47" s="7" t="n"/>
      <c r="D47" s="7" t="n"/>
      <c r="E47" s="7" t="n"/>
      <c r="F47" s="7" t="n"/>
      <c r="G47" s="7" t="n"/>
      <c r="H47" s="7" t="n"/>
      <c r="I47" s="7" t="n"/>
      <c r="J47" s="7" t="n"/>
      <c r="K47" s="7" t="n"/>
      <c r="L47" s="7" t="n"/>
    </row>
    <row r="48">
      <c r="A48" s="7" t="n"/>
      <c r="B48" s="7" t="n"/>
      <c r="C48" s="7" t="n"/>
      <c r="D48" s="7" t="n"/>
      <c r="E48" s="7" t="n"/>
      <c r="F48" s="7" t="n"/>
      <c r="G48" s="7" t="n"/>
      <c r="H48" s="7" t="n"/>
      <c r="I48" s="7" t="n"/>
      <c r="J48" s="7" t="n"/>
      <c r="K48" s="7" t="n"/>
      <c r="L48" s="7" t="n"/>
    </row>
    <row r="49">
      <c r="A49" s="7" t="n"/>
      <c r="B49" s="7" t="n"/>
      <c r="C49" s="7" t="n"/>
      <c r="D49" s="7" t="n"/>
      <c r="E49" s="7" t="n"/>
      <c r="F49" s="7" t="n"/>
      <c r="G49" s="7" t="n"/>
      <c r="H49" s="7" t="n"/>
      <c r="I49" s="7" t="n"/>
      <c r="J49" s="7" t="n"/>
      <c r="K49" s="7" t="n"/>
      <c r="L49" s="7" t="n"/>
    </row>
    <row r="50">
      <c r="A50" s="7" t="n"/>
      <c r="B50" s="7" t="n"/>
      <c r="C50" s="7" t="n"/>
      <c r="D50" s="7" t="n"/>
      <c r="E50" s="7" t="n"/>
      <c r="F50" s="7" t="n"/>
      <c r="G50" s="7" t="n"/>
      <c r="H50" s="7" t="n"/>
      <c r="I50" s="7" t="n"/>
      <c r="J50" s="7" t="n"/>
      <c r="K50" s="7" t="n"/>
      <c r="L50" s="7" t="n"/>
    </row>
    <row r="51">
      <c r="A51" s="7" t="n"/>
      <c r="B51" s="7" t="n"/>
      <c r="C51" s="7" t="n"/>
      <c r="D51" s="7" t="n"/>
      <c r="E51" s="7" t="n"/>
      <c r="F51" s="7" t="n"/>
      <c r="G51" s="7" t="n"/>
      <c r="H51" s="7" t="n"/>
      <c r="I51" s="7" t="n"/>
      <c r="J51" s="7" t="n"/>
      <c r="K51" s="7" t="n"/>
      <c r="L51" s="7" t="n"/>
    </row>
    <row r="52">
      <c r="A52" s="7" t="n"/>
      <c r="B52" s="7" t="n"/>
      <c r="C52" s="7" t="n"/>
      <c r="D52" s="7" t="n"/>
      <c r="E52" s="7" t="n"/>
      <c r="F52" s="7" t="n"/>
      <c r="G52" s="7" t="n"/>
      <c r="H52" s="7" t="n"/>
      <c r="I52" s="7" t="n"/>
      <c r="J52" s="7" t="n"/>
      <c r="K52" s="7" t="n"/>
      <c r="L52" s="7" t="n"/>
    </row>
    <row r="53">
      <c r="A53" s="7" t="n"/>
      <c r="B53" s="7" t="n"/>
      <c r="C53" s="7" t="n"/>
      <c r="D53" s="7" t="n"/>
      <c r="E53" s="7" t="n"/>
      <c r="F53" s="7" t="n"/>
      <c r="G53" s="7" t="n"/>
      <c r="H53" s="7" t="n"/>
      <c r="I53" s="7" t="n"/>
      <c r="J53" s="7" t="n"/>
      <c r="K53" s="7" t="n"/>
      <c r="L53" s="7"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20" customWidth="1" min="1" max="1"/>
    <col width="35" customWidth="1" min="2" max="2"/>
    <col width="30" customWidth="1" min="3" max="3"/>
    <col width="30" customWidth="1" min="4" max="4"/>
    <col width="25" customWidth="1" min="5" max="5"/>
    <col width="22" customWidth="1" min="6" max="6"/>
    <col width="25" customWidth="1" min="7" max="7"/>
    <col width="22" customWidth="1" min="8" max="8"/>
  </cols>
  <sheetData>
    <row r="1" ht="40" customHeight="1">
      <c r="A1" s="1" t="inlineStr">
        <is>
          <t>DELIVERY STANDARDS
Standards for each delivery method</t>
        </is>
      </c>
    </row>
    <row r="3">
      <c r="A3" s="5" t="inlineStr">
        <is>
          <t>Delivery_Method</t>
        </is>
      </c>
      <c r="B3" s="5" t="inlineStr">
        <is>
          <t>Description</t>
        </is>
      </c>
      <c r="C3" s="5" t="inlineStr">
        <is>
          <t>Use_Cases</t>
        </is>
      </c>
      <c r="D3" s="5" t="inlineStr">
        <is>
          <t>Technical_Requirements</t>
        </is>
      </c>
      <c r="E3" s="5" t="inlineStr">
        <is>
          <t>Instructor_Requirements</t>
        </is>
      </c>
      <c r="F3" s="5" t="inlineStr">
        <is>
          <t>Completion_Tracking</t>
        </is>
      </c>
      <c r="G3" s="5" t="inlineStr">
        <is>
          <t>Assessment_Integration</t>
        </is>
      </c>
      <c r="H3" s="5" t="inlineStr">
        <is>
          <t>Accessibility_Standard</t>
        </is>
      </c>
    </row>
    <row r="4">
      <c r="A4" s="6" t="inlineStr">
        <is>
          <t>eLearning</t>
        </is>
      </c>
      <c r="B4" s="6" t="inlineStr">
        <is>
          <t>Self-paced online modules</t>
        </is>
      </c>
      <c r="C4" s="6" t="inlineStr">
        <is>
          <t>Baseline awareness, refresher training</t>
        </is>
      </c>
      <c r="D4" s="6" t="inlineStr">
        <is>
          <t>LMS access, modern browser</t>
        </is>
      </c>
      <c r="E4" s="6" t="inlineStr">
        <is>
          <t>N/A</t>
        </is>
      </c>
      <c r="F4" s="6" t="inlineStr">
        <is>
          <t>Automatic via LMS</t>
        </is>
      </c>
      <c r="G4" s="6" t="inlineStr">
        <is>
          <t>Integrated quiz</t>
        </is>
      </c>
      <c r="H4" s="6" t="inlineStr">
        <is>
          <t>WCAG 2.1 AA</t>
        </is>
      </c>
    </row>
    <row r="5">
      <c r="A5" s="6" t="inlineStr">
        <is>
          <t>Instructor-Led</t>
        </is>
      </c>
      <c r="B5" s="6" t="inlineStr">
        <is>
          <t>Facilitated classroom or virtual</t>
        </is>
      </c>
      <c r="C5" s="6" t="inlineStr">
        <is>
          <t>Complex topics, specialized roles</t>
        </is>
      </c>
      <c r="D5" s="6" t="inlineStr">
        <is>
          <t>Classroom/VC platform</t>
        </is>
      </c>
      <c r="E5" s="6" t="inlineStr">
        <is>
          <t>Certified instructor</t>
        </is>
      </c>
      <c r="F5" s="6" t="inlineStr">
        <is>
          <t>Attendance record</t>
        </is>
      </c>
      <c r="G5" s="6" t="inlineStr">
        <is>
          <t>Post-session assessment</t>
        </is>
      </c>
      <c r="H5" s="6" t="inlineStr">
        <is>
          <t>Accessible venue</t>
        </is>
      </c>
    </row>
    <row r="6">
      <c r="A6" s="6" t="inlineStr">
        <is>
          <t>Workshop</t>
        </is>
      </c>
      <c r="B6" s="6" t="inlineStr">
        <is>
          <t>Hands-on practical exercises</t>
        </is>
      </c>
      <c r="C6" s="6" t="inlineStr">
        <is>
          <t>Technical skills, incident response</t>
        </is>
      </c>
      <c r="D6" s="6" t="inlineStr">
        <is>
          <t>Lab environment</t>
        </is>
      </c>
      <c r="E6" s="6" t="inlineStr">
        <is>
          <t>Technical SME</t>
        </is>
      </c>
      <c r="F6" s="6" t="inlineStr">
        <is>
          <t>Participation record</t>
        </is>
      </c>
      <c r="G6" s="6" t="inlineStr">
        <is>
          <t>Practical assessment</t>
        </is>
      </c>
      <c r="H6" s="6" t="inlineStr">
        <is>
          <t>Adjustable workstations</t>
        </is>
      </c>
    </row>
    <row r="7">
      <c r="A7" s="6" t="inlineStr">
        <is>
          <t>Simulation</t>
        </is>
      </c>
      <c r="B7" s="6" t="inlineStr">
        <is>
          <t>Realistic scenario exercises</t>
        </is>
      </c>
      <c r="C7" s="6" t="inlineStr">
        <is>
          <t>Phishing, social engineering</t>
        </is>
      </c>
      <c r="D7" s="6" t="inlineStr">
        <is>
          <t>Simulation platform</t>
        </is>
      </c>
      <c r="E7" s="6" t="inlineStr">
        <is>
          <t>Campaign design expertise</t>
        </is>
      </c>
      <c r="F7" s="6" t="inlineStr">
        <is>
          <t>Engagement tracking</t>
        </is>
      </c>
      <c r="G7" s="6" t="inlineStr">
        <is>
          <t>Behavioral measurement</t>
        </is>
      </c>
      <c r="H7" s="6" t="inlineStr">
        <is>
          <t>Text alternatives</t>
        </is>
      </c>
    </row>
    <row r="8">
      <c r="A8" s="6" t="inlineStr">
        <is>
          <t>Briefing</t>
        </is>
      </c>
      <c r="B8" s="6" t="inlineStr">
        <is>
          <t>Executive-level sessions</t>
        </is>
      </c>
      <c r="C8" s="6" t="inlineStr">
        <is>
          <t>Leadership updates</t>
        </is>
      </c>
      <c r="D8" s="6" t="inlineStr">
        <is>
          <t>Executive meeting space</t>
        </is>
      </c>
      <c r="E8" s="6" t="inlineStr">
        <is>
          <t>Senior security leadership</t>
        </is>
      </c>
      <c r="F8" s="6" t="inlineStr">
        <is>
          <t>Attendance record</t>
        </is>
      </c>
      <c r="G8" s="6" t="inlineStr">
        <is>
          <t>N/A</t>
        </is>
      </c>
      <c r="H8" s="6" t="inlineStr">
        <is>
          <t>Standard meeting access</t>
        </is>
      </c>
    </row>
    <row r="9">
      <c r="A9" s="6" t="inlineStr">
        <is>
          <t>Microlearning</t>
        </is>
      </c>
      <c r="B9" s="6" t="inlineStr">
        <is>
          <t>Brief focused modules (2-5 min)</t>
        </is>
      </c>
      <c r="C9" s="6" t="inlineStr">
        <is>
          <t>Reinforcement, quick updates</t>
        </is>
      </c>
      <c r="D9" s="6" t="inlineStr">
        <is>
          <t>Mobile-friendly delivery</t>
        </is>
      </c>
      <c r="E9" s="6" t="inlineStr">
        <is>
          <t>N/A</t>
        </is>
      </c>
      <c r="F9" s="6" t="inlineStr">
        <is>
          <t>View tracking</t>
        </is>
      </c>
      <c r="G9" s="6" t="inlineStr">
        <is>
          <t>Optional quick check</t>
        </is>
      </c>
      <c r="H9" s="6" t="inlineStr">
        <is>
          <t>Mobile accessible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A1" sqref="A1"/>
    </sheetView>
  </sheetViews>
  <sheetFormatPr baseColWidth="8" defaultRowHeight="15"/>
  <cols>
    <col width="18" customWidth="1" min="1" max="1"/>
    <col width="25" customWidth="1" min="2" max="2"/>
    <col width="30" customWidth="1" min="3" max="3"/>
    <col width="18" customWidth="1" min="4" max="4"/>
    <col width="15" customWidth="1" min="5" max="5"/>
    <col width="15" customWidth="1" min="6" max="6"/>
    <col width="25" customWidth="1" min="7" max="7"/>
    <col width="30" customWidth="1" min="8" max="8"/>
    <col width="18" customWidth="1" min="9" max="9"/>
  </cols>
  <sheetData>
    <row r="1" ht="40" customHeight="1">
      <c r="A1" s="1" t="inlineStr">
        <is>
          <t>ASSESSMENT DESIGN
Assessment methodology standards</t>
        </is>
      </c>
    </row>
    <row r="3">
      <c r="A3" s="5" t="inlineStr">
        <is>
          <t>Assessment_Type</t>
        </is>
      </c>
      <c r="B3" s="5" t="inlineStr">
        <is>
          <t>Purpose</t>
        </is>
      </c>
      <c r="C3" s="5" t="inlineStr">
        <is>
          <t>Question_Types</t>
        </is>
      </c>
      <c r="D3" s="5" t="inlineStr">
        <is>
          <t>Minimum_Questions</t>
        </is>
      </c>
      <c r="E3" s="5" t="inlineStr">
        <is>
          <t>Pass_Threshold</t>
        </is>
      </c>
      <c r="F3" s="5" t="inlineStr">
        <is>
          <t>Attempt_Limits</t>
        </is>
      </c>
      <c r="G3" s="5" t="inlineStr">
        <is>
          <t>Feedback_Approach</t>
        </is>
      </c>
      <c r="H3" s="5" t="inlineStr">
        <is>
          <t>Remediation_Requirements</t>
        </is>
      </c>
      <c r="I3" s="5" t="inlineStr">
        <is>
          <t>Record_Retention</t>
        </is>
      </c>
    </row>
    <row r="4">
      <c r="A4" s="6" t="inlineStr">
        <is>
          <t>Quiz</t>
        </is>
      </c>
      <c r="B4" s="6" t="inlineStr">
        <is>
          <t>Knowledge verification</t>
        </is>
      </c>
      <c r="C4" s="6" t="inlineStr">
        <is>
          <t>Multiple choice, True/False, Matching</t>
        </is>
      </c>
      <c r="D4" s="6" t="n">
        <v>10</v>
      </c>
      <c r="E4" s="6" t="inlineStr">
        <is>
          <t>80%</t>
        </is>
      </c>
      <c r="F4" s="6" t="n">
        <v>3</v>
      </c>
      <c r="G4" s="6" t="inlineStr">
        <is>
          <t>Immediate feedback</t>
        </is>
      </c>
      <c r="H4" s="6" t="inlineStr">
        <is>
          <t>Retake training if 3 fails</t>
        </is>
      </c>
      <c r="I4" s="6" t="inlineStr">
        <is>
          <t>5 years</t>
        </is>
      </c>
    </row>
    <row r="5">
      <c r="A5" s="6" t="inlineStr">
        <is>
          <t>Practical</t>
        </is>
      </c>
      <c r="B5" s="6" t="inlineStr">
        <is>
          <t>Skills demonstration</t>
        </is>
      </c>
      <c r="C5" s="6" t="inlineStr">
        <is>
          <t>Hands-on exercises, scenario completion</t>
        </is>
      </c>
      <c r="D5" s="6" t="n">
        <v>3</v>
      </c>
      <c r="E5" s="6" t="inlineStr">
        <is>
          <t>Pass/Fail per task</t>
        </is>
      </c>
      <c r="F5" s="6" t="n">
        <v>2</v>
      </c>
      <c r="G5" s="6" t="inlineStr">
        <is>
          <t>Instructor feedback</t>
        </is>
      </c>
      <c r="H5" s="6" t="inlineStr">
        <is>
          <t>Additional coaching</t>
        </is>
      </c>
      <c r="I5" s="6" t="inlineStr">
        <is>
          <t>3 years</t>
        </is>
      </c>
    </row>
    <row r="6">
      <c r="A6" s="6" t="inlineStr">
        <is>
          <t>Simulation</t>
        </is>
      </c>
      <c r="B6" s="6" t="inlineStr">
        <is>
          <t>Behavioral assessment</t>
        </is>
      </c>
      <c r="C6" s="6" t="inlineStr">
        <is>
          <t>Phishing response, social engineering</t>
        </is>
      </c>
      <c r="D6" s="6" t="n">
        <v>1</v>
      </c>
      <c r="E6" s="6" t="inlineStr">
        <is>
          <t>Did not click + reported</t>
        </is>
      </c>
      <c r="F6" s="6" t="inlineStr">
        <is>
          <t>N/A</t>
        </is>
      </c>
      <c r="G6" s="6" t="inlineStr">
        <is>
          <t>Educational landing page</t>
        </is>
      </c>
      <c r="H6" s="6" t="inlineStr">
        <is>
          <t>Targeted remedial training</t>
        </is>
      </c>
      <c r="I6" s="6" t="inlineStr">
        <is>
          <t>3 years</t>
        </is>
      </c>
    </row>
    <row r="7">
      <c r="A7" s="6" t="inlineStr">
        <is>
          <t>Scenario</t>
        </is>
      </c>
      <c r="B7" s="6" t="inlineStr">
        <is>
          <t>Situational judgment</t>
        </is>
      </c>
      <c r="C7" s="6" t="inlineStr">
        <is>
          <t>Case studies, decision scenarios</t>
        </is>
      </c>
      <c r="D7" s="6" t="n">
        <v>5</v>
      </c>
      <c r="E7" s="6" t="inlineStr">
        <is>
          <t>80%</t>
        </is>
      </c>
      <c r="F7" s="6" t="n">
        <v>2</v>
      </c>
      <c r="G7" s="6" t="inlineStr">
        <is>
          <t>Explanation of optimal response</t>
        </is>
      </c>
      <c r="H7" s="6" t="inlineStr">
        <is>
          <t>Review with SME</t>
        </is>
      </c>
      <c r="I7" s="6" t="inlineStr">
        <is>
          <t>5 years</t>
        </is>
      </c>
    </row>
    <row r="8">
      <c r="A8" s="6" t="inlineStr">
        <is>
          <t>Tabletop</t>
        </is>
      </c>
      <c r="B8" s="6" t="inlineStr">
        <is>
          <t>Group decision-making</t>
        </is>
      </c>
      <c r="C8" s="6" t="inlineStr">
        <is>
          <t>Incident scenarios, team response</t>
        </is>
      </c>
      <c r="D8" s="6" t="n">
        <v>1</v>
      </c>
      <c r="E8" s="6" t="inlineStr">
        <is>
          <t>Participation + contribution</t>
        </is>
      </c>
      <c r="F8" s="6" t="n">
        <v>1</v>
      </c>
      <c r="G8" s="6" t="inlineStr">
        <is>
          <t>Facilitator debrief</t>
        </is>
      </c>
      <c r="H8" s="6" t="inlineStr">
        <is>
          <t>Individual follow-up</t>
        </is>
      </c>
      <c r="I8" s="6" t="inlineStr">
        <is>
          <t>3 years</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3"/>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2" customWidth="1" min="3" max="3"/>
    <col width="40" customWidth="1" min="4" max="4"/>
    <col width="15" customWidth="1" min="5" max="5"/>
    <col width="18" customWidth="1" min="6" max="6"/>
    <col width="30" customWidth="1" min="7" max="7"/>
    <col width="20" customWidth="1" min="8" max="8"/>
    <col width="18" customWidth="1" min="9" max="9"/>
  </cols>
  <sheetData>
    <row r="1" ht="40" customHeight="1">
      <c r="A1" s="1" t="inlineStr">
        <is>
          <t>CONTENT LIFECYCLE
Version control and update schedule</t>
        </is>
      </c>
    </row>
    <row r="3">
      <c r="A3" s="5" t="inlineStr">
        <is>
          <t>Module_ID</t>
        </is>
      </c>
      <c r="B3" s="5" t="inlineStr">
        <is>
          <t>Current_Version</t>
        </is>
      </c>
      <c r="C3" s="5" t="inlineStr">
        <is>
          <t>Version_Date</t>
        </is>
      </c>
      <c r="D3" s="5" t="inlineStr">
        <is>
          <t>Change_Summary</t>
        </is>
      </c>
      <c r="E3" s="5" t="inlineStr">
        <is>
          <t>Review_Cycle</t>
        </is>
      </c>
      <c r="F3" s="5" t="inlineStr">
        <is>
          <t>Next_Review_Date</t>
        </is>
      </c>
      <c r="G3" s="5" t="inlineStr">
        <is>
          <t>Trigger_Events</t>
        </is>
      </c>
      <c r="H3" s="5" t="inlineStr">
        <is>
          <t>Update_Owner</t>
        </is>
      </c>
      <c r="I3" s="5" t="inlineStr">
        <is>
          <t>Approval_Required</t>
        </is>
      </c>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c r="A16" s="7" t="n"/>
      <c r="B16" s="7" t="n"/>
      <c r="C16" s="7" t="n"/>
      <c r="D16" s="7" t="n"/>
      <c r="E16" s="7" t="n"/>
      <c r="F16" s="7" t="n"/>
      <c r="G16" s="7" t="n"/>
      <c r="H16" s="7" t="n"/>
      <c r="I16" s="7" t="n"/>
    </row>
    <row r="17">
      <c r="A17" s="7" t="n"/>
      <c r="B17" s="7" t="n"/>
      <c r="C17" s="7" t="n"/>
      <c r="D17" s="7" t="n"/>
      <c r="E17" s="7" t="n"/>
      <c r="F17" s="7" t="n"/>
      <c r="G17" s="7" t="n"/>
      <c r="H17" s="7" t="n"/>
      <c r="I17" s="7" t="n"/>
    </row>
    <row r="18">
      <c r="A18" s="7" t="n"/>
      <c r="B18" s="7" t="n"/>
      <c r="C18" s="7" t="n"/>
      <c r="D18" s="7" t="n"/>
      <c r="E18" s="7" t="n"/>
      <c r="F18" s="7" t="n"/>
      <c r="G18" s="7" t="n"/>
      <c r="H18" s="7" t="n"/>
      <c r="I18" s="7" t="n"/>
    </row>
    <row r="19">
      <c r="A19" s="7" t="n"/>
      <c r="B19" s="7" t="n"/>
      <c r="C19" s="7" t="n"/>
      <c r="D19" s="7" t="n"/>
      <c r="E19" s="7" t="n"/>
      <c r="F19" s="7" t="n"/>
      <c r="G19" s="7" t="n"/>
      <c r="H19" s="7" t="n"/>
      <c r="I19" s="7" t="n"/>
    </row>
    <row r="20">
      <c r="A20" s="7" t="n"/>
      <c r="B20" s="7" t="n"/>
      <c r="C20" s="7" t="n"/>
      <c r="D20" s="7" t="n"/>
      <c r="E20" s="7" t="n"/>
      <c r="F20" s="7" t="n"/>
      <c r="G20" s="7" t="n"/>
      <c r="H20" s="7" t="n"/>
      <c r="I20" s="7" t="n"/>
    </row>
    <row r="21">
      <c r="A21" s="7" t="n"/>
      <c r="B21" s="7" t="n"/>
      <c r="C21" s="7" t="n"/>
      <c r="D21" s="7" t="n"/>
      <c r="E21" s="7" t="n"/>
      <c r="F21" s="7" t="n"/>
      <c r="G21" s="7" t="n"/>
      <c r="H21" s="7" t="n"/>
      <c r="I21" s="7" t="n"/>
    </row>
    <row r="22">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c r="A43" s="7" t="n"/>
      <c r="B43" s="7" t="n"/>
      <c r="C43" s="7" t="n"/>
      <c r="D43" s="7" t="n"/>
      <c r="E43" s="7" t="n"/>
      <c r="F43" s="7" t="n"/>
      <c r="G43" s="7" t="n"/>
      <c r="H43" s="7" t="n"/>
      <c r="I43" s="7" t="n"/>
    </row>
    <row r="44">
      <c r="A44" s="7" t="n"/>
      <c r="B44" s="7" t="n"/>
      <c r="C44" s="7" t="n"/>
      <c r="D44" s="7" t="n"/>
      <c r="E44" s="7" t="n"/>
      <c r="F44" s="7" t="n"/>
      <c r="G44" s="7" t="n"/>
      <c r="H44" s="7" t="n"/>
      <c r="I44" s="7" t="n"/>
    </row>
    <row r="45">
      <c r="A45" s="7" t="n"/>
      <c r="B45" s="7" t="n"/>
      <c r="C45" s="7" t="n"/>
      <c r="D45" s="7" t="n"/>
      <c r="E45" s="7" t="n"/>
      <c r="F45" s="7" t="n"/>
      <c r="G45" s="7" t="n"/>
      <c r="H45" s="7" t="n"/>
      <c r="I45" s="7" t="n"/>
    </row>
    <row r="46">
      <c r="A46" s="7" t="n"/>
      <c r="B46" s="7" t="n"/>
      <c r="C46" s="7" t="n"/>
      <c r="D46" s="7" t="n"/>
      <c r="E46" s="7" t="n"/>
      <c r="F46" s="7" t="n"/>
      <c r="G46" s="7" t="n"/>
      <c r="H46" s="7" t="n"/>
      <c r="I46" s="7" t="n"/>
    </row>
    <row r="47">
      <c r="A47" s="7" t="n"/>
      <c r="B47" s="7" t="n"/>
      <c r="C47" s="7" t="n"/>
      <c r="D47" s="7" t="n"/>
      <c r="E47" s="7" t="n"/>
      <c r="F47" s="7" t="n"/>
      <c r="G47" s="7" t="n"/>
      <c r="H47" s="7" t="n"/>
      <c r="I47" s="7" t="n"/>
    </row>
    <row r="48">
      <c r="A48" s="7" t="n"/>
      <c r="B48" s="7" t="n"/>
      <c r="C48" s="7" t="n"/>
      <c r="D48" s="7" t="n"/>
      <c r="E48" s="7" t="n"/>
      <c r="F48" s="7" t="n"/>
      <c r="G48" s="7" t="n"/>
      <c r="H48" s="7" t="n"/>
      <c r="I48" s="7" t="n"/>
    </row>
    <row r="49">
      <c r="A49" s="7" t="n"/>
      <c r="B49" s="7" t="n"/>
      <c r="C49" s="7" t="n"/>
      <c r="D49" s="7" t="n"/>
      <c r="E49" s="7" t="n"/>
      <c r="F49" s="7" t="n"/>
      <c r="G49" s="7" t="n"/>
      <c r="H49" s="7" t="n"/>
      <c r="I49" s="7" t="n"/>
    </row>
    <row r="50">
      <c r="A50" s="7" t="n"/>
      <c r="B50" s="7" t="n"/>
      <c r="C50" s="7" t="n"/>
      <c r="D50" s="7" t="n"/>
      <c r="E50" s="7" t="n"/>
      <c r="F50" s="7" t="n"/>
      <c r="G50" s="7" t="n"/>
      <c r="H50" s="7" t="n"/>
      <c r="I50" s="7" t="n"/>
    </row>
    <row r="51">
      <c r="A51" s="7" t="n"/>
      <c r="B51" s="7" t="n"/>
      <c r="C51" s="7" t="n"/>
      <c r="D51" s="7" t="n"/>
      <c r="E51" s="7" t="n"/>
      <c r="F51" s="7" t="n"/>
      <c r="G51" s="7" t="n"/>
      <c r="H51" s="7" t="n"/>
      <c r="I51" s="7" t="n"/>
    </row>
    <row r="52">
      <c r="A52" s="7" t="n"/>
      <c r="B52" s="7" t="n"/>
      <c r="C52" s="7" t="n"/>
      <c r="D52" s="7" t="n"/>
      <c r="E52" s="7" t="n"/>
      <c r="F52" s="7" t="n"/>
      <c r="G52" s="7" t="n"/>
      <c r="H52" s="7" t="n"/>
      <c r="I52" s="7" t="n"/>
    </row>
    <row r="53">
      <c r="A53" s="7" t="n"/>
      <c r="B53" s="7" t="n"/>
      <c r="C53" s="7" t="n"/>
      <c r="D53" s="7" t="n"/>
      <c r="E53" s="7" t="n"/>
      <c r="F53" s="7" t="n"/>
      <c r="G53" s="7" t="n"/>
      <c r="H53" s="7" t="n"/>
      <c r="I53" s="7" t="n"/>
    </row>
  </sheetData>
  <mergeCells count="1">
    <mergeCell ref="A1:I1"/>
  </mergeCells>
  <dataValidations count="2">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"Annual,Bi-Annual,Quarterly,Ad-hoc"</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40" customWidth="1" min="1" max="1"/>
    <col width="20" customWidth="1" min="2" max="2"/>
    <col width="25" customWidth="1" min="3" max="3"/>
    <col width="40" customWidth="1" min="4" max="4"/>
    <col width="12" customWidth="1" min="5" max="5"/>
    <col width="40" customWidth="1" min="6" max="6"/>
    <col width="12" customWidth="1" min="7" max="7"/>
    <col width="20" customWidth="1" min="8" max="8"/>
  </cols>
  <sheetData>
    <row r="1" ht="40" customHeight="1">
      <c r="A1" s="1" t="inlineStr">
        <is>
          <t>GAP ANALYSIS
Identify curriculum gaps vs. policy requirements</t>
        </is>
      </c>
    </row>
    <row r="3">
      <c r="A3" s="5" t="inlineStr">
        <is>
          <t>Policy_Requirement</t>
        </is>
      </c>
      <c r="B3" s="5" t="inlineStr">
        <is>
          <t>Policy_Reference</t>
        </is>
      </c>
      <c r="C3" s="5" t="inlineStr">
        <is>
          <t>Current_Module</t>
        </is>
      </c>
      <c r="D3" s="5" t="inlineStr">
        <is>
          <t>Gap_Description</t>
        </is>
      </c>
      <c r="E3" s="5" t="inlineStr">
        <is>
          <t>Priority</t>
        </is>
      </c>
      <c r="F3" s="5" t="inlineStr">
        <is>
          <t>Remediation_Plan</t>
        </is>
      </c>
      <c r="G3" s="5" t="inlineStr">
        <is>
          <t>Target_Date</t>
        </is>
      </c>
      <c r="H3" s="5" t="inlineStr">
        <is>
          <t>Owner</t>
        </is>
      </c>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7" t="n"/>
      <c r="B48" s="7" t="n"/>
      <c r="C48" s="7" t="n"/>
      <c r="D48" s="7" t="n"/>
      <c r="E48" s="7" t="n"/>
      <c r="F48" s="7" t="n"/>
      <c r="G48" s="7" t="n"/>
      <c r="H48" s="7" t="n"/>
    </row>
    <row r="49">
      <c r="A49" s="7" t="n"/>
      <c r="B49" s="7" t="n"/>
      <c r="C49" s="7" t="n"/>
      <c r="D49" s="7" t="n"/>
      <c r="E49" s="7" t="n"/>
      <c r="F49" s="7" t="n"/>
      <c r="G49" s="7" t="n"/>
      <c r="H49" s="7" t="n"/>
    </row>
    <row r="50">
      <c r="A50" s="7" t="n"/>
      <c r="B50" s="7" t="n"/>
      <c r="C50" s="7" t="n"/>
      <c r="D50" s="7" t="n"/>
      <c r="E50" s="7" t="n"/>
      <c r="F50" s="7" t="n"/>
      <c r="G50" s="7" t="n"/>
      <c r="H50" s="7" t="n"/>
    </row>
    <row r="51">
      <c r="A51" s="7" t="n"/>
      <c r="B51" s="7" t="n"/>
      <c r="C51" s="7" t="n"/>
      <c r="D51" s="7" t="n"/>
      <c r="E51" s="7" t="n"/>
      <c r="F51" s="7" t="n"/>
      <c r="G51" s="7" t="n"/>
      <c r="H51" s="7" t="n"/>
    </row>
    <row r="52">
      <c r="A52" s="7" t="n"/>
      <c r="B52" s="7" t="n"/>
      <c r="C52" s="7" t="n"/>
      <c r="D52" s="7" t="n"/>
      <c r="E52" s="7" t="n"/>
      <c r="F52" s="7" t="n"/>
      <c r="G52" s="7" t="n"/>
      <c r="H52" s="7" t="n"/>
    </row>
    <row r="53">
      <c r="A53" s="7" t="n"/>
      <c r="B53" s="7" t="n"/>
      <c r="C53" s="7" t="n"/>
      <c r="D53" s="7" t="n"/>
      <c r="E53" s="7" t="n"/>
      <c r="F53" s="7" t="n"/>
      <c r="G53" s="7" t="n"/>
      <c r="H53" s="7" t="n"/>
    </row>
  </sheetData>
  <mergeCells count="1">
    <mergeCell ref="A1:H1"/>
  </mergeCells>
  <dataValidations count="1">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0" customHeight="1">
      <c r="A1" s="1" t="inlineStr">
        <is>
          <t>EVIDENCE REGISTER</t>
        </is>
      </c>
    </row>
    <row r="3">
      <c r="A3" s="5" t="inlineStr">
        <is>
          <t>Evidence_ID</t>
        </is>
      </c>
      <c r="B3" s="5" t="inlineStr">
        <is>
          <t>Evidence_Type</t>
        </is>
      </c>
      <c r="C3" s="5" t="inlineStr">
        <is>
          <t>Description</t>
        </is>
      </c>
      <c r="D3" s="5" t="inlineStr">
        <is>
          <t>Location</t>
        </is>
      </c>
      <c r="E3" s="5" t="inlineStr">
        <is>
          <t>Date_Collected</t>
        </is>
      </c>
      <c r="F3" s="5" t="inlineStr">
        <is>
          <t>Collected_By</t>
        </is>
      </c>
      <c r="G3" s="5" t="inlineStr">
        <is>
          <t>Status</t>
        </is>
      </c>
      <c r="H3" s="5" t="inlineStr">
        <is>
          <t>Notes</t>
        </is>
      </c>
    </row>
    <row r="4">
      <c r="A4" s="8" t="inlineStr">
        <is>
          <t>EV-001</t>
        </is>
      </c>
      <c r="B4" s="7" t="n"/>
      <c r="C4" s="7" t="n"/>
      <c r="D4" s="7" t="n"/>
      <c r="E4" s="7" t="n"/>
      <c r="F4" s="7" t="n"/>
      <c r="G4" s="7" t="n"/>
      <c r="H4" s="7" t="n"/>
    </row>
    <row r="5">
      <c r="A5" s="8" t="inlineStr">
        <is>
          <t>EV-002</t>
        </is>
      </c>
      <c r="B5" s="7" t="n"/>
      <c r="C5" s="7" t="n"/>
      <c r="D5" s="7" t="n"/>
      <c r="E5" s="7" t="n"/>
      <c r="F5" s="7" t="n"/>
      <c r="G5" s="7" t="n"/>
      <c r="H5" s="7" t="n"/>
    </row>
    <row r="6">
      <c r="A6" s="8" t="inlineStr">
        <is>
          <t>EV-003</t>
        </is>
      </c>
      <c r="B6" s="7" t="n"/>
      <c r="C6" s="7" t="n"/>
      <c r="D6" s="7" t="n"/>
      <c r="E6" s="7" t="n"/>
      <c r="F6" s="7" t="n"/>
      <c r="G6" s="7" t="n"/>
      <c r="H6" s="7" t="n"/>
    </row>
    <row r="7">
      <c r="A7" s="8" t="inlineStr">
        <is>
          <t>EV-004</t>
        </is>
      </c>
      <c r="B7" s="7" t="n"/>
      <c r="C7" s="7" t="n"/>
      <c r="D7" s="7" t="n"/>
      <c r="E7" s="7" t="n"/>
      <c r="F7" s="7" t="n"/>
      <c r="G7" s="7" t="n"/>
      <c r="H7" s="7" t="n"/>
    </row>
    <row r="8">
      <c r="A8" s="8" t="inlineStr">
        <is>
          <t>EV-005</t>
        </is>
      </c>
      <c r="B8" s="7" t="n"/>
      <c r="C8" s="7" t="n"/>
      <c r="D8" s="7" t="n"/>
      <c r="E8" s="7" t="n"/>
      <c r="F8" s="7" t="n"/>
      <c r="G8" s="7" t="n"/>
      <c r="H8" s="7" t="n"/>
    </row>
    <row r="9">
      <c r="A9" s="8" t="inlineStr">
        <is>
          <t>EV-006</t>
        </is>
      </c>
      <c r="B9" s="7" t="n"/>
      <c r="C9" s="7" t="n"/>
      <c r="D9" s="7" t="n"/>
      <c r="E9" s="7" t="n"/>
      <c r="F9" s="7" t="n"/>
      <c r="G9" s="7" t="n"/>
      <c r="H9" s="7" t="n"/>
    </row>
    <row r="10">
      <c r="A10" s="8" t="inlineStr">
        <is>
          <t>EV-007</t>
        </is>
      </c>
      <c r="B10" s="7" t="n"/>
      <c r="C10" s="7" t="n"/>
      <c r="D10" s="7" t="n"/>
      <c r="E10" s="7" t="n"/>
      <c r="F10" s="7" t="n"/>
      <c r="G10" s="7" t="n"/>
      <c r="H10" s="7" t="n"/>
    </row>
    <row r="11">
      <c r="A11" s="8" t="inlineStr">
        <is>
          <t>EV-008</t>
        </is>
      </c>
      <c r="B11" s="7" t="n"/>
      <c r="C11" s="7" t="n"/>
      <c r="D11" s="7" t="n"/>
      <c r="E11" s="7" t="n"/>
      <c r="F11" s="7" t="n"/>
      <c r="G11" s="7" t="n"/>
      <c r="H11" s="7" t="n"/>
    </row>
    <row r="12">
      <c r="A12" s="8" t="inlineStr">
        <is>
          <t>EV-009</t>
        </is>
      </c>
      <c r="B12" s="7" t="n"/>
      <c r="C12" s="7" t="n"/>
      <c r="D12" s="7" t="n"/>
      <c r="E12" s="7" t="n"/>
      <c r="F12" s="7" t="n"/>
      <c r="G12" s="7" t="n"/>
      <c r="H12" s="7" t="n"/>
    </row>
    <row r="13">
      <c r="A13" s="8" t="inlineStr">
        <is>
          <t>EV-010</t>
        </is>
      </c>
      <c r="B13" s="7" t="n"/>
      <c r="C13" s="7" t="n"/>
      <c r="D13" s="7" t="n"/>
      <c r="E13" s="7" t="n"/>
      <c r="F13" s="7" t="n"/>
      <c r="G13" s="7" t="n"/>
      <c r="H13" s="7" t="n"/>
    </row>
    <row r="14">
      <c r="A14" s="8" t="inlineStr">
        <is>
          <t>EV-011</t>
        </is>
      </c>
      <c r="B14" s="7" t="n"/>
      <c r="C14" s="7" t="n"/>
      <c r="D14" s="7" t="n"/>
      <c r="E14" s="7" t="n"/>
      <c r="F14" s="7" t="n"/>
      <c r="G14" s="7" t="n"/>
      <c r="H14" s="7" t="n"/>
    </row>
    <row r="15">
      <c r="A15" s="8" t="inlineStr">
        <is>
          <t>EV-012</t>
        </is>
      </c>
      <c r="B15" s="7" t="n"/>
      <c r="C15" s="7" t="n"/>
      <c r="D15" s="7" t="n"/>
      <c r="E15" s="7" t="n"/>
      <c r="F15" s="7" t="n"/>
      <c r="G15" s="7" t="n"/>
      <c r="H15" s="7" t="n"/>
    </row>
    <row r="16">
      <c r="A16" s="8" t="inlineStr">
        <is>
          <t>EV-013</t>
        </is>
      </c>
      <c r="B16" s="7" t="n"/>
      <c r="C16" s="7" t="n"/>
      <c r="D16" s="7" t="n"/>
      <c r="E16" s="7" t="n"/>
      <c r="F16" s="7" t="n"/>
      <c r="G16" s="7" t="n"/>
      <c r="H16" s="7" t="n"/>
    </row>
    <row r="17">
      <c r="A17" s="8" t="inlineStr">
        <is>
          <t>EV-014</t>
        </is>
      </c>
      <c r="B17" s="7" t="n"/>
      <c r="C17" s="7" t="n"/>
      <c r="D17" s="7" t="n"/>
      <c r="E17" s="7" t="n"/>
      <c r="F17" s="7" t="n"/>
      <c r="G17" s="7" t="n"/>
      <c r="H17" s="7" t="n"/>
    </row>
    <row r="18">
      <c r="A18" s="8" t="inlineStr">
        <is>
          <t>EV-015</t>
        </is>
      </c>
      <c r="B18" s="7" t="n"/>
      <c r="C18" s="7" t="n"/>
      <c r="D18" s="7" t="n"/>
      <c r="E18" s="7" t="n"/>
      <c r="F18" s="7" t="n"/>
      <c r="G18" s="7" t="n"/>
      <c r="H18" s="7" t="n"/>
    </row>
    <row r="19">
      <c r="A19" s="8" t="inlineStr">
        <is>
          <t>EV-016</t>
        </is>
      </c>
      <c r="B19" s="7" t="n"/>
      <c r="C19" s="7" t="n"/>
      <c r="D19" s="7" t="n"/>
      <c r="E19" s="7" t="n"/>
      <c r="F19" s="7" t="n"/>
      <c r="G19" s="7" t="n"/>
      <c r="H19" s="7" t="n"/>
    </row>
    <row r="20">
      <c r="A20" s="8" t="inlineStr">
        <is>
          <t>EV-017</t>
        </is>
      </c>
      <c r="B20" s="7" t="n"/>
      <c r="C20" s="7" t="n"/>
      <c r="D20" s="7" t="n"/>
      <c r="E20" s="7" t="n"/>
      <c r="F20" s="7" t="n"/>
      <c r="G20" s="7" t="n"/>
      <c r="H20" s="7" t="n"/>
    </row>
    <row r="21">
      <c r="A21" s="8" t="inlineStr">
        <is>
          <t>EV-018</t>
        </is>
      </c>
      <c r="B21" s="7" t="n"/>
      <c r="C21" s="7" t="n"/>
      <c r="D21" s="7" t="n"/>
      <c r="E21" s="7" t="n"/>
      <c r="F21" s="7" t="n"/>
      <c r="G21" s="7" t="n"/>
      <c r="H21" s="7" t="n"/>
    </row>
    <row r="22">
      <c r="A22" s="8" t="inlineStr">
        <is>
          <t>EV-019</t>
        </is>
      </c>
      <c r="B22" s="7" t="n"/>
      <c r="C22" s="7" t="n"/>
      <c r="D22" s="7" t="n"/>
      <c r="E22" s="7" t="n"/>
      <c r="F22" s="7" t="n"/>
      <c r="G22" s="7" t="n"/>
      <c r="H22" s="7" t="n"/>
    </row>
    <row r="23">
      <c r="A23" s="8" t="inlineStr">
        <is>
          <t>EV-020</t>
        </is>
      </c>
      <c r="B23" s="7" t="n"/>
      <c r="C23" s="7" t="n"/>
      <c r="D23" s="7" t="n"/>
      <c r="E23" s="7" t="n"/>
      <c r="F23" s="7" t="n"/>
      <c r="G23" s="7" t="n"/>
      <c r="H23" s="7" t="n"/>
    </row>
    <row r="24">
      <c r="A24" s="8" t="inlineStr">
        <is>
          <t>EV-021</t>
        </is>
      </c>
      <c r="B24" s="7" t="n"/>
      <c r="C24" s="7" t="n"/>
      <c r="D24" s="7" t="n"/>
      <c r="E24" s="7" t="n"/>
      <c r="F24" s="7" t="n"/>
      <c r="G24" s="7" t="n"/>
      <c r="H24" s="7" t="n"/>
    </row>
    <row r="25">
      <c r="A25" s="8" t="inlineStr">
        <is>
          <t>EV-022</t>
        </is>
      </c>
      <c r="B25" s="7" t="n"/>
      <c r="C25" s="7" t="n"/>
      <c r="D25" s="7" t="n"/>
      <c r="E25" s="7" t="n"/>
      <c r="F25" s="7" t="n"/>
      <c r="G25" s="7" t="n"/>
      <c r="H25" s="7" t="n"/>
    </row>
    <row r="26">
      <c r="A26" s="8" t="inlineStr">
        <is>
          <t>EV-023</t>
        </is>
      </c>
      <c r="B26" s="7" t="n"/>
      <c r="C26" s="7" t="n"/>
      <c r="D26" s="7" t="n"/>
      <c r="E26" s="7" t="n"/>
      <c r="F26" s="7" t="n"/>
      <c r="G26" s="7" t="n"/>
      <c r="H26" s="7" t="n"/>
    </row>
    <row r="27">
      <c r="A27" s="8" t="inlineStr">
        <is>
          <t>EV-024</t>
        </is>
      </c>
      <c r="B27" s="7" t="n"/>
      <c r="C27" s="7" t="n"/>
      <c r="D27" s="7" t="n"/>
      <c r="E27" s="7" t="n"/>
      <c r="F27" s="7" t="n"/>
      <c r="G27" s="7" t="n"/>
      <c r="H27" s="7" t="n"/>
    </row>
    <row r="28">
      <c r="A28" s="8" t="inlineStr">
        <is>
          <t>EV-025</t>
        </is>
      </c>
      <c r="B28" s="7" t="n"/>
      <c r="C28" s="7" t="n"/>
      <c r="D28" s="7" t="n"/>
      <c r="E28" s="7" t="n"/>
      <c r="F28" s="7" t="n"/>
      <c r="G28" s="7" t="n"/>
      <c r="H28" s="7" t="n"/>
    </row>
    <row r="29">
      <c r="A29" s="8" t="inlineStr">
        <is>
          <t>EV-026</t>
        </is>
      </c>
      <c r="B29" s="7" t="n"/>
      <c r="C29" s="7" t="n"/>
      <c r="D29" s="7" t="n"/>
      <c r="E29" s="7" t="n"/>
      <c r="F29" s="7" t="n"/>
      <c r="G29" s="7" t="n"/>
      <c r="H29" s="7" t="n"/>
    </row>
    <row r="30">
      <c r="A30" s="8" t="inlineStr">
        <is>
          <t>EV-027</t>
        </is>
      </c>
      <c r="B30" s="7" t="n"/>
      <c r="C30" s="7" t="n"/>
      <c r="D30" s="7" t="n"/>
      <c r="E30" s="7" t="n"/>
      <c r="F30" s="7" t="n"/>
      <c r="G30" s="7" t="n"/>
      <c r="H30" s="7" t="n"/>
    </row>
    <row r="31">
      <c r="A31" s="8" t="inlineStr">
        <is>
          <t>EV-028</t>
        </is>
      </c>
      <c r="B31" s="7" t="n"/>
      <c r="C31" s="7" t="n"/>
      <c r="D31" s="7" t="n"/>
      <c r="E31" s="7" t="n"/>
      <c r="F31" s="7" t="n"/>
      <c r="G31" s="7" t="n"/>
      <c r="H31" s="7" t="n"/>
    </row>
    <row r="32">
      <c r="A32" s="8" t="inlineStr">
        <is>
          <t>EV-029</t>
        </is>
      </c>
      <c r="B32" s="7" t="n"/>
      <c r="C32" s="7" t="n"/>
      <c r="D32" s="7" t="n"/>
      <c r="E32" s="7" t="n"/>
      <c r="F32" s="7" t="n"/>
      <c r="G32" s="7" t="n"/>
      <c r="H32" s="7" t="n"/>
    </row>
    <row r="33">
      <c r="A33" s="8" t="inlineStr">
        <is>
          <t>EV-030</t>
        </is>
      </c>
      <c r="B33" s="7" t="n"/>
      <c r="C33" s="7" t="n"/>
      <c r="D33" s="7" t="n"/>
      <c r="E33" s="7" t="n"/>
      <c r="F33" s="7" t="n"/>
      <c r="G33" s="7" t="n"/>
      <c r="H33" s="7" t="n"/>
    </row>
    <row r="34">
      <c r="A34" s="8" t="inlineStr">
        <is>
          <t>EV-031</t>
        </is>
      </c>
      <c r="B34" s="7" t="n"/>
      <c r="C34" s="7" t="n"/>
      <c r="D34" s="7" t="n"/>
      <c r="E34" s="7" t="n"/>
      <c r="F34" s="7" t="n"/>
      <c r="G34" s="7" t="n"/>
      <c r="H34" s="7" t="n"/>
    </row>
    <row r="35">
      <c r="A35" s="8" t="inlineStr">
        <is>
          <t>EV-032</t>
        </is>
      </c>
      <c r="B35" s="7" t="n"/>
      <c r="C35" s="7" t="n"/>
      <c r="D35" s="7" t="n"/>
      <c r="E35" s="7" t="n"/>
      <c r="F35" s="7" t="n"/>
      <c r="G35" s="7" t="n"/>
      <c r="H35" s="7" t="n"/>
    </row>
    <row r="36">
      <c r="A36" s="8" t="inlineStr">
        <is>
          <t>EV-033</t>
        </is>
      </c>
      <c r="B36" s="7" t="n"/>
      <c r="C36" s="7" t="n"/>
      <c r="D36" s="7" t="n"/>
      <c r="E36" s="7" t="n"/>
      <c r="F36" s="7" t="n"/>
      <c r="G36" s="7" t="n"/>
      <c r="H36" s="7" t="n"/>
    </row>
    <row r="37">
      <c r="A37" s="8" t="inlineStr">
        <is>
          <t>EV-034</t>
        </is>
      </c>
      <c r="B37" s="7" t="n"/>
      <c r="C37" s="7" t="n"/>
      <c r="D37" s="7" t="n"/>
      <c r="E37" s="7" t="n"/>
      <c r="F37" s="7" t="n"/>
      <c r="G37" s="7" t="n"/>
      <c r="H37" s="7" t="n"/>
    </row>
    <row r="38">
      <c r="A38" s="8" t="inlineStr">
        <is>
          <t>EV-035</t>
        </is>
      </c>
      <c r="B38" s="7" t="n"/>
      <c r="C38" s="7" t="n"/>
      <c r="D38" s="7" t="n"/>
      <c r="E38" s="7" t="n"/>
      <c r="F38" s="7" t="n"/>
      <c r="G38" s="7" t="n"/>
      <c r="H38" s="7" t="n"/>
    </row>
    <row r="39">
      <c r="A39" s="8" t="inlineStr">
        <is>
          <t>EV-036</t>
        </is>
      </c>
      <c r="B39" s="7" t="n"/>
      <c r="C39" s="7" t="n"/>
      <c r="D39" s="7" t="n"/>
      <c r="E39" s="7" t="n"/>
      <c r="F39" s="7" t="n"/>
      <c r="G39" s="7" t="n"/>
      <c r="H39" s="7" t="n"/>
    </row>
    <row r="40">
      <c r="A40" s="8" t="inlineStr">
        <is>
          <t>EV-037</t>
        </is>
      </c>
      <c r="B40" s="7" t="n"/>
      <c r="C40" s="7" t="n"/>
      <c r="D40" s="7" t="n"/>
      <c r="E40" s="7" t="n"/>
      <c r="F40" s="7" t="n"/>
      <c r="G40" s="7" t="n"/>
      <c r="H40" s="7" t="n"/>
    </row>
    <row r="41">
      <c r="A41" s="8" t="inlineStr">
        <is>
          <t>EV-038</t>
        </is>
      </c>
      <c r="B41" s="7" t="n"/>
      <c r="C41" s="7" t="n"/>
      <c r="D41" s="7" t="n"/>
      <c r="E41" s="7" t="n"/>
      <c r="F41" s="7" t="n"/>
      <c r="G41" s="7" t="n"/>
      <c r="H41" s="7" t="n"/>
    </row>
    <row r="42">
      <c r="A42" s="8" t="inlineStr">
        <is>
          <t>EV-039</t>
        </is>
      </c>
      <c r="B42" s="7" t="n"/>
      <c r="C42" s="7" t="n"/>
      <c r="D42" s="7" t="n"/>
      <c r="E42" s="7" t="n"/>
      <c r="F42" s="7" t="n"/>
      <c r="G42" s="7" t="n"/>
      <c r="H42" s="7" t="n"/>
    </row>
    <row r="43">
      <c r="A43" s="8" t="inlineStr">
        <is>
          <t>EV-040</t>
        </is>
      </c>
      <c r="B43" s="7" t="n"/>
      <c r="C43" s="7" t="n"/>
      <c r="D43" s="7" t="n"/>
      <c r="E43" s="7" t="n"/>
      <c r="F43" s="7" t="n"/>
      <c r="G43" s="7" t="n"/>
      <c r="H43" s="7" t="n"/>
    </row>
    <row r="44">
      <c r="A44" s="8" t="inlineStr">
        <is>
          <t>EV-041</t>
        </is>
      </c>
      <c r="B44" s="7" t="n"/>
      <c r="C44" s="7" t="n"/>
      <c r="D44" s="7" t="n"/>
      <c r="E44" s="7" t="n"/>
      <c r="F44" s="7" t="n"/>
      <c r="G44" s="7" t="n"/>
      <c r="H44" s="7" t="n"/>
    </row>
    <row r="45">
      <c r="A45" s="8" t="inlineStr">
        <is>
          <t>EV-042</t>
        </is>
      </c>
      <c r="B45" s="7" t="n"/>
      <c r="C45" s="7" t="n"/>
      <c r="D45" s="7" t="n"/>
      <c r="E45" s="7" t="n"/>
      <c r="F45" s="7" t="n"/>
      <c r="G45" s="7" t="n"/>
      <c r="H45" s="7" t="n"/>
    </row>
    <row r="46">
      <c r="A46" s="8" t="inlineStr">
        <is>
          <t>EV-043</t>
        </is>
      </c>
      <c r="B46" s="7" t="n"/>
      <c r="C46" s="7" t="n"/>
      <c r="D46" s="7" t="n"/>
      <c r="E46" s="7" t="n"/>
      <c r="F46" s="7" t="n"/>
      <c r="G46" s="7" t="n"/>
      <c r="H46" s="7" t="n"/>
    </row>
    <row r="47">
      <c r="A47" s="8" t="inlineStr">
        <is>
          <t>EV-044</t>
        </is>
      </c>
      <c r="B47" s="7" t="n"/>
      <c r="C47" s="7" t="n"/>
      <c r="D47" s="7" t="n"/>
      <c r="E47" s="7" t="n"/>
      <c r="F47" s="7" t="n"/>
      <c r="G47" s="7" t="n"/>
      <c r="H47" s="7" t="n"/>
    </row>
    <row r="48">
      <c r="A48" s="8" t="inlineStr">
        <is>
          <t>EV-045</t>
        </is>
      </c>
      <c r="B48" s="7" t="n"/>
      <c r="C48" s="7" t="n"/>
      <c r="D48" s="7" t="n"/>
      <c r="E48" s="7" t="n"/>
      <c r="F48" s="7" t="n"/>
      <c r="G48" s="7" t="n"/>
      <c r="H48" s="7" t="n"/>
    </row>
    <row r="49">
      <c r="A49" s="8" t="inlineStr">
        <is>
          <t>EV-046</t>
        </is>
      </c>
      <c r="B49" s="7" t="n"/>
      <c r="C49" s="7" t="n"/>
      <c r="D49" s="7" t="n"/>
      <c r="E49" s="7" t="n"/>
      <c r="F49" s="7" t="n"/>
      <c r="G49" s="7" t="n"/>
      <c r="H49" s="7" t="n"/>
    </row>
    <row r="50">
      <c r="A50" s="8" t="inlineStr">
        <is>
          <t>EV-047</t>
        </is>
      </c>
      <c r="B50" s="7" t="n"/>
      <c r="C50" s="7" t="n"/>
      <c r="D50" s="7" t="n"/>
      <c r="E50" s="7" t="n"/>
      <c r="F50" s="7" t="n"/>
      <c r="G50" s="7" t="n"/>
      <c r="H50" s="7" t="n"/>
    </row>
    <row r="51">
      <c r="A51" s="8" t="inlineStr">
        <is>
          <t>EV-048</t>
        </is>
      </c>
      <c r="B51" s="7" t="n"/>
      <c r="C51" s="7" t="n"/>
      <c r="D51" s="7" t="n"/>
      <c r="E51" s="7" t="n"/>
      <c r="F51" s="7" t="n"/>
      <c r="G51" s="7" t="n"/>
      <c r="H51" s="7" t="n"/>
    </row>
    <row r="52">
      <c r="A52" s="8" t="inlineStr">
        <is>
          <t>EV-049</t>
        </is>
      </c>
      <c r="B52" s="7" t="n"/>
      <c r="C52" s="7" t="n"/>
      <c r="D52" s="7" t="n"/>
      <c r="E52" s="7" t="n"/>
      <c r="F52" s="7" t="n"/>
      <c r="G52" s="7" t="n"/>
      <c r="H52" s="7" t="n"/>
    </row>
    <row r="53">
      <c r="A53" s="8" t="inlineStr">
        <is>
          <t>EV-050</t>
        </is>
      </c>
      <c r="B53" s="7" t="n"/>
      <c r="C53" s="7" t="n"/>
      <c r="D53" s="7" t="n"/>
      <c r="E53" s="7" t="n"/>
      <c r="F53" s="7" t="n"/>
      <c r="G53" s="7" t="n"/>
      <c r="H53" s="7" t="n"/>
    </row>
  </sheetData>
  <mergeCells count="1">
    <mergeCell ref="A1:H1"/>
  </mergeCells>
  <dataValidations count="1">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"Verified,Pending,Requires update,Not available"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0" customWidth="1" min="1" max="1"/>
    <col width="20" customWidth="1" min="2" max="2"/>
  </cols>
  <sheetData>
    <row r="1" ht="30" customHeight="1">
      <c r="A1" s="1" t="inlineStr">
        <is>
          <t>TRAINING PROGRAM DESIGN - DASHBOARD</t>
        </is>
      </c>
    </row>
    <row r="3">
      <c r="A3" s="2" t="inlineStr">
        <is>
          <t>Curriculum Summary</t>
        </is>
      </c>
    </row>
    <row r="4">
      <c r="A4" s="3" t="inlineStr">
        <is>
          <t>Total Modules</t>
        </is>
      </c>
      <c r="B4" s="9">
        <f>COUNTA(Curriculum_Catalog!A4:A53)</f>
        <v/>
      </c>
    </row>
    <row r="5">
      <c r="A5" s="3" t="inlineStr">
        <is>
          <t>Active Modules</t>
        </is>
      </c>
      <c r="B5" s="9">
        <f>COUNTIF(Curriculum_Catalog!N4:N53,"Active")</f>
        <v/>
      </c>
    </row>
    <row r="6">
      <c r="A6" s="3" t="inlineStr">
        <is>
          <t>Modules Under Review</t>
        </is>
      </c>
      <c r="B6" s="9">
        <f>COUNTIF(Curriculum_Catalog!N4:N53,"Under Review")</f>
        <v/>
      </c>
    </row>
    <row r="7">
      <c r="A7" s="3" t="inlineStr">
        <is>
          <t>Mandatory Modules</t>
        </is>
      </c>
      <c r="B7" s="9">
        <f>COUNTIF(Curriculum_Catalog!E4:E53,"Mandatory")</f>
        <v/>
      </c>
    </row>
    <row r="8">
      <c r="A8" s="3" t="inlineStr">
        <is>
          <t>Optional Modules</t>
        </is>
      </c>
      <c r="B8" s="9">
        <f>COUNTIF(Curriculum_Catalog!E4:E53,"Optional")</f>
        <v/>
      </c>
    </row>
    <row r="11">
      <c r="A11" s="2" t="inlineStr">
        <is>
          <t>Modules by Tier</t>
        </is>
      </c>
    </row>
    <row r="12">
      <c r="A12" s="5" t="inlineStr">
        <is>
          <t>Tier</t>
        </is>
      </c>
      <c r="B12" s="5" t="inlineStr">
        <is>
          <t>Module Count</t>
        </is>
      </c>
    </row>
    <row r="13">
      <c r="A13" s="10" t="inlineStr">
        <is>
          <t>Tier 1</t>
        </is>
      </c>
      <c r="B13" s="10">
        <f>COUNTIF(Curriculum_Catalog!C4:C53,"Tier 1")</f>
        <v/>
      </c>
    </row>
    <row r="14">
      <c r="A14" s="10" t="inlineStr">
        <is>
          <t>Tier 2</t>
        </is>
      </c>
      <c r="B14" s="10">
        <f>COUNTIF(Curriculum_Catalog!C4:C53,"Tier 2")</f>
        <v/>
      </c>
    </row>
    <row r="15">
      <c r="A15" s="10" t="inlineStr">
        <is>
          <t>Tier 3</t>
        </is>
      </c>
      <c r="B15" s="10">
        <f>COUNTIF(Curriculum_Catalog!C4:C53,"Tier 3")</f>
        <v/>
      </c>
    </row>
    <row r="16">
      <c r="A16" s="10" t="inlineStr">
        <is>
          <t>Tier 4</t>
        </is>
      </c>
      <c r="B16" s="10">
        <f>COUNTIF(Curriculum_Catalog!C4:C53,"Tier 4")</f>
        <v/>
      </c>
    </row>
    <row r="17">
      <c r="A17" s="10" t="inlineStr">
        <is>
          <t>Tier 5</t>
        </is>
      </c>
      <c r="B17" s="10">
        <f>COUNTIF(Curriculum_Catalog!C4:C53,"Tier 5")</f>
        <v/>
      </c>
    </row>
    <row r="18">
      <c r="A18" s="10" t="inlineStr">
        <is>
          <t>Tier 6</t>
        </is>
      </c>
      <c r="B18" s="10">
        <f>COUNTIF(Curriculum_Catalog!C4:C53,"Tier 6")</f>
        <v/>
      </c>
    </row>
    <row r="19">
      <c r="A19" s="10" t="inlineStr">
        <is>
          <t>Tier 7</t>
        </is>
      </c>
      <c r="B19" s="10">
        <f>COUNTIF(Curriculum_Catalog!C4:C53,"Tier 7")</f>
        <v/>
      </c>
    </row>
    <row r="22">
      <c r="A22" s="2" t="inlineStr">
        <is>
          <t>Gap Analysis Summary</t>
        </is>
      </c>
    </row>
    <row r="23">
      <c r="A23" s="3" t="inlineStr">
        <is>
          <t>Total Gaps Identified</t>
        </is>
      </c>
      <c r="B23" s="11">
        <f>COUNTA(Gap_Analysis!A4:A53)</f>
        <v/>
      </c>
    </row>
    <row r="24">
      <c r="A24" s="3" t="inlineStr">
        <is>
          <t>Critical Gaps</t>
        </is>
      </c>
      <c r="B24" s="11">
        <f>COUNTIF(Gap_Analysis!E4:E53,"Critical")</f>
        <v/>
      </c>
    </row>
    <row r="25">
      <c r="A25" s="3" t="inlineStr">
        <is>
          <t>High Priority Gaps</t>
        </is>
      </c>
      <c r="B25" s="11">
        <f>COUNTIF(Gap_Analysis!E4:E53,"High")</f>
        <v/>
      </c>
    </row>
  </sheetData>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8" customWidth="1" min="1" max="1"/>
    <col width="30" customWidth="1" min="2" max="2"/>
  </cols>
  <sheetData>
    <row r="1" ht="30" customHeight="1">
      <c r="A1" s="1" t="inlineStr">
        <is>
          <t>ASSESSMENT APPROVAL AND SIGN-OFF</t>
        </is>
      </c>
    </row>
    <row r="3">
      <c r="A3" s="2" t="inlineStr">
        <is>
          <t>Assessment Summary</t>
        </is>
      </c>
    </row>
    <row r="4">
      <c r="A4" s="3" t="inlineStr">
        <is>
          <t>Assessment Document</t>
        </is>
      </c>
      <c r="B4" t="inlineStr">
        <is>
          <t>ISMS-IMP-A.6.3.2 - Training Program Design</t>
        </is>
      </c>
    </row>
    <row r="5">
      <c r="A5" s="3" t="inlineStr">
        <is>
          <t>Assessment Period</t>
        </is>
      </c>
      <c r="B5" s="4" t="inlineStr"/>
    </row>
    <row r="6">
      <c r="A6" s="3" t="inlineStr">
        <is>
          <t>Total Modules Documented</t>
        </is>
      </c>
      <c r="B6">
        <f>Dashboard!B4</f>
        <v/>
      </c>
    </row>
    <row r="7">
      <c r="A7" s="3" t="inlineStr">
        <is>
          <t>Assessment Status</t>
        </is>
      </c>
      <c r="B7" s="4" t="inlineStr"/>
    </row>
    <row r="10">
      <c r="A10" s="12" t="inlineStr">
        <is>
          <t>REVIEWED BY (Training Program Manager)</t>
        </is>
      </c>
    </row>
    <row r="11">
      <c r="A11" s="3" t="inlineStr">
        <is>
          <t>Name:</t>
        </is>
      </c>
      <c r="B11" s="4" t="n"/>
    </row>
    <row r="12">
      <c r="A12" s="3" t="inlineStr">
        <is>
          <t>Date:</t>
        </is>
      </c>
      <c r="B12" s="4" t="n"/>
    </row>
    <row r="13">
      <c r="A13" s="3" t="inlineStr">
        <is>
          <t>Signature:</t>
        </is>
      </c>
      <c r="B13" s="4" t="n"/>
    </row>
    <row r="16">
      <c r="A16" s="13" t="inlineStr">
        <is>
          <t>APPROVED BY (CISO)</t>
        </is>
      </c>
    </row>
    <row r="17">
      <c r="A17" s="3" t="inlineStr">
        <is>
          <t>Name:</t>
        </is>
      </c>
      <c r="B17" s="4" t="n"/>
    </row>
    <row r="18">
      <c r="A18" s="3" t="inlineStr">
        <is>
          <t>Date:</t>
        </is>
      </c>
      <c r="B18" s="4" t="n"/>
    </row>
    <row r="19">
      <c r="A19" s="3" t="inlineStr">
        <is>
          <t>Approval Decision:</t>
        </is>
      </c>
      <c r="B19" s="4" t="n"/>
    </row>
    <row r="20">
      <c r="A20" s="3" t="inlineStr">
        <is>
          <t>Signature:</t>
        </is>
      </c>
      <c r="B20" s="4" t="n"/>
    </row>
  </sheetData>
  <mergeCells count="10">
    <mergeCell ref="B17:E17"/>
    <mergeCell ref="B18:E18"/>
    <mergeCell ref="A16:E16"/>
    <mergeCell ref="B12:E12"/>
    <mergeCell ref="B13:E13"/>
    <mergeCell ref="A10:E10"/>
    <mergeCell ref="A1:E1"/>
    <mergeCell ref="B11:E11"/>
    <mergeCell ref="B19:E19"/>
    <mergeCell ref="B20:E20"/>
  </mergeCells>
  <dataValidations count="2">
    <dataValidation sqref="B7" showDropDown="0" showInputMessage="0" showErrorMessage="0" allowBlank="0" type="list">
      <formula1>"Draft,Final,Requires revision"</formula1>
    </dataValidation>
    <dataValidation sqref="B19"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2026-02-08T11:25:45Z</dcterms:created>
  <dcterms:modified xmlns:dcterms="http://purl.org/dc/terms/" xmlns:xsi="http://www.w3.org/2001/XMLSchema-instance" xsi:type="dcterms:W3CDTF">2026-02-08T11:25:45Z</dcterms:modified>
</cp:coreProperties>
</file>