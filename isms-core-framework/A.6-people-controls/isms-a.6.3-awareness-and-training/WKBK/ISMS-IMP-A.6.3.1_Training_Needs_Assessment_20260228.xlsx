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ole Inventory" sheetId="2" state="visible" r:id="rId2"/>
    <sheet xmlns:r="http://schemas.openxmlformats.org/officeDocument/2006/relationships" name="Tier Classification" sheetId="3" state="visible" r:id="rId3"/>
    <sheet xmlns:r="http://schemas.openxmlformats.org/officeDocument/2006/relationships" name="Training Requirements"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color rgb="00808080"/>
    </font>
    <font>
      <b val="1"/>
      <color rgb="000000FF"/>
    </font>
    <font>
      <b val="1"/>
      <sz val="12"/>
    </font>
    <font>
      <b val="1"/>
    </font>
    <font>
      <name val="Calibri"/>
      <b val="1"/>
      <color rgb="00FFFFFF"/>
      <sz val="10"/>
    </font>
    <font>
      <b val="1"/>
      <color rgb="00FFFFFF"/>
      <sz val="14"/>
    </font>
    <font>
      <b val="1"/>
      <color rgb="00FFFFFF"/>
      <sz val="11"/>
    </font>
    <font>
      <b val="1"/>
      <color rgb="00000000"/>
    </font>
    <font>
      <color rgb="00000000"/>
    </font>
    <font>
      <name val="Calibri"/>
      <b val="1"/>
      <color rgb="00FFFFFF"/>
      <sz val="11"/>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6" fillId="10" borderId="0" pivotButton="0" quotePrefix="0" xfId="0"/>
    <xf numFmtId="0" fontId="0" fillId="10" borderId="1" applyAlignment="1" pivotButton="0" quotePrefix="0" xfId="0">
      <alignment horizontal="left" vertical="center" wrapText="1"/>
    </xf>
    <xf numFmtId="0" fontId="7"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7" fillId="11" borderId="1" applyAlignment="1" pivotButton="0" quotePrefix="0" xfId="0">
      <alignment horizontal="left" vertical="center" wrapText="1"/>
    </xf>
    <xf numFmtId="0" fontId="8" fillId="0" borderId="0" pivotButton="0" quotePrefix="0" xfId="0"/>
    <xf numFmtId="0" fontId="0" fillId="12" borderId="1" pivotButton="0" quotePrefix="0" xfId="0"/>
    <xf numFmtId="0" fontId="0" fillId="9" borderId="1" pivotButton="0" quotePrefix="0" xfId="0"/>
    <xf numFmtId="0" fontId="0" fillId="13" borderId="1" pivotButton="0" quotePrefix="0" xfId="0"/>
    <xf numFmtId="0" fontId="0" fillId="14" borderId="1" pivotButton="0" quotePrefix="0" xfId="0"/>
    <xf numFmtId="0" fontId="0" fillId="10" borderId="1" pivotButton="0" quotePrefix="0" xfId="0"/>
    <xf numFmtId="0" fontId="9" fillId="10" borderId="1" applyAlignment="1" pivotButton="0" quotePrefix="0" xfId="0">
      <alignment horizontal="left" vertical="center" wrapText="1"/>
    </xf>
    <xf numFmtId="0" fontId="9" fillId="11"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10"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11" fillId="8" borderId="2" applyAlignment="1" pivotButton="0" quotePrefix="0" xfId="0">
      <alignment horizontal="center" vertical="center" wrapText="1"/>
    </xf>
    <xf numFmtId="0" fontId="0" fillId="0" borderId="2" pivotButton="0" quotePrefix="0" xfId="0"/>
    <xf numFmtId="0" fontId="5" fillId="0" borderId="0" applyAlignment="1" pivotButton="0" quotePrefix="0" xfId="0">
      <alignment horizontal="left" vertical="center"/>
    </xf>
    <xf numFmtId="0" fontId="12" fillId="8" borderId="2" applyAlignment="1" pivotButton="0" quotePrefix="0" xfId="0">
      <alignment horizontal="left" vertical="center"/>
    </xf>
    <xf numFmtId="0" fontId="13" fillId="9"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9" borderId="2" pivotButton="0" quotePrefix="0" xfId="0"/>
    <xf numFmtId="0" fontId="13" fillId="9" borderId="2" applyAlignment="1" pivotButton="0" quotePrefix="0" xfId="0">
      <alignment horizontal="center"/>
    </xf>
    <xf numFmtId="164" fontId="13" fillId="9" borderId="2" applyAlignment="1" pivotButton="0" quotePrefix="0" xfId="0">
      <alignment horizontal="center"/>
    </xf>
    <xf numFmtId="0" fontId="12" fillId="15" borderId="2" applyAlignment="1" pivotButton="0" quotePrefix="0" xfId="0">
      <alignment horizontal="left" vertical="center"/>
    </xf>
    <xf numFmtId="0" fontId="14" fillId="11" borderId="2" pivotButton="0" quotePrefix="0" xfId="0"/>
    <xf numFmtId="0" fontId="14" fillId="11" borderId="2" applyAlignment="1" pivotButton="0" quotePrefix="0" xfId="0">
      <alignment horizontal="center"/>
    </xf>
    <xf numFmtId="0" fontId="0" fillId="11" borderId="2" pivotButton="0" quotePrefix="0" xfId="0"/>
    <xf numFmtId="0" fontId="5" fillId="0" borderId="1" applyAlignment="1" pivotButton="0" quotePrefix="0" xfId="0">
      <alignment horizontal="center" vertical="center"/>
    </xf>
    <xf numFmtId="0" fontId="15" fillId="16" borderId="1" applyAlignment="1" pivotButton="0" quotePrefix="0" xfId="0">
      <alignment horizontal="left" vertical="center"/>
    </xf>
    <xf numFmtId="0" fontId="4" fillId="0" borderId="1" pivotButton="0" quotePrefix="0" xfId="0"/>
    <xf numFmtId="0" fontId="0" fillId="11" borderId="1" pivotButton="0" quotePrefix="0" xfId="0"/>
    <xf numFmtId="164" fontId="0" fillId="0" borderId="1" pivotButton="0" quotePrefix="0" xfId="0"/>
    <xf numFmtId="0" fontId="15" fillId="8" borderId="1" applyAlignment="1" pivotButton="0" quotePrefix="0" xfId="0">
      <alignment horizontal="left" vertical="center"/>
    </xf>
    <xf numFmtId="0" fontId="1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ISMS-IMP-A.6.3.1  -  Training Needs Assessment
ISO/IEC 27001:2022 - Control A.6.3: Information Security Awareness, Education and Training</t>
        </is>
      </c>
    </row>
    <row r="3">
      <c r="A3" s="2" t="inlineStr">
        <is>
          <t>Document Information</t>
        </is>
      </c>
    </row>
    <row r="4">
      <c r="A4" s="3" t="inlineStr">
        <is>
          <t>Document ID</t>
        </is>
      </c>
      <c r="B4" t="inlineStr">
        <is>
          <t>ISMS-IMP-A.6.3.1</t>
        </is>
      </c>
    </row>
    <row r="5">
      <c r="A5" s="3" t="inlineStr">
        <is>
          <t>Workbook Title</t>
        </is>
      </c>
      <c r="B5" t="inlineStr">
        <is>
          <t>Training Needs Assessment</t>
        </is>
      </c>
    </row>
    <row r="6">
      <c r="A6" s="3" t="inlineStr">
        <is>
          <t>Control Reference</t>
        </is>
      </c>
      <c r="B6" t="inlineStr">
        <is>
          <t>ISO/IEC 27001:2022 - Control A.6.3: Information Security Awareness, Education and Training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15" customWidth="1" min="4" max="4"/>
    <col width="18" customWidth="1" min="5" max="5"/>
    <col width="18" customWidth="1" min="6" max="6"/>
    <col width="18" customWidth="1" min="7" max="7"/>
    <col width="18" customWidth="1" min="8" max="8"/>
    <col width="18" customWidth="1" min="9" max="9"/>
    <col width="12" customWidth="1" min="10" max="10"/>
    <col width="15" customWidth="1" min="11" max="11"/>
    <col width="40" customWidth="1" min="12" max="12"/>
  </cols>
  <sheetData>
    <row r="1" ht="35" customHeight="1">
      <c r="A1" s="11" t="inlineStr">
        <is>
          <t>ROLE INVENTORY
Complete listing of all job roles requiring training</t>
        </is>
      </c>
    </row>
    <row r="2">
      <c r="A2" s="12" t="inlineStr">
        <is>
          <t>Complete listing of all job roles requiring security awareness training</t>
        </is>
      </c>
    </row>
    <row r="3">
      <c r="A3" s="13" t="inlineStr">
        <is>
          <t>Role ID</t>
        </is>
      </c>
      <c r="B3" s="13" t="inlineStr">
        <is>
          <t>Role Title</t>
        </is>
      </c>
      <c r="C3" s="13" t="inlineStr">
        <is>
          <t>Department</t>
        </is>
      </c>
      <c r="D3" s="13" t="inlineStr">
        <is>
          <t>Employee Count</t>
        </is>
      </c>
      <c r="E3" s="13" t="inlineStr">
        <is>
          <t>Data Access Level</t>
        </is>
      </c>
      <c r="F3" s="13" t="inlineStr">
        <is>
          <t>System Privileges</t>
        </is>
      </c>
      <c r="G3" s="13" t="inlineStr">
        <is>
          <t>External Exposure</t>
        </is>
      </c>
      <c r="H3" s="13" t="inlineStr">
        <is>
          <t>Regulatory Scope</t>
        </is>
      </c>
      <c r="I3" s="13" t="inlineStr">
        <is>
          <t>Security Role</t>
        </is>
      </c>
      <c r="J3" s="13" t="inlineStr">
        <is>
          <t>Total Score</t>
        </is>
      </c>
      <c r="K3" s="13" t="inlineStr">
        <is>
          <t>Assigned Tier</t>
        </is>
      </c>
      <c r="L3" s="13" t="inlineStr">
        <is>
          <t>Notes</t>
        </is>
      </c>
    </row>
    <row r="4">
      <c r="A4" s="14" t="inlineStr">
        <is>
          <t>ROLE-001</t>
        </is>
      </c>
      <c r="B4" s="15" t="n"/>
      <c r="C4" s="15" t="n"/>
      <c r="D4" s="15" t="n"/>
      <c r="E4" s="15" t="n"/>
      <c r="F4" s="15" t="n"/>
      <c r="G4" s="15" t="n"/>
      <c r="H4" s="15" t="n"/>
      <c r="I4" s="15" t="n"/>
      <c r="J4" s="16">
        <f>IF(B4="","",VALUE(LEFT(E4,1))+VALUE(LEFT(F4,1))+VALUE(LEFT(G4,1))+VALUE(LEFT(H4,1))+VALUE(LEFT(I4,1)))</f>
        <v/>
      </c>
      <c r="K4" s="15">
        <f>IF(J4="","",IF(I4="Security Team (4)","Tier 6",IF(OR(F4="Admin (3)",F4="Super Admin (4)"),"Tier 5",IF(F4="Power User (2)","Tier 4",IF(E4="Confidential (3)","Tier 3",IF(J4&gt;=8,"Tier 7","Tier 1"))))))</f>
        <v/>
      </c>
      <c r="L4" s="15" t="n"/>
    </row>
    <row r="5">
      <c r="A5" s="17" t="n"/>
      <c r="B5" s="17" t="n"/>
      <c r="C5" s="17" t="n"/>
      <c r="D5" s="17" t="n"/>
      <c r="E5" s="17" t="n"/>
      <c r="F5" s="17" t="n"/>
      <c r="G5" s="17" t="n"/>
      <c r="H5" s="17" t="n"/>
      <c r="I5" s="17" t="n"/>
      <c r="J5" s="18">
        <f>IF(B5="","",VALUE(LEFT(E5,1))+VALUE(LEFT(F5,1))+VALUE(LEFT(G5,1))+VALUE(LEFT(H5,1))+VALUE(LEFT(I5,1)))</f>
        <v/>
      </c>
      <c r="K5" s="17">
        <f>IF(J5="","",IF(I5="Security Team (4)","Tier 6",IF(OR(F5="Admin (3)",F5="Super Admin (4)"),"Tier 5",IF(F5="Power User (2)","Tier 4",IF(E5="Confidential (3)","Tier 3",IF(J5&gt;=8,"Tier 7","Tier 1"))))))</f>
        <v/>
      </c>
      <c r="L5" s="17" t="n"/>
    </row>
    <row r="6">
      <c r="A6" s="17" t="n"/>
      <c r="B6" s="17" t="n"/>
      <c r="C6" s="17" t="n"/>
      <c r="D6" s="17" t="n"/>
      <c r="E6" s="17" t="n"/>
      <c r="F6" s="17" t="n"/>
      <c r="G6" s="17" t="n"/>
      <c r="H6" s="17" t="n"/>
      <c r="I6" s="17" t="n"/>
      <c r="J6" s="18">
        <f>IF(B6="","",VALUE(LEFT(E6,1))+VALUE(LEFT(F6,1))+VALUE(LEFT(G6,1))+VALUE(LEFT(H6,1))+VALUE(LEFT(I6,1)))</f>
        <v/>
      </c>
      <c r="K6" s="17">
        <f>IF(J6="","",IF(I6="Security Team (4)","Tier 6",IF(OR(F6="Admin (3)",F6="Super Admin (4)"),"Tier 5",IF(F6="Power User (2)","Tier 4",IF(E6="Confidential (3)","Tier 3",IF(J6&gt;=8,"Tier 7","Tier 1"))))))</f>
        <v/>
      </c>
      <c r="L6" s="17" t="n"/>
    </row>
    <row r="7">
      <c r="A7" s="17" t="n"/>
      <c r="B7" s="17" t="n"/>
      <c r="C7" s="17" t="n"/>
      <c r="D7" s="17" t="n"/>
      <c r="E7" s="17" t="n"/>
      <c r="F7" s="17" t="n"/>
      <c r="G7" s="17" t="n"/>
      <c r="H7" s="17" t="n"/>
      <c r="I7" s="17" t="n"/>
      <c r="J7" s="18">
        <f>IF(B7="","",VALUE(LEFT(E7,1))+VALUE(LEFT(F7,1))+VALUE(LEFT(G7,1))+VALUE(LEFT(H7,1))+VALUE(LEFT(I7,1)))</f>
        <v/>
      </c>
      <c r="K7" s="17">
        <f>IF(J7="","",IF(I7="Security Team (4)","Tier 6",IF(OR(F7="Admin (3)",F7="Super Admin (4)"),"Tier 5",IF(F7="Power User (2)","Tier 4",IF(E7="Confidential (3)","Tier 3",IF(J7&gt;=8,"Tier 7","Tier 1"))))))</f>
        <v/>
      </c>
      <c r="L7" s="17" t="n"/>
    </row>
    <row r="8">
      <c r="A8" s="17" t="n"/>
      <c r="B8" s="17" t="n"/>
      <c r="C8" s="17" t="n"/>
      <c r="D8" s="17" t="n"/>
      <c r="E8" s="17" t="n"/>
      <c r="F8" s="17" t="n"/>
      <c r="G8" s="17" t="n"/>
      <c r="H8" s="17" t="n"/>
      <c r="I8" s="17" t="n"/>
      <c r="J8" s="18">
        <f>IF(B8="","",VALUE(LEFT(E8,1))+VALUE(LEFT(F8,1))+VALUE(LEFT(G8,1))+VALUE(LEFT(H8,1))+VALUE(LEFT(I8,1)))</f>
        <v/>
      </c>
      <c r="K8" s="17">
        <f>IF(J8="","",IF(I8="Security Team (4)","Tier 6",IF(OR(F8="Admin (3)",F8="Super Admin (4)"),"Tier 5",IF(F8="Power User (2)","Tier 4",IF(E8="Confidential (3)","Tier 3",IF(J8&gt;=8,"Tier 7","Tier 1"))))))</f>
        <v/>
      </c>
      <c r="L8" s="17" t="n"/>
    </row>
    <row r="9">
      <c r="A9" s="17" t="n"/>
      <c r="B9" s="17" t="n"/>
      <c r="C9" s="17" t="n"/>
      <c r="D9" s="17" t="n"/>
      <c r="E9" s="17" t="n"/>
      <c r="F9" s="17" t="n"/>
      <c r="G9" s="17" t="n"/>
      <c r="H9" s="17" t="n"/>
      <c r="I9" s="17" t="n"/>
      <c r="J9" s="18">
        <f>IF(B9="","",VALUE(LEFT(E9,1))+VALUE(LEFT(F9,1))+VALUE(LEFT(G9,1))+VALUE(LEFT(H9,1))+VALUE(LEFT(I9,1)))</f>
        <v/>
      </c>
      <c r="K9" s="17">
        <f>IF(J9="","",IF(I9="Security Team (4)","Tier 6",IF(OR(F9="Admin (3)",F9="Super Admin (4)"),"Tier 5",IF(F9="Power User (2)","Tier 4",IF(E9="Confidential (3)","Tier 3",IF(J9&gt;=8,"Tier 7","Tier 1"))))))</f>
        <v/>
      </c>
      <c r="L9" s="17" t="n"/>
    </row>
    <row r="10">
      <c r="A10" s="17" t="n"/>
      <c r="B10" s="17" t="n"/>
      <c r="C10" s="17" t="n"/>
      <c r="D10" s="17" t="n"/>
      <c r="E10" s="17" t="n"/>
      <c r="F10" s="17" t="n"/>
      <c r="G10" s="17" t="n"/>
      <c r="H10" s="17" t="n"/>
      <c r="I10" s="17" t="n"/>
      <c r="J10" s="18">
        <f>IF(B10="","",VALUE(LEFT(E10,1))+VALUE(LEFT(F10,1))+VALUE(LEFT(G10,1))+VALUE(LEFT(H10,1))+VALUE(LEFT(I10,1)))</f>
        <v/>
      </c>
      <c r="K10" s="17">
        <f>IF(J10="","",IF(I10="Security Team (4)","Tier 6",IF(OR(F10="Admin (3)",F10="Super Admin (4)"),"Tier 5",IF(F10="Power User (2)","Tier 4",IF(E10="Confidential (3)","Tier 3",IF(J10&gt;=8,"Tier 7","Tier 1"))))))</f>
        <v/>
      </c>
      <c r="L10" s="17" t="n"/>
    </row>
    <row r="11">
      <c r="A11" s="17" t="n"/>
      <c r="B11" s="17" t="n"/>
      <c r="C11" s="17" t="n"/>
      <c r="D11" s="17" t="n"/>
      <c r="E11" s="17" t="n"/>
      <c r="F11" s="17" t="n"/>
      <c r="G11" s="17" t="n"/>
      <c r="H11" s="17" t="n"/>
      <c r="I11" s="17" t="n"/>
      <c r="J11" s="18">
        <f>IF(B11="","",VALUE(LEFT(E11,1))+VALUE(LEFT(F11,1))+VALUE(LEFT(G11,1))+VALUE(LEFT(H11,1))+VALUE(LEFT(I11,1)))</f>
        <v/>
      </c>
      <c r="K11" s="17">
        <f>IF(J11="","",IF(I11="Security Team (4)","Tier 6",IF(OR(F11="Admin (3)",F11="Super Admin (4)"),"Tier 5",IF(F11="Power User (2)","Tier 4",IF(E11="Confidential (3)","Tier 3",IF(J11&gt;=8,"Tier 7","Tier 1"))))))</f>
        <v/>
      </c>
      <c r="L11" s="17" t="n"/>
    </row>
    <row r="12">
      <c r="A12" s="17" t="n"/>
      <c r="B12" s="17" t="n"/>
      <c r="C12" s="17" t="n"/>
      <c r="D12" s="17" t="n"/>
      <c r="E12" s="17" t="n"/>
      <c r="F12" s="17" t="n"/>
      <c r="G12" s="17" t="n"/>
      <c r="H12" s="17" t="n"/>
      <c r="I12" s="17" t="n"/>
      <c r="J12" s="18">
        <f>IF(B12="","",VALUE(LEFT(E12,1))+VALUE(LEFT(F12,1))+VALUE(LEFT(G12,1))+VALUE(LEFT(H12,1))+VALUE(LEFT(I12,1)))</f>
        <v/>
      </c>
      <c r="K12" s="17">
        <f>IF(J12="","",IF(I12="Security Team (4)","Tier 6",IF(OR(F12="Admin (3)",F12="Super Admin (4)"),"Tier 5",IF(F12="Power User (2)","Tier 4",IF(E12="Confidential (3)","Tier 3",IF(J12&gt;=8,"Tier 7","Tier 1"))))))</f>
        <v/>
      </c>
      <c r="L12" s="17" t="n"/>
    </row>
    <row r="13">
      <c r="A13" s="17" t="n"/>
      <c r="B13" s="17" t="n"/>
      <c r="C13" s="17" t="n"/>
      <c r="D13" s="17" t="n"/>
      <c r="E13" s="17" t="n"/>
      <c r="F13" s="17" t="n"/>
      <c r="G13" s="17" t="n"/>
      <c r="H13" s="17" t="n"/>
      <c r="I13" s="17" t="n"/>
      <c r="J13" s="18">
        <f>IF(B13="","",VALUE(LEFT(E13,1))+VALUE(LEFT(F13,1))+VALUE(LEFT(G13,1))+VALUE(LEFT(H13,1))+VALUE(LEFT(I13,1)))</f>
        <v/>
      </c>
      <c r="K13" s="17">
        <f>IF(J13="","",IF(I13="Security Team (4)","Tier 6",IF(OR(F13="Admin (3)",F13="Super Admin (4)"),"Tier 5",IF(F13="Power User (2)","Tier 4",IF(E13="Confidential (3)","Tier 3",IF(J13&gt;=8,"Tier 7","Tier 1"))))))</f>
        <v/>
      </c>
      <c r="L13" s="17" t="n"/>
    </row>
    <row r="14">
      <c r="A14" s="17" t="n"/>
      <c r="B14" s="17" t="n"/>
      <c r="C14" s="17" t="n"/>
      <c r="D14" s="17" t="n"/>
      <c r="E14" s="17" t="n"/>
      <c r="F14" s="17" t="n"/>
      <c r="G14" s="17" t="n"/>
      <c r="H14" s="17" t="n"/>
      <c r="I14" s="17" t="n"/>
      <c r="J14" s="18">
        <f>IF(B14="","",VALUE(LEFT(E14,1))+VALUE(LEFT(F14,1))+VALUE(LEFT(G14,1))+VALUE(LEFT(H14,1))+VALUE(LEFT(I14,1)))</f>
        <v/>
      </c>
      <c r="K14" s="17">
        <f>IF(J14="","",IF(I14="Security Team (4)","Tier 6",IF(OR(F14="Admin (3)",F14="Super Admin (4)"),"Tier 5",IF(F14="Power User (2)","Tier 4",IF(E14="Confidential (3)","Tier 3",IF(J14&gt;=8,"Tier 7","Tier 1"))))))</f>
        <v/>
      </c>
      <c r="L14" s="17" t="n"/>
    </row>
    <row r="15">
      <c r="A15" s="17" t="n"/>
      <c r="B15" s="17" t="n"/>
      <c r="C15" s="17" t="n"/>
      <c r="D15" s="17" t="n"/>
      <c r="E15" s="17" t="n"/>
      <c r="F15" s="17" t="n"/>
      <c r="G15" s="17" t="n"/>
      <c r="H15" s="17" t="n"/>
      <c r="I15" s="17" t="n"/>
      <c r="J15" s="18">
        <f>IF(B15="","",VALUE(LEFT(E15,1))+VALUE(LEFT(F15,1))+VALUE(LEFT(G15,1))+VALUE(LEFT(H15,1))+VALUE(LEFT(I15,1)))</f>
        <v/>
      </c>
      <c r="K15" s="17">
        <f>IF(J15="","",IF(I15="Security Team (4)","Tier 6",IF(OR(F15="Admin (3)",F15="Super Admin (4)"),"Tier 5",IF(F15="Power User (2)","Tier 4",IF(E15="Confidential (3)","Tier 3",IF(J15&gt;=8,"Tier 7","Tier 1"))))))</f>
        <v/>
      </c>
      <c r="L15" s="17" t="n"/>
    </row>
    <row r="16">
      <c r="A16" s="17" t="n"/>
      <c r="B16" s="17" t="n"/>
      <c r="C16" s="17" t="n"/>
      <c r="D16" s="17" t="n"/>
      <c r="E16" s="17" t="n"/>
      <c r="F16" s="17" t="n"/>
      <c r="G16" s="17" t="n"/>
      <c r="H16" s="17" t="n"/>
      <c r="I16" s="17" t="n"/>
      <c r="J16" s="18">
        <f>IF(B16="","",VALUE(LEFT(E16,1))+VALUE(LEFT(F16,1))+VALUE(LEFT(G16,1))+VALUE(LEFT(H16,1))+VALUE(LEFT(I16,1)))</f>
        <v/>
      </c>
      <c r="K16" s="17">
        <f>IF(J16="","",IF(I16="Security Team (4)","Tier 6",IF(OR(F16="Admin (3)",F16="Super Admin (4)"),"Tier 5",IF(F16="Power User (2)","Tier 4",IF(E16="Confidential (3)","Tier 3",IF(J16&gt;=8,"Tier 7","Tier 1"))))))</f>
        <v/>
      </c>
      <c r="L16" s="17" t="n"/>
    </row>
    <row r="17">
      <c r="A17" s="17" t="n"/>
      <c r="B17" s="17" t="n"/>
      <c r="C17" s="17" t="n"/>
      <c r="D17" s="17" t="n"/>
      <c r="E17" s="17" t="n"/>
      <c r="F17" s="17" t="n"/>
      <c r="G17" s="17" t="n"/>
      <c r="H17" s="17" t="n"/>
      <c r="I17" s="17" t="n"/>
      <c r="J17" s="18">
        <f>IF(B17="","",VALUE(LEFT(E17,1))+VALUE(LEFT(F17,1))+VALUE(LEFT(G17,1))+VALUE(LEFT(H17,1))+VALUE(LEFT(I17,1)))</f>
        <v/>
      </c>
      <c r="K17" s="17">
        <f>IF(J17="","",IF(I17="Security Team (4)","Tier 6",IF(OR(F17="Admin (3)",F17="Super Admin (4)"),"Tier 5",IF(F17="Power User (2)","Tier 4",IF(E17="Confidential (3)","Tier 3",IF(J17&gt;=8,"Tier 7","Tier 1"))))))</f>
        <v/>
      </c>
      <c r="L17" s="17" t="n"/>
    </row>
    <row r="18">
      <c r="A18" s="17" t="n"/>
      <c r="B18" s="17" t="n"/>
      <c r="C18" s="17" t="n"/>
      <c r="D18" s="17" t="n"/>
      <c r="E18" s="17" t="n"/>
      <c r="F18" s="17" t="n"/>
      <c r="G18" s="17" t="n"/>
      <c r="H18" s="17" t="n"/>
      <c r="I18" s="17" t="n"/>
      <c r="J18" s="18">
        <f>IF(B18="","",VALUE(LEFT(E18,1))+VALUE(LEFT(F18,1))+VALUE(LEFT(G18,1))+VALUE(LEFT(H18,1))+VALUE(LEFT(I18,1)))</f>
        <v/>
      </c>
      <c r="K18" s="17">
        <f>IF(J18="","",IF(I18="Security Team (4)","Tier 6",IF(OR(F18="Admin (3)",F18="Super Admin (4)"),"Tier 5",IF(F18="Power User (2)","Tier 4",IF(E18="Confidential (3)","Tier 3",IF(J18&gt;=8,"Tier 7","Tier 1"))))))</f>
        <v/>
      </c>
      <c r="L18" s="17" t="n"/>
    </row>
    <row r="19">
      <c r="A19" s="17" t="n"/>
      <c r="B19" s="17" t="n"/>
      <c r="C19" s="17" t="n"/>
      <c r="D19" s="17" t="n"/>
      <c r="E19" s="17" t="n"/>
      <c r="F19" s="17" t="n"/>
      <c r="G19" s="17" t="n"/>
      <c r="H19" s="17" t="n"/>
      <c r="I19" s="17" t="n"/>
      <c r="J19" s="18">
        <f>IF(B19="","",VALUE(LEFT(E19,1))+VALUE(LEFT(F19,1))+VALUE(LEFT(G19,1))+VALUE(LEFT(H19,1))+VALUE(LEFT(I19,1)))</f>
        <v/>
      </c>
      <c r="K19" s="17">
        <f>IF(J19="","",IF(I19="Security Team (4)","Tier 6",IF(OR(F19="Admin (3)",F19="Super Admin (4)"),"Tier 5",IF(F19="Power User (2)","Tier 4",IF(E19="Confidential (3)","Tier 3",IF(J19&gt;=8,"Tier 7","Tier 1"))))))</f>
        <v/>
      </c>
      <c r="L19" s="17" t="n"/>
    </row>
    <row r="20">
      <c r="A20" s="17" t="n"/>
      <c r="B20" s="17" t="n"/>
      <c r="C20" s="17" t="n"/>
      <c r="D20" s="17" t="n"/>
      <c r="E20" s="17" t="n"/>
      <c r="F20" s="17" t="n"/>
      <c r="G20" s="17" t="n"/>
      <c r="H20" s="17" t="n"/>
      <c r="I20" s="17" t="n"/>
      <c r="J20" s="18">
        <f>IF(B20="","",VALUE(LEFT(E20,1))+VALUE(LEFT(F20,1))+VALUE(LEFT(G20,1))+VALUE(LEFT(H20,1))+VALUE(LEFT(I20,1)))</f>
        <v/>
      </c>
      <c r="K20" s="17">
        <f>IF(J20="","",IF(I20="Security Team (4)","Tier 6",IF(OR(F20="Admin (3)",F20="Super Admin (4)"),"Tier 5",IF(F20="Power User (2)","Tier 4",IF(E20="Confidential (3)","Tier 3",IF(J20&gt;=8,"Tier 7","Tier 1"))))))</f>
        <v/>
      </c>
      <c r="L20" s="17" t="n"/>
    </row>
    <row r="21">
      <c r="A21" s="17" t="n"/>
      <c r="B21" s="17" t="n"/>
      <c r="C21" s="17" t="n"/>
      <c r="D21" s="17" t="n"/>
      <c r="E21" s="17" t="n"/>
      <c r="F21" s="17" t="n"/>
      <c r="G21" s="17" t="n"/>
      <c r="H21" s="17" t="n"/>
      <c r="I21" s="17" t="n"/>
      <c r="J21" s="18">
        <f>IF(B21="","",VALUE(LEFT(E21,1))+VALUE(LEFT(F21,1))+VALUE(LEFT(G21,1))+VALUE(LEFT(H21,1))+VALUE(LEFT(I21,1)))</f>
        <v/>
      </c>
      <c r="K21" s="17">
        <f>IF(J21="","",IF(I21="Security Team (4)","Tier 6",IF(OR(F21="Admin (3)",F21="Super Admin (4)"),"Tier 5",IF(F21="Power User (2)","Tier 4",IF(E21="Confidential (3)","Tier 3",IF(J21&gt;=8,"Tier 7","Tier 1"))))))</f>
        <v/>
      </c>
      <c r="L21" s="17" t="n"/>
    </row>
    <row r="22">
      <c r="A22" s="17" t="n"/>
      <c r="B22" s="17" t="n"/>
      <c r="C22" s="17" t="n"/>
      <c r="D22" s="17" t="n"/>
      <c r="E22" s="17" t="n"/>
      <c r="F22" s="17" t="n"/>
      <c r="G22" s="17" t="n"/>
      <c r="H22" s="17" t="n"/>
      <c r="I22" s="17" t="n"/>
      <c r="J22" s="18">
        <f>IF(B22="","",VALUE(LEFT(E22,1))+VALUE(LEFT(F22,1))+VALUE(LEFT(G22,1))+VALUE(LEFT(H22,1))+VALUE(LEFT(I22,1)))</f>
        <v/>
      </c>
      <c r="K22" s="17">
        <f>IF(J22="","",IF(I22="Security Team (4)","Tier 6",IF(OR(F22="Admin (3)",F22="Super Admin (4)"),"Tier 5",IF(F22="Power User (2)","Tier 4",IF(E22="Confidential (3)","Tier 3",IF(J22&gt;=8,"Tier 7","Tier 1"))))))</f>
        <v/>
      </c>
      <c r="L22" s="17" t="n"/>
    </row>
    <row r="23">
      <c r="A23" s="17" t="n"/>
      <c r="B23" s="17" t="n"/>
      <c r="C23" s="17" t="n"/>
      <c r="D23" s="17" t="n"/>
      <c r="E23" s="17" t="n"/>
      <c r="F23" s="17" t="n"/>
      <c r="G23" s="17" t="n"/>
      <c r="H23" s="17" t="n"/>
      <c r="I23" s="17" t="n"/>
      <c r="J23" s="18">
        <f>IF(B23="","",VALUE(LEFT(E23,1))+VALUE(LEFT(F23,1))+VALUE(LEFT(G23,1))+VALUE(LEFT(H23,1))+VALUE(LEFT(I23,1)))</f>
        <v/>
      </c>
      <c r="K23" s="17">
        <f>IF(J23="","",IF(I23="Security Team (4)","Tier 6",IF(OR(F23="Admin (3)",F23="Super Admin (4)"),"Tier 5",IF(F23="Power User (2)","Tier 4",IF(E23="Confidential (3)","Tier 3",IF(J23&gt;=8,"Tier 7","Tier 1"))))))</f>
        <v/>
      </c>
      <c r="L23" s="17" t="n"/>
    </row>
    <row r="24">
      <c r="A24" s="17" t="n"/>
      <c r="B24" s="17" t="n"/>
      <c r="C24" s="17" t="n"/>
      <c r="D24" s="17" t="n"/>
      <c r="E24" s="17" t="n"/>
      <c r="F24" s="17" t="n"/>
      <c r="G24" s="17" t="n"/>
      <c r="H24" s="17" t="n"/>
      <c r="I24" s="17" t="n"/>
      <c r="J24" s="18">
        <f>IF(B24="","",VALUE(LEFT(E24,1))+VALUE(LEFT(F24,1))+VALUE(LEFT(G24,1))+VALUE(LEFT(H24,1))+VALUE(LEFT(I24,1)))</f>
        <v/>
      </c>
      <c r="K24" s="17">
        <f>IF(J24="","",IF(I24="Security Team (4)","Tier 6",IF(OR(F24="Admin (3)",F24="Super Admin (4)"),"Tier 5",IF(F24="Power User (2)","Tier 4",IF(E24="Confidential (3)","Tier 3",IF(J24&gt;=8,"Tier 7","Tier 1"))))))</f>
        <v/>
      </c>
      <c r="L24" s="17" t="n"/>
    </row>
    <row r="25">
      <c r="A25" s="17" t="n"/>
      <c r="B25" s="17" t="n"/>
      <c r="C25" s="17" t="n"/>
      <c r="D25" s="17" t="n"/>
      <c r="E25" s="17" t="n"/>
      <c r="F25" s="17" t="n"/>
      <c r="G25" s="17" t="n"/>
      <c r="H25" s="17" t="n"/>
      <c r="I25" s="17" t="n"/>
      <c r="J25" s="18">
        <f>IF(B25="","",VALUE(LEFT(E25,1))+VALUE(LEFT(F25,1))+VALUE(LEFT(G25,1))+VALUE(LEFT(H25,1))+VALUE(LEFT(I25,1)))</f>
        <v/>
      </c>
      <c r="K25" s="17">
        <f>IF(J25="","",IF(I25="Security Team (4)","Tier 6",IF(OR(F25="Admin (3)",F25="Super Admin (4)"),"Tier 5",IF(F25="Power User (2)","Tier 4",IF(E25="Confidential (3)","Tier 3",IF(J25&gt;=8,"Tier 7","Tier 1"))))))</f>
        <v/>
      </c>
      <c r="L25" s="17" t="n"/>
    </row>
    <row r="26">
      <c r="A26" s="17" t="n"/>
      <c r="B26" s="17" t="n"/>
      <c r="C26" s="17" t="n"/>
      <c r="D26" s="17" t="n"/>
      <c r="E26" s="17" t="n"/>
      <c r="F26" s="17" t="n"/>
      <c r="G26" s="17" t="n"/>
      <c r="H26" s="17" t="n"/>
      <c r="I26" s="17" t="n"/>
      <c r="J26" s="18">
        <f>IF(B26="","",VALUE(LEFT(E26,1))+VALUE(LEFT(F26,1))+VALUE(LEFT(G26,1))+VALUE(LEFT(H26,1))+VALUE(LEFT(I26,1)))</f>
        <v/>
      </c>
      <c r="K26" s="17">
        <f>IF(J26="","",IF(I26="Security Team (4)","Tier 6",IF(OR(F26="Admin (3)",F26="Super Admin (4)"),"Tier 5",IF(F26="Power User (2)","Tier 4",IF(E26="Confidential (3)","Tier 3",IF(J26&gt;=8,"Tier 7","Tier 1"))))))</f>
        <v/>
      </c>
      <c r="L26" s="17" t="n"/>
    </row>
    <row r="27">
      <c r="A27" s="17" t="n"/>
      <c r="B27" s="17" t="n"/>
      <c r="C27" s="17" t="n"/>
      <c r="D27" s="17" t="n"/>
      <c r="E27" s="17" t="n"/>
      <c r="F27" s="17" t="n"/>
      <c r="G27" s="17" t="n"/>
      <c r="H27" s="17" t="n"/>
      <c r="I27" s="17" t="n"/>
      <c r="J27" s="18">
        <f>IF(B27="","",VALUE(LEFT(E27,1))+VALUE(LEFT(F27,1))+VALUE(LEFT(G27,1))+VALUE(LEFT(H27,1))+VALUE(LEFT(I27,1)))</f>
        <v/>
      </c>
      <c r="K27" s="17">
        <f>IF(J27="","",IF(I27="Security Team (4)","Tier 6",IF(OR(F27="Admin (3)",F27="Super Admin (4)"),"Tier 5",IF(F27="Power User (2)","Tier 4",IF(E27="Confidential (3)","Tier 3",IF(J27&gt;=8,"Tier 7","Tier 1"))))))</f>
        <v/>
      </c>
      <c r="L27" s="17" t="n"/>
    </row>
    <row r="28">
      <c r="A28" s="17" t="n"/>
      <c r="B28" s="17" t="n"/>
      <c r="C28" s="17" t="n"/>
      <c r="D28" s="17" t="n"/>
      <c r="E28" s="17" t="n"/>
      <c r="F28" s="17" t="n"/>
      <c r="G28" s="17" t="n"/>
      <c r="H28" s="17" t="n"/>
      <c r="I28" s="17" t="n"/>
      <c r="J28" s="18">
        <f>IF(B28="","",VALUE(LEFT(E28,1))+VALUE(LEFT(F28,1))+VALUE(LEFT(G28,1))+VALUE(LEFT(H28,1))+VALUE(LEFT(I28,1)))</f>
        <v/>
      </c>
      <c r="K28" s="17">
        <f>IF(J28="","",IF(I28="Security Team (4)","Tier 6",IF(OR(F28="Admin (3)",F28="Super Admin (4)"),"Tier 5",IF(F28="Power User (2)","Tier 4",IF(E28="Confidential (3)","Tier 3",IF(J28&gt;=8,"Tier 7","Tier 1"))))))</f>
        <v/>
      </c>
      <c r="L28" s="17" t="n"/>
    </row>
    <row r="29">
      <c r="A29" s="17" t="n"/>
      <c r="B29" s="17" t="n"/>
      <c r="C29" s="17" t="n"/>
      <c r="D29" s="17" t="n"/>
      <c r="E29" s="17" t="n"/>
      <c r="F29" s="17" t="n"/>
      <c r="G29" s="17" t="n"/>
      <c r="H29" s="17" t="n"/>
      <c r="I29" s="17" t="n"/>
      <c r="J29" s="18">
        <f>IF(B29="","",VALUE(LEFT(E29,1))+VALUE(LEFT(F29,1))+VALUE(LEFT(G29,1))+VALUE(LEFT(H29,1))+VALUE(LEFT(I29,1)))</f>
        <v/>
      </c>
      <c r="K29" s="17">
        <f>IF(J29="","",IF(I29="Security Team (4)","Tier 6",IF(OR(F29="Admin (3)",F29="Super Admin (4)"),"Tier 5",IF(F29="Power User (2)","Tier 4",IF(E29="Confidential (3)","Tier 3",IF(J29&gt;=8,"Tier 7","Tier 1"))))))</f>
        <v/>
      </c>
      <c r="L29" s="17" t="n"/>
    </row>
    <row r="30">
      <c r="A30" s="17" t="n"/>
      <c r="B30" s="17" t="n"/>
      <c r="C30" s="17" t="n"/>
      <c r="D30" s="17" t="n"/>
      <c r="E30" s="17" t="n"/>
      <c r="F30" s="17" t="n"/>
      <c r="G30" s="17" t="n"/>
      <c r="H30" s="17" t="n"/>
      <c r="I30" s="17" t="n"/>
      <c r="J30" s="18">
        <f>IF(B30="","",VALUE(LEFT(E30,1))+VALUE(LEFT(F30,1))+VALUE(LEFT(G30,1))+VALUE(LEFT(H30,1))+VALUE(LEFT(I30,1)))</f>
        <v/>
      </c>
      <c r="K30" s="17">
        <f>IF(J30="","",IF(I30="Security Team (4)","Tier 6",IF(OR(F30="Admin (3)",F30="Super Admin (4)"),"Tier 5",IF(F30="Power User (2)","Tier 4",IF(E30="Confidential (3)","Tier 3",IF(J30&gt;=8,"Tier 7","Tier 1"))))))</f>
        <v/>
      </c>
      <c r="L30" s="17" t="n"/>
    </row>
    <row r="31">
      <c r="A31" s="17" t="n"/>
      <c r="B31" s="17" t="n"/>
      <c r="C31" s="17" t="n"/>
      <c r="D31" s="17" t="n"/>
      <c r="E31" s="17" t="n"/>
      <c r="F31" s="17" t="n"/>
      <c r="G31" s="17" t="n"/>
      <c r="H31" s="17" t="n"/>
      <c r="I31" s="17" t="n"/>
      <c r="J31" s="18">
        <f>IF(B31="","",VALUE(LEFT(E31,1))+VALUE(LEFT(F31,1))+VALUE(LEFT(G31,1))+VALUE(LEFT(H31,1))+VALUE(LEFT(I31,1)))</f>
        <v/>
      </c>
      <c r="K31" s="17">
        <f>IF(J31="","",IF(I31="Security Team (4)","Tier 6",IF(OR(F31="Admin (3)",F31="Super Admin (4)"),"Tier 5",IF(F31="Power User (2)","Tier 4",IF(E31="Confidential (3)","Tier 3",IF(J31&gt;=8,"Tier 7","Tier 1"))))))</f>
        <v/>
      </c>
      <c r="L31" s="17" t="n"/>
    </row>
    <row r="32">
      <c r="A32" s="17" t="n"/>
      <c r="B32" s="17" t="n"/>
      <c r="C32" s="17" t="n"/>
      <c r="D32" s="17" t="n"/>
      <c r="E32" s="17" t="n"/>
      <c r="F32" s="17" t="n"/>
      <c r="G32" s="17" t="n"/>
      <c r="H32" s="17" t="n"/>
      <c r="I32" s="17" t="n"/>
      <c r="J32" s="18">
        <f>IF(B32="","",VALUE(LEFT(E32,1))+VALUE(LEFT(F32,1))+VALUE(LEFT(G32,1))+VALUE(LEFT(H32,1))+VALUE(LEFT(I32,1)))</f>
        <v/>
      </c>
      <c r="K32" s="17">
        <f>IF(J32="","",IF(I32="Security Team (4)","Tier 6",IF(OR(F32="Admin (3)",F32="Super Admin (4)"),"Tier 5",IF(F32="Power User (2)","Tier 4",IF(E32="Confidential (3)","Tier 3",IF(J32&gt;=8,"Tier 7","Tier 1"))))))</f>
        <v/>
      </c>
      <c r="L32" s="17" t="n"/>
    </row>
    <row r="33">
      <c r="A33" s="17" t="n"/>
      <c r="B33" s="17" t="n"/>
      <c r="C33" s="17" t="n"/>
      <c r="D33" s="17" t="n"/>
      <c r="E33" s="17" t="n"/>
      <c r="F33" s="17" t="n"/>
      <c r="G33" s="17" t="n"/>
      <c r="H33" s="17" t="n"/>
      <c r="I33" s="17" t="n"/>
      <c r="J33" s="18">
        <f>IF(B33="","",VALUE(LEFT(E33,1))+VALUE(LEFT(F33,1))+VALUE(LEFT(G33,1))+VALUE(LEFT(H33,1))+VALUE(LEFT(I33,1)))</f>
        <v/>
      </c>
      <c r="K33" s="17">
        <f>IF(J33="","",IF(I33="Security Team (4)","Tier 6",IF(OR(F33="Admin (3)",F33="Super Admin (4)"),"Tier 5",IF(F33="Power User (2)","Tier 4",IF(E33="Confidential (3)","Tier 3",IF(J33&gt;=8,"Tier 7","Tier 1"))))))</f>
        <v/>
      </c>
      <c r="L33" s="17" t="n"/>
    </row>
    <row r="34">
      <c r="A34" s="17" t="n"/>
      <c r="B34" s="17" t="n"/>
      <c r="C34" s="17" t="n"/>
      <c r="D34" s="17" t="n"/>
      <c r="E34" s="17" t="n"/>
      <c r="F34" s="17" t="n"/>
      <c r="G34" s="17" t="n"/>
      <c r="H34" s="17" t="n"/>
      <c r="I34" s="17" t="n"/>
      <c r="J34" s="18">
        <f>IF(B34="","",VALUE(LEFT(E34,1))+VALUE(LEFT(F34,1))+VALUE(LEFT(G34,1))+VALUE(LEFT(H34,1))+VALUE(LEFT(I34,1)))</f>
        <v/>
      </c>
      <c r="K34" s="17">
        <f>IF(J34="","",IF(I34="Security Team (4)","Tier 6",IF(OR(F34="Admin (3)",F34="Super Admin (4)"),"Tier 5",IF(F34="Power User (2)","Tier 4",IF(E34="Confidential (3)","Tier 3",IF(J34&gt;=8,"Tier 7","Tier 1"))))))</f>
        <v/>
      </c>
      <c r="L34" s="17" t="n"/>
    </row>
    <row r="35">
      <c r="A35" s="17" t="n"/>
      <c r="B35" s="17" t="n"/>
      <c r="C35" s="17" t="n"/>
      <c r="D35" s="17" t="n"/>
      <c r="E35" s="17" t="n"/>
      <c r="F35" s="17" t="n"/>
      <c r="G35" s="17" t="n"/>
      <c r="H35" s="17" t="n"/>
      <c r="I35" s="17" t="n"/>
      <c r="J35" s="18">
        <f>IF(B35="","",VALUE(LEFT(E35,1))+VALUE(LEFT(F35,1))+VALUE(LEFT(G35,1))+VALUE(LEFT(H35,1))+VALUE(LEFT(I35,1)))</f>
        <v/>
      </c>
      <c r="K35" s="17">
        <f>IF(J35="","",IF(I35="Security Team (4)","Tier 6",IF(OR(F35="Admin (3)",F35="Super Admin (4)"),"Tier 5",IF(F35="Power User (2)","Tier 4",IF(E35="Confidential (3)","Tier 3",IF(J35&gt;=8,"Tier 7","Tier 1"))))))</f>
        <v/>
      </c>
      <c r="L35" s="17" t="n"/>
    </row>
    <row r="36">
      <c r="A36" s="17" t="n"/>
      <c r="B36" s="17" t="n"/>
      <c r="C36" s="17" t="n"/>
      <c r="D36" s="17" t="n"/>
      <c r="E36" s="17" t="n"/>
      <c r="F36" s="17" t="n"/>
      <c r="G36" s="17" t="n"/>
      <c r="H36" s="17" t="n"/>
      <c r="I36" s="17" t="n"/>
      <c r="J36" s="18">
        <f>IF(B36="","",VALUE(LEFT(E36,1))+VALUE(LEFT(F36,1))+VALUE(LEFT(G36,1))+VALUE(LEFT(H36,1))+VALUE(LEFT(I36,1)))</f>
        <v/>
      </c>
      <c r="K36" s="17">
        <f>IF(J36="","",IF(I36="Security Team (4)","Tier 6",IF(OR(F36="Admin (3)",F36="Super Admin (4)"),"Tier 5",IF(F36="Power User (2)","Tier 4",IF(E36="Confidential (3)","Tier 3",IF(J36&gt;=8,"Tier 7","Tier 1"))))))</f>
        <v/>
      </c>
      <c r="L36" s="17" t="n"/>
    </row>
    <row r="37">
      <c r="A37" s="17" t="n"/>
      <c r="B37" s="17" t="n"/>
      <c r="C37" s="17" t="n"/>
      <c r="D37" s="17" t="n"/>
      <c r="E37" s="17" t="n"/>
      <c r="F37" s="17" t="n"/>
      <c r="G37" s="17" t="n"/>
      <c r="H37" s="17" t="n"/>
      <c r="I37" s="17" t="n"/>
      <c r="J37" s="18">
        <f>IF(B37="","",VALUE(LEFT(E37,1))+VALUE(LEFT(F37,1))+VALUE(LEFT(G37,1))+VALUE(LEFT(H37,1))+VALUE(LEFT(I37,1)))</f>
        <v/>
      </c>
      <c r="K37" s="17">
        <f>IF(J37="","",IF(I37="Security Team (4)","Tier 6",IF(OR(F37="Admin (3)",F37="Super Admin (4)"),"Tier 5",IF(F37="Power User (2)","Tier 4",IF(E37="Confidential (3)","Tier 3",IF(J37&gt;=8,"Tier 7","Tier 1"))))))</f>
        <v/>
      </c>
      <c r="L37" s="17" t="n"/>
    </row>
    <row r="38">
      <c r="A38" s="17" t="n"/>
      <c r="B38" s="17" t="n"/>
      <c r="C38" s="17" t="n"/>
      <c r="D38" s="17" t="n"/>
      <c r="E38" s="17" t="n"/>
      <c r="F38" s="17" t="n"/>
      <c r="G38" s="17" t="n"/>
      <c r="H38" s="17" t="n"/>
      <c r="I38" s="17" t="n"/>
      <c r="J38" s="18">
        <f>IF(B38="","",VALUE(LEFT(E38,1))+VALUE(LEFT(F38,1))+VALUE(LEFT(G38,1))+VALUE(LEFT(H38,1))+VALUE(LEFT(I38,1)))</f>
        <v/>
      </c>
      <c r="K38" s="17">
        <f>IF(J38="","",IF(I38="Security Team (4)","Tier 6",IF(OR(F38="Admin (3)",F38="Super Admin (4)"),"Tier 5",IF(F38="Power User (2)","Tier 4",IF(E38="Confidential (3)","Tier 3",IF(J38&gt;=8,"Tier 7","Tier 1"))))))</f>
        <v/>
      </c>
      <c r="L38" s="17" t="n"/>
    </row>
    <row r="39">
      <c r="A39" s="17" t="n"/>
      <c r="B39" s="17" t="n"/>
      <c r="C39" s="17" t="n"/>
      <c r="D39" s="17" t="n"/>
      <c r="E39" s="17" t="n"/>
      <c r="F39" s="17" t="n"/>
      <c r="G39" s="17" t="n"/>
      <c r="H39" s="17" t="n"/>
      <c r="I39" s="17" t="n"/>
      <c r="J39" s="18">
        <f>IF(B39="","",VALUE(LEFT(E39,1))+VALUE(LEFT(F39,1))+VALUE(LEFT(G39,1))+VALUE(LEFT(H39,1))+VALUE(LEFT(I39,1)))</f>
        <v/>
      </c>
      <c r="K39" s="17">
        <f>IF(J39="","",IF(I39="Security Team (4)","Tier 6",IF(OR(F39="Admin (3)",F39="Super Admin (4)"),"Tier 5",IF(F39="Power User (2)","Tier 4",IF(E39="Confidential (3)","Tier 3",IF(J39&gt;=8,"Tier 7","Tier 1"))))))</f>
        <v/>
      </c>
      <c r="L39" s="17" t="n"/>
    </row>
    <row r="40">
      <c r="A40" s="17" t="n"/>
      <c r="B40" s="17" t="n"/>
      <c r="C40" s="17" t="n"/>
      <c r="D40" s="17" t="n"/>
      <c r="E40" s="17" t="n"/>
      <c r="F40" s="17" t="n"/>
      <c r="G40" s="17" t="n"/>
      <c r="H40" s="17" t="n"/>
      <c r="I40" s="17" t="n"/>
      <c r="J40" s="18">
        <f>IF(B40="","",VALUE(LEFT(E40,1))+VALUE(LEFT(F40,1))+VALUE(LEFT(G40,1))+VALUE(LEFT(H40,1))+VALUE(LEFT(I40,1)))</f>
        <v/>
      </c>
      <c r="K40" s="17">
        <f>IF(J40="","",IF(I40="Security Team (4)","Tier 6",IF(OR(F40="Admin (3)",F40="Super Admin (4)"),"Tier 5",IF(F40="Power User (2)","Tier 4",IF(E40="Confidential (3)","Tier 3",IF(J40&gt;=8,"Tier 7","Tier 1"))))))</f>
        <v/>
      </c>
      <c r="L40" s="17" t="n"/>
    </row>
    <row r="41">
      <c r="A41" s="17" t="n"/>
      <c r="B41" s="17" t="n"/>
      <c r="C41" s="17" t="n"/>
      <c r="D41" s="17" t="n"/>
      <c r="E41" s="17" t="n"/>
      <c r="F41" s="17" t="n"/>
      <c r="G41" s="17" t="n"/>
      <c r="H41" s="17" t="n"/>
      <c r="I41" s="17" t="n"/>
      <c r="J41" s="18">
        <f>IF(B41="","",VALUE(LEFT(E41,1))+VALUE(LEFT(F41,1))+VALUE(LEFT(G41,1))+VALUE(LEFT(H41,1))+VALUE(LEFT(I41,1)))</f>
        <v/>
      </c>
      <c r="K41" s="17">
        <f>IF(J41="","",IF(I41="Security Team (4)","Tier 6",IF(OR(F41="Admin (3)",F41="Super Admin (4)"),"Tier 5",IF(F41="Power User (2)","Tier 4",IF(E41="Confidential (3)","Tier 3",IF(J41&gt;=8,"Tier 7","Tier 1"))))))</f>
        <v/>
      </c>
      <c r="L41" s="17" t="n"/>
    </row>
    <row r="42">
      <c r="A42" s="17" t="n"/>
      <c r="B42" s="17" t="n"/>
      <c r="C42" s="17" t="n"/>
      <c r="D42" s="17" t="n"/>
      <c r="E42" s="17" t="n"/>
      <c r="F42" s="17" t="n"/>
      <c r="G42" s="17" t="n"/>
      <c r="H42" s="17" t="n"/>
      <c r="I42" s="17" t="n"/>
      <c r="J42" s="18">
        <f>IF(B42="","",VALUE(LEFT(E42,1))+VALUE(LEFT(F42,1))+VALUE(LEFT(G42,1))+VALUE(LEFT(H42,1))+VALUE(LEFT(I42,1)))</f>
        <v/>
      </c>
      <c r="K42" s="17">
        <f>IF(J42="","",IF(I42="Security Team (4)","Tier 6",IF(OR(F42="Admin (3)",F42="Super Admin (4)"),"Tier 5",IF(F42="Power User (2)","Tier 4",IF(E42="Confidential (3)","Tier 3",IF(J42&gt;=8,"Tier 7","Tier 1"))))))</f>
        <v/>
      </c>
      <c r="L42" s="17" t="n"/>
    </row>
    <row r="43">
      <c r="A43" s="17" t="n"/>
      <c r="B43" s="17" t="n"/>
      <c r="C43" s="17" t="n"/>
      <c r="D43" s="17" t="n"/>
      <c r="E43" s="17" t="n"/>
      <c r="F43" s="17" t="n"/>
      <c r="G43" s="17" t="n"/>
      <c r="H43" s="17" t="n"/>
      <c r="I43" s="17" t="n"/>
      <c r="J43" s="18">
        <f>IF(B43="","",VALUE(LEFT(E43,1))+VALUE(LEFT(F43,1))+VALUE(LEFT(G43,1))+VALUE(LEFT(H43,1))+VALUE(LEFT(I43,1)))</f>
        <v/>
      </c>
      <c r="K43" s="17">
        <f>IF(J43="","",IF(I43="Security Team (4)","Tier 6",IF(OR(F43="Admin (3)",F43="Super Admin (4)"),"Tier 5",IF(F43="Power User (2)","Tier 4",IF(E43="Confidential (3)","Tier 3",IF(J43&gt;=8,"Tier 7","Tier 1"))))))</f>
        <v/>
      </c>
      <c r="L43" s="17" t="n"/>
    </row>
    <row r="44">
      <c r="A44" s="17" t="n"/>
      <c r="B44" s="17" t="n"/>
      <c r="C44" s="17" t="n"/>
      <c r="D44" s="17" t="n"/>
      <c r="E44" s="17" t="n"/>
      <c r="F44" s="17" t="n"/>
      <c r="G44" s="17" t="n"/>
      <c r="H44" s="17" t="n"/>
      <c r="I44" s="17" t="n"/>
      <c r="J44" s="18">
        <f>IF(B44="","",VALUE(LEFT(E44,1))+VALUE(LEFT(F44,1))+VALUE(LEFT(G44,1))+VALUE(LEFT(H44,1))+VALUE(LEFT(I44,1)))</f>
        <v/>
      </c>
      <c r="K44" s="17">
        <f>IF(J44="","",IF(I44="Security Team (4)","Tier 6",IF(OR(F44="Admin (3)",F44="Super Admin (4)"),"Tier 5",IF(F44="Power User (2)","Tier 4",IF(E44="Confidential (3)","Tier 3",IF(J44&gt;=8,"Tier 7","Tier 1"))))))</f>
        <v/>
      </c>
      <c r="L44" s="17" t="n"/>
    </row>
    <row r="45">
      <c r="A45" s="17" t="n"/>
      <c r="B45" s="17" t="n"/>
      <c r="C45" s="17" t="n"/>
      <c r="D45" s="17" t="n"/>
      <c r="E45" s="17" t="n"/>
      <c r="F45" s="17" t="n"/>
      <c r="G45" s="17" t="n"/>
      <c r="H45" s="17" t="n"/>
      <c r="I45" s="17" t="n"/>
      <c r="J45" s="18">
        <f>IF(B45="","",VALUE(LEFT(E45,1))+VALUE(LEFT(F45,1))+VALUE(LEFT(G45,1))+VALUE(LEFT(H45,1))+VALUE(LEFT(I45,1)))</f>
        <v/>
      </c>
      <c r="K45" s="17">
        <f>IF(J45="","",IF(I45="Security Team (4)","Tier 6",IF(OR(F45="Admin (3)",F45="Super Admin (4)"),"Tier 5",IF(F45="Power User (2)","Tier 4",IF(E45="Confidential (3)","Tier 3",IF(J45&gt;=8,"Tier 7","Tier 1"))))))</f>
        <v/>
      </c>
      <c r="L45" s="17" t="n"/>
    </row>
    <row r="46">
      <c r="A46" s="17" t="n"/>
      <c r="B46" s="17" t="n"/>
      <c r="C46" s="17" t="n"/>
      <c r="D46" s="17" t="n"/>
      <c r="E46" s="17" t="n"/>
      <c r="F46" s="17" t="n"/>
      <c r="G46" s="17" t="n"/>
      <c r="H46" s="17" t="n"/>
      <c r="I46" s="17" t="n"/>
      <c r="J46" s="18">
        <f>IF(B46="","",VALUE(LEFT(E46,1))+VALUE(LEFT(F46,1))+VALUE(LEFT(G46,1))+VALUE(LEFT(H46,1))+VALUE(LEFT(I46,1)))</f>
        <v/>
      </c>
      <c r="K46" s="17">
        <f>IF(J46="","",IF(I46="Security Team (4)","Tier 6",IF(OR(F46="Admin (3)",F46="Super Admin (4)"),"Tier 5",IF(F46="Power User (2)","Tier 4",IF(E46="Confidential (3)","Tier 3",IF(J46&gt;=8,"Tier 7","Tier 1"))))))</f>
        <v/>
      </c>
      <c r="L46" s="17" t="n"/>
    </row>
    <row r="47">
      <c r="A47" s="17" t="n"/>
      <c r="B47" s="17" t="n"/>
      <c r="C47" s="17" t="n"/>
      <c r="D47" s="17" t="n"/>
      <c r="E47" s="17" t="n"/>
      <c r="F47" s="17" t="n"/>
      <c r="G47" s="17" t="n"/>
      <c r="H47" s="17" t="n"/>
      <c r="I47" s="17" t="n"/>
      <c r="J47" s="18">
        <f>IF(B47="","",VALUE(LEFT(E47,1))+VALUE(LEFT(F47,1))+VALUE(LEFT(G47,1))+VALUE(LEFT(H47,1))+VALUE(LEFT(I47,1)))</f>
        <v/>
      </c>
      <c r="K47" s="17">
        <f>IF(J47="","",IF(I47="Security Team (4)","Tier 6",IF(OR(F47="Admin (3)",F47="Super Admin (4)"),"Tier 5",IF(F47="Power User (2)","Tier 4",IF(E47="Confidential (3)","Tier 3",IF(J47&gt;=8,"Tier 7","Tier 1"))))))</f>
        <v/>
      </c>
      <c r="L47" s="17" t="n"/>
    </row>
    <row r="48">
      <c r="A48" s="17" t="n"/>
      <c r="B48" s="17" t="n"/>
      <c r="C48" s="17" t="n"/>
      <c r="D48" s="17" t="n"/>
      <c r="E48" s="17" t="n"/>
      <c r="F48" s="17" t="n"/>
      <c r="G48" s="17" t="n"/>
      <c r="H48" s="17" t="n"/>
      <c r="I48" s="17" t="n"/>
      <c r="J48" s="18">
        <f>IF(B48="","",VALUE(LEFT(E48,1))+VALUE(LEFT(F48,1))+VALUE(LEFT(G48,1))+VALUE(LEFT(H48,1))+VALUE(LEFT(I48,1)))</f>
        <v/>
      </c>
      <c r="K48" s="17">
        <f>IF(J48="","",IF(I48="Security Team (4)","Tier 6",IF(OR(F48="Admin (3)",F48="Super Admin (4)"),"Tier 5",IF(F48="Power User (2)","Tier 4",IF(E48="Confidential (3)","Tier 3",IF(J48&gt;=8,"Tier 7","Tier 1"))))))</f>
        <v/>
      </c>
      <c r="L48" s="17" t="n"/>
    </row>
    <row r="49">
      <c r="A49" s="17" t="n"/>
      <c r="B49" s="17" t="n"/>
      <c r="C49" s="17" t="n"/>
      <c r="D49" s="17" t="n"/>
      <c r="E49" s="17" t="n"/>
      <c r="F49" s="17" t="n"/>
      <c r="G49" s="17" t="n"/>
      <c r="H49" s="17" t="n"/>
      <c r="I49" s="17" t="n"/>
      <c r="J49" s="18">
        <f>IF(B49="","",VALUE(LEFT(E49,1))+VALUE(LEFT(F49,1))+VALUE(LEFT(G49,1))+VALUE(LEFT(H49,1))+VALUE(LEFT(I49,1)))</f>
        <v/>
      </c>
      <c r="K49" s="17">
        <f>IF(J49="","",IF(I49="Security Team (4)","Tier 6",IF(OR(F49="Admin (3)",F49="Super Admin (4)"),"Tier 5",IF(F49="Power User (2)","Tier 4",IF(E49="Confidential (3)","Tier 3",IF(J49&gt;=8,"Tier 7","Tier 1"))))))</f>
        <v/>
      </c>
      <c r="L49" s="17" t="n"/>
    </row>
    <row r="50">
      <c r="A50" s="17" t="n"/>
      <c r="B50" s="17" t="n"/>
      <c r="C50" s="17" t="n"/>
      <c r="D50" s="17" t="n"/>
      <c r="E50" s="17" t="n"/>
      <c r="F50" s="17" t="n"/>
      <c r="G50" s="17" t="n"/>
      <c r="H50" s="17" t="n"/>
      <c r="I50" s="17" t="n"/>
      <c r="J50" s="18">
        <f>IF(B50="","",VALUE(LEFT(E50,1))+VALUE(LEFT(F50,1))+VALUE(LEFT(G50,1))+VALUE(LEFT(H50,1))+VALUE(LEFT(I50,1)))</f>
        <v/>
      </c>
      <c r="K50" s="17">
        <f>IF(J50="","",IF(I50="Security Team (4)","Tier 6",IF(OR(F50="Admin (3)",F50="Super Admin (4)"),"Tier 5",IF(F50="Power User (2)","Tier 4",IF(E50="Confidential (3)","Tier 3",IF(J50&gt;=8,"Tier 7","Tier 1"))))))</f>
        <v/>
      </c>
      <c r="L50" s="17" t="n"/>
    </row>
    <row r="51">
      <c r="A51" s="17" t="n"/>
      <c r="B51" s="17" t="n"/>
      <c r="C51" s="17" t="n"/>
      <c r="D51" s="17" t="n"/>
      <c r="E51" s="17" t="n"/>
      <c r="F51" s="17" t="n"/>
      <c r="G51" s="17" t="n"/>
      <c r="H51" s="17" t="n"/>
      <c r="I51" s="17" t="n"/>
      <c r="J51" s="18">
        <f>IF(B51="","",VALUE(LEFT(E51,1))+VALUE(LEFT(F51,1))+VALUE(LEFT(G51,1))+VALUE(LEFT(H51,1))+VALUE(LEFT(I51,1)))</f>
        <v/>
      </c>
      <c r="K51" s="17">
        <f>IF(J51="","",IF(I51="Security Team (4)","Tier 6",IF(OR(F51="Admin (3)",F51="Super Admin (4)"),"Tier 5",IF(F51="Power User (2)","Tier 4",IF(E51="Confidential (3)","Tier 3",IF(J51&gt;=8,"Tier 7","Tier 1"))))))</f>
        <v/>
      </c>
      <c r="L51" s="17" t="n"/>
    </row>
    <row r="52">
      <c r="A52" s="17" t="n"/>
      <c r="B52" s="17" t="n"/>
      <c r="C52" s="17" t="n"/>
      <c r="D52" s="17" t="n"/>
      <c r="E52" s="17" t="n"/>
      <c r="F52" s="17" t="n"/>
      <c r="G52" s="17" t="n"/>
      <c r="H52" s="17" t="n"/>
      <c r="I52" s="17" t="n"/>
      <c r="J52" s="18">
        <f>IF(B52="","",VALUE(LEFT(E52,1))+VALUE(LEFT(F52,1))+VALUE(LEFT(G52,1))+VALUE(LEFT(H52,1))+VALUE(LEFT(I52,1)))</f>
        <v/>
      </c>
      <c r="K52" s="17">
        <f>IF(J52="","",IF(I52="Security Team (4)","Tier 6",IF(OR(F52="Admin (3)",F52="Super Admin (4)"),"Tier 5",IF(F52="Power User (2)","Tier 4",IF(E52="Confidential (3)","Tier 3",IF(J52&gt;=8,"Tier 7","Tier 1"))))))</f>
        <v/>
      </c>
      <c r="L52" s="17" t="n"/>
    </row>
    <row r="53">
      <c r="A53" s="17" t="n"/>
      <c r="B53" s="17" t="n"/>
      <c r="C53" s="17" t="n"/>
      <c r="D53" s="17" t="n"/>
      <c r="E53" s="17" t="n"/>
      <c r="F53" s="17" t="n"/>
      <c r="G53" s="17" t="n"/>
      <c r="H53" s="17" t="n"/>
      <c r="I53" s="17" t="n"/>
      <c r="J53" s="18">
        <f>IF(B53="","",VALUE(LEFT(E53,1))+VALUE(LEFT(F53,1))+VALUE(LEFT(G53,1))+VALUE(LEFT(H53,1))+VALUE(LEFT(I53,1)))</f>
        <v/>
      </c>
      <c r="K53" s="17">
        <f>IF(J53="","",IF(I53="Security Team (4)","Tier 6",IF(OR(F53="Admin (3)",F53="Super Admin (4)"),"Tier 5",IF(F53="Power User (2)","Tier 4",IF(E53="Confidential (3)","Tier 3",IF(J53&gt;=8,"Tier 7","Tier 1"))))))</f>
        <v/>
      </c>
      <c r="L53" s="17" t="n"/>
    </row>
    <row r="54">
      <c r="A54" s="17" t="n"/>
      <c r="B54" s="17" t="n"/>
      <c r="C54" s="17" t="n"/>
      <c r="D54" s="17" t="n"/>
      <c r="E54" s="17" t="n"/>
      <c r="F54" s="17" t="n"/>
      <c r="G54" s="17" t="n"/>
      <c r="H54" s="17" t="n"/>
      <c r="I54" s="17" t="n"/>
      <c r="J54" s="18">
        <f>IF(B54="","",VALUE(LEFT(E54,1))+VALUE(LEFT(F54,1))+VALUE(LEFT(G54,1))+VALUE(LEFT(H54,1))+VALUE(LEFT(I54,1)))</f>
        <v/>
      </c>
      <c r="K54" s="17">
        <f>IF(J54="","",IF(I54="Security Team (4)","Tier 6",IF(OR(F54="Admin (3)",F54="Super Admin (4)"),"Tier 5",IF(F54="Power User (2)","Tier 4",IF(E54="Confidential (3)","Tier 3",IF(J54&gt;=8,"Tier 7","Tier 1"))))))</f>
        <v/>
      </c>
      <c r="L54" s="17" t="n"/>
    </row>
  </sheetData>
  <mergeCells count="1">
    <mergeCell ref="A1:L1"/>
  </mergeCells>
  <dataValidations count="5">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"None (0),Public (1),Internal (2),Confidential (3),Restricted (4)"</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"None (0),User (1),Power User (2),Admin (3),Super Admin (4)"</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"None (0),Internal Only (1),Partner Access (2),Customer-Facing (3),Public-Facing (4)"</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"None (0),General (1),Industry-Specific (2),Multiple Regulations (3),Critical Infrastructure (4)"</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"None (0),Awareness Only (1),Incident Reporter (2),Security Champion (3),Security Team (4)"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30" customWidth="1" min="1" max="1"/>
    <col width="60" customWidth="1" min="2" max="2"/>
  </cols>
  <sheetData>
    <row r="1" ht="35" customHeight="1">
      <c r="A1" s="11" t="inlineStr">
        <is>
          <t>TIER CLASSIFICATION CRITERIA
Scoring matrix for training tier assignment</t>
        </is>
      </c>
    </row>
    <row r="3">
      <c r="A3" s="19" t="inlineStr">
        <is>
          <t>Scoring Criteria</t>
        </is>
      </c>
    </row>
    <row r="4">
      <c r="A4" s="13" t="inlineStr">
        <is>
          <t>Criterion</t>
        </is>
      </c>
      <c r="B4" s="13" t="inlineStr">
        <is>
          <t>Scoring Scale</t>
        </is>
      </c>
    </row>
    <row r="5">
      <c r="A5" s="6" t="inlineStr">
        <is>
          <t>Data Access Level</t>
        </is>
      </c>
      <c r="B5" s="6" t="inlineStr">
        <is>
          <t>None=0, Public=1, Internal=2, Confidential=3, Restricted=4</t>
        </is>
      </c>
    </row>
    <row r="6">
      <c r="A6" s="6" t="inlineStr">
        <is>
          <t>System Privileges</t>
        </is>
      </c>
      <c r="B6" s="6" t="inlineStr">
        <is>
          <t>None=0, User=1, Power User=2, Admin=3, Super Admin=4</t>
        </is>
      </c>
    </row>
    <row r="7">
      <c r="A7" s="6" t="inlineStr">
        <is>
          <t>External Exposure</t>
        </is>
      </c>
      <c r="B7" s="6" t="inlineStr">
        <is>
          <t>None=0, Internal Only=1, Partner Access=2, Customer-Facing=3, Public-Facing=4</t>
        </is>
      </c>
    </row>
    <row r="8">
      <c r="A8" s="6" t="inlineStr">
        <is>
          <t>Regulatory Scope</t>
        </is>
      </c>
      <c r="B8" s="6" t="inlineStr">
        <is>
          <t>None=0, General=1, Industry-Specific=2, Multiple Regulations=3, Critical Infrastructure=4</t>
        </is>
      </c>
    </row>
    <row r="9">
      <c r="A9" s="6" t="inlineStr">
        <is>
          <t>Security Role</t>
        </is>
      </c>
      <c r="B9" s="6" t="inlineStr">
        <is>
          <t>None=0, Awareness Only=1, Incident Reporter=2, Security Champion=3, Security Team=4</t>
        </is>
      </c>
    </row>
    <row r="12">
      <c r="A12" s="19" t="inlineStr">
        <is>
          <t>Tier Assignment Logic</t>
        </is>
      </c>
    </row>
    <row r="13">
      <c r="A13" s="13" t="inlineStr">
        <is>
          <t>Tier</t>
        </is>
      </c>
      <c r="B13" s="13" t="inlineStr">
        <is>
          <t>Assignment Criteria</t>
        </is>
      </c>
    </row>
    <row r="14">
      <c r="A14" s="6" t="inlineStr">
        <is>
          <t>Tier 7 - Management</t>
        </is>
      </c>
      <c r="B14" s="6" t="inlineStr">
        <is>
          <t>Total Score &gt;= 8 AND in management role</t>
        </is>
      </c>
    </row>
    <row r="15">
      <c r="A15" s="6" t="inlineStr">
        <is>
          <t>Tier 6 - Security Roles</t>
        </is>
      </c>
      <c r="B15" s="6" t="inlineStr">
        <is>
          <t>Security Role = Security Team (4)</t>
        </is>
      </c>
    </row>
    <row r="16">
      <c r="A16" s="6" t="inlineStr">
        <is>
          <t>Tier 5 - Privileged Users</t>
        </is>
      </c>
      <c r="B16" s="6" t="inlineStr">
        <is>
          <t>System Privileges = Admin (3) or Super Admin (4)</t>
        </is>
      </c>
    </row>
    <row r="17">
      <c r="A17" s="6" t="inlineStr">
        <is>
          <t>Tier 4 - Technical Staff</t>
        </is>
      </c>
      <c r="B17" s="6" t="inlineStr">
        <is>
          <t>System Privileges = Power User (2)</t>
        </is>
      </c>
    </row>
    <row r="18">
      <c r="A18" s="6" t="inlineStr">
        <is>
          <t>Tier 3 - Data Handlers</t>
        </is>
      </c>
      <c r="B18" s="6" t="inlineStr">
        <is>
          <t>Data Access Level = Confidential (3) or higher</t>
        </is>
      </c>
    </row>
    <row r="19">
      <c r="A19" s="6" t="inlineStr">
        <is>
          <t>Tier 2 - Contractor</t>
        </is>
      </c>
      <c r="B19" s="6" t="inlineStr">
        <is>
          <t>Employment Type = Contractor/Third-Party</t>
        </is>
      </c>
    </row>
    <row r="20">
      <c r="A20" s="6" t="inlineStr">
        <is>
          <t>Tier 1 - Baseline</t>
        </is>
      </c>
      <c r="B20" s="6" t="inlineStr">
        <is>
          <t>All other personnel (default)</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40" customWidth="1" min="3" max="3"/>
    <col width="18" customWidth="1" min="4" max="4"/>
    <col width="15" customWidth="1" min="5" max="5"/>
    <col width="18" customWidth="1" min="6" max="6"/>
  </cols>
  <sheetData>
    <row r="1" ht="35" customHeight="1">
      <c r="A1" s="11" t="inlineStr">
        <is>
          <t>TRAINING REQUIREMENTS BY TIER
Required modules per training tier</t>
        </is>
      </c>
    </row>
    <row r="3">
      <c r="A3" s="13" t="inlineStr">
        <is>
          <t>Tier</t>
        </is>
      </c>
      <c r="B3" s="13" t="inlineStr">
        <is>
          <t>Module ID</t>
        </is>
      </c>
      <c r="C3" s="13" t="inlineStr">
        <is>
          <t>Module Title</t>
        </is>
      </c>
      <c r="D3" s="13" t="inlineStr">
        <is>
          <t>Mandatory Optional</t>
        </is>
      </c>
      <c r="E3" s="13" t="inlineStr">
        <is>
          <t>Frequency</t>
        </is>
      </c>
      <c r="F3" s="13" t="inlineStr">
        <is>
          <t>Duration Minutes</t>
        </is>
      </c>
    </row>
    <row r="4">
      <c r="A4" s="20" t="inlineStr">
        <is>
          <t>Tier 1</t>
        </is>
      </c>
      <c r="B4" s="20" t="inlineStr">
        <is>
          <t>MOD-T1-001</t>
        </is>
      </c>
      <c r="C4" s="20" t="inlineStr">
        <is>
          <t>Information Security Fundamentals</t>
        </is>
      </c>
      <c r="D4" s="20" t="inlineStr">
        <is>
          <t>Mandatory</t>
        </is>
      </c>
      <c r="E4" s="20" t="inlineStr">
        <is>
          <t>Onboarding</t>
        </is>
      </c>
      <c r="F4" s="20" t="n">
        <v>30</v>
      </c>
    </row>
    <row r="5">
      <c r="A5" s="20" t="inlineStr">
        <is>
          <t>Tier 1</t>
        </is>
      </c>
      <c r="B5" s="20" t="inlineStr">
        <is>
          <t>MOD-T1-002</t>
        </is>
      </c>
      <c r="C5" s="20" t="inlineStr">
        <is>
          <t>Acceptable Use Policy</t>
        </is>
      </c>
      <c r="D5" s="20" t="inlineStr">
        <is>
          <t>Mandatory</t>
        </is>
      </c>
      <c r="E5" s="20" t="inlineStr">
        <is>
          <t>Annual</t>
        </is>
      </c>
      <c r="F5" s="20" t="n">
        <v>20</v>
      </c>
    </row>
    <row r="6">
      <c r="A6" s="20" t="inlineStr">
        <is>
          <t>Tier 1</t>
        </is>
      </c>
      <c r="B6" s="20" t="inlineStr">
        <is>
          <t>MOD-T1-003</t>
        </is>
      </c>
      <c r="C6" s="20" t="inlineStr">
        <is>
          <t>Data Classification and Handling</t>
        </is>
      </c>
      <c r="D6" s="20" t="inlineStr">
        <is>
          <t>Mandatory</t>
        </is>
      </c>
      <c r="E6" s="20" t="inlineStr">
        <is>
          <t>Annual</t>
        </is>
      </c>
      <c r="F6" s="20" t="n">
        <v>25</v>
      </c>
    </row>
    <row r="7">
      <c r="A7" s="20" t="inlineStr">
        <is>
          <t>Tier 1</t>
        </is>
      </c>
      <c r="B7" s="20" t="inlineStr">
        <is>
          <t>MOD-T1-004</t>
        </is>
      </c>
      <c r="C7" s="20" t="inlineStr">
        <is>
          <t>Password Security and Authentication</t>
        </is>
      </c>
      <c r="D7" s="20" t="inlineStr">
        <is>
          <t>Mandatory</t>
        </is>
      </c>
      <c r="E7" s="20" t="inlineStr">
        <is>
          <t>Annual</t>
        </is>
      </c>
      <c r="F7" s="20" t="n">
        <v>20</v>
      </c>
    </row>
    <row r="8">
      <c r="A8" s="20" t="inlineStr">
        <is>
          <t>Tier 1</t>
        </is>
      </c>
      <c r="B8" s="20" t="inlineStr">
        <is>
          <t>MOD-T1-005</t>
        </is>
      </c>
      <c r="C8" s="20" t="inlineStr">
        <is>
          <t>Phishing and Social Engineering</t>
        </is>
      </c>
      <c r="D8" s="20" t="inlineStr">
        <is>
          <t>Mandatory</t>
        </is>
      </c>
      <c r="E8" s="20" t="inlineStr">
        <is>
          <t>Annual</t>
        </is>
      </c>
      <c r="F8" s="20" t="n">
        <v>30</v>
      </c>
    </row>
    <row r="9">
      <c r="A9" s="20" t="inlineStr">
        <is>
          <t>Tier 1</t>
        </is>
      </c>
      <c r="B9" s="20" t="inlineStr">
        <is>
          <t>MOD-T1-006</t>
        </is>
      </c>
      <c r="C9" s="20" t="inlineStr">
        <is>
          <t>Security Incident Reporting</t>
        </is>
      </c>
      <c r="D9" s="20" t="inlineStr">
        <is>
          <t>Mandatory</t>
        </is>
      </c>
      <c r="E9" s="20" t="inlineStr">
        <is>
          <t>Onboarding</t>
        </is>
      </c>
      <c r="F9" s="20" t="n">
        <v>15</v>
      </c>
    </row>
    <row r="10">
      <c r="A10" s="20" t="inlineStr">
        <is>
          <t>Tier 1</t>
        </is>
      </c>
      <c r="B10" s="20" t="inlineStr">
        <is>
          <t>MOD-T1-007</t>
        </is>
      </c>
      <c r="C10" s="20" t="inlineStr">
        <is>
          <t>Physical Security Awareness</t>
        </is>
      </c>
      <c r="D10" s="20" t="inlineStr">
        <is>
          <t>Mandatory</t>
        </is>
      </c>
      <c r="E10" s="20" t="inlineStr">
        <is>
          <t>Annual</t>
        </is>
      </c>
      <c r="F10" s="20" t="n">
        <v>15</v>
      </c>
    </row>
    <row r="11">
      <c r="A11" s="20" t="inlineStr">
        <is>
          <t>Tier 1</t>
        </is>
      </c>
      <c r="B11" s="20" t="inlineStr">
        <is>
          <t>MOD-T1-008</t>
        </is>
      </c>
      <c r="C11" s="20" t="inlineStr">
        <is>
          <t>Remote Working Security</t>
        </is>
      </c>
      <c r="D11" s="20" t="inlineStr">
        <is>
          <t>Mandatory</t>
        </is>
      </c>
      <c r="E11" s="20" t="inlineStr">
        <is>
          <t>Annual</t>
        </is>
      </c>
      <c r="F11" s="20" t="n">
        <v>20</v>
      </c>
    </row>
    <row r="13">
      <c r="A13" s="21" t="inlineStr">
        <is>
          <t>Tier 3</t>
        </is>
      </c>
      <c r="B13" s="21" t="inlineStr">
        <is>
          <t>MOD-T3-001</t>
        </is>
      </c>
      <c r="C13" s="21" t="inlineStr">
        <is>
          <t>Privacy and Data Protection Fundamentals</t>
        </is>
      </c>
      <c r="D13" s="21" t="inlineStr">
        <is>
          <t>Mandatory</t>
        </is>
      </c>
      <c r="E13" s="21" t="inlineStr">
        <is>
          <t>Annual</t>
        </is>
      </c>
      <c r="F13" s="21" t="n">
        <v>45</v>
      </c>
    </row>
    <row r="14">
      <c r="A14" s="21" t="inlineStr">
        <is>
          <t>Tier 3</t>
        </is>
      </c>
      <c r="B14" s="21" t="inlineStr">
        <is>
          <t>MOD-T3-002</t>
        </is>
      </c>
      <c r="C14" s="21" t="inlineStr">
        <is>
          <t>Data Subject Rights and Obligations</t>
        </is>
      </c>
      <c r="D14" s="21" t="inlineStr">
        <is>
          <t>Mandatory</t>
        </is>
      </c>
      <c r="E14" s="21" t="inlineStr">
        <is>
          <t>Annual</t>
        </is>
      </c>
      <c r="F14" s="21" t="n">
        <v>30</v>
      </c>
    </row>
    <row r="15">
      <c r="A15" s="21" t="inlineStr">
        <is>
          <t>Tier 3</t>
        </is>
      </c>
      <c r="B15" s="21" t="inlineStr">
        <is>
          <t>MOD-T3-003</t>
        </is>
      </c>
      <c r="C15" s="21" t="inlineStr">
        <is>
          <t>Data Retention and Secure Deletion</t>
        </is>
      </c>
      <c r="D15" s="21" t="inlineStr">
        <is>
          <t>Mandatory</t>
        </is>
      </c>
      <c r="E15" s="21" t="inlineStr">
        <is>
          <t>Annual</t>
        </is>
      </c>
      <c r="F15" s="21" t="n">
        <v>25</v>
      </c>
    </row>
    <row r="17">
      <c r="A17" s="22" t="inlineStr">
        <is>
          <t>Tier 4</t>
        </is>
      </c>
      <c r="B17" s="22" t="inlineStr">
        <is>
          <t>MOD-T4-001</t>
        </is>
      </c>
      <c r="C17" s="22" t="inlineStr">
        <is>
          <t>Secure Coding Practices</t>
        </is>
      </c>
      <c r="D17" s="22" t="inlineStr">
        <is>
          <t>Mandatory</t>
        </is>
      </c>
      <c r="E17" s="22" t="inlineStr">
        <is>
          <t>Annual</t>
        </is>
      </c>
      <c r="F17" s="22" t="n">
        <v>60</v>
      </c>
    </row>
    <row r="18">
      <c r="A18" s="22" t="inlineStr">
        <is>
          <t>Tier 4</t>
        </is>
      </c>
      <c r="B18" s="22" t="inlineStr">
        <is>
          <t>MOD-T4-002</t>
        </is>
      </c>
      <c r="C18" s="22" t="inlineStr">
        <is>
          <t>OWASP Top 10 Vulnerabilities</t>
        </is>
      </c>
      <c r="D18" s="22" t="inlineStr">
        <is>
          <t>Mandatory</t>
        </is>
      </c>
      <c r="E18" s="22" t="inlineStr">
        <is>
          <t>Annual</t>
        </is>
      </c>
      <c r="F18" s="22" t="n">
        <v>45</v>
      </c>
    </row>
    <row r="19">
      <c r="A19" s="22" t="inlineStr">
        <is>
          <t>Tier 4</t>
        </is>
      </c>
      <c r="B19" s="22" t="inlineStr">
        <is>
          <t>MOD-T4-003</t>
        </is>
      </c>
      <c r="C19" s="22" t="inlineStr">
        <is>
          <t>Secure Configuration Management</t>
        </is>
      </c>
      <c r="D19" s="22" t="inlineStr">
        <is>
          <t>Mandatory</t>
        </is>
      </c>
      <c r="E19" s="22" t="inlineStr">
        <is>
          <t>Annual</t>
        </is>
      </c>
      <c r="F19" s="22" t="n">
        <v>30</v>
      </c>
    </row>
    <row r="21">
      <c r="A21" s="23" t="inlineStr">
        <is>
          <t>Tier 5</t>
        </is>
      </c>
      <c r="B21" s="23" t="inlineStr">
        <is>
          <t>MOD-T5-001</t>
        </is>
      </c>
      <c r="C21" s="23" t="inlineStr">
        <is>
          <t>Privileged Access Management</t>
        </is>
      </c>
      <c r="D21" s="23" t="inlineStr">
        <is>
          <t>Mandatory</t>
        </is>
      </c>
      <c r="E21" s="23" t="inlineStr">
        <is>
          <t>Annual</t>
        </is>
      </c>
      <c r="F21" s="23" t="n">
        <v>45</v>
      </c>
    </row>
    <row r="22">
      <c r="A22" s="23" t="inlineStr">
        <is>
          <t>Tier 5</t>
        </is>
      </c>
      <c r="B22" s="23" t="inlineStr">
        <is>
          <t>MOD-T5-002</t>
        </is>
      </c>
      <c r="C22" s="23" t="inlineStr">
        <is>
          <t>Incident Response for System Admins</t>
        </is>
      </c>
      <c r="D22" s="23" t="inlineStr">
        <is>
          <t>Mandatory</t>
        </is>
      </c>
      <c r="E22" s="23" t="inlineStr">
        <is>
          <t>Annual</t>
        </is>
      </c>
      <c r="F22" s="23" t="n">
        <v>60</v>
      </c>
    </row>
    <row r="24">
      <c r="A24" s="24" t="inlineStr">
        <is>
          <t>Tier 6</t>
        </is>
      </c>
      <c r="B24" s="24" t="inlineStr">
        <is>
          <t>MOD-T6-001</t>
        </is>
      </c>
      <c r="C24" s="24" t="inlineStr">
        <is>
          <t>Risk Assessment Methodology</t>
        </is>
      </c>
      <c r="D24" s="24" t="inlineStr">
        <is>
          <t>Mandatory</t>
        </is>
      </c>
      <c r="E24" s="24" t="inlineStr">
        <is>
          <t>Annual</t>
        </is>
      </c>
      <c r="F24" s="24" t="n">
        <v>120</v>
      </c>
    </row>
    <row r="25">
      <c r="A25" s="24" t="inlineStr">
        <is>
          <t>Tier 6</t>
        </is>
      </c>
      <c r="B25" s="24" t="inlineStr">
        <is>
          <t>MOD-T6-002</t>
        </is>
      </c>
      <c r="C25" s="24" t="inlineStr">
        <is>
          <t>Incident Response and Forensics</t>
        </is>
      </c>
      <c r="D25" s="24" t="inlineStr">
        <is>
          <t>Mandatory</t>
        </is>
      </c>
      <c r="E25" s="24" t="inlineStr">
        <is>
          <t>Annual</t>
        </is>
      </c>
      <c r="F25" s="24" t="n">
        <v>240</v>
      </c>
    </row>
    <row r="27">
      <c r="A27" s="24" t="inlineStr">
        <is>
          <t>Tier 7</t>
        </is>
      </c>
      <c r="B27" s="24" t="inlineStr">
        <is>
          <t>MOD-T7-001</t>
        </is>
      </c>
      <c r="C27" s="24" t="inlineStr">
        <is>
          <t>Information Security Governance</t>
        </is>
      </c>
      <c r="D27" s="24" t="inlineStr">
        <is>
          <t>Mandatory</t>
        </is>
      </c>
      <c r="E27" s="24" t="inlineStr">
        <is>
          <t>Annual</t>
        </is>
      </c>
      <c r="F27" s="24" t="n">
        <v>45</v>
      </c>
    </row>
    <row r="28">
      <c r="A28" s="24" t="inlineStr">
        <is>
          <t>Tier 7</t>
        </is>
      </c>
      <c r="B28" s="24" t="inlineStr">
        <is>
          <t>MOD-T7-002</t>
        </is>
      </c>
      <c r="C28" s="24" t="inlineStr">
        <is>
          <t>Executive Cyber Risk Briefing</t>
        </is>
      </c>
      <c r="D28" s="24" t="inlineStr">
        <is>
          <t>Mandatory</t>
        </is>
      </c>
      <c r="E28" s="24" t="inlineStr">
        <is>
          <t>Quarterly</t>
        </is>
      </c>
      <c r="F28" s="24" t="n">
        <v>30</v>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5" customWidth="1" min="3" max="3"/>
    <col width="20" customWidth="1" min="4" max="4"/>
    <col width="20" customWidth="1" min="5" max="5"/>
    <col width="12" customWidth="1" min="6" max="6"/>
    <col width="15" customWidth="1" min="7" max="7"/>
    <col width="12" customWidth="1" min="8" max="8"/>
    <col width="40" customWidth="1" min="9" max="9"/>
  </cols>
  <sheetData>
    <row r="1" ht="35" customHeight="1">
      <c r="A1" s="11" t="inlineStr">
        <is>
          <t>TRAINING GAP ANALYSIS
Identify gaps between required and current training status</t>
        </is>
      </c>
    </row>
    <row r="2">
      <c r="A2" s="12" t="inlineStr">
        <is>
          <t>Identify training gaps between required and actual completion status by role</t>
        </is>
      </c>
    </row>
    <row r="3">
      <c r="A3" s="13" t="inlineStr">
        <is>
          <t>Role ID</t>
        </is>
      </c>
      <c r="B3" s="13" t="inlineStr">
        <is>
          <t>Role Title</t>
        </is>
      </c>
      <c r="C3" s="13" t="inlineStr">
        <is>
          <t>Assigned Tier</t>
        </is>
      </c>
      <c r="D3" s="13" t="inlineStr">
        <is>
          <t>Required Modules</t>
        </is>
      </c>
      <c r="E3" s="13" t="inlineStr">
        <is>
          <t>Completed Modules</t>
        </is>
      </c>
      <c r="F3" s="13" t="inlineStr">
        <is>
          <t>Gap Count</t>
        </is>
      </c>
      <c r="G3" s="13" t="inlineStr">
        <is>
          <t>Gap Percentage</t>
        </is>
      </c>
      <c r="H3" s="13" t="inlineStr">
        <is>
          <t>Priority</t>
        </is>
      </c>
      <c r="I3" s="13" t="inlineStr">
        <is>
          <t>Remediation Plan</t>
        </is>
      </c>
    </row>
    <row r="4">
      <c r="A4" s="14" t="inlineStr">
        <is>
          <t>ROLE-001</t>
        </is>
      </c>
      <c r="B4" s="15" t="n"/>
      <c r="C4" s="15" t="n"/>
      <c r="D4" s="15" t="n"/>
      <c r="E4" s="15" t="n"/>
      <c r="F4" s="25">
        <f>IF(D4="","",D4-E4)</f>
        <v/>
      </c>
      <c r="G4" s="16">
        <f>IF(D4="","",IF(D4=0,"0%",ROUND((D4-E4)/D4*100,1)&amp;"%"))</f>
        <v/>
      </c>
      <c r="H4" s="15" t="n"/>
      <c r="I4" s="15" t="n"/>
    </row>
    <row r="5">
      <c r="A5" s="17" t="n"/>
      <c r="B5" s="17" t="n"/>
      <c r="C5" s="17" t="n"/>
      <c r="D5" s="17" t="n"/>
      <c r="E5" s="17" t="n"/>
      <c r="F5" s="26">
        <f>IF(D5="","",D5-E5)</f>
        <v/>
      </c>
      <c r="G5" s="18">
        <f>IF(D5="","",IF(D5=0,"0%",ROUND((D5-E5)/D5*100,1)&amp;"%"))</f>
        <v/>
      </c>
      <c r="H5" s="17" t="n"/>
      <c r="I5" s="17" t="n"/>
    </row>
    <row r="6">
      <c r="A6" s="17" t="n"/>
      <c r="B6" s="17" t="n"/>
      <c r="C6" s="17" t="n"/>
      <c r="D6" s="17" t="n"/>
      <c r="E6" s="17" t="n"/>
      <c r="F6" s="26">
        <f>IF(D6="","",D6-E6)</f>
        <v/>
      </c>
      <c r="G6" s="18">
        <f>IF(D6="","",IF(D6=0,"0%",ROUND((D6-E6)/D6*100,1)&amp;"%"))</f>
        <v/>
      </c>
      <c r="H6" s="17" t="n"/>
      <c r="I6" s="17" t="n"/>
    </row>
    <row r="7">
      <c r="A7" s="17" t="n"/>
      <c r="B7" s="17" t="n"/>
      <c r="C7" s="17" t="n"/>
      <c r="D7" s="17" t="n"/>
      <c r="E7" s="17" t="n"/>
      <c r="F7" s="26">
        <f>IF(D7="","",D7-E7)</f>
        <v/>
      </c>
      <c r="G7" s="18">
        <f>IF(D7="","",IF(D7=0,"0%",ROUND((D7-E7)/D7*100,1)&amp;"%"))</f>
        <v/>
      </c>
      <c r="H7" s="17" t="n"/>
      <c r="I7" s="17" t="n"/>
    </row>
    <row r="8">
      <c r="A8" s="17" t="n"/>
      <c r="B8" s="17" t="n"/>
      <c r="C8" s="17" t="n"/>
      <c r="D8" s="17" t="n"/>
      <c r="E8" s="17" t="n"/>
      <c r="F8" s="26">
        <f>IF(D8="","",D8-E8)</f>
        <v/>
      </c>
      <c r="G8" s="18">
        <f>IF(D8="","",IF(D8=0,"0%",ROUND((D8-E8)/D8*100,1)&amp;"%"))</f>
        <v/>
      </c>
      <c r="H8" s="17" t="n"/>
      <c r="I8" s="17" t="n"/>
    </row>
    <row r="9">
      <c r="A9" s="17" t="n"/>
      <c r="B9" s="17" t="n"/>
      <c r="C9" s="17" t="n"/>
      <c r="D9" s="17" t="n"/>
      <c r="E9" s="17" t="n"/>
      <c r="F9" s="26">
        <f>IF(D9="","",D9-E9)</f>
        <v/>
      </c>
      <c r="G9" s="18">
        <f>IF(D9="","",IF(D9=0,"0%",ROUND((D9-E9)/D9*100,1)&amp;"%"))</f>
        <v/>
      </c>
      <c r="H9" s="17" t="n"/>
      <c r="I9" s="17" t="n"/>
    </row>
    <row r="10">
      <c r="A10" s="17" t="n"/>
      <c r="B10" s="17" t="n"/>
      <c r="C10" s="17" t="n"/>
      <c r="D10" s="17" t="n"/>
      <c r="E10" s="17" t="n"/>
      <c r="F10" s="26">
        <f>IF(D10="","",D10-E10)</f>
        <v/>
      </c>
      <c r="G10" s="18">
        <f>IF(D10="","",IF(D10=0,"0%",ROUND((D10-E10)/D10*100,1)&amp;"%"))</f>
        <v/>
      </c>
      <c r="H10" s="17" t="n"/>
      <c r="I10" s="17" t="n"/>
    </row>
    <row r="11">
      <c r="A11" s="17" t="n"/>
      <c r="B11" s="17" t="n"/>
      <c r="C11" s="17" t="n"/>
      <c r="D11" s="17" t="n"/>
      <c r="E11" s="17" t="n"/>
      <c r="F11" s="26">
        <f>IF(D11="","",D11-E11)</f>
        <v/>
      </c>
      <c r="G11" s="18">
        <f>IF(D11="","",IF(D11=0,"0%",ROUND((D11-E11)/D11*100,1)&amp;"%"))</f>
        <v/>
      </c>
      <c r="H11" s="17" t="n"/>
      <c r="I11" s="17" t="n"/>
    </row>
    <row r="12">
      <c r="A12" s="17" t="n"/>
      <c r="B12" s="17" t="n"/>
      <c r="C12" s="17" t="n"/>
      <c r="D12" s="17" t="n"/>
      <c r="E12" s="17" t="n"/>
      <c r="F12" s="26">
        <f>IF(D12="","",D12-E12)</f>
        <v/>
      </c>
      <c r="G12" s="18">
        <f>IF(D12="","",IF(D12=0,"0%",ROUND((D12-E12)/D12*100,1)&amp;"%"))</f>
        <v/>
      </c>
      <c r="H12" s="17" t="n"/>
      <c r="I12" s="17" t="n"/>
    </row>
    <row r="13">
      <c r="A13" s="17" t="n"/>
      <c r="B13" s="17" t="n"/>
      <c r="C13" s="17" t="n"/>
      <c r="D13" s="17" t="n"/>
      <c r="E13" s="17" t="n"/>
      <c r="F13" s="26">
        <f>IF(D13="","",D13-E13)</f>
        <v/>
      </c>
      <c r="G13" s="18">
        <f>IF(D13="","",IF(D13=0,"0%",ROUND((D13-E13)/D13*100,1)&amp;"%"))</f>
        <v/>
      </c>
      <c r="H13" s="17" t="n"/>
      <c r="I13" s="17" t="n"/>
    </row>
    <row r="14">
      <c r="A14" s="17" t="n"/>
      <c r="B14" s="17" t="n"/>
      <c r="C14" s="17" t="n"/>
      <c r="D14" s="17" t="n"/>
      <c r="E14" s="17" t="n"/>
      <c r="F14" s="26">
        <f>IF(D14="","",D14-E14)</f>
        <v/>
      </c>
      <c r="G14" s="18">
        <f>IF(D14="","",IF(D14=0,"0%",ROUND((D14-E14)/D14*100,1)&amp;"%"))</f>
        <v/>
      </c>
      <c r="H14" s="17" t="n"/>
      <c r="I14" s="17" t="n"/>
    </row>
    <row r="15">
      <c r="A15" s="17" t="n"/>
      <c r="B15" s="17" t="n"/>
      <c r="C15" s="17" t="n"/>
      <c r="D15" s="17" t="n"/>
      <c r="E15" s="17" t="n"/>
      <c r="F15" s="26">
        <f>IF(D15="","",D15-E15)</f>
        <v/>
      </c>
      <c r="G15" s="18">
        <f>IF(D15="","",IF(D15=0,"0%",ROUND((D15-E15)/D15*100,1)&amp;"%"))</f>
        <v/>
      </c>
      <c r="H15" s="17" t="n"/>
      <c r="I15" s="17" t="n"/>
    </row>
    <row r="16">
      <c r="A16" s="17" t="n"/>
      <c r="B16" s="17" t="n"/>
      <c r="C16" s="17" t="n"/>
      <c r="D16" s="17" t="n"/>
      <c r="E16" s="17" t="n"/>
      <c r="F16" s="26">
        <f>IF(D16="","",D16-E16)</f>
        <v/>
      </c>
      <c r="G16" s="18">
        <f>IF(D16="","",IF(D16=0,"0%",ROUND((D16-E16)/D16*100,1)&amp;"%"))</f>
        <v/>
      </c>
      <c r="H16" s="17" t="n"/>
      <c r="I16" s="17" t="n"/>
    </row>
    <row r="17">
      <c r="A17" s="17" t="n"/>
      <c r="B17" s="17" t="n"/>
      <c r="C17" s="17" t="n"/>
      <c r="D17" s="17" t="n"/>
      <c r="E17" s="17" t="n"/>
      <c r="F17" s="26">
        <f>IF(D17="","",D17-E17)</f>
        <v/>
      </c>
      <c r="G17" s="18">
        <f>IF(D17="","",IF(D17=0,"0%",ROUND((D17-E17)/D17*100,1)&amp;"%"))</f>
        <v/>
      </c>
      <c r="H17" s="17" t="n"/>
      <c r="I17" s="17" t="n"/>
    </row>
    <row r="18">
      <c r="A18" s="17" t="n"/>
      <c r="B18" s="17" t="n"/>
      <c r="C18" s="17" t="n"/>
      <c r="D18" s="17" t="n"/>
      <c r="E18" s="17" t="n"/>
      <c r="F18" s="26">
        <f>IF(D18="","",D18-E18)</f>
        <v/>
      </c>
      <c r="G18" s="18">
        <f>IF(D18="","",IF(D18=0,"0%",ROUND((D18-E18)/D18*100,1)&amp;"%"))</f>
        <v/>
      </c>
      <c r="H18" s="17" t="n"/>
      <c r="I18" s="17" t="n"/>
    </row>
    <row r="19">
      <c r="A19" s="17" t="n"/>
      <c r="B19" s="17" t="n"/>
      <c r="C19" s="17" t="n"/>
      <c r="D19" s="17" t="n"/>
      <c r="E19" s="17" t="n"/>
      <c r="F19" s="26">
        <f>IF(D19="","",D19-E19)</f>
        <v/>
      </c>
      <c r="G19" s="18">
        <f>IF(D19="","",IF(D19=0,"0%",ROUND((D19-E19)/D19*100,1)&amp;"%"))</f>
        <v/>
      </c>
      <c r="H19" s="17" t="n"/>
      <c r="I19" s="17" t="n"/>
    </row>
    <row r="20">
      <c r="A20" s="17" t="n"/>
      <c r="B20" s="17" t="n"/>
      <c r="C20" s="17" t="n"/>
      <c r="D20" s="17" t="n"/>
      <c r="E20" s="17" t="n"/>
      <c r="F20" s="26">
        <f>IF(D20="","",D20-E20)</f>
        <v/>
      </c>
      <c r="G20" s="18">
        <f>IF(D20="","",IF(D20=0,"0%",ROUND((D20-E20)/D20*100,1)&amp;"%"))</f>
        <v/>
      </c>
      <c r="H20" s="17" t="n"/>
      <c r="I20" s="17" t="n"/>
    </row>
    <row r="21">
      <c r="A21" s="17" t="n"/>
      <c r="B21" s="17" t="n"/>
      <c r="C21" s="17" t="n"/>
      <c r="D21" s="17" t="n"/>
      <c r="E21" s="17" t="n"/>
      <c r="F21" s="26">
        <f>IF(D21="","",D21-E21)</f>
        <v/>
      </c>
      <c r="G21" s="18">
        <f>IF(D21="","",IF(D21=0,"0%",ROUND((D21-E21)/D21*100,1)&amp;"%"))</f>
        <v/>
      </c>
      <c r="H21" s="17" t="n"/>
      <c r="I21" s="17" t="n"/>
    </row>
    <row r="22">
      <c r="A22" s="17" t="n"/>
      <c r="B22" s="17" t="n"/>
      <c r="C22" s="17" t="n"/>
      <c r="D22" s="17" t="n"/>
      <c r="E22" s="17" t="n"/>
      <c r="F22" s="26">
        <f>IF(D22="","",D22-E22)</f>
        <v/>
      </c>
      <c r="G22" s="18">
        <f>IF(D22="","",IF(D22=0,"0%",ROUND((D22-E22)/D22*100,1)&amp;"%"))</f>
        <v/>
      </c>
      <c r="H22" s="17" t="n"/>
      <c r="I22" s="17" t="n"/>
    </row>
    <row r="23">
      <c r="A23" s="17" t="n"/>
      <c r="B23" s="17" t="n"/>
      <c r="C23" s="17" t="n"/>
      <c r="D23" s="17" t="n"/>
      <c r="E23" s="17" t="n"/>
      <c r="F23" s="26">
        <f>IF(D23="","",D23-E23)</f>
        <v/>
      </c>
      <c r="G23" s="18">
        <f>IF(D23="","",IF(D23=0,"0%",ROUND((D23-E23)/D23*100,1)&amp;"%"))</f>
        <v/>
      </c>
      <c r="H23" s="17" t="n"/>
      <c r="I23" s="17" t="n"/>
    </row>
    <row r="24">
      <c r="A24" s="17" t="n"/>
      <c r="B24" s="17" t="n"/>
      <c r="C24" s="17" t="n"/>
      <c r="D24" s="17" t="n"/>
      <c r="E24" s="17" t="n"/>
      <c r="F24" s="26">
        <f>IF(D24="","",D24-E24)</f>
        <v/>
      </c>
      <c r="G24" s="18">
        <f>IF(D24="","",IF(D24=0,"0%",ROUND((D24-E24)/D24*100,1)&amp;"%"))</f>
        <v/>
      </c>
      <c r="H24" s="17" t="n"/>
      <c r="I24" s="17" t="n"/>
    </row>
    <row r="25">
      <c r="A25" s="17" t="n"/>
      <c r="B25" s="17" t="n"/>
      <c r="C25" s="17" t="n"/>
      <c r="D25" s="17" t="n"/>
      <c r="E25" s="17" t="n"/>
      <c r="F25" s="26">
        <f>IF(D25="","",D25-E25)</f>
        <v/>
      </c>
      <c r="G25" s="18">
        <f>IF(D25="","",IF(D25=0,"0%",ROUND((D25-E25)/D25*100,1)&amp;"%"))</f>
        <v/>
      </c>
      <c r="H25" s="17" t="n"/>
      <c r="I25" s="17" t="n"/>
    </row>
    <row r="26">
      <c r="A26" s="17" t="n"/>
      <c r="B26" s="17" t="n"/>
      <c r="C26" s="17" t="n"/>
      <c r="D26" s="17" t="n"/>
      <c r="E26" s="17" t="n"/>
      <c r="F26" s="26">
        <f>IF(D26="","",D26-E26)</f>
        <v/>
      </c>
      <c r="G26" s="18">
        <f>IF(D26="","",IF(D26=0,"0%",ROUND((D26-E26)/D26*100,1)&amp;"%"))</f>
        <v/>
      </c>
      <c r="H26" s="17" t="n"/>
      <c r="I26" s="17" t="n"/>
    </row>
    <row r="27">
      <c r="A27" s="17" t="n"/>
      <c r="B27" s="17" t="n"/>
      <c r="C27" s="17" t="n"/>
      <c r="D27" s="17" t="n"/>
      <c r="E27" s="17" t="n"/>
      <c r="F27" s="26">
        <f>IF(D27="","",D27-E27)</f>
        <v/>
      </c>
      <c r="G27" s="18">
        <f>IF(D27="","",IF(D27=0,"0%",ROUND((D27-E27)/D27*100,1)&amp;"%"))</f>
        <v/>
      </c>
      <c r="H27" s="17" t="n"/>
      <c r="I27" s="17" t="n"/>
    </row>
    <row r="28">
      <c r="A28" s="17" t="n"/>
      <c r="B28" s="17" t="n"/>
      <c r="C28" s="17" t="n"/>
      <c r="D28" s="17" t="n"/>
      <c r="E28" s="17" t="n"/>
      <c r="F28" s="26">
        <f>IF(D28="","",D28-E28)</f>
        <v/>
      </c>
      <c r="G28" s="18">
        <f>IF(D28="","",IF(D28=0,"0%",ROUND((D28-E28)/D28*100,1)&amp;"%"))</f>
        <v/>
      </c>
      <c r="H28" s="17" t="n"/>
      <c r="I28" s="17" t="n"/>
    </row>
    <row r="29">
      <c r="A29" s="17" t="n"/>
      <c r="B29" s="17" t="n"/>
      <c r="C29" s="17" t="n"/>
      <c r="D29" s="17" t="n"/>
      <c r="E29" s="17" t="n"/>
      <c r="F29" s="26">
        <f>IF(D29="","",D29-E29)</f>
        <v/>
      </c>
      <c r="G29" s="18">
        <f>IF(D29="","",IF(D29=0,"0%",ROUND((D29-E29)/D29*100,1)&amp;"%"))</f>
        <v/>
      </c>
      <c r="H29" s="17" t="n"/>
      <c r="I29" s="17" t="n"/>
    </row>
    <row r="30">
      <c r="A30" s="17" t="n"/>
      <c r="B30" s="17" t="n"/>
      <c r="C30" s="17" t="n"/>
      <c r="D30" s="17" t="n"/>
      <c r="E30" s="17" t="n"/>
      <c r="F30" s="26">
        <f>IF(D30="","",D30-E30)</f>
        <v/>
      </c>
      <c r="G30" s="18">
        <f>IF(D30="","",IF(D30=0,"0%",ROUND((D30-E30)/D30*100,1)&amp;"%"))</f>
        <v/>
      </c>
      <c r="H30" s="17" t="n"/>
      <c r="I30" s="17" t="n"/>
    </row>
    <row r="31">
      <c r="A31" s="17" t="n"/>
      <c r="B31" s="17" t="n"/>
      <c r="C31" s="17" t="n"/>
      <c r="D31" s="17" t="n"/>
      <c r="E31" s="17" t="n"/>
      <c r="F31" s="26">
        <f>IF(D31="","",D31-E31)</f>
        <v/>
      </c>
      <c r="G31" s="18">
        <f>IF(D31="","",IF(D31=0,"0%",ROUND((D31-E31)/D31*100,1)&amp;"%"))</f>
        <v/>
      </c>
      <c r="H31" s="17" t="n"/>
      <c r="I31" s="17" t="n"/>
    </row>
    <row r="32">
      <c r="A32" s="17" t="n"/>
      <c r="B32" s="17" t="n"/>
      <c r="C32" s="17" t="n"/>
      <c r="D32" s="17" t="n"/>
      <c r="E32" s="17" t="n"/>
      <c r="F32" s="26">
        <f>IF(D32="","",D32-E32)</f>
        <v/>
      </c>
      <c r="G32" s="18">
        <f>IF(D32="","",IF(D32=0,"0%",ROUND((D32-E32)/D32*100,1)&amp;"%"))</f>
        <v/>
      </c>
      <c r="H32" s="17" t="n"/>
      <c r="I32" s="17" t="n"/>
    </row>
    <row r="33">
      <c r="A33" s="17" t="n"/>
      <c r="B33" s="17" t="n"/>
      <c r="C33" s="17" t="n"/>
      <c r="D33" s="17" t="n"/>
      <c r="E33" s="17" t="n"/>
      <c r="F33" s="26">
        <f>IF(D33="","",D33-E33)</f>
        <v/>
      </c>
      <c r="G33" s="18">
        <f>IF(D33="","",IF(D33=0,"0%",ROUND((D33-E33)/D33*100,1)&amp;"%"))</f>
        <v/>
      </c>
      <c r="H33" s="17" t="n"/>
      <c r="I33" s="17" t="n"/>
    </row>
    <row r="34">
      <c r="A34" s="17" t="n"/>
      <c r="B34" s="17" t="n"/>
      <c r="C34" s="17" t="n"/>
      <c r="D34" s="17" t="n"/>
      <c r="E34" s="17" t="n"/>
      <c r="F34" s="26">
        <f>IF(D34="","",D34-E34)</f>
        <v/>
      </c>
      <c r="G34" s="18">
        <f>IF(D34="","",IF(D34=0,"0%",ROUND((D34-E34)/D34*100,1)&amp;"%"))</f>
        <v/>
      </c>
      <c r="H34" s="17" t="n"/>
      <c r="I34" s="17" t="n"/>
    </row>
    <row r="35">
      <c r="A35" s="17" t="n"/>
      <c r="B35" s="17" t="n"/>
      <c r="C35" s="17" t="n"/>
      <c r="D35" s="17" t="n"/>
      <c r="E35" s="17" t="n"/>
      <c r="F35" s="26">
        <f>IF(D35="","",D35-E35)</f>
        <v/>
      </c>
      <c r="G35" s="18">
        <f>IF(D35="","",IF(D35=0,"0%",ROUND((D35-E35)/D35*100,1)&amp;"%"))</f>
        <v/>
      </c>
      <c r="H35" s="17" t="n"/>
      <c r="I35" s="17" t="n"/>
    </row>
    <row r="36">
      <c r="A36" s="17" t="n"/>
      <c r="B36" s="17" t="n"/>
      <c r="C36" s="17" t="n"/>
      <c r="D36" s="17" t="n"/>
      <c r="E36" s="17" t="n"/>
      <c r="F36" s="26">
        <f>IF(D36="","",D36-E36)</f>
        <v/>
      </c>
      <c r="G36" s="18">
        <f>IF(D36="","",IF(D36=0,"0%",ROUND((D36-E36)/D36*100,1)&amp;"%"))</f>
        <v/>
      </c>
      <c r="H36" s="17" t="n"/>
      <c r="I36" s="17" t="n"/>
    </row>
    <row r="37">
      <c r="A37" s="17" t="n"/>
      <c r="B37" s="17" t="n"/>
      <c r="C37" s="17" t="n"/>
      <c r="D37" s="17" t="n"/>
      <c r="E37" s="17" t="n"/>
      <c r="F37" s="26">
        <f>IF(D37="","",D37-E37)</f>
        <v/>
      </c>
      <c r="G37" s="18">
        <f>IF(D37="","",IF(D37=0,"0%",ROUND((D37-E37)/D37*100,1)&amp;"%"))</f>
        <v/>
      </c>
      <c r="H37" s="17" t="n"/>
      <c r="I37" s="17" t="n"/>
    </row>
    <row r="38">
      <c r="A38" s="17" t="n"/>
      <c r="B38" s="17" t="n"/>
      <c r="C38" s="17" t="n"/>
      <c r="D38" s="17" t="n"/>
      <c r="E38" s="17" t="n"/>
      <c r="F38" s="26">
        <f>IF(D38="","",D38-E38)</f>
        <v/>
      </c>
      <c r="G38" s="18">
        <f>IF(D38="","",IF(D38=0,"0%",ROUND((D38-E38)/D38*100,1)&amp;"%"))</f>
        <v/>
      </c>
      <c r="H38" s="17" t="n"/>
      <c r="I38" s="17" t="n"/>
    </row>
    <row r="39">
      <c r="A39" s="17" t="n"/>
      <c r="B39" s="17" t="n"/>
      <c r="C39" s="17" t="n"/>
      <c r="D39" s="17" t="n"/>
      <c r="E39" s="17" t="n"/>
      <c r="F39" s="26">
        <f>IF(D39="","",D39-E39)</f>
        <v/>
      </c>
      <c r="G39" s="18">
        <f>IF(D39="","",IF(D39=0,"0%",ROUND((D39-E39)/D39*100,1)&amp;"%"))</f>
        <v/>
      </c>
      <c r="H39" s="17" t="n"/>
      <c r="I39" s="17" t="n"/>
    </row>
    <row r="40">
      <c r="A40" s="17" t="n"/>
      <c r="B40" s="17" t="n"/>
      <c r="C40" s="17" t="n"/>
      <c r="D40" s="17" t="n"/>
      <c r="E40" s="17" t="n"/>
      <c r="F40" s="26">
        <f>IF(D40="","",D40-E40)</f>
        <v/>
      </c>
      <c r="G40" s="18">
        <f>IF(D40="","",IF(D40=0,"0%",ROUND((D40-E40)/D40*100,1)&amp;"%"))</f>
        <v/>
      </c>
      <c r="H40" s="17" t="n"/>
      <c r="I40" s="17" t="n"/>
    </row>
    <row r="41">
      <c r="A41" s="17" t="n"/>
      <c r="B41" s="17" t="n"/>
      <c r="C41" s="17" t="n"/>
      <c r="D41" s="17" t="n"/>
      <c r="E41" s="17" t="n"/>
      <c r="F41" s="26">
        <f>IF(D41="","",D41-E41)</f>
        <v/>
      </c>
      <c r="G41" s="18">
        <f>IF(D41="","",IF(D41=0,"0%",ROUND((D41-E41)/D41*100,1)&amp;"%"))</f>
        <v/>
      </c>
      <c r="H41" s="17" t="n"/>
      <c r="I41" s="17" t="n"/>
    </row>
    <row r="42">
      <c r="A42" s="17" t="n"/>
      <c r="B42" s="17" t="n"/>
      <c r="C42" s="17" t="n"/>
      <c r="D42" s="17" t="n"/>
      <c r="E42" s="17" t="n"/>
      <c r="F42" s="26">
        <f>IF(D42="","",D42-E42)</f>
        <v/>
      </c>
      <c r="G42" s="18">
        <f>IF(D42="","",IF(D42=0,"0%",ROUND((D42-E42)/D42*100,1)&amp;"%"))</f>
        <v/>
      </c>
      <c r="H42" s="17" t="n"/>
      <c r="I42" s="17" t="n"/>
    </row>
    <row r="43">
      <c r="A43" s="17" t="n"/>
      <c r="B43" s="17" t="n"/>
      <c r="C43" s="17" t="n"/>
      <c r="D43" s="17" t="n"/>
      <c r="E43" s="17" t="n"/>
      <c r="F43" s="26">
        <f>IF(D43="","",D43-E43)</f>
        <v/>
      </c>
      <c r="G43" s="18">
        <f>IF(D43="","",IF(D43=0,"0%",ROUND((D43-E43)/D43*100,1)&amp;"%"))</f>
        <v/>
      </c>
      <c r="H43" s="17" t="n"/>
      <c r="I43" s="17" t="n"/>
    </row>
    <row r="44">
      <c r="A44" s="17" t="n"/>
      <c r="B44" s="17" t="n"/>
      <c r="C44" s="17" t="n"/>
      <c r="D44" s="17" t="n"/>
      <c r="E44" s="17" t="n"/>
      <c r="F44" s="26">
        <f>IF(D44="","",D44-E44)</f>
        <v/>
      </c>
      <c r="G44" s="18">
        <f>IF(D44="","",IF(D44=0,"0%",ROUND((D44-E44)/D44*100,1)&amp;"%"))</f>
        <v/>
      </c>
      <c r="H44" s="17" t="n"/>
      <c r="I44" s="17" t="n"/>
    </row>
    <row r="45">
      <c r="A45" s="17" t="n"/>
      <c r="B45" s="17" t="n"/>
      <c r="C45" s="17" t="n"/>
      <c r="D45" s="17" t="n"/>
      <c r="E45" s="17" t="n"/>
      <c r="F45" s="26">
        <f>IF(D45="","",D45-E45)</f>
        <v/>
      </c>
      <c r="G45" s="18">
        <f>IF(D45="","",IF(D45=0,"0%",ROUND((D45-E45)/D45*100,1)&amp;"%"))</f>
        <v/>
      </c>
      <c r="H45" s="17" t="n"/>
      <c r="I45" s="17" t="n"/>
    </row>
    <row r="46">
      <c r="A46" s="17" t="n"/>
      <c r="B46" s="17" t="n"/>
      <c r="C46" s="17" t="n"/>
      <c r="D46" s="17" t="n"/>
      <c r="E46" s="17" t="n"/>
      <c r="F46" s="26">
        <f>IF(D46="","",D46-E46)</f>
        <v/>
      </c>
      <c r="G46" s="18">
        <f>IF(D46="","",IF(D46=0,"0%",ROUND((D46-E46)/D46*100,1)&amp;"%"))</f>
        <v/>
      </c>
      <c r="H46" s="17" t="n"/>
      <c r="I46" s="17" t="n"/>
    </row>
    <row r="47">
      <c r="A47" s="17" t="n"/>
      <c r="B47" s="17" t="n"/>
      <c r="C47" s="17" t="n"/>
      <c r="D47" s="17" t="n"/>
      <c r="E47" s="17" t="n"/>
      <c r="F47" s="26">
        <f>IF(D47="","",D47-E47)</f>
        <v/>
      </c>
      <c r="G47" s="18">
        <f>IF(D47="","",IF(D47=0,"0%",ROUND((D47-E47)/D47*100,1)&amp;"%"))</f>
        <v/>
      </c>
      <c r="H47" s="17" t="n"/>
      <c r="I47" s="17" t="n"/>
    </row>
    <row r="48">
      <c r="A48" s="17" t="n"/>
      <c r="B48" s="17" t="n"/>
      <c r="C48" s="17" t="n"/>
      <c r="D48" s="17" t="n"/>
      <c r="E48" s="17" t="n"/>
      <c r="F48" s="26">
        <f>IF(D48="","",D48-E48)</f>
        <v/>
      </c>
      <c r="G48" s="18">
        <f>IF(D48="","",IF(D48=0,"0%",ROUND((D48-E48)/D48*100,1)&amp;"%"))</f>
        <v/>
      </c>
      <c r="H48" s="17" t="n"/>
      <c r="I48" s="17" t="n"/>
    </row>
    <row r="49">
      <c r="A49" s="17" t="n"/>
      <c r="B49" s="17" t="n"/>
      <c r="C49" s="17" t="n"/>
      <c r="D49" s="17" t="n"/>
      <c r="E49" s="17" t="n"/>
      <c r="F49" s="26">
        <f>IF(D49="","",D49-E49)</f>
        <v/>
      </c>
      <c r="G49" s="18">
        <f>IF(D49="","",IF(D49=0,"0%",ROUND((D49-E49)/D49*100,1)&amp;"%"))</f>
        <v/>
      </c>
      <c r="H49" s="17" t="n"/>
      <c r="I49" s="17" t="n"/>
    </row>
    <row r="50">
      <c r="A50" s="17" t="n"/>
      <c r="B50" s="17" t="n"/>
      <c r="C50" s="17" t="n"/>
      <c r="D50" s="17" t="n"/>
      <c r="E50" s="17" t="n"/>
      <c r="F50" s="26">
        <f>IF(D50="","",D50-E50)</f>
        <v/>
      </c>
      <c r="G50" s="18">
        <f>IF(D50="","",IF(D50=0,"0%",ROUND((D50-E50)/D50*100,1)&amp;"%"))</f>
        <v/>
      </c>
      <c r="H50" s="17" t="n"/>
      <c r="I50" s="17" t="n"/>
    </row>
    <row r="51">
      <c r="A51" s="17" t="n"/>
      <c r="B51" s="17" t="n"/>
      <c r="C51" s="17" t="n"/>
      <c r="D51" s="17" t="n"/>
      <c r="E51" s="17" t="n"/>
      <c r="F51" s="26">
        <f>IF(D51="","",D51-E51)</f>
        <v/>
      </c>
      <c r="G51" s="18">
        <f>IF(D51="","",IF(D51=0,"0%",ROUND((D51-E51)/D51*100,1)&amp;"%"))</f>
        <v/>
      </c>
      <c r="H51" s="17" t="n"/>
      <c r="I51" s="17" t="n"/>
    </row>
    <row r="52">
      <c r="A52" s="17" t="n"/>
      <c r="B52" s="17" t="n"/>
      <c r="C52" s="17" t="n"/>
      <c r="D52" s="17" t="n"/>
      <c r="E52" s="17" t="n"/>
      <c r="F52" s="26">
        <f>IF(D52="","",D52-E52)</f>
        <v/>
      </c>
      <c r="G52" s="18">
        <f>IF(D52="","",IF(D52=0,"0%",ROUND((D52-E52)/D52*100,1)&amp;"%"))</f>
        <v/>
      </c>
      <c r="H52" s="17" t="n"/>
      <c r="I52" s="17" t="n"/>
    </row>
    <row r="53">
      <c r="A53" s="17" t="n"/>
      <c r="B53" s="17" t="n"/>
      <c r="C53" s="17" t="n"/>
      <c r="D53" s="17" t="n"/>
      <c r="E53" s="17" t="n"/>
      <c r="F53" s="26">
        <f>IF(D53="","",D53-E53)</f>
        <v/>
      </c>
      <c r="G53" s="18">
        <f>IF(D53="","",IF(D53=0,"0%",ROUND((D53-E53)/D53*100,1)&amp;"%"))</f>
        <v/>
      </c>
      <c r="H53" s="17" t="n"/>
      <c r="I53" s="17" t="n"/>
    </row>
    <row r="54">
      <c r="A54" s="17" t="n"/>
      <c r="B54" s="17" t="n"/>
      <c r="C54" s="17" t="n"/>
      <c r="D54" s="17" t="n"/>
      <c r="E54" s="17" t="n"/>
      <c r="F54" s="26">
        <f>IF(D54="","",D54-E54)</f>
        <v/>
      </c>
      <c r="G54" s="18">
        <f>IF(D54="","",IF(D54=0,"0%",ROUND((D54-E54)/D54*100,1)&amp;"%"))</f>
        <v/>
      </c>
      <c r="H54" s="17" t="n"/>
      <c r="I54" s="17" t="n"/>
    </row>
  </sheetData>
  <mergeCells count="1">
    <mergeCell ref="A1:I1"/>
  </mergeCells>
  <dataValidations count="1">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5" customHeight="1">
      <c r="A1" s="27" t="inlineStr">
        <is>
          <t>EVIDENCE REGISTER</t>
        </is>
      </c>
    </row>
    <row r="2">
      <c r="A2" s="28" t="inlineStr">
        <is>
          <t>ISMS-IMP-A.6.3.1 — Training Needs Assessment | Audit evidence tracking</t>
        </is>
      </c>
    </row>
    <row r="4">
      <c r="A4" s="29" t="inlineStr">
        <is>
          <t>Evidence ID</t>
        </is>
      </c>
      <c r="B4" s="29" t="inlineStr">
        <is>
          <t>Evidence Type</t>
        </is>
      </c>
      <c r="C4" s="29" t="inlineStr">
        <is>
          <t>Description</t>
        </is>
      </c>
      <c r="D4" s="29" t="inlineStr">
        <is>
          <t>Location / Source</t>
        </is>
      </c>
      <c r="E4" s="29" t="inlineStr">
        <is>
          <t>Date Collected</t>
        </is>
      </c>
      <c r="F4" s="29" t="inlineStr">
        <is>
          <t>Collected By</t>
        </is>
      </c>
      <c r="G4" s="29" t="inlineStr">
        <is>
          <t>Status</t>
        </is>
      </c>
      <c r="H4" s="29" t="inlineStr">
        <is>
          <t>Notes</t>
        </is>
      </c>
    </row>
    <row r="5">
      <c r="A5" s="30" t="inlineStr">
        <is>
          <t>EV-001</t>
        </is>
      </c>
      <c r="B5" s="15" t="n"/>
      <c r="C5" s="15" t="n"/>
      <c r="D5" s="15" t="n"/>
      <c r="E5" s="15" t="n"/>
      <c r="F5" s="15" t="n"/>
      <c r="G5" s="15" t="n"/>
      <c r="H5" s="15" t="n"/>
    </row>
    <row r="6">
      <c r="A6" s="17" t="n"/>
      <c r="B6" s="17" t="n"/>
      <c r="C6" s="17" t="n"/>
      <c r="D6" s="17" t="n"/>
      <c r="E6" s="17" t="n"/>
      <c r="F6" s="17" t="n"/>
      <c r="G6" s="17" t="n"/>
      <c r="H6" s="17" t="n"/>
    </row>
    <row r="7">
      <c r="A7" s="17" t="n"/>
      <c r="B7" s="17" t="n"/>
      <c r="C7" s="17" t="n"/>
      <c r="D7" s="17" t="n"/>
      <c r="E7" s="17" t="n"/>
      <c r="F7" s="17" t="n"/>
      <c r="G7" s="17" t="n"/>
      <c r="H7" s="17" t="n"/>
    </row>
    <row r="8">
      <c r="A8" s="17" t="n"/>
      <c r="B8" s="17" t="n"/>
      <c r="C8" s="17" t="n"/>
      <c r="D8" s="17" t="n"/>
      <c r="E8" s="17" t="n"/>
      <c r="F8" s="17" t="n"/>
      <c r="G8" s="17" t="n"/>
      <c r="H8" s="17" t="n"/>
    </row>
    <row r="9">
      <c r="A9" s="17" t="n"/>
      <c r="B9" s="17" t="n"/>
      <c r="C9" s="17" t="n"/>
      <c r="D9" s="17" t="n"/>
      <c r="E9" s="17" t="n"/>
      <c r="F9" s="17" t="n"/>
      <c r="G9" s="17" t="n"/>
      <c r="H9" s="17" t="n"/>
    </row>
    <row r="10">
      <c r="A10" s="17" t="n"/>
      <c r="B10" s="17" t="n"/>
      <c r="C10" s="17" t="n"/>
      <c r="D10" s="17" t="n"/>
      <c r="E10" s="17" t="n"/>
      <c r="F10" s="17" t="n"/>
      <c r="G10" s="17" t="n"/>
      <c r="H10" s="17" t="n"/>
    </row>
    <row r="11">
      <c r="A11" s="17" t="n"/>
      <c r="B11" s="17" t="n"/>
      <c r="C11" s="17" t="n"/>
      <c r="D11" s="17" t="n"/>
      <c r="E11" s="17" t="n"/>
      <c r="F11" s="17" t="n"/>
      <c r="G11" s="17" t="n"/>
      <c r="H11" s="17" t="n"/>
    </row>
    <row r="12">
      <c r="A12" s="17" t="n"/>
      <c r="B12" s="17" t="n"/>
      <c r="C12" s="17" t="n"/>
      <c r="D12" s="17" t="n"/>
      <c r="E12" s="17" t="n"/>
      <c r="F12" s="17" t="n"/>
      <c r="G12" s="17" t="n"/>
      <c r="H12" s="17" t="n"/>
    </row>
    <row r="13">
      <c r="A13" s="17" t="n"/>
      <c r="B13" s="17" t="n"/>
      <c r="C13" s="17" t="n"/>
      <c r="D13" s="17" t="n"/>
      <c r="E13" s="17" t="n"/>
      <c r="F13" s="17" t="n"/>
      <c r="G13" s="17" t="n"/>
      <c r="H13" s="17" t="n"/>
    </row>
    <row r="14">
      <c r="A14" s="17" t="n"/>
      <c r="B14" s="17" t="n"/>
      <c r="C14" s="17" t="n"/>
      <c r="D14" s="17" t="n"/>
      <c r="E14" s="17" t="n"/>
      <c r="F14" s="17" t="n"/>
      <c r="G14" s="17" t="n"/>
      <c r="H14" s="17" t="n"/>
    </row>
    <row r="15">
      <c r="A15" s="17" t="n"/>
      <c r="B15" s="17" t="n"/>
      <c r="C15" s="17" t="n"/>
      <c r="D15" s="17" t="n"/>
      <c r="E15" s="17" t="n"/>
      <c r="F15" s="17" t="n"/>
      <c r="G15" s="17" t="n"/>
      <c r="H15" s="17" t="n"/>
    </row>
    <row r="16">
      <c r="A16" s="17" t="n"/>
      <c r="B16" s="17" t="n"/>
      <c r="C16" s="17" t="n"/>
      <c r="D16" s="17" t="n"/>
      <c r="E16" s="17" t="n"/>
      <c r="F16" s="17" t="n"/>
      <c r="G16" s="17" t="n"/>
      <c r="H16" s="17" t="n"/>
    </row>
    <row r="17">
      <c r="A17" s="17" t="n"/>
      <c r="B17" s="17" t="n"/>
      <c r="C17" s="17" t="n"/>
      <c r="D17" s="17" t="n"/>
      <c r="E17" s="17" t="n"/>
      <c r="F17" s="17" t="n"/>
      <c r="G17" s="17" t="n"/>
      <c r="H17" s="17" t="n"/>
    </row>
    <row r="18">
      <c r="A18" s="17" t="n"/>
      <c r="B18" s="17" t="n"/>
      <c r="C18" s="17" t="n"/>
      <c r="D18" s="17" t="n"/>
      <c r="E18" s="17" t="n"/>
      <c r="F18" s="17" t="n"/>
      <c r="G18" s="17" t="n"/>
      <c r="H18" s="17" t="n"/>
    </row>
    <row r="19">
      <c r="A19" s="17" t="n"/>
      <c r="B19" s="17" t="n"/>
      <c r="C19" s="17" t="n"/>
      <c r="D19" s="17" t="n"/>
      <c r="E19" s="17" t="n"/>
      <c r="F19" s="17" t="n"/>
      <c r="G19" s="17" t="n"/>
      <c r="H19" s="17" t="n"/>
    </row>
    <row r="20">
      <c r="A20" s="17" t="n"/>
      <c r="B20" s="17" t="n"/>
      <c r="C20" s="17" t="n"/>
      <c r="D20" s="17" t="n"/>
      <c r="E20" s="17" t="n"/>
      <c r="F20" s="17" t="n"/>
      <c r="G20" s="17" t="n"/>
      <c r="H20" s="17" t="n"/>
    </row>
    <row r="21">
      <c r="A21" s="17" t="n"/>
      <c r="B21" s="17" t="n"/>
      <c r="C21" s="17" t="n"/>
      <c r="D21" s="17" t="n"/>
      <c r="E21" s="17" t="n"/>
      <c r="F21" s="17" t="n"/>
      <c r="G21" s="17" t="n"/>
      <c r="H21" s="17" t="n"/>
    </row>
    <row r="22">
      <c r="A22" s="17" t="n"/>
      <c r="B22" s="17" t="n"/>
      <c r="C22" s="17" t="n"/>
      <c r="D22" s="17" t="n"/>
      <c r="E22" s="17" t="n"/>
      <c r="F22" s="17" t="n"/>
      <c r="G22" s="17" t="n"/>
      <c r="H22" s="17" t="n"/>
    </row>
    <row r="23">
      <c r="A23" s="17" t="n"/>
      <c r="B23" s="17" t="n"/>
      <c r="C23" s="17" t="n"/>
      <c r="D23" s="17" t="n"/>
      <c r="E23" s="17" t="n"/>
      <c r="F23" s="17" t="n"/>
      <c r="G23" s="17" t="n"/>
      <c r="H23" s="17" t="n"/>
    </row>
    <row r="24">
      <c r="A24" s="17" t="n"/>
      <c r="B24" s="17" t="n"/>
      <c r="C24" s="17" t="n"/>
      <c r="D24" s="17" t="n"/>
      <c r="E24" s="17" t="n"/>
      <c r="F24" s="17" t="n"/>
      <c r="G24" s="17" t="n"/>
      <c r="H24" s="17" t="n"/>
    </row>
    <row r="25">
      <c r="A25" s="17" t="n"/>
      <c r="B25" s="17" t="n"/>
      <c r="C25" s="17" t="n"/>
      <c r="D25" s="17" t="n"/>
      <c r="E25" s="17" t="n"/>
      <c r="F25" s="17" t="n"/>
      <c r="G25" s="17" t="n"/>
      <c r="H25" s="17" t="n"/>
    </row>
    <row r="26">
      <c r="A26" s="17" t="n"/>
      <c r="B26" s="17" t="n"/>
      <c r="C26" s="17" t="n"/>
      <c r="D26" s="17" t="n"/>
      <c r="E26" s="17" t="n"/>
      <c r="F26" s="17" t="n"/>
      <c r="G26" s="17" t="n"/>
      <c r="H26" s="17" t="n"/>
    </row>
    <row r="27">
      <c r="A27" s="17" t="n"/>
      <c r="B27" s="17" t="n"/>
      <c r="C27" s="17" t="n"/>
      <c r="D27" s="17" t="n"/>
      <c r="E27" s="17" t="n"/>
      <c r="F27" s="17" t="n"/>
      <c r="G27" s="17" t="n"/>
      <c r="H27" s="17" t="n"/>
    </row>
    <row r="28">
      <c r="A28" s="17" t="n"/>
      <c r="B28" s="17" t="n"/>
      <c r="C28" s="17" t="n"/>
      <c r="D28" s="17" t="n"/>
      <c r="E28" s="17" t="n"/>
      <c r="F28" s="17" t="n"/>
      <c r="G28" s="17" t="n"/>
      <c r="H28" s="17" t="n"/>
    </row>
    <row r="29">
      <c r="A29" s="17" t="n"/>
      <c r="B29" s="17" t="n"/>
      <c r="C29" s="17" t="n"/>
      <c r="D29" s="17" t="n"/>
      <c r="E29" s="17" t="n"/>
      <c r="F29" s="17" t="n"/>
      <c r="G29" s="17" t="n"/>
      <c r="H29" s="17" t="n"/>
    </row>
    <row r="30">
      <c r="A30" s="17" t="n"/>
      <c r="B30" s="17" t="n"/>
      <c r="C30" s="17" t="n"/>
      <c r="D30" s="17" t="n"/>
      <c r="E30" s="17" t="n"/>
      <c r="F30" s="17" t="n"/>
      <c r="G30" s="17" t="n"/>
      <c r="H30" s="17" t="n"/>
    </row>
    <row r="31">
      <c r="A31" s="17" t="n"/>
      <c r="B31" s="17" t="n"/>
      <c r="C31" s="17" t="n"/>
      <c r="D31" s="17" t="n"/>
      <c r="E31" s="17" t="n"/>
      <c r="F31" s="17" t="n"/>
      <c r="G31" s="17" t="n"/>
      <c r="H31" s="17" t="n"/>
    </row>
    <row r="32">
      <c r="A32" s="17" t="n"/>
      <c r="B32" s="17" t="n"/>
      <c r="C32" s="17" t="n"/>
      <c r="D32" s="17" t="n"/>
      <c r="E32" s="17" t="n"/>
      <c r="F32" s="17" t="n"/>
      <c r="G32" s="17" t="n"/>
      <c r="H32" s="17" t="n"/>
    </row>
    <row r="33">
      <c r="A33" s="17" t="n"/>
      <c r="B33" s="17" t="n"/>
      <c r="C33" s="17" t="n"/>
      <c r="D33" s="17" t="n"/>
      <c r="E33" s="17" t="n"/>
      <c r="F33" s="17" t="n"/>
      <c r="G33" s="17" t="n"/>
      <c r="H33" s="17" t="n"/>
    </row>
    <row r="34">
      <c r="A34" s="17" t="n"/>
      <c r="B34" s="17" t="n"/>
      <c r="C34" s="17" t="n"/>
      <c r="D34" s="17" t="n"/>
      <c r="E34" s="17" t="n"/>
      <c r="F34" s="17" t="n"/>
      <c r="G34" s="17" t="n"/>
      <c r="H34" s="17" t="n"/>
    </row>
    <row r="35">
      <c r="A35" s="17" t="n"/>
      <c r="B35" s="17" t="n"/>
      <c r="C35" s="17" t="n"/>
      <c r="D35" s="17" t="n"/>
      <c r="E35" s="17" t="n"/>
      <c r="F35" s="17" t="n"/>
      <c r="G35" s="17" t="n"/>
      <c r="H35" s="17" t="n"/>
    </row>
    <row r="36">
      <c r="A36" s="17" t="n"/>
      <c r="B36" s="17" t="n"/>
      <c r="C36" s="17" t="n"/>
      <c r="D36" s="17" t="n"/>
      <c r="E36" s="17" t="n"/>
      <c r="F36" s="17" t="n"/>
      <c r="G36" s="17" t="n"/>
      <c r="H36" s="17" t="n"/>
    </row>
    <row r="37">
      <c r="A37" s="17" t="n"/>
      <c r="B37" s="17" t="n"/>
      <c r="C37" s="17" t="n"/>
      <c r="D37" s="17" t="n"/>
      <c r="E37" s="17" t="n"/>
      <c r="F37" s="17" t="n"/>
      <c r="G37" s="17" t="n"/>
      <c r="H37" s="17" t="n"/>
    </row>
    <row r="38">
      <c r="A38" s="17" t="n"/>
      <c r="B38" s="17" t="n"/>
      <c r="C38" s="17" t="n"/>
      <c r="D38" s="17" t="n"/>
      <c r="E38" s="17" t="n"/>
      <c r="F38" s="17" t="n"/>
      <c r="G38" s="17" t="n"/>
      <c r="H38" s="17" t="n"/>
    </row>
    <row r="39">
      <c r="A39" s="17" t="n"/>
      <c r="B39" s="17" t="n"/>
      <c r="C39" s="17" t="n"/>
      <c r="D39" s="17" t="n"/>
      <c r="E39" s="17" t="n"/>
      <c r="F39" s="17" t="n"/>
      <c r="G39" s="17" t="n"/>
      <c r="H39" s="17" t="n"/>
    </row>
    <row r="40">
      <c r="A40" s="17" t="n"/>
      <c r="B40" s="17" t="n"/>
      <c r="C40" s="17" t="n"/>
      <c r="D40" s="17" t="n"/>
      <c r="E40" s="17" t="n"/>
      <c r="F40" s="17" t="n"/>
      <c r="G40" s="17" t="n"/>
      <c r="H40" s="17" t="n"/>
    </row>
    <row r="41">
      <c r="A41" s="17" t="n"/>
      <c r="B41" s="17" t="n"/>
      <c r="C41" s="17" t="n"/>
      <c r="D41" s="17" t="n"/>
      <c r="E41" s="17" t="n"/>
      <c r="F41" s="17" t="n"/>
      <c r="G41" s="17" t="n"/>
      <c r="H41" s="17" t="n"/>
    </row>
    <row r="42">
      <c r="A42" s="17" t="n"/>
      <c r="B42" s="17" t="n"/>
      <c r="C42" s="17" t="n"/>
      <c r="D42" s="17" t="n"/>
      <c r="E42" s="17" t="n"/>
      <c r="F42" s="17" t="n"/>
      <c r="G42" s="17" t="n"/>
      <c r="H42" s="17" t="n"/>
    </row>
    <row r="43">
      <c r="A43" s="17" t="n"/>
      <c r="B43" s="17" t="n"/>
      <c r="C43" s="17" t="n"/>
      <c r="D43" s="17" t="n"/>
      <c r="E43" s="17" t="n"/>
      <c r="F43" s="17" t="n"/>
      <c r="G43" s="17" t="n"/>
      <c r="H43" s="17" t="n"/>
    </row>
    <row r="44">
      <c r="A44" s="17" t="n"/>
      <c r="B44" s="17" t="n"/>
      <c r="C44" s="17" t="n"/>
      <c r="D44" s="17" t="n"/>
      <c r="E44" s="17" t="n"/>
      <c r="F44" s="17" t="n"/>
      <c r="G44" s="17" t="n"/>
      <c r="H44" s="17" t="n"/>
    </row>
    <row r="45">
      <c r="A45" s="17" t="n"/>
      <c r="B45" s="17" t="n"/>
      <c r="C45" s="17" t="n"/>
      <c r="D45" s="17" t="n"/>
      <c r="E45" s="17" t="n"/>
      <c r="F45" s="17" t="n"/>
      <c r="G45" s="17" t="n"/>
      <c r="H45" s="17" t="n"/>
    </row>
    <row r="46">
      <c r="A46" s="17" t="n"/>
      <c r="B46" s="17" t="n"/>
      <c r="C46" s="17" t="n"/>
      <c r="D46" s="17" t="n"/>
      <c r="E46" s="17" t="n"/>
      <c r="F46" s="17" t="n"/>
      <c r="G46" s="17" t="n"/>
      <c r="H46" s="17" t="n"/>
    </row>
    <row r="47">
      <c r="A47" s="17" t="n"/>
      <c r="B47" s="17" t="n"/>
      <c r="C47" s="17" t="n"/>
      <c r="D47" s="17" t="n"/>
      <c r="E47" s="17" t="n"/>
      <c r="F47" s="17" t="n"/>
      <c r="G47" s="17" t="n"/>
      <c r="H47" s="17" t="n"/>
    </row>
    <row r="48">
      <c r="A48" s="17" t="n"/>
      <c r="B48" s="17" t="n"/>
      <c r="C48" s="17" t="n"/>
      <c r="D48" s="17" t="n"/>
      <c r="E48" s="17" t="n"/>
      <c r="F48" s="17" t="n"/>
      <c r="G48" s="17" t="n"/>
      <c r="H48" s="17" t="n"/>
    </row>
    <row r="49">
      <c r="A49" s="17" t="n"/>
      <c r="B49" s="17" t="n"/>
      <c r="C49" s="17" t="n"/>
      <c r="D49" s="17" t="n"/>
      <c r="E49" s="17" t="n"/>
      <c r="F49" s="17" t="n"/>
      <c r="G49" s="17" t="n"/>
      <c r="H49" s="17" t="n"/>
    </row>
    <row r="50">
      <c r="A50" s="17" t="n"/>
      <c r="B50" s="17" t="n"/>
      <c r="C50" s="17" t="n"/>
      <c r="D50" s="17" t="n"/>
      <c r="E50" s="17" t="n"/>
      <c r="F50" s="17" t="n"/>
      <c r="G50" s="17" t="n"/>
      <c r="H50" s="17" t="n"/>
    </row>
    <row r="51">
      <c r="A51" s="17" t="n"/>
      <c r="B51" s="17" t="n"/>
      <c r="C51" s="17" t="n"/>
      <c r="D51" s="17" t="n"/>
      <c r="E51" s="17" t="n"/>
      <c r="F51" s="17" t="n"/>
      <c r="G51" s="17" t="n"/>
      <c r="H51" s="17" t="n"/>
    </row>
    <row r="52">
      <c r="A52" s="17" t="n"/>
      <c r="B52" s="17" t="n"/>
      <c r="C52" s="17" t="n"/>
      <c r="D52" s="17" t="n"/>
      <c r="E52" s="17" t="n"/>
      <c r="F52" s="17" t="n"/>
      <c r="G52" s="17" t="n"/>
      <c r="H52" s="17" t="n"/>
    </row>
    <row r="53">
      <c r="A53" s="17" t="n"/>
      <c r="B53" s="17" t="n"/>
      <c r="C53" s="17" t="n"/>
      <c r="D53" s="17" t="n"/>
      <c r="E53" s="17" t="n"/>
      <c r="F53" s="17" t="n"/>
      <c r="G53" s="17" t="n"/>
      <c r="H53" s="17" t="n"/>
    </row>
    <row r="54">
      <c r="A54" s="17" t="n"/>
      <c r="B54" s="17" t="n"/>
      <c r="C54" s="17" t="n"/>
      <c r="D54" s="17" t="n"/>
      <c r="E54" s="17" t="n"/>
      <c r="F54" s="17" t="n"/>
      <c r="G54" s="17" t="n"/>
      <c r="H54" s="17" t="n"/>
    </row>
    <row r="55">
      <c r="A55" s="17" t="n"/>
      <c r="B55" s="17" t="n"/>
      <c r="C55" s="17" t="n"/>
      <c r="D55" s="17" t="n"/>
      <c r="E55" s="17" t="n"/>
      <c r="F55" s="17" t="n"/>
      <c r="G55" s="17" t="n"/>
      <c r="H55" s="17" t="n"/>
    </row>
    <row r="56">
      <c r="A56" s="17" t="n"/>
      <c r="B56" s="17" t="n"/>
      <c r="C56" s="17" t="n"/>
      <c r="D56" s="17" t="n"/>
      <c r="E56" s="17" t="n"/>
      <c r="F56" s="17" t="n"/>
      <c r="G56" s="17" t="n"/>
      <c r="H56" s="17" t="n"/>
    </row>
    <row r="57">
      <c r="A57" s="17" t="n"/>
      <c r="B57" s="17" t="n"/>
      <c r="C57" s="17" t="n"/>
      <c r="D57" s="17" t="n"/>
      <c r="E57" s="17" t="n"/>
      <c r="F57" s="17" t="n"/>
      <c r="G57" s="17" t="n"/>
      <c r="H57" s="17" t="n"/>
    </row>
    <row r="58">
      <c r="A58" s="17" t="n"/>
      <c r="B58" s="17" t="n"/>
      <c r="C58" s="17" t="n"/>
      <c r="D58" s="17" t="n"/>
      <c r="E58" s="17" t="n"/>
      <c r="F58" s="17" t="n"/>
      <c r="G58" s="17" t="n"/>
      <c r="H58" s="17" t="n"/>
    </row>
    <row r="59">
      <c r="A59" s="17" t="n"/>
      <c r="B59" s="17" t="n"/>
      <c r="C59" s="17" t="n"/>
      <c r="D59" s="17" t="n"/>
      <c r="E59" s="17" t="n"/>
      <c r="F59" s="17" t="n"/>
      <c r="G59" s="17" t="n"/>
      <c r="H59" s="17" t="n"/>
    </row>
    <row r="60">
      <c r="A60" s="17" t="n"/>
      <c r="B60" s="17" t="n"/>
      <c r="C60" s="17" t="n"/>
      <c r="D60" s="17" t="n"/>
      <c r="E60" s="17" t="n"/>
      <c r="F60" s="17" t="n"/>
      <c r="G60" s="17" t="n"/>
      <c r="H60" s="17" t="n"/>
    </row>
    <row r="61">
      <c r="A61" s="17" t="n"/>
      <c r="B61" s="17" t="n"/>
      <c r="C61" s="17" t="n"/>
      <c r="D61" s="17" t="n"/>
      <c r="E61" s="17" t="n"/>
      <c r="F61" s="17" t="n"/>
      <c r="G61" s="17" t="n"/>
      <c r="H61" s="17" t="n"/>
    </row>
    <row r="62">
      <c r="A62" s="17" t="n"/>
      <c r="B62" s="17" t="n"/>
      <c r="C62" s="17" t="n"/>
      <c r="D62" s="17" t="n"/>
      <c r="E62" s="17" t="n"/>
      <c r="F62" s="17" t="n"/>
      <c r="G62" s="17" t="n"/>
      <c r="H62" s="17" t="n"/>
    </row>
    <row r="63">
      <c r="A63" s="17" t="n"/>
      <c r="B63" s="17" t="n"/>
      <c r="C63" s="17" t="n"/>
      <c r="D63" s="17" t="n"/>
      <c r="E63" s="17" t="n"/>
      <c r="F63" s="17" t="n"/>
      <c r="G63" s="17" t="n"/>
      <c r="H63" s="17" t="n"/>
    </row>
    <row r="64">
      <c r="A64" s="17" t="n"/>
      <c r="B64" s="17" t="n"/>
      <c r="C64" s="17" t="n"/>
      <c r="D64" s="17" t="n"/>
      <c r="E64" s="17" t="n"/>
      <c r="F64" s="17" t="n"/>
      <c r="G64" s="17" t="n"/>
      <c r="H64" s="17" t="n"/>
    </row>
    <row r="65">
      <c r="A65" s="17" t="n"/>
      <c r="B65" s="17" t="n"/>
      <c r="C65" s="17" t="n"/>
      <c r="D65" s="17" t="n"/>
      <c r="E65" s="17" t="n"/>
      <c r="F65" s="17" t="n"/>
      <c r="G65" s="17" t="n"/>
      <c r="H65" s="17" t="n"/>
    </row>
    <row r="66">
      <c r="A66" s="17" t="n"/>
      <c r="B66" s="17" t="n"/>
      <c r="C66" s="17" t="n"/>
      <c r="D66" s="17" t="n"/>
      <c r="E66" s="17" t="n"/>
      <c r="F66" s="17" t="n"/>
      <c r="G66" s="17" t="n"/>
      <c r="H66" s="17" t="n"/>
    </row>
    <row r="67">
      <c r="A67" s="17" t="n"/>
      <c r="B67" s="17" t="n"/>
      <c r="C67" s="17" t="n"/>
      <c r="D67" s="17" t="n"/>
      <c r="E67" s="17" t="n"/>
      <c r="F67" s="17" t="n"/>
      <c r="G67" s="17" t="n"/>
      <c r="H67" s="17" t="n"/>
    </row>
    <row r="68">
      <c r="A68" s="17" t="n"/>
      <c r="B68" s="17" t="n"/>
      <c r="C68" s="17" t="n"/>
      <c r="D68" s="17" t="n"/>
      <c r="E68" s="17" t="n"/>
      <c r="F68" s="17" t="n"/>
      <c r="G68" s="17" t="n"/>
      <c r="H68" s="17" t="n"/>
    </row>
    <row r="69">
      <c r="A69" s="17" t="n"/>
      <c r="B69" s="17" t="n"/>
      <c r="C69" s="17" t="n"/>
      <c r="D69" s="17" t="n"/>
      <c r="E69" s="17" t="n"/>
      <c r="F69" s="17" t="n"/>
      <c r="G69" s="17" t="n"/>
      <c r="H69" s="17" t="n"/>
    </row>
    <row r="70">
      <c r="A70" s="17" t="n"/>
      <c r="B70" s="17" t="n"/>
      <c r="C70" s="17" t="n"/>
      <c r="D70" s="17" t="n"/>
      <c r="E70" s="17" t="n"/>
      <c r="F70" s="17" t="n"/>
      <c r="G70" s="17" t="n"/>
      <c r="H70" s="17" t="n"/>
    </row>
    <row r="71">
      <c r="A71" s="17" t="n"/>
      <c r="B71" s="17" t="n"/>
      <c r="C71" s="17" t="n"/>
      <c r="D71" s="17" t="n"/>
      <c r="E71" s="17" t="n"/>
      <c r="F71" s="17" t="n"/>
      <c r="G71" s="17" t="n"/>
      <c r="H71" s="17" t="n"/>
    </row>
    <row r="72">
      <c r="A72" s="17" t="n"/>
      <c r="B72" s="17" t="n"/>
      <c r="C72" s="17" t="n"/>
      <c r="D72" s="17" t="n"/>
      <c r="E72" s="17" t="n"/>
      <c r="F72" s="17" t="n"/>
      <c r="G72" s="17" t="n"/>
      <c r="H72" s="17" t="n"/>
    </row>
    <row r="73">
      <c r="A73" s="17" t="n"/>
      <c r="B73" s="17" t="n"/>
      <c r="C73" s="17" t="n"/>
      <c r="D73" s="17" t="n"/>
      <c r="E73" s="17" t="n"/>
      <c r="F73" s="17" t="n"/>
      <c r="G73" s="17" t="n"/>
      <c r="H73" s="17" t="n"/>
    </row>
    <row r="74">
      <c r="A74" s="17" t="n"/>
      <c r="B74" s="17" t="n"/>
      <c r="C74" s="17" t="n"/>
      <c r="D74" s="17" t="n"/>
      <c r="E74" s="17" t="n"/>
      <c r="F74" s="17" t="n"/>
      <c r="G74" s="17" t="n"/>
      <c r="H74" s="17" t="n"/>
    </row>
    <row r="75">
      <c r="A75" s="17" t="n"/>
      <c r="B75" s="17" t="n"/>
      <c r="C75" s="17" t="n"/>
      <c r="D75" s="17" t="n"/>
      <c r="E75" s="17" t="n"/>
      <c r="F75" s="17" t="n"/>
      <c r="G75" s="17" t="n"/>
      <c r="H75" s="17" t="n"/>
    </row>
    <row r="76">
      <c r="A76" s="17" t="n"/>
      <c r="B76" s="17" t="n"/>
      <c r="C76" s="17" t="n"/>
      <c r="D76" s="17" t="n"/>
      <c r="E76" s="17" t="n"/>
      <c r="F76" s="17" t="n"/>
      <c r="G76" s="17" t="n"/>
      <c r="H76" s="17" t="n"/>
    </row>
    <row r="77">
      <c r="A77" s="17" t="n"/>
      <c r="B77" s="17" t="n"/>
      <c r="C77" s="17" t="n"/>
      <c r="D77" s="17" t="n"/>
      <c r="E77" s="17" t="n"/>
      <c r="F77" s="17" t="n"/>
      <c r="G77" s="17" t="n"/>
      <c r="H77" s="17" t="n"/>
    </row>
    <row r="78">
      <c r="A78" s="17" t="n"/>
      <c r="B78" s="17" t="n"/>
      <c r="C78" s="17" t="n"/>
      <c r="D78" s="17" t="n"/>
      <c r="E78" s="17" t="n"/>
      <c r="F78" s="17" t="n"/>
      <c r="G78" s="17" t="n"/>
      <c r="H78" s="17" t="n"/>
    </row>
    <row r="79">
      <c r="A79" s="17" t="n"/>
      <c r="B79" s="17" t="n"/>
      <c r="C79" s="17" t="n"/>
      <c r="D79" s="17" t="n"/>
      <c r="E79" s="17" t="n"/>
      <c r="F79" s="17" t="n"/>
      <c r="G79" s="17" t="n"/>
      <c r="H79" s="17" t="n"/>
    </row>
    <row r="80">
      <c r="A80" s="17" t="n"/>
      <c r="B80" s="17" t="n"/>
      <c r="C80" s="17" t="n"/>
      <c r="D80" s="17" t="n"/>
      <c r="E80" s="17" t="n"/>
      <c r="F80" s="17" t="n"/>
      <c r="G80" s="17" t="n"/>
      <c r="H80" s="17" t="n"/>
    </row>
    <row r="81">
      <c r="A81" s="17" t="n"/>
      <c r="B81" s="17" t="n"/>
      <c r="C81" s="17" t="n"/>
      <c r="D81" s="17" t="n"/>
      <c r="E81" s="17" t="n"/>
      <c r="F81" s="17" t="n"/>
      <c r="G81" s="17" t="n"/>
      <c r="H81" s="17" t="n"/>
    </row>
    <row r="82">
      <c r="A82" s="17" t="n"/>
      <c r="B82" s="17" t="n"/>
      <c r="C82" s="17" t="n"/>
      <c r="D82" s="17" t="n"/>
      <c r="E82" s="17" t="n"/>
      <c r="F82" s="17" t="n"/>
      <c r="G82" s="17" t="n"/>
      <c r="H82" s="17" t="n"/>
    </row>
    <row r="83">
      <c r="A83" s="17" t="n"/>
      <c r="B83" s="17" t="n"/>
      <c r="C83" s="17" t="n"/>
      <c r="D83" s="17" t="n"/>
      <c r="E83" s="17" t="n"/>
      <c r="F83" s="17" t="n"/>
      <c r="G83" s="17" t="n"/>
      <c r="H83" s="17" t="n"/>
    </row>
    <row r="84">
      <c r="A84" s="17" t="n"/>
      <c r="B84" s="17" t="n"/>
      <c r="C84" s="17" t="n"/>
      <c r="D84" s="17" t="n"/>
      <c r="E84" s="17" t="n"/>
      <c r="F84" s="17" t="n"/>
      <c r="G84" s="17" t="n"/>
      <c r="H84" s="17" t="n"/>
    </row>
    <row r="85">
      <c r="A85" s="17" t="n"/>
      <c r="B85" s="17" t="n"/>
      <c r="C85" s="17" t="n"/>
      <c r="D85" s="17" t="n"/>
      <c r="E85" s="17" t="n"/>
      <c r="F85" s="17" t="n"/>
      <c r="G85" s="17" t="n"/>
      <c r="H85" s="17" t="n"/>
    </row>
    <row r="86">
      <c r="A86" s="17" t="n"/>
      <c r="B86" s="17" t="n"/>
      <c r="C86" s="17" t="n"/>
      <c r="D86" s="17" t="n"/>
      <c r="E86" s="17" t="n"/>
      <c r="F86" s="17" t="n"/>
      <c r="G86" s="17" t="n"/>
      <c r="H86" s="17" t="n"/>
    </row>
    <row r="87">
      <c r="A87" s="17" t="n"/>
      <c r="B87" s="17" t="n"/>
      <c r="C87" s="17" t="n"/>
      <c r="D87" s="17" t="n"/>
      <c r="E87" s="17" t="n"/>
      <c r="F87" s="17" t="n"/>
      <c r="G87" s="17" t="n"/>
      <c r="H87" s="17" t="n"/>
    </row>
    <row r="88">
      <c r="A88" s="17" t="n"/>
      <c r="B88" s="17" t="n"/>
      <c r="C88" s="17" t="n"/>
      <c r="D88" s="17" t="n"/>
      <c r="E88" s="17" t="n"/>
      <c r="F88" s="17" t="n"/>
      <c r="G88" s="17" t="n"/>
      <c r="H88" s="17" t="n"/>
    </row>
    <row r="89">
      <c r="A89" s="17" t="n"/>
      <c r="B89" s="17" t="n"/>
      <c r="C89" s="17" t="n"/>
      <c r="D89" s="17" t="n"/>
      <c r="E89" s="17" t="n"/>
      <c r="F89" s="17" t="n"/>
      <c r="G89" s="17" t="n"/>
      <c r="H89" s="17" t="n"/>
    </row>
    <row r="90">
      <c r="A90" s="17" t="n"/>
      <c r="B90" s="17" t="n"/>
      <c r="C90" s="17" t="n"/>
      <c r="D90" s="17" t="n"/>
      <c r="E90" s="17" t="n"/>
      <c r="F90" s="17" t="n"/>
      <c r="G90" s="17" t="n"/>
      <c r="H90" s="17" t="n"/>
    </row>
    <row r="91">
      <c r="A91" s="17" t="n"/>
      <c r="B91" s="17" t="n"/>
      <c r="C91" s="17" t="n"/>
      <c r="D91" s="17" t="n"/>
      <c r="E91" s="17" t="n"/>
      <c r="F91" s="17" t="n"/>
      <c r="G91" s="17" t="n"/>
      <c r="H91" s="17" t="n"/>
    </row>
    <row r="92">
      <c r="A92" s="17" t="n"/>
      <c r="B92" s="17" t="n"/>
      <c r="C92" s="17" t="n"/>
      <c r="D92" s="17" t="n"/>
      <c r="E92" s="17" t="n"/>
      <c r="F92" s="17" t="n"/>
      <c r="G92" s="17" t="n"/>
      <c r="H92" s="17" t="n"/>
    </row>
    <row r="93">
      <c r="A93" s="17" t="n"/>
      <c r="B93" s="17" t="n"/>
      <c r="C93" s="17" t="n"/>
      <c r="D93" s="17" t="n"/>
      <c r="E93" s="17" t="n"/>
      <c r="F93" s="17" t="n"/>
      <c r="G93" s="17" t="n"/>
      <c r="H93" s="17" t="n"/>
    </row>
    <row r="94">
      <c r="A94" s="17" t="n"/>
      <c r="B94" s="17" t="n"/>
      <c r="C94" s="17" t="n"/>
      <c r="D94" s="17" t="n"/>
      <c r="E94" s="17" t="n"/>
      <c r="F94" s="17" t="n"/>
      <c r="G94" s="17" t="n"/>
      <c r="H94" s="17" t="n"/>
    </row>
    <row r="95">
      <c r="A95" s="17" t="n"/>
      <c r="B95" s="17" t="n"/>
      <c r="C95" s="17" t="n"/>
      <c r="D95" s="17" t="n"/>
      <c r="E95" s="17" t="n"/>
      <c r="F95" s="17" t="n"/>
      <c r="G95" s="17" t="n"/>
      <c r="H95" s="17" t="n"/>
    </row>
    <row r="96">
      <c r="A96" s="17" t="n"/>
      <c r="B96" s="17" t="n"/>
      <c r="C96" s="17" t="n"/>
      <c r="D96" s="17" t="n"/>
      <c r="E96" s="17" t="n"/>
      <c r="F96" s="17" t="n"/>
      <c r="G96" s="17" t="n"/>
      <c r="H96" s="17" t="n"/>
    </row>
    <row r="97">
      <c r="A97" s="17" t="n"/>
      <c r="B97" s="17" t="n"/>
      <c r="C97" s="17" t="n"/>
      <c r="D97" s="17" t="n"/>
      <c r="E97" s="17" t="n"/>
      <c r="F97" s="17" t="n"/>
      <c r="G97" s="17" t="n"/>
      <c r="H97" s="17" t="n"/>
    </row>
    <row r="98">
      <c r="A98" s="17" t="n"/>
      <c r="B98" s="17" t="n"/>
      <c r="C98" s="17" t="n"/>
      <c r="D98" s="17" t="n"/>
      <c r="E98" s="17" t="n"/>
      <c r="F98" s="17" t="n"/>
      <c r="G98" s="17" t="n"/>
      <c r="H98" s="17" t="n"/>
    </row>
    <row r="99">
      <c r="A99" s="17" t="n"/>
      <c r="B99" s="17" t="n"/>
      <c r="C99" s="17" t="n"/>
      <c r="D99" s="17" t="n"/>
      <c r="E99" s="17" t="n"/>
      <c r="F99" s="17" t="n"/>
      <c r="G99" s="17" t="n"/>
      <c r="H99" s="17" t="n"/>
    </row>
    <row r="100">
      <c r="A100" s="17" t="n"/>
      <c r="B100" s="17" t="n"/>
      <c r="C100" s="17" t="n"/>
      <c r="D100" s="17" t="n"/>
      <c r="E100" s="17" t="n"/>
      <c r="F100" s="17" t="n"/>
      <c r="G100" s="17" t="n"/>
      <c r="H100" s="17" t="n"/>
    </row>
    <row r="101">
      <c r="A101" s="17" t="n"/>
      <c r="B101" s="17" t="n"/>
      <c r="C101" s="17" t="n"/>
      <c r="D101" s="17" t="n"/>
      <c r="E101" s="17" t="n"/>
      <c r="F101" s="17" t="n"/>
      <c r="G101" s="17" t="n"/>
      <c r="H101" s="17" t="n"/>
    </row>
    <row r="102">
      <c r="A102" s="17" t="n"/>
      <c r="B102" s="17" t="n"/>
      <c r="C102" s="17" t="n"/>
      <c r="D102" s="17" t="n"/>
      <c r="E102" s="17" t="n"/>
      <c r="F102" s="17" t="n"/>
      <c r="G102" s="17" t="n"/>
      <c r="H102" s="17" t="n"/>
    </row>
    <row r="103">
      <c r="A103" s="17" t="n"/>
      <c r="B103" s="17" t="n"/>
      <c r="C103" s="17" t="n"/>
      <c r="D103" s="17" t="n"/>
      <c r="E103" s="17" t="n"/>
      <c r="F103" s="17" t="n"/>
      <c r="G103" s="17" t="n"/>
      <c r="H103" s="17" t="n"/>
    </row>
    <row r="104">
      <c r="A104" s="17" t="n"/>
      <c r="B104" s="17" t="n"/>
      <c r="C104" s="17" t="n"/>
      <c r="D104" s="17" t="n"/>
      <c r="E104" s="17" t="n"/>
      <c r="F104" s="17" t="n"/>
      <c r="G104" s="17" t="n"/>
      <c r="H104" s="17" t="n"/>
    </row>
    <row r="105">
      <c r="A105" s="17" t="n"/>
      <c r="B105" s="17" t="n"/>
      <c r="C105" s="17" t="n"/>
      <c r="D105" s="17" t="n"/>
      <c r="E105" s="17" t="n"/>
      <c r="F105" s="17" t="n"/>
      <c r="G105" s="17" t="n"/>
      <c r="H105" s="17"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"Role documentation,Job descriptions,Org chart,Training records,HRIS export,LMS export,Interview notes,Other"</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1" type="list">
      <formula1>"Verified,Pending,Requires update,Not available"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16" customWidth="1" min="5" max="5"/>
    <col width="10" customWidth="1" min="6" max="6"/>
    <col width="14" customWidth="1" min="7" max="7"/>
  </cols>
  <sheetData>
    <row r="1" ht="35" customHeight="1">
      <c r="A1" s="31" t="inlineStr">
        <is>
          <t>TRAINING NEEDS ASSESSMENT — SUMMARY DASHBOARD</t>
        </is>
      </c>
      <c r="B1" s="32" t="n"/>
      <c r="C1" s="32" t="n"/>
      <c r="D1" s="32" t="n"/>
      <c r="E1" s="32" t="n"/>
      <c r="F1" s="32" t="n"/>
      <c r="G1" s="32" t="n"/>
    </row>
    <row r="2">
      <c r="A2" s="33" t="inlineStr">
        <is>
          <t>ISO/IEC 27001:2022 — Control A.6.3: Information Security Awareness, Education and Training | Needs Assessment</t>
        </is>
      </c>
    </row>
    <row r="4" ht="20" customHeight="1">
      <c r="A4" s="34" t="inlineStr">
        <is>
          <t>TABLE 1: ASSESSMENT AREA COMPLIANCE OVERVIEW</t>
        </is>
      </c>
      <c r="B4" s="32" t="n"/>
      <c r="C4" s="32" t="n"/>
      <c r="D4" s="32" t="n"/>
      <c r="E4" s="32" t="n"/>
      <c r="F4" s="32" t="n"/>
      <c r="G4" s="32" t="n"/>
    </row>
    <row r="5" ht="30" customHeight="1">
      <c r="A5" s="35" t="inlineStr">
        <is>
          <t>Assessment Area</t>
        </is>
      </c>
      <c r="B5" s="35" t="inlineStr">
        <is>
          <t>Count</t>
        </is>
      </c>
      <c r="C5" s="35" t="inlineStr">
        <is>
          <t>Compliant</t>
        </is>
      </c>
      <c r="D5" s="35" t="inlineStr">
        <is>
          <t>Partial</t>
        </is>
      </c>
      <c r="E5" s="35" t="inlineStr">
        <is>
          <t>Non-Compliant</t>
        </is>
      </c>
      <c r="F5" s="35" t="inlineStr">
        <is>
          <t>N/A</t>
        </is>
      </c>
      <c r="G5" s="35" t="inlineStr">
        <is>
          <t>Compliance %</t>
        </is>
      </c>
    </row>
    <row r="6">
      <c r="A6" s="36" t="inlineStr">
        <is>
          <t>Role Inventory</t>
        </is>
      </c>
      <c r="B6" s="37">
        <f>COUNTA('Role Inventory'!A5:A54)</f>
        <v/>
      </c>
      <c r="C6" s="37">
        <f>COUNTA('Role Inventory'!A5:A54)</f>
        <v/>
      </c>
      <c r="D6" s="37" t="n">
        <v>0</v>
      </c>
      <c r="E6" s="37" t="n">
        <v>0</v>
      </c>
      <c r="F6" s="37" t="n">
        <v>0</v>
      </c>
      <c r="G6" s="38">
        <f>IF((B6-F6)=0,0,C6/(B6-F6))</f>
        <v/>
      </c>
    </row>
    <row r="7">
      <c r="A7" s="36" t="inlineStr">
        <is>
          <t>Training Gap Analysis</t>
        </is>
      </c>
      <c r="B7" s="37">
        <f>COUNTA('Gap Analysis'!A5:A54)</f>
        <v/>
      </c>
      <c r="C7" s="37">
        <f>COUNTIF('Gap Analysis'!H5:H54,"Low")</f>
        <v/>
      </c>
      <c r="D7" s="37">
        <f>COUNTIF('Gap Analysis'!H5:H54,"Medium")</f>
        <v/>
      </c>
      <c r="E7" s="37">
        <f>COUNTIF('Gap Analysis'!H5:H54,"Critical")+COUNTIF('Gap Analysis'!H5:H54,"High")</f>
        <v/>
      </c>
      <c r="F7" s="37" t="n">
        <v>0</v>
      </c>
      <c r="G7" s="38">
        <f>IF((B7-F7)=0,0,C7/(B7-F7))</f>
        <v/>
      </c>
    </row>
    <row r="8">
      <c r="A8" s="39" t="inlineStr">
        <is>
          <t>TOTAL</t>
        </is>
      </c>
      <c r="B8" s="40">
        <f>SUM(B6:B7)</f>
        <v/>
      </c>
      <c r="C8" s="40">
        <f>SUM(C6:C7)</f>
        <v/>
      </c>
      <c r="D8" s="40">
        <f>SUM(D6:D7)</f>
        <v/>
      </c>
      <c r="E8" s="40">
        <f>SUM(E6:E7)</f>
        <v/>
      </c>
      <c r="F8" s="40">
        <f>SUM(F6:F7)</f>
        <v/>
      </c>
      <c r="G8" s="41">
        <f>IF((B8-F8)=0,0,C8/(B8-F8))</f>
        <v/>
      </c>
    </row>
    <row r="10" ht="20" customHeight="1">
      <c r="A10" s="34" t="inlineStr">
        <is>
          <t>TABLE 2: KEY METRICS</t>
        </is>
      </c>
      <c r="B10" s="32" t="n"/>
      <c r="C10" s="32" t="n"/>
      <c r="D10" s="32" t="n"/>
      <c r="E10" s="32" t="n"/>
      <c r="F10" s="32" t="n"/>
      <c r="G10" s="32" t="n"/>
    </row>
    <row r="11">
      <c r="A11" s="40" t="inlineStr">
        <is>
          <t>Metric</t>
        </is>
      </c>
      <c r="B11" s="40" t="inlineStr">
        <is>
          <t>Value</t>
        </is>
      </c>
      <c r="C11" s="40" t="n"/>
      <c r="D11" s="40" t="n"/>
      <c r="E11" s="40" t="n"/>
      <c r="F11" s="40" t="n"/>
      <c r="G11" s="40" t="n"/>
    </row>
    <row r="12">
      <c r="A12" s="36" t="inlineStr">
        <is>
          <t>Total Roles Assessed</t>
        </is>
      </c>
      <c r="B12" s="37">
        <f>COUNTA('Role Inventory'!A5:A54)</f>
        <v/>
      </c>
      <c r="C12" s="32" t="n"/>
      <c r="D12" s="32" t="n"/>
      <c r="E12" s="32" t="n"/>
      <c r="F12" s="32" t="n"/>
      <c r="G12" s="32" t="n"/>
    </row>
    <row r="13">
      <c r="A13" s="36" t="inlineStr">
        <is>
          <t>Total Employees Covered</t>
        </is>
      </c>
      <c r="B13" s="37">
        <f>SUM('Role Inventory'!D5:D54)</f>
        <v/>
      </c>
      <c r="C13" s="32" t="n"/>
      <c r="D13" s="32" t="n"/>
      <c r="E13" s="32" t="n"/>
      <c r="F13" s="32" t="n"/>
      <c r="G13" s="32" t="n"/>
    </row>
    <row r="14">
      <c r="A14" s="36" t="inlineStr">
        <is>
          <t>Tier 1 (Baseline Awareness) Roles</t>
        </is>
      </c>
      <c r="B14" s="37">
        <f>COUNTIF('Role Inventory'!K5:K54,"Tier 1")</f>
        <v/>
      </c>
      <c r="C14" s="32" t="n"/>
      <c r="D14" s="32" t="n"/>
      <c r="E14" s="32" t="n"/>
      <c r="F14" s="32" t="n"/>
      <c r="G14" s="32" t="n"/>
    </row>
    <row r="15">
      <c r="A15" s="36" t="inlineStr">
        <is>
          <t>Tier 5–7 (Privileged/Specialist/Management) Roles</t>
        </is>
      </c>
      <c r="B15" s="37">
        <f>COUNTIF('Role Inventory'!K5:K54,"Tier 5")+COUNTIF('Role Inventory'!K5:K54,"Tier 6")+COUNTIF('Role Inventory'!K5:K54,"Tier 7")</f>
        <v/>
      </c>
      <c r="C15" s="32" t="n"/>
      <c r="D15" s="32" t="n"/>
      <c r="E15" s="32" t="n"/>
      <c r="F15" s="32" t="n"/>
      <c r="G15" s="32" t="n"/>
    </row>
    <row r="16">
      <c r="A16" s="36" t="inlineStr">
        <is>
          <t>Total Training Gaps Identified</t>
        </is>
      </c>
      <c r="B16" s="37">
        <f>COUNTA('Gap Analysis'!A5:A54)</f>
        <v/>
      </c>
      <c r="C16" s="32" t="n"/>
      <c r="D16" s="32" t="n"/>
      <c r="E16" s="32" t="n"/>
      <c r="F16" s="32" t="n"/>
      <c r="G16" s="32" t="n"/>
    </row>
    <row r="17">
      <c r="A17" s="36" t="inlineStr">
        <is>
          <t>Critical Priority Gaps</t>
        </is>
      </c>
      <c r="B17" s="37">
        <f>COUNTIF('Gap Analysis'!H5:H54,"Critical")</f>
        <v/>
      </c>
      <c r="C17" s="32" t="n"/>
      <c r="D17" s="32" t="n"/>
      <c r="E17" s="32" t="n"/>
      <c r="F17" s="32" t="n"/>
      <c r="G17" s="32" t="n"/>
    </row>
    <row r="18">
      <c r="A18" s="36" t="inlineStr">
        <is>
          <t>High Priority Gaps</t>
        </is>
      </c>
      <c r="B18" s="37">
        <f>COUNTIF('Gap Analysis'!H5:H54,"High")</f>
        <v/>
      </c>
      <c r="C18" s="32" t="n"/>
      <c r="D18" s="32" t="n"/>
      <c r="E18" s="32" t="n"/>
      <c r="F18" s="32" t="n"/>
      <c r="G18" s="32" t="n"/>
    </row>
    <row r="19">
      <c r="A19" s="36" t="inlineStr">
        <is>
          <t>Medium Priority Gaps</t>
        </is>
      </c>
      <c r="B19" s="37">
        <f>COUNTIF('Gap Analysis'!H5:H54,"Medium")</f>
        <v/>
      </c>
      <c r="C19" s="32" t="n"/>
      <c r="D19" s="32" t="n"/>
      <c r="E19" s="32" t="n"/>
      <c r="F19" s="32" t="n"/>
      <c r="G19" s="32" t="n"/>
    </row>
    <row r="20">
      <c r="A20" s="32" t="n"/>
      <c r="B20" s="32" t="n"/>
      <c r="C20" s="32" t="n"/>
      <c r="D20" s="32" t="n"/>
      <c r="E20" s="32" t="n"/>
      <c r="F20" s="32" t="n"/>
      <c r="G20" s="32" t="n"/>
    </row>
    <row r="21">
      <c r="A21" s="32" t="n"/>
      <c r="B21" s="32" t="n"/>
      <c r="C21" s="32" t="n"/>
      <c r="D21" s="32" t="n"/>
      <c r="E21" s="32" t="n"/>
      <c r="F21" s="32" t="n"/>
      <c r="G21" s="32" t="n"/>
    </row>
    <row r="23" ht="20" customHeight="1">
      <c r="A23" s="42" t="inlineStr">
        <is>
          <t>TABLE 3: CRITICAL FINDINGS REQUIRING IMMEDIATE ATTENTION</t>
        </is>
      </c>
      <c r="B23" s="32" t="n"/>
      <c r="C23" s="32" t="n"/>
      <c r="D23" s="32" t="n"/>
      <c r="E23" s="32" t="n"/>
      <c r="F23" s="32" t="n"/>
      <c r="G23" s="32" t="n"/>
    </row>
    <row r="24">
      <c r="A24" s="40" t="inlineStr">
        <is>
          <t>Category</t>
        </is>
      </c>
      <c r="B24" s="40" t="inlineStr">
        <is>
          <t>Finding</t>
        </is>
      </c>
      <c r="C24" s="40" t="inlineStr">
        <is>
          <t>Count</t>
        </is>
      </c>
      <c r="D24" s="40" t="inlineStr">
        <is>
          <t>Severity</t>
        </is>
      </c>
      <c r="E24" s="40" t="inlineStr">
        <is>
          <t>Action Required</t>
        </is>
      </c>
      <c r="F24" s="40" t="n"/>
      <c r="G24" s="40" t="n"/>
    </row>
    <row r="25">
      <c r="A25" s="43" t="inlineStr">
        <is>
          <t>Gap Priority</t>
        </is>
      </c>
      <c r="B25" s="43" t="inlineStr">
        <is>
          <t>Critical priority training gaps identified</t>
        </is>
      </c>
      <c r="C25" s="44">
        <f>COUNTIF('Gap Analysis'!H5:H54,"Critical")</f>
        <v/>
      </c>
      <c r="D25" s="43" t="inlineStr">
        <is>
          <t>Critical</t>
        </is>
      </c>
      <c r="E25" s="43" t="inlineStr">
        <is>
          <t>Immediate</t>
        </is>
      </c>
      <c r="F25" s="43" t="n"/>
      <c r="G25" s="43" t="n"/>
    </row>
    <row r="26">
      <c r="A26" s="43" t="inlineStr">
        <is>
          <t>Gap Priority</t>
        </is>
      </c>
      <c r="B26" s="43" t="inlineStr">
        <is>
          <t>High priority training gaps identified</t>
        </is>
      </c>
      <c r="C26" s="44">
        <f>COUNTIF('Gap Analysis'!H5:H54,"High")</f>
        <v/>
      </c>
      <c r="D26" s="43" t="inlineStr">
        <is>
          <t>High</t>
        </is>
      </c>
      <c r="E26" s="43" t="inlineStr">
        <is>
          <t>Urgent</t>
        </is>
      </c>
      <c r="F26" s="43" t="n"/>
      <c r="G26" s="43" t="n"/>
    </row>
    <row r="27">
      <c r="A27" s="43" t="inlineStr">
        <is>
          <t>Role Coverage</t>
        </is>
      </c>
      <c r="B27" s="43" t="inlineStr">
        <is>
          <t>Roles with no training needs assessed</t>
        </is>
      </c>
      <c r="C27" s="44">
        <f>MAX(0,50-COUNTA('Role Inventory'!A5:A54))</f>
        <v/>
      </c>
      <c r="D27" s="43" t="inlineStr">
        <is>
          <t>High</t>
        </is>
      </c>
      <c r="E27" s="43" t="inlineStr">
        <is>
          <t>Urgent</t>
        </is>
      </c>
      <c r="F27" s="43" t="n"/>
      <c r="G27" s="43" t="n"/>
    </row>
    <row r="28">
      <c r="A28" s="43" t="inlineStr">
        <is>
          <t>Gap Coverage</t>
        </is>
      </c>
      <c r="B28" s="43" t="inlineStr">
        <is>
          <t>Medium priority gaps requiring remediation plan</t>
        </is>
      </c>
      <c r="C28" s="44">
        <f>COUNTIF('Gap Analysis'!H5:H54,"Medium")</f>
        <v/>
      </c>
      <c r="D28" s="43" t="inlineStr">
        <is>
          <t>Medium</t>
        </is>
      </c>
      <c r="E28" s="43" t="inlineStr">
        <is>
          <t>Monitor</t>
        </is>
      </c>
      <c r="F28" s="43" t="n"/>
      <c r="G28" s="43" t="n"/>
    </row>
    <row r="29">
      <c r="A29" s="45" t="n"/>
      <c r="B29" s="45" t="n"/>
      <c r="C29" s="45" t="n"/>
      <c r="D29" s="45" t="n"/>
      <c r="E29" s="45" t="n"/>
      <c r="F29" s="45" t="n"/>
      <c r="G29" s="45" t="n"/>
    </row>
    <row r="30">
      <c r="A30" s="45" t="n"/>
      <c r="B30" s="45" t="n"/>
      <c r="C30" s="45" t="n"/>
      <c r="D30" s="45" t="n"/>
      <c r="E30" s="45" t="n"/>
      <c r="F30" s="45" t="n"/>
      <c r="G30" s="45" t="n"/>
    </row>
  </sheetData>
  <mergeCells count="5">
    <mergeCell ref="A1:G1"/>
    <mergeCell ref="A4:G4"/>
    <mergeCell ref="A2:G2"/>
    <mergeCell ref="A10:G10"/>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7" t="inlineStr">
        <is>
          <t>ASSESSMENT APPROVAL AND SIGN-OFF</t>
        </is>
      </c>
      <c r="B1" s="6" t="n"/>
      <c r="C1" s="6" t="n"/>
      <c r="D1" s="6" t="n"/>
      <c r="E1" s="6" t="n"/>
    </row>
    <row r="2">
      <c r="A2" s="46" t="inlineStr">
        <is>
          <t>ISO/IEC 27001:2022 - Control A.6.3: Information Security Awareness, Education and Training</t>
        </is>
      </c>
      <c r="B2" s="6" t="n"/>
      <c r="C2" s="6" t="n"/>
      <c r="D2" s="6" t="n"/>
      <c r="E2" s="6" t="n"/>
    </row>
    <row r="3">
      <c r="A3" s="47" t="inlineStr">
        <is>
          <t>ASSESSMENT SUMMARY</t>
        </is>
      </c>
      <c r="B3" s="6" t="n"/>
      <c r="C3" s="6" t="n"/>
      <c r="D3" s="6" t="n"/>
      <c r="E3" s="6" t="n"/>
    </row>
    <row r="4">
      <c r="A4" s="48" t="inlineStr">
        <is>
          <t>Document:</t>
        </is>
      </c>
      <c r="B4" s="6" t="inlineStr">
        <is>
          <t>ISMS-IMP-A.6.3.1 - Training Needs Assessment</t>
        </is>
      </c>
      <c r="C4" s="6" t="n"/>
      <c r="D4" s="6" t="n"/>
      <c r="E4" s="6" t="n"/>
    </row>
    <row r="5">
      <c r="A5" s="48" t="inlineStr">
        <is>
          <t>Assessment Period:</t>
        </is>
      </c>
      <c r="B5" s="49" t="inlineStr"/>
      <c r="C5" s="49" t="n"/>
      <c r="D5" s="49" t="n"/>
      <c r="E5" s="49" t="n"/>
    </row>
    <row r="6">
      <c r="A6" s="48" t="inlineStr">
        <is>
          <t>Overall Compliance Rating:</t>
        </is>
      </c>
      <c r="B6" s="50">
        <f>IFERROR(AVERAGE('Summary Dashboard'!G6:G7),"")</f>
        <v/>
      </c>
      <c r="C6" s="6" t="n"/>
      <c r="D6" s="6" t="n"/>
      <c r="E6" s="6" t="n"/>
    </row>
    <row r="7">
      <c r="A7" s="48" t="inlineStr">
        <is>
          <t>Assessment Status:</t>
        </is>
      </c>
      <c r="B7" s="49" t="inlineStr"/>
      <c r="C7" s="49" t="n"/>
      <c r="D7" s="49" t="n"/>
      <c r="E7" s="49" t="n"/>
    </row>
    <row r="8">
      <c r="A8" s="48" t="inlineStr">
        <is>
          <t>Assessed By:</t>
        </is>
      </c>
      <c r="B8" s="49" t="inlineStr"/>
      <c r="C8" s="49" t="n"/>
      <c r="D8" s="49" t="n"/>
      <c r="E8" s="49" t="n"/>
    </row>
    <row r="11">
      <c r="A11" s="47" t="inlineStr">
        <is>
          <t>COMPLETED BY (ASSESSOR)</t>
        </is>
      </c>
      <c r="B11" s="6" t="n"/>
      <c r="C11" s="6" t="n"/>
      <c r="D11" s="6" t="n"/>
      <c r="E11" s="6" t="n"/>
    </row>
    <row r="12">
      <c r="A12" s="48" t="inlineStr">
        <is>
          <t>Name:</t>
        </is>
      </c>
      <c r="B12" s="49" t="n"/>
      <c r="C12" s="49" t="n"/>
      <c r="D12" s="49" t="n"/>
      <c r="E12" s="49" t="n"/>
    </row>
    <row r="13">
      <c r="A13" s="48" t="inlineStr">
        <is>
          <t>Title:</t>
        </is>
      </c>
      <c r="B13" s="49" t="n"/>
      <c r="C13" s="49" t="n"/>
      <c r="D13" s="49" t="n"/>
      <c r="E13" s="49" t="n"/>
    </row>
    <row r="14">
      <c r="A14" s="48" t="inlineStr">
        <is>
          <t>Date:</t>
        </is>
      </c>
      <c r="B14" s="49" t="n"/>
      <c r="C14" s="49" t="n"/>
      <c r="D14" s="49" t="n"/>
      <c r="E14" s="49" t="n"/>
    </row>
    <row r="15">
      <c r="A15" s="48" t="inlineStr">
        <is>
          <t>Signature:</t>
        </is>
      </c>
      <c r="B15" s="49" t="n"/>
      <c r="C15" s="49" t="n"/>
      <c r="D15" s="49" t="n"/>
      <c r="E15" s="49" t="n"/>
    </row>
    <row r="16">
      <c r="A16" s="48" t="inlineStr">
        <is>
          <t>Comments:</t>
        </is>
      </c>
      <c r="B16" s="49" t="n"/>
      <c r="C16" s="49" t="n"/>
      <c r="D16" s="49" t="n"/>
      <c r="E16" s="49" t="n"/>
    </row>
    <row r="18">
      <c r="A18" s="47" t="inlineStr">
        <is>
          <t>REVIEWED BY (INFORMATION SECURITY OFFICER)</t>
        </is>
      </c>
      <c r="B18" s="6" t="n"/>
      <c r="C18" s="6" t="n"/>
      <c r="D18" s="6" t="n"/>
      <c r="E18" s="6" t="n"/>
    </row>
    <row r="19">
      <c r="A19" s="48" t="inlineStr">
        <is>
          <t>Name:</t>
        </is>
      </c>
      <c r="B19" s="49" t="n"/>
      <c r="C19" s="49" t="n"/>
      <c r="D19" s="49" t="n"/>
      <c r="E19" s="49" t="n"/>
    </row>
    <row r="20">
      <c r="A20" s="48" t="inlineStr">
        <is>
          <t>Title:</t>
        </is>
      </c>
      <c r="B20" s="49" t="n"/>
      <c r="C20" s="49" t="n"/>
      <c r="D20" s="49" t="n"/>
      <c r="E20" s="49" t="n"/>
    </row>
    <row r="21">
      <c r="A21" s="48" t="inlineStr">
        <is>
          <t>Date:</t>
        </is>
      </c>
      <c r="B21" s="49" t="n"/>
      <c r="C21" s="49" t="n"/>
      <c r="D21" s="49" t="n"/>
      <c r="E21" s="49" t="n"/>
    </row>
    <row r="22">
      <c r="A22" s="48" t="inlineStr">
        <is>
          <t>Signature:</t>
        </is>
      </c>
      <c r="B22" s="49" t="n"/>
      <c r="C22" s="49" t="n"/>
      <c r="D22" s="49" t="n"/>
      <c r="E22" s="49" t="n"/>
    </row>
    <row r="23">
      <c r="A23" s="48" t="inlineStr">
        <is>
          <t>Comments:</t>
        </is>
      </c>
      <c r="B23" s="49" t="n"/>
      <c r="C23" s="49" t="n"/>
      <c r="D23" s="49" t="n"/>
      <c r="E23" s="49" t="n"/>
    </row>
    <row r="25">
      <c r="A25" s="51" t="inlineStr">
        <is>
          <t>APPROVED BY (CISO)</t>
        </is>
      </c>
      <c r="B25" s="6" t="n"/>
      <c r="C25" s="6" t="n"/>
      <c r="D25" s="6" t="n"/>
      <c r="E25" s="6" t="n"/>
    </row>
    <row r="26">
      <c r="A26" s="48" t="inlineStr">
        <is>
          <t>Name:</t>
        </is>
      </c>
      <c r="B26" s="49" t="n"/>
      <c r="C26" s="49" t="n"/>
      <c r="D26" s="49" t="n"/>
      <c r="E26" s="49" t="n"/>
    </row>
    <row r="27">
      <c r="A27" s="48" t="inlineStr">
        <is>
          <t>Title:</t>
        </is>
      </c>
      <c r="B27" s="49" t="n"/>
      <c r="C27" s="49" t="n"/>
      <c r="D27" s="49" t="n"/>
      <c r="E27" s="49" t="n"/>
    </row>
    <row r="28">
      <c r="A28" s="48" t="inlineStr">
        <is>
          <t>Date:</t>
        </is>
      </c>
      <c r="B28" s="49" t="n"/>
      <c r="C28" s="49" t="n"/>
      <c r="D28" s="49" t="n"/>
      <c r="E28" s="49" t="n"/>
    </row>
    <row r="29">
      <c r="A29" s="48" t="inlineStr">
        <is>
          <t>Signature:</t>
        </is>
      </c>
      <c r="B29" s="49" t="n"/>
      <c r="C29" s="49" t="n"/>
      <c r="D29" s="49" t="n"/>
      <c r="E29" s="49" t="n"/>
    </row>
    <row r="30">
      <c r="A30" s="48" t="inlineStr">
        <is>
          <t>Comments:</t>
        </is>
      </c>
      <c r="B30" s="49" t="n"/>
      <c r="C30" s="49" t="n"/>
      <c r="D30" s="49" t="n"/>
      <c r="E30" s="49" t="n"/>
    </row>
    <row r="32">
      <c r="A32" s="52" t="inlineStr">
        <is>
          <t>FINAL DECISION:</t>
        </is>
      </c>
      <c r="B32" s="49" t="n"/>
      <c r="C32" s="49" t="n"/>
      <c r="D32" s="49" t="n"/>
      <c r="E32" s="49" t="n"/>
    </row>
    <row r="35">
      <c r="A35" s="47" t="inlineStr">
        <is>
          <t>NEXT REVIEW DETAILS</t>
        </is>
      </c>
      <c r="B35" s="6" t="n"/>
      <c r="C35" s="6" t="n"/>
      <c r="D35" s="6" t="n"/>
      <c r="E35" s="6" t="n"/>
    </row>
    <row r="36">
      <c r="A36" s="48" t="inlineStr">
        <is>
          <t>Next Review Date:</t>
        </is>
      </c>
      <c r="B36" s="49" t="n"/>
      <c r="C36" s="49" t="n"/>
      <c r="D36" s="49" t="n"/>
      <c r="E36" s="49" t="n"/>
    </row>
    <row r="37">
      <c r="A37" s="48" t="inlineStr">
        <is>
          <t>Review Responsible:</t>
        </is>
      </c>
      <c r="B37" s="49" t="n"/>
      <c r="C37" s="49" t="n"/>
      <c r="D37" s="49" t="n"/>
      <c r="E37" s="49" t="n"/>
    </row>
    <row r="38">
      <c r="A38" s="48" t="inlineStr">
        <is>
          <t>Special Considerations:</t>
        </is>
      </c>
      <c r="B38" s="49" t="n"/>
      <c r="C38" s="49" t="n"/>
      <c r="D38" s="49" t="n"/>
      <c r="E38" s="49"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ISMS-IMP-A.6.3.1 — Training Needs Assessment</dc:title>
  <dc:description xmlns:dc="http://purl.org/dc/elements/1.1/">ISMS Implementation Workbook — ISMS-IMP-A.6.3.1</dc:description>
  <dc:subject xmlns:dc="http://purl.org/dc/elements/1.1/">ISO/IEC 27001:2022 — Control A.6.3: Information Security Awareness, Education and Training</dc:subject>
  <dcterms:created xmlns:dcterms="http://purl.org/dc/terms/" xmlns:xsi="http://www.w3.org/2001/XMLSchema-instance" xsi:type="dcterms:W3CDTF">2026-02-28T20:10:10Z</dcterms:created>
  <dcterms:modified xmlns:dcterms="http://purl.org/dc/terms/" xmlns:xsi="http://www.w3.org/2001/XMLSchema-instance" xsi:type="dcterms:W3CDTF">2026-02-28T20:10:10Z</dcterms:modified>
</cp:coreProperties>
</file>