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iolation Categories" sheetId="2" state="visible" r:id="rId2"/>
    <sheet xmlns:r="http://schemas.openxmlformats.org/officeDocument/2006/relationships" name="Response Matrix" sheetId="3" state="visible" r:id="rId3"/>
    <sheet xmlns:r="http://schemas.openxmlformats.org/officeDocument/2006/relationships" name="Investigation Process" sheetId="4" state="visible" r:id="rId4"/>
    <sheet xmlns:r="http://schemas.openxmlformats.org/officeDocument/2006/relationships" name="Case Track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applyAlignment="1" pivotButton="0" quotePrefix="0" xfId="0">
      <alignment vertical="top"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13"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3" borderId="1" applyAlignment="1" pivotButton="0" quotePrefix="0" xfId="0">
      <alignment horizontal="left" vertical="center" wrapText="1"/>
    </xf>
    <xf numFmtId="0" fontId="0" fillId="13" borderId="1" applyAlignment="1" pivotButton="0" quotePrefix="0" xfId="0">
      <alignment horizontal="left" vertical="center" wrapText="1"/>
    </xf>
    <xf numFmtId="0" fontId="0" fillId="10"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4" borderId="1" pivotButton="0" quotePrefix="0" xfId="0"/>
    <xf numFmtId="0" fontId="9" fillId="10" borderId="1" pivotButton="0" quotePrefix="0" xfId="0"/>
    <xf numFmtId="0" fontId="9" fillId="10" borderId="1" applyAlignment="1" pivotButton="0" quotePrefix="0" xfId="0">
      <alignment horizontal="center"/>
    </xf>
    <xf numFmtId="0" fontId="5"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ISMS-IMP-A.6.4-5.S1  -  Disciplinary Process Assessment
ISO/IEC 27001:2022 - Control A.6.4-5: Disciplinary Process and Employment Exit</t>
        </is>
      </c>
    </row>
    <row r="3">
      <c r="A3" s="2" t="inlineStr">
        <is>
          <t>Document Information</t>
        </is>
      </c>
    </row>
    <row r="4">
      <c r="A4" s="3" t="inlineStr">
        <is>
          <t>Document ID</t>
        </is>
      </c>
      <c r="B4" t="inlineStr">
        <is>
          <t>ISMS-IMP-A.6.4-5.S1</t>
        </is>
      </c>
    </row>
    <row r="5">
      <c r="A5" s="3" t="inlineStr">
        <is>
          <t>Workbook Title</t>
        </is>
      </c>
      <c r="B5" t="inlineStr">
        <is>
          <t>Disciplinary Process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Violation Categories — define all information security violation types and severities.</t>
        </is>
      </c>
    </row>
    <row r="14">
      <c r="A14" t="inlineStr">
        <is>
          <t>2. Complete Response Matrix — map each violation type to the appropriate disciplinary response.</t>
        </is>
      </c>
    </row>
    <row r="15">
      <c r="A15" t="inlineStr">
        <is>
          <t>3. Complete Investigation Process — document the investigation workflow, evidence collection, and escalation path.</t>
        </is>
      </c>
    </row>
    <row r="16">
      <c r="A16" t="inlineStr">
        <is>
          <t>4. Complete Case Tracker — record all disciplinary cases with status, outcome, and lessons learned.</t>
        </is>
      </c>
    </row>
    <row r="17">
      <c r="A17" t="inlineStr">
        <is>
          <t>5. Maintain the Evidence Register with process documentation, case records, and HR approvals.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8" customWidth="1" min="3" max="3"/>
    <col width="50" customWidth="1" min="4" max="4"/>
    <col width="45" customWidth="1" min="5" max="5"/>
    <col width="18" customWidth="1" min="6" max="6"/>
    <col width="22" customWidth="1" min="7" max="7"/>
    <col width="30" customWidth="1" min="8" max="8"/>
  </cols>
  <sheetData>
    <row r="1" ht="35" customHeight="1">
      <c r="A1" s="11" t="inlineStr">
        <is>
          <t>VIOLATION CATEGORIES</t>
        </is>
      </c>
    </row>
    <row r="2">
      <c r="A2" s="12" t="inlineStr">
        <is>
          <t>Classification of information security violations by severity level</t>
        </is>
      </c>
    </row>
    <row r="3">
      <c r="A3" s="13" t="inlineStr">
        <is>
          <t>Category ID</t>
        </is>
      </c>
      <c r="B3" s="13" t="inlineStr">
        <is>
          <t>Category Name</t>
        </is>
      </c>
      <c r="C3" s="13" t="inlineStr">
        <is>
          <t>Severity Level</t>
        </is>
      </c>
      <c r="D3" s="13" t="inlineStr">
        <is>
          <t>Description</t>
        </is>
      </c>
      <c r="E3" s="13" t="inlineStr">
        <is>
          <t>Examples</t>
        </is>
      </c>
      <c r="F3" s="13" t="inlineStr">
        <is>
          <t>Investigation Required</t>
        </is>
      </c>
      <c r="G3" s="13" t="inlineStr">
        <is>
          <t>Security Team Involvement</t>
        </is>
      </c>
      <c r="H3" s="13" t="inlineStr">
        <is>
          <t>Related Policy</t>
        </is>
      </c>
    </row>
    <row r="4">
      <c r="A4" s="6" t="inlineStr">
        <is>
          <t>VIOL-001</t>
        </is>
      </c>
      <c r="B4" s="6" t="inlineStr">
        <is>
          <t>Unauthorised Data Sharing</t>
        </is>
      </c>
      <c r="C4" s="6" t="inlineStr">
        <is>
          <t>Moderate</t>
        </is>
      </c>
      <c r="D4" s="6" t="inlineStr">
        <is>
          <t>Sharing confidential data with unauthorised parties</t>
        </is>
      </c>
      <c r="E4" s="6" t="inlineStr">
        <is>
          <t>Forwarding confidential emails, sharing credentials</t>
        </is>
      </c>
      <c r="F4" s="6" t="inlineStr">
        <is>
          <t>Yes</t>
        </is>
      </c>
      <c r="G4" s="6" t="inlineStr">
        <is>
          <t>Yes</t>
        </is>
      </c>
      <c r="H4" s="6" t="inlineStr">
        <is>
          <t>ISMS-POL-A.5.10</t>
        </is>
      </c>
    </row>
    <row r="5">
      <c r="A5" s="6" t="inlineStr">
        <is>
          <t>VIOL-002</t>
        </is>
      </c>
      <c r="B5" s="6" t="inlineStr">
        <is>
          <t>Policy Non-Compliance</t>
        </is>
      </c>
      <c r="C5" s="6" t="inlineStr">
        <is>
          <t>Minor</t>
        </is>
      </c>
      <c r="D5" s="6" t="inlineStr">
        <is>
          <t>Failure to follow documented security policies</t>
        </is>
      </c>
      <c r="E5" s="6" t="inlineStr">
        <is>
          <t>Not locking screen, weak passwords</t>
        </is>
      </c>
      <c r="F5" s="6" t="inlineStr">
        <is>
          <t>No</t>
        </is>
      </c>
      <c r="G5" s="6" t="inlineStr">
        <is>
          <t>Conditional</t>
        </is>
      </c>
      <c r="H5" s="6" t="inlineStr">
        <is>
          <t>ISMS-POL-A.5.1</t>
        </is>
      </c>
    </row>
    <row r="6">
      <c r="A6" s="6" t="inlineStr">
        <is>
          <t>VIOL-003</t>
        </is>
      </c>
      <c r="B6" s="6" t="inlineStr">
        <is>
          <t>Deliberate Security Bypass</t>
        </is>
      </c>
      <c r="C6" s="6" t="inlineStr">
        <is>
          <t>Serious</t>
        </is>
      </c>
      <c r="D6" s="6" t="inlineStr">
        <is>
          <t>Intentionally circumventing security controls</t>
        </is>
      </c>
      <c r="E6" s="6" t="inlineStr">
        <is>
          <t>Disabling antivirus, using unauthorised software</t>
        </is>
      </c>
      <c r="F6" s="6" t="inlineStr">
        <is>
          <t>Yes</t>
        </is>
      </c>
      <c r="G6" s="6" t="inlineStr">
        <is>
          <t>Yes</t>
        </is>
      </c>
      <c r="H6" s="6" t="inlineStr">
        <is>
          <t>ISMS-POL-A.8.1</t>
        </is>
      </c>
    </row>
    <row r="7">
      <c r="A7" s="6" t="inlineStr">
        <is>
          <t>VIOL-004</t>
        </is>
      </c>
      <c r="B7" s="6" t="inlineStr">
        <is>
          <t>Data Theft</t>
        </is>
      </c>
      <c r="C7" s="6" t="inlineStr">
        <is>
          <t>Gross Misconduct</t>
        </is>
      </c>
      <c r="D7" s="6" t="inlineStr">
        <is>
          <t>Stealing or exfiltrating organisational data</t>
        </is>
      </c>
      <c r="E7" s="6" t="inlineStr">
        <is>
          <t>Copying data to personal devices, selling information</t>
        </is>
      </c>
      <c r="F7" s="6" t="inlineStr">
        <is>
          <t>Yes</t>
        </is>
      </c>
      <c r="G7" s="6" t="inlineStr">
        <is>
          <t>Yes</t>
        </is>
      </c>
      <c r="H7" s="6" t="inlineStr">
        <is>
          <t>ISMS-POL-A.5.12</t>
        </is>
      </c>
    </row>
    <row r="8">
      <c r="A8" s="6" t="inlineStr">
        <is>
          <t>VIOL-005</t>
        </is>
      </c>
      <c r="B8" s="6" t="inlineStr">
        <is>
          <t>Access Abuse</t>
        </is>
      </c>
      <c r="C8" s="6" t="inlineStr">
        <is>
          <t>Serious</t>
        </is>
      </c>
      <c r="D8" s="6" t="inlineStr">
        <is>
          <t>Using access rights beyond authorised scope</t>
        </is>
      </c>
      <c r="E8" s="6" t="inlineStr">
        <is>
          <t>Accessing HR records, viewing unrelated customer data</t>
        </is>
      </c>
      <c r="F8" s="6" t="inlineStr">
        <is>
          <t>Yes</t>
        </is>
      </c>
      <c r="G8" s="6" t="inlineStr">
        <is>
          <t>Yes</t>
        </is>
      </c>
      <c r="H8" s="6" t="inlineStr">
        <is>
          <t>ISMS-POL-A.5.15</t>
        </is>
      </c>
    </row>
    <row r="9">
      <c r="A9" s="6" t="inlineStr">
        <is>
          <t>VIOL-006</t>
        </is>
      </c>
      <c r="B9" s="6" t="inlineStr">
        <is>
          <t>Acceptable Use Violation</t>
        </is>
      </c>
      <c r="C9" s="6" t="inlineStr">
        <is>
          <t>Minor</t>
        </is>
      </c>
      <c r="D9" s="6" t="inlineStr">
        <is>
          <t>Violation of acceptable use policy</t>
        </is>
      </c>
      <c r="E9" s="6" t="inlineStr">
        <is>
          <t>Personal use of systems, prohibited websites</t>
        </is>
      </c>
      <c r="F9" s="6" t="inlineStr">
        <is>
          <t>No</t>
        </is>
      </c>
      <c r="G9" s="6" t="inlineStr">
        <is>
          <t>No</t>
        </is>
      </c>
      <c r="H9" s="6" t="inlineStr">
        <is>
          <t>ISMS-POL-A.5.10</t>
        </is>
      </c>
    </row>
    <row r="10">
      <c r="A10" s="6" t="inlineStr">
        <is>
          <t>VIOL-007</t>
        </is>
      </c>
      <c r="B10" s="6" t="inlineStr">
        <is>
          <t>Negligent Data Handling</t>
        </is>
      </c>
      <c r="C10" s="6" t="inlineStr">
        <is>
          <t>Moderate</t>
        </is>
      </c>
      <c r="D10" s="6" t="inlineStr">
        <is>
          <t>Careless handling of sensitive information</t>
        </is>
      </c>
      <c r="E10" s="6" t="inlineStr">
        <is>
          <t>Leaving documents unsecured, unencrypted transfers</t>
        </is>
      </c>
      <c r="F10" s="6" t="inlineStr">
        <is>
          <t>Yes</t>
        </is>
      </c>
      <c r="G10" s="6" t="inlineStr">
        <is>
          <t>Conditional</t>
        </is>
      </c>
      <c r="H10" s="6" t="inlineStr">
        <is>
          <t>ISMS-POL-A.5.14</t>
        </is>
      </c>
    </row>
    <row r="11">
      <c r="A11" s="6" t="inlineStr">
        <is>
          <t>VIOL-008</t>
        </is>
      </c>
      <c r="B11" s="6" t="inlineStr">
        <is>
          <t>System Sabotage</t>
        </is>
      </c>
      <c r="C11" s="6" t="inlineStr">
        <is>
          <t>Gross Misconduct</t>
        </is>
      </c>
      <c r="D11" s="6" t="inlineStr">
        <is>
          <t>Intentional damage to systems or data</t>
        </is>
      </c>
      <c r="E11" s="6" t="inlineStr">
        <is>
          <t>Deleting files, introducing malware</t>
        </is>
      </c>
      <c r="F11" s="6" t="inlineStr">
        <is>
          <t>Yes</t>
        </is>
      </c>
      <c r="G11" s="6" t="inlineStr">
        <is>
          <t>Yes</t>
        </is>
      </c>
      <c r="H11" s="6" t="inlineStr">
        <is>
          <t>ISMS-POL-A.8.1</t>
        </is>
      </c>
    </row>
    <row r="12">
      <c r="A12" s="14" t="inlineStr">
        <is>
          <t>VIOL-009</t>
        </is>
      </c>
      <c r="B12" s="14" t="inlineStr">
        <is>
          <t>Custom Violation Category</t>
        </is>
      </c>
      <c r="C12" s="14" t="inlineStr">
        <is>
          <t>Minor</t>
        </is>
      </c>
      <c r="D12" s="14" t="inlineStr">
        <is>
          <t>Description of custom violation type</t>
        </is>
      </c>
      <c r="E12" s="14" t="inlineStr">
        <is>
          <t>Examples of this violation type</t>
        </is>
      </c>
      <c r="F12" s="14" t="inlineStr">
        <is>
          <t>Yes</t>
        </is>
      </c>
      <c r="G12" s="14" t="inlineStr">
        <is>
          <t>No</t>
        </is>
      </c>
      <c r="H12" s="14" t="inlineStr">
        <is>
          <t>ISMS-POL-X.X</t>
        </is>
      </c>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"Minor,Moderate,Serious,Gross Misconduct"</formula1>
    </dataValidation>
    <dataValidation sqref="F4 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"Yes,No"</formula1>
    </dataValidation>
    <dataValidation sqref="G4 G5 G6 G7 G8 G9 G10 G11 G12 G13 G14 G15 G16 G17 G18 G19 G20 G21 G22 G23 G24 G25 G26 G27 G28 G29 G30 G31 G32 G33 G34 G35 G36 G37 G38 G39 G40 G41 G42 G43 G44 G45 G46 G47 G48 G49 G50 G51 G52 G53 G54 G55 G56 G57 G58 G59 G60 G61 G62" showDropDown="0" showInputMessage="0" showErrorMessage="0" allowBlank="0" type="list">
      <formula1>"Yes,No,Conditional"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5" customWidth="1" min="6" max="6"/>
    <col width="45" customWidth="1" min="7" max="7"/>
  </cols>
  <sheetData>
    <row r="1" ht="35" customHeight="1">
      <c r="A1" s="11" t="inlineStr">
        <is>
          <t>DISCIPLINARY RESPONSE MATRIX</t>
        </is>
      </c>
    </row>
    <row r="2">
      <c r="A2" s="12" t="inlineStr">
        <is>
          <t>Mapping of violation severity to disciplinary actions and consequences</t>
        </is>
      </c>
    </row>
    <row r="3">
      <c r="A3" s="13" t="inlineStr">
        <is>
          <t>Severity Level</t>
        </is>
      </c>
      <c r="B3" s="13" t="inlineStr">
        <is>
          <t>First Occurrence</t>
        </is>
      </c>
      <c r="C3" s="13" t="inlineStr">
        <is>
          <t>Second Occurrence</t>
        </is>
      </c>
      <c r="D3" s="13" t="inlineStr">
        <is>
          <t>Third Occurrence</t>
        </is>
      </c>
      <c r="E3" s="13" t="inlineStr">
        <is>
          <t>Immediate Actions</t>
        </is>
      </c>
      <c r="F3" s="13" t="inlineStr">
        <is>
          <t>Mitigating Factors</t>
        </is>
      </c>
      <c r="G3" s="13" t="inlineStr">
        <is>
          <t>Aggravating Factors</t>
        </is>
      </c>
    </row>
    <row r="4">
      <c r="A4" s="15" t="inlineStr">
        <is>
          <t>Minor</t>
        </is>
      </c>
      <c r="B4" s="16" t="inlineStr">
        <is>
          <t>Verbal warning with documented counselling</t>
        </is>
      </c>
      <c r="C4" s="16" t="inlineStr">
        <is>
          <t>Written warning with mandatory retraining</t>
        </is>
      </c>
      <c r="D4" s="16" t="inlineStr">
        <is>
          <t>Final written warning</t>
        </is>
      </c>
      <c r="E4" s="16" t="inlineStr">
        <is>
          <t>Document incident, remind of policy</t>
        </is>
      </c>
      <c r="F4" s="16" t="inlineStr">
        <is>
          <t>First offence, prompt self-reporting, inadequate training</t>
        </is>
      </c>
      <c r="G4" s="16" t="inlineStr">
        <is>
          <t>Repeated despite training, disregard for warnings</t>
        </is>
      </c>
    </row>
    <row r="5">
      <c r="A5" s="15" t="inlineStr">
        <is>
          <t>Moderate</t>
        </is>
      </c>
      <c r="B5" s="16" t="inlineStr">
        <is>
          <t>Written warning with mandatory retraining</t>
        </is>
      </c>
      <c r="C5" s="16" t="inlineStr">
        <is>
          <t>Final written warning with performance plan</t>
        </is>
      </c>
      <c r="D5" s="16" t="inlineStr">
        <is>
          <t>Termination consideration</t>
        </is>
      </c>
      <c r="E5" s="16" t="inlineStr">
        <is>
          <t>Preserve evidence, restrict access if needed</t>
        </is>
      </c>
      <c r="F5" s="16" t="inlineStr">
        <is>
          <t>No prior violations, extenuating circumstances</t>
        </is>
      </c>
      <c r="G5" s="16" t="inlineStr">
        <is>
          <t>Position of trust, impact on others</t>
        </is>
      </c>
    </row>
    <row r="6">
      <c r="A6" s="17" t="inlineStr">
        <is>
          <t>Serious</t>
        </is>
      </c>
      <c r="B6" s="16" t="inlineStr">
        <is>
          <t>Final written warning, possible suspension</t>
        </is>
      </c>
      <c r="C6" s="16" t="inlineStr">
        <is>
          <t>Termination</t>
        </is>
      </c>
      <c r="D6" s="16" t="inlineStr">
        <is>
          <t>N/A (typically terminated)</t>
        </is>
      </c>
      <c r="E6" s="16" t="inlineStr">
        <is>
          <t>Immediate access suspension, evidence preservation</t>
        </is>
      </c>
      <c r="F6" s="16" t="inlineStr">
        <is>
          <t>Cooperation with investigation, remediation efforts</t>
        </is>
      </c>
      <c r="G6" s="16" t="inlineStr">
        <is>
          <t>Attempted concealment, abuse of privileged access</t>
        </is>
      </c>
    </row>
    <row r="7">
      <c r="A7" s="17" t="inlineStr">
        <is>
          <t>Gross Misconduct</t>
        </is>
      </c>
      <c r="B7" s="16" t="inlineStr">
        <is>
          <t>Immediate dismissal, potential legal action</t>
        </is>
      </c>
      <c r="C7" s="16" t="inlineStr">
        <is>
          <t>N/A</t>
        </is>
      </c>
      <c r="D7" s="16" t="inlineStr">
        <is>
          <t>N/A</t>
        </is>
      </c>
      <c r="E7" s="16" t="inlineStr">
        <is>
          <t>Immediate removal from premises, all access disabled</t>
        </is>
      </c>
      <c r="F7" s="16" t="inlineStr">
        <is>
          <t>N/A - Gross misconduct warrants immediate action</t>
        </is>
      </c>
      <c r="G7" s="16" t="inlineStr">
        <is>
          <t>Criminal intent, harm to third parties, financial loss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20" customWidth="1" min="1" max="1"/>
    <col width="55" customWidth="1" min="2" max="2"/>
    <col width="20" customWidth="1" min="3" max="3"/>
    <col width="25" customWidth="1" min="4" max="4"/>
    <col width="40" customWidth="1" min="5" max="5"/>
    <col width="40" customWidth="1" min="6" max="6"/>
  </cols>
  <sheetData>
    <row r="1" ht="35" customHeight="1">
      <c r="A1" s="11" t="inlineStr">
        <is>
          <t>INVESTIGATION PROCESS</t>
        </is>
      </c>
    </row>
    <row r="2">
      <c r="A2" s="12" t="inlineStr">
        <is>
          <t>Structured investigation phases, activities, timelines and documentation requirements</t>
        </is>
      </c>
    </row>
    <row r="3">
      <c r="A3" s="13" t="inlineStr">
        <is>
          <t>Phase</t>
        </is>
      </c>
      <c r="B3" s="13" t="inlineStr">
        <is>
          <t>Activities</t>
        </is>
      </c>
      <c r="C3" s="13" t="inlineStr">
        <is>
          <t>Timeline</t>
        </is>
      </c>
      <c r="D3" s="13" t="inlineStr">
        <is>
          <t>Responsible Party</t>
        </is>
      </c>
      <c r="E3" s="13" t="inlineStr">
        <is>
          <t>Outputs</t>
        </is>
      </c>
      <c r="F3" s="13" t="inlineStr">
        <is>
          <t>Documentation Required</t>
        </is>
      </c>
    </row>
    <row r="4">
      <c r="A4" s="16" t="inlineStr">
        <is>
          <t>Discovery</t>
        </is>
      </c>
      <c r="B4" s="16" t="inlineStr">
        <is>
          <t>Receive and log incident report; conduct preliminary assessment; determine if investigation warranted</t>
        </is>
      </c>
      <c r="C4" s="16" t="inlineStr">
        <is>
          <t>1-2 business days</t>
        </is>
      </c>
      <c r="D4" s="16" t="inlineStr">
        <is>
          <t>HR Manager, Security Team</t>
        </is>
      </c>
      <c r="E4" s="16" t="inlineStr">
        <is>
          <t>Incident log entry, preliminary assessment</t>
        </is>
      </c>
      <c r="F4" s="16" t="inlineStr">
        <is>
          <t>Incident report form, initial assessment memo</t>
        </is>
      </c>
    </row>
    <row r="5">
      <c r="A5" s="16" t="inlineStr">
        <is>
          <t>Planning</t>
        </is>
      </c>
      <c r="B5" s="16" t="inlineStr">
        <is>
          <t>Define investigation scope; identify evidence sources; plan interviews; notify Legal if serious</t>
        </is>
      </c>
      <c r="C5" s="16" t="inlineStr">
        <is>
          <t>1 business day</t>
        </is>
      </c>
      <c r="D5" s="16" t="inlineStr">
        <is>
          <t>Investigation Lead</t>
        </is>
      </c>
      <c r="E5" s="16" t="inlineStr">
        <is>
          <t>Investigation plan</t>
        </is>
      </c>
      <c r="F5" s="16" t="inlineStr">
        <is>
          <t>Scope document, interview schedule</t>
        </is>
      </c>
    </row>
    <row r="6">
      <c r="A6" s="16" t="inlineStr">
        <is>
          <t>Evidence Collection</t>
        </is>
      </c>
      <c r="B6" s="16" t="inlineStr">
        <is>
          <t>Collect digital evidence; conduct interviews; review documentation; preserve chain of custody</t>
        </is>
      </c>
      <c r="C6" s="16" t="inlineStr">
        <is>
          <t>2-5 business days</t>
        </is>
      </c>
      <c r="D6" s="16" t="inlineStr">
        <is>
          <t>Security Team, HR</t>
        </is>
      </c>
      <c r="E6" s="16" t="inlineStr">
        <is>
          <t>Evidence package</t>
        </is>
      </c>
      <c r="F6" s="16" t="inlineStr">
        <is>
          <t>Interview notes, evidence log, forensic reports</t>
        </is>
      </c>
    </row>
    <row r="7">
      <c r="A7" s="16" t="inlineStr">
        <is>
          <t>Analysis</t>
        </is>
      </c>
      <c r="B7" s="16" t="inlineStr">
        <is>
          <t>Analyse evidence; determine facts and timeline; assess violation severity; identify factors</t>
        </is>
      </c>
      <c r="C7" s="16" t="inlineStr">
        <is>
          <t>2-3 business days</t>
        </is>
      </c>
      <c r="D7" s="16" t="inlineStr">
        <is>
          <t>Investigation Lead</t>
        </is>
      </c>
      <c r="E7" s="16" t="inlineStr">
        <is>
          <t>Draft findings</t>
        </is>
      </c>
      <c r="F7" s="16" t="inlineStr">
        <is>
          <t>Analysis workpapers, timeline reconstruction</t>
        </is>
      </c>
    </row>
    <row r="8">
      <c r="A8" s="16" t="inlineStr">
        <is>
          <t>Decision</t>
        </is>
      </c>
      <c r="B8" s="16" t="inlineStr">
        <is>
          <t>Review findings with decision-makers; determine appropriate action; document rationale</t>
        </is>
      </c>
      <c r="C8" s="16" t="inlineStr">
        <is>
          <t>1-2 business days</t>
        </is>
      </c>
      <c r="D8" s="16" t="inlineStr">
        <is>
          <t>HR Director, CISO, Legal</t>
        </is>
      </c>
      <c r="E8" s="16" t="inlineStr">
        <is>
          <t>Decision record</t>
        </is>
      </c>
      <c r="F8" s="16" t="inlineStr">
        <is>
          <t>Decision memo, rationale documentation</t>
        </is>
      </c>
    </row>
    <row r="9">
      <c r="A9" s="16" t="inlineStr">
        <is>
          <t>Action</t>
        </is>
      </c>
      <c r="B9" s="16" t="inlineStr">
        <is>
          <t>Communicate decision to individual; implement disciplinary action; update records</t>
        </is>
      </c>
      <c r="C9" s="16" t="inlineStr">
        <is>
          <t>1 business day</t>
        </is>
      </c>
      <c r="D9" s="16" t="inlineStr">
        <is>
          <t>HR Manager, Line Manager</t>
        </is>
      </c>
      <c r="E9" s="16" t="inlineStr">
        <is>
          <t>Action implementation</t>
        </is>
      </c>
      <c r="F9" s="16" t="inlineStr">
        <is>
          <t>Employee communication, action record</t>
        </is>
      </c>
    </row>
    <row r="10">
      <c r="A10" s="16" t="inlineStr">
        <is>
          <t>Follow-up</t>
        </is>
      </c>
      <c r="B10" s="16" t="inlineStr">
        <is>
          <t>Monitor compliance; process appeals; update case status; conduct trend analysis</t>
        </is>
      </c>
      <c r="C10" s="16" t="inlineStr">
        <is>
          <t>Ongoing</t>
        </is>
      </c>
      <c r="D10" s="16" t="inlineStr">
        <is>
          <t>HR, Security</t>
        </is>
      </c>
      <c r="E10" s="16" t="inlineStr">
        <is>
          <t>Case closure, trend report</t>
        </is>
      </c>
      <c r="F10" s="16" t="inlineStr">
        <is>
          <t>Follow-up notes, closure documentation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18" customWidth="1" min="4" max="4"/>
    <col width="25" customWidth="1" min="5" max="5"/>
    <col width="14" customWidth="1" min="6" max="6"/>
    <col width="40" customWidth="1" min="7" max="7"/>
    <col width="40" customWidth="1" min="8" max="8"/>
  </cols>
  <sheetData>
    <row r="1" ht="35" customHeight="1">
      <c r="A1" s="11" t="inlineStr">
        <is>
          <t>DISCIPLINARY CASE TRACKER</t>
        </is>
      </c>
    </row>
    <row r="2">
      <c r="A2" s="12" t="inlineStr">
        <is>
          <t>Active disciplinary cases — status tracking and outcome recording</t>
        </is>
      </c>
    </row>
    <row r="3">
      <c r="A3" s="13" t="inlineStr">
        <is>
          <t>Case ID</t>
        </is>
      </c>
      <c r="B3" s="13" t="inlineStr">
        <is>
          <t>Date Reported</t>
        </is>
      </c>
      <c r="C3" s="13" t="inlineStr">
        <is>
          <t>Violation Category</t>
        </is>
      </c>
      <c r="D3" s="13" t="inlineStr">
        <is>
          <t>Status</t>
        </is>
      </c>
      <c r="E3" s="13" t="inlineStr">
        <is>
          <t>Investigation Lead</t>
        </is>
      </c>
      <c r="F3" s="13" t="inlineStr">
        <is>
          <t>Date Closed</t>
        </is>
      </c>
      <c r="G3" s="13" t="inlineStr">
        <is>
          <t>Outcome</t>
        </is>
      </c>
      <c r="H3" s="13" t="inlineStr">
        <is>
          <t>Notes</t>
        </is>
      </c>
    </row>
    <row r="4">
      <c r="A4" s="18" t="inlineStr">
        <is>
          <t>DISC-XXXX</t>
        </is>
      </c>
      <c r="B4" s="18" t="n"/>
      <c r="C4" s="18" t="n"/>
      <c r="D4" s="18" t="n"/>
      <c r="E4" s="18" t="n"/>
      <c r="F4" s="18" t="n"/>
      <c r="G4" s="18" t="n"/>
      <c r="H4" s="18"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1">
    <mergeCell ref="A1:H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"Reported,Under Investigation,Pending Decision,Action Taken,Closed,Appealed,Appeal 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0"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9" t="inlineStr">
        <is>
          <t>EVIDENCE REGISTER</t>
        </is>
      </c>
    </row>
    <row r="2">
      <c r="A2" s="20" t="inlineStr">
        <is>
          <t>Audit evidence supporting the disciplinary process assessment findings</t>
        </is>
      </c>
    </row>
    <row r="4">
      <c r="A4" s="21" t="inlineStr">
        <is>
          <t>Evidence ID</t>
        </is>
      </c>
      <c r="B4" s="21" t="inlineStr">
        <is>
          <t>Evidence Description</t>
        </is>
      </c>
      <c r="C4" s="21" t="inlineStr">
        <is>
          <t>Evidence Type</t>
        </is>
      </c>
      <c r="D4" s="21" t="inlineStr">
        <is>
          <t>Storage Location</t>
        </is>
      </c>
      <c r="E4" s="21" t="inlineStr">
        <is>
          <t>Collection Date</t>
        </is>
      </c>
      <c r="F4" s="21" t="inlineStr">
        <is>
          <t>Collected By</t>
        </is>
      </c>
      <c r="G4" s="21" t="inlineStr">
        <is>
          <t>Status</t>
        </is>
      </c>
      <c r="H4" s="21" t="inlineStr">
        <is>
          <t>Notes</t>
        </is>
      </c>
    </row>
    <row r="5">
      <c r="A5" s="22" t="inlineStr">
        <is>
          <t>EV-001</t>
        </is>
      </c>
      <c r="B5" s="23" t="n"/>
      <c r="C5" s="23" t="n"/>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Document,Procedure,Case Record,Training Record,Communication,Form/Template,Other"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9" t="inlineStr">
        <is>
          <t>Disciplinary Process Assessment — SUMMARY DASHBOARD</t>
        </is>
      </c>
      <c r="B1" s="6" t="n"/>
      <c r="C1" s="6" t="n"/>
      <c r="D1" s="6" t="n"/>
      <c r="E1" s="6" t="n"/>
      <c r="F1" s="6" t="n"/>
      <c r="G1" s="6" t="n"/>
    </row>
    <row r="2">
      <c r="A2" s="25" t="inlineStr">
        <is>
          <t>ISMS-IMP-A.6.4-5.S1 | ISO/IEC 27001:2022 - Control A.6.4-5: Disciplinary Process and Employment Exit</t>
        </is>
      </c>
    </row>
    <row r="4">
      <c r="A4" s="26" t="inlineStr">
        <is>
          <t>TABLE 1: ASSESSMENT AREA COMPLIANCE OVERVIEW</t>
        </is>
      </c>
      <c r="B4" s="6" t="n"/>
      <c r="C4" s="6" t="n"/>
      <c r="D4" s="6" t="n"/>
      <c r="E4" s="6" t="n"/>
      <c r="F4" s="6" t="n"/>
      <c r="G4" s="6" t="n"/>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28" t="inlineStr">
        <is>
          <t>Disciplinary Case Tracking</t>
        </is>
      </c>
      <c r="B6" s="29">
        <f>COUNTA('Case Tracker'!A5:A54)</f>
        <v/>
      </c>
      <c r="C6" s="29">
        <f>COUNTIF('Case Tracker'!D5:D54,"Action Taken")+COUNTIF('Case Tracker'!D5:D54,"Closed")+COUNTIF('Case Tracker'!D5:D54,"Appeal Resolved")</f>
        <v/>
      </c>
      <c r="D6" s="29">
        <f>COUNTIF('Case Tracker'!D5:D54,"Pending Decision")+COUNTIF('Case Tracker'!D5:D54,"Appealed")</f>
        <v/>
      </c>
      <c r="E6" s="29">
        <f>COUNTIF('Case Tracker'!D5:D54,"Reported")+COUNTIF('Case Tracker'!D5:D54,"Under Investigation")</f>
        <v/>
      </c>
      <c r="F6" s="29" t="n">
        <v>0</v>
      </c>
      <c r="G6" s="30">
        <f>IF((B6-F6)=0,0,C6/(B6-F6))</f>
        <v/>
      </c>
    </row>
    <row r="7">
      <c r="A7" s="31" t="inlineStr">
        <is>
          <t>TOTAL</t>
        </is>
      </c>
      <c r="B7" s="32">
        <f>SUM(B6:B6)</f>
        <v/>
      </c>
      <c r="C7" s="32">
        <f>SUM(C6:C6)</f>
        <v/>
      </c>
      <c r="D7" s="32">
        <f>SUM(D6:D6)</f>
        <v/>
      </c>
      <c r="E7" s="32">
        <f>SUM(E6:E6)</f>
        <v/>
      </c>
      <c r="F7" s="32">
        <f>SUM(F6:F6)</f>
        <v/>
      </c>
      <c r="G7" s="33">
        <f>IF((B7-F7)=0,0,C7/(B7-F7))</f>
        <v/>
      </c>
    </row>
    <row r="9">
      <c r="A9" s="26" t="inlineStr">
        <is>
          <t>TABLE 2: KEY METRICS</t>
        </is>
      </c>
      <c r="B9" s="6" t="n"/>
      <c r="C9" s="6" t="n"/>
      <c r="D9" s="6" t="n"/>
      <c r="E9" s="6" t="n"/>
      <c r="F9" s="6" t="n"/>
      <c r="G9" s="6" t="n"/>
    </row>
    <row r="10">
      <c r="A10" s="32" t="inlineStr">
        <is>
          <t>Metric</t>
        </is>
      </c>
      <c r="B10" s="32" t="inlineStr">
        <is>
          <t>Value</t>
        </is>
      </c>
      <c r="C10" s="32" t="n"/>
      <c r="D10" s="32" t="n"/>
      <c r="E10" s="32" t="n"/>
      <c r="F10" s="32" t="n"/>
      <c r="G10" s="32" t="n"/>
    </row>
    <row r="11">
      <c r="A11" s="28" t="inlineStr">
        <is>
          <t>Total Cases Reported</t>
        </is>
      </c>
      <c r="B11" s="29">
        <f>COUNTA('Case Tracker'!A5:A54)</f>
        <v/>
      </c>
      <c r="C11" s="6" t="n"/>
      <c r="D11" s="6" t="n"/>
      <c r="E11" s="6" t="n"/>
      <c r="F11" s="6" t="n"/>
      <c r="G11" s="6" t="n"/>
    </row>
    <row r="12">
      <c r="A12" s="28" t="inlineStr">
        <is>
          <t>Cases Currently Open (Reported + Under Investigation)</t>
        </is>
      </c>
      <c r="B12" s="29">
        <f>COUNTIF('Case Tracker'!D5:D54,"Reported")+COUNTIF('Case Tracker'!D5:D54,"Under Investigation")</f>
        <v/>
      </c>
      <c r="C12" s="6" t="n"/>
      <c r="D12" s="6" t="n"/>
      <c r="E12" s="6" t="n"/>
      <c r="F12" s="6" t="n"/>
      <c r="G12" s="6" t="n"/>
    </row>
    <row r="13">
      <c r="A13" s="28" t="inlineStr">
        <is>
          <t>Cases Pending Decision or Appeal</t>
        </is>
      </c>
      <c r="B13" s="29">
        <f>COUNTIF('Case Tracker'!D5:D54,"Pending Decision")+COUNTIF('Case Tracker'!D5:D54,"Appealed")</f>
        <v/>
      </c>
      <c r="C13" s="6" t="n"/>
      <c r="D13" s="6" t="n"/>
      <c r="E13" s="6" t="n"/>
      <c r="F13" s="6" t="n"/>
      <c r="G13" s="6" t="n"/>
    </row>
    <row r="14">
      <c r="A14" s="28" t="inlineStr">
        <is>
          <t>Cases Closed or Appeal Resolved</t>
        </is>
      </c>
      <c r="B14" s="29">
        <f>COUNTIF('Case Tracker'!D5:D54,"Closed")+COUNTIF('Case Tracker'!D5:D54,"Appeal Resolved")</f>
        <v/>
      </c>
      <c r="C14" s="6" t="n"/>
      <c r="D14" s="6" t="n"/>
      <c r="E14" s="6" t="n"/>
      <c r="F14" s="6" t="n"/>
      <c r="G14" s="6" t="n"/>
    </row>
    <row r="15">
      <c r="A15" s="28" t="inlineStr">
        <is>
          <t>Cases Under Active Investigation</t>
        </is>
      </c>
      <c r="B15" s="29">
        <f>COUNTIF('Case Tracker'!D5:D54,"Under Investigation")</f>
        <v/>
      </c>
      <c r="C15" s="6" t="n"/>
      <c r="D15" s="6" t="n"/>
      <c r="E15" s="6" t="n"/>
      <c r="F15" s="6" t="n"/>
      <c r="G15" s="6" t="n"/>
    </row>
    <row r="16">
      <c r="A16" s="28" t="inlineStr">
        <is>
          <t>Cases Escalated to Appeal</t>
        </is>
      </c>
      <c r="B16" s="29">
        <f>COUNTIF('Case Tracker'!D5:D54,"Appealed")+COUNTIF('Case Tracker'!D5:D54,"Appeal Resolved")</f>
        <v/>
      </c>
      <c r="C16" s="6" t="n"/>
      <c r="D16" s="6" t="n"/>
      <c r="E16" s="6" t="n"/>
      <c r="F16" s="6" t="n"/>
      <c r="G16" s="6" t="n"/>
    </row>
    <row r="17">
      <c r="A17" s="28" t="inlineStr">
        <is>
          <t>Gross Misconduct Categories Defined</t>
        </is>
      </c>
      <c r="B17" s="29">
        <f>COUNTIF('Violation Categories'!C4:C62,"Gross Misconduct")</f>
        <v/>
      </c>
      <c r="C17" s="6" t="n"/>
      <c r="D17" s="6" t="n"/>
      <c r="E17" s="6" t="n"/>
      <c r="F17" s="6" t="n"/>
      <c r="G17" s="6" t="n"/>
    </row>
    <row r="18">
      <c r="A18" s="28" t="inlineStr">
        <is>
          <t>Serious Violation Categories Defined</t>
        </is>
      </c>
      <c r="B18" s="29">
        <f>COUNTIF('Violation Categories'!C4:C62,"Serious")</f>
        <v/>
      </c>
      <c r="C18" s="6" t="n"/>
      <c r="D18" s="6" t="n"/>
      <c r="E18" s="6" t="n"/>
      <c r="F18" s="6" t="n"/>
      <c r="G18" s="6" t="n"/>
    </row>
    <row r="19">
      <c r="A19" s="28" t="inlineStr">
        <is>
          <t>Minor or Moderate Violation Categories</t>
        </is>
      </c>
      <c r="B19" s="29">
        <f>COUNTIF('Violation Categories'!C4:C62,"Minor")+COUNTIF('Violation Categories'!C4:C62,"Moderate")</f>
        <v/>
      </c>
      <c r="C19" s="6" t="n"/>
      <c r="D19" s="6" t="n"/>
      <c r="E19" s="6" t="n"/>
      <c r="F19" s="6" t="n"/>
      <c r="G19" s="6" t="n"/>
    </row>
    <row r="20">
      <c r="A20" s="28" t="inlineStr">
        <is>
          <t>Violation Categories Requiring Investigation</t>
        </is>
      </c>
      <c r="B20" s="29">
        <f>COUNTIF('Violation Categories'!F4:F62,"Yes")</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4"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5" t="inlineStr">
        <is>
          <t>Case Management</t>
        </is>
      </c>
      <c r="B26" s="35" t="inlineStr">
        <is>
          <t>Reported cases not yet under investigation</t>
        </is>
      </c>
      <c r="C26" s="36">
        <f>COUNTIF('Case Tracker'!D5:D54,"Reported")</f>
        <v/>
      </c>
      <c r="D26" s="35" t="inlineStr">
        <is>
          <t>Critical</t>
        </is>
      </c>
      <c r="E26" s="35" t="inlineStr">
        <is>
          <t>Immediate</t>
        </is>
      </c>
      <c r="F26" s="35" t="n"/>
      <c r="G26" s="35" t="n"/>
    </row>
    <row r="27">
      <c r="A27" s="35" t="inlineStr">
        <is>
          <t>Case Management</t>
        </is>
      </c>
      <c r="B27" s="35" t="inlineStr">
        <is>
          <t>Cases currently under investigation (active)</t>
        </is>
      </c>
      <c r="C27" s="36">
        <f>COUNTIF('Case Tracker'!D5:D54,"Under Investigation")</f>
        <v/>
      </c>
      <c r="D27" s="35" t="inlineStr">
        <is>
          <t>High</t>
        </is>
      </c>
      <c r="E27" s="35" t="inlineStr">
        <is>
          <t>Urgent</t>
        </is>
      </c>
      <c r="F27" s="35" t="n"/>
      <c r="G27" s="35" t="n"/>
    </row>
    <row r="28">
      <c r="A28" s="35" t="inlineStr">
        <is>
          <t>Case Management</t>
        </is>
      </c>
      <c r="B28" s="35" t="inlineStr">
        <is>
          <t>Cases with pending decision</t>
        </is>
      </c>
      <c r="C28" s="36">
        <f>COUNTIF('Case Tracker'!D5:D54,"Pending Decision")</f>
        <v/>
      </c>
      <c r="D28" s="35" t="inlineStr">
        <is>
          <t>High</t>
        </is>
      </c>
      <c r="E28" s="35" t="inlineStr">
        <is>
          <t>Urgent</t>
        </is>
      </c>
      <c r="F28" s="35" t="n"/>
      <c r="G28" s="35" t="n"/>
    </row>
    <row r="29">
      <c r="A29" s="35" t="inlineStr">
        <is>
          <t>Case Management</t>
        </is>
      </c>
      <c r="B29" s="35" t="inlineStr">
        <is>
          <t>Cases currently under appeal</t>
        </is>
      </c>
      <c r="C29" s="36">
        <f>COUNTIF('Case Tracker'!D5:D54,"Appealed")</f>
        <v/>
      </c>
      <c r="D29" s="35" t="inlineStr">
        <is>
          <t>Medium</t>
        </is>
      </c>
      <c r="E29" s="35" t="inlineStr">
        <is>
          <t>Plan</t>
        </is>
      </c>
      <c r="F29" s="35" t="n"/>
      <c r="G29" s="35" t="n"/>
    </row>
    <row r="30">
      <c r="A30" s="35" t="inlineStr">
        <is>
          <t>Violation Classification</t>
        </is>
      </c>
      <c r="B30" s="35" t="inlineStr">
        <is>
          <t>Gross misconduct categories defined</t>
        </is>
      </c>
      <c r="C30" s="36">
        <f>COUNTIF('Violation Categories'!C4:C62,"Gross Misconduct")</f>
        <v/>
      </c>
      <c r="D30" s="35" t="inlineStr">
        <is>
          <t>Critical</t>
        </is>
      </c>
      <c r="E30" s="35" t="inlineStr">
        <is>
          <t>Review</t>
        </is>
      </c>
      <c r="F30" s="35" t="n"/>
      <c r="G30" s="35" t="n"/>
    </row>
    <row r="31">
      <c r="A31" s="35" t="inlineStr">
        <is>
          <t>Violation Classification</t>
        </is>
      </c>
      <c r="B31" s="35" t="inlineStr">
        <is>
          <t>Serious violation categories defined</t>
        </is>
      </c>
      <c r="C31" s="36">
        <f>COUNTIF('Violation Categories'!C4:C62,"Serious")</f>
        <v/>
      </c>
      <c r="D31" s="35" t="inlineStr">
        <is>
          <t>High</t>
        </is>
      </c>
      <c r="E31" s="35" t="inlineStr">
        <is>
          <t>Review</t>
        </is>
      </c>
      <c r="F31" s="35" t="n"/>
      <c r="G31" s="35" t="n"/>
    </row>
    <row r="32">
      <c r="A32" s="14" t="n"/>
      <c r="B32" s="14" t="n"/>
      <c r="C32" s="14" t="n"/>
      <c r="D32" s="14" t="n"/>
      <c r="E32" s="14" t="n"/>
      <c r="F32" s="14" t="n"/>
      <c r="G32" s="14" t="n"/>
    </row>
    <row r="33">
      <c r="A33" s="14" t="n"/>
      <c r="B33" s="14" t="n"/>
      <c r="C33" s="14" t="n"/>
      <c r="D33" s="14" t="n"/>
      <c r="E33" s="14" t="n"/>
      <c r="F33" s="14" t="n"/>
      <c r="G33" s="14"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7" t="inlineStr">
        <is>
          <t>ISO/IEC 27001:2022 - Control A.6.4-5: Disciplinary Process and Employment Exit</t>
        </is>
      </c>
      <c r="B2" s="6" t="n"/>
      <c r="C2" s="6" t="n"/>
      <c r="D2" s="6" t="n"/>
      <c r="E2" s="6" t="n"/>
    </row>
    <row r="3">
      <c r="A3" s="38" t="inlineStr">
        <is>
          <t>ASSESSMENT SUMMARY</t>
        </is>
      </c>
      <c r="B3" s="6" t="n"/>
      <c r="C3" s="6" t="n"/>
      <c r="D3" s="6" t="n"/>
      <c r="E3" s="6" t="n"/>
    </row>
    <row r="4">
      <c r="A4" s="3" t="inlineStr">
        <is>
          <t>Document:</t>
        </is>
      </c>
      <c r="B4" s="6" t="inlineStr">
        <is>
          <t>ISMS-IMP-A.6.4-5.S1 - Disciplinary Process Assessment</t>
        </is>
      </c>
      <c r="C4" s="6" t="n"/>
      <c r="D4" s="6" t="n"/>
      <c r="E4" s="6" t="n"/>
    </row>
    <row r="5">
      <c r="A5" s="3" t="inlineStr">
        <is>
          <t>Assessment Period:</t>
        </is>
      </c>
      <c r="B5" s="14" t="inlineStr"/>
      <c r="C5" s="6" t="n"/>
      <c r="D5" s="6" t="n"/>
      <c r="E5" s="6" t="n"/>
    </row>
    <row r="6">
      <c r="A6" s="3" t="inlineStr">
        <is>
          <t>Overall Compliance Rating:</t>
        </is>
      </c>
      <c r="B6" s="39">
        <f>IFERROR(AVERAGE('Summary Dashboard'!G6:G6),"")</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8"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8"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8"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ISMS-IMP-A.6.4-5.S1 — Disciplinary Process Assessment</dc:title>
  <dc:description xmlns:dc="http://purl.org/dc/elements/1.1/">ISMS Implementation Workbook — ISMS-IMP-A.6.4-5.S1</dc:description>
  <dc:subject xmlns:dc="http://purl.org/dc/elements/1.1/">ISO/IEC 27001:2022 — Control A.6.4-5: Disciplinary Process and Employment Exit</dc:subject>
  <dcterms:created xmlns:dcterms="http://purl.org/dc/terms/" xmlns:xsi="http://www.w3.org/2001/XMLSchema-instance" xsi:type="dcterms:W3CDTF">2026-03-01T11:12:15Z</dcterms:created>
  <dcterms:modified xmlns:dcterms="http://purl.org/dc/terms/" xmlns:xsi="http://www.w3.org/2001/XMLSchema-instance" xsi:type="dcterms:W3CDTF">2026-03-01T11:12:15Z</dcterms:modified>
</cp:coreProperties>
</file>