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bligation Types" sheetId="2" state="visible" r:id="rId2"/>
    <sheet xmlns:r="http://schemas.openxmlformats.org/officeDocument/2006/relationships" name="Former Personnel" sheetId="3" state="visible" r:id="rId3"/>
    <sheet xmlns:r="http://schemas.openxmlformats.org/officeDocument/2006/relationships" name="Active Obligations" sheetId="4" state="visible" r:id="rId4"/>
    <sheet xmlns:r="http://schemas.openxmlformats.org/officeDocument/2006/relationships" name="Expiration Tracker" sheetId="5" state="visible" r:id="rId5"/>
    <sheet xmlns:r="http://schemas.openxmlformats.org/officeDocument/2006/relationships" name="Acknowledgement Log" sheetId="6" state="visible" r:id="rId6"/>
    <sheet xmlns:r="http://schemas.openxmlformats.org/officeDocument/2006/relationships" name="Enforcement Register"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ISMS-IMP-A.6.4-5.S3  -  Post Employment Obligations
ISO/IEC 27001:2022 - Control A.6.4-5: Disciplinary Process and Employment Exit</t>
        </is>
      </c>
    </row>
    <row r="3">
      <c r="A3" s="2" t="inlineStr">
        <is>
          <t>Document Information</t>
        </is>
      </c>
    </row>
    <row r="4">
      <c r="A4" s="3" t="inlineStr">
        <is>
          <t>Document ID</t>
        </is>
      </c>
      <c r="B4" t="inlineStr">
        <is>
          <t>ISMS-IMP-A.6.4-5.S3</t>
        </is>
      </c>
    </row>
    <row r="5">
      <c r="A5" s="3" t="inlineStr">
        <is>
          <t>Workbook Title</t>
        </is>
      </c>
      <c r="B5" t="inlineStr">
        <is>
          <t>Post Employment Obligations</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Obligation Types — list all post-employment obligations (NDA, non-compete, non-disclosure).</t>
        </is>
      </c>
    </row>
    <row r="14">
      <c r="A14" t="inlineStr">
        <is>
          <t>2. Complete Former Personnel Register — list former personnel subject to ongoing obligations.</t>
        </is>
      </c>
    </row>
    <row r="15">
      <c r="A15" t="inlineStr">
        <is>
          <t>3. Complete Active Obligations — track all active post-employment obligations per individual.</t>
        </is>
      </c>
    </row>
    <row r="16">
      <c r="A16" t="inlineStr">
        <is>
          <t>4. Complete Expiration Tracker — monitor obligation end dates and renewal requirements.</t>
        </is>
      </c>
    </row>
    <row r="17">
      <c r="A17" t="inlineStr">
        <is>
          <t>5. Complete Acknowledgement Log — record signed obligation acknowledgements.</t>
        </is>
      </c>
    </row>
    <row r="18">
      <c r="A18" t="inlineStr">
        <is>
          <t>6. Complete Enforcement Register — document any obligation breach investigations and outcomes.</t>
        </is>
      </c>
    </row>
    <row r="19">
      <c r="A19" t="inlineStr">
        <is>
          <t>7. Maintain the Evidence Register with obligation agreements and monitoring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0" customWidth="1" min="4" max="4"/>
    <col width="30" customWidth="1" min="5" max="5"/>
    <col width="25" customWidth="1" min="6" max="6"/>
    <col width="45" customWidth="1" min="7" max="7"/>
  </cols>
  <sheetData>
    <row r="1" ht="35" customHeight="1">
      <c r="A1" s="11" t="inlineStr">
        <is>
          <t>OBLIGATION TYPES</t>
        </is>
      </c>
    </row>
    <row r="2">
      <c r="A2" s="12" t="inlineStr">
        <is>
          <t>Post-employment obligation categories with standard durations and enforceability notes</t>
        </is>
      </c>
    </row>
    <row r="3">
      <c r="A3" s="13" t="inlineStr">
        <is>
          <t>Obligation ID</t>
        </is>
      </c>
      <c r="B3" s="13" t="inlineStr">
        <is>
          <t>Obligation Type</t>
        </is>
      </c>
      <c r="C3" s="13" t="inlineStr">
        <is>
          <t>Description</t>
        </is>
      </c>
      <c r="D3" s="13" t="inlineStr">
        <is>
          <t>Standard Duration</t>
        </is>
      </c>
      <c r="E3" s="13" t="inlineStr">
        <is>
          <t>Source Document</t>
        </is>
      </c>
      <c r="F3" s="13" t="inlineStr">
        <is>
          <t>Applicable To</t>
        </is>
      </c>
      <c r="G3" s="13" t="inlineStr">
        <is>
          <t>Enforceability Notes</t>
        </is>
      </c>
    </row>
    <row r="4">
      <c r="A4" s="14" t="inlineStr">
        <is>
          <t>OBL-001</t>
        </is>
      </c>
      <c r="B4" s="14" t="inlineStr">
        <is>
          <t>Confidentiality</t>
        </is>
      </c>
      <c r="C4" s="14" t="inlineStr">
        <is>
          <t>Protection of all non-public information accessed during employment</t>
        </is>
      </c>
      <c r="D4" s="14" t="inlineStr">
        <is>
          <t>3 years</t>
        </is>
      </c>
      <c r="E4" s="14" t="inlineStr">
        <is>
          <t>Employment Contract, NDA</t>
        </is>
      </c>
      <c r="F4" s="14" t="inlineStr">
        <is>
          <t>All Employees</t>
        </is>
      </c>
      <c r="G4" s="14" t="inlineStr">
        <is>
          <t>Fully enforceable under Swiss law</t>
        </is>
      </c>
    </row>
    <row r="5">
      <c r="A5" s="14" t="inlineStr">
        <is>
          <t>OBL-002</t>
        </is>
      </c>
      <c r="B5" s="14" t="inlineStr">
        <is>
          <t>Trade Secrets</t>
        </is>
      </c>
      <c r="C5" s="14" t="inlineStr">
        <is>
          <t>Protection of trade secrets and proprietary information</t>
        </is>
      </c>
      <c r="D5" s="14" t="inlineStr">
        <is>
          <t>Indefinite</t>
        </is>
      </c>
      <c r="E5" s="14" t="inlineStr">
        <is>
          <t>Employment Contract, NDA</t>
        </is>
      </c>
      <c r="F5" s="14" t="inlineStr">
        <is>
          <t>All Employees</t>
        </is>
      </c>
      <c r="G5" s="14" t="inlineStr">
        <is>
          <t>Protected under Swiss Unfair Competition Act</t>
        </is>
      </c>
    </row>
    <row r="6">
      <c r="A6" s="14" t="inlineStr">
        <is>
          <t>OBL-003</t>
        </is>
      </c>
      <c r="B6" s="14" t="inlineStr">
        <is>
          <t>IP Assignment</t>
        </is>
      </c>
      <c r="C6" s="14" t="inlineStr">
        <is>
          <t>Work product and inventions remain organisation property</t>
        </is>
      </c>
      <c r="D6" s="14" t="inlineStr">
        <is>
          <t>Perpetual</t>
        </is>
      </c>
      <c r="E6" s="14" t="inlineStr">
        <is>
          <t>IP Assignment Agreement</t>
        </is>
      </c>
      <c r="F6" s="14" t="inlineStr">
        <is>
          <t>All Employees</t>
        </is>
      </c>
      <c r="G6" s="14" t="inlineStr">
        <is>
          <t>Strong legal protection available</t>
        </is>
      </c>
    </row>
    <row r="7">
      <c r="A7" s="14" t="inlineStr">
        <is>
          <t>OBL-004</t>
        </is>
      </c>
      <c r="B7" s="14" t="inlineStr">
        <is>
          <t>Non-Compete</t>
        </is>
      </c>
      <c r="C7" s="14" t="inlineStr">
        <is>
          <t>Restriction on working for direct competitors</t>
        </is>
      </c>
      <c r="D7" s="14" t="inlineStr">
        <is>
          <t>12 months</t>
        </is>
      </c>
      <c r="E7" s="14" t="inlineStr">
        <is>
          <t>Employment Contract</t>
        </is>
      </c>
      <c r="F7" s="14" t="inlineStr">
        <is>
          <t>Executives, Key Technical</t>
        </is>
      </c>
      <c r="G7" s="14" t="inlineStr">
        <is>
          <t>Limited enforceability in CH; requires compensation</t>
        </is>
      </c>
    </row>
    <row r="8">
      <c r="A8" s="14" t="inlineStr">
        <is>
          <t>OBL-005</t>
        </is>
      </c>
      <c r="B8" s="14" t="inlineStr">
        <is>
          <t>Non-Solicitation (Employee)</t>
        </is>
      </c>
      <c r="C8" s="14" t="inlineStr">
        <is>
          <t>Restriction on soliciting current employees</t>
        </is>
      </c>
      <c r="D8" s="14" t="inlineStr">
        <is>
          <t>24 months</t>
        </is>
      </c>
      <c r="E8" s="14" t="inlineStr">
        <is>
          <t>Employment Contract, NDA</t>
        </is>
      </c>
      <c r="F8" s="14" t="inlineStr">
        <is>
          <t>Managers, Executives</t>
        </is>
      </c>
      <c r="G8" s="14" t="inlineStr">
        <is>
          <t>Generally enforceable</t>
        </is>
      </c>
    </row>
    <row r="9">
      <c r="A9" s="14" t="inlineStr">
        <is>
          <t>OBL-006</t>
        </is>
      </c>
      <c r="B9" s="14" t="inlineStr">
        <is>
          <t>Non-Solicitation (Customer)</t>
        </is>
      </c>
      <c r="C9" s="14" t="inlineStr">
        <is>
          <t>Restriction on soliciting current customers</t>
        </is>
      </c>
      <c r="D9" s="14" t="inlineStr">
        <is>
          <t>24 months</t>
        </is>
      </c>
      <c r="E9" s="14" t="inlineStr">
        <is>
          <t>Employment Contract, NDA</t>
        </is>
      </c>
      <c r="F9" s="14" t="inlineStr">
        <is>
          <t>Sales, Account Managers</t>
        </is>
      </c>
      <c r="G9" s="14" t="inlineStr">
        <is>
          <t>Generally enforceable</t>
        </is>
      </c>
    </row>
    <row r="10">
      <c r="A10" s="14" t="inlineStr">
        <is>
          <t>OBL-007</t>
        </is>
      </c>
      <c r="B10" s="14" t="inlineStr">
        <is>
          <t>Data Return</t>
        </is>
      </c>
      <c r="C10" s="14" t="inlineStr">
        <is>
          <t>Return or certified destruction of all company data</t>
        </is>
      </c>
      <c r="D10" s="14" t="inlineStr">
        <is>
          <t>Immediate at exit</t>
        </is>
      </c>
      <c r="E10" s="14" t="inlineStr">
        <is>
          <t>NDA, Acceptable Use Policy</t>
        </is>
      </c>
      <c r="F10" s="14" t="inlineStr">
        <is>
          <t>All Employees</t>
        </is>
      </c>
      <c r="G10" s="14" t="inlineStr">
        <is>
          <t>Enforceable; obtain written certification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4" customWidth="1" min="3" max="3"/>
    <col width="22" customWidth="1" min="4" max="4"/>
    <col width="30" customWidth="1" min="5" max="5"/>
    <col width="16" customWidth="1" min="6" max="6"/>
    <col width="20" customWidth="1" min="7" max="7"/>
    <col width="18" customWidth="1" min="8" max="8"/>
    <col width="18" customWidth="1" min="9" max="9"/>
  </cols>
  <sheetData>
    <row r="1" ht="35" customHeight="1">
      <c r="A1" s="11" t="inlineStr">
        <is>
          <t>FORMER PERSONNEL REGISTRY</t>
        </is>
      </c>
    </row>
    <row r="2">
      <c r="A2" s="12" t="inlineStr">
        <is>
          <t>Registry of former personnel with active post-employment obligations</t>
        </is>
      </c>
    </row>
    <row r="3">
      <c r="A3" s="13" t="inlineStr">
        <is>
          <t>Person ID</t>
        </is>
      </c>
      <c r="B3" s="13" t="inlineStr">
        <is>
          <t>Name</t>
        </is>
      </c>
      <c r="C3" s="13" t="inlineStr">
        <is>
          <t>Exit Date</t>
        </is>
      </c>
      <c r="D3" s="13" t="inlineStr">
        <is>
          <t>Exit Type</t>
        </is>
      </c>
      <c r="E3" s="13" t="inlineStr">
        <is>
          <t>Position Held</t>
        </is>
      </c>
      <c r="F3" s="13" t="inlineStr">
        <is>
          <t>Access Level</t>
        </is>
      </c>
      <c r="G3" s="13" t="inlineStr">
        <is>
          <t>NDA Reference</t>
        </is>
      </c>
      <c r="H3" s="13" t="inlineStr">
        <is>
          <t>Obligations End Date</t>
        </is>
      </c>
      <c r="I3" s="13" t="inlineStr">
        <is>
          <t>Status</t>
        </is>
      </c>
    </row>
    <row r="4">
      <c r="A4" s="15" t="inlineStr">
        <is>
          <t>FP-XXXX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"Voluntary Resignation,Involuntary Termination,Contract End,Retirement,Role Change"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"Standard,Elevated,Privileged,Executive"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"Active Obligations,All Expired,Under Enforcement"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14" customWidth="1" min="5" max="5"/>
    <col width="40" customWidth="1" min="6" max="6"/>
    <col width="18" customWidth="1" min="7" max="7"/>
    <col width="18" customWidth="1" min="8" max="8"/>
  </cols>
  <sheetData>
    <row r="1" ht="35" customHeight="1">
      <c r="A1" s="11" t="inlineStr">
        <is>
          <t>ACTIVE OBLIGATIONS</t>
        </is>
      </c>
    </row>
    <row r="2">
      <c r="A2" s="12" t="inlineStr">
        <is>
          <t>Tracking of individual post-employment obligations by person, type, status and expiry date</t>
        </is>
      </c>
    </row>
    <row r="3">
      <c r="A3" s="13" t="inlineStr">
        <is>
          <t>Obligation Ref</t>
        </is>
      </c>
      <c r="B3" s="13" t="inlineStr">
        <is>
          <t>Person ID</t>
        </is>
      </c>
      <c r="C3" s="13" t="inlineStr">
        <is>
          <t>Obligation Type</t>
        </is>
      </c>
      <c r="D3" s="13" t="inlineStr">
        <is>
          <t>Start Date</t>
        </is>
      </c>
      <c r="E3" s="13" t="inlineStr">
        <is>
          <t>End Date</t>
        </is>
      </c>
      <c r="F3" s="13" t="inlineStr">
        <is>
          <t>Specific Terms</t>
        </is>
      </c>
      <c r="G3" s="13" t="inlineStr">
        <is>
          <t>Monitoring Required</t>
        </is>
      </c>
      <c r="H3" s="13" t="inlineStr">
        <is>
          <t>Status</t>
        </is>
      </c>
    </row>
    <row r="4">
      <c r="A4" s="15" t="inlineStr">
        <is>
          <t>ACT-XXXX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"Yes,No,Periodic"</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"Active,Expired,Waived,Under Enforcement"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22" customWidth="1" min="3" max="3"/>
    <col width="14" customWidth="1" min="4" max="4"/>
    <col width="18" customWidth="1" min="5" max="5"/>
    <col width="20" customWidth="1" min="6" max="6"/>
    <col width="40" customWidth="1" min="7" max="7"/>
    <col width="40" customWidth="1" min="8" max="8"/>
  </cols>
  <sheetData>
    <row r="1" ht="35" customHeight="1">
      <c r="A1" s="11" t="inlineStr">
        <is>
          <t>EXPIRATION TRACKER</t>
        </is>
      </c>
    </row>
    <row r="2">
      <c r="A2" s="12" t="inlineStr">
        <is>
          <t>Monitoring of obligations approaching expiration with days remaining and required actions</t>
        </is>
      </c>
    </row>
    <row r="3">
      <c r="A3" s="13" t="inlineStr">
        <is>
          <t>Obligation Ref</t>
        </is>
      </c>
      <c r="B3" s="13" t="inlineStr">
        <is>
          <t>Person Name</t>
        </is>
      </c>
      <c r="C3" s="13" t="inlineStr">
        <is>
          <t>Obligation Type</t>
        </is>
      </c>
      <c r="D3" s="13" t="inlineStr">
        <is>
          <t>Expiration Date</t>
        </is>
      </c>
      <c r="E3" s="13" t="inlineStr">
        <is>
          <t>Days Until Expiry</t>
        </is>
      </c>
      <c r="F3" s="13" t="inlineStr">
        <is>
          <t>Status</t>
        </is>
      </c>
      <c r="G3" s="13" t="inlineStr">
        <is>
          <t>Action Required</t>
        </is>
      </c>
      <c r="H3" s="13" t="inlineStr">
        <is>
          <t>Action Taken</t>
        </is>
      </c>
    </row>
    <row r="4">
      <c r="A4" s="15" t="n"/>
      <c r="B4" s="15" t="n"/>
      <c r="C4" s="15" t="n"/>
      <c r="D4" s="15" t="n"/>
      <c r="E4" s="15">
        <f>IF(D4="Indefinite","N/A",IF(D4&lt;&gt;"",D4-TODAY(),""))</f>
        <v/>
      </c>
      <c r="F4" s="15" t="n"/>
      <c r="G4" s="15" t="n"/>
      <c r="H4" s="15" t="n"/>
    </row>
    <row r="5">
      <c r="A5" s="16" t="n"/>
      <c r="B5" s="16" t="n"/>
      <c r="C5" s="16" t="n"/>
      <c r="D5" s="16" t="n"/>
      <c r="E5" s="17">
        <f>IF(D5="Indefinite","N/A",IF(D5&lt;&gt;"",D5-TODAY(),""))</f>
        <v/>
      </c>
      <c r="F5" s="16" t="n"/>
      <c r="G5" s="16" t="n"/>
      <c r="H5" s="16" t="n"/>
    </row>
    <row r="6">
      <c r="A6" s="16" t="n"/>
      <c r="B6" s="16" t="n"/>
      <c r="C6" s="16" t="n"/>
      <c r="D6" s="16" t="n"/>
      <c r="E6" s="17">
        <f>IF(D6="Indefinite","N/A",IF(D6&lt;&gt;"",D6-TODAY(),""))</f>
        <v/>
      </c>
      <c r="F6" s="16" t="n"/>
      <c r="G6" s="16" t="n"/>
      <c r="H6" s="16" t="n"/>
    </row>
    <row r="7">
      <c r="A7" s="16" t="n"/>
      <c r="B7" s="16" t="n"/>
      <c r="C7" s="16" t="n"/>
      <c r="D7" s="16" t="n"/>
      <c r="E7" s="17">
        <f>IF(D7="Indefinite","N/A",IF(D7&lt;&gt;"",D7-TODAY(),""))</f>
        <v/>
      </c>
      <c r="F7" s="16" t="n"/>
      <c r="G7" s="16" t="n"/>
      <c r="H7" s="16" t="n"/>
    </row>
    <row r="8">
      <c r="A8" s="16" t="n"/>
      <c r="B8" s="16" t="n"/>
      <c r="C8" s="16" t="n"/>
      <c r="D8" s="16" t="n"/>
      <c r="E8" s="17">
        <f>IF(D8="Indefinite","N/A",IF(D8&lt;&gt;"",D8-TODAY(),""))</f>
        <v/>
      </c>
      <c r="F8" s="16" t="n"/>
      <c r="G8" s="16" t="n"/>
      <c r="H8" s="16" t="n"/>
    </row>
    <row r="9">
      <c r="A9" s="16" t="n"/>
      <c r="B9" s="16" t="n"/>
      <c r="C9" s="16" t="n"/>
      <c r="D9" s="16" t="n"/>
      <c r="E9" s="17">
        <f>IF(D9="Indefinite","N/A",IF(D9&lt;&gt;"",D9-TODAY(),""))</f>
        <v/>
      </c>
      <c r="F9" s="16" t="n"/>
      <c r="G9" s="16" t="n"/>
      <c r="H9" s="16" t="n"/>
    </row>
    <row r="10">
      <c r="A10" s="16" t="n"/>
      <c r="B10" s="16" t="n"/>
      <c r="C10" s="16" t="n"/>
      <c r="D10" s="16" t="n"/>
      <c r="E10" s="17">
        <f>IF(D10="Indefinite","N/A",IF(D10&lt;&gt;"",D10-TODAY(),""))</f>
        <v/>
      </c>
      <c r="F10" s="16" t="n"/>
      <c r="G10" s="16" t="n"/>
      <c r="H10" s="16" t="n"/>
    </row>
    <row r="11">
      <c r="A11" s="16" t="n"/>
      <c r="B11" s="16" t="n"/>
      <c r="C11" s="16" t="n"/>
      <c r="D11" s="16" t="n"/>
      <c r="E11" s="17">
        <f>IF(D11="Indefinite","N/A",IF(D11&lt;&gt;"",D11-TODAY(),""))</f>
        <v/>
      </c>
      <c r="F11" s="16" t="n"/>
      <c r="G11" s="16" t="n"/>
      <c r="H11" s="16" t="n"/>
    </row>
    <row r="12">
      <c r="A12" s="16" t="n"/>
      <c r="B12" s="16" t="n"/>
      <c r="C12" s="16" t="n"/>
      <c r="D12" s="16" t="n"/>
      <c r="E12" s="17">
        <f>IF(D12="Indefinite","N/A",IF(D12&lt;&gt;"",D12-TODAY(),""))</f>
        <v/>
      </c>
      <c r="F12" s="16" t="n"/>
      <c r="G12" s="16" t="n"/>
      <c r="H12" s="16" t="n"/>
    </row>
    <row r="13">
      <c r="A13" s="16" t="n"/>
      <c r="B13" s="16" t="n"/>
      <c r="C13" s="16" t="n"/>
      <c r="D13" s="16" t="n"/>
      <c r="E13" s="17">
        <f>IF(D13="Indefinite","N/A",IF(D13&lt;&gt;"",D13-TODAY(),""))</f>
        <v/>
      </c>
      <c r="F13" s="16" t="n"/>
      <c r="G13" s="16" t="n"/>
      <c r="H13" s="16" t="n"/>
    </row>
    <row r="14">
      <c r="A14" s="16" t="n"/>
      <c r="B14" s="16" t="n"/>
      <c r="C14" s="16" t="n"/>
      <c r="D14" s="16" t="n"/>
      <c r="E14" s="17">
        <f>IF(D14="Indefinite","N/A",IF(D14&lt;&gt;"",D14-TODAY(),""))</f>
        <v/>
      </c>
      <c r="F14" s="16" t="n"/>
      <c r="G14" s="16" t="n"/>
      <c r="H14" s="16" t="n"/>
    </row>
    <row r="15">
      <c r="A15" s="16" t="n"/>
      <c r="B15" s="16" t="n"/>
      <c r="C15" s="16" t="n"/>
      <c r="D15" s="16" t="n"/>
      <c r="E15" s="17">
        <f>IF(D15="Indefinite","N/A",IF(D15&lt;&gt;"",D15-TODAY(),""))</f>
        <v/>
      </c>
      <c r="F15" s="16" t="n"/>
      <c r="G15" s="16" t="n"/>
      <c r="H15" s="16" t="n"/>
    </row>
    <row r="16">
      <c r="A16" s="16" t="n"/>
      <c r="B16" s="16" t="n"/>
      <c r="C16" s="16" t="n"/>
      <c r="D16" s="16" t="n"/>
      <c r="E16" s="17">
        <f>IF(D16="Indefinite","N/A",IF(D16&lt;&gt;"",D16-TODAY(),""))</f>
        <v/>
      </c>
      <c r="F16" s="16" t="n"/>
      <c r="G16" s="16" t="n"/>
      <c r="H16" s="16" t="n"/>
    </row>
    <row r="17">
      <c r="A17" s="16" t="n"/>
      <c r="B17" s="16" t="n"/>
      <c r="C17" s="16" t="n"/>
      <c r="D17" s="16" t="n"/>
      <c r="E17" s="17">
        <f>IF(D17="Indefinite","N/A",IF(D17&lt;&gt;"",D17-TODAY(),""))</f>
        <v/>
      </c>
      <c r="F17" s="16" t="n"/>
      <c r="G17" s="16" t="n"/>
      <c r="H17" s="16" t="n"/>
    </row>
    <row r="18">
      <c r="A18" s="16" t="n"/>
      <c r="B18" s="16" t="n"/>
      <c r="C18" s="16" t="n"/>
      <c r="D18" s="16" t="n"/>
      <c r="E18" s="17">
        <f>IF(D18="Indefinite","N/A",IF(D18&lt;&gt;"",D18-TODAY(),""))</f>
        <v/>
      </c>
      <c r="F18" s="16" t="n"/>
      <c r="G18" s="16" t="n"/>
      <c r="H18" s="16" t="n"/>
    </row>
    <row r="19">
      <c r="A19" s="16" t="n"/>
      <c r="B19" s="16" t="n"/>
      <c r="C19" s="16" t="n"/>
      <c r="D19" s="16" t="n"/>
      <c r="E19" s="17">
        <f>IF(D19="Indefinite","N/A",IF(D19&lt;&gt;"",D19-TODAY(),""))</f>
        <v/>
      </c>
      <c r="F19" s="16" t="n"/>
      <c r="G19" s="16" t="n"/>
      <c r="H19" s="16" t="n"/>
    </row>
    <row r="20">
      <c r="A20" s="16" t="n"/>
      <c r="B20" s="16" t="n"/>
      <c r="C20" s="16" t="n"/>
      <c r="D20" s="16" t="n"/>
      <c r="E20" s="17">
        <f>IF(D20="Indefinite","N/A",IF(D20&lt;&gt;"",D20-TODAY(),""))</f>
        <v/>
      </c>
      <c r="F20" s="16" t="n"/>
      <c r="G20" s="16" t="n"/>
      <c r="H20" s="16" t="n"/>
    </row>
    <row r="21">
      <c r="A21" s="16" t="n"/>
      <c r="B21" s="16" t="n"/>
      <c r="C21" s="16" t="n"/>
      <c r="D21" s="16" t="n"/>
      <c r="E21" s="17">
        <f>IF(D21="Indefinite","N/A",IF(D21&lt;&gt;"",D21-TODAY(),""))</f>
        <v/>
      </c>
      <c r="F21" s="16" t="n"/>
      <c r="G21" s="16" t="n"/>
      <c r="H21" s="16" t="n"/>
    </row>
    <row r="22">
      <c r="A22" s="16" t="n"/>
      <c r="B22" s="16" t="n"/>
      <c r="C22" s="16" t="n"/>
      <c r="D22" s="16" t="n"/>
      <c r="E22" s="17">
        <f>IF(D22="Indefinite","N/A",IF(D22&lt;&gt;"",D22-TODAY(),""))</f>
        <v/>
      </c>
      <c r="F22" s="16" t="n"/>
      <c r="G22" s="16" t="n"/>
      <c r="H22" s="16" t="n"/>
    </row>
    <row r="23">
      <c r="A23" s="16" t="n"/>
      <c r="B23" s="16" t="n"/>
      <c r="C23" s="16" t="n"/>
      <c r="D23" s="16" t="n"/>
      <c r="E23" s="17">
        <f>IF(D23="Indefinite","N/A",IF(D23&lt;&gt;"",D23-TODAY(),""))</f>
        <v/>
      </c>
      <c r="F23" s="16" t="n"/>
      <c r="G23" s="16" t="n"/>
      <c r="H23" s="16" t="n"/>
    </row>
    <row r="24">
      <c r="A24" s="16" t="n"/>
      <c r="B24" s="16" t="n"/>
      <c r="C24" s="16" t="n"/>
      <c r="D24" s="16" t="n"/>
      <c r="E24" s="17">
        <f>IF(D24="Indefinite","N/A",IF(D24&lt;&gt;"",D24-TODAY(),""))</f>
        <v/>
      </c>
      <c r="F24" s="16" t="n"/>
      <c r="G24" s="16" t="n"/>
      <c r="H24" s="16" t="n"/>
    </row>
    <row r="25">
      <c r="A25" s="16" t="n"/>
      <c r="B25" s="16" t="n"/>
      <c r="C25" s="16" t="n"/>
      <c r="D25" s="16" t="n"/>
      <c r="E25" s="17">
        <f>IF(D25="Indefinite","N/A",IF(D25&lt;&gt;"",D25-TODAY(),""))</f>
        <v/>
      </c>
      <c r="F25" s="16" t="n"/>
      <c r="G25" s="16" t="n"/>
      <c r="H25" s="16" t="n"/>
    </row>
    <row r="26">
      <c r="A26" s="16" t="n"/>
      <c r="B26" s="16" t="n"/>
      <c r="C26" s="16" t="n"/>
      <c r="D26" s="16" t="n"/>
      <c r="E26" s="17">
        <f>IF(D26="Indefinite","N/A",IF(D26&lt;&gt;"",D26-TODAY(),""))</f>
        <v/>
      </c>
      <c r="F26" s="16" t="n"/>
      <c r="G26" s="16" t="n"/>
      <c r="H26" s="16" t="n"/>
    </row>
    <row r="27">
      <c r="A27" s="16" t="n"/>
      <c r="B27" s="16" t="n"/>
      <c r="C27" s="16" t="n"/>
      <c r="D27" s="16" t="n"/>
      <c r="E27" s="17">
        <f>IF(D27="Indefinite","N/A",IF(D27&lt;&gt;"",D27-TODAY(),""))</f>
        <v/>
      </c>
      <c r="F27" s="16" t="n"/>
      <c r="G27" s="16" t="n"/>
      <c r="H27" s="16" t="n"/>
    </row>
    <row r="28">
      <c r="A28" s="16" t="n"/>
      <c r="B28" s="16" t="n"/>
      <c r="C28" s="16" t="n"/>
      <c r="D28" s="16" t="n"/>
      <c r="E28" s="17">
        <f>IF(D28="Indefinite","N/A",IF(D28&lt;&gt;"",D28-TODAY(),""))</f>
        <v/>
      </c>
      <c r="F28" s="16" t="n"/>
      <c r="G28" s="16" t="n"/>
      <c r="H28" s="16" t="n"/>
    </row>
    <row r="29">
      <c r="A29" s="16" t="n"/>
      <c r="B29" s="16" t="n"/>
      <c r="C29" s="16" t="n"/>
      <c r="D29" s="16" t="n"/>
      <c r="E29" s="17">
        <f>IF(D29="Indefinite","N/A",IF(D29&lt;&gt;"",D29-TODAY(),""))</f>
        <v/>
      </c>
      <c r="F29" s="16" t="n"/>
      <c r="G29" s="16" t="n"/>
      <c r="H29" s="16" t="n"/>
    </row>
    <row r="30">
      <c r="A30" s="16" t="n"/>
      <c r="B30" s="16" t="n"/>
      <c r="C30" s="16" t="n"/>
      <c r="D30" s="16" t="n"/>
      <c r="E30" s="17">
        <f>IF(D30="Indefinite","N/A",IF(D30&lt;&gt;"",D30-TODAY(),""))</f>
        <v/>
      </c>
      <c r="F30" s="16" t="n"/>
      <c r="G30" s="16" t="n"/>
      <c r="H30" s="16" t="n"/>
    </row>
    <row r="31">
      <c r="A31" s="16" t="n"/>
      <c r="B31" s="16" t="n"/>
      <c r="C31" s="16" t="n"/>
      <c r="D31" s="16" t="n"/>
      <c r="E31" s="17">
        <f>IF(D31="Indefinite","N/A",IF(D31&lt;&gt;"",D31-TODAY(),""))</f>
        <v/>
      </c>
      <c r="F31" s="16" t="n"/>
      <c r="G31" s="16" t="n"/>
      <c r="H31" s="16" t="n"/>
    </row>
    <row r="32">
      <c r="A32" s="16" t="n"/>
      <c r="B32" s="16" t="n"/>
      <c r="C32" s="16" t="n"/>
      <c r="D32" s="16" t="n"/>
      <c r="E32" s="17">
        <f>IF(D32="Indefinite","N/A",IF(D32&lt;&gt;"",D32-TODAY(),""))</f>
        <v/>
      </c>
      <c r="F32" s="16" t="n"/>
      <c r="G32" s="16" t="n"/>
      <c r="H32" s="16" t="n"/>
    </row>
    <row r="33">
      <c r="A33" s="16" t="n"/>
      <c r="B33" s="16" t="n"/>
      <c r="C33" s="16" t="n"/>
      <c r="D33" s="16" t="n"/>
      <c r="E33" s="17">
        <f>IF(D33="Indefinite","N/A",IF(D33&lt;&gt;"",D33-TODAY(),""))</f>
        <v/>
      </c>
      <c r="F33" s="16" t="n"/>
      <c r="G33" s="16" t="n"/>
      <c r="H33" s="16" t="n"/>
    </row>
    <row r="34">
      <c r="A34" s="16" t="n"/>
      <c r="B34" s="16" t="n"/>
      <c r="C34" s="16" t="n"/>
      <c r="D34" s="16" t="n"/>
      <c r="E34" s="17">
        <f>IF(D34="Indefinite","N/A",IF(D34&lt;&gt;"",D34-TODAY(),""))</f>
        <v/>
      </c>
      <c r="F34" s="16" t="n"/>
      <c r="G34" s="16" t="n"/>
      <c r="H34" s="16" t="n"/>
    </row>
    <row r="35">
      <c r="A35" s="16" t="n"/>
      <c r="B35" s="16" t="n"/>
      <c r="C35" s="16" t="n"/>
      <c r="D35" s="16" t="n"/>
      <c r="E35" s="17">
        <f>IF(D35="Indefinite","N/A",IF(D35&lt;&gt;"",D35-TODAY(),""))</f>
        <v/>
      </c>
      <c r="F35" s="16" t="n"/>
      <c r="G35" s="16" t="n"/>
      <c r="H35" s="16" t="n"/>
    </row>
    <row r="36">
      <c r="A36" s="16" t="n"/>
      <c r="B36" s="16" t="n"/>
      <c r="C36" s="16" t="n"/>
      <c r="D36" s="16" t="n"/>
      <c r="E36" s="17">
        <f>IF(D36="Indefinite","N/A",IF(D36&lt;&gt;"",D36-TODAY(),""))</f>
        <v/>
      </c>
      <c r="F36" s="16" t="n"/>
      <c r="G36" s="16" t="n"/>
      <c r="H36" s="16" t="n"/>
    </row>
    <row r="37">
      <c r="A37" s="16" t="n"/>
      <c r="B37" s="16" t="n"/>
      <c r="C37" s="16" t="n"/>
      <c r="D37" s="16" t="n"/>
      <c r="E37" s="17">
        <f>IF(D37="Indefinite","N/A",IF(D37&lt;&gt;"",D37-TODAY(),""))</f>
        <v/>
      </c>
      <c r="F37" s="16" t="n"/>
      <c r="G37" s="16" t="n"/>
      <c r="H37" s="16" t="n"/>
    </row>
    <row r="38">
      <c r="A38" s="16" t="n"/>
      <c r="B38" s="16" t="n"/>
      <c r="C38" s="16" t="n"/>
      <c r="D38" s="16" t="n"/>
      <c r="E38" s="17">
        <f>IF(D38="Indefinite","N/A",IF(D38&lt;&gt;"",D38-TODAY(),""))</f>
        <v/>
      </c>
      <c r="F38" s="16" t="n"/>
      <c r="G38" s="16" t="n"/>
      <c r="H38" s="16" t="n"/>
    </row>
    <row r="39">
      <c r="A39" s="16" t="n"/>
      <c r="B39" s="16" t="n"/>
      <c r="C39" s="16" t="n"/>
      <c r="D39" s="16" t="n"/>
      <c r="E39" s="17">
        <f>IF(D39="Indefinite","N/A",IF(D39&lt;&gt;"",D39-TODAY(),""))</f>
        <v/>
      </c>
      <c r="F39" s="16" t="n"/>
      <c r="G39" s="16" t="n"/>
      <c r="H39" s="16" t="n"/>
    </row>
    <row r="40">
      <c r="A40" s="16" t="n"/>
      <c r="B40" s="16" t="n"/>
      <c r="C40" s="16" t="n"/>
      <c r="D40" s="16" t="n"/>
      <c r="E40" s="17">
        <f>IF(D40="Indefinite","N/A",IF(D40&lt;&gt;"",D40-TODAY(),""))</f>
        <v/>
      </c>
      <c r="F40" s="16" t="n"/>
      <c r="G40" s="16" t="n"/>
      <c r="H40" s="16" t="n"/>
    </row>
    <row r="41">
      <c r="A41" s="16" t="n"/>
      <c r="B41" s="16" t="n"/>
      <c r="C41" s="16" t="n"/>
      <c r="D41" s="16" t="n"/>
      <c r="E41" s="17">
        <f>IF(D41="Indefinite","N/A",IF(D41&lt;&gt;"",D41-TODAY(),""))</f>
        <v/>
      </c>
      <c r="F41" s="16" t="n"/>
      <c r="G41" s="16" t="n"/>
      <c r="H41" s="16" t="n"/>
    </row>
    <row r="42">
      <c r="A42" s="16" t="n"/>
      <c r="B42" s="16" t="n"/>
      <c r="C42" s="16" t="n"/>
      <c r="D42" s="16" t="n"/>
      <c r="E42" s="17">
        <f>IF(D42="Indefinite","N/A",IF(D42&lt;&gt;"",D42-TODAY(),""))</f>
        <v/>
      </c>
      <c r="F42" s="16" t="n"/>
      <c r="G42" s="16" t="n"/>
      <c r="H42" s="16" t="n"/>
    </row>
    <row r="43">
      <c r="A43" s="16" t="n"/>
      <c r="B43" s="16" t="n"/>
      <c r="C43" s="16" t="n"/>
      <c r="D43" s="16" t="n"/>
      <c r="E43" s="17">
        <f>IF(D43="Indefinite","N/A",IF(D43&lt;&gt;"",D43-TODAY(),""))</f>
        <v/>
      </c>
      <c r="F43" s="16" t="n"/>
      <c r="G43" s="16" t="n"/>
      <c r="H43" s="16" t="n"/>
    </row>
    <row r="44">
      <c r="A44" s="16" t="n"/>
      <c r="B44" s="16" t="n"/>
      <c r="C44" s="16" t="n"/>
      <c r="D44" s="16" t="n"/>
      <c r="E44" s="17">
        <f>IF(D44="Indefinite","N/A",IF(D44&lt;&gt;"",D44-TODAY(),""))</f>
        <v/>
      </c>
      <c r="F44" s="16" t="n"/>
      <c r="G44" s="16" t="n"/>
      <c r="H44" s="16" t="n"/>
    </row>
    <row r="45">
      <c r="A45" s="16" t="n"/>
      <c r="B45" s="16" t="n"/>
      <c r="C45" s="16" t="n"/>
      <c r="D45" s="16" t="n"/>
      <c r="E45" s="17">
        <f>IF(D45="Indefinite","N/A",IF(D45&lt;&gt;"",D45-TODAY(),""))</f>
        <v/>
      </c>
      <c r="F45" s="16" t="n"/>
      <c r="G45" s="16" t="n"/>
      <c r="H45" s="16" t="n"/>
    </row>
    <row r="46">
      <c r="A46" s="16" t="n"/>
      <c r="B46" s="16" t="n"/>
      <c r="C46" s="16" t="n"/>
      <c r="D46" s="16" t="n"/>
      <c r="E46" s="17">
        <f>IF(D46="Indefinite","N/A",IF(D46&lt;&gt;"",D46-TODAY(),""))</f>
        <v/>
      </c>
      <c r="F46" s="16" t="n"/>
      <c r="G46" s="16" t="n"/>
      <c r="H46" s="16" t="n"/>
    </row>
    <row r="47">
      <c r="A47" s="16" t="n"/>
      <c r="B47" s="16" t="n"/>
      <c r="C47" s="16" t="n"/>
      <c r="D47" s="16" t="n"/>
      <c r="E47" s="17">
        <f>IF(D47="Indefinite","N/A",IF(D47&lt;&gt;"",D47-TODAY(),""))</f>
        <v/>
      </c>
      <c r="F47" s="16" t="n"/>
      <c r="G47" s="16" t="n"/>
      <c r="H47" s="16" t="n"/>
    </row>
    <row r="48">
      <c r="A48" s="16" t="n"/>
      <c r="B48" s="16" t="n"/>
      <c r="C48" s="16" t="n"/>
      <c r="D48" s="16" t="n"/>
      <c r="E48" s="17">
        <f>IF(D48="Indefinite","N/A",IF(D48&lt;&gt;"",D48-TODAY(),""))</f>
        <v/>
      </c>
      <c r="F48" s="16" t="n"/>
      <c r="G48" s="16" t="n"/>
      <c r="H48" s="16" t="n"/>
    </row>
    <row r="49">
      <c r="A49" s="16" t="n"/>
      <c r="B49" s="16" t="n"/>
      <c r="C49" s="16" t="n"/>
      <c r="D49" s="16" t="n"/>
      <c r="E49" s="17">
        <f>IF(D49="Indefinite","N/A",IF(D49&lt;&gt;"",D49-TODAY(),""))</f>
        <v/>
      </c>
      <c r="F49" s="16" t="n"/>
      <c r="G49" s="16" t="n"/>
      <c r="H49" s="16" t="n"/>
    </row>
    <row r="50">
      <c r="A50" s="16" t="n"/>
      <c r="B50" s="16" t="n"/>
      <c r="C50" s="16" t="n"/>
      <c r="D50" s="16" t="n"/>
      <c r="E50" s="17">
        <f>IF(D50="Indefinite","N/A",IF(D50&lt;&gt;"",D50-TODAY(),""))</f>
        <v/>
      </c>
      <c r="F50" s="16" t="n"/>
      <c r="G50" s="16" t="n"/>
      <c r="H50" s="16" t="n"/>
    </row>
    <row r="51">
      <c r="A51" s="16" t="n"/>
      <c r="B51" s="16" t="n"/>
      <c r="C51" s="16" t="n"/>
      <c r="D51" s="16" t="n"/>
      <c r="E51" s="17">
        <f>IF(D51="Indefinite","N/A",IF(D51&lt;&gt;"",D51-TODAY(),""))</f>
        <v/>
      </c>
      <c r="F51" s="16" t="n"/>
      <c r="G51" s="16" t="n"/>
      <c r="H51" s="16" t="n"/>
    </row>
    <row r="52">
      <c r="A52" s="16" t="n"/>
      <c r="B52" s="16" t="n"/>
      <c r="C52" s="16" t="n"/>
      <c r="D52" s="16" t="n"/>
      <c r="E52" s="17">
        <f>IF(D52="Indefinite","N/A",IF(D52&lt;&gt;"",D52-TODAY(),""))</f>
        <v/>
      </c>
      <c r="F52" s="16" t="n"/>
      <c r="G52" s="16" t="n"/>
      <c r="H52" s="16" t="n"/>
    </row>
    <row r="53">
      <c r="A53" s="16" t="n"/>
      <c r="B53" s="16" t="n"/>
      <c r="C53" s="16" t="n"/>
      <c r="D53" s="16" t="n"/>
      <c r="E53" s="17">
        <f>IF(D53="Indefinite","N/A",IF(D53&lt;&gt;"",D53-TODAY(),""))</f>
        <v/>
      </c>
      <c r="F53" s="16" t="n"/>
      <c r="G53" s="16" t="n"/>
      <c r="H53" s="16" t="n"/>
    </row>
    <row r="54">
      <c r="A54" s="16" t="n"/>
      <c r="B54" s="16" t="n"/>
      <c r="C54" s="16" t="n"/>
      <c r="D54" s="16" t="n"/>
      <c r="E54" s="17">
        <f>IF(D54="Indefinite","N/A",IF(D54&lt;&gt;"",D54-TODAY(),""))</f>
        <v/>
      </c>
      <c r="F54" s="16" t="n"/>
      <c r="G54" s="16" t="n"/>
      <c r="H54" s="16" t="n"/>
    </row>
  </sheetData>
  <mergeCells count="1">
    <mergeCell ref="A1:H1"/>
  </mergeCells>
  <dataValidations count="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"Expiring Soon,Expired,Acknowledged,Extended"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25" customWidth="1" min="4" max="4"/>
    <col width="18" customWidth="1" min="5" max="5"/>
    <col width="20" customWidth="1" min="6" max="6"/>
    <col width="16" customWidth="1" min="7" max="7"/>
    <col width="45" customWidth="1" min="8" max="8"/>
  </cols>
  <sheetData>
    <row r="1" ht="35" customHeight="1">
      <c r="A1" s="11" t="inlineStr">
        <is>
          <t>EXIT ACKNOWLEDGEMENT LOG</t>
        </is>
      </c>
    </row>
    <row r="2">
      <c r="A2" s="12" t="inlineStr">
        <is>
          <t>Log of post-employment obligation acknowledgements obtained at exit interviews</t>
        </is>
      </c>
    </row>
    <row r="3">
      <c r="A3" s="13" t="inlineStr">
        <is>
          <t>Ack ID</t>
        </is>
      </c>
      <c r="B3" s="13" t="inlineStr">
        <is>
          <t>Person ID</t>
        </is>
      </c>
      <c r="C3" s="13" t="inlineStr">
        <is>
          <t>Exit Date</t>
        </is>
      </c>
      <c r="D3" s="13" t="inlineStr">
        <is>
          <t>Acknowledgement Type</t>
        </is>
      </c>
      <c r="E3" s="13" t="inlineStr">
        <is>
          <t>Acknowledgement Date</t>
        </is>
      </c>
      <c r="F3" s="13" t="inlineStr">
        <is>
          <t>Obligations Summarised</t>
        </is>
      </c>
      <c r="G3" s="13" t="inlineStr">
        <is>
          <t>Signed Document</t>
        </is>
      </c>
      <c r="H3" s="13" t="inlineStr">
        <is>
          <t>Document Location</t>
        </is>
      </c>
    </row>
    <row r="4">
      <c r="A4" s="15" t="inlineStr">
        <is>
          <t>ACK-XXXX</t>
        </is>
      </c>
      <c r="B4" s="15" t="n"/>
      <c r="C4" s="15" t="n"/>
      <c r="D4" s="15" t="n"/>
      <c r="E4" s="15" t="n"/>
      <c r="F4" s="15" t="n"/>
      <c r="G4" s="15" t="n"/>
      <c r="H4" s="15"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1">
    <mergeCell ref="A1:H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"Exit Interview,Written Acknowledgement,Email Confirmation,Refused"</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45" customWidth="1" min="5" max="5"/>
    <col width="30" customWidth="1" min="6" max="6"/>
    <col width="40" customWidth="1" min="7" max="7"/>
    <col width="22" customWidth="1" min="8" max="8"/>
    <col width="40" customWidth="1" min="9" max="9"/>
  </cols>
  <sheetData>
    <row r="1" ht="35" customHeight="1">
      <c r="A1" s="11" t="inlineStr">
        <is>
          <t>ENFORCEMENT REGISTER</t>
        </is>
      </c>
    </row>
    <row r="2">
      <c r="A2" s="12" t="inlineStr">
        <is>
          <t>Record of post-employment obligation violations and enforcement actions taken</t>
        </is>
      </c>
    </row>
    <row r="3">
      <c r="A3" s="13" t="inlineStr">
        <is>
          <t>Enforcement ID</t>
        </is>
      </c>
      <c r="B3" s="13" t="inlineStr">
        <is>
          <t>Person ID</t>
        </is>
      </c>
      <c r="C3" s="13" t="inlineStr">
        <is>
          <t>Obligation Violated</t>
        </is>
      </c>
      <c r="D3" s="13" t="inlineStr">
        <is>
          <t>Violation Date</t>
        </is>
      </c>
      <c r="E3" s="13" t="inlineStr">
        <is>
          <t>Violation Description</t>
        </is>
      </c>
      <c r="F3" s="13" t="inlineStr">
        <is>
          <t>Detection Method</t>
        </is>
      </c>
      <c r="G3" s="13" t="inlineStr">
        <is>
          <t>Enforcement Action</t>
        </is>
      </c>
      <c r="H3" s="13" t="inlineStr">
        <is>
          <t>Status</t>
        </is>
      </c>
      <c r="I3" s="13" t="inlineStr">
        <is>
          <t>Outcome</t>
        </is>
      </c>
    </row>
    <row r="4">
      <c r="A4" s="15" t="inlineStr">
        <is>
          <t>ENF-XXXX</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"Confidentiality,Trade Secrets,IP Assignment,Non-Compete,Non-Solicitation (Employee),Non-Solicitation (Customer),Data Return"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"Under Investigation,Cease and Desist Sent,Legal Action Initiated,Resolved,No Action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2"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post-employment obligations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"Obligation Definition,NDA Copy,Acknowledgement Form,Enforcement Record,Expiration Report,Other"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Post Employment Obligations — SUMMARY DASHBOARD</t>
        </is>
      </c>
      <c r="B1" s="6" t="n"/>
      <c r="C1" s="6" t="n"/>
      <c r="D1" s="6" t="n"/>
      <c r="E1" s="6" t="n"/>
      <c r="F1" s="6" t="n"/>
      <c r="G1" s="6" t="n"/>
    </row>
    <row r="2">
      <c r="A2" s="24" t="inlineStr">
        <is>
          <t>ISMS-IMP-A.6.4-5.S3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Former Personnel Obligations</t>
        </is>
      </c>
      <c r="B6" s="28">
        <f>COUNTA('Former Personnel'!A5:A54)</f>
        <v/>
      </c>
      <c r="C6" s="28">
        <f>COUNTIF('Former Personnel'!I5:I54,"All Expired")</f>
        <v/>
      </c>
      <c r="D6" s="28">
        <f>COUNTIF('Former Personnel'!I5:I54,"Active Obligations")</f>
        <v/>
      </c>
      <c r="E6" s="28">
        <f>COUNTIF('Former Personnel'!I5:I54,"Under Enforcement")</f>
        <v/>
      </c>
      <c r="F6" s="28" t="inlineStr">
        <is>
          <t>0</t>
        </is>
      </c>
      <c r="G6" s="29">
        <f>IF((B6-F6)=0,0,C6/(B6-F6))</f>
        <v/>
      </c>
    </row>
    <row r="7">
      <c r="A7" s="27" t="inlineStr">
        <is>
          <t>Active Obligations Management</t>
        </is>
      </c>
      <c r="B7" s="28">
        <f>COUNTA('Active Obligations'!A5:A54)</f>
        <v/>
      </c>
      <c r="C7" s="28">
        <f>COUNTIF('Active Obligations'!H5:H54,"Active")+COUNTIF('Active Obligations'!H5:H54,"Waived")</f>
        <v/>
      </c>
      <c r="D7" s="28">
        <f>COUNTIF('Active Obligations'!H5:H54,"Expired")</f>
        <v/>
      </c>
      <c r="E7" s="28">
        <f>COUNTIF('Active Obligations'!H5:H54,"Under Enforcement")</f>
        <v/>
      </c>
      <c r="F7" s="28" t="inlineStr">
        <is>
          <t>0</t>
        </is>
      </c>
      <c r="G7" s="29">
        <f>IF((B7-F7)=0,0,C7/(B7-F7))</f>
        <v/>
      </c>
    </row>
    <row r="8">
      <c r="A8" s="27" t="inlineStr">
        <is>
          <t>Exit Acknowledgements</t>
        </is>
      </c>
      <c r="B8" s="28">
        <f>COUNTA('Acknowledgement Log'!A5:A54)</f>
        <v/>
      </c>
      <c r="C8" s="28">
        <f>COUNTIF('Acknowledgement Log'!G5:G54,"Yes")</f>
        <v/>
      </c>
      <c r="D8" s="28">
        <f>COUNTIF('Acknowledgement Log'!D5:D54,"Email Confirmation")</f>
        <v/>
      </c>
      <c r="E8" s="28">
        <f>COUNTIF('Acknowledgement Log'!G5:G54,"No")</f>
        <v/>
      </c>
      <c r="F8" s="28">
        <f>COUNTIF('Acknowledgement Log'!D5:D54,"Refused")</f>
        <v/>
      </c>
      <c r="G8" s="29">
        <f>IF((B8-F8)=0,0,C8/(B8-F8))</f>
        <v/>
      </c>
    </row>
    <row r="9">
      <c r="A9" s="27" t="inlineStr">
        <is>
          <t>Enforcement Cases</t>
        </is>
      </c>
      <c r="B9" s="28">
        <f>COUNTA('Enforcement Register'!A5:A54)</f>
        <v/>
      </c>
      <c r="C9" s="28">
        <f>COUNTIF('Enforcement Register'!H5:H54,"Resolved")+COUNTIF('Enforcement Register'!H5:H54,"No Action Required")</f>
        <v/>
      </c>
      <c r="D9" s="28">
        <f>COUNTIF('Enforcement Register'!H5:H54,"Cease and Desist Sent")</f>
        <v/>
      </c>
      <c r="E9" s="28">
        <f>COUNTIF('Enforcement Register'!H5:H54,"Under Investigation")+COUNTIF('Enforcement Register'!H5:H54,"Legal Action Initiated")</f>
        <v/>
      </c>
      <c r="F9" s="28" t="inlineStr">
        <is>
          <t>0</t>
        </is>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METRICS</t>
        </is>
      </c>
      <c r="B12" s="6" t="n"/>
      <c r="C12" s="6" t="n"/>
      <c r="D12" s="6" t="n"/>
      <c r="E12" s="6" t="n"/>
      <c r="F12" s="6" t="n"/>
      <c r="G12" s="6" t="n"/>
    </row>
    <row r="13">
      <c r="A13" s="31" t="inlineStr">
        <is>
          <t>Metric</t>
        </is>
      </c>
      <c r="B13" s="31" t="inlineStr">
        <is>
          <t>Value</t>
        </is>
      </c>
      <c r="C13" s="31" t="n"/>
      <c r="D13" s="31" t="n"/>
      <c r="E13" s="31" t="n"/>
      <c r="F13" s="31" t="n"/>
      <c r="G13" s="31" t="n"/>
    </row>
    <row r="14">
      <c r="A14" s="27" t="inlineStr">
        <is>
          <t>Total Former Personnel Tracked</t>
        </is>
      </c>
      <c r="B14" s="28">
        <f>COUNTA('Former Personnel'!A5:A54)</f>
        <v/>
      </c>
      <c r="C14" s="6" t="n"/>
      <c r="D14" s="6" t="n"/>
      <c r="E14" s="6" t="n"/>
      <c r="F14" s="6" t="n"/>
      <c r="G14" s="6" t="n"/>
    </row>
    <row r="15">
      <c r="A15" s="27" t="inlineStr">
        <is>
          <t>Former Personnel: Active Obligations</t>
        </is>
      </c>
      <c r="B15" s="28">
        <f>COUNTIF('Former Personnel'!I5:I54,"Active Obligations")</f>
        <v/>
      </c>
      <c r="C15" s="6" t="n"/>
      <c r="D15" s="6" t="n"/>
      <c r="E15" s="6" t="n"/>
      <c r="F15" s="6" t="n"/>
      <c r="G15" s="6" t="n"/>
    </row>
    <row r="16">
      <c r="A16" s="27" t="inlineStr">
        <is>
          <t>Former Personnel: All Obligations Expired</t>
        </is>
      </c>
      <c r="B16" s="28">
        <f>COUNTIF('Former Personnel'!I5:I54,"All Expired")</f>
        <v/>
      </c>
      <c r="C16" s="6" t="n"/>
      <c r="D16" s="6" t="n"/>
      <c r="E16" s="6" t="n"/>
      <c r="F16" s="6" t="n"/>
      <c r="G16" s="6" t="n"/>
    </row>
    <row r="17">
      <c r="A17" s="27" t="inlineStr">
        <is>
          <t>Former Personnel: Under Enforcement</t>
        </is>
      </c>
      <c r="B17" s="28">
        <f>COUNTIF('Former Personnel'!I5:I54,"Under Enforcement")</f>
        <v/>
      </c>
      <c r="C17" s="6" t="n"/>
      <c r="D17" s="6" t="n"/>
      <c r="E17" s="6" t="n"/>
      <c r="F17" s="6" t="n"/>
      <c r="G17" s="6" t="n"/>
    </row>
    <row r="18">
      <c r="A18" s="27" t="inlineStr">
        <is>
          <t>Former Privileged or Executive Staff</t>
        </is>
      </c>
      <c r="B18" s="28">
        <f>COUNTIF('Former Personnel'!F5:F54,"Privileged")+COUNTIF('Former Personnel'!F5:F54,"Executive")</f>
        <v/>
      </c>
      <c r="C18" s="6" t="n"/>
      <c r="D18" s="6" t="n"/>
      <c r="E18" s="6" t="n"/>
      <c r="F18" s="6" t="n"/>
      <c r="G18" s="6" t="n"/>
    </row>
    <row r="19">
      <c r="A19" s="27" t="inlineStr">
        <is>
          <t>Total Active Obligations Logged</t>
        </is>
      </c>
      <c r="B19" s="28">
        <f>COUNTA('Active Obligations'!A5:A54)</f>
        <v/>
      </c>
      <c r="C19" s="6" t="n"/>
      <c r="D19" s="6" t="n"/>
      <c r="E19" s="6" t="n"/>
      <c r="F19" s="6" t="n"/>
      <c r="G19" s="6" t="n"/>
    </row>
    <row r="20">
      <c r="A20" s="27" t="inlineStr">
        <is>
          <t>Active Obligations: Currently Active</t>
        </is>
      </c>
      <c r="B20" s="28">
        <f>COUNTIF('Active Obligations'!H5:H54,"Active")</f>
        <v/>
      </c>
      <c r="C20" s="6" t="n"/>
      <c r="D20" s="6" t="n"/>
      <c r="E20" s="6" t="n"/>
      <c r="F20" s="6" t="n"/>
      <c r="G20" s="6" t="n"/>
    </row>
    <row r="21">
      <c r="A21" s="27" t="inlineStr">
        <is>
          <t>Active Obligations: Expired</t>
        </is>
      </c>
      <c r="B21" s="28">
        <f>COUNTIF('Active Obligations'!H5:H54,"Expired")</f>
        <v/>
      </c>
      <c r="C21" s="6" t="n"/>
      <c r="D21" s="6" t="n"/>
      <c r="E21" s="6" t="n"/>
      <c r="F21" s="6" t="n"/>
      <c r="G21" s="6" t="n"/>
    </row>
    <row r="22">
      <c r="A22" s="27" t="inlineStr">
        <is>
          <t>Active Obligations: Under Enforcement</t>
        </is>
      </c>
      <c r="B22" s="28">
        <f>COUNTIF('Active Obligations'!H5:H54,"Under Enforcement")</f>
        <v/>
      </c>
      <c r="C22" s="6" t="n"/>
      <c r="D22" s="6" t="n"/>
      <c r="E22" s="6" t="n"/>
      <c r="F22" s="6" t="n"/>
      <c r="G22" s="6" t="n"/>
    </row>
    <row r="23">
      <c r="A23" s="27" t="inlineStr">
        <is>
          <t>Total Acknowledgements Obtained</t>
        </is>
      </c>
      <c r="B23" s="28">
        <f>COUNTA('Acknowledgement Log'!A5:A54)</f>
        <v/>
      </c>
      <c r="C23" s="6" t="n"/>
      <c r="D23" s="6" t="n"/>
      <c r="E23" s="6" t="n"/>
      <c r="F23" s="6" t="n"/>
      <c r="G23" s="6" t="n"/>
    </row>
    <row r="24">
      <c r="A24" s="27" t="inlineStr">
        <is>
          <t>Acknowledgements with Signed Document</t>
        </is>
      </c>
      <c r="B24" s="28">
        <f>COUNTIF('Acknowledgement Log'!G5:G54,"Yes")</f>
        <v/>
      </c>
      <c r="C24" s="6" t="n"/>
      <c r="D24" s="6" t="n"/>
      <c r="E24" s="6" t="n"/>
      <c r="F24" s="6" t="n"/>
      <c r="G24" s="6" t="n"/>
    </row>
    <row r="25">
      <c r="A25" s="27" t="inlineStr">
        <is>
          <t>Acknowledgements Refused</t>
        </is>
      </c>
      <c r="B25" s="28">
        <f>COUNTIF('Acknowledgement Log'!D5:D54,"Refused")</f>
        <v/>
      </c>
      <c r="C25" s="6" t="n"/>
      <c r="D25" s="6" t="n"/>
      <c r="E25" s="6" t="n"/>
      <c r="F25" s="6" t="n"/>
      <c r="G25" s="6" t="n"/>
    </row>
    <row r="26">
      <c r="A26" s="27" t="inlineStr">
        <is>
          <t>Total Enforcement Cases</t>
        </is>
      </c>
      <c r="B26" s="28">
        <f>COUNTA('Enforcement Register'!A5:A54)</f>
        <v/>
      </c>
      <c r="C26" s="6" t="n"/>
      <c r="D26" s="6" t="n"/>
      <c r="E26" s="6" t="n"/>
      <c r="F26" s="6" t="n"/>
      <c r="G26" s="6" t="n"/>
    </row>
    <row r="27">
      <c r="A27" s="27" t="inlineStr">
        <is>
          <t>Enforcement Cases Resolved</t>
        </is>
      </c>
      <c r="B27" s="28">
        <f>COUNTIF('Enforcement Register'!H5:H54,"Resolved")+COUNTIF('Enforcement Register'!H5:H54,"No Action Required")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33" t="inlineStr">
        <is>
          <t>TABLE 3: CRITICAL FINDINGS REQUIRING IMMEDIATE ATTENTION</t>
        </is>
      </c>
      <c r="B31" s="6" t="n"/>
      <c r="C31" s="6" t="n"/>
      <c r="D31" s="6" t="n"/>
      <c r="E31" s="6" t="n"/>
      <c r="F31" s="6" t="n"/>
      <c r="G31" s="6" t="n"/>
    </row>
    <row r="32">
      <c r="A32" s="31" t="inlineStr">
        <is>
          <t>Category</t>
        </is>
      </c>
      <c r="B32" s="31" t="inlineStr">
        <is>
          <t>Finding</t>
        </is>
      </c>
      <c r="C32" s="31" t="inlineStr">
        <is>
          <t>Count</t>
        </is>
      </c>
      <c r="D32" s="31" t="inlineStr">
        <is>
          <t>Severity</t>
        </is>
      </c>
      <c r="E32" s="31" t="inlineStr">
        <is>
          <t>Action Required</t>
        </is>
      </c>
      <c r="F32" s="31" t="n"/>
      <c r="G32" s="31" t="n"/>
    </row>
    <row r="33">
      <c r="A33" s="34" t="inlineStr">
        <is>
          <t>Enforcement</t>
        </is>
      </c>
      <c r="B33" s="34" t="inlineStr">
        <is>
          <t>Former personnel under active enforcement</t>
        </is>
      </c>
      <c r="C33" s="35">
        <f>COUNTIF('Former Personnel'!I5:I54,"Under Enforcement")</f>
        <v/>
      </c>
      <c r="D33" s="34" t="inlineStr">
        <is>
          <t>Critical</t>
        </is>
      </c>
      <c r="E33" s="34" t="inlineStr">
        <is>
          <t>Immediate</t>
        </is>
      </c>
      <c r="F33" s="34" t="n"/>
      <c r="G33" s="34" t="n"/>
    </row>
    <row r="34">
      <c r="A34" s="34" t="inlineStr">
        <is>
          <t>Enforcement</t>
        </is>
      </c>
      <c r="B34" s="34" t="inlineStr">
        <is>
          <t>Enforcement cases: active investigation</t>
        </is>
      </c>
      <c r="C34" s="35">
        <f>COUNTIF('Enforcement Register'!H5:H54,"Under Investigation")</f>
        <v/>
      </c>
      <c r="D34" s="34" t="inlineStr">
        <is>
          <t>Critical</t>
        </is>
      </c>
      <c r="E34" s="34" t="inlineStr">
        <is>
          <t>Immediate</t>
        </is>
      </c>
      <c r="F34" s="34" t="n"/>
      <c r="G34" s="34" t="n"/>
    </row>
    <row r="35">
      <c r="A35" s="34" t="inlineStr">
        <is>
          <t>Enforcement</t>
        </is>
      </c>
      <c r="B35" s="34" t="inlineStr">
        <is>
          <t>Enforcement cases: legal action initiated</t>
        </is>
      </c>
      <c r="C35" s="35">
        <f>COUNTIF('Enforcement Register'!H5:H54,"Legal Action Initiated")</f>
        <v/>
      </c>
      <c r="D35" s="34" t="inlineStr">
        <is>
          <t>Critical</t>
        </is>
      </c>
      <c r="E35" s="34" t="inlineStr">
        <is>
          <t>Immediate</t>
        </is>
      </c>
      <c r="F35" s="34" t="n"/>
      <c r="G35" s="34" t="n"/>
    </row>
    <row r="36">
      <c r="A36" s="34" t="inlineStr">
        <is>
          <t>Acknowledgements</t>
        </is>
      </c>
      <c r="B36" s="34" t="inlineStr">
        <is>
          <t>Persons who refused to acknowledge obligations</t>
        </is>
      </c>
      <c r="C36" s="35">
        <f>COUNTIF('Acknowledgement Log'!D5:D54,"Refused")</f>
        <v/>
      </c>
      <c r="D36" s="34" t="inlineStr">
        <is>
          <t>Critical</t>
        </is>
      </c>
      <c r="E36" s="34" t="inlineStr">
        <is>
          <t>Immediate</t>
        </is>
      </c>
      <c r="F36" s="34" t="n"/>
      <c r="G36" s="34" t="n"/>
    </row>
    <row r="37">
      <c r="A37" s="34" t="inlineStr">
        <is>
          <t>Acknowledgements</t>
        </is>
      </c>
      <c r="B37" s="34" t="inlineStr">
        <is>
          <t>Acknowledgements without signed document</t>
        </is>
      </c>
      <c r="C37" s="35">
        <f>COUNTIF('Acknowledgement Log'!G5:G54,"No")</f>
        <v/>
      </c>
      <c r="D37" s="34" t="inlineStr">
        <is>
          <t>High</t>
        </is>
      </c>
      <c r="E37" s="34" t="inlineStr">
        <is>
          <t>Urgent</t>
        </is>
      </c>
      <c r="F37" s="34" t="n"/>
      <c r="G37" s="34" t="n"/>
    </row>
    <row r="38">
      <c r="A38" s="34" t="inlineStr">
        <is>
          <t>Obligations</t>
        </is>
      </c>
      <c r="B38" s="34" t="inlineStr">
        <is>
          <t>Active obligations under enforcement</t>
        </is>
      </c>
      <c r="C38" s="35">
        <f>COUNTIF('Active Obligations'!H5:H54,"Under Enforcement")</f>
        <v/>
      </c>
      <c r="D38" s="34" t="inlineStr">
        <is>
          <t>Critical</t>
        </is>
      </c>
      <c r="E38" s="34" t="inlineStr">
        <is>
          <t>Immediate</t>
        </is>
      </c>
      <c r="F38" s="34" t="n"/>
      <c r="G38" s="34" t="n"/>
    </row>
    <row r="39">
      <c r="A39" s="34" t="inlineStr">
        <is>
          <t>Expiration</t>
        </is>
      </c>
      <c r="B39" s="34" t="inlineStr">
        <is>
          <t>Obligations expired without review</t>
        </is>
      </c>
      <c r="C39" s="35">
        <f>COUNTIF('Expiration Tracker'!F5:F54,"Expired")</f>
        <v/>
      </c>
      <c r="D39" s="34" t="inlineStr">
        <is>
          <t>High</t>
        </is>
      </c>
      <c r="E39" s="34" t="inlineStr">
        <is>
          <t>Urgent</t>
        </is>
      </c>
      <c r="F39" s="34" t="n"/>
      <c r="G39" s="34" t="n"/>
    </row>
    <row r="40">
      <c r="A40" s="16" t="n"/>
      <c r="B40" s="16" t="n"/>
      <c r="C40" s="16" t="n"/>
      <c r="D40" s="16" t="n"/>
      <c r="E40" s="16" t="n"/>
      <c r="F40" s="16" t="n"/>
      <c r="G40" s="16" t="n"/>
    </row>
    <row r="41">
      <c r="A41" s="16" t="n"/>
      <c r="B41" s="16" t="n"/>
      <c r="C41" s="16" t="n"/>
      <c r="D41" s="16" t="n"/>
      <c r="E41" s="16" t="n"/>
      <c r="F41" s="16" t="n"/>
      <c r="G41" s="16" t="n"/>
    </row>
  </sheetData>
  <mergeCells count="5">
    <mergeCell ref="A1:G1"/>
    <mergeCell ref="A31:G31"/>
    <mergeCell ref="A12:G12"/>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ISMS-IMP-A.6.4-5.S3 - Post Employment Obligations</t>
        </is>
      </c>
      <c r="C4" s="6" t="n"/>
      <c r="D4" s="6" t="n"/>
      <c r="E4" s="6" t="n"/>
    </row>
    <row r="5">
      <c r="A5" s="3" t="inlineStr">
        <is>
          <t>Assessment Period:</t>
        </is>
      </c>
      <c r="B5" s="16" t="inlineStr"/>
      <c r="C5" s="6" t="n"/>
      <c r="D5" s="6" t="n"/>
      <c r="E5" s="6" t="n"/>
    </row>
    <row r="6">
      <c r="A6" s="3" t="inlineStr">
        <is>
          <t>Overall Compliance Rating:</t>
        </is>
      </c>
      <c r="B6" s="38">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ISMS-IMP-A.6.4-5.S3 — Post Employment Obligations</dc:title>
  <dc:description xmlns:dc="http://purl.org/dc/elements/1.1/">ISMS Implementation Workbook — ISMS-IMP-A.6.4-5.S3</dc:description>
  <dc:subject xmlns:dc="http://purl.org/dc/elements/1.1/">ISO/IEC 27001:2022 — Control A.6.4-5: Disciplinary Process and Employment Exit</dc:subject>
  <dcterms:created xmlns:dcterms="http://purl.org/dc/terms/" xmlns:xsi="http://www.w3.org/2001/XMLSchema-instance" xsi:type="dcterms:W3CDTF">2026-03-07T11:27:50Z</dcterms:created>
  <dcterms:modified xmlns:dcterms="http://purl.org/dc/terms/" xmlns:xsi="http://www.w3.org/2001/XMLSchema-instance" xsi:type="dcterms:W3CDTF">2026-03-07T11:27:51Z</dcterms:modified>
</cp:coreProperties>
</file>