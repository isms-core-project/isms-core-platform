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Exit_Metrics" sheetId="2" state="visible" r:id="rId2"/>
    <sheet xmlns:r="http://schemas.openxmlformats.org/officeDocument/2006/relationships" name="Access_Revocation_Metrics" sheetId="3" state="visible" r:id="rId3"/>
    <sheet xmlns:r="http://schemas.openxmlformats.org/officeDocument/2006/relationships" name="Asset_Metrics" sheetId="4" state="visible" r:id="rId4"/>
    <sheet xmlns:r="http://schemas.openxmlformats.org/officeDocument/2006/relationships" name="Disciplinary_Metrics" sheetId="5" state="visible" r:id="rId5"/>
    <sheet xmlns:r="http://schemas.openxmlformats.org/officeDocument/2006/relationships" name="Obligation_Metrics" sheetId="6" state="visible" r:id="rId6"/>
    <sheet xmlns:r="http://schemas.openxmlformats.org/officeDocument/2006/relationships" name="Trend_Analysis" sheetId="7" state="visible" r:id="rId7"/>
    <sheet xmlns:r="http://schemas.openxmlformats.org/officeDocument/2006/relationships" name="Data_Sources" sheetId="8" state="visible" r:id="rId8"/>
    <sheet xmlns:r="http://schemas.openxmlformats.org/officeDocument/2006/relationships" name="Instru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FFFFFF"/>
      <sz val="12"/>
    </font>
    <font>
      <name val="Calibri"/>
      <b val="1"/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2" customWidth="1" min="4" max="4"/>
    <col width="10" customWidth="1" min="5" max="5"/>
    <col width="30" customWidth="1" min="6" max="6"/>
  </cols>
  <sheetData>
    <row r="1" ht="35" customHeight="1">
      <c r="A1" s="1" t="inlineStr">
        <is>
          <t>EMPLOYMENT EXIT COMPLIANCE DASHBOARD</t>
        </is>
      </c>
    </row>
    <row r="3">
      <c r="A3" s="2" t="inlineStr">
        <is>
          <t>Reporting Period:</t>
        </is>
      </c>
      <c r="B3" s="3" t="inlineStr"/>
      <c r="D3" s="2" t="inlineStr">
        <is>
          <t>Generated:</t>
        </is>
      </c>
      <c r="E3" t="inlineStr">
        <is>
          <t>08.02.2026</t>
        </is>
      </c>
    </row>
    <row r="5">
      <c r="A5" s="4" t="inlineStr">
        <is>
          <t>KEY PERFORMANCE INDICATORS</t>
        </is>
      </c>
    </row>
    <row r="6">
      <c r="A6" s="5" t="inlineStr">
        <is>
          <t>KPI</t>
        </is>
      </c>
      <c r="B6" s="5" t="inlineStr">
        <is>
          <t>Target</t>
        </is>
      </c>
      <c r="C6" s="5" t="inlineStr">
        <is>
          <t>Actual</t>
        </is>
      </c>
      <c r="D6" s="5" t="inlineStr">
        <is>
          <t>Status</t>
        </is>
      </c>
      <c r="E6" s="5" t="inlineStr">
        <is>
          <t>Trend</t>
        </is>
      </c>
      <c r="F6" s="5" t="inlineStr">
        <is>
          <t>Notes</t>
        </is>
      </c>
    </row>
    <row r="7">
      <c r="A7" s="6" t="inlineStr">
        <is>
          <t>Exit Process Completion Rate</t>
        </is>
      </c>
      <c r="B7" s="6" t="inlineStr">
        <is>
          <t>100%</t>
        </is>
      </c>
      <c r="C7" s="3" t="inlineStr"/>
      <c r="D7" s="7" t="inlineStr">
        <is>
          <t>Green</t>
        </is>
      </c>
      <c r="E7" s="8" t="inlineStr">
        <is>
          <t>►</t>
        </is>
      </c>
      <c r="F7" s="6" t="inlineStr"/>
    </row>
    <row r="8">
      <c r="A8" s="6" t="inlineStr">
        <is>
          <t>Access Revocation SLA Compliance</t>
        </is>
      </c>
      <c r="B8" s="6" t="inlineStr">
        <is>
          <t>100%</t>
        </is>
      </c>
      <c r="C8" s="3" t="inlineStr"/>
      <c r="D8" s="7" t="inlineStr">
        <is>
          <t>Green</t>
        </is>
      </c>
      <c r="E8" s="8" t="inlineStr">
        <is>
          <t>►</t>
        </is>
      </c>
      <c r="F8" s="6" t="inlineStr"/>
    </row>
    <row r="9">
      <c r="A9" s="6" t="inlineStr">
        <is>
          <t>Asset Recovery Rate</t>
        </is>
      </c>
      <c r="B9" s="6" t="inlineStr">
        <is>
          <t>&gt;95%</t>
        </is>
      </c>
      <c r="C9" s="3" t="inlineStr"/>
      <c r="D9" s="7" t="inlineStr">
        <is>
          <t>Green</t>
        </is>
      </c>
      <c r="E9" s="8" t="inlineStr">
        <is>
          <t>►</t>
        </is>
      </c>
      <c r="F9" s="6" t="inlineStr"/>
    </row>
    <row r="10">
      <c r="A10" s="6" t="inlineStr">
        <is>
          <t>Orphaned Account Rate</t>
        </is>
      </c>
      <c r="B10" s="6" t="inlineStr">
        <is>
          <t>0</t>
        </is>
      </c>
      <c r="C10" s="3" t="inlineStr"/>
      <c r="D10" s="7" t="inlineStr">
        <is>
          <t>Green</t>
        </is>
      </c>
      <c r="E10" s="8" t="inlineStr">
        <is>
          <t>►</t>
        </is>
      </c>
      <c r="F10" s="6" t="inlineStr"/>
    </row>
    <row r="11">
      <c r="A11" s="6" t="inlineStr">
        <is>
          <t>Exit Interview Completion</t>
        </is>
      </c>
      <c r="B11" s="6" t="inlineStr">
        <is>
          <t>100%</t>
        </is>
      </c>
      <c r="C11" s="3" t="inlineStr"/>
      <c r="D11" s="7" t="inlineStr">
        <is>
          <t>Green</t>
        </is>
      </c>
      <c r="E11" s="8" t="inlineStr">
        <is>
          <t>►</t>
        </is>
      </c>
      <c r="F11" s="6" t="inlineStr">
        <is>
          <t>Voluntary exits only</t>
        </is>
      </c>
    </row>
    <row r="12">
      <c r="A12" s="6" t="inlineStr">
        <is>
          <t>Exit Acknowledgement Rate</t>
        </is>
      </c>
      <c r="B12" s="6" t="inlineStr">
        <is>
          <t>100%</t>
        </is>
      </c>
      <c r="C12" s="3" t="inlineStr"/>
      <c r="D12" s="7" t="inlineStr">
        <is>
          <t>Green</t>
        </is>
      </c>
      <c r="E12" s="8" t="inlineStr">
        <is>
          <t>►</t>
        </is>
      </c>
      <c r="F12" s="6" t="inlineStr"/>
    </row>
    <row r="13">
      <c r="A13" s="6" t="inlineStr">
        <is>
          <t>Disciplinary Case Closure &lt;30d</t>
        </is>
      </c>
      <c r="B13" s="6" t="inlineStr">
        <is>
          <t>&gt;90%</t>
        </is>
      </c>
      <c r="C13" s="3" t="inlineStr"/>
      <c r="D13" s="7" t="inlineStr">
        <is>
          <t>Green</t>
        </is>
      </c>
      <c r="E13" s="8" t="inlineStr">
        <is>
          <t>►</t>
        </is>
      </c>
      <c r="F13" s="6" t="inlineStr"/>
    </row>
    <row r="14">
      <c r="A14" s="6" t="inlineStr">
        <is>
          <t>Active Enforcement Cases</t>
        </is>
      </c>
      <c r="B14" s="6" t="inlineStr">
        <is>
          <t>0</t>
        </is>
      </c>
      <c r="C14" s="3" t="inlineStr"/>
      <c r="D14" s="7" t="inlineStr">
        <is>
          <t>Green</t>
        </is>
      </c>
      <c r="E14" s="8" t="inlineStr">
        <is>
          <t>►</t>
        </is>
      </c>
      <c r="F14" s="6" t="inlineStr"/>
    </row>
    <row r="16">
      <c r="A16" s="4" t="inlineStr">
        <is>
          <t>HIGHLIGHTS AND ISSUES</t>
        </is>
      </c>
    </row>
    <row r="17">
      <c r="A17" s="2" t="inlineStr">
        <is>
          <t>Key Achievements:</t>
        </is>
      </c>
      <c r="B17" s="3" t="n"/>
    </row>
    <row r="18">
      <c r="A18" s="2" t="inlineStr">
        <is>
          <t>Issues Requiring Attention:</t>
        </is>
      </c>
      <c r="B18" s="3" t="n"/>
    </row>
    <row r="19">
      <c r="A19" s="2" t="inlineStr">
        <is>
          <t>Actions Planned:</t>
        </is>
      </c>
      <c r="B19" s="3" t="n"/>
    </row>
    <row r="22">
      <c r="A22" s="4" t="inlineStr">
        <is>
          <t>DASHBOARD SIGN-OFF</t>
        </is>
      </c>
    </row>
    <row r="23">
      <c r="A23" t="inlineStr">
        <is>
          <t>Prepared By:</t>
        </is>
      </c>
      <c r="B23" s="3" t="n"/>
      <c r="D23" t="inlineStr">
        <is>
          <t>Date:</t>
        </is>
      </c>
      <c r="E23" s="3" t="n"/>
    </row>
    <row r="24">
      <c r="A24" t="inlineStr">
        <is>
          <t>Approved By:</t>
        </is>
      </c>
      <c r="B24" s="3" t="n"/>
      <c r="D24" t="inlineStr">
        <is>
          <t>Date:</t>
        </is>
      </c>
      <c r="E24" s="3" t="n"/>
    </row>
  </sheetData>
  <mergeCells count="7">
    <mergeCell ref="A16:F16"/>
    <mergeCell ref="A1:F1"/>
    <mergeCell ref="A5:F5"/>
    <mergeCell ref="B19:F19"/>
    <mergeCell ref="A22:F22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 ht="25" customHeight="1">
      <c r="A1" s="1" t="inlineStr">
        <is>
          <t>EXIT METRICS</t>
        </is>
      </c>
    </row>
    <row r="3">
      <c r="A3" s="5" t="inlineStr">
        <is>
          <t>Period</t>
        </is>
      </c>
      <c r="B3" s="5" t="inlineStr">
        <is>
          <t>Total_Exits</t>
        </is>
      </c>
      <c r="C3" s="5" t="inlineStr">
        <is>
          <t>Voluntary</t>
        </is>
      </c>
      <c r="D3" s="5" t="inlineStr">
        <is>
          <t>Involuntary</t>
        </is>
      </c>
      <c r="E3" s="5" t="inlineStr">
        <is>
          <t>Contractors</t>
        </is>
      </c>
      <c r="F3" s="5" t="inlineStr">
        <is>
          <t>Fully_Complete</t>
        </is>
      </c>
      <c r="G3" s="5" t="inlineStr">
        <is>
          <t>Completion_Rate</t>
        </is>
      </c>
      <c r="H3" s="5" t="inlineStr">
        <is>
          <t>Outstanding_Items</t>
        </is>
      </c>
    </row>
    <row r="4">
      <c r="A4" s="6" t="inlineStr">
        <is>
          <t>2026-01</t>
        </is>
      </c>
      <c r="B4" s="3" t="n"/>
      <c r="C4" s="3" t="n"/>
      <c r="D4" s="3" t="n"/>
      <c r="E4" s="3" t="n"/>
      <c r="F4" s="3" t="n"/>
      <c r="G4" s="9">
        <f>IF(B4&gt;0,F4/B4,"")</f>
        <v/>
      </c>
      <c r="H4" s="3" t="n"/>
    </row>
    <row r="5">
      <c r="A5" s="6" t="inlineStr">
        <is>
          <t>2026-02</t>
        </is>
      </c>
      <c r="B5" s="3" t="n"/>
      <c r="C5" s="3" t="n"/>
      <c r="D5" s="3" t="n"/>
      <c r="E5" s="3" t="n"/>
      <c r="F5" s="3" t="n"/>
      <c r="G5" s="9">
        <f>IF(B5&gt;0,F5/B5,"")</f>
        <v/>
      </c>
      <c r="H5" s="3" t="n"/>
    </row>
    <row r="6">
      <c r="A6" s="6" t="inlineStr">
        <is>
          <t>2026-03</t>
        </is>
      </c>
      <c r="B6" s="3" t="n"/>
      <c r="C6" s="3" t="n"/>
      <c r="D6" s="3" t="n"/>
      <c r="E6" s="3" t="n"/>
      <c r="F6" s="3" t="n"/>
      <c r="G6" s="9">
        <f>IF(B6&gt;0,F6/B6,"")</f>
        <v/>
      </c>
      <c r="H6" s="3" t="n"/>
    </row>
    <row r="7">
      <c r="A7" s="6" t="inlineStr">
        <is>
          <t>2026-04</t>
        </is>
      </c>
      <c r="B7" s="3" t="n"/>
      <c r="C7" s="3" t="n"/>
      <c r="D7" s="3" t="n"/>
      <c r="E7" s="3" t="n"/>
      <c r="F7" s="3" t="n"/>
      <c r="G7" s="9">
        <f>IF(B7&gt;0,F7/B7,"")</f>
        <v/>
      </c>
      <c r="H7" s="3" t="n"/>
    </row>
    <row r="8">
      <c r="A8" s="6" t="inlineStr">
        <is>
          <t>2026-05</t>
        </is>
      </c>
      <c r="B8" s="3" t="n"/>
      <c r="C8" s="3" t="n"/>
      <c r="D8" s="3" t="n"/>
      <c r="E8" s="3" t="n"/>
      <c r="F8" s="3" t="n"/>
      <c r="G8" s="9">
        <f>IF(B8&gt;0,F8/B8,"")</f>
        <v/>
      </c>
      <c r="H8" s="3" t="n"/>
    </row>
    <row r="9">
      <c r="A9" s="6" t="inlineStr">
        <is>
          <t>2026-06</t>
        </is>
      </c>
      <c r="B9" s="3" t="n"/>
      <c r="C9" s="3" t="n"/>
      <c r="D9" s="3" t="n"/>
      <c r="E9" s="3" t="n"/>
      <c r="F9" s="3" t="n"/>
      <c r="G9" s="9">
        <f>IF(B9&gt;0,F9/B9,"")</f>
        <v/>
      </c>
      <c r="H9" s="3" t="n"/>
    </row>
    <row r="10">
      <c r="A10" s="6" t="inlineStr">
        <is>
          <t>2026-07</t>
        </is>
      </c>
      <c r="B10" s="3" t="n"/>
      <c r="C10" s="3" t="n"/>
      <c r="D10" s="3" t="n"/>
      <c r="E10" s="3" t="n"/>
      <c r="F10" s="3" t="n"/>
      <c r="G10" s="9">
        <f>IF(B10&gt;0,F10/B10,"")</f>
        <v/>
      </c>
      <c r="H10" s="3" t="n"/>
    </row>
    <row r="11">
      <c r="A11" s="6" t="inlineStr">
        <is>
          <t>2026-08</t>
        </is>
      </c>
      <c r="B11" s="3" t="n"/>
      <c r="C11" s="3" t="n"/>
      <c r="D11" s="3" t="n"/>
      <c r="E11" s="3" t="n"/>
      <c r="F11" s="3" t="n"/>
      <c r="G11" s="9">
        <f>IF(B11&gt;0,F11/B11,"")</f>
        <v/>
      </c>
      <c r="H11" s="3" t="n"/>
    </row>
    <row r="12">
      <c r="A12" s="6" t="inlineStr">
        <is>
          <t>2026-09</t>
        </is>
      </c>
      <c r="B12" s="3" t="n"/>
      <c r="C12" s="3" t="n"/>
      <c r="D12" s="3" t="n"/>
      <c r="E12" s="3" t="n"/>
      <c r="F12" s="3" t="n"/>
      <c r="G12" s="9">
        <f>IF(B12&gt;0,F12/B12,"")</f>
        <v/>
      </c>
      <c r="H12" s="3" t="n"/>
    </row>
    <row r="13">
      <c r="A13" s="6" t="inlineStr">
        <is>
          <t>2026-10</t>
        </is>
      </c>
      <c r="B13" s="3" t="n"/>
      <c r="C13" s="3" t="n"/>
      <c r="D13" s="3" t="n"/>
      <c r="E13" s="3" t="n"/>
      <c r="F13" s="3" t="n"/>
      <c r="G13" s="9">
        <f>IF(B13&gt;0,F13/B13,"")</f>
        <v/>
      </c>
      <c r="H13" s="3" t="n"/>
    </row>
    <row r="14">
      <c r="A14" s="6" t="inlineStr">
        <is>
          <t>2026-11</t>
        </is>
      </c>
      <c r="B14" s="3" t="n"/>
      <c r="C14" s="3" t="n"/>
      <c r="D14" s="3" t="n"/>
      <c r="E14" s="3" t="n"/>
      <c r="F14" s="3" t="n"/>
      <c r="G14" s="9">
        <f>IF(B14&gt;0,F14/B14,"")</f>
        <v/>
      </c>
      <c r="H14" s="3" t="n"/>
    </row>
    <row r="15">
      <c r="A15" s="6" t="inlineStr">
        <is>
          <t>2026-12</t>
        </is>
      </c>
      <c r="B15" s="3" t="n"/>
      <c r="C15" s="3" t="n"/>
      <c r="D15" s="3" t="n"/>
      <c r="E15" s="3" t="n"/>
      <c r="F15" s="3" t="n"/>
      <c r="G15" s="9">
        <f>IF(B15&gt;0,F15/B15,"")</f>
        <v/>
      </c>
      <c r="H15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6" customWidth="1" min="4" max="4"/>
    <col width="20" customWidth="1" min="5" max="5"/>
    <col width="16" customWidth="1" min="6" max="6"/>
    <col width="20" customWidth="1" min="7" max="7"/>
    <col width="20" customWidth="1" min="8" max="8"/>
  </cols>
  <sheetData>
    <row r="1" ht="25" customHeight="1">
      <c r="A1" s="1" t="inlineStr">
        <is>
          <t>ACCESS REVOCATION METRICS</t>
        </is>
      </c>
    </row>
    <row r="3">
      <c r="A3" s="5" t="inlineStr">
        <is>
          <t>Period</t>
        </is>
      </c>
      <c r="B3" s="5" t="inlineStr">
        <is>
          <t>Total_Revocations</t>
        </is>
      </c>
      <c r="C3" s="5" t="inlineStr">
        <is>
          <t>Within_SLA</t>
        </is>
      </c>
      <c r="D3" s="5" t="inlineStr">
        <is>
          <t>SLA_Compliance</t>
        </is>
      </c>
      <c r="E3" s="5" t="inlineStr">
        <is>
          <t>Avg_Revocation_Hours</t>
        </is>
      </c>
      <c r="F3" s="5" t="inlineStr">
        <is>
          <t>Same_Day_Rate</t>
        </is>
      </c>
      <c r="G3" s="5" t="inlineStr">
        <is>
          <t>Privileged_Compliance</t>
        </is>
      </c>
      <c r="H3" s="5" t="inlineStr">
        <is>
          <t>Third_Party_Notified</t>
        </is>
      </c>
    </row>
    <row r="4">
      <c r="A4" s="6" t="inlineStr">
        <is>
          <t>2026-01</t>
        </is>
      </c>
      <c r="B4" s="3" t="n"/>
      <c r="C4" s="3" t="n"/>
      <c r="D4" s="9">
        <f>IF(B4&gt;0,C4/B4,"")</f>
        <v/>
      </c>
      <c r="E4" s="3" t="n"/>
      <c r="F4" s="3" t="n"/>
      <c r="G4" s="3" t="n"/>
      <c r="H4" s="3" t="n"/>
    </row>
    <row r="5">
      <c r="A5" s="6" t="inlineStr">
        <is>
          <t>2026-02</t>
        </is>
      </c>
      <c r="B5" s="3" t="n"/>
      <c r="C5" s="3" t="n"/>
      <c r="D5" s="9">
        <f>IF(B5&gt;0,C5/B5,"")</f>
        <v/>
      </c>
      <c r="E5" s="3" t="n"/>
      <c r="F5" s="3" t="n"/>
      <c r="G5" s="3" t="n"/>
      <c r="H5" s="3" t="n"/>
    </row>
    <row r="6">
      <c r="A6" s="6" t="inlineStr">
        <is>
          <t>2026-03</t>
        </is>
      </c>
      <c r="B6" s="3" t="n"/>
      <c r="C6" s="3" t="n"/>
      <c r="D6" s="9">
        <f>IF(B6&gt;0,C6/B6,"")</f>
        <v/>
      </c>
      <c r="E6" s="3" t="n"/>
      <c r="F6" s="3" t="n"/>
      <c r="G6" s="3" t="n"/>
      <c r="H6" s="3" t="n"/>
    </row>
    <row r="7">
      <c r="A7" s="6" t="inlineStr">
        <is>
          <t>2026-04</t>
        </is>
      </c>
      <c r="B7" s="3" t="n"/>
      <c r="C7" s="3" t="n"/>
      <c r="D7" s="9">
        <f>IF(B7&gt;0,C7/B7,"")</f>
        <v/>
      </c>
      <c r="E7" s="3" t="n"/>
      <c r="F7" s="3" t="n"/>
      <c r="G7" s="3" t="n"/>
      <c r="H7" s="3" t="n"/>
    </row>
    <row r="8">
      <c r="A8" s="6" t="inlineStr">
        <is>
          <t>2026-05</t>
        </is>
      </c>
      <c r="B8" s="3" t="n"/>
      <c r="C8" s="3" t="n"/>
      <c r="D8" s="9">
        <f>IF(B8&gt;0,C8/B8,"")</f>
        <v/>
      </c>
      <c r="E8" s="3" t="n"/>
      <c r="F8" s="3" t="n"/>
      <c r="G8" s="3" t="n"/>
      <c r="H8" s="3" t="n"/>
    </row>
    <row r="9">
      <c r="A9" s="6" t="inlineStr">
        <is>
          <t>2026-06</t>
        </is>
      </c>
      <c r="B9" s="3" t="n"/>
      <c r="C9" s="3" t="n"/>
      <c r="D9" s="9">
        <f>IF(B9&gt;0,C9/B9,"")</f>
        <v/>
      </c>
      <c r="E9" s="3" t="n"/>
      <c r="F9" s="3" t="n"/>
      <c r="G9" s="3" t="n"/>
      <c r="H9" s="3" t="n"/>
    </row>
    <row r="10">
      <c r="A10" s="6" t="inlineStr">
        <is>
          <t>2026-07</t>
        </is>
      </c>
      <c r="B10" s="3" t="n"/>
      <c r="C10" s="3" t="n"/>
      <c r="D10" s="9">
        <f>IF(B10&gt;0,C10/B10,"")</f>
        <v/>
      </c>
      <c r="E10" s="3" t="n"/>
      <c r="F10" s="3" t="n"/>
      <c r="G10" s="3" t="n"/>
      <c r="H10" s="3" t="n"/>
    </row>
    <row r="11">
      <c r="A11" s="6" t="inlineStr">
        <is>
          <t>2026-08</t>
        </is>
      </c>
      <c r="B11" s="3" t="n"/>
      <c r="C11" s="3" t="n"/>
      <c r="D11" s="9">
        <f>IF(B11&gt;0,C11/B11,"")</f>
        <v/>
      </c>
      <c r="E11" s="3" t="n"/>
      <c r="F11" s="3" t="n"/>
      <c r="G11" s="3" t="n"/>
      <c r="H11" s="3" t="n"/>
    </row>
    <row r="12">
      <c r="A12" s="6" t="inlineStr">
        <is>
          <t>2026-09</t>
        </is>
      </c>
      <c r="B12" s="3" t="n"/>
      <c r="C12" s="3" t="n"/>
      <c r="D12" s="9">
        <f>IF(B12&gt;0,C12/B12,"")</f>
        <v/>
      </c>
      <c r="E12" s="3" t="n"/>
      <c r="F12" s="3" t="n"/>
      <c r="G12" s="3" t="n"/>
      <c r="H12" s="3" t="n"/>
    </row>
    <row r="13">
      <c r="A13" s="6" t="inlineStr">
        <is>
          <t>2026-10</t>
        </is>
      </c>
      <c r="B13" s="3" t="n"/>
      <c r="C13" s="3" t="n"/>
      <c r="D13" s="9">
        <f>IF(B13&gt;0,C13/B13,"")</f>
        <v/>
      </c>
      <c r="E13" s="3" t="n"/>
      <c r="F13" s="3" t="n"/>
      <c r="G13" s="3" t="n"/>
      <c r="H13" s="3" t="n"/>
    </row>
    <row r="14">
      <c r="A14" s="6" t="inlineStr">
        <is>
          <t>2026-11</t>
        </is>
      </c>
      <c r="B14" s="3" t="n"/>
      <c r="C14" s="3" t="n"/>
      <c r="D14" s="9">
        <f>IF(B14&gt;0,C14/B14,"")</f>
        <v/>
      </c>
      <c r="E14" s="3" t="n"/>
      <c r="F14" s="3" t="n"/>
      <c r="G14" s="3" t="n"/>
      <c r="H14" s="3" t="n"/>
    </row>
    <row r="15">
      <c r="A15" s="6" t="inlineStr">
        <is>
          <t>2026-12</t>
        </is>
      </c>
      <c r="B15" s="3" t="n"/>
      <c r="C15" s="3" t="n"/>
      <c r="D15" s="9">
        <f>IF(B15&gt;0,C15/B15,"")</f>
        <v/>
      </c>
      <c r="E15" s="3" t="n"/>
      <c r="F15" s="3" t="n"/>
      <c r="G15" s="3" t="n"/>
      <c r="H15" s="3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8" customWidth="1" min="5" max="5"/>
    <col width="20" customWidth="1" min="6" max="6"/>
    <col width="14" customWidth="1" min="7" max="7"/>
  </cols>
  <sheetData>
    <row r="1" ht="25" customHeight="1">
      <c r="A1" s="1" t="inlineStr">
        <is>
          <t>ASSET RECOVERY METRICS</t>
        </is>
      </c>
    </row>
    <row r="3">
      <c r="A3" s="5" t="inlineStr">
        <is>
          <t>Period</t>
        </is>
      </c>
      <c r="B3" s="5" t="inlineStr">
        <is>
          <t>Assets_Due</t>
        </is>
      </c>
      <c r="C3" s="5" t="inlineStr">
        <is>
          <t>Assets_Returned</t>
        </is>
      </c>
      <c r="D3" s="5" t="inlineStr">
        <is>
          <t>Recovery_Rate</t>
        </is>
      </c>
      <c r="E3" s="5" t="inlineStr">
        <is>
          <t>Outstanding_30Days</t>
        </is>
      </c>
      <c r="F3" s="5" t="inlineStr">
        <is>
          <t>Data_Wiping_Verified</t>
        </is>
      </c>
      <c r="G3" s="5" t="inlineStr">
        <is>
          <t>Wiping_Rate</t>
        </is>
      </c>
    </row>
    <row r="4">
      <c r="A4" s="6" t="inlineStr">
        <is>
          <t>2026-01</t>
        </is>
      </c>
      <c r="B4" s="3" t="n"/>
      <c r="C4" s="3" t="n"/>
      <c r="D4" s="9">
        <f>IF(B4&gt;0,C4/B4,"")</f>
        <v/>
      </c>
      <c r="E4" s="3" t="n"/>
      <c r="F4" s="3" t="n"/>
      <c r="G4" s="9">
        <f>IF(C4&gt;0,F4/C4,"")</f>
        <v/>
      </c>
    </row>
    <row r="5">
      <c r="A5" s="6" t="inlineStr">
        <is>
          <t>2026-02</t>
        </is>
      </c>
      <c r="B5" s="3" t="n"/>
      <c r="C5" s="3" t="n"/>
      <c r="D5" s="9">
        <f>IF(B5&gt;0,C5/B5,"")</f>
        <v/>
      </c>
      <c r="E5" s="3" t="n"/>
      <c r="F5" s="3" t="n"/>
      <c r="G5" s="9">
        <f>IF(C5&gt;0,F5/C5,"")</f>
        <v/>
      </c>
    </row>
    <row r="6">
      <c r="A6" s="6" t="inlineStr">
        <is>
          <t>2026-03</t>
        </is>
      </c>
      <c r="B6" s="3" t="n"/>
      <c r="C6" s="3" t="n"/>
      <c r="D6" s="9">
        <f>IF(B6&gt;0,C6/B6,"")</f>
        <v/>
      </c>
      <c r="E6" s="3" t="n"/>
      <c r="F6" s="3" t="n"/>
      <c r="G6" s="9">
        <f>IF(C6&gt;0,F6/C6,"")</f>
        <v/>
      </c>
    </row>
    <row r="7">
      <c r="A7" s="6" t="inlineStr">
        <is>
          <t>2026-04</t>
        </is>
      </c>
      <c r="B7" s="3" t="n"/>
      <c r="C7" s="3" t="n"/>
      <c r="D7" s="9">
        <f>IF(B7&gt;0,C7/B7,"")</f>
        <v/>
      </c>
      <c r="E7" s="3" t="n"/>
      <c r="F7" s="3" t="n"/>
      <c r="G7" s="9">
        <f>IF(C7&gt;0,F7/C7,"")</f>
        <v/>
      </c>
    </row>
    <row r="8">
      <c r="A8" s="6" t="inlineStr">
        <is>
          <t>2026-05</t>
        </is>
      </c>
      <c r="B8" s="3" t="n"/>
      <c r="C8" s="3" t="n"/>
      <c r="D8" s="9">
        <f>IF(B8&gt;0,C8/B8,"")</f>
        <v/>
      </c>
      <c r="E8" s="3" t="n"/>
      <c r="F8" s="3" t="n"/>
      <c r="G8" s="9">
        <f>IF(C8&gt;0,F8/C8,"")</f>
        <v/>
      </c>
    </row>
    <row r="9">
      <c r="A9" s="6" t="inlineStr">
        <is>
          <t>2026-06</t>
        </is>
      </c>
      <c r="B9" s="3" t="n"/>
      <c r="C9" s="3" t="n"/>
      <c r="D9" s="9">
        <f>IF(B9&gt;0,C9/B9,"")</f>
        <v/>
      </c>
      <c r="E9" s="3" t="n"/>
      <c r="F9" s="3" t="n"/>
      <c r="G9" s="9">
        <f>IF(C9&gt;0,F9/C9,"")</f>
        <v/>
      </c>
    </row>
    <row r="10">
      <c r="A10" s="6" t="inlineStr">
        <is>
          <t>2026-07</t>
        </is>
      </c>
      <c r="B10" s="3" t="n"/>
      <c r="C10" s="3" t="n"/>
      <c r="D10" s="9">
        <f>IF(B10&gt;0,C10/B10,"")</f>
        <v/>
      </c>
      <c r="E10" s="3" t="n"/>
      <c r="F10" s="3" t="n"/>
      <c r="G10" s="9">
        <f>IF(C10&gt;0,F10/C10,"")</f>
        <v/>
      </c>
    </row>
    <row r="11">
      <c r="A11" s="6" t="inlineStr">
        <is>
          <t>2026-08</t>
        </is>
      </c>
      <c r="B11" s="3" t="n"/>
      <c r="C11" s="3" t="n"/>
      <c r="D11" s="9">
        <f>IF(B11&gt;0,C11/B11,"")</f>
        <v/>
      </c>
      <c r="E11" s="3" t="n"/>
      <c r="F11" s="3" t="n"/>
      <c r="G11" s="9">
        <f>IF(C11&gt;0,F11/C11,"")</f>
        <v/>
      </c>
    </row>
    <row r="12">
      <c r="A12" s="6" t="inlineStr">
        <is>
          <t>2026-09</t>
        </is>
      </c>
      <c r="B12" s="3" t="n"/>
      <c r="C12" s="3" t="n"/>
      <c r="D12" s="9">
        <f>IF(B12&gt;0,C12/B12,"")</f>
        <v/>
      </c>
      <c r="E12" s="3" t="n"/>
      <c r="F12" s="3" t="n"/>
      <c r="G12" s="9">
        <f>IF(C12&gt;0,F12/C12,"")</f>
        <v/>
      </c>
    </row>
    <row r="13">
      <c r="A13" s="6" t="inlineStr">
        <is>
          <t>2026-10</t>
        </is>
      </c>
      <c r="B13" s="3" t="n"/>
      <c r="C13" s="3" t="n"/>
      <c r="D13" s="9">
        <f>IF(B13&gt;0,C13/B13,"")</f>
        <v/>
      </c>
      <c r="E13" s="3" t="n"/>
      <c r="F13" s="3" t="n"/>
      <c r="G13" s="9">
        <f>IF(C13&gt;0,F13/C13,"")</f>
        <v/>
      </c>
    </row>
    <row r="14">
      <c r="A14" s="6" t="inlineStr">
        <is>
          <t>2026-11</t>
        </is>
      </c>
      <c r="B14" s="3" t="n"/>
      <c r="C14" s="3" t="n"/>
      <c r="D14" s="9">
        <f>IF(B14&gt;0,C14/B14,"")</f>
        <v/>
      </c>
      <c r="E14" s="3" t="n"/>
      <c r="F14" s="3" t="n"/>
      <c r="G14" s="9">
        <f>IF(C14&gt;0,F14/C14,"")</f>
        <v/>
      </c>
    </row>
    <row r="15">
      <c r="A15" s="6" t="inlineStr">
        <is>
          <t>2026-12</t>
        </is>
      </c>
      <c r="B15" s="3" t="n"/>
      <c r="C15" s="3" t="n"/>
      <c r="D15" s="9">
        <f>IF(B15&gt;0,C15/B15,"")</f>
        <v/>
      </c>
      <c r="E15" s="3" t="n"/>
      <c r="F15" s="3" t="n"/>
      <c r="G15" s="9">
        <f>IF(C15&gt;0,F15/C15,"")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30" customWidth="1" min="5" max="5"/>
    <col width="14" customWidth="1" min="6" max="6"/>
    <col width="14" customWidth="1" min="7" max="7"/>
  </cols>
  <sheetData>
    <row r="1" ht="25" customHeight="1">
      <c r="A1" s="1" t="inlineStr">
        <is>
          <t>DISCIPLINARY METRICS</t>
        </is>
      </c>
    </row>
    <row r="3">
      <c r="A3" s="5" t="inlineStr">
        <is>
          <t>Period</t>
        </is>
      </c>
      <c r="B3" s="5" t="inlineStr">
        <is>
          <t>Cases_Opened</t>
        </is>
      </c>
      <c r="C3" s="5" t="inlineStr">
        <is>
          <t>Cases_Closed</t>
        </is>
      </c>
      <c r="D3" s="5" t="inlineStr">
        <is>
          <t>Avg_Duration_Days</t>
        </is>
      </c>
      <c r="E3" s="5" t="inlineStr">
        <is>
          <t>By_Severity</t>
        </is>
      </c>
      <c r="F3" s="5" t="inlineStr">
        <is>
          <t>Appeals_Filed</t>
        </is>
      </c>
      <c r="G3" s="5" t="inlineStr">
        <is>
          <t>Terminations</t>
        </is>
      </c>
    </row>
    <row r="4">
      <c r="A4" s="6" t="inlineStr">
        <is>
          <t>2026-01</t>
        </is>
      </c>
      <c r="B4" s="3" t="n"/>
      <c r="C4" s="3" t="n"/>
      <c r="D4" s="3" t="n"/>
      <c r="E4" s="3" t="n"/>
      <c r="F4" s="3" t="n"/>
      <c r="G4" s="3" t="n"/>
    </row>
    <row r="5">
      <c r="A5" s="6" t="inlineStr">
        <is>
          <t>2026-02</t>
        </is>
      </c>
      <c r="B5" s="3" t="n"/>
      <c r="C5" s="3" t="n"/>
      <c r="D5" s="3" t="n"/>
      <c r="E5" s="3" t="n"/>
      <c r="F5" s="3" t="n"/>
      <c r="G5" s="3" t="n"/>
    </row>
    <row r="6">
      <c r="A6" s="6" t="inlineStr">
        <is>
          <t>2026-03</t>
        </is>
      </c>
      <c r="B6" s="3" t="n"/>
      <c r="C6" s="3" t="n"/>
      <c r="D6" s="3" t="n"/>
      <c r="E6" s="3" t="n"/>
      <c r="F6" s="3" t="n"/>
      <c r="G6" s="3" t="n"/>
    </row>
    <row r="7">
      <c r="A7" s="6" t="inlineStr">
        <is>
          <t>2026-04</t>
        </is>
      </c>
      <c r="B7" s="3" t="n"/>
      <c r="C7" s="3" t="n"/>
      <c r="D7" s="3" t="n"/>
      <c r="E7" s="3" t="n"/>
      <c r="F7" s="3" t="n"/>
      <c r="G7" s="3" t="n"/>
    </row>
    <row r="8">
      <c r="A8" s="6" t="inlineStr">
        <is>
          <t>2026-05</t>
        </is>
      </c>
      <c r="B8" s="3" t="n"/>
      <c r="C8" s="3" t="n"/>
      <c r="D8" s="3" t="n"/>
      <c r="E8" s="3" t="n"/>
      <c r="F8" s="3" t="n"/>
      <c r="G8" s="3" t="n"/>
    </row>
    <row r="9">
      <c r="A9" s="6" t="inlineStr">
        <is>
          <t>2026-06</t>
        </is>
      </c>
      <c r="B9" s="3" t="n"/>
      <c r="C9" s="3" t="n"/>
      <c r="D9" s="3" t="n"/>
      <c r="E9" s="3" t="n"/>
      <c r="F9" s="3" t="n"/>
      <c r="G9" s="3" t="n"/>
    </row>
    <row r="10">
      <c r="A10" s="6" t="inlineStr">
        <is>
          <t>2026-07</t>
        </is>
      </c>
      <c r="B10" s="3" t="n"/>
      <c r="C10" s="3" t="n"/>
      <c r="D10" s="3" t="n"/>
      <c r="E10" s="3" t="n"/>
      <c r="F10" s="3" t="n"/>
      <c r="G10" s="3" t="n"/>
    </row>
    <row r="11">
      <c r="A11" s="6" t="inlineStr">
        <is>
          <t>2026-08</t>
        </is>
      </c>
      <c r="B11" s="3" t="n"/>
      <c r="C11" s="3" t="n"/>
      <c r="D11" s="3" t="n"/>
      <c r="E11" s="3" t="n"/>
      <c r="F11" s="3" t="n"/>
      <c r="G11" s="3" t="n"/>
    </row>
    <row r="12">
      <c r="A12" s="6" t="inlineStr">
        <is>
          <t>2026-09</t>
        </is>
      </c>
      <c r="B12" s="3" t="n"/>
      <c r="C12" s="3" t="n"/>
      <c r="D12" s="3" t="n"/>
      <c r="E12" s="3" t="n"/>
      <c r="F12" s="3" t="n"/>
      <c r="G12" s="3" t="n"/>
    </row>
    <row r="13">
      <c r="A13" s="6" t="inlineStr">
        <is>
          <t>2026-10</t>
        </is>
      </c>
      <c r="B13" s="3" t="n"/>
      <c r="C13" s="3" t="n"/>
      <c r="D13" s="3" t="n"/>
      <c r="E13" s="3" t="n"/>
      <c r="F13" s="3" t="n"/>
      <c r="G13" s="3" t="n"/>
    </row>
    <row r="14">
      <c r="A14" s="6" t="inlineStr">
        <is>
          <t>2026-11</t>
        </is>
      </c>
      <c r="B14" s="3" t="n"/>
      <c r="C14" s="3" t="n"/>
      <c r="D14" s="3" t="n"/>
      <c r="E14" s="3" t="n"/>
      <c r="F14" s="3" t="n"/>
      <c r="G14" s="3" t="n"/>
    </row>
    <row r="15">
      <c r="A15" s="6" t="inlineStr">
        <is>
          <t>2026-12</t>
        </is>
      </c>
      <c r="B15" s="3" t="n"/>
      <c r="C15" s="3" t="n"/>
      <c r="D15" s="3" t="n"/>
      <c r="E15" s="3" t="n"/>
      <c r="F15" s="3" t="n"/>
      <c r="G15" s="3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6" customWidth="1" min="5" max="5"/>
    <col width="18" customWidth="1" min="6" max="6"/>
    <col width="20" customWidth="1" min="7" max="7"/>
  </cols>
  <sheetData>
    <row r="1" ht="25" customHeight="1">
      <c r="A1" s="1" t="inlineStr">
        <is>
          <t>POST-EMPLOYMENT OBLIGATION METRICS</t>
        </is>
      </c>
    </row>
    <row r="3">
      <c r="A3" s="5" t="inlineStr">
        <is>
          <t>Period</t>
        </is>
      </c>
      <c r="B3" s="5" t="inlineStr">
        <is>
          <t>Total_Active</t>
        </is>
      </c>
      <c r="C3" s="5" t="inlineStr">
        <is>
          <t>New_This_Period</t>
        </is>
      </c>
      <c r="D3" s="5" t="inlineStr">
        <is>
          <t>Expired_This_Period</t>
        </is>
      </c>
      <c r="E3" s="5" t="inlineStr">
        <is>
          <t>Expiring_90Days</t>
        </is>
      </c>
      <c r="F3" s="5" t="inlineStr">
        <is>
          <t>Enforcement_Active</t>
        </is>
      </c>
      <c r="G3" s="5" t="inlineStr">
        <is>
          <t>Acknowledgement_Rate</t>
        </is>
      </c>
    </row>
    <row r="4">
      <c r="A4" s="6" t="inlineStr">
        <is>
          <t>2026-01</t>
        </is>
      </c>
      <c r="B4" s="3" t="n"/>
      <c r="C4" s="3" t="n"/>
      <c r="D4" s="3" t="n"/>
      <c r="E4" s="3" t="n"/>
      <c r="F4" s="3" t="n"/>
      <c r="G4" s="3" t="n"/>
    </row>
    <row r="5">
      <c r="A5" s="6" t="inlineStr">
        <is>
          <t>2026-02</t>
        </is>
      </c>
      <c r="B5" s="3" t="n"/>
      <c r="C5" s="3" t="n"/>
      <c r="D5" s="3" t="n"/>
      <c r="E5" s="3" t="n"/>
      <c r="F5" s="3" t="n"/>
      <c r="G5" s="3" t="n"/>
    </row>
    <row r="6">
      <c r="A6" s="6" t="inlineStr">
        <is>
          <t>2026-03</t>
        </is>
      </c>
      <c r="B6" s="3" t="n"/>
      <c r="C6" s="3" t="n"/>
      <c r="D6" s="3" t="n"/>
      <c r="E6" s="3" t="n"/>
      <c r="F6" s="3" t="n"/>
      <c r="G6" s="3" t="n"/>
    </row>
    <row r="7">
      <c r="A7" s="6" t="inlineStr">
        <is>
          <t>2026-04</t>
        </is>
      </c>
      <c r="B7" s="3" t="n"/>
      <c r="C7" s="3" t="n"/>
      <c r="D7" s="3" t="n"/>
      <c r="E7" s="3" t="n"/>
      <c r="F7" s="3" t="n"/>
      <c r="G7" s="3" t="n"/>
    </row>
    <row r="8">
      <c r="A8" s="6" t="inlineStr">
        <is>
          <t>2026-05</t>
        </is>
      </c>
      <c r="B8" s="3" t="n"/>
      <c r="C8" s="3" t="n"/>
      <c r="D8" s="3" t="n"/>
      <c r="E8" s="3" t="n"/>
      <c r="F8" s="3" t="n"/>
      <c r="G8" s="3" t="n"/>
    </row>
    <row r="9">
      <c r="A9" s="6" t="inlineStr">
        <is>
          <t>2026-06</t>
        </is>
      </c>
      <c r="B9" s="3" t="n"/>
      <c r="C9" s="3" t="n"/>
      <c r="D9" s="3" t="n"/>
      <c r="E9" s="3" t="n"/>
      <c r="F9" s="3" t="n"/>
      <c r="G9" s="3" t="n"/>
    </row>
    <row r="10">
      <c r="A10" s="6" t="inlineStr">
        <is>
          <t>2026-07</t>
        </is>
      </c>
      <c r="B10" s="3" t="n"/>
      <c r="C10" s="3" t="n"/>
      <c r="D10" s="3" t="n"/>
      <c r="E10" s="3" t="n"/>
      <c r="F10" s="3" t="n"/>
      <c r="G10" s="3" t="n"/>
    </row>
    <row r="11">
      <c r="A11" s="6" t="inlineStr">
        <is>
          <t>2026-08</t>
        </is>
      </c>
      <c r="B11" s="3" t="n"/>
      <c r="C11" s="3" t="n"/>
      <c r="D11" s="3" t="n"/>
      <c r="E11" s="3" t="n"/>
      <c r="F11" s="3" t="n"/>
      <c r="G11" s="3" t="n"/>
    </row>
    <row r="12">
      <c r="A12" s="6" t="inlineStr">
        <is>
          <t>2026-09</t>
        </is>
      </c>
      <c r="B12" s="3" t="n"/>
      <c r="C12" s="3" t="n"/>
      <c r="D12" s="3" t="n"/>
      <c r="E12" s="3" t="n"/>
      <c r="F12" s="3" t="n"/>
      <c r="G12" s="3" t="n"/>
    </row>
    <row r="13">
      <c r="A13" s="6" t="inlineStr">
        <is>
          <t>2026-10</t>
        </is>
      </c>
      <c r="B13" s="3" t="n"/>
      <c r="C13" s="3" t="n"/>
      <c r="D13" s="3" t="n"/>
      <c r="E13" s="3" t="n"/>
      <c r="F13" s="3" t="n"/>
      <c r="G13" s="3" t="n"/>
    </row>
    <row r="14">
      <c r="A14" s="6" t="inlineStr">
        <is>
          <t>2026-11</t>
        </is>
      </c>
      <c r="B14" s="3" t="n"/>
      <c r="C14" s="3" t="n"/>
      <c r="D14" s="3" t="n"/>
      <c r="E14" s="3" t="n"/>
      <c r="F14" s="3" t="n"/>
      <c r="G14" s="3" t="n"/>
    </row>
    <row r="15">
      <c r="A15" s="6" t="inlineStr">
        <is>
          <t>2026-12</t>
        </is>
      </c>
      <c r="B15" s="3" t="n"/>
      <c r="C15" s="3" t="n"/>
      <c r="D15" s="3" t="n"/>
      <c r="E15" s="3" t="n"/>
      <c r="F15" s="3" t="n"/>
      <c r="G15" s="3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</cols>
  <sheetData>
    <row r="1" ht="25" customHeight="1">
      <c r="A1" s="1" t="inlineStr">
        <is>
          <t>TREND ANALYSIS (12-Month Rolling)</t>
        </is>
      </c>
    </row>
    <row r="3">
      <c r="A3" s="5" t="inlineStr">
        <is>
          <t>Period</t>
        </is>
      </c>
      <c r="B3" s="5" t="inlineStr">
        <is>
          <t>Exit_Completion</t>
        </is>
      </c>
      <c r="C3" s="5" t="inlineStr">
        <is>
          <t>SLA_Compliance</t>
        </is>
      </c>
      <c r="D3" s="5" t="inlineStr">
        <is>
          <t>Asset_Recovery</t>
        </is>
      </c>
      <c r="E3" s="5" t="inlineStr">
        <is>
          <t>Orphaned_Accounts</t>
        </is>
      </c>
      <c r="F3" s="5" t="inlineStr">
        <is>
          <t>Disciplinary_Cases</t>
        </is>
      </c>
      <c r="G3" s="5" t="inlineStr">
        <is>
          <t>Avg_Case_Duration</t>
        </is>
      </c>
      <c r="H3" s="5" t="inlineStr">
        <is>
          <t>Active_Obligations</t>
        </is>
      </c>
      <c r="I3" s="5" t="inlineStr">
        <is>
          <t>Enforcement_Cases</t>
        </is>
      </c>
      <c r="J3" s="5" t="inlineStr">
        <is>
          <t>Rolling_3M_Completion</t>
        </is>
      </c>
    </row>
    <row r="4">
      <c r="A4" s="6" t="inlineStr">
        <is>
          <t>2026-01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10" t="inlineStr"/>
    </row>
    <row r="5">
      <c r="A5" s="6" t="inlineStr">
        <is>
          <t>2026-02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10" t="inlineStr"/>
    </row>
    <row r="6">
      <c r="A6" s="6" t="inlineStr">
        <is>
          <t>2026-03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10">
        <f>IF(COUNT(B4:B6)=3,AVERAGE(B4:B6),"")</f>
        <v/>
      </c>
    </row>
    <row r="7">
      <c r="A7" s="6" t="inlineStr">
        <is>
          <t>2026-04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10">
        <f>IF(COUNT(B5:B7)=3,AVERAGE(B5:B7),"")</f>
        <v/>
      </c>
    </row>
    <row r="8">
      <c r="A8" s="6" t="inlineStr">
        <is>
          <t>2026-05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10">
        <f>IF(COUNT(B6:B8)=3,AVERAGE(B6:B8),"")</f>
        <v/>
      </c>
    </row>
    <row r="9">
      <c r="A9" s="6" t="inlineStr">
        <is>
          <t>2026-06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10">
        <f>IF(COUNT(B7:B9)=3,AVERAGE(B7:B9),"")</f>
        <v/>
      </c>
    </row>
    <row r="10">
      <c r="A10" s="6" t="inlineStr">
        <is>
          <t>2026-07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10">
        <f>IF(COUNT(B8:B10)=3,AVERAGE(B8:B10),"")</f>
        <v/>
      </c>
    </row>
    <row r="11">
      <c r="A11" s="6" t="inlineStr">
        <is>
          <t>2026-08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10">
        <f>IF(COUNT(B9:B11)=3,AVERAGE(B9:B11),"")</f>
        <v/>
      </c>
    </row>
    <row r="12">
      <c r="A12" s="6" t="inlineStr">
        <is>
          <t>2026-09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10">
        <f>IF(COUNT(B10:B12)=3,AVERAGE(B10:B12),"")</f>
        <v/>
      </c>
    </row>
    <row r="13">
      <c r="A13" s="6" t="inlineStr">
        <is>
          <t>2026-10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10">
        <f>IF(COUNT(B11:B13)=3,AVERAGE(B11:B13),"")</f>
        <v/>
      </c>
    </row>
    <row r="14">
      <c r="A14" s="6" t="inlineStr">
        <is>
          <t>2026-11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10">
        <f>IF(COUNT(B12:B14)=3,AVERAGE(B12:B14),"")</f>
        <v/>
      </c>
    </row>
    <row r="15">
      <c r="A15" s="6" t="inlineStr">
        <is>
          <t>2026-12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10">
        <f>IF(COUNT(B13:B15)=3,AVERAGE(B13:B15),"")</f>
        <v/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4" customWidth="1" min="4" max="4"/>
    <col width="16" customWidth="1" min="5" max="5"/>
    <col width="25" customWidth="1" min="6" max="6"/>
  </cols>
  <sheetData>
    <row r="1" ht="25" customHeight="1">
      <c r="A1" s="1" t="inlineStr">
        <is>
          <t>DATA SOURCES</t>
        </is>
      </c>
    </row>
    <row r="3">
      <c r="A3" s="5" t="inlineStr">
        <is>
          <t>Data_Source</t>
        </is>
      </c>
      <c r="B3" s="5" t="inlineStr">
        <is>
          <t>Source_Sheet</t>
        </is>
      </c>
      <c r="C3" s="5" t="inlineStr">
        <is>
          <t>Last_Updated</t>
        </is>
      </c>
      <c r="D3" s="5" t="inlineStr">
        <is>
          <t>Records_Count</t>
        </is>
      </c>
      <c r="E3" s="5" t="inlineStr">
        <is>
          <t>Update_Method</t>
        </is>
      </c>
      <c r="F3" s="5" t="inlineStr">
        <is>
          <t>Updated_By</t>
        </is>
      </c>
    </row>
    <row r="4">
      <c r="A4" s="6" t="inlineStr">
        <is>
          <t>ISMS-IMP-A.6.4-5.S1</t>
        </is>
      </c>
      <c r="B4" s="6" t="inlineStr">
        <is>
          <t>Case_Tracker</t>
        </is>
      </c>
      <c r="C4" s="3" t="inlineStr"/>
      <c r="D4" s="3" t="inlineStr"/>
      <c r="E4" s="6" t="inlineStr">
        <is>
          <t>Manual</t>
        </is>
      </c>
      <c r="F4" s="3" t="inlineStr"/>
    </row>
    <row r="5">
      <c r="A5" s="6" t="inlineStr">
        <is>
          <t>ISMS-IMP-A.6.4-5.S2</t>
        </is>
      </c>
      <c r="B5" s="6" t="inlineStr">
        <is>
          <t>Exit_Tracker</t>
        </is>
      </c>
      <c r="C5" s="3" t="inlineStr"/>
      <c r="D5" s="3" t="inlineStr"/>
      <c r="E5" s="6" t="inlineStr">
        <is>
          <t>Manual</t>
        </is>
      </c>
      <c r="F5" s="3" t="inlineStr"/>
    </row>
    <row r="6">
      <c r="A6" s="6" t="inlineStr">
        <is>
          <t>ISMS-IMP-A.6.4-5.S2</t>
        </is>
      </c>
      <c r="B6" s="6" t="inlineStr">
        <is>
          <t>Leaver_Reconciliation</t>
        </is>
      </c>
      <c r="C6" s="3" t="inlineStr"/>
      <c r="D6" s="3" t="inlineStr"/>
      <c r="E6" s="6" t="inlineStr">
        <is>
          <t>Manual</t>
        </is>
      </c>
      <c r="F6" s="3" t="inlineStr"/>
    </row>
    <row r="7">
      <c r="A7" s="6" t="inlineStr">
        <is>
          <t>ISMS-IMP-A.6.4-5.S3</t>
        </is>
      </c>
      <c r="B7" s="6" t="inlineStr">
        <is>
          <t>Active_Obligations</t>
        </is>
      </c>
      <c r="C7" s="3" t="inlineStr"/>
      <c r="D7" s="3" t="inlineStr"/>
      <c r="E7" s="6" t="inlineStr">
        <is>
          <t>Manual</t>
        </is>
      </c>
      <c r="F7" s="3" t="inlineStr"/>
    </row>
    <row r="8">
      <c r="A8" s="6" t="inlineStr">
        <is>
          <t>ISMS-IMP-A.6.4-5.S3</t>
        </is>
      </c>
      <c r="B8" s="6" t="inlineStr">
        <is>
          <t>Acknowledgement_Log</t>
        </is>
      </c>
      <c r="C8" s="3" t="inlineStr"/>
      <c r="D8" s="3" t="inlineStr"/>
      <c r="E8" s="6" t="inlineStr">
        <is>
          <t>Manual</t>
        </is>
      </c>
      <c r="F8" s="3" t="inlineStr"/>
    </row>
    <row r="9">
      <c r="A9" s="6" t="inlineStr">
        <is>
          <t>HRIS</t>
        </is>
      </c>
      <c r="B9" s="6" t="inlineStr">
        <is>
          <t>Termination Records</t>
        </is>
      </c>
      <c r="C9" s="3" t="inlineStr"/>
      <c r="D9" s="3" t="inlineStr"/>
      <c r="E9" s="6" t="inlineStr">
        <is>
          <t>Export</t>
        </is>
      </c>
      <c r="F9" s="3" t="inlineStr"/>
    </row>
    <row r="10">
      <c r="A10" s="6" t="inlineStr">
        <is>
          <t>IAM System</t>
        </is>
      </c>
      <c r="B10" s="6" t="inlineStr">
        <is>
          <t>Account Disable Logs</t>
        </is>
      </c>
      <c r="C10" s="3" t="inlineStr"/>
      <c r="D10" s="3" t="inlineStr"/>
      <c r="E10" s="6" t="inlineStr">
        <is>
          <t>Export</t>
        </is>
      </c>
      <c r="F10" s="3" t="inlineStr"/>
    </row>
    <row r="11">
      <c r="A11" s="6" t="inlineStr">
        <is>
          <t>Asset Management</t>
        </is>
      </c>
      <c r="B11" s="6" t="inlineStr">
        <is>
          <t>Asset Return Records</t>
        </is>
      </c>
      <c r="C11" s="3" t="inlineStr"/>
      <c r="D11" s="3" t="inlineStr"/>
      <c r="E11" s="6" t="inlineStr">
        <is>
          <t>Export</t>
        </is>
      </c>
      <c r="F11" s="3" t="inlineStr"/>
    </row>
  </sheetData>
  <mergeCells count="1">
    <mergeCell ref="A1:F1"/>
  </mergeCells>
  <dataValidations count="1">
    <dataValidation sqref="E4 E5 E6 E7 E8 E9 E10 E11" showDropDown="0" showInputMessage="0" showErrorMessage="0" allowBlank="0" type="list">
      <formula1>"Manual,Linked,Automated,Export"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ISMS-IMP-A.6.4-5.S4 - Employment Exit Dashboard</t>
        </is>
      </c>
    </row>
    <row r="3">
      <c r="A3" s="11" t="inlineStr">
        <is>
          <t>ISO/IEC 27001:2022 - Control A.6.4-5: Disciplinary Process and Employment Exit</t>
        </is>
      </c>
    </row>
    <row r="5">
      <c r="A5" t="inlineStr"/>
    </row>
    <row r="6">
      <c r="A6" s="2" t="inlineStr">
        <is>
          <t>PURPOSE</t>
        </is>
      </c>
    </row>
    <row r="7">
      <c r="A7" t="inlineStr">
        <is>
          <t>This dashboard provides executive visibility into employment exit and</t>
        </is>
      </c>
    </row>
    <row r="8">
      <c r="A8" t="inlineStr">
        <is>
          <t>disciplinary process compliance for ISO 27001:2022 Controls A.6.4 and A.6.5.</t>
        </is>
      </c>
    </row>
    <row r="9">
      <c r="A9" t="inlineStr"/>
    </row>
    <row r="10">
      <c r="A10" s="2" t="inlineStr">
        <is>
          <t>DATA SOURCES</t>
        </is>
      </c>
    </row>
    <row r="11">
      <c r="A11" t="inlineStr">
        <is>
          <t>This dashboard aggregates data from:</t>
        </is>
      </c>
    </row>
    <row r="12">
      <c r="A12" t="inlineStr">
        <is>
          <t>- ISMS-IMP-A.6.4-5.S1: Disciplinary Process Assessment</t>
        </is>
      </c>
    </row>
    <row r="13">
      <c r="A13" t="inlineStr">
        <is>
          <t>- ISMS-IMP-A.6.4-5.S2: Employment Exit Assessment</t>
        </is>
      </c>
    </row>
    <row r="14">
      <c r="A14" t="inlineStr">
        <is>
          <t>- ISMS-IMP-A.6.4-5.S3: Post-Employment Obligations</t>
        </is>
      </c>
    </row>
    <row r="15">
      <c r="A15" t="inlineStr"/>
    </row>
    <row r="16">
      <c r="A16" s="2" t="inlineStr">
        <is>
          <t>UPDATE PROCESS</t>
        </is>
      </c>
    </row>
    <row r="17">
      <c r="A17" t="inlineStr">
        <is>
          <t>1. Update Data_Sources sheet with latest source data</t>
        </is>
      </c>
    </row>
    <row r="18">
      <c r="A18" t="inlineStr">
        <is>
          <t>2. Update metric sheets with monthly data</t>
        </is>
      </c>
    </row>
    <row r="19">
      <c r="A19" t="inlineStr">
        <is>
          <t>3. Review Executive_Dashboard for auto-calculated KPIs</t>
        </is>
      </c>
    </row>
    <row r="20">
      <c r="A20" t="inlineStr">
        <is>
          <t>4. Update highlights and issues</t>
        </is>
      </c>
    </row>
    <row r="21">
      <c r="A21" t="inlineStr">
        <is>
          <t>5. Obtain sign-off</t>
        </is>
      </c>
    </row>
    <row r="22">
      <c r="A22" t="inlineStr"/>
    </row>
    <row r="23">
      <c r="A23" s="2" t="inlineStr">
        <is>
          <t>KPI DEFINITIONS</t>
        </is>
      </c>
    </row>
    <row r="24">
      <c r="A24" t="inlineStr">
        <is>
          <t>- Exit Completion: Exits with all steps complete / Total exits</t>
        </is>
      </c>
    </row>
    <row r="25">
      <c r="A25" t="inlineStr">
        <is>
          <t>- SLA Compliance: Revocations within SLA / Total revocations</t>
        </is>
      </c>
    </row>
    <row r="26">
      <c r="A26" t="inlineStr">
        <is>
          <t>- Asset Recovery: Assets returned / Assets due</t>
        </is>
      </c>
    </row>
    <row r="27">
      <c r="A27" t="inlineStr">
        <is>
          <t>- Orphaned Accounts: Active accounts for terminated staff</t>
        </is>
      </c>
    </row>
    <row r="28">
      <c r="A28" t="inlineStr"/>
    </row>
    <row r="29">
      <c r="A29" s="2" t="inlineStr">
        <is>
          <t>RAG STATUS THRESHOLDS</t>
        </is>
      </c>
    </row>
    <row r="30">
      <c r="A30" t="inlineStr">
        <is>
          <t>- Green: Target met</t>
        </is>
      </c>
    </row>
    <row r="31">
      <c r="A31" t="inlineStr">
        <is>
          <t>- Amber: 90-99% of target</t>
        </is>
      </c>
    </row>
    <row r="32">
      <c r="A32" t="inlineStr">
        <is>
          <t>- Red: Below 90% of target</t>
        </is>
      </c>
    </row>
    <row r="33">
      <c r="A33" t="inlineStr"/>
    </row>
    <row r="34">
      <c r="A34" t="inlineStr">
        <is>
          <t>Generated: 08.02.2026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2026-02-08T11:25:50Z</dcterms:created>
  <dcterms:modified xmlns:dcterms="http://purl.org/dc/terms/" xmlns:xsi="http://www.w3.org/2001/XMLSchema-instance" xsi:type="dcterms:W3CDTF">2026-02-08T11:25:50Z</dcterms:modified>
</cp:coreProperties>
</file>