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Obligation Types" sheetId="2" state="visible" r:id="rId2"/>
    <sheet xmlns:r="http://schemas.openxmlformats.org/officeDocument/2006/relationships" name="Former Personnel" sheetId="3" state="visible" r:id="rId3"/>
    <sheet xmlns:r="http://schemas.openxmlformats.org/officeDocument/2006/relationships" name="Active Obligations" sheetId="4" state="visible" r:id="rId4"/>
    <sheet xmlns:r="http://schemas.openxmlformats.org/officeDocument/2006/relationships" name="Expiration Tracker" sheetId="5" state="visible" r:id="rId5"/>
    <sheet xmlns:r="http://schemas.openxmlformats.org/officeDocument/2006/relationships" name="Acknowledgement Log" sheetId="6" state="visible" r:id="rId6"/>
    <sheet xmlns:r="http://schemas.openxmlformats.org/officeDocument/2006/relationships" name="Enforcement Register"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b val="1"/>
      <color rgb="00FFFFFF"/>
      <sz val="10"/>
    </font>
    <font>
      <name val="Calibri"/>
      <b val="1"/>
      <color rgb="00FFFFFF"/>
      <sz val="11"/>
    </font>
    <font>
      <name val="Calibri"/>
      <b val="1"/>
      <color rgb="00000000"/>
    </font>
    <font>
      <name val="Calibri"/>
      <color rgb="00000000"/>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6EFCE"/>
        <bgColor rgb="00C6EFCE"/>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pivotButton="0" quotePrefix="0" xfId="0"/>
    <xf numFmtId="0" fontId="4" fillId="9" borderId="1" applyAlignment="1" pivotButton="0" quotePrefix="0" xfId="0">
      <alignment horizontal="center" vertical="center" wrapText="1"/>
    </xf>
    <xf numFmtId="0" fontId="0" fillId="0" borderId="1" applyAlignment="1" pivotButton="0" quotePrefix="0" xfId="0">
      <alignment vertical="top" wrapText="1"/>
    </xf>
    <xf numFmtId="0" fontId="0" fillId="10" borderId="1" pivotButton="0" quotePrefix="0" xfId="0"/>
    <xf numFmtId="0" fontId="0" fillId="11" borderId="1" pivotButton="0" quotePrefix="0" xfId="0"/>
    <xf numFmtId="0" fontId="0" fillId="12" borderId="1" pivotButton="0" quotePrefix="0" xfId="0"/>
    <xf numFmtId="0" fontId="1" fillId="8"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8" borderId="1" applyAlignment="1" pivotButton="0" quotePrefix="0" xfId="0">
      <alignment horizontal="center" vertical="center" wrapText="1"/>
    </xf>
    <xf numFmtId="0" fontId="5" fillId="10" borderId="1" applyAlignment="1" pivotButton="0" quotePrefix="0" xfId="0">
      <alignment horizontal="left"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5" fillId="0" borderId="0" applyAlignment="1" pivotButton="0" quotePrefix="0" xfId="0">
      <alignment horizontal="left" vertical="center"/>
    </xf>
    <xf numFmtId="0" fontId="7" fillId="8" borderId="1" pivotButton="0" quotePrefix="0" xfId="0"/>
    <xf numFmtId="0" fontId="8" fillId="9" borderId="1" applyAlignment="1" pivotButton="0" quotePrefix="0" xfId="0">
      <alignment horizontal="center" vertical="center" wrapText="1"/>
    </xf>
    <xf numFmtId="0" fontId="9" fillId="0" borderId="1" pivotButton="0" quotePrefix="0" xfId="0"/>
    <xf numFmtId="0" fontId="9" fillId="0" borderId="1" applyAlignment="1" pivotButton="0" quotePrefix="0" xfId="0">
      <alignment horizontal="center"/>
    </xf>
    <xf numFmtId="164" fontId="9" fillId="0" borderId="1" applyAlignment="1" pivotButton="0" quotePrefix="0" xfId="0">
      <alignment horizontal="center"/>
    </xf>
    <xf numFmtId="0" fontId="8" fillId="9" borderId="1" pivotButton="0" quotePrefix="0" xfId="0"/>
    <xf numFmtId="0" fontId="8" fillId="9" borderId="1" applyAlignment="1" pivotButton="0" quotePrefix="0" xfId="0">
      <alignment horizontal="center"/>
    </xf>
    <xf numFmtId="164" fontId="8" fillId="9" borderId="1" applyAlignment="1" pivotButton="0" quotePrefix="0" xfId="0">
      <alignment horizontal="center"/>
    </xf>
    <xf numFmtId="0" fontId="7" fillId="13" borderId="1" pivotButton="0" quotePrefix="0" xfId="0"/>
    <xf numFmtId="0" fontId="9" fillId="11" borderId="1" pivotButton="0" quotePrefix="0" xfId="0"/>
    <xf numFmtId="0" fontId="9" fillId="11" borderId="1" applyAlignment="1" pivotButton="0" quotePrefix="0" xfId="0">
      <alignment horizontal="center"/>
    </xf>
    <xf numFmtId="0" fontId="5" fillId="0" borderId="1" applyAlignment="1" pivotButton="0" quotePrefix="0" xfId="0">
      <alignment horizontal="center" vertical="center"/>
    </xf>
    <xf numFmtId="0" fontId="7" fillId="14"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ISMS-IMP-A.6.4-5.S3  -  Post Employment Obligations
ISO/IEC 27001:2022 - Control A.6.4-5: Disciplinary Process and Employment Exit</t>
        </is>
      </c>
    </row>
    <row r="3">
      <c r="A3" s="2" t="inlineStr">
        <is>
          <t>Document Information</t>
        </is>
      </c>
    </row>
    <row r="4">
      <c r="A4" s="3" t="inlineStr">
        <is>
          <t>Document ID</t>
        </is>
      </c>
      <c r="B4" t="inlineStr">
        <is>
          <t>ISMS-IMP-A.6.4-5.S3</t>
        </is>
      </c>
    </row>
    <row r="5">
      <c r="A5" s="3" t="inlineStr">
        <is>
          <t>Workbook Title</t>
        </is>
      </c>
      <c r="B5" t="inlineStr">
        <is>
          <t>Post Employment Obligations</t>
        </is>
      </c>
    </row>
    <row r="6">
      <c r="A6" s="3" t="inlineStr">
        <is>
          <t>Control Reference</t>
        </is>
      </c>
      <c r="B6" t="inlineStr">
        <is>
          <t>ISO/IEC 27001:2022 - Control A.6.4-5: Disciplinary Process and Employment Exit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Instructions &amp; Legend sheet before starting the assessment.</t>
        </is>
      </c>
    </row>
    <row r="14">
      <c r="A14" t="inlineStr">
        <is>
          <t>2. Complete all yellow (FFFFCC) input cells with your assessment data.</t>
        </is>
      </c>
    </row>
    <row r="15">
      <c r="A15" t="inlineStr">
        <is>
          <t>3. Grey (F2F2F2) rows are sample rows — do not edit them.</t>
        </is>
      </c>
    </row>
    <row r="16">
      <c r="A16" t="inlineStr">
        <is>
          <t>4. Complete the Evidence Register with supporting documentation references.</t>
        </is>
      </c>
    </row>
    <row r="17">
      <c r="A17" t="inlineStr">
        <is>
          <t>5. Obtain sign-off in the Approval Sign-Off sheet when the assessment is complete.</t>
        </is>
      </c>
    </row>
    <row r="19">
      <c r="A19" s="2" t="inlineStr">
        <is>
          <t>Status Legend</t>
        </is>
      </c>
    </row>
    <row r="20">
      <c r="A20" s="5" t="inlineStr">
        <is>
          <t>Symbol</t>
        </is>
      </c>
      <c r="B20" s="5" t="inlineStr">
        <is>
          <t>Status</t>
        </is>
      </c>
      <c r="C20" s="5" t="inlineStr">
        <is>
          <t>Description</t>
        </is>
      </c>
    </row>
    <row r="21">
      <c r="A21" s="6" t="inlineStr">
        <is>
          <t>✓</t>
        </is>
      </c>
      <c r="B21" s="7" t="inlineStr">
        <is>
          <t>Compliant / Complete</t>
        </is>
      </c>
      <c r="C21" s="8" t="inlineStr">
        <is>
          <t>Requirement fully met</t>
        </is>
      </c>
    </row>
    <row r="22">
      <c r="A22" s="6" t="inlineStr">
        <is>
          <t>⚠</t>
        </is>
      </c>
      <c r="B22" s="9" t="inlineStr">
        <is>
          <t>Partial / In Progress</t>
        </is>
      </c>
      <c r="C22" s="8" t="inlineStr">
        <is>
          <t>Partially met or in progress</t>
        </is>
      </c>
    </row>
    <row r="23">
      <c r="A23" s="6" t="inlineStr">
        <is>
          <t>✗</t>
        </is>
      </c>
      <c r="B23" s="10" t="inlineStr">
        <is>
          <t>Non-Compliant / Not Started</t>
        </is>
      </c>
      <c r="C23" s="8" t="inlineStr">
        <is>
          <t>Requirement not met</t>
        </is>
      </c>
    </row>
    <row r="24">
      <c r="A24" s="6" t="inlineStr">
        <is>
          <t>—</t>
        </is>
      </c>
      <c r="B24" s="8" t="inlineStr">
        <is>
          <t>Not Applicable</t>
        </is>
      </c>
      <c r="C24"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
  <sheetViews>
    <sheetView showGridLines="0" workbookViewId="0">
      <pane ySplit="3" topLeftCell="A4" activePane="bottomLeft" state="frozen"/>
      <selection pane="bottomLeft" activeCell="A1" sqref="A1"/>
    </sheetView>
  </sheetViews>
  <sheetFormatPr baseColWidth="8" defaultRowHeight="15"/>
  <cols>
    <col width="14" customWidth="1" min="1" max="1"/>
    <col width="25" customWidth="1" min="2" max="2"/>
    <col width="50" customWidth="1" min="3" max="3"/>
    <col width="20" customWidth="1" min="4" max="4"/>
    <col width="30" customWidth="1" min="5" max="5"/>
    <col width="25" customWidth="1" min="6" max="6"/>
    <col width="45" customWidth="1" min="7" max="7"/>
  </cols>
  <sheetData>
    <row r="1" ht="35" customHeight="1">
      <c r="A1" s="11" t="inlineStr">
        <is>
          <t>OBLIGATION TYPES</t>
        </is>
      </c>
    </row>
    <row r="2">
      <c r="A2" s="12" t="inlineStr">
        <is>
          <t>Post-employment obligation categories with standard durations and enforceability notes</t>
        </is>
      </c>
    </row>
    <row r="3">
      <c r="A3" s="13" t="inlineStr">
        <is>
          <t>Obligation ID</t>
        </is>
      </c>
      <c r="B3" s="13" t="inlineStr">
        <is>
          <t>Obligation Type</t>
        </is>
      </c>
      <c r="C3" s="13" t="inlineStr">
        <is>
          <t>Description</t>
        </is>
      </c>
      <c r="D3" s="13" t="inlineStr">
        <is>
          <t>Standard Duration</t>
        </is>
      </c>
      <c r="E3" s="13" t="inlineStr">
        <is>
          <t>Source Document</t>
        </is>
      </c>
      <c r="F3" s="13" t="inlineStr">
        <is>
          <t>Applicable To</t>
        </is>
      </c>
      <c r="G3" s="13" t="inlineStr">
        <is>
          <t>Enforceability Notes</t>
        </is>
      </c>
    </row>
    <row r="4">
      <c r="A4" s="14" t="inlineStr">
        <is>
          <t>OBL-001</t>
        </is>
      </c>
      <c r="B4" s="14" t="inlineStr">
        <is>
          <t>Confidentiality</t>
        </is>
      </c>
      <c r="C4" s="14" t="inlineStr">
        <is>
          <t>Protection of all non-public information accessed during employment</t>
        </is>
      </c>
      <c r="D4" s="14" t="inlineStr">
        <is>
          <t>3 years</t>
        </is>
      </c>
      <c r="E4" s="14" t="inlineStr">
        <is>
          <t>Employment Contract, NDA</t>
        </is>
      </c>
      <c r="F4" s="14" t="inlineStr">
        <is>
          <t>All Employees</t>
        </is>
      </c>
      <c r="G4" s="14" t="inlineStr">
        <is>
          <t>Fully enforceable under Swiss law</t>
        </is>
      </c>
    </row>
    <row r="5">
      <c r="A5" s="14" t="inlineStr">
        <is>
          <t>OBL-002</t>
        </is>
      </c>
      <c r="B5" s="14" t="inlineStr">
        <is>
          <t>Trade Secrets</t>
        </is>
      </c>
      <c r="C5" s="14" t="inlineStr">
        <is>
          <t>Protection of trade secrets and proprietary information</t>
        </is>
      </c>
      <c r="D5" s="14" t="inlineStr">
        <is>
          <t>Indefinite</t>
        </is>
      </c>
      <c r="E5" s="14" t="inlineStr">
        <is>
          <t>Employment Contract, NDA</t>
        </is>
      </c>
      <c r="F5" s="14" t="inlineStr">
        <is>
          <t>All Employees</t>
        </is>
      </c>
      <c r="G5" s="14" t="inlineStr">
        <is>
          <t>Protected under Swiss Unfair Competition Act</t>
        </is>
      </c>
    </row>
    <row r="6">
      <c r="A6" s="14" t="inlineStr">
        <is>
          <t>OBL-003</t>
        </is>
      </c>
      <c r="B6" s="14" t="inlineStr">
        <is>
          <t>IP Assignment</t>
        </is>
      </c>
      <c r="C6" s="14" t="inlineStr">
        <is>
          <t>Work product and inventions remain organisation property</t>
        </is>
      </c>
      <c r="D6" s="14" t="inlineStr">
        <is>
          <t>Perpetual</t>
        </is>
      </c>
      <c r="E6" s="14" t="inlineStr">
        <is>
          <t>IP Assignment Agreement</t>
        </is>
      </c>
      <c r="F6" s="14" t="inlineStr">
        <is>
          <t>All Employees</t>
        </is>
      </c>
      <c r="G6" s="14" t="inlineStr">
        <is>
          <t>Strong legal protection available</t>
        </is>
      </c>
    </row>
    <row r="7">
      <c r="A7" s="14" t="inlineStr">
        <is>
          <t>OBL-004</t>
        </is>
      </c>
      <c r="B7" s="14" t="inlineStr">
        <is>
          <t>Non-Compete</t>
        </is>
      </c>
      <c r="C7" s="14" t="inlineStr">
        <is>
          <t>Restriction on working for direct competitors</t>
        </is>
      </c>
      <c r="D7" s="14" t="inlineStr">
        <is>
          <t>12 months</t>
        </is>
      </c>
      <c r="E7" s="14" t="inlineStr">
        <is>
          <t>Employment Contract</t>
        </is>
      </c>
      <c r="F7" s="14" t="inlineStr">
        <is>
          <t>Executives, Key Technical</t>
        </is>
      </c>
      <c r="G7" s="14" t="inlineStr">
        <is>
          <t>Limited enforceability in CH; requires compensation</t>
        </is>
      </c>
    </row>
    <row r="8">
      <c r="A8" s="14" t="inlineStr">
        <is>
          <t>OBL-005</t>
        </is>
      </c>
      <c r="B8" s="14" t="inlineStr">
        <is>
          <t>Non-Solicitation (Employee)</t>
        </is>
      </c>
      <c r="C8" s="14" t="inlineStr">
        <is>
          <t>Restriction on soliciting current employees</t>
        </is>
      </c>
      <c r="D8" s="14" t="inlineStr">
        <is>
          <t>24 months</t>
        </is>
      </c>
      <c r="E8" s="14" t="inlineStr">
        <is>
          <t>Employment Contract, NDA</t>
        </is>
      </c>
      <c r="F8" s="14" t="inlineStr">
        <is>
          <t>Managers, Executives</t>
        </is>
      </c>
      <c r="G8" s="14" t="inlineStr">
        <is>
          <t>Generally enforceable</t>
        </is>
      </c>
    </row>
    <row r="9">
      <c r="A9" s="14" t="inlineStr">
        <is>
          <t>OBL-006</t>
        </is>
      </c>
      <c r="B9" s="14" t="inlineStr">
        <is>
          <t>Non-Solicitation (Customer)</t>
        </is>
      </c>
      <c r="C9" s="14" t="inlineStr">
        <is>
          <t>Restriction on soliciting current customers</t>
        </is>
      </c>
      <c r="D9" s="14" t="inlineStr">
        <is>
          <t>24 months</t>
        </is>
      </c>
      <c r="E9" s="14" t="inlineStr">
        <is>
          <t>Employment Contract, NDA</t>
        </is>
      </c>
      <c r="F9" s="14" t="inlineStr">
        <is>
          <t>Sales, Account Managers</t>
        </is>
      </c>
      <c r="G9" s="14" t="inlineStr">
        <is>
          <t>Generally enforceable</t>
        </is>
      </c>
    </row>
    <row r="10">
      <c r="A10" s="14" t="inlineStr">
        <is>
          <t>OBL-007</t>
        </is>
      </c>
      <c r="B10" s="14" t="inlineStr">
        <is>
          <t>Data Return</t>
        </is>
      </c>
      <c r="C10" s="14" t="inlineStr">
        <is>
          <t>Return or certified destruction of all company data</t>
        </is>
      </c>
      <c r="D10" s="14" t="inlineStr">
        <is>
          <t>Immediate at exit</t>
        </is>
      </c>
      <c r="E10" s="14" t="inlineStr">
        <is>
          <t>NDA, Acceptable Use Policy</t>
        </is>
      </c>
      <c r="F10" s="14" t="inlineStr">
        <is>
          <t>All Employees</t>
        </is>
      </c>
      <c r="G10" s="14" t="inlineStr">
        <is>
          <t>Enforceable; obtain written certification</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4"/>
  <sheetViews>
    <sheetView showGridLines="0" workbookViewId="0">
      <pane ySplit="3" topLeftCell="A4" activePane="bottomLeft" state="frozen"/>
      <selection pane="bottomLeft" activeCell="A1" sqref="A1"/>
    </sheetView>
  </sheetViews>
  <sheetFormatPr baseColWidth="8" defaultRowHeight="15"/>
  <cols>
    <col width="16" customWidth="1" min="1" max="1"/>
    <col width="30" customWidth="1" min="2" max="2"/>
    <col width="14" customWidth="1" min="3" max="3"/>
    <col width="22" customWidth="1" min="4" max="4"/>
    <col width="30" customWidth="1" min="5" max="5"/>
    <col width="16" customWidth="1" min="6" max="6"/>
    <col width="20" customWidth="1" min="7" max="7"/>
    <col width="18" customWidth="1" min="8" max="8"/>
    <col width="18" customWidth="1" min="9" max="9"/>
  </cols>
  <sheetData>
    <row r="1" ht="35" customHeight="1">
      <c r="A1" s="11" t="inlineStr">
        <is>
          <t>FORMER PERSONNEL REGISTRY</t>
        </is>
      </c>
    </row>
    <row r="2">
      <c r="A2" s="12" t="inlineStr">
        <is>
          <t>Registry of former personnel with active post-employment obligations</t>
        </is>
      </c>
    </row>
    <row r="3">
      <c r="A3" s="13" t="inlineStr">
        <is>
          <t>Person ID</t>
        </is>
      </c>
      <c r="B3" s="13" t="inlineStr">
        <is>
          <t>Name</t>
        </is>
      </c>
      <c r="C3" s="13" t="inlineStr">
        <is>
          <t>Exit Date</t>
        </is>
      </c>
      <c r="D3" s="13" t="inlineStr">
        <is>
          <t>Exit Type</t>
        </is>
      </c>
      <c r="E3" s="13" t="inlineStr">
        <is>
          <t>Position Held</t>
        </is>
      </c>
      <c r="F3" s="13" t="inlineStr">
        <is>
          <t>Access Level</t>
        </is>
      </c>
      <c r="G3" s="13" t="inlineStr">
        <is>
          <t>NDA Reference</t>
        </is>
      </c>
      <c r="H3" s="13" t="inlineStr">
        <is>
          <t>Obligations End Date</t>
        </is>
      </c>
      <c r="I3" s="13" t="inlineStr">
        <is>
          <t>Status</t>
        </is>
      </c>
    </row>
    <row r="4">
      <c r="A4" s="15" t="inlineStr">
        <is>
          <t>FP-XXXX</t>
        </is>
      </c>
      <c r="B4" s="15" t="n"/>
      <c r="C4" s="15" t="n"/>
      <c r="D4" s="15" t="n"/>
      <c r="E4" s="15" t="n"/>
      <c r="F4" s="15" t="n"/>
      <c r="G4" s="15" t="n"/>
      <c r="H4" s="15" t="n"/>
      <c r="I4" s="15" t="n"/>
    </row>
    <row r="5">
      <c r="A5" s="16" t="n"/>
      <c r="B5" s="16" t="n"/>
      <c r="C5" s="16" t="n"/>
      <c r="D5" s="16" t="n"/>
      <c r="E5" s="16" t="n"/>
      <c r="F5" s="16" t="n"/>
      <c r="G5" s="16" t="n"/>
      <c r="H5" s="16" t="n"/>
      <c r="I5" s="16" t="n"/>
    </row>
    <row r="6">
      <c r="A6" s="16" t="n"/>
      <c r="B6" s="16" t="n"/>
      <c r="C6" s="16" t="n"/>
      <c r="D6" s="16" t="n"/>
      <c r="E6" s="16" t="n"/>
      <c r="F6" s="16" t="n"/>
      <c r="G6" s="16" t="n"/>
      <c r="H6" s="16" t="n"/>
      <c r="I6" s="16" t="n"/>
    </row>
    <row r="7">
      <c r="A7" s="16" t="n"/>
      <c r="B7" s="16" t="n"/>
      <c r="C7" s="16" t="n"/>
      <c r="D7" s="16" t="n"/>
      <c r="E7" s="16" t="n"/>
      <c r="F7" s="16" t="n"/>
      <c r="G7" s="16" t="n"/>
      <c r="H7" s="16" t="n"/>
      <c r="I7" s="16" t="n"/>
    </row>
    <row r="8">
      <c r="A8" s="16" t="n"/>
      <c r="B8" s="16" t="n"/>
      <c r="C8" s="16" t="n"/>
      <c r="D8" s="16" t="n"/>
      <c r="E8" s="16" t="n"/>
      <c r="F8" s="16" t="n"/>
      <c r="G8" s="16" t="n"/>
      <c r="H8" s="16" t="n"/>
      <c r="I8" s="16" t="n"/>
    </row>
    <row r="9">
      <c r="A9" s="16" t="n"/>
      <c r="B9" s="16" t="n"/>
      <c r="C9" s="16" t="n"/>
      <c r="D9" s="16" t="n"/>
      <c r="E9" s="16" t="n"/>
      <c r="F9" s="16" t="n"/>
      <c r="G9" s="16" t="n"/>
      <c r="H9" s="16" t="n"/>
      <c r="I9" s="16" t="n"/>
    </row>
    <row r="10">
      <c r="A10" s="16" t="n"/>
      <c r="B10" s="16" t="n"/>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sheetData>
  <mergeCells count="1">
    <mergeCell ref="A1:I1"/>
  </mergeCells>
  <dataValidations count="3">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type="list">
      <formula1>"Voluntary Resignation,Involuntary Termination,Contract End,Retirement,Role Change"</formula1>
    </dataValidation>
    <dataValidation sqref="F4 F5 F6 F7 F8 F9 F10 F11 F12 F13 F14 F15 F16 F17 F18 F19 F20 F21 F22 F23 F24 F25 F26 F27 F28 F29 F30 F31 F32 F33 F34 F35 F36 F37 F38 F39 F40 F41 F42 F43 F44 F45 F46 F47 F48 F49 F50 F51 F52 F53 F54" showDropDown="0" showInputMessage="0" showErrorMessage="0" allowBlank="0" type="list">
      <formula1>"Standard,Elevated,Privileged,Executive"</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0" type="list">
      <formula1>"Active Obligations,All Expired,Under Enforcement"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8" customWidth="1" min="1" max="1"/>
    <col width="16" customWidth="1" min="2" max="2"/>
    <col width="22" customWidth="1" min="3" max="3"/>
    <col width="14" customWidth="1" min="4" max="4"/>
    <col width="14" customWidth="1" min="5" max="5"/>
    <col width="40" customWidth="1" min="6" max="6"/>
    <col width="18" customWidth="1" min="7" max="7"/>
    <col width="18" customWidth="1" min="8" max="8"/>
  </cols>
  <sheetData>
    <row r="1" ht="35" customHeight="1">
      <c r="A1" s="11" t="inlineStr">
        <is>
          <t>ACTIVE OBLIGATIONS</t>
        </is>
      </c>
    </row>
    <row r="2">
      <c r="A2" s="12" t="inlineStr">
        <is>
          <t>Tracking of individual post-employment obligations by person, type, status and expiry date</t>
        </is>
      </c>
    </row>
    <row r="3">
      <c r="A3" s="13" t="inlineStr">
        <is>
          <t>Obligation Ref</t>
        </is>
      </c>
      <c r="B3" s="13" t="inlineStr">
        <is>
          <t>Person ID</t>
        </is>
      </c>
      <c r="C3" s="13" t="inlineStr">
        <is>
          <t>Obligation Type</t>
        </is>
      </c>
      <c r="D3" s="13" t="inlineStr">
        <is>
          <t>Start Date</t>
        </is>
      </c>
      <c r="E3" s="13" t="inlineStr">
        <is>
          <t>End Date</t>
        </is>
      </c>
      <c r="F3" s="13" t="inlineStr">
        <is>
          <t>Specific Terms</t>
        </is>
      </c>
      <c r="G3" s="13" t="inlineStr">
        <is>
          <t>Monitoring Required</t>
        </is>
      </c>
      <c r="H3" s="13" t="inlineStr">
        <is>
          <t>Status</t>
        </is>
      </c>
    </row>
    <row r="4">
      <c r="A4" s="15" t="inlineStr">
        <is>
          <t>ACT-XXXX</t>
        </is>
      </c>
      <c r="B4" s="15" t="n"/>
      <c r="C4" s="15" t="n"/>
      <c r="D4" s="15" t="n"/>
      <c r="E4" s="15" t="n"/>
      <c r="F4" s="15" t="n"/>
      <c r="G4" s="15" t="n"/>
      <c r="H4" s="15" t="n"/>
    </row>
    <row r="5">
      <c r="A5" s="16" t="n"/>
      <c r="B5" s="16" t="n"/>
      <c r="C5" s="16" t="n"/>
      <c r="D5" s="16" t="n"/>
      <c r="E5" s="16" t="n"/>
      <c r="F5" s="16" t="n"/>
      <c r="G5" s="16" t="n"/>
      <c r="H5" s="16" t="n"/>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sheetData>
  <mergeCells count="1">
    <mergeCell ref="A1:H1"/>
  </mergeCells>
  <dataValidations count="3">
    <dataValidation sqref="C4 C5 C6 C7 C8 C9 C10 C11 C12 C13 C14 C15 C16 C17 C18 C19 C20 C21 C22 C23 C24 C25 C26 C27 C28 C29 C30 C31 C32 C33 C34 C35 C36 C37 C38 C39 C40 C41 C42 C43 C44 C45 C46 C47 C48 C49 C50 C51 C52 C53 C54" showDropDown="0" showInputMessage="0" showErrorMessage="0" allowBlank="0" type="list">
      <formula1>"Confidentiality,Trade Secrets,IP Assignment,Non-Compete,Non-Solicitation (Employee),Non-Solicitation (Customer),Data Return"</formula1>
    </dataValidation>
    <dataValidation sqref="G4 G5 G6 G7 G8 G9 G10 G11 G12 G13 G14 G15 G16 G17 G18 G19 G20 G21 G22 G23 G24 G25 G26 G27 G28 G29 G30 G31 G32 G33 G34 G35 G36 G37 G38 G39 G40 G41 G42 G43 G44 G45 G46 G47 G48 G49 G50 G51 G52 G53 G54" showDropDown="0" showInputMessage="0" showErrorMessage="0" allowBlank="0" type="list">
      <formula1>"Yes,No,Periodic"</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0" type="list">
      <formula1>"Active,Expired,Waived,Under Enforcement"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8" customWidth="1" min="1" max="1"/>
    <col width="30" customWidth="1" min="2" max="2"/>
    <col width="22" customWidth="1" min="3" max="3"/>
    <col width="14" customWidth="1" min="4" max="4"/>
    <col width="18" customWidth="1" min="5" max="5"/>
    <col width="20" customWidth="1" min="6" max="6"/>
    <col width="40" customWidth="1" min="7" max="7"/>
    <col width="40" customWidth="1" min="8" max="8"/>
  </cols>
  <sheetData>
    <row r="1" ht="35" customHeight="1">
      <c r="A1" s="11" t="inlineStr">
        <is>
          <t>EXPIRATION TRACKER</t>
        </is>
      </c>
    </row>
    <row r="2">
      <c r="A2" s="12" t="inlineStr">
        <is>
          <t>Monitoring of obligations approaching expiration with days remaining and required actions</t>
        </is>
      </c>
    </row>
    <row r="3">
      <c r="A3" s="13" t="inlineStr">
        <is>
          <t>Obligation Ref</t>
        </is>
      </c>
      <c r="B3" s="13" t="inlineStr">
        <is>
          <t>Person Name</t>
        </is>
      </c>
      <c r="C3" s="13" t="inlineStr">
        <is>
          <t>Obligation Type</t>
        </is>
      </c>
      <c r="D3" s="13" t="inlineStr">
        <is>
          <t>Expiration Date</t>
        </is>
      </c>
      <c r="E3" s="13" t="inlineStr">
        <is>
          <t>Days Until Expiry</t>
        </is>
      </c>
      <c r="F3" s="13" t="inlineStr">
        <is>
          <t>Status</t>
        </is>
      </c>
      <c r="G3" s="13" t="inlineStr">
        <is>
          <t>Action Required</t>
        </is>
      </c>
      <c r="H3" s="13" t="inlineStr">
        <is>
          <t>Action Taken</t>
        </is>
      </c>
    </row>
    <row r="4">
      <c r="A4" s="15" t="n"/>
      <c r="B4" s="15" t="n"/>
      <c r="C4" s="15" t="n"/>
      <c r="D4" s="15" t="n"/>
      <c r="E4" s="15">
        <f>IF(D4="Indefinite","N/A",IF(D4&lt;&gt;"",D4-TODAY(),""))</f>
        <v/>
      </c>
      <c r="F4" s="15" t="n"/>
      <c r="G4" s="15" t="n"/>
      <c r="H4" s="15" t="n"/>
    </row>
    <row r="5">
      <c r="A5" s="16" t="n"/>
      <c r="B5" s="16" t="n"/>
      <c r="C5" s="16" t="n"/>
      <c r="D5" s="16" t="n"/>
      <c r="E5" s="17">
        <f>IF(D5="Indefinite","N/A",IF(D5&lt;&gt;"",D5-TODAY(),""))</f>
        <v/>
      </c>
      <c r="F5" s="16" t="n"/>
      <c r="G5" s="16" t="n"/>
      <c r="H5" s="16" t="n"/>
    </row>
    <row r="6">
      <c r="A6" s="16" t="n"/>
      <c r="B6" s="16" t="n"/>
      <c r="C6" s="16" t="n"/>
      <c r="D6" s="16" t="n"/>
      <c r="E6" s="17">
        <f>IF(D6="Indefinite","N/A",IF(D6&lt;&gt;"",D6-TODAY(),""))</f>
        <v/>
      </c>
      <c r="F6" s="16" t="n"/>
      <c r="G6" s="16" t="n"/>
      <c r="H6" s="16" t="n"/>
    </row>
    <row r="7">
      <c r="A7" s="16" t="n"/>
      <c r="B7" s="16" t="n"/>
      <c r="C7" s="16" t="n"/>
      <c r="D7" s="16" t="n"/>
      <c r="E7" s="17">
        <f>IF(D7="Indefinite","N/A",IF(D7&lt;&gt;"",D7-TODAY(),""))</f>
        <v/>
      </c>
      <c r="F7" s="16" t="n"/>
      <c r="G7" s="16" t="n"/>
      <c r="H7" s="16" t="n"/>
    </row>
    <row r="8">
      <c r="A8" s="16" t="n"/>
      <c r="B8" s="16" t="n"/>
      <c r="C8" s="16" t="n"/>
      <c r="D8" s="16" t="n"/>
      <c r="E8" s="17">
        <f>IF(D8="Indefinite","N/A",IF(D8&lt;&gt;"",D8-TODAY(),""))</f>
        <v/>
      </c>
      <c r="F8" s="16" t="n"/>
      <c r="G8" s="16" t="n"/>
      <c r="H8" s="16" t="n"/>
    </row>
    <row r="9">
      <c r="A9" s="16" t="n"/>
      <c r="B9" s="16" t="n"/>
      <c r="C9" s="16" t="n"/>
      <c r="D9" s="16" t="n"/>
      <c r="E9" s="17">
        <f>IF(D9="Indefinite","N/A",IF(D9&lt;&gt;"",D9-TODAY(),""))</f>
        <v/>
      </c>
      <c r="F9" s="16" t="n"/>
      <c r="G9" s="16" t="n"/>
      <c r="H9" s="16" t="n"/>
    </row>
    <row r="10">
      <c r="A10" s="16" t="n"/>
      <c r="B10" s="16" t="n"/>
      <c r="C10" s="16" t="n"/>
      <c r="D10" s="16" t="n"/>
      <c r="E10" s="17">
        <f>IF(D10="Indefinite","N/A",IF(D10&lt;&gt;"",D10-TODAY(),""))</f>
        <v/>
      </c>
      <c r="F10" s="16" t="n"/>
      <c r="G10" s="16" t="n"/>
      <c r="H10" s="16" t="n"/>
    </row>
    <row r="11">
      <c r="A11" s="16" t="n"/>
      <c r="B11" s="16" t="n"/>
      <c r="C11" s="16" t="n"/>
      <c r="D11" s="16" t="n"/>
      <c r="E11" s="17">
        <f>IF(D11="Indefinite","N/A",IF(D11&lt;&gt;"",D11-TODAY(),""))</f>
        <v/>
      </c>
      <c r="F11" s="16" t="n"/>
      <c r="G11" s="16" t="n"/>
      <c r="H11" s="16" t="n"/>
    </row>
    <row r="12">
      <c r="A12" s="16" t="n"/>
      <c r="B12" s="16" t="n"/>
      <c r="C12" s="16" t="n"/>
      <c r="D12" s="16" t="n"/>
      <c r="E12" s="17">
        <f>IF(D12="Indefinite","N/A",IF(D12&lt;&gt;"",D12-TODAY(),""))</f>
        <v/>
      </c>
      <c r="F12" s="16" t="n"/>
      <c r="G12" s="16" t="n"/>
      <c r="H12" s="16" t="n"/>
    </row>
    <row r="13">
      <c r="A13" s="16" t="n"/>
      <c r="B13" s="16" t="n"/>
      <c r="C13" s="16" t="n"/>
      <c r="D13" s="16" t="n"/>
      <c r="E13" s="17">
        <f>IF(D13="Indefinite","N/A",IF(D13&lt;&gt;"",D13-TODAY(),""))</f>
        <v/>
      </c>
      <c r="F13" s="16" t="n"/>
      <c r="G13" s="16" t="n"/>
      <c r="H13" s="16" t="n"/>
    </row>
    <row r="14">
      <c r="A14" s="16" t="n"/>
      <c r="B14" s="16" t="n"/>
      <c r="C14" s="16" t="n"/>
      <c r="D14" s="16" t="n"/>
      <c r="E14" s="17">
        <f>IF(D14="Indefinite","N/A",IF(D14&lt;&gt;"",D14-TODAY(),""))</f>
        <v/>
      </c>
      <c r="F14" s="16" t="n"/>
      <c r="G14" s="16" t="n"/>
      <c r="H14" s="16" t="n"/>
    </row>
    <row r="15">
      <c r="A15" s="16" t="n"/>
      <c r="B15" s="16" t="n"/>
      <c r="C15" s="16" t="n"/>
      <c r="D15" s="16" t="n"/>
      <c r="E15" s="17">
        <f>IF(D15="Indefinite","N/A",IF(D15&lt;&gt;"",D15-TODAY(),""))</f>
        <v/>
      </c>
      <c r="F15" s="16" t="n"/>
      <c r="G15" s="16" t="n"/>
      <c r="H15" s="16" t="n"/>
    </row>
    <row r="16">
      <c r="A16" s="16" t="n"/>
      <c r="B16" s="16" t="n"/>
      <c r="C16" s="16" t="n"/>
      <c r="D16" s="16" t="n"/>
      <c r="E16" s="17">
        <f>IF(D16="Indefinite","N/A",IF(D16&lt;&gt;"",D16-TODAY(),""))</f>
        <v/>
      </c>
      <c r="F16" s="16" t="n"/>
      <c r="G16" s="16" t="n"/>
      <c r="H16" s="16" t="n"/>
    </row>
    <row r="17">
      <c r="A17" s="16" t="n"/>
      <c r="B17" s="16" t="n"/>
      <c r="C17" s="16" t="n"/>
      <c r="D17" s="16" t="n"/>
      <c r="E17" s="17">
        <f>IF(D17="Indefinite","N/A",IF(D17&lt;&gt;"",D17-TODAY(),""))</f>
        <v/>
      </c>
      <c r="F17" s="16" t="n"/>
      <c r="G17" s="16" t="n"/>
      <c r="H17" s="16" t="n"/>
    </row>
    <row r="18">
      <c r="A18" s="16" t="n"/>
      <c r="B18" s="16" t="n"/>
      <c r="C18" s="16" t="n"/>
      <c r="D18" s="16" t="n"/>
      <c r="E18" s="17">
        <f>IF(D18="Indefinite","N/A",IF(D18&lt;&gt;"",D18-TODAY(),""))</f>
        <v/>
      </c>
      <c r="F18" s="16" t="n"/>
      <c r="G18" s="16" t="n"/>
      <c r="H18" s="16" t="n"/>
    </row>
    <row r="19">
      <c r="A19" s="16" t="n"/>
      <c r="B19" s="16" t="n"/>
      <c r="C19" s="16" t="n"/>
      <c r="D19" s="16" t="n"/>
      <c r="E19" s="17">
        <f>IF(D19="Indefinite","N/A",IF(D19&lt;&gt;"",D19-TODAY(),""))</f>
        <v/>
      </c>
      <c r="F19" s="16" t="n"/>
      <c r="G19" s="16" t="n"/>
      <c r="H19" s="16" t="n"/>
    </row>
    <row r="20">
      <c r="A20" s="16" t="n"/>
      <c r="B20" s="16" t="n"/>
      <c r="C20" s="16" t="n"/>
      <c r="D20" s="16" t="n"/>
      <c r="E20" s="17">
        <f>IF(D20="Indefinite","N/A",IF(D20&lt;&gt;"",D20-TODAY(),""))</f>
        <v/>
      </c>
      <c r="F20" s="16" t="n"/>
      <c r="G20" s="16" t="n"/>
      <c r="H20" s="16" t="n"/>
    </row>
    <row r="21">
      <c r="A21" s="16" t="n"/>
      <c r="B21" s="16" t="n"/>
      <c r="C21" s="16" t="n"/>
      <c r="D21" s="16" t="n"/>
      <c r="E21" s="17">
        <f>IF(D21="Indefinite","N/A",IF(D21&lt;&gt;"",D21-TODAY(),""))</f>
        <v/>
      </c>
      <c r="F21" s="16" t="n"/>
      <c r="G21" s="16" t="n"/>
      <c r="H21" s="16" t="n"/>
    </row>
    <row r="22">
      <c r="A22" s="16" t="n"/>
      <c r="B22" s="16" t="n"/>
      <c r="C22" s="16" t="n"/>
      <c r="D22" s="16" t="n"/>
      <c r="E22" s="17">
        <f>IF(D22="Indefinite","N/A",IF(D22&lt;&gt;"",D22-TODAY(),""))</f>
        <v/>
      </c>
      <c r="F22" s="16" t="n"/>
      <c r="G22" s="16" t="n"/>
      <c r="H22" s="16" t="n"/>
    </row>
    <row r="23">
      <c r="A23" s="16" t="n"/>
      <c r="B23" s="16" t="n"/>
      <c r="C23" s="16" t="n"/>
      <c r="D23" s="16" t="n"/>
      <c r="E23" s="17">
        <f>IF(D23="Indefinite","N/A",IF(D23&lt;&gt;"",D23-TODAY(),""))</f>
        <v/>
      </c>
      <c r="F23" s="16" t="n"/>
      <c r="G23" s="16" t="n"/>
      <c r="H23" s="16" t="n"/>
    </row>
    <row r="24">
      <c r="A24" s="16" t="n"/>
      <c r="B24" s="16" t="n"/>
      <c r="C24" s="16" t="n"/>
      <c r="D24" s="16" t="n"/>
      <c r="E24" s="17">
        <f>IF(D24="Indefinite","N/A",IF(D24&lt;&gt;"",D24-TODAY(),""))</f>
        <v/>
      </c>
      <c r="F24" s="16" t="n"/>
      <c r="G24" s="16" t="n"/>
      <c r="H24" s="16" t="n"/>
    </row>
    <row r="25">
      <c r="A25" s="16" t="n"/>
      <c r="B25" s="16" t="n"/>
      <c r="C25" s="16" t="n"/>
      <c r="D25" s="16" t="n"/>
      <c r="E25" s="17">
        <f>IF(D25="Indefinite","N/A",IF(D25&lt;&gt;"",D25-TODAY(),""))</f>
        <v/>
      </c>
      <c r="F25" s="16" t="n"/>
      <c r="G25" s="16" t="n"/>
      <c r="H25" s="16" t="n"/>
    </row>
    <row r="26">
      <c r="A26" s="16" t="n"/>
      <c r="B26" s="16" t="n"/>
      <c r="C26" s="16" t="n"/>
      <c r="D26" s="16" t="n"/>
      <c r="E26" s="17">
        <f>IF(D26="Indefinite","N/A",IF(D26&lt;&gt;"",D26-TODAY(),""))</f>
        <v/>
      </c>
      <c r="F26" s="16" t="n"/>
      <c r="G26" s="16" t="n"/>
      <c r="H26" s="16" t="n"/>
    </row>
    <row r="27">
      <c r="A27" s="16" t="n"/>
      <c r="B27" s="16" t="n"/>
      <c r="C27" s="16" t="n"/>
      <c r="D27" s="16" t="n"/>
      <c r="E27" s="17">
        <f>IF(D27="Indefinite","N/A",IF(D27&lt;&gt;"",D27-TODAY(),""))</f>
        <v/>
      </c>
      <c r="F27" s="16" t="n"/>
      <c r="G27" s="16" t="n"/>
      <c r="H27" s="16" t="n"/>
    </row>
    <row r="28">
      <c r="A28" s="16" t="n"/>
      <c r="B28" s="16" t="n"/>
      <c r="C28" s="16" t="n"/>
      <c r="D28" s="16" t="n"/>
      <c r="E28" s="17">
        <f>IF(D28="Indefinite","N/A",IF(D28&lt;&gt;"",D28-TODAY(),""))</f>
        <v/>
      </c>
      <c r="F28" s="16" t="n"/>
      <c r="G28" s="16" t="n"/>
      <c r="H28" s="16" t="n"/>
    </row>
    <row r="29">
      <c r="A29" s="16" t="n"/>
      <c r="B29" s="16" t="n"/>
      <c r="C29" s="16" t="n"/>
      <c r="D29" s="16" t="n"/>
      <c r="E29" s="17">
        <f>IF(D29="Indefinite","N/A",IF(D29&lt;&gt;"",D29-TODAY(),""))</f>
        <v/>
      </c>
      <c r="F29" s="16" t="n"/>
      <c r="G29" s="16" t="n"/>
      <c r="H29" s="16" t="n"/>
    </row>
    <row r="30">
      <c r="A30" s="16" t="n"/>
      <c r="B30" s="16" t="n"/>
      <c r="C30" s="16" t="n"/>
      <c r="D30" s="16" t="n"/>
      <c r="E30" s="17">
        <f>IF(D30="Indefinite","N/A",IF(D30&lt;&gt;"",D30-TODAY(),""))</f>
        <v/>
      </c>
      <c r="F30" s="16" t="n"/>
      <c r="G30" s="16" t="n"/>
      <c r="H30" s="16" t="n"/>
    </row>
    <row r="31">
      <c r="A31" s="16" t="n"/>
      <c r="B31" s="16" t="n"/>
      <c r="C31" s="16" t="n"/>
      <c r="D31" s="16" t="n"/>
      <c r="E31" s="17">
        <f>IF(D31="Indefinite","N/A",IF(D31&lt;&gt;"",D31-TODAY(),""))</f>
        <v/>
      </c>
      <c r="F31" s="16" t="n"/>
      <c r="G31" s="16" t="n"/>
      <c r="H31" s="16" t="n"/>
    </row>
    <row r="32">
      <c r="A32" s="16" t="n"/>
      <c r="B32" s="16" t="n"/>
      <c r="C32" s="16" t="n"/>
      <c r="D32" s="16" t="n"/>
      <c r="E32" s="17">
        <f>IF(D32="Indefinite","N/A",IF(D32&lt;&gt;"",D32-TODAY(),""))</f>
        <v/>
      </c>
      <c r="F32" s="16" t="n"/>
      <c r="G32" s="16" t="n"/>
      <c r="H32" s="16" t="n"/>
    </row>
    <row r="33">
      <c r="A33" s="16" t="n"/>
      <c r="B33" s="16" t="n"/>
      <c r="C33" s="16" t="n"/>
      <c r="D33" s="16" t="n"/>
      <c r="E33" s="17">
        <f>IF(D33="Indefinite","N/A",IF(D33&lt;&gt;"",D33-TODAY(),""))</f>
        <v/>
      </c>
      <c r="F33" s="16" t="n"/>
      <c r="G33" s="16" t="n"/>
      <c r="H33" s="16" t="n"/>
    </row>
    <row r="34">
      <c r="A34" s="16" t="n"/>
      <c r="B34" s="16" t="n"/>
      <c r="C34" s="16" t="n"/>
      <c r="D34" s="16" t="n"/>
      <c r="E34" s="17">
        <f>IF(D34="Indefinite","N/A",IF(D34&lt;&gt;"",D34-TODAY(),""))</f>
        <v/>
      </c>
      <c r="F34" s="16" t="n"/>
      <c r="G34" s="16" t="n"/>
      <c r="H34" s="16" t="n"/>
    </row>
    <row r="35">
      <c r="A35" s="16" t="n"/>
      <c r="B35" s="16" t="n"/>
      <c r="C35" s="16" t="n"/>
      <c r="D35" s="16" t="n"/>
      <c r="E35" s="17">
        <f>IF(D35="Indefinite","N/A",IF(D35&lt;&gt;"",D35-TODAY(),""))</f>
        <v/>
      </c>
      <c r="F35" s="16" t="n"/>
      <c r="G35" s="16" t="n"/>
      <c r="H35" s="16" t="n"/>
    </row>
    <row r="36">
      <c r="A36" s="16" t="n"/>
      <c r="B36" s="16" t="n"/>
      <c r="C36" s="16" t="n"/>
      <c r="D36" s="16" t="n"/>
      <c r="E36" s="17">
        <f>IF(D36="Indefinite","N/A",IF(D36&lt;&gt;"",D36-TODAY(),""))</f>
        <v/>
      </c>
      <c r="F36" s="16" t="n"/>
      <c r="G36" s="16" t="n"/>
      <c r="H36" s="16" t="n"/>
    </row>
    <row r="37">
      <c r="A37" s="16" t="n"/>
      <c r="B37" s="16" t="n"/>
      <c r="C37" s="16" t="n"/>
      <c r="D37" s="16" t="n"/>
      <c r="E37" s="17">
        <f>IF(D37="Indefinite","N/A",IF(D37&lt;&gt;"",D37-TODAY(),""))</f>
        <v/>
      </c>
      <c r="F37" s="16" t="n"/>
      <c r="G37" s="16" t="n"/>
      <c r="H37" s="16" t="n"/>
    </row>
    <row r="38">
      <c r="A38" s="16" t="n"/>
      <c r="B38" s="16" t="n"/>
      <c r="C38" s="16" t="n"/>
      <c r="D38" s="16" t="n"/>
      <c r="E38" s="17">
        <f>IF(D38="Indefinite","N/A",IF(D38&lt;&gt;"",D38-TODAY(),""))</f>
        <v/>
      </c>
      <c r="F38" s="16" t="n"/>
      <c r="G38" s="16" t="n"/>
      <c r="H38" s="16" t="n"/>
    </row>
    <row r="39">
      <c r="A39" s="16" t="n"/>
      <c r="B39" s="16" t="n"/>
      <c r="C39" s="16" t="n"/>
      <c r="D39" s="16" t="n"/>
      <c r="E39" s="17">
        <f>IF(D39="Indefinite","N/A",IF(D39&lt;&gt;"",D39-TODAY(),""))</f>
        <v/>
      </c>
      <c r="F39" s="16" t="n"/>
      <c r="G39" s="16" t="n"/>
      <c r="H39" s="16" t="n"/>
    </row>
    <row r="40">
      <c r="A40" s="16" t="n"/>
      <c r="B40" s="16" t="n"/>
      <c r="C40" s="16" t="n"/>
      <c r="D40" s="16" t="n"/>
      <c r="E40" s="17">
        <f>IF(D40="Indefinite","N/A",IF(D40&lt;&gt;"",D40-TODAY(),""))</f>
        <v/>
      </c>
      <c r="F40" s="16" t="n"/>
      <c r="G40" s="16" t="n"/>
      <c r="H40" s="16" t="n"/>
    </row>
    <row r="41">
      <c r="A41" s="16" t="n"/>
      <c r="B41" s="16" t="n"/>
      <c r="C41" s="16" t="n"/>
      <c r="D41" s="16" t="n"/>
      <c r="E41" s="17">
        <f>IF(D41="Indefinite","N/A",IF(D41&lt;&gt;"",D41-TODAY(),""))</f>
        <v/>
      </c>
      <c r="F41" s="16" t="n"/>
      <c r="G41" s="16" t="n"/>
      <c r="H41" s="16" t="n"/>
    </row>
    <row r="42">
      <c r="A42" s="16" t="n"/>
      <c r="B42" s="16" t="n"/>
      <c r="C42" s="16" t="n"/>
      <c r="D42" s="16" t="n"/>
      <c r="E42" s="17">
        <f>IF(D42="Indefinite","N/A",IF(D42&lt;&gt;"",D42-TODAY(),""))</f>
        <v/>
      </c>
      <c r="F42" s="16" t="n"/>
      <c r="G42" s="16" t="n"/>
      <c r="H42" s="16" t="n"/>
    </row>
    <row r="43">
      <c r="A43" s="16" t="n"/>
      <c r="B43" s="16" t="n"/>
      <c r="C43" s="16" t="n"/>
      <c r="D43" s="16" t="n"/>
      <c r="E43" s="17">
        <f>IF(D43="Indefinite","N/A",IF(D43&lt;&gt;"",D43-TODAY(),""))</f>
        <v/>
      </c>
      <c r="F43" s="16" t="n"/>
      <c r="G43" s="16" t="n"/>
      <c r="H43" s="16" t="n"/>
    </row>
    <row r="44">
      <c r="A44" s="16" t="n"/>
      <c r="B44" s="16" t="n"/>
      <c r="C44" s="16" t="n"/>
      <c r="D44" s="16" t="n"/>
      <c r="E44" s="17">
        <f>IF(D44="Indefinite","N/A",IF(D44&lt;&gt;"",D44-TODAY(),""))</f>
        <v/>
      </c>
      <c r="F44" s="16" t="n"/>
      <c r="G44" s="16" t="n"/>
      <c r="H44" s="16" t="n"/>
    </row>
    <row r="45">
      <c r="A45" s="16" t="n"/>
      <c r="B45" s="16" t="n"/>
      <c r="C45" s="16" t="n"/>
      <c r="D45" s="16" t="n"/>
      <c r="E45" s="17">
        <f>IF(D45="Indefinite","N/A",IF(D45&lt;&gt;"",D45-TODAY(),""))</f>
        <v/>
      </c>
      <c r="F45" s="16" t="n"/>
      <c r="G45" s="16" t="n"/>
      <c r="H45" s="16" t="n"/>
    </row>
    <row r="46">
      <c r="A46" s="16" t="n"/>
      <c r="B46" s="16" t="n"/>
      <c r="C46" s="16" t="n"/>
      <c r="D46" s="16" t="n"/>
      <c r="E46" s="17">
        <f>IF(D46="Indefinite","N/A",IF(D46&lt;&gt;"",D46-TODAY(),""))</f>
        <v/>
      </c>
      <c r="F46" s="16" t="n"/>
      <c r="G46" s="16" t="n"/>
      <c r="H46" s="16" t="n"/>
    </row>
    <row r="47">
      <c r="A47" s="16" t="n"/>
      <c r="B47" s="16" t="n"/>
      <c r="C47" s="16" t="n"/>
      <c r="D47" s="16" t="n"/>
      <c r="E47" s="17">
        <f>IF(D47="Indefinite","N/A",IF(D47&lt;&gt;"",D47-TODAY(),""))</f>
        <v/>
      </c>
      <c r="F47" s="16" t="n"/>
      <c r="G47" s="16" t="n"/>
      <c r="H47" s="16" t="n"/>
    </row>
    <row r="48">
      <c r="A48" s="16" t="n"/>
      <c r="B48" s="16" t="n"/>
      <c r="C48" s="16" t="n"/>
      <c r="D48" s="16" t="n"/>
      <c r="E48" s="17">
        <f>IF(D48="Indefinite","N/A",IF(D48&lt;&gt;"",D48-TODAY(),""))</f>
        <v/>
      </c>
      <c r="F48" s="16" t="n"/>
      <c r="G48" s="16" t="n"/>
      <c r="H48" s="16" t="n"/>
    </row>
    <row r="49">
      <c r="A49" s="16" t="n"/>
      <c r="B49" s="16" t="n"/>
      <c r="C49" s="16" t="n"/>
      <c r="D49" s="16" t="n"/>
      <c r="E49" s="17">
        <f>IF(D49="Indefinite","N/A",IF(D49&lt;&gt;"",D49-TODAY(),""))</f>
        <v/>
      </c>
      <c r="F49" s="16" t="n"/>
      <c r="G49" s="16" t="n"/>
      <c r="H49" s="16" t="n"/>
    </row>
    <row r="50">
      <c r="A50" s="16" t="n"/>
      <c r="B50" s="16" t="n"/>
      <c r="C50" s="16" t="n"/>
      <c r="D50" s="16" t="n"/>
      <c r="E50" s="17">
        <f>IF(D50="Indefinite","N/A",IF(D50&lt;&gt;"",D50-TODAY(),""))</f>
        <v/>
      </c>
      <c r="F50" s="16" t="n"/>
      <c r="G50" s="16" t="n"/>
      <c r="H50" s="16" t="n"/>
    </row>
    <row r="51">
      <c r="A51" s="16" t="n"/>
      <c r="B51" s="16" t="n"/>
      <c r="C51" s="16" t="n"/>
      <c r="D51" s="16" t="n"/>
      <c r="E51" s="17">
        <f>IF(D51="Indefinite","N/A",IF(D51&lt;&gt;"",D51-TODAY(),""))</f>
        <v/>
      </c>
      <c r="F51" s="16" t="n"/>
      <c r="G51" s="16" t="n"/>
      <c r="H51" s="16" t="n"/>
    </row>
    <row r="52">
      <c r="A52" s="16" t="n"/>
      <c r="B52" s="16" t="n"/>
      <c r="C52" s="16" t="n"/>
      <c r="D52" s="16" t="n"/>
      <c r="E52" s="17">
        <f>IF(D52="Indefinite","N/A",IF(D52&lt;&gt;"",D52-TODAY(),""))</f>
        <v/>
      </c>
      <c r="F52" s="16" t="n"/>
      <c r="G52" s="16" t="n"/>
      <c r="H52" s="16" t="n"/>
    </row>
    <row r="53">
      <c r="A53" s="16" t="n"/>
      <c r="B53" s="16" t="n"/>
      <c r="C53" s="16" t="n"/>
      <c r="D53" s="16" t="n"/>
      <c r="E53" s="17">
        <f>IF(D53="Indefinite","N/A",IF(D53&lt;&gt;"",D53-TODAY(),""))</f>
        <v/>
      </c>
      <c r="F53" s="16" t="n"/>
      <c r="G53" s="16" t="n"/>
      <c r="H53" s="16" t="n"/>
    </row>
    <row r="54">
      <c r="A54" s="16" t="n"/>
      <c r="B54" s="16" t="n"/>
      <c r="C54" s="16" t="n"/>
      <c r="D54" s="16" t="n"/>
      <c r="E54" s="17">
        <f>IF(D54="Indefinite","N/A",IF(D54&lt;&gt;"",D54-TODAY(),""))</f>
        <v/>
      </c>
      <c r="F54" s="16" t="n"/>
      <c r="G54" s="16" t="n"/>
      <c r="H54" s="16" t="n"/>
    </row>
  </sheetData>
  <mergeCells count="1">
    <mergeCell ref="A1:H1"/>
  </mergeCells>
  <dataValidations count="1">
    <dataValidation sqref="F4 F5 F6 F7 F8 F9 F10 F11 F12 F13 F14 F15 F16 F17 F18 F19 F20 F21 F22 F23 F24 F25 F26 F27 F28 F29 F30 F31 F32 F33 F34 F35 F36 F37 F38 F39 F40 F41 F42 F43 F44 F45 F46 F47 F48 F49 F50 F51 F52 F53 F54" showDropDown="0" showInputMessage="0" showErrorMessage="0" allowBlank="0" type="list">
      <formula1>"Expiring Soon,Expired,Acknowledged,Extended"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6" customWidth="1" min="1" max="1"/>
    <col width="16" customWidth="1" min="2" max="2"/>
    <col width="14" customWidth="1" min="3" max="3"/>
    <col width="25" customWidth="1" min="4" max="4"/>
    <col width="18" customWidth="1" min="5" max="5"/>
    <col width="20" customWidth="1" min="6" max="6"/>
    <col width="16" customWidth="1" min="7" max="7"/>
    <col width="45" customWidth="1" min="8" max="8"/>
  </cols>
  <sheetData>
    <row r="1" ht="35" customHeight="1">
      <c r="A1" s="11" t="inlineStr">
        <is>
          <t>EXIT ACKNOWLEDGEMENT LOG</t>
        </is>
      </c>
    </row>
    <row r="2">
      <c r="A2" s="12" t="inlineStr">
        <is>
          <t>Log of post-employment obligation acknowledgements obtained at exit interviews</t>
        </is>
      </c>
    </row>
    <row r="3">
      <c r="A3" s="13" t="inlineStr">
        <is>
          <t>Ack ID</t>
        </is>
      </c>
      <c r="B3" s="13" t="inlineStr">
        <is>
          <t>Person ID</t>
        </is>
      </c>
      <c r="C3" s="13" t="inlineStr">
        <is>
          <t>Exit Date</t>
        </is>
      </c>
      <c r="D3" s="13" t="inlineStr">
        <is>
          <t>Acknowledgement Type</t>
        </is>
      </c>
      <c r="E3" s="13" t="inlineStr">
        <is>
          <t>Acknowledgement Date</t>
        </is>
      </c>
      <c r="F3" s="13" t="inlineStr">
        <is>
          <t>Obligations Summarised</t>
        </is>
      </c>
      <c r="G3" s="13" t="inlineStr">
        <is>
          <t>Signed Document</t>
        </is>
      </c>
      <c r="H3" s="13" t="inlineStr">
        <is>
          <t>Document Location</t>
        </is>
      </c>
    </row>
    <row r="4">
      <c r="A4" s="15" t="inlineStr">
        <is>
          <t>ACK-XXXX</t>
        </is>
      </c>
      <c r="B4" s="15" t="n"/>
      <c r="C4" s="15" t="n"/>
      <c r="D4" s="15" t="n"/>
      <c r="E4" s="15" t="n"/>
      <c r="F4" s="15" t="n"/>
      <c r="G4" s="15" t="n"/>
      <c r="H4" s="15" t="n"/>
    </row>
    <row r="5">
      <c r="A5" s="16" t="n"/>
      <c r="B5" s="16" t="n"/>
      <c r="C5" s="16" t="n"/>
      <c r="D5" s="16" t="n"/>
      <c r="E5" s="16" t="n"/>
      <c r="F5" s="16" t="n"/>
      <c r="G5" s="16" t="n"/>
      <c r="H5" s="16" t="n"/>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sheetData>
  <mergeCells count="1">
    <mergeCell ref="A1:H1"/>
  </mergeCells>
  <dataValidations count="2">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type="list">
      <formula1>"Exit Interview,Written Acknowledgement,Email Confirmation,Refused"</formula1>
    </dataValidation>
    <dataValidation sqref="F4 F5 F6 F7 F8 F9 F10 F11 F12 F13 F14 F15 F16 F17 F18 F19 F20 F21 F22 F23 F24 F25 F26 F27 F28 F29 F30 F31 F32 F33 F34 F35 F36 F37 F38 F39 F40 F41 F42 F43 F44 F45 F46 F47 F48 F49 F50 F51 F52 F53 F54 G4 G5 G6 G7 G8 G9 G10 G11 G12 G13 G14 G15 G16 G17 G18 G19 G20 G21 G22 G23 G24 G25 G26 G27 G28 G29 G30 G31 G32 G33 G34 G35 G36 G37 G38 G39 G40 G41 G42 G43 G44 G45 G46 G47 G48 G49 G50 G51 G52 G53 G54" showDropDown="0" showInputMessage="0" showErrorMessage="0" allowBlank="0"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4"/>
  <sheetViews>
    <sheetView showGridLines="0" workbookViewId="0">
      <pane ySplit="3" topLeftCell="A4" activePane="bottomLeft" state="frozen"/>
      <selection pane="bottomLeft" activeCell="A1" sqref="A1"/>
    </sheetView>
  </sheetViews>
  <sheetFormatPr baseColWidth="8" defaultRowHeight="15"/>
  <cols>
    <col width="18" customWidth="1" min="1" max="1"/>
    <col width="16" customWidth="1" min="2" max="2"/>
    <col width="22" customWidth="1" min="3" max="3"/>
    <col width="14" customWidth="1" min="4" max="4"/>
    <col width="45" customWidth="1" min="5" max="5"/>
    <col width="30" customWidth="1" min="6" max="6"/>
    <col width="40" customWidth="1" min="7" max="7"/>
    <col width="22" customWidth="1" min="8" max="8"/>
    <col width="40" customWidth="1" min="9" max="9"/>
  </cols>
  <sheetData>
    <row r="1" ht="35" customHeight="1">
      <c r="A1" s="11" t="inlineStr">
        <is>
          <t>ENFORCEMENT REGISTER</t>
        </is>
      </c>
    </row>
    <row r="2">
      <c r="A2" s="12" t="inlineStr">
        <is>
          <t>Record of post-employment obligation violations and enforcement actions taken</t>
        </is>
      </c>
    </row>
    <row r="3">
      <c r="A3" s="13" t="inlineStr">
        <is>
          <t>Enforcement ID</t>
        </is>
      </c>
      <c r="B3" s="13" t="inlineStr">
        <is>
          <t>Person ID</t>
        </is>
      </c>
      <c r="C3" s="13" t="inlineStr">
        <is>
          <t>Obligation Violated</t>
        </is>
      </c>
      <c r="D3" s="13" t="inlineStr">
        <is>
          <t>Violation Date</t>
        </is>
      </c>
      <c r="E3" s="13" t="inlineStr">
        <is>
          <t>Violation Description</t>
        </is>
      </c>
      <c r="F3" s="13" t="inlineStr">
        <is>
          <t>Detection Method</t>
        </is>
      </c>
      <c r="G3" s="13" t="inlineStr">
        <is>
          <t>Enforcement Action</t>
        </is>
      </c>
      <c r="H3" s="13" t="inlineStr">
        <is>
          <t>Status</t>
        </is>
      </c>
      <c r="I3" s="13" t="inlineStr">
        <is>
          <t>Outcome</t>
        </is>
      </c>
    </row>
    <row r="4">
      <c r="A4" s="15" t="inlineStr">
        <is>
          <t>ENF-XXXX</t>
        </is>
      </c>
      <c r="B4" s="15" t="n"/>
      <c r="C4" s="15" t="n"/>
      <c r="D4" s="15" t="n"/>
      <c r="E4" s="15" t="n"/>
      <c r="F4" s="15" t="n"/>
      <c r="G4" s="15" t="n"/>
      <c r="H4" s="15" t="n"/>
      <c r="I4" s="15" t="n"/>
    </row>
    <row r="5">
      <c r="A5" s="16" t="n"/>
      <c r="B5" s="16" t="n"/>
      <c r="C5" s="16" t="n"/>
      <c r="D5" s="16" t="n"/>
      <c r="E5" s="16" t="n"/>
      <c r="F5" s="16" t="n"/>
      <c r="G5" s="16" t="n"/>
      <c r="H5" s="16" t="n"/>
      <c r="I5" s="16" t="n"/>
    </row>
    <row r="6">
      <c r="A6" s="16" t="n"/>
      <c r="B6" s="16" t="n"/>
      <c r="C6" s="16" t="n"/>
      <c r="D6" s="16" t="n"/>
      <c r="E6" s="16" t="n"/>
      <c r="F6" s="16" t="n"/>
      <c r="G6" s="16" t="n"/>
      <c r="H6" s="16" t="n"/>
      <c r="I6" s="16" t="n"/>
    </row>
    <row r="7">
      <c r="A7" s="16" t="n"/>
      <c r="B7" s="16" t="n"/>
      <c r="C7" s="16" t="n"/>
      <c r="D7" s="16" t="n"/>
      <c r="E7" s="16" t="n"/>
      <c r="F7" s="16" t="n"/>
      <c r="G7" s="16" t="n"/>
      <c r="H7" s="16" t="n"/>
      <c r="I7" s="16" t="n"/>
    </row>
    <row r="8">
      <c r="A8" s="16" t="n"/>
      <c r="B8" s="16" t="n"/>
      <c r="C8" s="16" t="n"/>
      <c r="D8" s="16" t="n"/>
      <c r="E8" s="16" t="n"/>
      <c r="F8" s="16" t="n"/>
      <c r="G8" s="16" t="n"/>
      <c r="H8" s="16" t="n"/>
      <c r="I8" s="16" t="n"/>
    </row>
    <row r="9">
      <c r="A9" s="16" t="n"/>
      <c r="B9" s="16" t="n"/>
      <c r="C9" s="16" t="n"/>
      <c r="D9" s="16" t="n"/>
      <c r="E9" s="16" t="n"/>
      <c r="F9" s="16" t="n"/>
      <c r="G9" s="16" t="n"/>
      <c r="H9" s="16" t="n"/>
      <c r="I9" s="16" t="n"/>
    </row>
    <row r="10">
      <c r="A10" s="16" t="n"/>
      <c r="B10" s="16" t="n"/>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sheetData>
  <mergeCells count="1">
    <mergeCell ref="A1:I1"/>
  </mergeCells>
  <dataValidations count="2">
    <dataValidation sqref="C4 C5 C6 C7 C8 C9 C10 C11 C12 C13 C14 C15 C16 C17 C18 C19 C20 C21 C22 C23 C24 C25 C26 C27 C28 C29 C30 C31 C32 C33 C34 C35 C36 C37 C38 C39 C40 C41 C42 C43 C44 C45 C46 C47 C48 C49 C50 C51 C52 C53 C54" showDropDown="0" showInputMessage="0" showErrorMessage="0" allowBlank="0" type="list">
      <formula1>"Confidentiality,Trade Secrets,IP Assignment,Non-Compete,Non-Solicitation (Employee),Non-Solicitation (Customer),Data Return"</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0" type="list">
      <formula1>"Under Investigation,Cease and Desist Sent,Legal Action Initiated,Resolved,No Action Required"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22" customWidth="1" min="1" max="1"/>
    <col width="50" customWidth="1" min="2" max="2"/>
    <col width="22" customWidth="1" min="3" max="3"/>
    <col width="50" customWidth="1" min="4" max="4"/>
    <col width="14" customWidth="1" min="5" max="5"/>
    <col width="25" customWidth="1" min="6" max="6"/>
    <col width="18" customWidth="1" min="7" max="7"/>
    <col width="30" customWidth="1" min="8" max="8"/>
  </cols>
  <sheetData>
    <row r="1" ht="35" customHeight="1">
      <c r="A1" s="18" t="inlineStr">
        <is>
          <t>EVIDENCE REGISTER</t>
        </is>
      </c>
    </row>
    <row r="2">
      <c r="A2" s="19" t="inlineStr">
        <is>
          <t>Audit evidence supporting the post-employment obligations assessment findings</t>
        </is>
      </c>
    </row>
    <row r="4">
      <c r="A4" s="20" t="inlineStr">
        <is>
          <t>Evidence ID</t>
        </is>
      </c>
      <c r="B4" s="20" t="inlineStr">
        <is>
          <t>Evidence Description</t>
        </is>
      </c>
      <c r="C4" s="20" t="inlineStr">
        <is>
          <t>Evidence Type</t>
        </is>
      </c>
      <c r="D4" s="20" t="inlineStr">
        <is>
          <t>Storage Location</t>
        </is>
      </c>
      <c r="E4" s="20" t="inlineStr">
        <is>
          <t>Collection Date</t>
        </is>
      </c>
      <c r="F4" s="20" t="inlineStr">
        <is>
          <t>Collected By</t>
        </is>
      </c>
      <c r="G4" s="20" t="inlineStr">
        <is>
          <t>Status</t>
        </is>
      </c>
      <c r="H4" s="20" t="inlineStr">
        <is>
          <t>Notes</t>
        </is>
      </c>
    </row>
    <row r="5">
      <c r="A5" s="21" t="inlineStr">
        <is>
          <t>EV-001</t>
        </is>
      </c>
      <c r="B5" s="22" t="n"/>
      <c r="C5" s="22" t="n"/>
      <c r="D5" s="22" t="n"/>
      <c r="E5" s="22" t="n"/>
      <c r="F5" s="22" t="n"/>
      <c r="G5" s="22" t="n"/>
      <c r="H5" s="22" t="n"/>
    </row>
    <row r="6">
      <c r="A6" s="23" t="n"/>
      <c r="B6" s="23" t="n"/>
      <c r="C6" s="23" t="n"/>
      <c r="D6" s="23" t="n"/>
      <c r="E6" s="23" t="n"/>
      <c r="F6" s="23" t="n"/>
      <c r="G6" s="23" t="n"/>
      <c r="H6" s="23" t="n"/>
    </row>
    <row r="7">
      <c r="A7" s="23" t="n"/>
      <c r="B7" s="23" t="n"/>
      <c r="C7" s="23" t="n"/>
      <c r="D7" s="23" t="n"/>
      <c r="E7" s="23" t="n"/>
      <c r="F7" s="23" t="n"/>
      <c r="G7" s="23" t="n"/>
      <c r="H7" s="23" t="n"/>
    </row>
    <row r="8">
      <c r="A8" s="23" t="n"/>
      <c r="B8" s="23" t="n"/>
      <c r="C8" s="23" t="n"/>
      <c r="D8" s="23" t="n"/>
      <c r="E8" s="23" t="n"/>
      <c r="F8" s="23" t="n"/>
      <c r="G8" s="23" t="n"/>
      <c r="H8" s="23" t="n"/>
    </row>
    <row r="9">
      <c r="A9" s="23" t="n"/>
      <c r="B9" s="23" t="n"/>
      <c r="C9" s="23" t="n"/>
      <c r="D9" s="23" t="n"/>
      <c r="E9" s="23" t="n"/>
      <c r="F9" s="23" t="n"/>
      <c r="G9" s="23" t="n"/>
      <c r="H9" s="23" t="n"/>
    </row>
    <row r="10">
      <c r="A10" s="23" t="n"/>
      <c r="B10" s="23" t="n"/>
      <c r="C10" s="23" t="n"/>
      <c r="D10" s="23" t="n"/>
      <c r="E10" s="23" t="n"/>
      <c r="F10" s="23" t="n"/>
      <c r="G10" s="23" t="n"/>
      <c r="H10" s="23" t="n"/>
    </row>
    <row r="11">
      <c r="A11" s="23" t="n"/>
      <c r="B11" s="23" t="n"/>
      <c r="C11" s="23" t="n"/>
      <c r="D11" s="23" t="n"/>
      <c r="E11" s="23" t="n"/>
      <c r="F11" s="23" t="n"/>
      <c r="G11" s="23" t="n"/>
      <c r="H11" s="23" t="n"/>
    </row>
    <row r="12">
      <c r="A12" s="23" t="n"/>
      <c r="B12" s="23" t="n"/>
      <c r="C12" s="23" t="n"/>
      <c r="D12" s="23" t="n"/>
      <c r="E12" s="23" t="n"/>
      <c r="F12" s="23" t="n"/>
      <c r="G12" s="23" t="n"/>
      <c r="H12" s="23" t="n"/>
    </row>
    <row r="13">
      <c r="A13" s="23" t="n"/>
      <c r="B13" s="23" t="n"/>
      <c r="C13" s="23" t="n"/>
      <c r="D13" s="23" t="n"/>
      <c r="E13" s="23" t="n"/>
      <c r="F13" s="23" t="n"/>
      <c r="G13" s="23" t="n"/>
      <c r="H13" s="23" t="n"/>
    </row>
    <row r="14">
      <c r="A14" s="23" t="n"/>
      <c r="B14" s="23" t="n"/>
      <c r="C14" s="23" t="n"/>
      <c r="D14" s="23" t="n"/>
      <c r="E14" s="23" t="n"/>
      <c r="F14" s="23" t="n"/>
      <c r="G14" s="23" t="n"/>
      <c r="H14" s="23" t="n"/>
    </row>
    <row r="15">
      <c r="A15" s="23" t="n"/>
      <c r="B15" s="23" t="n"/>
      <c r="C15" s="23" t="n"/>
      <c r="D15" s="23" t="n"/>
      <c r="E15" s="23" t="n"/>
      <c r="F15" s="23" t="n"/>
      <c r="G15" s="23" t="n"/>
      <c r="H15" s="23" t="n"/>
    </row>
    <row r="16">
      <c r="A16" s="23" t="n"/>
      <c r="B16" s="23" t="n"/>
      <c r="C16" s="23" t="n"/>
      <c r="D16" s="23" t="n"/>
      <c r="E16" s="23" t="n"/>
      <c r="F16" s="23" t="n"/>
      <c r="G16" s="23" t="n"/>
      <c r="H16" s="23" t="n"/>
    </row>
    <row r="17">
      <c r="A17" s="23" t="n"/>
      <c r="B17" s="23" t="n"/>
      <c r="C17" s="23" t="n"/>
      <c r="D17" s="23" t="n"/>
      <c r="E17" s="23" t="n"/>
      <c r="F17" s="23" t="n"/>
      <c r="G17" s="23" t="n"/>
      <c r="H17" s="23" t="n"/>
    </row>
    <row r="18">
      <c r="A18" s="23" t="n"/>
      <c r="B18" s="23" t="n"/>
      <c r="C18" s="23" t="n"/>
      <c r="D18" s="23" t="n"/>
      <c r="E18" s="23" t="n"/>
      <c r="F18" s="23" t="n"/>
      <c r="G18" s="23" t="n"/>
      <c r="H18" s="23" t="n"/>
    </row>
    <row r="19">
      <c r="A19" s="23" t="n"/>
      <c r="B19" s="23" t="n"/>
      <c r="C19" s="23" t="n"/>
      <c r="D19" s="23" t="n"/>
      <c r="E19" s="23" t="n"/>
      <c r="F19" s="23" t="n"/>
      <c r="G19" s="23" t="n"/>
      <c r="H19" s="23" t="n"/>
    </row>
    <row r="20">
      <c r="A20" s="23" t="n"/>
      <c r="B20" s="23" t="n"/>
      <c r="C20" s="23" t="n"/>
      <c r="D20" s="23" t="n"/>
      <c r="E20" s="23" t="n"/>
      <c r="F20" s="23" t="n"/>
      <c r="G20" s="23" t="n"/>
      <c r="H20" s="23" t="n"/>
    </row>
    <row r="21">
      <c r="A21" s="23" t="n"/>
      <c r="B21" s="23" t="n"/>
      <c r="C21" s="23" t="n"/>
      <c r="D21" s="23" t="n"/>
      <c r="E21" s="23" t="n"/>
      <c r="F21" s="23" t="n"/>
      <c r="G21" s="23" t="n"/>
      <c r="H21" s="23" t="n"/>
    </row>
    <row r="22">
      <c r="A22" s="23" t="n"/>
      <c r="B22" s="23" t="n"/>
      <c r="C22" s="23" t="n"/>
      <c r="D22" s="23" t="n"/>
      <c r="E22" s="23" t="n"/>
      <c r="F22" s="23" t="n"/>
      <c r="G22" s="23" t="n"/>
      <c r="H22" s="23" t="n"/>
    </row>
    <row r="23">
      <c r="A23" s="23" t="n"/>
      <c r="B23" s="23" t="n"/>
      <c r="C23" s="23" t="n"/>
      <c r="D23" s="23" t="n"/>
      <c r="E23" s="23" t="n"/>
      <c r="F23" s="23" t="n"/>
      <c r="G23" s="23" t="n"/>
      <c r="H23" s="23" t="n"/>
    </row>
    <row r="24">
      <c r="A24" s="23" t="n"/>
      <c r="B24" s="23" t="n"/>
      <c r="C24" s="23" t="n"/>
      <c r="D24" s="23" t="n"/>
      <c r="E24" s="23" t="n"/>
      <c r="F24" s="23" t="n"/>
      <c r="G24" s="23" t="n"/>
      <c r="H24" s="23" t="n"/>
    </row>
    <row r="25">
      <c r="A25" s="23" t="n"/>
      <c r="B25" s="23" t="n"/>
      <c r="C25" s="23" t="n"/>
      <c r="D25" s="23" t="n"/>
      <c r="E25" s="23" t="n"/>
      <c r="F25" s="23" t="n"/>
      <c r="G25" s="23" t="n"/>
      <c r="H25" s="23" t="n"/>
    </row>
    <row r="26">
      <c r="A26" s="23" t="n"/>
      <c r="B26" s="23" t="n"/>
      <c r="C26" s="23" t="n"/>
      <c r="D26" s="23" t="n"/>
      <c r="E26" s="23" t="n"/>
      <c r="F26" s="23" t="n"/>
      <c r="G26" s="23" t="n"/>
      <c r="H26" s="23" t="n"/>
    </row>
    <row r="27">
      <c r="A27" s="23" t="n"/>
      <c r="B27" s="23" t="n"/>
      <c r="C27" s="23" t="n"/>
      <c r="D27" s="23" t="n"/>
      <c r="E27" s="23" t="n"/>
      <c r="F27" s="23" t="n"/>
      <c r="G27" s="23" t="n"/>
      <c r="H27" s="23" t="n"/>
    </row>
    <row r="28">
      <c r="A28" s="23" t="n"/>
      <c r="B28" s="23" t="n"/>
      <c r="C28" s="23" t="n"/>
      <c r="D28" s="23" t="n"/>
      <c r="E28" s="23" t="n"/>
      <c r="F28" s="23" t="n"/>
      <c r="G28" s="23" t="n"/>
      <c r="H28" s="23" t="n"/>
    </row>
    <row r="29">
      <c r="A29" s="23" t="n"/>
      <c r="B29" s="23" t="n"/>
      <c r="C29" s="23" t="n"/>
      <c r="D29" s="23" t="n"/>
      <c r="E29" s="23" t="n"/>
      <c r="F29" s="23" t="n"/>
      <c r="G29" s="23" t="n"/>
      <c r="H29" s="23" t="n"/>
    </row>
    <row r="30">
      <c r="A30" s="23" t="n"/>
      <c r="B30" s="23" t="n"/>
      <c r="C30" s="23" t="n"/>
      <c r="D30" s="23" t="n"/>
      <c r="E30" s="23" t="n"/>
      <c r="F30" s="23" t="n"/>
      <c r="G30" s="23" t="n"/>
      <c r="H30" s="23" t="n"/>
    </row>
    <row r="31">
      <c r="A31" s="23" t="n"/>
      <c r="B31" s="23" t="n"/>
      <c r="C31" s="23" t="n"/>
      <c r="D31" s="23" t="n"/>
      <c r="E31" s="23" t="n"/>
      <c r="F31" s="23" t="n"/>
      <c r="G31" s="23" t="n"/>
      <c r="H31" s="23" t="n"/>
    </row>
    <row r="32">
      <c r="A32" s="23" t="n"/>
      <c r="B32" s="23" t="n"/>
      <c r="C32" s="23" t="n"/>
      <c r="D32" s="23" t="n"/>
      <c r="E32" s="23" t="n"/>
      <c r="F32" s="23" t="n"/>
      <c r="G32" s="23" t="n"/>
      <c r="H32" s="23" t="n"/>
    </row>
    <row r="33">
      <c r="A33" s="23" t="n"/>
      <c r="B33" s="23" t="n"/>
      <c r="C33" s="23" t="n"/>
      <c r="D33" s="23" t="n"/>
      <c r="E33" s="23" t="n"/>
      <c r="F33" s="23" t="n"/>
      <c r="G33" s="23" t="n"/>
      <c r="H33" s="23" t="n"/>
    </row>
    <row r="34">
      <c r="A34" s="23" t="n"/>
      <c r="B34" s="23" t="n"/>
      <c r="C34" s="23" t="n"/>
      <c r="D34" s="23" t="n"/>
      <c r="E34" s="23" t="n"/>
      <c r="F34" s="23" t="n"/>
      <c r="G34" s="23" t="n"/>
      <c r="H34" s="23" t="n"/>
    </row>
    <row r="35">
      <c r="A35" s="23" t="n"/>
      <c r="B35" s="23" t="n"/>
      <c r="C35" s="23" t="n"/>
      <c r="D35" s="23" t="n"/>
      <c r="E35" s="23" t="n"/>
      <c r="F35" s="23" t="n"/>
      <c r="G35" s="23" t="n"/>
      <c r="H35" s="23" t="n"/>
    </row>
    <row r="36">
      <c r="A36" s="23" t="n"/>
      <c r="B36" s="23" t="n"/>
      <c r="C36" s="23" t="n"/>
      <c r="D36" s="23" t="n"/>
      <c r="E36" s="23" t="n"/>
      <c r="F36" s="23" t="n"/>
      <c r="G36" s="23" t="n"/>
      <c r="H36" s="23" t="n"/>
    </row>
    <row r="37">
      <c r="A37" s="23" t="n"/>
      <c r="B37" s="23" t="n"/>
      <c r="C37" s="23" t="n"/>
      <c r="D37" s="23" t="n"/>
      <c r="E37" s="23" t="n"/>
      <c r="F37" s="23" t="n"/>
      <c r="G37" s="23" t="n"/>
      <c r="H37" s="23" t="n"/>
    </row>
    <row r="38">
      <c r="A38" s="23" t="n"/>
      <c r="B38" s="23" t="n"/>
      <c r="C38" s="23" t="n"/>
      <c r="D38" s="23" t="n"/>
      <c r="E38" s="23" t="n"/>
      <c r="F38" s="23" t="n"/>
      <c r="G38" s="23" t="n"/>
      <c r="H38" s="23" t="n"/>
    </row>
    <row r="39">
      <c r="A39" s="23" t="n"/>
      <c r="B39" s="23" t="n"/>
      <c r="C39" s="23" t="n"/>
      <c r="D39" s="23" t="n"/>
      <c r="E39" s="23" t="n"/>
      <c r="F39" s="23" t="n"/>
      <c r="G39" s="23" t="n"/>
      <c r="H39" s="23" t="n"/>
    </row>
    <row r="40">
      <c r="A40" s="23" t="n"/>
      <c r="B40" s="23" t="n"/>
      <c r="C40" s="23" t="n"/>
      <c r="D40" s="23" t="n"/>
      <c r="E40" s="23" t="n"/>
      <c r="F40" s="23" t="n"/>
      <c r="G40" s="23" t="n"/>
      <c r="H40" s="23" t="n"/>
    </row>
    <row r="41">
      <c r="A41" s="23" t="n"/>
      <c r="B41" s="23" t="n"/>
      <c r="C41" s="23" t="n"/>
      <c r="D41" s="23" t="n"/>
      <c r="E41" s="23" t="n"/>
      <c r="F41" s="23" t="n"/>
      <c r="G41" s="23" t="n"/>
      <c r="H41" s="23" t="n"/>
    </row>
    <row r="42">
      <c r="A42" s="23" t="n"/>
      <c r="B42" s="23" t="n"/>
      <c r="C42" s="23" t="n"/>
      <c r="D42" s="23" t="n"/>
      <c r="E42" s="23" t="n"/>
      <c r="F42" s="23" t="n"/>
      <c r="G42" s="23" t="n"/>
      <c r="H42" s="23" t="n"/>
    </row>
    <row r="43">
      <c r="A43" s="23" t="n"/>
      <c r="B43" s="23" t="n"/>
      <c r="C43" s="23" t="n"/>
      <c r="D43" s="23" t="n"/>
      <c r="E43" s="23" t="n"/>
      <c r="F43" s="23" t="n"/>
      <c r="G43" s="23" t="n"/>
      <c r="H43" s="23" t="n"/>
    </row>
    <row r="44">
      <c r="A44" s="23" t="n"/>
      <c r="B44" s="23" t="n"/>
      <c r="C44" s="23" t="n"/>
      <c r="D44" s="23" t="n"/>
      <c r="E44" s="23" t="n"/>
      <c r="F44" s="23" t="n"/>
      <c r="G44" s="23" t="n"/>
      <c r="H44" s="23" t="n"/>
    </row>
    <row r="45">
      <c r="A45" s="23" t="n"/>
      <c r="B45" s="23" t="n"/>
      <c r="C45" s="23" t="n"/>
      <c r="D45" s="23" t="n"/>
      <c r="E45" s="23" t="n"/>
      <c r="F45" s="23" t="n"/>
      <c r="G45" s="23" t="n"/>
      <c r="H45" s="23" t="n"/>
    </row>
    <row r="46">
      <c r="A46" s="23" t="n"/>
      <c r="B46" s="23" t="n"/>
      <c r="C46" s="23" t="n"/>
      <c r="D46" s="23" t="n"/>
      <c r="E46" s="23" t="n"/>
      <c r="F46" s="23" t="n"/>
      <c r="G46" s="23" t="n"/>
      <c r="H46" s="23" t="n"/>
    </row>
    <row r="47">
      <c r="A47" s="23" t="n"/>
      <c r="B47" s="23" t="n"/>
      <c r="C47" s="23" t="n"/>
      <c r="D47" s="23" t="n"/>
      <c r="E47" s="23" t="n"/>
      <c r="F47" s="23" t="n"/>
      <c r="G47" s="23" t="n"/>
      <c r="H47" s="23" t="n"/>
    </row>
    <row r="48">
      <c r="A48" s="23" t="n"/>
      <c r="B48" s="23" t="n"/>
      <c r="C48" s="23" t="n"/>
      <c r="D48" s="23" t="n"/>
      <c r="E48" s="23" t="n"/>
      <c r="F48" s="23" t="n"/>
      <c r="G48" s="23" t="n"/>
      <c r="H48" s="23" t="n"/>
    </row>
    <row r="49">
      <c r="A49" s="23" t="n"/>
      <c r="B49" s="23" t="n"/>
      <c r="C49" s="23" t="n"/>
      <c r="D49" s="23" t="n"/>
      <c r="E49" s="23" t="n"/>
      <c r="F49" s="23" t="n"/>
      <c r="G49" s="23" t="n"/>
      <c r="H49" s="23" t="n"/>
    </row>
    <row r="50">
      <c r="A50" s="23" t="n"/>
      <c r="B50" s="23" t="n"/>
      <c r="C50" s="23" t="n"/>
      <c r="D50" s="23" t="n"/>
      <c r="E50" s="23" t="n"/>
      <c r="F50" s="23" t="n"/>
      <c r="G50" s="23" t="n"/>
      <c r="H50" s="23" t="n"/>
    </row>
    <row r="51">
      <c r="A51" s="23" t="n"/>
      <c r="B51" s="23" t="n"/>
      <c r="C51" s="23" t="n"/>
      <c r="D51" s="23" t="n"/>
      <c r="E51" s="23" t="n"/>
      <c r="F51" s="23" t="n"/>
      <c r="G51" s="23" t="n"/>
      <c r="H51" s="23" t="n"/>
    </row>
    <row r="52">
      <c r="A52" s="23" t="n"/>
      <c r="B52" s="23" t="n"/>
      <c r="C52" s="23" t="n"/>
      <c r="D52" s="23" t="n"/>
      <c r="E52" s="23" t="n"/>
      <c r="F52" s="23" t="n"/>
      <c r="G52" s="23" t="n"/>
      <c r="H52" s="23" t="n"/>
    </row>
    <row r="53">
      <c r="A53" s="23" t="n"/>
      <c r="B53" s="23" t="n"/>
      <c r="C53" s="23" t="n"/>
      <c r="D53" s="23" t="n"/>
      <c r="E53" s="23" t="n"/>
      <c r="F53" s="23" t="n"/>
      <c r="G53" s="23" t="n"/>
      <c r="H53" s="23" t="n"/>
    </row>
    <row r="54">
      <c r="A54" s="23" t="n"/>
      <c r="B54" s="23" t="n"/>
      <c r="C54" s="23" t="n"/>
      <c r="D54" s="23" t="n"/>
      <c r="E54" s="23" t="n"/>
      <c r="F54" s="23" t="n"/>
      <c r="G54" s="23" t="n"/>
      <c r="H54" s="23" t="n"/>
    </row>
    <row r="55">
      <c r="A55" s="23" t="n"/>
      <c r="B55" s="23" t="n"/>
      <c r="C55" s="23" t="n"/>
      <c r="D55" s="23" t="n"/>
      <c r="E55" s="23" t="n"/>
      <c r="F55" s="23" t="n"/>
      <c r="G55" s="23" t="n"/>
      <c r="H55" s="23" t="n"/>
    </row>
    <row r="56">
      <c r="A56" s="23" t="n"/>
      <c r="B56" s="23" t="n"/>
      <c r="C56" s="23" t="n"/>
      <c r="D56" s="23" t="n"/>
      <c r="E56" s="23" t="n"/>
      <c r="F56" s="23" t="n"/>
      <c r="G56" s="23" t="n"/>
      <c r="H56" s="23" t="n"/>
    </row>
    <row r="57">
      <c r="A57" s="23" t="n"/>
      <c r="B57" s="23" t="n"/>
      <c r="C57" s="23" t="n"/>
      <c r="D57" s="23" t="n"/>
      <c r="E57" s="23" t="n"/>
      <c r="F57" s="23" t="n"/>
      <c r="G57" s="23" t="n"/>
      <c r="H57" s="23" t="n"/>
    </row>
    <row r="58">
      <c r="A58" s="23" t="n"/>
      <c r="B58" s="23" t="n"/>
      <c r="C58" s="23" t="n"/>
      <c r="D58" s="23" t="n"/>
      <c r="E58" s="23" t="n"/>
      <c r="F58" s="23" t="n"/>
      <c r="G58" s="23" t="n"/>
      <c r="H58" s="23" t="n"/>
    </row>
    <row r="59">
      <c r="A59" s="23" t="n"/>
      <c r="B59" s="23" t="n"/>
      <c r="C59" s="23" t="n"/>
      <c r="D59" s="23" t="n"/>
      <c r="E59" s="23" t="n"/>
      <c r="F59" s="23" t="n"/>
      <c r="G59" s="23" t="n"/>
      <c r="H59" s="23" t="n"/>
    </row>
    <row r="60">
      <c r="A60" s="23" t="n"/>
      <c r="B60" s="23" t="n"/>
      <c r="C60" s="23" t="n"/>
      <c r="D60" s="23" t="n"/>
      <c r="E60" s="23" t="n"/>
      <c r="F60" s="23" t="n"/>
      <c r="G60" s="23" t="n"/>
      <c r="H60" s="23" t="n"/>
    </row>
    <row r="61">
      <c r="A61" s="23" t="n"/>
      <c r="B61" s="23" t="n"/>
      <c r="C61" s="23" t="n"/>
      <c r="D61" s="23" t="n"/>
      <c r="E61" s="23" t="n"/>
      <c r="F61" s="23" t="n"/>
      <c r="G61" s="23" t="n"/>
      <c r="H61" s="23" t="n"/>
    </row>
    <row r="62">
      <c r="A62" s="23" t="n"/>
      <c r="B62" s="23" t="n"/>
      <c r="C62" s="23" t="n"/>
      <c r="D62" s="23" t="n"/>
      <c r="E62" s="23" t="n"/>
      <c r="F62" s="23" t="n"/>
      <c r="G62" s="23" t="n"/>
      <c r="H62" s="23" t="n"/>
    </row>
    <row r="63">
      <c r="A63" s="23" t="n"/>
      <c r="B63" s="23" t="n"/>
      <c r="C63" s="23" t="n"/>
      <c r="D63" s="23" t="n"/>
      <c r="E63" s="23" t="n"/>
      <c r="F63" s="23" t="n"/>
      <c r="G63" s="23" t="n"/>
      <c r="H63" s="23" t="n"/>
    </row>
    <row r="64">
      <c r="A64" s="23" t="n"/>
      <c r="B64" s="23" t="n"/>
      <c r="C64" s="23" t="n"/>
      <c r="D64" s="23" t="n"/>
      <c r="E64" s="23" t="n"/>
      <c r="F64" s="23" t="n"/>
      <c r="G64" s="23" t="n"/>
      <c r="H64" s="23" t="n"/>
    </row>
    <row r="65">
      <c r="A65" s="23" t="n"/>
      <c r="B65" s="23" t="n"/>
      <c r="C65" s="23" t="n"/>
      <c r="D65" s="23" t="n"/>
      <c r="E65" s="23" t="n"/>
      <c r="F65" s="23" t="n"/>
      <c r="G65" s="23" t="n"/>
      <c r="H65" s="23" t="n"/>
    </row>
    <row r="66">
      <c r="A66" s="23" t="n"/>
      <c r="B66" s="23" t="n"/>
      <c r="C66" s="23" t="n"/>
      <c r="D66" s="23" t="n"/>
      <c r="E66" s="23" t="n"/>
      <c r="F66" s="23" t="n"/>
      <c r="G66" s="23" t="n"/>
      <c r="H66" s="23" t="n"/>
    </row>
    <row r="67">
      <c r="A67" s="23" t="n"/>
      <c r="B67" s="23" t="n"/>
      <c r="C67" s="23" t="n"/>
      <c r="D67" s="23" t="n"/>
      <c r="E67" s="23" t="n"/>
      <c r="F67" s="23" t="n"/>
      <c r="G67" s="23" t="n"/>
      <c r="H67" s="23" t="n"/>
    </row>
    <row r="68">
      <c r="A68" s="23" t="n"/>
      <c r="B68" s="23" t="n"/>
      <c r="C68" s="23" t="n"/>
      <c r="D68" s="23" t="n"/>
      <c r="E68" s="23" t="n"/>
      <c r="F68" s="23" t="n"/>
      <c r="G68" s="23" t="n"/>
      <c r="H68" s="23" t="n"/>
    </row>
    <row r="69">
      <c r="A69" s="23" t="n"/>
      <c r="B69" s="23" t="n"/>
      <c r="C69" s="23" t="n"/>
      <c r="D69" s="23" t="n"/>
      <c r="E69" s="23" t="n"/>
      <c r="F69" s="23" t="n"/>
      <c r="G69" s="23" t="n"/>
      <c r="H69" s="23" t="n"/>
    </row>
    <row r="70">
      <c r="A70" s="23" t="n"/>
      <c r="B70" s="23" t="n"/>
      <c r="C70" s="23" t="n"/>
      <c r="D70" s="23" t="n"/>
      <c r="E70" s="23" t="n"/>
      <c r="F70" s="23" t="n"/>
      <c r="G70" s="23" t="n"/>
      <c r="H70" s="23" t="n"/>
    </row>
    <row r="71">
      <c r="A71" s="23" t="n"/>
      <c r="B71" s="23" t="n"/>
      <c r="C71" s="23" t="n"/>
      <c r="D71" s="23" t="n"/>
      <c r="E71" s="23" t="n"/>
      <c r="F71" s="23" t="n"/>
      <c r="G71" s="23" t="n"/>
      <c r="H71" s="23" t="n"/>
    </row>
    <row r="72">
      <c r="A72" s="23" t="n"/>
      <c r="B72" s="23" t="n"/>
      <c r="C72" s="23" t="n"/>
      <c r="D72" s="23" t="n"/>
      <c r="E72" s="23" t="n"/>
      <c r="F72" s="23" t="n"/>
      <c r="G72" s="23" t="n"/>
      <c r="H72" s="23" t="n"/>
    </row>
    <row r="73">
      <c r="A73" s="23" t="n"/>
      <c r="B73" s="23" t="n"/>
      <c r="C73" s="23" t="n"/>
      <c r="D73" s="23" t="n"/>
      <c r="E73" s="23" t="n"/>
      <c r="F73" s="23" t="n"/>
      <c r="G73" s="23" t="n"/>
      <c r="H73" s="23" t="n"/>
    </row>
    <row r="74">
      <c r="A74" s="23" t="n"/>
      <c r="B74" s="23" t="n"/>
      <c r="C74" s="23" t="n"/>
      <c r="D74" s="23" t="n"/>
      <c r="E74" s="23" t="n"/>
      <c r="F74" s="23" t="n"/>
      <c r="G74" s="23" t="n"/>
      <c r="H74" s="23" t="n"/>
    </row>
    <row r="75">
      <c r="A75" s="23" t="n"/>
      <c r="B75" s="23" t="n"/>
      <c r="C75" s="23" t="n"/>
      <c r="D75" s="23" t="n"/>
      <c r="E75" s="23" t="n"/>
      <c r="F75" s="23" t="n"/>
      <c r="G75" s="23" t="n"/>
      <c r="H75" s="23" t="n"/>
    </row>
    <row r="76">
      <c r="A76" s="23" t="n"/>
      <c r="B76" s="23" t="n"/>
      <c r="C76" s="23" t="n"/>
      <c r="D76" s="23" t="n"/>
      <c r="E76" s="23" t="n"/>
      <c r="F76" s="23" t="n"/>
      <c r="G76" s="23" t="n"/>
      <c r="H76" s="23" t="n"/>
    </row>
    <row r="77">
      <c r="A77" s="23" t="n"/>
      <c r="B77" s="23" t="n"/>
      <c r="C77" s="23" t="n"/>
      <c r="D77" s="23" t="n"/>
      <c r="E77" s="23" t="n"/>
      <c r="F77" s="23" t="n"/>
      <c r="G77" s="23" t="n"/>
      <c r="H77" s="23" t="n"/>
    </row>
    <row r="78">
      <c r="A78" s="23" t="n"/>
      <c r="B78" s="23" t="n"/>
      <c r="C78" s="23" t="n"/>
      <c r="D78" s="23" t="n"/>
      <c r="E78" s="23" t="n"/>
      <c r="F78" s="23" t="n"/>
      <c r="G78" s="23" t="n"/>
      <c r="H78" s="23" t="n"/>
    </row>
    <row r="79">
      <c r="A79" s="23" t="n"/>
      <c r="B79" s="23" t="n"/>
      <c r="C79" s="23" t="n"/>
      <c r="D79" s="23" t="n"/>
      <c r="E79" s="23" t="n"/>
      <c r="F79" s="23" t="n"/>
      <c r="G79" s="23" t="n"/>
      <c r="H79" s="23" t="n"/>
    </row>
    <row r="80">
      <c r="A80" s="23" t="n"/>
      <c r="B80" s="23" t="n"/>
      <c r="C80" s="23" t="n"/>
      <c r="D80" s="23" t="n"/>
      <c r="E80" s="23" t="n"/>
      <c r="F80" s="23" t="n"/>
      <c r="G80" s="23" t="n"/>
      <c r="H80" s="23" t="n"/>
    </row>
    <row r="81">
      <c r="A81" s="23" t="n"/>
      <c r="B81" s="23" t="n"/>
      <c r="C81" s="23" t="n"/>
      <c r="D81" s="23" t="n"/>
      <c r="E81" s="23" t="n"/>
      <c r="F81" s="23" t="n"/>
      <c r="G81" s="23" t="n"/>
      <c r="H81" s="23" t="n"/>
    </row>
    <row r="82">
      <c r="A82" s="23" t="n"/>
      <c r="B82" s="23" t="n"/>
      <c r="C82" s="23" t="n"/>
      <c r="D82" s="23" t="n"/>
      <c r="E82" s="23" t="n"/>
      <c r="F82" s="23" t="n"/>
      <c r="G82" s="23" t="n"/>
      <c r="H82" s="23" t="n"/>
    </row>
    <row r="83">
      <c r="A83" s="23" t="n"/>
      <c r="B83" s="23" t="n"/>
      <c r="C83" s="23" t="n"/>
      <c r="D83" s="23" t="n"/>
      <c r="E83" s="23" t="n"/>
      <c r="F83" s="23" t="n"/>
      <c r="G83" s="23" t="n"/>
      <c r="H83" s="23" t="n"/>
    </row>
    <row r="84">
      <c r="A84" s="23" t="n"/>
      <c r="B84" s="23" t="n"/>
      <c r="C84" s="23" t="n"/>
      <c r="D84" s="23" t="n"/>
      <c r="E84" s="23" t="n"/>
      <c r="F84" s="23" t="n"/>
      <c r="G84" s="23" t="n"/>
      <c r="H84" s="23" t="n"/>
    </row>
    <row r="85">
      <c r="A85" s="23" t="n"/>
      <c r="B85" s="23" t="n"/>
      <c r="C85" s="23" t="n"/>
      <c r="D85" s="23" t="n"/>
      <c r="E85" s="23" t="n"/>
      <c r="F85" s="23" t="n"/>
      <c r="G85" s="23" t="n"/>
      <c r="H85" s="23" t="n"/>
    </row>
    <row r="86">
      <c r="A86" s="23" t="n"/>
      <c r="B86" s="23" t="n"/>
      <c r="C86" s="23" t="n"/>
      <c r="D86" s="23" t="n"/>
      <c r="E86" s="23" t="n"/>
      <c r="F86" s="23" t="n"/>
      <c r="G86" s="23" t="n"/>
      <c r="H86" s="23" t="n"/>
    </row>
    <row r="87">
      <c r="A87" s="23" t="n"/>
      <c r="B87" s="23" t="n"/>
      <c r="C87" s="23" t="n"/>
      <c r="D87" s="23" t="n"/>
      <c r="E87" s="23" t="n"/>
      <c r="F87" s="23" t="n"/>
      <c r="G87" s="23" t="n"/>
      <c r="H87" s="23" t="n"/>
    </row>
    <row r="88">
      <c r="A88" s="23" t="n"/>
      <c r="B88" s="23" t="n"/>
      <c r="C88" s="23" t="n"/>
      <c r="D88" s="23" t="n"/>
      <c r="E88" s="23" t="n"/>
      <c r="F88" s="23" t="n"/>
      <c r="G88" s="23" t="n"/>
      <c r="H88" s="23" t="n"/>
    </row>
    <row r="89">
      <c r="A89" s="23" t="n"/>
      <c r="B89" s="23" t="n"/>
      <c r="C89" s="23" t="n"/>
      <c r="D89" s="23" t="n"/>
      <c r="E89" s="23" t="n"/>
      <c r="F89" s="23" t="n"/>
      <c r="G89" s="23" t="n"/>
      <c r="H89" s="23" t="n"/>
    </row>
    <row r="90">
      <c r="A90" s="23" t="n"/>
      <c r="B90" s="23" t="n"/>
      <c r="C90" s="23" t="n"/>
      <c r="D90" s="23" t="n"/>
      <c r="E90" s="23" t="n"/>
      <c r="F90" s="23" t="n"/>
      <c r="G90" s="23" t="n"/>
      <c r="H90" s="23" t="n"/>
    </row>
    <row r="91">
      <c r="A91" s="23" t="n"/>
      <c r="B91" s="23" t="n"/>
      <c r="C91" s="23" t="n"/>
      <c r="D91" s="23" t="n"/>
      <c r="E91" s="23" t="n"/>
      <c r="F91" s="23" t="n"/>
      <c r="G91" s="23" t="n"/>
      <c r="H91" s="23" t="n"/>
    </row>
    <row r="92">
      <c r="A92" s="23" t="n"/>
      <c r="B92" s="23" t="n"/>
      <c r="C92" s="23" t="n"/>
      <c r="D92" s="23" t="n"/>
      <c r="E92" s="23" t="n"/>
      <c r="F92" s="23" t="n"/>
      <c r="G92" s="23" t="n"/>
      <c r="H92" s="23" t="n"/>
    </row>
    <row r="93">
      <c r="A93" s="23" t="n"/>
      <c r="B93" s="23" t="n"/>
      <c r="C93" s="23" t="n"/>
      <c r="D93" s="23" t="n"/>
      <c r="E93" s="23" t="n"/>
      <c r="F93" s="23" t="n"/>
      <c r="G93" s="23" t="n"/>
      <c r="H93" s="23" t="n"/>
    </row>
    <row r="94">
      <c r="A94" s="23" t="n"/>
      <c r="B94" s="23" t="n"/>
      <c r="C94" s="23" t="n"/>
      <c r="D94" s="23" t="n"/>
      <c r="E94" s="23" t="n"/>
      <c r="F94" s="23" t="n"/>
      <c r="G94" s="23" t="n"/>
      <c r="H94" s="23" t="n"/>
    </row>
    <row r="95">
      <c r="A95" s="23" t="n"/>
      <c r="B95" s="23" t="n"/>
      <c r="C95" s="23" t="n"/>
      <c r="D95" s="23" t="n"/>
      <c r="E95" s="23" t="n"/>
      <c r="F95" s="23" t="n"/>
      <c r="G95" s="23" t="n"/>
      <c r="H95" s="23" t="n"/>
    </row>
    <row r="96">
      <c r="A96" s="23" t="n"/>
      <c r="B96" s="23" t="n"/>
      <c r="C96" s="23" t="n"/>
      <c r="D96" s="23" t="n"/>
      <c r="E96" s="23" t="n"/>
      <c r="F96" s="23" t="n"/>
      <c r="G96" s="23" t="n"/>
      <c r="H96" s="23" t="n"/>
    </row>
    <row r="97">
      <c r="A97" s="23" t="n"/>
      <c r="B97" s="23" t="n"/>
      <c r="C97" s="23" t="n"/>
      <c r="D97" s="23" t="n"/>
      <c r="E97" s="23" t="n"/>
      <c r="F97" s="23" t="n"/>
      <c r="G97" s="23" t="n"/>
      <c r="H97" s="23" t="n"/>
    </row>
    <row r="98">
      <c r="A98" s="23" t="n"/>
      <c r="B98" s="23" t="n"/>
      <c r="C98" s="23" t="n"/>
      <c r="D98" s="23" t="n"/>
      <c r="E98" s="23" t="n"/>
      <c r="F98" s="23" t="n"/>
      <c r="G98" s="23" t="n"/>
      <c r="H98" s="23" t="n"/>
    </row>
    <row r="99">
      <c r="A99" s="23" t="n"/>
      <c r="B99" s="23" t="n"/>
      <c r="C99" s="23" t="n"/>
      <c r="D99" s="23" t="n"/>
      <c r="E99" s="23" t="n"/>
      <c r="F99" s="23" t="n"/>
      <c r="G99" s="23" t="n"/>
      <c r="H99" s="23" t="n"/>
    </row>
    <row r="100">
      <c r="A100" s="23" t="n"/>
      <c r="B100" s="23" t="n"/>
      <c r="C100" s="23" t="n"/>
      <c r="D100" s="23" t="n"/>
      <c r="E100" s="23" t="n"/>
      <c r="F100" s="23" t="n"/>
      <c r="G100" s="23" t="n"/>
      <c r="H100" s="23" t="n"/>
    </row>
    <row r="101">
      <c r="A101" s="23" t="n"/>
      <c r="B101" s="23" t="n"/>
      <c r="C101" s="23" t="n"/>
      <c r="D101" s="23" t="n"/>
      <c r="E101" s="23" t="n"/>
      <c r="F101" s="23" t="n"/>
      <c r="G101" s="23" t="n"/>
      <c r="H101" s="23" t="n"/>
    </row>
    <row r="102">
      <c r="A102" s="23" t="n"/>
      <c r="B102" s="23" t="n"/>
      <c r="C102" s="23" t="n"/>
      <c r="D102" s="23" t="n"/>
      <c r="E102" s="23" t="n"/>
      <c r="F102" s="23" t="n"/>
      <c r="G102" s="23" t="n"/>
      <c r="H102" s="23" t="n"/>
    </row>
    <row r="103">
      <c r="A103" s="23" t="n"/>
      <c r="B103" s="23" t="n"/>
      <c r="C103" s="23" t="n"/>
      <c r="D103" s="23" t="n"/>
      <c r="E103" s="23" t="n"/>
      <c r="F103" s="23" t="n"/>
      <c r="G103" s="23" t="n"/>
      <c r="H103" s="23" t="n"/>
    </row>
    <row r="104">
      <c r="A104" s="23" t="n"/>
      <c r="B104" s="23" t="n"/>
      <c r="C104" s="23" t="n"/>
      <c r="D104" s="23" t="n"/>
      <c r="E104" s="23" t="n"/>
      <c r="F104" s="23" t="n"/>
      <c r="G104" s="23" t="n"/>
      <c r="H104" s="23" t="n"/>
    </row>
    <row r="105">
      <c r="A105" s="23" t="n"/>
      <c r="B105" s="23" t="n"/>
      <c r="C105" s="23" t="n"/>
      <c r="D105" s="23" t="n"/>
      <c r="E105" s="23" t="n"/>
      <c r="F105" s="23" t="n"/>
      <c r="G105" s="23" t="n"/>
      <c r="H105" s="23" t="n"/>
    </row>
  </sheetData>
  <mergeCells count="2">
    <mergeCell ref="A2:H2"/>
    <mergeCell ref="A1:H1"/>
  </mergeCells>
  <dataValidations count="1">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"Obligation Definition,NDA Copy,Acknowledgement Form,Enforcement Record,Expiration Report,Other"</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1"/>
  <sheetViews>
    <sheetView showGridLines="0" workbookViewId="0">
      <pane ySplit="3" topLeftCell="A4" activePane="bottomLeft" state="frozen"/>
      <selection pane="bottomLeft" activeCell="A1" sqref="A1"/>
    </sheetView>
  </sheetViews>
  <sheetFormatPr baseColWidth="8" defaultRowHeight="15"/>
  <cols>
    <col width="45" customWidth="1" min="1" max="1"/>
    <col width="14" customWidth="1" min="2" max="2"/>
    <col width="14" customWidth="1" min="3" max="3"/>
    <col width="14" customWidth="1" min="4" max="4"/>
    <col width="16" customWidth="1" min="5" max="5"/>
    <col width="12" customWidth="1" min="6" max="6"/>
    <col width="14" customWidth="1" min="7" max="7"/>
  </cols>
  <sheetData>
    <row r="1" ht="35" customHeight="1">
      <c r="A1" s="18" t="inlineStr">
        <is>
          <t>Post Employment Obligations — SUMMARY DASHBOARD</t>
        </is>
      </c>
      <c r="B1" s="6" t="n"/>
      <c r="C1" s="6" t="n"/>
      <c r="D1" s="6" t="n"/>
      <c r="E1" s="6" t="n"/>
      <c r="F1" s="6" t="n"/>
      <c r="G1" s="6" t="n"/>
    </row>
    <row r="2">
      <c r="A2" s="24" t="inlineStr">
        <is>
          <t>ISMS-IMP-A.6.4-5.S3 | ISO/IEC 27001:2022 - Control A.6.4-5: Disciplinary Process and Employment Exit</t>
        </is>
      </c>
    </row>
    <row r="4">
      <c r="A4" s="25" t="inlineStr">
        <is>
          <t>TABLE 1: ASSESSMENT AREA COMPLIANCE OVERVIEW</t>
        </is>
      </c>
      <c r="B4" s="6" t="n"/>
      <c r="C4" s="6" t="n"/>
      <c r="D4" s="6" t="n"/>
      <c r="E4" s="6" t="n"/>
      <c r="F4" s="6" t="n"/>
      <c r="G4" s="6" t="n"/>
    </row>
    <row r="5">
      <c r="A5" s="26" t="inlineStr">
        <is>
          <t>Assessment Area</t>
        </is>
      </c>
      <c r="B5" s="26" t="inlineStr">
        <is>
          <t>Total Items</t>
        </is>
      </c>
      <c r="C5" s="26" t="inlineStr">
        <is>
          <t>Compliant</t>
        </is>
      </c>
      <c r="D5" s="26" t="inlineStr">
        <is>
          <t>Partial</t>
        </is>
      </c>
      <c r="E5" s="26" t="inlineStr">
        <is>
          <t>Non-Compliant</t>
        </is>
      </c>
      <c r="F5" s="26" t="inlineStr">
        <is>
          <t>N/A</t>
        </is>
      </c>
      <c r="G5" s="26" t="inlineStr">
        <is>
          <t>Compliance %</t>
        </is>
      </c>
    </row>
    <row r="6">
      <c r="A6" s="27" t="inlineStr">
        <is>
          <t>Former Personnel Obligations</t>
        </is>
      </c>
      <c r="B6" s="28">
        <f>COUNTA('Former Personnel'!A5:A54)</f>
        <v/>
      </c>
      <c r="C6" s="28">
        <f>COUNTIF('Former Personnel'!I5:I54,"All Expired")</f>
        <v/>
      </c>
      <c r="D6" s="28">
        <f>COUNTIF('Former Personnel'!I5:I54,"Active Obligations")</f>
        <v/>
      </c>
      <c r="E6" s="28">
        <f>COUNTIF('Former Personnel'!I5:I54,"Under Enforcement")</f>
        <v/>
      </c>
      <c r="F6" s="28" t="inlineStr">
        <is>
          <t>0</t>
        </is>
      </c>
      <c r="G6" s="29">
        <f>IF((B6-F6)=0,0,C6/(B6-F6))</f>
        <v/>
      </c>
    </row>
    <row r="7">
      <c r="A7" s="27" t="inlineStr">
        <is>
          <t>Active Obligations Management</t>
        </is>
      </c>
      <c r="B7" s="28">
        <f>COUNTA('Active Obligations'!A5:A54)</f>
        <v/>
      </c>
      <c r="C7" s="28">
        <f>COUNTIF('Active Obligations'!H5:H54,"Active")+COUNTIF('Active Obligations'!H5:H54,"Waived")</f>
        <v/>
      </c>
      <c r="D7" s="28">
        <f>COUNTIF('Active Obligations'!H5:H54,"Expired")</f>
        <v/>
      </c>
      <c r="E7" s="28">
        <f>COUNTIF('Active Obligations'!H5:H54,"Under Enforcement")</f>
        <v/>
      </c>
      <c r="F7" s="28" t="inlineStr">
        <is>
          <t>0</t>
        </is>
      </c>
      <c r="G7" s="29">
        <f>IF((B7-F7)=0,0,C7/(B7-F7))</f>
        <v/>
      </c>
    </row>
    <row r="8">
      <c r="A8" s="27" t="inlineStr">
        <is>
          <t>Exit Acknowledgements</t>
        </is>
      </c>
      <c r="B8" s="28">
        <f>COUNTA('Acknowledgement Log'!A5:A54)</f>
        <v/>
      </c>
      <c r="C8" s="28">
        <f>COUNTIF('Acknowledgement Log'!G5:G54,"Yes")</f>
        <v/>
      </c>
      <c r="D8" s="28">
        <f>COUNTIF('Acknowledgement Log'!D5:D54,"Email Confirmation")</f>
        <v/>
      </c>
      <c r="E8" s="28">
        <f>COUNTIF('Acknowledgement Log'!G5:G54,"No")</f>
        <v/>
      </c>
      <c r="F8" s="28">
        <f>COUNTIF('Acknowledgement Log'!D5:D54,"Refused")</f>
        <v/>
      </c>
      <c r="G8" s="29">
        <f>IF((B8-F8)=0,0,C8/(B8-F8))</f>
        <v/>
      </c>
    </row>
    <row r="9">
      <c r="A9" s="27" t="inlineStr">
        <is>
          <t>Enforcement Cases</t>
        </is>
      </c>
      <c r="B9" s="28">
        <f>COUNTA('Enforcement Register'!A5:A54)</f>
        <v/>
      </c>
      <c r="C9" s="28">
        <f>COUNTIF('Enforcement Register'!H5:H54,"Resolved")+COUNTIF('Enforcement Register'!H5:H54,"No Action Required")</f>
        <v/>
      </c>
      <c r="D9" s="28">
        <f>COUNTIF('Enforcement Register'!H5:H54,"Cease and Desist Sent")</f>
        <v/>
      </c>
      <c r="E9" s="28">
        <f>COUNTIF('Enforcement Register'!H5:H54,"Under Investigation")+COUNTIF('Enforcement Register'!H5:H54,"Legal Action Initiated")</f>
        <v/>
      </c>
      <c r="F9" s="28" t="inlineStr">
        <is>
          <t>0</t>
        </is>
      </c>
      <c r="G9" s="29">
        <f>IF((B9-F9)=0,0,C9/(B9-F9))</f>
        <v/>
      </c>
    </row>
    <row r="10">
      <c r="A10" s="30" t="inlineStr">
        <is>
          <t>TOTAL</t>
        </is>
      </c>
      <c r="B10" s="31">
        <f>SUM(B6:B9)</f>
        <v/>
      </c>
      <c r="C10" s="31">
        <f>SUM(C6:C9)</f>
        <v/>
      </c>
      <c r="D10" s="31">
        <f>SUM(D6:D9)</f>
        <v/>
      </c>
      <c r="E10" s="31">
        <f>SUM(E6:E9)</f>
        <v/>
      </c>
      <c r="F10" s="31">
        <f>SUM(F6:F9)</f>
        <v/>
      </c>
      <c r="G10" s="32">
        <f>IF((B10-F10)=0,0,C10/(B10-F10))</f>
        <v/>
      </c>
    </row>
    <row r="12">
      <c r="A12" s="25" t="inlineStr">
        <is>
          <t>TABLE 2: KEY METRICS</t>
        </is>
      </c>
      <c r="B12" s="6" t="n"/>
      <c r="C12" s="6" t="n"/>
      <c r="D12" s="6" t="n"/>
      <c r="E12" s="6" t="n"/>
      <c r="F12" s="6" t="n"/>
      <c r="G12" s="6" t="n"/>
    </row>
    <row r="13">
      <c r="A13" s="31" t="inlineStr">
        <is>
          <t>Metric</t>
        </is>
      </c>
      <c r="B13" s="31" t="inlineStr">
        <is>
          <t>Value</t>
        </is>
      </c>
      <c r="C13" s="31" t="n"/>
      <c r="D13" s="31" t="n"/>
      <c r="E13" s="31" t="n"/>
      <c r="F13" s="31" t="n"/>
      <c r="G13" s="31" t="n"/>
    </row>
    <row r="14">
      <c r="A14" s="27" t="inlineStr">
        <is>
          <t>Total Former Personnel Tracked</t>
        </is>
      </c>
      <c r="B14" s="28">
        <f>COUNTA('Former Personnel'!A5:A54)</f>
        <v/>
      </c>
      <c r="C14" s="6" t="n"/>
      <c r="D14" s="6" t="n"/>
      <c r="E14" s="6" t="n"/>
      <c r="F14" s="6" t="n"/>
      <c r="G14" s="6" t="n"/>
    </row>
    <row r="15">
      <c r="A15" s="27" t="inlineStr">
        <is>
          <t>Former Personnel: Active Obligations</t>
        </is>
      </c>
      <c r="B15" s="28">
        <f>COUNTIF('Former Personnel'!I5:I54,"Active Obligations")</f>
        <v/>
      </c>
      <c r="C15" s="6" t="n"/>
      <c r="D15" s="6" t="n"/>
      <c r="E15" s="6" t="n"/>
      <c r="F15" s="6" t="n"/>
      <c r="G15" s="6" t="n"/>
    </row>
    <row r="16">
      <c r="A16" s="27" t="inlineStr">
        <is>
          <t>Former Personnel: All Obligations Expired</t>
        </is>
      </c>
      <c r="B16" s="28">
        <f>COUNTIF('Former Personnel'!I5:I54,"All Expired")</f>
        <v/>
      </c>
      <c r="C16" s="6" t="n"/>
      <c r="D16" s="6" t="n"/>
      <c r="E16" s="6" t="n"/>
      <c r="F16" s="6" t="n"/>
      <c r="G16" s="6" t="n"/>
    </row>
    <row r="17">
      <c r="A17" s="27" t="inlineStr">
        <is>
          <t>Former Personnel: Under Enforcement</t>
        </is>
      </c>
      <c r="B17" s="28">
        <f>COUNTIF('Former Personnel'!I5:I54,"Under Enforcement")</f>
        <v/>
      </c>
      <c r="C17" s="6" t="n"/>
      <c r="D17" s="6" t="n"/>
      <c r="E17" s="6" t="n"/>
      <c r="F17" s="6" t="n"/>
      <c r="G17" s="6" t="n"/>
    </row>
    <row r="18">
      <c r="A18" s="27" t="inlineStr">
        <is>
          <t>Former Privileged or Executive Staff</t>
        </is>
      </c>
      <c r="B18" s="28">
        <f>COUNTIF('Former Personnel'!F5:F54,"Privileged")+COUNTIF('Former Personnel'!F5:F54,"Executive")</f>
        <v/>
      </c>
      <c r="C18" s="6" t="n"/>
      <c r="D18" s="6" t="n"/>
      <c r="E18" s="6" t="n"/>
      <c r="F18" s="6" t="n"/>
      <c r="G18" s="6" t="n"/>
    </row>
    <row r="19">
      <c r="A19" s="27" t="inlineStr">
        <is>
          <t>Total Active Obligations Logged</t>
        </is>
      </c>
      <c r="B19" s="28">
        <f>COUNTA('Active Obligations'!A5:A54)</f>
        <v/>
      </c>
      <c r="C19" s="6" t="n"/>
      <c r="D19" s="6" t="n"/>
      <c r="E19" s="6" t="n"/>
      <c r="F19" s="6" t="n"/>
      <c r="G19" s="6" t="n"/>
    </row>
    <row r="20">
      <c r="A20" s="27" t="inlineStr">
        <is>
          <t>Active Obligations: Currently Active</t>
        </is>
      </c>
      <c r="B20" s="28">
        <f>COUNTIF('Active Obligations'!H5:H54,"Active")</f>
        <v/>
      </c>
      <c r="C20" s="6" t="n"/>
      <c r="D20" s="6" t="n"/>
      <c r="E20" s="6" t="n"/>
      <c r="F20" s="6" t="n"/>
      <c r="G20" s="6" t="n"/>
    </row>
    <row r="21">
      <c r="A21" s="27" t="inlineStr">
        <is>
          <t>Active Obligations: Expired</t>
        </is>
      </c>
      <c r="B21" s="28">
        <f>COUNTIF('Active Obligations'!H5:H54,"Expired")</f>
        <v/>
      </c>
      <c r="C21" s="6" t="n"/>
      <c r="D21" s="6" t="n"/>
      <c r="E21" s="6" t="n"/>
      <c r="F21" s="6" t="n"/>
      <c r="G21" s="6" t="n"/>
    </row>
    <row r="22">
      <c r="A22" s="27" t="inlineStr">
        <is>
          <t>Active Obligations: Under Enforcement</t>
        </is>
      </c>
      <c r="B22" s="28">
        <f>COUNTIF('Active Obligations'!H5:H54,"Under Enforcement")</f>
        <v/>
      </c>
      <c r="C22" s="6" t="n"/>
      <c r="D22" s="6" t="n"/>
      <c r="E22" s="6" t="n"/>
      <c r="F22" s="6" t="n"/>
      <c r="G22" s="6" t="n"/>
    </row>
    <row r="23">
      <c r="A23" s="27" t="inlineStr">
        <is>
          <t>Total Acknowledgements Obtained</t>
        </is>
      </c>
      <c r="B23" s="28">
        <f>COUNTA('Acknowledgement Log'!A5:A54)</f>
        <v/>
      </c>
      <c r="C23" s="6" t="n"/>
      <c r="D23" s="6" t="n"/>
      <c r="E23" s="6" t="n"/>
      <c r="F23" s="6" t="n"/>
      <c r="G23" s="6" t="n"/>
    </row>
    <row r="24">
      <c r="A24" s="27" t="inlineStr">
        <is>
          <t>Acknowledgements with Signed Document</t>
        </is>
      </c>
      <c r="B24" s="28">
        <f>COUNTIF('Acknowledgement Log'!G5:G54,"Yes")</f>
        <v/>
      </c>
      <c r="C24" s="6" t="n"/>
      <c r="D24" s="6" t="n"/>
      <c r="E24" s="6" t="n"/>
      <c r="F24" s="6" t="n"/>
      <c r="G24" s="6" t="n"/>
    </row>
    <row r="25">
      <c r="A25" s="27" t="inlineStr">
        <is>
          <t>Acknowledgements Refused</t>
        </is>
      </c>
      <c r="B25" s="28">
        <f>COUNTIF('Acknowledgement Log'!D5:D54,"Refused")</f>
        <v/>
      </c>
      <c r="C25" s="6" t="n"/>
      <c r="D25" s="6" t="n"/>
      <c r="E25" s="6" t="n"/>
      <c r="F25" s="6" t="n"/>
      <c r="G25" s="6" t="n"/>
    </row>
    <row r="26">
      <c r="A26" s="27" t="inlineStr">
        <is>
          <t>Total Enforcement Cases</t>
        </is>
      </c>
      <c r="B26" s="28">
        <f>COUNTA('Enforcement Register'!A5:A54)</f>
        <v/>
      </c>
      <c r="C26" s="6" t="n"/>
      <c r="D26" s="6" t="n"/>
      <c r="E26" s="6" t="n"/>
      <c r="F26" s="6" t="n"/>
      <c r="G26" s="6" t="n"/>
    </row>
    <row r="27">
      <c r="A27" s="27" t="inlineStr">
        <is>
          <t>Enforcement Cases Resolved</t>
        </is>
      </c>
      <c r="B27" s="28">
        <f>COUNTIF('Enforcement Register'!H5:H54,"Resolved")+COUNTIF('Enforcement Register'!H5:H54,"No Action Required")</f>
        <v/>
      </c>
      <c r="C27" s="6" t="n"/>
      <c r="D27" s="6" t="n"/>
      <c r="E27" s="6" t="n"/>
      <c r="F27" s="6" t="n"/>
      <c r="G27" s="6" t="n"/>
    </row>
    <row r="28">
      <c r="A28" s="6" t="n"/>
      <c r="B28" s="6" t="n"/>
      <c r="C28" s="6" t="n"/>
      <c r="D28" s="6" t="n"/>
      <c r="E28" s="6" t="n"/>
      <c r="F28" s="6" t="n"/>
      <c r="G28" s="6" t="n"/>
    </row>
    <row r="29">
      <c r="A29" s="6" t="n"/>
      <c r="B29" s="6" t="n"/>
      <c r="C29" s="6" t="n"/>
      <c r="D29" s="6" t="n"/>
      <c r="E29" s="6" t="n"/>
      <c r="F29" s="6" t="n"/>
      <c r="G29" s="6" t="n"/>
    </row>
    <row r="31">
      <c r="A31" s="33" t="inlineStr">
        <is>
          <t>TABLE 3: CRITICAL FINDINGS REQUIRING IMMEDIATE ATTENTION</t>
        </is>
      </c>
      <c r="B31" s="6" t="n"/>
      <c r="C31" s="6" t="n"/>
      <c r="D31" s="6" t="n"/>
      <c r="E31" s="6" t="n"/>
      <c r="F31" s="6" t="n"/>
      <c r="G31" s="6" t="n"/>
    </row>
    <row r="32">
      <c r="A32" s="31" t="inlineStr">
        <is>
          <t>Category</t>
        </is>
      </c>
      <c r="B32" s="31" t="inlineStr">
        <is>
          <t>Finding</t>
        </is>
      </c>
      <c r="C32" s="31" t="inlineStr">
        <is>
          <t>Count</t>
        </is>
      </c>
      <c r="D32" s="31" t="inlineStr">
        <is>
          <t>Severity</t>
        </is>
      </c>
      <c r="E32" s="31" t="inlineStr">
        <is>
          <t>Action Required</t>
        </is>
      </c>
      <c r="F32" s="31" t="n"/>
      <c r="G32" s="31" t="n"/>
    </row>
    <row r="33">
      <c r="A33" s="34" t="inlineStr">
        <is>
          <t>Enforcement</t>
        </is>
      </c>
      <c r="B33" s="34" t="inlineStr">
        <is>
          <t>Former personnel under active enforcement</t>
        </is>
      </c>
      <c r="C33" s="35">
        <f>COUNTIF('Former Personnel'!I5:I54,"Under Enforcement")</f>
        <v/>
      </c>
      <c r="D33" s="34" t="inlineStr">
        <is>
          <t>Critical</t>
        </is>
      </c>
      <c r="E33" s="34" t="inlineStr">
        <is>
          <t>Immediate</t>
        </is>
      </c>
      <c r="F33" s="34" t="n"/>
      <c r="G33" s="34" t="n"/>
    </row>
    <row r="34">
      <c r="A34" s="34" t="inlineStr">
        <is>
          <t>Enforcement</t>
        </is>
      </c>
      <c r="B34" s="34" t="inlineStr">
        <is>
          <t>Enforcement cases: active investigation</t>
        </is>
      </c>
      <c r="C34" s="35">
        <f>COUNTIF('Enforcement Register'!H5:H54,"Under Investigation")</f>
        <v/>
      </c>
      <c r="D34" s="34" t="inlineStr">
        <is>
          <t>Critical</t>
        </is>
      </c>
      <c r="E34" s="34" t="inlineStr">
        <is>
          <t>Immediate</t>
        </is>
      </c>
      <c r="F34" s="34" t="n"/>
      <c r="G34" s="34" t="n"/>
    </row>
    <row r="35">
      <c r="A35" s="34" t="inlineStr">
        <is>
          <t>Enforcement</t>
        </is>
      </c>
      <c r="B35" s="34" t="inlineStr">
        <is>
          <t>Enforcement cases: legal action initiated</t>
        </is>
      </c>
      <c r="C35" s="35">
        <f>COUNTIF('Enforcement Register'!H5:H54,"Legal Action Initiated")</f>
        <v/>
      </c>
      <c r="D35" s="34" t="inlineStr">
        <is>
          <t>Critical</t>
        </is>
      </c>
      <c r="E35" s="34" t="inlineStr">
        <is>
          <t>Immediate</t>
        </is>
      </c>
      <c r="F35" s="34" t="n"/>
      <c r="G35" s="34" t="n"/>
    </row>
    <row r="36">
      <c r="A36" s="34" t="inlineStr">
        <is>
          <t>Acknowledgements</t>
        </is>
      </c>
      <c r="B36" s="34" t="inlineStr">
        <is>
          <t>Persons who refused to acknowledge obligations</t>
        </is>
      </c>
      <c r="C36" s="35">
        <f>COUNTIF('Acknowledgement Log'!D5:D54,"Refused")</f>
        <v/>
      </c>
      <c r="D36" s="34" t="inlineStr">
        <is>
          <t>Critical</t>
        </is>
      </c>
      <c r="E36" s="34" t="inlineStr">
        <is>
          <t>Immediate</t>
        </is>
      </c>
      <c r="F36" s="34" t="n"/>
      <c r="G36" s="34" t="n"/>
    </row>
    <row r="37">
      <c r="A37" s="34" t="inlineStr">
        <is>
          <t>Acknowledgements</t>
        </is>
      </c>
      <c r="B37" s="34" t="inlineStr">
        <is>
          <t>Acknowledgements without signed document</t>
        </is>
      </c>
      <c r="C37" s="35">
        <f>COUNTIF('Acknowledgement Log'!G5:G54,"No")</f>
        <v/>
      </c>
      <c r="D37" s="34" t="inlineStr">
        <is>
          <t>High</t>
        </is>
      </c>
      <c r="E37" s="34" t="inlineStr">
        <is>
          <t>Urgent</t>
        </is>
      </c>
      <c r="F37" s="34" t="n"/>
      <c r="G37" s="34" t="n"/>
    </row>
    <row r="38">
      <c r="A38" s="34" t="inlineStr">
        <is>
          <t>Obligations</t>
        </is>
      </c>
      <c r="B38" s="34" t="inlineStr">
        <is>
          <t>Active obligations under enforcement</t>
        </is>
      </c>
      <c r="C38" s="35">
        <f>COUNTIF('Active Obligations'!H5:H54,"Under Enforcement")</f>
        <v/>
      </c>
      <c r="D38" s="34" t="inlineStr">
        <is>
          <t>Critical</t>
        </is>
      </c>
      <c r="E38" s="34" t="inlineStr">
        <is>
          <t>Immediate</t>
        </is>
      </c>
      <c r="F38" s="34" t="n"/>
      <c r="G38" s="34" t="n"/>
    </row>
    <row r="39">
      <c r="A39" s="34" t="inlineStr">
        <is>
          <t>Expiration</t>
        </is>
      </c>
      <c r="B39" s="34" t="inlineStr">
        <is>
          <t>Obligations expired without review</t>
        </is>
      </c>
      <c r="C39" s="35">
        <f>COUNTIF('Expiration Tracker'!F5:F54,"Expired")</f>
        <v/>
      </c>
      <c r="D39" s="34" t="inlineStr">
        <is>
          <t>High</t>
        </is>
      </c>
      <c r="E39" s="34" t="inlineStr">
        <is>
          <t>Urgent</t>
        </is>
      </c>
      <c r="F39" s="34" t="n"/>
      <c r="G39" s="34" t="n"/>
    </row>
    <row r="40">
      <c r="A40" s="16" t="n"/>
      <c r="B40" s="16" t="n"/>
      <c r="C40" s="16" t="n"/>
      <c r="D40" s="16" t="n"/>
      <c r="E40" s="16" t="n"/>
      <c r="F40" s="16" t="n"/>
      <c r="G40" s="16" t="n"/>
    </row>
    <row r="41">
      <c r="A41" s="16" t="n"/>
      <c r="B41" s="16" t="n"/>
      <c r="C41" s="16" t="n"/>
      <c r="D41" s="16" t="n"/>
      <c r="E41" s="16" t="n"/>
      <c r="F41" s="16" t="n"/>
      <c r="G41" s="16" t="n"/>
    </row>
  </sheetData>
  <mergeCells count="5">
    <mergeCell ref="A1:G1"/>
    <mergeCell ref="A31:G31"/>
    <mergeCell ref="A12:G12"/>
    <mergeCell ref="A4:G4"/>
    <mergeCell ref="A2:G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8" t="inlineStr">
        <is>
          <t>ASSESSMENT APPROVAL AND SIGN-OFF</t>
        </is>
      </c>
      <c r="B1" s="6" t="n"/>
      <c r="C1" s="6" t="n"/>
      <c r="D1" s="6" t="n"/>
      <c r="E1" s="6" t="n"/>
    </row>
    <row r="2">
      <c r="A2" s="36" t="inlineStr">
        <is>
          <t>ISO/IEC 27001:2022 - Control A.6.4-5: Disciplinary Process and Employment Exit</t>
        </is>
      </c>
      <c r="B2" s="6" t="n"/>
      <c r="C2" s="6" t="n"/>
      <c r="D2" s="6" t="n"/>
      <c r="E2" s="6" t="n"/>
    </row>
    <row r="3">
      <c r="A3" s="37" t="inlineStr">
        <is>
          <t>ASSESSMENT SUMMARY</t>
        </is>
      </c>
      <c r="B3" s="6" t="n"/>
      <c r="C3" s="6" t="n"/>
      <c r="D3" s="6" t="n"/>
      <c r="E3" s="6" t="n"/>
    </row>
    <row r="4">
      <c r="A4" s="3" t="inlineStr">
        <is>
          <t>Document:</t>
        </is>
      </c>
      <c r="B4" s="6" t="inlineStr">
        <is>
          <t>ISMS-IMP-A.6.4-5.S3 - Post Employment Obligations</t>
        </is>
      </c>
      <c r="C4" s="6" t="n"/>
      <c r="D4" s="6" t="n"/>
      <c r="E4" s="6" t="n"/>
    </row>
    <row r="5">
      <c r="A5" s="3" t="inlineStr">
        <is>
          <t>Assessment Period:</t>
        </is>
      </c>
      <c r="B5" s="16" t="inlineStr"/>
      <c r="C5" s="6" t="n"/>
      <c r="D5" s="6" t="n"/>
      <c r="E5" s="6" t="n"/>
    </row>
    <row r="6">
      <c r="A6" s="3" t="inlineStr">
        <is>
          <t>Overall Compliance Rating:</t>
        </is>
      </c>
      <c r="B6" s="38">
        <f>IFERROR(AVERAGE('Summary Dashboard'!G6:G9),"")</f>
        <v/>
      </c>
      <c r="C6" s="6" t="n"/>
      <c r="D6" s="6" t="n"/>
      <c r="E6" s="6" t="n"/>
    </row>
    <row r="7">
      <c r="A7" s="3" t="inlineStr">
        <is>
          <t>Assessment Status:</t>
        </is>
      </c>
      <c r="B7" s="16" t="inlineStr"/>
      <c r="C7" s="6" t="n"/>
      <c r="D7" s="6" t="n"/>
      <c r="E7" s="6" t="n"/>
    </row>
    <row r="8">
      <c r="A8" s="3" t="inlineStr">
        <is>
          <t>Assessed By:</t>
        </is>
      </c>
      <c r="B8" s="16" t="inlineStr"/>
      <c r="C8" s="6" t="n"/>
      <c r="D8" s="6" t="n"/>
      <c r="E8" s="6" t="n"/>
    </row>
    <row r="11">
      <c r="A11" s="37" t="inlineStr">
        <is>
          <t>COMPLETED BY (ASSESSOR)</t>
        </is>
      </c>
      <c r="B11" s="6" t="n"/>
      <c r="C11" s="6" t="n"/>
      <c r="D11" s="6" t="n"/>
      <c r="E11" s="6" t="n"/>
    </row>
    <row r="12">
      <c r="A12" s="3" t="inlineStr">
        <is>
          <t>Name:</t>
        </is>
      </c>
      <c r="B12" s="16" t="n"/>
      <c r="C12" s="6" t="n"/>
      <c r="D12" s="6" t="n"/>
      <c r="E12" s="6" t="n"/>
    </row>
    <row r="13">
      <c r="A13" s="3" t="inlineStr">
        <is>
          <t>Title:</t>
        </is>
      </c>
      <c r="B13" s="16" t="n"/>
      <c r="C13" s="6" t="n"/>
      <c r="D13" s="6" t="n"/>
      <c r="E13" s="6" t="n"/>
    </row>
    <row r="14">
      <c r="A14" s="3" t="inlineStr">
        <is>
          <t>Date:</t>
        </is>
      </c>
      <c r="B14" s="16" t="n"/>
      <c r="C14" s="6" t="n"/>
      <c r="D14" s="6" t="n"/>
      <c r="E14" s="6" t="n"/>
    </row>
    <row r="15">
      <c r="A15" s="3" t="inlineStr">
        <is>
          <t>Signature:</t>
        </is>
      </c>
      <c r="B15" s="16" t="n"/>
      <c r="C15" s="6" t="n"/>
      <c r="D15" s="6" t="n"/>
      <c r="E15" s="6" t="n"/>
    </row>
    <row r="16">
      <c r="A16" s="3" t="inlineStr">
        <is>
          <t>Comments:</t>
        </is>
      </c>
      <c r="B16" s="16" t="n"/>
      <c r="C16" s="6" t="n"/>
      <c r="D16" s="6" t="n"/>
      <c r="E16" s="6" t="n"/>
    </row>
    <row r="18">
      <c r="A18" s="37" t="inlineStr">
        <is>
          <t>REVIEWED BY (INFORMATION SECURITY OFFICER)</t>
        </is>
      </c>
      <c r="B18" s="6" t="n"/>
      <c r="C18" s="6" t="n"/>
      <c r="D18" s="6" t="n"/>
      <c r="E18" s="6" t="n"/>
    </row>
    <row r="19">
      <c r="A19" s="3" t="inlineStr">
        <is>
          <t>Name:</t>
        </is>
      </c>
      <c r="B19" s="16" t="n"/>
      <c r="C19" s="6" t="n"/>
      <c r="D19" s="6" t="n"/>
      <c r="E19" s="6" t="n"/>
    </row>
    <row r="20">
      <c r="A20" s="3" t="inlineStr">
        <is>
          <t>Title:</t>
        </is>
      </c>
      <c r="B20" s="16" t="n"/>
      <c r="C20" s="6" t="n"/>
      <c r="D20" s="6" t="n"/>
      <c r="E20" s="6" t="n"/>
    </row>
    <row r="21">
      <c r="A21" s="3" t="inlineStr">
        <is>
          <t>Date:</t>
        </is>
      </c>
      <c r="B21" s="16" t="n"/>
      <c r="C21" s="6" t="n"/>
      <c r="D21" s="6" t="n"/>
      <c r="E21" s="6" t="n"/>
    </row>
    <row r="22">
      <c r="A22" s="3" t="inlineStr">
        <is>
          <t>Signature:</t>
        </is>
      </c>
      <c r="B22" s="16" t="n"/>
      <c r="C22" s="6" t="n"/>
      <c r="D22" s="6" t="n"/>
      <c r="E22" s="6" t="n"/>
    </row>
    <row r="23">
      <c r="A23" s="3" t="inlineStr">
        <is>
          <t>Comments:</t>
        </is>
      </c>
      <c r="B23" s="16" t="n"/>
      <c r="C23" s="6" t="n"/>
      <c r="D23" s="6" t="n"/>
      <c r="E23" s="6" t="n"/>
    </row>
    <row r="25">
      <c r="A25" s="25" t="inlineStr">
        <is>
          <t>APPROVED BY (CISO)</t>
        </is>
      </c>
      <c r="B25" s="6" t="n"/>
      <c r="C25" s="6" t="n"/>
      <c r="D25" s="6" t="n"/>
      <c r="E25" s="6" t="n"/>
    </row>
    <row r="26">
      <c r="A26" s="3" t="inlineStr">
        <is>
          <t>Name:</t>
        </is>
      </c>
      <c r="B26" s="16" t="n"/>
      <c r="C26" s="6" t="n"/>
      <c r="D26" s="6" t="n"/>
      <c r="E26" s="6" t="n"/>
    </row>
    <row r="27">
      <c r="A27" s="3" t="inlineStr">
        <is>
          <t>Title:</t>
        </is>
      </c>
      <c r="B27" s="16" t="n"/>
      <c r="C27" s="6" t="n"/>
      <c r="D27" s="6" t="n"/>
      <c r="E27" s="6" t="n"/>
    </row>
    <row r="28">
      <c r="A28" s="3" t="inlineStr">
        <is>
          <t>Date:</t>
        </is>
      </c>
      <c r="B28" s="16" t="n"/>
      <c r="C28" s="6" t="n"/>
      <c r="D28" s="6" t="n"/>
      <c r="E28" s="6" t="n"/>
    </row>
    <row r="29">
      <c r="A29" s="3" t="inlineStr">
        <is>
          <t>Signature:</t>
        </is>
      </c>
      <c r="B29" s="16" t="n"/>
      <c r="C29" s="6" t="n"/>
      <c r="D29" s="6" t="n"/>
      <c r="E29" s="6" t="n"/>
    </row>
    <row r="30">
      <c r="A30" s="3" t="inlineStr">
        <is>
          <t>Comments:</t>
        </is>
      </c>
      <c r="B30" s="16" t="n"/>
      <c r="C30" s="6" t="n"/>
      <c r="D30" s="6" t="n"/>
      <c r="E30" s="6" t="n"/>
    </row>
    <row r="32">
      <c r="A32" s="3" t="inlineStr">
        <is>
          <t>FINAL DECISION:</t>
        </is>
      </c>
      <c r="B32" s="16" t="n"/>
      <c r="C32" s="6" t="n"/>
      <c r="D32" s="6" t="n"/>
      <c r="E32" s="6" t="n"/>
    </row>
    <row r="35">
      <c r="A35" s="37" t="inlineStr">
        <is>
          <t>NEXT REVIEW DETAILS</t>
        </is>
      </c>
      <c r="B35" s="6" t="n"/>
      <c r="C35" s="6" t="n"/>
      <c r="D35" s="6" t="n"/>
      <c r="E35" s="6" t="n"/>
    </row>
    <row r="36">
      <c r="A36" s="3" t="inlineStr">
        <is>
          <t>Next Review Date:</t>
        </is>
      </c>
      <c r="B36" s="16" t="n"/>
      <c r="C36" s="6" t="n"/>
      <c r="D36" s="6" t="n"/>
      <c r="E36" s="6" t="n"/>
    </row>
    <row r="37">
      <c r="A37" s="3" t="inlineStr">
        <is>
          <t>Review Responsible:</t>
        </is>
      </c>
      <c r="B37" s="16" t="n"/>
      <c r="C37" s="6" t="n"/>
      <c r="D37" s="6" t="n"/>
      <c r="E37" s="6" t="n"/>
    </row>
    <row r="38">
      <c r="A38" s="3" t="inlineStr">
        <is>
          <t>Special Considerations:</t>
        </is>
      </c>
      <c r="B38" s="16"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ISMS-IMP-A.6.4-5.S3 — Post Employment Obligations</dc:title>
  <dc:description xmlns:dc="http://purl.org/dc/elements/1.1/">ISMS Implementation Workbook — ISMS-IMP-A.6.4-5.S3</dc:description>
  <dc:subject xmlns:dc="http://purl.org/dc/elements/1.1/">ISO/IEC 27001:2022 — Control A.6.4-5: Disciplinary Process and Employment Exit</dc:subject>
  <dcterms:created xmlns:dcterms="http://purl.org/dc/terms/" xmlns:xsi="http://www.w3.org/2001/XMLSchema-instance" xsi:type="dcterms:W3CDTF">2026-02-28T22:50:29Z</dcterms:created>
  <dcterms:modified xmlns:dcterms="http://purl.org/dc/terms/" xmlns:xsi="http://www.w3.org/2001/XMLSchema-instance" xsi:type="dcterms:W3CDTF">2026-02-28T22:50:29Z</dcterms:modified>
</cp:coreProperties>
</file>