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it Procedures" sheetId="2" state="visible" r:id="rId2"/>
    <sheet xmlns:r="http://schemas.openxmlformats.org/officeDocument/2006/relationships" name="Access Revocation" sheetId="3" state="visible" r:id="rId3"/>
    <sheet xmlns:r="http://schemas.openxmlformats.org/officeDocument/2006/relationships" name="Asset Recovery" sheetId="4" state="visible" r:id="rId4"/>
    <sheet xmlns:r="http://schemas.openxmlformats.org/officeDocument/2006/relationships" name="Exit Tracker" sheetId="5" state="visible" r:id="rId5"/>
    <sheet xmlns:r="http://schemas.openxmlformats.org/officeDocument/2006/relationships" name="Leaver Reconcili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ISMS-IMP-A.6.4-5.S2  -  Employment Exit Assessment
ISO/IEC 27001:2022 - Control A.6.4-5: Disciplinary Process and Employment Exit</t>
        </is>
      </c>
    </row>
    <row r="3">
      <c r="A3" s="2" t="inlineStr">
        <is>
          <t>Document Information</t>
        </is>
      </c>
    </row>
    <row r="4">
      <c r="A4" s="3" t="inlineStr">
        <is>
          <t>Document ID</t>
        </is>
      </c>
      <c r="B4" t="inlineStr">
        <is>
          <t>ISMS-IMP-A.6.4-5.S2</t>
        </is>
      </c>
    </row>
    <row r="5">
      <c r="A5" s="3" t="inlineStr">
        <is>
          <t>Workbook Title</t>
        </is>
      </c>
      <c r="B5" t="inlineStr">
        <is>
          <t>Employment Exit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Exit Procedures — document the full exit workflow covering security obligations.</t>
        </is>
      </c>
    </row>
    <row r="14">
      <c r="A14" t="inlineStr">
        <is>
          <t>2. Complete Access Revocation — track revocation of all system, application, and physical access.</t>
        </is>
      </c>
    </row>
    <row r="15">
      <c r="A15" t="inlineStr">
        <is>
          <t>3. Complete Asset Recovery — record return of all organisational assets (devices, badges, documents).</t>
        </is>
      </c>
    </row>
    <row r="16">
      <c r="A16" t="inlineStr">
        <is>
          <t>4. Complete Exit Tracker — log each leaver with completion status of all exit steps.</t>
        </is>
      </c>
    </row>
    <row r="17">
      <c r="A17" t="inlineStr">
        <is>
          <t>5. Complete Leaver Reconciliation — verify no access or assets remain outstanding post-departure.</t>
        </is>
      </c>
    </row>
    <row r="18">
      <c r="A18" t="inlineStr">
        <is>
          <t>6. Maintain the Evidence Register with exit checklists and access revocation confirmation.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5" customWidth="1" min="1" max="1"/>
    <col width="35" customWidth="1" min="2" max="2"/>
    <col width="45" customWidth="1" min="3" max="3"/>
    <col width="45" customWidth="1" min="4" max="4"/>
    <col width="40" customWidth="1" min="5" max="5"/>
    <col width="40" customWidth="1" min="6" max="6"/>
    <col width="25" customWidth="1" min="7" max="7"/>
    <col width="40" customWidth="1" min="8" max="8"/>
  </cols>
  <sheetData>
    <row r="1" ht="35" customHeight="1">
      <c r="A1" s="11" t="inlineStr">
        <is>
          <t>EXIT PROCEDURES BY TYPE</t>
        </is>
      </c>
    </row>
    <row r="2">
      <c r="A2" s="12" t="inlineStr">
        <is>
          <t>Defined exit procedures by termination type including HR, IT, manager and security actions</t>
        </is>
      </c>
    </row>
    <row r="3">
      <c r="A3" s="13" t="inlineStr">
        <is>
          <t>Exit Type</t>
        </is>
      </c>
      <c r="B3" s="13" t="inlineStr">
        <is>
          <t>Notification Trigger</t>
        </is>
      </c>
      <c r="C3" s="13" t="inlineStr">
        <is>
          <t>HR Actions</t>
        </is>
      </c>
      <c r="D3" s="13" t="inlineStr">
        <is>
          <t>IT Actions</t>
        </is>
      </c>
      <c r="E3" s="13" t="inlineStr">
        <is>
          <t>Manager Actions</t>
        </is>
      </c>
      <c r="F3" s="13" t="inlineStr">
        <is>
          <t>Security Actions</t>
        </is>
      </c>
      <c r="G3" s="13" t="inlineStr">
        <is>
          <t>Timeline</t>
        </is>
      </c>
      <c r="H3" s="13" t="inlineStr">
        <is>
          <t>Documentation Required</t>
        </is>
      </c>
    </row>
    <row r="4">
      <c r="A4" s="14" t="inlineStr">
        <is>
          <t>Voluntary Resignation</t>
        </is>
      </c>
      <c r="B4" s="14" t="inlineStr">
        <is>
          <t>HR receives resignation letter</t>
        </is>
      </c>
      <c r="C4" s="14" t="inlineStr">
        <is>
          <t>Update HRIS, schedule exit interview, initiate checklist</t>
        </is>
      </c>
      <c r="D4" s="14" t="inlineStr">
        <is>
          <t>Disable accounts end of last day, backup data, revoke VPN</t>
        </is>
      </c>
      <c r="E4" s="14" t="inlineStr">
        <is>
          <t>Coordinate knowledge transfer, approve asset return</t>
        </is>
      </c>
      <c r="F4" s="14" t="inlineStr">
        <is>
          <t>Review access logs, verify no data exfiltration</t>
        </is>
      </c>
      <c r="G4" s="14" t="inlineStr">
        <is>
          <t>Per notice period (1-3 months)</t>
        </is>
      </c>
      <c r="H4" s="14" t="inlineStr">
        <is>
          <t>Exit checklist, asset form, interview notes</t>
        </is>
      </c>
    </row>
    <row r="5">
      <c r="A5" s="14" t="inlineStr">
        <is>
          <t>Involuntary Termination</t>
        </is>
      </c>
      <c r="B5" s="14" t="inlineStr">
        <is>
          <t>Termination decision approved</t>
        </is>
      </c>
      <c r="C5" s="14" t="inlineStr">
        <is>
          <t>Prepare termination documents, coordinate timing with IT</t>
        </is>
      </c>
      <c r="D5" s="14" t="inlineStr">
        <is>
          <t>Disable accounts same day before notification, backup data</t>
        </is>
      </c>
      <c r="E5" s="14" t="inlineStr">
        <is>
          <t>Prepare handover, coordinate meeting room</t>
        </is>
      </c>
      <c r="F5" s="14" t="inlineStr">
        <is>
          <t>Immediate access log review, monitor for anomalies</t>
        </is>
      </c>
      <c r="G5" s="14" t="inlineStr">
        <is>
          <t>Same business day</t>
        </is>
      </c>
      <c r="H5" s="14" t="inlineStr">
        <is>
          <t>Termination letter, exit checklist, asset form</t>
        </is>
      </c>
    </row>
    <row r="6">
      <c r="A6" s="14" t="inlineStr">
        <is>
          <t>Immediate Dismissal</t>
        </is>
      </c>
      <c r="B6" s="14" t="inlineStr">
        <is>
          <t>Gross misconduct confirmed</t>
        </is>
      </c>
      <c r="C6" s="14" t="inlineStr">
        <is>
          <t>Prepare immediate termination, coordinate Security escort</t>
        </is>
      </c>
      <c r="D6" s="14" t="inlineStr">
        <is>
          <t>Disable ALL access within 1 hour, preserve evidence</t>
        </is>
      </c>
      <c r="E6" s="14" t="inlineStr">
        <is>
          <t>Not involved in exit meeting</t>
        </is>
      </c>
      <c r="F6" s="14" t="inlineStr">
        <is>
          <t>Escort off premises, forensic preservation if needed</t>
        </is>
      </c>
      <c r="G6" s="14" t="inlineStr">
        <is>
          <t>Within 1 hour</t>
        </is>
      </c>
      <c r="H6" s="14" t="inlineStr">
        <is>
          <t>Termination letter, incident report, asset form</t>
        </is>
      </c>
    </row>
    <row r="7">
      <c r="A7" s="14" t="inlineStr">
        <is>
          <t>Retirement</t>
        </is>
      </c>
      <c r="B7" s="14" t="inlineStr">
        <is>
          <t>Retirement notice received</t>
        </is>
      </c>
      <c r="C7" s="14" t="inlineStr">
        <is>
          <t>Update HRIS, plan recognition, extended exit interview</t>
        </is>
      </c>
      <c r="D7" s="14" t="inlineStr">
        <is>
          <t>Disable accounts end of last day, extended backup</t>
        </is>
      </c>
      <c r="E7" s="14" t="inlineStr">
        <is>
          <t>Extended knowledge transfer plan</t>
        </is>
      </c>
      <c r="F7" s="14" t="inlineStr">
        <is>
          <t>Standard access review</t>
        </is>
      </c>
      <c r="G7" s="14" t="inlineStr">
        <is>
          <t>Per notice (typically 3+ months)</t>
        </is>
      </c>
      <c r="H7" s="14" t="inlineStr">
        <is>
          <t>Exit checklist, asset form, knowledge transfer log</t>
        </is>
      </c>
    </row>
    <row r="8">
      <c r="A8" s="14" t="inlineStr">
        <is>
          <t>Contract End</t>
        </is>
      </c>
      <c r="B8" s="14" t="inlineStr">
        <is>
          <t>Contract end date approaching</t>
        </is>
      </c>
      <c r="C8" s="14" t="inlineStr">
        <is>
          <t>Confirm end date, schedule exit process</t>
        </is>
      </c>
      <c r="D8" s="14" t="inlineStr">
        <is>
          <t>Disable accounts on contract end date</t>
        </is>
      </c>
      <c r="E8" s="14" t="inlineStr">
        <is>
          <t>Verify deliverables, approve asset return</t>
        </is>
      </c>
      <c r="F8" s="14" t="inlineStr">
        <is>
          <t>Review access for contract period</t>
        </is>
      </c>
      <c r="G8" s="14" t="inlineStr">
        <is>
          <t>Contract end date</t>
        </is>
      </c>
      <c r="H8" s="14" t="inlineStr">
        <is>
          <t>Contract closeout, asset form</t>
        </is>
      </c>
    </row>
    <row r="9">
      <c r="A9" s="14" t="inlineStr">
        <is>
          <t>Role Change</t>
        </is>
      </c>
      <c r="B9" s="14" t="inlineStr">
        <is>
          <t>Internal transfer approved</t>
        </is>
      </c>
      <c r="C9" s="14" t="inlineStr">
        <is>
          <t>Update HRIS role, coordinate access change</t>
        </is>
      </c>
      <c r="D9" s="14" t="inlineStr">
        <is>
          <t>Revoke previous role access within 2 days, grant new access</t>
        </is>
      </c>
      <c r="E9" s="14" t="inlineStr">
        <is>
          <t>Handover responsibilities, transfer knowledge</t>
        </is>
      </c>
      <c r="F9" s="14" t="inlineStr">
        <is>
          <t>Verify appropriate access change</t>
        </is>
      </c>
      <c r="G9" s="14" t="inlineStr">
        <is>
          <t>2 business days for old access removal</t>
        </is>
      </c>
      <c r="H9" s="14" t="inlineStr">
        <is>
          <t>Access change form, handover notes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0" customWidth="1" min="4" max="4"/>
    <col width="20" customWidth="1" min="5" max="5"/>
    <col width="35" customWidth="1" min="6" max="6"/>
    <col width="20" customWidth="1" min="7" max="7"/>
    <col width="35" customWidth="1" min="8" max="8"/>
  </cols>
  <sheetData>
    <row r="1" ht="35" customHeight="1">
      <c r="A1" s="11" t="inlineStr">
        <is>
          <t>ACCESS REVOCATION REQUIREMENTS</t>
        </is>
      </c>
    </row>
    <row r="2">
      <c r="A2" s="12" t="inlineStr">
        <is>
          <t>Access revocation requirements by type including timelines, methods and verification</t>
        </is>
      </c>
    </row>
    <row r="3">
      <c r="A3" s="13" t="inlineStr">
        <is>
          <t>Access Type</t>
        </is>
      </c>
      <c r="B3" s="13" t="inlineStr">
        <is>
          <t>System Examples</t>
        </is>
      </c>
      <c r="C3" s="13" t="inlineStr">
        <is>
          <t>Revocation Method</t>
        </is>
      </c>
      <c r="D3" s="13" t="inlineStr">
        <is>
          <t>Timeline Standard</t>
        </is>
      </c>
      <c r="E3" s="13" t="inlineStr">
        <is>
          <t>Timeline Immediate</t>
        </is>
      </c>
      <c r="F3" s="13" t="inlineStr">
        <is>
          <t>Verification Method</t>
        </is>
      </c>
      <c r="G3" s="13" t="inlineStr">
        <is>
          <t>Responsible Party</t>
        </is>
      </c>
      <c r="H3" s="13" t="inlineStr">
        <is>
          <t>Dependencies</t>
        </is>
      </c>
    </row>
    <row r="4">
      <c r="A4" s="14" t="inlineStr">
        <is>
          <t>Physical Access</t>
        </is>
      </c>
      <c r="B4" s="14" t="inlineStr">
        <is>
          <t>Building badges, keys, biometrics</t>
        </is>
      </c>
      <c r="C4" s="14" t="inlineStr">
        <is>
          <t>Disable badge in access system, collect keys, remove biometric template</t>
        </is>
      </c>
      <c r="D4" s="14" t="inlineStr">
        <is>
          <t>End of last day</t>
        </is>
      </c>
      <c r="E4" s="14" t="inlineStr">
        <is>
          <t>Within 1 hour</t>
        </is>
      </c>
      <c r="F4" s="14" t="inlineStr">
        <is>
          <t>Badge log review, test badge at door</t>
        </is>
      </c>
      <c r="G4" s="14" t="inlineStr">
        <is>
          <t>Facilities Team</t>
        </is>
      </c>
      <c r="H4" s="14" t="inlineStr">
        <is>
          <t>None</t>
        </is>
      </c>
    </row>
    <row r="5">
      <c r="A5" s="14" t="inlineStr">
        <is>
          <t>AD/Directory</t>
        </is>
      </c>
      <c r="B5" s="14" t="inlineStr">
        <is>
          <t>Active Directory, Microsoft Entra ID (formerly Azure AD), LDAP</t>
        </is>
      </c>
      <c r="C5" s="14" t="inlineStr">
        <is>
          <t>Disable account, move to Disabled OU, remove from groups</t>
        </is>
      </c>
      <c r="D5" s="14" t="inlineStr">
        <is>
          <t>End of last day</t>
        </is>
      </c>
      <c r="E5" s="14" t="inlineStr">
        <is>
          <t>Within 1 hour</t>
        </is>
      </c>
      <c r="F5" s="14" t="inlineStr">
        <is>
          <t>Login attempt test, access report</t>
        </is>
      </c>
      <c r="G5" s="14" t="inlineStr">
        <is>
          <t>IAM Team</t>
        </is>
      </c>
      <c r="H5" s="14" t="inlineStr">
        <is>
          <t>SSO-integrated apps disabled automatically</t>
        </is>
      </c>
    </row>
    <row r="6">
      <c r="A6" s="14" t="inlineStr">
        <is>
          <t>Email</t>
        </is>
      </c>
      <c r="B6" s="14" t="inlineStr">
        <is>
          <t>Exchange, O365, Google Workspace</t>
        </is>
      </c>
      <c r="C6" s="14" t="inlineStr">
        <is>
          <t>Disable account, set auto-reply, configure forwarding if approved</t>
        </is>
      </c>
      <c r="D6" s="14" t="inlineStr">
        <is>
          <t>End of last day</t>
        </is>
      </c>
      <c r="E6" s="14" t="inlineStr">
        <is>
          <t>Within 1 hour</t>
        </is>
      </c>
      <c r="F6" s="14" t="inlineStr">
        <is>
          <t>Login attempt, mail flow test</t>
        </is>
      </c>
      <c r="G6" s="14" t="inlineStr">
        <is>
          <t>IAM Team</t>
        </is>
      </c>
      <c r="H6" s="14" t="inlineStr">
        <is>
          <t>Requires AD disable first</t>
        </is>
      </c>
    </row>
    <row r="7">
      <c r="A7" s="14" t="inlineStr">
        <is>
          <t>VPN</t>
        </is>
      </c>
      <c r="B7" s="14" t="inlineStr">
        <is>
          <t>Corporate VPN, remote access</t>
        </is>
      </c>
      <c r="C7" s="14" t="inlineStr">
        <is>
          <t>Revoke VPN certificate, disable VPN account</t>
        </is>
      </c>
      <c r="D7" s="14" t="inlineStr">
        <is>
          <t>End of last day</t>
        </is>
      </c>
      <c r="E7" s="14" t="inlineStr">
        <is>
          <t>Within 1 hour</t>
        </is>
      </c>
      <c r="F7" s="14" t="inlineStr">
        <is>
          <t>Connection attempt test</t>
        </is>
      </c>
      <c r="G7" s="14" t="inlineStr">
        <is>
          <t>Network Team</t>
        </is>
      </c>
      <c r="H7" s="14" t="inlineStr">
        <is>
          <t>May require AD disable</t>
        </is>
      </c>
    </row>
    <row r="8">
      <c r="A8" s="14" t="inlineStr">
        <is>
          <t>Applications</t>
        </is>
      </c>
      <c r="B8" s="14" t="inlineStr">
        <is>
          <t>Business apps, SaaS (non-SSO)</t>
        </is>
      </c>
      <c r="C8" s="14" t="inlineStr">
        <is>
          <t>Disable/remove user from each application</t>
        </is>
      </c>
      <c r="D8" s="14" t="inlineStr">
        <is>
          <t>End of last day + 24h</t>
        </is>
      </c>
      <c r="E8" s="14" t="inlineStr">
        <is>
          <t>Same day</t>
        </is>
      </c>
      <c r="F8" s="14" t="inlineStr">
        <is>
          <t>Login attempt per app</t>
        </is>
      </c>
      <c r="G8" s="14" t="inlineStr">
        <is>
          <t>Application Owners</t>
        </is>
      </c>
      <c r="H8" s="14" t="inlineStr">
        <is>
          <t>Coordinate with app owners</t>
        </is>
      </c>
    </row>
    <row r="9">
      <c r="A9" s="14" t="inlineStr">
        <is>
          <t>Cloud Services</t>
        </is>
      </c>
      <c r="B9" s="14" t="inlineStr">
        <is>
          <t>AWS, Azure, GCP console access</t>
        </is>
      </c>
      <c r="C9" s="14" t="inlineStr">
        <is>
          <t>Remove from IAM, revoke API keys, remove from tenants</t>
        </is>
      </c>
      <c r="D9" s="14" t="inlineStr">
        <is>
          <t>End of last day</t>
        </is>
      </c>
      <c r="E9" s="14" t="inlineStr">
        <is>
          <t>Within 1 hour</t>
        </is>
      </c>
      <c r="F9" s="14" t="inlineStr">
        <is>
          <t>Console login test, API call test</t>
        </is>
      </c>
      <c r="G9" s="14" t="inlineStr">
        <is>
          <t>Cloud Team</t>
        </is>
      </c>
      <c r="H9" s="14" t="inlineStr">
        <is>
          <t>Audit CloudTrail/activity logs</t>
        </is>
      </c>
    </row>
    <row r="10">
      <c r="A10" s="14" t="inlineStr">
        <is>
          <t>Third-Party Systems</t>
        </is>
      </c>
      <c r="B10" s="14" t="inlineStr">
        <is>
          <t>Partner portals, customer systems</t>
        </is>
      </c>
      <c r="C10" s="14" t="inlineStr">
        <is>
          <t>Notify third parties, request account removal</t>
        </is>
      </c>
      <c r="D10" s="14" t="inlineStr">
        <is>
          <t>Within 48 hours</t>
        </is>
      </c>
      <c r="E10" s="14" t="inlineStr">
        <is>
          <t>Within 24 hours</t>
        </is>
      </c>
      <c r="F10" s="14" t="inlineStr">
        <is>
          <t>Confirmation from third party</t>
        </is>
      </c>
      <c r="G10" s="14" t="inlineStr">
        <is>
          <t>Business Owner</t>
        </is>
      </c>
      <c r="H10" s="14" t="inlineStr">
        <is>
          <t>Requires external coordination</t>
        </is>
      </c>
    </row>
    <row r="11">
      <c r="A11" s="14" t="inlineStr">
        <is>
          <t>Privileged Access</t>
        </is>
      </c>
      <c r="B11" s="14" t="inlineStr">
        <is>
          <t>Admin accounts, PAM-managed access</t>
        </is>
      </c>
      <c r="C11" s="14" t="inlineStr">
        <is>
          <t>Immediate revocation, rotate shared passwords</t>
        </is>
      </c>
      <c r="D11" s="14" t="inlineStr">
        <is>
          <t>End of last day</t>
        </is>
      </c>
      <c r="E11" s="14" t="inlineStr">
        <is>
          <t>Immediate (within 15 min)</t>
        </is>
      </c>
      <c r="F11" s="14" t="inlineStr">
        <is>
          <t>Privileged access report, login test</t>
        </is>
      </c>
      <c r="G11" s="14" t="inlineStr">
        <is>
          <t>Security Team</t>
        </is>
      </c>
      <c r="H11" s="14" t="inlineStr">
        <is>
          <t>Check PAM session recordings</t>
        </is>
      </c>
    </row>
    <row r="12">
      <c r="A12" s="14" t="inlineStr">
        <is>
          <t>Shared Accounts</t>
        </is>
      </c>
      <c r="B12" s="14" t="inlineStr">
        <is>
          <t>Service accounts, shared mailboxes</t>
        </is>
      </c>
      <c r="C12" s="14" t="inlineStr">
        <is>
          <t>Remove delegated access, rotate passwords if needed</t>
        </is>
      </c>
      <c r="D12" s="14" t="inlineStr">
        <is>
          <t>End of last day</t>
        </is>
      </c>
      <c r="E12" s="14" t="inlineStr">
        <is>
          <t>Same day</t>
        </is>
      </c>
      <c r="F12" s="14" t="inlineStr">
        <is>
          <t>Access attempt, delegation list review</t>
        </is>
      </c>
      <c r="G12" s="14" t="inlineStr">
        <is>
          <t>IAM Team</t>
        </is>
      </c>
      <c r="H12" s="14" t="inlineStr">
        <is>
          <t>Document all shared access</t>
        </is>
      </c>
    </row>
    <row r="13">
      <c r="A13" s="14" t="inlineStr">
        <is>
          <t>API Keys</t>
        </is>
      </c>
      <c r="B13" s="14" t="inlineStr">
        <is>
          <t>Developer keys, service credentials</t>
        </is>
      </c>
      <c r="C13" s="14" t="inlineStr">
        <is>
          <t>Revoke keys, rotate if shared</t>
        </is>
      </c>
      <c r="D13" s="14" t="inlineStr">
        <is>
          <t>End of last day</t>
        </is>
      </c>
      <c r="E13" s="14" t="inlineStr">
        <is>
          <t>Immediate</t>
        </is>
      </c>
      <c r="F13" s="14" t="inlineStr">
        <is>
          <t>API call test with revoked key</t>
        </is>
      </c>
      <c r="G13" s="14" t="inlineStr">
        <is>
          <t>DevOps Team</t>
        </is>
      </c>
      <c r="H13" s="14" t="inlineStr">
        <is>
          <t>Check for hardcoded keys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40" customWidth="1" min="5" max="5"/>
    <col width="20" customWidth="1" min="6" max="6"/>
    <col width="40" customWidth="1" min="7" max="7"/>
  </cols>
  <sheetData>
    <row r="1" ht="35" customHeight="1">
      <c r="A1" s="11" t="inlineStr">
        <is>
          <t>ASSET RECOVERY REQUIREMENTS</t>
        </is>
      </c>
    </row>
    <row r="2">
      <c r="A2" s="12" t="inlineStr">
        <is>
          <t>Asset recovery requirements by category including return methods and data handling</t>
        </is>
      </c>
    </row>
    <row r="3">
      <c r="A3" s="13" t="inlineStr">
        <is>
          <t>Asset Category</t>
        </is>
      </c>
      <c r="B3" s="13" t="inlineStr">
        <is>
          <t>Asset Examples</t>
        </is>
      </c>
      <c r="C3" s="13" t="inlineStr">
        <is>
          <t>Return Method</t>
        </is>
      </c>
      <c r="D3" s="13" t="inlineStr">
        <is>
          <t>Verification Required</t>
        </is>
      </c>
      <c r="E3" s="13" t="inlineStr">
        <is>
          <t>Data Handling</t>
        </is>
      </c>
      <c r="F3" s="13" t="inlineStr">
        <is>
          <t>Timeline</t>
        </is>
      </c>
      <c r="G3" s="13" t="inlineStr">
        <is>
          <t>Non Return Action</t>
        </is>
      </c>
    </row>
    <row r="4">
      <c r="A4" s="14" t="inlineStr">
        <is>
          <t>Computing Devices</t>
        </is>
      </c>
      <c r="B4" s="14" t="inlineStr">
        <is>
          <t>Laptop, desktop, monitors, docking stations</t>
        </is>
      </c>
      <c r="C4" s="14" t="inlineStr">
        <is>
          <t>In-person handover to IT</t>
        </is>
      </c>
      <c r="D4" s="14" t="inlineStr">
        <is>
          <t>Serial number match, condition assessment</t>
        </is>
      </c>
      <c r="E4" s="14" t="inlineStr">
        <is>
          <t>Secure erase or reimage before reissue</t>
        </is>
      </c>
      <c r="F4" s="14" t="inlineStr">
        <is>
          <t>By last working day</t>
        </is>
      </c>
      <c r="G4" s="14" t="inlineStr">
        <is>
          <t>Manager follow-up, payroll deduction, report as lost</t>
        </is>
      </c>
    </row>
    <row r="5">
      <c r="A5" s="14" t="inlineStr">
        <is>
          <t>Mobile Devices</t>
        </is>
      </c>
      <c r="B5" s="14" t="inlineStr">
        <is>
          <t>Company phone, tablet</t>
        </is>
      </c>
      <c r="C5" s="14" t="inlineStr">
        <is>
          <t>In-person handover to IT</t>
        </is>
      </c>
      <c r="D5" s="14" t="inlineStr">
        <is>
          <t>IMEI/serial match, condition check</t>
        </is>
      </c>
      <c r="E5" s="14" t="inlineStr">
        <is>
          <t>Factory reset, verify MDM unenrollment</t>
        </is>
      </c>
      <c r="F5" s="14" t="inlineStr">
        <is>
          <t>By last working day</t>
        </is>
      </c>
      <c r="G5" s="14" t="inlineStr">
        <is>
          <t>Remote wipe via MDM, report as lost</t>
        </is>
      </c>
    </row>
    <row r="6">
      <c r="A6" s="14" t="inlineStr">
        <is>
          <t>Storage Media</t>
        </is>
      </c>
      <c r="B6" s="14" t="inlineStr">
        <is>
          <t>USB drives, external drives, backup media</t>
        </is>
      </c>
      <c r="C6" s="14" t="inlineStr">
        <is>
          <t>In-person handover to IT</t>
        </is>
      </c>
      <c r="D6" s="14" t="inlineStr">
        <is>
          <t>Inventory match</t>
        </is>
      </c>
      <c r="E6" s="14" t="inlineStr">
        <is>
          <t>Secure erase or physical destruction</t>
        </is>
      </c>
      <c r="F6" s="14" t="inlineStr">
        <is>
          <t>By last working day</t>
        </is>
      </c>
      <c r="G6" s="14" t="inlineStr">
        <is>
          <t>Report as security incident if sensitive data</t>
        </is>
      </c>
    </row>
    <row r="7">
      <c r="A7" s="14" t="inlineStr">
        <is>
          <t>Access Devices</t>
        </is>
      </c>
      <c r="B7" s="14" t="inlineStr">
        <is>
          <t>Badges, keys, tokens, smart cards</t>
        </is>
      </c>
      <c r="C7" s="14" t="inlineStr">
        <is>
          <t>In-person handover to Facilities/Security</t>
        </is>
      </c>
      <c r="D7" s="14" t="inlineStr">
        <is>
          <t>Inventory match, badge ID verification</t>
        </is>
      </c>
      <c r="E7" s="14" t="inlineStr">
        <is>
          <t>Disable in access system, revoke certificates</t>
        </is>
      </c>
      <c r="F7" s="14" t="inlineStr">
        <is>
          <t>By last working day</t>
        </is>
      </c>
      <c r="G7" s="14" t="inlineStr">
        <is>
          <t>Disable immediately, rekey if high security</t>
        </is>
      </c>
    </row>
    <row r="8">
      <c r="A8" s="14" t="inlineStr">
        <is>
          <t>Documentation</t>
        </is>
      </c>
      <c r="B8" s="14" t="inlineStr">
        <is>
          <t>Printed documents, manuals, customer materials</t>
        </is>
      </c>
      <c r="C8" s="14" t="inlineStr">
        <is>
          <t>In-person handover to manager</t>
        </is>
      </c>
      <c r="D8" s="14" t="inlineStr">
        <is>
          <t>Spot check completeness</t>
        </is>
      </c>
      <c r="E8" s="14" t="inlineStr">
        <is>
          <t>Secure destruction of confidential materials</t>
        </is>
      </c>
      <c r="F8" s="14" t="inlineStr">
        <is>
          <t>By last working day</t>
        </is>
      </c>
      <c r="G8" s="14" t="inlineStr">
        <is>
          <t>Manager verification, log incomplete return</t>
        </is>
      </c>
    </row>
    <row r="9">
      <c r="A9" s="14" t="inlineStr">
        <is>
          <t>Software Licenses</t>
        </is>
      </c>
      <c r="B9" s="14" t="inlineStr">
        <is>
          <t>Named user licenses, dongles</t>
        </is>
      </c>
      <c r="C9" s="14" t="inlineStr">
        <is>
          <t>IT collection or verification of removal</t>
        </is>
      </c>
      <c r="D9" s="14" t="inlineStr">
        <is>
          <t>License deactivation confirmed</t>
        </is>
      </c>
      <c r="E9" s="14" t="inlineStr">
        <is>
          <t>Deactivate license, update inventory</t>
        </is>
      </c>
      <c r="F9" s="14" t="inlineStr">
        <is>
          <t>By last working day</t>
        </is>
      </c>
      <c r="G9" s="14" t="inlineStr">
        <is>
          <t>Deactivate remotely, reallocate license</t>
        </is>
      </c>
    </row>
    <row r="10">
      <c r="A10" s="14" t="inlineStr">
        <is>
          <t>BYOD (if MDM)</t>
        </is>
      </c>
      <c r="B10" s="14" t="inlineStr">
        <is>
          <t>Personal devices with company data</t>
        </is>
      </c>
      <c r="C10" s="14" t="inlineStr">
        <is>
          <t>MDM unenrollment by IT</t>
        </is>
      </c>
      <c r="D10" s="14" t="inlineStr">
        <is>
          <t>Confirm MDM profile removed</t>
        </is>
      </c>
      <c r="E10" s="14" t="inlineStr">
        <is>
          <t>Selective wipe of company data via MDM</t>
        </is>
      </c>
      <c r="F10" s="14" t="inlineStr">
        <is>
          <t>By last working day</t>
        </is>
      </c>
      <c r="G10" s="14" t="inlineStr">
        <is>
          <t>Remote selective wipe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22" customWidth="1" min="3" max="3"/>
    <col width="16" customWidth="1" min="4" max="4"/>
    <col width="18" customWidth="1" min="5" max="5"/>
    <col width="18" customWidth="1" min="6" max="6"/>
    <col width="18" customWidth="1" min="7" max="7"/>
    <col width="16" customWidth="1" min="8" max="8"/>
    <col width="18" customWidth="1" min="9" max="9"/>
    <col width="40" customWidth="1" min="10" max="10"/>
  </cols>
  <sheetData>
    <row r="1" ht="35" customHeight="1">
      <c r="A1" s="11" t="inlineStr">
        <is>
          <t>EXIT TRACKER</t>
        </is>
      </c>
    </row>
    <row r="2">
      <c r="A2" s="12" t="inlineStr">
        <is>
          <t>Individual exit tracking — access revocation, asset return and checklist completion status</t>
        </is>
      </c>
    </row>
    <row r="3">
      <c r="A3" s="13" t="inlineStr">
        <is>
          <t>Exit ID</t>
        </is>
      </c>
      <c r="B3" s="13" t="inlineStr">
        <is>
          <t>Employee ID</t>
        </is>
      </c>
      <c r="C3" s="13" t="inlineStr">
        <is>
          <t>Exit Type</t>
        </is>
      </c>
      <c r="D3" s="13" t="inlineStr">
        <is>
          <t>Last Working Day</t>
        </is>
      </c>
      <c r="E3" s="13" t="inlineStr">
        <is>
          <t>Access Revoked Date</t>
        </is>
      </c>
      <c r="F3" s="13" t="inlineStr">
        <is>
          <t>Assets Returned Date</t>
        </is>
      </c>
      <c r="G3" s="13" t="inlineStr">
        <is>
          <t>Exit Interview Date</t>
        </is>
      </c>
      <c r="H3" s="13" t="inlineStr">
        <is>
          <t>Checklist Complete</t>
        </is>
      </c>
      <c r="I3" s="13" t="inlineStr">
        <is>
          <t>Status</t>
        </is>
      </c>
      <c r="J3" s="13" t="inlineStr">
        <is>
          <t>Notes</t>
        </is>
      </c>
    </row>
    <row r="4">
      <c r="A4" s="15" t="inlineStr">
        <is>
          <t>EXIT-XXXX</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"Voluntary Resignation,Involuntary Termination,Immediate Dismissal,Retirement,Contract End,Role Change"</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"Yes,Partial,No"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"Initiated,In Progress,Pending Asset Return,Pending Verification,Complete,Issues Outstanding"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30" customWidth="1" min="5" max="5"/>
    <col width="40" customWidth="1" min="6" max="6"/>
    <col width="16" customWidth="1" min="7" max="7"/>
    <col width="25" customWidth="1" min="8" max="8"/>
  </cols>
  <sheetData>
    <row r="1" ht="35" customHeight="1">
      <c r="A1" s="11" t="inlineStr">
        <is>
          <t>LEAVER RECONCILIATION (MONTHLY)</t>
        </is>
      </c>
    </row>
    <row r="2">
      <c r="A2" s="12" t="inlineStr">
        <is>
          <t>Monthly reconciliation of HR leavers against disabled accounts to detect orphaned access</t>
        </is>
      </c>
    </row>
    <row r="3">
      <c r="A3" s="13" t="inlineStr">
        <is>
          <t>Review Date</t>
        </is>
      </c>
      <c r="B3" s="13" t="inlineStr">
        <is>
          <t>HR Leavers</t>
        </is>
      </c>
      <c r="C3" s="13" t="inlineStr">
        <is>
          <t>Accounts Disabled</t>
        </is>
      </c>
      <c r="D3" s="13" t="inlineStr">
        <is>
          <t>Discrepancies</t>
        </is>
      </c>
      <c r="E3" s="13" t="inlineStr">
        <is>
          <t>Orphaned Accounts</t>
        </is>
      </c>
      <c r="F3" s="13" t="inlineStr">
        <is>
          <t>Remediation Action</t>
        </is>
      </c>
      <c r="G3" s="13" t="inlineStr">
        <is>
          <t>Remediation Date</t>
        </is>
      </c>
      <c r="H3" s="13" t="inlineStr">
        <is>
          <t>Reviewer</t>
        </is>
      </c>
    </row>
    <row r="4">
      <c r="A4" s="15" t="n"/>
      <c r="B4" s="15" t="n"/>
      <c r="C4" s="15" t="n"/>
      <c r="D4" s="15">
        <f>IF(B4&lt;&gt;"",B4-C4,"")</f>
        <v/>
      </c>
      <c r="E4" s="15" t="n"/>
      <c r="F4" s="15" t="n"/>
      <c r="G4" s="15" t="n"/>
      <c r="H4" s="15" t="n"/>
    </row>
    <row r="5">
      <c r="A5" s="16" t="n"/>
      <c r="B5" s="16" t="n"/>
      <c r="C5" s="16" t="n"/>
      <c r="D5" s="17">
        <f>IF(B5&lt;&gt;"",B5-C5,"")</f>
        <v/>
      </c>
      <c r="E5" s="16" t="n"/>
      <c r="F5" s="16" t="n"/>
      <c r="G5" s="16" t="n"/>
      <c r="H5" s="16" t="n"/>
    </row>
    <row r="6">
      <c r="A6" s="16" t="n"/>
      <c r="B6" s="16" t="n"/>
      <c r="C6" s="16" t="n"/>
      <c r="D6" s="17">
        <f>IF(B6&lt;&gt;"",B6-C6,"")</f>
        <v/>
      </c>
      <c r="E6" s="16" t="n"/>
      <c r="F6" s="16" t="n"/>
      <c r="G6" s="16" t="n"/>
      <c r="H6" s="16" t="n"/>
    </row>
    <row r="7">
      <c r="A7" s="16" t="n"/>
      <c r="B7" s="16" t="n"/>
      <c r="C7" s="16" t="n"/>
      <c r="D7" s="17">
        <f>IF(B7&lt;&gt;"",B7-C7,"")</f>
        <v/>
      </c>
      <c r="E7" s="16" t="n"/>
      <c r="F7" s="16" t="n"/>
      <c r="G7" s="16" t="n"/>
      <c r="H7" s="16" t="n"/>
    </row>
    <row r="8">
      <c r="A8" s="16" t="n"/>
      <c r="B8" s="16" t="n"/>
      <c r="C8" s="16" t="n"/>
      <c r="D8" s="17">
        <f>IF(B8&lt;&gt;"",B8-C8,"")</f>
        <v/>
      </c>
      <c r="E8" s="16" t="n"/>
      <c r="F8" s="16" t="n"/>
      <c r="G8" s="16" t="n"/>
      <c r="H8" s="16" t="n"/>
    </row>
    <row r="9">
      <c r="A9" s="16" t="n"/>
      <c r="B9" s="16" t="n"/>
      <c r="C9" s="16" t="n"/>
      <c r="D9" s="17">
        <f>IF(B9&lt;&gt;"",B9-C9,"")</f>
        <v/>
      </c>
      <c r="E9" s="16" t="n"/>
      <c r="F9" s="16" t="n"/>
      <c r="G9" s="16" t="n"/>
      <c r="H9" s="16" t="n"/>
    </row>
    <row r="10">
      <c r="A10" s="16" t="n"/>
      <c r="B10" s="16" t="n"/>
      <c r="C10" s="16" t="n"/>
      <c r="D10" s="17">
        <f>IF(B10&lt;&gt;"",B10-C10,"")</f>
        <v/>
      </c>
      <c r="E10" s="16" t="n"/>
      <c r="F10" s="16" t="n"/>
      <c r="G10" s="16" t="n"/>
      <c r="H10" s="16" t="n"/>
    </row>
    <row r="11">
      <c r="A11" s="16" t="n"/>
      <c r="B11" s="16" t="n"/>
      <c r="C11" s="16" t="n"/>
      <c r="D11" s="17">
        <f>IF(B11&lt;&gt;"",B11-C11,"")</f>
        <v/>
      </c>
      <c r="E11" s="16" t="n"/>
      <c r="F11" s="16" t="n"/>
      <c r="G11" s="16" t="n"/>
      <c r="H11" s="16" t="n"/>
    </row>
    <row r="12">
      <c r="A12" s="16" t="n"/>
      <c r="B12" s="16" t="n"/>
      <c r="C12" s="16" t="n"/>
      <c r="D12" s="17">
        <f>IF(B12&lt;&gt;"",B12-C12,"")</f>
        <v/>
      </c>
      <c r="E12" s="16" t="n"/>
      <c r="F12" s="16" t="n"/>
      <c r="G12" s="16" t="n"/>
      <c r="H12" s="16" t="n"/>
    </row>
    <row r="13">
      <c r="A13" s="16" t="n"/>
      <c r="B13" s="16" t="n"/>
      <c r="C13" s="16" t="n"/>
      <c r="D13" s="17">
        <f>IF(B13&lt;&gt;"",B13-C13,"")</f>
        <v/>
      </c>
      <c r="E13" s="16" t="n"/>
      <c r="F13" s="16" t="n"/>
      <c r="G13" s="16" t="n"/>
      <c r="H13" s="16" t="n"/>
    </row>
    <row r="14">
      <c r="A14" s="16" t="n"/>
      <c r="B14" s="16" t="n"/>
      <c r="C14" s="16" t="n"/>
      <c r="D14" s="17">
        <f>IF(B14&lt;&gt;"",B14-C14,"")</f>
        <v/>
      </c>
      <c r="E14" s="16" t="n"/>
      <c r="F14" s="16" t="n"/>
      <c r="G14" s="16" t="n"/>
      <c r="H14" s="16" t="n"/>
    </row>
    <row r="15">
      <c r="A15" s="16" t="n"/>
      <c r="B15" s="16" t="n"/>
      <c r="C15" s="16" t="n"/>
      <c r="D15" s="17">
        <f>IF(B15&lt;&gt;"",B15-C15,"")</f>
        <v/>
      </c>
      <c r="E15" s="16" t="n"/>
      <c r="F15" s="16" t="n"/>
      <c r="G15" s="16" t="n"/>
      <c r="H15" s="16" t="n"/>
    </row>
    <row r="16">
      <c r="A16" s="16" t="n"/>
      <c r="B16" s="16" t="n"/>
      <c r="C16" s="16" t="n"/>
      <c r="D16" s="17">
        <f>IF(B16&lt;&gt;"",B16-C16,"")</f>
        <v/>
      </c>
      <c r="E16" s="16" t="n"/>
      <c r="F16" s="16" t="n"/>
      <c r="G16" s="16" t="n"/>
      <c r="H16" s="16" t="n"/>
    </row>
    <row r="17">
      <c r="A17" s="16" t="n"/>
      <c r="B17" s="16" t="n"/>
      <c r="C17" s="16" t="n"/>
      <c r="D17" s="17">
        <f>IF(B17&lt;&gt;"",B17-C17,"")</f>
        <v/>
      </c>
      <c r="E17" s="16" t="n"/>
      <c r="F17" s="16" t="n"/>
      <c r="G17" s="16" t="n"/>
      <c r="H17" s="16" t="n"/>
    </row>
    <row r="18">
      <c r="A18" s="16" t="n"/>
      <c r="B18" s="16" t="n"/>
      <c r="C18" s="16" t="n"/>
      <c r="D18" s="17">
        <f>IF(B18&lt;&gt;"",B18-C18,"")</f>
        <v/>
      </c>
      <c r="E18" s="16" t="n"/>
      <c r="F18" s="16" t="n"/>
      <c r="G18" s="16" t="n"/>
      <c r="H18" s="16" t="n"/>
    </row>
    <row r="19">
      <c r="A19" s="16" t="n"/>
      <c r="B19" s="16" t="n"/>
      <c r="C19" s="16" t="n"/>
      <c r="D19" s="17">
        <f>IF(B19&lt;&gt;"",B19-C19,"")</f>
        <v/>
      </c>
      <c r="E19" s="16" t="n"/>
      <c r="F19" s="16" t="n"/>
      <c r="G19" s="16" t="n"/>
      <c r="H19" s="16" t="n"/>
    </row>
    <row r="20">
      <c r="A20" s="16" t="n"/>
      <c r="B20" s="16" t="n"/>
      <c r="C20" s="16" t="n"/>
      <c r="D20" s="17">
        <f>IF(B20&lt;&gt;"",B20-C20,"")</f>
        <v/>
      </c>
      <c r="E20" s="16" t="n"/>
      <c r="F20" s="16" t="n"/>
      <c r="G20" s="16" t="n"/>
      <c r="H20" s="16" t="n"/>
    </row>
    <row r="21">
      <c r="A21" s="16" t="n"/>
      <c r="B21" s="16" t="n"/>
      <c r="C21" s="16" t="n"/>
      <c r="D21" s="17">
        <f>IF(B21&lt;&gt;"",B21-C21,"")</f>
        <v/>
      </c>
      <c r="E21" s="16" t="n"/>
      <c r="F21" s="16" t="n"/>
      <c r="G21" s="16" t="n"/>
      <c r="H21" s="16" t="n"/>
    </row>
    <row r="22">
      <c r="A22" s="16" t="n"/>
      <c r="B22" s="16" t="n"/>
      <c r="C22" s="16" t="n"/>
      <c r="D22" s="17">
        <f>IF(B22&lt;&gt;"",B22-C22,"")</f>
        <v/>
      </c>
      <c r="E22" s="16" t="n"/>
      <c r="F22" s="16" t="n"/>
      <c r="G22" s="16" t="n"/>
      <c r="H22" s="16" t="n"/>
    </row>
    <row r="23">
      <c r="A23" s="16" t="n"/>
      <c r="B23" s="16" t="n"/>
      <c r="C23" s="16" t="n"/>
      <c r="D23" s="17">
        <f>IF(B23&lt;&gt;"",B23-C23,"")</f>
        <v/>
      </c>
      <c r="E23" s="16" t="n"/>
      <c r="F23" s="16" t="n"/>
      <c r="G23" s="16" t="n"/>
      <c r="H23" s="16" t="n"/>
    </row>
    <row r="24">
      <c r="A24" s="16" t="n"/>
      <c r="B24" s="16" t="n"/>
      <c r="C24" s="16" t="n"/>
      <c r="D24" s="17">
        <f>IF(B24&lt;&gt;"",B24-C24,"")</f>
        <v/>
      </c>
      <c r="E24" s="16" t="n"/>
      <c r="F24" s="16" t="n"/>
      <c r="G24" s="16" t="n"/>
      <c r="H24" s="16" t="n"/>
    </row>
    <row r="25">
      <c r="A25" s="16" t="n"/>
      <c r="B25" s="16" t="n"/>
      <c r="C25" s="16" t="n"/>
      <c r="D25" s="17">
        <f>IF(B25&lt;&gt;"",B25-C25,"")</f>
        <v/>
      </c>
      <c r="E25" s="16" t="n"/>
      <c r="F25" s="16" t="n"/>
      <c r="G25" s="16" t="n"/>
      <c r="H25" s="16" t="n"/>
    </row>
    <row r="26">
      <c r="A26" s="16" t="n"/>
      <c r="B26" s="16" t="n"/>
      <c r="C26" s="16" t="n"/>
      <c r="D26" s="17">
        <f>IF(B26&lt;&gt;"",B26-C26,"")</f>
        <v/>
      </c>
      <c r="E26" s="16" t="n"/>
      <c r="F26" s="16" t="n"/>
      <c r="G26" s="16" t="n"/>
      <c r="H26" s="16" t="n"/>
    </row>
    <row r="27">
      <c r="A27" s="16" t="n"/>
      <c r="B27" s="16" t="n"/>
      <c r="C27" s="16" t="n"/>
      <c r="D27" s="17">
        <f>IF(B27&lt;&gt;"",B27-C27,"")</f>
        <v/>
      </c>
      <c r="E27" s="16" t="n"/>
      <c r="F27" s="16" t="n"/>
      <c r="G27" s="16" t="n"/>
      <c r="H27" s="16" t="n"/>
    </row>
    <row r="28">
      <c r="A28" s="16" t="n"/>
      <c r="B28" s="16" t="n"/>
      <c r="C28" s="16" t="n"/>
      <c r="D28" s="17">
        <f>IF(B28&lt;&gt;"",B28-C28,"")</f>
        <v/>
      </c>
      <c r="E28" s="16" t="n"/>
      <c r="F28" s="16" t="n"/>
      <c r="G28" s="16" t="n"/>
      <c r="H28" s="16" t="n"/>
    </row>
    <row r="29">
      <c r="A29" s="16" t="n"/>
      <c r="B29" s="16" t="n"/>
      <c r="C29" s="16" t="n"/>
      <c r="D29" s="17">
        <f>IF(B29&lt;&gt;"",B29-C29,"")</f>
        <v/>
      </c>
      <c r="E29" s="16" t="n"/>
      <c r="F29" s="16" t="n"/>
      <c r="G29" s="16" t="n"/>
      <c r="H29" s="16" t="n"/>
    </row>
    <row r="30">
      <c r="A30" s="16" t="n"/>
      <c r="B30" s="16" t="n"/>
      <c r="C30" s="16" t="n"/>
      <c r="D30" s="17">
        <f>IF(B30&lt;&gt;"",B30-C30,"")</f>
        <v/>
      </c>
      <c r="E30" s="16" t="n"/>
      <c r="F30" s="16" t="n"/>
      <c r="G30" s="16" t="n"/>
      <c r="H30" s="16" t="n"/>
    </row>
    <row r="31">
      <c r="A31" s="16" t="n"/>
      <c r="B31" s="16" t="n"/>
      <c r="C31" s="16" t="n"/>
      <c r="D31" s="17">
        <f>IF(B31&lt;&gt;"",B31-C31,"")</f>
        <v/>
      </c>
      <c r="E31" s="16" t="n"/>
      <c r="F31" s="16" t="n"/>
      <c r="G31" s="16" t="n"/>
      <c r="H31" s="16" t="n"/>
    </row>
    <row r="32">
      <c r="A32" s="16" t="n"/>
      <c r="B32" s="16" t="n"/>
      <c r="C32" s="16" t="n"/>
      <c r="D32" s="17">
        <f>IF(B32&lt;&gt;"",B32-C32,"")</f>
        <v/>
      </c>
      <c r="E32" s="16" t="n"/>
      <c r="F32" s="16" t="n"/>
      <c r="G32" s="16" t="n"/>
      <c r="H32" s="16" t="n"/>
    </row>
    <row r="33">
      <c r="A33" s="16" t="n"/>
      <c r="B33" s="16" t="n"/>
      <c r="C33" s="16" t="n"/>
      <c r="D33" s="17">
        <f>IF(B33&lt;&gt;"",B33-C33,"")</f>
        <v/>
      </c>
      <c r="E33" s="16" t="n"/>
      <c r="F33" s="16" t="n"/>
      <c r="G33" s="16" t="n"/>
      <c r="H33" s="16" t="n"/>
    </row>
    <row r="34">
      <c r="A34" s="16" t="n"/>
      <c r="B34" s="16" t="n"/>
      <c r="C34" s="16" t="n"/>
      <c r="D34" s="17">
        <f>IF(B34&lt;&gt;"",B34-C34,"")</f>
        <v/>
      </c>
      <c r="E34" s="16" t="n"/>
      <c r="F34" s="16" t="n"/>
      <c r="G34" s="16" t="n"/>
      <c r="H34" s="16" t="n"/>
    </row>
    <row r="35">
      <c r="A35" s="16" t="n"/>
      <c r="B35" s="16" t="n"/>
      <c r="C35" s="16" t="n"/>
      <c r="D35" s="17">
        <f>IF(B35&lt;&gt;"",B35-C35,"")</f>
        <v/>
      </c>
      <c r="E35" s="16" t="n"/>
      <c r="F35" s="16" t="n"/>
      <c r="G35" s="16" t="n"/>
      <c r="H35" s="16" t="n"/>
    </row>
    <row r="36">
      <c r="A36" s="16" t="n"/>
      <c r="B36" s="16" t="n"/>
      <c r="C36" s="16" t="n"/>
      <c r="D36" s="17">
        <f>IF(B36&lt;&gt;"",B36-C36,"")</f>
        <v/>
      </c>
      <c r="E36" s="16" t="n"/>
      <c r="F36" s="16" t="n"/>
      <c r="G36" s="16" t="n"/>
      <c r="H36" s="16" t="n"/>
    </row>
    <row r="37">
      <c r="A37" s="16" t="n"/>
      <c r="B37" s="16" t="n"/>
      <c r="C37" s="16" t="n"/>
      <c r="D37" s="17">
        <f>IF(B37&lt;&gt;"",B37-C37,"")</f>
        <v/>
      </c>
      <c r="E37" s="16" t="n"/>
      <c r="F37" s="16" t="n"/>
      <c r="G37" s="16" t="n"/>
      <c r="H37" s="16" t="n"/>
    </row>
    <row r="38">
      <c r="A38" s="16" t="n"/>
      <c r="B38" s="16" t="n"/>
      <c r="C38" s="16" t="n"/>
      <c r="D38" s="17">
        <f>IF(B38&lt;&gt;"",B38-C38,"")</f>
        <v/>
      </c>
      <c r="E38" s="16" t="n"/>
      <c r="F38" s="16" t="n"/>
      <c r="G38" s="16" t="n"/>
      <c r="H38" s="16" t="n"/>
    </row>
    <row r="39">
      <c r="A39" s="16" t="n"/>
      <c r="B39" s="16" t="n"/>
      <c r="C39" s="16" t="n"/>
      <c r="D39" s="17">
        <f>IF(B39&lt;&gt;"",B39-C39,"")</f>
        <v/>
      </c>
      <c r="E39" s="16" t="n"/>
      <c r="F39" s="16" t="n"/>
      <c r="G39" s="16" t="n"/>
      <c r="H39" s="16" t="n"/>
    </row>
    <row r="40">
      <c r="A40" s="16" t="n"/>
      <c r="B40" s="16" t="n"/>
      <c r="C40" s="16" t="n"/>
      <c r="D40" s="17">
        <f>IF(B40&lt;&gt;"",B40-C40,"")</f>
        <v/>
      </c>
      <c r="E40" s="16" t="n"/>
      <c r="F40" s="16" t="n"/>
      <c r="G40" s="16" t="n"/>
      <c r="H40" s="16" t="n"/>
    </row>
    <row r="41">
      <c r="A41" s="16" t="n"/>
      <c r="B41" s="16" t="n"/>
      <c r="C41" s="16" t="n"/>
      <c r="D41" s="17">
        <f>IF(B41&lt;&gt;"",B41-C41,"")</f>
        <v/>
      </c>
      <c r="E41" s="16" t="n"/>
      <c r="F41" s="16" t="n"/>
      <c r="G41" s="16" t="n"/>
      <c r="H41" s="16" t="n"/>
    </row>
    <row r="42">
      <c r="A42" s="16" t="n"/>
      <c r="B42" s="16" t="n"/>
      <c r="C42" s="16" t="n"/>
      <c r="D42" s="17">
        <f>IF(B42&lt;&gt;"",B42-C42,"")</f>
        <v/>
      </c>
      <c r="E42" s="16" t="n"/>
      <c r="F42" s="16" t="n"/>
      <c r="G42" s="16" t="n"/>
      <c r="H42" s="16" t="n"/>
    </row>
    <row r="43">
      <c r="A43" s="16" t="n"/>
      <c r="B43" s="16" t="n"/>
      <c r="C43" s="16" t="n"/>
      <c r="D43" s="17">
        <f>IF(B43&lt;&gt;"",B43-C43,"")</f>
        <v/>
      </c>
      <c r="E43" s="16" t="n"/>
      <c r="F43" s="16" t="n"/>
      <c r="G43" s="16" t="n"/>
      <c r="H43" s="16" t="n"/>
    </row>
    <row r="44">
      <c r="A44" s="16" t="n"/>
      <c r="B44" s="16" t="n"/>
      <c r="C44" s="16" t="n"/>
      <c r="D44" s="17">
        <f>IF(B44&lt;&gt;"",B44-C44,"")</f>
        <v/>
      </c>
      <c r="E44" s="16" t="n"/>
      <c r="F44" s="16" t="n"/>
      <c r="G44" s="16" t="n"/>
      <c r="H44" s="16" t="n"/>
    </row>
    <row r="45">
      <c r="A45" s="16" t="n"/>
      <c r="B45" s="16" t="n"/>
      <c r="C45" s="16" t="n"/>
      <c r="D45" s="17">
        <f>IF(B45&lt;&gt;"",B45-C45,"")</f>
        <v/>
      </c>
      <c r="E45" s="16" t="n"/>
      <c r="F45" s="16" t="n"/>
      <c r="G45" s="16" t="n"/>
      <c r="H45" s="16" t="n"/>
    </row>
    <row r="46">
      <c r="A46" s="16" t="n"/>
      <c r="B46" s="16" t="n"/>
      <c r="C46" s="16" t="n"/>
      <c r="D46" s="17">
        <f>IF(B46&lt;&gt;"",B46-C46,"")</f>
        <v/>
      </c>
      <c r="E46" s="16" t="n"/>
      <c r="F46" s="16" t="n"/>
      <c r="G46" s="16" t="n"/>
      <c r="H46" s="16" t="n"/>
    </row>
    <row r="47">
      <c r="A47" s="16" t="n"/>
      <c r="B47" s="16" t="n"/>
      <c r="C47" s="16" t="n"/>
      <c r="D47" s="17">
        <f>IF(B47&lt;&gt;"",B47-C47,"")</f>
        <v/>
      </c>
      <c r="E47" s="16" t="n"/>
      <c r="F47" s="16" t="n"/>
      <c r="G47" s="16" t="n"/>
      <c r="H47" s="16" t="n"/>
    </row>
    <row r="48">
      <c r="A48" s="16" t="n"/>
      <c r="B48" s="16" t="n"/>
      <c r="C48" s="16" t="n"/>
      <c r="D48" s="17">
        <f>IF(B48&lt;&gt;"",B48-C48,"")</f>
        <v/>
      </c>
      <c r="E48" s="16" t="n"/>
      <c r="F48" s="16" t="n"/>
      <c r="G48" s="16" t="n"/>
      <c r="H48" s="16" t="n"/>
    </row>
    <row r="49">
      <c r="A49" s="16" t="n"/>
      <c r="B49" s="16" t="n"/>
      <c r="C49" s="16" t="n"/>
      <c r="D49" s="17">
        <f>IF(B49&lt;&gt;"",B49-C49,"")</f>
        <v/>
      </c>
      <c r="E49" s="16" t="n"/>
      <c r="F49" s="16" t="n"/>
      <c r="G49" s="16" t="n"/>
      <c r="H49" s="16" t="n"/>
    </row>
    <row r="50">
      <c r="A50" s="16" t="n"/>
      <c r="B50" s="16" t="n"/>
      <c r="C50" s="16" t="n"/>
      <c r="D50" s="17">
        <f>IF(B50&lt;&gt;"",B50-C50,"")</f>
        <v/>
      </c>
      <c r="E50" s="16" t="n"/>
      <c r="F50" s="16" t="n"/>
      <c r="G50" s="16" t="n"/>
      <c r="H50" s="16" t="n"/>
    </row>
    <row r="51">
      <c r="A51" s="16" t="n"/>
      <c r="B51" s="16" t="n"/>
      <c r="C51" s="16" t="n"/>
      <c r="D51" s="17">
        <f>IF(B51&lt;&gt;"",B51-C51,"")</f>
        <v/>
      </c>
      <c r="E51" s="16" t="n"/>
      <c r="F51" s="16" t="n"/>
      <c r="G51" s="16" t="n"/>
      <c r="H51" s="16" t="n"/>
    </row>
    <row r="52">
      <c r="A52" s="16" t="n"/>
      <c r="B52" s="16" t="n"/>
      <c r="C52" s="16" t="n"/>
      <c r="D52" s="17">
        <f>IF(B52&lt;&gt;"",B52-C52,"")</f>
        <v/>
      </c>
      <c r="E52" s="16" t="n"/>
      <c r="F52" s="16" t="n"/>
      <c r="G52" s="16" t="n"/>
      <c r="H52" s="16" t="n"/>
    </row>
    <row r="53">
      <c r="A53" s="16" t="n"/>
      <c r="B53" s="16" t="n"/>
      <c r="C53" s="16" t="n"/>
      <c r="D53" s="17">
        <f>IF(B53&lt;&gt;"",B53-C53,"")</f>
        <v/>
      </c>
      <c r="E53" s="16" t="n"/>
      <c r="F53" s="16" t="n"/>
      <c r="G53" s="16" t="n"/>
      <c r="H53" s="16" t="n"/>
    </row>
    <row r="54">
      <c r="A54" s="16" t="n"/>
      <c r="B54" s="16" t="n"/>
      <c r="C54" s="16" t="n"/>
      <c r="D54" s="17">
        <f>IF(B54&lt;&gt;"",B54-C54,"")</f>
        <v/>
      </c>
      <c r="E54" s="16" t="n"/>
      <c r="F54" s="16" t="n"/>
      <c r="G54" s="16" t="n"/>
      <c r="H54" s="16"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employment exit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"Exit Procedure,Access Revocation Log,Asset Return Form,Exit Checklist,Reconciliation 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Employment Exit Assessment — SUMMARY DASHBOARD</t>
        </is>
      </c>
      <c r="B1" s="6" t="n"/>
      <c r="C1" s="6" t="n"/>
      <c r="D1" s="6" t="n"/>
      <c r="E1" s="6" t="n"/>
      <c r="F1" s="6" t="n"/>
      <c r="G1" s="6" t="n"/>
    </row>
    <row r="2">
      <c r="A2" s="24" t="inlineStr">
        <is>
          <t>ISMS-IMP-A.6.4-5.S2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Employment Exit Processing</t>
        </is>
      </c>
      <c r="B6" s="28">
        <f>COUNTA('Exit Tracker'!A5:A54)</f>
        <v/>
      </c>
      <c r="C6" s="28">
        <f>COUNTIF('Exit Tracker'!I5:I54,"Complete")</f>
        <v/>
      </c>
      <c r="D6" s="28">
        <f>COUNTIF('Exit Tracker'!I5:I54,"In Progress")+COUNTIF('Exit Tracker'!I5:I54,"Pending Asset Return")+COUNTIF('Exit Tracker'!I5:I54,"Pending Verification")</f>
        <v/>
      </c>
      <c r="E6" s="28">
        <f>COUNTIF('Exit Tracker'!I5:I54,"Issues Outstanding")</f>
        <v/>
      </c>
      <c r="F6" s="28">
        <f>COUNTIF('Exit Tracker'!I5:I54,"Initiated")</f>
        <v/>
      </c>
      <c r="G6" s="29">
        <f>IF((B6-F6)=0,0,C6/(B6-F6))</f>
        <v/>
      </c>
    </row>
    <row r="7">
      <c r="A7" s="30" t="inlineStr">
        <is>
          <t>TOTAL</t>
        </is>
      </c>
      <c r="B7" s="31">
        <f>SUM(B6:B6)</f>
        <v/>
      </c>
      <c r="C7" s="31">
        <f>SUM(C6:C6)</f>
        <v/>
      </c>
      <c r="D7" s="31">
        <f>SUM(D6:D6)</f>
        <v/>
      </c>
      <c r="E7" s="31">
        <f>SUM(E6:E6)</f>
        <v/>
      </c>
      <c r="F7" s="31">
        <f>SUM(F6:F6)</f>
        <v/>
      </c>
      <c r="G7" s="32">
        <f>IF((B7-F7)=0,0,C7/(B7-F7))</f>
        <v/>
      </c>
    </row>
    <row r="9">
      <c r="A9" s="25" t="inlineStr">
        <is>
          <t>TABLE 2: KEY METRICS</t>
        </is>
      </c>
      <c r="B9" s="6" t="n"/>
      <c r="C9" s="6" t="n"/>
      <c r="D9" s="6" t="n"/>
      <c r="E9" s="6" t="n"/>
      <c r="F9" s="6" t="n"/>
      <c r="G9" s="6" t="n"/>
    </row>
    <row r="10">
      <c r="A10" s="31" t="inlineStr">
        <is>
          <t>Metric</t>
        </is>
      </c>
      <c r="B10" s="31" t="inlineStr">
        <is>
          <t>Value</t>
        </is>
      </c>
      <c r="C10" s="31" t="n"/>
      <c r="D10" s="31" t="n"/>
      <c r="E10" s="31" t="n"/>
      <c r="F10" s="31" t="n"/>
      <c r="G10" s="31" t="n"/>
    </row>
    <row r="11">
      <c r="A11" s="27" t="inlineStr">
        <is>
          <t>Total Exits Processed</t>
        </is>
      </c>
      <c r="B11" s="28">
        <f>COUNTA('Exit Tracker'!A5:A54)</f>
        <v/>
      </c>
      <c r="C11" s="6" t="n"/>
      <c r="D11" s="6" t="n"/>
      <c r="E11" s="6" t="n"/>
      <c r="F11" s="6" t="n"/>
      <c r="G11" s="6" t="n"/>
    </row>
    <row r="12">
      <c r="A12" s="27" t="inlineStr">
        <is>
          <t>Exits Fully Complete</t>
        </is>
      </c>
      <c r="B12" s="28">
        <f>COUNTIF('Exit Tracker'!I5:I54,"Complete")</f>
        <v/>
      </c>
      <c r="C12" s="6" t="n"/>
      <c r="D12" s="6" t="n"/>
      <c r="E12" s="6" t="n"/>
      <c r="F12" s="6" t="n"/>
      <c r="G12" s="6" t="n"/>
    </row>
    <row r="13">
      <c r="A13" s="27" t="inlineStr">
        <is>
          <t>Exits with Issues Outstanding</t>
        </is>
      </c>
      <c r="B13" s="28">
        <f>COUNTIF('Exit Tracker'!I5:I54,"Issues Outstanding")</f>
        <v/>
      </c>
      <c r="C13" s="6" t="n"/>
      <c r="D13" s="6" t="n"/>
      <c r="E13" s="6" t="n"/>
      <c r="F13" s="6" t="n"/>
      <c r="G13" s="6" t="n"/>
    </row>
    <row r="14">
      <c r="A14" s="27" t="inlineStr">
        <is>
          <t>Exits Initiated (Not Yet Active)</t>
        </is>
      </c>
      <c r="B14" s="28">
        <f>COUNTIF('Exit Tracker'!I5:I54,"Initiated")</f>
        <v/>
      </c>
      <c r="C14" s="6" t="n"/>
      <c r="D14" s="6" t="n"/>
      <c r="E14" s="6" t="n"/>
      <c r="F14" s="6" t="n"/>
      <c r="G14" s="6" t="n"/>
    </row>
    <row r="15">
      <c r="A15" s="27" t="inlineStr">
        <is>
          <t>Voluntary Resignations</t>
        </is>
      </c>
      <c r="B15" s="28">
        <f>COUNTIF('Exit Tracker'!C5:C54,"Voluntary Resignation")</f>
        <v/>
      </c>
      <c r="C15" s="6" t="n"/>
      <c r="D15" s="6" t="n"/>
      <c r="E15" s="6" t="n"/>
      <c r="F15" s="6" t="n"/>
      <c r="G15" s="6" t="n"/>
    </row>
    <row r="16">
      <c r="A16" s="27" t="inlineStr">
        <is>
          <t>Involuntary Terminations</t>
        </is>
      </c>
      <c r="B16" s="28">
        <f>COUNTIF('Exit Tracker'!C5:C54,"Involuntary Termination")</f>
        <v/>
      </c>
      <c r="C16" s="6" t="n"/>
      <c r="D16" s="6" t="n"/>
      <c r="E16" s="6" t="n"/>
      <c r="F16" s="6" t="n"/>
      <c r="G16" s="6" t="n"/>
    </row>
    <row r="17">
      <c r="A17" s="27" t="inlineStr">
        <is>
          <t>Immediate Dismissals</t>
        </is>
      </c>
      <c r="B17" s="28">
        <f>COUNTIF('Exit Tracker'!C5:C54,"Immediate Dismissal")</f>
        <v/>
      </c>
      <c r="C17" s="6" t="n"/>
      <c r="D17" s="6" t="n"/>
      <c r="E17" s="6" t="n"/>
      <c r="F17" s="6" t="n"/>
      <c r="G17" s="6" t="n"/>
    </row>
    <row r="18">
      <c r="A18" s="27" t="inlineStr">
        <is>
          <t>Checklist Fully Complete</t>
        </is>
      </c>
      <c r="B18" s="28">
        <f>COUNTIF('Exit Tracker'!H5:H54,"Yes")</f>
        <v/>
      </c>
      <c r="C18" s="6" t="n"/>
      <c r="D18" s="6" t="n"/>
      <c r="E18" s="6" t="n"/>
      <c r="F18" s="6" t="n"/>
      <c r="G18" s="6" t="n"/>
    </row>
    <row r="19">
      <c r="A19" s="27" t="inlineStr">
        <is>
          <t>Checklist Partially Complete</t>
        </is>
      </c>
      <c r="B19" s="28">
        <f>COUNTIF('Exit Tracker'!H5:H54,"Partial")</f>
        <v/>
      </c>
      <c r="C19" s="6" t="n"/>
      <c r="D19" s="6" t="n"/>
      <c r="E19" s="6" t="n"/>
      <c r="F19" s="6" t="n"/>
      <c r="G19" s="6" t="n"/>
    </row>
    <row r="20">
      <c r="A20" s="27" t="inlineStr">
        <is>
          <t>Checklist Incomplete</t>
        </is>
      </c>
      <c r="B20" s="28">
        <f>COUNTIF('Exit Tracker'!H5:H54,"No")</f>
        <v/>
      </c>
      <c r="C20" s="6" t="n"/>
      <c r="D20" s="6" t="n"/>
      <c r="E20" s="6" t="n"/>
      <c r="F20" s="6" t="n"/>
      <c r="G20" s="6" t="n"/>
    </row>
    <row r="21">
      <c r="A21" s="27" t="inlineStr">
        <is>
          <t>Monthly Reconciliation Reviews Done</t>
        </is>
      </c>
      <c r="B21" s="28">
        <f>COUNTA('Leaver Reconciliation'!A5:A54)</f>
        <v/>
      </c>
      <c r="C21" s="6" t="n"/>
      <c r="D21" s="6" t="n"/>
      <c r="E21" s="6" t="n"/>
      <c r="F21" s="6" t="n"/>
      <c r="G21" s="6" t="n"/>
    </row>
    <row r="22">
      <c r="A22" s="27" t="inlineStr">
        <is>
          <t>Months with Account Discrepancies</t>
        </is>
      </c>
      <c r="B22" s="28">
        <f>COUNTIF('Leaver Reconciliation'!D5:D54,"&gt;"&amp;0)</f>
        <v/>
      </c>
      <c r="C22" s="6" t="n"/>
      <c r="D22" s="6" t="n"/>
      <c r="E22" s="6" t="n"/>
      <c r="F22" s="6" t="n"/>
      <c r="G22" s="6" t="n"/>
    </row>
    <row r="23">
      <c r="A23" s="6" t="n"/>
      <c r="B23" s="6" t="n"/>
      <c r="C23" s="6" t="n"/>
      <c r="D23" s="6" t="n"/>
      <c r="E23" s="6" t="n"/>
      <c r="F23" s="6" t="n"/>
      <c r="G23" s="6" t="n"/>
    </row>
    <row r="24">
      <c r="A24" s="6" t="n"/>
      <c r="B24" s="6" t="n"/>
      <c r="C24" s="6" t="n"/>
      <c r="D24" s="6" t="n"/>
      <c r="E24" s="6" t="n"/>
      <c r="F24" s="6" t="n"/>
      <c r="G24" s="6" t="n"/>
    </row>
    <row r="26">
      <c r="A26" s="33" t="inlineStr">
        <is>
          <t>TABLE 3: CRITICAL FINDINGS REQUIRING IMMEDIATE ATTENTION</t>
        </is>
      </c>
      <c r="B26" s="6" t="n"/>
      <c r="C26" s="6" t="n"/>
      <c r="D26" s="6" t="n"/>
      <c r="E26" s="6" t="n"/>
      <c r="F26" s="6" t="n"/>
      <c r="G26" s="6" t="n"/>
    </row>
    <row r="27">
      <c r="A27" s="31" t="inlineStr">
        <is>
          <t>Category</t>
        </is>
      </c>
      <c r="B27" s="31" t="inlineStr">
        <is>
          <t>Finding</t>
        </is>
      </c>
      <c r="C27" s="31" t="inlineStr">
        <is>
          <t>Count</t>
        </is>
      </c>
      <c r="D27" s="31" t="inlineStr">
        <is>
          <t>Severity</t>
        </is>
      </c>
      <c r="E27" s="31" t="inlineStr">
        <is>
          <t>Action Required</t>
        </is>
      </c>
      <c r="F27" s="31" t="n"/>
      <c r="G27" s="31" t="n"/>
    </row>
    <row r="28">
      <c r="A28" s="34" t="inlineStr">
        <is>
          <t>Access Control</t>
        </is>
      </c>
      <c r="B28" s="34" t="inlineStr">
        <is>
          <t>Exits with issues outstanding</t>
        </is>
      </c>
      <c r="C28" s="35">
        <f>COUNTIF('Exit Tracker'!I5:I54,"Issues Outstanding")</f>
        <v/>
      </c>
      <c r="D28" s="34" t="inlineStr">
        <is>
          <t>Critical</t>
        </is>
      </c>
      <c r="E28" s="34" t="inlineStr">
        <is>
          <t>Immediate</t>
        </is>
      </c>
      <c r="F28" s="34" t="n"/>
      <c r="G28" s="34" t="n"/>
    </row>
    <row r="29">
      <c r="A29" s="34" t="inlineStr">
        <is>
          <t>Access Control</t>
        </is>
      </c>
      <c r="B29" s="34" t="inlineStr">
        <is>
          <t>Exits pending asset return</t>
        </is>
      </c>
      <c r="C29" s="35">
        <f>COUNTIF('Exit Tracker'!I5:I54,"Pending Asset Return")</f>
        <v/>
      </c>
      <c r="D29" s="34" t="inlineStr">
        <is>
          <t>High</t>
        </is>
      </c>
      <c r="E29" s="34" t="inlineStr">
        <is>
          <t>Urgent</t>
        </is>
      </c>
      <c r="F29" s="34" t="n"/>
      <c r="G29" s="34" t="n"/>
    </row>
    <row r="30">
      <c r="A30" s="34" t="inlineStr">
        <is>
          <t>Process Compliance</t>
        </is>
      </c>
      <c r="B30" s="34" t="inlineStr">
        <is>
          <t>Exits with incomplete checklist</t>
        </is>
      </c>
      <c r="C30" s="35">
        <f>COUNTIF('Exit Tracker'!H5:H54,"No")</f>
        <v/>
      </c>
      <c r="D30" s="34" t="inlineStr">
        <is>
          <t>Critical</t>
        </is>
      </c>
      <c r="E30" s="34" t="inlineStr">
        <is>
          <t>Immediate</t>
        </is>
      </c>
      <c r="F30" s="34" t="n"/>
      <c r="G30" s="34" t="n"/>
    </row>
    <row r="31">
      <c r="A31" s="34" t="inlineStr">
        <is>
          <t>Process Compliance</t>
        </is>
      </c>
      <c r="B31" s="34" t="inlineStr">
        <is>
          <t>Exits with partial checklist only</t>
        </is>
      </c>
      <c r="C31" s="35">
        <f>COUNTIF('Exit Tracker'!H5:H54,"Partial")</f>
        <v/>
      </c>
      <c r="D31" s="34" t="inlineStr">
        <is>
          <t>High</t>
        </is>
      </c>
      <c r="E31" s="34" t="inlineStr">
        <is>
          <t>Urgent</t>
        </is>
      </c>
      <c r="F31" s="34" t="n"/>
      <c r="G31" s="34" t="n"/>
    </row>
    <row r="32">
      <c r="A32" s="34" t="inlineStr">
        <is>
          <t>Process Compliance</t>
        </is>
      </c>
      <c r="B32" s="34" t="inlineStr">
        <is>
          <t>Exits pending verification</t>
        </is>
      </c>
      <c r="C32" s="35">
        <f>COUNTIF('Exit Tracker'!I5:I54,"Pending Verification")</f>
        <v/>
      </c>
      <c r="D32" s="34" t="inlineStr">
        <is>
          <t>Medium</t>
        </is>
      </c>
      <c r="E32" s="34" t="inlineStr">
        <is>
          <t>Plan</t>
        </is>
      </c>
      <c r="F32" s="34" t="n"/>
      <c r="G32" s="34" t="n"/>
    </row>
    <row r="33">
      <c r="A33" s="34" t="inlineStr">
        <is>
          <t>Reconciliation</t>
        </is>
      </c>
      <c r="B33" s="34" t="inlineStr">
        <is>
          <t>Months with account discrepancies detected</t>
        </is>
      </c>
      <c r="C33" s="35">
        <f>COUNTIF('Leaver Reconciliation'!D5:D54,"&gt;"&amp;0)</f>
        <v/>
      </c>
      <c r="D33" s="34" t="inlineStr">
        <is>
          <t>High</t>
        </is>
      </c>
      <c r="E33" s="34" t="inlineStr">
        <is>
          <t>Urgent</t>
        </is>
      </c>
      <c r="F33" s="34" t="n"/>
      <c r="G33" s="34" t="n"/>
    </row>
    <row r="34">
      <c r="A34" s="16" t="n"/>
      <c r="B34" s="16" t="n"/>
      <c r="C34" s="16" t="n"/>
      <c r="D34" s="16" t="n"/>
      <c r="E34" s="16" t="n"/>
      <c r="F34" s="16" t="n"/>
      <c r="G34" s="16" t="n"/>
    </row>
    <row r="35">
      <c r="A35" s="16" t="n"/>
      <c r="B35" s="16" t="n"/>
      <c r="C35" s="16" t="n"/>
      <c r="D35" s="16" t="n"/>
      <c r="E35" s="16" t="n"/>
      <c r="F35" s="16" t="n"/>
      <c r="G35" s="16" t="n"/>
    </row>
  </sheetData>
  <mergeCells count="5">
    <mergeCell ref="A1:G1"/>
    <mergeCell ref="A9:G9"/>
    <mergeCell ref="A4:G4"/>
    <mergeCell ref="A26:G26"/>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ISMS-IMP-A.6.4-5.S2 - Employment Exit Assessment</t>
        </is>
      </c>
      <c r="C4" s="6" t="n"/>
      <c r="D4" s="6" t="n"/>
      <c r="E4" s="6" t="n"/>
    </row>
    <row r="5">
      <c r="A5" s="3" t="inlineStr">
        <is>
          <t>Assessment Period:</t>
        </is>
      </c>
      <c r="B5" s="16" t="inlineStr"/>
      <c r="C5" s="6" t="n"/>
      <c r="D5" s="6" t="n"/>
      <c r="E5" s="6" t="n"/>
    </row>
    <row r="6">
      <c r="A6" s="3" t="inlineStr">
        <is>
          <t>Overall Compliance Rating:</t>
        </is>
      </c>
      <c r="B6" s="38">
        <f>IFERROR(AVERAGE('Summary Dashboard'!G6:G6),"")</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ISMS-IMP-A.6.4-5.S2 — Employment Exit Assessment</dc:title>
  <dc:description xmlns:dc="http://purl.org/dc/elements/1.1/">ISMS Implementation Workbook — ISMS-IMP-A.6.4-5.S2</dc:description>
  <dc:subject xmlns:dc="http://purl.org/dc/elements/1.1/">ISO/IEC 27001:2022 — Control A.6.4-5: Disciplinary Process and Employment Exit</dc:subject>
  <dcterms:created xmlns:dcterms="http://purl.org/dc/terms/" xmlns:xsi="http://www.w3.org/2001/XMLSchema-instance" xsi:type="dcterms:W3CDTF">2026-03-07T11:27:50Z</dcterms:created>
  <dcterms:modified xmlns:dcterms="http://purl.org/dc/terms/" xmlns:xsi="http://www.w3.org/2001/XMLSchema-instance" xsi:type="dcterms:W3CDTF">2026-03-07T11:27:50Z</dcterms:modified>
</cp:coreProperties>
</file>