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iodic Review" sheetId="2" state="visible" r:id="rId2"/>
    <sheet xmlns:r="http://schemas.openxmlformats.org/officeDocument/2006/relationships" name="Template Adequacy" sheetId="3" state="visible" r:id="rId3"/>
    <sheet xmlns:r="http://schemas.openxmlformats.org/officeDocument/2006/relationships" name="Coverage Analysis" sheetId="4" state="visible" r:id="rId4"/>
    <sheet xmlns:r="http://schemas.openxmlformats.org/officeDocument/2006/relationships" name="Compliance Check" sheetId="5" state="visible" r:id="rId5"/>
    <sheet xmlns:r="http://schemas.openxmlformats.org/officeDocument/2006/relationships" name="Gap Register"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0" fillId="11" borderId="1" pivotButton="0" quotePrefix="0" xfId="0"/>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ISMS-IMP-A.6.6.3  -  NDA Review and Compliance
ISO/IEC 27001:2022 - Control A.6.6: Confidentiality or Non-Disclosure Agreements</t>
        </is>
      </c>
    </row>
    <row r="3">
      <c r="A3" s="2" t="inlineStr">
        <is>
          <t>Document Information</t>
        </is>
      </c>
    </row>
    <row r="4">
      <c r="A4" s="3" t="inlineStr">
        <is>
          <t>Document ID</t>
        </is>
      </c>
      <c r="B4" t="inlineStr">
        <is>
          <t>ISMS-IMP-A.6.6.3</t>
        </is>
      </c>
    </row>
    <row r="5">
      <c r="A5" s="3" t="inlineStr">
        <is>
          <t>Workbook Title</t>
        </is>
      </c>
      <c r="B5" t="inlineStr">
        <is>
          <t>NDA Review and Compliance</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Periodic Review — document scheduled reviews of all NDA templates and executed agreements.</t>
        </is>
      </c>
    </row>
    <row r="14">
      <c r="A14" t="inlineStr">
        <is>
          <t>2. Complete Template Adequacy — assess whether templates remain adequate for current legal requirements.</t>
        </is>
      </c>
    </row>
    <row r="15">
      <c r="A15" t="inlineStr">
        <is>
          <t>3. Complete Coverage Analysis — verify all personnel and third parties requiring NDAs have signed.</t>
        </is>
      </c>
    </row>
    <row r="16">
      <c r="A16" t="inlineStr">
        <is>
          <t>4. Complete Compliance Check — identify any gaps in NDA coverage or non-compliant agreements.</t>
        </is>
      </c>
    </row>
    <row r="17">
      <c r="A17" t="inlineStr">
        <is>
          <t>5. Complete Gap Register — document missing NDAs and non-compliances with remediation plans.</t>
        </is>
      </c>
    </row>
    <row r="18">
      <c r="A18" t="inlineStr">
        <is>
          <t>6. Maintain the Evidence Register with review reports and remediation evidence.</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30" customWidth="1" min="3" max="3"/>
    <col width="14" customWidth="1" min="4" max="4"/>
    <col width="14" customWidth="1" min="5" max="5"/>
    <col width="22" customWidth="1" min="6" max="6"/>
    <col width="14" customWidth="1" min="7" max="7"/>
    <col width="14" customWidth="1" min="8" max="8"/>
    <col width="14" customWidth="1" min="9" max="9"/>
    <col width="14" customWidth="1" min="10" max="10"/>
    <col width="35" customWidth="1" min="11" max="11"/>
  </cols>
  <sheetData>
    <row r="1" ht="35" customHeight="1">
      <c r="A1" s="11" t="inlineStr">
        <is>
          <t>PERIODIC REVIEW SCHEDULE AND TRACKING</t>
        </is>
      </c>
    </row>
    <row r="2">
      <c r="A2" s="12" t="inlineStr">
        <is>
          <t>ISO/IEC 27001:2022 - Control A.6.6: Confidentiality or Non-Disclosure Agreements</t>
        </is>
      </c>
    </row>
    <row r="3">
      <c r="A3" s="13" t="inlineStr">
        <is>
          <t>Review ID</t>
        </is>
      </c>
      <c r="B3" s="13" t="inlineStr">
        <is>
          <t>Review Type</t>
        </is>
      </c>
      <c r="C3" s="13" t="inlineStr">
        <is>
          <t>Review Scope</t>
        </is>
      </c>
      <c r="D3" s="13" t="inlineStr">
        <is>
          <t>Planned Date</t>
        </is>
      </c>
      <c r="E3" s="13" t="inlineStr">
        <is>
          <t>Actual Date</t>
        </is>
      </c>
      <c r="F3" s="13" t="inlineStr">
        <is>
          <t>Reviewer</t>
        </is>
      </c>
      <c r="G3" s="13" t="inlineStr">
        <is>
          <t>Findings Count</t>
        </is>
      </c>
      <c r="H3" s="13" t="inlineStr">
        <is>
          <t>Gaps Identified</t>
        </is>
      </c>
      <c r="I3" s="13" t="inlineStr">
        <is>
          <t>Status</t>
        </is>
      </c>
      <c r="J3" s="13" t="inlineStr">
        <is>
          <t>Next Review</t>
        </is>
      </c>
      <c r="K3" s="13" t="inlineStr">
        <is>
          <t>Notes</t>
        </is>
      </c>
    </row>
    <row r="4">
      <c r="A4" s="14" t="inlineStr">
        <is>
          <t>REV-001</t>
        </is>
      </c>
      <c r="B4" s="14" t="inlineStr">
        <is>
          <t>Annual Full Review</t>
        </is>
      </c>
      <c r="C4" s="14" t="inlineStr">
        <is>
          <t>[All NDAs]</t>
        </is>
      </c>
      <c r="D4" s="14" t="inlineStr">
        <is>
          <t>[DD.MM.YYYY]</t>
        </is>
      </c>
      <c r="E4" s="14" t="inlineStr">
        <is>
          <t>[DD.MM.YYYY]</t>
        </is>
      </c>
      <c r="F4" s="14" t="inlineStr">
        <is>
          <t>[Name]</t>
        </is>
      </c>
      <c r="G4" s="14" t="inlineStr">
        <is>
          <t>0</t>
        </is>
      </c>
      <c r="H4" s="14" t="inlineStr">
        <is>
          <t>0</t>
        </is>
      </c>
      <c r="I4" s="14" t="inlineStr">
        <is>
          <t>Scheduled</t>
        </is>
      </c>
      <c r="J4" s="14" t="inlineStr">
        <is>
          <t>[DD.MM.YYYY]</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B5:B54" showDropDown="0" showInputMessage="0" showErrorMessage="0" allowBlank="0" type="list">
      <formula1>"Annual Full Review,Quarterly Check,Template Update Review,Triggered Review,Ad-hoc Review"</formula1>
    </dataValidation>
    <dataValidation sqref="I5:I54" showDropDown="0" showInputMessage="0" showErrorMessage="0" allowBlank="0" type="list">
      <formula1>"Scheduled,In Progress,Completed,Overdue,Cancelled"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 width="18" customWidth="1" min="5" max="5"/>
    <col width="16" customWidth="1" min="6" max="6"/>
    <col width="16" customWidth="1" min="7" max="7"/>
    <col width="16" customWidth="1" min="8" max="8"/>
    <col width="16" customWidth="1" min="9" max="9"/>
    <col width="10" customWidth="1" min="10" max="10"/>
    <col width="30" customWidth="1" min="11" max="11"/>
    <col width="30" customWidth="1" min="12" max="12"/>
  </cols>
  <sheetData>
    <row r="1" ht="35" customHeight="1">
      <c r="A1" s="11" t="inlineStr">
        <is>
          <t>NDA TEMPLATE ADEQUACY ASSESSMENT</t>
        </is>
      </c>
    </row>
    <row r="2">
      <c r="A2" s="12" t="inlineStr">
        <is>
          <t>ISO/IEC 27001:2022 - Control A.6.6: Confidentiality or Non-Disclosure Agreements</t>
        </is>
      </c>
    </row>
    <row r="3">
      <c r="A3" s="13" t="inlineStr">
        <is>
          <t>Template ID</t>
        </is>
      </c>
      <c r="B3" s="13" t="inlineStr">
        <is>
          <t>Template Name</t>
        </is>
      </c>
      <c r="C3" s="13" t="inlineStr">
        <is>
          <t>Last Legal Review</t>
        </is>
      </c>
      <c r="D3" s="13" t="inlineStr">
        <is>
          <t>Regulatory Current</t>
        </is>
      </c>
      <c r="E3" s="13" t="inlineStr">
        <is>
          <t>Covers All Info Types</t>
        </is>
      </c>
      <c r="F3" s="13" t="inlineStr">
        <is>
          <t>Post Term Adequate</t>
        </is>
      </c>
      <c r="G3" s="13" t="inlineStr">
        <is>
          <t>Remedies Adequate</t>
        </is>
      </c>
      <c r="H3" s="13" t="inlineStr">
        <is>
          <t>Jurisdiction Correct</t>
        </is>
      </c>
      <c r="I3" s="13" t="inlineStr">
        <is>
          <t>Overall Adequacy</t>
        </is>
      </c>
      <c r="J3" s="13" t="inlineStr">
        <is>
          <t>Score</t>
        </is>
      </c>
      <c r="K3" s="13" t="inlineStr">
        <is>
          <t>Action Required</t>
        </is>
      </c>
      <c r="L3" s="13" t="inlineStr">
        <is>
          <t>Notes</t>
        </is>
      </c>
    </row>
    <row r="4">
      <c r="A4" s="14" t="inlineStr">
        <is>
          <t>TMPL-001</t>
        </is>
      </c>
      <c r="B4" s="14" t="inlineStr">
        <is>
          <t>[Employment NDA]</t>
        </is>
      </c>
      <c r="C4" s="14" t="inlineStr">
        <is>
          <t>[DD.MM.YYYY]</t>
        </is>
      </c>
      <c r="D4" s="14" t="inlineStr">
        <is>
          <t>Adequate</t>
        </is>
      </c>
      <c r="E4" s="14" t="inlineStr">
        <is>
          <t>Adequate</t>
        </is>
      </c>
      <c r="F4" s="14" t="inlineStr">
        <is>
          <t>Adequate</t>
        </is>
      </c>
      <c r="G4" s="14" t="inlineStr">
        <is>
          <t>Adequate</t>
        </is>
      </c>
      <c r="H4" s="14" t="inlineStr">
        <is>
          <t>Adequate</t>
        </is>
      </c>
      <c r="I4" s="14" t="inlineStr">
        <is>
          <t>Adequate</t>
        </is>
      </c>
      <c r="J4" s="14" t="inlineStr">
        <is>
          <t>5/5</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1">
    <dataValidation sqref="D5:D54 E5:E54 F5:F54 G5:G54 H5:H54 I5:I54" showDropDown="0" showInputMessage="0" showErrorMessage="0" allowBlank="0" type="list">
      <formula1>"Adequate,Partially Adequate,Inadequate,Not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2" customWidth="1" min="6" max="6"/>
    <col width="12" customWidth="1" min="7" max="7"/>
    <col width="14" customWidth="1" min="8" max="8"/>
    <col width="20" customWidth="1" min="9" max="9"/>
    <col width="35" customWidth="1" min="10" max="10"/>
  </cols>
  <sheetData>
    <row r="1" ht="35" customHeight="1">
      <c r="A1" s="11" t="inlineStr">
        <is>
          <t>NDA COVERAGE ANALYSIS</t>
        </is>
      </c>
    </row>
    <row r="2">
      <c r="A2" s="12" t="inlineStr">
        <is>
          <t>ISO/IEC 27001:2022 - Control A.6.6: Confidentiality or Non-Disclosure Agreements</t>
        </is>
      </c>
    </row>
    <row r="3">
      <c r="A3" s="13" t="inlineStr">
        <is>
          <t>Employees</t>
        </is>
      </c>
      <c r="B3" s="16" t="inlineStr">
        <is>
          <t>Total Count</t>
        </is>
      </c>
      <c r="C3" s="16" t="inlineStr">
        <is>
          <t>NDA Required</t>
        </is>
      </c>
      <c r="D3" s="16" t="inlineStr">
        <is>
          <t>NDA Signed</t>
        </is>
      </c>
      <c r="E3" s="16" t="inlineStr">
        <is>
          <t>Coverage Rate</t>
        </is>
      </c>
      <c r="F3" s="16" t="inlineStr">
        <is>
          <t>Expired NDAs</t>
        </is>
      </c>
      <c r="G3" s="16" t="inlineStr">
        <is>
          <t>Missing NDAs</t>
        </is>
      </c>
      <c r="H3" s="16" t="inlineStr">
        <is>
          <t>Gap Status</t>
        </is>
      </c>
      <c r="I3" s="16" t="inlineStr">
        <is>
          <t>Remediation Owner</t>
        </is>
      </c>
      <c r="J3" s="16" t="inlineStr">
        <is>
          <t>Notes</t>
        </is>
      </c>
    </row>
    <row r="4">
      <c r="A4" s="6" t="inlineStr">
        <is>
          <t>Contractors</t>
        </is>
      </c>
      <c r="B4" s="17" t="n"/>
      <c r="C4" s="17" t="n"/>
      <c r="D4" s="17" t="n"/>
      <c r="E4" s="17" t="n"/>
      <c r="F4" s="17" t="n"/>
      <c r="G4" s="17" t="n"/>
      <c r="H4" s="17" t="n"/>
      <c r="I4" s="17" t="n"/>
      <c r="J4" s="17" t="n"/>
    </row>
    <row r="5">
      <c r="A5" s="6" t="inlineStr">
        <is>
          <t>Consultants</t>
        </is>
      </c>
      <c r="B5" s="17" t="n"/>
      <c r="C5" s="17" t="n"/>
      <c r="D5" s="17" t="n"/>
      <c r="E5" s="17" t="n"/>
      <c r="F5" s="17" t="n"/>
      <c r="G5" s="17" t="n"/>
      <c r="H5" s="17" t="n"/>
      <c r="I5" s="17" t="n"/>
      <c r="J5" s="17" t="n"/>
    </row>
    <row r="6">
      <c r="A6" s="6" t="inlineStr">
        <is>
          <t>Vendors</t>
        </is>
      </c>
      <c r="B6" s="17" t="n"/>
      <c r="C6" s="17" t="n"/>
      <c r="D6" s="17" t="n"/>
      <c r="E6" s="17" t="n"/>
      <c r="F6" s="17" t="n"/>
      <c r="G6" s="17" t="n"/>
      <c r="H6" s="17" t="n"/>
      <c r="I6" s="17" t="n"/>
      <c r="J6" s="17" t="n"/>
    </row>
    <row r="7">
      <c r="A7" s="6" t="inlineStr">
        <is>
          <t>Suppliers</t>
        </is>
      </c>
      <c r="B7" s="17" t="n"/>
      <c r="C7" s="17" t="n"/>
      <c r="D7" s="17" t="n"/>
      <c r="E7" s="17" t="n"/>
      <c r="F7" s="17" t="n"/>
      <c r="G7" s="17" t="n"/>
      <c r="H7" s="17" t="n"/>
      <c r="I7" s="17" t="n"/>
      <c r="J7" s="17" t="n"/>
    </row>
    <row r="8">
      <c r="A8" s="6" t="inlineStr">
        <is>
          <t>Partners</t>
        </is>
      </c>
      <c r="B8" s="17" t="n"/>
      <c r="C8" s="17" t="n"/>
      <c r="D8" s="17" t="n"/>
      <c r="E8" s="17" t="n"/>
      <c r="F8" s="17" t="n"/>
      <c r="G8" s="17" t="n"/>
      <c r="H8" s="17" t="n"/>
      <c r="I8" s="17" t="n"/>
      <c r="J8" s="17" t="n"/>
    </row>
    <row r="9">
      <c r="A9" s="6" t="inlineStr">
        <is>
          <t>Customers</t>
        </is>
      </c>
      <c r="B9" s="17" t="n"/>
      <c r="C9" s="17" t="n"/>
      <c r="D9" s="17" t="n"/>
      <c r="E9" s="17" t="n"/>
      <c r="F9" s="17" t="n"/>
      <c r="G9" s="17" t="n"/>
      <c r="H9" s="17" t="n"/>
      <c r="I9" s="17" t="n"/>
      <c r="J9" s="17" t="n"/>
    </row>
    <row r="10">
      <c r="A10" s="6" t="inlineStr">
        <is>
          <t>Board Members</t>
        </is>
      </c>
      <c r="B10" s="17" t="n"/>
      <c r="C10" s="17" t="n"/>
      <c r="D10" s="17" t="n"/>
      <c r="E10" s="17" t="n"/>
      <c r="F10" s="17" t="n"/>
      <c r="G10" s="17" t="n"/>
      <c r="H10" s="17" t="n"/>
      <c r="I10" s="17" t="n"/>
      <c r="J10" s="17" t="n"/>
    </row>
    <row r="11">
      <c r="A11" s="6" t="inlineStr">
        <is>
          <t>Visitors</t>
        </is>
      </c>
      <c r="B11" s="17" t="n"/>
      <c r="C11" s="17" t="n"/>
      <c r="D11" s="17" t="n"/>
      <c r="E11" s="17" t="n"/>
      <c r="F11" s="17" t="n"/>
      <c r="G11" s="17" t="n"/>
      <c r="H11" s="17" t="n"/>
      <c r="I11" s="17" t="n"/>
      <c r="J11" s="17" t="n"/>
    </row>
    <row r="12">
      <c r="A12" s="6" t="inlineStr">
        <is>
          <t>Other</t>
        </is>
      </c>
      <c r="B12" s="17" t="n"/>
      <c r="C12" s="17" t="n"/>
      <c r="D12" s="17" t="n"/>
      <c r="E12" s="17" t="n"/>
      <c r="F12" s="17" t="n"/>
      <c r="G12" s="17" t="n"/>
      <c r="H12" s="17" t="n"/>
      <c r="I12" s="17" t="n"/>
      <c r="J12" s="17" t="n"/>
    </row>
  </sheetData>
  <mergeCells count="2">
    <mergeCell ref="A1:J1"/>
    <mergeCell ref="A2:J2"/>
  </mergeCells>
  <dataValidations count="1">
    <dataValidation sqref="H3:H20" showDropDown="0" showInputMessage="0" showErrorMessage="0" allowBlank="0" type="list">
      <formula1>"No Gap,Gap Identified,Remediation In Progress,Remediated"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16" customWidth="1" min="3" max="3"/>
    <col width="14" customWidth="1" min="4" max="4"/>
    <col width="18" customWidth="1" min="5" max="5"/>
    <col width="16" customWidth="1" min="6" max="6"/>
    <col width="14" customWidth="1" min="7" max="7"/>
    <col width="16" customWidth="1" min="8" max="8"/>
    <col width="35" customWidth="1" min="9" max="9"/>
    <col width="30" customWidth="1" min="10" max="10"/>
    <col width="14" customWidth="1" min="11" max="11"/>
  </cols>
  <sheetData>
    <row r="1" ht="35" customHeight="1">
      <c r="A1" s="11" t="inlineStr">
        <is>
          <t>NDA COMPLIANCE VERIFICATION</t>
        </is>
      </c>
    </row>
    <row r="2">
      <c r="A2" s="12" t="inlineStr">
        <is>
          <t>ISO/IEC 27001:2022 - Control A.6.6: Confidentiality or Non-Disclosure Agreements</t>
        </is>
      </c>
    </row>
    <row r="3">
      <c r="A3" s="13" t="inlineStr">
        <is>
          <t>NDA ID</t>
        </is>
      </c>
      <c r="B3" s="13" t="inlineStr">
        <is>
          <t>Counterparty</t>
        </is>
      </c>
      <c r="C3" s="13" t="inlineStr">
        <is>
          <t>Correctly Executed</t>
        </is>
      </c>
      <c r="D3" s="13" t="inlineStr">
        <is>
          <t>Within Validity</t>
        </is>
      </c>
      <c r="E3" s="13" t="inlineStr">
        <is>
          <t>Appropriate Template</t>
        </is>
      </c>
      <c r="F3" s="13" t="inlineStr">
        <is>
          <t>All Parties Signed</t>
        </is>
      </c>
      <c r="G3" s="13" t="inlineStr">
        <is>
          <t>Securely Stored</t>
        </is>
      </c>
      <c r="H3" s="13" t="inlineStr">
        <is>
          <t>Overall Compliance</t>
        </is>
      </c>
      <c r="I3" s="13" t="inlineStr">
        <is>
          <t>Issues Found</t>
        </is>
      </c>
      <c r="J3" s="13" t="inlineStr">
        <is>
          <t>Action Required</t>
        </is>
      </c>
      <c r="K3" s="13" t="inlineStr">
        <is>
          <t>Status</t>
        </is>
      </c>
    </row>
    <row r="4">
      <c r="A4" s="14" t="inlineStr">
        <is>
          <t>NDA-001</t>
        </is>
      </c>
      <c r="B4" s="14" t="inlineStr">
        <is>
          <t>[Counterparty Name]</t>
        </is>
      </c>
      <c r="C4" s="14" t="inlineStr">
        <is>
          <t>Yes</t>
        </is>
      </c>
      <c r="D4" s="14" t="inlineStr">
        <is>
          <t>Yes</t>
        </is>
      </c>
      <c r="E4" s="14" t="inlineStr">
        <is>
          <t>Yes</t>
        </is>
      </c>
      <c r="F4" s="14" t="inlineStr">
        <is>
          <t>Yes</t>
        </is>
      </c>
      <c r="G4" s="14" t="inlineStr">
        <is>
          <t>Yes</t>
        </is>
      </c>
      <c r="H4" s="14" t="inlineStr">
        <is>
          <t>Compliant</t>
        </is>
      </c>
      <c r="I4" s="14" t="inlineStr"/>
      <c r="J4" s="14" t="inlineStr"/>
      <c r="K4" s="14" t="inlineStr">
        <is>
          <t>No Action Needed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C54 D5:D54 E5:E54 F5:F54 G5:G54" showDropDown="0" showInputMessage="0" showErrorMessage="0" allowBlank="0" type="list">
      <formula1>"Yes,No,Partial,N/A"</formula1>
    </dataValidation>
    <dataValidation sqref="H5:H54" showDropDown="0" showInputMessage="0" showErrorMessage="0" allowBlank="0" type="list">
      <formula1>"Compliant,Partially Compliant,Non-Compliant"</formula1>
    </dataValidation>
    <dataValidation sqref="K5:K54" showDropDown="0" showInputMessage="0" showErrorMessage="0" allowBlank="0" type="list">
      <formula1>"No Action Needed,Action Required,In Progress,Resolved"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5" customWidth="1" min="3" max="3"/>
    <col width="22" customWidth="1" min="4" max="4"/>
    <col width="12" customWidth="1" min="5" max="5"/>
    <col width="14" customWidth="1" min="6" max="6"/>
    <col width="20" customWidth="1" min="7" max="7"/>
    <col width="40" customWidth="1" min="8" max="8"/>
    <col width="14" customWidth="1" min="9" max="9"/>
    <col width="14" customWidth="1" min="10" max="10"/>
    <col width="14" customWidth="1" min="11" max="11"/>
    <col width="30" customWidth="1" min="12" max="12"/>
  </cols>
  <sheetData>
    <row r="1" ht="35" customHeight="1">
      <c r="A1" s="11" t="inlineStr">
        <is>
          <t>NDA GAP REGISTER</t>
        </is>
      </c>
    </row>
    <row r="2">
      <c r="A2" s="12" t="inlineStr">
        <is>
          <t>ISO/IEC 27001:2022 - Control A.6.6: Confidentiality or Non-Disclosure Agreements</t>
        </is>
      </c>
    </row>
    <row r="3">
      <c r="A3" s="13" t="inlineStr">
        <is>
          <t>Gap ID</t>
        </is>
      </c>
      <c r="B3" s="13" t="inlineStr">
        <is>
          <t>Gap Type</t>
        </is>
      </c>
      <c r="C3" s="13" t="inlineStr">
        <is>
          <t>Description</t>
        </is>
      </c>
      <c r="D3" s="13" t="inlineStr">
        <is>
          <t>Affected Area</t>
        </is>
      </c>
      <c r="E3" s="13" t="inlineStr">
        <is>
          <t>Severity</t>
        </is>
      </c>
      <c r="F3" s="13" t="inlineStr">
        <is>
          <t>Identified Date</t>
        </is>
      </c>
      <c r="G3" s="13" t="inlineStr">
        <is>
          <t>Owner</t>
        </is>
      </c>
      <c r="H3" s="13" t="inlineStr">
        <is>
          <t>Remediation Action</t>
        </is>
      </c>
      <c r="I3" s="13" t="inlineStr">
        <is>
          <t>Target Date</t>
        </is>
      </c>
      <c r="J3" s="13" t="inlineStr">
        <is>
          <t>Status</t>
        </is>
      </c>
      <c r="K3" s="13" t="inlineStr">
        <is>
          <t>Closure Date</t>
        </is>
      </c>
      <c r="L3" s="13" t="inlineStr">
        <is>
          <t>Notes</t>
        </is>
      </c>
    </row>
    <row r="4">
      <c r="A4" s="14" t="inlineStr">
        <is>
          <t>GAP-001</t>
        </is>
      </c>
      <c r="B4" s="14" t="inlineStr">
        <is>
          <t>Missing NDA</t>
        </is>
      </c>
      <c r="C4" s="14" t="inlineStr">
        <is>
          <t>[Description]</t>
        </is>
      </c>
      <c r="D4" s="14" t="inlineStr">
        <is>
          <t>[Department]</t>
        </is>
      </c>
      <c r="E4" s="14" t="inlineStr">
        <is>
          <t>High</t>
        </is>
      </c>
      <c r="F4" s="14" t="inlineStr">
        <is>
          <t>[DD.MM.YYYY]</t>
        </is>
      </c>
      <c r="G4" s="14" t="inlineStr">
        <is>
          <t>[Name]</t>
        </is>
      </c>
      <c r="H4" s="14" t="inlineStr">
        <is>
          <t>[Obtain signed NDA]</t>
        </is>
      </c>
      <c r="I4" s="14" t="inlineStr">
        <is>
          <t>[DD.MM.YYYY]</t>
        </is>
      </c>
      <c r="J4" s="14" t="inlineStr">
        <is>
          <t>Open</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B5:B54" showDropDown="0" showInputMessage="0" showErrorMessage="0" allowBlank="0" type="list">
      <formula1>"Missing NDA,Expired NDA,Inadequate Template,Unsigned,Wrong Template,Storage Issue,Other"</formula1>
    </dataValidation>
    <dataValidation sqref="E5:E54" showDropDown="0" showInputMessage="0" showErrorMessage="0" allowBlank="0" type="list">
      <formula1>"Critical,High,Medium,Low"</formula1>
    </dataValidation>
    <dataValidation sqref="J5:J54" showDropDown="0" showInputMessage="0" showErrorMessage="0" allowBlank="0" type="list">
      <formula1>"Open,In Progress,Remediated,Verified Closed,Risk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8" t="inlineStr">
        <is>
          <t>ISO/IEC 27001:2022 - Control A.6.6: Confidentiality or Non-Disclosure Agreements</t>
        </is>
      </c>
    </row>
    <row r="4">
      <c r="A4" s="19" t="inlineStr">
        <is>
          <t>Evidence ID</t>
        </is>
      </c>
      <c r="B4" s="19" t="inlineStr">
        <is>
          <t>Evidence Type</t>
        </is>
      </c>
      <c r="C4" s="19" t="inlineStr">
        <is>
          <t>Description</t>
        </is>
      </c>
      <c r="D4" s="19" t="inlineStr">
        <is>
          <t>Source / Location</t>
        </is>
      </c>
      <c r="E4" s="19" t="inlineStr">
        <is>
          <t>Collected By</t>
        </is>
      </c>
      <c r="F4" s="19" t="inlineStr">
        <is>
          <t>Collection Date</t>
        </is>
      </c>
      <c r="G4" s="19" t="inlineStr">
        <is>
          <t>Retention Date</t>
        </is>
      </c>
      <c r="H4" s="19"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NDA REVIEW AND COMPLIANCE — SUMMARY DASHBOARD</t>
        </is>
      </c>
      <c r="B1" s="6" t="n"/>
      <c r="C1" s="6" t="n"/>
      <c r="D1" s="6" t="n"/>
      <c r="E1" s="6" t="n"/>
      <c r="F1" s="6" t="n"/>
      <c r="G1" s="6" t="n"/>
    </row>
    <row r="2">
      <c r="A2" s="21" t="inlineStr">
        <is>
          <t>ISO/IEC 27001:2022 — Control A.6.6: Confidentiality or Non-Disclosure Agreements</t>
        </is>
      </c>
    </row>
    <row r="4">
      <c r="A4" s="22" t="inlineStr">
        <is>
          <t>TABLE 1: ASSESSMENT AREA COMPLIANCE OVERVIEW</t>
        </is>
      </c>
      <c r="B4" s="6" t="n"/>
      <c r="C4" s="6" t="n"/>
      <c r="D4" s="6" t="n"/>
      <c r="E4" s="6" t="n"/>
      <c r="F4" s="6" t="n"/>
      <c r="G4" s="6"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Periodic Review</t>
        </is>
      </c>
      <c r="B6" s="25">
        <f>COUNTA('Periodic Review'!I5:I54)</f>
        <v/>
      </c>
      <c r="C6" s="25">
        <f>COUNTIF('Periodic Review'!I5:I54,"Completed")</f>
        <v/>
      </c>
      <c r="D6" s="25">
        <f>COUNTIF('Periodic Review'!I5:I54,"In Progress")+COUNTIF('Periodic Review'!I5:I54,"Scheduled")</f>
        <v/>
      </c>
      <c r="E6" s="25">
        <f>COUNTIF('Periodic Review'!I5:I54,"Overdue")</f>
        <v/>
      </c>
      <c r="F6" s="25">
        <f>COUNTIF('Periodic Review'!I5:I54,"Cancelled")</f>
        <v/>
      </c>
      <c r="G6" s="26">
        <f>IF((B6-F6)=0,0,C6/(B6-F6))</f>
        <v/>
      </c>
    </row>
    <row r="7">
      <c r="A7" s="24" t="inlineStr">
        <is>
          <t>Template Adequacy</t>
        </is>
      </c>
      <c r="B7" s="25">
        <f>COUNTA('Template Adequacy'!I5:I54)</f>
        <v/>
      </c>
      <c r="C7" s="25">
        <f>COUNTIF('Template Adequacy'!I5:I54,"Adequate")</f>
        <v/>
      </c>
      <c r="D7" s="25">
        <f>COUNTIF('Template Adequacy'!I5:I54,"Partially Adequate")</f>
        <v/>
      </c>
      <c r="E7" s="25">
        <f>COUNTIF('Template Adequacy'!I5:I54,"Inadequate")</f>
        <v/>
      </c>
      <c r="F7" s="25">
        <f>COUNTIF('Template Adequacy'!I5:I54,"Not Assessed")</f>
        <v/>
      </c>
      <c r="G7" s="26">
        <f>IF((B7-F7)=0,0,C7/(B7-F7))</f>
        <v/>
      </c>
    </row>
    <row r="8">
      <c r="A8" s="24" t="inlineStr">
        <is>
          <t>Compliance Check</t>
        </is>
      </c>
      <c r="B8" s="25">
        <f>COUNTA('Compliance Check'!H5:H54)</f>
        <v/>
      </c>
      <c r="C8" s="25">
        <f>COUNTIF('Compliance Check'!H5:H54,"Compliant")</f>
        <v/>
      </c>
      <c r="D8" s="25">
        <f>COUNTIF('Compliance Check'!H5:H54,"Partially Compliant")</f>
        <v/>
      </c>
      <c r="E8" s="25">
        <f>COUNTIF('Compliance Check'!H5:H54,"Non-Compliant")</f>
        <v/>
      </c>
      <c r="F8" s="25" t="inlineStr">
        <is>
          <t>0</t>
        </is>
      </c>
      <c r="G8" s="26">
        <f>IF((B8-F8)=0,0,C8/(B8-F8))</f>
        <v/>
      </c>
    </row>
    <row r="9">
      <c r="A9" s="24" t="inlineStr">
        <is>
          <t>Gap Register</t>
        </is>
      </c>
      <c r="B9" s="25">
        <f>COUNTA('Gap Register'!J5:J54)</f>
        <v/>
      </c>
      <c r="C9" s="25">
        <f>COUNTIF('Gap Register'!J5:J54,"Remediated")+COUNTIF('Gap Register'!J5:J54,"Verified Closed")+COUNTIF('Gap Register'!J5:J54,"Risk Accepted")</f>
        <v/>
      </c>
      <c r="D9" s="25">
        <f>COUNTIF('Gap Register'!J5:J54,"In Progress")</f>
        <v/>
      </c>
      <c r="E9" s="25">
        <f>COUNTIF('Gap Register'!J5:J54,"Open")</f>
        <v/>
      </c>
      <c r="F9" s="25" t="inlineStr">
        <is>
          <t>0</t>
        </is>
      </c>
      <c r="G9" s="26">
        <f>IF((B9-F9)=0,0,C9/(B9-F9))</f>
        <v/>
      </c>
    </row>
    <row r="10">
      <c r="A10" s="27" t="inlineStr">
        <is>
          <t>TOTAL</t>
        </is>
      </c>
      <c r="B10" s="28">
        <f>SUM(B6:B9)</f>
        <v/>
      </c>
      <c r="C10" s="28">
        <f>SUM(C6:C9)</f>
        <v/>
      </c>
      <c r="D10" s="28">
        <f>SUM(D6:D9)</f>
        <v/>
      </c>
      <c r="E10" s="28">
        <f>SUM(E6:E9)</f>
        <v/>
      </c>
      <c r="F10" s="28">
        <f>SUM(F6:F9)</f>
        <v/>
      </c>
      <c r="G10" s="29">
        <f>IF((B10-F10)=0,0,C10/(B10-F10))</f>
        <v/>
      </c>
    </row>
    <row r="12">
      <c r="A12" s="22" t="inlineStr">
        <is>
          <t>TABLE 2: KEY METRICS</t>
        </is>
      </c>
      <c r="B12" s="6" t="n"/>
      <c r="C12" s="6" t="n"/>
      <c r="D12" s="6" t="n"/>
      <c r="E12" s="6" t="n"/>
      <c r="F12" s="6" t="n"/>
      <c r="G12" s="6" t="n"/>
    </row>
    <row r="13">
      <c r="A13" s="28" t="inlineStr">
        <is>
          <t>Metric</t>
        </is>
      </c>
      <c r="B13" s="28" t="inlineStr">
        <is>
          <t>Value</t>
        </is>
      </c>
      <c r="C13" s="28" t="n"/>
      <c r="D13" s="28" t="n"/>
      <c r="E13" s="28" t="n"/>
      <c r="F13" s="28" t="n"/>
      <c r="G13" s="28" t="n"/>
    </row>
    <row r="14">
      <c r="A14" s="24" t="inlineStr">
        <is>
          <t>Total Reviews Conducted</t>
        </is>
      </c>
      <c r="B14" s="25">
        <f>COUNTA('Periodic Review'!A5:A54)</f>
        <v/>
      </c>
      <c r="C14" s="6" t="n"/>
      <c r="D14" s="6" t="n"/>
      <c r="E14" s="6" t="n"/>
      <c r="F14" s="6" t="n"/>
      <c r="G14" s="6" t="n"/>
    </row>
    <row r="15">
      <c r="A15" s="24" t="inlineStr">
        <is>
          <t>Reviews Completed</t>
        </is>
      </c>
      <c r="B15" s="25">
        <f>COUNTIF('Periodic Review'!I5:I54,"Completed")</f>
        <v/>
      </c>
      <c r="C15" s="6" t="n"/>
      <c r="D15" s="6" t="n"/>
      <c r="E15" s="6" t="n"/>
      <c r="F15" s="6" t="n"/>
      <c r="G15" s="6" t="n"/>
    </row>
    <row r="16">
      <c r="A16" s="24" t="inlineStr">
        <is>
          <t>Reviews In Progress</t>
        </is>
      </c>
      <c r="B16" s="25">
        <f>COUNTIF('Periodic Review'!I5:I54,"In Progress")</f>
        <v/>
      </c>
      <c r="C16" s="6" t="n"/>
      <c r="D16" s="6" t="n"/>
      <c r="E16" s="6" t="n"/>
      <c r="F16" s="6" t="n"/>
      <c r="G16" s="6" t="n"/>
    </row>
    <row r="17">
      <c r="A17" s="24" t="inlineStr">
        <is>
          <t>Overdue Reviews</t>
        </is>
      </c>
      <c r="B17" s="25">
        <f>COUNTIF('Periodic Review'!I5:I54,"Overdue")</f>
        <v/>
      </c>
      <c r="C17" s="6" t="n"/>
      <c r="D17" s="6" t="n"/>
      <c r="E17" s="6" t="n"/>
      <c r="F17" s="6" t="n"/>
      <c r="G17" s="6" t="n"/>
    </row>
    <row r="18">
      <c r="A18" s="24" t="inlineStr">
        <is>
          <t>Annual Full Reviews</t>
        </is>
      </c>
      <c r="B18" s="25">
        <f>COUNTIF('Periodic Review'!B5:B54,"Annual Full Review")</f>
        <v/>
      </c>
      <c r="C18" s="6" t="n"/>
      <c r="D18" s="6" t="n"/>
      <c r="E18" s="6" t="n"/>
      <c r="F18" s="6" t="n"/>
      <c r="G18" s="6" t="n"/>
    </row>
    <row r="19">
      <c r="A19" s="24" t="inlineStr">
        <is>
          <t>Templates Assessed for Adequacy</t>
        </is>
      </c>
      <c r="B19" s="25">
        <f>COUNTA('Template Adequacy'!A5:A54)</f>
        <v/>
      </c>
      <c r="C19" s="6" t="n"/>
      <c r="D19" s="6" t="n"/>
      <c r="E19" s="6" t="n"/>
      <c r="F19" s="6" t="n"/>
      <c r="G19" s="6" t="n"/>
    </row>
    <row r="20">
      <c r="A20" s="24" t="inlineStr">
        <is>
          <t>Templates Adequate</t>
        </is>
      </c>
      <c r="B20" s="25">
        <f>COUNTIF('Template Adequacy'!I5:I54,"Adequate")</f>
        <v/>
      </c>
      <c r="C20" s="6" t="n"/>
      <c r="D20" s="6" t="n"/>
      <c r="E20" s="6" t="n"/>
      <c r="F20" s="6" t="n"/>
      <c r="G20" s="6" t="n"/>
    </row>
    <row r="21">
      <c r="A21" s="24" t="inlineStr">
        <is>
          <t>Templates Partially Adequate</t>
        </is>
      </c>
      <c r="B21" s="25">
        <f>COUNTIF('Template Adequacy'!I5:I54,"Partially Adequate")</f>
        <v/>
      </c>
      <c r="C21" s="6" t="n"/>
      <c r="D21" s="6" t="n"/>
      <c r="E21" s="6" t="n"/>
      <c r="F21" s="6" t="n"/>
      <c r="G21" s="6" t="n"/>
    </row>
    <row r="22">
      <c r="A22" s="24" t="inlineStr">
        <is>
          <t>Templates Inadequate</t>
        </is>
      </c>
      <c r="B22" s="25">
        <f>COUNTIF('Template Adequacy'!I5:I54,"Inadequate")</f>
        <v/>
      </c>
      <c r="C22" s="6" t="n"/>
      <c r="D22" s="6" t="n"/>
      <c r="E22" s="6" t="n"/>
      <c r="F22" s="6" t="n"/>
      <c r="G22" s="6" t="n"/>
    </row>
    <row r="23">
      <c r="A23" s="24" t="inlineStr">
        <is>
          <t>NDAs Compliance Checked</t>
        </is>
      </c>
      <c r="B23" s="25">
        <f>COUNTA('Compliance Check'!A5:A54)</f>
        <v/>
      </c>
      <c r="C23" s="6" t="n"/>
      <c r="D23" s="6" t="n"/>
      <c r="E23" s="6" t="n"/>
      <c r="F23" s="6" t="n"/>
      <c r="G23" s="6" t="n"/>
    </row>
    <row r="24">
      <c r="A24" s="24" t="inlineStr">
        <is>
          <t>NDAs Fully Compliant</t>
        </is>
      </c>
      <c r="B24" s="25">
        <f>COUNTIF('Compliance Check'!H5:H54,"Compliant")</f>
        <v/>
      </c>
      <c r="C24" s="6" t="n"/>
      <c r="D24" s="6" t="n"/>
      <c r="E24" s="6" t="n"/>
      <c r="F24" s="6" t="n"/>
      <c r="G24" s="6" t="n"/>
    </row>
    <row r="25">
      <c r="A25" s="24" t="inlineStr">
        <is>
          <t>NDAs Partially Compliant</t>
        </is>
      </c>
      <c r="B25" s="25">
        <f>COUNTIF('Compliance Check'!H5:H54,"Partially Compliant")</f>
        <v/>
      </c>
      <c r="C25" s="6" t="n"/>
      <c r="D25" s="6" t="n"/>
      <c r="E25" s="6" t="n"/>
      <c r="F25" s="6" t="n"/>
      <c r="G25" s="6" t="n"/>
    </row>
    <row r="26">
      <c r="A26" s="24" t="inlineStr">
        <is>
          <t>NDAs Non-Compliant</t>
        </is>
      </c>
      <c r="B26" s="25">
        <f>COUNTIF('Compliance Check'!H5:H54,"Non-Compliant")</f>
        <v/>
      </c>
      <c r="C26" s="6" t="n"/>
      <c r="D26" s="6" t="n"/>
      <c r="E26" s="6" t="n"/>
      <c r="F26" s="6" t="n"/>
      <c r="G26" s="6" t="n"/>
    </row>
    <row r="27">
      <c r="A27" s="24" t="inlineStr">
        <is>
          <t>Total Gaps Identified</t>
        </is>
      </c>
      <c r="B27" s="25">
        <f>COUNTA('Gap Register'!A5:A54)</f>
        <v/>
      </c>
      <c r="C27" s="6" t="n"/>
      <c r="D27" s="6" t="n"/>
      <c r="E27" s="6" t="n"/>
      <c r="F27" s="6" t="n"/>
      <c r="G27" s="6" t="n"/>
    </row>
    <row r="28">
      <c r="A28" s="24" t="inlineStr">
        <is>
          <t>Open Gaps</t>
        </is>
      </c>
      <c r="B28" s="25">
        <f>COUNTIF('Gap Register'!J5:J54,"Open")</f>
        <v/>
      </c>
      <c r="C28" s="6" t="n"/>
      <c r="D28" s="6" t="n"/>
      <c r="E28" s="6" t="n"/>
      <c r="F28" s="6" t="n"/>
      <c r="G28" s="6" t="n"/>
    </row>
    <row r="29">
      <c r="A29" s="24" t="inlineStr">
        <is>
          <t>Gaps In Progress</t>
        </is>
      </c>
      <c r="B29" s="25">
        <f>COUNTIF('Gap Register'!J5:J54,"In Progress")</f>
        <v/>
      </c>
      <c r="C29" s="6" t="n"/>
      <c r="D29" s="6" t="n"/>
      <c r="E29" s="6" t="n"/>
      <c r="F29" s="6" t="n"/>
      <c r="G29" s="6" t="n"/>
    </row>
    <row r="30">
      <c r="A30" s="24" t="inlineStr">
        <is>
          <t>Gaps Remediated</t>
        </is>
      </c>
      <c r="B30" s="25">
        <f>COUNTIF('Gap Register'!J5:J54,"Remediated")+COUNTIF('Gap Register'!J5:J54,"Verified Closed")</f>
        <v/>
      </c>
      <c r="C30" s="6" t="n"/>
      <c r="D30" s="6" t="n"/>
      <c r="E30" s="6" t="n"/>
      <c r="F30" s="6" t="n"/>
      <c r="G30" s="6" t="n"/>
    </row>
    <row r="31">
      <c r="A31" s="24" t="inlineStr">
        <is>
          <t>Critical Gaps</t>
        </is>
      </c>
      <c r="B31" s="25">
        <f>COUNTIF('Gap Register'!E5:E54,"Critical")</f>
        <v/>
      </c>
      <c r="C31" s="6" t="n"/>
      <c r="D31" s="6" t="n"/>
      <c r="E31" s="6" t="n"/>
      <c r="F31" s="6" t="n"/>
      <c r="G31" s="6" t="n"/>
    </row>
    <row r="32">
      <c r="A32" s="24" t="inlineStr">
        <is>
          <t>High Severity Gaps</t>
        </is>
      </c>
      <c r="B32" s="25">
        <f>COUNTIF('Gap Register'!E5:E54,"High")</f>
        <v/>
      </c>
      <c r="C32" s="6" t="n"/>
      <c r="D32" s="6" t="n"/>
      <c r="E32" s="6" t="n"/>
      <c r="F32" s="6" t="n"/>
      <c r="G32" s="6" t="n"/>
    </row>
    <row r="33">
      <c r="A33" s="24" t="inlineStr">
        <is>
          <t>Gaps — Missing NDA Type</t>
        </is>
      </c>
      <c r="B33" s="25">
        <f>COUNTIF('Gap Register'!B5:B54,"Missing NDA")</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30" t="inlineStr">
        <is>
          <t>TABLE 3: CRITICAL FINDINGS REQUIRING IMMEDIATE ATTENTION</t>
        </is>
      </c>
      <c r="B37" s="6" t="n"/>
      <c r="C37" s="6" t="n"/>
      <c r="D37" s="6" t="n"/>
      <c r="E37" s="6" t="n"/>
      <c r="F37" s="6" t="n"/>
      <c r="G37" s="6" t="n"/>
    </row>
    <row r="38">
      <c r="A38" s="28" t="inlineStr">
        <is>
          <t>Category</t>
        </is>
      </c>
      <c r="B38" s="28" t="inlineStr">
        <is>
          <t>Finding</t>
        </is>
      </c>
      <c r="C38" s="28" t="inlineStr">
        <is>
          <t>Count</t>
        </is>
      </c>
      <c r="D38" s="28" t="inlineStr">
        <is>
          <t>Severity</t>
        </is>
      </c>
      <c r="E38" s="28" t="inlineStr">
        <is>
          <t>Action Required</t>
        </is>
      </c>
      <c r="F38" s="28" t="n"/>
      <c r="G38" s="28" t="n"/>
    </row>
    <row r="39">
      <c r="A39" s="31" t="inlineStr">
        <is>
          <t>Compliance</t>
        </is>
      </c>
      <c r="B39" s="31" t="inlineStr">
        <is>
          <t>Non-compliant NDAs identified</t>
        </is>
      </c>
      <c r="C39" s="32">
        <f>COUNTIF('Compliance Check'!H5:H54,"Non-Compliant")</f>
        <v/>
      </c>
      <c r="D39" s="31" t="inlineStr">
        <is>
          <t>Critical</t>
        </is>
      </c>
      <c r="E39" s="31" t="inlineStr">
        <is>
          <t>Immediate</t>
        </is>
      </c>
      <c r="F39" s="31" t="n"/>
      <c r="G39" s="31" t="n"/>
    </row>
    <row r="40">
      <c r="A40" s="31" t="inlineStr">
        <is>
          <t>Gap Management</t>
        </is>
      </c>
      <c r="B40" s="31" t="inlineStr">
        <is>
          <t>Critical severity gaps open</t>
        </is>
      </c>
      <c r="C40" s="32">
        <f>COUNTIF('Gap Register'!E5:E54,"Critical")</f>
        <v/>
      </c>
      <c r="D40" s="31" t="inlineStr">
        <is>
          <t>Critical</t>
        </is>
      </c>
      <c r="E40" s="31" t="inlineStr">
        <is>
          <t>Immediate</t>
        </is>
      </c>
      <c r="F40" s="31" t="n"/>
      <c r="G40" s="31" t="n"/>
    </row>
    <row r="41">
      <c r="A41" s="31" t="inlineStr">
        <is>
          <t>Gap Management</t>
        </is>
      </c>
      <c r="B41" s="31" t="inlineStr">
        <is>
          <t>Missing NDA gaps</t>
        </is>
      </c>
      <c r="C41" s="32">
        <f>COUNTIF('Gap Register'!B5:B54,"Missing NDA")</f>
        <v/>
      </c>
      <c r="D41" s="31" t="inlineStr">
        <is>
          <t>Critical</t>
        </is>
      </c>
      <c r="E41" s="31" t="inlineStr">
        <is>
          <t>Immediate</t>
        </is>
      </c>
      <c r="F41" s="31" t="n"/>
      <c r="G41" s="31" t="n"/>
    </row>
    <row r="42">
      <c r="A42" s="31" t="inlineStr">
        <is>
          <t>Gap Management</t>
        </is>
      </c>
      <c r="B42" s="31" t="inlineStr">
        <is>
          <t>High severity gaps open</t>
        </is>
      </c>
      <c r="C42" s="32">
        <f>COUNTIF('Gap Register'!E5:E54,"High")</f>
        <v/>
      </c>
      <c r="D42" s="31" t="inlineStr">
        <is>
          <t>High</t>
        </is>
      </c>
      <c r="E42" s="31" t="inlineStr">
        <is>
          <t>Urgent</t>
        </is>
      </c>
      <c r="F42" s="31" t="n"/>
      <c r="G42" s="31" t="n"/>
    </row>
    <row r="43">
      <c r="A43" s="31" t="inlineStr">
        <is>
          <t>Review Compliance</t>
        </is>
      </c>
      <c r="B43" s="31" t="inlineStr">
        <is>
          <t>Overdue NDA reviews</t>
        </is>
      </c>
      <c r="C43" s="32">
        <f>COUNTIF('Periodic Review'!I5:I54,"Overdue")</f>
        <v/>
      </c>
      <c r="D43" s="31" t="inlineStr">
        <is>
          <t>High</t>
        </is>
      </c>
      <c r="E43" s="31" t="inlineStr">
        <is>
          <t>Urgent</t>
        </is>
      </c>
      <c r="F43" s="31" t="n"/>
      <c r="G43" s="31" t="n"/>
    </row>
    <row r="44">
      <c r="A44" s="31" t="inlineStr">
        <is>
          <t>Template Adequacy</t>
        </is>
      </c>
      <c r="B44" s="31" t="inlineStr">
        <is>
          <t>Inadequate NDA templates</t>
        </is>
      </c>
      <c r="C44" s="32">
        <f>COUNTIF('Template Adequacy'!I5:I54,"Inadequate")</f>
        <v/>
      </c>
      <c r="D44" s="31" t="inlineStr">
        <is>
          <t>High</t>
        </is>
      </c>
      <c r="E44" s="31" t="inlineStr">
        <is>
          <t>Urgent</t>
        </is>
      </c>
      <c r="F44" s="31" t="n"/>
      <c r="G44" s="31" t="n"/>
    </row>
    <row r="45">
      <c r="A45" s="31" t="inlineStr">
        <is>
          <t>Compliance</t>
        </is>
      </c>
      <c r="B45" s="31" t="inlineStr">
        <is>
          <t>Partially compliant NDAs</t>
        </is>
      </c>
      <c r="C45" s="32">
        <f>COUNTIF('Compliance Check'!H5:H54,"Partially Compliant")</f>
        <v/>
      </c>
      <c r="D45" s="31" t="inlineStr">
        <is>
          <t>Medium</t>
        </is>
      </c>
      <c r="E45" s="31" t="inlineStr">
        <is>
          <t>Plan</t>
        </is>
      </c>
      <c r="F45" s="31" t="n"/>
      <c r="G45" s="31" t="n"/>
    </row>
    <row r="46">
      <c r="A46" s="31" t="inlineStr">
        <is>
          <t>Review Compliance</t>
        </is>
      </c>
      <c r="B46" s="31" t="inlineStr">
        <is>
          <t>Reviews cancelled</t>
        </is>
      </c>
      <c r="C46" s="32">
        <f>COUNTIF('Periodic Review'!I5:I54,"Cancelled")</f>
        <v/>
      </c>
      <c r="D46" s="31" t="inlineStr">
        <is>
          <t>Low</t>
        </is>
      </c>
      <c r="E46" s="31" t="inlineStr">
        <is>
          <t>Monitor</t>
        </is>
      </c>
      <c r="F46" s="31" t="n"/>
      <c r="G46" s="31" t="n"/>
    </row>
    <row r="47">
      <c r="A47" s="17" t="n"/>
      <c r="B47" s="17" t="n"/>
      <c r="C47" s="17" t="n"/>
      <c r="D47" s="17" t="n"/>
      <c r="E47" s="17" t="n"/>
      <c r="F47" s="17" t="n"/>
      <c r="G47" s="17" t="n"/>
    </row>
    <row r="48">
      <c r="A48" s="17" t="n"/>
      <c r="B48" s="17" t="n"/>
      <c r="C48" s="17" t="n"/>
      <c r="D48" s="17" t="n"/>
      <c r="E48" s="17" t="n"/>
      <c r="F48" s="17" t="n"/>
      <c r="G48" s="17"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0" t="inlineStr">
        <is>
          <t>ASSESSMENT APPROVAL AND SIGN-OFF</t>
        </is>
      </c>
      <c r="B1" s="6" t="n"/>
      <c r="C1" s="6" t="n"/>
      <c r="D1" s="6" t="n"/>
      <c r="E1" s="6" t="n"/>
    </row>
    <row r="2">
      <c r="A2" s="33" t="inlineStr">
        <is>
          <t>ISO/IEC 27001:2022 - Control A.6.6: Confidentiality or Non-Disclosure Agreements</t>
        </is>
      </c>
      <c r="B2" s="6" t="n"/>
      <c r="C2" s="6" t="n"/>
      <c r="D2" s="6" t="n"/>
      <c r="E2" s="6" t="n"/>
    </row>
    <row r="3">
      <c r="A3" s="34" t="inlineStr">
        <is>
          <t>ASSESSMENT SUMMARY</t>
        </is>
      </c>
      <c r="B3" s="6" t="n"/>
      <c r="C3" s="6" t="n"/>
      <c r="D3" s="6" t="n"/>
      <c r="E3" s="6" t="n"/>
    </row>
    <row r="4">
      <c r="A4" s="35" t="inlineStr">
        <is>
          <t>Document:</t>
        </is>
      </c>
      <c r="B4" s="6" t="inlineStr">
        <is>
          <t>ISMS-IMP-A.6.6.3 - NDA Review and Compliance</t>
        </is>
      </c>
      <c r="C4" s="6" t="n"/>
      <c r="D4" s="6" t="n"/>
      <c r="E4" s="6" t="n"/>
    </row>
    <row r="5">
      <c r="A5" s="35" t="inlineStr">
        <is>
          <t>Assessment Period:</t>
        </is>
      </c>
      <c r="B5" s="17" t="inlineStr"/>
      <c r="C5" s="6" t="n"/>
      <c r="D5" s="6" t="n"/>
      <c r="E5" s="6" t="n"/>
    </row>
    <row r="6">
      <c r="A6" s="35" t="inlineStr">
        <is>
          <t>Overall Compliance Rating:</t>
        </is>
      </c>
      <c r="B6" s="36">
        <f>IFERROR(AVERAGE('Summary Dashboard'!G6:G9),"")</f>
        <v/>
      </c>
      <c r="C6" s="6" t="n"/>
      <c r="D6" s="6" t="n"/>
      <c r="E6" s="6" t="n"/>
    </row>
    <row r="7">
      <c r="A7" s="35" t="inlineStr">
        <is>
          <t>Assessment Status:</t>
        </is>
      </c>
      <c r="B7" s="17" t="inlineStr"/>
      <c r="C7" s="6" t="n"/>
      <c r="D7" s="6" t="n"/>
      <c r="E7" s="6" t="n"/>
    </row>
    <row r="8">
      <c r="A8" s="35" t="inlineStr">
        <is>
          <t>Assessed By:</t>
        </is>
      </c>
      <c r="B8" s="17" t="inlineStr"/>
      <c r="C8" s="6" t="n"/>
      <c r="D8" s="6" t="n"/>
      <c r="E8" s="6" t="n"/>
    </row>
    <row r="11">
      <c r="A11" s="34" t="inlineStr">
        <is>
          <t>COMPLETED BY (ASSESSOR)</t>
        </is>
      </c>
      <c r="B11" s="6" t="n"/>
      <c r="C11" s="6" t="n"/>
      <c r="D11" s="6" t="n"/>
      <c r="E11" s="6" t="n"/>
    </row>
    <row r="12">
      <c r="A12" s="35" t="inlineStr">
        <is>
          <t>Name:</t>
        </is>
      </c>
      <c r="B12" s="17" t="n"/>
      <c r="C12" s="6" t="n"/>
      <c r="D12" s="6" t="n"/>
      <c r="E12" s="6" t="n"/>
    </row>
    <row r="13">
      <c r="A13" s="35" t="inlineStr">
        <is>
          <t>Title:</t>
        </is>
      </c>
      <c r="B13" s="17" t="n"/>
      <c r="C13" s="6" t="n"/>
      <c r="D13" s="6" t="n"/>
      <c r="E13" s="6" t="n"/>
    </row>
    <row r="14">
      <c r="A14" s="35" t="inlineStr">
        <is>
          <t>Date:</t>
        </is>
      </c>
      <c r="B14" s="17" t="n"/>
      <c r="C14" s="6" t="n"/>
      <c r="D14" s="6" t="n"/>
      <c r="E14" s="6" t="n"/>
    </row>
    <row r="15">
      <c r="A15" s="35" t="inlineStr">
        <is>
          <t>Signature:</t>
        </is>
      </c>
      <c r="B15" s="17" t="n"/>
      <c r="C15" s="6" t="n"/>
      <c r="D15" s="6" t="n"/>
      <c r="E15" s="6" t="n"/>
    </row>
    <row r="16">
      <c r="A16" s="35" t="inlineStr">
        <is>
          <t>Comments:</t>
        </is>
      </c>
      <c r="B16" s="17" t="n"/>
      <c r="C16" s="6" t="n"/>
      <c r="D16" s="6" t="n"/>
      <c r="E16" s="6" t="n"/>
    </row>
    <row r="18">
      <c r="A18" s="34" t="inlineStr">
        <is>
          <t>REVIEWED BY (INFORMATION SECURITY OFFICER)</t>
        </is>
      </c>
      <c r="B18" s="6" t="n"/>
      <c r="C18" s="6" t="n"/>
      <c r="D18" s="6" t="n"/>
      <c r="E18" s="6" t="n"/>
    </row>
    <row r="19">
      <c r="A19" s="35" t="inlineStr">
        <is>
          <t>Name:</t>
        </is>
      </c>
      <c r="B19" s="17" t="n"/>
      <c r="C19" s="6" t="n"/>
      <c r="D19" s="6" t="n"/>
      <c r="E19" s="6" t="n"/>
    </row>
    <row r="20">
      <c r="A20" s="35" t="inlineStr">
        <is>
          <t>Title:</t>
        </is>
      </c>
      <c r="B20" s="17" t="n"/>
      <c r="C20" s="6" t="n"/>
      <c r="D20" s="6" t="n"/>
      <c r="E20" s="6" t="n"/>
    </row>
    <row r="21">
      <c r="A21" s="35" t="inlineStr">
        <is>
          <t>Date:</t>
        </is>
      </c>
      <c r="B21" s="17" t="n"/>
      <c r="C21" s="6" t="n"/>
      <c r="D21" s="6" t="n"/>
      <c r="E21" s="6" t="n"/>
    </row>
    <row r="22">
      <c r="A22" s="35" t="inlineStr">
        <is>
          <t>Signature:</t>
        </is>
      </c>
      <c r="B22" s="17" t="n"/>
      <c r="C22" s="6" t="n"/>
      <c r="D22" s="6" t="n"/>
      <c r="E22" s="6" t="n"/>
    </row>
    <row r="23">
      <c r="A23" s="35" t="inlineStr">
        <is>
          <t>Comments:</t>
        </is>
      </c>
      <c r="B23" s="17" t="n"/>
      <c r="C23" s="6" t="n"/>
      <c r="D23" s="6" t="n"/>
      <c r="E23" s="6" t="n"/>
    </row>
    <row r="25">
      <c r="A25" s="22" t="inlineStr">
        <is>
          <t>APPROVED BY (CISO)</t>
        </is>
      </c>
      <c r="B25" s="6" t="n"/>
      <c r="C25" s="6" t="n"/>
      <c r="D25" s="6" t="n"/>
      <c r="E25" s="6" t="n"/>
    </row>
    <row r="26">
      <c r="A26" s="35" t="inlineStr">
        <is>
          <t>Name:</t>
        </is>
      </c>
      <c r="B26" s="17" t="n"/>
      <c r="C26" s="6" t="n"/>
      <c r="D26" s="6" t="n"/>
      <c r="E26" s="6" t="n"/>
    </row>
    <row r="27">
      <c r="A27" s="35" t="inlineStr">
        <is>
          <t>Title:</t>
        </is>
      </c>
      <c r="B27" s="17" t="n"/>
      <c r="C27" s="6" t="n"/>
      <c r="D27" s="6" t="n"/>
      <c r="E27" s="6" t="n"/>
    </row>
    <row r="28">
      <c r="A28" s="35" t="inlineStr">
        <is>
          <t>Date:</t>
        </is>
      </c>
      <c r="B28" s="17" t="n"/>
      <c r="C28" s="6" t="n"/>
      <c r="D28" s="6" t="n"/>
      <c r="E28" s="6" t="n"/>
    </row>
    <row r="29">
      <c r="A29" s="35" t="inlineStr">
        <is>
          <t>Signature:</t>
        </is>
      </c>
      <c r="B29" s="17" t="n"/>
      <c r="C29" s="6" t="n"/>
      <c r="D29" s="6" t="n"/>
      <c r="E29" s="6" t="n"/>
    </row>
    <row r="30">
      <c r="A30" s="35" t="inlineStr">
        <is>
          <t>Comments:</t>
        </is>
      </c>
      <c r="B30" s="17" t="n"/>
      <c r="C30" s="6" t="n"/>
      <c r="D30" s="6" t="n"/>
      <c r="E30" s="6" t="n"/>
    </row>
    <row r="32">
      <c r="A32" s="37" t="inlineStr">
        <is>
          <t>FINAL DECISION:</t>
        </is>
      </c>
      <c r="B32" s="17" t="n"/>
      <c r="C32" s="6" t="n"/>
      <c r="D32" s="6" t="n"/>
      <c r="E32" s="6" t="n"/>
    </row>
    <row r="35">
      <c r="A35" s="34" t="inlineStr">
        <is>
          <t>NEXT REVIEW DETAILS</t>
        </is>
      </c>
      <c r="B35" s="6" t="n"/>
      <c r="C35" s="6" t="n"/>
      <c r="D35" s="6" t="n"/>
      <c r="E35" s="6" t="n"/>
    </row>
    <row r="36">
      <c r="A36" s="35" t="inlineStr">
        <is>
          <t>Next Review Date:</t>
        </is>
      </c>
      <c r="B36" s="17" t="n"/>
      <c r="C36" s="6" t="n"/>
      <c r="D36" s="6" t="n"/>
      <c r="E36" s="6" t="n"/>
    </row>
    <row r="37">
      <c r="A37" s="35" t="inlineStr">
        <is>
          <t>Review Responsible:</t>
        </is>
      </c>
      <c r="B37" s="17" t="n"/>
      <c r="C37" s="6" t="n"/>
      <c r="D37" s="6" t="n"/>
      <c r="E37" s="6" t="n"/>
    </row>
    <row r="38">
      <c r="A38" s="35"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ISMS-IMP-A.6.6.3 — NDA Review and Compliance</dc:title>
  <dc:description xmlns:dc="http://purl.org/dc/elements/1.1/">ISMS Implementation Workbook — ISMS-IMP-A.6.6.3</dc:description>
  <dc:subject xmlns:dc="http://purl.org/dc/elements/1.1/">ISO/IEC 27001:2022 — Control A.6.6: Confidentiality or Non-Disclosure Agreements</dc:subject>
  <dcterms:created xmlns:dcterms="http://purl.org/dc/terms/" xmlns:xsi="http://www.w3.org/2001/XMLSchema-instance" xsi:type="dcterms:W3CDTF">2026-03-07T11:27:51Z</dcterms:created>
  <dcterms:modified xmlns:dcterms="http://purl.org/dc/terms/" xmlns:xsi="http://www.w3.org/2001/XMLSchema-instance" xsi:type="dcterms:W3CDTF">2026-03-07T11:27:52Z</dcterms:modified>
</cp:coreProperties>
</file>