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tive NDAs" sheetId="2" state="visible" r:id="rId2"/>
    <sheet xmlns:r="http://schemas.openxmlformats.org/officeDocument/2006/relationships" name="Signatory Register" sheetId="3" state="visible" r:id="rId3"/>
    <sheet xmlns:r="http://schemas.openxmlformats.org/officeDocument/2006/relationships" name="Expiration Monitor" sheetId="4" state="visible" r:id="rId4"/>
    <sheet xmlns:r="http://schemas.openxmlformats.org/officeDocument/2006/relationships" name="Renewal Trackin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0" fillId="11" borderId="1" pivotButton="0" quotePrefix="0" xfId="0"/>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ISMS-IMP-A.6.6.2  -  NDA Execution and Tracking
ISO/IEC 27001:2022 - Control A.6.6: Confidentiality or Non-Disclosure Agreements</t>
        </is>
      </c>
    </row>
    <row r="3">
      <c r="A3" s="2" t="inlineStr">
        <is>
          <t>Document Information</t>
        </is>
      </c>
    </row>
    <row r="4">
      <c r="A4" s="3" t="inlineStr">
        <is>
          <t>Document ID</t>
        </is>
      </c>
      <c r="B4" t="inlineStr">
        <is>
          <t>ISMS-IMP-A.6.6.2</t>
        </is>
      </c>
    </row>
    <row r="5">
      <c r="A5" s="3" t="inlineStr">
        <is>
          <t>Workbook Title</t>
        </is>
      </c>
      <c r="B5" t="inlineStr">
        <is>
          <t>NDA Execution and Tracking</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Active NDAs — list all currently active confidentiality agreements.</t>
        </is>
      </c>
    </row>
    <row r="14">
      <c r="A14" t="inlineStr">
        <is>
          <t>2. Complete Signatory Register — record all parties who have signed NDAs.</t>
        </is>
      </c>
    </row>
    <row r="15">
      <c r="A15" t="inlineStr">
        <is>
          <t>3. Complete Expiration Monitor — track agreement expiry dates and renewal requirements.</t>
        </is>
      </c>
    </row>
    <row r="16">
      <c r="A16" t="inlineStr">
        <is>
          <t>4. Complete Renewal Tracking — manage NDA renewals before expiry.</t>
        </is>
      </c>
    </row>
    <row r="17">
      <c r="A17" t="inlineStr">
        <is>
          <t>5. Review Approval records — confirm executed agreements are properly filed and approved.</t>
        </is>
      </c>
    </row>
    <row r="18">
      <c r="A18" t="inlineStr">
        <is>
          <t>6. Maintain the Evidence Register with executed agreement scans and tracking records.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35" customWidth="1" min="3" max="3"/>
    <col width="30" customWidth="1" min="4" max="4"/>
    <col width="18" customWidth="1" min="5" max="5"/>
    <col width="14" customWidth="1" min="6" max="6"/>
    <col width="14" customWidth="1" min="7" max="7"/>
    <col width="14" customWidth="1" min="8" max="8"/>
    <col width="16" customWidth="1" min="9" max="9"/>
    <col width="16" customWidth="1" min="10" max="10"/>
    <col width="14" customWidth="1" min="11" max="11"/>
    <col width="30" customWidth="1" min="12" max="12"/>
    <col width="14" customWidth="1" min="13" max="13"/>
    <col width="30" customWidth="1" min="14" max="14"/>
  </cols>
  <sheetData>
    <row r="1" ht="35" customHeight="1">
      <c r="A1" s="11" t="inlineStr">
        <is>
          <t>ACTIVE NDA REGISTER</t>
        </is>
      </c>
    </row>
    <row r="2">
      <c r="A2" s="12" t="inlineStr">
        <is>
          <t>ISO/IEC 27001:2022 - Control A.6.6: Confidentiality or Non-Disclosure Agreements</t>
        </is>
      </c>
    </row>
    <row r="3">
      <c r="A3" s="13" t="inlineStr">
        <is>
          <t>NDA ID</t>
        </is>
      </c>
      <c r="B3" s="13" t="inlineStr">
        <is>
          <t>Template Ref</t>
        </is>
      </c>
      <c r="C3" s="13" t="inlineStr">
        <is>
          <t>NDA Title</t>
        </is>
      </c>
      <c r="D3" s="13" t="inlineStr">
        <is>
          <t>Counterparty</t>
        </is>
      </c>
      <c r="E3" s="13" t="inlineStr">
        <is>
          <t>Counterparty Type</t>
        </is>
      </c>
      <c r="F3" s="13" t="inlineStr">
        <is>
          <t>Execution Date</t>
        </is>
      </c>
      <c r="G3" s="13" t="inlineStr">
        <is>
          <t>Effective Date</t>
        </is>
      </c>
      <c r="H3" s="13" t="inlineStr">
        <is>
          <t>Expiration Date</t>
        </is>
      </c>
      <c r="I3" s="13" t="inlineStr">
        <is>
          <t>Post Term Period</t>
        </is>
      </c>
      <c r="J3" s="13" t="inlineStr">
        <is>
          <t>Post Term Expiry</t>
        </is>
      </c>
      <c r="K3" s="13" t="inlineStr">
        <is>
          <t>Signatories Count</t>
        </is>
      </c>
      <c r="L3" s="13" t="inlineStr">
        <is>
          <t>Storage Location</t>
        </is>
      </c>
      <c r="M3" s="13" t="inlineStr">
        <is>
          <t>Status</t>
        </is>
      </c>
      <c r="N3" s="13" t="inlineStr">
        <is>
          <t>Notes</t>
        </is>
      </c>
    </row>
    <row r="4">
      <c r="A4" s="14" t="inlineStr">
        <is>
          <t>NDA-001</t>
        </is>
      </c>
      <c r="B4" s="14" t="inlineStr">
        <is>
          <t>TMPL-001</t>
        </is>
      </c>
      <c r="C4" s="14" t="inlineStr">
        <is>
          <t>[NDA Title]</t>
        </is>
      </c>
      <c r="D4" s="14" t="inlineStr">
        <is>
          <t>[Counterparty Name]</t>
        </is>
      </c>
      <c r="E4" s="14" t="inlineStr">
        <is>
          <t>Employee</t>
        </is>
      </c>
      <c r="F4" s="14" t="inlineStr">
        <is>
          <t>[DD.MM.YYYY]</t>
        </is>
      </c>
      <c r="G4" s="14" t="inlineStr">
        <is>
          <t>[DD.MM.YYYY]</t>
        </is>
      </c>
      <c r="H4" s="14" t="inlineStr">
        <is>
          <t>[DD.MM.YYYY]</t>
        </is>
      </c>
      <c r="I4" s="14" t="inlineStr">
        <is>
          <t>2 years</t>
        </is>
      </c>
      <c r="J4" s="14" t="inlineStr">
        <is>
          <t>[DD.MM.YYYY]</t>
        </is>
      </c>
      <c r="K4" s="14" t="inlineStr">
        <is>
          <t>1</t>
        </is>
      </c>
      <c r="L4" s="14" t="inlineStr">
        <is>
          <t>[SharePoint/NDAs]</t>
        </is>
      </c>
      <c r="M4" s="14" t="inlineStr">
        <is>
          <t>Active</t>
        </is>
      </c>
      <c r="N4" s="14" t="inlineStr"/>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2">
    <dataValidation sqref="E5:E54" showDropDown="0" showInputMessage="0" showErrorMessage="0" allowBlank="0" type="list">
      <formula1>"Employee,Contractor,Consultant,Vendor,Supplier,Partner,Customer,Board Member,Visitor,Other"</formula1>
    </dataValidation>
    <dataValidation sqref="M5:M54" showDropDown="0" showInputMessage="0" showErrorMessage="0" allowBlank="0" type="list">
      <formula1>"Active,Expired,Terminated,Renewed,Superseded"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5" customWidth="1" min="3" max="3"/>
    <col width="18" customWidth="1" min="4" max="4"/>
    <col width="25" customWidth="1" min="5" max="5"/>
    <col width="25" customWidth="1" min="6" max="6"/>
    <col width="30" customWidth="1" min="7" max="7"/>
    <col width="14" customWidth="1" min="8" max="8"/>
    <col width="16" customWidth="1" min="9" max="9"/>
    <col width="14" customWidth="1" min="10" max="10"/>
    <col width="14" customWidth="1" min="11" max="11"/>
    <col width="30" customWidth="1" min="12" max="12"/>
  </cols>
  <sheetData>
    <row r="1" ht="35" customHeight="1">
      <c r="A1" s="11" t="inlineStr">
        <is>
          <t>INDIVIDUAL SIGNATORY REGISTER</t>
        </is>
      </c>
    </row>
    <row r="2">
      <c r="A2" s="12" t="inlineStr">
        <is>
          <t>ISO/IEC 27001:2022 - Control A.6.6: Confidentiality or Non-Disclosure Agreements</t>
        </is>
      </c>
    </row>
    <row r="3">
      <c r="A3" s="13" t="inlineStr">
        <is>
          <t>Signatory ID</t>
        </is>
      </c>
      <c r="B3" s="13" t="inlineStr">
        <is>
          <t>NDA Ref</t>
        </is>
      </c>
      <c r="C3" s="13" t="inlineStr">
        <is>
          <t>Signatory Name</t>
        </is>
      </c>
      <c r="D3" s="13" t="inlineStr">
        <is>
          <t>Signatory Type</t>
        </is>
      </c>
      <c r="E3" s="13" t="inlineStr">
        <is>
          <t>Organisation</t>
        </is>
      </c>
      <c r="F3" s="13" t="inlineStr">
        <is>
          <t>Role Title</t>
        </is>
      </c>
      <c r="G3" s="13" t="inlineStr">
        <is>
          <t>Email</t>
        </is>
      </c>
      <c r="H3" s="13" t="inlineStr">
        <is>
          <t>Signature Date</t>
        </is>
      </c>
      <c r="I3" s="13" t="inlineStr">
        <is>
          <t>Signature Method</t>
        </is>
      </c>
      <c r="J3" s="13" t="inlineStr">
        <is>
          <t>Termination Date</t>
        </is>
      </c>
      <c r="K3" s="13" t="inlineStr">
        <is>
          <t>Status</t>
        </is>
      </c>
      <c r="L3" s="13" t="inlineStr">
        <is>
          <t>Notes</t>
        </is>
      </c>
    </row>
    <row r="4">
      <c r="A4" s="14" t="inlineStr">
        <is>
          <t>SIG-001</t>
        </is>
      </c>
      <c r="B4" s="14" t="inlineStr">
        <is>
          <t>NDA-001</t>
        </is>
      </c>
      <c r="C4" s="14" t="inlineStr">
        <is>
          <t>[Full Name]</t>
        </is>
      </c>
      <c r="D4" s="14" t="inlineStr">
        <is>
          <t>Employee</t>
        </is>
      </c>
      <c r="E4" s="14" t="inlineStr">
        <is>
          <t>[Organisation Name]</t>
        </is>
      </c>
      <c r="F4" s="14" t="inlineStr">
        <is>
          <t>[Job Title]</t>
        </is>
      </c>
      <c r="G4" s="14" t="inlineStr">
        <is>
          <t>[email@example.com]</t>
        </is>
      </c>
      <c r="H4" s="14" t="inlineStr">
        <is>
          <t>[DD.MM.YYYY]</t>
        </is>
      </c>
      <c r="I4" s="14" t="inlineStr">
        <is>
          <t>Wet Signature</t>
        </is>
      </c>
      <c r="J4" s="14" t="inlineStr"/>
      <c r="K4" s="14" t="inlineStr">
        <is>
          <t>Active</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D5:D54" showDropDown="0" showInputMessage="0" showErrorMessage="0" allowBlank="0" type="list">
      <formula1>"Employee,Contractor,Consultant,Vendor Rep,Partner Rep,Customer Rep,Board Member,Visitor,Witness,Authorised Signatory"</formula1>
    </dataValidation>
    <dataValidation sqref="I5:I54" showDropDown="0" showInputMessage="0" showErrorMessage="0" allowBlank="0" type="list">
      <formula1>"Wet Signature,Digital Signature,Electronic Signature,DocuSign,Adobe Sign,Other"</formula1>
    </dataValidation>
    <dataValidation sqref="K5:K54" showDropDown="0" showInputMessage="0" showErrorMessage="0" allowBlank="0" type="list">
      <formula1>"Active,Terminated,Renewed,Superseded"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6" customWidth="1" min="4" max="4"/>
    <col width="14" customWidth="1" min="5" max="5"/>
    <col width="14" customWidth="1" min="6" max="6"/>
    <col width="20" customWidth="1" min="7" max="7"/>
    <col width="14" customWidth="1" min="8" max="8"/>
    <col width="30" customWidth="1" min="9" max="9"/>
    <col width="30" customWidth="1" min="10" max="10"/>
  </cols>
  <sheetData>
    <row r="1" ht="35" customHeight="1">
      <c r="A1" s="11" t="inlineStr">
        <is>
          <t>NDA EXPIRATION MONITOR</t>
        </is>
      </c>
    </row>
    <row r="2">
      <c r="A2" s="12" t="inlineStr">
        <is>
          <t>ISO/IEC 27001:2022 - Control A.6.6: Confidentiality or Non-Disclosure Agreements</t>
        </is>
      </c>
    </row>
    <row r="3">
      <c r="A3" s="13" t="inlineStr">
        <is>
          <t>NDA ID</t>
        </is>
      </c>
      <c r="B3" s="13" t="inlineStr">
        <is>
          <t>Counterparty</t>
        </is>
      </c>
      <c r="C3" s="13" t="inlineStr">
        <is>
          <t>Expiration Date</t>
        </is>
      </c>
      <c r="D3" s="13" t="inlineStr">
        <is>
          <t>Days Until Expiry</t>
        </is>
      </c>
      <c r="E3" s="13" t="inlineStr">
        <is>
          <t>Alert Status</t>
        </is>
      </c>
      <c r="F3" s="13" t="inlineStr">
        <is>
          <t>Renewal Required</t>
        </is>
      </c>
      <c r="G3" s="13" t="inlineStr">
        <is>
          <t>Renewal Owner</t>
        </is>
      </c>
      <c r="H3" s="13" t="inlineStr">
        <is>
          <t>Renewal Started</t>
        </is>
      </c>
      <c r="I3" s="13" t="inlineStr">
        <is>
          <t>Action Required</t>
        </is>
      </c>
      <c r="J3" s="13" t="inlineStr">
        <is>
          <t>Notes</t>
        </is>
      </c>
    </row>
    <row r="4">
      <c r="A4" s="14" t="inlineStr">
        <is>
          <t>NDA-001</t>
        </is>
      </c>
      <c r="B4" s="14" t="inlineStr">
        <is>
          <t>[Counterparty Name]</t>
        </is>
      </c>
      <c r="C4" s="14" t="inlineStr">
        <is>
          <t>[DD.MM.YYYY]</t>
        </is>
      </c>
      <c r="D4" s="14" t="inlineStr">
        <is>
          <t>90</t>
        </is>
      </c>
      <c r="E4" s="14" t="inlineStr">
        <is>
          <t>Green (&gt;90 days)</t>
        </is>
      </c>
      <c r="F4" s="14" t="inlineStr">
        <is>
          <t>No</t>
        </is>
      </c>
      <c r="G4" s="14" t="inlineStr">
        <is>
          <t>[Name]</t>
        </is>
      </c>
      <c r="H4" s="14" t="inlineStr">
        <is>
          <t>No</t>
        </is>
      </c>
      <c r="I4" s="14" t="inlineStr">
        <is>
          <t>[No action required]</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E5:E54" showDropDown="0" showInputMessage="0" showErrorMessage="0" allowBlank="0" type="list">
      <formula1>"Green (&gt;90 days),Amber (30-90 days),Red (&lt;30 days),Expired"</formula1>
    </dataValidation>
    <dataValidation sqref="F5:F54" showDropDown="0" showInputMessage="0" showErrorMessage="0" allowBlank="0" type="list">
      <formula1>"Yes,No,Under 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5" customWidth="1" min="3" max="3"/>
    <col width="14" customWidth="1" min="4" max="4"/>
    <col width="14" customWidth="1" min="5" max="5"/>
    <col width="16" customWidth="1" min="6" max="6"/>
    <col width="14" customWidth="1" min="7" max="7"/>
    <col width="16" customWidth="1" min="8" max="8"/>
    <col width="14" customWidth="1" min="9" max="9"/>
    <col width="14" customWidth="1" min="10" max="10"/>
    <col width="14" customWidth="1" min="11" max="11"/>
    <col width="30" customWidth="1" min="12" max="12"/>
  </cols>
  <sheetData>
    <row r="1" ht="35" customHeight="1">
      <c r="A1" s="11" t="inlineStr">
        <is>
          <t>NDA RENEWAL TRACKING</t>
        </is>
      </c>
    </row>
    <row r="2">
      <c r="A2" s="12" t="inlineStr">
        <is>
          <t>ISO/IEC 27001:2022 - Control A.6.6: Confidentiality or Non-Disclosure Agreements</t>
        </is>
      </c>
    </row>
    <row r="3">
      <c r="A3" s="13" t="inlineStr">
        <is>
          <t>Renewal ID</t>
        </is>
      </c>
      <c r="B3" s="13" t="inlineStr">
        <is>
          <t>Original NDA</t>
        </is>
      </c>
      <c r="C3" s="13" t="inlineStr">
        <is>
          <t>Counterparty</t>
        </is>
      </c>
      <c r="D3" s="13" t="inlineStr">
        <is>
          <t>Original Expiry</t>
        </is>
      </c>
      <c r="E3" s="13" t="inlineStr">
        <is>
          <t>Renewal Initiated</t>
        </is>
      </c>
      <c r="F3" s="13" t="inlineStr">
        <is>
          <t>New Terms Required</t>
        </is>
      </c>
      <c r="G3" s="13" t="inlineStr">
        <is>
          <t>Legal Review</t>
        </is>
      </c>
      <c r="H3" s="13" t="inlineStr">
        <is>
          <t>Counterparty Agreed</t>
        </is>
      </c>
      <c r="I3" s="13" t="inlineStr">
        <is>
          <t>New NDA ID</t>
        </is>
      </c>
      <c r="J3" s="13" t="inlineStr">
        <is>
          <t>New Expiry</t>
        </is>
      </c>
      <c r="K3" s="13" t="inlineStr">
        <is>
          <t>Status</t>
        </is>
      </c>
      <c r="L3" s="13" t="inlineStr">
        <is>
          <t>Notes</t>
        </is>
      </c>
    </row>
    <row r="4">
      <c r="A4" s="14" t="inlineStr">
        <is>
          <t>REN-001</t>
        </is>
      </c>
      <c r="B4" s="14" t="inlineStr">
        <is>
          <t>NDA-001</t>
        </is>
      </c>
      <c r="C4" s="14" t="inlineStr">
        <is>
          <t>[Counterparty Name]</t>
        </is>
      </c>
      <c r="D4" s="14" t="inlineStr">
        <is>
          <t>[DD.MM.YYYY]</t>
        </is>
      </c>
      <c r="E4" s="14" t="inlineStr">
        <is>
          <t>[DD.MM.YYYY]</t>
        </is>
      </c>
      <c r="F4" s="14" t="inlineStr">
        <is>
          <t>No</t>
        </is>
      </c>
      <c r="G4" s="14" t="inlineStr">
        <is>
          <t>No</t>
        </is>
      </c>
      <c r="H4" s="14" t="inlineStr">
        <is>
          <t>No</t>
        </is>
      </c>
      <c r="I4" s="14" t="inlineStr"/>
      <c r="J4" s="14" t="inlineStr">
        <is>
          <t>[DD.MM.YYYY]</t>
        </is>
      </c>
      <c r="K4" s="14" t="inlineStr">
        <is>
          <t>Not Started</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F5:F54 G5:G54 H5:H54" showDropDown="0" showInputMessage="0" showErrorMessage="0" allowBlank="0" type="list">
      <formula1>"Yes,No,Pending"</formula1>
    </dataValidation>
    <dataValidation sqref="K5:K54" showDropDown="0" showInputMessage="0" showErrorMessage="0" allowBlank="0" type="list">
      <formula1>"Not Started,In Progress,Legal Review,Awaiting Signature,Completed,Cancelled"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6" t="inlineStr">
        <is>
          <t>ISO/IEC 27001:2022 - Control A.6.6: Confidentiality or Non-Disclosure Agreements</t>
        </is>
      </c>
    </row>
    <row r="4">
      <c r="A4" s="17" t="inlineStr">
        <is>
          <t>Evidence ID</t>
        </is>
      </c>
      <c r="B4" s="17" t="inlineStr">
        <is>
          <t>Evidence Type</t>
        </is>
      </c>
      <c r="C4" s="17" t="inlineStr">
        <is>
          <t>Description</t>
        </is>
      </c>
      <c r="D4" s="17" t="inlineStr">
        <is>
          <t>Source / Location</t>
        </is>
      </c>
      <c r="E4" s="17" t="inlineStr">
        <is>
          <t>Collected By</t>
        </is>
      </c>
      <c r="F4" s="17" t="inlineStr">
        <is>
          <t>Collection Date</t>
        </is>
      </c>
      <c r="G4" s="17" t="inlineStr">
        <is>
          <t>Retention Date</t>
        </is>
      </c>
      <c r="H4" s="17"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NDA EXECUTION AND TRACKING — SUMMARY DASHBOARD</t>
        </is>
      </c>
      <c r="B1" s="6" t="n"/>
      <c r="C1" s="6" t="n"/>
      <c r="D1" s="6" t="n"/>
      <c r="E1" s="6" t="n"/>
      <c r="F1" s="6" t="n"/>
      <c r="G1" s="6" t="n"/>
    </row>
    <row r="2">
      <c r="A2" s="19" t="inlineStr">
        <is>
          <t>ISO/IEC 27001:2022 — Control A.6.6: Confidentiality or Non-Disclosure Agreements</t>
        </is>
      </c>
    </row>
    <row r="4">
      <c r="A4" s="20" t="inlineStr">
        <is>
          <t>TABLE 1: ASSESSMENT AREA COMPLIANCE OVERVIEW</t>
        </is>
      </c>
      <c r="B4" s="6" t="n"/>
      <c r="C4" s="6" t="n"/>
      <c r="D4" s="6" t="n"/>
      <c r="E4" s="6" t="n"/>
      <c r="F4" s="6" t="n"/>
      <c r="G4" s="6"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Active NDAs</t>
        </is>
      </c>
      <c r="B6" s="23">
        <f>COUNTA('Active NDAs'!M5:M54)</f>
        <v/>
      </c>
      <c r="C6" s="23">
        <f>COUNTIF('Active NDAs'!M5:M54,"Active")+COUNTIF('Active NDAs'!M5:M54,"Renewed")</f>
        <v/>
      </c>
      <c r="D6" s="23" t="inlineStr">
        <is>
          <t>0</t>
        </is>
      </c>
      <c r="E6" s="23">
        <f>COUNTIF('Active NDAs'!M5:M54,"Expired")+COUNTIF('Active NDAs'!M5:M54,"Terminated")</f>
        <v/>
      </c>
      <c r="F6" s="23">
        <f>COUNTIF('Active NDAs'!M5:M54,"Superseded")</f>
        <v/>
      </c>
      <c r="G6" s="24">
        <f>IF((B6-F6)=0,0,C6/(B6-F6))</f>
        <v/>
      </c>
    </row>
    <row r="7">
      <c r="A7" s="22" t="inlineStr">
        <is>
          <t>Signatory Register</t>
        </is>
      </c>
      <c r="B7" s="23">
        <f>COUNTA('Signatory Register'!K5:K54)</f>
        <v/>
      </c>
      <c r="C7" s="23">
        <f>COUNTIF('Signatory Register'!K5:K54,"Active")+COUNTIF('Signatory Register'!K5:K54,"Renewed")</f>
        <v/>
      </c>
      <c r="D7" s="23" t="inlineStr">
        <is>
          <t>0</t>
        </is>
      </c>
      <c r="E7" s="23">
        <f>COUNTIF('Signatory Register'!K5:K54,"Terminated")</f>
        <v/>
      </c>
      <c r="F7" s="23">
        <f>COUNTIF('Signatory Register'!K5:K54,"Superseded")</f>
        <v/>
      </c>
      <c r="G7" s="24">
        <f>IF((B7-F7)=0,0,C7/(B7-F7))</f>
        <v/>
      </c>
    </row>
    <row r="8">
      <c r="A8" s="22" t="inlineStr">
        <is>
          <t>Expiration Monitor</t>
        </is>
      </c>
      <c r="B8" s="23">
        <f>COUNTA('Expiration Monitor'!E5:E54)</f>
        <v/>
      </c>
      <c r="C8" s="23">
        <f>COUNTIF('Expiration Monitor'!E5:E54,"Green (&gt;90 days)")</f>
        <v/>
      </c>
      <c r="D8" s="23">
        <f>COUNTIF('Expiration Monitor'!E5:E54,"Amber (30-90 days)")</f>
        <v/>
      </c>
      <c r="E8" s="23">
        <f>COUNTIF('Expiration Monitor'!E5:E54,"Red (&lt;30 days)")+COUNTIF('Expiration Monitor'!E5:E54,"Expired")</f>
        <v/>
      </c>
      <c r="F8" s="23" t="inlineStr">
        <is>
          <t>0</t>
        </is>
      </c>
      <c r="G8" s="24">
        <f>IF((B8-F8)=0,0,C8/(B8-F8))</f>
        <v/>
      </c>
    </row>
    <row r="9">
      <c r="A9" s="22" t="inlineStr">
        <is>
          <t>Renewal Tracking</t>
        </is>
      </c>
      <c r="B9" s="23">
        <f>COUNTA('Renewal Tracking'!K5:K54)</f>
        <v/>
      </c>
      <c r="C9" s="23">
        <f>COUNTIF('Renewal Tracking'!K5:K54,"Completed")</f>
        <v/>
      </c>
      <c r="D9" s="23">
        <f>COUNTIF('Renewal Tracking'!K5:K54,"In Progress")+COUNTIF('Renewal Tracking'!K5:K54,"Legal Review")+COUNTIF('Renewal Tracking'!K5:K54,"Awaiting Signature")</f>
        <v/>
      </c>
      <c r="E9" s="23">
        <f>COUNTIF('Renewal Tracking'!K5:K54,"Not Started")</f>
        <v/>
      </c>
      <c r="F9" s="23">
        <f>COUNTIF('Renewal Tracking'!K5:K54,"Cancelled")</f>
        <v/>
      </c>
      <c r="G9" s="24">
        <f>IF((B9-F9)=0,0,C9/(B9-F9))</f>
        <v/>
      </c>
    </row>
    <row r="10">
      <c r="A10" s="25" t="inlineStr">
        <is>
          <t>TOTAL</t>
        </is>
      </c>
      <c r="B10" s="26">
        <f>SUM(B6:B9)</f>
        <v/>
      </c>
      <c r="C10" s="26">
        <f>SUM(C6:C9)</f>
        <v/>
      </c>
      <c r="D10" s="26">
        <f>SUM(D6:D9)</f>
        <v/>
      </c>
      <c r="E10" s="26">
        <f>SUM(E6:E9)</f>
        <v/>
      </c>
      <c r="F10" s="26">
        <f>SUM(F6:F9)</f>
        <v/>
      </c>
      <c r="G10" s="27">
        <f>IF((B10-F10)=0,0,C10/(B10-F10))</f>
        <v/>
      </c>
    </row>
    <row r="12">
      <c r="A12" s="20" t="inlineStr">
        <is>
          <t>TABLE 2: KEY METRICS</t>
        </is>
      </c>
      <c r="B12" s="6" t="n"/>
      <c r="C12" s="6" t="n"/>
      <c r="D12" s="6" t="n"/>
      <c r="E12" s="6" t="n"/>
      <c r="F12" s="6" t="n"/>
      <c r="G12" s="6" t="n"/>
    </row>
    <row r="13">
      <c r="A13" s="26" t="inlineStr">
        <is>
          <t>Metric</t>
        </is>
      </c>
      <c r="B13" s="26" t="inlineStr">
        <is>
          <t>Value</t>
        </is>
      </c>
      <c r="C13" s="26" t="n"/>
      <c r="D13" s="26" t="n"/>
      <c r="E13" s="26" t="n"/>
      <c r="F13" s="26" t="n"/>
      <c r="G13" s="26" t="n"/>
    </row>
    <row r="14">
      <c r="A14" s="22" t="inlineStr">
        <is>
          <t>Total NDAs Tracked</t>
        </is>
      </c>
      <c r="B14" s="23">
        <f>COUNTA('Active NDAs'!A5:A54)</f>
        <v/>
      </c>
      <c r="C14" s="6" t="n"/>
      <c r="D14" s="6" t="n"/>
      <c r="E14" s="6" t="n"/>
      <c r="F14" s="6" t="n"/>
      <c r="G14" s="6" t="n"/>
    </row>
    <row r="15">
      <c r="A15" s="22" t="inlineStr">
        <is>
          <t>Active NDAs</t>
        </is>
      </c>
      <c r="B15" s="23">
        <f>COUNTIF('Active NDAs'!M5:M54,"Active")</f>
        <v/>
      </c>
      <c r="C15" s="6" t="n"/>
      <c r="D15" s="6" t="n"/>
      <c r="E15" s="6" t="n"/>
      <c r="F15" s="6" t="n"/>
      <c r="G15" s="6" t="n"/>
    </row>
    <row r="16">
      <c r="A16" s="22" t="inlineStr">
        <is>
          <t>Renewed NDAs</t>
        </is>
      </c>
      <c r="B16" s="23">
        <f>COUNTIF('Active NDAs'!M5:M54,"Renewed")</f>
        <v/>
      </c>
      <c r="C16" s="6" t="n"/>
      <c r="D16" s="6" t="n"/>
      <c r="E16" s="6" t="n"/>
      <c r="F16" s="6" t="n"/>
      <c r="G16" s="6" t="n"/>
    </row>
    <row r="17">
      <c r="A17" s="22" t="inlineStr">
        <is>
          <t>Expired NDAs</t>
        </is>
      </c>
      <c r="B17" s="23">
        <f>COUNTIF('Active NDAs'!M5:M54,"Expired")</f>
        <v/>
      </c>
      <c r="C17" s="6" t="n"/>
      <c r="D17" s="6" t="n"/>
      <c r="E17" s="6" t="n"/>
      <c r="F17" s="6" t="n"/>
      <c r="G17" s="6" t="n"/>
    </row>
    <row r="18">
      <c r="A18" s="22" t="inlineStr">
        <is>
          <t>Terminated NDAs</t>
        </is>
      </c>
      <c r="B18" s="23">
        <f>COUNTIF('Active NDAs'!M5:M54,"Terminated")</f>
        <v/>
      </c>
      <c r="C18" s="6" t="n"/>
      <c r="D18" s="6" t="n"/>
      <c r="E18" s="6" t="n"/>
      <c r="F18" s="6" t="n"/>
      <c r="G18" s="6" t="n"/>
    </row>
    <row r="19">
      <c r="A19" s="22" t="inlineStr">
        <is>
          <t>NDAs — Employees</t>
        </is>
      </c>
      <c r="B19" s="23">
        <f>COUNTIF('Active NDAs'!E5:E54,"Employee")</f>
        <v/>
      </c>
      <c r="C19" s="6" t="n"/>
      <c r="D19" s="6" t="n"/>
      <c r="E19" s="6" t="n"/>
      <c r="F19" s="6" t="n"/>
      <c r="G19" s="6" t="n"/>
    </row>
    <row r="20">
      <c r="A20" s="22" t="inlineStr">
        <is>
          <t>NDAs — Contractors</t>
        </is>
      </c>
      <c r="B20" s="23">
        <f>COUNTIF('Active NDAs'!E5:E54,"Contractor")</f>
        <v/>
      </c>
      <c r="C20" s="6" t="n"/>
      <c r="D20" s="6" t="n"/>
      <c r="E20" s="6" t="n"/>
      <c r="F20" s="6" t="n"/>
      <c r="G20" s="6" t="n"/>
    </row>
    <row r="21">
      <c r="A21" s="22" t="inlineStr">
        <is>
          <t>NDAs — Vendors and Suppliers</t>
        </is>
      </c>
      <c r="B21" s="23">
        <f>COUNTIF('Active NDAs'!E5:E54,"Vendor")+COUNTIF('Active NDAs'!E5:E54,"Supplier")</f>
        <v/>
      </c>
      <c r="C21" s="6" t="n"/>
      <c r="D21" s="6" t="n"/>
      <c r="E21" s="6" t="n"/>
      <c r="F21" s="6" t="n"/>
      <c r="G21" s="6" t="n"/>
    </row>
    <row r="22">
      <c r="A22" s="22" t="inlineStr">
        <is>
          <t>NDAs — Partners</t>
        </is>
      </c>
      <c r="B22" s="23">
        <f>COUNTIF('Active NDAs'!E5:E54,"Partner")</f>
        <v/>
      </c>
      <c r="C22" s="6" t="n"/>
      <c r="D22" s="6" t="n"/>
      <c r="E22" s="6" t="n"/>
      <c r="F22" s="6" t="n"/>
      <c r="G22" s="6" t="n"/>
    </row>
    <row r="23">
      <c r="A23" s="22" t="inlineStr">
        <is>
          <t>Total Signatories</t>
        </is>
      </c>
      <c r="B23" s="23">
        <f>COUNTA('Signatory Register'!A5:A54)</f>
        <v/>
      </c>
      <c r="C23" s="6" t="n"/>
      <c r="D23" s="6" t="n"/>
      <c r="E23" s="6" t="n"/>
      <c r="F23" s="6" t="n"/>
      <c r="G23" s="6" t="n"/>
    </row>
    <row r="24">
      <c r="A24" s="22" t="inlineStr">
        <is>
          <t>Active Signatories</t>
        </is>
      </c>
      <c r="B24" s="23">
        <f>COUNTIF('Signatory Register'!K5:K54,"Active")</f>
        <v/>
      </c>
      <c r="C24" s="6" t="n"/>
      <c r="D24" s="6" t="n"/>
      <c r="E24" s="6" t="n"/>
      <c r="F24" s="6" t="n"/>
      <c r="G24" s="6" t="n"/>
    </row>
    <row r="25">
      <c r="A25" s="22" t="inlineStr">
        <is>
          <t>Terminated Signatories</t>
        </is>
      </c>
      <c r="B25" s="23">
        <f>COUNTIF('Signatory Register'!K5:K54,"Terminated")</f>
        <v/>
      </c>
      <c r="C25" s="6" t="n"/>
      <c r="D25" s="6" t="n"/>
      <c r="E25" s="6" t="n"/>
      <c r="F25" s="6" t="n"/>
      <c r="G25" s="6" t="n"/>
    </row>
    <row r="26">
      <c r="A26" s="22" t="inlineStr">
        <is>
          <t>NDAs Expiring &gt; 90 Days (Green)</t>
        </is>
      </c>
      <c r="B26" s="23">
        <f>COUNTIF('Expiration Monitor'!E5:E54,"Green (&gt;90 days)")</f>
        <v/>
      </c>
      <c r="C26" s="6" t="n"/>
      <c r="D26" s="6" t="n"/>
      <c r="E26" s="6" t="n"/>
      <c r="F26" s="6" t="n"/>
      <c r="G26" s="6" t="n"/>
    </row>
    <row r="27">
      <c r="A27" s="22" t="inlineStr">
        <is>
          <t>NDAs Expiring 30-90 Days (Amber)</t>
        </is>
      </c>
      <c r="B27" s="23">
        <f>COUNTIF('Expiration Monitor'!E5:E54,"Amber (30-90 days)")</f>
        <v/>
      </c>
      <c r="C27" s="6" t="n"/>
      <c r="D27" s="6" t="n"/>
      <c r="E27" s="6" t="n"/>
      <c r="F27" s="6" t="n"/>
      <c r="G27" s="6" t="n"/>
    </row>
    <row r="28">
      <c r="A28" s="22" t="inlineStr">
        <is>
          <t>NDAs Expiring &lt; 30 Days (Red)</t>
        </is>
      </c>
      <c r="B28" s="23">
        <f>COUNTIF('Expiration Monitor'!E5:E54,"Red (&lt;30 days)")</f>
        <v/>
      </c>
      <c r="C28" s="6" t="n"/>
      <c r="D28" s="6" t="n"/>
      <c r="E28" s="6" t="n"/>
      <c r="F28" s="6" t="n"/>
      <c r="G28" s="6" t="n"/>
    </row>
    <row r="29">
      <c r="A29" s="22" t="inlineStr">
        <is>
          <t>NDAs Already Expired</t>
        </is>
      </c>
      <c r="B29" s="23">
        <f>COUNTIF('Expiration Monitor'!E5:E54,"Expired")</f>
        <v/>
      </c>
      <c r="C29" s="6" t="n"/>
      <c r="D29" s="6" t="n"/>
      <c r="E29" s="6" t="n"/>
      <c r="F29" s="6" t="n"/>
      <c r="G29" s="6" t="n"/>
    </row>
    <row r="30">
      <c r="A30" s="22" t="inlineStr">
        <is>
          <t>Renewals Completed</t>
        </is>
      </c>
      <c r="B30" s="23">
        <f>COUNTIF('Renewal Tracking'!K5:K54,"Completed")</f>
        <v/>
      </c>
      <c r="C30" s="6" t="n"/>
      <c r="D30" s="6" t="n"/>
      <c r="E30" s="6" t="n"/>
      <c r="F30" s="6" t="n"/>
      <c r="G30" s="6" t="n"/>
    </row>
    <row r="31">
      <c r="A31" s="22" t="inlineStr">
        <is>
          <t>Renewals In Progress</t>
        </is>
      </c>
      <c r="B31" s="23">
        <f>COUNTIF('Renewal Tracking'!K5:K54,"In Progress")+COUNTIF('Renewal Tracking'!K5:K54,"Legal Review")+COUNTIF('Renewal Tracking'!K5:K54,"Awaiting Signature")</f>
        <v/>
      </c>
      <c r="C31" s="6" t="n"/>
      <c r="D31" s="6" t="n"/>
      <c r="E31" s="6" t="n"/>
      <c r="F31" s="6" t="n"/>
      <c r="G31" s="6" t="n"/>
    </row>
    <row r="32">
      <c r="A32" s="22" t="inlineStr">
        <is>
          <t>Renewals Not Started</t>
        </is>
      </c>
      <c r="B32" s="23">
        <f>COUNTIF('Renewal Tracking'!K5:K54,"Not Started")</f>
        <v/>
      </c>
      <c r="C32" s="6" t="n"/>
      <c r="D32" s="6" t="n"/>
      <c r="E32" s="6" t="n"/>
      <c r="F32" s="6" t="n"/>
      <c r="G32" s="6" t="n"/>
    </row>
    <row r="33">
      <c r="A33" s="22" t="inlineStr">
        <is>
          <t>Electronic Signatures Used</t>
        </is>
      </c>
      <c r="B33" s="23">
        <f>COUNTIF('Signatory Register'!I5:I54,"Electronic Signature")+COUNTIF('Signatory Register'!I5:I54,"DocuSign")+COUNTIF('Signatory Register'!I5:I54,"Digital Signature")</f>
        <v/>
      </c>
      <c r="C33" s="6" t="n"/>
      <c r="D33" s="6" t="n"/>
      <c r="E33" s="6" t="n"/>
      <c r="F33" s="6" t="n"/>
      <c r="G33" s="6" t="n"/>
    </row>
    <row r="34">
      <c r="A34" s="6" t="n"/>
      <c r="B34" s="6" t="n"/>
      <c r="C34" s="6" t="n"/>
      <c r="D34" s="6" t="n"/>
      <c r="E34" s="6" t="n"/>
      <c r="F34" s="6" t="n"/>
      <c r="G34" s="6" t="n"/>
    </row>
    <row r="35">
      <c r="A35" s="6" t="n"/>
      <c r="B35" s="6" t="n"/>
      <c r="C35" s="6" t="n"/>
      <c r="D35" s="6" t="n"/>
      <c r="E35" s="6" t="n"/>
      <c r="F35" s="6" t="n"/>
      <c r="G35" s="6" t="n"/>
    </row>
    <row r="37">
      <c r="A37" s="28" t="inlineStr">
        <is>
          <t>TABLE 3: CRITICAL FINDINGS REQUIRING IMMEDIATE ATTENTION</t>
        </is>
      </c>
      <c r="B37" s="6" t="n"/>
      <c r="C37" s="6" t="n"/>
      <c r="D37" s="6" t="n"/>
      <c r="E37" s="6" t="n"/>
      <c r="F37" s="6" t="n"/>
      <c r="G37" s="6" t="n"/>
    </row>
    <row r="38">
      <c r="A38" s="26" t="inlineStr">
        <is>
          <t>Category</t>
        </is>
      </c>
      <c r="B38" s="26" t="inlineStr">
        <is>
          <t>Finding</t>
        </is>
      </c>
      <c r="C38" s="26" t="inlineStr">
        <is>
          <t>Count</t>
        </is>
      </c>
      <c r="D38" s="26" t="inlineStr">
        <is>
          <t>Severity</t>
        </is>
      </c>
      <c r="E38" s="26" t="inlineStr">
        <is>
          <t>Action Required</t>
        </is>
      </c>
      <c r="F38" s="26" t="n"/>
      <c r="G38" s="26" t="n"/>
    </row>
    <row r="39">
      <c r="A39" s="29" t="inlineStr">
        <is>
          <t>NDA Execution</t>
        </is>
      </c>
      <c r="B39" s="29" t="inlineStr">
        <is>
          <t>Expired NDAs not renewed</t>
        </is>
      </c>
      <c r="C39" s="30">
        <f>COUNTIF('Active NDAs'!M5:M54,"Expired")</f>
        <v/>
      </c>
      <c r="D39" s="29" t="inlineStr">
        <is>
          <t>Critical</t>
        </is>
      </c>
      <c r="E39" s="29" t="inlineStr">
        <is>
          <t>Immediate</t>
        </is>
      </c>
      <c r="F39" s="29" t="n"/>
      <c r="G39" s="29" t="n"/>
    </row>
    <row r="40">
      <c r="A40" s="29" t="inlineStr">
        <is>
          <t>Expiration Monitoring</t>
        </is>
      </c>
      <c r="B40" s="29" t="inlineStr">
        <is>
          <t>NDAs expiring in fewer than 30 days</t>
        </is>
      </c>
      <c r="C40" s="30">
        <f>COUNTIF('Expiration Monitor'!E5:E54,"Red (&lt;30 days)")</f>
        <v/>
      </c>
      <c r="D40" s="29" t="inlineStr">
        <is>
          <t>Critical</t>
        </is>
      </c>
      <c r="E40" s="29" t="inlineStr">
        <is>
          <t>Immediate</t>
        </is>
      </c>
      <c r="F40" s="29" t="n"/>
      <c r="G40" s="29" t="n"/>
    </row>
    <row r="41">
      <c r="A41" s="29" t="inlineStr">
        <is>
          <t>Expiration Monitoring</t>
        </is>
      </c>
      <c r="B41" s="29" t="inlineStr">
        <is>
          <t>NDAs already expired in monitor</t>
        </is>
      </c>
      <c r="C41" s="30">
        <f>COUNTIF('Expiration Monitor'!E5:E54,"Expired")</f>
        <v/>
      </c>
      <c r="D41" s="29" t="inlineStr">
        <is>
          <t>Critical</t>
        </is>
      </c>
      <c r="E41" s="29" t="inlineStr">
        <is>
          <t>Immediate</t>
        </is>
      </c>
      <c r="F41" s="29" t="n"/>
      <c r="G41" s="29" t="n"/>
    </row>
    <row r="42">
      <c r="A42" s="29" t="inlineStr">
        <is>
          <t>Signatory Coverage</t>
        </is>
      </c>
      <c r="B42" s="29" t="inlineStr">
        <is>
          <t>Terminated signatories (may need review)</t>
        </is>
      </c>
      <c r="C42" s="30">
        <f>COUNTIF('Signatory Register'!K5:K54,"Terminated")</f>
        <v/>
      </c>
      <c r="D42" s="29" t="inlineStr">
        <is>
          <t>High</t>
        </is>
      </c>
      <c r="E42" s="29" t="inlineStr">
        <is>
          <t>Urgent</t>
        </is>
      </c>
      <c r="F42" s="29" t="n"/>
      <c r="G42" s="29" t="n"/>
    </row>
    <row r="43">
      <c r="A43" s="29" t="inlineStr">
        <is>
          <t>NDA Renewal</t>
        </is>
      </c>
      <c r="B43" s="29" t="inlineStr">
        <is>
          <t>Renewals not started</t>
        </is>
      </c>
      <c r="C43" s="30">
        <f>COUNTIF('Renewal Tracking'!K5:K54,"Not Started")</f>
        <v/>
      </c>
      <c r="D43" s="29" t="inlineStr">
        <is>
          <t>High</t>
        </is>
      </c>
      <c r="E43" s="29" t="inlineStr">
        <is>
          <t>Urgent</t>
        </is>
      </c>
      <c r="F43" s="29" t="n"/>
      <c r="G43" s="29" t="n"/>
    </row>
    <row r="44">
      <c r="A44" s="29" t="inlineStr">
        <is>
          <t>Expiration Monitoring</t>
        </is>
      </c>
      <c r="B44" s="29" t="inlineStr">
        <is>
          <t>NDAs expiring in 30-90 days (amber warning)</t>
        </is>
      </c>
      <c r="C44" s="30">
        <f>COUNTIF('Expiration Monitor'!E5:E54,"Amber (30-90 days)")</f>
        <v/>
      </c>
      <c r="D44" s="29" t="inlineStr">
        <is>
          <t>Medium</t>
        </is>
      </c>
      <c r="E44" s="29" t="inlineStr">
        <is>
          <t>Plan</t>
        </is>
      </c>
      <c r="F44" s="29" t="n"/>
      <c r="G44" s="29" t="n"/>
    </row>
    <row r="45">
      <c r="A45" s="31" t="n"/>
      <c r="B45" s="31" t="n"/>
      <c r="C45" s="31" t="n"/>
      <c r="D45" s="31" t="n"/>
      <c r="E45" s="31" t="n"/>
      <c r="F45" s="31" t="n"/>
      <c r="G45" s="31" t="n"/>
    </row>
    <row r="46">
      <c r="A46" s="31" t="n"/>
      <c r="B46" s="31" t="n"/>
      <c r="C46" s="31" t="n"/>
      <c r="D46" s="31" t="n"/>
      <c r="E46" s="31" t="n"/>
      <c r="F46" s="31" t="n"/>
      <c r="G46" s="31" t="n"/>
    </row>
  </sheetData>
  <mergeCells count="5">
    <mergeCell ref="A1:G1"/>
    <mergeCell ref="A12:G12"/>
    <mergeCell ref="A4:G4"/>
    <mergeCell ref="A2:G2"/>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2" t="inlineStr">
        <is>
          <t>ISO/IEC 27001:2022 - Control A.6.6: Confidentiality or Non-Disclosure Agreements</t>
        </is>
      </c>
      <c r="B2" s="6" t="n"/>
      <c r="C2" s="6" t="n"/>
      <c r="D2" s="6" t="n"/>
      <c r="E2" s="6" t="n"/>
    </row>
    <row r="3">
      <c r="A3" s="33" t="inlineStr">
        <is>
          <t>ASSESSMENT SUMMARY</t>
        </is>
      </c>
      <c r="B3" s="6" t="n"/>
      <c r="C3" s="6" t="n"/>
      <c r="D3" s="6" t="n"/>
      <c r="E3" s="6" t="n"/>
    </row>
    <row r="4">
      <c r="A4" s="34" t="inlineStr">
        <is>
          <t>Document:</t>
        </is>
      </c>
      <c r="B4" s="6" t="inlineStr">
        <is>
          <t>ISMS-IMP-A.6.6.2 - NDA Execution and Tracking</t>
        </is>
      </c>
      <c r="C4" s="6" t="n"/>
      <c r="D4" s="6" t="n"/>
      <c r="E4" s="6" t="n"/>
    </row>
    <row r="5">
      <c r="A5" s="34" t="inlineStr">
        <is>
          <t>Assessment Period:</t>
        </is>
      </c>
      <c r="B5" s="31" t="inlineStr"/>
      <c r="C5" s="6" t="n"/>
      <c r="D5" s="6" t="n"/>
      <c r="E5" s="6" t="n"/>
    </row>
    <row r="6">
      <c r="A6" s="34" t="inlineStr">
        <is>
          <t>Overall Compliance Rating:</t>
        </is>
      </c>
      <c r="B6" s="35">
        <f>IFERROR(AVERAGE('Summary Dashboard'!G6:G9),"")</f>
        <v/>
      </c>
      <c r="C6" s="6" t="n"/>
      <c r="D6" s="6" t="n"/>
      <c r="E6" s="6" t="n"/>
    </row>
    <row r="7">
      <c r="A7" s="34" t="inlineStr">
        <is>
          <t>Assessment Status:</t>
        </is>
      </c>
      <c r="B7" s="31" t="inlineStr"/>
      <c r="C7" s="6" t="n"/>
      <c r="D7" s="6" t="n"/>
      <c r="E7" s="6" t="n"/>
    </row>
    <row r="8">
      <c r="A8" s="34" t="inlineStr">
        <is>
          <t>Assessed By:</t>
        </is>
      </c>
      <c r="B8" s="31" t="inlineStr"/>
      <c r="C8" s="6" t="n"/>
      <c r="D8" s="6" t="n"/>
      <c r="E8" s="6" t="n"/>
    </row>
    <row r="11">
      <c r="A11" s="33" t="inlineStr">
        <is>
          <t>COMPLETED BY (ASSESSOR)</t>
        </is>
      </c>
      <c r="B11" s="6" t="n"/>
      <c r="C11" s="6" t="n"/>
      <c r="D11" s="6" t="n"/>
      <c r="E11" s="6" t="n"/>
    </row>
    <row r="12">
      <c r="A12" s="34" t="inlineStr">
        <is>
          <t>Name:</t>
        </is>
      </c>
      <c r="B12" s="31" t="n"/>
      <c r="C12" s="6" t="n"/>
      <c r="D12" s="6" t="n"/>
      <c r="E12" s="6" t="n"/>
    </row>
    <row r="13">
      <c r="A13" s="34" t="inlineStr">
        <is>
          <t>Title:</t>
        </is>
      </c>
      <c r="B13" s="31" t="n"/>
      <c r="C13" s="6" t="n"/>
      <c r="D13" s="6" t="n"/>
      <c r="E13" s="6" t="n"/>
    </row>
    <row r="14">
      <c r="A14" s="34" t="inlineStr">
        <is>
          <t>Date:</t>
        </is>
      </c>
      <c r="B14" s="31" t="n"/>
      <c r="C14" s="6" t="n"/>
      <c r="D14" s="6" t="n"/>
      <c r="E14" s="6" t="n"/>
    </row>
    <row r="15">
      <c r="A15" s="34" t="inlineStr">
        <is>
          <t>Signature:</t>
        </is>
      </c>
      <c r="B15" s="31" t="n"/>
      <c r="C15" s="6" t="n"/>
      <c r="D15" s="6" t="n"/>
      <c r="E15" s="6" t="n"/>
    </row>
    <row r="16">
      <c r="A16" s="34" t="inlineStr">
        <is>
          <t>Comments:</t>
        </is>
      </c>
      <c r="B16" s="31" t="n"/>
      <c r="C16" s="6" t="n"/>
      <c r="D16" s="6" t="n"/>
      <c r="E16" s="6" t="n"/>
    </row>
    <row r="18">
      <c r="A18" s="33" t="inlineStr">
        <is>
          <t>REVIEWED BY (INFORMATION SECURITY OFFICER)</t>
        </is>
      </c>
      <c r="B18" s="6" t="n"/>
      <c r="C18" s="6" t="n"/>
      <c r="D18" s="6" t="n"/>
      <c r="E18" s="6" t="n"/>
    </row>
    <row r="19">
      <c r="A19" s="34" t="inlineStr">
        <is>
          <t>Name:</t>
        </is>
      </c>
      <c r="B19" s="31" t="n"/>
      <c r="C19" s="6" t="n"/>
      <c r="D19" s="6" t="n"/>
      <c r="E19" s="6" t="n"/>
    </row>
    <row r="20">
      <c r="A20" s="34" t="inlineStr">
        <is>
          <t>Title:</t>
        </is>
      </c>
      <c r="B20" s="31" t="n"/>
      <c r="C20" s="6" t="n"/>
      <c r="D20" s="6" t="n"/>
      <c r="E20" s="6" t="n"/>
    </row>
    <row r="21">
      <c r="A21" s="34" t="inlineStr">
        <is>
          <t>Date:</t>
        </is>
      </c>
      <c r="B21" s="31" t="n"/>
      <c r="C21" s="6" t="n"/>
      <c r="D21" s="6" t="n"/>
      <c r="E21" s="6" t="n"/>
    </row>
    <row r="22">
      <c r="A22" s="34" t="inlineStr">
        <is>
          <t>Signature:</t>
        </is>
      </c>
      <c r="B22" s="31" t="n"/>
      <c r="C22" s="6" t="n"/>
      <c r="D22" s="6" t="n"/>
      <c r="E22" s="6" t="n"/>
    </row>
    <row r="23">
      <c r="A23" s="34" t="inlineStr">
        <is>
          <t>Comments:</t>
        </is>
      </c>
      <c r="B23" s="31" t="n"/>
      <c r="C23" s="6" t="n"/>
      <c r="D23" s="6" t="n"/>
      <c r="E23" s="6" t="n"/>
    </row>
    <row r="25">
      <c r="A25" s="20" t="inlineStr">
        <is>
          <t>APPROVED BY (CISO)</t>
        </is>
      </c>
      <c r="B25" s="6" t="n"/>
      <c r="C25" s="6" t="n"/>
      <c r="D25" s="6" t="n"/>
      <c r="E25" s="6" t="n"/>
    </row>
    <row r="26">
      <c r="A26" s="34" t="inlineStr">
        <is>
          <t>Name:</t>
        </is>
      </c>
      <c r="B26" s="31" t="n"/>
      <c r="C26" s="6" t="n"/>
      <c r="D26" s="6" t="n"/>
      <c r="E26" s="6" t="n"/>
    </row>
    <row r="27">
      <c r="A27" s="34" t="inlineStr">
        <is>
          <t>Title:</t>
        </is>
      </c>
      <c r="B27" s="31" t="n"/>
      <c r="C27" s="6" t="n"/>
      <c r="D27" s="6" t="n"/>
      <c r="E27" s="6" t="n"/>
    </row>
    <row r="28">
      <c r="A28" s="34" t="inlineStr">
        <is>
          <t>Date:</t>
        </is>
      </c>
      <c r="B28" s="31" t="n"/>
      <c r="C28" s="6" t="n"/>
      <c r="D28" s="6" t="n"/>
      <c r="E28" s="6" t="n"/>
    </row>
    <row r="29">
      <c r="A29" s="34" t="inlineStr">
        <is>
          <t>Signature:</t>
        </is>
      </c>
      <c r="B29" s="31" t="n"/>
      <c r="C29" s="6" t="n"/>
      <c r="D29" s="6" t="n"/>
      <c r="E29" s="6" t="n"/>
    </row>
    <row r="30">
      <c r="A30" s="34" t="inlineStr">
        <is>
          <t>Comments:</t>
        </is>
      </c>
      <c r="B30" s="31" t="n"/>
      <c r="C30" s="6" t="n"/>
      <c r="D30" s="6" t="n"/>
      <c r="E30" s="6" t="n"/>
    </row>
    <row r="32">
      <c r="A32" s="36" t="inlineStr">
        <is>
          <t>FINAL DECISION:</t>
        </is>
      </c>
      <c r="B32" s="31" t="n"/>
      <c r="C32" s="6" t="n"/>
      <c r="D32" s="6" t="n"/>
      <c r="E32" s="6" t="n"/>
    </row>
    <row r="35">
      <c r="A35" s="33" t="inlineStr">
        <is>
          <t>NEXT REVIEW DETAILS</t>
        </is>
      </c>
      <c r="B35" s="6" t="n"/>
      <c r="C35" s="6" t="n"/>
      <c r="D35" s="6" t="n"/>
      <c r="E35" s="6" t="n"/>
    </row>
    <row r="36">
      <c r="A36" s="34" t="inlineStr">
        <is>
          <t>Next Review Date:</t>
        </is>
      </c>
      <c r="B36" s="31" t="n"/>
      <c r="C36" s="6" t="n"/>
      <c r="D36" s="6" t="n"/>
      <c r="E36" s="6" t="n"/>
    </row>
    <row r="37">
      <c r="A37" s="34" t="inlineStr">
        <is>
          <t>Review Responsible:</t>
        </is>
      </c>
      <c r="B37" s="31" t="n"/>
      <c r="C37" s="6" t="n"/>
      <c r="D37" s="6" t="n"/>
      <c r="E37" s="6" t="n"/>
    </row>
    <row r="38">
      <c r="A38" s="34"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ISMS-IMP-A.6.6.2 — NDA Execution and Tracking</dc:title>
  <dc:description xmlns:dc="http://purl.org/dc/elements/1.1/">ISMS Implementation Workbook — ISMS-IMP-A.6.6.2</dc:description>
  <dc:subject xmlns:dc="http://purl.org/dc/elements/1.1/">ISO/IEC 27001:2022 — Control A.6.6: Confidentiality or Non-Disclosure Agreements</dc:subject>
  <dcterms:created xmlns:dcterms="http://purl.org/dc/terms/" xmlns:xsi="http://www.w3.org/2001/XMLSchema-instance" xsi:type="dcterms:W3CDTF">2026-03-07T11:27:51Z</dcterms:created>
  <dcterms:modified xmlns:dcterms="http://purl.org/dc/terms/" xmlns:xsi="http://www.w3.org/2001/XMLSchema-instance" xsi:type="dcterms:W3CDTF">2026-03-07T11:27:51Z</dcterms:modified>
</cp:coreProperties>
</file>