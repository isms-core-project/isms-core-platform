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mplate Registry" sheetId="2" state="visible" r:id="rId2"/>
    <sheet xmlns:r="http://schemas.openxmlformats.org/officeDocument/2006/relationships" name="Template Versions" sheetId="3" state="visible" r:id="rId3"/>
    <sheet xmlns:r="http://schemas.openxmlformats.org/officeDocument/2006/relationships" name="Applicability Matrix" sheetId="4" state="visible" r:id="rId4"/>
    <sheet xmlns:r="http://schemas.openxmlformats.org/officeDocument/2006/relationships" name="Clause Library"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ISMS-IMP-A.6.6.1  -  NDA Template Registry and Inventory
ISO/IEC 27001:2022 - Control A.6.6: Confidentiality or Non-Disclosure Agreements</t>
        </is>
      </c>
    </row>
    <row r="3">
      <c r="A3" s="2" t="inlineStr">
        <is>
          <t>Document Information</t>
        </is>
      </c>
    </row>
    <row r="4">
      <c r="A4" s="3" t="inlineStr">
        <is>
          <t>Document ID</t>
        </is>
      </c>
      <c r="B4" t="inlineStr">
        <is>
          <t>ISMS-IMP-A.6.6.1</t>
        </is>
      </c>
    </row>
    <row r="5">
      <c r="A5" s="3" t="inlineStr">
        <is>
          <t>Workbook Title</t>
        </is>
      </c>
      <c r="B5" t="inlineStr">
        <is>
          <t>NDA Template Registry and Inventory</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Template Registry — list all NDA and confidentiality agreement templates in use.</t>
        </is>
      </c>
    </row>
    <row r="14">
      <c r="A14" t="inlineStr">
        <is>
          <t>2. Complete Template Versions — document version history and current approved version per template.</t>
        </is>
      </c>
    </row>
    <row r="15">
      <c r="A15" t="inlineStr">
        <is>
          <t>3. Complete Applicability Matrix — map templates to use cases (employee, contractor, vendor, partner).</t>
        </is>
      </c>
    </row>
    <row r="16">
      <c r="A16" t="inlineStr">
        <is>
          <t>4. Complete Clause Library — document mandatory and optional clauses with legal review status.</t>
        </is>
      </c>
    </row>
    <row r="17">
      <c r="A17" t="inlineStr">
        <is>
          <t>5. Complete Approval records — confirm legal review and management approval for each template.</t>
        </is>
      </c>
    </row>
    <row r="18">
      <c r="A18" t="inlineStr">
        <is>
          <t>6. Maintain the Evidence Register with template documents and approval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5" customWidth="1" min="2" max="2"/>
    <col width="18" customWidth="1" min="3" max="3"/>
    <col width="22" customWidth="1" min="4" max="4"/>
    <col width="14" customWidth="1" min="5" max="5"/>
    <col width="14" customWidth="1" min="6" max="6"/>
    <col width="16" customWidth="1" min="7" max="7"/>
    <col width="20" customWidth="1" min="8" max="8"/>
    <col width="20" customWidth="1" min="9" max="9"/>
    <col width="30" customWidth="1" min="10" max="10"/>
    <col width="14" customWidth="1" min="11" max="11"/>
    <col width="30" customWidth="1" min="12" max="12"/>
  </cols>
  <sheetData>
    <row r="1" ht="35" customHeight="1">
      <c r="A1" s="11" t="inlineStr">
        <is>
          <t>NDA TEMPLATE REGISTRY AND INVENTORY</t>
        </is>
      </c>
    </row>
    <row r="2">
      <c r="A2" s="12" t="inlineStr">
        <is>
          <t>ISO/IEC 27001:2022 - Control A.6.6: Confidentiality or Non-Disclosure Agreements</t>
        </is>
      </c>
    </row>
    <row r="3">
      <c r="A3" s="13" t="inlineStr">
        <is>
          <t>Template ID</t>
        </is>
      </c>
      <c r="B3" s="13" t="inlineStr">
        <is>
          <t>Template Name</t>
        </is>
      </c>
      <c r="C3" s="13" t="inlineStr">
        <is>
          <t>Template Type</t>
        </is>
      </c>
      <c r="D3" s="13" t="inlineStr">
        <is>
          <t>Stakeholder Category</t>
        </is>
      </c>
      <c r="E3" s="13" t="inlineStr">
        <is>
          <t>Current Version</t>
        </is>
      </c>
      <c r="F3" s="13" t="inlineStr">
        <is>
          <t>Effective Date</t>
        </is>
      </c>
      <c r="G3" s="13" t="inlineStr">
        <is>
          <t>Legal Review Date</t>
        </is>
      </c>
      <c r="H3" s="13" t="inlineStr">
        <is>
          <t>Legal Reviewer</t>
        </is>
      </c>
      <c r="I3" s="13" t="inlineStr">
        <is>
          <t>Owner</t>
        </is>
      </c>
      <c r="J3" s="13" t="inlineStr">
        <is>
          <t>Storage Location</t>
        </is>
      </c>
      <c r="K3" s="13" t="inlineStr">
        <is>
          <t>Status</t>
        </is>
      </c>
      <c r="L3" s="13" t="inlineStr">
        <is>
          <t>Notes</t>
        </is>
      </c>
    </row>
    <row r="4">
      <c r="A4" s="14" t="inlineStr">
        <is>
          <t>TMPL-001</t>
        </is>
      </c>
      <c r="B4" s="14" t="inlineStr">
        <is>
          <t>[Employment NDA]</t>
        </is>
      </c>
      <c r="C4" s="14" t="inlineStr">
        <is>
          <t>Standard NDA</t>
        </is>
      </c>
      <c r="D4" s="14" t="inlineStr">
        <is>
          <t>Employees</t>
        </is>
      </c>
      <c r="E4" s="14" t="inlineStr">
        <is>
          <t>1.0</t>
        </is>
      </c>
      <c r="F4" s="14" t="inlineStr">
        <is>
          <t>[DD.MM.YYYY]</t>
        </is>
      </c>
      <c r="G4" s="14" t="inlineStr">
        <is>
          <t>[DD.MM.YYYY]</t>
        </is>
      </c>
      <c r="H4" s="14" t="inlineStr">
        <is>
          <t>[Legal Dept]</t>
        </is>
      </c>
      <c r="I4" s="14" t="inlineStr">
        <is>
          <t>[IS Manager]</t>
        </is>
      </c>
      <c r="J4" s="14" t="inlineStr">
        <is>
          <t>[SharePoint/Legal/NDAs]</t>
        </is>
      </c>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5:C54" showDropDown="0" showInputMessage="0" showErrorMessage="0" allowBlank="0" type="list">
      <formula1>"Standard NDA,Mutual NDA,One-Way NDA,Employment,Contractor,Vendor,Customer,Partner"</formula1>
    </dataValidation>
    <dataValidation sqref="D5:D54" showDropDown="0" showInputMessage="0" showErrorMessage="0" allowBlank="0" type="list">
      <formula1>"Employees,Contractors,Consultants,Vendors,Suppliers,Partners,Customers,Board Members,Visitors"</formula1>
    </dataValidation>
    <dataValidation sqref="K5:K54" showDropDown="0" showInputMessage="0" showErrorMessage="0" allowBlank="0" type="list">
      <formula1>"Active,Draft,Under Review,Superseded,Archived"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4" customWidth="1" min="3" max="3"/>
    <col width="45" customWidth="1" min="4" max="4"/>
    <col width="30" customWidth="1" min="5" max="5"/>
    <col width="20" customWidth="1" min="6" max="6"/>
    <col width="14" customWidth="1" min="7" max="7"/>
    <col width="20" customWidth="1" min="8" max="8"/>
    <col width="14" customWidth="1" min="9" max="9"/>
    <col width="30" customWidth="1" min="10" max="10"/>
  </cols>
  <sheetData>
    <row r="1" ht="35" customHeight="1">
      <c r="A1" s="11" t="inlineStr">
        <is>
          <t>TEMPLATE VERSION HISTORY</t>
        </is>
      </c>
    </row>
    <row r="2">
      <c r="A2" s="12" t="inlineStr">
        <is>
          <t>ISO/IEC 27001:2022 - Control A.6.6: Confidentiality or Non-Disclosure Agreements</t>
        </is>
      </c>
    </row>
    <row r="3">
      <c r="A3" s="13" t="inlineStr">
        <is>
          <t>Template ID</t>
        </is>
      </c>
      <c r="B3" s="13" t="inlineStr">
        <is>
          <t>Version</t>
        </is>
      </c>
      <c r="C3" s="13" t="inlineStr">
        <is>
          <t>Version Date</t>
        </is>
      </c>
      <c r="D3" s="13" t="inlineStr">
        <is>
          <t>Change Description</t>
        </is>
      </c>
      <c r="E3" s="13" t="inlineStr">
        <is>
          <t>Change Reason</t>
        </is>
      </c>
      <c r="F3" s="13" t="inlineStr">
        <is>
          <t>Changed By</t>
        </is>
      </c>
      <c r="G3" s="13" t="inlineStr">
        <is>
          <t>Legal Approved</t>
        </is>
      </c>
      <c r="H3" s="13" t="inlineStr">
        <is>
          <t>Legal Approver</t>
        </is>
      </c>
      <c r="I3" s="13" t="inlineStr">
        <is>
          <t>Approval Date</t>
        </is>
      </c>
      <c r="J3" s="13" t="inlineStr">
        <is>
          <t>Notes</t>
        </is>
      </c>
    </row>
    <row r="4">
      <c r="A4" s="14" t="inlineStr">
        <is>
          <t>TMPL-001</t>
        </is>
      </c>
      <c r="B4" s="14" t="inlineStr">
        <is>
          <t>1.0</t>
        </is>
      </c>
      <c r="C4" s="14" t="inlineStr">
        <is>
          <t>[DD.MM.YYYY]</t>
        </is>
      </c>
      <c r="D4" s="14" t="inlineStr">
        <is>
          <t>[Initial version]</t>
        </is>
      </c>
      <c r="E4" s="14" t="inlineStr">
        <is>
          <t>[Annual review]</t>
        </is>
      </c>
      <c r="F4" s="14" t="inlineStr">
        <is>
          <t>[Name]</t>
        </is>
      </c>
      <c r="G4" s="14" t="inlineStr">
        <is>
          <t>Yes</t>
        </is>
      </c>
      <c r="H4" s="14" t="inlineStr">
        <is>
          <t>[Legal Counsel]</t>
        </is>
      </c>
      <c r="I4" s="14" t="inlineStr">
        <is>
          <t>[DD.MM.YYYY]</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5:G54"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20" customWidth="1" min="5" max="5"/>
    <col width="18" customWidth="1" min="6" max="6"/>
    <col width="18" customWidth="1" min="7" max="7"/>
    <col width="12" customWidth="1" min="8" max="8"/>
    <col width="35" customWidth="1" min="9" max="9"/>
  </cols>
  <sheetData>
    <row r="1" ht="35" customHeight="1">
      <c r="A1" s="11" t="inlineStr">
        <is>
          <t>NDA APPLICABILITY MATRIX</t>
        </is>
      </c>
    </row>
    <row r="2">
      <c r="A2" s="12" t="inlineStr">
        <is>
          <t>ISO/IEC 27001:2022 - Control A.6.6: Confidentiality or Non-Disclosure Agreements</t>
        </is>
      </c>
    </row>
    <row r="3">
      <c r="A3" s="13" t="inlineStr">
        <is>
          <t>Employees</t>
        </is>
      </c>
      <c r="B3" s="13" t="inlineStr">
        <is>
          <t>Full system access</t>
        </is>
      </c>
      <c r="C3" s="13" t="inlineStr">
        <is>
          <t>All levels</t>
        </is>
      </c>
      <c r="D3" s="13" t="inlineStr">
        <is>
          <t>Employment NDA</t>
        </is>
      </c>
      <c r="E3" s="13" t="inlineStr">
        <is>
          <t>Before start date</t>
        </is>
      </c>
      <c r="F3" s="13" t="inlineStr">
        <is>
          <t>Indefinite</t>
        </is>
      </c>
      <c r="G3" s="13" t="inlineStr">
        <is>
          <t>2 years</t>
        </is>
      </c>
      <c r="H3" s="13" t="inlineStr">
        <is>
          <t>Yes</t>
        </is>
      </c>
      <c r="I3" s="13" t="inlineStr">
        <is>
          <t>Notes</t>
        </is>
      </c>
    </row>
    <row r="4">
      <c r="A4" s="6" t="inlineStr">
        <is>
          <t>Contractors</t>
        </is>
      </c>
      <c r="B4" s="6" t="inlineStr">
        <is>
          <t>Project-specific access</t>
        </is>
      </c>
      <c r="C4" s="6" t="inlineStr">
        <is>
          <t>Confidential+</t>
        </is>
      </c>
      <c r="D4" s="6" t="inlineStr">
        <is>
          <t>Contractor NDA</t>
        </is>
      </c>
      <c r="E4" s="6" t="inlineStr">
        <is>
          <t>Before access granted</t>
        </is>
      </c>
      <c r="F4" s="6" t="inlineStr">
        <is>
          <t>Contract duration</t>
        </is>
      </c>
      <c r="G4" s="6" t="inlineStr">
        <is>
          <t>2 years</t>
        </is>
      </c>
      <c r="H4" s="6" t="inlineStr">
        <is>
          <t>Yes</t>
        </is>
      </c>
    </row>
    <row r="5">
      <c r="A5" s="6" t="inlineStr">
        <is>
          <t>Consultants</t>
        </is>
      </c>
      <c r="B5" s="6" t="inlineStr">
        <is>
          <t>Advisory access</t>
        </is>
      </c>
      <c r="C5" s="6" t="inlineStr">
        <is>
          <t>Confidential+</t>
        </is>
      </c>
      <c r="D5" s="6" t="inlineStr">
        <is>
          <t>Consultant NDA</t>
        </is>
      </c>
      <c r="E5" s="6" t="inlineStr">
        <is>
          <t>Before engagement</t>
        </is>
      </c>
      <c r="F5" s="6" t="inlineStr">
        <is>
          <t>Engagement duration</t>
        </is>
      </c>
      <c r="G5" s="6" t="inlineStr">
        <is>
          <t>2 years</t>
        </is>
      </c>
      <c r="H5" s="6" t="inlineStr">
        <is>
          <t>Yes</t>
        </is>
      </c>
    </row>
    <row r="6">
      <c r="A6" s="6" t="inlineStr">
        <is>
          <t>Vendors</t>
        </is>
      </c>
      <c r="B6" s="6" t="inlineStr">
        <is>
          <t>System integration</t>
        </is>
      </c>
      <c r="C6" s="6" t="inlineStr">
        <is>
          <t>Confidential</t>
        </is>
      </c>
      <c r="D6" s="6" t="inlineStr">
        <is>
          <t>Vendor NDA</t>
        </is>
      </c>
      <c r="E6" s="6" t="inlineStr">
        <is>
          <t>Before contract signing</t>
        </is>
      </c>
      <c r="F6" s="6" t="inlineStr">
        <is>
          <t>Contract duration</t>
        </is>
      </c>
      <c r="G6" s="6" t="inlineStr">
        <is>
          <t>3 years</t>
        </is>
      </c>
      <c r="H6" s="6" t="inlineStr">
        <is>
          <t>Yes</t>
        </is>
      </c>
    </row>
    <row r="7">
      <c r="A7" s="6" t="inlineStr">
        <is>
          <t>Suppliers</t>
        </is>
      </c>
      <c r="B7" s="6" t="inlineStr">
        <is>
          <t>Limited access</t>
        </is>
      </c>
      <c r="C7" s="6" t="inlineStr">
        <is>
          <t>Internal</t>
        </is>
      </c>
      <c r="D7" s="6" t="inlineStr">
        <is>
          <t>Supplier NDA</t>
        </is>
      </c>
      <c r="E7" s="6" t="inlineStr">
        <is>
          <t>Before access granted</t>
        </is>
      </c>
      <c r="F7" s="6" t="inlineStr">
        <is>
          <t>Contract duration</t>
        </is>
      </c>
      <c r="G7" s="6" t="inlineStr">
        <is>
          <t>1 year</t>
        </is>
      </c>
      <c r="H7" s="6" t="inlineStr">
        <is>
          <t>Yes</t>
        </is>
      </c>
    </row>
    <row r="8">
      <c r="A8" s="6" t="inlineStr">
        <is>
          <t>Partners</t>
        </is>
      </c>
      <c r="B8" s="6" t="inlineStr">
        <is>
          <t>Mutual sharing</t>
        </is>
      </c>
      <c r="C8" s="6" t="inlineStr">
        <is>
          <t>Confidential+</t>
        </is>
      </c>
      <c r="D8" s="6" t="inlineStr">
        <is>
          <t>Mutual NDA</t>
        </is>
      </c>
      <c r="E8" s="6" t="inlineStr">
        <is>
          <t>Before discussions</t>
        </is>
      </c>
      <c r="F8" s="6" t="inlineStr">
        <is>
          <t>Partnership duration</t>
        </is>
      </c>
      <c r="G8" s="6" t="inlineStr">
        <is>
          <t>3 years</t>
        </is>
      </c>
      <c r="H8" s="6" t="inlineStr">
        <is>
          <t>Yes</t>
        </is>
      </c>
    </row>
    <row r="9">
      <c r="A9" s="6" t="inlineStr">
        <is>
          <t>Customers</t>
        </is>
      </c>
      <c r="B9" s="6" t="inlineStr">
        <is>
          <t>Product access</t>
        </is>
      </c>
      <c r="C9" s="6" t="inlineStr">
        <is>
          <t>Confidential</t>
        </is>
      </c>
      <c r="D9" s="6" t="inlineStr">
        <is>
          <t>Customer NDA</t>
        </is>
      </c>
      <c r="E9" s="6" t="inlineStr">
        <is>
          <t>Before disclosure</t>
        </is>
      </c>
      <c r="F9" s="6" t="inlineStr">
        <is>
          <t>Agreement duration</t>
        </is>
      </c>
      <c r="G9" s="6" t="inlineStr">
        <is>
          <t>2 years</t>
        </is>
      </c>
      <c r="H9" s="6" t="inlineStr">
        <is>
          <t>Conditional</t>
        </is>
      </c>
    </row>
    <row r="10">
      <c r="A10" s="6" t="inlineStr">
        <is>
          <t>Board Members</t>
        </is>
      </c>
      <c r="B10" s="6" t="inlineStr">
        <is>
          <t>Strategic access</t>
        </is>
      </c>
      <c r="C10" s="6" t="inlineStr">
        <is>
          <t>All levels</t>
        </is>
      </c>
      <c r="D10" s="6" t="inlineStr">
        <is>
          <t>Director NDA</t>
        </is>
      </c>
      <c r="E10" s="6" t="inlineStr">
        <is>
          <t>Before appointment</t>
        </is>
      </c>
      <c r="F10" s="6" t="inlineStr">
        <is>
          <t>Tenure + 3 years</t>
        </is>
      </c>
      <c r="G10" s="6" t="inlineStr">
        <is>
          <t>3 years</t>
        </is>
      </c>
      <c r="H10" s="6" t="inlineStr">
        <is>
          <t>Yes</t>
        </is>
      </c>
    </row>
    <row r="11">
      <c r="A11" s="6" t="inlineStr">
        <is>
          <t>Visitors</t>
        </is>
      </c>
      <c r="B11" s="6" t="inlineStr">
        <is>
          <t>Escorted access</t>
        </is>
      </c>
      <c r="C11" s="6" t="inlineStr">
        <is>
          <t>Internal only</t>
        </is>
      </c>
      <c r="D11" s="6" t="inlineStr">
        <is>
          <t>Visitor NDA</t>
        </is>
      </c>
      <c r="E11" s="6" t="inlineStr">
        <is>
          <t>Before site entry</t>
        </is>
      </c>
      <c r="F11" s="6" t="inlineStr">
        <is>
          <t>Visit duration</t>
        </is>
      </c>
      <c r="G11" s="6" t="inlineStr">
        <is>
          <t>1 year</t>
        </is>
      </c>
      <c r="H11" s="6" t="inlineStr">
        <is>
          <t>Conditional</t>
        </is>
      </c>
    </row>
  </sheetData>
  <mergeCells count="2">
    <mergeCell ref="A1:I1"/>
    <mergeCell ref="A2:I2"/>
  </mergeCells>
  <dataValidations count="1">
    <dataValidation sqref="H3:H50" showDropDown="0" showInputMessage="0" showErrorMessage="0" allowBlank="0" type="list">
      <formula1>"Yes,No,Conditional"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40" customWidth="1" min="4" max="4"/>
    <col width="60" customWidth="1" min="5" max="5"/>
    <col width="12" customWidth="1" min="6" max="6"/>
    <col width="30" customWidth="1" min="7" max="7"/>
  </cols>
  <sheetData>
    <row r="1" ht="35" customHeight="1">
      <c r="A1" s="11" t="inlineStr">
        <is>
          <t>STANDARD CONFIDENTIALITY CLAUSE LIBRARY</t>
        </is>
      </c>
    </row>
    <row r="2">
      <c r="A2" s="12" t="inlineStr">
        <is>
          <t>ISO/IEC 27001:2022 - Control A.6.6: Confidentiality or Non-Disclosure Agreements</t>
        </is>
      </c>
    </row>
    <row r="3">
      <c r="A3" s="13" t="inlineStr">
        <is>
          <t>CL-001</t>
        </is>
      </c>
      <c r="B3" s="13" t="inlineStr">
        <is>
          <t>Definition of Confidential Information</t>
        </is>
      </c>
      <c r="C3" s="13" t="inlineStr">
        <is>
          <t>Definitions</t>
        </is>
      </c>
      <c r="D3" s="13" t="inlineStr">
        <is>
          <t>Define what constitutes confidential information</t>
        </is>
      </c>
      <c r="E3" s="13" t="inlineStr">
        <is>
          <t>[Organisation-specific definition text]</t>
        </is>
      </c>
      <c r="F3" s="13" t="inlineStr">
        <is>
          <t>Yes</t>
        </is>
      </c>
      <c r="G3" s="13" t="inlineStr">
        <is>
          <t>Notes</t>
        </is>
      </c>
    </row>
    <row r="4">
      <c r="A4" s="6" t="inlineStr">
        <is>
          <t>CL-002</t>
        </is>
      </c>
      <c r="B4" s="6" t="inlineStr">
        <is>
          <t>Obligations of Receiving Party</t>
        </is>
      </c>
      <c r="C4" s="6" t="inlineStr">
        <is>
          <t>Obligations</t>
        </is>
      </c>
      <c r="D4" s="6" t="inlineStr">
        <is>
          <t>Specify recipient's duties</t>
        </is>
      </c>
      <c r="E4" s="6" t="inlineStr">
        <is>
          <t>[Standard obligation text]</t>
        </is>
      </c>
      <c r="F4" s="6" t="inlineStr">
        <is>
          <t>Yes</t>
        </is>
      </c>
    </row>
    <row r="5">
      <c r="A5" s="6" t="inlineStr">
        <is>
          <t>CL-003</t>
        </is>
      </c>
      <c r="B5" s="6" t="inlineStr">
        <is>
          <t>Permitted Disclosures</t>
        </is>
      </c>
      <c r="C5" s="6" t="inlineStr">
        <is>
          <t>Exceptions</t>
        </is>
      </c>
      <c r="D5" s="6" t="inlineStr">
        <is>
          <t>Define allowed disclosures</t>
        </is>
      </c>
      <c r="E5" s="6" t="inlineStr">
        <is>
          <t>[Standard exceptions text]</t>
        </is>
      </c>
      <c r="F5" s="6" t="inlineStr">
        <is>
          <t>Yes</t>
        </is>
      </c>
    </row>
    <row r="6">
      <c r="A6" s="6" t="inlineStr">
        <is>
          <t>CL-004</t>
        </is>
      </c>
      <c r="B6" s="6" t="inlineStr">
        <is>
          <t>Return of Information</t>
        </is>
      </c>
      <c r="C6" s="6" t="inlineStr">
        <is>
          <t>Termination</t>
        </is>
      </c>
      <c r="D6" s="6" t="inlineStr">
        <is>
          <t>Require return/destruction of info</t>
        </is>
      </c>
      <c r="E6" s="6" t="inlineStr">
        <is>
          <t>[Standard return clause]</t>
        </is>
      </c>
      <c r="F6" s="6" t="inlineStr">
        <is>
          <t>Yes</t>
        </is>
      </c>
    </row>
    <row r="7">
      <c r="A7" s="6" t="inlineStr">
        <is>
          <t>CL-005</t>
        </is>
      </c>
      <c r="B7" s="6" t="inlineStr">
        <is>
          <t>Duration of Obligations</t>
        </is>
      </c>
      <c r="C7" s="6" t="inlineStr">
        <is>
          <t>Term</t>
        </is>
      </c>
      <c r="D7" s="6" t="inlineStr">
        <is>
          <t>Specify confidentiality period</t>
        </is>
      </c>
      <c r="E7" s="6" t="inlineStr">
        <is>
          <t>[Duration specification]</t>
        </is>
      </c>
      <c r="F7" s="6" t="inlineStr">
        <is>
          <t>Yes</t>
        </is>
      </c>
    </row>
    <row r="8">
      <c r="A8" s="6" t="inlineStr">
        <is>
          <t>CL-006</t>
        </is>
      </c>
      <c r="B8" s="6" t="inlineStr">
        <is>
          <t>Injunctive Relief</t>
        </is>
      </c>
      <c r="C8" s="6" t="inlineStr">
        <is>
          <t>Remedies</t>
        </is>
      </c>
      <c r="D8" s="6" t="inlineStr">
        <is>
          <t>Allow equitable remedies</t>
        </is>
      </c>
      <c r="E8" s="6" t="inlineStr">
        <is>
          <t>[Standard injunction text]</t>
        </is>
      </c>
      <c r="F8" s="6" t="inlineStr">
        <is>
          <t>Recommended</t>
        </is>
      </c>
    </row>
    <row r="9">
      <c r="A9" s="6" t="inlineStr">
        <is>
          <t>CL-007</t>
        </is>
      </c>
      <c r="B9" s="6" t="inlineStr">
        <is>
          <t>No License Granted</t>
        </is>
      </c>
      <c r="C9" s="6" t="inlineStr">
        <is>
          <t>IP Rights</t>
        </is>
      </c>
      <c r="D9" s="6" t="inlineStr">
        <is>
          <t>Clarify no IP transfer</t>
        </is>
      </c>
      <c r="E9" s="6" t="inlineStr">
        <is>
          <t>[Standard no-license clause]</t>
        </is>
      </c>
      <c r="F9" s="6" t="inlineStr">
        <is>
          <t>Recommended</t>
        </is>
      </c>
    </row>
    <row r="10">
      <c r="A10" s="6" t="inlineStr">
        <is>
          <t>CL-008</t>
        </is>
      </c>
      <c r="B10" s="6" t="inlineStr">
        <is>
          <t>Governing Law</t>
        </is>
      </c>
      <c r="C10" s="6" t="inlineStr">
        <is>
          <t>Legal</t>
        </is>
      </c>
      <c r="D10" s="6" t="inlineStr">
        <is>
          <t>Specify applicable law</t>
        </is>
      </c>
      <c r="E10" s="6" t="inlineStr">
        <is>
          <t>[Jurisdiction specification]</t>
        </is>
      </c>
      <c r="F10" s="6" t="inlineStr">
        <is>
          <t>Yes</t>
        </is>
      </c>
    </row>
  </sheetData>
  <mergeCells count="2">
    <mergeCell ref="A2:G2"/>
    <mergeCell ref="A1:G1"/>
  </mergeCells>
  <dataValidations count="2">
    <dataValidation sqref="C3:C50" showDropDown="0" showInputMessage="0" showErrorMessage="0" allowBlank="0" type="list">
      <formula1>"Definitions,Obligations,Exceptions,Term,Termination,Remedies,IP Rights,Legal,General"</formula1>
    </dataValidation>
    <dataValidation sqref="F3:F50" showDropDown="0" showInputMessage="0" showErrorMessage="0" allowBlank="0" type="list">
      <formula1>"Yes,No,Recommended"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TEMPLATE REGISTRY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Template Registry</t>
        </is>
      </c>
      <c r="B6" s="23">
        <f>COUNTA('Template Registry'!B5:B54)</f>
        <v/>
      </c>
      <c r="C6" s="23">
        <f>COUNTIF('Template Registry'!K5:K54,"Active")</f>
        <v/>
      </c>
      <c r="D6" s="23">
        <f>COUNTIF('Template Registry'!K5:K54,"Under Review")</f>
        <v/>
      </c>
      <c r="E6" s="23">
        <f>COUNTIF('Template Registry'!K5:K54,"Draft")+COUNTIF('Template Registry'!K5:K54,"Superseded")</f>
        <v/>
      </c>
      <c r="F6" s="23">
        <f>COUNTIF('Template Registry'!K5:K54,"Archived")</f>
        <v/>
      </c>
      <c r="G6" s="24">
        <f>IF((B6-F6)=0,0,C6/(B6-F6))</f>
        <v/>
      </c>
    </row>
    <row r="7">
      <c r="A7" s="22" t="inlineStr">
        <is>
          <t>Template Versions</t>
        </is>
      </c>
      <c r="B7" s="23">
        <f>COUNTA('Template Versions'!B5:B54)</f>
        <v/>
      </c>
      <c r="C7" s="23">
        <f>COUNTIF('Template Versions'!G5:G54,"Yes")</f>
        <v/>
      </c>
      <c r="D7" s="23">
        <f>COUNTIF('Template Versions'!G5:G54,"Pending")</f>
        <v/>
      </c>
      <c r="E7" s="23">
        <f>COUNTIF('Template Versions'!G5:G54,"No")</f>
        <v/>
      </c>
      <c r="F7" s="23" t="n">
        <v>0</v>
      </c>
      <c r="G7" s="24">
        <f>IF((B7-F7)=0,0,C7/(B7-F7))</f>
        <v/>
      </c>
    </row>
    <row r="8">
      <c r="A8" s="22" t="inlineStr">
        <is>
          <t>Applicability Matrix</t>
        </is>
      </c>
      <c r="B8" s="23">
        <f>COUNTA('Applicability Matrix'!A3:A50)</f>
        <v/>
      </c>
      <c r="C8" s="23">
        <f>COUNTIF('Applicability Matrix'!H3:H50,"Yes")</f>
        <v/>
      </c>
      <c r="D8" s="23">
        <f>COUNTIF('Applicability Matrix'!H3:H50,"Conditional")</f>
        <v/>
      </c>
      <c r="E8" s="23">
        <f>COUNTIF('Applicability Matrix'!H3:H50,"No")</f>
        <v/>
      </c>
      <c r="F8" s="23" t="n">
        <v>0</v>
      </c>
      <c r="G8" s="24">
        <f>IF((B8-F8)=0,0,C8/(B8-F8))</f>
        <v/>
      </c>
    </row>
    <row r="9">
      <c r="A9" s="25" t="inlineStr">
        <is>
          <t>TOTAL</t>
        </is>
      </c>
      <c r="B9" s="26">
        <f>SUM(B6:B8)</f>
        <v/>
      </c>
      <c r="C9" s="26">
        <f>SUM(C6:C8)</f>
        <v/>
      </c>
      <c r="D9" s="26">
        <f>SUM(D6:D8)</f>
        <v/>
      </c>
      <c r="E9" s="26">
        <f>SUM(E6:E8)</f>
        <v/>
      </c>
      <c r="F9" s="26">
        <f>SUM(F6:F8)</f>
        <v/>
      </c>
      <c r="G9" s="27">
        <f>IF((B9-F9)=0,0,C9/(B9-F9))</f>
        <v/>
      </c>
    </row>
    <row r="11">
      <c r="A11" s="20" t="inlineStr">
        <is>
          <t>TABLE 2: KEY METRICS</t>
        </is>
      </c>
      <c r="B11" s="6" t="n"/>
      <c r="C11" s="6" t="n"/>
      <c r="D11" s="6" t="n"/>
      <c r="E11" s="6" t="n"/>
      <c r="F11" s="6" t="n"/>
      <c r="G11" s="6" t="n"/>
    </row>
    <row r="12">
      <c r="A12" s="26" t="inlineStr">
        <is>
          <t>Metric</t>
        </is>
      </c>
      <c r="B12" s="26" t="inlineStr">
        <is>
          <t>Value</t>
        </is>
      </c>
      <c r="C12" s="26" t="n"/>
      <c r="D12" s="26" t="n"/>
      <c r="E12" s="26" t="n"/>
      <c r="F12" s="26" t="n"/>
      <c r="G12" s="26" t="n"/>
    </row>
    <row r="13">
      <c r="A13" s="22" t="inlineStr">
        <is>
          <t>Total NDA Templates</t>
        </is>
      </c>
      <c r="B13" s="23">
        <f>COUNTA('Template Registry'!B5:B54)</f>
        <v/>
      </c>
      <c r="C13" s="6" t="n"/>
      <c r="D13" s="6" t="n"/>
      <c r="E13" s="6" t="n"/>
      <c r="F13" s="6" t="n"/>
      <c r="G13" s="6" t="n"/>
    </row>
    <row r="14">
      <c r="A14" s="22" t="inlineStr">
        <is>
          <t>Active Templates</t>
        </is>
      </c>
      <c r="B14" s="23">
        <f>COUNTIF('Template Registry'!K5:K54,"Active")</f>
        <v/>
      </c>
      <c r="C14" s="6" t="n"/>
      <c r="D14" s="6" t="n"/>
      <c r="E14" s="6" t="n"/>
      <c r="F14" s="6" t="n"/>
      <c r="G14" s="6" t="n"/>
    </row>
    <row r="15">
      <c r="A15" s="22" t="inlineStr">
        <is>
          <t>Templates Under Review</t>
        </is>
      </c>
      <c r="B15" s="23">
        <f>COUNTIF('Template Registry'!K5:K54,"Under Review")</f>
        <v/>
      </c>
      <c r="C15" s="6" t="n"/>
      <c r="D15" s="6" t="n"/>
      <c r="E15" s="6" t="n"/>
      <c r="F15" s="6" t="n"/>
      <c r="G15" s="6" t="n"/>
    </row>
    <row r="16">
      <c r="A16" s="22" t="inlineStr">
        <is>
          <t>Draft Templates (Incomplete)</t>
        </is>
      </c>
      <c r="B16" s="23">
        <f>COUNTIF('Template Registry'!K5:K54,"Draft")</f>
        <v/>
      </c>
      <c r="C16" s="6" t="n"/>
      <c r="D16" s="6" t="n"/>
      <c r="E16" s="6" t="n"/>
      <c r="F16" s="6" t="n"/>
      <c r="G16" s="6" t="n"/>
    </row>
    <row r="17">
      <c r="A17" s="22" t="inlineStr">
        <is>
          <t>Mutual NDA Templates</t>
        </is>
      </c>
      <c r="B17" s="23">
        <f>COUNTIF('Template Registry'!C5:C54,"Mutual NDA")</f>
        <v/>
      </c>
      <c r="C17" s="6" t="n"/>
      <c r="D17" s="6" t="n"/>
      <c r="E17" s="6" t="n"/>
      <c r="F17" s="6" t="n"/>
      <c r="G17" s="6" t="n"/>
    </row>
    <row r="18">
      <c r="A18" s="22" t="inlineStr">
        <is>
          <t>Employment NDA Templates</t>
        </is>
      </c>
      <c r="B18" s="23">
        <f>COUNTIF('Template Registry'!C5:C54,"Standard NDA")</f>
        <v/>
      </c>
      <c r="C18" s="6" t="n"/>
      <c r="D18" s="6" t="n"/>
      <c r="E18" s="6" t="n"/>
      <c r="F18" s="6" t="n"/>
      <c r="G18" s="6" t="n"/>
    </row>
    <row r="19">
      <c r="A19" s="22" t="inlineStr">
        <is>
          <t>Contractor NDA Templates</t>
        </is>
      </c>
      <c r="B19" s="23">
        <f>COUNTIF('Template Registry'!C5:C54,"Contractor")</f>
        <v/>
      </c>
      <c r="C19" s="6" t="n"/>
      <c r="D19" s="6" t="n"/>
      <c r="E19" s="6" t="n"/>
      <c r="F19" s="6" t="n"/>
      <c r="G19" s="6" t="n"/>
    </row>
    <row r="20">
      <c r="A20" s="22" t="inlineStr">
        <is>
          <t>Vendor NDA Templates</t>
        </is>
      </c>
      <c r="B20" s="23">
        <f>COUNTIF('Template Registry'!C5:C54,"Vendor")</f>
        <v/>
      </c>
      <c r="C20" s="6" t="n"/>
      <c r="D20" s="6" t="n"/>
      <c r="E20" s="6" t="n"/>
      <c r="F20" s="6" t="n"/>
      <c r="G20" s="6" t="n"/>
    </row>
    <row r="21">
      <c r="A21" s="22" t="inlineStr">
        <is>
          <t>Total Template Versions</t>
        </is>
      </c>
      <c r="B21" s="23">
        <f>COUNTA('Template Versions'!B5:B54)</f>
        <v/>
      </c>
      <c r="C21" s="6" t="n"/>
      <c r="D21" s="6" t="n"/>
      <c r="E21" s="6" t="n"/>
      <c r="F21" s="6" t="n"/>
      <c r="G21" s="6" t="n"/>
    </row>
    <row r="22">
      <c r="A22" s="22" t="inlineStr">
        <is>
          <t>Versions with Legal Approval</t>
        </is>
      </c>
      <c r="B22" s="23">
        <f>COUNTIF('Template Versions'!G5:G54,"Yes")</f>
        <v/>
      </c>
      <c r="C22" s="6" t="n"/>
      <c r="D22" s="6" t="n"/>
      <c r="E22" s="6" t="n"/>
      <c r="F22" s="6" t="n"/>
      <c r="G22" s="6" t="n"/>
    </row>
    <row r="23">
      <c r="A23" s="22" t="inlineStr">
        <is>
          <t>Versions Pending Legal Review</t>
        </is>
      </c>
      <c r="B23" s="23">
        <f>COUNTIF('Template Versions'!G5:G54,"Pending")</f>
        <v/>
      </c>
      <c r="C23" s="6" t="n"/>
      <c r="D23" s="6" t="n"/>
      <c r="E23" s="6" t="n"/>
      <c r="F23" s="6" t="n"/>
      <c r="G23" s="6" t="n"/>
    </row>
    <row r="24">
      <c r="A24" s="22" t="inlineStr">
        <is>
          <t>Versions Not Legally Approved</t>
        </is>
      </c>
      <c r="B24" s="23">
        <f>COUNTIF('Template Versions'!G5:G54,"No")</f>
        <v/>
      </c>
      <c r="C24" s="6" t="n"/>
      <c r="D24" s="6" t="n"/>
      <c r="E24" s="6" t="n"/>
      <c r="F24" s="6" t="n"/>
      <c r="G24" s="6" t="n"/>
    </row>
    <row r="25">
      <c r="A25" s="22" t="inlineStr">
        <is>
          <t>Mandatory Applicability Rules</t>
        </is>
      </c>
      <c r="B25" s="23">
        <f>COUNTIF('Applicability Matrix'!H3:H50,"Yes")</f>
        <v/>
      </c>
      <c r="C25" s="6" t="n"/>
      <c r="D25" s="6" t="n"/>
      <c r="E25" s="6" t="n"/>
      <c r="F25" s="6" t="n"/>
      <c r="G25" s="6" t="n"/>
    </row>
    <row r="26">
      <c r="A26" s="22" t="inlineStr">
        <is>
          <t>Conditional Applicability Rules</t>
        </is>
      </c>
      <c r="B26" s="23">
        <f>COUNTIF('Applicability Matrix'!H3:H50,"Conditional")</f>
        <v/>
      </c>
      <c r="C26" s="6" t="n"/>
      <c r="D26" s="6" t="n"/>
      <c r="E26" s="6" t="n"/>
      <c r="F26" s="6" t="n"/>
      <c r="G26" s="6" t="n"/>
    </row>
    <row r="27">
      <c r="A27" s="22" t="inlineStr">
        <is>
          <t>Mandatory Clauses in Library</t>
        </is>
      </c>
      <c r="B27" s="23">
        <f>COUNTIF('Clause Library'!F3:F50,"Yes")</f>
        <v/>
      </c>
      <c r="C27" s="6" t="n"/>
      <c r="D27" s="6" t="n"/>
      <c r="E27" s="6" t="n"/>
      <c r="F27" s="6" t="n"/>
      <c r="G27" s="6" t="n"/>
    </row>
    <row r="28">
      <c r="A28" s="22" t="inlineStr">
        <is>
          <t>Recommended Clauses in Library</t>
        </is>
      </c>
      <c r="B28" s="23">
        <f>COUNTIF('Clause Library'!F3:F50,"Recommended")</f>
        <v/>
      </c>
      <c r="C28" s="6" t="n"/>
      <c r="D28" s="6" t="n"/>
      <c r="E28" s="6" t="n"/>
      <c r="F28" s="6" t="n"/>
      <c r="G28" s="6" t="n"/>
    </row>
    <row r="29">
      <c r="A29" s="22" t="inlineStr">
        <is>
          <t>Total Clauses Defined</t>
        </is>
      </c>
      <c r="B29" s="23">
        <f>COUNTA('Clause Library'!A3:A50)</f>
        <v/>
      </c>
      <c r="C29" s="6" t="n"/>
      <c r="D29" s="6" t="n"/>
      <c r="E29" s="6" t="n"/>
      <c r="F29" s="6" t="n"/>
      <c r="G29" s="6" t="n"/>
    </row>
    <row r="30">
      <c r="A30" s="22" t="inlineStr">
        <is>
          <t>Templates Covering All Classifications</t>
        </is>
      </c>
      <c r="B30" s="23">
        <f>COUNTIF('Applicability Matrix'!C3:C50,"All levels")</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28" t="inlineStr">
        <is>
          <t>TABLE 3: CRITICAL FINDINGS REQUIRING IMMEDIATE ATTENTION</t>
        </is>
      </c>
      <c r="B34" s="6" t="n"/>
      <c r="C34" s="6" t="n"/>
      <c r="D34" s="6" t="n"/>
      <c r="E34" s="6" t="n"/>
      <c r="F34" s="6" t="n"/>
      <c r="G34" s="6" t="n"/>
    </row>
    <row r="35">
      <c r="A35" s="26" t="inlineStr">
        <is>
          <t>Category</t>
        </is>
      </c>
      <c r="B35" s="26" t="inlineStr">
        <is>
          <t>Finding</t>
        </is>
      </c>
      <c r="C35" s="26" t="inlineStr">
        <is>
          <t>Count</t>
        </is>
      </c>
      <c r="D35" s="26" t="inlineStr">
        <is>
          <t>Severity</t>
        </is>
      </c>
      <c r="E35" s="26" t="inlineStr">
        <is>
          <t>Action Required</t>
        </is>
      </c>
      <c r="F35" s="26" t="n"/>
      <c r="G35" s="26" t="n"/>
    </row>
    <row r="36">
      <c r="A36" s="29" t="inlineStr">
        <is>
          <t>Template Management</t>
        </is>
      </c>
      <c r="B36" s="29" t="inlineStr">
        <is>
          <t>Versions with no legal approval</t>
        </is>
      </c>
      <c r="C36" s="30">
        <f>COUNTIF('Template Versions'!G5:G54,"No")</f>
        <v/>
      </c>
      <c r="D36" s="29" t="inlineStr">
        <is>
          <t>Critical</t>
        </is>
      </c>
      <c r="E36" s="29" t="inlineStr">
        <is>
          <t>Immediate</t>
        </is>
      </c>
      <c r="F36" s="29" t="n"/>
      <c r="G36" s="29" t="n"/>
    </row>
    <row r="37">
      <c r="A37" s="29" t="inlineStr">
        <is>
          <t>Template Management</t>
        </is>
      </c>
      <c r="B37" s="29" t="inlineStr">
        <is>
          <t>Versions pending legal review</t>
        </is>
      </c>
      <c r="C37" s="30">
        <f>COUNTIF('Template Versions'!G5:G54,"Pending")</f>
        <v/>
      </c>
      <c r="D37" s="29" t="inlineStr">
        <is>
          <t>High</t>
        </is>
      </c>
      <c r="E37" s="29" t="inlineStr">
        <is>
          <t>Urgent</t>
        </is>
      </c>
      <c r="F37" s="29" t="n"/>
      <c r="G37" s="29" t="n"/>
    </row>
    <row r="38">
      <c r="A38" s="29" t="inlineStr">
        <is>
          <t>Template Management</t>
        </is>
      </c>
      <c r="B38" s="29" t="inlineStr">
        <is>
          <t>Templates in Draft status</t>
        </is>
      </c>
      <c r="C38" s="30">
        <f>COUNTIF('Template Registry'!K5:K54,"Draft")</f>
        <v/>
      </c>
      <c r="D38" s="29" t="inlineStr">
        <is>
          <t>Medium</t>
        </is>
      </c>
      <c r="E38" s="29" t="inlineStr">
        <is>
          <t>Plan</t>
        </is>
      </c>
      <c r="F38" s="29" t="n"/>
      <c r="G38" s="29" t="n"/>
    </row>
    <row r="39">
      <c r="A39" s="29" t="inlineStr">
        <is>
          <t>Template Management</t>
        </is>
      </c>
      <c r="B39" s="29" t="inlineStr">
        <is>
          <t>Superseded templates still tracked</t>
        </is>
      </c>
      <c r="C39" s="30">
        <f>COUNTIF('Template Registry'!K5:K54,"Superseded")</f>
        <v/>
      </c>
      <c r="D39" s="29" t="inlineStr">
        <is>
          <t>Low</t>
        </is>
      </c>
      <c r="E39" s="29" t="inlineStr">
        <is>
          <t>Monitor</t>
        </is>
      </c>
      <c r="F39" s="29" t="n"/>
      <c r="G39" s="29" t="n"/>
    </row>
    <row r="40">
      <c r="A40" s="31" t="n"/>
      <c r="B40" s="31" t="n"/>
      <c r="C40" s="31" t="n"/>
      <c r="D40" s="31" t="n"/>
      <c r="E40" s="31" t="n"/>
      <c r="F40" s="31" t="n"/>
      <c r="G40" s="31" t="n"/>
    </row>
    <row r="41">
      <c r="A41" s="31" t="n"/>
      <c r="B41" s="31" t="n"/>
      <c r="C41" s="31" t="n"/>
      <c r="D41" s="31" t="n"/>
      <c r="E41" s="31" t="n"/>
      <c r="F41" s="31" t="n"/>
      <c r="G41" s="31" t="n"/>
    </row>
  </sheetData>
  <mergeCells count="5">
    <mergeCell ref="A1:G1"/>
    <mergeCell ref="A34:G34"/>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ISMS-IMP-A.6.6.1 - NDA Template Registry and Inventory</t>
        </is>
      </c>
      <c r="C4" s="6" t="n"/>
      <c r="D4" s="6" t="n"/>
      <c r="E4" s="6" t="n"/>
    </row>
    <row r="5">
      <c r="A5" s="34" t="inlineStr">
        <is>
          <t>Assessment Period:</t>
        </is>
      </c>
      <c r="B5" s="31" t="inlineStr"/>
      <c r="C5" s="6" t="n"/>
      <c r="D5" s="6" t="n"/>
      <c r="E5" s="6" t="n"/>
    </row>
    <row r="6">
      <c r="A6" s="34" t="inlineStr">
        <is>
          <t>Overall Compliance Rating:</t>
        </is>
      </c>
      <c r="B6" s="35">
        <f>IFERROR(AVERAGE('Summary Dashboard'!G6:G8),"")</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ISMS-IMP-A.6.6.1 — NDA Template Registry and Inventory</dc:title>
  <dc:description xmlns:dc="http://purl.org/dc/elements/1.1/">ISMS Implementation Workbook — ISMS-IMP-A.6.6.1</dc:description>
  <dc:subject xmlns:dc="http://purl.org/dc/elements/1.1/">ISO/IEC 27001:2022 — Control A.6.6: Confidentiality or Non-Disclosure Agreements</dc:subject>
  <dcterms:created xmlns:dcterms="http://purl.org/dc/terms/" xmlns:xsi="http://www.w3.org/2001/XMLSchema-instance" xsi:type="dcterms:W3CDTF">2026-03-01T11:12:16Z</dcterms:created>
  <dcterms:modified xmlns:dcterms="http://purl.org/dc/terms/" xmlns:xsi="http://www.w3.org/2001/XMLSchema-instance" xsi:type="dcterms:W3CDTF">2026-03-01T11:12:16Z</dcterms:modified>
</cp:coreProperties>
</file>