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tract_Template_Assessment" sheetId="2" state="visible" r:id="rId2"/>
    <sheet xmlns:r="http://schemas.openxmlformats.org/officeDocument/2006/relationships" name="Required_Clause_Registry" sheetId="3" state="visible" r:id="rId3"/>
    <sheet xmlns:r="http://schemas.openxmlformats.org/officeDocument/2006/relationships" name="Personnel_Contract_Compliance" sheetId="4" state="visible" r:id="rId4"/>
    <sheet xmlns:r="http://schemas.openxmlformats.org/officeDocument/2006/relationships" name="Confidentiality_NDA_Tracking" sheetId="5" state="visible" r:id="rId5"/>
    <sheet xmlns:r="http://schemas.openxmlformats.org/officeDocument/2006/relationships" name="Post_Employment_Obligations" sheetId="6" state="visible" r:id="rId6"/>
    <sheet xmlns:r="http://schemas.openxmlformats.org/officeDocument/2006/relationships" name="Contractor_Agreement_Assessment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>
    <definedName name="Template_ID_List">Contract_Template_Assessment!$A$5:$A$54</definedName>
    <definedName name="Employee_ID_List">Personnel_Contract_Compliance!$A$5:$A$204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10" fontId="0" fillId="0" borderId="0" pivotButton="0" quotePrefix="0" xfId="0"/>
    <xf numFmtId="10" fontId="6" fillId="0" borderId="0" pivotButton="0" quotePrefix="0" xfId="0"/>
    <xf numFmtId="164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 ht="40" customHeight="1">
      <c r="A1" s="1" t="inlineStr">
        <is>
          <t>ISMS-IMP-A.5.1-2-6.1-2.S4 - Employment Contract Assessment Dashboard</t>
        </is>
      </c>
    </row>
    <row r="2" ht="30" customHeight="1">
      <c r="A2" s="2" t="inlineStr">
        <is>
          <t>ISO/IEC 27001:2022 Controls A.6.1/A.6.2 - Screening &amp; Terms and Conditions of Employment</t>
        </is>
      </c>
    </row>
    <row r="4">
      <c r="A4" s="3" t="inlineStr">
        <is>
          <t>Document ID:</t>
        </is>
      </c>
      <c r="B4" t="inlineStr">
        <is>
          <t>ISMS-IMP-A.5.1-2-6.1-2.S4</t>
        </is>
      </c>
    </row>
    <row r="5">
      <c r="A5" s="3" t="inlineStr">
        <is>
          <t>Related Policy:</t>
        </is>
      </c>
      <c r="B5" s="4" t="inlineStr">
        <is>
          <t>ISMS-POL-A.5.1-2-6.1-2, Section 7</t>
        </is>
      </c>
    </row>
    <row r="6">
      <c r="A6" s="3" t="inlineStr">
        <is>
          <t>ISO Controls:</t>
        </is>
      </c>
      <c r="B6" s="4" t="inlineStr">
        <is>
          <t>A.6.1 (Screening), A.6.2 (Terms &amp; Conditions)</t>
        </is>
      </c>
    </row>
    <row r="7">
      <c r="A7" s="3" t="inlineStr">
        <is>
          <t>Assessment Period:</t>
        </is>
      </c>
      <c r="B7" s="5" t="n"/>
    </row>
    <row r="8">
      <c r="A8" s="3" t="inlineStr">
        <is>
          <t>Assessment Date:</t>
        </is>
      </c>
      <c r="B8" s="4">
        <f>TODAY()</f>
        <v/>
      </c>
    </row>
    <row r="9">
      <c r="A9" s="3" t="inlineStr">
        <is>
          <t>Assessor Name:</t>
        </is>
      </c>
      <c r="B9" s="5" t="n"/>
    </row>
    <row r="10">
      <c r="A10" s="3" t="inlineStr">
        <is>
          <t>Assessor Role:</t>
        </is>
      </c>
      <c r="B10" s="5" t="n"/>
    </row>
    <row r="11">
      <c r="A11" s="3" t="inlineStr">
        <is>
          <t>Organization:</t>
        </is>
      </c>
      <c r="B11" s="5" t="n"/>
    </row>
    <row r="12">
      <c r="A12" s="3" t="inlineStr">
        <is>
          <t>Review Cycle:</t>
        </is>
      </c>
      <c r="B12" s="4" t="inlineStr">
        <is>
          <t>Annual</t>
        </is>
      </c>
    </row>
    <row r="13">
      <c r="A13" s="3" t="inlineStr">
        <is>
          <t>Last Updated:</t>
        </is>
      </c>
      <c r="B13" s="4">
        <f>NOW()</f>
        <v/>
      </c>
    </row>
    <row r="14">
      <c r="A14" s="3" t="inlineStr">
        <is>
          <t>Assessment Status:</t>
        </is>
      </c>
      <c r="B14" s="5" t="n"/>
    </row>
    <row r="15">
      <c r="A15" s="3" t="inlineStr">
        <is>
          <t>Next Review Date:</t>
        </is>
      </c>
      <c r="B15" s="5" t="n"/>
    </row>
    <row r="17" ht="35" customHeight="1">
      <c r="A17" s="6" t="inlineStr">
        <is>
          <t>OVERALL EMPLOYMENT CONTRACT COMPLIANCE</t>
        </is>
      </c>
    </row>
    <row r="19">
      <c r="A19" s="3" t="inlineStr">
        <is>
          <t>Overall Compliance Score</t>
        </is>
      </c>
      <c r="B19" s="7">
        <f>AVERAGE(C32,C33,C34,C35,C36)</f>
        <v/>
      </c>
      <c r="C19" s="4" t="inlineStr">
        <is>
          <t>90%</t>
        </is>
      </c>
      <c r="D19" s="4">
        <f>IF(B19&gt;=C19,"On Target",IF(B19&gt;=C19*0.9,"Close","Below Target"))</f>
        <v/>
      </c>
    </row>
    <row r="20">
      <c r="A20" s="3" t="inlineStr">
        <is>
          <t>Contract Templates Assessed</t>
        </is>
      </c>
      <c r="B20" s="4">
        <f>COUNTA(Contract_Template_Assessment!A:A)-4</f>
        <v/>
      </c>
      <c r="C20" s="4" t="inlineStr">
        <is>
          <t>N/A</t>
        </is>
      </c>
      <c r="D20" s="4">
        <f>IF(B20&gt;=C20,"On Target",IF(B20&gt;=C20*0.9,"Close","Below Target"))</f>
        <v/>
      </c>
    </row>
    <row r="21">
      <c r="A21" s="3" t="inlineStr">
        <is>
          <t>Templates Compliant</t>
        </is>
      </c>
      <c r="B21" s="4">
        <f>COUNTIF(Contract_Template_Assessment!M:M,"Compliant")</f>
        <v/>
      </c>
      <c r="C21" s="4" t="inlineStr">
        <is>
          <t>100%</t>
        </is>
      </c>
      <c r="D21" s="4">
        <f>IF(B21&gt;=C21,"On Target",IF(B21&gt;=C21*0.9,"Close","Below Target"))</f>
        <v/>
      </c>
    </row>
    <row r="22">
      <c r="A22" s="3" t="inlineStr">
        <is>
          <t>Personnel with Contracts Verified</t>
        </is>
      </c>
      <c r="B22" s="4">
        <f>COUNTIF(Personnel_Contract_Compliance!N:N,"Compliant")</f>
        <v/>
      </c>
      <c r="C22" s="4" t="inlineStr">
        <is>
          <t>N/A</t>
        </is>
      </c>
      <c r="D22" s="4">
        <f>IF(B22&gt;=C22,"On Target",IF(B22&gt;=C22*0.9,"Close","Below Target"))</f>
        <v/>
      </c>
    </row>
    <row r="23">
      <c r="A23" s="3" t="inlineStr">
        <is>
          <t>NDA Coverage Rate</t>
        </is>
      </c>
      <c r="B23" s="7">
        <f>COUNTIF(Confidentiality_NDA_Tracking!K:K,"Active")/COUNTA(Confidentiality_NDA_Tracking!A:A)*100</f>
        <v/>
      </c>
      <c r="C23" s="4" t="inlineStr">
        <is>
          <t>100%</t>
        </is>
      </c>
      <c r="D23" s="4">
        <f>IF(B23&gt;=C23,"On Target",IF(B23&gt;=C23*0.9,"Close","Below Target"))</f>
        <v/>
      </c>
    </row>
    <row r="24">
      <c r="A24" s="3" t="inlineStr">
        <is>
          <t>Critical Gaps</t>
        </is>
      </c>
      <c r="B24" s="4">
        <f>COUNTIF(Gap_Analysis!F:F,"Critical")</f>
        <v/>
      </c>
      <c r="C24" s="4" t="inlineStr">
        <is>
          <t>0</t>
        </is>
      </c>
      <c r="D24" s="4">
        <f>IF(B24&gt;=C24,"On Target",IF(B24&gt;=C24*0.9,"Close","Below Target"))</f>
        <v/>
      </c>
    </row>
    <row r="25">
      <c r="A25" s="3" t="inlineStr">
        <is>
          <t>High Priority Gaps</t>
        </is>
      </c>
      <c r="B25" s="4">
        <f>COUNTIF(Gap_Analysis!F:F,"High")</f>
        <v/>
      </c>
      <c r="C25" s="4" t="inlineStr">
        <is>
          <t>0</t>
        </is>
      </c>
      <c r="D25" s="4">
        <f>IF(B25&gt;=C25,"On Target",IF(B25&gt;=C25*0.9,"Close","Below Target"))</f>
        <v/>
      </c>
    </row>
    <row r="26">
      <c r="A26" s="3" t="inlineStr">
        <is>
          <t>Contractor Agreements Verified</t>
        </is>
      </c>
      <c r="B26" s="4">
        <f>COUNTIF(Contractor_Agreement_Assessment!L:L,"Compliant")</f>
        <v/>
      </c>
      <c r="C26" s="4" t="inlineStr">
        <is>
          <t>N/A</t>
        </is>
      </c>
      <c r="D26" s="4">
        <f>IF(B26&gt;=C26,"On Target",IF(B26&gt;=C26*0.9,"Close","Below Target"))</f>
        <v/>
      </c>
    </row>
    <row r="28">
      <c r="A28" s="6" t="inlineStr">
        <is>
          <t>DOMAIN COMPLIANCE BREAKDOWN</t>
        </is>
      </c>
    </row>
    <row r="30">
      <c r="A30" s="8" t="inlineStr">
        <is>
          <t>Domain</t>
        </is>
      </c>
      <c r="B30" s="8" t="inlineStr">
        <is>
          <t>Weight</t>
        </is>
      </c>
      <c r="C30" s="8" t="inlineStr">
        <is>
          <t>Score (%)</t>
        </is>
      </c>
      <c r="D30" s="8" t="inlineStr">
        <is>
          <t>Weighted Score</t>
        </is>
      </c>
      <c r="E30" s="8" t="inlineStr">
        <is>
          <t>Status</t>
        </is>
      </c>
    </row>
    <row r="32">
      <c r="A32" t="inlineStr">
        <is>
          <t>Contract Template Completeness</t>
        </is>
      </c>
      <c r="B32" t="inlineStr">
        <is>
          <t>20%</t>
        </is>
      </c>
      <c r="C32" s="9">
        <f>COUNTIF(Contract_Template_Assessment!M:M,"Compliant")/COUNTA(Contract_Template_Assessment!A:A)*100</f>
        <v/>
      </c>
      <c r="D32" s="9">
        <f>C32*0.20</f>
        <v/>
      </c>
      <c r="E32">
        <f>IF(C32&gt;=0.9,"Pass",IF(C32&gt;=0.7,"Partial","Fail"))</f>
        <v/>
      </c>
    </row>
    <row r="33">
      <c r="A33" t="inlineStr">
        <is>
          <t>Required Clause Coverage</t>
        </is>
      </c>
      <c r="B33" t="inlineStr">
        <is>
          <t>25%</t>
        </is>
      </c>
      <c r="C33" s="9">
        <f>COUNTIF(Required_Clause_Registry!H:H,"Covered")/COUNTA(Required_Clause_Registry!A:A)*100</f>
        <v/>
      </c>
      <c r="D33" s="9">
        <f>C33*0.25</f>
        <v/>
      </c>
      <c r="E33">
        <f>IF(C33&gt;=0.9,"Pass",IF(C33&gt;=0.7,"Partial","Fail"))</f>
        <v/>
      </c>
    </row>
    <row r="34">
      <c r="A34" t="inlineStr">
        <is>
          <t>Personnel Contract Compliance</t>
        </is>
      </c>
      <c r="B34" t="inlineStr">
        <is>
          <t>25%</t>
        </is>
      </c>
      <c r="C34" s="9">
        <f>COUNTIF(Personnel_Contract_Compliance!N:N,"Compliant")/COUNTA(Personnel_Contract_Compliance!A:A)*100</f>
        <v/>
      </c>
      <c r="D34" s="9">
        <f>C34*0.25</f>
        <v/>
      </c>
      <c r="E34">
        <f>IF(C34&gt;=0.9,"Pass",IF(C34&gt;=0.7,"Partial","Fail"))</f>
        <v/>
      </c>
    </row>
    <row r="35">
      <c r="A35" t="inlineStr">
        <is>
          <t>NDA/Confidentiality Coverage</t>
        </is>
      </c>
      <c r="B35" t="inlineStr">
        <is>
          <t>20%</t>
        </is>
      </c>
      <c r="C35" s="9">
        <f>COUNTIF(Confidentiality_NDA_Tracking!K:K,"Active")/COUNTA(Confidentiality_NDA_Tracking!A:A)*100</f>
        <v/>
      </c>
      <c r="D35" s="9">
        <f>C35*0.20</f>
        <v/>
      </c>
      <c r="E35">
        <f>IF(C35&gt;=0.9,"Pass",IF(C35&gt;=0.7,"Partial","Fail"))</f>
        <v/>
      </c>
    </row>
    <row r="36">
      <c r="A36" t="inlineStr">
        <is>
          <t>Contractor Agreement Compliance</t>
        </is>
      </c>
      <c r="B36" t="inlineStr">
        <is>
          <t>10%</t>
        </is>
      </c>
      <c r="C36" s="9">
        <f>COUNTIF(Contractor_Agreement_Assessment!L:L,"Compliant")/COUNTA(Contractor_Agreement_Assessment!A:A)*100</f>
        <v/>
      </c>
      <c r="D36" s="9">
        <f>C36*0.10</f>
        <v/>
      </c>
      <c r="E36">
        <f>IF(C36&gt;=0.9,"Pass",IF(C36&gt;=0.7,"Partial","Fail"))</f>
        <v/>
      </c>
    </row>
    <row r="38">
      <c r="A38" s="3" t="inlineStr">
        <is>
          <t>TOTAL WEIGHTED SCORE</t>
        </is>
      </c>
      <c r="B38" t="inlineStr">
        <is>
          <t>100%</t>
        </is>
      </c>
      <c r="C38" s="10">
        <f>SUM(D32:D36)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16">
    <mergeCell ref="B13:C13"/>
    <mergeCell ref="B6:C6"/>
    <mergeCell ref="B15:C15"/>
    <mergeCell ref="B7:C7"/>
    <mergeCell ref="B11:C11"/>
    <mergeCell ref="B5:C5"/>
    <mergeCell ref="B10:C10"/>
    <mergeCell ref="A17:K17"/>
    <mergeCell ref="A2:K2"/>
    <mergeCell ref="B14:C14"/>
    <mergeCell ref="A28:K28"/>
    <mergeCell ref="B9:C9"/>
    <mergeCell ref="B8:C8"/>
    <mergeCell ref="A1:K1"/>
    <mergeCell ref="B4:C4"/>
    <mergeCell ref="B12:C12"/>
  </mergeCells>
  <dataValidations count="1">
    <dataValidation sqref="B14" showDropDown="0" showInputMessage="0" showErrorMessage="1" allowBlank="1" errorTitle="Invalid Entry" error="Please select from dropdown" type="list">
      <formula1>"Draft,Under-Review,Approved,Audit-Ready"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  <col width="12" customWidth="1" min="11" max="11"/>
    <col width="15" customWidth="1" min="12" max="12"/>
    <col width="15" customWidth="1" min="13" max="13"/>
    <col width="40" customWidth="1" min="14" max="14"/>
  </cols>
  <sheetData>
    <row r="1" ht="30" customHeight="1">
      <c r="A1" s="1" t="inlineStr">
        <is>
          <t>CONTRACT TEMPLATE ASSESSMENT</t>
        </is>
      </c>
    </row>
    <row r="2" ht="25" customHeight="1">
      <c r="A2" s="2" t="inlineStr">
        <is>
          <t>Verification of employment contract templates for security clause completeness</t>
        </is>
      </c>
    </row>
    <row r="4" ht="30" customHeight="1">
      <c r="A4" s="8" t="inlineStr">
        <is>
          <t>Template_ID</t>
        </is>
      </c>
      <c r="B4" s="8" t="inlineStr">
        <is>
          <t>Template_Name</t>
        </is>
      </c>
      <c r="C4" s="8" t="inlineStr">
        <is>
          <t>Template_Type</t>
        </is>
      </c>
      <c r="D4" s="8" t="inlineStr">
        <is>
          <t>Personnel_Category</t>
        </is>
      </c>
      <c r="E4" s="8" t="inlineStr">
        <is>
          <t>Current_Version</t>
        </is>
      </c>
      <c r="F4" s="8" t="inlineStr">
        <is>
          <t>Version_Date</t>
        </is>
      </c>
      <c r="G4" s="8" t="inlineStr">
        <is>
          <t>Last_Review_Date</t>
        </is>
      </c>
      <c r="H4" s="8" t="inlineStr">
        <is>
          <t>Next_Review_Date</t>
        </is>
      </c>
      <c r="I4" s="8" t="inlineStr">
        <is>
          <t>Security_Clauses_Count</t>
        </is>
      </c>
      <c r="J4" s="8" t="inlineStr">
        <is>
          <t>Required_Clauses_Met</t>
        </is>
      </c>
      <c r="K4" s="8" t="inlineStr">
        <is>
          <t>Legal_Review_Date</t>
        </is>
      </c>
      <c r="L4" s="8" t="inlineStr">
        <is>
          <t>Legal_Approved</t>
        </is>
      </c>
      <c r="M4" s="8" t="inlineStr">
        <is>
          <t>Compliance_Status</t>
        </is>
      </c>
      <c r="N4" s="8" t="inlineStr">
        <is>
          <t>Notes</t>
        </is>
      </c>
    </row>
    <row r="5">
      <c r="A5" s="5" t="n"/>
      <c r="B5" s="5" t="n"/>
      <c r="C5" s="5" t="n"/>
      <c r="D5" s="5" t="n"/>
      <c r="E5" s="5" t="n"/>
      <c r="F5" s="11" t="n"/>
      <c r="G5" s="11" t="n"/>
      <c r="H5" s="11" t="n"/>
      <c r="I5" s="5" t="n"/>
      <c r="J5" s="5" t="n"/>
      <c r="K5" s="11" t="n"/>
      <c r="L5" s="5" t="n"/>
      <c r="M5" s="4">
        <f>IF(B5="","",IF(AND(J5="Yes",L5="Yes",H5&gt;=TODAY()),"Compliant",IF(OR(J5="No",L5="No"),"Non-Compliant","Partial")))</f>
        <v/>
      </c>
      <c r="N5" s="5" t="n"/>
    </row>
    <row r="6">
      <c r="A6" s="5" t="n"/>
      <c r="B6" s="5" t="n"/>
      <c r="C6" s="5" t="n"/>
      <c r="D6" s="5" t="n"/>
      <c r="E6" s="5" t="n"/>
      <c r="F6" s="11" t="n"/>
      <c r="G6" s="11" t="n"/>
      <c r="H6" s="11" t="n"/>
      <c r="I6" s="5" t="n"/>
      <c r="J6" s="5" t="n"/>
      <c r="K6" s="11" t="n"/>
      <c r="L6" s="5" t="n"/>
      <c r="M6" s="4">
        <f>IF(B6="","",IF(AND(J6="Yes",L6="Yes",H6&gt;=TODAY()),"Compliant",IF(OR(J6="No",L6="No"),"Non-Compliant","Partial")))</f>
        <v/>
      </c>
      <c r="N6" s="5" t="n"/>
    </row>
    <row r="7">
      <c r="A7" s="5" t="n"/>
      <c r="B7" s="5" t="n"/>
      <c r="C7" s="5" t="n"/>
      <c r="D7" s="5" t="n"/>
      <c r="E7" s="5" t="n"/>
      <c r="F7" s="11" t="n"/>
      <c r="G7" s="11" t="n"/>
      <c r="H7" s="11" t="n"/>
      <c r="I7" s="5" t="n"/>
      <c r="J7" s="5" t="n"/>
      <c r="K7" s="11" t="n"/>
      <c r="L7" s="5" t="n"/>
      <c r="M7" s="4">
        <f>IF(B7="","",IF(AND(J7="Yes",L7="Yes",H7&gt;=TODAY()),"Compliant",IF(OR(J7="No",L7="No"),"Non-Compliant","Partial")))</f>
        <v/>
      </c>
      <c r="N7" s="5" t="n"/>
    </row>
    <row r="8">
      <c r="A8" s="5" t="n"/>
      <c r="B8" s="5" t="n"/>
      <c r="C8" s="5" t="n"/>
      <c r="D8" s="5" t="n"/>
      <c r="E8" s="5" t="n"/>
      <c r="F8" s="11" t="n"/>
      <c r="G8" s="11" t="n"/>
      <c r="H8" s="11" t="n"/>
      <c r="I8" s="5" t="n"/>
      <c r="J8" s="5" t="n"/>
      <c r="K8" s="11" t="n"/>
      <c r="L8" s="5" t="n"/>
      <c r="M8" s="4">
        <f>IF(B8="","",IF(AND(J8="Yes",L8="Yes",H8&gt;=TODAY()),"Compliant",IF(OR(J8="No",L8="No"),"Non-Compliant","Partial")))</f>
        <v/>
      </c>
      <c r="N8" s="5" t="n"/>
    </row>
    <row r="9">
      <c r="A9" s="5" t="n"/>
      <c r="B9" s="5" t="n"/>
      <c r="C9" s="5" t="n"/>
      <c r="D9" s="5" t="n"/>
      <c r="E9" s="5" t="n"/>
      <c r="F9" s="11" t="n"/>
      <c r="G9" s="11" t="n"/>
      <c r="H9" s="11" t="n"/>
      <c r="I9" s="5" t="n"/>
      <c r="J9" s="5" t="n"/>
      <c r="K9" s="11" t="n"/>
      <c r="L9" s="5" t="n"/>
      <c r="M9" s="4">
        <f>IF(B9="","",IF(AND(J9="Yes",L9="Yes",H9&gt;=TODAY()),"Compliant",IF(OR(J9="No",L9="No"),"Non-Compliant","Partial")))</f>
        <v/>
      </c>
      <c r="N9" s="5" t="n"/>
    </row>
    <row r="10">
      <c r="A10" s="5" t="n"/>
      <c r="B10" s="5" t="n"/>
      <c r="C10" s="5" t="n"/>
      <c r="D10" s="5" t="n"/>
      <c r="E10" s="5" t="n"/>
      <c r="F10" s="11" t="n"/>
      <c r="G10" s="11" t="n"/>
      <c r="H10" s="11" t="n"/>
      <c r="I10" s="5" t="n"/>
      <c r="J10" s="5" t="n"/>
      <c r="K10" s="11" t="n"/>
      <c r="L10" s="5" t="n"/>
      <c r="M10" s="4">
        <f>IF(B10="","",IF(AND(J10="Yes",L10="Yes",H10&gt;=TODAY()),"Compliant",IF(OR(J10="No",L10="No"),"Non-Compliant","Partial")))</f>
        <v/>
      </c>
      <c r="N10" s="5" t="n"/>
    </row>
    <row r="11">
      <c r="A11" s="5" t="n"/>
      <c r="B11" s="5" t="n"/>
      <c r="C11" s="5" t="n"/>
      <c r="D11" s="5" t="n"/>
      <c r="E11" s="5" t="n"/>
      <c r="F11" s="11" t="n"/>
      <c r="G11" s="11" t="n"/>
      <c r="H11" s="11" t="n"/>
      <c r="I11" s="5" t="n"/>
      <c r="J11" s="5" t="n"/>
      <c r="K11" s="11" t="n"/>
      <c r="L11" s="5" t="n"/>
      <c r="M11" s="4">
        <f>IF(B11="","",IF(AND(J11="Yes",L11="Yes",H11&gt;=TODAY()),"Compliant",IF(OR(J11="No",L11="No"),"Non-Compliant","Partial")))</f>
        <v/>
      </c>
      <c r="N11" s="5" t="n"/>
    </row>
    <row r="12">
      <c r="A12" s="5" t="n"/>
      <c r="B12" s="5" t="n"/>
      <c r="C12" s="5" t="n"/>
      <c r="D12" s="5" t="n"/>
      <c r="E12" s="5" t="n"/>
      <c r="F12" s="11" t="n"/>
      <c r="G12" s="11" t="n"/>
      <c r="H12" s="11" t="n"/>
      <c r="I12" s="5" t="n"/>
      <c r="J12" s="5" t="n"/>
      <c r="K12" s="11" t="n"/>
      <c r="L12" s="5" t="n"/>
      <c r="M12" s="4">
        <f>IF(B12="","",IF(AND(J12="Yes",L12="Yes",H12&gt;=TODAY()),"Compliant",IF(OR(J12="No",L12="No"),"Non-Compliant","Partial")))</f>
        <v/>
      </c>
      <c r="N12" s="5" t="n"/>
    </row>
    <row r="13">
      <c r="A13" s="5" t="n"/>
      <c r="B13" s="5" t="n"/>
      <c r="C13" s="5" t="n"/>
      <c r="D13" s="5" t="n"/>
      <c r="E13" s="5" t="n"/>
      <c r="F13" s="11" t="n"/>
      <c r="G13" s="11" t="n"/>
      <c r="H13" s="11" t="n"/>
      <c r="I13" s="5" t="n"/>
      <c r="J13" s="5" t="n"/>
      <c r="K13" s="11" t="n"/>
      <c r="L13" s="5" t="n"/>
      <c r="M13" s="4">
        <f>IF(B13="","",IF(AND(J13="Yes",L13="Yes",H13&gt;=TODAY()),"Compliant",IF(OR(J13="No",L13="No"),"Non-Compliant","Partial")))</f>
        <v/>
      </c>
      <c r="N13" s="5" t="n"/>
    </row>
    <row r="14">
      <c r="A14" s="5" t="n"/>
      <c r="B14" s="5" t="n"/>
      <c r="C14" s="5" t="n"/>
      <c r="D14" s="5" t="n"/>
      <c r="E14" s="5" t="n"/>
      <c r="F14" s="11" t="n"/>
      <c r="G14" s="11" t="n"/>
      <c r="H14" s="11" t="n"/>
      <c r="I14" s="5" t="n"/>
      <c r="J14" s="5" t="n"/>
      <c r="K14" s="11" t="n"/>
      <c r="L14" s="5" t="n"/>
      <c r="M14" s="4">
        <f>IF(B14="","",IF(AND(J14="Yes",L14="Yes",H14&gt;=TODAY()),"Compliant",IF(OR(J14="No",L14="No"),"Non-Compliant","Partial")))</f>
        <v/>
      </c>
      <c r="N14" s="5" t="n"/>
    </row>
    <row r="15">
      <c r="A15" s="5" t="n"/>
      <c r="B15" s="5" t="n"/>
      <c r="C15" s="5" t="n"/>
      <c r="D15" s="5" t="n"/>
      <c r="E15" s="5" t="n"/>
      <c r="F15" s="11" t="n"/>
      <c r="G15" s="11" t="n"/>
      <c r="H15" s="11" t="n"/>
      <c r="I15" s="5" t="n"/>
      <c r="J15" s="5" t="n"/>
      <c r="K15" s="11" t="n"/>
      <c r="L15" s="5" t="n"/>
      <c r="M15" s="4">
        <f>IF(B15="","",IF(AND(J15="Yes",L15="Yes",H15&gt;=TODAY()),"Compliant",IF(OR(J15="No",L15="No"),"Non-Compliant","Partial")))</f>
        <v/>
      </c>
      <c r="N15" s="5" t="n"/>
    </row>
    <row r="16">
      <c r="A16" s="5" t="n"/>
      <c r="B16" s="5" t="n"/>
      <c r="C16" s="5" t="n"/>
      <c r="D16" s="5" t="n"/>
      <c r="E16" s="5" t="n"/>
      <c r="F16" s="11" t="n"/>
      <c r="G16" s="11" t="n"/>
      <c r="H16" s="11" t="n"/>
      <c r="I16" s="5" t="n"/>
      <c r="J16" s="5" t="n"/>
      <c r="K16" s="11" t="n"/>
      <c r="L16" s="5" t="n"/>
      <c r="M16" s="4">
        <f>IF(B16="","",IF(AND(J16="Yes",L16="Yes",H16&gt;=TODAY()),"Compliant",IF(OR(J16="No",L16="No"),"Non-Compliant","Partial")))</f>
        <v/>
      </c>
      <c r="N16" s="5" t="n"/>
    </row>
    <row r="17">
      <c r="A17" s="5" t="n"/>
      <c r="B17" s="5" t="n"/>
      <c r="C17" s="5" t="n"/>
      <c r="D17" s="5" t="n"/>
      <c r="E17" s="5" t="n"/>
      <c r="F17" s="11" t="n"/>
      <c r="G17" s="11" t="n"/>
      <c r="H17" s="11" t="n"/>
      <c r="I17" s="5" t="n"/>
      <c r="J17" s="5" t="n"/>
      <c r="K17" s="11" t="n"/>
      <c r="L17" s="5" t="n"/>
      <c r="M17" s="4">
        <f>IF(B17="","",IF(AND(J17="Yes",L17="Yes",H17&gt;=TODAY()),"Compliant",IF(OR(J17="No",L17="No"),"Non-Compliant","Partial")))</f>
        <v/>
      </c>
      <c r="N17" s="5" t="n"/>
    </row>
    <row r="18">
      <c r="A18" s="5" t="n"/>
      <c r="B18" s="5" t="n"/>
      <c r="C18" s="5" t="n"/>
      <c r="D18" s="5" t="n"/>
      <c r="E18" s="5" t="n"/>
      <c r="F18" s="11" t="n"/>
      <c r="G18" s="11" t="n"/>
      <c r="H18" s="11" t="n"/>
      <c r="I18" s="5" t="n"/>
      <c r="J18" s="5" t="n"/>
      <c r="K18" s="11" t="n"/>
      <c r="L18" s="5" t="n"/>
      <c r="M18" s="4">
        <f>IF(B18="","",IF(AND(J18="Yes",L18="Yes",H18&gt;=TODAY()),"Compliant",IF(OR(J18="No",L18="No"),"Non-Compliant","Partial")))</f>
        <v/>
      </c>
      <c r="N18" s="5" t="n"/>
    </row>
    <row r="19">
      <c r="A19" s="5" t="n"/>
      <c r="B19" s="5" t="n"/>
      <c r="C19" s="5" t="n"/>
      <c r="D19" s="5" t="n"/>
      <c r="E19" s="5" t="n"/>
      <c r="F19" s="11" t="n"/>
      <c r="G19" s="11" t="n"/>
      <c r="H19" s="11" t="n"/>
      <c r="I19" s="5" t="n"/>
      <c r="J19" s="5" t="n"/>
      <c r="K19" s="11" t="n"/>
      <c r="L19" s="5" t="n"/>
      <c r="M19" s="4">
        <f>IF(B19="","",IF(AND(J19="Yes",L19="Yes",H19&gt;=TODAY()),"Compliant",IF(OR(J19="No",L19="No"),"Non-Compliant","Partial")))</f>
        <v/>
      </c>
      <c r="N19" s="5" t="n"/>
    </row>
    <row r="20">
      <c r="A20" s="5" t="n"/>
      <c r="B20" s="5" t="n"/>
      <c r="C20" s="5" t="n"/>
      <c r="D20" s="5" t="n"/>
      <c r="E20" s="5" t="n"/>
      <c r="F20" s="11" t="n"/>
      <c r="G20" s="11" t="n"/>
      <c r="H20" s="11" t="n"/>
      <c r="I20" s="5" t="n"/>
      <c r="J20" s="5" t="n"/>
      <c r="K20" s="11" t="n"/>
      <c r="L20" s="5" t="n"/>
      <c r="M20" s="4">
        <f>IF(B20="","",IF(AND(J20="Yes",L20="Yes",H20&gt;=TODAY()),"Compliant",IF(OR(J20="No",L20="No"),"Non-Compliant","Partial")))</f>
        <v/>
      </c>
      <c r="N20" s="5" t="n"/>
    </row>
    <row r="21">
      <c r="A21" s="5" t="n"/>
      <c r="B21" s="5" t="n"/>
      <c r="C21" s="5" t="n"/>
      <c r="D21" s="5" t="n"/>
      <c r="E21" s="5" t="n"/>
      <c r="F21" s="11" t="n"/>
      <c r="G21" s="11" t="n"/>
      <c r="H21" s="11" t="n"/>
      <c r="I21" s="5" t="n"/>
      <c r="J21" s="5" t="n"/>
      <c r="K21" s="11" t="n"/>
      <c r="L21" s="5" t="n"/>
      <c r="M21" s="4">
        <f>IF(B21="","",IF(AND(J21="Yes",L21="Yes",H21&gt;=TODAY()),"Compliant",IF(OR(J21="No",L21="No"),"Non-Compliant","Partial")))</f>
        <v/>
      </c>
      <c r="N21" s="5" t="n"/>
    </row>
    <row r="22">
      <c r="A22" s="5" t="n"/>
      <c r="B22" s="5" t="n"/>
      <c r="C22" s="5" t="n"/>
      <c r="D22" s="5" t="n"/>
      <c r="E22" s="5" t="n"/>
      <c r="F22" s="11" t="n"/>
      <c r="G22" s="11" t="n"/>
      <c r="H22" s="11" t="n"/>
      <c r="I22" s="5" t="n"/>
      <c r="J22" s="5" t="n"/>
      <c r="K22" s="11" t="n"/>
      <c r="L22" s="5" t="n"/>
      <c r="M22" s="4">
        <f>IF(B22="","",IF(AND(J22="Yes",L22="Yes",H22&gt;=TODAY()),"Compliant",IF(OR(J22="No",L22="No"),"Non-Compliant","Partial")))</f>
        <v/>
      </c>
      <c r="N22" s="5" t="n"/>
    </row>
    <row r="23">
      <c r="A23" s="5" t="n"/>
      <c r="B23" s="5" t="n"/>
      <c r="C23" s="5" t="n"/>
      <c r="D23" s="5" t="n"/>
      <c r="E23" s="5" t="n"/>
      <c r="F23" s="11" t="n"/>
      <c r="G23" s="11" t="n"/>
      <c r="H23" s="11" t="n"/>
      <c r="I23" s="5" t="n"/>
      <c r="J23" s="5" t="n"/>
      <c r="K23" s="11" t="n"/>
      <c r="L23" s="5" t="n"/>
      <c r="M23" s="4">
        <f>IF(B23="","",IF(AND(J23="Yes",L23="Yes",H23&gt;=TODAY()),"Compliant",IF(OR(J23="No",L23="No"),"Non-Compliant","Partial")))</f>
        <v/>
      </c>
      <c r="N23" s="5" t="n"/>
    </row>
    <row r="24">
      <c r="A24" s="5" t="n"/>
      <c r="B24" s="5" t="n"/>
      <c r="C24" s="5" t="n"/>
      <c r="D24" s="5" t="n"/>
      <c r="E24" s="5" t="n"/>
      <c r="F24" s="11" t="n"/>
      <c r="G24" s="11" t="n"/>
      <c r="H24" s="11" t="n"/>
      <c r="I24" s="5" t="n"/>
      <c r="J24" s="5" t="n"/>
      <c r="K24" s="11" t="n"/>
      <c r="L24" s="5" t="n"/>
      <c r="M24" s="4">
        <f>IF(B24="","",IF(AND(J24="Yes",L24="Yes",H24&gt;=TODAY()),"Compliant",IF(OR(J24="No",L24="No"),"Non-Compliant","Partial")))</f>
        <v/>
      </c>
      <c r="N24" s="5" t="n"/>
    </row>
    <row r="25">
      <c r="A25" s="5" t="n"/>
      <c r="B25" s="5" t="n"/>
      <c r="C25" s="5" t="n"/>
      <c r="D25" s="5" t="n"/>
      <c r="E25" s="5" t="n"/>
      <c r="F25" s="11" t="n"/>
      <c r="G25" s="11" t="n"/>
      <c r="H25" s="11" t="n"/>
      <c r="I25" s="5" t="n"/>
      <c r="J25" s="5" t="n"/>
      <c r="K25" s="11" t="n"/>
      <c r="L25" s="5" t="n"/>
      <c r="M25" s="4">
        <f>IF(B25="","",IF(AND(J25="Yes",L25="Yes",H25&gt;=TODAY()),"Compliant",IF(OR(J25="No",L25="No"),"Non-Compliant","Partial")))</f>
        <v/>
      </c>
      <c r="N25" s="5" t="n"/>
    </row>
    <row r="26">
      <c r="A26" s="5" t="n"/>
      <c r="B26" s="5" t="n"/>
      <c r="C26" s="5" t="n"/>
      <c r="D26" s="5" t="n"/>
      <c r="E26" s="5" t="n"/>
      <c r="F26" s="11" t="n"/>
      <c r="G26" s="11" t="n"/>
      <c r="H26" s="11" t="n"/>
      <c r="I26" s="5" t="n"/>
      <c r="J26" s="5" t="n"/>
      <c r="K26" s="11" t="n"/>
      <c r="L26" s="5" t="n"/>
      <c r="M26" s="4">
        <f>IF(B26="","",IF(AND(J26="Yes",L26="Yes",H26&gt;=TODAY()),"Compliant",IF(OR(J26="No",L26="No"),"Non-Compliant","Partial")))</f>
        <v/>
      </c>
      <c r="N26" s="5" t="n"/>
    </row>
    <row r="27">
      <c r="A27" s="5" t="n"/>
      <c r="B27" s="5" t="n"/>
      <c r="C27" s="5" t="n"/>
      <c r="D27" s="5" t="n"/>
      <c r="E27" s="5" t="n"/>
      <c r="F27" s="11" t="n"/>
      <c r="G27" s="11" t="n"/>
      <c r="H27" s="11" t="n"/>
      <c r="I27" s="5" t="n"/>
      <c r="J27" s="5" t="n"/>
      <c r="K27" s="11" t="n"/>
      <c r="L27" s="5" t="n"/>
      <c r="M27" s="4">
        <f>IF(B27="","",IF(AND(J27="Yes",L27="Yes",H27&gt;=TODAY()),"Compliant",IF(OR(J27="No",L27="No"),"Non-Compliant","Partial")))</f>
        <v/>
      </c>
      <c r="N27" s="5" t="n"/>
    </row>
    <row r="28">
      <c r="A28" s="5" t="n"/>
      <c r="B28" s="5" t="n"/>
      <c r="C28" s="5" t="n"/>
      <c r="D28" s="5" t="n"/>
      <c r="E28" s="5" t="n"/>
      <c r="F28" s="11" t="n"/>
      <c r="G28" s="11" t="n"/>
      <c r="H28" s="11" t="n"/>
      <c r="I28" s="5" t="n"/>
      <c r="J28" s="5" t="n"/>
      <c r="K28" s="11" t="n"/>
      <c r="L28" s="5" t="n"/>
      <c r="M28" s="4">
        <f>IF(B28="","",IF(AND(J28="Yes",L28="Yes",H28&gt;=TODAY()),"Compliant",IF(OR(J28="No",L28="No"),"Non-Compliant","Partial")))</f>
        <v/>
      </c>
      <c r="N28" s="5" t="n"/>
    </row>
    <row r="29">
      <c r="A29" s="5" t="n"/>
      <c r="B29" s="5" t="n"/>
      <c r="C29" s="5" t="n"/>
      <c r="D29" s="5" t="n"/>
      <c r="E29" s="5" t="n"/>
      <c r="F29" s="11" t="n"/>
      <c r="G29" s="11" t="n"/>
      <c r="H29" s="11" t="n"/>
      <c r="I29" s="5" t="n"/>
      <c r="J29" s="5" t="n"/>
      <c r="K29" s="11" t="n"/>
      <c r="L29" s="5" t="n"/>
      <c r="M29" s="4">
        <f>IF(B29="","",IF(AND(J29="Yes",L29="Yes",H29&gt;=TODAY()),"Compliant",IF(OR(J29="No",L29="No"),"Non-Compliant","Partial")))</f>
        <v/>
      </c>
      <c r="N29" s="5" t="n"/>
    </row>
    <row r="30">
      <c r="A30" s="5" t="n"/>
      <c r="B30" s="5" t="n"/>
      <c r="C30" s="5" t="n"/>
      <c r="D30" s="5" t="n"/>
      <c r="E30" s="5" t="n"/>
      <c r="F30" s="11" t="n"/>
      <c r="G30" s="11" t="n"/>
      <c r="H30" s="11" t="n"/>
      <c r="I30" s="5" t="n"/>
      <c r="J30" s="5" t="n"/>
      <c r="K30" s="11" t="n"/>
      <c r="L30" s="5" t="n"/>
      <c r="M30" s="4">
        <f>IF(B30="","",IF(AND(J30="Yes",L30="Yes",H30&gt;=TODAY()),"Compliant",IF(OR(J30="No",L30="No"),"Non-Compliant","Partial")))</f>
        <v/>
      </c>
      <c r="N30" s="5" t="n"/>
    </row>
    <row r="31">
      <c r="A31" s="5" t="n"/>
      <c r="B31" s="5" t="n"/>
      <c r="C31" s="5" t="n"/>
      <c r="D31" s="5" t="n"/>
      <c r="E31" s="5" t="n"/>
      <c r="F31" s="11" t="n"/>
      <c r="G31" s="11" t="n"/>
      <c r="H31" s="11" t="n"/>
      <c r="I31" s="5" t="n"/>
      <c r="J31" s="5" t="n"/>
      <c r="K31" s="11" t="n"/>
      <c r="L31" s="5" t="n"/>
      <c r="M31" s="4">
        <f>IF(B31="","",IF(AND(J31="Yes",L31="Yes",H31&gt;=TODAY()),"Compliant",IF(OR(J31="No",L31="No"),"Non-Compliant","Partial")))</f>
        <v/>
      </c>
      <c r="N31" s="5" t="n"/>
    </row>
    <row r="32">
      <c r="A32" s="5" t="n"/>
      <c r="B32" s="5" t="n"/>
      <c r="C32" s="5" t="n"/>
      <c r="D32" s="5" t="n"/>
      <c r="E32" s="5" t="n"/>
      <c r="F32" s="11" t="n"/>
      <c r="G32" s="11" t="n"/>
      <c r="H32" s="11" t="n"/>
      <c r="I32" s="5" t="n"/>
      <c r="J32" s="5" t="n"/>
      <c r="K32" s="11" t="n"/>
      <c r="L32" s="5" t="n"/>
      <c r="M32" s="4">
        <f>IF(B32="","",IF(AND(J32="Yes",L32="Yes",H32&gt;=TODAY()),"Compliant",IF(OR(J32="No",L32="No"),"Non-Compliant","Partial")))</f>
        <v/>
      </c>
      <c r="N32" s="5" t="n"/>
    </row>
    <row r="33">
      <c r="A33" s="5" t="n"/>
      <c r="B33" s="5" t="n"/>
      <c r="C33" s="5" t="n"/>
      <c r="D33" s="5" t="n"/>
      <c r="E33" s="5" t="n"/>
      <c r="F33" s="11" t="n"/>
      <c r="G33" s="11" t="n"/>
      <c r="H33" s="11" t="n"/>
      <c r="I33" s="5" t="n"/>
      <c r="J33" s="5" t="n"/>
      <c r="K33" s="11" t="n"/>
      <c r="L33" s="5" t="n"/>
      <c r="M33" s="4">
        <f>IF(B33="","",IF(AND(J33="Yes",L33="Yes",H33&gt;=TODAY()),"Compliant",IF(OR(J33="No",L33="No"),"Non-Compliant","Partial")))</f>
        <v/>
      </c>
      <c r="N33" s="5" t="n"/>
    </row>
    <row r="34">
      <c r="A34" s="5" t="n"/>
      <c r="B34" s="5" t="n"/>
      <c r="C34" s="5" t="n"/>
      <c r="D34" s="5" t="n"/>
      <c r="E34" s="5" t="n"/>
      <c r="F34" s="11" t="n"/>
      <c r="G34" s="11" t="n"/>
      <c r="H34" s="11" t="n"/>
      <c r="I34" s="5" t="n"/>
      <c r="J34" s="5" t="n"/>
      <c r="K34" s="11" t="n"/>
      <c r="L34" s="5" t="n"/>
      <c r="M34" s="4">
        <f>IF(B34="","",IF(AND(J34="Yes",L34="Yes",H34&gt;=TODAY()),"Compliant",IF(OR(J34="No",L34="No"),"Non-Compliant","Partial")))</f>
        <v/>
      </c>
      <c r="N34" s="5" t="n"/>
    </row>
    <row r="35">
      <c r="A35" s="5" t="n"/>
      <c r="B35" s="5" t="n"/>
      <c r="C35" s="5" t="n"/>
      <c r="D35" s="5" t="n"/>
      <c r="E35" s="5" t="n"/>
      <c r="F35" s="11" t="n"/>
      <c r="G35" s="11" t="n"/>
      <c r="H35" s="11" t="n"/>
      <c r="I35" s="5" t="n"/>
      <c r="J35" s="5" t="n"/>
      <c r="K35" s="11" t="n"/>
      <c r="L35" s="5" t="n"/>
      <c r="M35" s="4">
        <f>IF(B35="","",IF(AND(J35="Yes",L35="Yes",H35&gt;=TODAY()),"Compliant",IF(OR(J35="No",L35="No"),"Non-Compliant","Partial")))</f>
        <v/>
      </c>
      <c r="N35" s="5" t="n"/>
    </row>
    <row r="36">
      <c r="A36" s="5" t="n"/>
      <c r="B36" s="5" t="n"/>
      <c r="C36" s="5" t="n"/>
      <c r="D36" s="5" t="n"/>
      <c r="E36" s="5" t="n"/>
      <c r="F36" s="11" t="n"/>
      <c r="G36" s="11" t="n"/>
      <c r="H36" s="11" t="n"/>
      <c r="I36" s="5" t="n"/>
      <c r="J36" s="5" t="n"/>
      <c r="K36" s="11" t="n"/>
      <c r="L36" s="5" t="n"/>
      <c r="M36" s="4">
        <f>IF(B36="","",IF(AND(J36="Yes",L36="Yes",H36&gt;=TODAY()),"Compliant",IF(OR(J36="No",L36="No"),"Non-Compliant","Partial")))</f>
        <v/>
      </c>
      <c r="N36" s="5" t="n"/>
    </row>
    <row r="37">
      <c r="A37" s="5" t="n"/>
      <c r="B37" s="5" t="n"/>
      <c r="C37" s="5" t="n"/>
      <c r="D37" s="5" t="n"/>
      <c r="E37" s="5" t="n"/>
      <c r="F37" s="11" t="n"/>
      <c r="G37" s="11" t="n"/>
      <c r="H37" s="11" t="n"/>
      <c r="I37" s="5" t="n"/>
      <c r="J37" s="5" t="n"/>
      <c r="K37" s="11" t="n"/>
      <c r="L37" s="5" t="n"/>
      <c r="M37" s="4">
        <f>IF(B37="","",IF(AND(J37="Yes",L37="Yes",H37&gt;=TODAY()),"Compliant",IF(OR(J37="No",L37="No"),"Non-Compliant","Partial")))</f>
        <v/>
      </c>
      <c r="N37" s="5" t="n"/>
    </row>
    <row r="38">
      <c r="A38" s="5" t="n"/>
      <c r="B38" s="5" t="n"/>
      <c r="C38" s="5" t="n"/>
      <c r="D38" s="5" t="n"/>
      <c r="E38" s="5" t="n"/>
      <c r="F38" s="11" t="n"/>
      <c r="G38" s="11" t="n"/>
      <c r="H38" s="11" t="n"/>
      <c r="I38" s="5" t="n"/>
      <c r="J38" s="5" t="n"/>
      <c r="K38" s="11" t="n"/>
      <c r="L38" s="5" t="n"/>
      <c r="M38" s="4">
        <f>IF(B38="","",IF(AND(J38="Yes",L38="Yes",H38&gt;=TODAY()),"Compliant",IF(OR(J38="No",L38="No"),"Non-Compliant","Partial")))</f>
        <v/>
      </c>
      <c r="N38" s="5" t="n"/>
    </row>
    <row r="39">
      <c r="A39" s="5" t="n"/>
      <c r="B39" s="5" t="n"/>
      <c r="C39" s="5" t="n"/>
      <c r="D39" s="5" t="n"/>
      <c r="E39" s="5" t="n"/>
      <c r="F39" s="11" t="n"/>
      <c r="G39" s="11" t="n"/>
      <c r="H39" s="11" t="n"/>
      <c r="I39" s="5" t="n"/>
      <c r="J39" s="5" t="n"/>
      <c r="K39" s="11" t="n"/>
      <c r="L39" s="5" t="n"/>
      <c r="M39" s="4">
        <f>IF(B39="","",IF(AND(J39="Yes",L39="Yes",H39&gt;=TODAY()),"Compliant",IF(OR(J39="No",L39="No"),"Non-Compliant","Partial")))</f>
        <v/>
      </c>
      <c r="N39" s="5" t="n"/>
    </row>
    <row r="40">
      <c r="A40" s="5" t="n"/>
      <c r="B40" s="5" t="n"/>
      <c r="C40" s="5" t="n"/>
      <c r="D40" s="5" t="n"/>
      <c r="E40" s="5" t="n"/>
      <c r="F40" s="11" t="n"/>
      <c r="G40" s="11" t="n"/>
      <c r="H40" s="11" t="n"/>
      <c r="I40" s="5" t="n"/>
      <c r="J40" s="5" t="n"/>
      <c r="K40" s="11" t="n"/>
      <c r="L40" s="5" t="n"/>
      <c r="M40" s="4">
        <f>IF(B40="","",IF(AND(J40="Yes",L40="Yes",H40&gt;=TODAY()),"Compliant",IF(OR(J40="No",L40="No"),"Non-Compliant","Partial")))</f>
        <v/>
      </c>
      <c r="N40" s="5" t="n"/>
    </row>
    <row r="41">
      <c r="A41" s="5" t="n"/>
      <c r="B41" s="5" t="n"/>
      <c r="C41" s="5" t="n"/>
      <c r="D41" s="5" t="n"/>
      <c r="E41" s="5" t="n"/>
      <c r="F41" s="11" t="n"/>
      <c r="G41" s="11" t="n"/>
      <c r="H41" s="11" t="n"/>
      <c r="I41" s="5" t="n"/>
      <c r="J41" s="5" t="n"/>
      <c r="K41" s="11" t="n"/>
      <c r="L41" s="5" t="n"/>
      <c r="M41" s="4">
        <f>IF(B41="","",IF(AND(J41="Yes",L41="Yes",H41&gt;=TODAY()),"Compliant",IF(OR(J41="No",L41="No"),"Non-Compliant","Partial")))</f>
        <v/>
      </c>
      <c r="N41" s="5" t="n"/>
    </row>
    <row r="42">
      <c r="A42" s="5" t="n"/>
      <c r="B42" s="5" t="n"/>
      <c r="C42" s="5" t="n"/>
      <c r="D42" s="5" t="n"/>
      <c r="E42" s="5" t="n"/>
      <c r="F42" s="11" t="n"/>
      <c r="G42" s="11" t="n"/>
      <c r="H42" s="11" t="n"/>
      <c r="I42" s="5" t="n"/>
      <c r="J42" s="5" t="n"/>
      <c r="K42" s="11" t="n"/>
      <c r="L42" s="5" t="n"/>
      <c r="M42" s="4">
        <f>IF(B42="","",IF(AND(J42="Yes",L42="Yes",H42&gt;=TODAY()),"Compliant",IF(OR(J42="No",L42="No"),"Non-Compliant","Partial")))</f>
        <v/>
      </c>
      <c r="N42" s="5" t="n"/>
    </row>
    <row r="43">
      <c r="A43" s="5" t="n"/>
      <c r="B43" s="5" t="n"/>
      <c r="C43" s="5" t="n"/>
      <c r="D43" s="5" t="n"/>
      <c r="E43" s="5" t="n"/>
      <c r="F43" s="11" t="n"/>
      <c r="G43" s="11" t="n"/>
      <c r="H43" s="11" t="n"/>
      <c r="I43" s="5" t="n"/>
      <c r="J43" s="5" t="n"/>
      <c r="K43" s="11" t="n"/>
      <c r="L43" s="5" t="n"/>
      <c r="M43" s="4">
        <f>IF(B43="","",IF(AND(J43="Yes",L43="Yes",H43&gt;=TODAY()),"Compliant",IF(OR(J43="No",L43="No"),"Non-Compliant","Partial")))</f>
        <v/>
      </c>
      <c r="N43" s="5" t="n"/>
    </row>
    <row r="44">
      <c r="A44" s="5" t="n"/>
      <c r="B44" s="5" t="n"/>
      <c r="C44" s="5" t="n"/>
      <c r="D44" s="5" t="n"/>
      <c r="E44" s="5" t="n"/>
      <c r="F44" s="11" t="n"/>
      <c r="G44" s="11" t="n"/>
      <c r="H44" s="11" t="n"/>
      <c r="I44" s="5" t="n"/>
      <c r="J44" s="5" t="n"/>
      <c r="K44" s="11" t="n"/>
      <c r="L44" s="5" t="n"/>
      <c r="M44" s="4">
        <f>IF(B44="","",IF(AND(J44="Yes",L44="Yes",H44&gt;=TODAY()),"Compliant",IF(OR(J44="No",L44="No"),"Non-Compliant","Partial")))</f>
        <v/>
      </c>
      <c r="N44" s="5" t="n"/>
    </row>
    <row r="45">
      <c r="A45" s="5" t="n"/>
      <c r="B45" s="5" t="n"/>
      <c r="C45" s="5" t="n"/>
      <c r="D45" s="5" t="n"/>
      <c r="E45" s="5" t="n"/>
      <c r="F45" s="11" t="n"/>
      <c r="G45" s="11" t="n"/>
      <c r="H45" s="11" t="n"/>
      <c r="I45" s="5" t="n"/>
      <c r="J45" s="5" t="n"/>
      <c r="K45" s="11" t="n"/>
      <c r="L45" s="5" t="n"/>
      <c r="M45" s="4">
        <f>IF(B45="","",IF(AND(J45="Yes",L45="Yes",H45&gt;=TODAY()),"Compliant",IF(OR(J45="No",L45="No"),"Non-Compliant","Partial")))</f>
        <v/>
      </c>
      <c r="N45" s="5" t="n"/>
    </row>
    <row r="46">
      <c r="A46" s="5" t="n"/>
      <c r="B46" s="5" t="n"/>
      <c r="C46" s="5" t="n"/>
      <c r="D46" s="5" t="n"/>
      <c r="E46" s="5" t="n"/>
      <c r="F46" s="11" t="n"/>
      <c r="G46" s="11" t="n"/>
      <c r="H46" s="11" t="n"/>
      <c r="I46" s="5" t="n"/>
      <c r="J46" s="5" t="n"/>
      <c r="K46" s="11" t="n"/>
      <c r="L46" s="5" t="n"/>
      <c r="M46" s="4">
        <f>IF(B46="","",IF(AND(J46="Yes",L46="Yes",H46&gt;=TODAY()),"Compliant",IF(OR(J46="No",L46="No"),"Non-Compliant","Partial")))</f>
        <v/>
      </c>
      <c r="N46" s="5" t="n"/>
    </row>
    <row r="47">
      <c r="A47" s="5" t="n"/>
      <c r="B47" s="5" t="n"/>
      <c r="C47" s="5" t="n"/>
      <c r="D47" s="5" t="n"/>
      <c r="E47" s="5" t="n"/>
      <c r="F47" s="11" t="n"/>
      <c r="G47" s="11" t="n"/>
      <c r="H47" s="11" t="n"/>
      <c r="I47" s="5" t="n"/>
      <c r="J47" s="5" t="n"/>
      <c r="K47" s="11" t="n"/>
      <c r="L47" s="5" t="n"/>
      <c r="M47" s="4">
        <f>IF(B47="","",IF(AND(J47="Yes",L47="Yes",H47&gt;=TODAY()),"Compliant",IF(OR(J47="No",L47="No"),"Non-Compliant","Partial")))</f>
        <v/>
      </c>
      <c r="N47" s="5" t="n"/>
    </row>
    <row r="48">
      <c r="A48" s="5" t="n"/>
      <c r="B48" s="5" t="n"/>
      <c r="C48" s="5" t="n"/>
      <c r="D48" s="5" t="n"/>
      <c r="E48" s="5" t="n"/>
      <c r="F48" s="11" t="n"/>
      <c r="G48" s="11" t="n"/>
      <c r="H48" s="11" t="n"/>
      <c r="I48" s="5" t="n"/>
      <c r="J48" s="5" t="n"/>
      <c r="K48" s="11" t="n"/>
      <c r="L48" s="5" t="n"/>
      <c r="M48" s="4">
        <f>IF(B48="","",IF(AND(J48="Yes",L48="Yes",H48&gt;=TODAY()),"Compliant",IF(OR(J48="No",L48="No"),"Non-Compliant","Partial")))</f>
        <v/>
      </c>
      <c r="N48" s="5" t="n"/>
    </row>
    <row r="49">
      <c r="A49" s="5" t="n"/>
      <c r="B49" s="5" t="n"/>
      <c r="C49" s="5" t="n"/>
      <c r="D49" s="5" t="n"/>
      <c r="E49" s="5" t="n"/>
      <c r="F49" s="11" t="n"/>
      <c r="G49" s="11" t="n"/>
      <c r="H49" s="11" t="n"/>
      <c r="I49" s="5" t="n"/>
      <c r="J49" s="5" t="n"/>
      <c r="K49" s="11" t="n"/>
      <c r="L49" s="5" t="n"/>
      <c r="M49" s="4">
        <f>IF(B49="","",IF(AND(J49="Yes",L49="Yes",H49&gt;=TODAY()),"Compliant",IF(OR(J49="No",L49="No"),"Non-Compliant","Partial")))</f>
        <v/>
      </c>
      <c r="N49" s="5" t="n"/>
    </row>
    <row r="50">
      <c r="A50" s="5" t="n"/>
      <c r="B50" s="5" t="n"/>
      <c r="C50" s="5" t="n"/>
      <c r="D50" s="5" t="n"/>
      <c r="E50" s="5" t="n"/>
      <c r="F50" s="11" t="n"/>
      <c r="G50" s="11" t="n"/>
      <c r="H50" s="11" t="n"/>
      <c r="I50" s="5" t="n"/>
      <c r="J50" s="5" t="n"/>
      <c r="K50" s="11" t="n"/>
      <c r="L50" s="5" t="n"/>
      <c r="M50" s="4">
        <f>IF(B50="","",IF(AND(J50="Yes",L50="Yes",H50&gt;=TODAY()),"Compliant",IF(OR(J50="No",L50="No"),"Non-Compliant","Partial")))</f>
        <v/>
      </c>
      <c r="N50" s="5" t="n"/>
    </row>
    <row r="51">
      <c r="A51" s="5" t="n"/>
      <c r="B51" s="5" t="n"/>
      <c r="C51" s="5" t="n"/>
      <c r="D51" s="5" t="n"/>
      <c r="E51" s="5" t="n"/>
      <c r="F51" s="11" t="n"/>
      <c r="G51" s="11" t="n"/>
      <c r="H51" s="11" t="n"/>
      <c r="I51" s="5" t="n"/>
      <c r="J51" s="5" t="n"/>
      <c r="K51" s="11" t="n"/>
      <c r="L51" s="5" t="n"/>
      <c r="M51" s="4">
        <f>IF(B51="","",IF(AND(J51="Yes",L51="Yes",H51&gt;=TODAY()),"Compliant",IF(OR(J51="No",L51="No"),"Non-Compliant","Partial")))</f>
        <v/>
      </c>
      <c r="N51" s="5" t="n"/>
    </row>
    <row r="52">
      <c r="A52" s="5" t="n"/>
      <c r="B52" s="5" t="n"/>
      <c r="C52" s="5" t="n"/>
      <c r="D52" s="5" t="n"/>
      <c r="E52" s="5" t="n"/>
      <c r="F52" s="11" t="n"/>
      <c r="G52" s="11" t="n"/>
      <c r="H52" s="11" t="n"/>
      <c r="I52" s="5" t="n"/>
      <c r="J52" s="5" t="n"/>
      <c r="K52" s="11" t="n"/>
      <c r="L52" s="5" t="n"/>
      <c r="M52" s="4">
        <f>IF(B52="","",IF(AND(J52="Yes",L52="Yes",H52&gt;=TODAY()),"Compliant",IF(OR(J52="No",L52="No"),"Non-Compliant","Partial")))</f>
        <v/>
      </c>
      <c r="N52" s="5" t="n"/>
    </row>
    <row r="53">
      <c r="A53" s="5" t="n"/>
      <c r="B53" s="5" t="n"/>
      <c r="C53" s="5" t="n"/>
      <c r="D53" s="5" t="n"/>
      <c r="E53" s="5" t="n"/>
      <c r="F53" s="11" t="n"/>
      <c r="G53" s="11" t="n"/>
      <c r="H53" s="11" t="n"/>
      <c r="I53" s="5" t="n"/>
      <c r="J53" s="5" t="n"/>
      <c r="K53" s="11" t="n"/>
      <c r="L53" s="5" t="n"/>
      <c r="M53" s="4">
        <f>IF(B53="","",IF(AND(J53="Yes",L53="Yes",H53&gt;=TODAY()),"Compliant",IF(OR(J53="No",L53="No"),"Non-Compliant","Partial")))</f>
        <v/>
      </c>
      <c r="N53" s="5" t="n"/>
    </row>
    <row r="54">
      <c r="A54" s="5" t="n"/>
      <c r="B54" s="5" t="n"/>
      <c r="C54" s="5" t="n"/>
      <c r="D54" s="5" t="n"/>
      <c r="E54" s="5" t="n"/>
      <c r="F54" s="11" t="n"/>
      <c r="G54" s="11" t="n"/>
      <c r="H54" s="11" t="n"/>
      <c r="I54" s="5" t="n"/>
      <c r="J54" s="5" t="n"/>
      <c r="K54" s="11" t="n"/>
      <c r="L54" s="5" t="n"/>
      <c r="M54" s="4">
        <f>IF(B54="","",IF(AND(J54="Yes",L54="Yes",H54&gt;=TODAY()),"Compliant",IF(OR(J54="No",L54="No"),"Non-Compliant","Partial")))</f>
        <v/>
      </c>
      <c r="N5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N2"/>
    <mergeCell ref="A1:N1"/>
  </mergeCells>
  <dataValidations count="3">
    <dataValidation sqref="C5:C54" showDropDown="0" showInputMessage="0" showErrorMessage="1" allowBlank="1" errorTitle="Invalid Entry" error="Please select from dropdown" type="list">
      <formula1>"Employee-Permanent,Employee-Fixed-Term,Executive,Intern,Contractor,Consultant,Agency-Worker"</formula1>
    </dataValidation>
    <dataValidation sqref="D5:D54" showDropDown="0" showInputMessage="0" showErrorMessage="1" allowBlank="1" errorTitle="Invalid Entry" error="Please select from dropdown" type="list">
      <formula1>"All-Personnel,IT-Staff,Management,Finance,HR,Operations,External,Privileged-Users"</formula1>
    </dataValidation>
    <dataValidation sqref="J5:J54 L5:L54" showDropDown="0" showInputMessage="0" showErrorMessage="1" allowBlank="1" errorTitle="Invalid Entry" error="Please select from dropdown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50" customWidth="1" min="4" max="4"/>
    <col width="20" customWidth="1" min="5" max="5"/>
    <col width="20" customWidth="1" min="6" max="6"/>
    <col width="25" customWidth="1" min="7" max="7"/>
    <col width="15" customWidth="1" min="8" max="8"/>
    <col width="25" customWidth="1" min="9" max="9"/>
    <col width="40" customWidth="1" min="10" max="10"/>
    <col width="12" customWidth="1" min="11" max="11"/>
    <col width="40" customWidth="1" min="12" max="12"/>
  </cols>
  <sheetData>
    <row r="1">
      <c r="A1" s="1" t="inlineStr">
        <is>
          <t>REQUIRED CLAUSE REGISTRY</t>
        </is>
      </c>
    </row>
    <row r="2">
      <c r="A2" s="2" t="inlineStr">
        <is>
          <t>Master list of required security clauses with template coverage verification</t>
        </is>
      </c>
    </row>
    <row r="4">
      <c r="A4" s="8" t="inlineStr">
        <is>
          <t>Clause_ID</t>
        </is>
      </c>
      <c r="B4" s="8" t="inlineStr">
        <is>
          <t>Clause_Category</t>
        </is>
      </c>
      <c r="C4" s="8" t="inlineStr">
        <is>
          <t>Clause_Title</t>
        </is>
      </c>
      <c r="D4" s="8" t="inlineStr">
        <is>
          <t>Clause_Description</t>
        </is>
      </c>
      <c r="E4" s="8" t="inlineStr">
        <is>
          <t>ISO_27001_Reference</t>
        </is>
      </c>
      <c r="F4" s="8" t="inlineStr">
        <is>
          <t>Legal_Requirement</t>
        </is>
      </c>
      <c r="G4" s="8" t="inlineStr">
        <is>
          <t>Mandatory_For</t>
        </is>
      </c>
      <c r="H4" s="8" t="inlineStr">
        <is>
          <t>Coverage_Status</t>
        </is>
      </c>
      <c r="I4" s="8" t="inlineStr">
        <is>
          <t>Templates_With_Clause</t>
        </is>
      </c>
      <c r="J4" s="8" t="inlineStr">
        <is>
          <t>Gap_If_Missing</t>
        </is>
      </c>
      <c r="K4" s="8" t="inlineStr">
        <is>
          <t>Last_Verified</t>
        </is>
      </c>
      <c r="L4" s="8" t="inlineStr">
        <is>
          <t>Notes</t>
        </is>
      </c>
    </row>
    <row r="5">
      <c r="A5" s="4" t="inlineStr">
        <is>
          <t>RC-001</t>
        </is>
      </c>
      <c r="B5" s="4" t="inlineStr">
        <is>
          <t>Confidentiality</t>
        </is>
      </c>
      <c r="C5" s="4" t="inlineStr">
        <is>
          <t>Confidentiality and Non-Disclosure</t>
        </is>
      </c>
      <c r="D5" s="4" t="inlineStr">
        <is>
          <t>Employee agrees to maintain confidentiality of all company information</t>
        </is>
      </c>
      <c r="E5" s="4" t="inlineStr">
        <is>
          <t>A.5.1, A.6.2</t>
        </is>
      </c>
      <c r="F5" s="4" t="inlineStr">
        <is>
          <t>Employment Law</t>
        </is>
      </c>
      <c r="G5" s="5" t="n"/>
      <c r="H5" s="5" t="n"/>
      <c r="I5" s="5" t="n"/>
      <c r="J5" s="5" t="n"/>
      <c r="K5" s="11" t="n"/>
      <c r="L5" s="5" t="n"/>
    </row>
    <row r="6">
      <c r="A6" s="4" t="inlineStr">
        <is>
          <t>RC-002</t>
        </is>
      </c>
      <c r="B6" s="4" t="inlineStr">
        <is>
          <t>Confidentiality</t>
        </is>
      </c>
      <c r="C6" s="4" t="inlineStr">
        <is>
          <t>Non-Disclosure Agreement Reference</t>
        </is>
      </c>
      <c r="D6" s="4" t="inlineStr">
        <is>
          <t>Reference to standalone NDA or embedded NDA terms</t>
        </is>
      </c>
      <c r="E6" s="4" t="inlineStr">
        <is>
          <t>A.6.2</t>
        </is>
      </c>
      <c r="F6" s="4" t="inlineStr">
        <is>
          <t>Employment Law</t>
        </is>
      </c>
      <c r="G6" s="5" t="n"/>
      <c r="H6" s="5" t="n"/>
      <c r="I6" s="5" t="n"/>
      <c r="J6" s="5" t="n"/>
      <c r="K6" s="11" t="n"/>
      <c r="L6" s="5" t="n"/>
    </row>
    <row r="7">
      <c r="A7" s="4" t="inlineStr">
        <is>
          <t>RC-003</t>
        </is>
      </c>
      <c r="B7" s="4" t="inlineStr">
        <is>
          <t>IP Rights</t>
        </is>
      </c>
      <c r="C7" s="4" t="inlineStr">
        <is>
          <t>Intellectual Property Assignment</t>
        </is>
      </c>
      <c r="D7" s="4" t="inlineStr">
        <is>
          <t>All work product IP belongs to the organization</t>
        </is>
      </c>
      <c r="E7" s="4" t="inlineStr">
        <is>
          <t>A.5.1</t>
        </is>
      </c>
      <c r="F7" s="4" t="inlineStr">
        <is>
          <t>IP Law</t>
        </is>
      </c>
      <c r="G7" s="5" t="n"/>
      <c r="H7" s="5" t="n"/>
      <c r="I7" s="5" t="n"/>
      <c r="J7" s="5" t="n"/>
      <c r="K7" s="11" t="n"/>
      <c r="L7" s="5" t="n"/>
    </row>
    <row r="8">
      <c r="A8" s="4" t="inlineStr">
        <is>
          <t>RC-004</t>
        </is>
      </c>
      <c r="B8" s="4" t="inlineStr">
        <is>
          <t>IP Rights</t>
        </is>
      </c>
      <c r="C8" s="4" t="inlineStr">
        <is>
          <t>Invention Assignment</t>
        </is>
      </c>
      <c r="D8" s="4" t="inlineStr">
        <is>
          <t>Employee assigns rights to inventions created during employment</t>
        </is>
      </c>
      <c r="E8" s="4" t="inlineStr">
        <is>
          <t>A.5.1</t>
        </is>
      </c>
      <c r="F8" s="4" t="inlineStr">
        <is>
          <t>Patent Law</t>
        </is>
      </c>
      <c r="G8" s="5" t="n"/>
      <c r="H8" s="5" t="n"/>
      <c r="I8" s="5" t="n"/>
      <c r="J8" s="5" t="n"/>
      <c r="K8" s="11" t="n"/>
      <c r="L8" s="5" t="n"/>
    </row>
    <row r="9">
      <c r="A9" s="4" t="inlineStr">
        <is>
          <t>RC-005</t>
        </is>
      </c>
      <c r="B9" s="4" t="inlineStr">
        <is>
          <t>Security</t>
        </is>
      </c>
      <c r="C9" s="4" t="inlineStr">
        <is>
          <t>Information Security Responsibilities</t>
        </is>
      </c>
      <c r="D9" s="4" t="inlineStr">
        <is>
          <t>Employee responsibilities for information security</t>
        </is>
      </c>
      <c r="E9" s="4" t="inlineStr">
        <is>
          <t>A.6.2</t>
        </is>
      </c>
      <c r="F9" s="4" t="inlineStr">
        <is>
          <t>ISMS Policy</t>
        </is>
      </c>
      <c r="G9" s="5" t="n"/>
      <c r="H9" s="5" t="n"/>
      <c r="I9" s="5" t="n"/>
      <c r="J9" s="5" t="n"/>
      <c r="K9" s="11" t="n"/>
      <c r="L9" s="5" t="n"/>
    </row>
    <row r="10">
      <c r="A10" s="4" t="inlineStr">
        <is>
          <t>RC-006</t>
        </is>
      </c>
      <c r="B10" s="4" t="inlineStr">
        <is>
          <t>Security</t>
        </is>
      </c>
      <c r="C10" s="4" t="inlineStr">
        <is>
          <t>Acceptable Use Agreement Reference</t>
        </is>
      </c>
      <c r="D10" s="4" t="inlineStr">
        <is>
          <t>Reference to or acknowledgment of acceptable use policy</t>
        </is>
      </c>
      <c r="E10" s="4" t="inlineStr">
        <is>
          <t>A.5.10</t>
        </is>
      </c>
      <c r="F10" s="4" t="inlineStr">
        <is>
          <t>ISMS Policy</t>
        </is>
      </c>
      <c r="G10" s="5" t="n"/>
      <c r="H10" s="5" t="n"/>
      <c r="I10" s="5" t="n"/>
      <c r="J10" s="5" t="n"/>
      <c r="K10" s="11" t="n"/>
      <c r="L10" s="5" t="n"/>
    </row>
    <row r="11">
      <c r="A11" s="4" t="inlineStr">
        <is>
          <t>RC-007</t>
        </is>
      </c>
      <c r="B11" s="4" t="inlineStr">
        <is>
          <t>Security</t>
        </is>
      </c>
      <c r="C11" s="4" t="inlineStr">
        <is>
          <t>Access Control Acknowledgment</t>
        </is>
      </c>
      <c r="D11" s="4" t="inlineStr">
        <is>
          <t>Agreement to comply with access control policies</t>
        </is>
      </c>
      <c r="E11" s="4" t="inlineStr">
        <is>
          <t>A.5.15</t>
        </is>
      </c>
      <c r="F11" s="4" t="inlineStr">
        <is>
          <t>ISMS Policy</t>
        </is>
      </c>
      <c r="G11" s="5" t="n"/>
      <c r="H11" s="5" t="n"/>
      <c r="I11" s="5" t="n"/>
      <c r="J11" s="5" t="n"/>
      <c r="K11" s="11" t="n"/>
      <c r="L11" s="5" t="n"/>
    </row>
    <row r="12">
      <c r="A12" s="4" t="inlineStr">
        <is>
          <t>RC-008</t>
        </is>
      </c>
      <c r="B12" s="4" t="inlineStr">
        <is>
          <t>Security</t>
        </is>
      </c>
      <c r="C12" s="4" t="inlineStr">
        <is>
          <t>Password/Authentication Requirements</t>
        </is>
      </c>
      <c r="D12" s="4" t="inlineStr">
        <is>
          <t>Agreement to follow authentication policies</t>
        </is>
      </c>
      <c r="E12" s="4" t="inlineStr">
        <is>
          <t>A.5.17</t>
        </is>
      </c>
      <c r="F12" s="4" t="inlineStr">
        <is>
          <t>ISMS Policy</t>
        </is>
      </c>
      <c r="G12" s="5" t="n"/>
      <c r="H12" s="5" t="n"/>
      <c r="I12" s="5" t="n"/>
      <c r="J12" s="5" t="n"/>
      <c r="K12" s="11" t="n"/>
      <c r="L12" s="5" t="n"/>
    </row>
    <row r="13">
      <c r="A13" s="4" t="inlineStr">
        <is>
          <t>RC-009</t>
        </is>
      </c>
      <c r="B13" s="4" t="inlineStr">
        <is>
          <t>Post-Employment</t>
        </is>
      </c>
      <c r="C13" s="4" t="inlineStr">
        <is>
          <t>Return of Assets</t>
        </is>
      </c>
      <c r="D13" s="4" t="inlineStr">
        <is>
          <t>Obligation to return all company assets upon termination</t>
        </is>
      </c>
      <c r="E13" s="4" t="inlineStr">
        <is>
          <t>A.6.5</t>
        </is>
      </c>
      <c r="F13" s="4" t="inlineStr">
        <is>
          <t>Employment Law</t>
        </is>
      </c>
      <c r="G13" s="5" t="n"/>
      <c r="H13" s="5" t="n"/>
      <c r="I13" s="5" t="n"/>
      <c r="J13" s="5" t="n"/>
      <c r="K13" s="11" t="n"/>
      <c r="L13" s="5" t="n"/>
    </row>
    <row r="14">
      <c r="A14" s="4" t="inlineStr">
        <is>
          <t>RC-010</t>
        </is>
      </c>
      <c r="B14" s="4" t="inlineStr">
        <is>
          <t>Post-Employment</t>
        </is>
      </c>
      <c r="C14" s="4" t="inlineStr">
        <is>
          <t>Post-Employment Confidentiality</t>
        </is>
      </c>
      <c r="D14" s="4" t="inlineStr">
        <is>
          <t>Confidentiality obligations continue after termination</t>
        </is>
      </c>
      <c r="E14" s="4" t="inlineStr">
        <is>
          <t>A.6.5</t>
        </is>
      </c>
      <c r="F14" s="4" t="inlineStr">
        <is>
          <t>Contract Law</t>
        </is>
      </c>
      <c r="G14" s="5" t="n"/>
      <c r="H14" s="5" t="n"/>
      <c r="I14" s="5" t="n"/>
      <c r="J14" s="5" t="n"/>
      <c r="K14" s="11" t="n"/>
      <c r="L14" s="5" t="n"/>
    </row>
    <row r="15">
      <c r="A15" s="4" t="inlineStr">
        <is>
          <t>RC-011</t>
        </is>
      </c>
      <c r="B15" s="4" t="inlineStr">
        <is>
          <t>Post-Employment</t>
        </is>
      </c>
      <c r="C15" s="4" t="inlineStr">
        <is>
          <t>Non-Compete Clause</t>
        </is>
      </c>
      <c r="D15" s="4" t="inlineStr">
        <is>
          <t>Restrictions on competing employment if applicable</t>
        </is>
      </c>
      <c r="E15" s="4" t="inlineStr">
        <is>
          <t>A.6.5</t>
        </is>
      </c>
      <c r="F15" s="4" t="inlineStr">
        <is>
          <t>Contract Law</t>
        </is>
      </c>
      <c r="G15" s="5" t="n"/>
      <c r="H15" s="5" t="n"/>
      <c r="I15" s="5" t="n"/>
      <c r="J15" s="5" t="n"/>
      <c r="K15" s="11" t="n"/>
      <c r="L15" s="5" t="n"/>
    </row>
    <row r="16">
      <c r="A16" s="4" t="inlineStr">
        <is>
          <t>RC-012</t>
        </is>
      </c>
      <c r="B16" s="4" t="inlineStr">
        <is>
          <t>Post-Employment</t>
        </is>
      </c>
      <c r="C16" s="4" t="inlineStr">
        <is>
          <t>Non-Solicitation Clause</t>
        </is>
      </c>
      <c r="D16" s="4" t="inlineStr">
        <is>
          <t>Restrictions on soliciting employees/clients</t>
        </is>
      </c>
      <c r="E16" s="4" t="inlineStr">
        <is>
          <t>A.6.5</t>
        </is>
      </c>
      <c r="F16" s="4" t="inlineStr">
        <is>
          <t>Contract Law</t>
        </is>
      </c>
      <c r="G16" s="5" t="n"/>
      <c r="H16" s="5" t="n"/>
      <c r="I16" s="5" t="n"/>
      <c r="J16" s="5" t="n"/>
      <c r="K16" s="11" t="n"/>
      <c r="L16" s="5" t="n"/>
    </row>
    <row r="17">
      <c r="A17" s="4" t="inlineStr">
        <is>
          <t>RC-013</t>
        </is>
      </c>
      <c r="B17" s="4" t="inlineStr">
        <is>
          <t>Compliance</t>
        </is>
      </c>
      <c r="C17" s="4" t="inlineStr">
        <is>
          <t>Policy Compliance Commitment</t>
        </is>
      </c>
      <c r="D17" s="4" t="inlineStr">
        <is>
          <t>Agreement to comply with all company policies</t>
        </is>
      </c>
      <c r="E17" s="4" t="inlineStr">
        <is>
          <t>A.5.1</t>
        </is>
      </c>
      <c r="F17" s="4" t="inlineStr">
        <is>
          <t>ISMS Policy</t>
        </is>
      </c>
      <c r="G17" s="5" t="n"/>
      <c r="H17" s="5" t="n"/>
      <c r="I17" s="5" t="n"/>
      <c r="J17" s="5" t="n"/>
      <c r="K17" s="11" t="n"/>
      <c r="L17" s="5" t="n"/>
    </row>
    <row r="18">
      <c r="A18" s="4" t="inlineStr">
        <is>
          <t>RC-014</t>
        </is>
      </c>
      <c r="B18" s="4" t="inlineStr">
        <is>
          <t>Compliance</t>
        </is>
      </c>
      <c r="C18" s="4" t="inlineStr">
        <is>
          <t>Training Completion Requirement</t>
        </is>
      </c>
      <c r="D18" s="4" t="inlineStr">
        <is>
          <t>Agreement to complete required security training</t>
        </is>
      </c>
      <c r="E18" s="4" t="inlineStr">
        <is>
          <t>A.6.3</t>
        </is>
      </c>
      <c r="F18" s="4" t="inlineStr">
        <is>
          <t>ISMS Policy</t>
        </is>
      </c>
      <c r="G18" s="5" t="n"/>
      <c r="H18" s="5" t="n"/>
      <c r="I18" s="5" t="n"/>
      <c r="J18" s="5" t="n"/>
      <c r="K18" s="11" t="n"/>
      <c r="L18" s="5" t="n"/>
    </row>
    <row r="19">
      <c r="A19" s="4" t="inlineStr">
        <is>
          <t>RC-015</t>
        </is>
      </c>
      <c r="B19" s="4" t="inlineStr">
        <is>
          <t>Compliance</t>
        </is>
      </c>
      <c r="C19" s="4" t="inlineStr">
        <is>
          <t>Incident Reporting Obligation</t>
        </is>
      </c>
      <c r="D19" s="4" t="inlineStr">
        <is>
          <t>Obligation to report security incidents</t>
        </is>
      </c>
      <c r="E19" s="4" t="inlineStr">
        <is>
          <t>A.6.8</t>
        </is>
      </c>
      <c r="F19" s="4" t="inlineStr">
        <is>
          <t>ISMS Policy</t>
        </is>
      </c>
      <c r="G19" s="5" t="n"/>
      <c r="H19" s="5" t="n"/>
      <c r="I19" s="5" t="n"/>
      <c r="J19" s="5" t="n"/>
      <c r="K19" s="11" t="n"/>
      <c r="L19" s="5" t="n"/>
    </row>
    <row r="20">
      <c r="A20" s="4" t="inlineStr">
        <is>
          <t>RC-016</t>
        </is>
      </c>
      <c r="B20" s="4" t="inlineStr">
        <is>
          <t>Screening</t>
        </is>
      </c>
      <c r="C20" s="4" t="inlineStr">
        <is>
          <t>Background Check Authorization</t>
        </is>
      </c>
      <c r="D20" s="4" t="inlineStr">
        <is>
          <t>Authorization for pre-employment screening</t>
        </is>
      </c>
      <c r="E20" s="4" t="inlineStr">
        <is>
          <t>A.6.1</t>
        </is>
      </c>
      <c r="F20" s="4" t="inlineStr">
        <is>
          <t>Employment Law</t>
        </is>
      </c>
      <c r="G20" s="5" t="n"/>
      <c r="H20" s="5" t="n"/>
      <c r="I20" s="5" t="n"/>
      <c r="J20" s="5" t="n"/>
      <c r="K20" s="11" t="n"/>
      <c r="L20" s="5" t="n"/>
    </row>
    <row r="21">
      <c r="A21" s="4" t="inlineStr">
        <is>
          <t>RC-017</t>
        </is>
      </c>
      <c r="B21" s="4" t="inlineStr">
        <is>
          <t>Screening</t>
        </is>
      </c>
      <c r="C21" s="4" t="inlineStr">
        <is>
          <t>Reference Check Authorization</t>
        </is>
      </c>
      <c r="D21" s="4" t="inlineStr">
        <is>
          <t>Authorization to contact references</t>
        </is>
      </c>
      <c r="E21" s="4" t="inlineStr">
        <is>
          <t>A.6.1</t>
        </is>
      </c>
      <c r="F21" s="4" t="inlineStr">
        <is>
          <t>Employment Law</t>
        </is>
      </c>
      <c r="G21" s="5" t="n"/>
      <c r="H21" s="5" t="n"/>
      <c r="I21" s="5" t="n"/>
      <c r="J21" s="5" t="n"/>
      <c r="K21" s="11" t="n"/>
      <c r="L21" s="5" t="n"/>
    </row>
    <row r="22">
      <c r="A22" s="4" t="inlineStr">
        <is>
          <t>RC-018</t>
        </is>
      </c>
      <c r="B22" s="4" t="inlineStr">
        <is>
          <t>Data Protection</t>
        </is>
      </c>
      <c r="C22" s="4" t="inlineStr">
        <is>
          <t>Personal Data Processing Consent</t>
        </is>
      </c>
      <c r="D22" s="4" t="inlineStr">
        <is>
          <t>Consent for processing of employee personal data</t>
        </is>
      </c>
      <c r="E22" s="4" t="inlineStr">
        <is>
          <t>FADP</t>
        </is>
      </c>
      <c r="F22" s="4" t="inlineStr">
        <is>
          <t>Data Protection</t>
        </is>
      </c>
      <c r="G22" s="5" t="n"/>
      <c r="H22" s="5" t="n"/>
      <c r="I22" s="5" t="n"/>
      <c r="J22" s="5" t="n"/>
      <c r="K22" s="11" t="n"/>
      <c r="L22" s="5" t="n"/>
    </row>
    <row r="23">
      <c r="A23" s="4" t="inlineStr">
        <is>
          <t>RC-019</t>
        </is>
      </c>
      <c r="B23" s="4" t="inlineStr">
        <is>
          <t>Data Protection</t>
        </is>
      </c>
      <c r="C23" s="4" t="inlineStr">
        <is>
          <t>Data Protection Responsibilities</t>
        </is>
      </c>
      <c r="D23" s="4" t="inlineStr">
        <is>
          <t>Employee responsibilities for data protection</t>
        </is>
      </c>
      <c r="E23" s="4" t="inlineStr">
        <is>
          <t>A.5.34</t>
        </is>
      </c>
      <c r="F23" s="4" t="inlineStr">
        <is>
          <t>Data Protection</t>
        </is>
      </c>
      <c r="G23" s="5" t="n"/>
      <c r="H23" s="5" t="n"/>
      <c r="I23" s="5" t="n"/>
      <c r="J23" s="5" t="n"/>
      <c r="K23" s="11" t="n"/>
      <c r="L23" s="5" t="n"/>
    </row>
    <row r="24">
      <c r="A24" s="4" t="inlineStr">
        <is>
          <t>RC-020</t>
        </is>
      </c>
      <c r="B24" s="4" t="inlineStr">
        <is>
          <t>Monitoring</t>
        </is>
      </c>
      <c r="C24" s="4" t="inlineStr">
        <is>
          <t>Monitoring Acknowledgment</t>
        </is>
      </c>
      <c r="D24" s="4" t="inlineStr">
        <is>
          <t>Acknowledgment of workplace/IT monitoring practices</t>
        </is>
      </c>
      <c r="E24" s="4" t="inlineStr">
        <is>
          <t>A.8.15</t>
        </is>
      </c>
      <c r="F24" s="4" t="inlineStr">
        <is>
          <t>Employment Law</t>
        </is>
      </c>
      <c r="G24" s="5" t="n"/>
      <c r="H24" s="5" t="n"/>
      <c r="I24" s="5" t="n"/>
      <c r="J24" s="5" t="n"/>
      <c r="K24" s="11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1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11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11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11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11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11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11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11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11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11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11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11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11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11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11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11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11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11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11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11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11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11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11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11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11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11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11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11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11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11" t="n"/>
      <c r="L5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L2"/>
    <mergeCell ref="A1:L1"/>
  </mergeCells>
  <dataValidations count="2">
    <dataValidation sqref="B5:B54" showDropDown="0" showInputMessage="0" showErrorMessage="1" allowBlank="1" errorTitle="Invalid Entry" error="Please select from dropdown" type="list">
      <formula1>"Confidentiality,IP Rights,Security,Post-Employment,Compliance,Screening,Data Protection,Monitoring,Other"</formula1>
    </dataValidation>
    <dataValidation sqref="H5:H54" showDropDown="0" showInputMessage="0" showErrorMessage="1" allowBlank="1" errorTitle="Invalid Entry" error="Please select from dropdown" type="list">
      <formula1>"Covered,Partial,Not-Covered,N/A"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15" customWidth="1" min="5" max="5"/>
    <col width="12" customWidth="1" min="6" max="6"/>
    <col width="20" customWidth="1" min="7" max="7"/>
    <col width="15" customWidth="1" min="8" max="8"/>
    <col width="12" customWidth="1" min="9" max="9"/>
    <col width="15" customWidth="1" min="10" max="10"/>
    <col width="15" customWidth="1" min="11" max="11"/>
    <col width="15" customWidth="1" min="12" max="12"/>
    <col width="12" customWidth="1" min="13" max="13"/>
    <col width="15" customWidth="1" min="14" max="14"/>
    <col width="40" customWidth="1" min="15" max="15"/>
  </cols>
  <sheetData>
    <row r="1">
      <c r="A1" s="1" t="inlineStr">
        <is>
          <t>PERSONNEL CONTRACT COMPLIANCE</t>
        </is>
      </c>
    </row>
    <row r="2">
      <c r="A2" s="2" t="inlineStr">
        <is>
          <t>Individual employee contract verification and compliance tracking</t>
        </is>
      </c>
    </row>
    <row r="4">
      <c r="A4" s="8" t="inlineStr">
        <is>
          <t>Employee_ID</t>
        </is>
      </c>
      <c r="B4" s="8" t="inlineStr">
        <is>
          <t>Employee_Name</t>
        </is>
      </c>
      <c r="C4" s="8" t="inlineStr">
        <is>
          <t>Department</t>
        </is>
      </c>
      <c r="D4" s="8" t="inlineStr">
        <is>
          <t>Role_Title</t>
        </is>
      </c>
      <c r="E4" s="8" t="inlineStr">
        <is>
          <t>Employment_Type</t>
        </is>
      </c>
      <c r="F4" s="8" t="inlineStr">
        <is>
          <t>Start_Date</t>
        </is>
      </c>
      <c r="G4" s="8" t="inlineStr">
        <is>
          <t>Contract_Template_Used</t>
        </is>
      </c>
      <c r="H4" s="8" t="inlineStr">
        <is>
          <t>Contract_Signed</t>
        </is>
      </c>
      <c r="I4" s="8" t="inlineStr">
        <is>
          <t>Contract_Date</t>
        </is>
      </c>
      <c r="J4" s="8" t="inlineStr">
        <is>
          <t>Contract_On_File</t>
        </is>
      </c>
      <c r="K4" s="8" t="inlineStr">
        <is>
          <t>All_Clauses_Present</t>
        </is>
      </c>
      <c r="L4" s="8" t="inlineStr">
        <is>
          <t>Screening_Complete</t>
        </is>
      </c>
      <c r="M4" s="8" t="inlineStr">
        <is>
          <t>Background_Check_Date</t>
        </is>
      </c>
      <c r="N4" s="8" t="inlineStr">
        <is>
          <t>Compliance_Status</t>
        </is>
      </c>
      <c r="O4" s="8" t="inlineStr">
        <is>
          <t>Notes</t>
        </is>
      </c>
    </row>
    <row r="5">
      <c r="A5" s="5" t="n"/>
      <c r="B5" s="5" t="n"/>
      <c r="C5" s="5" t="n"/>
      <c r="D5" s="5" t="n"/>
      <c r="E5" s="5" t="n"/>
      <c r="F5" s="11" t="n"/>
      <c r="G5" s="5" t="n"/>
      <c r="H5" s="5" t="n"/>
      <c r="I5" s="11" t="n"/>
      <c r="J5" s="5" t="n"/>
      <c r="K5" s="5" t="n"/>
      <c r="L5" s="5" t="n"/>
      <c r="M5" s="11" t="n"/>
      <c r="N5" s="4">
        <f>IF(B5="","",IF(AND(H5="Yes",J5="Yes",K5="Yes",L5="Yes"),"Compliant",IF(OR(H5="No",J5="No",L5="No"),"Non-Compliant","Partial")))</f>
        <v/>
      </c>
      <c r="O5" s="5" t="n"/>
    </row>
    <row r="6">
      <c r="A6" s="5" t="n"/>
      <c r="B6" s="5" t="n"/>
      <c r="C6" s="5" t="n"/>
      <c r="D6" s="5" t="n"/>
      <c r="E6" s="5" t="n"/>
      <c r="F6" s="11" t="n"/>
      <c r="G6" s="5" t="n"/>
      <c r="H6" s="5" t="n"/>
      <c r="I6" s="11" t="n"/>
      <c r="J6" s="5" t="n"/>
      <c r="K6" s="5" t="n"/>
      <c r="L6" s="5" t="n"/>
      <c r="M6" s="11" t="n"/>
      <c r="N6" s="4">
        <f>IF(B6="","",IF(AND(H6="Yes",J6="Yes",K6="Yes",L6="Yes"),"Compliant",IF(OR(H6="No",J6="No",L6="No"),"Non-Compliant","Partial")))</f>
        <v/>
      </c>
      <c r="O6" s="5" t="n"/>
    </row>
    <row r="7">
      <c r="A7" s="5" t="n"/>
      <c r="B7" s="5" t="n"/>
      <c r="C7" s="5" t="n"/>
      <c r="D7" s="5" t="n"/>
      <c r="E7" s="5" t="n"/>
      <c r="F7" s="11" t="n"/>
      <c r="G7" s="5" t="n"/>
      <c r="H7" s="5" t="n"/>
      <c r="I7" s="11" t="n"/>
      <c r="J7" s="5" t="n"/>
      <c r="K7" s="5" t="n"/>
      <c r="L7" s="5" t="n"/>
      <c r="M7" s="11" t="n"/>
      <c r="N7" s="4">
        <f>IF(B7="","",IF(AND(H7="Yes",J7="Yes",K7="Yes",L7="Yes"),"Compliant",IF(OR(H7="No",J7="No",L7="No"),"Non-Compliant","Partial")))</f>
        <v/>
      </c>
      <c r="O7" s="5" t="n"/>
    </row>
    <row r="8">
      <c r="A8" s="5" t="n"/>
      <c r="B8" s="5" t="n"/>
      <c r="C8" s="5" t="n"/>
      <c r="D8" s="5" t="n"/>
      <c r="E8" s="5" t="n"/>
      <c r="F8" s="11" t="n"/>
      <c r="G8" s="5" t="n"/>
      <c r="H8" s="5" t="n"/>
      <c r="I8" s="11" t="n"/>
      <c r="J8" s="5" t="n"/>
      <c r="K8" s="5" t="n"/>
      <c r="L8" s="5" t="n"/>
      <c r="M8" s="11" t="n"/>
      <c r="N8" s="4">
        <f>IF(B8="","",IF(AND(H8="Yes",J8="Yes",K8="Yes",L8="Yes"),"Compliant",IF(OR(H8="No",J8="No",L8="No"),"Non-Compliant","Partial")))</f>
        <v/>
      </c>
      <c r="O8" s="5" t="n"/>
    </row>
    <row r="9">
      <c r="A9" s="5" t="n"/>
      <c r="B9" s="5" t="n"/>
      <c r="C9" s="5" t="n"/>
      <c r="D9" s="5" t="n"/>
      <c r="E9" s="5" t="n"/>
      <c r="F9" s="11" t="n"/>
      <c r="G9" s="5" t="n"/>
      <c r="H9" s="5" t="n"/>
      <c r="I9" s="11" t="n"/>
      <c r="J9" s="5" t="n"/>
      <c r="K9" s="5" t="n"/>
      <c r="L9" s="5" t="n"/>
      <c r="M9" s="11" t="n"/>
      <c r="N9" s="4">
        <f>IF(B9="","",IF(AND(H9="Yes",J9="Yes",K9="Yes",L9="Yes"),"Compliant",IF(OR(H9="No",J9="No",L9="No"),"Non-Compliant","Partial")))</f>
        <v/>
      </c>
      <c r="O9" s="5" t="n"/>
    </row>
    <row r="10">
      <c r="A10" s="5" t="n"/>
      <c r="B10" s="5" t="n"/>
      <c r="C10" s="5" t="n"/>
      <c r="D10" s="5" t="n"/>
      <c r="E10" s="5" t="n"/>
      <c r="F10" s="11" t="n"/>
      <c r="G10" s="5" t="n"/>
      <c r="H10" s="5" t="n"/>
      <c r="I10" s="11" t="n"/>
      <c r="J10" s="5" t="n"/>
      <c r="K10" s="5" t="n"/>
      <c r="L10" s="5" t="n"/>
      <c r="M10" s="11" t="n"/>
      <c r="N10" s="4">
        <f>IF(B10="","",IF(AND(H10="Yes",J10="Yes",K10="Yes",L10="Yes"),"Compliant",IF(OR(H10="No",J10="No",L10="No"),"Non-Compliant","Partial")))</f>
        <v/>
      </c>
      <c r="O10" s="5" t="n"/>
    </row>
    <row r="11">
      <c r="A11" s="5" t="n"/>
      <c r="B11" s="5" t="n"/>
      <c r="C11" s="5" t="n"/>
      <c r="D11" s="5" t="n"/>
      <c r="E11" s="5" t="n"/>
      <c r="F11" s="11" t="n"/>
      <c r="G11" s="5" t="n"/>
      <c r="H11" s="5" t="n"/>
      <c r="I11" s="11" t="n"/>
      <c r="J11" s="5" t="n"/>
      <c r="K11" s="5" t="n"/>
      <c r="L11" s="5" t="n"/>
      <c r="M11" s="11" t="n"/>
      <c r="N11" s="4">
        <f>IF(B11="","",IF(AND(H11="Yes",J11="Yes",K11="Yes",L11="Yes"),"Compliant",IF(OR(H11="No",J11="No",L11="No"),"Non-Compliant","Partial")))</f>
        <v/>
      </c>
      <c r="O11" s="5" t="n"/>
    </row>
    <row r="12">
      <c r="A12" s="5" t="n"/>
      <c r="B12" s="5" t="n"/>
      <c r="C12" s="5" t="n"/>
      <c r="D12" s="5" t="n"/>
      <c r="E12" s="5" t="n"/>
      <c r="F12" s="11" t="n"/>
      <c r="G12" s="5" t="n"/>
      <c r="H12" s="5" t="n"/>
      <c r="I12" s="11" t="n"/>
      <c r="J12" s="5" t="n"/>
      <c r="K12" s="5" t="n"/>
      <c r="L12" s="5" t="n"/>
      <c r="M12" s="11" t="n"/>
      <c r="N12" s="4">
        <f>IF(B12="","",IF(AND(H12="Yes",J12="Yes",K12="Yes",L12="Yes"),"Compliant",IF(OR(H12="No",J12="No",L12="No"),"Non-Compliant","Partial")))</f>
        <v/>
      </c>
      <c r="O12" s="5" t="n"/>
    </row>
    <row r="13">
      <c r="A13" s="5" t="n"/>
      <c r="B13" s="5" t="n"/>
      <c r="C13" s="5" t="n"/>
      <c r="D13" s="5" t="n"/>
      <c r="E13" s="5" t="n"/>
      <c r="F13" s="11" t="n"/>
      <c r="G13" s="5" t="n"/>
      <c r="H13" s="5" t="n"/>
      <c r="I13" s="11" t="n"/>
      <c r="J13" s="5" t="n"/>
      <c r="K13" s="5" t="n"/>
      <c r="L13" s="5" t="n"/>
      <c r="M13" s="11" t="n"/>
      <c r="N13" s="4">
        <f>IF(B13="","",IF(AND(H13="Yes",J13="Yes",K13="Yes",L13="Yes"),"Compliant",IF(OR(H13="No",J13="No",L13="No"),"Non-Compliant","Partial")))</f>
        <v/>
      </c>
      <c r="O13" s="5" t="n"/>
    </row>
    <row r="14">
      <c r="A14" s="5" t="n"/>
      <c r="B14" s="5" t="n"/>
      <c r="C14" s="5" t="n"/>
      <c r="D14" s="5" t="n"/>
      <c r="E14" s="5" t="n"/>
      <c r="F14" s="11" t="n"/>
      <c r="G14" s="5" t="n"/>
      <c r="H14" s="5" t="n"/>
      <c r="I14" s="11" t="n"/>
      <c r="J14" s="5" t="n"/>
      <c r="K14" s="5" t="n"/>
      <c r="L14" s="5" t="n"/>
      <c r="M14" s="11" t="n"/>
      <c r="N14" s="4">
        <f>IF(B14="","",IF(AND(H14="Yes",J14="Yes",K14="Yes",L14="Yes"),"Compliant",IF(OR(H14="No",J14="No",L14="No"),"Non-Compliant","Partial")))</f>
        <v/>
      </c>
      <c r="O14" s="5" t="n"/>
    </row>
    <row r="15">
      <c r="A15" s="5" t="n"/>
      <c r="B15" s="5" t="n"/>
      <c r="C15" s="5" t="n"/>
      <c r="D15" s="5" t="n"/>
      <c r="E15" s="5" t="n"/>
      <c r="F15" s="11" t="n"/>
      <c r="G15" s="5" t="n"/>
      <c r="H15" s="5" t="n"/>
      <c r="I15" s="11" t="n"/>
      <c r="J15" s="5" t="n"/>
      <c r="K15" s="5" t="n"/>
      <c r="L15" s="5" t="n"/>
      <c r="M15" s="11" t="n"/>
      <c r="N15" s="4">
        <f>IF(B15="","",IF(AND(H15="Yes",J15="Yes",K15="Yes",L15="Yes"),"Compliant",IF(OR(H15="No",J15="No",L15="No"),"Non-Compliant","Partial")))</f>
        <v/>
      </c>
      <c r="O15" s="5" t="n"/>
    </row>
    <row r="16">
      <c r="A16" s="5" t="n"/>
      <c r="B16" s="5" t="n"/>
      <c r="C16" s="5" t="n"/>
      <c r="D16" s="5" t="n"/>
      <c r="E16" s="5" t="n"/>
      <c r="F16" s="11" t="n"/>
      <c r="G16" s="5" t="n"/>
      <c r="H16" s="5" t="n"/>
      <c r="I16" s="11" t="n"/>
      <c r="J16" s="5" t="n"/>
      <c r="K16" s="5" t="n"/>
      <c r="L16" s="5" t="n"/>
      <c r="M16" s="11" t="n"/>
      <c r="N16" s="4">
        <f>IF(B16="","",IF(AND(H16="Yes",J16="Yes",K16="Yes",L16="Yes"),"Compliant",IF(OR(H16="No",J16="No",L16="No"),"Non-Compliant","Partial")))</f>
        <v/>
      </c>
      <c r="O16" s="5" t="n"/>
    </row>
    <row r="17">
      <c r="A17" s="5" t="n"/>
      <c r="B17" s="5" t="n"/>
      <c r="C17" s="5" t="n"/>
      <c r="D17" s="5" t="n"/>
      <c r="E17" s="5" t="n"/>
      <c r="F17" s="11" t="n"/>
      <c r="G17" s="5" t="n"/>
      <c r="H17" s="5" t="n"/>
      <c r="I17" s="11" t="n"/>
      <c r="J17" s="5" t="n"/>
      <c r="K17" s="5" t="n"/>
      <c r="L17" s="5" t="n"/>
      <c r="M17" s="11" t="n"/>
      <c r="N17" s="4">
        <f>IF(B17="","",IF(AND(H17="Yes",J17="Yes",K17="Yes",L17="Yes"),"Compliant",IF(OR(H17="No",J17="No",L17="No"),"Non-Compliant","Partial")))</f>
        <v/>
      </c>
      <c r="O17" s="5" t="n"/>
    </row>
    <row r="18">
      <c r="A18" s="5" t="n"/>
      <c r="B18" s="5" t="n"/>
      <c r="C18" s="5" t="n"/>
      <c r="D18" s="5" t="n"/>
      <c r="E18" s="5" t="n"/>
      <c r="F18" s="11" t="n"/>
      <c r="G18" s="5" t="n"/>
      <c r="H18" s="5" t="n"/>
      <c r="I18" s="11" t="n"/>
      <c r="J18" s="5" t="n"/>
      <c r="K18" s="5" t="n"/>
      <c r="L18" s="5" t="n"/>
      <c r="M18" s="11" t="n"/>
      <c r="N18" s="4">
        <f>IF(B18="","",IF(AND(H18="Yes",J18="Yes",K18="Yes",L18="Yes"),"Compliant",IF(OR(H18="No",J18="No",L18="No"),"Non-Compliant","Partial")))</f>
        <v/>
      </c>
      <c r="O18" s="5" t="n"/>
    </row>
    <row r="19">
      <c r="A19" s="5" t="n"/>
      <c r="B19" s="5" t="n"/>
      <c r="C19" s="5" t="n"/>
      <c r="D19" s="5" t="n"/>
      <c r="E19" s="5" t="n"/>
      <c r="F19" s="11" t="n"/>
      <c r="G19" s="5" t="n"/>
      <c r="H19" s="5" t="n"/>
      <c r="I19" s="11" t="n"/>
      <c r="J19" s="5" t="n"/>
      <c r="K19" s="5" t="n"/>
      <c r="L19" s="5" t="n"/>
      <c r="M19" s="11" t="n"/>
      <c r="N19" s="4">
        <f>IF(B19="","",IF(AND(H19="Yes",J19="Yes",K19="Yes",L19="Yes"),"Compliant",IF(OR(H19="No",J19="No",L19="No"),"Non-Compliant","Partial")))</f>
        <v/>
      </c>
      <c r="O19" s="5" t="n"/>
    </row>
    <row r="20">
      <c r="A20" s="5" t="n"/>
      <c r="B20" s="5" t="n"/>
      <c r="C20" s="5" t="n"/>
      <c r="D20" s="5" t="n"/>
      <c r="E20" s="5" t="n"/>
      <c r="F20" s="11" t="n"/>
      <c r="G20" s="5" t="n"/>
      <c r="H20" s="5" t="n"/>
      <c r="I20" s="11" t="n"/>
      <c r="J20" s="5" t="n"/>
      <c r="K20" s="5" t="n"/>
      <c r="L20" s="5" t="n"/>
      <c r="M20" s="11" t="n"/>
      <c r="N20" s="4">
        <f>IF(B20="","",IF(AND(H20="Yes",J20="Yes",K20="Yes",L20="Yes"),"Compliant",IF(OR(H20="No",J20="No",L20="No"),"Non-Compliant","Partial")))</f>
        <v/>
      </c>
      <c r="O20" s="5" t="n"/>
    </row>
    <row r="21">
      <c r="A21" s="5" t="n"/>
      <c r="B21" s="5" t="n"/>
      <c r="C21" s="5" t="n"/>
      <c r="D21" s="5" t="n"/>
      <c r="E21" s="5" t="n"/>
      <c r="F21" s="11" t="n"/>
      <c r="G21" s="5" t="n"/>
      <c r="H21" s="5" t="n"/>
      <c r="I21" s="11" t="n"/>
      <c r="J21" s="5" t="n"/>
      <c r="K21" s="5" t="n"/>
      <c r="L21" s="5" t="n"/>
      <c r="M21" s="11" t="n"/>
      <c r="N21" s="4">
        <f>IF(B21="","",IF(AND(H21="Yes",J21="Yes",K21="Yes",L21="Yes"),"Compliant",IF(OR(H21="No",J21="No",L21="No"),"Non-Compliant","Partial")))</f>
        <v/>
      </c>
      <c r="O21" s="5" t="n"/>
    </row>
    <row r="22">
      <c r="A22" s="5" t="n"/>
      <c r="B22" s="5" t="n"/>
      <c r="C22" s="5" t="n"/>
      <c r="D22" s="5" t="n"/>
      <c r="E22" s="5" t="n"/>
      <c r="F22" s="11" t="n"/>
      <c r="G22" s="5" t="n"/>
      <c r="H22" s="5" t="n"/>
      <c r="I22" s="11" t="n"/>
      <c r="J22" s="5" t="n"/>
      <c r="K22" s="5" t="n"/>
      <c r="L22" s="5" t="n"/>
      <c r="M22" s="11" t="n"/>
      <c r="N22" s="4">
        <f>IF(B22="","",IF(AND(H22="Yes",J22="Yes",K22="Yes",L22="Yes"),"Compliant",IF(OR(H22="No",J22="No",L22="No"),"Non-Compliant","Partial")))</f>
        <v/>
      </c>
      <c r="O22" s="5" t="n"/>
    </row>
    <row r="23">
      <c r="A23" s="5" t="n"/>
      <c r="B23" s="5" t="n"/>
      <c r="C23" s="5" t="n"/>
      <c r="D23" s="5" t="n"/>
      <c r="E23" s="5" t="n"/>
      <c r="F23" s="11" t="n"/>
      <c r="G23" s="5" t="n"/>
      <c r="H23" s="5" t="n"/>
      <c r="I23" s="11" t="n"/>
      <c r="J23" s="5" t="n"/>
      <c r="K23" s="5" t="n"/>
      <c r="L23" s="5" t="n"/>
      <c r="M23" s="11" t="n"/>
      <c r="N23" s="4">
        <f>IF(B23="","",IF(AND(H23="Yes",J23="Yes",K23="Yes",L23="Yes"),"Compliant",IF(OR(H23="No",J23="No",L23="No"),"Non-Compliant","Partial")))</f>
        <v/>
      </c>
      <c r="O23" s="5" t="n"/>
    </row>
    <row r="24">
      <c r="A24" s="5" t="n"/>
      <c r="B24" s="5" t="n"/>
      <c r="C24" s="5" t="n"/>
      <c r="D24" s="5" t="n"/>
      <c r="E24" s="5" t="n"/>
      <c r="F24" s="11" t="n"/>
      <c r="G24" s="5" t="n"/>
      <c r="H24" s="5" t="n"/>
      <c r="I24" s="11" t="n"/>
      <c r="J24" s="5" t="n"/>
      <c r="K24" s="5" t="n"/>
      <c r="L24" s="5" t="n"/>
      <c r="M24" s="11" t="n"/>
      <c r="N24" s="4">
        <f>IF(B24="","",IF(AND(H24="Yes",J24="Yes",K24="Yes",L24="Yes"),"Compliant",IF(OR(H24="No",J24="No",L24="No"),"Non-Compliant","Partial")))</f>
        <v/>
      </c>
      <c r="O24" s="5" t="n"/>
    </row>
    <row r="25">
      <c r="A25" s="5" t="n"/>
      <c r="B25" s="5" t="n"/>
      <c r="C25" s="5" t="n"/>
      <c r="D25" s="5" t="n"/>
      <c r="E25" s="5" t="n"/>
      <c r="F25" s="11" t="n"/>
      <c r="G25" s="5" t="n"/>
      <c r="H25" s="5" t="n"/>
      <c r="I25" s="11" t="n"/>
      <c r="J25" s="5" t="n"/>
      <c r="K25" s="5" t="n"/>
      <c r="L25" s="5" t="n"/>
      <c r="M25" s="11" t="n"/>
      <c r="N25" s="4">
        <f>IF(B25="","",IF(AND(H25="Yes",J25="Yes",K25="Yes",L25="Yes"),"Compliant",IF(OR(H25="No",J25="No",L25="No"),"Non-Compliant","Partial")))</f>
        <v/>
      </c>
      <c r="O25" s="5" t="n"/>
    </row>
    <row r="26">
      <c r="A26" s="5" t="n"/>
      <c r="B26" s="5" t="n"/>
      <c r="C26" s="5" t="n"/>
      <c r="D26" s="5" t="n"/>
      <c r="E26" s="5" t="n"/>
      <c r="F26" s="11" t="n"/>
      <c r="G26" s="5" t="n"/>
      <c r="H26" s="5" t="n"/>
      <c r="I26" s="11" t="n"/>
      <c r="J26" s="5" t="n"/>
      <c r="K26" s="5" t="n"/>
      <c r="L26" s="5" t="n"/>
      <c r="M26" s="11" t="n"/>
      <c r="N26" s="4">
        <f>IF(B26="","",IF(AND(H26="Yes",J26="Yes",K26="Yes",L26="Yes"),"Compliant",IF(OR(H26="No",J26="No",L26="No"),"Non-Compliant","Partial")))</f>
        <v/>
      </c>
      <c r="O26" s="5" t="n"/>
    </row>
    <row r="27">
      <c r="A27" s="5" t="n"/>
      <c r="B27" s="5" t="n"/>
      <c r="C27" s="5" t="n"/>
      <c r="D27" s="5" t="n"/>
      <c r="E27" s="5" t="n"/>
      <c r="F27" s="11" t="n"/>
      <c r="G27" s="5" t="n"/>
      <c r="H27" s="5" t="n"/>
      <c r="I27" s="11" t="n"/>
      <c r="J27" s="5" t="n"/>
      <c r="K27" s="5" t="n"/>
      <c r="L27" s="5" t="n"/>
      <c r="M27" s="11" t="n"/>
      <c r="N27" s="4">
        <f>IF(B27="","",IF(AND(H27="Yes",J27="Yes",K27="Yes",L27="Yes"),"Compliant",IF(OR(H27="No",J27="No",L27="No"),"Non-Compliant","Partial")))</f>
        <v/>
      </c>
      <c r="O27" s="5" t="n"/>
    </row>
    <row r="28">
      <c r="A28" s="5" t="n"/>
      <c r="B28" s="5" t="n"/>
      <c r="C28" s="5" t="n"/>
      <c r="D28" s="5" t="n"/>
      <c r="E28" s="5" t="n"/>
      <c r="F28" s="11" t="n"/>
      <c r="G28" s="5" t="n"/>
      <c r="H28" s="5" t="n"/>
      <c r="I28" s="11" t="n"/>
      <c r="J28" s="5" t="n"/>
      <c r="K28" s="5" t="n"/>
      <c r="L28" s="5" t="n"/>
      <c r="M28" s="11" t="n"/>
      <c r="N28" s="4">
        <f>IF(B28="","",IF(AND(H28="Yes",J28="Yes",K28="Yes",L28="Yes"),"Compliant",IF(OR(H28="No",J28="No",L28="No"),"Non-Compliant","Partial")))</f>
        <v/>
      </c>
      <c r="O28" s="5" t="n"/>
    </row>
    <row r="29">
      <c r="A29" s="5" t="n"/>
      <c r="B29" s="5" t="n"/>
      <c r="C29" s="5" t="n"/>
      <c r="D29" s="5" t="n"/>
      <c r="E29" s="5" t="n"/>
      <c r="F29" s="11" t="n"/>
      <c r="G29" s="5" t="n"/>
      <c r="H29" s="5" t="n"/>
      <c r="I29" s="11" t="n"/>
      <c r="J29" s="5" t="n"/>
      <c r="K29" s="5" t="n"/>
      <c r="L29" s="5" t="n"/>
      <c r="M29" s="11" t="n"/>
      <c r="N29" s="4">
        <f>IF(B29="","",IF(AND(H29="Yes",J29="Yes",K29="Yes",L29="Yes"),"Compliant",IF(OR(H29="No",J29="No",L29="No"),"Non-Compliant","Partial")))</f>
        <v/>
      </c>
      <c r="O29" s="5" t="n"/>
    </row>
    <row r="30">
      <c r="A30" s="5" t="n"/>
      <c r="B30" s="5" t="n"/>
      <c r="C30" s="5" t="n"/>
      <c r="D30" s="5" t="n"/>
      <c r="E30" s="5" t="n"/>
      <c r="F30" s="11" t="n"/>
      <c r="G30" s="5" t="n"/>
      <c r="H30" s="5" t="n"/>
      <c r="I30" s="11" t="n"/>
      <c r="J30" s="5" t="n"/>
      <c r="K30" s="5" t="n"/>
      <c r="L30" s="5" t="n"/>
      <c r="M30" s="11" t="n"/>
      <c r="N30" s="4">
        <f>IF(B30="","",IF(AND(H30="Yes",J30="Yes",K30="Yes",L30="Yes"),"Compliant",IF(OR(H30="No",J30="No",L30="No"),"Non-Compliant","Partial")))</f>
        <v/>
      </c>
      <c r="O30" s="5" t="n"/>
    </row>
    <row r="31">
      <c r="A31" s="5" t="n"/>
      <c r="B31" s="5" t="n"/>
      <c r="C31" s="5" t="n"/>
      <c r="D31" s="5" t="n"/>
      <c r="E31" s="5" t="n"/>
      <c r="F31" s="11" t="n"/>
      <c r="G31" s="5" t="n"/>
      <c r="H31" s="5" t="n"/>
      <c r="I31" s="11" t="n"/>
      <c r="J31" s="5" t="n"/>
      <c r="K31" s="5" t="n"/>
      <c r="L31" s="5" t="n"/>
      <c r="M31" s="11" t="n"/>
      <c r="N31" s="4">
        <f>IF(B31="","",IF(AND(H31="Yes",J31="Yes",K31="Yes",L31="Yes"),"Compliant",IF(OR(H31="No",J31="No",L31="No"),"Non-Compliant","Partial")))</f>
        <v/>
      </c>
      <c r="O31" s="5" t="n"/>
    </row>
    <row r="32">
      <c r="A32" s="5" t="n"/>
      <c r="B32" s="5" t="n"/>
      <c r="C32" s="5" t="n"/>
      <c r="D32" s="5" t="n"/>
      <c r="E32" s="5" t="n"/>
      <c r="F32" s="11" t="n"/>
      <c r="G32" s="5" t="n"/>
      <c r="H32" s="5" t="n"/>
      <c r="I32" s="11" t="n"/>
      <c r="J32" s="5" t="n"/>
      <c r="K32" s="5" t="n"/>
      <c r="L32" s="5" t="n"/>
      <c r="M32" s="11" t="n"/>
      <c r="N32" s="4">
        <f>IF(B32="","",IF(AND(H32="Yes",J32="Yes",K32="Yes",L32="Yes"),"Compliant",IF(OR(H32="No",J32="No",L32="No"),"Non-Compliant","Partial")))</f>
        <v/>
      </c>
      <c r="O32" s="5" t="n"/>
    </row>
    <row r="33">
      <c r="A33" s="5" t="n"/>
      <c r="B33" s="5" t="n"/>
      <c r="C33" s="5" t="n"/>
      <c r="D33" s="5" t="n"/>
      <c r="E33" s="5" t="n"/>
      <c r="F33" s="11" t="n"/>
      <c r="G33" s="5" t="n"/>
      <c r="H33" s="5" t="n"/>
      <c r="I33" s="11" t="n"/>
      <c r="J33" s="5" t="n"/>
      <c r="K33" s="5" t="n"/>
      <c r="L33" s="5" t="n"/>
      <c r="M33" s="11" t="n"/>
      <c r="N33" s="4">
        <f>IF(B33="","",IF(AND(H33="Yes",J33="Yes",K33="Yes",L33="Yes"),"Compliant",IF(OR(H33="No",J33="No",L33="No"),"Non-Compliant","Partial")))</f>
        <v/>
      </c>
      <c r="O33" s="5" t="n"/>
    </row>
    <row r="34">
      <c r="A34" s="5" t="n"/>
      <c r="B34" s="5" t="n"/>
      <c r="C34" s="5" t="n"/>
      <c r="D34" s="5" t="n"/>
      <c r="E34" s="5" t="n"/>
      <c r="F34" s="11" t="n"/>
      <c r="G34" s="5" t="n"/>
      <c r="H34" s="5" t="n"/>
      <c r="I34" s="11" t="n"/>
      <c r="J34" s="5" t="n"/>
      <c r="K34" s="5" t="n"/>
      <c r="L34" s="5" t="n"/>
      <c r="M34" s="11" t="n"/>
      <c r="N34" s="4">
        <f>IF(B34="","",IF(AND(H34="Yes",J34="Yes",K34="Yes",L34="Yes"),"Compliant",IF(OR(H34="No",J34="No",L34="No"),"Non-Compliant","Partial")))</f>
        <v/>
      </c>
      <c r="O34" s="5" t="n"/>
    </row>
    <row r="35">
      <c r="A35" s="5" t="n"/>
      <c r="B35" s="5" t="n"/>
      <c r="C35" s="5" t="n"/>
      <c r="D35" s="5" t="n"/>
      <c r="E35" s="5" t="n"/>
      <c r="F35" s="11" t="n"/>
      <c r="G35" s="5" t="n"/>
      <c r="H35" s="5" t="n"/>
      <c r="I35" s="11" t="n"/>
      <c r="J35" s="5" t="n"/>
      <c r="K35" s="5" t="n"/>
      <c r="L35" s="5" t="n"/>
      <c r="M35" s="11" t="n"/>
      <c r="N35" s="4">
        <f>IF(B35="","",IF(AND(H35="Yes",J35="Yes",K35="Yes",L35="Yes"),"Compliant",IF(OR(H35="No",J35="No",L35="No"),"Non-Compliant","Partial")))</f>
        <v/>
      </c>
      <c r="O35" s="5" t="n"/>
    </row>
    <row r="36">
      <c r="A36" s="5" t="n"/>
      <c r="B36" s="5" t="n"/>
      <c r="C36" s="5" t="n"/>
      <c r="D36" s="5" t="n"/>
      <c r="E36" s="5" t="n"/>
      <c r="F36" s="11" t="n"/>
      <c r="G36" s="5" t="n"/>
      <c r="H36" s="5" t="n"/>
      <c r="I36" s="11" t="n"/>
      <c r="J36" s="5" t="n"/>
      <c r="K36" s="5" t="n"/>
      <c r="L36" s="5" t="n"/>
      <c r="M36" s="11" t="n"/>
      <c r="N36" s="4">
        <f>IF(B36="","",IF(AND(H36="Yes",J36="Yes",K36="Yes",L36="Yes"),"Compliant",IF(OR(H36="No",J36="No",L36="No"),"Non-Compliant","Partial")))</f>
        <v/>
      </c>
      <c r="O36" s="5" t="n"/>
    </row>
    <row r="37">
      <c r="A37" s="5" t="n"/>
      <c r="B37" s="5" t="n"/>
      <c r="C37" s="5" t="n"/>
      <c r="D37" s="5" t="n"/>
      <c r="E37" s="5" t="n"/>
      <c r="F37" s="11" t="n"/>
      <c r="G37" s="5" t="n"/>
      <c r="H37" s="5" t="n"/>
      <c r="I37" s="11" t="n"/>
      <c r="J37" s="5" t="n"/>
      <c r="K37" s="5" t="n"/>
      <c r="L37" s="5" t="n"/>
      <c r="M37" s="11" t="n"/>
      <c r="N37" s="4">
        <f>IF(B37="","",IF(AND(H37="Yes",J37="Yes",K37="Yes",L37="Yes"),"Compliant",IF(OR(H37="No",J37="No",L37="No"),"Non-Compliant","Partial")))</f>
        <v/>
      </c>
      <c r="O37" s="5" t="n"/>
    </row>
    <row r="38">
      <c r="A38" s="5" t="n"/>
      <c r="B38" s="5" t="n"/>
      <c r="C38" s="5" t="n"/>
      <c r="D38" s="5" t="n"/>
      <c r="E38" s="5" t="n"/>
      <c r="F38" s="11" t="n"/>
      <c r="G38" s="5" t="n"/>
      <c r="H38" s="5" t="n"/>
      <c r="I38" s="11" t="n"/>
      <c r="J38" s="5" t="n"/>
      <c r="K38" s="5" t="n"/>
      <c r="L38" s="5" t="n"/>
      <c r="M38" s="11" t="n"/>
      <c r="N38" s="4">
        <f>IF(B38="","",IF(AND(H38="Yes",J38="Yes",K38="Yes",L38="Yes"),"Compliant",IF(OR(H38="No",J38="No",L38="No"),"Non-Compliant","Partial")))</f>
        <v/>
      </c>
      <c r="O38" s="5" t="n"/>
    </row>
    <row r="39">
      <c r="A39" s="5" t="n"/>
      <c r="B39" s="5" t="n"/>
      <c r="C39" s="5" t="n"/>
      <c r="D39" s="5" t="n"/>
      <c r="E39" s="5" t="n"/>
      <c r="F39" s="11" t="n"/>
      <c r="G39" s="5" t="n"/>
      <c r="H39" s="5" t="n"/>
      <c r="I39" s="11" t="n"/>
      <c r="J39" s="5" t="n"/>
      <c r="K39" s="5" t="n"/>
      <c r="L39" s="5" t="n"/>
      <c r="M39" s="11" t="n"/>
      <c r="N39" s="4">
        <f>IF(B39="","",IF(AND(H39="Yes",J39="Yes",K39="Yes",L39="Yes"),"Compliant",IF(OR(H39="No",J39="No",L39="No"),"Non-Compliant","Partial")))</f>
        <v/>
      </c>
      <c r="O39" s="5" t="n"/>
    </row>
    <row r="40">
      <c r="A40" s="5" t="n"/>
      <c r="B40" s="5" t="n"/>
      <c r="C40" s="5" t="n"/>
      <c r="D40" s="5" t="n"/>
      <c r="E40" s="5" t="n"/>
      <c r="F40" s="11" t="n"/>
      <c r="G40" s="5" t="n"/>
      <c r="H40" s="5" t="n"/>
      <c r="I40" s="11" t="n"/>
      <c r="J40" s="5" t="n"/>
      <c r="K40" s="5" t="n"/>
      <c r="L40" s="5" t="n"/>
      <c r="M40" s="11" t="n"/>
      <c r="N40" s="4">
        <f>IF(B40="","",IF(AND(H40="Yes",J40="Yes",K40="Yes",L40="Yes"),"Compliant",IF(OR(H40="No",J40="No",L40="No"),"Non-Compliant","Partial")))</f>
        <v/>
      </c>
      <c r="O40" s="5" t="n"/>
    </row>
    <row r="41">
      <c r="A41" s="5" t="n"/>
      <c r="B41" s="5" t="n"/>
      <c r="C41" s="5" t="n"/>
      <c r="D41" s="5" t="n"/>
      <c r="E41" s="5" t="n"/>
      <c r="F41" s="11" t="n"/>
      <c r="G41" s="5" t="n"/>
      <c r="H41" s="5" t="n"/>
      <c r="I41" s="11" t="n"/>
      <c r="J41" s="5" t="n"/>
      <c r="K41" s="5" t="n"/>
      <c r="L41" s="5" t="n"/>
      <c r="M41" s="11" t="n"/>
      <c r="N41" s="4">
        <f>IF(B41="","",IF(AND(H41="Yes",J41="Yes",K41="Yes",L41="Yes"),"Compliant",IF(OR(H41="No",J41="No",L41="No"),"Non-Compliant","Partial")))</f>
        <v/>
      </c>
      <c r="O41" s="5" t="n"/>
    </row>
    <row r="42">
      <c r="A42" s="5" t="n"/>
      <c r="B42" s="5" t="n"/>
      <c r="C42" s="5" t="n"/>
      <c r="D42" s="5" t="n"/>
      <c r="E42" s="5" t="n"/>
      <c r="F42" s="11" t="n"/>
      <c r="G42" s="5" t="n"/>
      <c r="H42" s="5" t="n"/>
      <c r="I42" s="11" t="n"/>
      <c r="J42" s="5" t="n"/>
      <c r="K42" s="5" t="n"/>
      <c r="L42" s="5" t="n"/>
      <c r="M42" s="11" t="n"/>
      <c r="N42" s="4">
        <f>IF(B42="","",IF(AND(H42="Yes",J42="Yes",K42="Yes",L42="Yes"),"Compliant",IF(OR(H42="No",J42="No",L42="No"),"Non-Compliant","Partial")))</f>
        <v/>
      </c>
      <c r="O42" s="5" t="n"/>
    </row>
    <row r="43">
      <c r="A43" s="5" t="n"/>
      <c r="B43" s="5" t="n"/>
      <c r="C43" s="5" t="n"/>
      <c r="D43" s="5" t="n"/>
      <c r="E43" s="5" t="n"/>
      <c r="F43" s="11" t="n"/>
      <c r="G43" s="5" t="n"/>
      <c r="H43" s="5" t="n"/>
      <c r="I43" s="11" t="n"/>
      <c r="J43" s="5" t="n"/>
      <c r="K43" s="5" t="n"/>
      <c r="L43" s="5" t="n"/>
      <c r="M43" s="11" t="n"/>
      <c r="N43" s="4">
        <f>IF(B43="","",IF(AND(H43="Yes",J43="Yes",K43="Yes",L43="Yes"),"Compliant",IF(OR(H43="No",J43="No",L43="No"),"Non-Compliant","Partial")))</f>
        <v/>
      </c>
      <c r="O43" s="5" t="n"/>
    </row>
    <row r="44">
      <c r="A44" s="5" t="n"/>
      <c r="B44" s="5" t="n"/>
      <c r="C44" s="5" t="n"/>
      <c r="D44" s="5" t="n"/>
      <c r="E44" s="5" t="n"/>
      <c r="F44" s="11" t="n"/>
      <c r="G44" s="5" t="n"/>
      <c r="H44" s="5" t="n"/>
      <c r="I44" s="11" t="n"/>
      <c r="J44" s="5" t="n"/>
      <c r="K44" s="5" t="n"/>
      <c r="L44" s="5" t="n"/>
      <c r="M44" s="11" t="n"/>
      <c r="N44" s="4">
        <f>IF(B44="","",IF(AND(H44="Yes",J44="Yes",K44="Yes",L44="Yes"),"Compliant",IF(OR(H44="No",J44="No",L44="No"),"Non-Compliant","Partial")))</f>
        <v/>
      </c>
      <c r="O44" s="5" t="n"/>
    </row>
    <row r="45">
      <c r="A45" s="5" t="n"/>
      <c r="B45" s="5" t="n"/>
      <c r="C45" s="5" t="n"/>
      <c r="D45" s="5" t="n"/>
      <c r="E45" s="5" t="n"/>
      <c r="F45" s="11" t="n"/>
      <c r="G45" s="5" t="n"/>
      <c r="H45" s="5" t="n"/>
      <c r="I45" s="11" t="n"/>
      <c r="J45" s="5" t="n"/>
      <c r="K45" s="5" t="n"/>
      <c r="L45" s="5" t="n"/>
      <c r="M45" s="11" t="n"/>
      <c r="N45" s="4">
        <f>IF(B45="","",IF(AND(H45="Yes",J45="Yes",K45="Yes",L45="Yes"),"Compliant",IF(OR(H45="No",J45="No",L45="No"),"Non-Compliant","Partial")))</f>
        <v/>
      </c>
      <c r="O45" s="5" t="n"/>
    </row>
    <row r="46">
      <c r="A46" s="5" t="n"/>
      <c r="B46" s="5" t="n"/>
      <c r="C46" s="5" t="n"/>
      <c r="D46" s="5" t="n"/>
      <c r="E46" s="5" t="n"/>
      <c r="F46" s="11" t="n"/>
      <c r="G46" s="5" t="n"/>
      <c r="H46" s="5" t="n"/>
      <c r="I46" s="11" t="n"/>
      <c r="J46" s="5" t="n"/>
      <c r="K46" s="5" t="n"/>
      <c r="L46" s="5" t="n"/>
      <c r="M46" s="11" t="n"/>
      <c r="N46" s="4">
        <f>IF(B46="","",IF(AND(H46="Yes",J46="Yes",K46="Yes",L46="Yes"),"Compliant",IF(OR(H46="No",J46="No",L46="No"),"Non-Compliant","Partial")))</f>
        <v/>
      </c>
      <c r="O46" s="5" t="n"/>
    </row>
    <row r="47">
      <c r="A47" s="5" t="n"/>
      <c r="B47" s="5" t="n"/>
      <c r="C47" s="5" t="n"/>
      <c r="D47" s="5" t="n"/>
      <c r="E47" s="5" t="n"/>
      <c r="F47" s="11" t="n"/>
      <c r="G47" s="5" t="n"/>
      <c r="H47" s="5" t="n"/>
      <c r="I47" s="11" t="n"/>
      <c r="J47" s="5" t="n"/>
      <c r="K47" s="5" t="n"/>
      <c r="L47" s="5" t="n"/>
      <c r="M47" s="11" t="n"/>
      <c r="N47" s="4">
        <f>IF(B47="","",IF(AND(H47="Yes",J47="Yes",K47="Yes",L47="Yes"),"Compliant",IF(OR(H47="No",J47="No",L47="No"),"Non-Compliant","Partial")))</f>
        <v/>
      </c>
      <c r="O47" s="5" t="n"/>
    </row>
    <row r="48">
      <c r="A48" s="5" t="n"/>
      <c r="B48" s="5" t="n"/>
      <c r="C48" s="5" t="n"/>
      <c r="D48" s="5" t="n"/>
      <c r="E48" s="5" t="n"/>
      <c r="F48" s="11" t="n"/>
      <c r="G48" s="5" t="n"/>
      <c r="H48" s="5" t="n"/>
      <c r="I48" s="11" t="n"/>
      <c r="J48" s="5" t="n"/>
      <c r="K48" s="5" t="n"/>
      <c r="L48" s="5" t="n"/>
      <c r="M48" s="11" t="n"/>
      <c r="N48" s="4">
        <f>IF(B48="","",IF(AND(H48="Yes",J48="Yes",K48="Yes",L48="Yes"),"Compliant",IF(OR(H48="No",J48="No",L48="No"),"Non-Compliant","Partial")))</f>
        <v/>
      </c>
      <c r="O48" s="5" t="n"/>
    </row>
    <row r="49">
      <c r="A49" s="5" t="n"/>
      <c r="B49" s="5" t="n"/>
      <c r="C49" s="5" t="n"/>
      <c r="D49" s="5" t="n"/>
      <c r="E49" s="5" t="n"/>
      <c r="F49" s="11" t="n"/>
      <c r="G49" s="5" t="n"/>
      <c r="H49" s="5" t="n"/>
      <c r="I49" s="11" t="n"/>
      <c r="J49" s="5" t="n"/>
      <c r="K49" s="5" t="n"/>
      <c r="L49" s="5" t="n"/>
      <c r="M49" s="11" t="n"/>
      <c r="N49" s="4">
        <f>IF(B49="","",IF(AND(H49="Yes",J49="Yes",K49="Yes",L49="Yes"),"Compliant",IF(OR(H49="No",J49="No",L49="No"),"Non-Compliant","Partial")))</f>
        <v/>
      </c>
      <c r="O49" s="5" t="n"/>
    </row>
    <row r="50">
      <c r="A50" s="5" t="n"/>
      <c r="B50" s="5" t="n"/>
      <c r="C50" s="5" t="n"/>
      <c r="D50" s="5" t="n"/>
      <c r="E50" s="5" t="n"/>
      <c r="F50" s="11" t="n"/>
      <c r="G50" s="5" t="n"/>
      <c r="H50" s="5" t="n"/>
      <c r="I50" s="11" t="n"/>
      <c r="J50" s="5" t="n"/>
      <c r="K50" s="5" t="n"/>
      <c r="L50" s="5" t="n"/>
      <c r="M50" s="11" t="n"/>
      <c r="N50" s="4">
        <f>IF(B50="","",IF(AND(H50="Yes",J50="Yes",K50="Yes",L50="Yes"),"Compliant",IF(OR(H50="No",J50="No",L50="No"),"Non-Compliant","Partial")))</f>
        <v/>
      </c>
      <c r="O50" s="5" t="n"/>
    </row>
    <row r="51">
      <c r="A51" s="5" t="n"/>
      <c r="B51" s="5" t="n"/>
      <c r="C51" s="5" t="n"/>
      <c r="D51" s="5" t="n"/>
      <c r="E51" s="5" t="n"/>
      <c r="F51" s="11" t="n"/>
      <c r="G51" s="5" t="n"/>
      <c r="H51" s="5" t="n"/>
      <c r="I51" s="11" t="n"/>
      <c r="J51" s="5" t="n"/>
      <c r="K51" s="5" t="n"/>
      <c r="L51" s="5" t="n"/>
      <c r="M51" s="11" t="n"/>
      <c r="N51" s="4">
        <f>IF(B51="","",IF(AND(H51="Yes",J51="Yes",K51="Yes",L51="Yes"),"Compliant",IF(OR(H51="No",J51="No",L51="No"),"Non-Compliant","Partial")))</f>
        <v/>
      </c>
      <c r="O51" s="5" t="n"/>
    </row>
    <row r="52">
      <c r="A52" s="5" t="n"/>
      <c r="B52" s="5" t="n"/>
      <c r="C52" s="5" t="n"/>
      <c r="D52" s="5" t="n"/>
      <c r="E52" s="5" t="n"/>
      <c r="F52" s="11" t="n"/>
      <c r="G52" s="5" t="n"/>
      <c r="H52" s="5" t="n"/>
      <c r="I52" s="11" t="n"/>
      <c r="J52" s="5" t="n"/>
      <c r="K52" s="5" t="n"/>
      <c r="L52" s="5" t="n"/>
      <c r="M52" s="11" t="n"/>
      <c r="N52" s="4">
        <f>IF(B52="","",IF(AND(H52="Yes",J52="Yes",K52="Yes",L52="Yes"),"Compliant",IF(OR(H52="No",J52="No",L52="No"),"Non-Compliant","Partial")))</f>
        <v/>
      </c>
      <c r="O52" s="5" t="n"/>
    </row>
    <row r="53">
      <c r="A53" s="5" t="n"/>
      <c r="B53" s="5" t="n"/>
      <c r="C53" s="5" t="n"/>
      <c r="D53" s="5" t="n"/>
      <c r="E53" s="5" t="n"/>
      <c r="F53" s="11" t="n"/>
      <c r="G53" s="5" t="n"/>
      <c r="H53" s="5" t="n"/>
      <c r="I53" s="11" t="n"/>
      <c r="J53" s="5" t="n"/>
      <c r="K53" s="5" t="n"/>
      <c r="L53" s="5" t="n"/>
      <c r="M53" s="11" t="n"/>
      <c r="N53" s="4">
        <f>IF(B53="","",IF(AND(H53="Yes",J53="Yes",K53="Yes",L53="Yes"),"Compliant",IF(OR(H53="No",J53="No",L53="No"),"Non-Compliant","Partial")))</f>
        <v/>
      </c>
      <c r="O53" s="5" t="n"/>
    </row>
    <row r="54">
      <c r="A54" s="5" t="n"/>
      <c r="B54" s="5" t="n"/>
      <c r="C54" s="5" t="n"/>
      <c r="D54" s="5" t="n"/>
      <c r="E54" s="5" t="n"/>
      <c r="F54" s="11" t="n"/>
      <c r="G54" s="5" t="n"/>
      <c r="H54" s="5" t="n"/>
      <c r="I54" s="11" t="n"/>
      <c r="J54" s="5" t="n"/>
      <c r="K54" s="5" t="n"/>
      <c r="L54" s="5" t="n"/>
      <c r="M54" s="11" t="n"/>
      <c r="N54" s="4">
        <f>IF(B54="","",IF(AND(H54="Yes",J54="Yes",K54="Yes",L54="Yes"),"Compliant",IF(OR(H54="No",J54="No",L54="No"),"Non-Compliant","Partial")))</f>
        <v/>
      </c>
      <c r="O54" s="5" t="n"/>
    </row>
    <row r="55">
      <c r="A55" s="5" t="n"/>
      <c r="B55" s="5" t="n"/>
      <c r="C55" s="5" t="n"/>
      <c r="D55" s="5" t="n"/>
      <c r="E55" s="5" t="n"/>
      <c r="F55" s="11" t="n"/>
      <c r="G55" s="5" t="n"/>
      <c r="H55" s="5" t="n"/>
      <c r="I55" s="11" t="n"/>
      <c r="J55" s="5" t="n"/>
      <c r="K55" s="5" t="n"/>
      <c r="L55" s="5" t="n"/>
      <c r="M55" s="11" t="n"/>
      <c r="N55" s="4">
        <f>IF(B55="","",IF(AND(H55="Yes",J55="Yes",K55="Yes",L55="Yes"),"Compliant",IF(OR(H55="No",J55="No",L55="No"),"Non-Compliant","Partial")))</f>
        <v/>
      </c>
      <c r="O55" s="5" t="n"/>
    </row>
    <row r="56">
      <c r="A56" s="5" t="n"/>
      <c r="B56" s="5" t="n"/>
      <c r="C56" s="5" t="n"/>
      <c r="D56" s="5" t="n"/>
      <c r="E56" s="5" t="n"/>
      <c r="F56" s="11" t="n"/>
      <c r="G56" s="5" t="n"/>
      <c r="H56" s="5" t="n"/>
      <c r="I56" s="11" t="n"/>
      <c r="J56" s="5" t="n"/>
      <c r="K56" s="5" t="n"/>
      <c r="L56" s="5" t="n"/>
      <c r="M56" s="11" t="n"/>
      <c r="N56" s="4">
        <f>IF(B56="","",IF(AND(H56="Yes",J56="Yes",K56="Yes",L56="Yes"),"Compliant",IF(OR(H56="No",J56="No",L56="No"),"Non-Compliant","Partial")))</f>
        <v/>
      </c>
      <c r="O56" s="5" t="n"/>
    </row>
    <row r="57">
      <c r="A57" s="5" t="n"/>
      <c r="B57" s="5" t="n"/>
      <c r="C57" s="5" t="n"/>
      <c r="D57" s="5" t="n"/>
      <c r="E57" s="5" t="n"/>
      <c r="F57" s="11" t="n"/>
      <c r="G57" s="5" t="n"/>
      <c r="H57" s="5" t="n"/>
      <c r="I57" s="11" t="n"/>
      <c r="J57" s="5" t="n"/>
      <c r="K57" s="5" t="n"/>
      <c r="L57" s="5" t="n"/>
      <c r="M57" s="11" t="n"/>
      <c r="N57" s="4">
        <f>IF(B57="","",IF(AND(H57="Yes",J57="Yes",K57="Yes",L57="Yes"),"Compliant",IF(OR(H57="No",J57="No",L57="No"),"Non-Compliant","Partial")))</f>
        <v/>
      </c>
      <c r="O57" s="5" t="n"/>
    </row>
    <row r="58">
      <c r="A58" s="5" t="n"/>
      <c r="B58" s="5" t="n"/>
      <c r="C58" s="5" t="n"/>
      <c r="D58" s="5" t="n"/>
      <c r="E58" s="5" t="n"/>
      <c r="F58" s="11" t="n"/>
      <c r="G58" s="5" t="n"/>
      <c r="H58" s="5" t="n"/>
      <c r="I58" s="11" t="n"/>
      <c r="J58" s="5" t="n"/>
      <c r="K58" s="5" t="n"/>
      <c r="L58" s="5" t="n"/>
      <c r="M58" s="11" t="n"/>
      <c r="N58" s="4">
        <f>IF(B58="","",IF(AND(H58="Yes",J58="Yes",K58="Yes",L58="Yes"),"Compliant",IF(OR(H58="No",J58="No",L58="No"),"Non-Compliant","Partial")))</f>
        <v/>
      </c>
      <c r="O58" s="5" t="n"/>
    </row>
    <row r="59">
      <c r="A59" s="5" t="n"/>
      <c r="B59" s="5" t="n"/>
      <c r="C59" s="5" t="n"/>
      <c r="D59" s="5" t="n"/>
      <c r="E59" s="5" t="n"/>
      <c r="F59" s="11" t="n"/>
      <c r="G59" s="5" t="n"/>
      <c r="H59" s="5" t="n"/>
      <c r="I59" s="11" t="n"/>
      <c r="J59" s="5" t="n"/>
      <c r="K59" s="5" t="n"/>
      <c r="L59" s="5" t="n"/>
      <c r="M59" s="11" t="n"/>
      <c r="N59" s="4">
        <f>IF(B59="","",IF(AND(H59="Yes",J59="Yes",K59="Yes",L59="Yes"),"Compliant",IF(OR(H59="No",J59="No",L59="No"),"Non-Compliant","Partial")))</f>
        <v/>
      </c>
      <c r="O59" s="5" t="n"/>
    </row>
    <row r="60">
      <c r="A60" s="5" t="n"/>
      <c r="B60" s="5" t="n"/>
      <c r="C60" s="5" t="n"/>
      <c r="D60" s="5" t="n"/>
      <c r="E60" s="5" t="n"/>
      <c r="F60" s="11" t="n"/>
      <c r="G60" s="5" t="n"/>
      <c r="H60" s="5" t="n"/>
      <c r="I60" s="11" t="n"/>
      <c r="J60" s="5" t="n"/>
      <c r="K60" s="5" t="n"/>
      <c r="L60" s="5" t="n"/>
      <c r="M60" s="11" t="n"/>
      <c r="N60" s="4">
        <f>IF(B60="","",IF(AND(H60="Yes",J60="Yes",K60="Yes",L60="Yes"),"Compliant",IF(OR(H60="No",J60="No",L60="No"),"Non-Compliant","Partial")))</f>
        <v/>
      </c>
      <c r="O60" s="5" t="n"/>
    </row>
    <row r="61">
      <c r="A61" s="5" t="n"/>
      <c r="B61" s="5" t="n"/>
      <c r="C61" s="5" t="n"/>
      <c r="D61" s="5" t="n"/>
      <c r="E61" s="5" t="n"/>
      <c r="F61" s="11" t="n"/>
      <c r="G61" s="5" t="n"/>
      <c r="H61" s="5" t="n"/>
      <c r="I61" s="11" t="n"/>
      <c r="J61" s="5" t="n"/>
      <c r="K61" s="5" t="n"/>
      <c r="L61" s="5" t="n"/>
      <c r="M61" s="11" t="n"/>
      <c r="N61" s="4">
        <f>IF(B61="","",IF(AND(H61="Yes",J61="Yes",K61="Yes",L61="Yes"),"Compliant",IF(OR(H61="No",J61="No",L61="No"),"Non-Compliant","Partial")))</f>
        <v/>
      </c>
      <c r="O61" s="5" t="n"/>
    </row>
    <row r="62">
      <c r="A62" s="5" t="n"/>
      <c r="B62" s="5" t="n"/>
      <c r="C62" s="5" t="n"/>
      <c r="D62" s="5" t="n"/>
      <c r="E62" s="5" t="n"/>
      <c r="F62" s="11" t="n"/>
      <c r="G62" s="5" t="n"/>
      <c r="H62" s="5" t="n"/>
      <c r="I62" s="11" t="n"/>
      <c r="J62" s="5" t="n"/>
      <c r="K62" s="5" t="n"/>
      <c r="L62" s="5" t="n"/>
      <c r="M62" s="11" t="n"/>
      <c r="N62" s="4">
        <f>IF(B62="","",IF(AND(H62="Yes",J62="Yes",K62="Yes",L62="Yes"),"Compliant",IF(OR(H62="No",J62="No",L62="No"),"Non-Compliant","Partial")))</f>
        <v/>
      </c>
      <c r="O62" s="5" t="n"/>
    </row>
    <row r="63">
      <c r="A63" s="5" t="n"/>
      <c r="B63" s="5" t="n"/>
      <c r="C63" s="5" t="n"/>
      <c r="D63" s="5" t="n"/>
      <c r="E63" s="5" t="n"/>
      <c r="F63" s="11" t="n"/>
      <c r="G63" s="5" t="n"/>
      <c r="H63" s="5" t="n"/>
      <c r="I63" s="11" t="n"/>
      <c r="J63" s="5" t="n"/>
      <c r="K63" s="5" t="n"/>
      <c r="L63" s="5" t="n"/>
      <c r="M63" s="11" t="n"/>
      <c r="N63" s="4">
        <f>IF(B63="","",IF(AND(H63="Yes",J63="Yes",K63="Yes",L63="Yes"),"Compliant",IF(OR(H63="No",J63="No",L63="No"),"Non-Compliant","Partial")))</f>
        <v/>
      </c>
      <c r="O63" s="5" t="n"/>
    </row>
    <row r="64">
      <c r="A64" s="5" t="n"/>
      <c r="B64" s="5" t="n"/>
      <c r="C64" s="5" t="n"/>
      <c r="D64" s="5" t="n"/>
      <c r="E64" s="5" t="n"/>
      <c r="F64" s="11" t="n"/>
      <c r="G64" s="5" t="n"/>
      <c r="H64" s="5" t="n"/>
      <c r="I64" s="11" t="n"/>
      <c r="J64" s="5" t="n"/>
      <c r="K64" s="5" t="n"/>
      <c r="L64" s="5" t="n"/>
      <c r="M64" s="11" t="n"/>
      <c r="N64" s="4">
        <f>IF(B64="","",IF(AND(H64="Yes",J64="Yes",K64="Yes",L64="Yes"),"Compliant",IF(OR(H64="No",J64="No",L64="No"),"Non-Compliant","Partial")))</f>
        <v/>
      </c>
      <c r="O64" s="5" t="n"/>
    </row>
    <row r="65">
      <c r="A65" s="5" t="n"/>
      <c r="B65" s="5" t="n"/>
      <c r="C65" s="5" t="n"/>
      <c r="D65" s="5" t="n"/>
      <c r="E65" s="5" t="n"/>
      <c r="F65" s="11" t="n"/>
      <c r="G65" s="5" t="n"/>
      <c r="H65" s="5" t="n"/>
      <c r="I65" s="11" t="n"/>
      <c r="J65" s="5" t="n"/>
      <c r="K65" s="5" t="n"/>
      <c r="L65" s="5" t="n"/>
      <c r="M65" s="11" t="n"/>
      <c r="N65" s="4">
        <f>IF(B65="","",IF(AND(H65="Yes",J65="Yes",K65="Yes",L65="Yes"),"Compliant",IF(OR(H65="No",J65="No",L65="No"),"Non-Compliant","Partial")))</f>
        <v/>
      </c>
      <c r="O65" s="5" t="n"/>
    </row>
    <row r="66">
      <c r="A66" s="5" t="n"/>
      <c r="B66" s="5" t="n"/>
      <c r="C66" s="5" t="n"/>
      <c r="D66" s="5" t="n"/>
      <c r="E66" s="5" t="n"/>
      <c r="F66" s="11" t="n"/>
      <c r="G66" s="5" t="n"/>
      <c r="H66" s="5" t="n"/>
      <c r="I66" s="11" t="n"/>
      <c r="J66" s="5" t="n"/>
      <c r="K66" s="5" t="n"/>
      <c r="L66" s="5" t="n"/>
      <c r="M66" s="11" t="n"/>
      <c r="N66" s="4">
        <f>IF(B66="","",IF(AND(H66="Yes",J66="Yes",K66="Yes",L66="Yes"),"Compliant",IF(OR(H66="No",J66="No",L66="No"),"Non-Compliant","Partial")))</f>
        <v/>
      </c>
      <c r="O66" s="5" t="n"/>
    </row>
    <row r="67">
      <c r="A67" s="5" t="n"/>
      <c r="B67" s="5" t="n"/>
      <c r="C67" s="5" t="n"/>
      <c r="D67" s="5" t="n"/>
      <c r="E67" s="5" t="n"/>
      <c r="F67" s="11" t="n"/>
      <c r="G67" s="5" t="n"/>
      <c r="H67" s="5" t="n"/>
      <c r="I67" s="11" t="n"/>
      <c r="J67" s="5" t="n"/>
      <c r="K67" s="5" t="n"/>
      <c r="L67" s="5" t="n"/>
      <c r="M67" s="11" t="n"/>
      <c r="N67" s="4">
        <f>IF(B67="","",IF(AND(H67="Yes",J67="Yes",K67="Yes",L67="Yes"),"Compliant",IF(OR(H67="No",J67="No",L67="No"),"Non-Compliant","Partial")))</f>
        <v/>
      </c>
      <c r="O67" s="5" t="n"/>
    </row>
    <row r="68">
      <c r="A68" s="5" t="n"/>
      <c r="B68" s="5" t="n"/>
      <c r="C68" s="5" t="n"/>
      <c r="D68" s="5" t="n"/>
      <c r="E68" s="5" t="n"/>
      <c r="F68" s="11" t="n"/>
      <c r="G68" s="5" t="n"/>
      <c r="H68" s="5" t="n"/>
      <c r="I68" s="11" t="n"/>
      <c r="J68" s="5" t="n"/>
      <c r="K68" s="5" t="n"/>
      <c r="L68" s="5" t="n"/>
      <c r="M68" s="11" t="n"/>
      <c r="N68" s="4">
        <f>IF(B68="","",IF(AND(H68="Yes",J68="Yes",K68="Yes",L68="Yes"),"Compliant",IF(OR(H68="No",J68="No",L68="No"),"Non-Compliant","Partial")))</f>
        <v/>
      </c>
      <c r="O68" s="5" t="n"/>
    </row>
    <row r="69">
      <c r="A69" s="5" t="n"/>
      <c r="B69" s="5" t="n"/>
      <c r="C69" s="5" t="n"/>
      <c r="D69" s="5" t="n"/>
      <c r="E69" s="5" t="n"/>
      <c r="F69" s="11" t="n"/>
      <c r="G69" s="5" t="n"/>
      <c r="H69" s="5" t="n"/>
      <c r="I69" s="11" t="n"/>
      <c r="J69" s="5" t="n"/>
      <c r="K69" s="5" t="n"/>
      <c r="L69" s="5" t="n"/>
      <c r="M69" s="11" t="n"/>
      <c r="N69" s="4">
        <f>IF(B69="","",IF(AND(H69="Yes",J69="Yes",K69="Yes",L69="Yes"),"Compliant",IF(OR(H69="No",J69="No",L69="No"),"Non-Compliant","Partial")))</f>
        <v/>
      </c>
      <c r="O69" s="5" t="n"/>
    </row>
    <row r="70">
      <c r="A70" s="5" t="n"/>
      <c r="B70" s="5" t="n"/>
      <c r="C70" s="5" t="n"/>
      <c r="D70" s="5" t="n"/>
      <c r="E70" s="5" t="n"/>
      <c r="F70" s="11" t="n"/>
      <c r="G70" s="5" t="n"/>
      <c r="H70" s="5" t="n"/>
      <c r="I70" s="11" t="n"/>
      <c r="J70" s="5" t="n"/>
      <c r="K70" s="5" t="n"/>
      <c r="L70" s="5" t="n"/>
      <c r="M70" s="11" t="n"/>
      <c r="N70" s="4">
        <f>IF(B70="","",IF(AND(H70="Yes",J70="Yes",K70="Yes",L70="Yes"),"Compliant",IF(OR(H70="No",J70="No",L70="No"),"Non-Compliant","Partial")))</f>
        <v/>
      </c>
      <c r="O70" s="5" t="n"/>
    </row>
    <row r="71">
      <c r="A71" s="5" t="n"/>
      <c r="B71" s="5" t="n"/>
      <c r="C71" s="5" t="n"/>
      <c r="D71" s="5" t="n"/>
      <c r="E71" s="5" t="n"/>
      <c r="F71" s="11" t="n"/>
      <c r="G71" s="5" t="n"/>
      <c r="H71" s="5" t="n"/>
      <c r="I71" s="11" t="n"/>
      <c r="J71" s="5" t="n"/>
      <c r="K71" s="5" t="n"/>
      <c r="L71" s="5" t="n"/>
      <c r="M71" s="11" t="n"/>
      <c r="N71" s="4">
        <f>IF(B71="","",IF(AND(H71="Yes",J71="Yes",K71="Yes",L71="Yes"),"Compliant",IF(OR(H71="No",J71="No",L71="No"),"Non-Compliant","Partial")))</f>
        <v/>
      </c>
      <c r="O71" s="5" t="n"/>
    </row>
    <row r="72">
      <c r="A72" s="5" t="n"/>
      <c r="B72" s="5" t="n"/>
      <c r="C72" s="5" t="n"/>
      <c r="D72" s="5" t="n"/>
      <c r="E72" s="5" t="n"/>
      <c r="F72" s="11" t="n"/>
      <c r="G72" s="5" t="n"/>
      <c r="H72" s="5" t="n"/>
      <c r="I72" s="11" t="n"/>
      <c r="J72" s="5" t="n"/>
      <c r="K72" s="5" t="n"/>
      <c r="L72" s="5" t="n"/>
      <c r="M72" s="11" t="n"/>
      <c r="N72" s="4">
        <f>IF(B72="","",IF(AND(H72="Yes",J72="Yes",K72="Yes",L72="Yes"),"Compliant",IF(OR(H72="No",J72="No",L72="No"),"Non-Compliant","Partial")))</f>
        <v/>
      </c>
      <c r="O72" s="5" t="n"/>
    </row>
    <row r="73">
      <c r="A73" s="5" t="n"/>
      <c r="B73" s="5" t="n"/>
      <c r="C73" s="5" t="n"/>
      <c r="D73" s="5" t="n"/>
      <c r="E73" s="5" t="n"/>
      <c r="F73" s="11" t="n"/>
      <c r="G73" s="5" t="n"/>
      <c r="H73" s="5" t="n"/>
      <c r="I73" s="11" t="n"/>
      <c r="J73" s="5" t="n"/>
      <c r="K73" s="5" t="n"/>
      <c r="L73" s="5" t="n"/>
      <c r="M73" s="11" t="n"/>
      <c r="N73" s="4">
        <f>IF(B73="","",IF(AND(H73="Yes",J73="Yes",K73="Yes",L73="Yes"),"Compliant",IF(OR(H73="No",J73="No",L73="No"),"Non-Compliant","Partial")))</f>
        <v/>
      </c>
      <c r="O73" s="5" t="n"/>
    </row>
    <row r="74">
      <c r="A74" s="5" t="n"/>
      <c r="B74" s="5" t="n"/>
      <c r="C74" s="5" t="n"/>
      <c r="D74" s="5" t="n"/>
      <c r="E74" s="5" t="n"/>
      <c r="F74" s="11" t="n"/>
      <c r="G74" s="5" t="n"/>
      <c r="H74" s="5" t="n"/>
      <c r="I74" s="11" t="n"/>
      <c r="J74" s="5" t="n"/>
      <c r="K74" s="5" t="n"/>
      <c r="L74" s="5" t="n"/>
      <c r="M74" s="11" t="n"/>
      <c r="N74" s="4">
        <f>IF(B74="","",IF(AND(H74="Yes",J74="Yes",K74="Yes",L74="Yes"),"Compliant",IF(OR(H74="No",J74="No",L74="No"),"Non-Compliant","Partial")))</f>
        <v/>
      </c>
      <c r="O74" s="5" t="n"/>
    </row>
    <row r="75">
      <c r="A75" s="5" t="n"/>
      <c r="B75" s="5" t="n"/>
      <c r="C75" s="5" t="n"/>
      <c r="D75" s="5" t="n"/>
      <c r="E75" s="5" t="n"/>
      <c r="F75" s="11" t="n"/>
      <c r="G75" s="5" t="n"/>
      <c r="H75" s="5" t="n"/>
      <c r="I75" s="11" t="n"/>
      <c r="J75" s="5" t="n"/>
      <c r="K75" s="5" t="n"/>
      <c r="L75" s="5" t="n"/>
      <c r="M75" s="11" t="n"/>
      <c r="N75" s="4">
        <f>IF(B75="","",IF(AND(H75="Yes",J75="Yes",K75="Yes",L75="Yes"),"Compliant",IF(OR(H75="No",J75="No",L75="No"),"Non-Compliant","Partial")))</f>
        <v/>
      </c>
      <c r="O75" s="5" t="n"/>
    </row>
    <row r="76">
      <c r="A76" s="5" t="n"/>
      <c r="B76" s="5" t="n"/>
      <c r="C76" s="5" t="n"/>
      <c r="D76" s="5" t="n"/>
      <c r="E76" s="5" t="n"/>
      <c r="F76" s="11" t="n"/>
      <c r="G76" s="5" t="n"/>
      <c r="H76" s="5" t="n"/>
      <c r="I76" s="11" t="n"/>
      <c r="J76" s="5" t="n"/>
      <c r="K76" s="5" t="n"/>
      <c r="L76" s="5" t="n"/>
      <c r="M76" s="11" t="n"/>
      <c r="N76" s="4">
        <f>IF(B76="","",IF(AND(H76="Yes",J76="Yes",K76="Yes",L76="Yes"),"Compliant",IF(OR(H76="No",J76="No",L76="No"),"Non-Compliant","Partial")))</f>
        <v/>
      </c>
      <c r="O76" s="5" t="n"/>
    </row>
    <row r="77">
      <c r="A77" s="5" t="n"/>
      <c r="B77" s="5" t="n"/>
      <c r="C77" s="5" t="n"/>
      <c r="D77" s="5" t="n"/>
      <c r="E77" s="5" t="n"/>
      <c r="F77" s="11" t="n"/>
      <c r="G77" s="5" t="n"/>
      <c r="H77" s="5" t="n"/>
      <c r="I77" s="11" t="n"/>
      <c r="J77" s="5" t="n"/>
      <c r="K77" s="5" t="n"/>
      <c r="L77" s="5" t="n"/>
      <c r="M77" s="11" t="n"/>
      <c r="N77" s="4">
        <f>IF(B77="","",IF(AND(H77="Yes",J77="Yes",K77="Yes",L77="Yes"),"Compliant",IF(OR(H77="No",J77="No",L77="No"),"Non-Compliant","Partial")))</f>
        <v/>
      </c>
      <c r="O77" s="5" t="n"/>
    </row>
    <row r="78">
      <c r="A78" s="5" t="n"/>
      <c r="B78" s="5" t="n"/>
      <c r="C78" s="5" t="n"/>
      <c r="D78" s="5" t="n"/>
      <c r="E78" s="5" t="n"/>
      <c r="F78" s="11" t="n"/>
      <c r="G78" s="5" t="n"/>
      <c r="H78" s="5" t="n"/>
      <c r="I78" s="11" t="n"/>
      <c r="J78" s="5" t="n"/>
      <c r="K78" s="5" t="n"/>
      <c r="L78" s="5" t="n"/>
      <c r="M78" s="11" t="n"/>
      <c r="N78" s="4">
        <f>IF(B78="","",IF(AND(H78="Yes",J78="Yes",K78="Yes",L78="Yes"),"Compliant",IF(OR(H78="No",J78="No",L78="No"),"Non-Compliant","Partial")))</f>
        <v/>
      </c>
      <c r="O78" s="5" t="n"/>
    </row>
    <row r="79">
      <c r="A79" s="5" t="n"/>
      <c r="B79" s="5" t="n"/>
      <c r="C79" s="5" t="n"/>
      <c r="D79" s="5" t="n"/>
      <c r="E79" s="5" t="n"/>
      <c r="F79" s="11" t="n"/>
      <c r="G79" s="5" t="n"/>
      <c r="H79" s="5" t="n"/>
      <c r="I79" s="11" t="n"/>
      <c r="J79" s="5" t="n"/>
      <c r="K79" s="5" t="n"/>
      <c r="L79" s="5" t="n"/>
      <c r="M79" s="11" t="n"/>
      <c r="N79" s="4">
        <f>IF(B79="","",IF(AND(H79="Yes",J79="Yes",K79="Yes",L79="Yes"),"Compliant",IF(OR(H79="No",J79="No",L79="No"),"Non-Compliant","Partial")))</f>
        <v/>
      </c>
      <c r="O79" s="5" t="n"/>
    </row>
    <row r="80">
      <c r="A80" s="5" t="n"/>
      <c r="B80" s="5" t="n"/>
      <c r="C80" s="5" t="n"/>
      <c r="D80" s="5" t="n"/>
      <c r="E80" s="5" t="n"/>
      <c r="F80" s="11" t="n"/>
      <c r="G80" s="5" t="n"/>
      <c r="H80" s="5" t="n"/>
      <c r="I80" s="11" t="n"/>
      <c r="J80" s="5" t="n"/>
      <c r="K80" s="5" t="n"/>
      <c r="L80" s="5" t="n"/>
      <c r="M80" s="11" t="n"/>
      <c r="N80" s="4">
        <f>IF(B80="","",IF(AND(H80="Yes",J80="Yes",K80="Yes",L80="Yes"),"Compliant",IF(OR(H80="No",J80="No",L80="No"),"Non-Compliant","Partial")))</f>
        <v/>
      </c>
      <c r="O80" s="5" t="n"/>
    </row>
    <row r="81">
      <c r="A81" s="5" t="n"/>
      <c r="B81" s="5" t="n"/>
      <c r="C81" s="5" t="n"/>
      <c r="D81" s="5" t="n"/>
      <c r="E81" s="5" t="n"/>
      <c r="F81" s="11" t="n"/>
      <c r="G81" s="5" t="n"/>
      <c r="H81" s="5" t="n"/>
      <c r="I81" s="11" t="n"/>
      <c r="J81" s="5" t="n"/>
      <c r="K81" s="5" t="n"/>
      <c r="L81" s="5" t="n"/>
      <c r="M81" s="11" t="n"/>
      <c r="N81" s="4">
        <f>IF(B81="","",IF(AND(H81="Yes",J81="Yes",K81="Yes",L81="Yes"),"Compliant",IF(OR(H81="No",J81="No",L81="No"),"Non-Compliant","Partial")))</f>
        <v/>
      </c>
      <c r="O81" s="5" t="n"/>
    </row>
    <row r="82">
      <c r="A82" s="5" t="n"/>
      <c r="B82" s="5" t="n"/>
      <c r="C82" s="5" t="n"/>
      <c r="D82" s="5" t="n"/>
      <c r="E82" s="5" t="n"/>
      <c r="F82" s="11" t="n"/>
      <c r="G82" s="5" t="n"/>
      <c r="H82" s="5" t="n"/>
      <c r="I82" s="11" t="n"/>
      <c r="J82" s="5" t="n"/>
      <c r="K82" s="5" t="n"/>
      <c r="L82" s="5" t="n"/>
      <c r="M82" s="11" t="n"/>
      <c r="N82" s="4">
        <f>IF(B82="","",IF(AND(H82="Yes",J82="Yes",K82="Yes",L82="Yes"),"Compliant",IF(OR(H82="No",J82="No",L82="No"),"Non-Compliant","Partial")))</f>
        <v/>
      </c>
      <c r="O82" s="5" t="n"/>
    </row>
    <row r="83">
      <c r="A83" s="5" t="n"/>
      <c r="B83" s="5" t="n"/>
      <c r="C83" s="5" t="n"/>
      <c r="D83" s="5" t="n"/>
      <c r="E83" s="5" t="n"/>
      <c r="F83" s="11" t="n"/>
      <c r="G83" s="5" t="n"/>
      <c r="H83" s="5" t="n"/>
      <c r="I83" s="11" t="n"/>
      <c r="J83" s="5" t="n"/>
      <c r="K83" s="5" t="n"/>
      <c r="L83" s="5" t="n"/>
      <c r="M83" s="11" t="n"/>
      <c r="N83" s="4">
        <f>IF(B83="","",IF(AND(H83="Yes",J83="Yes",K83="Yes",L83="Yes"),"Compliant",IF(OR(H83="No",J83="No",L83="No"),"Non-Compliant","Partial")))</f>
        <v/>
      </c>
      <c r="O83" s="5" t="n"/>
    </row>
    <row r="84">
      <c r="A84" s="5" t="n"/>
      <c r="B84" s="5" t="n"/>
      <c r="C84" s="5" t="n"/>
      <c r="D84" s="5" t="n"/>
      <c r="E84" s="5" t="n"/>
      <c r="F84" s="11" t="n"/>
      <c r="G84" s="5" t="n"/>
      <c r="H84" s="5" t="n"/>
      <c r="I84" s="11" t="n"/>
      <c r="J84" s="5" t="n"/>
      <c r="K84" s="5" t="n"/>
      <c r="L84" s="5" t="n"/>
      <c r="M84" s="11" t="n"/>
      <c r="N84" s="4">
        <f>IF(B84="","",IF(AND(H84="Yes",J84="Yes",K84="Yes",L84="Yes"),"Compliant",IF(OR(H84="No",J84="No",L84="No"),"Non-Compliant","Partial")))</f>
        <v/>
      </c>
      <c r="O84" s="5" t="n"/>
    </row>
    <row r="85">
      <c r="A85" s="5" t="n"/>
      <c r="B85" s="5" t="n"/>
      <c r="C85" s="5" t="n"/>
      <c r="D85" s="5" t="n"/>
      <c r="E85" s="5" t="n"/>
      <c r="F85" s="11" t="n"/>
      <c r="G85" s="5" t="n"/>
      <c r="H85" s="5" t="n"/>
      <c r="I85" s="11" t="n"/>
      <c r="J85" s="5" t="n"/>
      <c r="K85" s="5" t="n"/>
      <c r="L85" s="5" t="n"/>
      <c r="M85" s="11" t="n"/>
      <c r="N85" s="4">
        <f>IF(B85="","",IF(AND(H85="Yes",J85="Yes",K85="Yes",L85="Yes"),"Compliant",IF(OR(H85="No",J85="No",L85="No"),"Non-Compliant","Partial")))</f>
        <v/>
      </c>
      <c r="O85" s="5" t="n"/>
    </row>
    <row r="86">
      <c r="A86" s="5" t="n"/>
      <c r="B86" s="5" t="n"/>
      <c r="C86" s="5" t="n"/>
      <c r="D86" s="5" t="n"/>
      <c r="E86" s="5" t="n"/>
      <c r="F86" s="11" t="n"/>
      <c r="G86" s="5" t="n"/>
      <c r="H86" s="5" t="n"/>
      <c r="I86" s="11" t="n"/>
      <c r="J86" s="5" t="n"/>
      <c r="K86" s="5" t="n"/>
      <c r="L86" s="5" t="n"/>
      <c r="M86" s="11" t="n"/>
      <c r="N86" s="4">
        <f>IF(B86="","",IF(AND(H86="Yes",J86="Yes",K86="Yes",L86="Yes"),"Compliant",IF(OR(H86="No",J86="No",L86="No"),"Non-Compliant","Partial")))</f>
        <v/>
      </c>
      <c r="O86" s="5" t="n"/>
    </row>
    <row r="87">
      <c r="A87" s="5" t="n"/>
      <c r="B87" s="5" t="n"/>
      <c r="C87" s="5" t="n"/>
      <c r="D87" s="5" t="n"/>
      <c r="E87" s="5" t="n"/>
      <c r="F87" s="11" t="n"/>
      <c r="G87" s="5" t="n"/>
      <c r="H87" s="5" t="n"/>
      <c r="I87" s="11" t="n"/>
      <c r="J87" s="5" t="n"/>
      <c r="K87" s="5" t="n"/>
      <c r="L87" s="5" t="n"/>
      <c r="M87" s="11" t="n"/>
      <c r="N87" s="4">
        <f>IF(B87="","",IF(AND(H87="Yes",J87="Yes",K87="Yes",L87="Yes"),"Compliant",IF(OR(H87="No",J87="No",L87="No"),"Non-Compliant","Partial")))</f>
        <v/>
      </c>
      <c r="O87" s="5" t="n"/>
    </row>
    <row r="88">
      <c r="A88" s="5" t="n"/>
      <c r="B88" s="5" t="n"/>
      <c r="C88" s="5" t="n"/>
      <c r="D88" s="5" t="n"/>
      <c r="E88" s="5" t="n"/>
      <c r="F88" s="11" t="n"/>
      <c r="G88" s="5" t="n"/>
      <c r="H88" s="5" t="n"/>
      <c r="I88" s="11" t="n"/>
      <c r="J88" s="5" t="n"/>
      <c r="K88" s="5" t="n"/>
      <c r="L88" s="5" t="n"/>
      <c r="M88" s="11" t="n"/>
      <c r="N88" s="4">
        <f>IF(B88="","",IF(AND(H88="Yes",J88="Yes",K88="Yes",L88="Yes"),"Compliant",IF(OR(H88="No",J88="No",L88="No"),"Non-Compliant","Partial")))</f>
        <v/>
      </c>
      <c r="O88" s="5" t="n"/>
    </row>
    <row r="89">
      <c r="A89" s="5" t="n"/>
      <c r="B89" s="5" t="n"/>
      <c r="C89" s="5" t="n"/>
      <c r="D89" s="5" t="n"/>
      <c r="E89" s="5" t="n"/>
      <c r="F89" s="11" t="n"/>
      <c r="G89" s="5" t="n"/>
      <c r="H89" s="5" t="n"/>
      <c r="I89" s="11" t="n"/>
      <c r="J89" s="5" t="n"/>
      <c r="K89" s="5" t="n"/>
      <c r="L89" s="5" t="n"/>
      <c r="M89" s="11" t="n"/>
      <c r="N89" s="4">
        <f>IF(B89="","",IF(AND(H89="Yes",J89="Yes",K89="Yes",L89="Yes"),"Compliant",IF(OR(H89="No",J89="No",L89="No"),"Non-Compliant","Partial")))</f>
        <v/>
      </c>
      <c r="O89" s="5" t="n"/>
    </row>
    <row r="90">
      <c r="A90" s="5" t="n"/>
      <c r="B90" s="5" t="n"/>
      <c r="C90" s="5" t="n"/>
      <c r="D90" s="5" t="n"/>
      <c r="E90" s="5" t="n"/>
      <c r="F90" s="11" t="n"/>
      <c r="G90" s="5" t="n"/>
      <c r="H90" s="5" t="n"/>
      <c r="I90" s="11" t="n"/>
      <c r="J90" s="5" t="n"/>
      <c r="K90" s="5" t="n"/>
      <c r="L90" s="5" t="n"/>
      <c r="M90" s="11" t="n"/>
      <c r="N90" s="4">
        <f>IF(B90="","",IF(AND(H90="Yes",J90="Yes",K90="Yes",L90="Yes"),"Compliant",IF(OR(H90="No",J90="No",L90="No"),"Non-Compliant","Partial")))</f>
        <v/>
      </c>
      <c r="O90" s="5" t="n"/>
    </row>
    <row r="91">
      <c r="A91" s="5" t="n"/>
      <c r="B91" s="5" t="n"/>
      <c r="C91" s="5" t="n"/>
      <c r="D91" s="5" t="n"/>
      <c r="E91" s="5" t="n"/>
      <c r="F91" s="11" t="n"/>
      <c r="G91" s="5" t="n"/>
      <c r="H91" s="5" t="n"/>
      <c r="I91" s="11" t="n"/>
      <c r="J91" s="5" t="n"/>
      <c r="K91" s="5" t="n"/>
      <c r="L91" s="5" t="n"/>
      <c r="M91" s="11" t="n"/>
      <c r="N91" s="4">
        <f>IF(B91="","",IF(AND(H91="Yes",J91="Yes",K91="Yes",L91="Yes"),"Compliant",IF(OR(H91="No",J91="No",L91="No"),"Non-Compliant","Partial")))</f>
        <v/>
      </c>
      <c r="O91" s="5" t="n"/>
    </row>
    <row r="92">
      <c r="A92" s="5" t="n"/>
      <c r="B92" s="5" t="n"/>
      <c r="C92" s="5" t="n"/>
      <c r="D92" s="5" t="n"/>
      <c r="E92" s="5" t="n"/>
      <c r="F92" s="11" t="n"/>
      <c r="G92" s="5" t="n"/>
      <c r="H92" s="5" t="n"/>
      <c r="I92" s="11" t="n"/>
      <c r="J92" s="5" t="n"/>
      <c r="K92" s="5" t="n"/>
      <c r="L92" s="5" t="n"/>
      <c r="M92" s="11" t="n"/>
      <c r="N92" s="4">
        <f>IF(B92="","",IF(AND(H92="Yes",J92="Yes",K92="Yes",L92="Yes"),"Compliant",IF(OR(H92="No",J92="No",L92="No"),"Non-Compliant","Partial")))</f>
        <v/>
      </c>
      <c r="O92" s="5" t="n"/>
    </row>
    <row r="93">
      <c r="A93" s="5" t="n"/>
      <c r="B93" s="5" t="n"/>
      <c r="C93" s="5" t="n"/>
      <c r="D93" s="5" t="n"/>
      <c r="E93" s="5" t="n"/>
      <c r="F93" s="11" t="n"/>
      <c r="G93" s="5" t="n"/>
      <c r="H93" s="5" t="n"/>
      <c r="I93" s="11" t="n"/>
      <c r="J93" s="5" t="n"/>
      <c r="K93" s="5" t="n"/>
      <c r="L93" s="5" t="n"/>
      <c r="M93" s="11" t="n"/>
      <c r="N93" s="4">
        <f>IF(B93="","",IF(AND(H93="Yes",J93="Yes",K93="Yes",L93="Yes"),"Compliant",IF(OR(H93="No",J93="No",L93="No"),"Non-Compliant","Partial")))</f>
        <v/>
      </c>
      <c r="O93" s="5" t="n"/>
    </row>
    <row r="94">
      <c r="A94" s="5" t="n"/>
      <c r="B94" s="5" t="n"/>
      <c r="C94" s="5" t="n"/>
      <c r="D94" s="5" t="n"/>
      <c r="E94" s="5" t="n"/>
      <c r="F94" s="11" t="n"/>
      <c r="G94" s="5" t="n"/>
      <c r="H94" s="5" t="n"/>
      <c r="I94" s="11" t="n"/>
      <c r="J94" s="5" t="n"/>
      <c r="K94" s="5" t="n"/>
      <c r="L94" s="5" t="n"/>
      <c r="M94" s="11" t="n"/>
      <c r="N94" s="4">
        <f>IF(B94="","",IF(AND(H94="Yes",J94="Yes",K94="Yes",L94="Yes"),"Compliant",IF(OR(H94="No",J94="No",L94="No"),"Non-Compliant","Partial")))</f>
        <v/>
      </c>
      <c r="O94" s="5" t="n"/>
    </row>
    <row r="95">
      <c r="A95" s="5" t="n"/>
      <c r="B95" s="5" t="n"/>
      <c r="C95" s="5" t="n"/>
      <c r="D95" s="5" t="n"/>
      <c r="E95" s="5" t="n"/>
      <c r="F95" s="11" t="n"/>
      <c r="G95" s="5" t="n"/>
      <c r="H95" s="5" t="n"/>
      <c r="I95" s="11" t="n"/>
      <c r="J95" s="5" t="n"/>
      <c r="K95" s="5" t="n"/>
      <c r="L95" s="5" t="n"/>
      <c r="M95" s="11" t="n"/>
      <c r="N95" s="4">
        <f>IF(B95="","",IF(AND(H95="Yes",J95="Yes",K95="Yes",L95="Yes"),"Compliant",IF(OR(H95="No",J95="No",L95="No"),"Non-Compliant","Partial")))</f>
        <v/>
      </c>
      <c r="O95" s="5" t="n"/>
    </row>
    <row r="96">
      <c r="A96" s="5" t="n"/>
      <c r="B96" s="5" t="n"/>
      <c r="C96" s="5" t="n"/>
      <c r="D96" s="5" t="n"/>
      <c r="E96" s="5" t="n"/>
      <c r="F96" s="11" t="n"/>
      <c r="G96" s="5" t="n"/>
      <c r="H96" s="5" t="n"/>
      <c r="I96" s="11" t="n"/>
      <c r="J96" s="5" t="n"/>
      <c r="K96" s="5" t="n"/>
      <c r="L96" s="5" t="n"/>
      <c r="M96" s="11" t="n"/>
      <c r="N96" s="4">
        <f>IF(B96="","",IF(AND(H96="Yes",J96="Yes",K96="Yes",L96="Yes"),"Compliant",IF(OR(H96="No",J96="No",L96="No"),"Non-Compliant","Partial")))</f>
        <v/>
      </c>
      <c r="O96" s="5" t="n"/>
    </row>
    <row r="97">
      <c r="A97" s="5" t="n"/>
      <c r="B97" s="5" t="n"/>
      <c r="C97" s="5" t="n"/>
      <c r="D97" s="5" t="n"/>
      <c r="E97" s="5" t="n"/>
      <c r="F97" s="11" t="n"/>
      <c r="G97" s="5" t="n"/>
      <c r="H97" s="5" t="n"/>
      <c r="I97" s="11" t="n"/>
      <c r="J97" s="5" t="n"/>
      <c r="K97" s="5" t="n"/>
      <c r="L97" s="5" t="n"/>
      <c r="M97" s="11" t="n"/>
      <c r="N97" s="4">
        <f>IF(B97="","",IF(AND(H97="Yes",J97="Yes",K97="Yes",L97="Yes"),"Compliant",IF(OR(H97="No",J97="No",L97="No"),"Non-Compliant","Partial")))</f>
        <v/>
      </c>
      <c r="O97" s="5" t="n"/>
    </row>
    <row r="98">
      <c r="A98" s="5" t="n"/>
      <c r="B98" s="5" t="n"/>
      <c r="C98" s="5" t="n"/>
      <c r="D98" s="5" t="n"/>
      <c r="E98" s="5" t="n"/>
      <c r="F98" s="11" t="n"/>
      <c r="G98" s="5" t="n"/>
      <c r="H98" s="5" t="n"/>
      <c r="I98" s="11" t="n"/>
      <c r="J98" s="5" t="n"/>
      <c r="K98" s="5" t="n"/>
      <c r="L98" s="5" t="n"/>
      <c r="M98" s="11" t="n"/>
      <c r="N98" s="4">
        <f>IF(B98="","",IF(AND(H98="Yes",J98="Yes",K98="Yes",L98="Yes"),"Compliant",IF(OR(H98="No",J98="No",L98="No"),"Non-Compliant","Partial")))</f>
        <v/>
      </c>
      <c r="O98" s="5" t="n"/>
    </row>
    <row r="99">
      <c r="A99" s="5" t="n"/>
      <c r="B99" s="5" t="n"/>
      <c r="C99" s="5" t="n"/>
      <c r="D99" s="5" t="n"/>
      <c r="E99" s="5" t="n"/>
      <c r="F99" s="11" t="n"/>
      <c r="G99" s="5" t="n"/>
      <c r="H99" s="5" t="n"/>
      <c r="I99" s="11" t="n"/>
      <c r="J99" s="5" t="n"/>
      <c r="K99" s="5" t="n"/>
      <c r="L99" s="5" t="n"/>
      <c r="M99" s="11" t="n"/>
      <c r="N99" s="4">
        <f>IF(B99="","",IF(AND(H99="Yes",J99="Yes",K99="Yes",L99="Yes"),"Compliant",IF(OR(H99="No",J99="No",L99="No"),"Non-Compliant","Partial")))</f>
        <v/>
      </c>
      <c r="O99" s="5" t="n"/>
    </row>
    <row r="100">
      <c r="A100" s="5" t="n"/>
      <c r="B100" s="5" t="n"/>
      <c r="C100" s="5" t="n"/>
      <c r="D100" s="5" t="n"/>
      <c r="E100" s="5" t="n"/>
      <c r="F100" s="11" t="n"/>
      <c r="G100" s="5" t="n"/>
      <c r="H100" s="5" t="n"/>
      <c r="I100" s="11" t="n"/>
      <c r="J100" s="5" t="n"/>
      <c r="K100" s="5" t="n"/>
      <c r="L100" s="5" t="n"/>
      <c r="M100" s="11" t="n"/>
      <c r="N100" s="4">
        <f>IF(B100="","",IF(AND(H100="Yes",J100="Yes",K100="Yes",L100="Yes"),"Compliant",IF(OR(H100="No",J100="No",L100="No"),"Non-Compliant","Partial")))</f>
        <v/>
      </c>
      <c r="O100" s="5" t="n"/>
    </row>
    <row r="101">
      <c r="A101" s="5" t="n"/>
      <c r="B101" s="5" t="n"/>
      <c r="C101" s="5" t="n"/>
      <c r="D101" s="5" t="n"/>
      <c r="E101" s="5" t="n"/>
      <c r="F101" s="11" t="n"/>
      <c r="G101" s="5" t="n"/>
      <c r="H101" s="5" t="n"/>
      <c r="I101" s="11" t="n"/>
      <c r="J101" s="5" t="n"/>
      <c r="K101" s="5" t="n"/>
      <c r="L101" s="5" t="n"/>
      <c r="M101" s="11" t="n"/>
      <c r="N101" s="4">
        <f>IF(B101="","",IF(AND(H101="Yes",J101="Yes",K101="Yes",L101="Yes"),"Compliant",IF(OR(H101="No",J101="No",L101="No"),"Non-Compliant","Partial")))</f>
        <v/>
      </c>
      <c r="O101" s="5" t="n"/>
    </row>
    <row r="102">
      <c r="A102" s="5" t="n"/>
      <c r="B102" s="5" t="n"/>
      <c r="C102" s="5" t="n"/>
      <c r="D102" s="5" t="n"/>
      <c r="E102" s="5" t="n"/>
      <c r="F102" s="11" t="n"/>
      <c r="G102" s="5" t="n"/>
      <c r="H102" s="5" t="n"/>
      <c r="I102" s="11" t="n"/>
      <c r="J102" s="5" t="n"/>
      <c r="K102" s="5" t="n"/>
      <c r="L102" s="5" t="n"/>
      <c r="M102" s="11" t="n"/>
      <c r="N102" s="4">
        <f>IF(B102="","",IF(AND(H102="Yes",J102="Yes",K102="Yes",L102="Yes"),"Compliant",IF(OR(H102="No",J102="No",L102="No"),"Non-Compliant","Partial")))</f>
        <v/>
      </c>
      <c r="O102" s="5" t="n"/>
    </row>
    <row r="103">
      <c r="A103" s="5" t="n"/>
      <c r="B103" s="5" t="n"/>
      <c r="C103" s="5" t="n"/>
      <c r="D103" s="5" t="n"/>
      <c r="E103" s="5" t="n"/>
      <c r="F103" s="11" t="n"/>
      <c r="G103" s="5" t="n"/>
      <c r="H103" s="5" t="n"/>
      <c r="I103" s="11" t="n"/>
      <c r="J103" s="5" t="n"/>
      <c r="K103" s="5" t="n"/>
      <c r="L103" s="5" t="n"/>
      <c r="M103" s="11" t="n"/>
      <c r="N103" s="4">
        <f>IF(B103="","",IF(AND(H103="Yes",J103="Yes",K103="Yes",L103="Yes"),"Compliant",IF(OR(H103="No",J103="No",L103="No"),"Non-Compliant","Partial")))</f>
        <v/>
      </c>
      <c r="O103" s="5" t="n"/>
    </row>
    <row r="104">
      <c r="A104" s="5" t="n"/>
      <c r="B104" s="5" t="n"/>
      <c r="C104" s="5" t="n"/>
      <c r="D104" s="5" t="n"/>
      <c r="E104" s="5" t="n"/>
      <c r="F104" s="11" t="n"/>
      <c r="G104" s="5" t="n"/>
      <c r="H104" s="5" t="n"/>
      <c r="I104" s="11" t="n"/>
      <c r="J104" s="5" t="n"/>
      <c r="K104" s="5" t="n"/>
      <c r="L104" s="5" t="n"/>
      <c r="M104" s="11" t="n"/>
      <c r="N104" s="4">
        <f>IF(B104="","",IF(AND(H104="Yes",J104="Yes",K104="Yes",L104="Yes"),"Compliant",IF(OR(H104="No",J104="No",L104="No"),"Non-Compliant","Partial")))</f>
        <v/>
      </c>
      <c r="O104" s="5" t="n"/>
    </row>
    <row r="105">
      <c r="A105" s="5" t="n"/>
      <c r="B105" s="5" t="n"/>
      <c r="C105" s="5" t="n"/>
      <c r="D105" s="5" t="n"/>
      <c r="E105" s="5" t="n"/>
      <c r="F105" s="11" t="n"/>
      <c r="G105" s="5" t="n"/>
      <c r="H105" s="5" t="n"/>
      <c r="I105" s="11" t="n"/>
      <c r="J105" s="5" t="n"/>
      <c r="K105" s="5" t="n"/>
      <c r="L105" s="5" t="n"/>
      <c r="M105" s="11" t="n"/>
      <c r="N105" s="4">
        <f>IF(B105="","",IF(AND(H105="Yes",J105="Yes",K105="Yes",L105="Yes"),"Compliant",IF(OR(H105="No",J105="No",L105="No"),"Non-Compliant","Partial")))</f>
        <v/>
      </c>
      <c r="O105" s="5" t="n"/>
    </row>
    <row r="106">
      <c r="A106" s="5" t="n"/>
      <c r="B106" s="5" t="n"/>
      <c r="C106" s="5" t="n"/>
      <c r="D106" s="5" t="n"/>
      <c r="E106" s="5" t="n"/>
      <c r="F106" s="11" t="n"/>
      <c r="G106" s="5" t="n"/>
      <c r="H106" s="5" t="n"/>
      <c r="I106" s="11" t="n"/>
      <c r="J106" s="5" t="n"/>
      <c r="K106" s="5" t="n"/>
      <c r="L106" s="5" t="n"/>
      <c r="M106" s="11" t="n"/>
      <c r="N106" s="4">
        <f>IF(B106="","",IF(AND(H106="Yes",J106="Yes",K106="Yes",L106="Yes"),"Compliant",IF(OR(H106="No",J106="No",L106="No"),"Non-Compliant","Partial")))</f>
        <v/>
      </c>
      <c r="O106" s="5" t="n"/>
    </row>
    <row r="107">
      <c r="A107" s="5" t="n"/>
      <c r="B107" s="5" t="n"/>
      <c r="C107" s="5" t="n"/>
      <c r="D107" s="5" t="n"/>
      <c r="E107" s="5" t="n"/>
      <c r="F107" s="11" t="n"/>
      <c r="G107" s="5" t="n"/>
      <c r="H107" s="5" t="n"/>
      <c r="I107" s="11" t="n"/>
      <c r="J107" s="5" t="n"/>
      <c r="K107" s="5" t="n"/>
      <c r="L107" s="5" t="n"/>
      <c r="M107" s="11" t="n"/>
      <c r="N107" s="4">
        <f>IF(B107="","",IF(AND(H107="Yes",J107="Yes",K107="Yes",L107="Yes"),"Compliant",IF(OR(H107="No",J107="No",L107="No"),"Non-Compliant","Partial")))</f>
        <v/>
      </c>
      <c r="O107" s="5" t="n"/>
    </row>
    <row r="108">
      <c r="A108" s="5" t="n"/>
      <c r="B108" s="5" t="n"/>
      <c r="C108" s="5" t="n"/>
      <c r="D108" s="5" t="n"/>
      <c r="E108" s="5" t="n"/>
      <c r="F108" s="11" t="n"/>
      <c r="G108" s="5" t="n"/>
      <c r="H108" s="5" t="n"/>
      <c r="I108" s="11" t="n"/>
      <c r="J108" s="5" t="n"/>
      <c r="K108" s="5" t="n"/>
      <c r="L108" s="5" t="n"/>
      <c r="M108" s="11" t="n"/>
      <c r="N108" s="4">
        <f>IF(B108="","",IF(AND(H108="Yes",J108="Yes",K108="Yes",L108="Yes"),"Compliant",IF(OR(H108="No",J108="No",L108="No"),"Non-Compliant","Partial")))</f>
        <v/>
      </c>
      <c r="O108" s="5" t="n"/>
    </row>
    <row r="109">
      <c r="A109" s="5" t="n"/>
      <c r="B109" s="5" t="n"/>
      <c r="C109" s="5" t="n"/>
      <c r="D109" s="5" t="n"/>
      <c r="E109" s="5" t="n"/>
      <c r="F109" s="11" t="n"/>
      <c r="G109" s="5" t="n"/>
      <c r="H109" s="5" t="n"/>
      <c r="I109" s="11" t="n"/>
      <c r="J109" s="5" t="n"/>
      <c r="K109" s="5" t="n"/>
      <c r="L109" s="5" t="n"/>
      <c r="M109" s="11" t="n"/>
      <c r="N109" s="4">
        <f>IF(B109="","",IF(AND(H109="Yes",J109="Yes",K109="Yes",L109="Yes"),"Compliant",IF(OR(H109="No",J109="No",L109="No"),"Non-Compliant","Partial")))</f>
        <v/>
      </c>
      <c r="O109" s="5" t="n"/>
    </row>
    <row r="110">
      <c r="A110" s="5" t="n"/>
      <c r="B110" s="5" t="n"/>
      <c r="C110" s="5" t="n"/>
      <c r="D110" s="5" t="n"/>
      <c r="E110" s="5" t="n"/>
      <c r="F110" s="11" t="n"/>
      <c r="G110" s="5" t="n"/>
      <c r="H110" s="5" t="n"/>
      <c r="I110" s="11" t="n"/>
      <c r="J110" s="5" t="n"/>
      <c r="K110" s="5" t="n"/>
      <c r="L110" s="5" t="n"/>
      <c r="M110" s="11" t="n"/>
      <c r="N110" s="4">
        <f>IF(B110="","",IF(AND(H110="Yes",J110="Yes",K110="Yes",L110="Yes"),"Compliant",IF(OR(H110="No",J110="No",L110="No"),"Non-Compliant","Partial")))</f>
        <v/>
      </c>
      <c r="O110" s="5" t="n"/>
    </row>
    <row r="111">
      <c r="A111" s="5" t="n"/>
      <c r="B111" s="5" t="n"/>
      <c r="C111" s="5" t="n"/>
      <c r="D111" s="5" t="n"/>
      <c r="E111" s="5" t="n"/>
      <c r="F111" s="11" t="n"/>
      <c r="G111" s="5" t="n"/>
      <c r="H111" s="5" t="n"/>
      <c r="I111" s="11" t="n"/>
      <c r="J111" s="5" t="n"/>
      <c r="K111" s="5" t="n"/>
      <c r="L111" s="5" t="n"/>
      <c r="M111" s="11" t="n"/>
      <c r="N111" s="4">
        <f>IF(B111="","",IF(AND(H111="Yes",J111="Yes",K111="Yes",L111="Yes"),"Compliant",IF(OR(H111="No",J111="No",L111="No"),"Non-Compliant","Partial")))</f>
        <v/>
      </c>
      <c r="O111" s="5" t="n"/>
    </row>
    <row r="112">
      <c r="A112" s="5" t="n"/>
      <c r="B112" s="5" t="n"/>
      <c r="C112" s="5" t="n"/>
      <c r="D112" s="5" t="n"/>
      <c r="E112" s="5" t="n"/>
      <c r="F112" s="11" t="n"/>
      <c r="G112" s="5" t="n"/>
      <c r="H112" s="5" t="n"/>
      <c r="I112" s="11" t="n"/>
      <c r="J112" s="5" t="n"/>
      <c r="K112" s="5" t="n"/>
      <c r="L112" s="5" t="n"/>
      <c r="M112" s="11" t="n"/>
      <c r="N112" s="4">
        <f>IF(B112="","",IF(AND(H112="Yes",J112="Yes",K112="Yes",L112="Yes"),"Compliant",IF(OR(H112="No",J112="No",L112="No"),"Non-Compliant","Partial")))</f>
        <v/>
      </c>
      <c r="O112" s="5" t="n"/>
    </row>
    <row r="113">
      <c r="A113" s="5" t="n"/>
      <c r="B113" s="5" t="n"/>
      <c r="C113" s="5" t="n"/>
      <c r="D113" s="5" t="n"/>
      <c r="E113" s="5" t="n"/>
      <c r="F113" s="11" t="n"/>
      <c r="G113" s="5" t="n"/>
      <c r="H113" s="5" t="n"/>
      <c r="I113" s="11" t="n"/>
      <c r="J113" s="5" t="n"/>
      <c r="K113" s="5" t="n"/>
      <c r="L113" s="5" t="n"/>
      <c r="M113" s="11" t="n"/>
      <c r="N113" s="4">
        <f>IF(B113="","",IF(AND(H113="Yes",J113="Yes",K113="Yes",L113="Yes"),"Compliant",IF(OR(H113="No",J113="No",L113="No"),"Non-Compliant","Partial")))</f>
        <v/>
      </c>
      <c r="O113" s="5" t="n"/>
    </row>
    <row r="114">
      <c r="A114" s="5" t="n"/>
      <c r="B114" s="5" t="n"/>
      <c r="C114" s="5" t="n"/>
      <c r="D114" s="5" t="n"/>
      <c r="E114" s="5" t="n"/>
      <c r="F114" s="11" t="n"/>
      <c r="G114" s="5" t="n"/>
      <c r="H114" s="5" t="n"/>
      <c r="I114" s="11" t="n"/>
      <c r="J114" s="5" t="n"/>
      <c r="K114" s="5" t="n"/>
      <c r="L114" s="5" t="n"/>
      <c r="M114" s="11" t="n"/>
      <c r="N114" s="4">
        <f>IF(B114="","",IF(AND(H114="Yes",J114="Yes",K114="Yes",L114="Yes"),"Compliant",IF(OR(H114="No",J114="No",L114="No"),"Non-Compliant","Partial")))</f>
        <v/>
      </c>
      <c r="O114" s="5" t="n"/>
    </row>
    <row r="115">
      <c r="A115" s="5" t="n"/>
      <c r="B115" s="5" t="n"/>
      <c r="C115" s="5" t="n"/>
      <c r="D115" s="5" t="n"/>
      <c r="E115" s="5" t="n"/>
      <c r="F115" s="11" t="n"/>
      <c r="G115" s="5" t="n"/>
      <c r="H115" s="5" t="n"/>
      <c r="I115" s="11" t="n"/>
      <c r="J115" s="5" t="n"/>
      <c r="K115" s="5" t="n"/>
      <c r="L115" s="5" t="n"/>
      <c r="M115" s="11" t="n"/>
      <c r="N115" s="4">
        <f>IF(B115="","",IF(AND(H115="Yes",J115="Yes",K115="Yes",L115="Yes"),"Compliant",IF(OR(H115="No",J115="No",L115="No"),"Non-Compliant","Partial")))</f>
        <v/>
      </c>
      <c r="O115" s="5" t="n"/>
    </row>
    <row r="116">
      <c r="A116" s="5" t="n"/>
      <c r="B116" s="5" t="n"/>
      <c r="C116" s="5" t="n"/>
      <c r="D116" s="5" t="n"/>
      <c r="E116" s="5" t="n"/>
      <c r="F116" s="11" t="n"/>
      <c r="G116" s="5" t="n"/>
      <c r="H116" s="5" t="n"/>
      <c r="I116" s="11" t="n"/>
      <c r="J116" s="5" t="n"/>
      <c r="K116" s="5" t="n"/>
      <c r="L116" s="5" t="n"/>
      <c r="M116" s="11" t="n"/>
      <c r="N116" s="4">
        <f>IF(B116="","",IF(AND(H116="Yes",J116="Yes",K116="Yes",L116="Yes"),"Compliant",IF(OR(H116="No",J116="No",L116="No"),"Non-Compliant","Partial")))</f>
        <v/>
      </c>
      <c r="O116" s="5" t="n"/>
    </row>
    <row r="117">
      <c r="A117" s="5" t="n"/>
      <c r="B117" s="5" t="n"/>
      <c r="C117" s="5" t="n"/>
      <c r="D117" s="5" t="n"/>
      <c r="E117" s="5" t="n"/>
      <c r="F117" s="11" t="n"/>
      <c r="G117" s="5" t="n"/>
      <c r="H117" s="5" t="n"/>
      <c r="I117" s="11" t="n"/>
      <c r="J117" s="5" t="n"/>
      <c r="K117" s="5" t="n"/>
      <c r="L117" s="5" t="n"/>
      <c r="M117" s="11" t="n"/>
      <c r="N117" s="4">
        <f>IF(B117="","",IF(AND(H117="Yes",J117="Yes",K117="Yes",L117="Yes"),"Compliant",IF(OR(H117="No",J117="No",L117="No"),"Non-Compliant","Partial")))</f>
        <v/>
      </c>
      <c r="O117" s="5" t="n"/>
    </row>
    <row r="118">
      <c r="A118" s="5" t="n"/>
      <c r="B118" s="5" t="n"/>
      <c r="C118" s="5" t="n"/>
      <c r="D118" s="5" t="n"/>
      <c r="E118" s="5" t="n"/>
      <c r="F118" s="11" t="n"/>
      <c r="G118" s="5" t="n"/>
      <c r="H118" s="5" t="n"/>
      <c r="I118" s="11" t="n"/>
      <c r="J118" s="5" t="n"/>
      <c r="K118" s="5" t="n"/>
      <c r="L118" s="5" t="n"/>
      <c r="M118" s="11" t="n"/>
      <c r="N118" s="4">
        <f>IF(B118="","",IF(AND(H118="Yes",J118="Yes",K118="Yes",L118="Yes"),"Compliant",IF(OR(H118="No",J118="No",L118="No"),"Non-Compliant","Partial")))</f>
        <v/>
      </c>
      <c r="O118" s="5" t="n"/>
    </row>
    <row r="119">
      <c r="A119" s="5" t="n"/>
      <c r="B119" s="5" t="n"/>
      <c r="C119" s="5" t="n"/>
      <c r="D119" s="5" t="n"/>
      <c r="E119" s="5" t="n"/>
      <c r="F119" s="11" t="n"/>
      <c r="G119" s="5" t="n"/>
      <c r="H119" s="5" t="n"/>
      <c r="I119" s="11" t="n"/>
      <c r="J119" s="5" t="n"/>
      <c r="K119" s="5" t="n"/>
      <c r="L119" s="5" t="n"/>
      <c r="M119" s="11" t="n"/>
      <c r="N119" s="4">
        <f>IF(B119="","",IF(AND(H119="Yes",J119="Yes",K119="Yes",L119="Yes"),"Compliant",IF(OR(H119="No",J119="No",L119="No"),"Non-Compliant","Partial")))</f>
        <v/>
      </c>
      <c r="O119" s="5" t="n"/>
    </row>
    <row r="120">
      <c r="A120" s="5" t="n"/>
      <c r="B120" s="5" t="n"/>
      <c r="C120" s="5" t="n"/>
      <c r="D120" s="5" t="n"/>
      <c r="E120" s="5" t="n"/>
      <c r="F120" s="11" t="n"/>
      <c r="G120" s="5" t="n"/>
      <c r="H120" s="5" t="n"/>
      <c r="I120" s="11" t="n"/>
      <c r="J120" s="5" t="n"/>
      <c r="K120" s="5" t="n"/>
      <c r="L120" s="5" t="n"/>
      <c r="M120" s="11" t="n"/>
      <c r="N120" s="4">
        <f>IF(B120="","",IF(AND(H120="Yes",J120="Yes",K120="Yes",L120="Yes"),"Compliant",IF(OR(H120="No",J120="No",L120="No"),"Non-Compliant","Partial")))</f>
        <v/>
      </c>
      <c r="O120" s="5" t="n"/>
    </row>
    <row r="121">
      <c r="A121" s="5" t="n"/>
      <c r="B121" s="5" t="n"/>
      <c r="C121" s="5" t="n"/>
      <c r="D121" s="5" t="n"/>
      <c r="E121" s="5" t="n"/>
      <c r="F121" s="11" t="n"/>
      <c r="G121" s="5" t="n"/>
      <c r="H121" s="5" t="n"/>
      <c r="I121" s="11" t="n"/>
      <c r="J121" s="5" t="n"/>
      <c r="K121" s="5" t="n"/>
      <c r="L121" s="5" t="n"/>
      <c r="M121" s="11" t="n"/>
      <c r="N121" s="4">
        <f>IF(B121="","",IF(AND(H121="Yes",J121="Yes",K121="Yes",L121="Yes"),"Compliant",IF(OR(H121="No",J121="No",L121="No"),"Non-Compliant","Partial")))</f>
        <v/>
      </c>
      <c r="O121" s="5" t="n"/>
    </row>
    <row r="122">
      <c r="A122" s="5" t="n"/>
      <c r="B122" s="5" t="n"/>
      <c r="C122" s="5" t="n"/>
      <c r="D122" s="5" t="n"/>
      <c r="E122" s="5" t="n"/>
      <c r="F122" s="11" t="n"/>
      <c r="G122" s="5" t="n"/>
      <c r="H122" s="5" t="n"/>
      <c r="I122" s="11" t="n"/>
      <c r="J122" s="5" t="n"/>
      <c r="K122" s="5" t="n"/>
      <c r="L122" s="5" t="n"/>
      <c r="M122" s="11" t="n"/>
      <c r="N122" s="4">
        <f>IF(B122="","",IF(AND(H122="Yes",J122="Yes",K122="Yes",L122="Yes"),"Compliant",IF(OR(H122="No",J122="No",L122="No"),"Non-Compliant","Partial")))</f>
        <v/>
      </c>
      <c r="O122" s="5" t="n"/>
    </row>
    <row r="123">
      <c r="A123" s="5" t="n"/>
      <c r="B123" s="5" t="n"/>
      <c r="C123" s="5" t="n"/>
      <c r="D123" s="5" t="n"/>
      <c r="E123" s="5" t="n"/>
      <c r="F123" s="11" t="n"/>
      <c r="G123" s="5" t="n"/>
      <c r="H123" s="5" t="n"/>
      <c r="I123" s="11" t="n"/>
      <c r="J123" s="5" t="n"/>
      <c r="K123" s="5" t="n"/>
      <c r="L123" s="5" t="n"/>
      <c r="M123" s="11" t="n"/>
      <c r="N123" s="4">
        <f>IF(B123="","",IF(AND(H123="Yes",J123="Yes",K123="Yes",L123="Yes"),"Compliant",IF(OR(H123="No",J123="No",L123="No"),"Non-Compliant","Partial")))</f>
        <v/>
      </c>
      <c r="O123" s="5" t="n"/>
    </row>
    <row r="124">
      <c r="A124" s="5" t="n"/>
      <c r="B124" s="5" t="n"/>
      <c r="C124" s="5" t="n"/>
      <c r="D124" s="5" t="n"/>
      <c r="E124" s="5" t="n"/>
      <c r="F124" s="11" t="n"/>
      <c r="G124" s="5" t="n"/>
      <c r="H124" s="5" t="n"/>
      <c r="I124" s="11" t="n"/>
      <c r="J124" s="5" t="n"/>
      <c r="K124" s="5" t="n"/>
      <c r="L124" s="5" t="n"/>
      <c r="M124" s="11" t="n"/>
      <c r="N124" s="4">
        <f>IF(B124="","",IF(AND(H124="Yes",J124="Yes",K124="Yes",L124="Yes"),"Compliant",IF(OR(H124="No",J124="No",L124="No"),"Non-Compliant","Partial")))</f>
        <v/>
      </c>
      <c r="O124" s="5" t="n"/>
    </row>
    <row r="125">
      <c r="A125" s="5" t="n"/>
      <c r="B125" s="5" t="n"/>
      <c r="C125" s="5" t="n"/>
      <c r="D125" s="5" t="n"/>
      <c r="E125" s="5" t="n"/>
      <c r="F125" s="11" t="n"/>
      <c r="G125" s="5" t="n"/>
      <c r="H125" s="5" t="n"/>
      <c r="I125" s="11" t="n"/>
      <c r="J125" s="5" t="n"/>
      <c r="K125" s="5" t="n"/>
      <c r="L125" s="5" t="n"/>
      <c r="M125" s="11" t="n"/>
      <c r="N125" s="4">
        <f>IF(B125="","",IF(AND(H125="Yes",J125="Yes",K125="Yes",L125="Yes"),"Compliant",IF(OR(H125="No",J125="No",L125="No"),"Non-Compliant","Partial")))</f>
        <v/>
      </c>
      <c r="O125" s="5" t="n"/>
    </row>
    <row r="126">
      <c r="A126" s="5" t="n"/>
      <c r="B126" s="5" t="n"/>
      <c r="C126" s="5" t="n"/>
      <c r="D126" s="5" t="n"/>
      <c r="E126" s="5" t="n"/>
      <c r="F126" s="11" t="n"/>
      <c r="G126" s="5" t="n"/>
      <c r="H126" s="5" t="n"/>
      <c r="I126" s="11" t="n"/>
      <c r="J126" s="5" t="n"/>
      <c r="K126" s="5" t="n"/>
      <c r="L126" s="5" t="n"/>
      <c r="M126" s="11" t="n"/>
      <c r="N126" s="4">
        <f>IF(B126="","",IF(AND(H126="Yes",J126="Yes",K126="Yes",L126="Yes"),"Compliant",IF(OR(H126="No",J126="No",L126="No"),"Non-Compliant","Partial")))</f>
        <v/>
      </c>
      <c r="O126" s="5" t="n"/>
    </row>
    <row r="127">
      <c r="A127" s="5" t="n"/>
      <c r="B127" s="5" t="n"/>
      <c r="C127" s="5" t="n"/>
      <c r="D127" s="5" t="n"/>
      <c r="E127" s="5" t="n"/>
      <c r="F127" s="11" t="n"/>
      <c r="G127" s="5" t="n"/>
      <c r="H127" s="5" t="n"/>
      <c r="I127" s="11" t="n"/>
      <c r="J127" s="5" t="n"/>
      <c r="K127" s="5" t="n"/>
      <c r="L127" s="5" t="n"/>
      <c r="M127" s="11" t="n"/>
      <c r="N127" s="4">
        <f>IF(B127="","",IF(AND(H127="Yes",J127="Yes",K127="Yes",L127="Yes"),"Compliant",IF(OR(H127="No",J127="No",L127="No"),"Non-Compliant","Partial")))</f>
        <v/>
      </c>
      <c r="O127" s="5" t="n"/>
    </row>
    <row r="128">
      <c r="A128" s="5" t="n"/>
      <c r="B128" s="5" t="n"/>
      <c r="C128" s="5" t="n"/>
      <c r="D128" s="5" t="n"/>
      <c r="E128" s="5" t="n"/>
      <c r="F128" s="11" t="n"/>
      <c r="G128" s="5" t="n"/>
      <c r="H128" s="5" t="n"/>
      <c r="I128" s="11" t="n"/>
      <c r="J128" s="5" t="n"/>
      <c r="K128" s="5" t="n"/>
      <c r="L128" s="5" t="n"/>
      <c r="M128" s="11" t="n"/>
      <c r="N128" s="4">
        <f>IF(B128="","",IF(AND(H128="Yes",J128="Yes",K128="Yes",L128="Yes"),"Compliant",IF(OR(H128="No",J128="No",L128="No"),"Non-Compliant","Partial")))</f>
        <v/>
      </c>
      <c r="O128" s="5" t="n"/>
    </row>
    <row r="129">
      <c r="A129" s="5" t="n"/>
      <c r="B129" s="5" t="n"/>
      <c r="C129" s="5" t="n"/>
      <c r="D129" s="5" t="n"/>
      <c r="E129" s="5" t="n"/>
      <c r="F129" s="11" t="n"/>
      <c r="G129" s="5" t="n"/>
      <c r="H129" s="5" t="n"/>
      <c r="I129" s="11" t="n"/>
      <c r="J129" s="5" t="n"/>
      <c r="K129" s="5" t="n"/>
      <c r="L129" s="5" t="n"/>
      <c r="M129" s="11" t="n"/>
      <c r="N129" s="4">
        <f>IF(B129="","",IF(AND(H129="Yes",J129="Yes",K129="Yes",L129="Yes"),"Compliant",IF(OR(H129="No",J129="No",L129="No"),"Non-Compliant","Partial")))</f>
        <v/>
      </c>
      <c r="O129" s="5" t="n"/>
    </row>
    <row r="130">
      <c r="A130" s="5" t="n"/>
      <c r="B130" s="5" t="n"/>
      <c r="C130" s="5" t="n"/>
      <c r="D130" s="5" t="n"/>
      <c r="E130" s="5" t="n"/>
      <c r="F130" s="11" t="n"/>
      <c r="G130" s="5" t="n"/>
      <c r="H130" s="5" t="n"/>
      <c r="I130" s="11" t="n"/>
      <c r="J130" s="5" t="n"/>
      <c r="K130" s="5" t="n"/>
      <c r="L130" s="5" t="n"/>
      <c r="M130" s="11" t="n"/>
      <c r="N130" s="4">
        <f>IF(B130="","",IF(AND(H130="Yes",J130="Yes",K130="Yes",L130="Yes"),"Compliant",IF(OR(H130="No",J130="No",L130="No"),"Non-Compliant","Partial")))</f>
        <v/>
      </c>
      <c r="O130" s="5" t="n"/>
    </row>
    <row r="131">
      <c r="A131" s="5" t="n"/>
      <c r="B131" s="5" t="n"/>
      <c r="C131" s="5" t="n"/>
      <c r="D131" s="5" t="n"/>
      <c r="E131" s="5" t="n"/>
      <c r="F131" s="11" t="n"/>
      <c r="G131" s="5" t="n"/>
      <c r="H131" s="5" t="n"/>
      <c r="I131" s="11" t="n"/>
      <c r="J131" s="5" t="n"/>
      <c r="K131" s="5" t="n"/>
      <c r="L131" s="5" t="n"/>
      <c r="M131" s="11" t="n"/>
      <c r="N131" s="4">
        <f>IF(B131="","",IF(AND(H131="Yes",J131="Yes",K131="Yes",L131="Yes"),"Compliant",IF(OR(H131="No",J131="No",L131="No"),"Non-Compliant","Partial")))</f>
        <v/>
      </c>
      <c r="O131" s="5" t="n"/>
    </row>
    <row r="132">
      <c r="A132" s="5" t="n"/>
      <c r="B132" s="5" t="n"/>
      <c r="C132" s="5" t="n"/>
      <c r="D132" s="5" t="n"/>
      <c r="E132" s="5" t="n"/>
      <c r="F132" s="11" t="n"/>
      <c r="G132" s="5" t="n"/>
      <c r="H132" s="5" t="n"/>
      <c r="I132" s="11" t="n"/>
      <c r="J132" s="5" t="n"/>
      <c r="K132" s="5" t="n"/>
      <c r="L132" s="5" t="n"/>
      <c r="M132" s="11" t="n"/>
      <c r="N132" s="4">
        <f>IF(B132="","",IF(AND(H132="Yes",J132="Yes",K132="Yes",L132="Yes"),"Compliant",IF(OR(H132="No",J132="No",L132="No"),"Non-Compliant","Partial")))</f>
        <v/>
      </c>
      <c r="O132" s="5" t="n"/>
    </row>
    <row r="133">
      <c r="A133" s="5" t="n"/>
      <c r="B133" s="5" t="n"/>
      <c r="C133" s="5" t="n"/>
      <c r="D133" s="5" t="n"/>
      <c r="E133" s="5" t="n"/>
      <c r="F133" s="11" t="n"/>
      <c r="G133" s="5" t="n"/>
      <c r="H133" s="5" t="n"/>
      <c r="I133" s="11" t="n"/>
      <c r="J133" s="5" t="n"/>
      <c r="K133" s="5" t="n"/>
      <c r="L133" s="5" t="n"/>
      <c r="M133" s="11" t="n"/>
      <c r="N133" s="4">
        <f>IF(B133="","",IF(AND(H133="Yes",J133="Yes",K133="Yes",L133="Yes"),"Compliant",IF(OR(H133="No",J133="No",L133="No"),"Non-Compliant","Partial")))</f>
        <v/>
      </c>
      <c r="O133" s="5" t="n"/>
    </row>
    <row r="134">
      <c r="A134" s="5" t="n"/>
      <c r="B134" s="5" t="n"/>
      <c r="C134" s="5" t="n"/>
      <c r="D134" s="5" t="n"/>
      <c r="E134" s="5" t="n"/>
      <c r="F134" s="11" t="n"/>
      <c r="G134" s="5" t="n"/>
      <c r="H134" s="5" t="n"/>
      <c r="I134" s="11" t="n"/>
      <c r="J134" s="5" t="n"/>
      <c r="K134" s="5" t="n"/>
      <c r="L134" s="5" t="n"/>
      <c r="M134" s="11" t="n"/>
      <c r="N134" s="4">
        <f>IF(B134="","",IF(AND(H134="Yes",J134="Yes",K134="Yes",L134="Yes"),"Compliant",IF(OR(H134="No",J134="No",L134="No"),"Non-Compliant","Partial")))</f>
        <v/>
      </c>
      <c r="O134" s="5" t="n"/>
    </row>
    <row r="135">
      <c r="A135" s="5" t="n"/>
      <c r="B135" s="5" t="n"/>
      <c r="C135" s="5" t="n"/>
      <c r="D135" s="5" t="n"/>
      <c r="E135" s="5" t="n"/>
      <c r="F135" s="11" t="n"/>
      <c r="G135" s="5" t="n"/>
      <c r="H135" s="5" t="n"/>
      <c r="I135" s="11" t="n"/>
      <c r="J135" s="5" t="n"/>
      <c r="K135" s="5" t="n"/>
      <c r="L135" s="5" t="n"/>
      <c r="M135" s="11" t="n"/>
      <c r="N135" s="4">
        <f>IF(B135="","",IF(AND(H135="Yes",J135="Yes",K135="Yes",L135="Yes"),"Compliant",IF(OR(H135="No",J135="No",L135="No"),"Non-Compliant","Partial")))</f>
        <v/>
      </c>
      <c r="O135" s="5" t="n"/>
    </row>
    <row r="136">
      <c r="A136" s="5" t="n"/>
      <c r="B136" s="5" t="n"/>
      <c r="C136" s="5" t="n"/>
      <c r="D136" s="5" t="n"/>
      <c r="E136" s="5" t="n"/>
      <c r="F136" s="11" t="n"/>
      <c r="G136" s="5" t="n"/>
      <c r="H136" s="5" t="n"/>
      <c r="I136" s="11" t="n"/>
      <c r="J136" s="5" t="n"/>
      <c r="K136" s="5" t="n"/>
      <c r="L136" s="5" t="n"/>
      <c r="M136" s="11" t="n"/>
      <c r="N136" s="4">
        <f>IF(B136="","",IF(AND(H136="Yes",J136="Yes",K136="Yes",L136="Yes"),"Compliant",IF(OR(H136="No",J136="No",L136="No"),"Non-Compliant","Partial")))</f>
        <v/>
      </c>
      <c r="O136" s="5" t="n"/>
    </row>
    <row r="137">
      <c r="A137" s="5" t="n"/>
      <c r="B137" s="5" t="n"/>
      <c r="C137" s="5" t="n"/>
      <c r="D137" s="5" t="n"/>
      <c r="E137" s="5" t="n"/>
      <c r="F137" s="11" t="n"/>
      <c r="G137" s="5" t="n"/>
      <c r="H137" s="5" t="n"/>
      <c r="I137" s="11" t="n"/>
      <c r="J137" s="5" t="n"/>
      <c r="K137" s="5" t="n"/>
      <c r="L137" s="5" t="n"/>
      <c r="M137" s="11" t="n"/>
      <c r="N137" s="4">
        <f>IF(B137="","",IF(AND(H137="Yes",J137="Yes",K137="Yes",L137="Yes"),"Compliant",IF(OR(H137="No",J137="No",L137="No"),"Non-Compliant","Partial")))</f>
        <v/>
      </c>
      <c r="O137" s="5" t="n"/>
    </row>
    <row r="138">
      <c r="A138" s="5" t="n"/>
      <c r="B138" s="5" t="n"/>
      <c r="C138" s="5" t="n"/>
      <c r="D138" s="5" t="n"/>
      <c r="E138" s="5" t="n"/>
      <c r="F138" s="11" t="n"/>
      <c r="G138" s="5" t="n"/>
      <c r="H138" s="5" t="n"/>
      <c r="I138" s="11" t="n"/>
      <c r="J138" s="5" t="n"/>
      <c r="K138" s="5" t="n"/>
      <c r="L138" s="5" t="n"/>
      <c r="M138" s="11" t="n"/>
      <c r="N138" s="4">
        <f>IF(B138="","",IF(AND(H138="Yes",J138="Yes",K138="Yes",L138="Yes"),"Compliant",IF(OR(H138="No",J138="No",L138="No"),"Non-Compliant","Partial")))</f>
        <v/>
      </c>
      <c r="O138" s="5" t="n"/>
    </row>
    <row r="139">
      <c r="A139" s="5" t="n"/>
      <c r="B139" s="5" t="n"/>
      <c r="C139" s="5" t="n"/>
      <c r="D139" s="5" t="n"/>
      <c r="E139" s="5" t="n"/>
      <c r="F139" s="11" t="n"/>
      <c r="G139" s="5" t="n"/>
      <c r="H139" s="5" t="n"/>
      <c r="I139" s="11" t="n"/>
      <c r="J139" s="5" t="n"/>
      <c r="K139" s="5" t="n"/>
      <c r="L139" s="5" t="n"/>
      <c r="M139" s="11" t="n"/>
      <c r="N139" s="4">
        <f>IF(B139="","",IF(AND(H139="Yes",J139="Yes",K139="Yes",L139="Yes"),"Compliant",IF(OR(H139="No",J139="No",L139="No"),"Non-Compliant","Partial")))</f>
        <v/>
      </c>
      <c r="O139" s="5" t="n"/>
    </row>
    <row r="140">
      <c r="A140" s="5" t="n"/>
      <c r="B140" s="5" t="n"/>
      <c r="C140" s="5" t="n"/>
      <c r="D140" s="5" t="n"/>
      <c r="E140" s="5" t="n"/>
      <c r="F140" s="11" t="n"/>
      <c r="G140" s="5" t="n"/>
      <c r="H140" s="5" t="n"/>
      <c r="I140" s="11" t="n"/>
      <c r="J140" s="5" t="n"/>
      <c r="K140" s="5" t="n"/>
      <c r="L140" s="5" t="n"/>
      <c r="M140" s="11" t="n"/>
      <c r="N140" s="4">
        <f>IF(B140="","",IF(AND(H140="Yes",J140="Yes",K140="Yes",L140="Yes"),"Compliant",IF(OR(H140="No",J140="No",L140="No"),"Non-Compliant","Partial")))</f>
        <v/>
      </c>
      <c r="O140" s="5" t="n"/>
    </row>
    <row r="141">
      <c r="A141" s="5" t="n"/>
      <c r="B141" s="5" t="n"/>
      <c r="C141" s="5" t="n"/>
      <c r="D141" s="5" t="n"/>
      <c r="E141" s="5" t="n"/>
      <c r="F141" s="11" t="n"/>
      <c r="G141" s="5" t="n"/>
      <c r="H141" s="5" t="n"/>
      <c r="I141" s="11" t="n"/>
      <c r="J141" s="5" t="n"/>
      <c r="K141" s="5" t="n"/>
      <c r="L141" s="5" t="n"/>
      <c r="M141" s="11" t="n"/>
      <c r="N141" s="4">
        <f>IF(B141="","",IF(AND(H141="Yes",J141="Yes",K141="Yes",L141="Yes"),"Compliant",IF(OR(H141="No",J141="No",L141="No"),"Non-Compliant","Partial")))</f>
        <v/>
      </c>
      <c r="O141" s="5" t="n"/>
    </row>
    <row r="142">
      <c r="A142" s="5" t="n"/>
      <c r="B142" s="5" t="n"/>
      <c r="C142" s="5" t="n"/>
      <c r="D142" s="5" t="n"/>
      <c r="E142" s="5" t="n"/>
      <c r="F142" s="11" t="n"/>
      <c r="G142" s="5" t="n"/>
      <c r="H142" s="5" t="n"/>
      <c r="I142" s="11" t="n"/>
      <c r="J142" s="5" t="n"/>
      <c r="K142" s="5" t="n"/>
      <c r="L142" s="5" t="n"/>
      <c r="M142" s="11" t="n"/>
      <c r="N142" s="4">
        <f>IF(B142="","",IF(AND(H142="Yes",J142="Yes",K142="Yes",L142="Yes"),"Compliant",IF(OR(H142="No",J142="No",L142="No"),"Non-Compliant","Partial")))</f>
        <v/>
      </c>
      <c r="O142" s="5" t="n"/>
    </row>
    <row r="143">
      <c r="A143" s="5" t="n"/>
      <c r="B143" s="5" t="n"/>
      <c r="C143" s="5" t="n"/>
      <c r="D143" s="5" t="n"/>
      <c r="E143" s="5" t="n"/>
      <c r="F143" s="11" t="n"/>
      <c r="G143" s="5" t="n"/>
      <c r="H143" s="5" t="n"/>
      <c r="I143" s="11" t="n"/>
      <c r="J143" s="5" t="n"/>
      <c r="K143" s="5" t="n"/>
      <c r="L143" s="5" t="n"/>
      <c r="M143" s="11" t="n"/>
      <c r="N143" s="4">
        <f>IF(B143="","",IF(AND(H143="Yes",J143="Yes",K143="Yes",L143="Yes"),"Compliant",IF(OR(H143="No",J143="No",L143="No"),"Non-Compliant","Partial")))</f>
        <v/>
      </c>
      <c r="O143" s="5" t="n"/>
    </row>
    <row r="144">
      <c r="A144" s="5" t="n"/>
      <c r="B144" s="5" t="n"/>
      <c r="C144" s="5" t="n"/>
      <c r="D144" s="5" t="n"/>
      <c r="E144" s="5" t="n"/>
      <c r="F144" s="11" t="n"/>
      <c r="G144" s="5" t="n"/>
      <c r="H144" s="5" t="n"/>
      <c r="I144" s="11" t="n"/>
      <c r="J144" s="5" t="n"/>
      <c r="K144" s="5" t="n"/>
      <c r="L144" s="5" t="n"/>
      <c r="M144" s="11" t="n"/>
      <c r="N144" s="4">
        <f>IF(B144="","",IF(AND(H144="Yes",J144="Yes",K144="Yes",L144="Yes"),"Compliant",IF(OR(H144="No",J144="No",L144="No"),"Non-Compliant","Partial")))</f>
        <v/>
      </c>
      <c r="O144" s="5" t="n"/>
    </row>
    <row r="145">
      <c r="A145" s="5" t="n"/>
      <c r="B145" s="5" t="n"/>
      <c r="C145" s="5" t="n"/>
      <c r="D145" s="5" t="n"/>
      <c r="E145" s="5" t="n"/>
      <c r="F145" s="11" t="n"/>
      <c r="G145" s="5" t="n"/>
      <c r="H145" s="5" t="n"/>
      <c r="I145" s="11" t="n"/>
      <c r="J145" s="5" t="n"/>
      <c r="K145" s="5" t="n"/>
      <c r="L145" s="5" t="n"/>
      <c r="M145" s="11" t="n"/>
      <c r="N145" s="4">
        <f>IF(B145="","",IF(AND(H145="Yes",J145="Yes",K145="Yes",L145="Yes"),"Compliant",IF(OR(H145="No",J145="No",L145="No"),"Non-Compliant","Partial")))</f>
        <v/>
      </c>
      <c r="O145" s="5" t="n"/>
    </row>
    <row r="146">
      <c r="A146" s="5" t="n"/>
      <c r="B146" s="5" t="n"/>
      <c r="C146" s="5" t="n"/>
      <c r="D146" s="5" t="n"/>
      <c r="E146" s="5" t="n"/>
      <c r="F146" s="11" t="n"/>
      <c r="G146" s="5" t="n"/>
      <c r="H146" s="5" t="n"/>
      <c r="I146" s="11" t="n"/>
      <c r="J146" s="5" t="n"/>
      <c r="K146" s="5" t="n"/>
      <c r="L146" s="5" t="n"/>
      <c r="M146" s="11" t="n"/>
      <c r="N146" s="4">
        <f>IF(B146="","",IF(AND(H146="Yes",J146="Yes",K146="Yes",L146="Yes"),"Compliant",IF(OR(H146="No",J146="No",L146="No"),"Non-Compliant","Partial")))</f>
        <v/>
      </c>
      <c r="O146" s="5" t="n"/>
    </row>
    <row r="147">
      <c r="A147" s="5" t="n"/>
      <c r="B147" s="5" t="n"/>
      <c r="C147" s="5" t="n"/>
      <c r="D147" s="5" t="n"/>
      <c r="E147" s="5" t="n"/>
      <c r="F147" s="11" t="n"/>
      <c r="G147" s="5" t="n"/>
      <c r="H147" s="5" t="n"/>
      <c r="I147" s="11" t="n"/>
      <c r="J147" s="5" t="n"/>
      <c r="K147" s="5" t="n"/>
      <c r="L147" s="5" t="n"/>
      <c r="M147" s="11" t="n"/>
      <c r="N147" s="4">
        <f>IF(B147="","",IF(AND(H147="Yes",J147="Yes",K147="Yes",L147="Yes"),"Compliant",IF(OR(H147="No",J147="No",L147="No"),"Non-Compliant","Partial")))</f>
        <v/>
      </c>
      <c r="O147" s="5" t="n"/>
    </row>
    <row r="148">
      <c r="A148" s="5" t="n"/>
      <c r="B148" s="5" t="n"/>
      <c r="C148" s="5" t="n"/>
      <c r="D148" s="5" t="n"/>
      <c r="E148" s="5" t="n"/>
      <c r="F148" s="11" t="n"/>
      <c r="G148" s="5" t="n"/>
      <c r="H148" s="5" t="n"/>
      <c r="I148" s="11" t="n"/>
      <c r="J148" s="5" t="n"/>
      <c r="K148" s="5" t="n"/>
      <c r="L148" s="5" t="n"/>
      <c r="M148" s="11" t="n"/>
      <c r="N148" s="4">
        <f>IF(B148="","",IF(AND(H148="Yes",J148="Yes",K148="Yes",L148="Yes"),"Compliant",IF(OR(H148="No",J148="No",L148="No"),"Non-Compliant","Partial")))</f>
        <v/>
      </c>
      <c r="O148" s="5" t="n"/>
    </row>
    <row r="149">
      <c r="A149" s="5" t="n"/>
      <c r="B149" s="5" t="n"/>
      <c r="C149" s="5" t="n"/>
      <c r="D149" s="5" t="n"/>
      <c r="E149" s="5" t="n"/>
      <c r="F149" s="11" t="n"/>
      <c r="G149" s="5" t="n"/>
      <c r="H149" s="5" t="n"/>
      <c r="I149" s="11" t="n"/>
      <c r="J149" s="5" t="n"/>
      <c r="K149" s="5" t="n"/>
      <c r="L149" s="5" t="n"/>
      <c r="M149" s="11" t="n"/>
      <c r="N149" s="4">
        <f>IF(B149="","",IF(AND(H149="Yes",J149="Yes",K149="Yes",L149="Yes"),"Compliant",IF(OR(H149="No",J149="No",L149="No"),"Non-Compliant","Partial")))</f>
        <v/>
      </c>
      <c r="O149" s="5" t="n"/>
    </row>
    <row r="150">
      <c r="A150" s="5" t="n"/>
      <c r="B150" s="5" t="n"/>
      <c r="C150" s="5" t="n"/>
      <c r="D150" s="5" t="n"/>
      <c r="E150" s="5" t="n"/>
      <c r="F150" s="11" t="n"/>
      <c r="G150" s="5" t="n"/>
      <c r="H150" s="5" t="n"/>
      <c r="I150" s="11" t="n"/>
      <c r="J150" s="5" t="n"/>
      <c r="K150" s="5" t="n"/>
      <c r="L150" s="5" t="n"/>
      <c r="M150" s="11" t="n"/>
      <c r="N150" s="4">
        <f>IF(B150="","",IF(AND(H150="Yes",J150="Yes",K150="Yes",L150="Yes"),"Compliant",IF(OR(H150="No",J150="No",L150="No"),"Non-Compliant","Partial")))</f>
        <v/>
      </c>
      <c r="O150" s="5" t="n"/>
    </row>
    <row r="151">
      <c r="A151" s="5" t="n"/>
      <c r="B151" s="5" t="n"/>
      <c r="C151" s="5" t="n"/>
      <c r="D151" s="5" t="n"/>
      <c r="E151" s="5" t="n"/>
      <c r="F151" s="11" t="n"/>
      <c r="G151" s="5" t="n"/>
      <c r="H151" s="5" t="n"/>
      <c r="I151" s="11" t="n"/>
      <c r="J151" s="5" t="n"/>
      <c r="K151" s="5" t="n"/>
      <c r="L151" s="5" t="n"/>
      <c r="M151" s="11" t="n"/>
      <c r="N151" s="4">
        <f>IF(B151="","",IF(AND(H151="Yes",J151="Yes",K151="Yes",L151="Yes"),"Compliant",IF(OR(H151="No",J151="No",L151="No"),"Non-Compliant","Partial")))</f>
        <v/>
      </c>
      <c r="O151" s="5" t="n"/>
    </row>
    <row r="152">
      <c r="A152" s="5" t="n"/>
      <c r="B152" s="5" t="n"/>
      <c r="C152" s="5" t="n"/>
      <c r="D152" s="5" t="n"/>
      <c r="E152" s="5" t="n"/>
      <c r="F152" s="11" t="n"/>
      <c r="G152" s="5" t="n"/>
      <c r="H152" s="5" t="n"/>
      <c r="I152" s="11" t="n"/>
      <c r="J152" s="5" t="n"/>
      <c r="K152" s="5" t="n"/>
      <c r="L152" s="5" t="n"/>
      <c r="M152" s="11" t="n"/>
      <c r="N152" s="4">
        <f>IF(B152="","",IF(AND(H152="Yes",J152="Yes",K152="Yes",L152="Yes"),"Compliant",IF(OR(H152="No",J152="No",L152="No"),"Non-Compliant","Partial")))</f>
        <v/>
      </c>
      <c r="O152" s="5" t="n"/>
    </row>
    <row r="153">
      <c r="A153" s="5" t="n"/>
      <c r="B153" s="5" t="n"/>
      <c r="C153" s="5" t="n"/>
      <c r="D153" s="5" t="n"/>
      <c r="E153" s="5" t="n"/>
      <c r="F153" s="11" t="n"/>
      <c r="G153" s="5" t="n"/>
      <c r="H153" s="5" t="n"/>
      <c r="I153" s="11" t="n"/>
      <c r="J153" s="5" t="n"/>
      <c r="K153" s="5" t="n"/>
      <c r="L153" s="5" t="n"/>
      <c r="M153" s="11" t="n"/>
      <c r="N153" s="4">
        <f>IF(B153="","",IF(AND(H153="Yes",J153="Yes",K153="Yes",L153="Yes"),"Compliant",IF(OR(H153="No",J153="No",L153="No"),"Non-Compliant","Partial")))</f>
        <v/>
      </c>
      <c r="O153" s="5" t="n"/>
    </row>
    <row r="154">
      <c r="A154" s="5" t="n"/>
      <c r="B154" s="5" t="n"/>
      <c r="C154" s="5" t="n"/>
      <c r="D154" s="5" t="n"/>
      <c r="E154" s="5" t="n"/>
      <c r="F154" s="11" t="n"/>
      <c r="G154" s="5" t="n"/>
      <c r="H154" s="5" t="n"/>
      <c r="I154" s="11" t="n"/>
      <c r="J154" s="5" t="n"/>
      <c r="K154" s="5" t="n"/>
      <c r="L154" s="5" t="n"/>
      <c r="M154" s="11" t="n"/>
      <c r="N154" s="4">
        <f>IF(B154="","",IF(AND(H154="Yes",J154="Yes",K154="Yes",L154="Yes"),"Compliant",IF(OR(H154="No",J154="No",L154="No"),"Non-Compliant","Partial")))</f>
        <v/>
      </c>
      <c r="O154" s="5" t="n"/>
    </row>
    <row r="155">
      <c r="A155" s="5" t="n"/>
      <c r="B155" s="5" t="n"/>
      <c r="C155" s="5" t="n"/>
      <c r="D155" s="5" t="n"/>
      <c r="E155" s="5" t="n"/>
      <c r="F155" s="11" t="n"/>
      <c r="G155" s="5" t="n"/>
      <c r="H155" s="5" t="n"/>
      <c r="I155" s="11" t="n"/>
      <c r="J155" s="5" t="n"/>
      <c r="K155" s="5" t="n"/>
      <c r="L155" s="5" t="n"/>
      <c r="M155" s="11" t="n"/>
      <c r="N155" s="4">
        <f>IF(B155="","",IF(AND(H155="Yes",J155="Yes",K155="Yes",L155="Yes"),"Compliant",IF(OR(H155="No",J155="No",L155="No"),"Non-Compliant","Partial")))</f>
        <v/>
      </c>
      <c r="O155" s="5" t="n"/>
    </row>
    <row r="156">
      <c r="A156" s="5" t="n"/>
      <c r="B156" s="5" t="n"/>
      <c r="C156" s="5" t="n"/>
      <c r="D156" s="5" t="n"/>
      <c r="E156" s="5" t="n"/>
      <c r="F156" s="11" t="n"/>
      <c r="G156" s="5" t="n"/>
      <c r="H156" s="5" t="n"/>
      <c r="I156" s="11" t="n"/>
      <c r="J156" s="5" t="n"/>
      <c r="K156" s="5" t="n"/>
      <c r="L156" s="5" t="n"/>
      <c r="M156" s="11" t="n"/>
      <c r="N156" s="4">
        <f>IF(B156="","",IF(AND(H156="Yes",J156="Yes",K156="Yes",L156="Yes"),"Compliant",IF(OR(H156="No",J156="No",L156="No"),"Non-Compliant","Partial")))</f>
        <v/>
      </c>
      <c r="O156" s="5" t="n"/>
    </row>
    <row r="157">
      <c r="A157" s="5" t="n"/>
      <c r="B157" s="5" t="n"/>
      <c r="C157" s="5" t="n"/>
      <c r="D157" s="5" t="n"/>
      <c r="E157" s="5" t="n"/>
      <c r="F157" s="11" t="n"/>
      <c r="G157" s="5" t="n"/>
      <c r="H157" s="5" t="n"/>
      <c r="I157" s="11" t="n"/>
      <c r="J157" s="5" t="n"/>
      <c r="K157" s="5" t="n"/>
      <c r="L157" s="5" t="n"/>
      <c r="M157" s="11" t="n"/>
      <c r="N157" s="4">
        <f>IF(B157="","",IF(AND(H157="Yes",J157="Yes",K157="Yes",L157="Yes"),"Compliant",IF(OR(H157="No",J157="No",L157="No"),"Non-Compliant","Partial")))</f>
        <v/>
      </c>
      <c r="O157" s="5" t="n"/>
    </row>
    <row r="158">
      <c r="A158" s="5" t="n"/>
      <c r="B158" s="5" t="n"/>
      <c r="C158" s="5" t="n"/>
      <c r="D158" s="5" t="n"/>
      <c r="E158" s="5" t="n"/>
      <c r="F158" s="11" t="n"/>
      <c r="G158" s="5" t="n"/>
      <c r="H158" s="5" t="n"/>
      <c r="I158" s="11" t="n"/>
      <c r="J158" s="5" t="n"/>
      <c r="K158" s="5" t="n"/>
      <c r="L158" s="5" t="n"/>
      <c r="M158" s="11" t="n"/>
      <c r="N158" s="4">
        <f>IF(B158="","",IF(AND(H158="Yes",J158="Yes",K158="Yes",L158="Yes"),"Compliant",IF(OR(H158="No",J158="No",L158="No"),"Non-Compliant","Partial")))</f>
        <v/>
      </c>
      <c r="O158" s="5" t="n"/>
    </row>
    <row r="159">
      <c r="A159" s="5" t="n"/>
      <c r="B159" s="5" t="n"/>
      <c r="C159" s="5" t="n"/>
      <c r="D159" s="5" t="n"/>
      <c r="E159" s="5" t="n"/>
      <c r="F159" s="11" t="n"/>
      <c r="G159" s="5" t="n"/>
      <c r="H159" s="5" t="n"/>
      <c r="I159" s="11" t="n"/>
      <c r="J159" s="5" t="n"/>
      <c r="K159" s="5" t="n"/>
      <c r="L159" s="5" t="n"/>
      <c r="M159" s="11" t="n"/>
      <c r="N159" s="4">
        <f>IF(B159="","",IF(AND(H159="Yes",J159="Yes",K159="Yes",L159="Yes"),"Compliant",IF(OR(H159="No",J159="No",L159="No"),"Non-Compliant","Partial")))</f>
        <v/>
      </c>
      <c r="O159" s="5" t="n"/>
    </row>
    <row r="160">
      <c r="A160" s="5" t="n"/>
      <c r="B160" s="5" t="n"/>
      <c r="C160" s="5" t="n"/>
      <c r="D160" s="5" t="n"/>
      <c r="E160" s="5" t="n"/>
      <c r="F160" s="11" t="n"/>
      <c r="G160" s="5" t="n"/>
      <c r="H160" s="5" t="n"/>
      <c r="I160" s="11" t="n"/>
      <c r="J160" s="5" t="n"/>
      <c r="K160" s="5" t="n"/>
      <c r="L160" s="5" t="n"/>
      <c r="M160" s="11" t="n"/>
      <c r="N160" s="4">
        <f>IF(B160="","",IF(AND(H160="Yes",J160="Yes",K160="Yes",L160="Yes"),"Compliant",IF(OR(H160="No",J160="No",L160="No"),"Non-Compliant","Partial")))</f>
        <v/>
      </c>
      <c r="O160" s="5" t="n"/>
    </row>
    <row r="161">
      <c r="A161" s="5" t="n"/>
      <c r="B161" s="5" t="n"/>
      <c r="C161" s="5" t="n"/>
      <c r="D161" s="5" t="n"/>
      <c r="E161" s="5" t="n"/>
      <c r="F161" s="11" t="n"/>
      <c r="G161" s="5" t="n"/>
      <c r="H161" s="5" t="n"/>
      <c r="I161" s="11" t="n"/>
      <c r="J161" s="5" t="n"/>
      <c r="K161" s="5" t="n"/>
      <c r="L161" s="5" t="n"/>
      <c r="M161" s="11" t="n"/>
      <c r="N161" s="4">
        <f>IF(B161="","",IF(AND(H161="Yes",J161="Yes",K161="Yes",L161="Yes"),"Compliant",IF(OR(H161="No",J161="No",L161="No"),"Non-Compliant","Partial")))</f>
        <v/>
      </c>
      <c r="O161" s="5" t="n"/>
    </row>
    <row r="162">
      <c r="A162" s="5" t="n"/>
      <c r="B162" s="5" t="n"/>
      <c r="C162" s="5" t="n"/>
      <c r="D162" s="5" t="n"/>
      <c r="E162" s="5" t="n"/>
      <c r="F162" s="11" t="n"/>
      <c r="G162" s="5" t="n"/>
      <c r="H162" s="5" t="n"/>
      <c r="I162" s="11" t="n"/>
      <c r="J162" s="5" t="n"/>
      <c r="K162" s="5" t="n"/>
      <c r="L162" s="5" t="n"/>
      <c r="M162" s="11" t="n"/>
      <c r="N162" s="4">
        <f>IF(B162="","",IF(AND(H162="Yes",J162="Yes",K162="Yes",L162="Yes"),"Compliant",IF(OR(H162="No",J162="No",L162="No"),"Non-Compliant","Partial")))</f>
        <v/>
      </c>
      <c r="O162" s="5" t="n"/>
    </row>
    <row r="163">
      <c r="A163" s="5" t="n"/>
      <c r="B163" s="5" t="n"/>
      <c r="C163" s="5" t="n"/>
      <c r="D163" s="5" t="n"/>
      <c r="E163" s="5" t="n"/>
      <c r="F163" s="11" t="n"/>
      <c r="G163" s="5" t="n"/>
      <c r="H163" s="5" t="n"/>
      <c r="I163" s="11" t="n"/>
      <c r="J163" s="5" t="n"/>
      <c r="K163" s="5" t="n"/>
      <c r="L163" s="5" t="n"/>
      <c r="M163" s="11" t="n"/>
      <c r="N163" s="4">
        <f>IF(B163="","",IF(AND(H163="Yes",J163="Yes",K163="Yes",L163="Yes"),"Compliant",IF(OR(H163="No",J163="No",L163="No"),"Non-Compliant","Partial")))</f>
        <v/>
      </c>
      <c r="O163" s="5" t="n"/>
    </row>
    <row r="164">
      <c r="A164" s="5" t="n"/>
      <c r="B164" s="5" t="n"/>
      <c r="C164" s="5" t="n"/>
      <c r="D164" s="5" t="n"/>
      <c r="E164" s="5" t="n"/>
      <c r="F164" s="11" t="n"/>
      <c r="G164" s="5" t="n"/>
      <c r="H164" s="5" t="n"/>
      <c r="I164" s="11" t="n"/>
      <c r="J164" s="5" t="n"/>
      <c r="K164" s="5" t="n"/>
      <c r="L164" s="5" t="n"/>
      <c r="M164" s="11" t="n"/>
      <c r="N164" s="4">
        <f>IF(B164="","",IF(AND(H164="Yes",J164="Yes",K164="Yes",L164="Yes"),"Compliant",IF(OR(H164="No",J164="No",L164="No"),"Non-Compliant","Partial")))</f>
        <v/>
      </c>
      <c r="O164" s="5" t="n"/>
    </row>
    <row r="165">
      <c r="A165" s="5" t="n"/>
      <c r="B165" s="5" t="n"/>
      <c r="C165" s="5" t="n"/>
      <c r="D165" s="5" t="n"/>
      <c r="E165" s="5" t="n"/>
      <c r="F165" s="11" t="n"/>
      <c r="G165" s="5" t="n"/>
      <c r="H165" s="5" t="n"/>
      <c r="I165" s="11" t="n"/>
      <c r="J165" s="5" t="n"/>
      <c r="K165" s="5" t="n"/>
      <c r="L165" s="5" t="n"/>
      <c r="M165" s="11" t="n"/>
      <c r="N165" s="4">
        <f>IF(B165="","",IF(AND(H165="Yes",J165="Yes",K165="Yes",L165="Yes"),"Compliant",IF(OR(H165="No",J165="No",L165="No"),"Non-Compliant","Partial")))</f>
        <v/>
      </c>
      <c r="O165" s="5" t="n"/>
    </row>
    <row r="166">
      <c r="A166" s="5" t="n"/>
      <c r="B166" s="5" t="n"/>
      <c r="C166" s="5" t="n"/>
      <c r="D166" s="5" t="n"/>
      <c r="E166" s="5" t="n"/>
      <c r="F166" s="11" t="n"/>
      <c r="G166" s="5" t="n"/>
      <c r="H166" s="5" t="n"/>
      <c r="I166" s="11" t="n"/>
      <c r="J166" s="5" t="n"/>
      <c r="K166" s="5" t="n"/>
      <c r="L166" s="5" t="n"/>
      <c r="M166" s="11" t="n"/>
      <c r="N166" s="4">
        <f>IF(B166="","",IF(AND(H166="Yes",J166="Yes",K166="Yes",L166="Yes"),"Compliant",IF(OR(H166="No",J166="No",L166="No"),"Non-Compliant","Partial")))</f>
        <v/>
      </c>
      <c r="O166" s="5" t="n"/>
    </row>
    <row r="167">
      <c r="A167" s="5" t="n"/>
      <c r="B167" s="5" t="n"/>
      <c r="C167" s="5" t="n"/>
      <c r="D167" s="5" t="n"/>
      <c r="E167" s="5" t="n"/>
      <c r="F167" s="11" t="n"/>
      <c r="G167" s="5" t="n"/>
      <c r="H167" s="5" t="n"/>
      <c r="I167" s="11" t="n"/>
      <c r="J167" s="5" t="n"/>
      <c r="K167" s="5" t="n"/>
      <c r="L167" s="5" t="n"/>
      <c r="M167" s="11" t="n"/>
      <c r="N167" s="4">
        <f>IF(B167="","",IF(AND(H167="Yes",J167="Yes",K167="Yes",L167="Yes"),"Compliant",IF(OR(H167="No",J167="No",L167="No"),"Non-Compliant","Partial")))</f>
        <v/>
      </c>
      <c r="O167" s="5" t="n"/>
    </row>
    <row r="168">
      <c r="A168" s="5" t="n"/>
      <c r="B168" s="5" t="n"/>
      <c r="C168" s="5" t="n"/>
      <c r="D168" s="5" t="n"/>
      <c r="E168" s="5" t="n"/>
      <c r="F168" s="11" t="n"/>
      <c r="G168" s="5" t="n"/>
      <c r="H168" s="5" t="n"/>
      <c r="I168" s="11" t="n"/>
      <c r="J168" s="5" t="n"/>
      <c r="K168" s="5" t="n"/>
      <c r="L168" s="5" t="n"/>
      <c r="M168" s="11" t="n"/>
      <c r="N168" s="4">
        <f>IF(B168="","",IF(AND(H168="Yes",J168="Yes",K168="Yes",L168="Yes"),"Compliant",IF(OR(H168="No",J168="No",L168="No"),"Non-Compliant","Partial")))</f>
        <v/>
      </c>
      <c r="O168" s="5" t="n"/>
    </row>
    <row r="169">
      <c r="A169" s="5" t="n"/>
      <c r="B169" s="5" t="n"/>
      <c r="C169" s="5" t="n"/>
      <c r="D169" s="5" t="n"/>
      <c r="E169" s="5" t="n"/>
      <c r="F169" s="11" t="n"/>
      <c r="G169" s="5" t="n"/>
      <c r="H169" s="5" t="n"/>
      <c r="I169" s="11" t="n"/>
      <c r="J169" s="5" t="n"/>
      <c r="K169" s="5" t="n"/>
      <c r="L169" s="5" t="n"/>
      <c r="M169" s="11" t="n"/>
      <c r="N169" s="4">
        <f>IF(B169="","",IF(AND(H169="Yes",J169="Yes",K169="Yes",L169="Yes"),"Compliant",IF(OR(H169="No",J169="No",L169="No"),"Non-Compliant","Partial")))</f>
        <v/>
      </c>
      <c r="O169" s="5" t="n"/>
    </row>
    <row r="170">
      <c r="A170" s="5" t="n"/>
      <c r="B170" s="5" t="n"/>
      <c r="C170" s="5" t="n"/>
      <c r="D170" s="5" t="n"/>
      <c r="E170" s="5" t="n"/>
      <c r="F170" s="11" t="n"/>
      <c r="G170" s="5" t="n"/>
      <c r="H170" s="5" t="n"/>
      <c r="I170" s="11" t="n"/>
      <c r="J170" s="5" t="n"/>
      <c r="K170" s="5" t="n"/>
      <c r="L170" s="5" t="n"/>
      <c r="M170" s="11" t="n"/>
      <c r="N170" s="4">
        <f>IF(B170="","",IF(AND(H170="Yes",J170="Yes",K170="Yes",L170="Yes"),"Compliant",IF(OR(H170="No",J170="No",L170="No"),"Non-Compliant","Partial")))</f>
        <v/>
      </c>
      <c r="O170" s="5" t="n"/>
    </row>
    <row r="171">
      <c r="A171" s="5" t="n"/>
      <c r="B171" s="5" t="n"/>
      <c r="C171" s="5" t="n"/>
      <c r="D171" s="5" t="n"/>
      <c r="E171" s="5" t="n"/>
      <c r="F171" s="11" t="n"/>
      <c r="G171" s="5" t="n"/>
      <c r="H171" s="5" t="n"/>
      <c r="I171" s="11" t="n"/>
      <c r="J171" s="5" t="n"/>
      <c r="K171" s="5" t="n"/>
      <c r="L171" s="5" t="n"/>
      <c r="M171" s="11" t="n"/>
      <c r="N171" s="4">
        <f>IF(B171="","",IF(AND(H171="Yes",J171="Yes",K171="Yes",L171="Yes"),"Compliant",IF(OR(H171="No",J171="No",L171="No"),"Non-Compliant","Partial")))</f>
        <v/>
      </c>
      <c r="O171" s="5" t="n"/>
    </row>
    <row r="172">
      <c r="A172" s="5" t="n"/>
      <c r="B172" s="5" t="n"/>
      <c r="C172" s="5" t="n"/>
      <c r="D172" s="5" t="n"/>
      <c r="E172" s="5" t="n"/>
      <c r="F172" s="11" t="n"/>
      <c r="G172" s="5" t="n"/>
      <c r="H172" s="5" t="n"/>
      <c r="I172" s="11" t="n"/>
      <c r="J172" s="5" t="n"/>
      <c r="K172" s="5" t="n"/>
      <c r="L172" s="5" t="n"/>
      <c r="M172" s="11" t="n"/>
      <c r="N172" s="4">
        <f>IF(B172="","",IF(AND(H172="Yes",J172="Yes",K172="Yes",L172="Yes"),"Compliant",IF(OR(H172="No",J172="No",L172="No"),"Non-Compliant","Partial")))</f>
        <v/>
      </c>
      <c r="O172" s="5" t="n"/>
    </row>
    <row r="173">
      <c r="A173" s="5" t="n"/>
      <c r="B173" s="5" t="n"/>
      <c r="C173" s="5" t="n"/>
      <c r="D173" s="5" t="n"/>
      <c r="E173" s="5" t="n"/>
      <c r="F173" s="11" t="n"/>
      <c r="G173" s="5" t="n"/>
      <c r="H173" s="5" t="n"/>
      <c r="I173" s="11" t="n"/>
      <c r="J173" s="5" t="n"/>
      <c r="K173" s="5" t="n"/>
      <c r="L173" s="5" t="n"/>
      <c r="M173" s="11" t="n"/>
      <c r="N173" s="4">
        <f>IF(B173="","",IF(AND(H173="Yes",J173="Yes",K173="Yes",L173="Yes"),"Compliant",IF(OR(H173="No",J173="No",L173="No"),"Non-Compliant","Partial")))</f>
        <v/>
      </c>
      <c r="O173" s="5" t="n"/>
    </row>
    <row r="174">
      <c r="A174" s="5" t="n"/>
      <c r="B174" s="5" t="n"/>
      <c r="C174" s="5" t="n"/>
      <c r="D174" s="5" t="n"/>
      <c r="E174" s="5" t="n"/>
      <c r="F174" s="11" t="n"/>
      <c r="G174" s="5" t="n"/>
      <c r="H174" s="5" t="n"/>
      <c r="I174" s="11" t="n"/>
      <c r="J174" s="5" t="n"/>
      <c r="K174" s="5" t="n"/>
      <c r="L174" s="5" t="n"/>
      <c r="M174" s="11" t="n"/>
      <c r="N174" s="4">
        <f>IF(B174="","",IF(AND(H174="Yes",J174="Yes",K174="Yes",L174="Yes"),"Compliant",IF(OR(H174="No",J174="No",L174="No"),"Non-Compliant","Partial")))</f>
        <v/>
      </c>
      <c r="O174" s="5" t="n"/>
    </row>
    <row r="175">
      <c r="A175" s="5" t="n"/>
      <c r="B175" s="5" t="n"/>
      <c r="C175" s="5" t="n"/>
      <c r="D175" s="5" t="n"/>
      <c r="E175" s="5" t="n"/>
      <c r="F175" s="11" t="n"/>
      <c r="G175" s="5" t="n"/>
      <c r="H175" s="5" t="n"/>
      <c r="I175" s="11" t="n"/>
      <c r="J175" s="5" t="n"/>
      <c r="K175" s="5" t="n"/>
      <c r="L175" s="5" t="n"/>
      <c r="M175" s="11" t="n"/>
      <c r="N175" s="4">
        <f>IF(B175="","",IF(AND(H175="Yes",J175="Yes",K175="Yes",L175="Yes"),"Compliant",IF(OR(H175="No",J175="No",L175="No"),"Non-Compliant","Partial")))</f>
        <v/>
      </c>
      <c r="O175" s="5" t="n"/>
    </row>
    <row r="176">
      <c r="A176" s="5" t="n"/>
      <c r="B176" s="5" t="n"/>
      <c r="C176" s="5" t="n"/>
      <c r="D176" s="5" t="n"/>
      <c r="E176" s="5" t="n"/>
      <c r="F176" s="11" t="n"/>
      <c r="G176" s="5" t="n"/>
      <c r="H176" s="5" t="n"/>
      <c r="I176" s="11" t="n"/>
      <c r="J176" s="5" t="n"/>
      <c r="K176" s="5" t="n"/>
      <c r="L176" s="5" t="n"/>
      <c r="M176" s="11" t="n"/>
      <c r="N176" s="4">
        <f>IF(B176="","",IF(AND(H176="Yes",J176="Yes",K176="Yes",L176="Yes"),"Compliant",IF(OR(H176="No",J176="No",L176="No"),"Non-Compliant","Partial")))</f>
        <v/>
      </c>
      <c r="O176" s="5" t="n"/>
    </row>
    <row r="177">
      <c r="A177" s="5" t="n"/>
      <c r="B177" s="5" t="n"/>
      <c r="C177" s="5" t="n"/>
      <c r="D177" s="5" t="n"/>
      <c r="E177" s="5" t="n"/>
      <c r="F177" s="11" t="n"/>
      <c r="G177" s="5" t="n"/>
      <c r="H177" s="5" t="n"/>
      <c r="I177" s="11" t="n"/>
      <c r="J177" s="5" t="n"/>
      <c r="K177" s="5" t="n"/>
      <c r="L177" s="5" t="n"/>
      <c r="M177" s="11" t="n"/>
      <c r="N177" s="4">
        <f>IF(B177="","",IF(AND(H177="Yes",J177="Yes",K177="Yes",L177="Yes"),"Compliant",IF(OR(H177="No",J177="No",L177="No"),"Non-Compliant","Partial")))</f>
        <v/>
      </c>
      <c r="O177" s="5" t="n"/>
    </row>
    <row r="178">
      <c r="A178" s="5" t="n"/>
      <c r="B178" s="5" t="n"/>
      <c r="C178" s="5" t="n"/>
      <c r="D178" s="5" t="n"/>
      <c r="E178" s="5" t="n"/>
      <c r="F178" s="11" t="n"/>
      <c r="G178" s="5" t="n"/>
      <c r="H178" s="5" t="n"/>
      <c r="I178" s="11" t="n"/>
      <c r="J178" s="5" t="n"/>
      <c r="K178" s="5" t="n"/>
      <c r="L178" s="5" t="n"/>
      <c r="M178" s="11" t="n"/>
      <c r="N178" s="4">
        <f>IF(B178="","",IF(AND(H178="Yes",J178="Yes",K178="Yes",L178="Yes"),"Compliant",IF(OR(H178="No",J178="No",L178="No"),"Non-Compliant","Partial")))</f>
        <v/>
      </c>
      <c r="O178" s="5" t="n"/>
    </row>
    <row r="179">
      <c r="A179" s="5" t="n"/>
      <c r="B179" s="5" t="n"/>
      <c r="C179" s="5" t="n"/>
      <c r="D179" s="5" t="n"/>
      <c r="E179" s="5" t="n"/>
      <c r="F179" s="11" t="n"/>
      <c r="G179" s="5" t="n"/>
      <c r="H179" s="5" t="n"/>
      <c r="I179" s="11" t="n"/>
      <c r="J179" s="5" t="n"/>
      <c r="K179" s="5" t="n"/>
      <c r="L179" s="5" t="n"/>
      <c r="M179" s="11" t="n"/>
      <c r="N179" s="4">
        <f>IF(B179="","",IF(AND(H179="Yes",J179="Yes",K179="Yes",L179="Yes"),"Compliant",IF(OR(H179="No",J179="No",L179="No"),"Non-Compliant","Partial")))</f>
        <v/>
      </c>
      <c r="O179" s="5" t="n"/>
    </row>
    <row r="180">
      <c r="A180" s="5" t="n"/>
      <c r="B180" s="5" t="n"/>
      <c r="C180" s="5" t="n"/>
      <c r="D180" s="5" t="n"/>
      <c r="E180" s="5" t="n"/>
      <c r="F180" s="11" t="n"/>
      <c r="G180" s="5" t="n"/>
      <c r="H180" s="5" t="n"/>
      <c r="I180" s="11" t="n"/>
      <c r="J180" s="5" t="n"/>
      <c r="K180" s="5" t="n"/>
      <c r="L180" s="5" t="n"/>
      <c r="M180" s="11" t="n"/>
      <c r="N180" s="4">
        <f>IF(B180="","",IF(AND(H180="Yes",J180="Yes",K180="Yes",L180="Yes"),"Compliant",IF(OR(H180="No",J180="No",L180="No"),"Non-Compliant","Partial")))</f>
        <v/>
      </c>
      <c r="O180" s="5" t="n"/>
    </row>
    <row r="181">
      <c r="A181" s="5" t="n"/>
      <c r="B181" s="5" t="n"/>
      <c r="C181" s="5" t="n"/>
      <c r="D181" s="5" t="n"/>
      <c r="E181" s="5" t="n"/>
      <c r="F181" s="11" t="n"/>
      <c r="G181" s="5" t="n"/>
      <c r="H181" s="5" t="n"/>
      <c r="I181" s="11" t="n"/>
      <c r="J181" s="5" t="n"/>
      <c r="K181" s="5" t="n"/>
      <c r="L181" s="5" t="n"/>
      <c r="M181" s="11" t="n"/>
      <c r="N181" s="4">
        <f>IF(B181="","",IF(AND(H181="Yes",J181="Yes",K181="Yes",L181="Yes"),"Compliant",IF(OR(H181="No",J181="No",L181="No"),"Non-Compliant","Partial")))</f>
        <v/>
      </c>
      <c r="O181" s="5" t="n"/>
    </row>
    <row r="182">
      <c r="A182" s="5" t="n"/>
      <c r="B182" s="5" t="n"/>
      <c r="C182" s="5" t="n"/>
      <c r="D182" s="5" t="n"/>
      <c r="E182" s="5" t="n"/>
      <c r="F182" s="11" t="n"/>
      <c r="G182" s="5" t="n"/>
      <c r="H182" s="5" t="n"/>
      <c r="I182" s="11" t="n"/>
      <c r="J182" s="5" t="n"/>
      <c r="K182" s="5" t="n"/>
      <c r="L182" s="5" t="n"/>
      <c r="M182" s="11" t="n"/>
      <c r="N182" s="4">
        <f>IF(B182="","",IF(AND(H182="Yes",J182="Yes",K182="Yes",L182="Yes"),"Compliant",IF(OR(H182="No",J182="No",L182="No"),"Non-Compliant","Partial")))</f>
        <v/>
      </c>
      <c r="O182" s="5" t="n"/>
    </row>
    <row r="183">
      <c r="A183" s="5" t="n"/>
      <c r="B183" s="5" t="n"/>
      <c r="C183" s="5" t="n"/>
      <c r="D183" s="5" t="n"/>
      <c r="E183" s="5" t="n"/>
      <c r="F183" s="11" t="n"/>
      <c r="G183" s="5" t="n"/>
      <c r="H183" s="5" t="n"/>
      <c r="I183" s="11" t="n"/>
      <c r="J183" s="5" t="n"/>
      <c r="K183" s="5" t="n"/>
      <c r="L183" s="5" t="n"/>
      <c r="M183" s="11" t="n"/>
      <c r="N183" s="4">
        <f>IF(B183="","",IF(AND(H183="Yes",J183="Yes",K183="Yes",L183="Yes"),"Compliant",IF(OR(H183="No",J183="No",L183="No"),"Non-Compliant","Partial")))</f>
        <v/>
      </c>
      <c r="O183" s="5" t="n"/>
    </row>
    <row r="184">
      <c r="A184" s="5" t="n"/>
      <c r="B184" s="5" t="n"/>
      <c r="C184" s="5" t="n"/>
      <c r="D184" s="5" t="n"/>
      <c r="E184" s="5" t="n"/>
      <c r="F184" s="11" t="n"/>
      <c r="G184" s="5" t="n"/>
      <c r="H184" s="5" t="n"/>
      <c r="I184" s="11" t="n"/>
      <c r="J184" s="5" t="n"/>
      <c r="K184" s="5" t="n"/>
      <c r="L184" s="5" t="n"/>
      <c r="M184" s="11" t="n"/>
      <c r="N184" s="4">
        <f>IF(B184="","",IF(AND(H184="Yes",J184="Yes",K184="Yes",L184="Yes"),"Compliant",IF(OR(H184="No",J184="No",L184="No"),"Non-Compliant","Partial")))</f>
        <v/>
      </c>
      <c r="O184" s="5" t="n"/>
    </row>
    <row r="185">
      <c r="A185" s="5" t="n"/>
      <c r="B185" s="5" t="n"/>
      <c r="C185" s="5" t="n"/>
      <c r="D185" s="5" t="n"/>
      <c r="E185" s="5" t="n"/>
      <c r="F185" s="11" t="n"/>
      <c r="G185" s="5" t="n"/>
      <c r="H185" s="5" t="n"/>
      <c r="I185" s="11" t="n"/>
      <c r="J185" s="5" t="n"/>
      <c r="K185" s="5" t="n"/>
      <c r="L185" s="5" t="n"/>
      <c r="M185" s="11" t="n"/>
      <c r="N185" s="4">
        <f>IF(B185="","",IF(AND(H185="Yes",J185="Yes",K185="Yes",L185="Yes"),"Compliant",IF(OR(H185="No",J185="No",L185="No"),"Non-Compliant","Partial")))</f>
        <v/>
      </c>
      <c r="O185" s="5" t="n"/>
    </row>
    <row r="186">
      <c r="A186" s="5" t="n"/>
      <c r="B186" s="5" t="n"/>
      <c r="C186" s="5" t="n"/>
      <c r="D186" s="5" t="n"/>
      <c r="E186" s="5" t="n"/>
      <c r="F186" s="11" t="n"/>
      <c r="G186" s="5" t="n"/>
      <c r="H186" s="5" t="n"/>
      <c r="I186" s="11" t="n"/>
      <c r="J186" s="5" t="n"/>
      <c r="K186" s="5" t="n"/>
      <c r="L186" s="5" t="n"/>
      <c r="M186" s="11" t="n"/>
      <c r="N186" s="4">
        <f>IF(B186="","",IF(AND(H186="Yes",J186="Yes",K186="Yes",L186="Yes"),"Compliant",IF(OR(H186="No",J186="No",L186="No"),"Non-Compliant","Partial")))</f>
        <v/>
      </c>
      <c r="O186" s="5" t="n"/>
    </row>
    <row r="187">
      <c r="A187" s="5" t="n"/>
      <c r="B187" s="5" t="n"/>
      <c r="C187" s="5" t="n"/>
      <c r="D187" s="5" t="n"/>
      <c r="E187" s="5" t="n"/>
      <c r="F187" s="11" t="n"/>
      <c r="G187" s="5" t="n"/>
      <c r="H187" s="5" t="n"/>
      <c r="I187" s="11" t="n"/>
      <c r="J187" s="5" t="n"/>
      <c r="K187" s="5" t="n"/>
      <c r="L187" s="5" t="n"/>
      <c r="M187" s="11" t="n"/>
      <c r="N187" s="4">
        <f>IF(B187="","",IF(AND(H187="Yes",J187="Yes",K187="Yes",L187="Yes"),"Compliant",IF(OR(H187="No",J187="No",L187="No"),"Non-Compliant","Partial")))</f>
        <v/>
      </c>
      <c r="O187" s="5" t="n"/>
    </row>
    <row r="188">
      <c r="A188" s="5" t="n"/>
      <c r="B188" s="5" t="n"/>
      <c r="C188" s="5" t="n"/>
      <c r="D188" s="5" t="n"/>
      <c r="E188" s="5" t="n"/>
      <c r="F188" s="11" t="n"/>
      <c r="G188" s="5" t="n"/>
      <c r="H188" s="5" t="n"/>
      <c r="I188" s="11" t="n"/>
      <c r="J188" s="5" t="n"/>
      <c r="K188" s="5" t="n"/>
      <c r="L188" s="5" t="n"/>
      <c r="M188" s="11" t="n"/>
      <c r="N188" s="4">
        <f>IF(B188="","",IF(AND(H188="Yes",J188="Yes",K188="Yes",L188="Yes"),"Compliant",IF(OR(H188="No",J188="No",L188="No"),"Non-Compliant","Partial")))</f>
        <v/>
      </c>
      <c r="O188" s="5" t="n"/>
    </row>
    <row r="189">
      <c r="A189" s="5" t="n"/>
      <c r="B189" s="5" t="n"/>
      <c r="C189" s="5" t="n"/>
      <c r="D189" s="5" t="n"/>
      <c r="E189" s="5" t="n"/>
      <c r="F189" s="11" t="n"/>
      <c r="G189" s="5" t="n"/>
      <c r="H189" s="5" t="n"/>
      <c r="I189" s="11" t="n"/>
      <c r="J189" s="5" t="n"/>
      <c r="K189" s="5" t="n"/>
      <c r="L189" s="5" t="n"/>
      <c r="M189" s="11" t="n"/>
      <c r="N189" s="4">
        <f>IF(B189="","",IF(AND(H189="Yes",J189="Yes",K189="Yes",L189="Yes"),"Compliant",IF(OR(H189="No",J189="No",L189="No"),"Non-Compliant","Partial")))</f>
        <v/>
      </c>
      <c r="O189" s="5" t="n"/>
    </row>
    <row r="190">
      <c r="A190" s="5" t="n"/>
      <c r="B190" s="5" t="n"/>
      <c r="C190" s="5" t="n"/>
      <c r="D190" s="5" t="n"/>
      <c r="E190" s="5" t="n"/>
      <c r="F190" s="11" t="n"/>
      <c r="G190" s="5" t="n"/>
      <c r="H190" s="5" t="n"/>
      <c r="I190" s="11" t="n"/>
      <c r="J190" s="5" t="n"/>
      <c r="K190" s="5" t="n"/>
      <c r="L190" s="5" t="n"/>
      <c r="M190" s="11" t="n"/>
      <c r="N190" s="4">
        <f>IF(B190="","",IF(AND(H190="Yes",J190="Yes",K190="Yes",L190="Yes"),"Compliant",IF(OR(H190="No",J190="No",L190="No"),"Non-Compliant","Partial")))</f>
        <v/>
      </c>
      <c r="O190" s="5" t="n"/>
    </row>
    <row r="191">
      <c r="A191" s="5" t="n"/>
      <c r="B191" s="5" t="n"/>
      <c r="C191" s="5" t="n"/>
      <c r="D191" s="5" t="n"/>
      <c r="E191" s="5" t="n"/>
      <c r="F191" s="11" t="n"/>
      <c r="G191" s="5" t="n"/>
      <c r="H191" s="5" t="n"/>
      <c r="I191" s="11" t="n"/>
      <c r="J191" s="5" t="n"/>
      <c r="K191" s="5" t="n"/>
      <c r="L191" s="5" t="n"/>
      <c r="M191" s="11" t="n"/>
      <c r="N191" s="4">
        <f>IF(B191="","",IF(AND(H191="Yes",J191="Yes",K191="Yes",L191="Yes"),"Compliant",IF(OR(H191="No",J191="No",L191="No"),"Non-Compliant","Partial")))</f>
        <v/>
      </c>
      <c r="O191" s="5" t="n"/>
    </row>
    <row r="192">
      <c r="A192" s="5" t="n"/>
      <c r="B192" s="5" t="n"/>
      <c r="C192" s="5" t="n"/>
      <c r="D192" s="5" t="n"/>
      <c r="E192" s="5" t="n"/>
      <c r="F192" s="11" t="n"/>
      <c r="G192" s="5" t="n"/>
      <c r="H192" s="5" t="n"/>
      <c r="I192" s="11" t="n"/>
      <c r="J192" s="5" t="n"/>
      <c r="K192" s="5" t="n"/>
      <c r="L192" s="5" t="n"/>
      <c r="M192" s="11" t="n"/>
      <c r="N192" s="4">
        <f>IF(B192="","",IF(AND(H192="Yes",J192="Yes",K192="Yes",L192="Yes"),"Compliant",IF(OR(H192="No",J192="No",L192="No"),"Non-Compliant","Partial")))</f>
        <v/>
      </c>
      <c r="O192" s="5" t="n"/>
    </row>
    <row r="193">
      <c r="A193" s="5" t="n"/>
      <c r="B193" s="5" t="n"/>
      <c r="C193" s="5" t="n"/>
      <c r="D193" s="5" t="n"/>
      <c r="E193" s="5" t="n"/>
      <c r="F193" s="11" t="n"/>
      <c r="G193" s="5" t="n"/>
      <c r="H193" s="5" t="n"/>
      <c r="I193" s="11" t="n"/>
      <c r="J193" s="5" t="n"/>
      <c r="K193" s="5" t="n"/>
      <c r="L193" s="5" t="n"/>
      <c r="M193" s="11" t="n"/>
      <c r="N193" s="4">
        <f>IF(B193="","",IF(AND(H193="Yes",J193="Yes",K193="Yes",L193="Yes"),"Compliant",IF(OR(H193="No",J193="No",L193="No"),"Non-Compliant","Partial")))</f>
        <v/>
      </c>
      <c r="O193" s="5" t="n"/>
    </row>
    <row r="194">
      <c r="A194" s="5" t="n"/>
      <c r="B194" s="5" t="n"/>
      <c r="C194" s="5" t="n"/>
      <c r="D194" s="5" t="n"/>
      <c r="E194" s="5" t="n"/>
      <c r="F194" s="11" t="n"/>
      <c r="G194" s="5" t="n"/>
      <c r="H194" s="5" t="n"/>
      <c r="I194" s="11" t="n"/>
      <c r="J194" s="5" t="n"/>
      <c r="K194" s="5" t="n"/>
      <c r="L194" s="5" t="n"/>
      <c r="M194" s="11" t="n"/>
      <c r="N194" s="4">
        <f>IF(B194="","",IF(AND(H194="Yes",J194="Yes",K194="Yes",L194="Yes"),"Compliant",IF(OR(H194="No",J194="No",L194="No"),"Non-Compliant","Partial")))</f>
        <v/>
      </c>
      <c r="O194" s="5" t="n"/>
    </row>
    <row r="195">
      <c r="A195" s="5" t="n"/>
      <c r="B195" s="5" t="n"/>
      <c r="C195" s="5" t="n"/>
      <c r="D195" s="5" t="n"/>
      <c r="E195" s="5" t="n"/>
      <c r="F195" s="11" t="n"/>
      <c r="G195" s="5" t="n"/>
      <c r="H195" s="5" t="n"/>
      <c r="I195" s="11" t="n"/>
      <c r="J195" s="5" t="n"/>
      <c r="K195" s="5" t="n"/>
      <c r="L195" s="5" t="n"/>
      <c r="M195" s="11" t="n"/>
      <c r="N195" s="4">
        <f>IF(B195="","",IF(AND(H195="Yes",J195="Yes",K195="Yes",L195="Yes"),"Compliant",IF(OR(H195="No",J195="No",L195="No"),"Non-Compliant","Partial")))</f>
        <v/>
      </c>
      <c r="O195" s="5" t="n"/>
    </row>
    <row r="196">
      <c r="A196" s="5" t="n"/>
      <c r="B196" s="5" t="n"/>
      <c r="C196" s="5" t="n"/>
      <c r="D196" s="5" t="n"/>
      <c r="E196" s="5" t="n"/>
      <c r="F196" s="11" t="n"/>
      <c r="G196" s="5" t="n"/>
      <c r="H196" s="5" t="n"/>
      <c r="I196" s="11" t="n"/>
      <c r="J196" s="5" t="n"/>
      <c r="K196" s="5" t="n"/>
      <c r="L196" s="5" t="n"/>
      <c r="M196" s="11" t="n"/>
      <c r="N196" s="4">
        <f>IF(B196="","",IF(AND(H196="Yes",J196="Yes",K196="Yes",L196="Yes"),"Compliant",IF(OR(H196="No",J196="No",L196="No"),"Non-Compliant","Partial")))</f>
        <v/>
      </c>
      <c r="O196" s="5" t="n"/>
    </row>
    <row r="197">
      <c r="A197" s="5" t="n"/>
      <c r="B197" s="5" t="n"/>
      <c r="C197" s="5" t="n"/>
      <c r="D197" s="5" t="n"/>
      <c r="E197" s="5" t="n"/>
      <c r="F197" s="11" t="n"/>
      <c r="G197" s="5" t="n"/>
      <c r="H197" s="5" t="n"/>
      <c r="I197" s="11" t="n"/>
      <c r="J197" s="5" t="n"/>
      <c r="K197" s="5" t="n"/>
      <c r="L197" s="5" t="n"/>
      <c r="M197" s="11" t="n"/>
      <c r="N197" s="4">
        <f>IF(B197="","",IF(AND(H197="Yes",J197="Yes",K197="Yes",L197="Yes"),"Compliant",IF(OR(H197="No",J197="No",L197="No"),"Non-Compliant","Partial")))</f>
        <v/>
      </c>
      <c r="O197" s="5" t="n"/>
    </row>
    <row r="198">
      <c r="A198" s="5" t="n"/>
      <c r="B198" s="5" t="n"/>
      <c r="C198" s="5" t="n"/>
      <c r="D198" s="5" t="n"/>
      <c r="E198" s="5" t="n"/>
      <c r="F198" s="11" t="n"/>
      <c r="G198" s="5" t="n"/>
      <c r="H198" s="5" t="n"/>
      <c r="I198" s="11" t="n"/>
      <c r="J198" s="5" t="n"/>
      <c r="K198" s="5" t="n"/>
      <c r="L198" s="5" t="n"/>
      <c r="M198" s="11" t="n"/>
      <c r="N198" s="4">
        <f>IF(B198="","",IF(AND(H198="Yes",J198="Yes",K198="Yes",L198="Yes"),"Compliant",IF(OR(H198="No",J198="No",L198="No"),"Non-Compliant","Partial")))</f>
        <v/>
      </c>
      <c r="O198" s="5" t="n"/>
    </row>
    <row r="199">
      <c r="A199" s="5" t="n"/>
      <c r="B199" s="5" t="n"/>
      <c r="C199" s="5" t="n"/>
      <c r="D199" s="5" t="n"/>
      <c r="E199" s="5" t="n"/>
      <c r="F199" s="11" t="n"/>
      <c r="G199" s="5" t="n"/>
      <c r="H199" s="5" t="n"/>
      <c r="I199" s="11" t="n"/>
      <c r="J199" s="5" t="n"/>
      <c r="K199" s="5" t="n"/>
      <c r="L199" s="5" t="n"/>
      <c r="M199" s="11" t="n"/>
      <c r="N199" s="4">
        <f>IF(B199="","",IF(AND(H199="Yes",J199="Yes",K199="Yes",L199="Yes"),"Compliant",IF(OR(H199="No",J199="No",L199="No"),"Non-Compliant","Partial")))</f>
        <v/>
      </c>
      <c r="O199" s="5" t="n"/>
    </row>
    <row r="200">
      <c r="A200" s="5" t="n"/>
      <c r="B200" s="5" t="n"/>
      <c r="C200" s="5" t="n"/>
      <c r="D200" s="5" t="n"/>
      <c r="E200" s="5" t="n"/>
      <c r="F200" s="11" t="n"/>
      <c r="G200" s="5" t="n"/>
      <c r="H200" s="5" t="n"/>
      <c r="I200" s="11" t="n"/>
      <c r="J200" s="5" t="n"/>
      <c r="K200" s="5" t="n"/>
      <c r="L200" s="5" t="n"/>
      <c r="M200" s="11" t="n"/>
      <c r="N200" s="4">
        <f>IF(B200="","",IF(AND(H200="Yes",J200="Yes",K200="Yes",L200="Yes"),"Compliant",IF(OR(H200="No",J200="No",L200="No"),"Non-Compliant","Partial")))</f>
        <v/>
      </c>
      <c r="O200" s="5" t="n"/>
    </row>
    <row r="201">
      <c r="A201" s="5" t="n"/>
      <c r="B201" s="5" t="n"/>
      <c r="C201" s="5" t="n"/>
      <c r="D201" s="5" t="n"/>
      <c r="E201" s="5" t="n"/>
      <c r="F201" s="11" t="n"/>
      <c r="G201" s="5" t="n"/>
      <c r="H201" s="5" t="n"/>
      <c r="I201" s="11" t="n"/>
      <c r="J201" s="5" t="n"/>
      <c r="K201" s="5" t="n"/>
      <c r="L201" s="5" t="n"/>
      <c r="M201" s="11" t="n"/>
      <c r="N201" s="4">
        <f>IF(B201="","",IF(AND(H201="Yes",J201="Yes",K201="Yes",L201="Yes"),"Compliant",IF(OR(H201="No",J201="No",L201="No"),"Non-Compliant","Partial")))</f>
        <v/>
      </c>
      <c r="O201" s="5" t="n"/>
    </row>
    <row r="202">
      <c r="A202" s="5" t="n"/>
      <c r="B202" s="5" t="n"/>
      <c r="C202" s="5" t="n"/>
      <c r="D202" s="5" t="n"/>
      <c r="E202" s="5" t="n"/>
      <c r="F202" s="11" t="n"/>
      <c r="G202" s="5" t="n"/>
      <c r="H202" s="5" t="n"/>
      <c r="I202" s="11" t="n"/>
      <c r="J202" s="5" t="n"/>
      <c r="K202" s="5" t="n"/>
      <c r="L202" s="5" t="n"/>
      <c r="M202" s="11" t="n"/>
      <c r="N202" s="4">
        <f>IF(B202="","",IF(AND(H202="Yes",J202="Yes",K202="Yes",L202="Yes"),"Compliant",IF(OR(H202="No",J202="No",L202="No"),"Non-Compliant","Partial")))</f>
        <v/>
      </c>
      <c r="O202" s="5" t="n"/>
    </row>
    <row r="203">
      <c r="A203" s="5" t="n"/>
      <c r="B203" s="5" t="n"/>
      <c r="C203" s="5" t="n"/>
      <c r="D203" s="5" t="n"/>
      <c r="E203" s="5" t="n"/>
      <c r="F203" s="11" t="n"/>
      <c r="G203" s="5" t="n"/>
      <c r="H203" s="5" t="n"/>
      <c r="I203" s="11" t="n"/>
      <c r="J203" s="5" t="n"/>
      <c r="K203" s="5" t="n"/>
      <c r="L203" s="5" t="n"/>
      <c r="M203" s="11" t="n"/>
      <c r="N203" s="4">
        <f>IF(B203="","",IF(AND(H203="Yes",J203="Yes",K203="Yes",L203="Yes"),"Compliant",IF(OR(H203="No",J203="No",L203="No"),"Non-Compliant","Partial")))</f>
        <v/>
      </c>
      <c r="O203" s="5" t="n"/>
    </row>
    <row r="204">
      <c r="A204" s="5" t="n"/>
      <c r="B204" s="5" t="n"/>
      <c r="C204" s="5" t="n"/>
      <c r="D204" s="5" t="n"/>
      <c r="E204" s="5" t="n"/>
      <c r="F204" s="11" t="n"/>
      <c r="G204" s="5" t="n"/>
      <c r="H204" s="5" t="n"/>
      <c r="I204" s="11" t="n"/>
      <c r="J204" s="5" t="n"/>
      <c r="K204" s="5" t="n"/>
      <c r="L204" s="5" t="n"/>
      <c r="M204" s="11" t="n"/>
      <c r="N204" s="4">
        <f>IF(B204="","",IF(AND(H204="Yes",J204="Yes",K204="Yes",L204="Yes"),"Compliant",IF(OR(H204="No",J204="No",L204="No"),"Non-Compliant","Partial")))</f>
        <v/>
      </c>
      <c r="O2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O1"/>
    <mergeCell ref="A2:O2"/>
  </mergeCells>
  <dataValidations count="2">
    <dataValidation sqref="E5:E204" showDropDown="0" showInputMessage="0" showErrorMessage="1" allowBlank="1" errorTitle="Invalid Entry" error="Please select from dropdown" type="list">
      <formula1>"Permanent,Fixed-Term,Executive,Intern,Contractor,Consultant,Agency"</formula1>
    </dataValidation>
    <dataValidation sqref="H5:H204 J5:J204 K5:K204 L5:L204" showDropDown="0" showInputMessage="0" showErrorMessage="1" allowBlank="1" errorTitle="Invalid Entry" error="Please select from dropdown" type="list">
      <formula1>"Yes,No,Partial,Pending"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0" customWidth="1" min="13" max="13"/>
    <col width="40" customWidth="1" min="14" max="14"/>
  </cols>
  <sheetData>
    <row r="1">
      <c r="A1" s="1" t="inlineStr">
        <is>
          <t>CONFIDENTIALITY &amp; NDA TRACKING</t>
        </is>
      </c>
    </row>
    <row r="2">
      <c r="A2" s="2" t="inlineStr">
        <is>
          <t>AUDIT FOCAL POINT: NDA and confidentiality agreement status per individual</t>
        </is>
      </c>
    </row>
    <row r="4">
      <c r="A4" s="8" t="inlineStr">
        <is>
          <t>Employee_ID</t>
        </is>
      </c>
      <c r="B4" s="8" t="inlineStr">
        <is>
          <t>Employee_Name</t>
        </is>
      </c>
      <c r="C4" s="8" t="inlineStr">
        <is>
          <t>Department</t>
        </is>
      </c>
      <c r="D4" s="8" t="inlineStr">
        <is>
          <t>NDA_Type</t>
        </is>
      </c>
      <c r="E4" s="8" t="inlineStr">
        <is>
          <t>NDA_Version</t>
        </is>
      </c>
      <c r="F4" s="8" t="inlineStr">
        <is>
          <t>Date_Signed</t>
        </is>
      </c>
      <c r="G4" s="8" t="inlineStr">
        <is>
          <t>Expiration_Date</t>
        </is>
      </c>
      <c r="H4" s="8" t="inlineStr">
        <is>
          <t>Covers_IP</t>
        </is>
      </c>
      <c r="I4" s="8" t="inlineStr">
        <is>
          <t>Covers_Trade_Secrets</t>
        </is>
      </c>
      <c r="J4" s="8" t="inlineStr">
        <is>
          <t>Covers_Post_Employment</t>
        </is>
      </c>
      <c r="K4" s="8" t="inlineStr">
        <is>
          <t>NDA_Status</t>
        </is>
      </c>
      <c r="L4" s="8" t="inlineStr">
        <is>
          <t>Renewal_Required</t>
        </is>
      </c>
      <c r="M4" s="8" t="inlineStr">
        <is>
          <t>Document_Location</t>
        </is>
      </c>
      <c r="N4" s="8" t="inlineStr">
        <is>
          <t>Notes</t>
        </is>
      </c>
    </row>
    <row r="5">
      <c r="A5" s="4">
        <f>IF(ROW()-4&lt;=COUNTA(Personnel_Contract_Compliance!$A:$A)-4,INDEX(Personnel_Contract_Compliance!$A:$A,ROW()-3),"")</f>
        <v/>
      </c>
      <c r="B5" s="4">
        <f>IF(A5&lt;&gt;"",VLOOKUP(A5,Personnel_Contract_Compliance!$A:$B,2,FALSE),"")</f>
        <v/>
      </c>
      <c r="C5" s="4">
        <f>IF(A5&lt;&gt;"",VLOOKUP(A5,Personnel_Contract_Compliance!$A:$C,3,FALSE),"")</f>
        <v/>
      </c>
      <c r="D5" s="5" t="n"/>
      <c r="E5" s="5" t="n"/>
      <c r="F5" s="11" t="n"/>
      <c r="G5" s="11" t="n"/>
      <c r="H5" s="5" t="n"/>
      <c r="I5" s="5" t="n"/>
      <c r="J5" s="5" t="n"/>
      <c r="K5" s="4">
        <f>IF(B5="","",IF(AND(F5&lt;&gt;"",OR(G5="",G5&gt;=TODAY())),"Active",IF(AND(F5&lt;&gt;"",G5&lt;TODAY()),"Expired",IF(F5="","Missing","Unknown"))))</f>
        <v/>
      </c>
      <c r="L5" s="5" t="n"/>
      <c r="M5" s="5" t="n"/>
      <c r="N5" s="5" t="n"/>
    </row>
    <row r="6">
      <c r="A6" s="4">
        <f>IF(ROW()-4&lt;=COUNTA(Personnel_Contract_Compliance!$A:$A)-4,INDEX(Personnel_Contract_Compliance!$A:$A,ROW()-3),"")</f>
        <v/>
      </c>
      <c r="B6" s="4">
        <f>IF(A6&lt;&gt;"",VLOOKUP(A6,Personnel_Contract_Compliance!$A:$B,2,FALSE),"")</f>
        <v/>
      </c>
      <c r="C6" s="4">
        <f>IF(A6&lt;&gt;"",VLOOKUP(A6,Personnel_Contract_Compliance!$A:$C,3,FALSE),"")</f>
        <v/>
      </c>
      <c r="D6" s="5" t="n"/>
      <c r="E6" s="5" t="n"/>
      <c r="F6" s="11" t="n"/>
      <c r="G6" s="11" t="n"/>
      <c r="H6" s="5" t="n"/>
      <c r="I6" s="5" t="n"/>
      <c r="J6" s="5" t="n"/>
      <c r="K6" s="4">
        <f>IF(B6="","",IF(AND(F6&lt;&gt;"",OR(G6="",G6&gt;=TODAY())),"Active",IF(AND(F6&lt;&gt;"",G6&lt;TODAY()),"Expired",IF(F6="","Missing","Unknown"))))</f>
        <v/>
      </c>
      <c r="L6" s="5" t="n"/>
      <c r="M6" s="5" t="n"/>
      <c r="N6" s="5" t="n"/>
    </row>
    <row r="7">
      <c r="A7" s="4">
        <f>IF(ROW()-4&lt;=COUNTA(Personnel_Contract_Compliance!$A:$A)-4,INDEX(Personnel_Contract_Compliance!$A:$A,ROW()-3),"")</f>
        <v/>
      </c>
      <c r="B7" s="4">
        <f>IF(A7&lt;&gt;"",VLOOKUP(A7,Personnel_Contract_Compliance!$A:$B,2,FALSE),"")</f>
        <v/>
      </c>
      <c r="C7" s="4">
        <f>IF(A7&lt;&gt;"",VLOOKUP(A7,Personnel_Contract_Compliance!$A:$C,3,FALSE),"")</f>
        <v/>
      </c>
      <c r="D7" s="5" t="n"/>
      <c r="E7" s="5" t="n"/>
      <c r="F7" s="11" t="n"/>
      <c r="G7" s="11" t="n"/>
      <c r="H7" s="5" t="n"/>
      <c r="I7" s="5" t="n"/>
      <c r="J7" s="5" t="n"/>
      <c r="K7" s="4">
        <f>IF(B7="","",IF(AND(F7&lt;&gt;"",OR(G7="",G7&gt;=TODAY())),"Active",IF(AND(F7&lt;&gt;"",G7&lt;TODAY()),"Expired",IF(F7="","Missing","Unknown"))))</f>
        <v/>
      </c>
      <c r="L7" s="5" t="n"/>
      <c r="M7" s="5" t="n"/>
      <c r="N7" s="5" t="n"/>
    </row>
    <row r="8">
      <c r="A8" s="4">
        <f>IF(ROW()-4&lt;=COUNTA(Personnel_Contract_Compliance!$A:$A)-4,INDEX(Personnel_Contract_Compliance!$A:$A,ROW()-3),"")</f>
        <v/>
      </c>
      <c r="B8" s="4">
        <f>IF(A8&lt;&gt;"",VLOOKUP(A8,Personnel_Contract_Compliance!$A:$B,2,FALSE),"")</f>
        <v/>
      </c>
      <c r="C8" s="4">
        <f>IF(A8&lt;&gt;"",VLOOKUP(A8,Personnel_Contract_Compliance!$A:$C,3,FALSE),"")</f>
        <v/>
      </c>
      <c r="D8" s="5" t="n"/>
      <c r="E8" s="5" t="n"/>
      <c r="F8" s="11" t="n"/>
      <c r="G8" s="11" t="n"/>
      <c r="H8" s="5" t="n"/>
      <c r="I8" s="5" t="n"/>
      <c r="J8" s="5" t="n"/>
      <c r="K8" s="4">
        <f>IF(B8="","",IF(AND(F8&lt;&gt;"",OR(G8="",G8&gt;=TODAY())),"Active",IF(AND(F8&lt;&gt;"",G8&lt;TODAY()),"Expired",IF(F8="","Missing","Unknown"))))</f>
        <v/>
      </c>
      <c r="L8" s="5" t="n"/>
      <c r="M8" s="5" t="n"/>
      <c r="N8" s="5" t="n"/>
    </row>
    <row r="9">
      <c r="A9" s="4">
        <f>IF(ROW()-4&lt;=COUNTA(Personnel_Contract_Compliance!$A:$A)-4,INDEX(Personnel_Contract_Compliance!$A:$A,ROW()-3),"")</f>
        <v/>
      </c>
      <c r="B9" s="4">
        <f>IF(A9&lt;&gt;"",VLOOKUP(A9,Personnel_Contract_Compliance!$A:$B,2,FALSE),"")</f>
        <v/>
      </c>
      <c r="C9" s="4">
        <f>IF(A9&lt;&gt;"",VLOOKUP(A9,Personnel_Contract_Compliance!$A:$C,3,FALSE),"")</f>
        <v/>
      </c>
      <c r="D9" s="5" t="n"/>
      <c r="E9" s="5" t="n"/>
      <c r="F9" s="11" t="n"/>
      <c r="G9" s="11" t="n"/>
      <c r="H9" s="5" t="n"/>
      <c r="I9" s="5" t="n"/>
      <c r="J9" s="5" t="n"/>
      <c r="K9" s="4">
        <f>IF(B9="","",IF(AND(F9&lt;&gt;"",OR(G9="",G9&gt;=TODAY())),"Active",IF(AND(F9&lt;&gt;"",G9&lt;TODAY()),"Expired",IF(F9="","Missing","Unknown"))))</f>
        <v/>
      </c>
      <c r="L9" s="5" t="n"/>
      <c r="M9" s="5" t="n"/>
      <c r="N9" s="5" t="n"/>
    </row>
    <row r="10">
      <c r="A10" s="4">
        <f>IF(ROW()-4&lt;=COUNTA(Personnel_Contract_Compliance!$A:$A)-4,INDEX(Personnel_Contract_Compliance!$A:$A,ROW()-3),"")</f>
        <v/>
      </c>
      <c r="B10" s="4">
        <f>IF(A10&lt;&gt;"",VLOOKUP(A10,Personnel_Contract_Compliance!$A:$B,2,FALSE),"")</f>
        <v/>
      </c>
      <c r="C10" s="4">
        <f>IF(A10&lt;&gt;"",VLOOKUP(A10,Personnel_Contract_Compliance!$A:$C,3,FALSE),"")</f>
        <v/>
      </c>
      <c r="D10" s="5" t="n"/>
      <c r="E10" s="5" t="n"/>
      <c r="F10" s="11" t="n"/>
      <c r="G10" s="11" t="n"/>
      <c r="H10" s="5" t="n"/>
      <c r="I10" s="5" t="n"/>
      <c r="J10" s="5" t="n"/>
      <c r="K10" s="4">
        <f>IF(B10="","",IF(AND(F10&lt;&gt;"",OR(G10="",G10&gt;=TODAY())),"Active",IF(AND(F10&lt;&gt;"",G10&lt;TODAY()),"Expired",IF(F10="","Missing","Unknown"))))</f>
        <v/>
      </c>
      <c r="L10" s="5" t="n"/>
      <c r="M10" s="5" t="n"/>
      <c r="N10" s="5" t="n"/>
    </row>
    <row r="11">
      <c r="A11" s="4">
        <f>IF(ROW()-4&lt;=COUNTA(Personnel_Contract_Compliance!$A:$A)-4,INDEX(Personnel_Contract_Compliance!$A:$A,ROW()-3),"")</f>
        <v/>
      </c>
      <c r="B11" s="4">
        <f>IF(A11&lt;&gt;"",VLOOKUP(A11,Personnel_Contract_Compliance!$A:$B,2,FALSE),"")</f>
        <v/>
      </c>
      <c r="C11" s="4">
        <f>IF(A11&lt;&gt;"",VLOOKUP(A11,Personnel_Contract_Compliance!$A:$C,3,FALSE),"")</f>
        <v/>
      </c>
      <c r="D11" s="5" t="n"/>
      <c r="E11" s="5" t="n"/>
      <c r="F11" s="11" t="n"/>
      <c r="G11" s="11" t="n"/>
      <c r="H11" s="5" t="n"/>
      <c r="I11" s="5" t="n"/>
      <c r="J11" s="5" t="n"/>
      <c r="K11" s="4">
        <f>IF(B11="","",IF(AND(F11&lt;&gt;"",OR(G11="",G11&gt;=TODAY())),"Active",IF(AND(F11&lt;&gt;"",G11&lt;TODAY()),"Expired",IF(F11="","Missing","Unknown"))))</f>
        <v/>
      </c>
      <c r="L11" s="5" t="n"/>
      <c r="M11" s="5" t="n"/>
      <c r="N11" s="5" t="n"/>
    </row>
    <row r="12">
      <c r="A12" s="4">
        <f>IF(ROW()-4&lt;=COUNTA(Personnel_Contract_Compliance!$A:$A)-4,INDEX(Personnel_Contract_Compliance!$A:$A,ROW()-3),"")</f>
        <v/>
      </c>
      <c r="B12" s="4">
        <f>IF(A12&lt;&gt;"",VLOOKUP(A12,Personnel_Contract_Compliance!$A:$B,2,FALSE),"")</f>
        <v/>
      </c>
      <c r="C12" s="4">
        <f>IF(A12&lt;&gt;"",VLOOKUP(A12,Personnel_Contract_Compliance!$A:$C,3,FALSE),"")</f>
        <v/>
      </c>
      <c r="D12" s="5" t="n"/>
      <c r="E12" s="5" t="n"/>
      <c r="F12" s="11" t="n"/>
      <c r="G12" s="11" t="n"/>
      <c r="H12" s="5" t="n"/>
      <c r="I12" s="5" t="n"/>
      <c r="J12" s="5" t="n"/>
      <c r="K12" s="4">
        <f>IF(B12="","",IF(AND(F12&lt;&gt;"",OR(G12="",G12&gt;=TODAY())),"Active",IF(AND(F12&lt;&gt;"",G12&lt;TODAY()),"Expired",IF(F12="","Missing","Unknown"))))</f>
        <v/>
      </c>
      <c r="L12" s="5" t="n"/>
      <c r="M12" s="5" t="n"/>
      <c r="N12" s="5" t="n"/>
    </row>
    <row r="13">
      <c r="A13" s="4">
        <f>IF(ROW()-4&lt;=COUNTA(Personnel_Contract_Compliance!$A:$A)-4,INDEX(Personnel_Contract_Compliance!$A:$A,ROW()-3),"")</f>
        <v/>
      </c>
      <c r="B13" s="4">
        <f>IF(A13&lt;&gt;"",VLOOKUP(A13,Personnel_Contract_Compliance!$A:$B,2,FALSE),"")</f>
        <v/>
      </c>
      <c r="C13" s="4">
        <f>IF(A13&lt;&gt;"",VLOOKUP(A13,Personnel_Contract_Compliance!$A:$C,3,FALSE),"")</f>
        <v/>
      </c>
      <c r="D13" s="5" t="n"/>
      <c r="E13" s="5" t="n"/>
      <c r="F13" s="11" t="n"/>
      <c r="G13" s="11" t="n"/>
      <c r="H13" s="5" t="n"/>
      <c r="I13" s="5" t="n"/>
      <c r="J13" s="5" t="n"/>
      <c r="K13" s="4">
        <f>IF(B13="","",IF(AND(F13&lt;&gt;"",OR(G13="",G13&gt;=TODAY())),"Active",IF(AND(F13&lt;&gt;"",G13&lt;TODAY()),"Expired",IF(F13="","Missing","Unknown"))))</f>
        <v/>
      </c>
      <c r="L13" s="5" t="n"/>
      <c r="M13" s="5" t="n"/>
      <c r="N13" s="5" t="n"/>
    </row>
    <row r="14">
      <c r="A14" s="4">
        <f>IF(ROW()-4&lt;=COUNTA(Personnel_Contract_Compliance!$A:$A)-4,INDEX(Personnel_Contract_Compliance!$A:$A,ROW()-3),"")</f>
        <v/>
      </c>
      <c r="B14" s="4">
        <f>IF(A14&lt;&gt;"",VLOOKUP(A14,Personnel_Contract_Compliance!$A:$B,2,FALSE),"")</f>
        <v/>
      </c>
      <c r="C14" s="4">
        <f>IF(A14&lt;&gt;"",VLOOKUP(A14,Personnel_Contract_Compliance!$A:$C,3,FALSE),"")</f>
        <v/>
      </c>
      <c r="D14" s="5" t="n"/>
      <c r="E14" s="5" t="n"/>
      <c r="F14" s="11" t="n"/>
      <c r="G14" s="11" t="n"/>
      <c r="H14" s="5" t="n"/>
      <c r="I14" s="5" t="n"/>
      <c r="J14" s="5" t="n"/>
      <c r="K14" s="4">
        <f>IF(B14="","",IF(AND(F14&lt;&gt;"",OR(G14="",G14&gt;=TODAY())),"Active",IF(AND(F14&lt;&gt;"",G14&lt;TODAY()),"Expired",IF(F14="","Missing","Unknown"))))</f>
        <v/>
      </c>
      <c r="L14" s="5" t="n"/>
      <c r="M14" s="5" t="n"/>
      <c r="N14" s="5" t="n"/>
    </row>
    <row r="15">
      <c r="A15" s="4">
        <f>IF(ROW()-4&lt;=COUNTA(Personnel_Contract_Compliance!$A:$A)-4,INDEX(Personnel_Contract_Compliance!$A:$A,ROW()-3),"")</f>
        <v/>
      </c>
      <c r="B15" s="4">
        <f>IF(A15&lt;&gt;"",VLOOKUP(A15,Personnel_Contract_Compliance!$A:$B,2,FALSE),"")</f>
        <v/>
      </c>
      <c r="C15" s="4">
        <f>IF(A15&lt;&gt;"",VLOOKUP(A15,Personnel_Contract_Compliance!$A:$C,3,FALSE),"")</f>
        <v/>
      </c>
      <c r="D15" s="5" t="n"/>
      <c r="E15" s="5" t="n"/>
      <c r="F15" s="11" t="n"/>
      <c r="G15" s="11" t="n"/>
      <c r="H15" s="5" t="n"/>
      <c r="I15" s="5" t="n"/>
      <c r="J15" s="5" t="n"/>
      <c r="K15" s="4">
        <f>IF(B15="","",IF(AND(F15&lt;&gt;"",OR(G15="",G15&gt;=TODAY())),"Active",IF(AND(F15&lt;&gt;"",G15&lt;TODAY()),"Expired",IF(F15="","Missing","Unknown"))))</f>
        <v/>
      </c>
      <c r="L15" s="5" t="n"/>
      <c r="M15" s="5" t="n"/>
      <c r="N15" s="5" t="n"/>
    </row>
    <row r="16">
      <c r="A16" s="4">
        <f>IF(ROW()-4&lt;=COUNTA(Personnel_Contract_Compliance!$A:$A)-4,INDEX(Personnel_Contract_Compliance!$A:$A,ROW()-3),"")</f>
        <v/>
      </c>
      <c r="B16" s="4">
        <f>IF(A16&lt;&gt;"",VLOOKUP(A16,Personnel_Contract_Compliance!$A:$B,2,FALSE),"")</f>
        <v/>
      </c>
      <c r="C16" s="4">
        <f>IF(A16&lt;&gt;"",VLOOKUP(A16,Personnel_Contract_Compliance!$A:$C,3,FALSE),"")</f>
        <v/>
      </c>
      <c r="D16" s="5" t="n"/>
      <c r="E16" s="5" t="n"/>
      <c r="F16" s="11" t="n"/>
      <c r="G16" s="11" t="n"/>
      <c r="H16" s="5" t="n"/>
      <c r="I16" s="5" t="n"/>
      <c r="J16" s="5" t="n"/>
      <c r="K16" s="4">
        <f>IF(B16="","",IF(AND(F16&lt;&gt;"",OR(G16="",G16&gt;=TODAY())),"Active",IF(AND(F16&lt;&gt;"",G16&lt;TODAY()),"Expired",IF(F16="","Missing","Unknown"))))</f>
        <v/>
      </c>
      <c r="L16" s="5" t="n"/>
      <c r="M16" s="5" t="n"/>
      <c r="N16" s="5" t="n"/>
    </row>
    <row r="17">
      <c r="A17" s="4">
        <f>IF(ROW()-4&lt;=COUNTA(Personnel_Contract_Compliance!$A:$A)-4,INDEX(Personnel_Contract_Compliance!$A:$A,ROW()-3),"")</f>
        <v/>
      </c>
      <c r="B17" s="4">
        <f>IF(A17&lt;&gt;"",VLOOKUP(A17,Personnel_Contract_Compliance!$A:$B,2,FALSE),"")</f>
        <v/>
      </c>
      <c r="C17" s="4">
        <f>IF(A17&lt;&gt;"",VLOOKUP(A17,Personnel_Contract_Compliance!$A:$C,3,FALSE),"")</f>
        <v/>
      </c>
      <c r="D17" s="5" t="n"/>
      <c r="E17" s="5" t="n"/>
      <c r="F17" s="11" t="n"/>
      <c r="G17" s="11" t="n"/>
      <c r="H17" s="5" t="n"/>
      <c r="I17" s="5" t="n"/>
      <c r="J17" s="5" t="n"/>
      <c r="K17" s="4">
        <f>IF(B17="","",IF(AND(F17&lt;&gt;"",OR(G17="",G17&gt;=TODAY())),"Active",IF(AND(F17&lt;&gt;"",G17&lt;TODAY()),"Expired",IF(F17="","Missing","Unknown"))))</f>
        <v/>
      </c>
      <c r="L17" s="5" t="n"/>
      <c r="M17" s="5" t="n"/>
      <c r="N17" s="5" t="n"/>
    </row>
    <row r="18">
      <c r="A18" s="4">
        <f>IF(ROW()-4&lt;=COUNTA(Personnel_Contract_Compliance!$A:$A)-4,INDEX(Personnel_Contract_Compliance!$A:$A,ROW()-3),"")</f>
        <v/>
      </c>
      <c r="B18" s="4">
        <f>IF(A18&lt;&gt;"",VLOOKUP(A18,Personnel_Contract_Compliance!$A:$B,2,FALSE),"")</f>
        <v/>
      </c>
      <c r="C18" s="4">
        <f>IF(A18&lt;&gt;"",VLOOKUP(A18,Personnel_Contract_Compliance!$A:$C,3,FALSE),"")</f>
        <v/>
      </c>
      <c r="D18" s="5" t="n"/>
      <c r="E18" s="5" t="n"/>
      <c r="F18" s="11" t="n"/>
      <c r="G18" s="11" t="n"/>
      <c r="H18" s="5" t="n"/>
      <c r="I18" s="5" t="n"/>
      <c r="J18" s="5" t="n"/>
      <c r="K18" s="4">
        <f>IF(B18="","",IF(AND(F18&lt;&gt;"",OR(G18="",G18&gt;=TODAY())),"Active",IF(AND(F18&lt;&gt;"",G18&lt;TODAY()),"Expired",IF(F18="","Missing","Unknown"))))</f>
        <v/>
      </c>
      <c r="L18" s="5" t="n"/>
      <c r="M18" s="5" t="n"/>
      <c r="N18" s="5" t="n"/>
    </row>
    <row r="19">
      <c r="A19" s="4">
        <f>IF(ROW()-4&lt;=COUNTA(Personnel_Contract_Compliance!$A:$A)-4,INDEX(Personnel_Contract_Compliance!$A:$A,ROW()-3),"")</f>
        <v/>
      </c>
      <c r="B19" s="4">
        <f>IF(A19&lt;&gt;"",VLOOKUP(A19,Personnel_Contract_Compliance!$A:$B,2,FALSE),"")</f>
        <v/>
      </c>
      <c r="C19" s="4">
        <f>IF(A19&lt;&gt;"",VLOOKUP(A19,Personnel_Contract_Compliance!$A:$C,3,FALSE),"")</f>
        <v/>
      </c>
      <c r="D19" s="5" t="n"/>
      <c r="E19" s="5" t="n"/>
      <c r="F19" s="11" t="n"/>
      <c r="G19" s="11" t="n"/>
      <c r="H19" s="5" t="n"/>
      <c r="I19" s="5" t="n"/>
      <c r="J19" s="5" t="n"/>
      <c r="K19" s="4">
        <f>IF(B19="","",IF(AND(F19&lt;&gt;"",OR(G19="",G19&gt;=TODAY())),"Active",IF(AND(F19&lt;&gt;"",G19&lt;TODAY()),"Expired",IF(F19="","Missing","Unknown"))))</f>
        <v/>
      </c>
      <c r="L19" s="5" t="n"/>
      <c r="M19" s="5" t="n"/>
      <c r="N19" s="5" t="n"/>
    </row>
    <row r="20">
      <c r="A20" s="4">
        <f>IF(ROW()-4&lt;=COUNTA(Personnel_Contract_Compliance!$A:$A)-4,INDEX(Personnel_Contract_Compliance!$A:$A,ROW()-3),"")</f>
        <v/>
      </c>
      <c r="B20" s="4">
        <f>IF(A20&lt;&gt;"",VLOOKUP(A20,Personnel_Contract_Compliance!$A:$B,2,FALSE),"")</f>
        <v/>
      </c>
      <c r="C20" s="4">
        <f>IF(A20&lt;&gt;"",VLOOKUP(A20,Personnel_Contract_Compliance!$A:$C,3,FALSE),"")</f>
        <v/>
      </c>
      <c r="D20" s="5" t="n"/>
      <c r="E20" s="5" t="n"/>
      <c r="F20" s="11" t="n"/>
      <c r="G20" s="11" t="n"/>
      <c r="H20" s="5" t="n"/>
      <c r="I20" s="5" t="n"/>
      <c r="J20" s="5" t="n"/>
      <c r="K20" s="4">
        <f>IF(B20="","",IF(AND(F20&lt;&gt;"",OR(G20="",G20&gt;=TODAY())),"Active",IF(AND(F20&lt;&gt;"",G20&lt;TODAY()),"Expired",IF(F20="","Missing","Unknown"))))</f>
        <v/>
      </c>
      <c r="L20" s="5" t="n"/>
      <c r="M20" s="5" t="n"/>
      <c r="N20" s="5" t="n"/>
    </row>
    <row r="21">
      <c r="A21" s="4">
        <f>IF(ROW()-4&lt;=COUNTA(Personnel_Contract_Compliance!$A:$A)-4,INDEX(Personnel_Contract_Compliance!$A:$A,ROW()-3),"")</f>
        <v/>
      </c>
      <c r="B21" s="4">
        <f>IF(A21&lt;&gt;"",VLOOKUP(A21,Personnel_Contract_Compliance!$A:$B,2,FALSE),"")</f>
        <v/>
      </c>
      <c r="C21" s="4">
        <f>IF(A21&lt;&gt;"",VLOOKUP(A21,Personnel_Contract_Compliance!$A:$C,3,FALSE),"")</f>
        <v/>
      </c>
      <c r="D21" s="5" t="n"/>
      <c r="E21" s="5" t="n"/>
      <c r="F21" s="11" t="n"/>
      <c r="G21" s="11" t="n"/>
      <c r="H21" s="5" t="n"/>
      <c r="I21" s="5" t="n"/>
      <c r="J21" s="5" t="n"/>
      <c r="K21" s="4">
        <f>IF(B21="","",IF(AND(F21&lt;&gt;"",OR(G21="",G21&gt;=TODAY())),"Active",IF(AND(F21&lt;&gt;"",G21&lt;TODAY()),"Expired",IF(F21="","Missing","Unknown"))))</f>
        <v/>
      </c>
      <c r="L21" s="5" t="n"/>
      <c r="M21" s="5" t="n"/>
      <c r="N21" s="5" t="n"/>
    </row>
    <row r="22">
      <c r="A22" s="4">
        <f>IF(ROW()-4&lt;=COUNTA(Personnel_Contract_Compliance!$A:$A)-4,INDEX(Personnel_Contract_Compliance!$A:$A,ROW()-3),"")</f>
        <v/>
      </c>
      <c r="B22" s="4">
        <f>IF(A22&lt;&gt;"",VLOOKUP(A22,Personnel_Contract_Compliance!$A:$B,2,FALSE),"")</f>
        <v/>
      </c>
      <c r="C22" s="4">
        <f>IF(A22&lt;&gt;"",VLOOKUP(A22,Personnel_Contract_Compliance!$A:$C,3,FALSE),"")</f>
        <v/>
      </c>
      <c r="D22" s="5" t="n"/>
      <c r="E22" s="5" t="n"/>
      <c r="F22" s="11" t="n"/>
      <c r="G22" s="11" t="n"/>
      <c r="H22" s="5" t="n"/>
      <c r="I22" s="5" t="n"/>
      <c r="J22" s="5" t="n"/>
      <c r="K22" s="4">
        <f>IF(B22="","",IF(AND(F22&lt;&gt;"",OR(G22="",G22&gt;=TODAY())),"Active",IF(AND(F22&lt;&gt;"",G22&lt;TODAY()),"Expired",IF(F22="","Missing","Unknown"))))</f>
        <v/>
      </c>
      <c r="L22" s="5" t="n"/>
      <c r="M22" s="5" t="n"/>
      <c r="N22" s="5" t="n"/>
    </row>
    <row r="23">
      <c r="A23" s="4">
        <f>IF(ROW()-4&lt;=COUNTA(Personnel_Contract_Compliance!$A:$A)-4,INDEX(Personnel_Contract_Compliance!$A:$A,ROW()-3),"")</f>
        <v/>
      </c>
      <c r="B23" s="4">
        <f>IF(A23&lt;&gt;"",VLOOKUP(A23,Personnel_Contract_Compliance!$A:$B,2,FALSE),"")</f>
        <v/>
      </c>
      <c r="C23" s="4">
        <f>IF(A23&lt;&gt;"",VLOOKUP(A23,Personnel_Contract_Compliance!$A:$C,3,FALSE),"")</f>
        <v/>
      </c>
      <c r="D23" s="5" t="n"/>
      <c r="E23" s="5" t="n"/>
      <c r="F23" s="11" t="n"/>
      <c r="G23" s="11" t="n"/>
      <c r="H23" s="5" t="n"/>
      <c r="I23" s="5" t="n"/>
      <c r="J23" s="5" t="n"/>
      <c r="K23" s="4">
        <f>IF(B23="","",IF(AND(F23&lt;&gt;"",OR(G23="",G23&gt;=TODAY())),"Active",IF(AND(F23&lt;&gt;"",G23&lt;TODAY()),"Expired",IF(F23="","Missing","Unknown"))))</f>
        <v/>
      </c>
      <c r="L23" s="5" t="n"/>
      <c r="M23" s="5" t="n"/>
      <c r="N23" s="5" t="n"/>
    </row>
    <row r="24">
      <c r="A24" s="4">
        <f>IF(ROW()-4&lt;=COUNTA(Personnel_Contract_Compliance!$A:$A)-4,INDEX(Personnel_Contract_Compliance!$A:$A,ROW()-3),"")</f>
        <v/>
      </c>
      <c r="B24" s="4">
        <f>IF(A24&lt;&gt;"",VLOOKUP(A24,Personnel_Contract_Compliance!$A:$B,2,FALSE),"")</f>
        <v/>
      </c>
      <c r="C24" s="4">
        <f>IF(A24&lt;&gt;"",VLOOKUP(A24,Personnel_Contract_Compliance!$A:$C,3,FALSE),"")</f>
        <v/>
      </c>
      <c r="D24" s="5" t="n"/>
      <c r="E24" s="5" t="n"/>
      <c r="F24" s="11" t="n"/>
      <c r="G24" s="11" t="n"/>
      <c r="H24" s="5" t="n"/>
      <c r="I24" s="5" t="n"/>
      <c r="J24" s="5" t="n"/>
      <c r="K24" s="4">
        <f>IF(B24="","",IF(AND(F24&lt;&gt;"",OR(G24="",G24&gt;=TODAY())),"Active",IF(AND(F24&lt;&gt;"",G24&lt;TODAY()),"Expired",IF(F24="","Missing","Unknown"))))</f>
        <v/>
      </c>
      <c r="L24" s="5" t="n"/>
      <c r="M24" s="5" t="n"/>
      <c r="N24" s="5" t="n"/>
    </row>
    <row r="25">
      <c r="A25" s="4">
        <f>IF(ROW()-4&lt;=COUNTA(Personnel_Contract_Compliance!$A:$A)-4,INDEX(Personnel_Contract_Compliance!$A:$A,ROW()-3),"")</f>
        <v/>
      </c>
      <c r="B25" s="4">
        <f>IF(A25&lt;&gt;"",VLOOKUP(A25,Personnel_Contract_Compliance!$A:$B,2,FALSE),"")</f>
        <v/>
      </c>
      <c r="C25" s="4">
        <f>IF(A25&lt;&gt;"",VLOOKUP(A25,Personnel_Contract_Compliance!$A:$C,3,FALSE),"")</f>
        <v/>
      </c>
      <c r="D25" s="5" t="n"/>
      <c r="E25" s="5" t="n"/>
      <c r="F25" s="11" t="n"/>
      <c r="G25" s="11" t="n"/>
      <c r="H25" s="5" t="n"/>
      <c r="I25" s="5" t="n"/>
      <c r="J25" s="5" t="n"/>
      <c r="K25" s="4">
        <f>IF(B25="","",IF(AND(F25&lt;&gt;"",OR(G25="",G25&gt;=TODAY())),"Active",IF(AND(F25&lt;&gt;"",G25&lt;TODAY()),"Expired",IF(F25="","Missing","Unknown"))))</f>
        <v/>
      </c>
      <c r="L25" s="5" t="n"/>
      <c r="M25" s="5" t="n"/>
      <c r="N25" s="5" t="n"/>
    </row>
    <row r="26">
      <c r="A26" s="4">
        <f>IF(ROW()-4&lt;=COUNTA(Personnel_Contract_Compliance!$A:$A)-4,INDEX(Personnel_Contract_Compliance!$A:$A,ROW()-3),"")</f>
        <v/>
      </c>
      <c r="B26" s="4">
        <f>IF(A26&lt;&gt;"",VLOOKUP(A26,Personnel_Contract_Compliance!$A:$B,2,FALSE),"")</f>
        <v/>
      </c>
      <c r="C26" s="4">
        <f>IF(A26&lt;&gt;"",VLOOKUP(A26,Personnel_Contract_Compliance!$A:$C,3,FALSE),"")</f>
        <v/>
      </c>
      <c r="D26" s="5" t="n"/>
      <c r="E26" s="5" t="n"/>
      <c r="F26" s="11" t="n"/>
      <c r="G26" s="11" t="n"/>
      <c r="H26" s="5" t="n"/>
      <c r="I26" s="5" t="n"/>
      <c r="J26" s="5" t="n"/>
      <c r="K26" s="4">
        <f>IF(B26="","",IF(AND(F26&lt;&gt;"",OR(G26="",G26&gt;=TODAY())),"Active",IF(AND(F26&lt;&gt;"",G26&lt;TODAY()),"Expired",IF(F26="","Missing","Unknown"))))</f>
        <v/>
      </c>
      <c r="L26" s="5" t="n"/>
      <c r="M26" s="5" t="n"/>
      <c r="N26" s="5" t="n"/>
    </row>
    <row r="27">
      <c r="A27" s="4">
        <f>IF(ROW()-4&lt;=COUNTA(Personnel_Contract_Compliance!$A:$A)-4,INDEX(Personnel_Contract_Compliance!$A:$A,ROW()-3),"")</f>
        <v/>
      </c>
      <c r="B27" s="4">
        <f>IF(A27&lt;&gt;"",VLOOKUP(A27,Personnel_Contract_Compliance!$A:$B,2,FALSE),"")</f>
        <v/>
      </c>
      <c r="C27" s="4">
        <f>IF(A27&lt;&gt;"",VLOOKUP(A27,Personnel_Contract_Compliance!$A:$C,3,FALSE),"")</f>
        <v/>
      </c>
      <c r="D27" s="5" t="n"/>
      <c r="E27" s="5" t="n"/>
      <c r="F27" s="11" t="n"/>
      <c r="G27" s="11" t="n"/>
      <c r="H27" s="5" t="n"/>
      <c r="I27" s="5" t="n"/>
      <c r="J27" s="5" t="n"/>
      <c r="K27" s="4">
        <f>IF(B27="","",IF(AND(F27&lt;&gt;"",OR(G27="",G27&gt;=TODAY())),"Active",IF(AND(F27&lt;&gt;"",G27&lt;TODAY()),"Expired",IF(F27="","Missing","Unknown"))))</f>
        <v/>
      </c>
      <c r="L27" s="5" t="n"/>
      <c r="M27" s="5" t="n"/>
      <c r="N27" s="5" t="n"/>
    </row>
    <row r="28">
      <c r="A28" s="4">
        <f>IF(ROW()-4&lt;=COUNTA(Personnel_Contract_Compliance!$A:$A)-4,INDEX(Personnel_Contract_Compliance!$A:$A,ROW()-3),"")</f>
        <v/>
      </c>
      <c r="B28" s="4">
        <f>IF(A28&lt;&gt;"",VLOOKUP(A28,Personnel_Contract_Compliance!$A:$B,2,FALSE),"")</f>
        <v/>
      </c>
      <c r="C28" s="4">
        <f>IF(A28&lt;&gt;"",VLOOKUP(A28,Personnel_Contract_Compliance!$A:$C,3,FALSE),"")</f>
        <v/>
      </c>
      <c r="D28" s="5" t="n"/>
      <c r="E28" s="5" t="n"/>
      <c r="F28" s="11" t="n"/>
      <c r="G28" s="11" t="n"/>
      <c r="H28" s="5" t="n"/>
      <c r="I28" s="5" t="n"/>
      <c r="J28" s="5" t="n"/>
      <c r="K28" s="4">
        <f>IF(B28="","",IF(AND(F28&lt;&gt;"",OR(G28="",G28&gt;=TODAY())),"Active",IF(AND(F28&lt;&gt;"",G28&lt;TODAY()),"Expired",IF(F28="","Missing","Unknown"))))</f>
        <v/>
      </c>
      <c r="L28" s="5" t="n"/>
      <c r="M28" s="5" t="n"/>
      <c r="N28" s="5" t="n"/>
    </row>
    <row r="29">
      <c r="A29" s="4">
        <f>IF(ROW()-4&lt;=COUNTA(Personnel_Contract_Compliance!$A:$A)-4,INDEX(Personnel_Contract_Compliance!$A:$A,ROW()-3),"")</f>
        <v/>
      </c>
      <c r="B29" s="4">
        <f>IF(A29&lt;&gt;"",VLOOKUP(A29,Personnel_Contract_Compliance!$A:$B,2,FALSE),"")</f>
        <v/>
      </c>
      <c r="C29" s="4">
        <f>IF(A29&lt;&gt;"",VLOOKUP(A29,Personnel_Contract_Compliance!$A:$C,3,FALSE),"")</f>
        <v/>
      </c>
      <c r="D29" s="5" t="n"/>
      <c r="E29" s="5" t="n"/>
      <c r="F29" s="11" t="n"/>
      <c r="G29" s="11" t="n"/>
      <c r="H29" s="5" t="n"/>
      <c r="I29" s="5" t="n"/>
      <c r="J29" s="5" t="n"/>
      <c r="K29" s="4">
        <f>IF(B29="","",IF(AND(F29&lt;&gt;"",OR(G29="",G29&gt;=TODAY())),"Active",IF(AND(F29&lt;&gt;"",G29&lt;TODAY()),"Expired",IF(F29="","Missing","Unknown"))))</f>
        <v/>
      </c>
      <c r="L29" s="5" t="n"/>
      <c r="M29" s="5" t="n"/>
      <c r="N29" s="5" t="n"/>
    </row>
    <row r="30">
      <c r="A30" s="4">
        <f>IF(ROW()-4&lt;=COUNTA(Personnel_Contract_Compliance!$A:$A)-4,INDEX(Personnel_Contract_Compliance!$A:$A,ROW()-3),"")</f>
        <v/>
      </c>
      <c r="B30" s="4">
        <f>IF(A30&lt;&gt;"",VLOOKUP(A30,Personnel_Contract_Compliance!$A:$B,2,FALSE),"")</f>
        <v/>
      </c>
      <c r="C30" s="4">
        <f>IF(A30&lt;&gt;"",VLOOKUP(A30,Personnel_Contract_Compliance!$A:$C,3,FALSE),"")</f>
        <v/>
      </c>
      <c r="D30" s="5" t="n"/>
      <c r="E30" s="5" t="n"/>
      <c r="F30" s="11" t="n"/>
      <c r="G30" s="11" t="n"/>
      <c r="H30" s="5" t="n"/>
      <c r="I30" s="5" t="n"/>
      <c r="J30" s="5" t="n"/>
      <c r="K30" s="4">
        <f>IF(B30="","",IF(AND(F30&lt;&gt;"",OR(G30="",G30&gt;=TODAY())),"Active",IF(AND(F30&lt;&gt;"",G30&lt;TODAY()),"Expired",IF(F30="","Missing","Unknown"))))</f>
        <v/>
      </c>
      <c r="L30" s="5" t="n"/>
      <c r="M30" s="5" t="n"/>
      <c r="N30" s="5" t="n"/>
    </row>
    <row r="31">
      <c r="A31" s="4">
        <f>IF(ROW()-4&lt;=COUNTA(Personnel_Contract_Compliance!$A:$A)-4,INDEX(Personnel_Contract_Compliance!$A:$A,ROW()-3),"")</f>
        <v/>
      </c>
      <c r="B31" s="4">
        <f>IF(A31&lt;&gt;"",VLOOKUP(A31,Personnel_Contract_Compliance!$A:$B,2,FALSE),"")</f>
        <v/>
      </c>
      <c r="C31" s="4">
        <f>IF(A31&lt;&gt;"",VLOOKUP(A31,Personnel_Contract_Compliance!$A:$C,3,FALSE),"")</f>
        <v/>
      </c>
      <c r="D31" s="5" t="n"/>
      <c r="E31" s="5" t="n"/>
      <c r="F31" s="11" t="n"/>
      <c r="G31" s="11" t="n"/>
      <c r="H31" s="5" t="n"/>
      <c r="I31" s="5" t="n"/>
      <c r="J31" s="5" t="n"/>
      <c r="K31" s="4">
        <f>IF(B31="","",IF(AND(F31&lt;&gt;"",OR(G31="",G31&gt;=TODAY())),"Active",IF(AND(F31&lt;&gt;"",G31&lt;TODAY()),"Expired",IF(F31="","Missing","Unknown"))))</f>
        <v/>
      </c>
      <c r="L31" s="5" t="n"/>
      <c r="M31" s="5" t="n"/>
      <c r="N31" s="5" t="n"/>
    </row>
    <row r="32">
      <c r="A32" s="4">
        <f>IF(ROW()-4&lt;=COUNTA(Personnel_Contract_Compliance!$A:$A)-4,INDEX(Personnel_Contract_Compliance!$A:$A,ROW()-3),"")</f>
        <v/>
      </c>
      <c r="B32" s="4">
        <f>IF(A32&lt;&gt;"",VLOOKUP(A32,Personnel_Contract_Compliance!$A:$B,2,FALSE),"")</f>
        <v/>
      </c>
      <c r="C32" s="4">
        <f>IF(A32&lt;&gt;"",VLOOKUP(A32,Personnel_Contract_Compliance!$A:$C,3,FALSE),"")</f>
        <v/>
      </c>
      <c r="D32" s="5" t="n"/>
      <c r="E32" s="5" t="n"/>
      <c r="F32" s="11" t="n"/>
      <c r="G32" s="11" t="n"/>
      <c r="H32" s="5" t="n"/>
      <c r="I32" s="5" t="n"/>
      <c r="J32" s="5" t="n"/>
      <c r="K32" s="4">
        <f>IF(B32="","",IF(AND(F32&lt;&gt;"",OR(G32="",G32&gt;=TODAY())),"Active",IF(AND(F32&lt;&gt;"",G32&lt;TODAY()),"Expired",IF(F32="","Missing","Unknown"))))</f>
        <v/>
      </c>
      <c r="L32" s="5" t="n"/>
      <c r="M32" s="5" t="n"/>
      <c r="N32" s="5" t="n"/>
    </row>
    <row r="33">
      <c r="A33" s="4">
        <f>IF(ROW()-4&lt;=COUNTA(Personnel_Contract_Compliance!$A:$A)-4,INDEX(Personnel_Contract_Compliance!$A:$A,ROW()-3),"")</f>
        <v/>
      </c>
      <c r="B33" s="4">
        <f>IF(A33&lt;&gt;"",VLOOKUP(A33,Personnel_Contract_Compliance!$A:$B,2,FALSE),"")</f>
        <v/>
      </c>
      <c r="C33" s="4">
        <f>IF(A33&lt;&gt;"",VLOOKUP(A33,Personnel_Contract_Compliance!$A:$C,3,FALSE),"")</f>
        <v/>
      </c>
      <c r="D33" s="5" t="n"/>
      <c r="E33" s="5" t="n"/>
      <c r="F33" s="11" t="n"/>
      <c r="G33" s="11" t="n"/>
      <c r="H33" s="5" t="n"/>
      <c r="I33" s="5" t="n"/>
      <c r="J33" s="5" t="n"/>
      <c r="K33" s="4">
        <f>IF(B33="","",IF(AND(F33&lt;&gt;"",OR(G33="",G33&gt;=TODAY())),"Active",IF(AND(F33&lt;&gt;"",G33&lt;TODAY()),"Expired",IF(F33="","Missing","Unknown"))))</f>
        <v/>
      </c>
      <c r="L33" s="5" t="n"/>
      <c r="M33" s="5" t="n"/>
      <c r="N33" s="5" t="n"/>
    </row>
    <row r="34">
      <c r="A34" s="4">
        <f>IF(ROW()-4&lt;=COUNTA(Personnel_Contract_Compliance!$A:$A)-4,INDEX(Personnel_Contract_Compliance!$A:$A,ROW()-3),"")</f>
        <v/>
      </c>
      <c r="B34" s="4">
        <f>IF(A34&lt;&gt;"",VLOOKUP(A34,Personnel_Contract_Compliance!$A:$B,2,FALSE),"")</f>
        <v/>
      </c>
      <c r="C34" s="4">
        <f>IF(A34&lt;&gt;"",VLOOKUP(A34,Personnel_Contract_Compliance!$A:$C,3,FALSE),"")</f>
        <v/>
      </c>
      <c r="D34" s="5" t="n"/>
      <c r="E34" s="5" t="n"/>
      <c r="F34" s="11" t="n"/>
      <c r="G34" s="11" t="n"/>
      <c r="H34" s="5" t="n"/>
      <c r="I34" s="5" t="n"/>
      <c r="J34" s="5" t="n"/>
      <c r="K34" s="4">
        <f>IF(B34="","",IF(AND(F34&lt;&gt;"",OR(G34="",G34&gt;=TODAY())),"Active",IF(AND(F34&lt;&gt;"",G34&lt;TODAY()),"Expired",IF(F34="","Missing","Unknown"))))</f>
        <v/>
      </c>
      <c r="L34" s="5" t="n"/>
      <c r="M34" s="5" t="n"/>
      <c r="N34" s="5" t="n"/>
    </row>
    <row r="35">
      <c r="A35" s="4">
        <f>IF(ROW()-4&lt;=COUNTA(Personnel_Contract_Compliance!$A:$A)-4,INDEX(Personnel_Contract_Compliance!$A:$A,ROW()-3),"")</f>
        <v/>
      </c>
      <c r="B35" s="4">
        <f>IF(A35&lt;&gt;"",VLOOKUP(A35,Personnel_Contract_Compliance!$A:$B,2,FALSE),"")</f>
        <v/>
      </c>
      <c r="C35" s="4">
        <f>IF(A35&lt;&gt;"",VLOOKUP(A35,Personnel_Contract_Compliance!$A:$C,3,FALSE),"")</f>
        <v/>
      </c>
      <c r="D35" s="5" t="n"/>
      <c r="E35" s="5" t="n"/>
      <c r="F35" s="11" t="n"/>
      <c r="G35" s="11" t="n"/>
      <c r="H35" s="5" t="n"/>
      <c r="I35" s="5" t="n"/>
      <c r="J35" s="5" t="n"/>
      <c r="K35" s="4">
        <f>IF(B35="","",IF(AND(F35&lt;&gt;"",OR(G35="",G35&gt;=TODAY())),"Active",IF(AND(F35&lt;&gt;"",G35&lt;TODAY()),"Expired",IF(F35="","Missing","Unknown"))))</f>
        <v/>
      </c>
      <c r="L35" s="5" t="n"/>
      <c r="M35" s="5" t="n"/>
      <c r="N35" s="5" t="n"/>
    </row>
    <row r="36">
      <c r="A36" s="4">
        <f>IF(ROW()-4&lt;=COUNTA(Personnel_Contract_Compliance!$A:$A)-4,INDEX(Personnel_Contract_Compliance!$A:$A,ROW()-3),"")</f>
        <v/>
      </c>
      <c r="B36" s="4">
        <f>IF(A36&lt;&gt;"",VLOOKUP(A36,Personnel_Contract_Compliance!$A:$B,2,FALSE),"")</f>
        <v/>
      </c>
      <c r="C36" s="4">
        <f>IF(A36&lt;&gt;"",VLOOKUP(A36,Personnel_Contract_Compliance!$A:$C,3,FALSE),"")</f>
        <v/>
      </c>
      <c r="D36" s="5" t="n"/>
      <c r="E36" s="5" t="n"/>
      <c r="F36" s="11" t="n"/>
      <c r="G36" s="11" t="n"/>
      <c r="H36" s="5" t="n"/>
      <c r="I36" s="5" t="n"/>
      <c r="J36" s="5" t="n"/>
      <c r="K36" s="4">
        <f>IF(B36="","",IF(AND(F36&lt;&gt;"",OR(G36="",G36&gt;=TODAY())),"Active",IF(AND(F36&lt;&gt;"",G36&lt;TODAY()),"Expired",IF(F36="","Missing","Unknown"))))</f>
        <v/>
      </c>
      <c r="L36" s="5" t="n"/>
      <c r="M36" s="5" t="n"/>
      <c r="N36" s="5" t="n"/>
    </row>
    <row r="37">
      <c r="A37" s="4">
        <f>IF(ROW()-4&lt;=COUNTA(Personnel_Contract_Compliance!$A:$A)-4,INDEX(Personnel_Contract_Compliance!$A:$A,ROW()-3),"")</f>
        <v/>
      </c>
      <c r="B37" s="4">
        <f>IF(A37&lt;&gt;"",VLOOKUP(A37,Personnel_Contract_Compliance!$A:$B,2,FALSE),"")</f>
        <v/>
      </c>
      <c r="C37" s="4">
        <f>IF(A37&lt;&gt;"",VLOOKUP(A37,Personnel_Contract_Compliance!$A:$C,3,FALSE),"")</f>
        <v/>
      </c>
      <c r="D37" s="5" t="n"/>
      <c r="E37" s="5" t="n"/>
      <c r="F37" s="11" t="n"/>
      <c r="G37" s="11" t="n"/>
      <c r="H37" s="5" t="n"/>
      <c r="I37" s="5" t="n"/>
      <c r="J37" s="5" t="n"/>
      <c r="K37" s="4">
        <f>IF(B37="","",IF(AND(F37&lt;&gt;"",OR(G37="",G37&gt;=TODAY())),"Active",IF(AND(F37&lt;&gt;"",G37&lt;TODAY()),"Expired",IF(F37="","Missing","Unknown"))))</f>
        <v/>
      </c>
      <c r="L37" s="5" t="n"/>
      <c r="M37" s="5" t="n"/>
      <c r="N37" s="5" t="n"/>
    </row>
    <row r="38">
      <c r="A38" s="4">
        <f>IF(ROW()-4&lt;=COUNTA(Personnel_Contract_Compliance!$A:$A)-4,INDEX(Personnel_Contract_Compliance!$A:$A,ROW()-3),"")</f>
        <v/>
      </c>
      <c r="B38" s="4">
        <f>IF(A38&lt;&gt;"",VLOOKUP(A38,Personnel_Contract_Compliance!$A:$B,2,FALSE),"")</f>
        <v/>
      </c>
      <c r="C38" s="4">
        <f>IF(A38&lt;&gt;"",VLOOKUP(A38,Personnel_Contract_Compliance!$A:$C,3,FALSE),"")</f>
        <v/>
      </c>
      <c r="D38" s="5" t="n"/>
      <c r="E38" s="5" t="n"/>
      <c r="F38" s="11" t="n"/>
      <c r="G38" s="11" t="n"/>
      <c r="H38" s="5" t="n"/>
      <c r="I38" s="5" t="n"/>
      <c r="J38" s="5" t="n"/>
      <c r="K38" s="4">
        <f>IF(B38="","",IF(AND(F38&lt;&gt;"",OR(G38="",G38&gt;=TODAY())),"Active",IF(AND(F38&lt;&gt;"",G38&lt;TODAY()),"Expired",IF(F38="","Missing","Unknown"))))</f>
        <v/>
      </c>
      <c r="L38" s="5" t="n"/>
      <c r="M38" s="5" t="n"/>
      <c r="N38" s="5" t="n"/>
    </row>
    <row r="39">
      <c r="A39" s="4">
        <f>IF(ROW()-4&lt;=COUNTA(Personnel_Contract_Compliance!$A:$A)-4,INDEX(Personnel_Contract_Compliance!$A:$A,ROW()-3),"")</f>
        <v/>
      </c>
      <c r="B39" s="4">
        <f>IF(A39&lt;&gt;"",VLOOKUP(A39,Personnel_Contract_Compliance!$A:$B,2,FALSE),"")</f>
        <v/>
      </c>
      <c r="C39" s="4">
        <f>IF(A39&lt;&gt;"",VLOOKUP(A39,Personnel_Contract_Compliance!$A:$C,3,FALSE),"")</f>
        <v/>
      </c>
      <c r="D39" s="5" t="n"/>
      <c r="E39" s="5" t="n"/>
      <c r="F39" s="11" t="n"/>
      <c r="G39" s="11" t="n"/>
      <c r="H39" s="5" t="n"/>
      <c r="I39" s="5" t="n"/>
      <c r="J39" s="5" t="n"/>
      <c r="K39" s="4">
        <f>IF(B39="","",IF(AND(F39&lt;&gt;"",OR(G39="",G39&gt;=TODAY())),"Active",IF(AND(F39&lt;&gt;"",G39&lt;TODAY()),"Expired",IF(F39="","Missing","Unknown"))))</f>
        <v/>
      </c>
      <c r="L39" s="5" t="n"/>
      <c r="M39" s="5" t="n"/>
      <c r="N39" s="5" t="n"/>
    </row>
    <row r="40">
      <c r="A40" s="4">
        <f>IF(ROW()-4&lt;=COUNTA(Personnel_Contract_Compliance!$A:$A)-4,INDEX(Personnel_Contract_Compliance!$A:$A,ROW()-3),"")</f>
        <v/>
      </c>
      <c r="B40" s="4">
        <f>IF(A40&lt;&gt;"",VLOOKUP(A40,Personnel_Contract_Compliance!$A:$B,2,FALSE),"")</f>
        <v/>
      </c>
      <c r="C40" s="4">
        <f>IF(A40&lt;&gt;"",VLOOKUP(A40,Personnel_Contract_Compliance!$A:$C,3,FALSE),"")</f>
        <v/>
      </c>
      <c r="D40" s="5" t="n"/>
      <c r="E40" s="5" t="n"/>
      <c r="F40" s="11" t="n"/>
      <c r="G40" s="11" t="n"/>
      <c r="H40" s="5" t="n"/>
      <c r="I40" s="5" t="n"/>
      <c r="J40" s="5" t="n"/>
      <c r="K40" s="4">
        <f>IF(B40="","",IF(AND(F40&lt;&gt;"",OR(G40="",G40&gt;=TODAY())),"Active",IF(AND(F40&lt;&gt;"",G40&lt;TODAY()),"Expired",IF(F40="","Missing","Unknown"))))</f>
        <v/>
      </c>
      <c r="L40" s="5" t="n"/>
      <c r="M40" s="5" t="n"/>
      <c r="N40" s="5" t="n"/>
    </row>
    <row r="41">
      <c r="A41" s="4">
        <f>IF(ROW()-4&lt;=COUNTA(Personnel_Contract_Compliance!$A:$A)-4,INDEX(Personnel_Contract_Compliance!$A:$A,ROW()-3),"")</f>
        <v/>
      </c>
      <c r="B41" s="4">
        <f>IF(A41&lt;&gt;"",VLOOKUP(A41,Personnel_Contract_Compliance!$A:$B,2,FALSE),"")</f>
        <v/>
      </c>
      <c r="C41" s="4">
        <f>IF(A41&lt;&gt;"",VLOOKUP(A41,Personnel_Contract_Compliance!$A:$C,3,FALSE),"")</f>
        <v/>
      </c>
      <c r="D41" s="5" t="n"/>
      <c r="E41" s="5" t="n"/>
      <c r="F41" s="11" t="n"/>
      <c r="G41" s="11" t="n"/>
      <c r="H41" s="5" t="n"/>
      <c r="I41" s="5" t="n"/>
      <c r="J41" s="5" t="n"/>
      <c r="K41" s="4">
        <f>IF(B41="","",IF(AND(F41&lt;&gt;"",OR(G41="",G41&gt;=TODAY())),"Active",IF(AND(F41&lt;&gt;"",G41&lt;TODAY()),"Expired",IF(F41="","Missing","Unknown"))))</f>
        <v/>
      </c>
      <c r="L41" s="5" t="n"/>
      <c r="M41" s="5" t="n"/>
      <c r="N41" s="5" t="n"/>
    </row>
    <row r="42">
      <c r="A42" s="4">
        <f>IF(ROW()-4&lt;=COUNTA(Personnel_Contract_Compliance!$A:$A)-4,INDEX(Personnel_Contract_Compliance!$A:$A,ROW()-3),"")</f>
        <v/>
      </c>
      <c r="B42" s="4">
        <f>IF(A42&lt;&gt;"",VLOOKUP(A42,Personnel_Contract_Compliance!$A:$B,2,FALSE),"")</f>
        <v/>
      </c>
      <c r="C42" s="4">
        <f>IF(A42&lt;&gt;"",VLOOKUP(A42,Personnel_Contract_Compliance!$A:$C,3,FALSE),"")</f>
        <v/>
      </c>
      <c r="D42" s="5" t="n"/>
      <c r="E42" s="5" t="n"/>
      <c r="F42" s="11" t="n"/>
      <c r="G42" s="11" t="n"/>
      <c r="H42" s="5" t="n"/>
      <c r="I42" s="5" t="n"/>
      <c r="J42" s="5" t="n"/>
      <c r="K42" s="4">
        <f>IF(B42="","",IF(AND(F42&lt;&gt;"",OR(G42="",G42&gt;=TODAY())),"Active",IF(AND(F42&lt;&gt;"",G42&lt;TODAY()),"Expired",IF(F42="","Missing","Unknown"))))</f>
        <v/>
      </c>
      <c r="L42" s="5" t="n"/>
      <c r="M42" s="5" t="n"/>
      <c r="N42" s="5" t="n"/>
    </row>
    <row r="43">
      <c r="A43" s="4">
        <f>IF(ROW()-4&lt;=COUNTA(Personnel_Contract_Compliance!$A:$A)-4,INDEX(Personnel_Contract_Compliance!$A:$A,ROW()-3),"")</f>
        <v/>
      </c>
      <c r="B43" s="4">
        <f>IF(A43&lt;&gt;"",VLOOKUP(A43,Personnel_Contract_Compliance!$A:$B,2,FALSE),"")</f>
        <v/>
      </c>
      <c r="C43" s="4">
        <f>IF(A43&lt;&gt;"",VLOOKUP(A43,Personnel_Contract_Compliance!$A:$C,3,FALSE),"")</f>
        <v/>
      </c>
      <c r="D43" s="5" t="n"/>
      <c r="E43" s="5" t="n"/>
      <c r="F43" s="11" t="n"/>
      <c r="G43" s="11" t="n"/>
      <c r="H43" s="5" t="n"/>
      <c r="I43" s="5" t="n"/>
      <c r="J43" s="5" t="n"/>
      <c r="K43" s="4">
        <f>IF(B43="","",IF(AND(F43&lt;&gt;"",OR(G43="",G43&gt;=TODAY())),"Active",IF(AND(F43&lt;&gt;"",G43&lt;TODAY()),"Expired",IF(F43="","Missing","Unknown"))))</f>
        <v/>
      </c>
      <c r="L43" s="5" t="n"/>
      <c r="M43" s="5" t="n"/>
      <c r="N43" s="5" t="n"/>
    </row>
    <row r="44">
      <c r="A44" s="4">
        <f>IF(ROW()-4&lt;=COUNTA(Personnel_Contract_Compliance!$A:$A)-4,INDEX(Personnel_Contract_Compliance!$A:$A,ROW()-3),"")</f>
        <v/>
      </c>
      <c r="B44" s="4">
        <f>IF(A44&lt;&gt;"",VLOOKUP(A44,Personnel_Contract_Compliance!$A:$B,2,FALSE),"")</f>
        <v/>
      </c>
      <c r="C44" s="4">
        <f>IF(A44&lt;&gt;"",VLOOKUP(A44,Personnel_Contract_Compliance!$A:$C,3,FALSE),"")</f>
        <v/>
      </c>
      <c r="D44" s="5" t="n"/>
      <c r="E44" s="5" t="n"/>
      <c r="F44" s="11" t="n"/>
      <c r="G44" s="11" t="n"/>
      <c r="H44" s="5" t="n"/>
      <c r="I44" s="5" t="n"/>
      <c r="J44" s="5" t="n"/>
      <c r="K44" s="4">
        <f>IF(B44="","",IF(AND(F44&lt;&gt;"",OR(G44="",G44&gt;=TODAY())),"Active",IF(AND(F44&lt;&gt;"",G44&lt;TODAY()),"Expired",IF(F44="","Missing","Unknown"))))</f>
        <v/>
      </c>
      <c r="L44" s="5" t="n"/>
      <c r="M44" s="5" t="n"/>
      <c r="N44" s="5" t="n"/>
    </row>
    <row r="45">
      <c r="A45" s="4">
        <f>IF(ROW()-4&lt;=COUNTA(Personnel_Contract_Compliance!$A:$A)-4,INDEX(Personnel_Contract_Compliance!$A:$A,ROW()-3),"")</f>
        <v/>
      </c>
      <c r="B45" s="4">
        <f>IF(A45&lt;&gt;"",VLOOKUP(A45,Personnel_Contract_Compliance!$A:$B,2,FALSE),"")</f>
        <v/>
      </c>
      <c r="C45" s="4">
        <f>IF(A45&lt;&gt;"",VLOOKUP(A45,Personnel_Contract_Compliance!$A:$C,3,FALSE),"")</f>
        <v/>
      </c>
      <c r="D45" s="5" t="n"/>
      <c r="E45" s="5" t="n"/>
      <c r="F45" s="11" t="n"/>
      <c r="G45" s="11" t="n"/>
      <c r="H45" s="5" t="n"/>
      <c r="I45" s="5" t="n"/>
      <c r="J45" s="5" t="n"/>
      <c r="K45" s="4">
        <f>IF(B45="","",IF(AND(F45&lt;&gt;"",OR(G45="",G45&gt;=TODAY())),"Active",IF(AND(F45&lt;&gt;"",G45&lt;TODAY()),"Expired",IF(F45="","Missing","Unknown"))))</f>
        <v/>
      </c>
      <c r="L45" s="5" t="n"/>
      <c r="M45" s="5" t="n"/>
      <c r="N45" s="5" t="n"/>
    </row>
    <row r="46">
      <c r="A46" s="4">
        <f>IF(ROW()-4&lt;=COUNTA(Personnel_Contract_Compliance!$A:$A)-4,INDEX(Personnel_Contract_Compliance!$A:$A,ROW()-3),"")</f>
        <v/>
      </c>
      <c r="B46" s="4">
        <f>IF(A46&lt;&gt;"",VLOOKUP(A46,Personnel_Contract_Compliance!$A:$B,2,FALSE),"")</f>
        <v/>
      </c>
      <c r="C46" s="4">
        <f>IF(A46&lt;&gt;"",VLOOKUP(A46,Personnel_Contract_Compliance!$A:$C,3,FALSE),"")</f>
        <v/>
      </c>
      <c r="D46" s="5" t="n"/>
      <c r="E46" s="5" t="n"/>
      <c r="F46" s="11" t="n"/>
      <c r="G46" s="11" t="n"/>
      <c r="H46" s="5" t="n"/>
      <c r="I46" s="5" t="n"/>
      <c r="J46" s="5" t="n"/>
      <c r="K46" s="4">
        <f>IF(B46="","",IF(AND(F46&lt;&gt;"",OR(G46="",G46&gt;=TODAY())),"Active",IF(AND(F46&lt;&gt;"",G46&lt;TODAY()),"Expired",IF(F46="","Missing","Unknown"))))</f>
        <v/>
      </c>
      <c r="L46" s="5" t="n"/>
      <c r="M46" s="5" t="n"/>
      <c r="N46" s="5" t="n"/>
    </row>
    <row r="47">
      <c r="A47" s="4">
        <f>IF(ROW()-4&lt;=COUNTA(Personnel_Contract_Compliance!$A:$A)-4,INDEX(Personnel_Contract_Compliance!$A:$A,ROW()-3),"")</f>
        <v/>
      </c>
      <c r="B47" s="4">
        <f>IF(A47&lt;&gt;"",VLOOKUP(A47,Personnel_Contract_Compliance!$A:$B,2,FALSE),"")</f>
        <v/>
      </c>
      <c r="C47" s="4">
        <f>IF(A47&lt;&gt;"",VLOOKUP(A47,Personnel_Contract_Compliance!$A:$C,3,FALSE),"")</f>
        <v/>
      </c>
      <c r="D47" s="5" t="n"/>
      <c r="E47" s="5" t="n"/>
      <c r="F47" s="11" t="n"/>
      <c r="G47" s="11" t="n"/>
      <c r="H47" s="5" t="n"/>
      <c r="I47" s="5" t="n"/>
      <c r="J47" s="5" t="n"/>
      <c r="K47" s="4">
        <f>IF(B47="","",IF(AND(F47&lt;&gt;"",OR(G47="",G47&gt;=TODAY())),"Active",IF(AND(F47&lt;&gt;"",G47&lt;TODAY()),"Expired",IF(F47="","Missing","Unknown"))))</f>
        <v/>
      </c>
      <c r="L47" s="5" t="n"/>
      <c r="M47" s="5" t="n"/>
      <c r="N47" s="5" t="n"/>
    </row>
    <row r="48">
      <c r="A48" s="4">
        <f>IF(ROW()-4&lt;=COUNTA(Personnel_Contract_Compliance!$A:$A)-4,INDEX(Personnel_Contract_Compliance!$A:$A,ROW()-3),"")</f>
        <v/>
      </c>
      <c r="B48" s="4">
        <f>IF(A48&lt;&gt;"",VLOOKUP(A48,Personnel_Contract_Compliance!$A:$B,2,FALSE),"")</f>
        <v/>
      </c>
      <c r="C48" s="4">
        <f>IF(A48&lt;&gt;"",VLOOKUP(A48,Personnel_Contract_Compliance!$A:$C,3,FALSE),"")</f>
        <v/>
      </c>
      <c r="D48" s="5" t="n"/>
      <c r="E48" s="5" t="n"/>
      <c r="F48" s="11" t="n"/>
      <c r="G48" s="11" t="n"/>
      <c r="H48" s="5" t="n"/>
      <c r="I48" s="5" t="n"/>
      <c r="J48" s="5" t="n"/>
      <c r="K48" s="4">
        <f>IF(B48="","",IF(AND(F48&lt;&gt;"",OR(G48="",G48&gt;=TODAY())),"Active",IF(AND(F48&lt;&gt;"",G48&lt;TODAY()),"Expired",IF(F48="","Missing","Unknown"))))</f>
        <v/>
      </c>
      <c r="L48" s="5" t="n"/>
      <c r="M48" s="5" t="n"/>
      <c r="N48" s="5" t="n"/>
    </row>
    <row r="49">
      <c r="A49" s="4">
        <f>IF(ROW()-4&lt;=COUNTA(Personnel_Contract_Compliance!$A:$A)-4,INDEX(Personnel_Contract_Compliance!$A:$A,ROW()-3),"")</f>
        <v/>
      </c>
      <c r="B49" s="4">
        <f>IF(A49&lt;&gt;"",VLOOKUP(A49,Personnel_Contract_Compliance!$A:$B,2,FALSE),"")</f>
        <v/>
      </c>
      <c r="C49" s="4">
        <f>IF(A49&lt;&gt;"",VLOOKUP(A49,Personnel_Contract_Compliance!$A:$C,3,FALSE),"")</f>
        <v/>
      </c>
      <c r="D49" s="5" t="n"/>
      <c r="E49" s="5" t="n"/>
      <c r="F49" s="11" t="n"/>
      <c r="G49" s="11" t="n"/>
      <c r="H49" s="5" t="n"/>
      <c r="I49" s="5" t="n"/>
      <c r="J49" s="5" t="n"/>
      <c r="K49" s="4">
        <f>IF(B49="","",IF(AND(F49&lt;&gt;"",OR(G49="",G49&gt;=TODAY())),"Active",IF(AND(F49&lt;&gt;"",G49&lt;TODAY()),"Expired",IF(F49="","Missing","Unknown"))))</f>
        <v/>
      </c>
      <c r="L49" s="5" t="n"/>
      <c r="M49" s="5" t="n"/>
      <c r="N49" s="5" t="n"/>
    </row>
    <row r="50">
      <c r="A50" s="4">
        <f>IF(ROW()-4&lt;=COUNTA(Personnel_Contract_Compliance!$A:$A)-4,INDEX(Personnel_Contract_Compliance!$A:$A,ROW()-3),"")</f>
        <v/>
      </c>
      <c r="B50" s="4">
        <f>IF(A50&lt;&gt;"",VLOOKUP(A50,Personnel_Contract_Compliance!$A:$B,2,FALSE),"")</f>
        <v/>
      </c>
      <c r="C50" s="4">
        <f>IF(A50&lt;&gt;"",VLOOKUP(A50,Personnel_Contract_Compliance!$A:$C,3,FALSE),"")</f>
        <v/>
      </c>
      <c r="D50" s="5" t="n"/>
      <c r="E50" s="5" t="n"/>
      <c r="F50" s="11" t="n"/>
      <c r="G50" s="11" t="n"/>
      <c r="H50" s="5" t="n"/>
      <c r="I50" s="5" t="n"/>
      <c r="J50" s="5" t="n"/>
      <c r="K50" s="4">
        <f>IF(B50="","",IF(AND(F50&lt;&gt;"",OR(G50="",G50&gt;=TODAY())),"Active",IF(AND(F50&lt;&gt;"",G50&lt;TODAY()),"Expired",IF(F50="","Missing","Unknown"))))</f>
        <v/>
      </c>
      <c r="L50" s="5" t="n"/>
      <c r="M50" s="5" t="n"/>
      <c r="N50" s="5" t="n"/>
    </row>
    <row r="51">
      <c r="A51" s="4">
        <f>IF(ROW()-4&lt;=COUNTA(Personnel_Contract_Compliance!$A:$A)-4,INDEX(Personnel_Contract_Compliance!$A:$A,ROW()-3),"")</f>
        <v/>
      </c>
      <c r="B51" s="4">
        <f>IF(A51&lt;&gt;"",VLOOKUP(A51,Personnel_Contract_Compliance!$A:$B,2,FALSE),"")</f>
        <v/>
      </c>
      <c r="C51" s="4">
        <f>IF(A51&lt;&gt;"",VLOOKUP(A51,Personnel_Contract_Compliance!$A:$C,3,FALSE),"")</f>
        <v/>
      </c>
      <c r="D51" s="5" t="n"/>
      <c r="E51" s="5" t="n"/>
      <c r="F51" s="11" t="n"/>
      <c r="G51" s="11" t="n"/>
      <c r="H51" s="5" t="n"/>
      <c r="I51" s="5" t="n"/>
      <c r="J51" s="5" t="n"/>
      <c r="K51" s="4">
        <f>IF(B51="","",IF(AND(F51&lt;&gt;"",OR(G51="",G51&gt;=TODAY())),"Active",IF(AND(F51&lt;&gt;"",G51&lt;TODAY()),"Expired",IF(F51="","Missing","Unknown"))))</f>
        <v/>
      </c>
      <c r="L51" s="5" t="n"/>
      <c r="M51" s="5" t="n"/>
      <c r="N51" s="5" t="n"/>
    </row>
    <row r="52">
      <c r="A52" s="4">
        <f>IF(ROW()-4&lt;=COUNTA(Personnel_Contract_Compliance!$A:$A)-4,INDEX(Personnel_Contract_Compliance!$A:$A,ROW()-3),"")</f>
        <v/>
      </c>
      <c r="B52" s="4">
        <f>IF(A52&lt;&gt;"",VLOOKUP(A52,Personnel_Contract_Compliance!$A:$B,2,FALSE),"")</f>
        <v/>
      </c>
      <c r="C52" s="4">
        <f>IF(A52&lt;&gt;"",VLOOKUP(A52,Personnel_Contract_Compliance!$A:$C,3,FALSE),"")</f>
        <v/>
      </c>
      <c r="D52" s="5" t="n"/>
      <c r="E52" s="5" t="n"/>
      <c r="F52" s="11" t="n"/>
      <c r="G52" s="11" t="n"/>
      <c r="H52" s="5" t="n"/>
      <c r="I52" s="5" t="n"/>
      <c r="J52" s="5" t="n"/>
      <c r="K52" s="4">
        <f>IF(B52="","",IF(AND(F52&lt;&gt;"",OR(G52="",G52&gt;=TODAY())),"Active",IF(AND(F52&lt;&gt;"",G52&lt;TODAY()),"Expired",IF(F52="","Missing","Unknown"))))</f>
        <v/>
      </c>
      <c r="L52" s="5" t="n"/>
      <c r="M52" s="5" t="n"/>
      <c r="N52" s="5" t="n"/>
    </row>
    <row r="53">
      <c r="A53" s="4">
        <f>IF(ROW()-4&lt;=COUNTA(Personnel_Contract_Compliance!$A:$A)-4,INDEX(Personnel_Contract_Compliance!$A:$A,ROW()-3),"")</f>
        <v/>
      </c>
      <c r="B53" s="4">
        <f>IF(A53&lt;&gt;"",VLOOKUP(A53,Personnel_Contract_Compliance!$A:$B,2,FALSE),"")</f>
        <v/>
      </c>
      <c r="C53" s="4">
        <f>IF(A53&lt;&gt;"",VLOOKUP(A53,Personnel_Contract_Compliance!$A:$C,3,FALSE),"")</f>
        <v/>
      </c>
      <c r="D53" s="5" t="n"/>
      <c r="E53" s="5" t="n"/>
      <c r="F53" s="11" t="n"/>
      <c r="G53" s="11" t="n"/>
      <c r="H53" s="5" t="n"/>
      <c r="I53" s="5" t="n"/>
      <c r="J53" s="5" t="n"/>
      <c r="K53" s="4">
        <f>IF(B53="","",IF(AND(F53&lt;&gt;"",OR(G53="",G53&gt;=TODAY())),"Active",IF(AND(F53&lt;&gt;"",G53&lt;TODAY()),"Expired",IF(F53="","Missing","Unknown"))))</f>
        <v/>
      </c>
      <c r="L53" s="5" t="n"/>
      <c r="M53" s="5" t="n"/>
      <c r="N53" s="5" t="n"/>
    </row>
    <row r="54">
      <c r="A54" s="4">
        <f>IF(ROW()-4&lt;=COUNTA(Personnel_Contract_Compliance!$A:$A)-4,INDEX(Personnel_Contract_Compliance!$A:$A,ROW()-3),"")</f>
        <v/>
      </c>
      <c r="B54" s="4">
        <f>IF(A54&lt;&gt;"",VLOOKUP(A54,Personnel_Contract_Compliance!$A:$B,2,FALSE),"")</f>
        <v/>
      </c>
      <c r="C54" s="4">
        <f>IF(A54&lt;&gt;"",VLOOKUP(A54,Personnel_Contract_Compliance!$A:$C,3,FALSE),"")</f>
        <v/>
      </c>
      <c r="D54" s="5" t="n"/>
      <c r="E54" s="5" t="n"/>
      <c r="F54" s="11" t="n"/>
      <c r="G54" s="11" t="n"/>
      <c r="H54" s="5" t="n"/>
      <c r="I54" s="5" t="n"/>
      <c r="J54" s="5" t="n"/>
      <c r="K54" s="4">
        <f>IF(B54="","",IF(AND(F54&lt;&gt;"",OR(G54="",G54&gt;=TODAY())),"Active",IF(AND(F54&lt;&gt;"",G54&lt;TODAY()),"Expired",IF(F54="","Missing","Unknown"))))</f>
        <v/>
      </c>
      <c r="L54" s="5" t="n"/>
      <c r="M54" s="5" t="n"/>
      <c r="N54" s="5" t="n"/>
    </row>
    <row r="55">
      <c r="A55" s="4">
        <f>IF(ROW()-4&lt;=COUNTA(Personnel_Contract_Compliance!$A:$A)-4,INDEX(Personnel_Contract_Compliance!$A:$A,ROW()-3),"")</f>
        <v/>
      </c>
      <c r="B55" s="4">
        <f>IF(A55&lt;&gt;"",VLOOKUP(A55,Personnel_Contract_Compliance!$A:$B,2,FALSE),"")</f>
        <v/>
      </c>
      <c r="C55" s="4">
        <f>IF(A55&lt;&gt;"",VLOOKUP(A55,Personnel_Contract_Compliance!$A:$C,3,FALSE),"")</f>
        <v/>
      </c>
      <c r="D55" s="5" t="n"/>
      <c r="E55" s="5" t="n"/>
      <c r="F55" s="11" t="n"/>
      <c r="G55" s="11" t="n"/>
      <c r="H55" s="5" t="n"/>
      <c r="I55" s="5" t="n"/>
      <c r="J55" s="5" t="n"/>
      <c r="K55" s="4">
        <f>IF(B55="","",IF(AND(F55&lt;&gt;"",OR(G55="",G55&gt;=TODAY())),"Active",IF(AND(F55&lt;&gt;"",G55&lt;TODAY()),"Expired",IF(F55="","Missing","Unknown"))))</f>
        <v/>
      </c>
      <c r="L55" s="5" t="n"/>
      <c r="M55" s="5" t="n"/>
      <c r="N55" s="5" t="n"/>
    </row>
    <row r="56">
      <c r="A56" s="4">
        <f>IF(ROW()-4&lt;=COUNTA(Personnel_Contract_Compliance!$A:$A)-4,INDEX(Personnel_Contract_Compliance!$A:$A,ROW()-3),"")</f>
        <v/>
      </c>
      <c r="B56" s="4">
        <f>IF(A56&lt;&gt;"",VLOOKUP(A56,Personnel_Contract_Compliance!$A:$B,2,FALSE),"")</f>
        <v/>
      </c>
      <c r="C56" s="4">
        <f>IF(A56&lt;&gt;"",VLOOKUP(A56,Personnel_Contract_Compliance!$A:$C,3,FALSE),"")</f>
        <v/>
      </c>
      <c r="D56" s="5" t="n"/>
      <c r="E56" s="5" t="n"/>
      <c r="F56" s="11" t="n"/>
      <c r="G56" s="11" t="n"/>
      <c r="H56" s="5" t="n"/>
      <c r="I56" s="5" t="n"/>
      <c r="J56" s="5" t="n"/>
      <c r="K56" s="4">
        <f>IF(B56="","",IF(AND(F56&lt;&gt;"",OR(G56="",G56&gt;=TODAY())),"Active",IF(AND(F56&lt;&gt;"",G56&lt;TODAY()),"Expired",IF(F56="","Missing","Unknown"))))</f>
        <v/>
      </c>
      <c r="L56" s="5" t="n"/>
      <c r="M56" s="5" t="n"/>
      <c r="N56" s="5" t="n"/>
    </row>
    <row r="57">
      <c r="A57" s="4">
        <f>IF(ROW()-4&lt;=COUNTA(Personnel_Contract_Compliance!$A:$A)-4,INDEX(Personnel_Contract_Compliance!$A:$A,ROW()-3),"")</f>
        <v/>
      </c>
      <c r="B57" s="4">
        <f>IF(A57&lt;&gt;"",VLOOKUP(A57,Personnel_Contract_Compliance!$A:$B,2,FALSE),"")</f>
        <v/>
      </c>
      <c r="C57" s="4">
        <f>IF(A57&lt;&gt;"",VLOOKUP(A57,Personnel_Contract_Compliance!$A:$C,3,FALSE),"")</f>
        <v/>
      </c>
      <c r="D57" s="5" t="n"/>
      <c r="E57" s="5" t="n"/>
      <c r="F57" s="11" t="n"/>
      <c r="G57" s="11" t="n"/>
      <c r="H57" s="5" t="n"/>
      <c r="I57" s="5" t="n"/>
      <c r="J57" s="5" t="n"/>
      <c r="K57" s="4">
        <f>IF(B57="","",IF(AND(F57&lt;&gt;"",OR(G57="",G57&gt;=TODAY())),"Active",IF(AND(F57&lt;&gt;"",G57&lt;TODAY()),"Expired",IF(F57="","Missing","Unknown"))))</f>
        <v/>
      </c>
      <c r="L57" s="5" t="n"/>
      <c r="M57" s="5" t="n"/>
      <c r="N57" s="5" t="n"/>
    </row>
    <row r="58">
      <c r="A58" s="4">
        <f>IF(ROW()-4&lt;=COUNTA(Personnel_Contract_Compliance!$A:$A)-4,INDEX(Personnel_Contract_Compliance!$A:$A,ROW()-3),"")</f>
        <v/>
      </c>
      <c r="B58" s="4">
        <f>IF(A58&lt;&gt;"",VLOOKUP(A58,Personnel_Contract_Compliance!$A:$B,2,FALSE),"")</f>
        <v/>
      </c>
      <c r="C58" s="4">
        <f>IF(A58&lt;&gt;"",VLOOKUP(A58,Personnel_Contract_Compliance!$A:$C,3,FALSE),"")</f>
        <v/>
      </c>
      <c r="D58" s="5" t="n"/>
      <c r="E58" s="5" t="n"/>
      <c r="F58" s="11" t="n"/>
      <c r="G58" s="11" t="n"/>
      <c r="H58" s="5" t="n"/>
      <c r="I58" s="5" t="n"/>
      <c r="J58" s="5" t="n"/>
      <c r="K58" s="4">
        <f>IF(B58="","",IF(AND(F58&lt;&gt;"",OR(G58="",G58&gt;=TODAY())),"Active",IF(AND(F58&lt;&gt;"",G58&lt;TODAY()),"Expired",IF(F58="","Missing","Unknown"))))</f>
        <v/>
      </c>
      <c r="L58" s="5" t="n"/>
      <c r="M58" s="5" t="n"/>
      <c r="N58" s="5" t="n"/>
    </row>
    <row r="59">
      <c r="A59" s="4">
        <f>IF(ROW()-4&lt;=COUNTA(Personnel_Contract_Compliance!$A:$A)-4,INDEX(Personnel_Contract_Compliance!$A:$A,ROW()-3),"")</f>
        <v/>
      </c>
      <c r="B59" s="4">
        <f>IF(A59&lt;&gt;"",VLOOKUP(A59,Personnel_Contract_Compliance!$A:$B,2,FALSE),"")</f>
        <v/>
      </c>
      <c r="C59" s="4">
        <f>IF(A59&lt;&gt;"",VLOOKUP(A59,Personnel_Contract_Compliance!$A:$C,3,FALSE),"")</f>
        <v/>
      </c>
      <c r="D59" s="5" t="n"/>
      <c r="E59" s="5" t="n"/>
      <c r="F59" s="11" t="n"/>
      <c r="G59" s="11" t="n"/>
      <c r="H59" s="5" t="n"/>
      <c r="I59" s="5" t="n"/>
      <c r="J59" s="5" t="n"/>
      <c r="K59" s="4">
        <f>IF(B59="","",IF(AND(F59&lt;&gt;"",OR(G59="",G59&gt;=TODAY())),"Active",IF(AND(F59&lt;&gt;"",G59&lt;TODAY()),"Expired",IF(F59="","Missing","Unknown"))))</f>
        <v/>
      </c>
      <c r="L59" s="5" t="n"/>
      <c r="M59" s="5" t="n"/>
      <c r="N59" s="5" t="n"/>
    </row>
    <row r="60">
      <c r="A60" s="4">
        <f>IF(ROW()-4&lt;=COUNTA(Personnel_Contract_Compliance!$A:$A)-4,INDEX(Personnel_Contract_Compliance!$A:$A,ROW()-3),"")</f>
        <v/>
      </c>
      <c r="B60" s="4">
        <f>IF(A60&lt;&gt;"",VLOOKUP(A60,Personnel_Contract_Compliance!$A:$B,2,FALSE),"")</f>
        <v/>
      </c>
      <c r="C60" s="4">
        <f>IF(A60&lt;&gt;"",VLOOKUP(A60,Personnel_Contract_Compliance!$A:$C,3,FALSE),"")</f>
        <v/>
      </c>
      <c r="D60" s="5" t="n"/>
      <c r="E60" s="5" t="n"/>
      <c r="F60" s="11" t="n"/>
      <c r="G60" s="11" t="n"/>
      <c r="H60" s="5" t="n"/>
      <c r="I60" s="5" t="n"/>
      <c r="J60" s="5" t="n"/>
      <c r="K60" s="4">
        <f>IF(B60="","",IF(AND(F60&lt;&gt;"",OR(G60="",G60&gt;=TODAY())),"Active",IF(AND(F60&lt;&gt;"",G60&lt;TODAY()),"Expired",IF(F60="","Missing","Unknown"))))</f>
        <v/>
      </c>
      <c r="L60" s="5" t="n"/>
      <c r="M60" s="5" t="n"/>
      <c r="N60" s="5" t="n"/>
    </row>
    <row r="61">
      <c r="A61" s="4">
        <f>IF(ROW()-4&lt;=COUNTA(Personnel_Contract_Compliance!$A:$A)-4,INDEX(Personnel_Contract_Compliance!$A:$A,ROW()-3),"")</f>
        <v/>
      </c>
      <c r="B61" s="4">
        <f>IF(A61&lt;&gt;"",VLOOKUP(A61,Personnel_Contract_Compliance!$A:$B,2,FALSE),"")</f>
        <v/>
      </c>
      <c r="C61" s="4">
        <f>IF(A61&lt;&gt;"",VLOOKUP(A61,Personnel_Contract_Compliance!$A:$C,3,FALSE),"")</f>
        <v/>
      </c>
      <c r="D61" s="5" t="n"/>
      <c r="E61" s="5" t="n"/>
      <c r="F61" s="11" t="n"/>
      <c r="G61" s="11" t="n"/>
      <c r="H61" s="5" t="n"/>
      <c r="I61" s="5" t="n"/>
      <c r="J61" s="5" t="n"/>
      <c r="K61" s="4">
        <f>IF(B61="","",IF(AND(F61&lt;&gt;"",OR(G61="",G61&gt;=TODAY())),"Active",IF(AND(F61&lt;&gt;"",G61&lt;TODAY()),"Expired",IF(F61="","Missing","Unknown"))))</f>
        <v/>
      </c>
      <c r="L61" s="5" t="n"/>
      <c r="M61" s="5" t="n"/>
      <c r="N61" s="5" t="n"/>
    </row>
    <row r="62">
      <c r="A62" s="4">
        <f>IF(ROW()-4&lt;=COUNTA(Personnel_Contract_Compliance!$A:$A)-4,INDEX(Personnel_Contract_Compliance!$A:$A,ROW()-3),"")</f>
        <v/>
      </c>
      <c r="B62" s="4">
        <f>IF(A62&lt;&gt;"",VLOOKUP(A62,Personnel_Contract_Compliance!$A:$B,2,FALSE),"")</f>
        <v/>
      </c>
      <c r="C62" s="4">
        <f>IF(A62&lt;&gt;"",VLOOKUP(A62,Personnel_Contract_Compliance!$A:$C,3,FALSE),"")</f>
        <v/>
      </c>
      <c r="D62" s="5" t="n"/>
      <c r="E62" s="5" t="n"/>
      <c r="F62" s="11" t="n"/>
      <c r="G62" s="11" t="n"/>
      <c r="H62" s="5" t="n"/>
      <c r="I62" s="5" t="n"/>
      <c r="J62" s="5" t="n"/>
      <c r="K62" s="4">
        <f>IF(B62="","",IF(AND(F62&lt;&gt;"",OR(G62="",G62&gt;=TODAY())),"Active",IF(AND(F62&lt;&gt;"",G62&lt;TODAY()),"Expired",IF(F62="","Missing","Unknown"))))</f>
        <v/>
      </c>
      <c r="L62" s="5" t="n"/>
      <c r="M62" s="5" t="n"/>
      <c r="N62" s="5" t="n"/>
    </row>
    <row r="63">
      <c r="A63" s="4">
        <f>IF(ROW()-4&lt;=COUNTA(Personnel_Contract_Compliance!$A:$A)-4,INDEX(Personnel_Contract_Compliance!$A:$A,ROW()-3),"")</f>
        <v/>
      </c>
      <c r="B63" s="4">
        <f>IF(A63&lt;&gt;"",VLOOKUP(A63,Personnel_Contract_Compliance!$A:$B,2,FALSE),"")</f>
        <v/>
      </c>
      <c r="C63" s="4">
        <f>IF(A63&lt;&gt;"",VLOOKUP(A63,Personnel_Contract_Compliance!$A:$C,3,FALSE),"")</f>
        <v/>
      </c>
      <c r="D63" s="5" t="n"/>
      <c r="E63" s="5" t="n"/>
      <c r="F63" s="11" t="n"/>
      <c r="G63" s="11" t="n"/>
      <c r="H63" s="5" t="n"/>
      <c r="I63" s="5" t="n"/>
      <c r="J63" s="5" t="n"/>
      <c r="K63" s="4">
        <f>IF(B63="","",IF(AND(F63&lt;&gt;"",OR(G63="",G63&gt;=TODAY())),"Active",IF(AND(F63&lt;&gt;"",G63&lt;TODAY()),"Expired",IF(F63="","Missing","Unknown"))))</f>
        <v/>
      </c>
      <c r="L63" s="5" t="n"/>
      <c r="M63" s="5" t="n"/>
      <c r="N63" s="5" t="n"/>
    </row>
    <row r="64">
      <c r="A64" s="4">
        <f>IF(ROW()-4&lt;=COUNTA(Personnel_Contract_Compliance!$A:$A)-4,INDEX(Personnel_Contract_Compliance!$A:$A,ROW()-3),"")</f>
        <v/>
      </c>
      <c r="B64" s="4">
        <f>IF(A64&lt;&gt;"",VLOOKUP(A64,Personnel_Contract_Compliance!$A:$B,2,FALSE),"")</f>
        <v/>
      </c>
      <c r="C64" s="4">
        <f>IF(A64&lt;&gt;"",VLOOKUP(A64,Personnel_Contract_Compliance!$A:$C,3,FALSE),"")</f>
        <v/>
      </c>
      <c r="D64" s="5" t="n"/>
      <c r="E64" s="5" t="n"/>
      <c r="F64" s="11" t="n"/>
      <c r="G64" s="11" t="n"/>
      <c r="H64" s="5" t="n"/>
      <c r="I64" s="5" t="n"/>
      <c r="J64" s="5" t="n"/>
      <c r="K64" s="4">
        <f>IF(B64="","",IF(AND(F64&lt;&gt;"",OR(G64="",G64&gt;=TODAY())),"Active",IF(AND(F64&lt;&gt;"",G64&lt;TODAY()),"Expired",IF(F64="","Missing","Unknown"))))</f>
        <v/>
      </c>
      <c r="L64" s="5" t="n"/>
      <c r="M64" s="5" t="n"/>
      <c r="N64" s="5" t="n"/>
    </row>
    <row r="65">
      <c r="A65" s="4">
        <f>IF(ROW()-4&lt;=COUNTA(Personnel_Contract_Compliance!$A:$A)-4,INDEX(Personnel_Contract_Compliance!$A:$A,ROW()-3),"")</f>
        <v/>
      </c>
      <c r="B65" s="4">
        <f>IF(A65&lt;&gt;"",VLOOKUP(A65,Personnel_Contract_Compliance!$A:$B,2,FALSE),"")</f>
        <v/>
      </c>
      <c r="C65" s="4">
        <f>IF(A65&lt;&gt;"",VLOOKUP(A65,Personnel_Contract_Compliance!$A:$C,3,FALSE),"")</f>
        <v/>
      </c>
      <c r="D65" s="5" t="n"/>
      <c r="E65" s="5" t="n"/>
      <c r="F65" s="11" t="n"/>
      <c r="G65" s="11" t="n"/>
      <c r="H65" s="5" t="n"/>
      <c r="I65" s="5" t="n"/>
      <c r="J65" s="5" t="n"/>
      <c r="K65" s="4">
        <f>IF(B65="","",IF(AND(F65&lt;&gt;"",OR(G65="",G65&gt;=TODAY())),"Active",IF(AND(F65&lt;&gt;"",G65&lt;TODAY()),"Expired",IF(F65="","Missing","Unknown"))))</f>
        <v/>
      </c>
      <c r="L65" s="5" t="n"/>
      <c r="M65" s="5" t="n"/>
      <c r="N65" s="5" t="n"/>
    </row>
    <row r="66">
      <c r="A66" s="4">
        <f>IF(ROW()-4&lt;=COUNTA(Personnel_Contract_Compliance!$A:$A)-4,INDEX(Personnel_Contract_Compliance!$A:$A,ROW()-3),"")</f>
        <v/>
      </c>
      <c r="B66" s="4">
        <f>IF(A66&lt;&gt;"",VLOOKUP(A66,Personnel_Contract_Compliance!$A:$B,2,FALSE),"")</f>
        <v/>
      </c>
      <c r="C66" s="4">
        <f>IF(A66&lt;&gt;"",VLOOKUP(A66,Personnel_Contract_Compliance!$A:$C,3,FALSE),"")</f>
        <v/>
      </c>
      <c r="D66" s="5" t="n"/>
      <c r="E66" s="5" t="n"/>
      <c r="F66" s="11" t="n"/>
      <c r="G66" s="11" t="n"/>
      <c r="H66" s="5" t="n"/>
      <c r="I66" s="5" t="n"/>
      <c r="J66" s="5" t="n"/>
      <c r="K66" s="4">
        <f>IF(B66="","",IF(AND(F66&lt;&gt;"",OR(G66="",G66&gt;=TODAY())),"Active",IF(AND(F66&lt;&gt;"",G66&lt;TODAY()),"Expired",IF(F66="","Missing","Unknown"))))</f>
        <v/>
      </c>
      <c r="L66" s="5" t="n"/>
      <c r="M66" s="5" t="n"/>
      <c r="N66" s="5" t="n"/>
    </row>
    <row r="67">
      <c r="A67" s="4">
        <f>IF(ROW()-4&lt;=COUNTA(Personnel_Contract_Compliance!$A:$A)-4,INDEX(Personnel_Contract_Compliance!$A:$A,ROW()-3),"")</f>
        <v/>
      </c>
      <c r="B67" s="4">
        <f>IF(A67&lt;&gt;"",VLOOKUP(A67,Personnel_Contract_Compliance!$A:$B,2,FALSE),"")</f>
        <v/>
      </c>
      <c r="C67" s="4">
        <f>IF(A67&lt;&gt;"",VLOOKUP(A67,Personnel_Contract_Compliance!$A:$C,3,FALSE),"")</f>
        <v/>
      </c>
      <c r="D67" s="5" t="n"/>
      <c r="E67" s="5" t="n"/>
      <c r="F67" s="11" t="n"/>
      <c r="G67" s="11" t="n"/>
      <c r="H67" s="5" t="n"/>
      <c r="I67" s="5" t="n"/>
      <c r="J67" s="5" t="n"/>
      <c r="K67" s="4">
        <f>IF(B67="","",IF(AND(F67&lt;&gt;"",OR(G67="",G67&gt;=TODAY())),"Active",IF(AND(F67&lt;&gt;"",G67&lt;TODAY()),"Expired",IF(F67="","Missing","Unknown"))))</f>
        <v/>
      </c>
      <c r="L67" s="5" t="n"/>
      <c r="M67" s="5" t="n"/>
      <c r="N67" s="5" t="n"/>
    </row>
    <row r="68">
      <c r="A68" s="4">
        <f>IF(ROW()-4&lt;=COUNTA(Personnel_Contract_Compliance!$A:$A)-4,INDEX(Personnel_Contract_Compliance!$A:$A,ROW()-3),"")</f>
        <v/>
      </c>
      <c r="B68" s="4">
        <f>IF(A68&lt;&gt;"",VLOOKUP(A68,Personnel_Contract_Compliance!$A:$B,2,FALSE),"")</f>
        <v/>
      </c>
      <c r="C68" s="4">
        <f>IF(A68&lt;&gt;"",VLOOKUP(A68,Personnel_Contract_Compliance!$A:$C,3,FALSE),"")</f>
        <v/>
      </c>
      <c r="D68" s="5" t="n"/>
      <c r="E68" s="5" t="n"/>
      <c r="F68" s="11" t="n"/>
      <c r="G68" s="11" t="n"/>
      <c r="H68" s="5" t="n"/>
      <c r="I68" s="5" t="n"/>
      <c r="J68" s="5" t="n"/>
      <c r="K68" s="4">
        <f>IF(B68="","",IF(AND(F68&lt;&gt;"",OR(G68="",G68&gt;=TODAY())),"Active",IF(AND(F68&lt;&gt;"",G68&lt;TODAY()),"Expired",IF(F68="","Missing","Unknown"))))</f>
        <v/>
      </c>
      <c r="L68" s="5" t="n"/>
      <c r="M68" s="5" t="n"/>
      <c r="N68" s="5" t="n"/>
    </row>
    <row r="69">
      <c r="A69" s="4">
        <f>IF(ROW()-4&lt;=COUNTA(Personnel_Contract_Compliance!$A:$A)-4,INDEX(Personnel_Contract_Compliance!$A:$A,ROW()-3),"")</f>
        <v/>
      </c>
      <c r="B69" s="4">
        <f>IF(A69&lt;&gt;"",VLOOKUP(A69,Personnel_Contract_Compliance!$A:$B,2,FALSE),"")</f>
        <v/>
      </c>
      <c r="C69" s="4">
        <f>IF(A69&lt;&gt;"",VLOOKUP(A69,Personnel_Contract_Compliance!$A:$C,3,FALSE),"")</f>
        <v/>
      </c>
      <c r="D69" s="5" t="n"/>
      <c r="E69" s="5" t="n"/>
      <c r="F69" s="11" t="n"/>
      <c r="G69" s="11" t="n"/>
      <c r="H69" s="5" t="n"/>
      <c r="I69" s="5" t="n"/>
      <c r="J69" s="5" t="n"/>
      <c r="K69" s="4">
        <f>IF(B69="","",IF(AND(F69&lt;&gt;"",OR(G69="",G69&gt;=TODAY())),"Active",IF(AND(F69&lt;&gt;"",G69&lt;TODAY()),"Expired",IF(F69="","Missing","Unknown"))))</f>
        <v/>
      </c>
      <c r="L69" s="5" t="n"/>
      <c r="M69" s="5" t="n"/>
      <c r="N69" s="5" t="n"/>
    </row>
    <row r="70">
      <c r="A70" s="4">
        <f>IF(ROW()-4&lt;=COUNTA(Personnel_Contract_Compliance!$A:$A)-4,INDEX(Personnel_Contract_Compliance!$A:$A,ROW()-3),"")</f>
        <v/>
      </c>
      <c r="B70" s="4">
        <f>IF(A70&lt;&gt;"",VLOOKUP(A70,Personnel_Contract_Compliance!$A:$B,2,FALSE),"")</f>
        <v/>
      </c>
      <c r="C70" s="4">
        <f>IF(A70&lt;&gt;"",VLOOKUP(A70,Personnel_Contract_Compliance!$A:$C,3,FALSE),"")</f>
        <v/>
      </c>
      <c r="D70" s="5" t="n"/>
      <c r="E70" s="5" t="n"/>
      <c r="F70" s="11" t="n"/>
      <c r="G70" s="11" t="n"/>
      <c r="H70" s="5" t="n"/>
      <c r="I70" s="5" t="n"/>
      <c r="J70" s="5" t="n"/>
      <c r="K70" s="4">
        <f>IF(B70="","",IF(AND(F70&lt;&gt;"",OR(G70="",G70&gt;=TODAY())),"Active",IF(AND(F70&lt;&gt;"",G70&lt;TODAY()),"Expired",IF(F70="","Missing","Unknown"))))</f>
        <v/>
      </c>
      <c r="L70" s="5" t="n"/>
      <c r="M70" s="5" t="n"/>
      <c r="N70" s="5" t="n"/>
    </row>
    <row r="71">
      <c r="A71" s="4">
        <f>IF(ROW()-4&lt;=COUNTA(Personnel_Contract_Compliance!$A:$A)-4,INDEX(Personnel_Contract_Compliance!$A:$A,ROW()-3),"")</f>
        <v/>
      </c>
      <c r="B71" s="4">
        <f>IF(A71&lt;&gt;"",VLOOKUP(A71,Personnel_Contract_Compliance!$A:$B,2,FALSE),"")</f>
        <v/>
      </c>
      <c r="C71" s="4">
        <f>IF(A71&lt;&gt;"",VLOOKUP(A71,Personnel_Contract_Compliance!$A:$C,3,FALSE),"")</f>
        <v/>
      </c>
      <c r="D71" s="5" t="n"/>
      <c r="E71" s="5" t="n"/>
      <c r="F71" s="11" t="n"/>
      <c r="G71" s="11" t="n"/>
      <c r="H71" s="5" t="n"/>
      <c r="I71" s="5" t="n"/>
      <c r="J71" s="5" t="n"/>
      <c r="K71" s="4">
        <f>IF(B71="","",IF(AND(F71&lt;&gt;"",OR(G71="",G71&gt;=TODAY())),"Active",IF(AND(F71&lt;&gt;"",G71&lt;TODAY()),"Expired",IF(F71="","Missing","Unknown"))))</f>
        <v/>
      </c>
      <c r="L71" s="5" t="n"/>
      <c r="M71" s="5" t="n"/>
      <c r="N71" s="5" t="n"/>
    </row>
    <row r="72">
      <c r="A72" s="4">
        <f>IF(ROW()-4&lt;=COUNTA(Personnel_Contract_Compliance!$A:$A)-4,INDEX(Personnel_Contract_Compliance!$A:$A,ROW()-3),"")</f>
        <v/>
      </c>
      <c r="B72" s="4">
        <f>IF(A72&lt;&gt;"",VLOOKUP(A72,Personnel_Contract_Compliance!$A:$B,2,FALSE),"")</f>
        <v/>
      </c>
      <c r="C72" s="4">
        <f>IF(A72&lt;&gt;"",VLOOKUP(A72,Personnel_Contract_Compliance!$A:$C,3,FALSE),"")</f>
        <v/>
      </c>
      <c r="D72" s="5" t="n"/>
      <c r="E72" s="5" t="n"/>
      <c r="F72" s="11" t="n"/>
      <c r="G72" s="11" t="n"/>
      <c r="H72" s="5" t="n"/>
      <c r="I72" s="5" t="n"/>
      <c r="J72" s="5" t="n"/>
      <c r="K72" s="4">
        <f>IF(B72="","",IF(AND(F72&lt;&gt;"",OR(G72="",G72&gt;=TODAY())),"Active",IF(AND(F72&lt;&gt;"",G72&lt;TODAY()),"Expired",IF(F72="","Missing","Unknown"))))</f>
        <v/>
      </c>
      <c r="L72" s="5" t="n"/>
      <c r="M72" s="5" t="n"/>
      <c r="N72" s="5" t="n"/>
    </row>
    <row r="73">
      <c r="A73" s="4">
        <f>IF(ROW()-4&lt;=COUNTA(Personnel_Contract_Compliance!$A:$A)-4,INDEX(Personnel_Contract_Compliance!$A:$A,ROW()-3),"")</f>
        <v/>
      </c>
      <c r="B73" s="4">
        <f>IF(A73&lt;&gt;"",VLOOKUP(A73,Personnel_Contract_Compliance!$A:$B,2,FALSE),"")</f>
        <v/>
      </c>
      <c r="C73" s="4">
        <f>IF(A73&lt;&gt;"",VLOOKUP(A73,Personnel_Contract_Compliance!$A:$C,3,FALSE),"")</f>
        <v/>
      </c>
      <c r="D73" s="5" t="n"/>
      <c r="E73" s="5" t="n"/>
      <c r="F73" s="11" t="n"/>
      <c r="G73" s="11" t="n"/>
      <c r="H73" s="5" t="n"/>
      <c r="I73" s="5" t="n"/>
      <c r="J73" s="5" t="n"/>
      <c r="K73" s="4">
        <f>IF(B73="","",IF(AND(F73&lt;&gt;"",OR(G73="",G73&gt;=TODAY())),"Active",IF(AND(F73&lt;&gt;"",G73&lt;TODAY()),"Expired",IF(F73="","Missing","Unknown"))))</f>
        <v/>
      </c>
      <c r="L73" s="5" t="n"/>
      <c r="M73" s="5" t="n"/>
      <c r="N73" s="5" t="n"/>
    </row>
    <row r="74">
      <c r="A74" s="4">
        <f>IF(ROW()-4&lt;=COUNTA(Personnel_Contract_Compliance!$A:$A)-4,INDEX(Personnel_Contract_Compliance!$A:$A,ROW()-3),"")</f>
        <v/>
      </c>
      <c r="B74" s="4">
        <f>IF(A74&lt;&gt;"",VLOOKUP(A74,Personnel_Contract_Compliance!$A:$B,2,FALSE),"")</f>
        <v/>
      </c>
      <c r="C74" s="4">
        <f>IF(A74&lt;&gt;"",VLOOKUP(A74,Personnel_Contract_Compliance!$A:$C,3,FALSE),"")</f>
        <v/>
      </c>
      <c r="D74" s="5" t="n"/>
      <c r="E74" s="5" t="n"/>
      <c r="F74" s="11" t="n"/>
      <c r="G74" s="11" t="n"/>
      <c r="H74" s="5" t="n"/>
      <c r="I74" s="5" t="n"/>
      <c r="J74" s="5" t="n"/>
      <c r="K74" s="4">
        <f>IF(B74="","",IF(AND(F74&lt;&gt;"",OR(G74="",G74&gt;=TODAY())),"Active",IF(AND(F74&lt;&gt;"",G74&lt;TODAY()),"Expired",IF(F74="","Missing","Unknown"))))</f>
        <v/>
      </c>
      <c r="L74" s="5" t="n"/>
      <c r="M74" s="5" t="n"/>
      <c r="N74" s="5" t="n"/>
    </row>
    <row r="75">
      <c r="A75" s="4">
        <f>IF(ROW()-4&lt;=COUNTA(Personnel_Contract_Compliance!$A:$A)-4,INDEX(Personnel_Contract_Compliance!$A:$A,ROW()-3),"")</f>
        <v/>
      </c>
      <c r="B75" s="4">
        <f>IF(A75&lt;&gt;"",VLOOKUP(A75,Personnel_Contract_Compliance!$A:$B,2,FALSE),"")</f>
        <v/>
      </c>
      <c r="C75" s="4">
        <f>IF(A75&lt;&gt;"",VLOOKUP(A75,Personnel_Contract_Compliance!$A:$C,3,FALSE),"")</f>
        <v/>
      </c>
      <c r="D75" s="5" t="n"/>
      <c r="E75" s="5" t="n"/>
      <c r="F75" s="11" t="n"/>
      <c r="G75" s="11" t="n"/>
      <c r="H75" s="5" t="n"/>
      <c r="I75" s="5" t="n"/>
      <c r="J75" s="5" t="n"/>
      <c r="K75" s="4">
        <f>IF(B75="","",IF(AND(F75&lt;&gt;"",OR(G75="",G75&gt;=TODAY())),"Active",IF(AND(F75&lt;&gt;"",G75&lt;TODAY()),"Expired",IF(F75="","Missing","Unknown"))))</f>
        <v/>
      </c>
      <c r="L75" s="5" t="n"/>
      <c r="M75" s="5" t="n"/>
      <c r="N75" s="5" t="n"/>
    </row>
    <row r="76">
      <c r="A76" s="4">
        <f>IF(ROW()-4&lt;=COUNTA(Personnel_Contract_Compliance!$A:$A)-4,INDEX(Personnel_Contract_Compliance!$A:$A,ROW()-3),"")</f>
        <v/>
      </c>
      <c r="B76" s="4">
        <f>IF(A76&lt;&gt;"",VLOOKUP(A76,Personnel_Contract_Compliance!$A:$B,2,FALSE),"")</f>
        <v/>
      </c>
      <c r="C76" s="4">
        <f>IF(A76&lt;&gt;"",VLOOKUP(A76,Personnel_Contract_Compliance!$A:$C,3,FALSE),"")</f>
        <v/>
      </c>
      <c r="D76" s="5" t="n"/>
      <c r="E76" s="5" t="n"/>
      <c r="F76" s="11" t="n"/>
      <c r="G76" s="11" t="n"/>
      <c r="H76" s="5" t="n"/>
      <c r="I76" s="5" t="n"/>
      <c r="J76" s="5" t="n"/>
      <c r="K76" s="4">
        <f>IF(B76="","",IF(AND(F76&lt;&gt;"",OR(G76="",G76&gt;=TODAY())),"Active",IF(AND(F76&lt;&gt;"",G76&lt;TODAY()),"Expired",IF(F76="","Missing","Unknown"))))</f>
        <v/>
      </c>
      <c r="L76" s="5" t="n"/>
      <c r="M76" s="5" t="n"/>
      <c r="N76" s="5" t="n"/>
    </row>
    <row r="77">
      <c r="A77" s="4">
        <f>IF(ROW()-4&lt;=COUNTA(Personnel_Contract_Compliance!$A:$A)-4,INDEX(Personnel_Contract_Compliance!$A:$A,ROW()-3),"")</f>
        <v/>
      </c>
      <c r="B77" s="4">
        <f>IF(A77&lt;&gt;"",VLOOKUP(A77,Personnel_Contract_Compliance!$A:$B,2,FALSE),"")</f>
        <v/>
      </c>
      <c r="C77" s="4">
        <f>IF(A77&lt;&gt;"",VLOOKUP(A77,Personnel_Contract_Compliance!$A:$C,3,FALSE),"")</f>
        <v/>
      </c>
      <c r="D77" s="5" t="n"/>
      <c r="E77" s="5" t="n"/>
      <c r="F77" s="11" t="n"/>
      <c r="G77" s="11" t="n"/>
      <c r="H77" s="5" t="n"/>
      <c r="I77" s="5" t="n"/>
      <c r="J77" s="5" t="n"/>
      <c r="K77" s="4">
        <f>IF(B77="","",IF(AND(F77&lt;&gt;"",OR(G77="",G77&gt;=TODAY())),"Active",IF(AND(F77&lt;&gt;"",G77&lt;TODAY()),"Expired",IF(F77="","Missing","Unknown"))))</f>
        <v/>
      </c>
      <c r="L77" s="5" t="n"/>
      <c r="M77" s="5" t="n"/>
      <c r="N77" s="5" t="n"/>
    </row>
    <row r="78">
      <c r="A78" s="4">
        <f>IF(ROW()-4&lt;=COUNTA(Personnel_Contract_Compliance!$A:$A)-4,INDEX(Personnel_Contract_Compliance!$A:$A,ROW()-3),"")</f>
        <v/>
      </c>
      <c r="B78" s="4">
        <f>IF(A78&lt;&gt;"",VLOOKUP(A78,Personnel_Contract_Compliance!$A:$B,2,FALSE),"")</f>
        <v/>
      </c>
      <c r="C78" s="4">
        <f>IF(A78&lt;&gt;"",VLOOKUP(A78,Personnel_Contract_Compliance!$A:$C,3,FALSE),"")</f>
        <v/>
      </c>
      <c r="D78" s="5" t="n"/>
      <c r="E78" s="5" t="n"/>
      <c r="F78" s="11" t="n"/>
      <c r="G78" s="11" t="n"/>
      <c r="H78" s="5" t="n"/>
      <c r="I78" s="5" t="n"/>
      <c r="J78" s="5" t="n"/>
      <c r="K78" s="4">
        <f>IF(B78="","",IF(AND(F78&lt;&gt;"",OR(G78="",G78&gt;=TODAY())),"Active",IF(AND(F78&lt;&gt;"",G78&lt;TODAY()),"Expired",IF(F78="","Missing","Unknown"))))</f>
        <v/>
      </c>
      <c r="L78" s="5" t="n"/>
      <c r="M78" s="5" t="n"/>
      <c r="N78" s="5" t="n"/>
    </row>
    <row r="79">
      <c r="A79" s="4">
        <f>IF(ROW()-4&lt;=COUNTA(Personnel_Contract_Compliance!$A:$A)-4,INDEX(Personnel_Contract_Compliance!$A:$A,ROW()-3),"")</f>
        <v/>
      </c>
      <c r="B79" s="4">
        <f>IF(A79&lt;&gt;"",VLOOKUP(A79,Personnel_Contract_Compliance!$A:$B,2,FALSE),"")</f>
        <v/>
      </c>
      <c r="C79" s="4">
        <f>IF(A79&lt;&gt;"",VLOOKUP(A79,Personnel_Contract_Compliance!$A:$C,3,FALSE),"")</f>
        <v/>
      </c>
      <c r="D79" s="5" t="n"/>
      <c r="E79" s="5" t="n"/>
      <c r="F79" s="11" t="n"/>
      <c r="G79" s="11" t="n"/>
      <c r="H79" s="5" t="n"/>
      <c r="I79" s="5" t="n"/>
      <c r="J79" s="5" t="n"/>
      <c r="K79" s="4">
        <f>IF(B79="","",IF(AND(F79&lt;&gt;"",OR(G79="",G79&gt;=TODAY())),"Active",IF(AND(F79&lt;&gt;"",G79&lt;TODAY()),"Expired",IF(F79="","Missing","Unknown"))))</f>
        <v/>
      </c>
      <c r="L79" s="5" t="n"/>
      <c r="M79" s="5" t="n"/>
      <c r="N79" s="5" t="n"/>
    </row>
    <row r="80">
      <c r="A80" s="4">
        <f>IF(ROW()-4&lt;=COUNTA(Personnel_Contract_Compliance!$A:$A)-4,INDEX(Personnel_Contract_Compliance!$A:$A,ROW()-3),"")</f>
        <v/>
      </c>
      <c r="B80" s="4">
        <f>IF(A80&lt;&gt;"",VLOOKUP(A80,Personnel_Contract_Compliance!$A:$B,2,FALSE),"")</f>
        <v/>
      </c>
      <c r="C80" s="4">
        <f>IF(A80&lt;&gt;"",VLOOKUP(A80,Personnel_Contract_Compliance!$A:$C,3,FALSE),"")</f>
        <v/>
      </c>
      <c r="D80" s="5" t="n"/>
      <c r="E80" s="5" t="n"/>
      <c r="F80" s="11" t="n"/>
      <c r="G80" s="11" t="n"/>
      <c r="H80" s="5" t="n"/>
      <c r="I80" s="5" t="n"/>
      <c r="J80" s="5" t="n"/>
      <c r="K80" s="4">
        <f>IF(B80="","",IF(AND(F80&lt;&gt;"",OR(G80="",G80&gt;=TODAY())),"Active",IF(AND(F80&lt;&gt;"",G80&lt;TODAY()),"Expired",IF(F80="","Missing","Unknown"))))</f>
        <v/>
      </c>
      <c r="L80" s="5" t="n"/>
      <c r="M80" s="5" t="n"/>
      <c r="N80" s="5" t="n"/>
    </row>
    <row r="81">
      <c r="A81" s="4">
        <f>IF(ROW()-4&lt;=COUNTA(Personnel_Contract_Compliance!$A:$A)-4,INDEX(Personnel_Contract_Compliance!$A:$A,ROW()-3),"")</f>
        <v/>
      </c>
      <c r="B81" s="4">
        <f>IF(A81&lt;&gt;"",VLOOKUP(A81,Personnel_Contract_Compliance!$A:$B,2,FALSE),"")</f>
        <v/>
      </c>
      <c r="C81" s="4">
        <f>IF(A81&lt;&gt;"",VLOOKUP(A81,Personnel_Contract_Compliance!$A:$C,3,FALSE),"")</f>
        <v/>
      </c>
      <c r="D81" s="5" t="n"/>
      <c r="E81" s="5" t="n"/>
      <c r="F81" s="11" t="n"/>
      <c r="G81" s="11" t="n"/>
      <c r="H81" s="5" t="n"/>
      <c r="I81" s="5" t="n"/>
      <c r="J81" s="5" t="n"/>
      <c r="K81" s="4">
        <f>IF(B81="","",IF(AND(F81&lt;&gt;"",OR(G81="",G81&gt;=TODAY())),"Active",IF(AND(F81&lt;&gt;"",G81&lt;TODAY()),"Expired",IF(F81="","Missing","Unknown"))))</f>
        <v/>
      </c>
      <c r="L81" s="5" t="n"/>
      <c r="M81" s="5" t="n"/>
      <c r="N81" s="5" t="n"/>
    </row>
    <row r="82">
      <c r="A82" s="4">
        <f>IF(ROW()-4&lt;=COUNTA(Personnel_Contract_Compliance!$A:$A)-4,INDEX(Personnel_Contract_Compliance!$A:$A,ROW()-3),"")</f>
        <v/>
      </c>
      <c r="B82" s="4">
        <f>IF(A82&lt;&gt;"",VLOOKUP(A82,Personnel_Contract_Compliance!$A:$B,2,FALSE),"")</f>
        <v/>
      </c>
      <c r="C82" s="4">
        <f>IF(A82&lt;&gt;"",VLOOKUP(A82,Personnel_Contract_Compliance!$A:$C,3,FALSE),"")</f>
        <v/>
      </c>
      <c r="D82" s="5" t="n"/>
      <c r="E82" s="5" t="n"/>
      <c r="F82" s="11" t="n"/>
      <c r="G82" s="11" t="n"/>
      <c r="H82" s="5" t="n"/>
      <c r="I82" s="5" t="n"/>
      <c r="J82" s="5" t="n"/>
      <c r="K82" s="4">
        <f>IF(B82="","",IF(AND(F82&lt;&gt;"",OR(G82="",G82&gt;=TODAY())),"Active",IF(AND(F82&lt;&gt;"",G82&lt;TODAY()),"Expired",IF(F82="","Missing","Unknown"))))</f>
        <v/>
      </c>
      <c r="L82" s="5" t="n"/>
      <c r="M82" s="5" t="n"/>
      <c r="N82" s="5" t="n"/>
    </row>
    <row r="83">
      <c r="A83" s="4">
        <f>IF(ROW()-4&lt;=COUNTA(Personnel_Contract_Compliance!$A:$A)-4,INDEX(Personnel_Contract_Compliance!$A:$A,ROW()-3),"")</f>
        <v/>
      </c>
      <c r="B83" s="4">
        <f>IF(A83&lt;&gt;"",VLOOKUP(A83,Personnel_Contract_Compliance!$A:$B,2,FALSE),"")</f>
        <v/>
      </c>
      <c r="C83" s="4">
        <f>IF(A83&lt;&gt;"",VLOOKUP(A83,Personnel_Contract_Compliance!$A:$C,3,FALSE),"")</f>
        <v/>
      </c>
      <c r="D83" s="5" t="n"/>
      <c r="E83" s="5" t="n"/>
      <c r="F83" s="11" t="n"/>
      <c r="G83" s="11" t="n"/>
      <c r="H83" s="5" t="n"/>
      <c r="I83" s="5" t="n"/>
      <c r="J83" s="5" t="n"/>
      <c r="K83" s="4">
        <f>IF(B83="","",IF(AND(F83&lt;&gt;"",OR(G83="",G83&gt;=TODAY())),"Active",IF(AND(F83&lt;&gt;"",G83&lt;TODAY()),"Expired",IF(F83="","Missing","Unknown"))))</f>
        <v/>
      </c>
      <c r="L83" s="5" t="n"/>
      <c r="M83" s="5" t="n"/>
      <c r="N83" s="5" t="n"/>
    </row>
    <row r="84">
      <c r="A84" s="4">
        <f>IF(ROW()-4&lt;=COUNTA(Personnel_Contract_Compliance!$A:$A)-4,INDEX(Personnel_Contract_Compliance!$A:$A,ROW()-3),"")</f>
        <v/>
      </c>
      <c r="B84" s="4">
        <f>IF(A84&lt;&gt;"",VLOOKUP(A84,Personnel_Contract_Compliance!$A:$B,2,FALSE),"")</f>
        <v/>
      </c>
      <c r="C84" s="4">
        <f>IF(A84&lt;&gt;"",VLOOKUP(A84,Personnel_Contract_Compliance!$A:$C,3,FALSE),"")</f>
        <v/>
      </c>
      <c r="D84" s="5" t="n"/>
      <c r="E84" s="5" t="n"/>
      <c r="F84" s="11" t="n"/>
      <c r="G84" s="11" t="n"/>
      <c r="H84" s="5" t="n"/>
      <c r="I84" s="5" t="n"/>
      <c r="J84" s="5" t="n"/>
      <c r="K84" s="4">
        <f>IF(B84="","",IF(AND(F84&lt;&gt;"",OR(G84="",G84&gt;=TODAY())),"Active",IF(AND(F84&lt;&gt;"",G84&lt;TODAY()),"Expired",IF(F84="","Missing","Unknown"))))</f>
        <v/>
      </c>
      <c r="L84" s="5" t="n"/>
      <c r="M84" s="5" t="n"/>
      <c r="N84" s="5" t="n"/>
    </row>
    <row r="85">
      <c r="A85" s="4">
        <f>IF(ROW()-4&lt;=COUNTA(Personnel_Contract_Compliance!$A:$A)-4,INDEX(Personnel_Contract_Compliance!$A:$A,ROW()-3),"")</f>
        <v/>
      </c>
      <c r="B85" s="4">
        <f>IF(A85&lt;&gt;"",VLOOKUP(A85,Personnel_Contract_Compliance!$A:$B,2,FALSE),"")</f>
        <v/>
      </c>
      <c r="C85" s="4">
        <f>IF(A85&lt;&gt;"",VLOOKUP(A85,Personnel_Contract_Compliance!$A:$C,3,FALSE),"")</f>
        <v/>
      </c>
      <c r="D85" s="5" t="n"/>
      <c r="E85" s="5" t="n"/>
      <c r="F85" s="11" t="n"/>
      <c r="G85" s="11" t="n"/>
      <c r="H85" s="5" t="n"/>
      <c r="I85" s="5" t="n"/>
      <c r="J85" s="5" t="n"/>
      <c r="K85" s="4">
        <f>IF(B85="","",IF(AND(F85&lt;&gt;"",OR(G85="",G85&gt;=TODAY())),"Active",IF(AND(F85&lt;&gt;"",G85&lt;TODAY()),"Expired",IF(F85="","Missing","Unknown"))))</f>
        <v/>
      </c>
      <c r="L85" s="5" t="n"/>
      <c r="M85" s="5" t="n"/>
      <c r="N85" s="5" t="n"/>
    </row>
    <row r="86">
      <c r="A86" s="4">
        <f>IF(ROW()-4&lt;=COUNTA(Personnel_Contract_Compliance!$A:$A)-4,INDEX(Personnel_Contract_Compliance!$A:$A,ROW()-3),"")</f>
        <v/>
      </c>
      <c r="B86" s="4">
        <f>IF(A86&lt;&gt;"",VLOOKUP(A86,Personnel_Contract_Compliance!$A:$B,2,FALSE),"")</f>
        <v/>
      </c>
      <c r="C86" s="4">
        <f>IF(A86&lt;&gt;"",VLOOKUP(A86,Personnel_Contract_Compliance!$A:$C,3,FALSE),"")</f>
        <v/>
      </c>
      <c r="D86" s="5" t="n"/>
      <c r="E86" s="5" t="n"/>
      <c r="F86" s="11" t="n"/>
      <c r="G86" s="11" t="n"/>
      <c r="H86" s="5" t="n"/>
      <c r="I86" s="5" t="n"/>
      <c r="J86" s="5" t="n"/>
      <c r="K86" s="4">
        <f>IF(B86="","",IF(AND(F86&lt;&gt;"",OR(G86="",G86&gt;=TODAY())),"Active",IF(AND(F86&lt;&gt;"",G86&lt;TODAY()),"Expired",IF(F86="","Missing","Unknown"))))</f>
        <v/>
      </c>
      <c r="L86" s="5" t="n"/>
      <c r="M86" s="5" t="n"/>
      <c r="N86" s="5" t="n"/>
    </row>
    <row r="87">
      <c r="A87" s="4">
        <f>IF(ROW()-4&lt;=COUNTA(Personnel_Contract_Compliance!$A:$A)-4,INDEX(Personnel_Contract_Compliance!$A:$A,ROW()-3),"")</f>
        <v/>
      </c>
      <c r="B87" s="4">
        <f>IF(A87&lt;&gt;"",VLOOKUP(A87,Personnel_Contract_Compliance!$A:$B,2,FALSE),"")</f>
        <v/>
      </c>
      <c r="C87" s="4">
        <f>IF(A87&lt;&gt;"",VLOOKUP(A87,Personnel_Contract_Compliance!$A:$C,3,FALSE),"")</f>
        <v/>
      </c>
      <c r="D87" s="5" t="n"/>
      <c r="E87" s="5" t="n"/>
      <c r="F87" s="11" t="n"/>
      <c r="G87" s="11" t="n"/>
      <c r="H87" s="5" t="n"/>
      <c r="I87" s="5" t="n"/>
      <c r="J87" s="5" t="n"/>
      <c r="K87" s="4">
        <f>IF(B87="","",IF(AND(F87&lt;&gt;"",OR(G87="",G87&gt;=TODAY())),"Active",IF(AND(F87&lt;&gt;"",G87&lt;TODAY()),"Expired",IF(F87="","Missing","Unknown"))))</f>
        <v/>
      </c>
      <c r="L87" s="5" t="n"/>
      <c r="M87" s="5" t="n"/>
      <c r="N87" s="5" t="n"/>
    </row>
    <row r="88">
      <c r="A88" s="4">
        <f>IF(ROW()-4&lt;=COUNTA(Personnel_Contract_Compliance!$A:$A)-4,INDEX(Personnel_Contract_Compliance!$A:$A,ROW()-3),"")</f>
        <v/>
      </c>
      <c r="B88" s="4">
        <f>IF(A88&lt;&gt;"",VLOOKUP(A88,Personnel_Contract_Compliance!$A:$B,2,FALSE),"")</f>
        <v/>
      </c>
      <c r="C88" s="4">
        <f>IF(A88&lt;&gt;"",VLOOKUP(A88,Personnel_Contract_Compliance!$A:$C,3,FALSE),"")</f>
        <v/>
      </c>
      <c r="D88" s="5" t="n"/>
      <c r="E88" s="5" t="n"/>
      <c r="F88" s="11" t="n"/>
      <c r="G88" s="11" t="n"/>
      <c r="H88" s="5" t="n"/>
      <c r="I88" s="5" t="n"/>
      <c r="J88" s="5" t="n"/>
      <c r="K88" s="4">
        <f>IF(B88="","",IF(AND(F88&lt;&gt;"",OR(G88="",G88&gt;=TODAY())),"Active",IF(AND(F88&lt;&gt;"",G88&lt;TODAY()),"Expired",IF(F88="","Missing","Unknown"))))</f>
        <v/>
      </c>
      <c r="L88" s="5" t="n"/>
      <c r="M88" s="5" t="n"/>
      <c r="N88" s="5" t="n"/>
    </row>
    <row r="89">
      <c r="A89" s="4">
        <f>IF(ROW()-4&lt;=COUNTA(Personnel_Contract_Compliance!$A:$A)-4,INDEX(Personnel_Contract_Compliance!$A:$A,ROW()-3),"")</f>
        <v/>
      </c>
      <c r="B89" s="4">
        <f>IF(A89&lt;&gt;"",VLOOKUP(A89,Personnel_Contract_Compliance!$A:$B,2,FALSE),"")</f>
        <v/>
      </c>
      <c r="C89" s="4">
        <f>IF(A89&lt;&gt;"",VLOOKUP(A89,Personnel_Contract_Compliance!$A:$C,3,FALSE),"")</f>
        <v/>
      </c>
      <c r="D89" s="5" t="n"/>
      <c r="E89" s="5" t="n"/>
      <c r="F89" s="11" t="n"/>
      <c r="G89" s="11" t="n"/>
      <c r="H89" s="5" t="n"/>
      <c r="I89" s="5" t="n"/>
      <c r="J89" s="5" t="n"/>
      <c r="K89" s="4">
        <f>IF(B89="","",IF(AND(F89&lt;&gt;"",OR(G89="",G89&gt;=TODAY())),"Active",IF(AND(F89&lt;&gt;"",G89&lt;TODAY()),"Expired",IF(F89="","Missing","Unknown"))))</f>
        <v/>
      </c>
      <c r="L89" s="5" t="n"/>
      <c r="M89" s="5" t="n"/>
      <c r="N89" s="5" t="n"/>
    </row>
    <row r="90">
      <c r="A90" s="4">
        <f>IF(ROW()-4&lt;=COUNTA(Personnel_Contract_Compliance!$A:$A)-4,INDEX(Personnel_Contract_Compliance!$A:$A,ROW()-3),"")</f>
        <v/>
      </c>
      <c r="B90" s="4">
        <f>IF(A90&lt;&gt;"",VLOOKUP(A90,Personnel_Contract_Compliance!$A:$B,2,FALSE),"")</f>
        <v/>
      </c>
      <c r="C90" s="4">
        <f>IF(A90&lt;&gt;"",VLOOKUP(A90,Personnel_Contract_Compliance!$A:$C,3,FALSE),"")</f>
        <v/>
      </c>
      <c r="D90" s="5" t="n"/>
      <c r="E90" s="5" t="n"/>
      <c r="F90" s="11" t="n"/>
      <c r="G90" s="11" t="n"/>
      <c r="H90" s="5" t="n"/>
      <c r="I90" s="5" t="n"/>
      <c r="J90" s="5" t="n"/>
      <c r="K90" s="4">
        <f>IF(B90="","",IF(AND(F90&lt;&gt;"",OR(G90="",G90&gt;=TODAY())),"Active",IF(AND(F90&lt;&gt;"",G90&lt;TODAY()),"Expired",IF(F90="","Missing","Unknown"))))</f>
        <v/>
      </c>
      <c r="L90" s="5" t="n"/>
      <c r="M90" s="5" t="n"/>
      <c r="N90" s="5" t="n"/>
    </row>
    <row r="91">
      <c r="A91" s="4">
        <f>IF(ROW()-4&lt;=COUNTA(Personnel_Contract_Compliance!$A:$A)-4,INDEX(Personnel_Contract_Compliance!$A:$A,ROW()-3),"")</f>
        <v/>
      </c>
      <c r="B91" s="4">
        <f>IF(A91&lt;&gt;"",VLOOKUP(A91,Personnel_Contract_Compliance!$A:$B,2,FALSE),"")</f>
        <v/>
      </c>
      <c r="C91" s="4">
        <f>IF(A91&lt;&gt;"",VLOOKUP(A91,Personnel_Contract_Compliance!$A:$C,3,FALSE),"")</f>
        <v/>
      </c>
      <c r="D91" s="5" t="n"/>
      <c r="E91" s="5" t="n"/>
      <c r="F91" s="11" t="n"/>
      <c r="G91" s="11" t="n"/>
      <c r="H91" s="5" t="n"/>
      <c r="I91" s="5" t="n"/>
      <c r="J91" s="5" t="n"/>
      <c r="K91" s="4">
        <f>IF(B91="","",IF(AND(F91&lt;&gt;"",OR(G91="",G91&gt;=TODAY())),"Active",IF(AND(F91&lt;&gt;"",G91&lt;TODAY()),"Expired",IF(F91="","Missing","Unknown"))))</f>
        <v/>
      </c>
      <c r="L91" s="5" t="n"/>
      <c r="M91" s="5" t="n"/>
      <c r="N91" s="5" t="n"/>
    </row>
    <row r="92">
      <c r="A92" s="4">
        <f>IF(ROW()-4&lt;=COUNTA(Personnel_Contract_Compliance!$A:$A)-4,INDEX(Personnel_Contract_Compliance!$A:$A,ROW()-3),"")</f>
        <v/>
      </c>
      <c r="B92" s="4">
        <f>IF(A92&lt;&gt;"",VLOOKUP(A92,Personnel_Contract_Compliance!$A:$B,2,FALSE),"")</f>
        <v/>
      </c>
      <c r="C92" s="4">
        <f>IF(A92&lt;&gt;"",VLOOKUP(A92,Personnel_Contract_Compliance!$A:$C,3,FALSE),"")</f>
        <v/>
      </c>
      <c r="D92" s="5" t="n"/>
      <c r="E92" s="5" t="n"/>
      <c r="F92" s="11" t="n"/>
      <c r="G92" s="11" t="n"/>
      <c r="H92" s="5" t="n"/>
      <c r="I92" s="5" t="n"/>
      <c r="J92" s="5" t="n"/>
      <c r="K92" s="4">
        <f>IF(B92="","",IF(AND(F92&lt;&gt;"",OR(G92="",G92&gt;=TODAY())),"Active",IF(AND(F92&lt;&gt;"",G92&lt;TODAY()),"Expired",IF(F92="","Missing","Unknown"))))</f>
        <v/>
      </c>
      <c r="L92" s="5" t="n"/>
      <c r="M92" s="5" t="n"/>
      <c r="N92" s="5" t="n"/>
    </row>
    <row r="93">
      <c r="A93" s="4">
        <f>IF(ROW()-4&lt;=COUNTA(Personnel_Contract_Compliance!$A:$A)-4,INDEX(Personnel_Contract_Compliance!$A:$A,ROW()-3),"")</f>
        <v/>
      </c>
      <c r="B93" s="4">
        <f>IF(A93&lt;&gt;"",VLOOKUP(A93,Personnel_Contract_Compliance!$A:$B,2,FALSE),"")</f>
        <v/>
      </c>
      <c r="C93" s="4">
        <f>IF(A93&lt;&gt;"",VLOOKUP(A93,Personnel_Contract_Compliance!$A:$C,3,FALSE),"")</f>
        <v/>
      </c>
      <c r="D93" s="5" t="n"/>
      <c r="E93" s="5" t="n"/>
      <c r="F93" s="11" t="n"/>
      <c r="G93" s="11" t="n"/>
      <c r="H93" s="5" t="n"/>
      <c r="I93" s="5" t="n"/>
      <c r="J93" s="5" t="n"/>
      <c r="K93" s="4">
        <f>IF(B93="","",IF(AND(F93&lt;&gt;"",OR(G93="",G93&gt;=TODAY())),"Active",IF(AND(F93&lt;&gt;"",G93&lt;TODAY()),"Expired",IF(F93="","Missing","Unknown"))))</f>
        <v/>
      </c>
      <c r="L93" s="5" t="n"/>
      <c r="M93" s="5" t="n"/>
      <c r="N93" s="5" t="n"/>
    </row>
    <row r="94">
      <c r="A94" s="4">
        <f>IF(ROW()-4&lt;=COUNTA(Personnel_Contract_Compliance!$A:$A)-4,INDEX(Personnel_Contract_Compliance!$A:$A,ROW()-3),"")</f>
        <v/>
      </c>
      <c r="B94" s="4">
        <f>IF(A94&lt;&gt;"",VLOOKUP(A94,Personnel_Contract_Compliance!$A:$B,2,FALSE),"")</f>
        <v/>
      </c>
      <c r="C94" s="4">
        <f>IF(A94&lt;&gt;"",VLOOKUP(A94,Personnel_Contract_Compliance!$A:$C,3,FALSE),"")</f>
        <v/>
      </c>
      <c r="D94" s="5" t="n"/>
      <c r="E94" s="5" t="n"/>
      <c r="F94" s="11" t="n"/>
      <c r="G94" s="11" t="n"/>
      <c r="H94" s="5" t="n"/>
      <c r="I94" s="5" t="n"/>
      <c r="J94" s="5" t="n"/>
      <c r="K94" s="4">
        <f>IF(B94="","",IF(AND(F94&lt;&gt;"",OR(G94="",G94&gt;=TODAY())),"Active",IF(AND(F94&lt;&gt;"",G94&lt;TODAY()),"Expired",IF(F94="","Missing","Unknown"))))</f>
        <v/>
      </c>
      <c r="L94" s="5" t="n"/>
      <c r="M94" s="5" t="n"/>
      <c r="N94" s="5" t="n"/>
    </row>
    <row r="95">
      <c r="A95" s="4">
        <f>IF(ROW()-4&lt;=COUNTA(Personnel_Contract_Compliance!$A:$A)-4,INDEX(Personnel_Contract_Compliance!$A:$A,ROW()-3),"")</f>
        <v/>
      </c>
      <c r="B95" s="4">
        <f>IF(A95&lt;&gt;"",VLOOKUP(A95,Personnel_Contract_Compliance!$A:$B,2,FALSE),"")</f>
        <v/>
      </c>
      <c r="C95" s="4">
        <f>IF(A95&lt;&gt;"",VLOOKUP(A95,Personnel_Contract_Compliance!$A:$C,3,FALSE),"")</f>
        <v/>
      </c>
      <c r="D95" s="5" t="n"/>
      <c r="E95" s="5" t="n"/>
      <c r="F95" s="11" t="n"/>
      <c r="G95" s="11" t="n"/>
      <c r="H95" s="5" t="n"/>
      <c r="I95" s="5" t="n"/>
      <c r="J95" s="5" t="n"/>
      <c r="K95" s="4">
        <f>IF(B95="","",IF(AND(F95&lt;&gt;"",OR(G95="",G95&gt;=TODAY())),"Active",IF(AND(F95&lt;&gt;"",G95&lt;TODAY()),"Expired",IF(F95="","Missing","Unknown"))))</f>
        <v/>
      </c>
      <c r="L95" s="5" t="n"/>
      <c r="M95" s="5" t="n"/>
      <c r="N95" s="5" t="n"/>
    </row>
    <row r="96">
      <c r="A96" s="4">
        <f>IF(ROW()-4&lt;=COUNTA(Personnel_Contract_Compliance!$A:$A)-4,INDEX(Personnel_Contract_Compliance!$A:$A,ROW()-3),"")</f>
        <v/>
      </c>
      <c r="B96" s="4">
        <f>IF(A96&lt;&gt;"",VLOOKUP(A96,Personnel_Contract_Compliance!$A:$B,2,FALSE),"")</f>
        <v/>
      </c>
      <c r="C96" s="4">
        <f>IF(A96&lt;&gt;"",VLOOKUP(A96,Personnel_Contract_Compliance!$A:$C,3,FALSE),"")</f>
        <v/>
      </c>
      <c r="D96" s="5" t="n"/>
      <c r="E96" s="5" t="n"/>
      <c r="F96" s="11" t="n"/>
      <c r="G96" s="11" t="n"/>
      <c r="H96" s="5" t="n"/>
      <c r="I96" s="5" t="n"/>
      <c r="J96" s="5" t="n"/>
      <c r="K96" s="4">
        <f>IF(B96="","",IF(AND(F96&lt;&gt;"",OR(G96="",G96&gt;=TODAY())),"Active",IF(AND(F96&lt;&gt;"",G96&lt;TODAY()),"Expired",IF(F96="","Missing","Unknown"))))</f>
        <v/>
      </c>
      <c r="L96" s="5" t="n"/>
      <c r="M96" s="5" t="n"/>
      <c r="N96" s="5" t="n"/>
    </row>
    <row r="97">
      <c r="A97" s="4">
        <f>IF(ROW()-4&lt;=COUNTA(Personnel_Contract_Compliance!$A:$A)-4,INDEX(Personnel_Contract_Compliance!$A:$A,ROW()-3),"")</f>
        <v/>
      </c>
      <c r="B97" s="4">
        <f>IF(A97&lt;&gt;"",VLOOKUP(A97,Personnel_Contract_Compliance!$A:$B,2,FALSE),"")</f>
        <v/>
      </c>
      <c r="C97" s="4">
        <f>IF(A97&lt;&gt;"",VLOOKUP(A97,Personnel_Contract_Compliance!$A:$C,3,FALSE),"")</f>
        <v/>
      </c>
      <c r="D97" s="5" t="n"/>
      <c r="E97" s="5" t="n"/>
      <c r="F97" s="11" t="n"/>
      <c r="G97" s="11" t="n"/>
      <c r="H97" s="5" t="n"/>
      <c r="I97" s="5" t="n"/>
      <c r="J97" s="5" t="n"/>
      <c r="K97" s="4">
        <f>IF(B97="","",IF(AND(F97&lt;&gt;"",OR(G97="",G97&gt;=TODAY())),"Active",IF(AND(F97&lt;&gt;"",G97&lt;TODAY()),"Expired",IF(F97="","Missing","Unknown"))))</f>
        <v/>
      </c>
      <c r="L97" s="5" t="n"/>
      <c r="M97" s="5" t="n"/>
      <c r="N97" s="5" t="n"/>
    </row>
    <row r="98">
      <c r="A98" s="4">
        <f>IF(ROW()-4&lt;=COUNTA(Personnel_Contract_Compliance!$A:$A)-4,INDEX(Personnel_Contract_Compliance!$A:$A,ROW()-3),"")</f>
        <v/>
      </c>
      <c r="B98" s="4">
        <f>IF(A98&lt;&gt;"",VLOOKUP(A98,Personnel_Contract_Compliance!$A:$B,2,FALSE),"")</f>
        <v/>
      </c>
      <c r="C98" s="4">
        <f>IF(A98&lt;&gt;"",VLOOKUP(A98,Personnel_Contract_Compliance!$A:$C,3,FALSE),"")</f>
        <v/>
      </c>
      <c r="D98" s="5" t="n"/>
      <c r="E98" s="5" t="n"/>
      <c r="F98" s="11" t="n"/>
      <c r="G98" s="11" t="n"/>
      <c r="H98" s="5" t="n"/>
      <c r="I98" s="5" t="n"/>
      <c r="J98" s="5" t="n"/>
      <c r="K98" s="4">
        <f>IF(B98="","",IF(AND(F98&lt;&gt;"",OR(G98="",G98&gt;=TODAY())),"Active",IF(AND(F98&lt;&gt;"",G98&lt;TODAY()),"Expired",IF(F98="","Missing","Unknown"))))</f>
        <v/>
      </c>
      <c r="L98" s="5" t="n"/>
      <c r="M98" s="5" t="n"/>
      <c r="N98" s="5" t="n"/>
    </row>
    <row r="99">
      <c r="A99" s="4">
        <f>IF(ROW()-4&lt;=COUNTA(Personnel_Contract_Compliance!$A:$A)-4,INDEX(Personnel_Contract_Compliance!$A:$A,ROW()-3),"")</f>
        <v/>
      </c>
      <c r="B99" s="4">
        <f>IF(A99&lt;&gt;"",VLOOKUP(A99,Personnel_Contract_Compliance!$A:$B,2,FALSE),"")</f>
        <v/>
      </c>
      <c r="C99" s="4">
        <f>IF(A99&lt;&gt;"",VLOOKUP(A99,Personnel_Contract_Compliance!$A:$C,3,FALSE),"")</f>
        <v/>
      </c>
      <c r="D99" s="5" t="n"/>
      <c r="E99" s="5" t="n"/>
      <c r="F99" s="11" t="n"/>
      <c r="G99" s="11" t="n"/>
      <c r="H99" s="5" t="n"/>
      <c r="I99" s="5" t="n"/>
      <c r="J99" s="5" t="n"/>
      <c r="K99" s="4">
        <f>IF(B99="","",IF(AND(F99&lt;&gt;"",OR(G99="",G99&gt;=TODAY())),"Active",IF(AND(F99&lt;&gt;"",G99&lt;TODAY()),"Expired",IF(F99="","Missing","Unknown"))))</f>
        <v/>
      </c>
      <c r="L99" s="5" t="n"/>
      <c r="M99" s="5" t="n"/>
      <c r="N99" s="5" t="n"/>
    </row>
    <row r="100">
      <c r="A100" s="4">
        <f>IF(ROW()-4&lt;=COUNTA(Personnel_Contract_Compliance!$A:$A)-4,INDEX(Personnel_Contract_Compliance!$A:$A,ROW()-3),"")</f>
        <v/>
      </c>
      <c r="B100" s="4">
        <f>IF(A100&lt;&gt;"",VLOOKUP(A100,Personnel_Contract_Compliance!$A:$B,2,FALSE),"")</f>
        <v/>
      </c>
      <c r="C100" s="4">
        <f>IF(A100&lt;&gt;"",VLOOKUP(A100,Personnel_Contract_Compliance!$A:$C,3,FALSE),"")</f>
        <v/>
      </c>
      <c r="D100" s="5" t="n"/>
      <c r="E100" s="5" t="n"/>
      <c r="F100" s="11" t="n"/>
      <c r="G100" s="11" t="n"/>
      <c r="H100" s="5" t="n"/>
      <c r="I100" s="5" t="n"/>
      <c r="J100" s="5" t="n"/>
      <c r="K100" s="4">
        <f>IF(B100="","",IF(AND(F100&lt;&gt;"",OR(G100="",G100&gt;=TODAY())),"Active",IF(AND(F100&lt;&gt;"",G100&lt;TODAY()),"Expired",IF(F100="","Missing","Unknown"))))</f>
        <v/>
      </c>
      <c r="L100" s="5" t="n"/>
      <c r="M100" s="5" t="n"/>
      <c r="N100" s="5" t="n"/>
    </row>
    <row r="101">
      <c r="A101" s="4">
        <f>IF(ROW()-4&lt;=COUNTA(Personnel_Contract_Compliance!$A:$A)-4,INDEX(Personnel_Contract_Compliance!$A:$A,ROW()-3),"")</f>
        <v/>
      </c>
      <c r="B101" s="4">
        <f>IF(A101&lt;&gt;"",VLOOKUP(A101,Personnel_Contract_Compliance!$A:$B,2,FALSE),"")</f>
        <v/>
      </c>
      <c r="C101" s="4">
        <f>IF(A101&lt;&gt;"",VLOOKUP(A101,Personnel_Contract_Compliance!$A:$C,3,FALSE),"")</f>
        <v/>
      </c>
      <c r="D101" s="5" t="n"/>
      <c r="E101" s="5" t="n"/>
      <c r="F101" s="11" t="n"/>
      <c r="G101" s="11" t="n"/>
      <c r="H101" s="5" t="n"/>
      <c r="I101" s="5" t="n"/>
      <c r="J101" s="5" t="n"/>
      <c r="K101" s="4">
        <f>IF(B101="","",IF(AND(F101&lt;&gt;"",OR(G101="",G101&gt;=TODAY())),"Active",IF(AND(F101&lt;&gt;"",G101&lt;TODAY()),"Expired",IF(F101="","Missing","Unknown"))))</f>
        <v/>
      </c>
      <c r="L101" s="5" t="n"/>
      <c r="M101" s="5" t="n"/>
      <c r="N101" s="5" t="n"/>
    </row>
    <row r="102">
      <c r="A102" s="4">
        <f>IF(ROW()-4&lt;=COUNTA(Personnel_Contract_Compliance!$A:$A)-4,INDEX(Personnel_Contract_Compliance!$A:$A,ROW()-3),"")</f>
        <v/>
      </c>
      <c r="B102" s="4">
        <f>IF(A102&lt;&gt;"",VLOOKUP(A102,Personnel_Contract_Compliance!$A:$B,2,FALSE),"")</f>
        <v/>
      </c>
      <c r="C102" s="4">
        <f>IF(A102&lt;&gt;"",VLOOKUP(A102,Personnel_Contract_Compliance!$A:$C,3,FALSE),"")</f>
        <v/>
      </c>
      <c r="D102" s="5" t="n"/>
      <c r="E102" s="5" t="n"/>
      <c r="F102" s="11" t="n"/>
      <c r="G102" s="11" t="n"/>
      <c r="H102" s="5" t="n"/>
      <c r="I102" s="5" t="n"/>
      <c r="J102" s="5" t="n"/>
      <c r="K102" s="4">
        <f>IF(B102="","",IF(AND(F102&lt;&gt;"",OR(G102="",G102&gt;=TODAY())),"Active",IF(AND(F102&lt;&gt;"",G102&lt;TODAY()),"Expired",IF(F102="","Missing","Unknown"))))</f>
        <v/>
      </c>
      <c r="L102" s="5" t="n"/>
      <c r="M102" s="5" t="n"/>
      <c r="N102" s="5" t="n"/>
    </row>
    <row r="103">
      <c r="A103" s="4">
        <f>IF(ROW()-4&lt;=COUNTA(Personnel_Contract_Compliance!$A:$A)-4,INDEX(Personnel_Contract_Compliance!$A:$A,ROW()-3),"")</f>
        <v/>
      </c>
      <c r="B103" s="4">
        <f>IF(A103&lt;&gt;"",VLOOKUP(A103,Personnel_Contract_Compliance!$A:$B,2,FALSE),"")</f>
        <v/>
      </c>
      <c r="C103" s="4">
        <f>IF(A103&lt;&gt;"",VLOOKUP(A103,Personnel_Contract_Compliance!$A:$C,3,FALSE),"")</f>
        <v/>
      </c>
      <c r="D103" s="5" t="n"/>
      <c r="E103" s="5" t="n"/>
      <c r="F103" s="11" t="n"/>
      <c r="G103" s="11" t="n"/>
      <c r="H103" s="5" t="n"/>
      <c r="I103" s="5" t="n"/>
      <c r="J103" s="5" t="n"/>
      <c r="K103" s="4">
        <f>IF(B103="","",IF(AND(F103&lt;&gt;"",OR(G103="",G103&gt;=TODAY())),"Active",IF(AND(F103&lt;&gt;"",G103&lt;TODAY()),"Expired",IF(F103="","Missing","Unknown"))))</f>
        <v/>
      </c>
      <c r="L103" s="5" t="n"/>
      <c r="M103" s="5" t="n"/>
      <c r="N103" s="5" t="n"/>
    </row>
    <row r="104">
      <c r="A104" s="4">
        <f>IF(ROW()-4&lt;=COUNTA(Personnel_Contract_Compliance!$A:$A)-4,INDEX(Personnel_Contract_Compliance!$A:$A,ROW()-3),"")</f>
        <v/>
      </c>
      <c r="B104" s="4">
        <f>IF(A104&lt;&gt;"",VLOOKUP(A104,Personnel_Contract_Compliance!$A:$B,2,FALSE),"")</f>
        <v/>
      </c>
      <c r="C104" s="4">
        <f>IF(A104&lt;&gt;"",VLOOKUP(A104,Personnel_Contract_Compliance!$A:$C,3,FALSE),"")</f>
        <v/>
      </c>
      <c r="D104" s="5" t="n"/>
      <c r="E104" s="5" t="n"/>
      <c r="F104" s="11" t="n"/>
      <c r="G104" s="11" t="n"/>
      <c r="H104" s="5" t="n"/>
      <c r="I104" s="5" t="n"/>
      <c r="J104" s="5" t="n"/>
      <c r="K104" s="4">
        <f>IF(B104="","",IF(AND(F104&lt;&gt;"",OR(G104="",G104&gt;=TODAY())),"Active",IF(AND(F104&lt;&gt;"",G104&lt;TODAY()),"Expired",IF(F104="","Missing","Unknown"))))</f>
        <v/>
      </c>
      <c r="L104" s="5" t="n"/>
      <c r="M104" s="5" t="n"/>
      <c r="N104" s="5" t="n"/>
    </row>
    <row r="105">
      <c r="A105" s="4">
        <f>IF(ROW()-4&lt;=COUNTA(Personnel_Contract_Compliance!$A:$A)-4,INDEX(Personnel_Contract_Compliance!$A:$A,ROW()-3),"")</f>
        <v/>
      </c>
      <c r="B105" s="4">
        <f>IF(A105&lt;&gt;"",VLOOKUP(A105,Personnel_Contract_Compliance!$A:$B,2,FALSE),"")</f>
        <v/>
      </c>
      <c r="C105" s="4">
        <f>IF(A105&lt;&gt;"",VLOOKUP(A105,Personnel_Contract_Compliance!$A:$C,3,FALSE),"")</f>
        <v/>
      </c>
      <c r="D105" s="5" t="n"/>
      <c r="E105" s="5" t="n"/>
      <c r="F105" s="11" t="n"/>
      <c r="G105" s="11" t="n"/>
      <c r="H105" s="5" t="n"/>
      <c r="I105" s="5" t="n"/>
      <c r="J105" s="5" t="n"/>
      <c r="K105" s="4">
        <f>IF(B105="","",IF(AND(F105&lt;&gt;"",OR(G105="",G105&gt;=TODAY())),"Active",IF(AND(F105&lt;&gt;"",G105&lt;TODAY()),"Expired",IF(F105="","Missing","Unknown"))))</f>
        <v/>
      </c>
      <c r="L105" s="5" t="n"/>
      <c r="M105" s="5" t="n"/>
      <c r="N105" s="5" t="n"/>
    </row>
    <row r="106">
      <c r="A106" s="4">
        <f>IF(ROW()-4&lt;=COUNTA(Personnel_Contract_Compliance!$A:$A)-4,INDEX(Personnel_Contract_Compliance!$A:$A,ROW()-3),"")</f>
        <v/>
      </c>
      <c r="B106" s="4">
        <f>IF(A106&lt;&gt;"",VLOOKUP(A106,Personnel_Contract_Compliance!$A:$B,2,FALSE),"")</f>
        <v/>
      </c>
      <c r="C106" s="4">
        <f>IF(A106&lt;&gt;"",VLOOKUP(A106,Personnel_Contract_Compliance!$A:$C,3,FALSE),"")</f>
        <v/>
      </c>
      <c r="D106" s="5" t="n"/>
      <c r="E106" s="5" t="n"/>
      <c r="F106" s="11" t="n"/>
      <c r="G106" s="11" t="n"/>
      <c r="H106" s="5" t="n"/>
      <c r="I106" s="5" t="n"/>
      <c r="J106" s="5" t="n"/>
      <c r="K106" s="4">
        <f>IF(B106="","",IF(AND(F106&lt;&gt;"",OR(G106="",G106&gt;=TODAY())),"Active",IF(AND(F106&lt;&gt;"",G106&lt;TODAY()),"Expired",IF(F106="","Missing","Unknown"))))</f>
        <v/>
      </c>
      <c r="L106" s="5" t="n"/>
      <c r="M106" s="5" t="n"/>
      <c r="N106" s="5" t="n"/>
    </row>
    <row r="107">
      <c r="A107" s="4">
        <f>IF(ROW()-4&lt;=COUNTA(Personnel_Contract_Compliance!$A:$A)-4,INDEX(Personnel_Contract_Compliance!$A:$A,ROW()-3),"")</f>
        <v/>
      </c>
      <c r="B107" s="4">
        <f>IF(A107&lt;&gt;"",VLOOKUP(A107,Personnel_Contract_Compliance!$A:$B,2,FALSE),"")</f>
        <v/>
      </c>
      <c r="C107" s="4">
        <f>IF(A107&lt;&gt;"",VLOOKUP(A107,Personnel_Contract_Compliance!$A:$C,3,FALSE),"")</f>
        <v/>
      </c>
      <c r="D107" s="5" t="n"/>
      <c r="E107" s="5" t="n"/>
      <c r="F107" s="11" t="n"/>
      <c r="G107" s="11" t="n"/>
      <c r="H107" s="5" t="n"/>
      <c r="I107" s="5" t="n"/>
      <c r="J107" s="5" t="n"/>
      <c r="K107" s="4">
        <f>IF(B107="","",IF(AND(F107&lt;&gt;"",OR(G107="",G107&gt;=TODAY())),"Active",IF(AND(F107&lt;&gt;"",G107&lt;TODAY()),"Expired",IF(F107="","Missing","Unknown"))))</f>
        <v/>
      </c>
      <c r="L107" s="5" t="n"/>
      <c r="M107" s="5" t="n"/>
      <c r="N107" s="5" t="n"/>
    </row>
    <row r="108">
      <c r="A108" s="4">
        <f>IF(ROW()-4&lt;=COUNTA(Personnel_Contract_Compliance!$A:$A)-4,INDEX(Personnel_Contract_Compliance!$A:$A,ROW()-3),"")</f>
        <v/>
      </c>
      <c r="B108" s="4">
        <f>IF(A108&lt;&gt;"",VLOOKUP(A108,Personnel_Contract_Compliance!$A:$B,2,FALSE),"")</f>
        <v/>
      </c>
      <c r="C108" s="4">
        <f>IF(A108&lt;&gt;"",VLOOKUP(A108,Personnel_Contract_Compliance!$A:$C,3,FALSE),"")</f>
        <v/>
      </c>
      <c r="D108" s="5" t="n"/>
      <c r="E108" s="5" t="n"/>
      <c r="F108" s="11" t="n"/>
      <c r="G108" s="11" t="n"/>
      <c r="H108" s="5" t="n"/>
      <c r="I108" s="5" t="n"/>
      <c r="J108" s="5" t="n"/>
      <c r="K108" s="4">
        <f>IF(B108="","",IF(AND(F108&lt;&gt;"",OR(G108="",G108&gt;=TODAY())),"Active",IF(AND(F108&lt;&gt;"",G108&lt;TODAY()),"Expired",IF(F108="","Missing","Unknown"))))</f>
        <v/>
      </c>
      <c r="L108" s="5" t="n"/>
      <c r="M108" s="5" t="n"/>
      <c r="N108" s="5" t="n"/>
    </row>
    <row r="109">
      <c r="A109" s="4">
        <f>IF(ROW()-4&lt;=COUNTA(Personnel_Contract_Compliance!$A:$A)-4,INDEX(Personnel_Contract_Compliance!$A:$A,ROW()-3),"")</f>
        <v/>
      </c>
      <c r="B109" s="4">
        <f>IF(A109&lt;&gt;"",VLOOKUP(A109,Personnel_Contract_Compliance!$A:$B,2,FALSE),"")</f>
        <v/>
      </c>
      <c r="C109" s="4">
        <f>IF(A109&lt;&gt;"",VLOOKUP(A109,Personnel_Contract_Compliance!$A:$C,3,FALSE),"")</f>
        <v/>
      </c>
      <c r="D109" s="5" t="n"/>
      <c r="E109" s="5" t="n"/>
      <c r="F109" s="11" t="n"/>
      <c r="G109" s="11" t="n"/>
      <c r="H109" s="5" t="n"/>
      <c r="I109" s="5" t="n"/>
      <c r="J109" s="5" t="n"/>
      <c r="K109" s="4">
        <f>IF(B109="","",IF(AND(F109&lt;&gt;"",OR(G109="",G109&gt;=TODAY())),"Active",IF(AND(F109&lt;&gt;"",G109&lt;TODAY()),"Expired",IF(F109="","Missing","Unknown"))))</f>
        <v/>
      </c>
      <c r="L109" s="5" t="n"/>
      <c r="M109" s="5" t="n"/>
      <c r="N109" s="5" t="n"/>
    </row>
    <row r="110">
      <c r="A110" s="4">
        <f>IF(ROW()-4&lt;=COUNTA(Personnel_Contract_Compliance!$A:$A)-4,INDEX(Personnel_Contract_Compliance!$A:$A,ROW()-3),"")</f>
        <v/>
      </c>
      <c r="B110" s="4">
        <f>IF(A110&lt;&gt;"",VLOOKUP(A110,Personnel_Contract_Compliance!$A:$B,2,FALSE),"")</f>
        <v/>
      </c>
      <c r="C110" s="4">
        <f>IF(A110&lt;&gt;"",VLOOKUP(A110,Personnel_Contract_Compliance!$A:$C,3,FALSE),"")</f>
        <v/>
      </c>
      <c r="D110" s="5" t="n"/>
      <c r="E110" s="5" t="n"/>
      <c r="F110" s="11" t="n"/>
      <c r="G110" s="11" t="n"/>
      <c r="H110" s="5" t="n"/>
      <c r="I110" s="5" t="n"/>
      <c r="J110" s="5" t="n"/>
      <c r="K110" s="4">
        <f>IF(B110="","",IF(AND(F110&lt;&gt;"",OR(G110="",G110&gt;=TODAY())),"Active",IF(AND(F110&lt;&gt;"",G110&lt;TODAY()),"Expired",IF(F110="","Missing","Unknown"))))</f>
        <v/>
      </c>
      <c r="L110" s="5" t="n"/>
      <c r="M110" s="5" t="n"/>
      <c r="N110" s="5" t="n"/>
    </row>
    <row r="111">
      <c r="A111" s="4">
        <f>IF(ROW()-4&lt;=COUNTA(Personnel_Contract_Compliance!$A:$A)-4,INDEX(Personnel_Contract_Compliance!$A:$A,ROW()-3),"")</f>
        <v/>
      </c>
      <c r="B111" s="4">
        <f>IF(A111&lt;&gt;"",VLOOKUP(A111,Personnel_Contract_Compliance!$A:$B,2,FALSE),"")</f>
        <v/>
      </c>
      <c r="C111" s="4">
        <f>IF(A111&lt;&gt;"",VLOOKUP(A111,Personnel_Contract_Compliance!$A:$C,3,FALSE),"")</f>
        <v/>
      </c>
      <c r="D111" s="5" t="n"/>
      <c r="E111" s="5" t="n"/>
      <c r="F111" s="11" t="n"/>
      <c r="G111" s="11" t="n"/>
      <c r="H111" s="5" t="n"/>
      <c r="I111" s="5" t="n"/>
      <c r="J111" s="5" t="n"/>
      <c r="K111" s="4">
        <f>IF(B111="","",IF(AND(F111&lt;&gt;"",OR(G111="",G111&gt;=TODAY())),"Active",IF(AND(F111&lt;&gt;"",G111&lt;TODAY()),"Expired",IF(F111="","Missing","Unknown"))))</f>
        <v/>
      </c>
      <c r="L111" s="5" t="n"/>
      <c r="M111" s="5" t="n"/>
      <c r="N111" s="5" t="n"/>
    </row>
    <row r="112">
      <c r="A112" s="4">
        <f>IF(ROW()-4&lt;=COUNTA(Personnel_Contract_Compliance!$A:$A)-4,INDEX(Personnel_Contract_Compliance!$A:$A,ROW()-3),"")</f>
        <v/>
      </c>
      <c r="B112" s="4">
        <f>IF(A112&lt;&gt;"",VLOOKUP(A112,Personnel_Contract_Compliance!$A:$B,2,FALSE),"")</f>
        <v/>
      </c>
      <c r="C112" s="4">
        <f>IF(A112&lt;&gt;"",VLOOKUP(A112,Personnel_Contract_Compliance!$A:$C,3,FALSE),"")</f>
        <v/>
      </c>
      <c r="D112" s="5" t="n"/>
      <c r="E112" s="5" t="n"/>
      <c r="F112" s="11" t="n"/>
      <c r="G112" s="11" t="n"/>
      <c r="H112" s="5" t="n"/>
      <c r="I112" s="5" t="n"/>
      <c r="J112" s="5" t="n"/>
      <c r="K112" s="4">
        <f>IF(B112="","",IF(AND(F112&lt;&gt;"",OR(G112="",G112&gt;=TODAY())),"Active",IF(AND(F112&lt;&gt;"",G112&lt;TODAY()),"Expired",IF(F112="","Missing","Unknown"))))</f>
        <v/>
      </c>
      <c r="L112" s="5" t="n"/>
      <c r="M112" s="5" t="n"/>
      <c r="N112" s="5" t="n"/>
    </row>
    <row r="113">
      <c r="A113" s="4">
        <f>IF(ROW()-4&lt;=COUNTA(Personnel_Contract_Compliance!$A:$A)-4,INDEX(Personnel_Contract_Compliance!$A:$A,ROW()-3),"")</f>
        <v/>
      </c>
      <c r="B113" s="4">
        <f>IF(A113&lt;&gt;"",VLOOKUP(A113,Personnel_Contract_Compliance!$A:$B,2,FALSE),"")</f>
        <v/>
      </c>
      <c r="C113" s="4">
        <f>IF(A113&lt;&gt;"",VLOOKUP(A113,Personnel_Contract_Compliance!$A:$C,3,FALSE),"")</f>
        <v/>
      </c>
      <c r="D113" s="5" t="n"/>
      <c r="E113" s="5" t="n"/>
      <c r="F113" s="11" t="n"/>
      <c r="G113" s="11" t="n"/>
      <c r="H113" s="5" t="n"/>
      <c r="I113" s="5" t="n"/>
      <c r="J113" s="5" t="n"/>
      <c r="K113" s="4">
        <f>IF(B113="","",IF(AND(F113&lt;&gt;"",OR(G113="",G113&gt;=TODAY())),"Active",IF(AND(F113&lt;&gt;"",G113&lt;TODAY()),"Expired",IF(F113="","Missing","Unknown"))))</f>
        <v/>
      </c>
      <c r="L113" s="5" t="n"/>
      <c r="M113" s="5" t="n"/>
      <c r="N113" s="5" t="n"/>
    </row>
    <row r="114">
      <c r="A114" s="4">
        <f>IF(ROW()-4&lt;=COUNTA(Personnel_Contract_Compliance!$A:$A)-4,INDEX(Personnel_Contract_Compliance!$A:$A,ROW()-3),"")</f>
        <v/>
      </c>
      <c r="B114" s="4">
        <f>IF(A114&lt;&gt;"",VLOOKUP(A114,Personnel_Contract_Compliance!$A:$B,2,FALSE),"")</f>
        <v/>
      </c>
      <c r="C114" s="4">
        <f>IF(A114&lt;&gt;"",VLOOKUP(A114,Personnel_Contract_Compliance!$A:$C,3,FALSE),"")</f>
        <v/>
      </c>
      <c r="D114" s="5" t="n"/>
      <c r="E114" s="5" t="n"/>
      <c r="F114" s="11" t="n"/>
      <c r="G114" s="11" t="n"/>
      <c r="H114" s="5" t="n"/>
      <c r="I114" s="5" t="n"/>
      <c r="J114" s="5" t="n"/>
      <c r="K114" s="4">
        <f>IF(B114="","",IF(AND(F114&lt;&gt;"",OR(G114="",G114&gt;=TODAY())),"Active",IF(AND(F114&lt;&gt;"",G114&lt;TODAY()),"Expired",IF(F114="","Missing","Unknown"))))</f>
        <v/>
      </c>
      <c r="L114" s="5" t="n"/>
      <c r="M114" s="5" t="n"/>
      <c r="N114" s="5" t="n"/>
    </row>
    <row r="115">
      <c r="A115" s="4">
        <f>IF(ROW()-4&lt;=COUNTA(Personnel_Contract_Compliance!$A:$A)-4,INDEX(Personnel_Contract_Compliance!$A:$A,ROW()-3),"")</f>
        <v/>
      </c>
      <c r="B115" s="4">
        <f>IF(A115&lt;&gt;"",VLOOKUP(A115,Personnel_Contract_Compliance!$A:$B,2,FALSE),"")</f>
        <v/>
      </c>
      <c r="C115" s="4">
        <f>IF(A115&lt;&gt;"",VLOOKUP(A115,Personnel_Contract_Compliance!$A:$C,3,FALSE),"")</f>
        <v/>
      </c>
      <c r="D115" s="5" t="n"/>
      <c r="E115" s="5" t="n"/>
      <c r="F115" s="11" t="n"/>
      <c r="G115" s="11" t="n"/>
      <c r="H115" s="5" t="n"/>
      <c r="I115" s="5" t="n"/>
      <c r="J115" s="5" t="n"/>
      <c r="K115" s="4">
        <f>IF(B115="","",IF(AND(F115&lt;&gt;"",OR(G115="",G115&gt;=TODAY())),"Active",IF(AND(F115&lt;&gt;"",G115&lt;TODAY()),"Expired",IF(F115="","Missing","Unknown"))))</f>
        <v/>
      </c>
      <c r="L115" s="5" t="n"/>
      <c r="M115" s="5" t="n"/>
      <c r="N115" s="5" t="n"/>
    </row>
    <row r="116">
      <c r="A116" s="4">
        <f>IF(ROW()-4&lt;=COUNTA(Personnel_Contract_Compliance!$A:$A)-4,INDEX(Personnel_Contract_Compliance!$A:$A,ROW()-3),"")</f>
        <v/>
      </c>
      <c r="B116" s="4">
        <f>IF(A116&lt;&gt;"",VLOOKUP(A116,Personnel_Contract_Compliance!$A:$B,2,FALSE),"")</f>
        <v/>
      </c>
      <c r="C116" s="4">
        <f>IF(A116&lt;&gt;"",VLOOKUP(A116,Personnel_Contract_Compliance!$A:$C,3,FALSE),"")</f>
        <v/>
      </c>
      <c r="D116" s="5" t="n"/>
      <c r="E116" s="5" t="n"/>
      <c r="F116" s="11" t="n"/>
      <c r="G116" s="11" t="n"/>
      <c r="H116" s="5" t="n"/>
      <c r="I116" s="5" t="n"/>
      <c r="J116" s="5" t="n"/>
      <c r="K116" s="4">
        <f>IF(B116="","",IF(AND(F116&lt;&gt;"",OR(G116="",G116&gt;=TODAY())),"Active",IF(AND(F116&lt;&gt;"",G116&lt;TODAY()),"Expired",IF(F116="","Missing","Unknown"))))</f>
        <v/>
      </c>
      <c r="L116" s="5" t="n"/>
      <c r="M116" s="5" t="n"/>
      <c r="N116" s="5" t="n"/>
    </row>
    <row r="117">
      <c r="A117" s="4">
        <f>IF(ROW()-4&lt;=COUNTA(Personnel_Contract_Compliance!$A:$A)-4,INDEX(Personnel_Contract_Compliance!$A:$A,ROW()-3),"")</f>
        <v/>
      </c>
      <c r="B117" s="4">
        <f>IF(A117&lt;&gt;"",VLOOKUP(A117,Personnel_Contract_Compliance!$A:$B,2,FALSE),"")</f>
        <v/>
      </c>
      <c r="C117" s="4">
        <f>IF(A117&lt;&gt;"",VLOOKUP(A117,Personnel_Contract_Compliance!$A:$C,3,FALSE),"")</f>
        <v/>
      </c>
      <c r="D117" s="5" t="n"/>
      <c r="E117" s="5" t="n"/>
      <c r="F117" s="11" t="n"/>
      <c r="G117" s="11" t="n"/>
      <c r="H117" s="5" t="n"/>
      <c r="I117" s="5" t="n"/>
      <c r="J117" s="5" t="n"/>
      <c r="K117" s="4">
        <f>IF(B117="","",IF(AND(F117&lt;&gt;"",OR(G117="",G117&gt;=TODAY())),"Active",IF(AND(F117&lt;&gt;"",G117&lt;TODAY()),"Expired",IF(F117="","Missing","Unknown"))))</f>
        <v/>
      </c>
      <c r="L117" s="5" t="n"/>
      <c r="M117" s="5" t="n"/>
      <c r="N117" s="5" t="n"/>
    </row>
    <row r="118">
      <c r="A118" s="4">
        <f>IF(ROW()-4&lt;=COUNTA(Personnel_Contract_Compliance!$A:$A)-4,INDEX(Personnel_Contract_Compliance!$A:$A,ROW()-3),"")</f>
        <v/>
      </c>
      <c r="B118" s="4">
        <f>IF(A118&lt;&gt;"",VLOOKUP(A118,Personnel_Contract_Compliance!$A:$B,2,FALSE),"")</f>
        <v/>
      </c>
      <c r="C118" s="4">
        <f>IF(A118&lt;&gt;"",VLOOKUP(A118,Personnel_Contract_Compliance!$A:$C,3,FALSE),"")</f>
        <v/>
      </c>
      <c r="D118" s="5" t="n"/>
      <c r="E118" s="5" t="n"/>
      <c r="F118" s="11" t="n"/>
      <c r="G118" s="11" t="n"/>
      <c r="H118" s="5" t="n"/>
      <c r="I118" s="5" t="n"/>
      <c r="J118" s="5" t="n"/>
      <c r="K118" s="4">
        <f>IF(B118="","",IF(AND(F118&lt;&gt;"",OR(G118="",G118&gt;=TODAY())),"Active",IF(AND(F118&lt;&gt;"",G118&lt;TODAY()),"Expired",IF(F118="","Missing","Unknown"))))</f>
        <v/>
      </c>
      <c r="L118" s="5" t="n"/>
      <c r="M118" s="5" t="n"/>
      <c r="N118" s="5" t="n"/>
    </row>
    <row r="119">
      <c r="A119" s="4">
        <f>IF(ROW()-4&lt;=COUNTA(Personnel_Contract_Compliance!$A:$A)-4,INDEX(Personnel_Contract_Compliance!$A:$A,ROW()-3),"")</f>
        <v/>
      </c>
      <c r="B119" s="4">
        <f>IF(A119&lt;&gt;"",VLOOKUP(A119,Personnel_Contract_Compliance!$A:$B,2,FALSE),"")</f>
        <v/>
      </c>
      <c r="C119" s="4">
        <f>IF(A119&lt;&gt;"",VLOOKUP(A119,Personnel_Contract_Compliance!$A:$C,3,FALSE),"")</f>
        <v/>
      </c>
      <c r="D119" s="5" t="n"/>
      <c r="E119" s="5" t="n"/>
      <c r="F119" s="11" t="n"/>
      <c r="G119" s="11" t="n"/>
      <c r="H119" s="5" t="n"/>
      <c r="I119" s="5" t="n"/>
      <c r="J119" s="5" t="n"/>
      <c r="K119" s="4">
        <f>IF(B119="","",IF(AND(F119&lt;&gt;"",OR(G119="",G119&gt;=TODAY())),"Active",IF(AND(F119&lt;&gt;"",G119&lt;TODAY()),"Expired",IF(F119="","Missing","Unknown"))))</f>
        <v/>
      </c>
      <c r="L119" s="5" t="n"/>
      <c r="M119" s="5" t="n"/>
      <c r="N119" s="5" t="n"/>
    </row>
    <row r="120">
      <c r="A120" s="4">
        <f>IF(ROW()-4&lt;=COUNTA(Personnel_Contract_Compliance!$A:$A)-4,INDEX(Personnel_Contract_Compliance!$A:$A,ROW()-3),"")</f>
        <v/>
      </c>
      <c r="B120" s="4">
        <f>IF(A120&lt;&gt;"",VLOOKUP(A120,Personnel_Contract_Compliance!$A:$B,2,FALSE),"")</f>
        <v/>
      </c>
      <c r="C120" s="4">
        <f>IF(A120&lt;&gt;"",VLOOKUP(A120,Personnel_Contract_Compliance!$A:$C,3,FALSE),"")</f>
        <v/>
      </c>
      <c r="D120" s="5" t="n"/>
      <c r="E120" s="5" t="n"/>
      <c r="F120" s="11" t="n"/>
      <c r="G120" s="11" t="n"/>
      <c r="H120" s="5" t="n"/>
      <c r="I120" s="5" t="n"/>
      <c r="J120" s="5" t="n"/>
      <c r="K120" s="4">
        <f>IF(B120="","",IF(AND(F120&lt;&gt;"",OR(G120="",G120&gt;=TODAY())),"Active",IF(AND(F120&lt;&gt;"",G120&lt;TODAY()),"Expired",IF(F120="","Missing","Unknown"))))</f>
        <v/>
      </c>
      <c r="L120" s="5" t="n"/>
      <c r="M120" s="5" t="n"/>
      <c r="N120" s="5" t="n"/>
    </row>
    <row r="121">
      <c r="A121" s="4">
        <f>IF(ROW()-4&lt;=COUNTA(Personnel_Contract_Compliance!$A:$A)-4,INDEX(Personnel_Contract_Compliance!$A:$A,ROW()-3),"")</f>
        <v/>
      </c>
      <c r="B121" s="4">
        <f>IF(A121&lt;&gt;"",VLOOKUP(A121,Personnel_Contract_Compliance!$A:$B,2,FALSE),"")</f>
        <v/>
      </c>
      <c r="C121" s="4">
        <f>IF(A121&lt;&gt;"",VLOOKUP(A121,Personnel_Contract_Compliance!$A:$C,3,FALSE),"")</f>
        <v/>
      </c>
      <c r="D121" s="5" t="n"/>
      <c r="E121" s="5" t="n"/>
      <c r="F121" s="11" t="n"/>
      <c r="G121" s="11" t="n"/>
      <c r="H121" s="5" t="n"/>
      <c r="I121" s="5" t="n"/>
      <c r="J121" s="5" t="n"/>
      <c r="K121" s="4">
        <f>IF(B121="","",IF(AND(F121&lt;&gt;"",OR(G121="",G121&gt;=TODAY())),"Active",IF(AND(F121&lt;&gt;"",G121&lt;TODAY()),"Expired",IF(F121="","Missing","Unknown"))))</f>
        <v/>
      </c>
      <c r="L121" s="5" t="n"/>
      <c r="M121" s="5" t="n"/>
      <c r="N121" s="5" t="n"/>
    </row>
    <row r="122">
      <c r="A122" s="4">
        <f>IF(ROW()-4&lt;=COUNTA(Personnel_Contract_Compliance!$A:$A)-4,INDEX(Personnel_Contract_Compliance!$A:$A,ROW()-3),"")</f>
        <v/>
      </c>
      <c r="B122" s="4">
        <f>IF(A122&lt;&gt;"",VLOOKUP(A122,Personnel_Contract_Compliance!$A:$B,2,FALSE),"")</f>
        <v/>
      </c>
      <c r="C122" s="4">
        <f>IF(A122&lt;&gt;"",VLOOKUP(A122,Personnel_Contract_Compliance!$A:$C,3,FALSE),"")</f>
        <v/>
      </c>
      <c r="D122" s="5" t="n"/>
      <c r="E122" s="5" t="n"/>
      <c r="F122" s="11" t="n"/>
      <c r="G122" s="11" t="n"/>
      <c r="H122" s="5" t="n"/>
      <c r="I122" s="5" t="n"/>
      <c r="J122" s="5" t="n"/>
      <c r="K122" s="4">
        <f>IF(B122="","",IF(AND(F122&lt;&gt;"",OR(G122="",G122&gt;=TODAY())),"Active",IF(AND(F122&lt;&gt;"",G122&lt;TODAY()),"Expired",IF(F122="","Missing","Unknown"))))</f>
        <v/>
      </c>
      <c r="L122" s="5" t="n"/>
      <c r="M122" s="5" t="n"/>
      <c r="N122" s="5" t="n"/>
    </row>
    <row r="123">
      <c r="A123" s="4">
        <f>IF(ROW()-4&lt;=COUNTA(Personnel_Contract_Compliance!$A:$A)-4,INDEX(Personnel_Contract_Compliance!$A:$A,ROW()-3),"")</f>
        <v/>
      </c>
      <c r="B123" s="4">
        <f>IF(A123&lt;&gt;"",VLOOKUP(A123,Personnel_Contract_Compliance!$A:$B,2,FALSE),"")</f>
        <v/>
      </c>
      <c r="C123" s="4">
        <f>IF(A123&lt;&gt;"",VLOOKUP(A123,Personnel_Contract_Compliance!$A:$C,3,FALSE),"")</f>
        <v/>
      </c>
      <c r="D123" s="5" t="n"/>
      <c r="E123" s="5" t="n"/>
      <c r="F123" s="11" t="n"/>
      <c r="G123" s="11" t="n"/>
      <c r="H123" s="5" t="n"/>
      <c r="I123" s="5" t="n"/>
      <c r="J123" s="5" t="n"/>
      <c r="K123" s="4">
        <f>IF(B123="","",IF(AND(F123&lt;&gt;"",OR(G123="",G123&gt;=TODAY())),"Active",IF(AND(F123&lt;&gt;"",G123&lt;TODAY()),"Expired",IF(F123="","Missing","Unknown"))))</f>
        <v/>
      </c>
      <c r="L123" s="5" t="n"/>
      <c r="M123" s="5" t="n"/>
      <c r="N123" s="5" t="n"/>
    </row>
    <row r="124">
      <c r="A124" s="4">
        <f>IF(ROW()-4&lt;=COUNTA(Personnel_Contract_Compliance!$A:$A)-4,INDEX(Personnel_Contract_Compliance!$A:$A,ROW()-3),"")</f>
        <v/>
      </c>
      <c r="B124" s="4">
        <f>IF(A124&lt;&gt;"",VLOOKUP(A124,Personnel_Contract_Compliance!$A:$B,2,FALSE),"")</f>
        <v/>
      </c>
      <c r="C124" s="4">
        <f>IF(A124&lt;&gt;"",VLOOKUP(A124,Personnel_Contract_Compliance!$A:$C,3,FALSE),"")</f>
        <v/>
      </c>
      <c r="D124" s="5" t="n"/>
      <c r="E124" s="5" t="n"/>
      <c r="F124" s="11" t="n"/>
      <c r="G124" s="11" t="n"/>
      <c r="H124" s="5" t="n"/>
      <c r="I124" s="5" t="n"/>
      <c r="J124" s="5" t="n"/>
      <c r="K124" s="4">
        <f>IF(B124="","",IF(AND(F124&lt;&gt;"",OR(G124="",G124&gt;=TODAY())),"Active",IF(AND(F124&lt;&gt;"",G124&lt;TODAY()),"Expired",IF(F124="","Missing","Unknown"))))</f>
        <v/>
      </c>
      <c r="L124" s="5" t="n"/>
      <c r="M124" s="5" t="n"/>
      <c r="N124" s="5" t="n"/>
    </row>
    <row r="125">
      <c r="A125" s="4">
        <f>IF(ROW()-4&lt;=COUNTA(Personnel_Contract_Compliance!$A:$A)-4,INDEX(Personnel_Contract_Compliance!$A:$A,ROW()-3),"")</f>
        <v/>
      </c>
      <c r="B125" s="4">
        <f>IF(A125&lt;&gt;"",VLOOKUP(A125,Personnel_Contract_Compliance!$A:$B,2,FALSE),"")</f>
        <v/>
      </c>
      <c r="C125" s="4">
        <f>IF(A125&lt;&gt;"",VLOOKUP(A125,Personnel_Contract_Compliance!$A:$C,3,FALSE),"")</f>
        <v/>
      </c>
      <c r="D125" s="5" t="n"/>
      <c r="E125" s="5" t="n"/>
      <c r="F125" s="11" t="n"/>
      <c r="G125" s="11" t="n"/>
      <c r="H125" s="5" t="n"/>
      <c r="I125" s="5" t="n"/>
      <c r="J125" s="5" t="n"/>
      <c r="K125" s="4">
        <f>IF(B125="","",IF(AND(F125&lt;&gt;"",OR(G125="",G125&gt;=TODAY())),"Active",IF(AND(F125&lt;&gt;"",G125&lt;TODAY()),"Expired",IF(F125="","Missing","Unknown"))))</f>
        <v/>
      </c>
      <c r="L125" s="5" t="n"/>
      <c r="M125" s="5" t="n"/>
      <c r="N125" s="5" t="n"/>
    </row>
    <row r="126">
      <c r="A126" s="4">
        <f>IF(ROW()-4&lt;=COUNTA(Personnel_Contract_Compliance!$A:$A)-4,INDEX(Personnel_Contract_Compliance!$A:$A,ROW()-3),"")</f>
        <v/>
      </c>
      <c r="B126" s="4">
        <f>IF(A126&lt;&gt;"",VLOOKUP(A126,Personnel_Contract_Compliance!$A:$B,2,FALSE),"")</f>
        <v/>
      </c>
      <c r="C126" s="4">
        <f>IF(A126&lt;&gt;"",VLOOKUP(A126,Personnel_Contract_Compliance!$A:$C,3,FALSE),"")</f>
        <v/>
      </c>
      <c r="D126" s="5" t="n"/>
      <c r="E126" s="5" t="n"/>
      <c r="F126" s="11" t="n"/>
      <c r="G126" s="11" t="n"/>
      <c r="H126" s="5" t="n"/>
      <c r="I126" s="5" t="n"/>
      <c r="J126" s="5" t="n"/>
      <c r="K126" s="4">
        <f>IF(B126="","",IF(AND(F126&lt;&gt;"",OR(G126="",G126&gt;=TODAY())),"Active",IF(AND(F126&lt;&gt;"",G126&lt;TODAY()),"Expired",IF(F126="","Missing","Unknown"))))</f>
        <v/>
      </c>
      <c r="L126" s="5" t="n"/>
      <c r="M126" s="5" t="n"/>
      <c r="N126" s="5" t="n"/>
    </row>
    <row r="127">
      <c r="A127" s="4">
        <f>IF(ROW()-4&lt;=COUNTA(Personnel_Contract_Compliance!$A:$A)-4,INDEX(Personnel_Contract_Compliance!$A:$A,ROW()-3),"")</f>
        <v/>
      </c>
      <c r="B127" s="4">
        <f>IF(A127&lt;&gt;"",VLOOKUP(A127,Personnel_Contract_Compliance!$A:$B,2,FALSE),"")</f>
        <v/>
      </c>
      <c r="C127" s="4">
        <f>IF(A127&lt;&gt;"",VLOOKUP(A127,Personnel_Contract_Compliance!$A:$C,3,FALSE),"")</f>
        <v/>
      </c>
      <c r="D127" s="5" t="n"/>
      <c r="E127" s="5" t="n"/>
      <c r="F127" s="11" t="n"/>
      <c r="G127" s="11" t="n"/>
      <c r="H127" s="5" t="n"/>
      <c r="I127" s="5" t="n"/>
      <c r="J127" s="5" t="n"/>
      <c r="K127" s="4">
        <f>IF(B127="","",IF(AND(F127&lt;&gt;"",OR(G127="",G127&gt;=TODAY())),"Active",IF(AND(F127&lt;&gt;"",G127&lt;TODAY()),"Expired",IF(F127="","Missing","Unknown"))))</f>
        <v/>
      </c>
      <c r="L127" s="5" t="n"/>
      <c r="M127" s="5" t="n"/>
      <c r="N127" s="5" t="n"/>
    </row>
    <row r="128">
      <c r="A128" s="4">
        <f>IF(ROW()-4&lt;=COUNTA(Personnel_Contract_Compliance!$A:$A)-4,INDEX(Personnel_Contract_Compliance!$A:$A,ROW()-3),"")</f>
        <v/>
      </c>
      <c r="B128" s="4">
        <f>IF(A128&lt;&gt;"",VLOOKUP(A128,Personnel_Contract_Compliance!$A:$B,2,FALSE),"")</f>
        <v/>
      </c>
      <c r="C128" s="4">
        <f>IF(A128&lt;&gt;"",VLOOKUP(A128,Personnel_Contract_Compliance!$A:$C,3,FALSE),"")</f>
        <v/>
      </c>
      <c r="D128" s="5" t="n"/>
      <c r="E128" s="5" t="n"/>
      <c r="F128" s="11" t="n"/>
      <c r="G128" s="11" t="n"/>
      <c r="H128" s="5" t="n"/>
      <c r="I128" s="5" t="n"/>
      <c r="J128" s="5" t="n"/>
      <c r="K128" s="4">
        <f>IF(B128="","",IF(AND(F128&lt;&gt;"",OR(G128="",G128&gt;=TODAY())),"Active",IF(AND(F128&lt;&gt;"",G128&lt;TODAY()),"Expired",IF(F128="","Missing","Unknown"))))</f>
        <v/>
      </c>
      <c r="L128" s="5" t="n"/>
      <c r="M128" s="5" t="n"/>
      <c r="N128" s="5" t="n"/>
    </row>
    <row r="129">
      <c r="A129" s="4">
        <f>IF(ROW()-4&lt;=COUNTA(Personnel_Contract_Compliance!$A:$A)-4,INDEX(Personnel_Contract_Compliance!$A:$A,ROW()-3),"")</f>
        <v/>
      </c>
      <c r="B129" s="4">
        <f>IF(A129&lt;&gt;"",VLOOKUP(A129,Personnel_Contract_Compliance!$A:$B,2,FALSE),"")</f>
        <v/>
      </c>
      <c r="C129" s="4">
        <f>IF(A129&lt;&gt;"",VLOOKUP(A129,Personnel_Contract_Compliance!$A:$C,3,FALSE),"")</f>
        <v/>
      </c>
      <c r="D129" s="5" t="n"/>
      <c r="E129" s="5" t="n"/>
      <c r="F129" s="11" t="n"/>
      <c r="G129" s="11" t="n"/>
      <c r="H129" s="5" t="n"/>
      <c r="I129" s="5" t="n"/>
      <c r="J129" s="5" t="n"/>
      <c r="K129" s="4">
        <f>IF(B129="","",IF(AND(F129&lt;&gt;"",OR(G129="",G129&gt;=TODAY())),"Active",IF(AND(F129&lt;&gt;"",G129&lt;TODAY()),"Expired",IF(F129="","Missing","Unknown"))))</f>
        <v/>
      </c>
      <c r="L129" s="5" t="n"/>
      <c r="M129" s="5" t="n"/>
      <c r="N129" s="5" t="n"/>
    </row>
    <row r="130">
      <c r="A130" s="4">
        <f>IF(ROW()-4&lt;=COUNTA(Personnel_Contract_Compliance!$A:$A)-4,INDEX(Personnel_Contract_Compliance!$A:$A,ROW()-3),"")</f>
        <v/>
      </c>
      <c r="B130" s="4">
        <f>IF(A130&lt;&gt;"",VLOOKUP(A130,Personnel_Contract_Compliance!$A:$B,2,FALSE),"")</f>
        <v/>
      </c>
      <c r="C130" s="4">
        <f>IF(A130&lt;&gt;"",VLOOKUP(A130,Personnel_Contract_Compliance!$A:$C,3,FALSE),"")</f>
        <v/>
      </c>
      <c r="D130" s="5" t="n"/>
      <c r="E130" s="5" t="n"/>
      <c r="F130" s="11" t="n"/>
      <c r="G130" s="11" t="n"/>
      <c r="H130" s="5" t="n"/>
      <c r="I130" s="5" t="n"/>
      <c r="J130" s="5" t="n"/>
      <c r="K130" s="4">
        <f>IF(B130="","",IF(AND(F130&lt;&gt;"",OR(G130="",G130&gt;=TODAY())),"Active",IF(AND(F130&lt;&gt;"",G130&lt;TODAY()),"Expired",IF(F130="","Missing","Unknown"))))</f>
        <v/>
      </c>
      <c r="L130" s="5" t="n"/>
      <c r="M130" s="5" t="n"/>
      <c r="N130" s="5" t="n"/>
    </row>
    <row r="131">
      <c r="A131" s="4">
        <f>IF(ROW()-4&lt;=COUNTA(Personnel_Contract_Compliance!$A:$A)-4,INDEX(Personnel_Contract_Compliance!$A:$A,ROW()-3),"")</f>
        <v/>
      </c>
      <c r="B131" s="4">
        <f>IF(A131&lt;&gt;"",VLOOKUP(A131,Personnel_Contract_Compliance!$A:$B,2,FALSE),"")</f>
        <v/>
      </c>
      <c r="C131" s="4">
        <f>IF(A131&lt;&gt;"",VLOOKUP(A131,Personnel_Contract_Compliance!$A:$C,3,FALSE),"")</f>
        <v/>
      </c>
      <c r="D131" s="5" t="n"/>
      <c r="E131" s="5" t="n"/>
      <c r="F131" s="11" t="n"/>
      <c r="G131" s="11" t="n"/>
      <c r="H131" s="5" t="n"/>
      <c r="I131" s="5" t="n"/>
      <c r="J131" s="5" t="n"/>
      <c r="K131" s="4">
        <f>IF(B131="","",IF(AND(F131&lt;&gt;"",OR(G131="",G131&gt;=TODAY())),"Active",IF(AND(F131&lt;&gt;"",G131&lt;TODAY()),"Expired",IF(F131="","Missing","Unknown"))))</f>
        <v/>
      </c>
      <c r="L131" s="5" t="n"/>
      <c r="M131" s="5" t="n"/>
      <c r="N131" s="5" t="n"/>
    </row>
    <row r="132">
      <c r="A132" s="4">
        <f>IF(ROW()-4&lt;=COUNTA(Personnel_Contract_Compliance!$A:$A)-4,INDEX(Personnel_Contract_Compliance!$A:$A,ROW()-3),"")</f>
        <v/>
      </c>
      <c r="B132" s="4">
        <f>IF(A132&lt;&gt;"",VLOOKUP(A132,Personnel_Contract_Compliance!$A:$B,2,FALSE),"")</f>
        <v/>
      </c>
      <c r="C132" s="4">
        <f>IF(A132&lt;&gt;"",VLOOKUP(A132,Personnel_Contract_Compliance!$A:$C,3,FALSE),"")</f>
        <v/>
      </c>
      <c r="D132" s="5" t="n"/>
      <c r="E132" s="5" t="n"/>
      <c r="F132" s="11" t="n"/>
      <c r="G132" s="11" t="n"/>
      <c r="H132" s="5" t="n"/>
      <c r="I132" s="5" t="n"/>
      <c r="J132" s="5" t="n"/>
      <c r="K132" s="4">
        <f>IF(B132="","",IF(AND(F132&lt;&gt;"",OR(G132="",G132&gt;=TODAY())),"Active",IF(AND(F132&lt;&gt;"",G132&lt;TODAY()),"Expired",IF(F132="","Missing","Unknown"))))</f>
        <v/>
      </c>
      <c r="L132" s="5" t="n"/>
      <c r="M132" s="5" t="n"/>
      <c r="N132" s="5" t="n"/>
    </row>
    <row r="133">
      <c r="A133" s="4">
        <f>IF(ROW()-4&lt;=COUNTA(Personnel_Contract_Compliance!$A:$A)-4,INDEX(Personnel_Contract_Compliance!$A:$A,ROW()-3),"")</f>
        <v/>
      </c>
      <c r="B133" s="4">
        <f>IF(A133&lt;&gt;"",VLOOKUP(A133,Personnel_Contract_Compliance!$A:$B,2,FALSE),"")</f>
        <v/>
      </c>
      <c r="C133" s="4">
        <f>IF(A133&lt;&gt;"",VLOOKUP(A133,Personnel_Contract_Compliance!$A:$C,3,FALSE),"")</f>
        <v/>
      </c>
      <c r="D133" s="5" t="n"/>
      <c r="E133" s="5" t="n"/>
      <c r="F133" s="11" t="n"/>
      <c r="G133" s="11" t="n"/>
      <c r="H133" s="5" t="n"/>
      <c r="I133" s="5" t="n"/>
      <c r="J133" s="5" t="n"/>
      <c r="K133" s="4">
        <f>IF(B133="","",IF(AND(F133&lt;&gt;"",OR(G133="",G133&gt;=TODAY())),"Active",IF(AND(F133&lt;&gt;"",G133&lt;TODAY()),"Expired",IF(F133="","Missing","Unknown"))))</f>
        <v/>
      </c>
      <c r="L133" s="5" t="n"/>
      <c r="M133" s="5" t="n"/>
      <c r="N133" s="5" t="n"/>
    </row>
    <row r="134">
      <c r="A134" s="4">
        <f>IF(ROW()-4&lt;=COUNTA(Personnel_Contract_Compliance!$A:$A)-4,INDEX(Personnel_Contract_Compliance!$A:$A,ROW()-3),"")</f>
        <v/>
      </c>
      <c r="B134" s="4">
        <f>IF(A134&lt;&gt;"",VLOOKUP(A134,Personnel_Contract_Compliance!$A:$B,2,FALSE),"")</f>
        <v/>
      </c>
      <c r="C134" s="4">
        <f>IF(A134&lt;&gt;"",VLOOKUP(A134,Personnel_Contract_Compliance!$A:$C,3,FALSE),"")</f>
        <v/>
      </c>
      <c r="D134" s="5" t="n"/>
      <c r="E134" s="5" t="n"/>
      <c r="F134" s="11" t="n"/>
      <c r="G134" s="11" t="n"/>
      <c r="H134" s="5" t="n"/>
      <c r="I134" s="5" t="n"/>
      <c r="J134" s="5" t="n"/>
      <c r="K134" s="4">
        <f>IF(B134="","",IF(AND(F134&lt;&gt;"",OR(G134="",G134&gt;=TODAY())),"Active",IF(AND(F134&lt;&gt;"",G134&lt;TODAY()),"Expired",IF(F134="","Missing","Unknown"))))</f>
        <v/>
      </c>
      <c r="L134" s="5" t="n"/>
      <c r="M134" s="5" t="n"/>
      <c r="N134" s="5" t="n"/>
    </row>
    <row r="135">
      <c r="A135" s="4">
        <f>IF(ROW()-4&lt;=COUNTA(Personnel_Contract_Compliance!$A:$A)-4,INDEX(Personnel_Contract_Compliance!$A:$A,ROW()-3),"")</f>
        <v/>
      </c>
      <c r="B135" s="4">
        <f>IF(A135&lt;&gt;"",VLOOKUP(A135,Personnel_Contract_Compliance!$A:$B,2,FALSE),"")</f>
        <v/>
      </c>
      <c r="C135" s="4">
        <f>IF(A135&lt;&gt;"",VLOOKUP(A135,Personnel_Contract_Compliance!$A:$C,3,FALSE),"")</f>
        <v/>
      </c>
      <c r="D135" s="5" t="n"/>
      <c r="E135" s="5" t="n"/>
      <c r="F135" s="11" t="n"/>
      <c r="G135" s="11" t="n"/>
      <c r="H135" s="5" t="n"/>
      <c r="I135" s="5" t="n"/>
      <c r="J135" s="5" t="n"/>
      <c r="K135" s="4">
        <f>IF(B135="","",IF(AND(F135&lt;&gt;"",OR(G135="",G135&gt;=TODAY())),"Active",IF(AND(F135&lt;&gt;"",G135&lt;TODAY()),"Expired",IF(F135="","Missing","Unknown"))))</f>
        <v/>
      </c>
      <c r="L135" s="5" t="n"/>
      <c r="M135" s="5" t="n"/>
      <c r="N135" s="5" t="n"/>
    </row>
    <row r="136">
      <c r="A136" s="4">
        <f>IF(ROW()-4&lt;=COUNTA(Personnel_Contract_Compliance!$A:$A)-4,INDEX(Personnel_Contract_Compliance!$A:$A,ROW()-3),"")</f>
        <v/>
      </c>
      <c r="B136" s="4">
        <f>IF(A136&lt;&gt;"",VLOOKUP(A136,Personnel_Contract_Compliance!$A:$B,2,FALSE),"")</f>
        <v/>
      </c>
      <c r="C136" s="4">
        <f>IF(A136&lt;&gt;"",VLOOKUP(A136,Personnel_Contract_Compliance!$A:$C,3,FALSE),"")</f>
        <v/>
      </c>
      <c r="D136" s="5" t="n"/>
      <c r="E136" s="5" t="n"/>
      <c r="F136" s="11" t="n"/>
      <c r="G136" s="11" t="n"/>
      <c r="H136" s="5" t="n"/>
      <c r="I136" s="5" t="n"/>
      <c r="J136" s="5" t="n"/>
      <c r="K136" s="4">
        <f>IF(B136="","",IF(AND(F136&lt;&gt;"",OR(G136="",G136&gt;=TODAY())),"Active",IF(AND(F136&lt;&gt;"",G136&lt;TODAY()),"Expired",IF(F136="","Missing","Unknown"))))</f>
        <v/>
      </c>
      <c r="L136" s="5" t="n"/>
      <c r="M136" s="5" t="n"/>
      <c r="N136" s="5" t="n"/>
    </row>
    <row r="137">
      <c r="A137" s="4">
        <f>IF(ROW()-4&lt;=COUNTA(Personnel_Contract_Compliance!$A:$A)-4,INDEX(Personnel_Contract_Compliance!$A:$A,ROW()-3),"")</f>
        <v/>
      </c>
      <c r="B137" s="4">
        <f>IF(A137&lt;&gt;"",VLOOKUP(A137,Personnel_Contract_Compliance!$A:$B,2,FALSE),"")</f>
        <v/>
      </c>
      <c r="C137" s="4">
        <f>IF(A137&lt;&gt;"",VLOOKUP(A137,Personnel_Contract_Compliance!$A:$C,3,FALSE),"")</f>
        <v/>
      </c>
      <c r="D137" s="5" t="n"/>
      <c r="E137" s="5" t="n"/>
      <c r="F137" s="11" t="n"/>
      <c r="G137" s="11" t="n"/>
      <c r="H137" s="5" t="n"/>
      <c r="I137" s="5" t="n"/>
      <c r="J137" s="5" t="n"/>
      <c r="K137" s="4">
        <f>IF(B137="","",IF(AND(F137&lt;&gt;"",OR(G137="",G137&gt;=TODAY())),"Active",IF(AND(F137&lt;&gt;"",G137&lt;TODAY()),"Expired",IF(F137="","Missing","Unknown"))))</f>
        <v/>
      </c>
      <c r="L137" s="5" t="n"/>
      <c r="M137" s="5" t="n"/>
      <c r="N137" s="5" t="n"/>
    </row>
    <row r="138">
      <c r="A138" s="4">
        <f>IF(ROW()-4&lt;=COUNTA(Personnel_Contract_Compliance!$A:$A)-4,INDEX(Personnel_Contract_Compliance!$A:$A,ROW()-3),"")</f>
        <v/>
      </c>
      <c r="B138" s="4">
        <f>IF(A138&lt;&gt;"",VLOOKUP(A138,Personnel_Contract_Compliance!$A:$B,2,FALSE),"")</f>
        <v/>
      </c>
      <c r="C138" s="4">
        <f>IF(A138&lt;&gt;"",VLOOKUP(A138,Personnel_Contract_Compliance!$A:$C,3,FALSE),"")</f>
        <v/>
      </c>
      <c r="D138" s="5" t="n"/>
      <c r="E138" s="5" t="n"/>
      <c r="F138" s="11" t="n"/>
      <c r="G138" s="11" t="n"/>
      <c r="H138" s="5" t="n"/>
      <c r="I138" s="5" t="n"/>
      <c r="J138" s="5" t="n"/>
      <c r="K138" s="4">
        <f>IF(B138="","",IF(AND(F138&lt;&gt;"",OR(G138="",G138&gt;=TODAY())),"Active",IF(AND(F138&lt;&gt;"",G138&lt;TODAY()),"Expired",IF(F138="","Missing","Unknown"))))</f>
        <v/>
      </c>
      <c r="L138" s="5" t="n"/>
      <c r="M138" s="5" t="n"/>
      <c r="N138" s="5" t="n"/>
    </row>
    <row r="139">
      <c r="A139" s="4">
        <f>IF(ROW()-4&lt;=COUNTA(Personnel_Contract_Compliance!$A:$A)-4,INDEX(Personnel_Contract_Compliance!$A:$A,ROW()-3),"")</f>
        <v/>
      </c>
      <c r="B139" s="4">
        <f>IF(A139&lt;&gt;"",VLOOKUP(A139,Personnel_Contract_Compliance!$A:$B,2,FALSE),"")</f>
        <v/>
      </c>
      <c r="C139" s="4">
        <f>IF(A139&lt;&gt;"",VLOOKUP(A139,Personnel_Contract_Compliance!$A:$C,3,FALSE),"")</f>
        <v/>
      </c>
      <c r="D139" s="5" t="n"/>
      <c r="E139" s="5" t="n"/>
      <c r="F139" s="11" t="n"/>
      <c r="G139" s="11" t="n"/>
      <c r="H139" s="5" t="n"/>
      <c r="I139" s="5" t="n"/>
      <c r="J139" s="5" t="n"/>
      <c r="K139" s="4">
        <f>IF(B139="","",IF(AND(F139&lt;&gt;"",OR(G139="",G139&gt;=TODAY())),"Active",IF(AND(F139&lt;&gt;"",G139&lt;TODAY()),"Expired",IF(F139="","Missing","Unknown"))))</f>
        <v/>
      </c>
      <c r="L139" s="5" t="n"/>
      <c r="M139" s="5" t="n"/>
      <c r="N139" s="5" t="n"/>
    </row>
    <row r="140">
      <c r="A140" s="4">
        <f>IF(ROW()-4&lt;=COUNTA(Personnel_Contract_Compliance!$A:$A)-4,INDEX(Personnel_Contract_Compliance!$A:$A,ROW()-3),"")</f>
        <v/>
      </c>
      <c r="B140" s="4">
        <f>IF(A140&lt;&gt;"",VLOOKUP(A140,Personnel_Contract_Compliance!$A:$B,2,FALSE),"")</f>
        <v/>
      </c>
      <c r="C140" s="4">
        <f>IF(A140&lt;&gt;"",VLOOKUP(A140,Personnel_Contract_Compliance!$A:$C,3,FALSE),"")</f>
        <v/>
      </c>
      <c r="D140" s="5" t="n"/>
      <c r="E140" s="5" t="n"/>
      <c r="F140" s="11" t="n"/>
      <c r="G140" s="11" t="n"/>
      <c r="H140" s="5" t="n"/>
      <c r="I140" s="5" t="n"/>
      <c r="J140" s="5" t="n"/>
      <c r="K140" s="4">
        <f>IF(B140="","",IF(AND(F140&lt;&gt;"",OR(G140="",G140&gt;=TODAY())),"Active",IF(AND(F140&lt;&gt;"",G140&lt;TODAY()),"Expired",IF(F140="","Missing","Unknown"))))</f>
        <v/>
      </c>
      <c r="L140" s="5" t="n"/>
      <c r="M140" s="5" t="n"/>
      <c r="N140" s="5" t="n"/>
    </row>
    <row r="141">
      <c r="A141" s="4">
        <f>IF(ROW()-4&lt;=COUNTA(Personnel_Contract_Compliance!$A:$A)-4,INDEX(Personnel_Contract_Compliance!$A:$A,ROW()-3),"")</f>
        <v/>
      </c>
      <c r="B141" s="4">
        <f>IF(A141&lt;&gt;"",VLOOKUP(A141,Personnel_Contract_Compliance!$A:$B,2,FALSE),"")</f>
        <v/>
      </c>
      <c r="C141" s="4">
        <f>IF(A141&lt;&gt;"",VLOOKUP(A141,Personnel_Contract_Compliance!$A:$C,3,FALSE),"")</f>
        <v/>
      </c>
      <c r="D141" s="5" t="n"/>
      <c r="E141" s="5" t="n"/>
      <c r="F141" s="11" t="n"/>
      <c r="G141" s="11" t="n"/>
      <c r="H141" s="5" t="n"/>
      <c r="I141" s="5" t="n"/>
      <c r="J141" s="5" t="n"/>
      <c r="K141" s="4">
        <f>IF(B141="","",IF(AND(F141&lt;&gt;"",OR(G141="",G141&gt;=TODAY())),"Active",IF(AND(F141&lt;&gt;"",G141&lt;TODAY()),"Expired",IF(F141="","Missing","Unknown"))))</f>
        <v/>
      </c>
      <c r="L141" s="5" t="n"/>
      <c r="M141" s="5" t="n"/>
      <c r="N141" s="5" t="n"/>
    </row>
    <row r="142">
      <c r="A142" s="4">
        <f>IF(ROW()-4&lt;=COUNTA(Personnel_Contract_Compliance!$A:$A)-4,INDEX(Personnel_Contract_Compliance!$A:$A,ROW()-3),"")</f>
        <v/>
      </c>
      <c r="B142" s="4">
        <f>IF(A142&lt;&gt;"",VLOOKUP(A142,Personnel_Contract_Compliance!$A:$B,2,FALSE),"")</f>
        <v/>
      </c>
      <c r="C142" s="4">
        <f>IF(A142&lt;&gt;"",VLOOKUP(A142,Personnel_Contract_Compliance!$A:$C,3,FALSE),"")</f>
        <v/>
      </c>
      <c r="D142" s="5" t="n"/>
      <c r="E142" s="5" t="n"/>
      <c r="F142" s="11" t="n"/>
      <c r="G142" s="11" t="n"/>
      <c r="H142" s="5" t="n"/>
      <c r="I142" s="5" t="n"/>
      <c r="J142" s="5" t="n"/>
      <c r="K142" s="4">
        <f>IF(B142="","",IF(AND(F142&lt;&gt;"",OR(G142="",G142&gt;=TODAY())),"Active",IF(AND(F142&lt;&gt;"",G142&lt;TODAY()),"Expired",IF(F142="","Missing","Unknown"))))</f>
        <v/>
      </c>
      <c r="L142" s="5" t="n"/>
      <c r="M142" s="5" t="n"/>
      <c r="N142" s="5" t="n"/>
    </row>
    <row r="143">
      <c r="A143" s="4">
        <f>IF(ROW()-4&lt;=COUNTA(Personnel_Contract_Compliance!$A:$A)-4,INDEX(Personnel_Contract_Compliance!$A:$A,ROW()-3),"")</f>
        <v/>
      </c>
      <c r="B143" s="4">
        <f>IF(A143&lt;&gt;"",VLOOKUP(A143,Personnel_Contract_Compliance!$A:$B,2,FALSE),"")</f>
        <v/>
      </c>
      <c r="C143" s="4">
        <f>IF(A143&lt;&gt;"",VLOOKUP(A143,Personnel_Contract_Compliance!$A:$C,3,FALSE),"")</f>
        <v/>
      </c>
      <c r="D143" s="5" t="n"/>
      <c r="E143" s="5" t="n"/>
      <c r="F143" s="11" t="n"/>
      <c r="G143" s="11" t="n"/>
      <c r="H143" s="5" t="n"/>
      <c r="I143" s="5" t="n"/>
      <c r="J143" s="5" t="n"/>
      <c r="K143" s="4">
        <f>IF(B143="","",IF(AND(F143&lt;&gt;"",OR(G143="",G143&gt;=TODAY())),"Active",IF(AND(F143&lt;&gt;"",G143&lt;TODAY()),"Expired",IF(F143="","Missing","Unknown"))))</f>
        <v/>
      </c>
      <c r="L143" s="5" t="n"/>
      <c r="M143" s="5" t="n"/>
      <c r="N143" s="5" t="n"/>
    </row>
    <row r="144">
      <c r="A144" s="4">
        <f>IF(ROW()-4&lt;=COUNTA(Personnel_Contract_Compliance!$A:$A)-4,INDEX(Personnel_Contract_Compliance!$A:$A,ROW()-3),"")</f>
        <v/>
      </c>
      <c r="B144" s="4">
        <f>IF(A144&lt;&gt;"",VLOOKUP(A144,Personnel_Contract_Compliance!$A:$B,2,FALSE),"")</f>
        <v/>
      </c>
      <c r="C144" s="4">
        <f>IF(A144&lt;&gt;"",VLOOKUP(A144,Personnel_Contract_Compliance!$A:$C,3,FALSE),"")</f>
        <v/>
      </c>
      <c r="D144" s="5" t="n"/>
      <c r="E144" s="5" t="n"/>
      <c r="F144" s="11" t="n"/>
      <c r="G144" s="11" t="n"/>
      <c r="H144" s="5" t="n"/>
      <c r="I144" s="5" t="n"/>
      <c r="J144" s="5" t="n"/>
      <c r="K144" s="4">
        <f>IF(B144="","",IF(AND(F144&lt;&gt;"",OR(G144="",G144&gt;=TODAY())),"Active",IF(AND(F144&lt;&gt;"",G144&lt;TODAY()),"Expired",IF(F144="","Missing","Unknown"))))</f>
        <v/>
      </c>
      <c r="L144" s="5" t="n"/>
      <c r="M144" s="5" t="n"/>
      <c r="N144" s="5" t="n"/>
    </row>
    <row r="145">
      <c r="A145" s="4">
        <f>IF(ROW()-4&lt;=COUNTA(Personnel_Contract_Compliance!$A:$A)-4,INDEX(Personnel_Contract_Compliance!$A:$A,ROW()-3),"")</f>
        <v/>
      </c>
      <c r="B145" s="4">
        <f>IF(A145&lt;&gt;"",VLOOKUP(A145,Personnel_Contract_Compliance!$A:$B,2,FALSE),"")</f>
        <v/>
      </c>
      <c r="C145" s="4">
        <f>IF(A145&lt;&gt;"",VLOOKUP(A145,Personnel_Contract_Compliance!$A:$C,3,FALSE),"")</f>
        <v/>
      </c>
      <c r="D145" s="5" t="n"/>
      <c r="E145" s="5" t="n"/>
      <c r="F145" s="11" t="n"/>
      <c r="G145" s="11" t="n"/>
      <c r="H145" s="5" t="n"/>
      <c r="I145" s="5" t="n"/>
      <c r="J145" s="5" t="n"/>
      <c r="K145" s="4">
        <f>IF(B145="","",IF(AND(F145&lt;&gt;"",OR(G145="",G145&gt;=TODAY())),"Active",IF(AND(F145&lt;&gt;"",G145&lt;TODAY()),"Expired",IF(F145="","Missing","Unknown"))))</f>
        <v/>
      </c>
      <c r="L145" s="5" t="n"/>
      <c r="M145" s="5" t="n"/>
      <c r="N145" s="5" t="n"/>
    </row>
    <row r="146">
      <c r="A146" s="4">
        <f>IF(ROW()-4&lt;=COUNTA(Personnel_Contract_Compliance!$A:$A)-4,INDEX(Personnel_Contract_Compliance!$A:$A,ROW()-3),"")</f>
        <v/>
      </c>
      <c r="B146" s="4">
        <f>IF(A146&lt;&gt;"",VLOOKUP(A146,Personnel_Contract_Compliance!$A:$B,2,FALSE),"")</f>
        <v/>
      </c>
      <c r="C146" s="4">
        <f>IF(A146&lt;&gt;"",VLOOKUP(A146,Personnel_Contract_Compliance!$A:$C,3,FALSE),"")</f>
        <v/>
      </c>
      <c r="D146" s="5" t="n"/>
      <c r="E146" s="5" t="n"/>
      <c r="F146" s="11" t="n"/>
      <c r="G146" s="11" t="n"/>
      <c r="H146" s="5" t="n"/>
      <c r="I146" s="5" t="n"/>
      <c r="J146" s="5" t="n"/>
      <c r="K146" s="4">
        <f>IF(B146="","",IF(AND(F146&lt;&gt;"",OR(G146="",G146&gt;=TODAY())),"Active",IF(AND(F146&lt;&gt;"",G146&lt;TODAY()),"Expired",IF(F146="","Missing","Unknown"))))</f>
        <v/>
      </c>
      <c r="L146" s="5" t="n"/>
      <c r="M146" s="5" t="n"/>
      <c r="N146" s="5" t="n"/>
    </row>
    <row r="147">
      <c r="A147" s="4">
        <f>IF(ROW()-4&lt;=COUNTA(Personnel_Contract_Compliance!$A:$A)-4,INDEX(Personnel_Contract_Compliance!$A:$A,ROW()-3),"")</f>
        <v/>
      </c>
      <c r="B147" s="4">
        <f>IF(A147&lt;&gt;"",VLOOKUP(A147,Personnel_Contract_Compliance!$A:$B,2,FALSE),"")</f>
        <v/>
      </c>
      <c r="C147" s="4">
        <f>IF(A147&lt;&gt;"",VLOOKUP(A147,Personnel_Contract_Compliance!$A:$C,3,FALSE),"")</f>
        <v/>
      </c>
      <c r="D147" s="5" t="n"/>
      <c r="E147" s="5" t="n"/>
      <c r="F147" s="11" t="n"/>
      <c r="G147" s="11" t="n"/>
      <c r="H147" s="5" t="n"/>
      <c r="I147" s="5" t="n"/>
      <c r="J147" s="5" t="n"/>
      <c r="K147" s="4">
        <f>IF(B147="","",IF(AND(F147&lt;&gt;"",OR(G147="",G147&gt;=TODAY())),"Active",IF(AND(F147&lt;&gt;"",G147&lt;TODAY()),"Expired",IF(F147="","Missing","Unknown"))))</f>
        <v/>
      </c>
      <c r="L147" s="5" t="n"/>
      <c r="M147" s="5" t="n"/>
      <c r="N147" s="5" t="n"/>
    </row>
    <row r="148">
      <c r="A148" s="4">
        <f>IF(ROW()-4&lt;=COUNTA(Personnel_Contract_Compliance!$A:$A)-4,INDEX(Personnel_Contract_Compliance!$A:$A,ROW()-3),"")</f>
        <v/>
      </c>
      <c r="B148" s="4">
        <f>IF(A148&lt;&gt;"",VLOOKUP(A148,Personnel_Contract_Compliance!$A:$B,2,FALSE),"")</f>
        <v/>
      </c>
      <c r="C148" s="4">
        <f>IF(A148&lt;&gt;"",VLOOKUP(A148,Personnel_Contract_Compliance!$A:$C,3,FALSE),"")</f>
        <v/>
      </c>
      <c r="D148" s="5" t="n"/>
      <c r="E148" s="5" t="n"/>
      <c r="F148" s="11" t="n"/>
      <c r="G148" s="11" t="n"/>
      <c r="H148" s="5" t="n"/>
      <c r="I148" s="5" t="n"/>
      <c r="J148" s="5" t="n"/>
      <c r="K148" s="4">
        <f>IF(B148="","",IF(AND(F148&lt;&gt;"",OR(G148="",G148&gt;=TODAY())),"Active",IF(AND(F148&lt;&gt;"",G148&lt;TODAY()),"Expired",IF(F148="","Missing","Unknown"))))</f>
        <v/>
      </c>
      <c r="L148" s="5" t="n"/>
      <c r="M148" s="5" t="n"/>
      <c r="N148" s="5" t="n"/>
    </row>
    <row r="149">
      <c r="A149" s="4">
        <f>IF(ROW()-4&lt;=COUNTA(Personnel_Contract_Compliance!$A:$A)-4,INDEX(Personnel_Contract_Compliance!$A:$A,ROW()-3),"")</f>
        <v/>
      </c>
      <c r="B149" s="4">
        <f>IF(A149&lt;&gt;"",VLOOKUP(A149,Personnel_Contract_Compliance!$A:$B,2,FALSE),"")</f>
        <v/>
      </c>
      <c r="C149" s="4">
        <f>IF(A149&lt;&gt;"",VLOOKUP(A149,Personnel_Contract_Compliance!$A:$C,3,FALSE),"")</f>
        <v/>
      </c>
      <c r="D149" s="5" t="n"/>
      <c r="E149" s="5" t="n"/>
      <c r="F149" s="11" t="n"/>
      <c r="G149" s="11" t="n"/>
      <c r="H149" s="5" t="n"/>
      <c r="I149" s="5" t="n"/>
      <c r="J149" s="5" t="n"/>
      <c r="K149" s="4">
        <f>IF(B149="","",IF(AND(F149&lt;&gt;"",OR(G149="",G149&gt;=TODAY())),"Active",IF(AND(F149&lt;&gt;"",G149&lt;TODAY()),"Expired",IF(F149="","Missing","Unknown"))))</f>
        <v/>
      </c>
      <c r="L149" s="5" t="n"/>
      <c r="M149" s="5" t="n"/>
      <c r="N149" s="5" t="n"/>
    </row>
    <row r="150">
      <c r="A150" s="4">
        <f>IF(ROW()-4&lt;=COUNTA(Personnel_Contract_Compliance!$A:$A)-4,INDEX(Personnel_Contract_Compliance!$A:$A,ROW()-3),"")</f>
        <v/>
      </c>
      <c r="B150" s="4">
        <f>IF(A150&lt;&gt;"",VLOOKUP(A150,Personnel_Contract_Compliance!$A:$B,2,FALSE),"")</f>
        <v/>
      </c>
      <c r="C150" s="4">
        <f>IF(A150&lt;&gt;"",VLOOKUP(A150,Personnel_Contract_Compliance!$A:$C,3,FALSE),"")</f>
        <v/>
      </c>
      <c r="D150" s="5" t="n"/>
      <c r="E150" s="5" t="n"/>
      <c r="F150" s="11" t="n"/>
      <c r="G150" s="11" t="n"/>
      <c r="H150" s="5" t="n"/>
      <c r="I150" s="5" t="n"/>
      <c r="J150" s="5" t="n"/>
      <c r="K150" s="4">
        <f>IF(B150="","",IF(AND(F150&lt;&gt;"",OR(G150="",G150&gt;=TODAY())),"Active",IF(AND(F150&lt;&gt;"",G150&lt;TODAY()),"Expired",IF(F150="","Missing","Unknown"))))</f>
        <v/>
      </c>
      <c r="L150" s="5" t="n"/>
      <c r="M150" s="5" t="n"/>
      <c r="N150" s="5" t="n"/>
    </row>
    <row r="151">
      <c r="A151" s="4">
        <f>IF(ROW()-4&lt;=COUNTA(Personnel_Contract_Compliance!$A:$A)-4,INDEX(Personnel_Contract_Compliance!$A:$A,ROW()-3),"")</f>
        <v/>
      </c>
      <c r="B151" s="4">
        <f>IF(A151&lt;&gt;"",VLOOKUP(A151,Personnel_Contract_Compliance!$A:$B,2,FALSE),"")</f>
        <v/>
      </c>
      <c r="C151" s="4">
        <f>IF(A151&lt;&gt;"",VLOOKUP(A151,Personnel_Contract_Compliance!$A:$C,3,FALSE),"")</f>
        <v/>
      </c>
      <c r="D151" s="5" t="n"/>
      <c r="E151" s="5" t="n"/>
      <c r="F151" s="11" t="n"/>
      <c r="G151" s="11" t="n"/>
      <c r="H151" s="5" t="n"/>
      <c r="I151" s="5" t="n"/>
      <c r="J151" s="5" t="n"/>
      <c r="K151" s="4">
        <f>IF(B151="","",IF(AND(F151&lt;&gt;"",OR(G151="",G151&gt;=TODAY())),"Active",IF(AND(F151&lt;&gt;"",G151&lt;TODAY()),"Expired",IF(F151="","Missing","Unknown"))))</f>
        <v/>
      </c>
      <c r="L151" s="5" t="n"/>
      <c r="M151" s="5" t="n"/>
      <c r="N151" s="5" t="n"/>
    </row>
    <row r="152">
      <c r="A152" s="4">
        <f>IF(ROW()-4&lt;=COUNTA(Personnel_Contract_Compliance!$A:$A)-4,INDEX(Personnel_Contract_Compliance!$A:$A,ROW()-3),"")</f>
        <v/>
      </c>
      <c r="B152" s="4">
        <f>IF(A152&lt;&gt;"",VLOOKUP(A152,Personnel_Contract_Compliance!$A:$B,2,FALSE),"")</f>
        <v/>
      </c>
      <c r="C152" s="4">
        <f>IF(A152&lt;&gt;"",VLOOKUP(A152,Personnel_Contract_Compliance!$A:$C,3,FALSE),"")</f>
        <v/>
      </c>
      <c r="D152" s="5" t="n"/>
      <c r="E152" s="5" t="n"/>
      <c r="F152" s="11" t="n"/>
      <c r="G152" s="11" t="n"/>
      <c r="H152" s="5" t="n"/>
      <c r="I152" s="5" t="n"/>
      <c r="J152" s="5" t="n"/>
      <c r="K152" s="4">
        <f>IF(B152="","",IF(AND(F152&lt;&gt;"",OR(G152="",G152&gt;=TODAY())),"Active",IF(AND(F152&lt;&gt;"",G152&lt;TODAY()),"Expired",IF(F152="","Missing","Unknown"))))</f>
        <v/>
      </c>
      <c r="L152" s="5" t="n"/>
      <c r="M152" s="5" t="n"/>
      <c r="N152" s="5" t="n"/>
    </row>
    <row r="153">
      <c r="A153" s="4">
        <f>IF(ROW()-4&lt;=COUNTA(Personnel_Contract_Compliance!$A:$A)-4,INDEX(Personnel_Contract_Compliance!$A:$A,ROW()-3),"")</f>
        <v/>
      </c>
      <c r="B153" s="4">
        <f>IF(A153&lt;&gt;"",VLOOKUP(A153,Personnel_Contract_Compliance!$A:$B,2,FALSE),"")</f>
        <v/>
      </c>
      <c r="C153" s="4">
        <f>IF(A153&lt;&gt;"",VLOOKUP(A153,Personnel_Contract_Compliance!$A:$C,3,FALSE),"")</f>
        <v/>
      </c>
      <c r="D153" s="5" t="n"/>
      <c r="E153" s="5" t="n"/>
      <c r="F153" s="11" t="n"/>
      <c r="G153" s="11" t="n"/>
      <c r="H153" s="5" t="n"/>
      <c r="I153" s="5" t="n"/>
      <c r="J153" s="5" t="n"/>
      <c r="K153" s="4">
        <f>IF(B153="","",IF(AND(F153&lt;&gt;"",OR(G153="",G153&gt;=TODAY())),"Active",IF(AND(F153&lt;&gt;"",G153&lt;TODAY()),"Expired",IF(F153="","Missing","Unknown"))))</f>
        <v/>
      </c>
      <c r="L153" s="5" t="n"/>
      <c r="M153" s="5" t="n"/>
      <c r="N153" s="5" t="n"/>
    </row>
    <row r="154">
      <c r="A154" s="4">
        <f>IF(ROW()-4&lt;=COUNTA(Personnel_Contract_Compliance!$A:$A)-4,INDEX(Personnel_Contract_Compliance!$A:$A,ROW()-3),"")</f>
        <v/>
      </c>
      <c r="B154" s="4">
        <f>IF(A154&lt;&gt;"",VLOOKUP(A154,Personnel_Contract_Compliance!$A:$B,2,FALSE),"")</f>
        <v/>
      </c>
      <c r="C154" s="4">
        <f>IF(A154&lt;&gt;"",VLOOKUP(A154,Personnel_Contract_Compliance!$A:$C,3,FALSE),"")</f>
        <v/>
      </c>
      <c r="D154" s="5" t="n"/>
      <c r="E154" s="5" t="n"/>
      <c r="F154" s="11" t="n"/>
      <c r="G154" s="11" t="n"/>
      <c r="H154" s="5" t="n"/>
      <c r="I154" s="5" t="n"/>
      <c r="J154" s="5" t="n"/>
      <c r="K154" s="4">
        <f>IF(B154="","",IF(AND(F154&lt;&gt;"",OR(G154="",G154&gt;=TODAY())),"Active",IF(AND(F154&lt;&gt;"",G154&lt;TODAY()),"Expired",IF(F154="","Missing","Unknown"))))</f>
        <v/>
      </c>
      <c r="L154" s="5" t="n"/>
      <c r="M154" s="5" t="n"/>
      <c r="N154" s="5" t="n"/>
    </row>
    <row r="155">
      <c r="A155" s="4">
        <f>IF(ROW()-4&lt;=COUNTA(Personnel_Contract_Compliance!$A:$A)-4,INDEX(Personnel_Contract_Compliance!$A:$A,ROW()-3),"")</f>
        <v/>
      </c>
      <c r="B155" s="4">
        <f>IF(A155&lt;&gt;"",VLOOKUP(A155,Personnel_Contract_Compliance!$A:$B,2,FALSE),"")</f>
        <v/>
      </c>
      <c r="C155" s="4">
        <f>IF(A155&lt;&gt;"",VLOOKUP(A155,Personnel_Contract_Compliance!$A:$C,3,FALSE),"")</f>
        <v/>
      </c>
      <c r="D155" s="5" t="n"/>
      <c r="E155" s="5" t="n"/>
      <c r="F155" s="11" t="n"/>
      <c r="G155" s="11" t="n"/>
      <c r="H155" s="5" t="n"/>
      <c r="I155" s="5" t="n"/>
      <c r="J155" s="5" t="n"/>
      <c r="K155" s="4">
        <f>IF(B155="","",IF(AND(F155&lt;&gt;"",OR(G155="",G155&gt;=TODAY())),"Active",IF(AND(F155&lt;&gt;"",G155&lt;TODAY()),"Expired",IF(F155="","Missing","Unknown"))))</f>
        <v/>
      </c>
      <c r="L155" s="5" t="n"/>
      <c r="M155" s="5" t="n"/>
      <c r="N155" s="5" t="n"/>
    </row>
    <row r="156">
      <c r="A156" s="4">
        <f>IF(ROW()-4&lt;=COUNTA(Personnel_Contract_Compliance!$A:$A)-4,INDEX(Personnel_Contract_Compliance!$A:$A,ROW()-3),"")</f>
        <v/>
      </c>
      <c r="B156" s="4">
        <f>IF(A156&lt;&gt;"",VLOOKUP(A156,Personnel_Contract_Compliance!$A:$B,2,FALSE),"")</f>
        <v/>
      </c>
      <c r="C156" s="4">
        <f>IF(A156&lt;&gt;"",VLOOKUP(A156,Personnel_Contract_Compliance!$A:$C,3,FALSE),"")</f>
        <v/>
      </c>
      <c r="D156" s="5" t="n"/>
      <c r="E156" s="5" t="n"/>
      <c r="F156" s="11" t="n"/>
      <c r="G156" s="11" t="n"/>
      <c r="H156" s="5" t="n"/>
      <c r="I156" s="5" t="n"/>
      <c r="J156" s="5" t="n"/>
      <c r="K156" s="4">
        <f>IF(B156="","",IF(AND(F156&lt;&gt;"",OR(G156="",G156&gt;=TODAY())),"Active",IF(AND(F156&lt;&gt;"",G156&lt;TODAY()),"Expired",IF(F156="","Missing","Unknown"))))</f>
        <v/>
      </c>
      <c r="L156" s="5" t="n"/>
      <c r="M156" s="5" t="n"/>
      <c r="N156" s="5" t="n"/>
    </row>
    <row r="157">
      <c r="A157" s="4">
        <f>IF(ROW()-4&lt;=COUNTA(Personnel_Contract_Compliance!$A:$A)-4,INDEX(Personnel_Contract_Compliance!$A:$A,ROW()-3),"")</f>
        <v/>
      </c>
      <c r="B157" s="4">
        <f>IF(A157&lt;&gt;"",VLOOKUP(A157,Personnel_Contract_Compliance!$A:$B,2,FALSE),"")</f>
        <v/>
      </c>
      <c r="C157" s="4">
        <f>IF(A157&lt;&gt;"",VLOOKUP(A157,Personnel_Contract_Compliance!$A:$C,3,FALSE),"")</f>
        <v/>
      </c>
      <c r="D157" s="5" t="n"/>
      <c r="E157" s="5" t="n"/>
      <c r="F157" s="11" t="n"/>
      <c r="G157" s="11" t="n"/>
      <c r="H157" s="5" t="n"/>
      <c r="I157" s="5" t="n"/>
      <c r="J157" s="5" t="n"/>
      <c r="K157" s="4">
        <f>IF(B157="","",IF(AND(F157&lt;&gt;"",OR(G157="",G157&gt;=TODAY())),"Active",IF(AND(F157&lt;&gt;"",G157&lt;TODAY()),"Expired",IF(F157="","Missing","Unknown"))))</f>
        <v/>
      </c>
      <c r="L157" s="5" t="n"/>
      <c r="M157" s="5" t="n"/>
      <c r="N157" s="5" t="n"/>
    </row>
    <row r="158">
      <c r="A158" s="4">
        <f>IF(ROW()-4&lt;=COUNTA(Personnel_Contract_Compliance!$A:$A)-4,INDEX(Personnel_Contract_Compliance!$A:$A,ROW()-3),"")</f>
        <v/>
      </c>
      <c r="B158" s="4">
        <f>IF(A158&lt;&gt;"",VLOOKUP(A158,Personnel_Contract_Compliance!$A:$B,2,FALSE),"")</f>
        <v/>
      </c>
      <c r="C158" s="4">
        <f>IF(A158&lt;&gt;"",VLOOKUP(A158,Personnel_Contract_Compliance!$A:$C,3,FALSE),"")</f>
        <v/>
      </c>
      <c r="D158" s="5" t="n"/>
      <c r="E158" s="5" t="n"/>
      <c r="F158" s="11" t="n"/>
      <c r="G158" s="11" t="n"/>
      <c r="H158" s="5" t="n"/>
      <c r="I158" s="5" t="n"/>
      <c r="J158" s="5" t="n"/>
      <c r="K158" s="4">
        <f>IF(B158="","",IF(AND(F158&lt;&gt;"",OR(G158="",G158&gt;=TODAY())),"Active",IF(AND(F158&lt;&gt;"",G158&lt;TODAY()),"Expired",IF(F158="","Missing","Unknown"))))</f>
        <v/>
      </c>
      <c r="L158" s="5" t="n"/>
      <c r="M158" s="5" t="n"/>
      <c r="N158" s="5" t="n"/>
    </row>
    <row r="159">
      <c r="A159" s="4">
        <f>IF(ROW()-4&lt;=COUNTA(Personnel_Contract_Compliance!$A:$A)-4,INDEX(Personnel_Contract_Compliance!$A:$A,ROW()-3),"")</f>
        <v/>
      </c>
      <c r="B159" s="4">
        <f>IF(A159&lt;&gt;"",VLOOKUP(A159,Personnel_Contract_Compliance!$A:$B,2,FALSE),"")</f>
        <v/>
      </c>
      <c r="C159" s="4">
        <f>IF(A159&lt;&gt;"",VLOOKUP(A159,Personnel_Contract_Compliance!$A:$C,3,FALSE),"")</f>
        <v/>
      </c>
      <c r="D159" s="5" t="n"/>
      <c r="E159" s="5" t="n"/>
      <c r="F159" s="11" t="n"/>
      <c r="G159" s="11" t="n"/>
      <c r="H159" s="5" t="n"/>
      <c r="I159" s="5" t="n"/>
      <c r="J159" s="5" t="n"/>
      <c r="K159" s="4">
        <f>IF(B159="","",IF(AND(F159&lt;&gt;"",OR(G159="",G159&gt;=TODAY())),"Active",IF(AND(F159&lt;&gt;"",G159&lt;TODAY()),"Expired",IF(F159="","Missing","Unknown"))))</f>
        <v/>
      </c>
      <c r="L159" s="5" t="n"/>
      <c r="M159" s="5" t="n"/>
      <c r="N159" s="5" t="n"/>
    </row>
    <row r="160">
      <c r="A160" s="4">
        <f>IF(ROW()-4&lt;=COUNTA(Personnel_Contract_Compliance!$A:$A)-4,INDEX(Personnel_Contract_Compliance!$A:$A,ROW()-3),"")</f>
        <v/>
      </c>
      <c r="B160" s="4">
        <f>IF(A160&lt;&gt;"",VLOOKUP(A160,Personnel_Contract_Compliance!$A:$B,2,FALSE),"")</f>
        <v/>
      </c>
      <c r="C160" s="4">
        <f>IF(A160&lt;&gt;"",VLOOKUP(A160,Personnel_Contract_Compliance!$A:$C,3,FALSE),"")</f>
        <v/>
      </c>
      <c r="D160" s="5" t="n"/>
      <c r="E160" s="5" t="n"/>
      <c r="F160" s="11" t="n"/>
      <c r="G160" s="11" t="n"/>
      <c r="H160" s="5" t="n"/>
      <c r="I160" s="5" t="n"/>
      <c r="J160" s="5" t="n"/>
      <c r="K160" s="4">
        <f>IF(B160="","",IF(AND(F160&lt;&gt;"",OR(G160="",G160&gt;=TODAY())),"Active",IF(AND(F160&lt;&gt;"",G160&lt;TODAY()),"Expired",IF(F160="","Missing","Unknown"))))</f>
        <v/>
      </c>
      <c r="L160" s="5" t="n"/>
      <c r="M160" s="5" t="n"/>
      <c r="N160" s="5" t="n"/>
    </row>
    <row r="161">
      <c r="A161" s="4">
        <f>IF(ROW()-4&lt;=COUNTA(Personnel_Contract_Compliance!$A:$A)-4,INDEX(Personnel_Contract_Compliance!$A:$A,ROW()-3),"")</f>
        <v/>
      </c>
      <c r="B161" s="4">
        <f>IF(A161&lt;&gt;"",VLOOKUP(A161,Personnel_Contract_Compliance!$A:$B,2,FALSE),"")</f>
        <v/>
      </c>
      <c r="C161" s="4">
        <f>IF(A161&lt;&gt;"",VLOOKUP(A161,Personnel_Contract_Compliance!$A:$C,3,FALSE),"")</f>
        <v/>
      </c>
      <c r="D161" s="5" t="n"/>
      <c r="E161" s="5" t="n"/>
      <c r="F161" s="11" t="n"/>
      <c r="G161" s="11" t="n"/>
      <c r="H161" s="5" t="n"/>
      <c r="I161" s="5" t="n"/>
      <c r="J161" s="5" t="n"/>
      <c r="K161" s="4">
        <f>IF(B161="","",IF(AND(F161&lt;&gt;"",OR(G161="",G161&gt;=TODAY())),"Active",IF(AND(F161&lt;&gt;"",G161&lt;TODAY()),"Expired",IF(F161="","Missing","Unknown"))))</f>
        <v/>
      </c>
      <c r="L161" s="5" t="n"/>
      <c r="M161" s="5" t="n"/>
      <c r="N161" s="5" t="n"/>
    </row>
    <row r="162">
      <c r="A162" s="4">
        <f>IF(ROW()-4&lt;=COUNTA(Personnel_Contract_Compliance!$A:$A)-4,INDEX(Personnel_Contract_Compliance!$A:$A,ROW()-3),"")</f>
        <v/>
      </c>
      <c r="B162" s="4">
        <f>IF(A162&lt;&gt;"",VLOOKUP(A162,Personnel_Contract_Compliance!$A:$B,2,FALSE),"")</f>
        <v/>
      </c>
      <c r="C162" s="4">
        <f>IF(A162&lt;&gt;"",VLOOKUP(A162,Personnel_Contract_Compliance!$A:$C,3,FALSE),"")</f>
        <v/>
      </c>
      <c r="D162" s="5" t="n"/>
      <c r="E162" s="5" t="n"/>
      <c r="F162" s="11" t="n"/>
      <c r="G162" s="11" t="n"/>
      <c r="H162" s="5" t="n"/>
      <c r="I162" s="5" t="n"/>
      <c r="J162" s="5" t="n"/>
      <c r="K162" s="4">
        <f>IF(B162="","",IF(AND(F162&lt;&gt;"",OR(G162="",G162&gt;=TODAY())),"Active",IF(AND(F162&lt;&gt;"",G162&lt;TODAY()),"Expired",IF(F162="","Missing","Unknown"))))</f>
        <v/>
      </c>
      <c r="L162" s="5" t="n"/>
      <c r="M162" s="5" t="n"/>
      <c r="N162" s="5" t="n"/>
    </row>
    <row r="163">
      <c r="A163" s="4">
        <f>IF(ROW()-4&lt;=COUNTA(Personnel_Contract_Compliance!$A:$A)-4,INDEX(Personnel_Contract_Compliance!$A:$A,ROW()-3),"")</f>
        <v/>
      </c>
      <c r="B163" s="4">
        <f>IF(A163&lt;&gt;"",VLOOKUP(A163,Personnel_Contract_Compliance!$A:$B,2,FALSE),"")</f>
        <v/>
      </c>
      <c r="C163" s="4">
        <f>IF(A163&lt;&gt;"",VLOOKUP(A163,Personnel_Contract_Compliance!$A:$C,3,FALSE),"")</f>
        <v/>
      </c>
      <c r="D163" s="5" t="n"/>
      <c r="E163" s="5" t="n"/>
      <c r="F163" s="11" t="n"/>
      <c r="G163" s="11" t="n"/>
      <c r="H163" s="5" t="n"/>
      <c r="I163" s="5" t="n"/>
      <c r="J163" s="5" t="n"/>
      <c r="K163" s="4">
        <f>IF(B163="","",IF(AND(F163&lt;&gt;"",OR(G163="",G163&gt;=TODAY())),"Active",IF(AND(F163&lt;&gt;"",G163&lt;TODAY()),"Expired",IF(F163="","Missing","Unknown"))))</f>
        <v/>
      </c>
      <c r="L163" s="5" t="n"/>
      <c r="M163" s="5" t="n"/>
      <c r="N163" s="5" t="n"/>
    </row>
    <row r="164">
      <c r="A164" s="4">
        <f>IF(ROW()-4&lt;=COUNTA(Personnel_Contract_Compliance!$A:$A)-4,INDEX(Personnel_Contract_Compliance!$A:$A,ROW()-3),"")</f>
        <v/>
      </c>
      <c r="B164" s="4">
        <f>IF(A164&lt;&gt;"",VLOOKUP(A164,Personnel_Contract_Compliance!$A:$B,2,FALSE),"")</f>
        <v/>
      </c>
      <c r="C164" s="4">
        <f>IF(A164&lt;&gt;"",VLOOKUP(A164,Personnel_Contract_Compliance!$A:$C,3,FALSE),"")</f>
        <v/>
      </c>
      <c r="D164" s="5" t="n"/>
      <c r="E164" s="5" t="n"/>
      <c r="F164" s="11" t="n"/>
      <c r="G164" s="11" t="n"/>
      <c r="H164" s="5" t="n"/>
      <c r="I164" s="5" t="n"/>
      <c r="J164" s="5" t="n"/>
      <c r="K164" s="4">
        <f>IF(B164="","",IF(AND(F164&lt;&gt;"",OR(G164="",G164&gt;=TODAY())),"Active",IF(AND(F164&lt;&gt;"",G164&lt;TODAY()),"Expired",IF(F164="","Missing","Unknown"))))</f>
        <v/>
      </c>
      <c r="L164" s="5" t="n"/>
      <c r="M164" s="5" t="n"/>
      <c r="N164" s="5" t="n"/>
    </row>
    <row r="165">
      <c r="A165" s="4">
        <f>IF(ROW()-4&lt;=COUNTA(Personnel_Contract_Compliance!$A:$A)-4,INDEX(Personnel_Contract_Compliance!$A:$A,ROW()-3),"")</f>
        <v/>
      </c>
      <c r="B165" s="4">
        <f>IF(A165&lt;&gt;"",VLOOKUP(A165,Personnel_Contract_Compliance!$A:$B,2,FALSE),"")</f>
        <v/>
      </c>
      <c r="C165" s="4">
        <f>IF(A165&lt;&gt;"",VLOOKUP(A165,Personnel_Contract_Compliance!$A:$C,3,FALSE),"")</f>
        <v/>
      </c>
      <c r="D165" s="5" t="n"/>
      <c r="E165" s="5" t="n"/>
      <c r="F165" s="11" t="n"/>
      <c r="G165" s="11" t="n"/>
      <c r="H165" s="5" t="n"/>
      <c r="I165" s="5" t="n"/>
      <c r="J165" s="5" t="n"/>
      <c r="K165" s="4">
        <f>IF(B165="","",IF(AND(F165&lt;&gt;"",OR(G165="",G165&gt;=TODAY())),"Active",IF(AND(F165&lt;&gt;"",G165&lt;TODAY()),"Expired",IF(F165="","Missing","Unknown"))))</f>
        <v/>
      </c>
      <c r="L165" s="5" t="n"/>
      <c r="M165" s="5" t="n"/>
      <c r="N165" s="5" t="n"/>
    </row>
    <row r="166">
      <c r="A166" s="4">
        <f>IF(ROW()-4&lt;=COUNTA(Personnel_Contract_Compliance!$A:$A)-4,INDEX(Personnel_Contract_Compliance!$A:$A,ROW()-3),"")</f>
        <v/>
      </c>
      <c r="B166" s="4">
        <f>IF(A166&lt;&gt;"",VLOOKUP(A166,Personnel_Contract_Compliance!$A:$B,2,FALSE),"")</f>
        <v/>
      </c>
      <c r="C166" s="4">
        <f>IF(A166&lt;&gt;"",VLOOKUP(A166,Personnel_Contract_Compliance!$A:$C,3,FALSE),"")</f>
        <v/>
      </c>
      <c r="D166" s="5" t="n"/>
      <c r="E166" s="5" t="n"/>
      <c r="F166" s="11" t="n"/>
      <c r="G166" s="11" t="n"/>
      <c r="H166" s="5" t="n"/>
      <c r="I166" s="5" t="n"/>
      <c r="J166" s="5" t="n"/>
      <c r="K166" s="4">
        <f>IF(B166="","",IF(AND(F166&lt;&gt;"",OR(G166="",G166&gt;=TODAY())),"Active",IF(AND(F166&lt;&gt;"",G166&lt;TODAY()),"Expired",IF(F166="","Missing","Unknown"))))</f>
        <v/>
      </c>
      <c r="L166" s="5" t="n"/>
      <c r="M166" s="5" t="n"/>
      <c r="N166" s="5" t="n"/>
    </row>
    <row r="167">
      <c r="A167" s="4">
        <f>IF(ROW()-4&lt;=COUNTA(Personnel_Contract_Compliance!$A:$A)-4,INDEX(Personnel_Contract_Compliance!$A:$A,ROW()-3),"")</f>
        <v/>
      </c>
      <c r="B167" s="4">
        <f>IF(A167&lt;&gt;"",VLOOKUP(A167,Personnel_Contract_Compliance!$A:$B,2,FALSE),"")</f>
        <v/>
      </c>
      <c r="C167" s="4">
        <f>IF(A167&lt;&gt;"",VLOOKUP(A167,Personnel_Contract_Compliance!$A:$C,3,FALSE),"")</f>
        <v/>
      </c>
      <c r="D167" s="5" t="n"/>
      <c r="E167" s="5" t="n"/>
      <c r="F167" s="11" t="n"/>
      <c r="G167" s="11" t="n"/>
      <c r="H167" s="5" t="n"/>
      <c r="I167" s="5" t="n"/>
      <c r="J167" s="5" t="n"/>
      <c r="K167" s="4">
        <f>IF(B167="","",IF(AND(F167&lt;&gt;"",OR(G167="",G167&gt;=TODAY())),"Active",IF(AND(F167&lt;&gt;"",G167&lt;TODAY()),"Expired",IF(F167="","Missing","Unknown"))))</f>
        <v/>
      </c>
      <c r="L167" s="5" t="n"/>
      <c r="M167" s="5" t="n"/>
      <c r="N167" s="5" t="n"/>
    </row>
    <row r="168">
      <c r="A168" s="4">
        <f>IF(ROW()-4&lt;=COUNTA(Personnel_Contract_Compliance!$A:$A)-4,INDEX(Personnel_Contract_Compliance!$A:$A,ROW()-3),"")</f>
        <v/>
      </c>
      <c r="B168" s="4">
        <f>IF(A168&lt;&gt;"",VLOOKUP(A168,Personnel_Contract_Compliance!$A:$B,2,FALSE),"")</f>
        <v/>
      </c>
      <c r="C168" s="4">
        <f>IF(A168&lt;&gt;"",VLOOKUP(A168,Personnel_Contract_Compliance!$A:$C,3,FALSE),"")</f>
        <v/>
      </c>
      <c r="D168" s="5" t="n"/>
      <c r="E168" s="5" t="n"/>
      <c r="F168" s="11" t="n"/>
      <c r="G168" s="11" t="n"/>
      <c r="H168" s="5" t="n"/>
      <c r="I168" s="5" t="n"/>
      <c r="J168" s="5" t="n"/>
      <c r="K168" s="4">
        <f>IF(B168="","",IF(AND(F168&lt;&gt;"",OR(G168="",G168&gt;=TODAY())),"Active",IF(AND(F168&lt;&gt;"",G168&lt;TODAY()),"Expired",IF(F168="","Missing","Unknown"))))</f>
        <v/>
      </c>
      <c r="L168" s="5" t="n"/>
      <c r="M168" s="5" t="n"/>
      <c r="N168" s="5" t="n"/>
    </row>
    <row r="169">
      <c r="A169" s="4">
        <f>IF(ROW()-4&lt;=COUNTA(Personnel_Contract_Compliance!$A:$A)-4,INDEX(Personnel_Contract_Compliance!$A:$A,ROW()-3),"")</f>
        <v/>
      </c>
      <c r="B169" s="4">
        <f>IF(A169&lt;&gt;"",VLOOKUP(A169,Personnel_Contract_Compliance!$A:$B,2,FALSE),"")</f>
        <v/>
      </c>
      <c r="C169" s="4">
        <f>IF(A169&lt;&gt;"",VLOOKUP(A169,Personnel_Contract_Compliance!$A:$C,3,FALSE),"")</f>
        <v/>
      </c>
      <c r="D169" s="5" t="n"/>
      <c r="E169" s="5" t="n"/>
      <c r="F169" s="11" t="n"/>
      <c r="G169" s="11" t="n"/>
      <c r="H169" s="5" t="n"/>
      <c r="I169" s="5" t="n"/>
      <c r="J169" s="5" t="n"/>
      <c r="K169" s="4">
        <f>IF(B169="","",IF(AND(F169&lt;&gt;"",OR(G169="",G169&gt;=TODAY())),"Active",IF(AND(F169&lt;&gt;"",G169&lt;TODAY()),"Expired",IF(F169="","Missing","Unknown"))))</f>
        <v/>
      </c>
      <c r="L169" s="5" t="n"/>
      <c r="M169" s="5" t="n"/>
      <c r="N169" s="5" t="n"/>
    </row>
    <row r="170">
      <c r="A170" s="4">
        <f>IF(ROW()-4&lt;=COUNTA(Personnel_Contract_Compliance!$A:$A)-4,INDEX(Personnel_Contract_Compliance!$A:$A,ROW()-3),"")</f>
        <v/>
      </c>
      <c r="B170" s="4">
        <f>IF(A170&lt;&gt;"",VLOOKUP(A170,Personnel_Contract_Compliance!$A:$B,2,FALSE),"")</f>
        <v/>
      </c>
      <c r="C170" s="4">
        <f>IF(A170&lt;&gt;"",VLOOKUP(A170,Personnel_Contract_Compliance!$A:$C,3,FALSE),"")</f>
        <v/>
      </c>
      <c r="D170" s="5" t="n"/>
      <c r="E170" s="5" t="n"/>
      <c r="F170" s="11" t="n"/>
      <c r="G170" s="11" t="n"/>
      <c r="H170" s="5" t="n"/>
      <c r="I170" s="5" t="n"/>
      <c r="J170" s="5" t="n"/>
      <c r="K170" s="4">
        <f>IF(B170="","",IF(AND(F170&lt;&gt;"",OR(G170="",G170&gt;=TODAY())),"Active",IF(AND(F170&lt;&gt;"",G170&lt;TODAY()),"Expired",IF(F170="","Missing","Unknown"))))</f>
        <v/>
      </c>
      <c r="L170" s="5" t="n"/>
      <c r="M170" s="5" t="n"/>
      <c r="N170" s="5" t="n"/>
    </row>
    <row r="171">
      <c r="A171" s="4">
        <f>IF(ROW()-4&lt;=COUNTA(Personnel_Contract_Compliance!$A:$A)-4,INDEX(Personnel_Contract_Compliance!$A:$A,ROW()-3),"")</f>
        <v/>
      </c>
      <c r="B171" s="4">
        <f>IF(A171&lt;&gt;"",VLOOKUP(A171,Personnel_Contract_Compliance!$A:$B,2,FALSE),"")</f>
        <v/>
      </c>
      <c r="C171" s="4">
        <f>IF(A171&lt;&gt;"",VLOOKUP(A171,Personnel_Contract_Compliance!$A:$C,3,FALSE),"")</f>
        <v/>
      </c>
      <c r="D171" s="5" t="n"/>
      <c r="E171" s="5" t="n"/>
      <c r="F171" s="11" t="n"/>
      <c r="G171" s="11" t="n"/>
      <c r="H171" s="5" t="n"/>
      <c r="I171" s="5" t="n"/>
      <c r="J171" s="5" t="n"/>
      <c r="K171" s="4">
        <f>IF(B171="","",IF(AND(F171&lt;&gt;"",OR(G171="",G171&gt;=TODAY())),"Active",IF(AND(F171&lt;&gt;"",G171&lt;TODAY()),"Expired",IF(F171="","Missing","Unknown"))))</f>
        <v/>
      </c>
      <c r="L171" s="5" t="n"/>
      <c r="M171" s="5" t="n"/>
      <c r="N171" s="5" t="n"/>
    </row>
    <row r="172">
      <c r="A172" s="4">
        <f>IF(ROW()-4&lt;=COUNTA(Personnel_Contract_Compliance!$A:$A)-4,INDEX(Personnel_Contract_Compliance!$A:$A,ROW()-3),"")</f>
        <v/>
      </c>
      <c r="B172" s="4">
        <f>IF(A172&lt;&gt;"",VLOOKUP(A172,Personnel_Contract_Compliance!$A:$B,2,FALSE),"")</f>
        <v/>
      </c>
      <c r="C172" s="4">
        <f>IF(A172&lt;&gt;"",VLOOKUP(A172,Personnel_Contract_Compliance!$A:$C,3,FALSE),"")</f>
        <v/>
      </c>
      <c r="D172" s="5" t="n"/>
      <c r="E172" s="5" t="n"/>
      <c r="F172" s="11" t="n"/>
      <c r="G172" s="11" t="n"/>
      <c r="H172" s="5" t="n"/>
      <c r="I172" s="5" t="n"/>
      <c r="J172" s="5" t="n"/>
      <c r="K172" s="4">
        <f>IF(B172="","",IF(AND(F172&lt;&gt;"",OR(G172="",G172&gt;=TODAY())),"Active",IF(AND(F172&lt;&gt;"",G172&lt;TODAY()),"Expired",IF(F172="","Missing","Unknown"))))</f>
        <v/>
      </c>
      <c r="L172" s="5" t="n"/>
      <c r="M172" s="5" t="n"/>
      <c r="N172" s="5" t="n"/>
    </row>
    <row r="173">
      <c r="A173" s="4">
        <f>IF(ROW()-4&lt;=COUNTA(Personnel_Contract_Compliance!$A:$A)-4,INDEX(Personnel_Contract_Compliance!$A:$A,ROW()-3),"")</f>
        <v/>
      </c>
      <c r="B173" s="4">
        <f>IF(A173&lt;&gt;"",VLOOKUP(A173,Personnel_Contract_Compliance!$A:$B,2,FALSE),"")</f>
        <v/>
      </c>
      <c r="C173" s="4">
        <f>IF(A173&lt;&gt;"",VLOOKUP(A173,Personnel_Contract_Compliance!$A:$C,3,FALSE),"")</f>
        <v/>
      </c>
      <c r="D173" s="5" t="n"/>
      <c r="E173" s="5" t="n"/>
      <c r="F173" s="11" t="n"/>
      <c r="G173" s="11" t="n"/>
      <c r="H173" s="5" t="n"/>
      <c r="I173" s="5" t="n"/>
      <c r="J173" s="5" t="n"/>
      <c r="K173" s="4">
        <f>IF(B173="","",IF(AND(F173&lt;&gt;"",OR(G173="",G173&gt;=TODAY())),"Active",IF(AND(F173&lt;&gt;"",G173&lt;TODAY()),"Expired",IF(F173="","Missing","Unknown"))))</f>
        <v/>
      </c>
      <c r="L173" s="5" t="n"/>
      <c r="M173" s="5" t="n"/>
      <c r="N173" s="5" t="n"/>
    </row>
    <row r="174">
      <c r="A174" s="4">
        <f>IF(ROW()-4&lt;=COUNTA(Personnel_Contract_Compliance!$A:$A)-4,INDEX(Personnel_Contract_Compliance!$A:$A,ROW()-3),"")</f>
        <v/>
      </c>
      <c r="B174" s="4">
        <f>IF(A174&lt;&gt;"",VLOOKUP(A174,Personnel_Contract_Compliance!$A:$B,2,FALSE),"")</f>
        <v/>
      </c>
      <c r="C174" s="4">
        <f>IF(A174&lt;&gt;"",VLOOKUP(A174,Personnel_Contract_Compliance!$A:$C,3,FALSE),"")</f>
        <v/>
      </c>
      <c r="D174" s="5" t="n"/>
      <c r="E174" s="5" t="n"/>
      <c r="F174" s="11" t="n"/>
      <c r="G174" s="11" t="n"/>
      <c r="H174" s="5" t="n"/>
      <c r="I174" s="5" t="n"/>
      <c r="J174" s="5" t="n"/>
      <c r="K174" s="4">
        <f>IF(B174="","",IF(AND(F174&lt;&gt;"",OR(G174="",G174&gt;=TODAY())),"Active",IF(AND(F174&lt;&gt;"",G174&lt;TODAY()),"Expired",IF(F174="","Missing","Unknown"))))</f>
        <v/>
      </c>
      <c r="L174" s="5" t="n"/>
      <c r="M174" s="5" t="n"/>
      <c r="N174" s="5" t="n"/>
    </row>
    <row r="175">
      <c r="A175" s="4">
        <f>IF(ROW()-4&lt;=COUNTA(Personnel_Contract_Compliance!$A:$A)-4,INDEX(Personnel_Contract_Compliance!$A:$A,ROW()-3),"")</f>
        <v/>
      </c>
      <c r="B175" s="4">
        <f>IF(A175&lt;&gt;"",VLOOKUP(A175,Personnel_Contract_Compliance!$A:$B,2,FALSE),"")</f>
        <v/>
      </c>
      <c r="C175" s="4">
        <f>IF(A175&lt;&gt;"",VLOOKUP(A175,Personnel_Contract_Compliance!$A:$C,3,FALSE),"")</f>
        <v/>
      </c>
      <c r="D175" s="5" t="n"/>
      <c r="E175" s="5" t="n"/>
      <c r="F175" s="11" t="n"/>
      <c r="G175" s="11" t="n"/>
      <c r="H175" s="5" t="n"/>
      <c r="I175" s="5" t="n"/>
      <c r="J175" s="5" t="n"/>
      <c r="K175" s="4">
        <f>IF(B175="","",IF(AND(F175&lt;&gt;"",OR(G175="",G175&gt;=TODAY())),"Active",IF(AND(F175&lt;&gt;"",G175&lt;TODAY()),"Expired",IF(F175="","Missing","Unknown"))))</f>
        <v/>
      </c>
      <c r="L175" s="5" t="n"/>
      <c r="M175" s="5" t="n"/>
      <c r="N175" s="5" t="n"/>
    </row>
    <row r="176">
      <c r="A176" s="4">
        <f>IF(ROW()-4&lt;=COUNTA(Personnel_Contract_Compliance!$A:$A)-4,INDEX(Personnel_Contract_Compliance!$A:$A,ROW()-3),"")</f>
        <v/>
      </c>
      <c r="B176" s="4">
        <f>IF(A176&lt;&gt;"",VLOOKUP(A176,Personnel_Contract_Compliance!$A:$B,2,FALSE),"")</f>
        <v/>
      </c>
      <c r="C176" s="4">
        <f>IF(A176&lt;&gt;"",VLOOKUP(A176,Personnel_Contract_Compliance!$A:$C,3,FALSE),"")</f>
        <v/>
      </c>
      <c r="D176" s="5" t="n"/>
      <c r="E176" s="5" t="n"/>
      <c r="F176" s="11" t="n"/>
      <c r="G176" s="11" t="n"/>
      <c r="H176" s="5" t="n"/>
      <c r="I176" s="5" t="n"/>
      <c r="J176" s="5" t="n"/>
      <c r="K176" s="4">
        <f>IF(B176="","",IF(AND(F176&lt;&gt;"",OR(G176="",G176&gt;=TODAY())),"Active",IF(AND(F176&lt;&gt;"",G176&lt;TODAY()),"Expired",IF(F176="","Missing","Unknown"))))</f>
        <v/>
      </c>
      <c r="L176" s="5" t="n"/>
      <c r="M176" s="5" t="n"/>
      <c r="N176" s="5" t="n"/>
    </row>
    <row r="177">
      <c r="A177" s="4">
        <f>IF(ROW()-4&lt;=COUNTA(Personnel_Contract_Compliance!$A:$A)-4,INDEX(Personnel_Contract_Compliance!$A:$A,ROW()-3),"")</f>
        <v/>
      </c>
      <c r="B177" s="4">
        <f>IF(A177&lt;&gt;"",VLOOKUP(A177,Personnel_Contract_Compliance!$A:$B,2,FALSE),"")</f>
        <v/>
      </c>
      <c r="C177" s="4">
        <f>IF(A177&lt;&gt;"",VLOOKUP(A177,Personnel_Contract_Compliance!$A:$C,3,FALSE),"")</f>
        <v/>
      </c>
      <c r="D177" s="5" t="n"/>
      <c r="E177" s="5" t="n"/>
      <c r="F177" s="11" t="n"/>
      <c r="G177" s="11" t="n"/>
      <c r="H177" s="5" t="n"/>
      <c r="I177" s="5" t="n"/>
      <c r="J177" s="5" t="n"/>
      <c r="K177" s="4">
        <f>IF(B177="","",IF(AND(F177&lt;&gt;"",OR(G177="",G177&gt;=TODAY())),"Active",IF(AND(F177&lt;&gt;"",G177&lt;TODAY()),"Expired",IF(F177="","Missing","Unknown"))))</f>
        <v/>
      </c>
      <c r="L177" s="5" t="n"/>
      <c r="M177" s="5" t="n"/>
      <c r="N177" s="5" t="n"/>
    </row>
    <row r="178">
      <c r="A178" s="4">
        <f>IF(ROW()-4&lt;=COUNTA(Personnel_Contract_Compliance!$A:$A)-4,INDEX(Personnel_Contract_Compliance!$A:$A,ROW()-3),"")</f>
        <v/>
      </c>
      <c r="B178" s="4">
        <f>IF(A178&lt;&gt;"",VLOOKUP(A178,Personnel_Contract_Compliance!$A:$B,2,FALSE),"")</f>
        <v/>
      </c>
      <c r="C178" s="4">
        <f>IF(A178&lt;&gt;"",VLOOKUP(A178,Personnel_Contract_Compliance!$A:$C,3,FALSE),"")</f>
        <v/>
      </c>
      <c r="D178" s="5" t="n"/>
      <c r="E178" s="5" t="n"/>
      <c r="F178" s="11" t="n"/>
      <c r="G178" s="11" t="n"/>
      <c r="H178" s="5" t="n"/>
      <c r="I178" s="5" t="n"/>
      <c r="J178" s="5" t="n"/>
      <c r="K178" s="4">
        <f>IF(B178="","",IF(AND(F178&lt;&gt;"",OR(G178="",G178&gt;=TODAY())),"Active",IF(AND(F178&lt;&gt;"",G178&lt;TODAY()),"Expired",IF(F178="","Missing","Unknown"))))</f>
        <v/>
      </c>
      <c r="L178" s="5" t="n"/>
      <c r="M178" s="5" t="n"/>
      <c r="N178" s="5" t="n"/>
    </row>
    <row r="179">
      <c r="A179" s="4">
        <f>IF(ROW()-4&lt;=COUNTA(Personnel_Contract_Compliance!$A:$A)-4,INDEX(Personnel_Contract_Compliance!$A:$A,ROW()-3),"")</f>
        <v/>
      </c>
      <c r="B179" s="4">
        <f>IF(A179&lt;&gt;"",VLOOKUP(A179,Personnel_Contract_Compliance!$A:$B,2,FALSE),"")</f>
        <v/>
      </c>
      <c r="C179" s="4">
        <f>IF(A179&lt;&gt;"",VLOOKUP(A179,Personnel_Contract_Compliance!$A:$C,3,FALSE),"")</f>
        <v/>
      </c>
      <c r="D179" s="5" t="n"/>
      <c r="E179" s="5" t="n"/>
      <c r="F179" s="11" t="n"/>
      <c r="G179" s="11" t="n"/>
      <c r="H179" s="5" t="n"/>
      <c r="I179" s="5" t="n"/>
      <c r="J179" s="5" t="n"/>
      <c r="K179" s="4">
        <f>IF(B179="","",IF(AND(F179&lt;&gt;"",OR(G179="",G179&gt;=TODAY())),"Active",IF(AND(F179&lt;&gt;"",G179&lt;TODAY()),"Expired",IF(F179="","Missing","Unknown"))))</f>
        <v/>
      </c>
      <c r="L179" s="5" t="n"/>
      <c r="M179" s="5" t="n"/>
      <c r="N179" s="5" t="n"/>
    </row>
    <row r="180">
      <c r="A180" s="4">
        <f>IF(ROW()-4&lt;=COUNTA(Personnel_Contract_Compliance!$A:$A)-4,INDEX(Personnel_Contract_Compliance!$A:$A,ROW()-3),"")</f>
        <v/>
      </c>
      <c r="B180" s="4">
        <f>IF(A180&lt;&gt;"",VLOOKUP(A180,Personnel_Contract_Compliance!$A:$B,2,FALSE),"")</f>
        <v/>
      </c>
      <c r="C180" s="4">
        <f>IF(A180&lt;&gt;"",VLOOKUP(A180,Personnel_Contract_Compliance!$A:$C,3,FALSE),"")</f>
        <v/>
      </c>
      <c r="D180" s="5" t="n"/>
      <c r="E180" s="5" t="n"/>
      <c r="F180" s="11" t="n"/>
      <c r="G180" s="11" t="n"/>
      <c r="H180" s="5" t="n"/>
      <c r="I180" s="5" t="n"/>
      <c r="J180" s="5" t="n"/>
      <c r="K180" s="4">
        <f>IF(B180="","",IF(AND(F180&lt;&gt;"",OR(G180="",G180&gt;=TODAY())),"Active",IF(AND(F180&lt;&gt;"",G180&lt;TODAY()),"Expired",IF(F180="","Missing","Unknown"))))</f>
        <v/>
      </c>
      <c r="L180" s="5" t="n"/>
      <c r="M180" s="5" t="n"/>
      <c r="N180" s="5" t="n"/>
    </row>
    <row r="181">
      <c r="A181" s="4">
        <f>IF(ROW()-4&lt;=COUNTA(Personnel_Contract_Compliance!$A:$A)-4,INDEX(Personnel_Contract_Compliance!$A:$A,ROW()-3),"")</f>
        <v/>
      </c>
      <c r="B181" s="4">
        <f>IF(A181&lt;&gt;"",VLOOKUP(A181,Personnel_Contract_Compliance!$A:$B,2,FALSE),"")</f>
        <v/>
      </c>
      <c r="C181" s="4">
        <f>IF(A181&lt;&gt;"",VLOOKUP(A181,Personnel_Contract_Compliance!$A:$C,3,FALSE),"")</f>
        <v/>
      </c>
      <c r="D181" s="5" t="n"/>
      <c r="E181" s="5" t="n"/>
      <c r="F181" s="11" t="n"/>
      <c r="G181" s="11" t="n"/>
      <c r="H181" s="5" t="n"/>
      <c r="I181" s="5" t="n"/>
      <c r="J181" s="5" t="n"/>
      <c r="K181" s="4">
        <f>IF(B181="","",IF(AND(F181&lt;&gt;"",OR(G181="",G181&gt;=TODAY())),"Active",IF(AND(F181&lt;&gt;"",G181&lt;TODAY()),"Expired",IF(F181="","Missing","Unknown"))))</f>
        <v/>
      </c>
      <c r="L181" s="5" t="n"/>
      <c r="M181" s="5" t="n"/>
      <c r="N181" s="5" t="n"/>
    </row>
    <row r="182">
      <c r="A182" s="4">
        <f>IF(ROW()-4&lt;=COUNTA(Personnel_Contract_Compliance!$A:$A)-4,INDEX(Personnel_Contract_Compliance!$A:$A,ROW()-3),"")</f>
        <v/>
      </c>
      <c r="B182" s="4">
        <f>IF(A182&lt;&gt;"",VLOOKUP(A182,Personnel_Contract_Compliance!$A:$B,2,FALSE),"")</f>
        <v/>
      </c>
      <c r="C182" s="4">
        <f>IF(A182&lt;&gt;"",VLOOKUP(A182,Personnel_Contract_Compliance!$A:$C,3,FALSE),"")</f>
        <v/>
      </c>
      <c r="D182" s="5" t="n"/>
      <c r="E182" s="5" t="n"/>
      <c r="F182" s="11" t="n"/>
      <c r="G182" s="11" t="n"/>
      <c r="H182" s="5" t="n"/>
      <c r="I182" s="5" t="n"/>
      <c r="J182" s="5" t="n"/>
      <c r="K182" s="4">
        <f>IF(B182="","",IF(AND(F182&lt;&gt;"",OR(G182="",G182&gt;=TODAY())),"Active",IF(AND(F182&lt;&gt;"",G182&lt;TODAY()),"Expired",IF(F182="","Missing","Unknown"))))</f>
        <v/>
      </c>
      <c r="L182" s="5" t="n"/>
      <c r="M182" s="5" t="n"/>
      <c r="N182" s="5" t="n"/>
    </row>
    <row r="183">
      <c r="A183" s="4">
        <f>IF(ROW()-4&lt;=COUNTA(Personnel_Contract_Compliance!$A:$A)-4,INDEX(Personnel_Contract_Compliance!$A:$A,ROW()-3),"")</f>
        <v/>
      </c>
      <c r="B183" s="4">
        <f>IF(A183&lt;&gt;"",VLOOKUP(A183,Personnel_Contract_Compliance!$A:$B,2,FALSE),"")</f>
        <v/>
      </c>
      <c r="C183" s="4">
        <f>IF(A183&lt;&gt;"",VLOOKUP(A183,Personnel_Contract_Compliance!$A:$C,3,FALSE),"")</f>
        <v/>
      </c>
      <c r="D183" s="5" t="n"/>
      <c r="E183" s="5" t="n"/>
      <c r="F183" s="11" t="n"/>
      <c r="G183" s="11" t="n"/>
      <c r="H183" s="5" t="n"/>
      <c r="I183" s="5" t="n"/>
      <c r="J183" s="5" t="n"/>
      <c r="K183" s="4">
        <f>IF(B183="","",IF(AND(F183&lt;&gt;"",OR(G183="",G183&gt;=TODAY())),"Active",IF(AND(F183&lt;&gt;"",G183&lt;TODAY()),"Expired",IF(F183="","Missing","Unknown"))))</f>
        <v/>
      </c>
      <c r="L183" s="5" t="n"/>
      <c r="M183" s="5" t="n"/>
      <c r="N183" s="5" t="n"/>
    </row>
    <row r="184">
      <c r="A184" s="4">
        <f>IF(ROW()-4&lt;=COUNTA(Personnel_Contract_Compliance!$A:$A)-4,INDEX(Personnel_Contract_Compliance!$A:$A,ROW()-3),"")</f>
        <v/>
      </c>
      <c r="B184" s="4">
        <f>IF(A184&lt;&gt;"",VLOOKUP(A184,Personnel_Contract_Compliance!$A:$B,2,FALSE),"")</f>
        <v/>
      </c>
      <c r="C184" s="4">
        <f>IF(A184&lt;&gt;"",VLOOKUP(A184,Personnel_Contract_Compliance!$A:$C,3,FALSE),"")</f>
        <v/>
      </c>
      <c r="D184" s="5" t="n"/>
      <c r="E184" s="5" t="n"/>
      <c r="F184" s="11" t="n"/>
      <c r="G184" s="11" t="n"/>
      <c r="H184" s="5" t="n"/>
      <c r="I184" s="5" t="n"/>
      <c r="J184" s="5" t="n"/>
      <c r="K184" s="4">
        <f>IF(B184="","",IF(AND(F184&lt;&gt;"",OR(G184="",G184&gt;=TODAY())),"Active",IF(AND(F184&lt;&gt;"",G184&lt;TODAY()),"Expired",IF(F184="","Missing","Unknown"))))</f>
        <v/>
      </c>
      <c r="L184" s="5" t="n"/>
      <c r="M184" s="5" t="n"/>
      <c r="N184" s="5" t="n"/>
    </row>
    <row r="185">
      <c r="A185" s="4">
        <f>IF(ROW()-4&lt;=COUNTA(Personnel_Contract_Compliance!$A:$A)-4,INDEX(Personnel_Contract_Compliance!$A:$A,ROW()-3),"")</f>
        <v/>
      </c>
      <c r="B185" s="4">
        <f>IF(A185&lt;&gt;"",VLOOKUP(A185,Personnel_Contract_Compliance!$A:$B,2,FALSE),"")</f>
        <v/>
      </c>
      <c r="C185" s="4">
        <f>IF(A185&lt;&gt;"",VLOOKUP(A185,Personnel_Contract_Compliance!$A:$C,3,FALSE),"")</f>
        <v/>
      </c>
      <c r="D185" s="5" t="n"/>
      <c r="E185" s="5" t="n"/>
      <c r="F185" s="11" t="n"/>
      <c r="G185" s="11" t="n"/>
      <c r="H185" s="5" t="n"/>
      <c r="I185" s="5" t="n"/>
      <c r="J185" s="5" t="n"/>
      <c r="K185" s="4">
        <f>IF(B185="","",IF(AND(F185&lt;&gt;"",OR(G185="",G185&gt;=TODAY())),"Active",IF(AND(F185&lt;&gt;"",G185&lt;TODAY()),"Expired",IF(F185="","Missing","Unknown"))))</f>
        <v/>
      </c>
      <c r="L185" s="5" t="n"/>
      <c r="M185" s="5" t="n"/>
      <c r="N185" s="5" t="n"/>
    </row>
    <row r="186">
      <c r="A186" s="4">
        <f>IF(ROW()-4&lt;=COUNTA(Personnel_Contract_Compliance!$A:$A)-4,INDEX(Personnel_Contract_Compliance!$A:$A,ROW()-3),"")</f>
        <v/>
      </c>
      <c r="B186" s="4">
        <f>IF(A186&lt;&gt;"",VLOOKUP(A186,Personnel_Contract_Compliance!$A:$B,2,FALSE),"")</f>
        <v/>
      </c>
      <c r="C186" s="4">
        <f>IF(A186&lt;&gt;"",VLOOKUP(A186,Personnel_Contract_Compliance!$A:$C,3,FALSE),"")</f>
        <v/>
      </c>
      <c r="D186" s="5" t="n"/>
      <c r="E186" s="5" t="n"/>
      <c r="F186" s="11" t="n"/>
      <c r="G186" s="11" t="n"/>
      <c r="H186" s="5" t="n"/>
      <c r="I186" s="5" t="n"/>
      <c r="J186" s="5" t="n"/>
      <c r="K186" s="4">
        <f>IF(B186="","",IF(AND(F186&lt;&gt;"",OR(G186="",G186&gt;=TODAY())),"Active",IF(AND(F186&lt;&gt;"",G186&lt;TODAY()),"Expired",IF(F186="","Missing","Unknown"))))</f>
        <v/>
      </c>
      <c r="L186" s="5" t="n"/>
      <c r="M186" s="5" t="n"/>
      <c r="N186" s="5" t="n"/>
    </row>
    <row r="187">
      <c r="A187" s="4">
        <f>IF(ROW()-4&lt;=COUNTA(Personnel_Contract_Compliance!$A:$A)-4,INDEX(Personnel_Contract_Compliance!$A:$A,ROW()-3),"")</f>
        <v/>
      </c>
      <c r="B187" s="4">
        <f>IF(A187&lt;&gt;"",VLOOKUP(A187,Personnel_Contract_Compliance!$A:$B,2,FALSE),"")</f>
        <v/>
      </c>
      <c r="C187" s="4">
        <f>IF(A187&lt;&gt;"",VLOOKUP(A187,Personnel_Contract_Compliance!$A:$C,3,FALSE),"")</f>
        <v/>
      </c>
      <c r="D187" s="5" t="n"/>
      <c r="E187" s="5" t="n"/>
      <c r="F187" s="11" t="n"/>
      <c r="G187" s="11" t="n"/>
      <c r="H187" s="5" t="n"/>
      <c r="I187" s="5" t="n"/>
      <c r="J187" s="5" t="n"/>
      <c r="K187" s="4">
        <f>IF(B187="","",IF(AND(F187&lt;&gt;"",OR(G187="",G187&gt;=TODAY())),"Active",IF(AND(F187&lt;&gt;"",G187&lt;TODAY()),"Expired",IF(F187="","Missing","Unknown"))))</f>
        <v/>
      </c>
      <c r="L187" s="5" t="n"/>
      <c r="M187" s="5" t="n"/>
      <c r="N187" s="5" t="n"/>
    </row>
    <row r="188">
      <c r="A188" s="4">
        <f>IF(ROW()-4&lt;=COUNTA(Personnel_Contract_Compliance!$A:$A)-4,INDEX(Personnel_Contract_Compliance!$A:$A,ROW()-3),"")</f>
        <v/>
      </c>
      <c r="B188" s="4">
        <f>IF(A188&lt;&gt;"",VLOOKUP(A188,Personnel_Contract_Compliance!$A:$B,2,FALSE),"")</f>
        <v/>
      </c>
      <c r="C188" s="4">
        <f>IF(A188&lt;&gt;"",VLOOKUP(A188,Personnel_Contract_Compliance!$A:$C,3,FALSE),"")</f>
        <v/>
      </c>
      <c r="D188" s="5" t="n"/>
      <c r="E188" s="5" t="n"/>
      <c r="F188" s="11" t="n"/>
      <c r="G188" s="11" t="n"/>
      <c r="H188" s="5" t="n"/>
      <c r="I188" s="5" t="n"/>
      <c r="J188" s="5" t="n"/>
      <c r="K188" s="4">
        <f>IF(B188="","",IF(AND(F188&lt;&gt;"",OR(G188="",G188&gt;=TODAY())),"Active",IF(AND(F188&lt;&gt;"",G188&lt;TODAY()),"Expired",IF(F188="","Missing","Unknown"))))</f>
        <v/>
      </c>
      <c r="L188" s="5" t="n"/>
      <c r="M188" s="5" t="n"/>
      <c r="N188" s="5" t="n"/>
    </row>
    <row r="189">
      <c r="A189" s="4">
        <f>IF(ROW()-4&lt;=COUNTA(Personnel_Contract_Compliance!$A:$A)-4,INDEX(Personnel_Contract_Compliance!$A:$A,ROW()-3),"")</f>
        <v/>
      </c>
      <c r="B189" s="4">
        <f>IF(A189&lt;&gt;"",VLOOKUP(A189,Personnel_Contract_Compliance!$A:$B,2,FALSE),"")</f>
        <v/>
      </c>
      <c r="C189" s="4">
        <f>IF(A189&lt;&gt;"",VLOOKUP(A189,Personnel_Contract_Compliance!$A:$C,3,FALSE),"")</f>
        <v/>
      </c>
      <c r="D189" s="5" t="n"/>
      <c r="E189" s="5" t="n"/>
      <c r="F189" s="11" t="n"/>
      <c r="G189" s="11" t="n"/>
      <c r="H189" s="5" t="n"/>
      <c r="I189" s="5" t="n"/>
      <c r="J189" s="5" t="n"/>
      <c r="K189" s="4">
        <f>IF(B189="","",IF(AND(F189&lt;&gt;"",OR(G189="",G189&gt;=TODAY())),"Active",IF(AND(F189&lt;&gt;"",G189&lt;TODAY()),"Expired",IF(F189="","Missing","Unknown"))))</f>
        <v/>
      </c>
      <c r="L189" s="5" t="n"/>
      <c r="M189" s="5" t="n"/>
      <c r="N189" s="5" t="n"/>
    </row>
    <row r="190">
      <c r="A190" s="4">
        <f>IF(ROW()-4&lt;=COUNTA(Personnel_Contract_Compliance!$A:$A)-4,INDEX(Personnel_Contract_Compliance!$A:$A,ROW()-3),"")</f>
        <v/>
      </c>
      <c r="B190" s="4">
        <f>IF(A190&lt;&gt;"",VLOOKUP(A190,Personnel_Contract_Compliance!$A:$B,2,FALSE),"")</f>
        <v/>
      </c>
      <c r="C190" s="4">
        <f>IF(A190&lt;&gt;"",VLOOKUP(A190,Personnel_Contract_Compliance!$A:$C,3,FALSE),"")</f>
        <v/>
      </c>
      <c r="D190" s="5" t="n"/>
      <c r="E190" s="5" t="n"/>
      <c r="F190" s="11" t="n"/>
      <c r="G190" s="11" t="n"/>
      <c r="H190" s="5" t="n"/>
      <c r="I190" s="5" t="n"/>
      <c r="J190" s="5" t="n"/>
      <c r="K190" s="4">
        <f>IF(B190="","",IF(AND(F190&lt;&gt;"",OR(G190="",G190&gt;=TODAY())),"Active",IF(AND(F190&lt;&gt;"",G190&lt;TODAY()),"Expired",IF(F190="","Missing","Unknown"))))</f>
        <v/>
      </c>
      <c r="L190" s="5" t="n"/>
      <c r="M190" s="5" t="n"/>
      <c r="N190" s="5" t="n"/>
    </row>
    <row r="191">
      <c r="A191" s="4">
        <f>IF(ROW()-4&lt;=COUNTA(Personnel_Contract_Compliance!$A:$A)-4,INDEX(Personnel_Contract_Compliance!$A:$A,ROW()-3),"")</f>
        <v/>
      </c>
      <c r="B191" s="4">
        <f>IF(A191&lt;&gt;"",VLOOKUP(A191,Personnel_Contract_Compliance!$A:$B,2,FALSE),"")</f>
        <v/>
      </c>
      <c r="C191" s="4">
        <f>IF(A191&lt;&gt;"",VLOOKUP(A191,Personnel_Contract_Compliance!$A:$C,3,FALSE),"")</f>
        <v/>
      </c>
      <c r="D191" s="5" t="n"/>
      <c r="E191" s="5" t="n"/>
      <c r="F191" s="11" t="n"/>
      <c r="G191" s="11" t="n"/>
      <c r="H191" s="5" t="n"/>
      <c r="I191" s="5" t="n"/>
      <c r="J191" s="5" t="n"/>
      <c r="K191" s="4">
        <f>IF(B191="","",IF(AND(F191&lt;&gt;"",OR(G191="",G191&gt;=TODAY())),"Active",IF(AND(F191&lt;&gt;"",G191&lt;TODAY()),"Expired",IF(F191="","Missing","Unknown"))))</f>
        <v/>
      </c>
      <c r="L191" s="5" t="n"/>
      <c r="M191" s="5" t="n"/>
      <c r="N191" s="5" t="n"/>
    </row>
    <row r="192">
      <c r="A192" s="4">
        <f>IF(ROW()-4&lt;=COUNTA(Personnel_Contract_Compliance!$A:$A)-4,INDEX(Personnel_Contract_Compliance!$A:$A,ROW()-3),"")</f>
        <v/>
      </c>
      <c r="B192" s="4">
        <f>IF(A192&lt;&gt;"",VLOOKUP(A192,Personnel_Contract_Compliance!$A:$B,2,FALSE),"")</f>
        <v/>
      </c>
      <c r="C192" s="4">
        <f>IF(A192&lt;&gt;"",VLOOKUP(A192,Personnel_Contract_Compliance!$A:$C,3,FALSE),"")</f>
        <v/>
      </c>
      <c r="D192" s="5" t="n"/>
      <c r="E192" s="5" t="n"/>
      <c r="F192" s="11" t="n"/>
      <c r="G192" s="11" t="n"/>
      <c r="H192" s="5" t="n"/>
      <c r="I192" s="5" t="n"/>
      <c r="J192" s="5" t="n"/>
      <c r="K192" s="4">
        <f>IF(B192="","",IF(AND(F192&lt;&gt;"",OR(G192="",G192&gt;=TODAY())),"Active",IF(AND(F192&lt;&gt;"",G192&lt;TODAY()),"Expired",IF(F192="","Missing","Unknown"))))</f>
        <v/>
      </c>
      <c r="L192" s="5" t="n"/>
      <c r="M192" s="5" t="n"/>
      <c r="N192" s="5" t="n"/>
    </row>
    <row r="193">
      <c r="A193" s="4">
        <f>IF(ROW()-4&lt;=COUNTA(Personnel_Contract_Compliance!$A:$A)-4,INDEX(Personnel_Contract_Compliance!$A:$A,ROW()-3),"")</f>
        <v/>
      </c>
      <c r="B193" s="4">
        <f>IF(A193&lt;&gt;"",VLOOKUP(A193,Personnel_Contract_Compliance!$A:$B,2,FALSE),"")</f>
        <v/>
      </c>
      <c r="C193" s="4">
        <f>IF(A193&lt;&gt;"",VLOOKUP(A193,Personnel_Contract_Compliance!$A:$C,3,FALSE),"")</f>
        <v/>
      </c>
      <c r="D193" s="5" t="n"/>
      <c r="E193" s="5" t="n"/>
      <c r="F193" s="11" t="n"/>
      <c r="G193" s="11" t="n"/>
      <c r="H193" s="5" t="n"/>
      <c r="I193" s="5" t="n"/>
      <c r="J193" s="5" t="n"/>
      <c r="K193" s="4">
        <f>IF(B193="","",IF(AND(F193&lt;&gt;"",OR(G193="",G193&gt;=TODAY())),"Active",IF(AND(F193&lt;&gt;"",G193&lt;TODAY()),"Expired",IF(F193="","Missing","Unknown"))))</f>
        <v/>
      </c>
      <c r="L193" s="5" t="n"/>
      <c r="M193" s="5" t="n"/>
      <c r="N193" s="5" t="n"/>
    </row>
    <row r="194">
      <c r="A194" s="4">
        <f>IF(ROW()-4&lt;=COUNTA(Personnel_Contract_Compliance!$A:$A)-4,INDEX(Personnel_Contract_Compliance!$A:$A,ROW()-3),"")</f>
        <v/>
      </c>
      <c r="B194" s="4">
        <f>IF(A194&lt;&gt;"",VLOOKUP(A194,Personnel_Contract_Compliance!$A:$B,2,FALSE),"")</f>
        <v/>
      </c>
      <c r="C194" s="4">
        <f>IF(A194&lt;&gt;"",VLOOKUP(A194,Personnel_Contract_Compliance!$A:$C,3,FALSE),"")</f>
        <v/>
      </c>
      <c r="D194" s="5" t="n"/>
      <c r="E194" s="5" t="n"/>
      <c r="F194" s="11" t="n"/>
      <c r="G194" s="11" t="n"/>
      <c r="H194" s="5" t="n"/>
      <c r="I194" s="5" t="n"/>
      <c r="J194" s="5" t="n"/>
      <c r="K194" s="4">
        <f>IF(B194="","",IF(AND(F194&lt;&gt;"",OR(G194="",G194&gt;=TODAY())),"Active",IF(AND(F194&lt;&gt;"",G194&lt;TODAY()),"Expired",IF(F194="","Missing","Unknown"))))</f>
        <v/>
      </c>
      <c r="L194" s="5" t="n"/>
      <c r="M194" s="5" t="n"/>
      <c r="N194" s="5" t="n"/>
    </row>
    <row r="195">
      <c r="A195" s="4">
        <f>IF(ROW()-4&lt;=COUNTA(Personnel_Contract_Compliance!$A:$A)-4,INDEX(Personnel_Contract_Compliance!$A:$A,ROW()-3),"")</f>
        <v/>
      </c>
      <c r="B195" s="4">
        <f>IF(A195&lt;&gt;"",VLOOKUP(A195,Personnel_Contract_Compliance!$A:$B,2,FALSE),"")</f>
        <v/>
      </c>
      <c r="C195" s="4">
        <f>IF(A195&lt;&gt;"",VLOOKUP(A195,Personnel_Contract_Compliance!$A:$C,3,FALSE),"")</f>
        <v/>
      </c>
      <c r="D195" s="5" t="n"/>
      <c r="E195" s="5" t="n"/>
      <c r="F195" s="11" t="n"/>
      <c r="G195" s="11" t="n"/>
      <c r="H195" s="5" t="n"/>
      <c r="I195" s="5" t="n"/>
      <c r="J195" s="5" t="n"/>
      <c r="K195" s="4">
        <f>IF(B195="","",IF(AND(F195&lt;&gt;"",OR(G195="",G195&gt;=TODAY())),"Active",IF(AND(F195&lt;&gt;"",G195&lt;TODAY()),"Expired",IF(F195="","Missing","Unknown"))))</f>
        <v/>
      </c>
      <c r="L195" s="5" t="n"/>
      <c r="M195" s="5" t="n"/>
      <c r="N195" s="5" t="n"/>
    </row>
    <row r="196">
      <c r="A196" s="4">
        <f>IF(ROW()-4&lt;=COUNTA(Personnel_Contract_Compliance!$A:$A)-4,INDEX(Personnel_Contract_Compliance!$A:$A,ROW()-3),"")</f>
        <v/>
      </c>
      <c r="B196" s="4">
        <f>IF(A196&lt;&gt;"",VLOOKUP(A196,Personnel_Contract_Compliance!$A:$B,2,FALSE),"")</f>
        <v/>
      </c>
      <c r="C196" s="4">
        <f>IF(A196&lt;&gt;"",VLOOKUP(A196,Personnel_Contract_Compliance!$A:$C,3,FALSE),"")</f>
        <v/>
      </c>
      <c r="D196" s="5" t="n"/>
      <c r="E196" s="5" t="n"/>
      <c r="F196" s="11" t="n"/>
      <c r="G196" s="11" t="n"/>
      <c r="H196" s="5" t="n"/>
      <c r="I196" s="5" t="n"/>
      <c r="J196" s="5" t="n"/>
      <c r="K196" s="4">
        <f>IF(B196="","",IF(AND(F196&lt;&gt;"",OR(G196="",G196&gt;=TODAY())),"Active",IF(AND(F196&lt;&gt;"",G196&lt;TODAY()),"Expired",IF(F196="","Missing","Unknown"))))</f>
        <v/>
      </c>
      <c r="L196" s="5" t="n"/>
      <c r="M196" s="5" t="n"/>
      <c r="N196" s="5" t="n"/>
    </row>
    <row r="197">
      <c r="A197" s="4">
        <f>IF(ROW()-4&lt;=COUNTA(Personnel_Contract_Compliance!$A:$A)-4,INDEX(Personnel_Contract_Compliance!$A:$A,ROW()-3),"")</f>
        <v/>
      </c>
      <c r="B197" s="4">
        <f>IF(A197&lt;&gt;"",VLOOKUP(A197,Personnel_Contract_Compliance!$A:$B,2,FALSE),"")</f>
        <v/>
      </c>
      <c r="C197" s="4">
        <f>IF(A197&lt;&gt;"",VLOOKUP(A197,Personnel_Contract_Compliance!$A:$C,3,FALSE),"")</f>
        <v/>
      </c>
      <c r="D197" s="5" t="n"/>
      <c r="E197" s="5" t="n"/>
      <c r="F197" s="11" t="n"/>
      <c r="G197" s="11" t="n"/>
      <c r="H197" s="5" t="n"/>
      <c r="I197" s="5" t="n"/>
      <c r="J197" s="5" t="n"/>
      <c r="K197" s="4">
        <f>IF(B197="","",IF(AND(F197&lt;&gt;"",OR(G197="",G197&gt;=TODAY())),"Active",IF(AND(F197&lt;&gt;"",G197&lt;TODAY()),"Expired",IF(F197="","Missing","Unknown"))))</f>
        <v/>
      </c>
      <c r="L197" s="5" t="n"/>
      <c r="M197" s="5" t="n"/>
      <c r="N197" s="5" t="n"/>
    </row>
    <row r="198">
      <c r="A198" s="4">
        <f>IF(ROW()-4&lt;=COUNTA(Personnel_Contract_Compliance!$A:$A)-4,INDEX(Personnel_Contract_Compliance!$A:$A,ROW()-3),"")</f>
        <v/>
      </c>
      <c r="B198" s="4">
        <f>IF(A198&lt;&gt;"",VLOOKUP(A198,Personnel_Contract_Compliance!$A:$B,2,FALSE),"")</f>
        <v/>
      </c>
      <c r="C198" s="4">
        <f>IF(A198&lt;&gt;"",VLOOKUP(A198,Personnel_Contract_Compliance!$A:$C,3,FALSE),"")</f>
        <v/>
      </c>
      <c r="D198" s="5" t="n"/>
      <c r="E198" s="5" t="n"/>
      <c r="F198" s="11" t="n"/>
      <c r="G198" s="11" t="n"/>
      <c r="H198" s="5" t="n"/>
      <c r="I198" s="5" t="n"/>
      <c r="J198" s="5" t="n"/>
      <c r="K198" s="4">
        <f>IF(B198="","",IF(AND(F198&lt;&gt;"",OR(G198="",G198&gt;=TODAY())),"Active",IF(AND(F198&lt;&gt;"",G198&lt;TODAY()),"Expired",IF(F198="","Missing","Unknown"))))</f>
        <v/>
      </c>
      <c r="L198" s="5" t="n"/>
      <c r="M198" s="5" t="n"/>
      <c r="N198" s="5" t="n"/>
    </row>
    <row r="199">
      <c r="A199" s="4">
        <f>IF(ROW()-4&lt;=COUNTA(Personnel_Contract_Compliance!$A:$A)-4,INDEX(Personnel_Contract_Compliance!$A:$A,ROW()-3),"")</f>
        <v/>
      </c>
      <c r="B199" s="4">
        <f>IF(A199&lt;&gt;"",VLOOKUP(A199,Personnel_Contract_Compliance!$A:$B,2,FALSE),"")</f>
        <v/>
      </c>
      <c r="C199" s="4">
        <f>IF(A199&lt;&gt;"",VLOOKUP(A199,Personnel_Contract_Compliance!$A:$C,3,FALSE),"")</f>
        <v/>
      </c>
      <c r="D199" s="5" t="n"/>
      <c r="E199" s="5" t="n"/>
      <c r="F199" s="11" t="n"/>
      <c r="G199" s="11" t="n"/>
      <c r="H199" s="5" t="n"/>
      <c r="I199" s="5" t="n"/>
      <c r="J199" s="5" t="n"/>
      <c r="K199" s="4">
        <f>IF(B199="","",IF(AND(F199&lt;&gt;"",OR(G199="",G199&gt;=TODAY())),"Active",IF(AND(F199&lt;&gt;"",G199&lt;TODAY()),"Expired",IF(F199="","Missing","Unknown"))))</f>
        <v/>
      </c>
      <c r="L199" s="5" t="n"/>
      <c r="M199" s="5" t="n"/>
      <c r="N199" s="5" t="n"/>
    </row>
    <row r="200">
      <c r="A200" s="4">
        <f>IF(ROW()-4&lt;=COUNTA(Personnel_Contract_Compliance!$A:$A)-4,INDEX(Personnel_Contract_Compliance!$A:$A,ROW()-3),"")</f>
        <v/>
      </c>
      <c r="B200" s="4">
        <f>IF(A200&lt;&gt;"",VLOOKUP(A200,Personnel_Contract_Compliance!$A:$B,2,FALSE),"")</f>
        <v/>
      </c>
      <c r="C200" s="4">
        <f>IF(A200&lt;&gt;"",VLOOKUP(A200,Personnel_Contract_Compliance!$A:$C,3,FALSE),"")</f>
        <v/>
      </c>
      <c r="D200" s="5" t="n"/>
      <c r="E200" s="5" t="n"/>
      <c r="F200" s="11" t="n"/>
      <c r="G200" s="11" t="n"/>
      <c r="H200" s="5" t="n"/>
      <c r="I200" s="5" t="n"/>
      <c r="J200" s="5" t="n"/>
      <c r="K200" s="4">
        <f>IF(B200="","",IF(AND(F200&lt;&gt;"",OR(G200="",G200&gt;=TODAY())),"Active",IF(AND(F200&lt;&gt;"",G200&lt;TODAY()),"Expired",IF(F200="","Missing","Unknown"))))</f>
        <v/>
      </c>
      <c r="L200" s="5" t="n"/>
      <c r="M200" s="5" t="n"/>
      <c r="N200" s="5" t="n"/>
    </row>
    <row r="201">
      <c r="A201" s="4">
        <f>IF(ROW()-4&lt;=COUNTA(Personnel_Contract_Compliance!$A:$A)-4,INDEX(Personnel_Contract_Compliance!$A:$A,ROW()-3),"")</f>
        <v/>
      </c>
      <c r="B201" s="4">
        <f>IF(A201&lt;&gt;"",VLOOKUP(A201,Personnel_Contract_Compliance!$A:$B,2,FALSE),"")</f>
        <v/>
      </c>
      <c r="C201" s="4">
        <f>IF(A201&lt;&gt;"",VLOOKUP(A201,Personnel_Contract_Compliance!$A:$C,3,FALSE),"")</f>
        <v/>
      </c>
      <c r="D201" s="5" t="n"/>
      <c r="E201" s="5" t="n"/>
      <c r="F201" s="11" t="n"/>
      <c r="G201" s="11" t="n"/>
      <c r="H201" s="5" t="n"/>
      <c r="I201" s="5" t="n"/>
      <c r="J201" s="5" t="n"/>
      <c r="K201" s="4">
        <f>IF(B201="","",IF(AND(F201&lt;&gt;"",OR(G201="",G201&gt;=TODAY())),"Active",IF(AND(F201&lt;&gt;"",G201&lt;TODAY()),"Expired",IF(F201="","Missing","Unknown"))))</f>
        <v/>
      </c>
      <c r="L201" s="5" t="n"/>
      <c r="M201" s="5" t="n"/>
      <c r="N201" s="5" t="n"/>
    </row>
    <row r="202">
      <c r="A202" s="4">
        <f>IF(ROW()-4&lt;=COUNTA(Personnel_Contract_Compliance!$A:$A)-4,INDEX(Personnel_Contract_Compliance!$A:$A,ROW()-3),"")</f>
        <v/>
      </c>
      <c r="B202" s="4">
        <f>IF(A202&lt;&gt;"",VLOOKUP(A202,Personnel_Contract_Compliance!$A:$B,2,FALSE),"")</f>
        <v/>
      </c>
      <c r="C202" s="4">
        <f>IF(A202&lt;&gt;"",VLOOKUP(A202,Personnel_Contract_Compliance!$A:$C,3,FALSE),"")</f>
        <v/>
      </c>
      <c r="D202" s="5" t="n"/>
      <c r="E202" s="5" t="n"/>
      <c r="F202" s="11" t="n"/>
      <c r="G202" s="11" t="n"/>
      <c r="H202" s="5" t="n"/>
      <c r="I202" s="5" t="n"/>
      <c r="J202" s="5" t="n"/>
      <c r="K202" s="4">
        <f>IF(B202="","",IF(AND(F202&lt;&gt;"",OR(G202="",G202&gt;=TODAY())),"Active",IF(AND(F202&lt;&gt;"",G202&lt;TODAY()),"Expired",IF(F202="","Missing","Unknown"))))</f>
        <v/>
      </c>
      <c r="L202" s="5" t="n"/>
      <c r="M202" s="5" t="n"/>
      <c r="N202" s="5" t="n"/>
    </row>
    <row r="203">
      <c r="A203" s="4">
        <f>IF(ROW()-4&lt;=COUNTA(Personnel_Contract_Compliance!$A:$A)-4,INDEX(Personnel_Contract_Compliance!$A:$A,ROW()-3),"")</f>
        <v/>
      </c>
      <c r="B203" s="4">
        <f>IF(A203&lt;&gt;"",VLOOKUP(A203,Personnel_Contract_Compliance!$A:$B,2,FALSE),"")</f>
        <v/>
      </c>
      <c r="C203" s="4">
        <f>IF(A203&lt;&gt;"",VLOOKUP(A203,Personnel_Contract_Compliance!$A:$C,3,FALSE),"")</f>
        <v/>
      </c>
      <c r="D203" s="5" t="n"/>
      <c r="E203" s="5" t="n"/>
      <c r="F203" s="11" t="n"/>
      <c r="G203" s="11" t="n"/>
      <c r="H203" s="5" t="n"/>
      <c r="I203" s="5" t="n"/>
      <c r="J203" s="5" t="n"/>
      <c r="K203" s="4">
        <f>IF(B203="","",IF(AND(F203&lt;&gt;"",OR(G203="",G203&gt;=TODAY())),"Active",IF(AND(F203&lt;&gt;"",G203&lt;TODAY()),"Expired",IF(F203="","Missing","Unknown"))))</f>
        <v/>
      </c>
      <c r="L203" s="5" t="n"/>
      <c r="M203" s="5" t="n"/>
      <c r="N203" s="5" t="n"/>
    </row>
    <row r="204">
      <c r="A204" s="4">
        <f>IF(ROW()-4&lt;=COUNTA(Personnel_Contract_Compliance!$A:$A)-4,INDEX(Personnel_Contract_Compliance!$A:$A,ROW()-3),"")</f>
        <v/>
      </c>
      <c r="B204" s="4">
        <f>IF(A204&lt;&gt;"",VLOOKUP(A204,Personnel_Contract_Compliance!$A:$B,2,FALSE),"")</f>
        <v/>
      </c>
      <c r="C204" s="4">
        <f>IF(A204&lt;&gt;"",VLOOKUP(A204,Personnel_Contract_Compliance!$A:$C,3,FALSE),"")</f>
        <v/>
      </c>
      <c r="D204" s="5" t="n"/>
      <c r="E204" s="5" t="n"/>
      <c r="F204" s="11" t="n"/>
      <c r="G204" s="11" t="n"/>
      <c r="H204" s="5" t="n"/>
      <c r="I204" s="5" t="n"/>
      <c r="J204" s="5" t="n"/>
      <c r="K204" s="4">
        <f>IF(B204="","",IF(AND(F204&lt;&gt;"",OR(G204="",G204&gt;=TODAY())),"Active",IF(AND(F204&lt;&gt;"",G204&lt;TODAY()),"Expired",IF(F204="","Missing","Unknown"))))</f>
        <v/>
      </c>
      <c r="L204" s="5" t="n"/>
      <c r="M204" s="5" t="n"/>
      <c r="N2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N2"/>
    <mergeCell ref="A1:N1"/>
  </mergeCells>
  <dataValidations count="3">
    <dataValidation sqref="D5:D204" showDropDown="0" showInputMessage="0" showErrorMessage="1" allowBlank="1" errorTitle="Invalid Entry" error="Please select from dropdown" type="list">
      <formula1>"Embedded-In-Contract,Standalone-NDA,Mutual-NDA,Unilateral-NDA,PIIA,Combined-Agreement"</formula1>
    </dataValidation>
    <dataValidation sqref="H5:H204 I5:I204 J5:J204" showDropDown="0" showInputMessage="0" showErrorMessage="1" allowBlank="1" errorTitle="Invalid Entry" error="Please select from dropdown" type="list">
      <formula1>"Yes,No,Partial"</formula1>
    </dataValidation>
    <dataValidation sqref="L5:L204" showDropDown="0" showInputMessage="0" showErrorMessage="1" allowBlank="1" errorTitle="Invalid Entry" error="Please select from dropdown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40" customWidth="1" min="15" max="15"/>
  </cols>
  <sheetData>
    <row r="1">
      <c r="A1" s="1" t="inlineStr">
        <is>
          <t>POST-EMPLOYMENT OBLIGATIONS TRACKING</t>
        </is>
      </c>
    </row>
    <row r="2">
      <c r="A2" s="2" t="inlineStr">
        <is>
          <t>Tracking individuals with ongoing confidentiality and non-compete obligations</t>
        </is>
      </c>
    </row>
    <row r="4">
      <c r="A4" s="8" t="inlineStr">
        <is>
          <t>Former_Employee_ID</t>
        </is>
      </c>
      <c r="B4" s="8" t="inlineStr">
        <is>
          <t>Former_Employee_Name</t>
        </is>
      </c>
      <c r="C4" s="8" t="inlineStr">
        <is>
          <t>Former_Department</t>
        </is>
      </c>
      <c r="D4" s="8" t="inlineStr">
        <is>
          <t>Former_Role</t>
        </is>
      </c>
      <c r="E4" s="8" t="inlineStr">
        <is>
          <t>Termination_Date</t>
        </is>
      </c>
      <c r="F4" s="8" t="inlineStr">
        <is>
          <t>Termination_Type</t>
        </is>
      </c>
      <c r="G4" s="8" t="inlineStr">
        <is>
          <t>Confidentiality_End_Date</t>
        </is>
      </c>
      <c r="H4" s="8" t="inlineStr">
        <is>
          <t>Non_Compete_End_Date</t>
        </is>
      </c>
      <c r="I4" s="8" t="inlineStr">
        <is>
          <t>Non_Solicit_End_Date</t>
        </is>
      </c>
      <c r="J4" s="8" t="inlineStr">
        <is>
          <t>IP_Assignment_Perpetual</t>
        </is>
      </c>
      <c r="K4" s="8" t="inlineStr">
        <is>
          <t>Assets_Returned</t>
        </is>
      </c>
      <c r="L4" s="8" t="inlineStr">
        <is>
          <t>Exit_Interview_Complete</t>
        </is>
      </c>
      <c r="M4" s="8" t="inlineStr">
        <is>
          <t>Obligation_Status</t>
        </is>
      </c>
      <c r="N4" s="8" t="inlineStr">
        <is>
          <t>Monitoring_Required</t>
        </is>
      </c>
      <c r="O4" s="8" t="inlineStr">
        <is>
          <t>Notes</t>
        </is>
      </c>
    </row>
    <row r="5">
      <c r="A5" s="5" t="n"/>
      <c r="B5" s="5" t="n"/>
      <c r="C5" s="5" t="n"/>
      <c r="D5" s="5" t="n"/>
      <c r="E5" s="11" t="n"/>
      <c r="F5" s="5" t="n"/>
      <c r="G5" s="11" t="n"/>
      <c r="H5" s="11" t="n"/>
      <c r="I5" s="11" t="n"/>
      <c r="J5" s="5" t="n"/>
      <c r="K5" s="5" t="n"/>
      <c r="L5" s="5" t="n"/>
      <c r="M5" s="4">
        <f>IF(B5="","",IF(AND(K5="Yes",L5="Yes",OR(G5="Perpetual",G5&gt;=TODAY())),"Active-Compliant",IF(OR(K5="No",L5="No"),"Non-Compliant",IF(AND(G5&lt;TODAY(),H5&lt;TODAY(),I5&lt;TODAY()),"Expired","Active-Review"))))</f>
        <v/>
      </c>
      <c r="N5" s="5" t="n"/>
      <c r="O5" s="5" t="n"/>
    </row>
    <row r="6">
      <c r="A6" s="5" t="n"/>
      <c r="B6" s="5" t="n"/>
      <c r="C6" s="5" t="n"/>
      <c r="D6" s="5" t="n"/>
      <c r="E6" s="11" t="n"/>
      <c r="F6" s="5" t="n"/>
      <c r="G6" s="11" t="n"/>
      <c r="H6" s="11" t="n"/>
      <c r="I6" s="11" t="n"/>
      <c r="J6" s="5" t="n"/>
      <c r="K6" s="5" t="n"/>
      <c r="L6" s="5" t="n"/>
      <c r="M6" s="4">
        <f>IF(B6="","",IF(AND(K6="Yes",L6="Yes",OR(G6="Perpetual",G6&gt;=TODAY())),"Active-Compliant",IF(OR(K6="No",L6="No"),"Non-Compliant",IF(AND(G6&lt;TODAY(),H6&lt;TODAY(),I6&lt;TODAY()),"Expired","Active-Review"))))</f>
        <v/>
      </c>
      <c r="N6" s="5" t="n"/>
      <c r="O6" s="5" t="n"/>
    </row>
    <row r="7">
      <c r="A7" s="5" t="n"/>
      <c r="B7" s="5" t="n"/>
      <c r="C7" s="5" t="n"/>
      <c r="D7" s="5" t="n"/>
      <c r="E7" s="11" t="n"/>
      <c r="F7" s="5" t="n"/>
      <c r="G7" s="11" t="n"/>
      <c r="H7" s="11" t="n"/>
      <c r="I7" s="11" t="n"/>
      <c r="J7" s="5" t="n"/>
      <c r="K7" s="5" t="n"/>
      <c r="L7" s="5" t="n"/>
      <c r="M7" s="4">
        <f>IF(B7="","",IF(AND(K7="Yes",L7="Yes",OR(G7="Perpetual",G7&gt;=TODAY())),"Active-Compliant",IF(OR(K7="No",L7="No"),"Non-Compliant",IF(AND(G7&lt;TODAY(),H7&lt;TODAY(),I7&lt;TODAY()),"Expired","Active-Review"))))</f>
        <v/>
      </c>
      <c r="N7" s="5" t="n"/>
      <c r="O7" s="5" t="n"/>
    </row>
    <row r="8">
      <c r="A8" s="5" t="n"/>
      <c r="B8" s="5" t="n"/>
      <c r="C8" s="5" t="n"/>
      <c r="D8" s="5" t="n"/>
      <c r="E8" s="11" t="n"/>
      <c r="F8" s="5" t="n"/>
      <c r="G8" s="11" t="n"/>
      <c r="H8" s="11" t="n"/>
      <c r="I8" s="11" t="n"/>
      <c r="J8" s="5" t="n"/>
      <c r="K8" s="5" t="n"/>
      <c r="L8" s="5" t="n"/>
      <c r="M8" s="4">
        <f>IF(B8="","",IF(AND(K8="Yes",L8="Yes",OR(G8="Perpetual",G8&gt;=TODAY())),"Active-Compliant",IF(OR(K8="No",L8="No"),"Non-Compliant",IF(AND(G8&lt;TODAY(),H8&lt;TODAY(),I8&lt;TODAY()),"Expired","Active-Review"))))</f>
        <v/>
      </c>
      <c r="N8" s="5" t="n"/>
      <c r="O8" s="5" t="n"/>
    </row>
    <row r="9">
      <c r="A9" s="5" t="n"/>
      <c r="B9" s="5" t="n"/>
      <c r="C9" s="5" t="n"/>
      <c r="D9" s="5" t="n"/>
      <c r="E9" s="11" t="n"/>
      <c r="F9" s="5" t="n"/>
      <c r="G9" s="11" t="n"/>
      <c r="H9" s="11" t="n"/>
      <c r="I9" s="11" t="n"/>
      <c r="J9" s="5" t="n"/>
      <c r="K9" s="5" t="n"/>
      <c r="L9" s="5" t="n"/>
      <c r="M9" s="4">
        <f>IF(B9="","",IF(AND(K9="Yes",L9="Yes",OR(G9="Perpetual",G9&gt;=TODAY())),"Active-Compliant",IF(OR(K9="No",L9="No"),"Non-Compliant",IF(AND(G9&lt;TODAY(),H9&lt;TODAY(),I9&lt;TODAY()),"Expired","Active-Review"))))</f>
        <v/>
      </c>
      <c r="N9" s="5" t="n"/>
      <c r="O9" s="5" t="n"/>
    </row>
    <row r="10">
      <c r="A10" s="5" t="n"/>
      <c r="B10" s="5" t="n"/>
      <c r="C10" s="5" t="n"/>
      <c r="D10" s="5" t="n"/>
      <c r="E10" s="11" t="n"/>
      <c r="F10" s="5" t="n"/>
      <c r="G10" s="11" t="n"/>
      <c r="H10" s="11" t="n"/>
      <c r="I10" s="11" t="n"/>
      <c r="J10" s="5" t="n"/>
      <c r="K10" s="5" t="n"/>
      <c r="L10" s="5" t="n"/>
      <c r="M10" s="4">
        <f>IF(B10="","",IF(AND(K10="Yes",L10="Yes",OR(G10="Perpetual",G10&gt;=TODAY())),"Active-Compliant",IF(OR(K10="No",L10="No"),"Non-Compliant",IF(AND(G10&lt;TODAY(),H10&lt;TODAY(),I10&lt;TODAY()),"Expired","Active-Review"))))</f>
        <v/>
      </c>
      <c r="N10" s="5" t="n"/>
      <c r="O10" s="5" t="n"/>
    </row>
    <row r="11">
      <c r="A11" s="5" t="n"/>
      <c r="B11" s="5" t="n"/>
      <c r="C11" s="5" t="n"/>
      <c r="D11" s="5" t="n"/>
      <c r="E11" s="11" t="n"/>
      <c r="F11" s="5" t="n"/>
      <c r="G11" s="11" t="n"/>
      <c r="H11" s="11" t="n"/>
      <c r="I11" s="11" t="n"/>
      <c r="J11" s="5" t="n"/>
      <c r="K11" s="5" t="n"/>
      <c r="L11" s="5" t="n"/>
      <c r="M11" s="4">
        <f>IF(B11="","",IF(AND(K11="Yes",L11="Yes",OR(G11="Perpetual",G11&gt;=TODAY())),"Active-Compliant",IF(OR(K11="No",L11="No"),"Non-Compliant",IF(AND(G11&lt;TODAY(),H11&lt;TODAY(),I11&lt;TODAY()),"Expired","Active-Review"))))</f>
        <v/>
      </c>
      <c r="N11" s="5" t="n"/>
      <c r="O11" s="5" t="n"/>
    </row>
    <row r="12">
      <c r="A12" s="5" t="n"/>
      <c r="B12" s="5" t="n"/>
      <c r="C12" s="5" t="n"/>
      <c r="D12" s="5" t="n"/>
      <c r="E12" s="11" t="n"/>
      <c r="F12" s="5" t="n"/>
      <c r="G12" s="11" t="n"/>
      <c r="H12" s="11" t="n"/>
      <c r="I12" s="11" t="n"/>
      <c r="J12" s="5" t="n"/>
      <c r="K12" s="5" t="n"/>
      <c r="L12" s="5" t="n"/>
      <c r="M12" s="4">
        <f>IF(B12="","",IF(AND(K12="Yes",L12="Yes",OR(G12="Perpetual",G12&gt;=TODAY())),"Active-Compliant",IF(OR(K12="No",L12="No"),"Non-Compliant",IF(AND(G12&lt;TODAY(),H12&lt;TODAY(),I12&lt;TODAY()),"Expired","Active-Review"))))</f>
        <v/>
      </c>
      <c r="N12" s="5" t="n"/>
      <c r="O12" s="5" t="n"/>
    </row>
    <row r="13">
      <c r="A13" s="5" t="n"/>
      <c r="B13" s="5" t="n"/>
      <c r="C13" s="5" t="n"/>
      <c r="D13" s="5" t="n"/>
      <c r="E13" s="11" t="n"/>
      <c r="F13" s="5" t="n"/>
      <c r="G13" s="11" t="n"/>
      <c r="H13" s="11" t="n"/>
      <c r="I13" s="11" t="n"/>
      <c r="J13" s="5" t="n"/>
      <c r="K13" s="5" t="n"/>
      <c r="L13" s="5" t="n"/>
      <c r="M13" s="4">
        <f>IF(B13="","",IF(AND(K13="Yes",L13="Yes",OR(G13="Perpetual",G13&gt;=TODAY())),"Active-Compliant",IF(OR(K13="No",L13="No"),"Non-Compliant",IF(AND(G13&lt;TODAY(),H13&lt;TODAY(),I13&lt;TODAY()),"Expired","Active-Review"))))</f>
        <v/>
      </c>
      <c r="N13" s="5" t="n"/>
      <c r="O13" s="5" t="n"/>
    </row>
    <row r="14">
      <c r="A14" s="5" t="n"/>
      <c r="B14" s="5" t="n"/>
      <c r="C14" s="5" t="n"/>
      <c r="D14" s="5" t="n"/>
      <c r="E14" s="11" t="n"/>
      <c r="F14" s="5" t="n"/>
      <c r="G14" s="11" t="n"/>
      <c r="H14" s="11" t="n"/>
      <c r="I14" s="11" t="n"/>
      <c r="J14" s="5" t="n"/>
      <c r="K14" s="5" t="n"/>
      <c r="L14" s="5" t="n"/>
      <c r="M14" s="4">
        <f>IF(B14="","",IF(AND(K14="Yes",L14="Yes",OR(G14="Perpetual",G14&gt;=TODAY())),"Active-Compliant",IF(OR(K14="No",L14="No"),"Non-Compliant",IF(AND(G14&lt;TODAY(),H14&lt;TODAY(),I14&lt;TODAY()),"Expired","Active-Review"))))</f>
        <v/>
      </c>
      <c r="N14" s="5" t="n"/>
      <c r="O14" s="5" t="n"/>
    </row>
    <row r="15">
      <c r="A15" s="5" t="n"/>
      <c r="B15" s="5" t="n"/>
      <c r="C15" s="5" t="n"/>
      <c r="D15" s="5" t="n"/>
      <c r="E15" s="11" t="n"/>
      <c r="F15" s="5" t="n"/>
      <c r="G15" s="11" t="n"/>
      <c r="H15" s="11" t="n"/>
      <c r="I15" s="11" t="n"/>
      <c r="J15" s="5" t="n"/>
      <c r="K15" s="5" t="n"/>
      <c r="L15" s="5" t="n"/>
      <c r="M15" s="4">
        <f>IF(B15="","",IF(AND(K15="Yes",L15="Yes",OR(G15="Perpetual",G15&gt;=TODAY())),"Active-Compliant",IF(OR(K15="No",L15="No"),"Non-Compliant",IF(AND(G15&lt;TODAY(),H15&lt;TODAY(),I15&lt;TODAY()),"Expired","Active-Review"))))</f>
        <v/>
      </c>
      <c r="N15" s="5" t="n"/>
      <c r="O15" s="5" t="n"/>
    </row>
    <row r="16">
      <c r="A16" s="5" t="n"/>
      <c r="B16" s="5" t="n"/>
      <c r="C16" s="5" t="n"/>
      <c r="D16" s="5" t="n"/>
      <c r="E16" s="11" t="n"/>
      <c r="F16" s="5" t="n"/>
      <c r="G16" s="11" t="n"/>
      <c r="H16" s="11" t="n"/>
      <c r="I16" s="11" t="n"/>
      <c r="J16" s="5" t="n"/>
      <c r="K16" s="5" t="n"/>
      <c r="L16" s="5" t="n"/>
      <c r="M16" s="4">
        <f>IF(B16="","",IF(AND(K16="Yes",L16="Yes",OR(G16="Perpetual",G16&gt;=TODAY())),"Active-Compliant",IF(OR(K16="No",L16="No"),"Non-Compliant",IF(AND(G16&lt;TODAY(),H16&lt;TODAY(),I16&lt;TODAY()),"Expired","Active-Review"))))</f>
        <v/>
      </c>
      <c r="N16" s="5" t="n"/>
      <c r="O16" s="5" t="n"/>
    </row>
    <row r="17">
      <c r="A17" s="5" t="n"/>
      <c r="B17" s="5" t="n"/>
      <c r="C17" s="5" t="n"/>
      <c r="D17" s="5" t="n"/>
      <c r="E17" s="11" t="n"/>
      <c r="F17" s="5" t="n"/>
      <c r="G17" s="11" t="n"/>
      <c r="H17" s="11" t="n"/>
      <c r="I17" s="11" t="n"/>
      <c r="J17" s="5" t="n"/>
      <c r="K17" s="5" t="n"/>
      <c r="L17" s="5" t="n"/>
      <c r="M17" s="4">
        <f>IF(B17="","",IF(AND(K17="Yes",L17="Yes",OR(G17="Perpetual",G17&gt;=TODAY())),"Active-Compliant",IF(OR(K17="No",L17="No"),"Non-Compliant",IF(AND(G17&lt;TODAY(),H17&lt;TODAY(),I17&lt;TODAY()),"Expired","Active-Review"))))</f>
        <v/>
      </c>
      <c r="N17" s="5" t="n"/>
      <c r="O17" s="5" t="n"/>
    </row>
    <row r="18">
      <c r="A18" s="5" t="n"/>
      <c r="B18" s="5" t="n"/>
      <c r="C18" s="5" t="n"/>
      <c r="D18" s="5" t="n"/>
      <c r="E18" s="11" t="n"/>
      <c r="F18" s="5" t="n"/>
      <c r="G18" s="11" t="n"/>
      <c r="H18" s="11" t="n"/>
      <c r="I18" s="11" t="n"/>
      <c r="J18" s="5" t="n"/>
      <c r="K18" s="5" t="n"/>
      <c r="L18" s="5" t="n"/>
      <c r="M18" s="4">
        <f>IF(B18="","",IF(AND(K18="Yes",L18="Yes",OR(G18="Perpetual",G18&gt;=TODAY())),"Active-Compliant",IF(OR(K18="No",L18="No"),"Non-Compliant",IF(AND(G18&lt;TODAY(),H18&lt;TODAY(),I18&lt;TODAY()),"Expired","Active-Review"))))</f>
        <v/>
      </c>
      <c r="N18" s="5" t="n"/>
      <c r="O18" s="5" t="n"/>
    </row>
    <row r="19">
      <c r="A19" s="5" t="n"/>
      <c r="B19" s="5" t="n"/>
      <c r="C19" s="5" t="n"/>
      <c r="D19" s="5" t="n"/>
      <c r="E19" s="11" t="n"/>
      <c r="F19" s="5" t="n"/>
      <c r="G19" s="11" t="n"/>
      <c r="H19" s="11" t="n"/>
      <c r="I19" s="11" t="n"/>
      <c r="J19" s="5" t="n"/>
      <c r="K19" s="5" t="n"/>
      <c r="L19" s="5" t="n"/>
      <c r="M19" s="4">
        <f>IF(B19="","",IF(AND(K19="Yes",L19="Yes",OR(G19="Perpetual",G19&gt;=TODAY())),"Active-Compliant",IF(OR(K19="No",L19="No"),"Non-Compliant",IF(AND(G19&lt;TODAY(),H19&lt;TODAY(),I19&lt;TODAY()),"Expired","Active-Review"))))</f>
        <v/>
      </c>
      <c r="N19" s="5" t="n"/>
      <c r="O19" s="5" t="n"/>
    </row>
    <row r="20">
      <c r="A20" s="5" t="n"/>
      <c r="B20" s="5" t="n"/>
      <c r="C20" s="5" t="n"/>
      <c r="D20" s="5" t="n"/>
      <c r="E20" s="11" t="n"/>
      <c r="F20" s="5" t="n"/>
      <c r="G20" s="11" t="n"/>
      <c r="H20" s="11" t="n"/>
      <c r="I20" s="11" t="n"/>
      <c r="J20" s="5" t="n"/>
      <c r="K20" s="5" t="n"/>
      <c r="L20" s="5" t="n"/>
      <c r="M20" s="4">
        <f>IF(B20="","",IF(AND(K20="Yes",L20="Yes",OR(G20="Perpetual",G20&gt;=TODAY())),"Active-Compliant",IF(OR(K20="No",L20="No"),"Non-Compliant",IF(AND(G20&lt;TODAY(),H20&lt;TODAY(),I20&lt;TODAY()),"Expired","Active-Review"))))</f>
        <v/>
      </c>
      <c r="N20" s="5" t="n"/>
      <c r="O20" s="5" t="n"/>
    </row>
    <row r="21">
      <c r="A21" s="5" t="n"/>
      <c r="B21" s="5" t="n"/>
      <c r="C21" s="5" t="n"/>
      <c r="D21" s="5" t="n"/>
      <c r="E21" s="11" t="n"/>
      <c r="F21" s="5" t="n"/>
      <c r="G21" s="11" t="n"/>
      <c r="H21" s="11" t="n"/>
      <c r="I21" s="11" t="n"/>
      <c r="J21" s="5" t="n"/>
      <c r="K21" s="5" t="n"/>
      <c r="L21" s="5" t="n"/>
      <c r="M21" s="4">
        <f>IF(B21="","",IF(AND(K21="Yes",L21="Yes",OR(G21="Perpetual",G21&gt;=TODAY())),"Active-Compliant",IF(OR(K21="No",L21="No"),"Non-Compliant",IF(AND(G21&lt;TODAY(),H21&lt;TODAY(),I21&lt;TODAY()),"Expired","Active-Review"))))</f>
        <v/>
      </c>
      <c r="N21" s="5" t="n"/>
      <c r="O21" s="5" t="n"/>
    </row>
    <row r="22">
      <c r="A22" s="5" t="n"/>
      <c r="B22" s="5" t="n"/>
      <c r="C22" s="5" t="n"/>
      <c r="D22" s="5" t="n"/>
      <c r="E22" s="11" t="n"/>
      <c r="F22" s="5" t="n"/>
      <c r="G22" s="11" t="n"/>
      <c r="H22" s="11" t="n"/>
      <c r="I22" s="11" t="n"/>
      <c r="J22" s="5" t="n"/>
      <c r="K22" s="5" t="n"/>
      <c r="L22" s="5" t="n"/>
      <c r="M22" s="4">
        <f>IF(B22="","",IF(AND(K22="Yes",L22="Yes",OR(G22="Perpetual",G22&gt;=TODAY())),"Active-Compliant",IF(OR(K22="No",L22="No"),"Non-Compliant",IF(AND(G22&lt;TODAY(),H22&lt;TODAY(),I22&lt;TODAY()),"Expired","Active-Review"))))</f>
        <v/>
      </c>
      <c r="N22" s="5" t="n"/>
      <c r="O22" s="5" t="n"/>
    </row>
    <row r="23">
      <c r="A23" s="5" t="n"/>
      <c r="B23" s="5" t="n"/>
      <c r="C23" s="5" t="n"/>
      <c r="D23" s="5" t="n"/>
      <c r="E23" s="11" t="n"/>
      <c r="F23" s="5" t="n"/>
      <c r="G23" s="11" t="n"/>
      <c r="H23" s="11" t="n"/>
      <c r="I23" s="11" t="n"/>
      <c r="J23" s="5" t="n"/>
      <c r="K23" s="5" t="n"/>
      <c r="L23" s="5" t="n"/>
      <c r="M23" s="4">
        <f>IF(B23="","",IF(AND(K23="Yes",L23="Yes",OR(G23="Perpetual",G23&gt;=TODAY())),"Active-Compliant",IF(OR(K23="No",L23="No"),"Non-Compliant",IF(AND(G23&lt;TODAY(),H23&lt;TODAY(),I23&lt;TODAY()),"Expired","Active-Review"))))</f>
        <v/>
      </c>
      <c r="N23" s="5" t="n"/>
      <c r="O23" s="5" t="n"/>
    </row>
    <row r="24">
      <c r="A24" s="5" t="n"/>
      <c r="B24" s="5" t="n"/>
      <c r="C24" s="5" t="n"/>
      <c r="D24" s="5" t="n"/>
      <c r="E24" s="11" t="n"/>
      <c r="F24" s="5" t="n"/>
      <c r="G24" s="11" t="n"/>
      <c r="H24" s="11" t="n"/>
      <c r="I24" s="11" t="n"/>
      <c r="J24" s="5" t="n"/>
      <c r="K24" s="5" t="n"/>
      <c r="L24" s="5" t="n"/>
      <c r="M24" s="4">
        <f>IF(B24="","",IF(AND(K24="Yes",L24="Yes",OR(G24="Perpetual",G24&gt;=TODAY())),"Active-Compliant",IF(OR(K24="No",L24="No"),"Non-Compliant",IF(AND(G24&lt;TODAY(),H24&lt;TODAY(),I24&lt;TODAY()),"Expired","Active-Review"))))</f>
        <v/>
      </c>
      <c r="N24" s="5" t="n"/>
      <c r="O24" s="5" t="n"/>
    </row>
    <row r="25">
      <c r="A25" s="5" t="n"/>
      <c r="B25" s="5" t="n"/>
      <c r="C25" s="5" t="n"/>
      <c r="D25" s="5" t="n"/>
      <c r="E25" s="11" t="n"/>
      <c r="F25" s="5" t="n"/>
      <c r="G25" s="11" t="n"/>
      <c r="H25" s="11" t="n"/>
      <c r="I25" s="11" t="n"/>
      <c r="J25" s="5" t="n"/>
      <c r="K25" s="5" t="n"/>
      <c r="L25" s="5" t="n"/>
      <c r="M25" s="4">
        <f>IF(B25="","",IF(AND(K25="Yes",L25="Yes",OR(G25="Perpetual",G25&gt;=TODAY())),"Active-Compliant",IF(OR(K25="No",L25="No"),"Non-Compliant",IF(AND(G25&lt;TODAY(),H25&lt;TODAY(),I25&lt;TODAY()),"Expired","Active-Review"))))</f>
        <v/>
      </c>
      <c r="N25" s="5" t="n"/>
      <c r="O25" s="5" t="n"/>
    </row>
    <row r="26">
      <c r="A26" s="5" t="n"/>
      <c r="B26" s="5" t="n"/>
      <c r="C26" s="5" t="n"/>
      <c r="D26" s="5" t="n"/>
      <c r="E26" s="11" t="n"/>
      <c r="F26" s="5" t="n"/>
      <c r="G26" s="11" t="n"/>
      <c r="H26" s="11" t="n"/>
      <c r="I26" s="11" t="n"/>
      <c r="J26" s="5" t="n"/>
      <c r="K26" s="5" t="n"/>
      <c r="L26" s="5" t="n"/>
      <c r="M26" s="4">
        <f>IF(B26="","",IF(AND(K26="Yes",L26="Yes",OR(G26="Perpetual",G26&gt;=TODAY())),"Active-Compliant",IF(OR(K26="No",L26="No"),"Non-Compliant",IF(AND(G26&lt;TODAY(),H26&lt;TODAY(),I26&lt;TODAY()),"Expired","Active-Review"))))</f>
        <v/>
      </c>
      <c r="N26" s="5" t="n"/>
      <c r="O26" s="5" t="n"/>
    </row>
    <row r="27">
      <c r="A27" s="5" t="n"/>
      <c r="B27" s="5" t="n"/>
      <c r="C27" s="5" t="n"/>
      <c r="D27" s="5" t="n"/>
      <c r="E27" s="11" t="n"/>
      <c r="F27" s="5" t="n"/>
      <c r="G27" s="11" t="n"/>
      <c r="H27" s="11" t="n"/>
      <c r="I27" s="11" t="n"/>
      <c r="J27" s="5" t="n"/>
      <c r="K27" s="5" t="n"/>
      <c r="L27" s="5" t="n"/>
      <c r="M27" s="4">
        <f>IF(B27="","",IF(AND(K27="Yes",L27="Yes",OR(G27="Perpetual",G27&gt;=TODAY())),"Active-Compliant",IF(OR(K27="No",L27="No"),"Non-Compliant",IF(AND(G27&lt;TODAY(),H27&lt;TODAY(),I27&lt;TODAY()),"Expired","Active-Review"))))</f>
        <v/>
      </c>
      <c r="N27" s="5" t="n"/>
      <c r="O27" s="5" t="n"/>
    </row>
    <row r="28">
      <c r="A28" s="5" t="n"/>
      <c r="B28" s="5" t="n"/>
      <c r="C28" s="5" t="n"/>
      <c r="D28" s="5" t="n"/>
      <c r="E28" s="11" t="n"/>
      <c r="F28" s="5" t="n"/>
      <c r="G28" s="11" t="n"/>
      <c r="H28" s="11" t="n"/>
      <c r="I28" s="11" t="n"/>
      <c r="J28" s="5" t="n"/>
      <c r="K28" s="5" t="n"/>
      <c r="L28" s="5" t="n"/>
      <c r="M28" s="4">
        <f>IF(B28="","",IF(AND(K28="Yes",L28="Yes",OR(G28="Perpetual",G28&gt;=TODAY())),"Active-Compliant",IF(OR(K28="No",L28="No"),"Non-Compliant",IF(AND(G28&lt;TODAY(),H28&lt;TODAY(),I28&lt;TODAY()),"Expired","Active-Review"))))</f>
        <v/>
      </c>
      <c r="N28" s="5" t="n"/>
      <c r="O28" s="5" t="n"/>
    </row>
    <row r="29">
      <c r="A29" s="5" t="n"/>
      <c r="B29" s="5" t="n"/>
      <c r="C29" s="5" t="n"/>
      <c r="D29" s="5" t="n"/>
      <c r="E29" s="11" t="n"/>
      <c r="F29" s="5" t="n"/>
      <c r="G29" s="11" t="n"/>
      <c r="H29" s="11" t="n"/>
      <c r="I29" s="11" t="n"/>
      <c r="J29" s="5" t="n"/>
      <c r="K29" s="5" t="n"/>
      <c r="L29" s="5" t="n"/>
      <c r="M29" s="4">
        <f>IF(B29="","",IF(AND(K29="Yes",L29="Yes",OR(G29="Perpetual",G29&gt;=TODAY())),"Active-Compliant",IF(OR(K29="No",L29="No"),"Non-Compliant",IF(AND(G29&lt;TODAY(),H29&lt;TODAY(),I29&lt;TODAY()),"Expired","Active-Review"))))</f>
        <v/>
      </c>
      <c r="N29" s="5" t="n"/>
      <c r="O29" s="5" t="n"/>
    </row>
    <row r="30">
      <c r="A30" s="5" t="n"/>
      <c r="B30" s="5" t="n"/>
      <c r="C30" s="5" t="n"/>
      <c r="D30" s="5" t="n"/>
      <c r="E30" s="11" t="n"/>
      <c r="F30" s="5" t="n"/>
      <c r="G30" s="11" t="n"/>
      <c r="H30" s="11" t="n"/>
      <c r="I30" s="11" t="n"/>
      <c r="J30" s="5" t="n"/>
      <c r="K30" s="5" t="n"/>
      <c r="L30" s="5" t="n"/>
      <c r="M30" s="4">
        <f>IF(B30="","",IF(AND(K30="Yes",L30="Yes",OR(G30="Perpetual",G30&gt;=TODAY())),"Active-Compliant",IF(OR(K30="No",L30="No"),"Non-Compliant",IF(AND(G30&lt;TODAY(),H30&lt;TODAY(),I30&lt;TODAY()),"Expired","Active-Review"))))</f>
        <v/>
      </c>
      <c r="N30" s="5" t="n"/>
      <c r="O30" s="5" t="n"/>
    </row>
    <row r="31">
      <c r="A31" s="5" t="n"/>
      <c r="B31" s="5" t="n"/>
      <c r="C31" s="5" t="n"/>
      <c r="D31" s="5" t="n"/>
      <c r="E31" s="11" t="n"/>
      <c r="F31" s="5" t="n"/>
      <c r="G31" s="11" t="n"/>
      <c r="H31" s="11" t="n"/>
      <c r="I31" s="11" t="n"/>
      <c r="J31" s="5" t="n"/>
      <c r="K31" s="5" t="n"/>
      <c r="L31" s="5" t="n"/>
      <c r="M31" s="4">
        <f>IF(B31="","",IF(AND(K31="Yes",L31="Yes",OR(G31="Perpetual",G31&gt;=TODAY())),"Active-Compliant",IF(OR(K31="No",L31="No"),"Non-Compliant",IF(AND(G31&lt;TODAY(),H31&lt;TODAY(),I31&lt;TODAY()),"Expired","Active-Review"))))</f>
        <v/>
      </c>
      <c r="N31" s="5" t="n"/>
      <c r="O31" s="5" t="n"/>
    </row>
    <row r="32">
      <c r="A32" s="5" t="n"/>
      <c r="B32" s="5" t="n"/>
      <c r="C32" s="5" t="n"/>
      <c r="D32" s="5" t="n"/>
      <c r="E32" s="11" t="n"/>
      <c r="F32" s="5" t="n"/>
      <c r="G32" s="11" t="n"/>
      <c r="H32" s="11" t="n"/>
      <c r="I32" s="11" t="n"/>
      <c r="J32" s="5" t="n"/>
      <c r="K32" s="5" t="n"/>
      <c r="L32" s="5" t="n"/>
      <c r="M32" s="4">
        <f>IF(B32="","",IF(AND(K32="Yes",L32="Yes",OR(G32="Perpetual",G32&gt;=TODAY())),"Active-Compliant",IF(OR(K32="No",L32="No"),"Non-Compliant",IF(AND(G32&lt;TODAY(),H32&lt;TODAY(),I32&lt;TODAY()),"Expired","Active-Review"))))</f>
        <v/>
      </c>
      <c r="N32" s="5" t="n"/>
      <c r="O32" s="5" t="n"/>
    </row>
    <row r="33">
      <c r="A33" s="5" t="n"/>
      <c r="B33" s="5" t="n"/>
      <c r="C33" s="5" t="n"/>
      <c r="D33" s="5" t="n"/>
      <c r="E33" s="11" t="n"/>
      <c r="F33" s="5" t="n"/>
      <c r="G33" s="11" t="n"/>
      <c r="H33" s="11" t="n"/>
      <c r="I33" s="11" t="n"/>
      <c r="J33" s="5" t="n"/>
      <c r="K33" s="5" t="n"/>
      <c r="L33" s="5" t="n"/>
      <c r="M33" s="4">
        <f>IF(B33="","",IF(AND(K33="Yes",L33="Yes",OR(G33="Perpetual",G33&gt;=TODAY())),"Active-Compliant",IF(OR(K33="No",L33="No"),"Non-Compliant",IF(AND(G33&lt;TODAY(),H33&lt;TODAY(),I33&lt;TODAY()),"Expired","Active-Review"))))</f>
        <v/>
      </c>
      <c r="N33" s="5" t="n"/>
      <c r="O33" s="5" t="n"/>
    </row>
    <row r="34">
      <c r="A34" s="5" t="n"/>
      <c r="B34" s="5" t="n"/>
      <c r="C34" s="5" t="n"/>
      <c r="D34" s="5" t="n"/>
      <c r="E34" s="11" t="n"/>
      <c r="F34" s="5" t="n"/>
      <c r="G34" s="11" t="n"/>
      <c r="H34" s="11" t="n"/>
      <c r="I34" s="11" t="n"/>
      <c r="J34" s="5" t="n"/>
      <c r="K34" s="5" t="n"/>
      <c r="L34" s="5" t="n"/>
      <c r="M34" s="4">
        <f>IF(B34="","",IF(AND(K34="Yes",L34="Yes",OR(G34="Perpetual",G34&gt;=TODAY())),"Active-Compliant",IF(OR(K34="No",L34="No"),"Non-Compliant",IF(AND(G34&lt;TODAY(),H34&lt;TODAY(),I34&lt;TODAY()),"Expired","Active-Review"))))</f>
        <v/>
      </c>
      <c r="N34" s="5" t="n"/>
      <c r="O34" s="5" t="n"/>
    </row>
    <row r="35">
      <c r="A35" s="5" t="n"/>
      <c r="B35" s="5" t="n"/>
      <c r="C35" s="5" t="n"/>
      <c r="D35" s="5" t="n"/>
      <c r="E35" s="11" t="n"/>
      <c r="F35" s="5" t="n"/>
      <c r="G35" s="11" t="n"/>
      <c r="H35" s="11" t="n"/>
      <c r="I35" s="11" t="n"/>
      <c r="J35" s="5" t="n"/>
      <c r="K35" s="5" t="n"/>
      <c r="L35" s="5" t="n"/>
      <c r="M35" s="4">
        <f>IF(B35="","",IF(AND(K35="Yes",L35="Yes",OR(G35="Perpetual",G35&gt;=TODAY())),"Active-Compliant",IF(OR(K35="No",L35="No"),"Non-Compliant",IF(AND(G35&lt;TODAY(),H35&lt;TODAY(),I35&lt;TODAY()),"Expired","Active-Review"))))</f>
        <v/>
      </c>
      <c r="N35" s="5" t="n"/>
      <c r="O35" s="5" t="n"/>
    </row>
    <row r="36">
      <c r="A36" s="5" t="n"/>
      <c r="B36" s="5" t="n"/>
      <c r="C36" s="5" t="n"/>
      <c r="D36" s="5" t="n"/>
      <c r="E36" s="11" t="n"/>
      <c r="F36" s="5" t="n"/>
      <c r="G36" s="11" t="n"/>
      <c r="H36" s="11" t="n"/>
      <c r="I36" s="11" t="n"/>
      <c r="J36" s="5" t="n"/>
      <c r="K36" s="5" t="n"/>
      <c r="L36" s="5" t="n"/>
      <c r="M36" s="4">
        <f>IF(B36="","",IF(AND(K36="Yes",L36="Yes",OR(G36="Perpetual",G36&gt;=TODAY())),"Active-Compliant",IF(OR(K36="No",L36="No"),"Non-Compliant",IF(AND(G36&lt;TODAY(),H36&lt;TODAY(),I36&lt;TODAY()),"Expired","Active-Review"))))</f>
        <v/>
      </c>
      <c r="N36" s="5" t="n"/>
      <c r="O36" s="5" t="n"/>
    </row>
    <row r="37">
      <c r="A37" s="5" t="n"/>
      <c r="B37" s="5" t="n"/>
      <c r="C37" s="5" t="n"/>
      <c r="D37" s="5" t="n"/>
      <c r="E37" s="11" t="n"/>
      <c r="F37" s="5" t="n"/>
      <c r="G37" s="11" t="n"/>
      <c r="H37" s="11" t="n"/>
      <c r="I37" s="11" t="n"/>
      <c r="J37" s="5" t="n"/>
      <c r="K37" s="5" t="n"/>
      <c r="L37" s="5" t="n"/>
      <c r="M37" s="4">
        <f>IF(B37="","",IF(AND(K37="Yes",L37="Yes",OR(G37="Perpetual",G37&gt;=TODAY())),"Active-Compliant",IF(OR(K37="No",L37="No"),"Non-Compliant",IF(AND(G37&lt;TODAY(),H37&lt;TODAY(),I37&lt;TODAY()),"Expired","Active-Review"))))</f>
        <v/>
      </c>
      <c r="N37" s="5" t="n"/>
      <c r="O37" s="5" t="n"/>
    </row>
    <row r="38">
      <c r="A38" s="5" t="n"/>
      <c r="B38" s="5" t="n"/>
      <c r="C38" s="5" t="n"/>
      <c r="D38" s="5" t="n"/>
      <c r="E38" s="11" t="n"/>
      <c r="F38" s="5" t="n"/>
      <c r="G38" s="11" t="n"/>
      <c r="H38" s="11" t="n"/>
      <c r="I38" s="11" t="n"/>
      <c r="J38" s="5" t="n"/>
      <c r="K38" s="5" t="n"/>
      <c r="L38" s="5" t="n"/>
      <c r="M38" s="4">
        <f>IF(B38="","",IF(AND(K38="Yes",L38="Yes",OR(G38="Perpetual",G38&gt;=TODAY())),"Active-Compliant",IF(OR(K38="No",L38="No"),"Non-Compliant",IF(AND(G38&lt;TODAY(),H38&lt;TODAY(),I38&lt;TODAY()),"Expired","Active-Review"))))</f>
        <v/>
      </c>
      <c r="N38" s="5" t="n"/>
      <c r="O38" s="5" t="n"/>
    </row>
    <row r="39">
      <c r="A39" s="5" t="n"/>
      <c r="B39" s="5" t="n"/>
      <c r="C39" s="5" t="n"/>
      <c r="D39" s="5" t="n"/>
      <c r="E39" s="11" t="n"/>
      <c r="F39" s="5" t="n"/>
      <c r="G39" s="11" t="n"/>
      <c r="H39" s="11" t="n"/>
      <c r="I39" s="11" t="n"/>
      <c r="J39" s="5" t="n"/>
      <c r="K39" s="5" t="n"/>
      <c r="L39" s="5" t="n"/>
      <c r="M39" s="4">
        <f>IF(B39="","",IF(AND(K39="Yes",L39="Yes",OR(G39="Perpetual",G39&gt;=TODAY())),"Active-Compliant",IF(OR(K39="No",L39="No"),"Non-Compliant",IF(AND(G39&lt;TODAY(),H39&lt;TODAY(),I39&lt;TODAY()),"Expired","Active-Review"))))</f>
        <v/>
      </c>
      <c r="N39" s="5" t="n"/>
      <c r="O39" s="5" t="n"/>
    </row>
    <row r="40">
      <c r="A40" s="5" t="n"/>
      <c r="B40" s="5" t="n"/>
      <c r="C40" s="5" t="n"/>
      <c r="D40" s="5" t="n"/>
      <c r="E40" s="11" t="n"/>
      <c r="F40" s="5" t="n"/>
      <c r="G40" s="11" t="n"/>
      <c r="H40" s="11" t="n"/>
      <c r="I40" s="11" t="n"/>
      <c r="J40" s="5" t="n"/>
      <c r="K40" s="5" t="n"/>
      <c r="L40" s="5" t="n"/>
      <c r="M40" s="4">
        <f>IF(B40="","",IF(AND(K40="Yes",L40="Yes",OR(G40="Perpetual",G40&gt;=TODAY())),"Active-Compliant",IF(OR(K40="No",L40="No"),"Non-Compliant",IF(AND(G40&lt;TODAY(),H40&lt;TODAY(),I40&lt;TODAY()),"Expired","Active-Review"))))</f>
        <v/>
      </c>
      <c r="N40" s="5" t="n"/>
      <c r="O40" s="5" t="n"/>
    </row>
    <row r="41">
      <c r="A41" s="5" t="n"/>
      <c r="B41" s="5" t="n"/>
      <c r="C41" s="5" t="n"/>
      <c r="D41" s="5" t="n"/>
      <c r="E41" s="11" t="n"/>
      <c r="F41" s="5" t="n"/>
      <c r="G41" s="11" t="n"/>
      <c r="H41" s="11" t="n"/>
      <c r="I41" s="11" t="n"/>
      <c r="J41" s="5" t="n"/>
      <c r="K41" s="5" t="n"/>
      <c r="L41" s="5" t="n"/>
      <c r="M41" s="4">
        <f>IF(B41="","",IF(AND(K41="Yes",L41="Yes",OR(G41="Perpetual",G41&gt;=TODAY())),"Active-Compliant",IF(OR(K41="No",L41="No"),"Non-Compliant",IF(AND(G41&lt;TODAY(),H41&lt;TODAY(),I41&lt;TODAY()),"Expired","Active-Review"))))</f>
        <v/>
      </c>
      <c r="N41" s="5" t="n"/>
      <c r="O41" s="5" t="n"/>
    </row>
    <row r="42">
      <c r="A42" s="5" t="n"/>
      <c r="B42" s="5" t="n"/>
      <c r="C42" s="5" t="n"/>
      <c r="D42" s="5" t="n"/>
      <c r="E42" s="11" t="n"/>
      <c r="F42" s="5" t="n"/>
      <c r="G42" s="11" t="n"/>
      <c r="H42" s="11" t="n"/>
      <c r="I42" s="11" t="n"/>
      <c r="J42" s="5" t="n"/>
      <c r="K42" s="5" t="n"/>
      <c r="L42" s="5" t="n"/>
      <c r="M42" s="4">
        <f>IF(B42="","",IF(AND(K42="Yes",L42="Yes",OR(G42="Perpetual",G42&gt;=TODAY())),"Active-Compliant",IF(OR(K42="No",L42="No"),"Non-Compliant",IF(AND(G42&lt;TODAY(),H42&lt;TODAY(),I42&lt;TODAY()),"Expired","Active-Review"))))</f>
        <v/>
      </c>
      <c r="N42" s="5" t="n"/>
      <c r="O42" s="5" t="n"/>
    </row>
    <row r="43">
      <c r="A43" s="5" t="n"/>
      <c r="B43" s="5" t="n"/>
      <c r="C43" s="5" t="n"/>
      <c r="D43" s="5" t="n"/>
      <c r="E43" s="11" t="n"/>
      <c r="F43" s="5" t="n"/>
      <c r="G43" s="11" t="n"/>
      <c r="H43" s="11" t="n"/>
      <c r="I43" s="11" t="n"/>
      <c r="J43" s="5" t="n"/>
      <c r="K43" s="5" t="n"/>
      <c r="L43" s="5" t="n"/>
      <c r="M43" s="4">
        <f>IF(B43="","",IF(AND(K43="Yes",L43="Yes",OR(G43="Perpetual",G43&gt;=TODAY())),"Active-Compliant",IF(OR(K43="No",L43="No"),"Non-Compliant",IF(AND(G43&lt;TODAY(),H43&lt;TODAY(),I43&lt;TODAY()),"Expired","Active-Review"))))</f>
        <v/>
      </c>
      <c r="N43" s="5" t="n"/>
      <c r="O43" s="5" t="n"/>
    </row>
    <row r="44">
      <c r="A44" s="5" t="n"/>
      <c r="B44" s="5" t="n"/>
      <c r="C44" s="5" t="n"/>
      <c r="D44" s="5" t="n"/>
      <c r="E44" s="11" t="n"/>
      <c r="F44" s="5" t="n"/>
      <c r="G44" s="11" t="n"/>
      <c r="H44" s="11" t="n"/>
      <c r="I44" s="11" t="n"/>
      <c r="J44" s="5" t="n"/>
      <c r="K44" s="5" t="n"/>
      <c r="L44" s="5" t="n"/>
      <c r="M44" s="4">
        <f>IF(B44="","",IF(AND(K44="Yes",L44="Yes",OR(G44="Perpetual",G44&gt;=TODAY())),"Active-Compliant",IF(OR(K44="No",L44="No"),"Non-Compliant",IF(AND(G44&lt;TODAY(),H44&lt;TODAY(),I44&lt;TODAY()),"Expired","Active-Review"))))</f>
        <v/>
      </c>
      <c r="N44" s="5" t="n"/>
      <c r="O44" s="5" t="n"/>
    </row>
    <row r="45">
      <c r="A45" s="5" t="n"/>
      <c r="B45" s="5" t="n"/>
      <c r="C45" s="5" t="n"/>
      <c r="D45" s="5" t="n"/>
      <c r="E45" s="11" t="n"/>
      <c r="F45" s="5" t="n"/>
      <c r="G45" s="11" t="n"/>
      <c r="H45" s="11" t="n"/>
      <c r="I45" s="11" t="n"/>
      <c r="J45" s="5" t="n"/>
      <c r="K45" s="5" t="n"/>
      <c r="L45" s="5" t="n"/>
      <c r="M45" s="4">
        <f>IF(B45="","",IF(AND(K45="Yes",L45="Yes",OR(G45="Perpetual",G45&gt;=TODAY())),"Active-Compliant",IF(OR(K45="No",L45="No"),"Non-Compliant",IF(AND(G45&lt;TODAY(),H45&lt;TODAY(),I45&lt;TODAY()),"Expired","Active-Review"))))</f>
        <v/>
      </c>
      <c r="N45" s="5" t="n"/>
      <c r="O45" s="5" t="n"/>
    </row>
    <row r="46">
      <c r="A46" s="5" t="n"/>
      <c r="B46" s="5" t="n"/>
      <c r="C46" s="5" t="n"/>
      <c r="D46" s="5" t="n"/>
      <c r="E46" s="11" t="n"/>
      <c r="F46" s="5" t="n"/>
      <c r="G46" s="11" t="n"/>
      <c r="H46" s="11" t="n"/>
      <c r="I46" s="11" t="n"/>
      <c r="J46" s="5" t="n"/>
      <c r="K46" s="5" t="n"/>
      <c r="L46" s="5" t="n"/>
      <c r="M46" s="4">
        <f>IF(B46="","",IF(AND(K46="Yes",L46="Yes",OR(G46="Perpetual",G46&gt;=TODAY())),"Active-Compliant",IF(OR(K46="No",L46="No"),"Non-Compliant",IF(AND(G46&lt;TODAY(),H46&lt;TODAY(),I46&lt;TODAY()),"Expired","Active-Review"))))</f>
        <v/>
      </c>
      <c r="N46" s="5" t="n"/>
      <c r="O46" s="5" t="n"/>
    </row>
    <row r="47">
      <c r="A47" s="5" t="n"/>
      <c r="B47" s="5" t="n"/>
      <c r="C47" s="5" t="n"/>
      <c r="D47" s="5" t="n"/>
      <c r="E47" s="11" t="n"/>
      <c r="F47" s="5" t="n"/>
      <c r="G47" s="11" t="n"/>
      <c r="H47" s="11" t="n"/>
      <c r="I47" s="11" t="n"/>
      <c r="J47" s="5" t="n"/>
      <c r="K47" s="5" t="n"/>
      <c r="L47" s="5" t="n"/>
      <c r="M47" s="4">
        <f>IF(B47="","",IF(AND(K47="Yes",L47="Yes",OR(G47="Perpetual",G47&gt;=TODAY())),"Active-Compliant",IF(OR(K47="No",L47="No"),"Non-Compliant",IF(AND(G47&lt;TODAY(),H47&lt;TODAY(),I47&lt;TODAY()),"Expired","Active-Review"))))</f>
        <v/>
      </c>
      <c r="N47" s="5" t="n"/>
      <c r="O47" s="5" t="n"/>
    </row>
    <row r="48">
      <c r="A48" s="5" t="n"/>
      <c r="B48" s="5" t="n"/>
      <c r="C48" s="5" t="n"/>
      <c r="D48" s="5" t="n"/>
      <c r="E48" s="11" t="n"/>
      <c r="F48" s="5" t="n"/>
      <c r="G48" s="11" t="n"/>
      <c r="H48" s="11" t="n"/>
      <c r="I48" s="11" t="n"/>
      <c r="J48" s="5" t="n"/>
      <c r="K48" s="5" t="n"/>
      <c r="L48" s="5" t="n"/>
      <c r="M48" s="4">
        <f>IF(B48="","",IF(AND(K48="Yes",L48="Yes",OR(G48="Perpetual",G48&gt;=TODAY())),"Active-Compliant",IF(OR(K48="No",L48="No"),"Non-Compliant",IF(AND(G48&lt;TODAY(),H48&lt;TODAY(),I48&lt;TODAY()),"Expired","Active-Review"))))</f>
        <v/>
      </c>
      <c r="N48" s="5" t="n"/>
      <c r="O48" s="5" t="n"/>
    </row>
    <row r="49">
      <c r="A49" s="5" t="n"/>
      <c r="B49" s="5" t="n"/>
      <c r="C49" s="5" t="n"/>
      <c r="D49" s="5" t="n"/>
      <c r="E49" s="11" t="n"/>
      <c r="F49" s="5" t="n"/>
      <c r="G49" s="11" t="n"/>
      <c r="H49" s="11" t="n"/>
      <c r="I49" s="11" t="n"/>
      <c r="J49" s="5" t="n"/>
      <c r="K49" s="5" t="n"/>
      <c r="L49" s="5" t="n"/>
      <c r="M49" s="4">
        <f>IF(B49="","",IF(AND(K49="Yes",L49="Yes",OR(G49="Perpetual",G49&gt;=TODAY())),"Active-Compliant",IF(OR(K49="No",L49="No"),"Non-Compliant",IF(AND(G49&lt;TODAY(),H49&lt;TODAY(),I49&lt;TODAY()),"Expired","Active-Review"))))</f>
        <v/>
      </c>
      <c r="N49" s="5" t="n"/>
      <c r="O49" s="5" t="n"/>
    </row>
    <row r="50">
      <c r="A50" s="5" t="n"/>
      <c r="B50" s="5" t="n"/>
      <c r="C50" s="5" t="n"/>
      <c r="D50" s="5" t="n"/>
      <c r="E50" s="11" t="n"/>
      <c r="F50" s="5" t="n"/>
      <c r="G50" s="11" t="n"/>
      <c r="H50" s="11" t="n"/>
      <c r="I50" s="11" t="n"/>
      <c r="J50" s="5" t="n"/>
      <c r="K50" s="5" t="n"/>
      <c r="L50" s="5" t="n"/>
      <c r="M50" s="4">
        <f>IF(B50="","",IF(AND(K50="Yes",L50="Yes",OR(G50="Perpetual",G50&gt;=TODAY())),"Active-Compliant",IF(OR(K50="No",L50="No"),"Non-Compliant",IF(AND(G50&lt;TODAY(),H50&lt;TODAY(),I50&lt;TODAY()),"Expired","Active-Review"))))</f>
        <v/>
      </c>
      <c r="N50" s="5" t="n"/>
      <c r="O50" s="5" t="n"/>
    </row>
    <row r="51">
      <c r="A51" s="5" t="n"/>
      <c r="B51" s="5" t="n"/>
      <c r="C51" s="5" t="n"/>
      <c r="D51" s="5" t="n"/>
      <c r="E51" s="11" t="n"/>
      <c r="F51" s="5" t="n"/>
      <c r="G51" s="11" t="n"/>
      <c r="H51" s="11" t="n"/>
      <c r="I51" s="11" t="n"/>
      <c r="J51" s="5" t="n"/>
      <c r="K51" s="5" t="n"/>
      <c r="L51" s="5" t="n"/>
      <c r="M51" s="4">
        <f>IF(B51="","",IF(AND(K51="Yes",L51="Yes",OR(G51="Perpetual",G51&gt;=TODAY())),"Active-Compliant",IF(OR(K51="No",L51="No"),"Non-Compliant",IF(AND(G51&lt;TODAY(),H51&lt;TODAY(),I51&lt;TODAY()),"Expired","Active-Review"))))</f>
        <v/>
      </c>
      <c r="N51" s="5" t="n"/>
      <c r="O51" s="5" t="n"/>
    </row>
    <row r="52">
      <c r="A52" s="5" t="n"/>
      <c r="B52" s="5" t="n"/>
      <c r="C52" s="5" t="n"/>
      <c r="D52" s="5" t="n"/>
      <c r="E52" s="11" t="n"/>
      <c r="F52" s="5" t="n"/>
      <c r="G52" s="11" t="n"/>
      <c r="H52" s="11" t="n"/>
      <c r="I52" s="11" t="n"/>
      <c r="J52" s="5" t="n"/>
      <c r="K52" s="5" t="n"/>
      <c r="L52" s="5" t="n"/>
      <c r="M52" s="4">
        <f>IF(B52="","",IF(AND(K52="Yes",L52="Yes",OR(G52="Perpetual",G52&gt;=TODAY())),"Active-Compliant",IF(OR(K52="No",L52="No"),"Non-Compliant",IF(AND(G52&lt;TODAY(),H52&lt;TODAY(),I52&lt;TODAY()),"Expired","Active-Review"))))</f>
        <v/>
      </c>
      <c r="N52" s="5" t="n"/>
      <c r="O52" s="5" t="n"/>
    </row>
    <row r="53">
      <c r="A53" s="5" t="n"/>
      <c r="B53" s="5" t="n"/>
      <c r="C53" s="5" t="n"/>
      <c r="D53" s="5" t="n"/>
      <c r="E53" s="11" t="n"/>
      <c r="F53" s="5" t="n"/>
      <c r="G53" s="11" t="n"/>
      <c r="H53" s="11" t="n"/>
      <c r="I53" s="11" t="n"/>
      <c r="J53" s="5" t="n"/>
      <c r="K53" s="5" t="n"/>
      <c r="L53" s="5" t="n"/>
      <c r="M53" s="4">
        <f>IF(B53="","",IF(AND(K53="Yes",L53="Yes",OR(G53="Perpetual",G53&gt;=TODAY())),"Active-Compliant",IF(OR(K53="No",L53="No"),"Non-Compliant",IF(AND(G53&lt;TODAY(),H53&lt;TODAY(),I53&lt;TODAY()),"Expired","Active-Review"))))</f>
        <v/>
      </c>
      <c r="N53" s="5" t="n"/>
      <c r="O53" s="5" t="n"/>
    </row>
    <row r="54">
      <c r="A54" s="5" t="n"/>
      <c r="B54" s="5" t="n"/>
      <c r="C54" s="5" t="n"/>
      <c r="D54" s="5" t="n"/>
      <c r="E54" s="11" t="n"/>
      <c r="F54" s="5" t="n"/>
      <c r="G54" s="11" t="n"/>
      <c r="H54" s="11" t="n"/>
      <c r="I54" s="11" t="n"/>
      <c r="J54" s="5" t="n"/>
      <c r="K54" s="5" t="n"/>
      <c r="L54" s="5" t="n"/>
      <c r="M54" s="4">
        <f>IF(B54="","",IF(AND(K54="Yes",L54="Yes",OR(G54="Perpetual",G54&gt;=TODAY())),"Active-Compliant",IF(OR(K54="No",L54="No"),"Non-Compliant",IF(AND(G54&lt;TODAY(),H54&lt;TODAY(),I54&lt;TODAY()),"Expired","Active-Review"))))</f>
        <v/>
      </c>
      <c r="N54" s="5" t="n"/>
      <c r="O54" s="5" t="n"/>
    </row>
    <row r="55">
      <c r="A55" s="5" t="n"/>
      <c r="B55" s="5" t="n"/>
      <c r="C55" s="5" t="n"/>
      <c r="D55" s="5" t="n"/>
      <c r="E55" s="11" t="n"/>
      <c r="F55" s="5" t="n"/>
      <c r="G55" s="11" t="n"/>
      <c r="H55" s="11" t="n"/>
      <c r="I55" s="11" t="n"/>
      <c r="J55" s="5" t="n"/>
      <c r="K55" s="5" t="n"/>
      <c r="L55" s="5" t="n"/>
      <c r="M55" s="4">
        <f>IF(B55="","",IF(AND(K55="Yes",L55="Yes",OR(G55="Perpetual",G55&gt;=TODAY())),"Active-Compliant",IF(OR(K55="No",L55="No"),"Non-Compliant",IF(AND(G55&lt;TODAY(),H55&lt;TODAY(),I55&lt;TODAY()),"Expired","Active-Review"))))</f>
        <v/>
      </c>
      <c r="N55" s="5" t="n"/>
      <c r="O55" s="5" t="n"/>
    </row>
    <row r="56">
      <c r="A56" s="5" t="n"/>
      <c r="B56" s="5" t="n"/>
      <c r="C56" s="5" t="n"/>
      <c r="D56" s="5" t="n"/>
      <c r="E56" s="11" t="n"/>
      <c r="F56" s="5" t="n"/>
      <c r="G56" s="11" t="n"/>
      <c r="H56" s="11" t="n"/>
      <c r="I56" s="11" t="n"/>
      <c r="J56" s="5" t="n"/>
      <c r="K56" s="5" t="n"/>
      <c r="L56" s="5" t="n"/>
      <c r="M56" s="4">
        <f>IF(B56="","",IF(AND(K56="Yes",L56="Yes",OR(G56="Perpetual",G56&gt;=TODAY())),"Active-Compliant",IF(OR(K56="No",L56="No"),"Non-Compliant",IF(AND(G56&lt;TODAY(),H56&lt;TODAY(),I56&lt;TODAY()),"Expired","Active-Review"))))</f>
        <v/>
      </c>
      <c r="N56" s="5" t="n"/>
      <c r="O56" s="5" t="n"/>
    </row>
    <row r="57">
      <c r="A57" s="5" t="n"/>
      <c r="B57" s="5" t="n"/>
      <c r="C57" s="5" t="n"/>
      <c r="D57" s="5" t="n"/>
      <c r="E57" s="11" t="n"/>
      <c r="F57" s="5" t="n"/>
      <c r="G57" s="11" t="n"/>
      <c r="H57" s="11" t="n"/>
      <c r="I57" s="11" t="n"/>
      <c r="J57" s="5" t="n"/>
      <c r="K57" s="5" t="n"/>
      <c r="L57" s="5" t="n"/>
      <c r="M57" s="4">
        <f>IF(B57="","",IF(AND(K57="Yes",L57="Yes",OR(G57="Perpetual",G57&gt;=TODAY())),"Active-Compliant",IF(OR(K57="No",L57="No"),"Non-Compliant",IF(AND(G57&lt;TODAY(),H57&lt;TODAY(),I57&lt;TODAY()),"Expired","Active-Review"))))</f>
        <v/>
      </c>
      <c r="N57" s="5" t="n"/>
      <c r="O57" s="5" t="n"/>
    </row>
    <row r="58">
      <c r="A58" s="5" t="n"/>
      <c r="B58" s="5" t="n"/>
      <c r="C58" s="5" t="n"/>
      <c r="D58" s="5" t="n"/>
      <c r="E58" s="11" t="n"/>
      <c r="F58" s="5" t="n"/>
      <c r="G58" s="11" t="n"/>
      <c r="H58" s="11" t="n"/>
      <c r="I58" s="11" t="n"/>
      <c r="J58" s="5" t="n"/>
      <c r="K58" s="5" t="n"/>
      <c r="L58" s="5" t="n"/>
      <c r="M58" s="4">
        <f>IF(B58="","",IF(AND(K58="Yes",L58="Yes",OR(G58="Perpetual",G58&gt;=TODAY())),"Active-Compliant",IF(OR(K58="No",L58="No"),"Non-Compliant",IF(AND(G58&lt;TODAY(),H58&lt;TODAY(),I58&lt;TODAY()),"Expired","Active-Review"))))</f>
        <v/>
      </c>
      <c r="N58" s="5" t="n"/>
      <c r="O58" s="5" t="n"/>
    </row>
    <row r="59">
      <c r="A59" s="5" t="n"/>
      <c r="B59" s="5" t="n"/>
      <c r="C59" s="5" t="n"/>
      <c r="D59" s="5" t="n"/>
      <c r="E59" s="11" t="n"/>
      <c r="F59" s="5" t="n"/>
      <c r="G59" s="11" t="n"/>
      <c r="H59" s="11" t="n"/>
      <c r="I59" s="11" t="n"/>
      <c r="J59" s="5" t="n"/>
      <c r="K59" s="5" t="n"/>
      <c r="L59" s="5" t="n"/>
      <c r="M59" s="4">
        <f>IF(B59="","",IF(AND(K59="Yes",L59="Yes",OR(G59="Perpetual",G59&gt;=TODAY())),"Active-Compliant",IF(OR(K59="No",L59="No"),"Non-Compliant",IF(AND(G59&lt;TODAY(),H59&lt;TODAY(),I59&lt;TODAY()),"Expired","Active-Review"))))</f>
        <v/>
      </c>
      <c r="N59" s="5" t="n"/>
      <c r="O59" s="5" t="n"/>
    </row>
    <row r="60">
      <c r="A60" s="5" t="n"/>
      <c r="B60" s="5" t="n"/>
      <c r="C60" s="5" t="n"/>
      <c r="D60" s="5" t="n"/>
      <c r="E60" s="11" t="n"/>
      <c r="F60" s="5" t="n"/>
      <c r="G60" s="11" t="n"/>
      <c r="H60" s="11" t="n"/>
      <c r="I60" s="11" t="n"/>
      <c r="J60" s="5" t="n"/>
      <c r="K60" s="5" t="n"/>
      <c r="L60" s="5" t="n"/>
      <c r="M60" s="4">
        <f>IF(B60="","",IF(AND(K60="Yes",L60="Yes",OR(G60="Perpetual",G60&gt;=TODAY())),"Active-Compliant",IF(OR(K60="No",L60="No"),"Non-Compliant",IF(AND(G60&lt;TODAY(),H60&lt;TODAY(),I60&lt;TODAY()),"Expired","Active-Review"))))</f>
        <v/>
      </c>
      <c r="N60" s="5" t="n"/>
      <c r="O60" s="5" t="n"/>
    </row>
    <row r="61">
      <c r="A61" s="5" t="n"/>
      <c r="B61" s="5" t="n"/>
      <c r="C61" s="5" t="n"/>
      <c r="D61" s="5" t="n"/>
      <c r="E61" s="11" t="n"/>
      <c r="F61" s="5" t="n"/>
      <c r="G61" s="11" t="n"/>
      <c r="H61" s="11" t="n"/>
      <c r="I61" s="11" t="n"/>
      <c r="J61" s="5" t="n"/>
      <c r="K61" s="5" t="n"/>
      <c r="L61" s="5" t="n"/>
      <c r="M61" s="4">
        <f>IF(B61="","",IF(AND(K61="Yes",L61="Yes",OR(G61="Perpetual",G61&gt;=TODAY())),"Active-Compliant",IF(OR(K61="No",L61="No"),"Non-Compliant",IF(AND(G61&lt;TODAY(),H61&lt;TODAY(),I61&lt;TODAY()),"Expired","Active-Review"))))</f>
        <v/>
      </c>
      <c r="N61" s="5" t="n"/>
      <c r="O61" s="5" t="n"/>
    </row>
    <row r="62">
      <c r="A62" s="5" t="n"/>
      <c r="B62" s="5" t="n"/>
      <c r="C62" s="5" t="n"/>
      <c r="D62" s="5" t="n"/>
      <c r="E62" s="11" t="n"/>
      <c r="F62" s="5" t="n"/>
      <c r="G62" s="11" t="n"/>
      <c r="H62" s="11" t="n"/>
      <c r="I62" s="11" t="n"/>
      <c r="J62" s="5" t="n"/>
      <c r="K62" s="5" t="n"/>
      <c r="L62" s="5" t="n"/>
      <c r="M62" s="4">
        <f>IF(B62="","",IF(AND(K62="Yes",L62="Yes",OR(G62="Perpetual",G62&gt;=TODAY())),"Active-Compliant",IF(OR(K62="No",L62="No"),"Non-Compliant",IF(AND(G62&lt;TODAY(),H62&lt;TODAY(),I62&lt;TODAY()),"Expired","Active-Review"))))</f>
        <v/>
      </c>
      <c r="N62" s="5" t="n"/>
      <c r="O62" s="5" t="n"/>
    </row>
    <row r="63">
      <c r="A63" s="5" t="n"/>
      <c r="B63" s="5" t="n"/>
      <c r="C63" s="5" t="n"/>
      <c r="D63" s="5" t="n"/>
      <c r="E63" s="11" t="n"/>
      <c r="F63" s="5" t="n"/>
      <c r="G63" s="11" t="n"/>
      <c r="H63" s="11" t="n"/>
      <c r="I63" s="11" t="n"/>
      <c r="J63" s="5" t="n"/>
      <c r="K63" s="5" t="n"/>
      <c r="L63" s="5" t="n"/>
      <c r="M63" s="4">
        <f>IF(B63="","",IF(AND(K63="Yes",L63="Yes",OR(G63="Perpetual",G63&gt;=TODAY())),"Active-Compliant",IF(OR(K63="No",L63="No"),"Non-Compliant",IF(AND(G63&lt;TODAY(),H63&lt;TODAY(),I63&lt;TODAY()),"Expired","Active-Review"))))</f>
        <v/>
      </c>
      <c r="N63" s="5" t="n"/>
      <c r="O63" s="5" t="n"/>
    </row>
    <row r="64">
      <c r="A64" s="5" t="n"/>
      <c r="B64" s="5" t="n"/>
      <c r="C64" s="5" t="n"/>
      <c r="D64" s="5" t="n"/>
      <c r="E64" s="11" t="n"/>
      <c r="F64" s="5" t="n"/>
      <c r="G64" s="11" t="n"/>
      <c r="H64" s="11" t="n"/>
      <c r="I64" s="11" t="n"/>
      <c r="J64" s="5" t="n"/>
      <c r="K64" s="5" t="n"/>
      <c r="L64" s="5" t="n"/>
      <c r="M64" s="4">
        <f>IF(B64="","",IF(AND(K64="Yes",L64="Yes",OR(G64="Perpetual",G64&gt;=TODAY())),"Active-Compliant",IF(OR(K64="No",L64="No"),"Non-Compliant",IF(AND(G64&lt;TODAY(),H64&lt;TODAY(),I64&lt;TODAY()),"Expired","Active-Review"))))</f>
        <v/>
      </c>
      <c r="N64" s="5" t="n"/>
      <c r="O64" s="5" t="n"/>
    </row>
    <row r="65">
      <c r="A65" s="5" t="n"/>
      <c r="B65" s="5" t="n"/>
      <c r="C65" s="5" t="n"/>
      <c r="D65" s="5" t="n"/>
      <c r="E65" s="11" t="n"/>
      <c r="F65" s="5" t="n"/>
      <c r="G65" s="11" t="n"/>
      <c r="H65" s="11" t="n"/>
      <c r="I65" s="11" t="n"/>
      <c r="J65" s="5" t="n"/>
      <c r="K65" s="5" t="n"/>
      <c r="L65" s="5" t="n"/>
      <c r="M65" s="4">
        <f>IF(B65="","",IF(AND(K65="Yes",L65="Yes",OR(G65="Perpetual",G65&gt;=TODAY())),"Active-Compliant",IF(OR(K65="No",L65="No"),"Non-Compliant",IF(AND(G65&lt;TODAY(),H65&lt;TODAY(),I65&lt;TODAY()),"Expired","Active-Review"))))</f>
        <v/>
      </c>
      <c r="N65" s="5" t="n"/>
      <c r="O65" s="5" t="n"/>
    </row>
    <row r="66">
      <c r="A66" s="5" t="n"/>
      <c r="B66" s="5" t="n"/>
      <c r="C66" s="5" t="n"/>
      <c r="D66" s="5" t="n"/>
      <c r="E66" s="11" t="n"/>
      <c r="F66" s="5" t="n"/>
      <c r="G66" s="11" t="n"/>
      <c r="H66" s="11" t="n"/>
      <c r="I66" s="11" t="n"/>
      <c r="J66" s="5" t="n"/>
      <c r="K66" s="5" t="n"/>
      <c r="L66" s="5" t="n"/>
      <c r="M66" s="4">
        <f>IF(B66="","",IF(AND(K66="Yes",L66="Yes",OR(G66="Perpetual",G66&gt;=TODAY())),"Active-Compliant",IF(OR(K66="No",L66="No"),"Non-Compliant",IF(AND(G66&lt;TODAY(),H66&lt;TODAY(),I66&lt;TODAY()),"Expired","Active-Review"))))</f>
        <v/>
      </c>
      <c r="N66" s="5" t="n"/>
      <c r="O66" s="5" t="n"/>
    </row>
    <row r="67">
      <c r="A67" s="5" t="n"/>
      <c r="B67" s="5" t="n"/>
      <c r="C67" s="5" t="n"/>
      <c r="D67" s="5" t="n"/>
      <c r="E67" s="11" t="n"/>
      <c r="F67" s="5" t="n"/>
      <c r="G67" s="11" t="n"/>
      <c r="H67" s="11" t="n"/>
      <c r="I67" s="11" t="n"/>
      <c r="J67" s="5" t="n"/>
      <c r="K67" s="5" t="n"/>
      <c r="L67" s="5" t="n"/>
      <c r="M67" s="4">
        <f>IF(B67="","",IF(AND(K67="Yes",L67="Yes",OR(G67="Perpetual",G67&gt;=TODAY())),"Active-Compliant",IF(OR(K67="No",L67="No"),"Non-Compliant",IF(AND(G67&lt;TODAY(),H67&lt;TODAY(),I67&lt;TODAY()),"Expired","Active-Review"))))</f>
        <v/>
      </c>
      <c r="N67" s="5" t="n"/>
      <c r="O67" s="5" t="n"/>
    </row>
    <row r="68">
      <c r="A68" s="5" t="n"/>
      <c r="B68" s="5" t="n"/>
      <c r="C68" s="5" t="n"/>
      <c r="D68" s="5" t="n"/>
      <c r="E68" s="11" t="n"/>
      <c r="F68" s="5" t="n"/>
      <c r="G68" s="11" t="n"/>
      <c r="H68" s="11" t="n"/>
      <c r="I68" s="11" t="n"/>
      <c r="J68" s="5" t="n"/>
      <c r="K68" s="5" t="n"/>
      <c r="L68" s="5" t="n"/>
      <c r="M68" s="4">
        <f>IF(B68="","",IF(AND(K68="Yes",L68="Yes",OR(G68="Perpetual",G68&gt;=TODAY())),"Active-Compliant",IF(OR(K68="No",L68="No"),"Non-Compliant",IF(AND(G68&lt;TODAY(),H68&lt;TODAY(),I68&lt;TODAY()),"Expired","Active-Review"))))</f>
        <v/>
      </c>
      <c r="N68" s="5" t="n"/>
      <c r="O68" s="5" t="n"/>
    </row>
    <row r="69">
      <c r="A69" s="5" t="n"/>
      <c r="B69" s="5" t="n"/>
      <c r="C69" s="5" t="n"/>
      <c r="D69" s="5" t="n"/>
      <c r="E69" s="11" t="n"/>
      <c r="F69" s="5" t="n"/>
      <c r="G69" s="11" t="n"/>
      <c r="H69" s="11" t="n"/>
      <c r="I69" s="11" t="n"/>
      <c r="J69" s="5" t="n"/>
      <c r="K69" s="5" t="n"/>
      <c r="L69" s="5" t="n"/>
      <c r="M69" s="4">
        <f>IF(B69="","",IF(AND(K69="Yes",L69="Yes",OR(G69="Perpetual",G69&gt;=TODAY())),"Active-Compliant",IF(OR(K69="No",L69="No"),"Non-Compliant",IF(AND(G69&lt;TODAY(),H69&lt;TODAY(),I69&lt;TODAY()),"Expired","Active-Review"))))</f>
        <v/>
      </c>
      <c r="N69" s="5" t="n"/>
      <c r="O69" s="5" t="n"/>
    </row>
    <row r="70">
      <c r="A70" s="5" t="n"/>
      <c r="B70" s="5" t="n"/>
      <c r="C70" s="5" t="n"/>
      <c r="D70" s="5" t="n"/>
      <c r="E70" s="11" t="n"/>
      <c r="F70" s="5" t="n"/>
      <c r="G70" s="11" t="n"/>
      <c r="H70" s="11" t="n"/>
      <c r="I70" s="11" t="n"/>
      <c r="J70" s="5" t="n"/>
      <c r="K70" s="5" t="n"/>
      <c r="L70" s="5" t="n"/>
      <c r="M70" s="4">
        <f>IF(B70="","",IF(AND(K70="Yes",L70="Yes",OR(G70="Perpetual",G70&gt;=TODAY())),"Active-Compliant",IF(OR(K70="No",L70="No"),"Non-Compliant",IF(AND(G70&lt;TODAY(),H70&lt;TODAY(),I70&lt;TODAY()),"Expired","Active-Review"))))</f>
        <v/>
      </c>
      <c r="N70" s="5" t="n"/>
      <c r="O70" s="5" t="n"/>
    </row>
    <row r="71">
      <c r="A71" s="5" t="n"/>
      <c r="B71" s="5" t="n"/>
      <c r="C71" s="5" t="n"/>
      <c r="D71" s="5" t="n"/>
      <c r="E71" s="11" t="n"/>
      <c r="F71" s="5" t="n"/>
      <c r="G71" s="11" t="n"/>
      <c r="H71" s="11" t="n"/>
      <c r="I71" s="11" t="n"/>
      <c r="J71" s="5" t="n"/>
      <c r="K71" s="5" t="n"/>
      <c r="L71" s="5" t="n"/>
      <c r="M71" s="4">
        <f>IF(B71="","",IF(AND(K71="Yes",L71="Yes",OR(G71="Perpetual",G71&gt;=TODAY())),"Active-Compliant",IF(OR(K71="No",L71="No"),"Non-Compliant",IF(AND(G71&lt;TODAY(),H71&lt;TODAY(),I71&lt;TODAY()),"Expired","Active-Review"))))</f>
        <v/>
      </c>
      <c r="N71" s="5" t="n"/>
      <c r="O71" s="5" t="n"/>
    </row>
    <row r="72">
      <c r="A72" s="5" t="n"/>
      <c r="B72" s="5" t="n"/>
      <c r="C72" s="5" t="n"/>
      <c r="D72" s="5" t="n"/>
      <c r="E72" s="11" t="n"/>
      <c r="F72" s="5" t="n"/>
      <c r="G72" s="11" t="n"/>
      <c r="H72" s="11" t="n"/>
      <c r="I72" s="11" t="n"/>
      <c r="J72" s="5" t="n"/>
      <c r="K72" s="5" t="n"/>
      <c r="L72" s="5" t="n"/>
      <c r="M72" s="4">
        <f>IF(B72="","",IF(AND(K72="Yes",L72="Yes",OR(G72="Perpetual",G72&gt;=TODAY())),"Active-Compliant",IF(OR(K72="No",L72="No"),"Non-Compliant",IF(AND(G72&lt;TODAY(),H72&lt;TODAY(),I72&lt;TODAY()),"Expired","Active-Review"))))</f>
        <v/>
      </c>
      <c r="N72" s="5" t="n"/>
      <c r="O72" s="5" t="n"/>
    </row>
    <row r="73">
      <c r="A73" s="5" t="n"/>
      <c r="B73" s="5" t="n"/>
      <c r="C73" s="5" t="n"/>
      <c r="D73" s="5" t="n"/>
      <c r="E73" s="11" t="n"/>
      <c r="F73" s="5" t="n"/>
      <c r="G73" s="11" t="n"/>
      <c r="H73" s="11" t="n"/>
      <c r="I73" s="11" t="n"/>
      <c r="J73" s="5" t="n"/>
      <c r="K73" s="5" t="n"/>
      <c r="L73" s="5" t="n"/>
      <c r="M73" s="4">
        <f>IF(B73="","",IF(AND(K73="Yes",L73="Yes",OR(G73="Perpetual",G73&gt;=TODAY())),"Active-Compliant",IF(OR(K73="No",L73="No"),"Non-Compliant",IF(AND(G73&lt;TODAY(),H73&lt;TODAY(),I73&lt;TODAY()),"Expired","Active-Review"))))</f>
        <v/>
      </c>
      <c r="N73" s="5" t="n"/>
      <c r="O73" s="5" t="n"/>
    </row>
    <row r="74">
      <c r="A74" s="5" t="n"/>
      <c r="B74" s="5" t="n"/>
      <c r="C74" s="5" t="n"/>
      <c r="D74" s="5" t="n"/>
      <c r="E74" s="11" t="n"/>
      <c r="F74" s="5" t="n"/>
      <c r="G74" s="11" t="n"/>
      <c r="H74" s="11" t="n"/>
      <c r="I74" s="11" t="n"/>
      <c r="J74" s="5" t="n"/>
      <c r="K74" s="5" t="n"/>
      <c r="L74" s="5" t="n"/>
      <c r="M74" s="4">
        <f>IF(B74="","",IF(AND(K74="Yes",L74="Yes",OR(G74="Perpetual",G74&gt;=TODAY())),"Active-Compliant",IF(OR(K74="No",L74="No"),"Non-Compliant",IF(AND(G74&lt;TODAY(),H74&lt;TODAY(),I74&lt;TODAY()),"Expired","Active-Review"))))</f>
        <v/>
      </c>
      <c r="N74" s="5" t="n"/>
      <c r="O74" s="5" t="n"/>
    </row>
    <row r="75">
      <c r="A75" s="5" t="n"/>
      <c r="B75" s="5" t="n"/>
      <c r="C75" s="5" t="n"/>
      <c r="D75" s="5" t="n"/>
      <c r="E75" s="11" t="n"/>
      <c r="F75" s="5" t="n"/>
      <c r="G75" s="11" t="n"/>
      <c r="H75" s="11" t="n"/>
      <c r="I75" s="11" t="n"/>
      <c r="J75" s="5" t="n"/>
      <c r="K75" s="5" t="n"/>
      <c r="L75" s="5" t="n"/>
      <c r="M75" s="4">
        <f>IF(B75="","",IF(AND(K75="Yes",L75="Yes",OR(G75="Perpetual",G75&gt;=TODAY())),"Active-Compliant",IF(OR(K75="No",L75="No"),"Non-Compliant",IF(AND(G75&lt;TODAY(),H75&lt;TODAY(),I75&lt;TODAY()),"Expired","Active-Review"))))</f>
        <v/>
      </c>
      <c r="N75" s="5" t="n"/>
      <c r="O75" s="5" t="n"/>
    </row>
    <row r="76">
      <c r="A76" s="5" t="n"/>
      <c r="B76" s="5" t="n"/>
      <c r="C76" s="5" t="n"/>
      <c r="D76" s="5" t="n"/>
      <c r="E76" s="11" t="n"/>
      <c r="F76" s="5" t="n"/>
      <c r="G76" s="11" t="n"/>
      <c r="H76" s="11" t="n"/>
      <c r="I76" s="11" t="n"/>
      <c r="J76" s="5" t="n"/>
      <c r="K76" s="5" t="n"/>
      <c r="L76" s="5" t="n"/>
      <c r="M76" s="4">
        <f>IF(B76="","",IF(AND(K76="Yes",L76="Yes",OR(G76="Perpetual",G76&gt;=TODAY())),"Active-Compliant",IF(OR(K76="No",L76="No"),"Non-Compliant",IF(AND(G76&lt;TODAY(),H76&lt;TODAY(),I76&lt;TODAY()),"Expired","Active-Review"))))</f>
        <v/>
      </c>
      <c r="N76" s="5" t="n"/>
      <c r="O76" s="5" t="n"/>
    </row>
    <row r="77">
      <c r="A77" s="5" t="n"/>
      <c r="B77" s="5" t="n"/>
      <c r="C77" s="5" t="n"/>
      <c r="D77" s="5" t="n"/>
      <c r="E77" s="11" t="n"/>
      <c r="F77" s="5" t="n"/>
      <c r="G77" s="11" t="n"/>
      <c r="H77" s="11" t="n"/>
      <c r="I77" s="11" t="n"/>
      <c r="J77" s="5" t="n"/>
      <c r="K77" s="5" t="n"/>
      <c r="L77" s="5" t="n"/>
      <c r="M77" s="4">
        <f>IF(B77="","",IF(AND(K77="Yes",L77="Yes",OR(G77="Perpetual",G77&gt;=TODAY())),"Active-Compliant",IF(OR(K77="No",L77="No"),"Non-Compliant",IF(AND(G77&lt;TODAY(),H77&lt;TODAY(),I77&lt;TODAY()),"Expired","Active-Review"))))</f>
        <v/>
      </c>
      <c r="N77" s="5" t="n"/>
      <c r="O77" s="5" t="n"/>
    </row>
    <row r="78">
      <c r="A78" s="5" t="n"/>
      <c r="B78" s="5" t="n"/>
      <c r="C78" s="5" t="n"/>
      <c r="D78" s="5" t="n"/>
      <c r="E78" s="11" t="n"/>
      <c r="F78" s="5" t="n"/>
      <c r="G78" s="11" t="n"/>
      <c r="H78" s="11" t="n"/>
      <c r="I78" s="11" t="n"/>
      <c r="J78" s="5" t="n"/>
      <c r="K78" s="5" t="n"/>
      <c r="L78" s="5" t="n"/>
      <c r="M78" s="4">
        <f>IF(B78="","",IF(AND(K78="Yes",L78="Yes",OR(G78="Perpetual",G78&gt;=TODAY())),"Active-Compliant",IF(OR(K78="No",L78="No"),"Non-Compliant",IF(AND(G78&lt;TODAY(),H78&lt;TODAY(),I78&lt;TODAY()),"Expired","Active-Review"))))</f>
        <v/>
      </c>
      <c r="N78" s="5" t="n"/>
      <c r="O78" s="5" t="n"/>
    </row>
    <row r="79">
      <c r="A79" s="5" t="n"/>
      <c r="B79" s="5" t="n"/>
      <c r="C79" s="5" t="n"/>
      <c r="D79" s="5" t="n"/>
      <c r="E79" s="11" t="n"/>
      <c r="F79" s="5" t="n"/>
      <c r="G79" s="11" t="n"/>
      <c r="H79" s="11" t="n"/>
      <c r="I79" s="11" t="n"/>
      <c r="J79" s="5" t="n"/>
      <c r="K79" s="5" t="n"/>
      <c r="L79" s="5" t="n"/>
      <c r="M79" s="4">
        <f>IF(B79="","",IF(AND(K79="Yes",L79="Yes",OR(G79="Perpetual",G79&gt;=TODAY())),"Active-Compliant",IF(OR(K79="No",L79="No"),"Non-Compliant",IF(AND(G79&lt;TODAY(),H79&lt;TODAY(),I79&lt;TODAY()),"Expired","Active-Review"))))</f>
        <v/>
      </c>
      <c r="N79" s="5" t="n"/>
      <c r="O79" s="5" t="n"/>
    </row>
    <row r="80">
      <c r="A80" s="5" t="n"/>
      <c r="B80" s="5" t="n"/>
      <c r="C80" s="5" t="n"/>
      <c r="D80" s="5" t="n"/>
      <c r="E80" s="11" t="n"/>
      <c r="F80" s="5" t="n"/>
      <c r="G80" s="11" t="n"/>
      <c r="H80" s="11" t="n"/>
      <c r="I80" s="11" t="n"/>
      <c r="J80" s="5" t="n"/>
      <c r="K80" s="5" t="n"/>
      <c r="L80" s="5" t="n"/>
      <c r="M80" s="4">
        <f>IF(B80="","",IF(AND(K80="Yes",L80="Yes",OR(G80="Perpetual",G80&gt;=TODAY())),"Active-Compliant",IF(OR(K80="No",L80="No"),"Non-Compliant",IF(AND(G80&lt;TODAY(),H80&lt;TODAY(),I80&lt;TODAY()),"Expired","Active-Review"))))</f>
        <v/>
      </c>
      <c r="N80" s="5" t="n"/>
      <c r="O80" s="5" t="n"/>
    </row>
    <row r="81">
      <c r="A81" s="5" t="n"/>
      <c r="B81" s="5" t="n"/>
      <c r="C81" s="5" t="n"/>
      <c r="D81" s="5" t="n"/>
      <c r="E81" s="11" t="n"/>
      <c r="F81" s="5" t="n"/>
      <c r="G81" s="11" t="n"/>
      <c r="H81" s="11" t="n"/>
      <c r="I81" s="11" t="n"/>
      <c r="J81" s="5" t="n"/>
      <c r="K81" s="5" t="n"/>
      <c r="L81" s="5" t="n"/>
      <c r="M81" s="4">
        <f>IF(B81="","",IF(AND(K81="Yes",L81="Yes",OR(G81="Perpetual",G81&gt;=TODAY())),"Active-Compliant",IF(OR(K81="No",L81="No"),"Non-Compliant",IF(AND(G81&lt;TODAY(),H81&lt;TODAY(),I81&lt;TODAY()),"Expired","Active-Review"))))</f>
        <v/>
      </c>
      <c r="N81" s="5" t="n"/>
      <c r="O81" s="5" t="n"/>
    </row>
    <row r="82">
      <c r="A82" s="5" t="n"/>
      <c r="B82" s="5" t="n"/>
      <c r="C82" s="5" t="n"/>
      <c r="D82" s="5" t="n"/>
      <c r="E82" s="11" t="n"/>
      <c r="F82" s="5" t="n"/>
      <c r="G82" s="11" t="n"/>
      <c r="H82" s="11" t="n"/>
      <c r="I82" s="11" t="n"/>
      <c r="J82" s="5" t="n"/>
      <c r="K82" s="5" t="n"/>
      <c r="L82" s="5" t="n"/>
      <c r="M82" s="4">
        <f>IF(B82="","",IF(AND(K82="Yes",L82="Yes",OR(G82="Perpetual",G82&gt;=TODAY())),"Active-Compliant",IF(OR(K82="No",L82="No"),"Non-Compliant",IF(AND(G82&lt;TODAY(),H82&lt;TODAY(),I82&lt;TODAY()),"Expired","Active-Review"))))</f>
        <v/>
      </c>
      <c r="N82" s="5" t="n"/>
      <c r="O82" s="5" t="n"/>
    </row>
    <row r="83">
      <c r="A83" s="5" t="n"/>
      <c r="B83" s="5" t="n"/>
      <c r="C83" s="5" t="n"/>
      <c r="D83" s="5" t="n"/>
      <c r="E83" s="11" t="n"/>
      <c r="F83" s="5" t="n"/>
      <c r="G83" s="11" t="n"/>
      <c r="H83" s="11" t="n"/>
      <c r="I83" s="11" t="n"/>
      <c r="J83" s="5" t="n"/>
      <c r="K83" s="5" t="n"/>
      <c r="L83" s="5" t="n"/>
      <c r="M83" s="4">
        <f>IF(B83="","",IF(AND(K83="Yes",L83="Yes",OR(G83="Perpetual",G83&gt;=TODAY())),"Active-Compliant",IF(OR(K83="No",L83="No"),"Non-Compliant",IF(AND(G83&lt;TODAY(),H83&lt;TODAY(),I83&lt;TODAY()),"Expired","Active-Review"))))</f>
        <v/>
      </c>
      <c r="N83" s="5" t="n"/>
      <c r="O83" s="5" t="n"/>
    </row>
    <row r="84">
      <c r="A84" s="5" t="n"/>
      <c r="B84" s="5" t="n"/>
      <c r="C84" s="5" t="n"/>
      <c r="D84" s="5" t="n"/>
      <c r="E84" s="11" t="n"/>
      <c r="F84" s="5" t="n"/>
      <c r="G84" s="11" t="n"/>
      <c r="H84" s="11" t="n"/>
      <c r="I84" s="11" t="n"/>
      <c r="J84" s="5" t="n"/>
      <c r="K84" s="5" t="n"/>
      <c r="L84" s="5" t="n"/>
      <c r="M84" s="4">
        <f>IF(B84="","",IF(AND(K84="Yes",L84="Yes",OR(G84="Perpetual",G84&gt;=TODAY())),"Active-Compliant",IF(OR(K84="No",L84="No"),"Non-Compliant",IF(AND(G84&lt;TODAY(),H84&lt;TODAY(),I84&lt;TODAY()),"Expired","Active-Review"))))</f>
        <v/>
      </c>
      <c r="N84" s="5" t="n"/>
      <c r="O84" s="5" t="n"/>
    </row>
    <row r="85">
      <c r="A85" s="5" t="n"/>
      <c r="B85" s="5" t="n"/>
      <c r="C85" s="5" t="n"/>
      <c r="D85" s="5" t="n"/>
      <c r="E85" s="11" t="n"/>
      <c r="F85" s="5" t="n"/>
      <c r="G85" s="11" t="n"/>
      <c r="H85" s="11" t="n"/>
      <c r="I85" s="11" t="n"/>
      <c r="J85" s="5" t="n"/>
      <c r="K85" s="5" t="n"/>
      <c r="L85" s="5" t="n"/>
      <c r="M85" s="4">
        <f>IF(B85="","",IF(AND(K85="Yes",L85="Yes",OR(G85="Perpetual",G85&gt;=TODAY())),"Active-Compliant",IF(OR(K85="No",L85="No"),"Non-Compliant",IF(AND(G85&lt;TODAY(),H85&lt;TODAY(),I85&lt;TODAY()),"Expired","Active-Review"))))</f>
        <v/>
      </c>
      <c r="N85" s="5" t="n"/>
      <c r="O85" s="5" t="n"/>
    </row>
    <row r="86">
      <c r="A86" s="5" t="n"/>
      <c r="B86" s="5" t="n"/>
      <c r="C86" s="5" t="n"/>
      <c r="D86" s="5" t="n"/>
      <c r="E86" s="11" t="n"/>
      <c r="F86" s="5" t="n"/>
      <c r="G86" s="11" t="n"/>
      <c r="H86" s="11" t="n"/>
      <c r="I86" s="11" t="n"/>
      <c r="J86" s="5" t="n"/>
      <c r="K86" s="5" t="n"/>
      <c r="L86" s="5" t="n"/>
      <c r="M86" s="4">
        <f>IF(B86="","",IF(AND(K86="Yes",L86="Yes",OR(G86="Perpetual",G86&gt;=TODAY())),"Active-Compliant",IF(OR(K86="No",L86="No"),"Non-Compliant",IF(AND(G86&lt;TODAY(),H86&lt;TODAY(),I86&lt;TODAY()),"Expired","Active-Review"))))</f>
        <v/>
      </c>
      <c r="N86" s="5" t="n"/>
      <c r="O86" s="5" t="n"/>
    </row>
    <row r="87">
      <c r="A87" s="5" t="n"/>
      <c r="B87" s="5" t="n"/>
      <c r="C87" s="5" t="n"/>
      <c r="D87" s="5" t="n"/>
      <c r="E87" s="11" t="n"/>
      <c r="F87" s="5" t="n"/>
      <c r="G87" s="11" t="n"/>
      <c r="H87" s="11" t="n"/>
      <c r="I87" s="11" t="n"/>
      <c r="J87" s="5" t="n"/>
      <c r="K87" s="5" t="n"/>
      <c r="L87" s="5" t="n"/>
      <c r="M87" s="4">
        <f>IF(B87="","",IF(AND(K87="Yes",L87="Yes",OR(G87="Perpetual",G87&gt;=TODAY())),"Active-Compliant",IF(OR(K87="No",L87="No"),"Non-Compliant",IF(AND(G87&lt;TODAY(),H87&lt;TODAY(),I87&lt;TODAY()),"Expired","Active-Review"))))</f>
        <v/>
      </c>
      <c r="N87" s="5" t="n"/>
      <c r="O87" s="5" t="n"/>
    </row>
    <row r="88">
      <c r="A88" s="5" t="n"/>
      <c r="B88" s="5" t="n"/>
      <c r="C88" s="5" t="n"/>
      <c r="D88" s="5" t="n"/>
      <c r="E88" s="11" t="n"/>
      <c r="F88" s="5" t="n"/>
      <c r="G88" s="11" t="n"/>
      <c r="H88" s="11" t="n"/>
      <c r="I88" s="11" t="n"/>
      <c r="J88" s="5" t="n"/>
      <c r="K88" s="5" t="n"/>
      <c r="L88" s="5" t="n"/>
      <c r="M88" s="4">
        <f>IF(B88="","",IF(AND(K88="Yes",L88="Yes",OR(G88="Perpetual",G88&gt;=TODAY())),"Active-Compliant",IF(OR(K88="No",L88="No"),"Non-Compliant",IF(AND(G88&lt;TODAY(),H88&lt;TODAY(),I88&lt;TODAY()),"Expired","Active-Review"))))</f>
        <v/>
      </c>
      <c r="N88" s="5" t="n"/>
      <c r="O88" s="5" t="n"/>
    </row>
    <row r="89">
      <c r="A89" s="5" t="n"/>
      <c r="B89" s="5" t="n"/>
      <c r="C89" s="5" t="n"/>
      <c r="D89" s="5" t="n"/>
      <c r="E89" s="11" t="n"/>
      <c r="F89" s="5" t="n"/>
      <c r="G89" s="11" t="n"/>
      <c r="H89" s="11" t="n"/>
      <c r="I89" s="11" t="n"/>
      <c r="J89" s="5" t="n"/>
      <c r="K89" s="5" t="n"/>
      <c r="L89" s="5" t="n"/>
      <c r="M89" s="4">
        <f>IF(B89="","",IF(AND(K89="Yes",L89="Yes",OR(G89="Perpetual",G89&gt;=TODAY())),"Active-Compliant",IF(OR(K89="No",L89="No"),"Non-Compliant",IF(AND(G89&lt;TODAY(),H89&lt;TODAY(),I89&lt;TODAY()),"Expired","Active-Review"))))</f>
        <v/>
      </c>
      <c r="N89" s="5" t="n"/>
      <c r="O89" s="5" t="n"/>
    </row>
    <row r="90">
      <c r="A90" s="5" t="n"/>
      <c r="B90" s="5" t="n"/>
      <c r="C90" s="5" t="n"/>
      <c r="D90" s="5" t="n"/>
      <c r="E90" s="11" t="n"/>
      <c r="F90" s="5" t="n"/>
      <c r="G90" s="11" t="n"/>
      <c r="H90" s="11" t="n"/>
      <c r="I90" s="11" t="n"/>
      <c r="J90" s="5" t="n"/>
      <c r="K90" s="5" t="n"/>
      <c r="L90" s="5" t="n"/>
      <c r="M90" s="4">
        <f>IF(B90="","",IF(AND(K90="Yes",L90="Yes",OR(G90="Perpetual",G90&gt;=TODAY())),"Active-Compliant",IF(OR(K90="No",L90="No"),"Non-Compliant",IF(AND(G90&lt;TODAY(),H90&lt;TODAY(),I90&lt;TODAY()),"Expired","Active-Review"))))</f>
        <v/>
      </c>
      <c r="N90" s="5" t="n"/>
      <c r="O90" s="5" t="n"/>
    </row>
    <row r="91">
      <c r="A91" s="5" t="n"/>
      <c r="B91" s="5" t="n"/>
      <c r="C91" s="5" t="n"/>
      <c r="D91" s="5" t="n"/>
      <c r="E91" s="11" t="n"/>
      <c r="F91" s="5" t="n"/>
      <c r="G91" s="11" t="n"/>
      <c r="H91" s="11" t="n"/>
      <c r="I91" s="11" t="n"/>
      <c r="J91" s="5" t="n"/>
      <c r="K91" s="5" t="n"/>
      <c r="L91" s="5" t="n"/>
      <c r="M91" s="4">
        <f>IF(B91="","",IF(AND(K91="Yes",L91="Yes",OR(G91="Perpetual",G91&gt;=TODAY())),"Active-Compliant",IF(OR(K91="No",L91="No"),"Non-Compliant",IF(AND(G91&lt;TODAY(),H91&lt;TODAY(),I91&lt;TODAY()),"Expired","Active-Review"))))</f>
        <v/>
      </c>
      <c r="N91" s="5" t="n"/>
      <c r="O91" s="5" t="n"/>
    </row>
    <row r="92">
      <c r="A92" s="5" t="n"/>
      <c r="B92" s="5" t="n"/>
      <c r="C92" s="5" t="n"/>
      <c r="D92" s="5" t="n"/>
      <c r="E92" s="11" t="n"/>
      <c r="F92" s="5" t="n"/>
      <c r="G92" s="11" t="n"/>
      <c r="H92" s="11" t="n"/>
      <c r="I92" s="11" t="n"/>
      <c r="J92" s="5" t="n"/>
      <c r="K92" s="5" t="n"/>
      <c r="L92" s="5" t="n"/>
      <c r="M92" s="4">
        <f>IF(B92="","",IF(AND(K92="Yes",L92="Yes",OR(G92="Perpetual",G92&gt;=TODAY())),"Active-Compliant",IF(OR(K92="No",L92="No"),"Non-Compliant",IF(AND(G92&lt;TODAY(),H92&lt;TODAY(),I92&lt;TODAY()),"Expired","Active-Review"))))</f>
        <v/>
      </c>
      <c r="N92" s="5" t="n"/>
      <c r="O92" s="5" t="n"/>
    </row>
    <row r="93">
      <c r="A93" s="5" t="n"/>
      <c r="B93" s="5" t="n"/>
      <c r="C93" s="5" t="n"/>
      <c r="D93" s="5" t="n"/>
      <c r="E93" s="11" t="n"/>
      <c r="F93" s="5" t="n"/>
      <c r="G93" s="11" t="n"/>
      <c r="H93" s="11" t="n"/>
      <c r="I93" s="11" t="n"/>
      <c r="J93" s="5" t="n"/>
      <c r="K93" s="5" t="n"/>
      <c r="L93" s="5" t="n"/>
      <c r="M93" s="4">
        <f>IF(B93="","",IF(AND(K93="Yes",L93="Yes",OR(G93="Perpetual",G93&gt;=TODAY())),"Active-Compliant",IF(OR(K93="No",L93="No"),"Non-Compliant",IF(AND(G93&lt;TODAY(),H93&lt;TODAY(),I93&lt;TODAY()),"Expired","Active-Review"))))</f>
        <v/>
      </c>
      <c r="N93" s="5" t="n"/>
      <c r="O93" s="5" t="n"/>
    </row>
    <row r="94">
      <c r="A94" s="5" t="n"/>
      <c r="B94" s="5" t="n"/>
      <c r="C94" s="5" t="n"/>
      <c r="D94" s="5" t="n"/>
      <c r="E94" s="11" t="n"/>
      <c r="F94" s="5" t="n"/>
      <c r="G94" s="11" t="n"/>
      <c r="H94" s="11" t="n"/>
      <c r="I94" s="11" t="n"/>
      <c r="J94" s="5" t="n"/>
      <c r="K94" s="5" t="n"/>
      <c r="L94" s="5" t="n"/>
      <c r="M94" s="4">
        <f>IF(B94="","",IF(AND(K94="Yes",L94="Yes",OR(G94="Perpetual",G94&gt;=TODAY())),"Active-Compliant",IF(OR(K94="No",L94="No"),"Non-Compliant",IF(AND(G94&lt;TODAY(),H94&lt;TODAY(),I94&lt;TODAY()),"Expired","Active-Review"))))</f>
        <v/>
      </c>
      <c r="N94" s="5" t="n"/>
      <c r="O94" s="5" t="n"/>
    </row>
    <row r="95">
      <c r="A95" s="5" t="n"/>
      <c r="B95" s="5" t="n"/>
      <c r="C95" s="5" t="n"/>
      <c r="D95" s="5" t="n"/>
      <c r="E95" s="11" t="n"/>
      <c r="F95" s="5" t="n"/>
      <c r="G95" s="11" t="n"/>
      <c r="H95" s="11" t="n"/>
      <c r="I95" s="11" t="n"/>
      <c r="J95" s="5" t="n"/>
      <c r="K95" s="5" t="n"/>
      <c r="L95" s="5" t="n"/>
      <c r="M95" s="4">
        <f>IF(B95="","",IF(AND(K95="Yes",L95="Yes",OR(G95="Perpetual",G95&gt;=TODAY())),"Active-Compliant",IF(OR(K95="No",L95="No"),"Non-Compliant",IF(AND(G95&lt;TODAY(),H95&lt;TODAY(),I95&lt;TODAY()),"Expired","Active-Review"))))</f>
        <v/>
      </c>
      <c r="N95" s="5" t="n"/>
      <c r="O95" s="5" t="n"/>
    </row>
    <row r="96">
      <c r="A96" s="5" t="n"/>
      <c r="B96" s="5" t="n"/>
      <c r="C96" s="5" t="n"/>
      <c r="D96" s="5" t="n"/>
      <c r="E96" s="11" t="n"/>
      <c r="F96" s="5" t="n"/>
      <c r="G96" s="11" t="n"/>
      <c r="H96" s="11" t="n"/>
      <c r="I96" s="11" t="n"/>
      <c r="J96" s="5" t="n"/>
      <c r="K96" s="5" t="n"/>
      <c r="L96" s="5" t="n"/>
      <c r="M96" s="4">
        <f>IF(B96="","",IF(AND(K96="Yes",L96="Yes",OR(G96="Perpetual",G96&gt;=TODAY())),"Active-Compliant",IF(OR(K96="No",L96="No"),"Non-Compliant",IF(AND(G96&lt;TODAY(),H96&lt;TODAY(),I96&lt;TODAY()),"Expired","Active-Review"))))</f>
        <v/>
      </c>
      <c r="N96" s="5" t="n"/>
      <c r="O96" s="5" t="n"/>
    </row>
    <row r="97">
      <c r="A97" s="5" t="n"/>
      <c r="B97" s="5" t="n"/>
      <c r="C97" s="5" t="n"/>
      <c r="D97" s="5" t="n"/>
      <c r="E97" s="11" t="n"/>
      <c r="F97" s="5" t="n"/>
      <c r="G97" s="11" t="n"/>
      <c r="H97" s="11" t="n"/>
      <c r="I97" s="11" t="n"/>
      <c r="J97" s="5" t="n"/>
      <c r="K97" s="5" t="n"/>
      <c r="L97" s="5" t="n"/>
      <c r="M97" s="4">
        <f>IF(B97="","",IF(AND(K97="Yes",L97="Yes",OR(G97="Perpetual",G97&gt;=TODAY())),"Active-Compliant",IF(OR(K97="No",L97="No"),"Non-Compliant",IF(AND(G97&lt;TODAY(),H97&lt;TODAY(),I97&lt;TODAY()),"Expired","Active-Review"))))</f>
        <v/>
      </c>
      <c r="N97" s="5" t="n"/>
      <c r="O97" s="5" t="n"/>
    </row>
    <row r="98">
      <c r="A98" s="5" t="n"/>
      <c r="B98" s="5" t="n"/>
      <c r="C98" s="5" t="n"/>
      <c r="D98" s="5" t="n"/>
      <c r="E98" s="11" t="n"/>
      <c r="F98" s="5" t="n"/>
      <c r="G98" s="11" t="n"/>
      <c r="H98" s="11" t="n"/>
      <c r="I98" s="11" t="n"/>
      <c r="J98" s="5" t="n"/>
      <c r="K98" s="5" t="n"/>
      <c r="L98" s="5" t="n"/>
      <c r="M98" s="4">
        <f>IF(B98="","",IF(AND(K98="Yes",L98="Yes",OR(G98="Perpetual",G98&gt;=TODAY())),"Active-Compliant",IF(OR(K98="No",L98="No"),"Non-Compliant",IF(AND(G98&lt;TODAY(),H98&lt;TODAY(),I98&lt;TODAY()),"Expired","Active-Review"))))</f>
        <v/>
      </c>
      <c r="N98" s="5" t="n"/>
      <c r="O98" s="5" t="n"/>
    </row>
    <row r="99">
      <c r="A99" s="5" t="n"/>
      <c r="B99" s="5" t="n"/>
      <c r="C99" s="5" t="n"/>
      <c r="D99" s="5" t="n"/>
      <c r="E99" s="11" t="n"/>
      <c r="F99" s="5" t="n"/>
      <c r="G99" s="11" t="n"/>
      <c r="H99" s="11" t="n"/>
      <c r="I99" s="11" t="n"/>
      <c r="J99" s="5" t="n"/>
      <c r="K99" s="5" t="n"/>
      <c r="L99" s="5" t="n"/>
      <c r="M99" s="4">
        <f>IF(B99="","",IF(AND(K99="Yes",L99="Yes",OR(G99="Perpetual",G99&gt;=TODAY())),"Active-Compliant",IF(OR(K99="No",L99="No"),"Non-Compliant",IF(AND(G99&lt;TODAY(),H99&lt;TODAY(),I99&lt;TODAY()),"Expired","Active-Review"))))</f>
        <v/>
      </c>
      <c r="N99" s="5" t="n"/>
      <c r="O99" s="5" t="n"/>
    </row>
    <row r="100">
      <c r="A100" s="5" t="n"/>
      <c r="B100" s="5" t="n"/>
      <c r="C100" s="5" t="n"/>
      <c r="D100" s="5" t="n"/>
      <c r="E100" s="11" t="n"/>
      <c r="F100" s="5" t="n"/>
      <c r="G100" s="11" t="n"/>
      <c r="H100" s="11" t="n"/>
      <c r="I100" s="11" t="n"/>
      <c r="J100" s="5" t="n"/>
      <c r="K100" s="5" t="n"/>
      <c r="L100" s="5" t="n"/>
      <c r="M100" s="4">
        <f>IF(B100="","",IF(AND(K100="Yes",L100="Yes",OR(G100="Perpetual",G100&gt;=TODAY())),"Active-Compliant",IF(OR(K100="No",L100="No"),"Non-Compliant",IF(AND(G100&lt;TODAY(),H100&lt;TODAY(),I100&lt;TODAY()),"Expired","Active-Review"))))</f>
        <v/>
      </c>
      <c r="N100" s="5" t="n"/>
      <c r="O100" s="5" t="n"/>
    </row>
    <row r="101">
      <c r="A101" s="5" t="n"/>
      <c r="B101" s="5" t="n"/>
      <c r="C101" s="5" t="n"/>
      <c r="D101" s="5" t="n"/>
      <c r="E101" s="11" t="n"/>
      <c r="F101" s="5" t="n"/>
      <c r="G101" s="11" t="n"/>
      <c r="H101" s="11" t="n"/>
      <c r="I101" s="11" t="n"/>
      <c r="J101" s="5" t="n"/>
      <c r="K101" s="5" t="n"/>
      <c r="L101" s="5" t="n"/>
      <c r="M101" s="4">
        <f>IF(B101="","",IF(AND(K101="Yes",L101="Yes",OR(G101="Perpetual",G101&gt;=TODAY())),"Active-Compliant",IF(OR(K101="No",L101="No"),"Non-Compliant",IF(AND(G101&lt;TODAY(),H101&lt;TODAY(),I101&lt;TODAY()),"Expired","Active-Review"))))</f>
        <v/>
      </c>
      <c r="N101" s="5" t="n"/>
      <c r="O101" s="5" t="n"/>
    </row>
    <row r="102">
      <c r="A102" s="5" t="n"/>
      <c r="B102" s="5" t="n"/>
      <c r="C102" s="5" t="n"/>
      <c r="D102" s="5" t="n"/>
      <c r="E102" s="11" t="n"/>
      <c r="F102" s="5" t="n"/>
      <c r="G102" s="11" t="n"/>
      <c r="H102" s="11" t="n"/>
      <c r="I102" s="11" t="n"/>
      <c r="J102" s="5" t="n"/>
      <c r="K102" s="5" t="n"/>
      <c r="L102" s="5" t="n"/>
      <c r="M102" s="4">
        <f>IF(B102="","",IF(AND(K102="Yes",L102="Yes",OR(G102="Perpetual",G102&gt;=TODAY())),"Active-Compliant",IF(OR(K102="No",L102="No"),"Non-Compliant",IF(AND(G102&lt;TODAY(),H102&lt;TODAY(),I102&lt;TODAY()),"Expired","Active-Review"))))</f>
        <v/>
      </c>
      <c r="N102" s="5" t="n"/>
      <c r="O102" s="5" t="n"/>
    </row>
    <row r="103">
      <c r="A103" s="5" t="n"/>
      <c r="B103" s="5" t="n"/>
      <c r="C103" s="5" t="n"/>
      <c r="D103" s="5" t="n"/>
      <c r="E103" s="11" t="n"/>
      <c r="F103" s="5" t="n"/>
      <c r="G103" s="11" t="n"/>
      <c r="H103" s="11" t="n"/>
      <c r="I103" s="11" t="n"/>
      <c r="J103" s="5" t="n"/>
      <c r="K103" s="5" t="n"/>
      <c r="L103" s="5" t="n"/>
      <c r="M103" s="4">
        <f>IF(B103="","",IF(AND(K103="Yes",L103="Yes",OR(G103="Perpetual",G103&gt;=TODAY())),"Active-Compliant",IF(OR(K103="No",L103="No"),"Non-Compliant",IF(AND(G103&lt;TODAY(),H103&lt;TODAY(),I103&lt;TODAY()),"Expired","Active-Review"))))</f>
        <v/>
      </c>
      <c r="N103" s="5" t="n"/>
      <c r="O103" s="5" t="n"/>
    </row>
    <row r="104">
      <c r="A104" s="5" t="n"/>
      <c r="B104" s="5" t="n"/>
      <c r="C104" s="5" t="n"/>
      <c r="D104" s="5" t="n"/>
      <c r="E104" s="11" t="n"/>
      <c r="F104" s="5" t="n"/>
      <c r="G104" s="11" t="n"/>
      <c r="H104" s="11" t="n"/>
      <c r="I104" s="11" t="n"/>
      <c r="J104" s="5" t="n"/>
      <c r="K104" s="5" t="n"/>
      <c r="L104" s="5" t="n"/>
      <c r="M104" s="4">
        <f>IF(B104="","",IF(AND(K104="Yes",L104="Yes",OR(G104="Perpetual",G104&gt;=TODAY())),"Active-Compliant",IF(OR(K104="No",L104="No"),"Non-Compliant",IF(AND(G104&lt;TODAY(),H104&lt;TODAY(),I104&lt;TODAY()),"Expired","Active-Review"))))</f>
        <v/>
      </c>
      <c r="N104" s="5" t="n"/>
      <c r="O1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O1"/>
    <mergeCell ref="A2:O2"/>
  </mergeCells>
  <dataValidations count="2">
    <dataValidation sqref="F5:F104" showDropDown="0" showInputMessage="0" showErrorMessage="1" allowBlank="1" errorTitle="Invalid Entry" error="Please select from dropdown" type="list">
      <formula1>"Resignation,Termination,Retirement,Contract-End,Mutual-Agreement,Redundancy"</formula1>
    </dataValidation>
    <dataValidation sqref="J5:J104 K5:K104 L5:L104 N5:N104" showDropDown="0" showInputMessage="0" showErrorMessage="1" allowBlank="1" errorTitle="Invalid Entry" error="Please select from dropdown" type="list">
      <formula1>"Yes,No,Partial,N/A"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0" customWidth="1" min="4" max="4"/>
    <col width="30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5" customWidth="1" min="13" max="13"/>
    <col width="40" customWidth="1" min="14" max="14"/>
  </cols>
  <sheetData>
    <row r="1">
      <c r="A1" s="1" t="inlineStr">
        <is>
          <t>CONTRACTOR AGREEMENT ASSESSMENT</t>
        </is>
      </c>
    </row>
    <row r="2">
      <c r="A2" s="2" t="inlineStr">
        <is>
          <t>Third-party, contractor, and vendor agreement security clause verification</t>
        </is>
      </c>
    </row>
    <row r="4">
      <c r="A4" s="8" t="inlineStr">
        <is>
          <t>Contractor_ID</t>
        </is>
      </c>
      <c r="B4" s="8" t="inlineStr">
        <is>
          <t>Contractor_Name</t>
        </is>
      </c>
      <c r="C4" s="8" t="inlineStr">
        <is>
          <t>Company_Name</t>
        </is>
      </c>
      <c r="D4" s="8" t="inlineStr">
        <is>
          <t>Contract_Type</t>
        </is>
      </c>
      <c r="E4" s="8" t="inlineStr">
        <is>
          <t>Services_Provided</t>
        </is>
      </c>
      <c r="F4" s="8" t="inlineStr">
        <is>
          <t>Contract_Start</t>
        </is>
      </c>
      <c r="G4" s="8" t="inlineStr">
        <is>
          <t>Contract_End</t>
        </is>
      </c>
      <c r="H4" s="8" t="inlineStr">
        <is>
          <t>NDA_In_Place</t>
        </is>
      </c>
      <c r="I4" s="8" t="inlineStr">
        <is>
          <t>Security_Clauses_Present</t>
        </is>
      </c>
      <c r="J4" s="8" t="inlineStr">
        <is>
          <t>Data_Access_Level</t>
        </is>
      </c>
      <c r="K4" s="8" t="inlineStr">
        <is>
          <t>Background_Check</t>
        </is>
      </c>
      <c r="L4" s="8" t="inlineStr">
        <is>
          <t>Compliance_Status</t>
        </is>
      </c>
      <c r="M4" s="8" t="inlineStr">
        <is>
          <t>Sponsor_Manager</t>
        </is>
      </c>
      <c r="N4" s="8" t="inlineStr">
        <is>
          <t>Notes</t>
        </is>
      </c>
    </row>
    <row r="5">
      <c r="A5" s="5" t="n"/>
      <c r="B5" s="5" t="n"/>
      <c r="C5" s="5" t="n"/>
      <c r="D5" s="5" t="n"/>
      <c r="E5" s="5" t="n"/>
      <c r="F5" s="11" t="n"/>
      <c r="G5" s="11" t="n"/>
      <c r="H5" s="5" t="n"/>
      <c r="I5" s="5" t="n"/>
      <c r="J5" s="5" t="n"/>
      <c r="K5" s="5" t="n"/>
      <c r="L5" s="4">
        <f>IF(B5="","",IF(AND(H5="Yes",I5="Yes",OR(K5="Yes",K5="N/A")),"Compliant",IF(OR(H5="No",I5="No"),"Non-Compliant","Partial")))</f>
        <v/>
      </c>
      <c r="M5" s="5" t="n"/>
      <c r="N5" s="5" t="n"/>
    </row>
    <row r="6">
      <c r="A6" s="5" t="n"/>
      <c r="B6" s="5" t="n"/>
      <c r="C6" s="5" t="n"/>
      <c r="D6" s="5" t="n"/>
      <c r="E6" s="5" t="n"/>
      <c r="F6" s="11" t="n"/>
      <c r="G6" s="11" t="n"/>
      <c r="H6" s="5" t="n"/>
      <c r="I6" s="5" t="n"/>
      <c r="J6" s="5" t="n"/>
      <c r="K6" s="5" t="n"/>
      <c r="L6" s="4">
        <f>IF(B6="","",IF(AND(H6="Yes",I6="Yes",OR(K6="Yes",K6="N/A")),"Compliant",IF(OR(H6="No",I6="No"),"Non-Compliant","Partial")))</f>
        <v/>
      </c>
      <c r="M6" s="5" t="n"/>
      <c r="N6" s="5" t="n"/>
    </row>
    <row r="7">
      <c r="A7" s="5" t="n"/>
      <c r="B7" s="5" t="n"/>
      <c r="C7" s="5" t="n"/>
      <c r="D7" s="5" t="n"/>
      <c r="E7" s="5" t="n"/>
      <c r="F7" s="11" t="n"/>
      <c r="G7" s="11" t="n"/>
      <c r="H7" s="5" t="n"/>
      <c r="I7" s="5" t="n"/>
      <c r="J7" s="5" t="n"/>
      <c r="K7" s="5" t="n"/>
      <c r="L7" s="4">
        <f>IF(B7="","",IF(AND(H7="Yes",I7="Yes",OR(K7="Yes",K7="N/A")),"Compliant",IF(OR(H7="No",I7="No"),"Non-Compliant","Partial")))</f>
        <v/>
      </c>
      <c r="M7" s="5" t="n"/>
      <c r="N7" s="5" t="n"/>
    </row>
    <row r="8">
      <c r="A8" s="5" t="n"/>
      <c r="B8" s="5" t="n"/>
      <c r="C8" s="5" t="n"/>
      <c r="D8" s="5" t="n"/>
      <c r="E8" s="5" t="n"/>
      <c r="F8" s="11" t="n"/>
      <c r="G8" s="11" t="n"/>
      <c r="H8" s="5" t="n"/>
      <c r="I8" s="5" t="n"/>
      <c r="J8" s="5" t="n"/>
      <c r="K8" s="5" t="n"/>
      <c r="L8" s="4">
        <f>IF(B8="","",IF(AND(H8="Yes",I8="Yes",OR(K8="Yes",K8="N/A")),"Compliant",IF(OR(H8="No",I8="No"),"Non-Compliant","Partial")))</f>
        <v/>
      </c>
      <c r="M8" s="5" t="n"/>
      <c r="N8" s="5" t="n"/>
    </row>
    <row r="9">
      <c r="A9" s="5" t="n"/>
      <c r="B9" s="5" t="n"/>
      <c r="C9" s="5" t="n"/>
      <c r="D9" s="5" t="n"/>
      <c r="E9" s="5" t="n"/>
      <c r="F9" s="11" t="n"/>
      <c r="G9" s="11" t="n"/>
      <c r="H9" s="5" t="n"/>
      <c r="I9" s="5" t="n"/>
      <c r="J9" s="5" t="n"/>
      <c r="K9" s="5" t="n"/>
      <c r="L9" s="4">
        <f>IF(B9="","",IF(AND(H9="Yes",I9="Yes",OR(K9="Yes",K9="N/A")),"Compliant",IF(OR(H9="No",I9="No"),"Non-Compliant","Partial")))</f>
        <v/>
      </c>
      <c r="M9" s="5" t="n"/>
      <c r="N9" s="5" t="n"/>
    </row>
    <row r="10">
      <c r="A10" s="5" t="n"/>
      <c r="B10" s="5" t="n"/>
      <c r="C10" s="5" t="n"/>
      <c r="D10" s="5" t="n"/>
      <c r="E10" s="5" t="n"/>
      <c r="F10" s="11" t="n"/>
      <c r="G10" s="11" t="n"/>
      <c r="H10" s="5" t="n"/>
      <c r="I10" s="5" t="n"/>
      <c r="J10" s="5" t="n"/>
      <c r="K10" s="5" t="n"/>
      <c r="L10" s="4">
        <f>IF(B10="","",IF(AND(H10="Yes",I10="Yes",OR(K10="Yes",K10="N/A")),"Compliant",IF(OR(H10="No",I10="No"),"Non-Compliant","Partial")))</f>
        <v/>
      </c>
      <c r="M10" s="5" t="n"/>
      <c r="N10" s="5" t="n"/>
    </row>
    <row r="11">
      <c r="A11" s="5" t="n"/>
      <c r="B11" s="5" t="n"/>
      <c r="C11" s="5" t="n"/>
      <c r="D11" s="5" t="n"/>
      <c r="E11" s="5" t="n"/>
      <c r="F11" s="11" t="n"/>
      <c r="G11" s="11" t="n"/>
      <c r="H11" s="5" t="n"/>
      <c r="I11" s="5" t="n"/>
      <c r="J11" s="5" t="n"/>
      <c r="K11" s="5" t="n"/>
      <c r="L11" s="4">
        <f>IF(B11="","",IF(AND(H11="Yes",I11="Yes",OR(K11="Yes",K11="N/A")),"Compliant",IF(OR(H11="No",I11="No"),"Non-Compliant","Partial")))</f>
        <v/>
      </c>
      <c r="M11" s="5" t="n"/>
      <c r="N11" s="5" t="n"/>
    </row>
    <row r="12">
      <c r="A12" s="5" t="n"/>
      <c r="B12" s="5" t="n"/>
      <c r="C12" s="5" t="n"/>
      <c r="D12" s="5" t="n"/>
      <c r="E12" s="5" t="n"/>
      <c r="F12" s="11" t="n"/>
      <c r="G12" s="11" t="n"/>
      <c r="H12" s="5" t="n"/>
      <c r="I12" s="5" t="n"/>
      <c r="J12" s="5" t="n"/>
      <c r="K12" s="5" t="n"/>
      <c r="L12" s="4">
        <f>IF(B12="","",IF(AND(H12="Yes",I12="Yes",OR(K12="Yes",K12="N/A")),"Compliant",IF(OR(H12="No",I12="No"),"Non-Compliant","Partial")))</f>
        <v/>
      </c>
      <c r="M12" s="5" t="n"/>
      <c r="N12" s="5" t="n"/>
    </row>
    <row r="13">
      <c r="A13" s="5" t="n"/>
      <c r="B13" s="5" t="n"/>
      <c r="C13" s="5" t="n"/>
      <c r="D13" s="5" t="n"/>
      <c r="E13" s="5" t="n"/>
      <c r="F13" s="11" t="n"/>
      <c r="G13" s="11" t="n"/>
      <c r="H13" s="5" t="n"/>
      <c r="I13" s="5" t="n"/>
      <c r="J13" s="5" t="n"/>
      <c r="K13" s="5" t="n"/>
      <c r="L13" s="4">
        <f>IF(B13="","",IF(AND(H13="Yes",I13="Yes",OR(K13="Yes",K13="N/A")),"Compliant",IF(OR(H13="No",I13="No"),"Non-Compliant","Partial")))</f>
        <v/>
      </c>
      <c r="M13" s="5" t="n"/>
      <c r="N13" s="5" t="n"/>
    </row>
    <row r="14">
      <c r="A14" s="5" t="n"/>
      <c r="B14" s="5" t="n"/>
      <c r="C14" s="5" t="n"/>
      <c r="D14" s="5" t="n"/>
      <c r="E14" s="5" t="n"/>
      <c r="F14" s="11" t="n"/>
      <c r="G14" s="11" t="n"/>
      <c r="H14" s="5" t="n"/>
      <c r="I14" s="5" t="n"/>
      <c r="J14" s="5" t="n"/>
      <c r="K14" s="5" t="n"/>
      <c r="L14" s="4">
        <f>IF(B14="","",IF(AND(H14="Yes",I14="Yes",OR(K14="Yes",K14="N/A")),"Compliant",IF(OR(H14="No",I14="No"),"Non-Compliant","Partial")))</f>
        <v/>
      </c>
      <c r="M14" s="5" t="n"/>
      <c r="N14" s="5" t="n"/>
    </row>
    <row r="15">
      <c r="A15" s="5" t="n"/>
      <c r="B15" s="5" t="n"/>
      <c r="C15" s="5" t="n"/>
      <c r="D15" s="5" t="n"/>
      <c r="E15" s="5" t="n"/>
      <c r="F15" s="11" t="n"/>
      <c r="G15" s="11" t="n"/>
      <c r="H15" s="5" t="n"/>
      <c r="I15" s="5" t="n"/>
      <c r="J15" s="5" t="n"/>
      <c r="K15" s="5" t="n"/>
      <c r="L15" s="4">
        <f>IF(B15="","",IF(AND(H15="Yes",I15="Yes",OR(K15="Yes",K15="N/A")),"Compliant",IF(OR(H15="No",I15="No"),"Non-Compliant","Partial")))</f>
        <v/>
      </c>
      <c r="M15" s="5" t="n"/>
      <c r="N15" s="5" t="n"/>
    </row>
    <row r="16">
      <c r="A16" s="5" t="n"/>
      <c r="B16" s="5" t="n"/>
      <c r="C16" s="5" t="n"/>
      <c r="D16" s="5" t="n"/>
      <c r="E16" s="5" t="n"/>
      <c r="F16" s="11" t="n"/>
      <c r="G16" s="11" t="n"/>
      <c r="H16" s="5" t="n"/>
      <c r="I16" s="5" t="n"/>
      <c r="J16" s="5" t="n"/>
      <c r="K16" s="5" t="n"/>
      <c r="L16" s="4">
        <f>IF(B16="","",IF(AND(H16="Yes",I16="Yes",OR(K16="Yes",K16="N/A")),"Compliant",IF(OR(H16="No",I16="No"),"Non-Compliant","Partial")))</f>
        <v/>
      </c>
      <c r="M16" s="5" t="n"/>
      <c r="N16" s="5" t="n"/>
    </row>
    <row r="17">
      <c r="A17" s="5" t="n"/>
      <c r="B17" s="5" t="n"/>
      <c r="C17" s="5" t="n"/>
      <c r="D17" s="5" t="n"/>
      <c r="E17" s="5" t="n"/>
      <c r="F17" s="11" t="n"/>
      <c r="G17" s="11" t="n"/>
      <c r="H17" s="5" t="n"/>
      <c r="I17" s="5" t="n"/>
      <c r="J17" s="5" t="n"/>
      <c r="K17" s="5" t="n"/>
      <c r="L17" s="4">
        <f>IF(B17="","",IF(AND(H17="Yes",I17="Yes",OR(K17="Yes",K17="N/A")),"Compliant",IF(OR(H17="No",I17="No"),"Non-Compliant","Partial")))</f>
        <v/>
      </c>
      <c r="M17" s="5" t="n"/>
      <c r="N17" s="5" t="n"/>
    </row>
    <row r="18">
      <c r="A18" s="5" t="n"/>
      <c r="B18" s="5" t="n"/>
      <c r="C18" s="5" t="n"/>
      <c r="D18" s="5" t="n"/>
      <c r="E18" s="5" t="n"/>
      <c r="F18" s="11" t="n"/>
      <c r="G18" s="11" t="n"/>
      <c r="H18" s="5" t="n"/>
      <c r="I18" s="5" t="n"/>
      <c r="J18" s="5" t="n"/>
      <c r="K18" s="5" t="n"/>
      <c r="L18" s="4">
        <f>IF(B18="","",IF(AND(H18="Yes",I18="Yes",OR(K18="Yes",K18="N/A")),"Compliant",IF(OR(H18="No",I18="No"),"Non-Compliant","Partial")))</f>
        <v/>
      </c>
      <c r="M18" s="5" t="n"/>
      <c r="N18" s="5" t="n"/>
    </row>
    <row r="19">
      <c r="A19" s="5" t="n"/>
      <c r="B19" s="5" t="n"/>
      <c r="C19" s="5" t="n"/>
      <c r="D19" s="5" t="n"/>
      <c r="E19" s="5" t="n"/>
      <c r="F19" s="11" t="n"/>
      <c r="G19" s="11" t="n"/>
      <c r="H19" s="5" t="n"/>
      <c r="I19" s="5" t="n"/>
      <c r="J19" s="5" t="n"/>
      <c r="K19" s="5" t="n"/>
      <c r="L19" s="4">
        <f>IF(B19="","",IF(AND(H19="Yes",I19="Yes",OR(K19="Yes",K19="N/A")),"Compliant",IF(OR(H19="No",I19="No"),"Non-Compliant","Partial")))</f>
        <v/>
      </c>
      <c r="M19" s="5" t="n"/>
      <c r="N19" s="5" t="n"/>
    </row>
    <row r="20">
      <c r="A20" s="5" t="n"/>
      <c r="B20" s="5" t="n"/>
      <c r="C20" s="5" t="n"/>
      <c r="D20" s="5" t="n"/>
      <c r="E20" s="5" t="n"/>
      <c r="F20" s="11" t="n"/>
      <c r="G20" s="11" t="n"/>
      <c r="H20" s="5" t="n"/>
      <c r="I20" s="5" t="n"/>
      <c r="J20" s="5" t="n"/>
      <c r="K20" s="5" t="n"/>
      <c r="L20" s="4">
        <f>IF(B20="","",IF(AND(H20="Yes",I20="Yes",OR(K20="Yes",K20="N/A")),"Compliant",IF(OR(H20="No",I20="No"),"Non-Compliant","Partial")))</f>
        <v/>
      </c>
      <c r="M20" s="5" t="n"/>
      <c r="N20" s="5" t="n"/>
    </row>
    <row r="21">
      <c r="A21" s="5" t="n"/>
      <c r="B21" s="5" t="n"/>
      <c r="C21" s="5" t="n"/>
      <c r="D21" s="5" t="n"/>
      <c r="E21" s="5" t="n"/>
      <c r="F21" s="11" t="n"/>
      <c r="G21" s="11" t="n"/>
      <c r="H21" s="5" t="n"/>
      <c r="I21" s="5" t="n"/>
      <c r="J21" s="5" t="n"/>
      <c r="K21" s="5" t="n"/>
      <c r="L21" s="4">
        <f>IF(B21="","",IF(AND(H21="Yes",I21="Yes",OR(K21="Yes",K21="N/A")),"Compliant",IF(OR(H21="No",I21="No"),"Non-Compliant","Partial")))</f>
        <v/>
      </c>
      <c r="M21" s="5" t="n"/>
      <c r="N21" s="5" t="n"/>
    </row>
    <row r="22">
      <c r="A22" s="5" t="n"/>
      <c r="B22" s="5" t="n"/>
      <c r="C22" s="5" t="n"/>
      <c r="D22" s="5" t="n"/>
      <c r="E22" s="5" t="n"/>
      <c r="F22" s="11" t="n"/>
      <c r="G22" s="11" t="n"/>
      <c r="H22" s="5" t="n"/>
      <c r="I22" s="5" t="n"/>
      <c r="J22" s="5" t="n"/>
      <c r="K22" s="5" t="n"/>
      <c r="L22" s="4">
        <f>IF(B22="","",IF(AND(H22="Yes",I22="Yes",OR(K22="Yes",K22="N/A")),"Compliant",IF(OR(H22="No",I22="No"),"Non-Compliant","Partial")))</f>
        <v/>
      </c>
      <c r="M22" s="5" t="n"/>
      <c r="N22" s="5" t="n"/>
    </row>
    <row r="23">
      <c r="A23" s="5" t="n"/>
      <c r="B23" s="5" t="n"/>
      <c r="C23" s="5" t="n"/>
      <c r="D23" s="5" t="n"/>
      <c r="E23" s="5" t="n"/>
      <c r="F23" s="11" t="n"/>
      <c r="G23" s="11" t="n"/>
      <c r="H23" s="5" t="n"/>
      <c r="I23" s="5" t="n"/>
      <c r="J23" s="5" t="n"/>
      <c r="K23" s="5" t="n"/>
      <c r="L23" s="4">
        <f>IF(B23="","",IF(AND(H23="Yes",I23="Yes",OR(K23="Yes",K23="N/A")),"Compliant",IF(OR(H23="No",I23="No"),"Non-Compliant","Partial")))</f>
        <v/>
      </c>
      <c r="M23" s="5" t="n"/>
      <c r="N23" s="5" t="n"/>
    </row>
    <row r="24">
      <c r="A24" s="5" t="n"/>
      <c r="B24" s="5" t="n"/>
      <c r="C24" s="5" t="n"/>
      <c r="D24" s="5" t="n"/>
      <c r="E24" s="5" t="n"/>
      <c r="F24" s="11" t="n"/>
      <c r="G24" s="11" t="n"/>
      <c r="H24" s="5" t="n"/>
      <c r="I24" s="5" t="n"/>
      <c r="J24" s="5" t="n"/>
      <c r="K24" s="5" t="n"/>
      <c r="L24" s="4">
        <f>IF(B24="","",IF(AND(H24="Yes",I24="Yes",OR(K24="Yes",K24="N/A")),"Compliant",IF(OR(H24="No",I24="No"),"Non-Compliant","Partial")))</f>
        <v/>
      </c>
      <c r="M24" s="5" t="n"/>
      <c r="N24" s="5" t="n"/>
    </row>
    <row r="25">
      <c r="A25" s="5" t="n"/>
      <c r="B25" s="5" t="n"/>
      <c r="C25" s="5" t="n"/>
      <c r="D25" s="5" t="n"/>
      <c r="E25" s="5" t="n"/>
      <c r="F25" s="11" t="n"/>
      <c r="G25" s="11" t="n"/>
      <c r="H25" s="5" t="n"/>
      <c r="I25" s="5" t="n"/>
      <c r="J25" s="5" t="n"/>
      <c r="K25" s="5" t="n"/>
      <c r="L25" s="4">
        <f>IF(B25="","",IF(AND(H25="Yes",I25="Yes",OR(K25="Yes",K25="N/A")),"Compliant",IF(OR(H25="No",I25="No"),"Non-Compliant","Partial")))</f>
        <v/>
      </c>
      <c r="M25" s="5" t="n"/>
      <c r="N25" s="5" t="n"/>
    </row>
    <row r="26">
      <c r="A26" s="5" t="n"/>
      <c r="B26" s="5" t="n"/>
      <c r="C26" s="5" t="n"/>
      <c r="D26" s="5" t="n"/>
      <c r="E26" s="5" t="n"/>
      <c r="F26" s="11" t="n"/>
      <c r="G26" s="11" t="n"/>
      <c r="H26" s="5" t="n"/>
      <c r="I26" s="5" t="n"/>
      <c r="J26" s="5" t="n"/>
      <c r="K26" s="5" t="n"/>
      <c r="L26" s="4">
        <f>IF(B26="","",IF(AND(H26="Yes",I26="Yes",OR(K26="Yes",K26="N/A")),"Compliant",IF(OR(H26="No",I26="No"),"Non-Compliant","Partial")))</f>
        <v/>
      </c>
      <c r="M26" s="5" t="n"/>
      <c r="N26" s="5" t="n"/>
    </row>
    <row r="27">
      <c r="A27" s="5" t="n"/>
      <c r="B27" s="5" t="n"/>
      <c r="C27" s="5" t="n"/>
      <c r="D27" s="5" t="n"/>
      <c r="E27" s="5" t="n"/>
      <c r="F27" s="11" t="n"/>
      <c r="G27" s="11" t="n"/>
      <c r="H27" s="5" t="n"/>
      <c r="I27" s="5" t="n"/>
      <c r="J27" s="5" t="n"/>
      <c r="K27" s="5" t="n"/>
      <c r="L27" s="4">
        <f>IF(B27="","",IF(AND(H27="Yes",I27="Yes",OR(K27="Yes",K27="N/A")),"Compliant",IF(OR(H27="No",I27="No"),"Non-Compliant","Partial")))</f>
        <v/>
      </c>
      <c r="M27" s="5" t="n"/>
      <c r="N27" s="5" t="n"/>
    </row>
    <row r="28">
      <c r="A28" s="5" t="n"/>
      <c r="B28" s="5" t="n"/>
      <c r="C28" s="5" t="n"/>
      <c r="D28" s="5" t="n"/>
      <c r="E28" s="5" t="n"/>
      <c r="F28" s="11" t="n"/>
      <c r="G28" s="11" t="n"/>
      <c r="H28" s="5" t="n"/>
      <c r="I28" s="5" t="n"/>
      <c r="J28" s="5" t="n"/>
      <c r="K28" s="5" t="n"/>
      <c r="L28" s="4">
        <f>IF(B28="","",IF(AND(H28="Yes",I28="Yes",OR(K28="Yes",K28="N/A")),"Compliant",IF(OR(H28="No",I28="No"),"Non-Compliant","Partial")))</f>
        <v/>
      </c>
      <c r="M28" s="5" t="n"/>
      <c r="N28" s="5" t="n"/>
    </row>
    <row r="29">
      <c r="A29" s="5" t="n"/>
      <c r="B29" s="5" t="n"/>
      <c r="C29" s="5" t="n"/>
      <c r="D29" s="5" t="n"/>
      <c r="E29" s="5" t="n"/>
      <c r="F29" s="11" t="n"/>
      <c r="G29" s="11" t="n"/>
      <c r="H29" s="5" t="n"/>
      <c r="I29" s="5" t="n"/>
      <c r="J29" s="5" t="n"/>
      <c r="K29" s="5" t="n"/>
      <c r="L29" s="4">
        <f>IF(B29="","",IF(AND(H29="Yes",I29="Yes",OR(K29="Yes",K29="N/A")),"Compliant",IF(OR(H29="No",I29="No"),"Non-Compliant","Partial")))</f>
        <v/>
      </c>
      <c r="M29" s="5" t="n"/>
      <c r="N29" s="5" t="n"/>
    </row>
    <row r="30">
      <c r="A30" s="5" t="n"/>
      <c r="B30" s="5" t="n"/>
      <c r="C30" s="5" t="n"/>
      <c r="D30" s="5" t="n"/>
      <c r="E30" s="5" t="n"/>
      <c r="F30" s="11" t="n"/>
      <c r="G30" s="11" t="n"/>
      <c r="H30" s="5" t="n"/>
      <c r="I30" s="5" t="n"/>
      <c r="J30" s="5" t="n"/>
      <c r="K30" s="5" t="n"/>
      <c r="L30" s="4">
        <f>IF(B30="","",IF(AND(H30="Yes",I30="Yes",OR(K30="Yes",K30="N/A")),"Compliant",IF(OR(H30="No",I30="No"),"Non-Compliant","Partial")))</f>
        <v/>
      </c>
      <c r="M30" s="5" t="n"/>
      <c r="N30" s="5" t="n"/>
    </row>
    <row r="31">
      <c r="A31" s="5" t="n"/>
      <c r="B31" s="5" t="n"/>
      <c r="C31" s="5" t="n"/>
      <c r="D31" s="5" t="n"/>
      <c r="E31" s="5" t="n"/>
      <c r="F31" s="11" t="n"/>
      <c r="G31" s="11" t="n"/>
      <c r="H31" s="5" t="n"/>
      <c r="I31" s="5" t="n"/>
      <c r="J31" s="5" t="n"/>
      <c r="K31" s="5" t="n"/>
      <c r="L31" s="4">
        <f>IF(B31="","",IF(AND(H31="Yes",I31="Yes",OR(K31="Yes",K31="N/A")),"Compliant",IF(OR(H31="No",I31="No"),"Non-Compliant","Partial")))</f>
        <v/>
      </c>
      <c r="M31" s="5" t="n"/>
      <c r="N31" s="5" t="n"/>
    </row>
    <row r="32">
      <c r="A32" s="5" t="n"/>
      <c r="B32" s="5" t="n"/>
      <c r="C32" s="5" t="n"/>
      <c r="D32" s="5" t="n"/>
      <c r="E32" s="5" t="n"/>
      <c r="F32" s="11" t="n"/>
      <c r="G32" s="11" t="n"/>
      <c r="H32" s="5" t="n"/>
      <c r="I32" s="5" t="n"/>
      <c r="J32" s="5" t="n"/>
      <c r="K32" s="5" t="n"/>
      <c r="L32" s="4">
        <f>IF(B32="","",IF(AND(H32="Yes",I32="Yes",OR(K32="Yes",K32="N/A")),"Compliant",IF(OR(H32="No",I32="No"),"Non-Compliant","Partial")))</f>
        <v/>
      </c>
      <c r="M32" s="5" t="n"/>
      <c r="N32" s="5" t="n"/>
    </row>
    <row r="33">
      <c r="A33" s="5" t="n"/>
      <c r="B33" s="5" t="n"/>
      <c r="C33" s="5" t="n"/>
      <c r="D33" s="5" t="n"/>
      <c r="E33" s="5" t="n"/>
      <c r="F33" s="11" t="n"/>
      <c r="G33" s="11" t="n"/>
      <c r="H33" s="5" t="n"/>
      <c r="I33" s="5" t="n"/>
      <c r="J33" s="5" t="n"/>
      <c r="K33" s="5" t="n"/>
      <c r="L33" s="4">
        <f>IF(B33="","",IF(AND(H33="Yes",I33="Yes",OR(K33="Yes",K33="N/A")),"Compliant",IF(OR(H33="No",I33="No"),"Non-Compliant","Partial")))</f>
        <v/>
      </c>
      <c r="M33" s="5" t="n"/>
      <c r="N33" s="5" t="n"/>
    </row>
    <row r="34">
      <c r="A34" s="5" t="n"/>
      <c r="B34" s="5" t="n"/>
      <c r="C34" s="5" t="n"/>
      <c r="D34" s="5" t="n"/>
      <c r="E34" s="5" t="n"/>
      <c r="F34" s="11" t="n"/>
      <c r="G34" s="11" t="n"/>
      <c r="H34" s="5" t="n"/>
      <c r="I34" s="5" t="n"/>
      <c r="J34" s="5" t="n"/>
      <c r="K34" s="5" t="n"/>
      <c r="L34" s="4">
        <f>IF(B34="","",IF(AND(H34="Yes",I34="Yes",OR(K34="Yes",K34="N/A")),"Compliant",IF(OR(H34="No",I34="No"),"Non-Compliant","Partial")))</f>
        <v/>
      </c>
      <c r="M34" s="5" t="n"/>
      <c r="N34" s="5" t="n"/>
    </row>
    <row r="35">
      <c r="A35" s="5" t="n"/>
      <c r="B35" s="5" t="n"/>
      <c r="C35" s="5" t="n"/>
      <c r="D35" s="5" t="n"/>
      <c r="E35" s="5" t="n"/>
      <c r="F35" s="11" t="n"/>
      <c r="G35" s="11" t="n"/>
      <c r="H35" s="5" t="n"/>
      <c r="I35" s="5" t="n"/>
      <c r="J35" s="5" t="n"/>
      <c r="K35" s="5" t="n"/>
      <c r="L35" s="4">
        <f>IF(B35="","",IF(AND(H35="Yes",I35="Yes",OR(K35="Yes",K35="N/A")),"Compliant",IF(OR(H35="No",I35="No"),"Non-Compliant","Partial")))</f>
        <v/>
      </c>
      <c r="M35" s="5" t="n"/>
      <c r="N35" s="5" t="n"/>
    </row>
    <row r="36">
      <c r="A36" s="5" t="n"/>
      <c r="B36" s="5" t="n"/>
      <c r="C36" s="5" t="n"/>
      <c r="D36" s="5" t="n"/>
      <c r="E36" s="5" t="n"/>
      <c r="F36" s="11" t="n"/>
      <c r="G36" s="11" t="n"/>
      <c r="H36" s="5" t="n"/>
      <c r="I36" s="5" t="n"/>
      <c r="J36" s="5" t="n"/>
      <c r="K36" s="5" t="n"/>
      <c r="L36" s="4">
        <f>IF(B36="","",IF(AND(H36="Yes",I36="Yes",OR(K36="Yes",K36="N/A")),"Compliant",IF(OR(H36="No",I36="No"),"Non-Compliant","Partial")))</f>
        <v/>
      </c>
      <c r="M36" s="5" t="n"/>
      <c r="N36" s="5" t="n"/>
    </row>
    <row r="37">
      <c r="A37" s="5" t="n"/>
      <c r="B37" s="5" t="n"/>
      <c r="C37" s="5" t="n"/>
      <c r="D37" s="5" t="n"/>
      <c r="E37" s="5" t="n"/>
      <c r="F37" s="11" t="n"/>
      <c r="G37" s="11" t="n"/>
      <c r="H37" s="5" t="n"/>
      <c r="I37" s="5" t="n"/>
      <c r="J37" s="5" t="n"/>
      <c r="K37" s="5" t="n"/>
      <c r="L37" s="4">
        <f>IF(B37="","",IF(AND(H37="Yes",I37="Yes",OR(K37="Yes",K37="N/A")),"Compliant",IF(OR(H37="No",I37="No"),"Non-Compliant","Partial")))</f>
        <v/>
      </c>
      <c r="M37" s="5" t="n"/>
      <c r="N37" s="5" t="n"/>
    </row>
    <row r="38">
      <c r="A38" s="5" t="n"/>
      <c r="B38" s="5" t="n"/>
      <c r="C38" s="5" t="n"/>
      <c r="D38" s="5" t="n"/>
      <c r="E38" s="5" t="n"/>
      <c r="F38" s="11" t="n"/>
      <c r="G38" s="11" t="n"/>
      <c r="H38" s="5" t="n"/>
      <c r="I38" s="5" t="n"/>
      <c r="J38" s="5" t="n"/>
      <c r="K38" s="5" t="n"/>
      <c r="L38" s="4">
        <f>IF(B38="","",IF(AND(H38="Yes",I38="Yes",OR(K38="Yes",K38="N/A")),"Compliant",IF(OR(H38="No",I38="No"),"Non-Compliant","Partial")))</f>
        <v/>
      </c>
      <c r="M38" s="5" t="n"/>
      <c r="N38" s="5" t="n"/>
    </row>
    <row r="39">
      <c r="A39" s="5" t="n"/>
      <c r="B39" s="5" t="n"/>
      <c r="C39" s="5" t="n"/>
      <c r="D39" s="5" t="n"/>
      <c r="E39" s="5" t="n"/>
      <c r="F39" s="11" t="n"/>
      <c r="G39" s="11" t="n"/>
      <c r="H39" s="5" t="n"/>
      <c r="I39" s="5" t="n"/>
      <c r="J39" s="5" t="n"/>
      <c r="K39" s="5" t="n"/>
      <c r="L39" s="4">
        <f>IF(B39="","",IF(AND(H39="Yes",I39="Yes",OR(K39="Yes",K39="N/A")),"Compliant",IF(OR(H39="No",I39="No"),"Non-Compliant","Partial")))</f>
        <v/>
      </c>
      <c r="M39" s="5" t="n"/>
      <c r="N39" s="5" t="n"/>
    </row>
    <row r="40">
      <c r="A40" s="5" t="n"/>
      <c r="B40" s="5" t="n"/>
      <c r="C40" s="5" t="n"/>
      <c r="D40" s="5" t="n"/>
      <c r="E40" s="5" t="n"/>
      <c r="F40" s="11" t="n"/>
      <c r="G40" s="11" t="n"/>
      <c r="H40" s="5" t="n"/>
      <c r="I40" s="5" t="n"/>
      <c r="J40" s="5" t="n"/>
      <c r="K40" s="5" t="n"/>
      <c r="L40" s="4">
        <f>IF(B40="","",IF(AND(H40="Yes",I40="Yes",OR(K40="Yes",K40="N/A")),"Compliant",IF(OR(H40="No",I40="No"),"Non-Compliant","Partial")))</f>
        <v/>
      </c>
      <c r="M40" s="5" t="n"/>
      <c r="N40" s="5" t="n"/>
    </row>
    <row r="41">
      <c r="A41" s="5" t="n"/>
      <c r="B41" s="5" t="n"/>
      <c r="C41" s="5" t="n"/>
      <c r="D41" s="5" t="n"/>
      <c r="E41" s="5" t="n"/>
      <c r="F41" s="11" t="n"/>
      <c r="G41" s="11" t="n"/>
      <c r="H41" s="5" t="n"/>
      <c r="I41" s="5" t="n"/>
      <c r="J41" s="5" t="n"/>
      <c r="K41" s="5" t="n"/>
      <c r="L41" s="4">
        <f>IF(B41="","",IF(AND(H41="Yes",I41="Yes",OR(K41="Yes",K41="N/A")),"Compliant",IF(OR(H41="No",I41="No"),"Non-Compliant","Partial")))</f>
        <v/>
      </c>
      <c r="M41" s="5" t="n"/>
      <c r="N41" s="5" t="n"/>
    </row>
    <row r="42">
      <c r="A42" s="5" t="n"/>
      <c r="B42" s="5" t="n"/>
      <c r="C42" s="5" t="n"/>
      <c r="D42" s="5" t="n"/>
      <c r="E42" s="5" t="n"/>
      <c r="F42" s="11" t="n"/>
      <c r="G42" s="11" t="n"/>
      <c r="H42" s="5" t="n"/>
      <c r="I42" s="5" t="n"/>
      <c r="J42" s="5" t="n"/>
      <c r="K42" s="5" t="n"/>
      <c r="L42" s="4">
        <f>IF(B42="","",IF(AND(H42="Yes",I42="Yes",OR(K42="Yes",K42="N/A")),"Compliant",IF(OR(H42="No",I42="No"),"Non-Compliant","Partial")))</f>
        <v/>
      </c>
      <c r="M42" s="5" t="n"/>
      <c r="N42" s="5" t="n"/>
    </row>
    <row r="43">
      <c r="A43" s="5" t="n"/>
      <c r="B43" s="5" t="n"/>
      <c r="C43" s="5" t="n"/>
      <c r="D43" s="5" t="n"/>
      <c r="E43" s="5" t="n"/>
      <c r="F43" s="11" t="n"/>
      <c r="G43" s="11" t="n"/>
      <c r="H43" s="5" t="n"/>
      <c r="I43" s="5" t="n"/>
      <c r="J43" s="5" t="n"/>
      <c r="K43" s="5" t="n"/>
      <c r="L43" s="4">
        <f>IF(B43="","",IF(AND(H43="Yes",I43="Yes",OR(K43="Yes",K43="N/A")),"Compliant",IF(OR(H43="No",I43="No"),"Non-Compliant","Partial")))</f>
        <v/>
      </c>
      <c r="M43" s="5" t="n"/>
      <c r="N43" s="5" t="n"/>
    </row>
    <row r="44">
      <c r="A44" s="5" t="n"/>
      <c r="B44" s="5" t="n"/>
      <c r="C44" s="5" t="n"/>
      <c r="D44" s="5" t="n"/>
      <c r="E44" s="5" t="n"/>
      <c r="F44" s="11" t="n"/>
      <c r="G44" s="11" t="n"/>
      <c r="H44" s="5" t="n"/>
      <c r="I44" s="5" t="n"/>
      <c r="J44" s="5" t="n"/>
      <c r="K44" s="5" t="n"/>
      <c r="L44" s="4">
        <f>IF(B44="","",IF(AND(H44="Yes",I44="Yes",OR(K44="Yes",K44="N/A")),"Compliant",IF(OR(H44="No",I44="No"),"Non-Compliant","Partial")))</f>
        <v/>
      </c>
      <c r="M44" s="5" t="n"/>
      <c r="N44" s="5" t="n"/>
    </row>
    <row r="45">
      <c r="A45" s="5" t="n"/>
      <c r="B45" s="5" t="n"/>
      <c r="C45" s="5" t="n"/>
      <c r="D45" s="5" t="n"/>
      <c r="E45" s="5" t="n"/>
      <c r="F45" s="11" t="n"/>
      <c r="G45" s="11" t="n"/>
      <c r="H45" s="5" t="n"/>
      <c r="I45" s="5" t="n"/>
      <c r="J45" s="5" t="n"/>
      <c r="K45" s="5" t="n"/>
      <c r="L45" s="4">
        <f>IF(B45="","",IF(AND(H45="Yes",I45="Yes",OR(K45="Yes",K45="N/A")),"Compliant",IF(OR(H45="No",I45="No"),"Non-Compliant","Partial")))</f>
        <v/>
      </c>
      <c r="M45" s="5" t="n"/>
      <c r="N45" s="5" t="n"/>
    </row>
    <row r="46">
      <c r="A46" s="5" t="n"/>
      <c r="B46" s="5" t="n"/>
      <c r="C46" s="5" t="n"/>
      <c r="D46" s="5" t="n"/>
      <c r="E46" s="5" t="n"/>
      <c r="F46" s="11" t="n"/>
      <c r="G46" s="11" t="n"/>
      <c r="H46" s="5" t="n"/>
      <c r="I46" s="5" t="n"/>
      <c r="J46" s="5" t="n"/>
      <c r="K46" s="5" t="n"/>
      <c r="L46" s="4">
        <f>IF(B46="","",IF(AND(H46="Yes",I46="Yes",OR(K46="Yes",K46="N/A")),"Compliant",IF(OR(H46="No",I46="No"),"Non-Compliant","Partial")))</f>
        <v/>
      </c>
      <c r="M46" s="5" t="n"/>
      <c r="N46" s="5" t="n"/>
    </row>
    <row r="47">
      <c r="A47" s="5" t="n"/>
      <c r="B47" s="5" t="n"/>
      <c r="C47" s="5" t="n"/>
      <c r="D47" s="5" t="n"/>
      <c r="E47" s="5" t="n"/>
      <c r="F47" s="11" t="n"/>
      <c r="G47" s="11" t="n"/>
      <c r="H47" s="5" t="n"/>
      <c r="I47" s="5" t="n"/>
      <c r="J47" s="5" t="n"/>
      <c r="K47" s="5" t="n"/>
      <c r="L47" s="4">
        <f>IF(B47="","",IF(AND(H47="Yes",I47="Yes",OR(K47="Yes",K47="N/A")),"Compliant",IF(OR(H47="No",I47="No"),"Non-Compliant","Partial")))</f>
        <v/>
      </c>
      <c r="M47" s="5" t="n"/>
      <c r="N47" s="5" t="n"/>
    </row>
    <row r="48">
      <c r="A48" s="5" t="n"/>
      <c r="B48" s="5" t="n"/>
      <c r="C48" s="5" t="n"/>
      <c r="D48" s="5" t="n"/>
      <c r="E48" s="5" t="n"/>
      <c r="F48" s="11" t="n"/>
      <c r="G48" s="11" t="n"/>
      <c r="H48" s="5" t="n"/>
      <c r="I48" s="5" t="n"/>
      <c r="J48" s="5" t="n"/>
      <c r="K48" s="5" t="n"/>
      <c r="L48" s="4">
        <f>IF(B48="","",IF(AND(H48="Yes",I48="Yes",OR(K48="Yes",K48="N/A")),"Compliant",IF(OR(H48="No",I48="No"),"Non-Compliant","Partial")))</f>
        <v/>
      </c>
      <c r="M48" s="5" t="n"/>
      <c r="N48" s="5" t="n"/>
    </row>
    <row r="49">
      <c r="A49" s="5" t="n"/>
      <c r="B49" s="5" t="n"/>
      <c r="C49" s="5" t="n"/>
      <c r="D49" s="5" t="n"/>
      <c r="E49" s="5" t="n"/>
      <c r="F49" s="11" t="n"/>
      <c r="G49" s="11" t="n"/>
      <c r="H49" s="5" t="n"/>
      <c r="I49" s="5" t="n"/>
      <c r="J49" s="5" t="n"/>
      <c r="K49" s="5" t="n"/>
      <c r="L49" s="4">
        <f>IF(B49="","",IF(AND(H49="Yes",I49="Yes",OR(K49="Yes",K49="N/A")),"Compliant",IF(OR(H49="No",I49="No"),"Non-Compliant","Partial")))</f>
        <v/>
      </c>
      <c r="M49" s="5" t="n"/>
      <c r="N49" s="5" t="n"/>
    </row>
    <row r="50">
      <c r="A50" s="5" t="n"/>
      <c r="B50" s="5" t="n"/>
      <c r="C50" s="5" t="n"/>
      <c r="D50" s="5" t="n"/>
      <c r="E50" s="5" t="n"/>
      <c r="F50" s="11" t="n"/>
      <c r="G50" s="11" t="n"/>
      <c r="H50" s="5" t="n"/>
      <c r="I50" s="5" t="n"/>
      <c r="J50" s="5" t="n"/>
      <c r="K50" s="5" t="n"/>
      <c r="L50" s="4">
        <f>IF(B50="","",IF(AND(H50="Yes",I50="Yes",OR(K50="Yes",K50="N/A")),"Compliant",IF(OR(H50="No",I50="No"),"Non-Compliant","Partial")))</f>
        <v/>
      </c>
      <c r="M50" s="5" t="n"/>
      <c r="N50" s="5" t="n"/>
    </row>
    <row r="51">
      <c r="A51" s="5" t="n"/>
      <c r="B51" s="5" t="n"/>
      <c r="C51" s="5" t="n"/>
      <c r="D51" s="5" t="n"/>
      <c r="E51" s="5" t="n"/>
      <c r="F51" s="11" t="n"/>
      <c r="G51" s="11" t="n"/>
      <c r="H51" s="5" t="n"/>
      <c r="I51" s="5" t="n"/>
      <c r="J51" s="5" t="n"/>
      <c r="K51" s="5" t="n"/>
      <c r="L51" s="4">
        <f>IF(B51="","",IF(AND(H51="Yes",I51="Yes",OR(K51="Yes",K51="N/A")),"Compliant",IF(OR(H51="No",I51="No"),"Non-Compliant","Partial")))</f>
        <v/>
      </c>
      <c r="M51" s="5" t="n"/>
      <c r="N51" s="5" t="n"/>
    </row>
    <row r="52">
      <c r="A52" s="5" t="n"/>
      <c r="B52" s="5" t="n"/>
      <c r="C52" s="5" t="n"/>
      <c r="D52" s="5" t="n"/>
      <c r="E52" s="5" t="n"/>
      <c r="F52" s="11" t="n"/>
      <c r="G52" s="11" t="n"/>
      <c r="H52" s="5" t="n"/>
      <c r="I52" s="5" t="n"/>
      <c r="J52" s="5" t="n"/>
      <c r="K52" s="5" t="n"/>
      <c r="L52" s="4">
        <f>IF(B52="","",IF(AND(H52="Yes",I52="Yes",OR(K52="Yes",K52="N/A")),"Compliant",IF(OR(H52="No",I52="No"),"Non-Compliant","Partial")))</f>
        <v/>
      </c>
      <c r="M52" s="5" t="n"/>
      <c r="N52" s="5" t="n"/>
    </row>
    <row r="53">
      <c r="A53" s="5" t="n"/>
      <c r="B53" s="5" t="n"/>
      <c r="C53" s="5" t="n"/>
      <c r="D53" s="5" t="n"/>
      <c r="E53" s="5" t="n"/>
      <c r="F53" s="11" t="n"/>
      <c r="G53" s="11" t="n"/>
      <c r="H53" s="5" t="n"/>
      <c r="I53" s="5" t="n"/>
      <c r="J53" s="5" t="n"/>
      <c r="K53" s="5" t="n"/>
      <c r="L53" s="4">
        <f>IF(B53="","",IF(AND(H53="Yes",I53="Yes",OR(K53="Yes",K53="N/A")),"Compliant",IF(OR(H53="No",I53="No"),"Non-Compliant","Partial")))</f>
        <v/>
      </c>
      <c r="M53" s="5" t="n"/>
      <c r="N53" s="5" t="n"/>
    </row>
    <row r="54">
      <c r="A54" s="5" t="n"/>
      <c r="B54" s="5" t="n"/>
      <c r="C54" s="5" t="n"/>
      <c r="D54" s="5" t="n"/>
      <c r="E54" s="5" t="n"/>
      <c r="F54" s="11" t="n"/>
      <c r="G54" s="11" t="n"/>
      <c r="H54" s="5" t="n"/>
      <c r="I54" s="5" t="n"/>
      <c r="J54" s="5" t="n"/>
      <c r="K54" s="5" t="n"/>
      <c r="L54" s="4">
        <f>IF(B54="","",IF(AND(H54="Yes",I54="Yes",OR(K54="Yes",K54="N/A")),"Compliant",IF(OR(H54="No",I54="No"),"Non-Compliant","Partial")))</f>
        <v/>
      </c>
      <c r="M54" s="5" t="n"/>
      <c r="N54" s="5" t="n"/>
    </row>
    <row r="55">
      <c r="A55" s="5" t="n"/>
      <c r="B55" s="5" t="n"/>
      <c r="C55" s="5" t="n"/>
      <c r="D55" s="5" t="n"/>
      <c r="E55" s="5" t="n"/>
      <c r="F55" s="11" t="n"/>
      <c r="G55" s="11" t="n"/>
      <c r="H55" s="5" t="n"/>
      <c r="I55" s="5" t="n"/>
      <c r="J55" s="5" t="n"/>
      <c r="K55" s="5" t="n"/>
      <c r="L55" s="4">
        <f>IF(B55="","",IF(AND(H55="Yes",I55="Yes",OR(K55="Yes",K55="N/A")),"Compliant",IF(OR(H55="No",I55="No"),"Non-Compliant","Partial")))</f>
        <v/>
      </c>
      <c r="M55" s="5" t="n"/>
      <c r="N55" s="5" t="n"/>
    </row>
    <row r="56">
      <c r="A56" s="5" t="n"/>
      <c r="B56" s="5" t="n"/>
      <c r="C56" s="5" t="n"/>
      <c r="D56" s="5" t="n"/>
      <c r="E56" s="5" t="n"/>
      <c r="F56" s="11" t="n"/>
      <c r="G56" s="11" t="n"/>
      <c r="H56" s="5" t="n"/>
      <c r="I56" s="5" t="n"/>
      <c r="J56" s="5" t="n"/>
      <c r="K56" s="5" t="n"/>
      <c r="L56" s="4">
        <f>IF(B56="","",IF(AND(H56="Yes",I56="Yes",OR(K56="Yes",K56="N/A")),"Compliant",IF(OR(H56="No",I56="No"),"Non-Compliant","Partial")))</f>
        <v/>
      </c>
      <c r="M56" s="5" t="n"/>
      <c r="N56" s="5" t="n"/>
    </row>
    <row r="57">
      <c r="A57" s="5" t="n"/>
      <c r="B57" s="5" t="n"/>
      <c r="C57" s="5" t="n"/>
      <c r="D57" s="5" t="n"/>
      <c r="E57" s="5" t="n"/>
      <c r="F57" s="11" t="n"/>
      <c r="G57" s="11" t="n"/>
      <c r="H57" s="5" t="n"/>
      <c r="I57" s="5" t="n"/>
      <c r="J57" s="5" t="n"/>
      <c r="K57" s="5" t="n"/>
      <c r="L57" s="4">
        <f>IF(B57="","",IF(AND(H57="Yes",I57="Yes",OR(K57="Yes",K57="N/A")),"Compliant",IF(OR(H57="No",I57="No"),"Non-Compliant","Partial")))</f>
        <v/>
      </c>
      <c r="M57" s="5" t="n"/>
      <c r="N57" s="5" t="n"/>
    </row>
    <row r="58">
      <c r="A58" s="5" t="n"/>
      <c r="B58" s="5" t="n"/>
      <c r="C58" s="5" t="n"/>
      <c r="D58" s="5" t="n"/>
      <c r="E58" s="5" t="n"/>
      <c r="F58" s="11" t="n"/>
      <c r="G58" s="11" t="n"/>
      <c r="H58" s="5" t="n"/>
      <c r="I58" s="5" t="n"/>
      <c r="J58" s="5" t="n"/>
      <c r="K58" s="5" t="n"/>
      <c r="L58" s="4">
        <f>IF(B58="","",IF(AND(H58="Yes",I58="Yes",OR(K58="Yes",K58="N/A")),"Compliant",IF(OR(H58="No",I58="No"),"Non-Compliant","Partial")))</f>
        <v/>
      </c>
      <c r="M58" s="5" t="n"/>
      <c r="N58" s="5" t="n"/>
    </row>
    <row r="59">
      <c r="A59" s="5" t="n"/>
      <c r="B59" s="5" t="n"/>
      <c r="C59" s="5" t="n"/>
      <c r="D59" s="5" t="n"/>
      <c r="E59" s="5" t="n"/>
      <c r="F59" s="11" t="n"/>
      <c r="G59" s="11" t="n"/>
      <c r="H59" s="5" t="n"/>
      <c r="I59" s="5" t="n"/>
      <c r="J59" s="5" t="n"/>
      <c r="K59" s="5" t="n"/>
      <c r="L59" s="4">
        <f>IF(B59="","",IF(AND(H59="Yes",I59="Yes",OR(K59="Yes",K59="N/A")),"Compliant",IF(OR(H59="No",I59="No"),"Non-Compliant","Partial")))</f>
        <v/>
      </c>
      <c r="M59" s="5" t="n"/>
      <c r="N59" s="5" t="n"/>
    </row>
    <row r="60">
      <c r="A60" s="5" t="n"/>
      <c r="B60" s="5" t="n"/>
      <c r="C60" s="5" t="n"/>
      <c r="D60" s="5" t="n"/>
      <c r="E60" s="5" t="n"/>
      <c r="F60" s="11" t="n"/>
      <c r="G60" s="11" t="n"/>
      <c r="H60" s="5" t="n"/>
      <c r="I60" s="5" t="n"/>
      <c r="J60" s="5" t="n"/>
      <c r="K60" s="5" t="n"/>
      <c r="L60" s="4">
        <f>IF(B60="","",IF(AND(H60="Yes",I60="Yes",OR(K60="Yes",K60="N/A")),"Compliant",IF(OR(H60="No",I60="No"),"Non-Compliant","Partial")))</f>
        <v/>
      </c>
      <c r="M60" s="5" t="n"/>
      <c r="N60" s="5" t="n"/>
    </row>
    <row r="61">
      <c r="A61" s="5" t="n"/>
      <c r="B61" s="5" t="n"/>
      <c r="C61" s="5" t="n"/>
      <c r="D61" s="5" t="n"/>
      <c r="E61" s="5" t="n"/>
      <c r="F61" s="11" t="n"/>
      <c r="G61" s="11" t="n"/>
      <c r="H61" s="5" t="n"/>
      <c r="I61" s="5" t="n"/>
      <c r="J61" s="5" t="n"/>
      <c r="K61" s="5" t="n"/>
      <c r="L61" s="4">
        <f>IF(B61="","",IF(AND(H61="Yes",I61="Yes",OR(K61="Yes",K61="N/A")),"Compliant",IF(OR(H61="No",I61="No"),"Non-Compliant","Partial")))</f>
        <v/>
      </c>
      <c r="M61" s="5" t="n"/>
      <c r="N61" s="5" t="n"/>
    </row>
    <row r="62">
      <c r="A62" s="5" t="n"/>
      <c r="B62" s="5" t="n"/>
      <c r="C62" s="5" t="n"/>
      <c r="D62" s="5" t="n"/>
      <c r="E62" s="5" t="n"/>
      <c r="F62" s="11" t="n"/>
      <c r="G62" s="11" t="n"/>
      <c r="H62" s="5" t="n"/>
      <c r="I62" s="5" t="n"/>
      <c r="J62" s="5" t="n"/>
      <c r="K62" s="5" t="n"/>
      <c r="L62" s="4">
        <f>IF(B62="","",IF(AND(H62="Yes",I62="Yes",OR(K62="Yes",K62="N/A")),"Compliant",IF(OR(H62="No",I62="No"),"Non-Compliant","Partial")))</f>
        <v/>
      </c>
      <c r="M62" s="5" t="n"/>
      <c r="N62" s="5" t="n"/>
    </row>
    <row r="63">
      <c r="A63" s="5" t="n"/>
      <c r="B63" s="5" t="n"/>
      <c r="C63" s="5" t="n"/>
      <c r="D63" s="5" t="n"/>
      <c r="E63" s="5" t="n"/>
      <c r="F63" s="11" t="n"/>
      <c r="G63" s="11" t="n"/>
      <c r="H63" s="5" t="n"/>
      <c r="I63" s="5" t="n"/>
      <c r="J63" s="5" t="n"/>
      <c r="K63" s="5" t="n"/>
      <c r="L63" s="4">
        <f>IF(B63="","",IF(AND(H63="Yes",I63="Yes",OR(K63="Yes",K63="N/A")),"Compliant",IF(OR(H63="No",I63="No"),"Non-Compliant","Partial")))</f>
        <v/>
      </c>
      <c r="M63" s="5" t="n"/>
      <c r="N63" s="5" t="n"/>
    </row>
    <row r="64">
      <c r="A64" s="5" t="n"/>
      <c r="B64" s="5" t="n"/>
      <c r="C64" s="5" t="n"/>
      <c r="D64" s="5" t="n"/>
      <c r="E64" s="5" t="n"/>
      <c r="F64" s="11" t="n"/>
      <c r="G64" s="11" t="n"/>
      <c r="H64" s="5" t="n"/>
      <c r="I64" s="5" t="n"/>
      <c r="J64" s="5" t="n"/>
      <c r="K64" s="5" t="n"/>
      <c r="L64" s="4">
        <f>IF(B64="","",IF(AND(H64="Yes",I64="Yes",OR(K64="Yes",K64="N/A")),"Compliant",IF(OR(H64="No",I64="No"),"Non-Compliant","Partial")))</f>
        <v/>
      </c>
      <c r="M64" s="5" t="n"/>
      <c r="N64" s="5" t="n"/>
    </row>
    <row r="65">
      <c r="A65" s="5" t="n"/>
      <c r="B65" s="5" t="n"/>
      <c r="C65" s="5" t="n"/>
      <c r="D65" s="5" t="n"/>
      <c r="E65" s="5" t="n"/>
      <c r="F65" s="11" t="n"/>
      <c r="G65" s="11" t="n"/>
      <c r="H65" s="5" t="n"/>
      <c r="I65" s="5" t="n"/>
      <c r="J65" s="5" t="n"/>
      <c r="K65" s="5" t="n"/>
      <c r="L65" s="4">
        <f>IF(B65="","",IF(AND(H65="Yes",I65="Yes",OR(K65="Yes",K65="N/A")),"Compliant",IF(OR(H65="No",I65="No"),"Non-Compliant","Partial")))</f>
        <v/>
      </c>
      <c r="M65" s="5" t="n"/>
      <c r="N65" s="5" t="n"/>
    </row>
    <row r="66">
      <c r="A66" s="5" t="n"/>
      <c r="B66" s="5" t="n"/>
      <c r="C66" s="5" t="n"/>
      <c r="D66" s="5" t="n"/>
      <c r="E66" s="5" t="n"/>
      <c r="F66" s="11" t="n"/>
      <c r="G66" s="11" t="n"/>
      <c r="H66" s="5" t="n"/>
      <c r="I66" s="5" t="n"/>
      <c r="J66" s="5" t="n"/>
      <c r="K66" s="5" t="n"/>
      <c r="L66" s="4">
        <f>IF(B66="","",IF(AND(H66="Yes",I66="Yes",OR(K66="Yes",K66="N/A")),"Compliant",IF(OR(H66="No",I66="No"),"Non-Compliant","Partial")))</f>
        <v/>
      </c>
      <c r="M66" s="5" t="n"/>
      <c r="N66" s="5" t="n"/>
    </row>
    <row r="67">
      <c r="A67" s="5" t="n"/>
      <c r="B67" s="5" t="n"/>
      <c r="C67" s="5" t="n"/>
      <c r="D67" s="5" t="n"/>
      <c r="E67" s="5" t="n"/>
      <c r="F67" s="11" t="n"/>
      <c r="G67" s="11" t="n"/>
      <c r="H67" s="5" t="n"/>
      <c r="I67" s="5" t="n"/>
      <c r="J67" s="5" t="n"/>
      <c r="K67" s="5" t="n"/>
      <c r="L67" s="4">
        <f>IF(B67="","",IF(AND(H67="Yes",I67="Yes",OR(K67="Yes",K67="N/A")),"Compliant",IF(OR(H67="No",I67="No"),"Non-Compliant","Partial")))</f>
        <v/>
      </c>
      <c r="M67" s="5" t="n"/>
      <c r="N67" s="5" t="n"/>
    </row>
    <row r="68">
      <c r="A68" s="5" t="n"/>
      <c r="B68" s="5" t="n"/>
      <c r="C68" s="5" t="n"/>
      <c r="D68" s="5" t="n"/>
      <c r="E68" s="5" t="n"/>
      <c r="F68" s="11" t="n"/>
      <c r="G68" s="11" t="n"/>
      <c r="H68" s="5" t="n"/>
      <c r="I68" s="5" t="n"/>
      <c r="J68" s="5" t="n"/>
      <c r="K68" s="5" t="n"/>
      <c r="L68" s="4">
        <f>IF(B68="","",IF(AND(H68="Yes",I68="Yes",OR(K68="Yes",K68="N/A")),"Compliant",IF(OR(H68="No",I68="No"),"Non-Compliant","Partial")))</f>
        <v/>
      </c>
      <c r="M68" s="5" t="n"/>
      <c r="N68" s="5" t="n"/>
    </row>
    <row r="69">
      <c r="A69" s="5" t="n"/>
      <c r="B69" s="5" t="n"/>
      <c r="C69" s="5" t="n"/>
      <c r="D69" s="5" t="n"/>
      <c r="E69" s="5" t="n"/>
      <c r="F69" s="11" t="n"/>
      <c r="G69" s="11" t="n"/>
      <c r="H69" s="5" t="n"/>
      <c r="I69" s="5" t="n"/>
      <c r="J69" s="5" t="n"/>
      <c r="K69" s="5" t="n"/>
      <c r="L69" s="4">
        <f>IF(B69="","",IF(AND(H69="Yes",I69="Yes",OR(K69="Yes",K69="N/A")),"Compliant",IF(OR(H69="No",I69="No"),"Non-Compliant","Partial")))</f>
        <v/>
      </c>
      <c r="M69" s="5" t="n"/>
      <c r="N69" s="5" t="n"/>
    </row>
    <row r="70">
      <c r="A70" s="5" t="n"/>
      <c r="B70" s="5" t="n"/>
      <c r="C70" s="5" t="n"/>
      <c r="D70" s="5" t="n"/>
      <c r="E70" s="5" t="n"/>
      <c r="F70" s="11" t="n"/>
      <c r="G70" s="11" t="n"/>
      <c r="H70" s="5" t="n"/>
      <c r="I70" s="5" t="n"/>
      <c r="J70" s="5" t="n"/>
      <c r="K70" s="5" t="n"/>
      <c r="L70" s="4">
        <f>IF(B70="","",IF(AND(H70="Yes",I70="Yes",OR(K70="Yes",K70="N/A")),"Compliant",IF(OR(H70="No",I70="No"),"Non-Compliant","Partial")))</f>
        <v/>
      </c>
      <c r="M70" s="5" t="n"/>
      <c r="N70" s="5" t="n"/>
    </row>
    <row r="71">
      <c r="A71" s="5" t="n"/>
      <c r="B71" s="5" t="n"/>
      <c r="C71" s="5" t="n"/>
      <c r="D71" s="5" t="n"/>
      <c r="E71" s="5" t="n"/>
      <c r="F71" s="11" t="n"/>
      <c r="G71" s="11" t="n"/>
      <c r="H71" s="5" t="n"/>
      <c r="I71" s="5" t="n"/>
      <c r="J71" s="5" t="n"/>
      <c r="K71" s="5" t="n"/>
      <c r="L71" s="4">
        <f>IF(B71="","",IF(AND(H71="Yes",I71="Yes",OR(K71="Yes",K71="N/A")),"Compliant",IF(OR(H71="No",I71="No"),"Non-Compliant","Partial")))</f>
        <v/>
      </c>
      <c r="M71" s="5" t="n"/>
      <c r="N71" s="5" t="n"/>
    </row>
    <row r="72">
      <c r="A72" s="5" t="n"/>
      <c r="B72" s="5" t="n"/>
      <c r="C72" s="5" t="n"/>
      <c r="D72" s="5" t="n"/>
      <c r="E72" s="5" t="n"/>
      <c r="F72" s="11" t="n"/>
      <c r="G72" s="11" t="n"/>
      <c r="H72" s="5" t="n"/>
      <c r="I72" s="5" t="n"/>
      <c r="J72" s="5" t="n"/>
      <c r="K72" s="5" t="n"/>
      <c r="L72" s="4">
        <f>IF(B72="","",IF(AND(H72="Yes",I72="Yes",OR(K72="Yes",K72="N/A")),"Compliant",IF(OR(H72="No",I72="No"),"Non-Compliant","Partial")))</f>
        <v/>
      </c>
      <c r="M72" s="5" t="n"/>
      <c r="N72" s="5" t="n"/>
    </row>
    <row r="73">
      <c r="A73" s="5" t="n"/>
      <c r="B73" s="5" t="n"/>
      <c r="C73" s="5" t="n"/>
      <c r="D73" s="5" t="n"/>
      <c r="E73" s="5" t="n"/>
      <c r="F73" s="11" t="n"/>
      <c r="G73" s="11" t="n"/>
      <c r="H73" s="5" t="n"/>
      <c r="I73" s="5" t="n"/>
      <c r="J73" s="5" t="n"/>
      <c r="K73" s="5" t="n"/>
      <c r="L73" s="4">
        <f>IF(B73="","",IF(AND(H73="Yes",I73="Yes",OR(K73="Yes",K73="N/A")),"Compliant",IF(OR(H73="No",I73="No"),"Non-Compliant","Partial")))</f>
        <v/>
      </c>
      <c r="M73" s="5" t="n"/>
      <c r="N73" s="5" t="n"/>
    </row>
    <row r="74">
      <c r="A74" s="5" t="n"/>
      <c r="B74" s="5" t="n"/>
      <c r="C74" s="5" t="n"/>
      <c r="D74" s="5" t="n"/>
      <c r="E74" s="5" t="n"/>
      <c r="F74" s="11" t="n"/>
      <c r="G74" s="11" t="n"/>
      <c r="H74" s="5" t="n"/>
      <c r="I74" s="5" t="n"/>
      <c r="J74" s="5" t="n"/>
      <c r="K74" s="5" t="n"/>
      <c r="L74" s="4">
        <f>IF(B74="","",IF(AND(H74="Yes",I74="Yes",OR(K74="Yes",K74="N/A")),"Compliant",IF(OR(H74="No",I74="No"),"Non-Compliant","Partial")))</f>
        <v/>
      </c>
      <c r="M74" s="5" t="n"/>
      <c r="N74" s="5" t="n"/>
    </row>
    <row r="75">
      <c r="A75" s="5" t="n"/>
      <c r="B75" s="5" t="n"/>
      <c r="C75" s="5" t="n"/>
      <c r="D75" s="5" t="n"/>
      <c r="E75" s="5" t="n"/>
      <c r="F75" s="11" t="n"/>
      <c r="G75" s="11" t="n"/>
      <c r="H75" s="5" t="n"/>
      <c r="I75" s="5" t="n"/>
      <c r="J75" s="5" t="n"/>
      <c r="K75" s="5" t="n"/>
      <c r="L75" s="4">
        <f>IF(B75="","",IF(AND(H75="Yes",I75="Yes",OR(K75="Yes",K75="N/A")),"Compliant",IF(OR(H75="No",I75="No"),"Non-Compliant","Partial")))</f>
        <v/>
      </c>
      <c r="M75" s="5" t="n"/>
      <c r="N75" s="5" t="n"/>
    </row>
    <row r="76">
      <c r="A76" s="5" t="n"/>
      <c r="B76" s="5" t="n"/>
      <c r="C76" s="5" t="n"/>
      <c r="D76" s="5" t="n"/>
      <c r="E76" s="5" t="n"/>
      <c r="F76" s="11" t="n"/>
      <c r="G76" s="11" t="n"/>
      <c r="H76" s="5" t="n"/>
      <c r="I76" s="5" t="n"/>
      <c r="J76" s="5" t="n"/>
      <c r="K76" s="5" t="n"/>
      <c r="L76" s="4">
        <f>IF(B76="","",IF(AND(H76="Yes",I76="Yes",OR(K76="Yes",K76="N/A")),"Compliant",IF(OR(H76="No",I76="No"),"Non-Compliant","Partial")))</f>
        <v/>
      </c>
      <c r="M76" s="5" t="n"/>
      <c r="N76" s="5" t="n"/>
    </row>
    <row r="77">
      <c r="A77" s="5" t="n"/>
      <c r="B77" s="5" t="n"/>
      <c r="C77" s="5" t="n"/>
      <c r="D77" s="5" t="n"/>
      <c r="E77" s="5" t="n"/>
      <c r="F77" s="11" t="n"/>
      <c r="G77" s="11" t="n"/>
      <c r="H77" s="5" t="n"/>
      <c r="I77" s="5" t="n"/>
      <c r="J77" s="5" t="n"/>
      <c r="K77" s="5" t="n"/>
      <c r="L77" s="4">
        <f>IF(B77="","",IF(AND(H77="Yes",I77="Yes",OR(K77="Yes",K77="N/A")),"Compliant",IF(OR(H77="No",I77="No"),"Non-Compliant","Partial")))</f>
        <v/>
      </c>
      <c r="M77" s="5" t="n"/>
      <c r="N77" s="5" t="n"/>
    </row>
    <row r="78">
      <c r="A78" s="5" t="n"/>
      <c r="B78" s="5" t="n"/>
      <c r="C78" s="5" t="n"/>
      <c r="D78" s="5" t="n"/>
      <c r="E78" s="5" t="n"/>
      <c r="F78" s="11" t="n"/>
      <c r="G78" s="11" t="n"/>
      <c r="H78" s="5" t="n"/>
      <c r="I78" s="5" t="n"/>
      <c r="J78" s="5" t="n"/>
      <c r="K78" s="5" t="n"/>
      <c r="L78" s="4">
        <f>IF(B78="","",IF(AND(H78="Yes",I78="Yes",OR(K78="Yes",K78="N/A")),"Compliant",IF(OR(H78="No",I78="No"),"Non-Compliant","Partial")))</f>
        <v/>
      </c>
      <c r="M78" s="5" t="n"/>
      <c r="N78" s="5" t="n"/>
    </row>
    <row r="79">
      <c r="A79" s="5" t="n"/>
      <c r="B79" s="5" t="n"/>
      <c r="C79" s="5" t="n"/>
      <c r="D79" s="5" t="n"/>
      <c r="E79" s="5" t="n"/>
      <c r="F79" s="11" t="n"/>
      <c r="G79" s="11" t="n"/>
      <c r="H79" s="5" t="n"/>
      <c r="I79" s="5" t="n"/>
      <c r="J79" s="5" t="n"/>
      <c r="K79" s="5" t="n"/>
      <c r="L79" s="4">
        <f>IF(B79="","",IF(AND(H79="Yes",I79="Yes",OR(K79="Yes",K79="N/A")),"Compliant",IF(OR(H79="No",I79="No"),"Non-Compliant","Partial")))</f>
        <v/>
      </c>
      <c r="M79" s="5" t="n"/>
      <c r="N79" s="5" t="n"/>
    </row>
    <row r="80">
      <c r="A80" s="5" t="n"/>
      <c r="B80" s="5" t="n"/>
      <c r="C80" s="5" t="n"/>
      <c r="D80" s="5" t="n"/>
      <c r="E80" s="5" t="n"/>
      <c r="F80" s="11" t="n"/>
      <c r="G80" s="11" t="n"/>
      <c r="H80" s="5" t="n"/>
      <c r="I80" s="5" t="n"/>
      <c r="J80" s="5" t="n"/>
      <c r="K80" s="5" t="n"/>
      <c r="L80" s="4">
        <f>IF(B80="","",IF(AND(H80="Yes",I80="Yes",OR(K80="Yes",K80="N/A")),"Compliant",IF(OR(H80="No",I80="No"),"Non-Compliant","Partial")))</f>
        <v/>
      </c>
      <c r="M80" s="5" t="n"/>
      <c r="N80" s="5" t="n"/>
    </row>
    <row r="81">
      <c r="A81" s="5" t="n"/>
      <c r="B81" s="5" t="n"/>
      <c r="C81" s="5" t="n"/>
      <c r="D81" s="5" t="n"/>
      <c r="E81" s="5" t="n"/>
      <c r="F81" s="11" t="n"/>
      <c r="G81" s="11" t="n"/>
      <c r="H81" s="5" t="n"/>
      <c r="I81" s="5" t="n"/>
      <c r="J81" s="5" t="n"/>
      <c r="K81" s="5" t="n"/>
      <c r="L81" s="4">
        <f>IF(B81="","",IF(AND(H81="Yes",I81="Yes",OR(K81="Yes",K81="N/A")),"Compliant",IF(OR(H81="No",I81="No"),"Non-Compliant","Partial")))</f>
        <v/>
      </c>
      <c r="M81" s="5" t="n"/>
      <c r="N81" s="5" t="n"/>
    </row>
    <row r="82">
      <c r="A82" s="5" t="n"/>
      <c r="B82" s="5" t="n"/>
      <c r="C82" s="5" t="n"/>
      <c r="D82" s="5" t="n"/>
      <c r="E82" s="5" t="n"/>
      <c r="F82" s="11" t="n"/>
      <c r="G82" s="11" t="n"/>
      <c r="H82" s="5" t="n"/>
      <c r="I82" s="5" t="n"/>
      <c r="J82" s="5" t="n"/>
      <c r="K82" s="5" t="n"/>
      <c r="L82" s="4">
        <f>IF(B82="","",IF(AND(H82="Yes",I82="Yes",OR(K82="Yes",K82="N/A")),"Compliant",IF(OR(H82="No",I82="No"),"Non-Compliant","Partial")))</f>
        <v/>
      </c>
      <c r="M82" s="5" t="n"/>
      <c r="N82" s="5" t="n"/>
    </row>
    <row r="83">
      <c r="A83" s="5" t="n"/>
      <c r="B83" s="5" t="n"/>
      <c r="C83" s="5" t="n"/>
      <c r="D83" s="5" t="n"/>
      <c r="E83" s="5" t="n"/>
      <c r="F83" s="11" t="n"/>
      <c r="G83" s="11" t="n"/>
      <c r="H83" s="5" t="n"/>
      <c r="I83" s="5" t="n"/>
      <c r="J83" s="5" t="n"/>
      <c r="K83" s="5" t="n"/>
      <c r="L83" s="4">
        <f>IF(B83="","",IF(AND(H83="Yes",I83="Yes",OR(K83="Yes",K83="N/A")),"Compliant",IF(OR(H83="No",I83="No"),"Non-Compliant","Partial")))</f>
        <v/>
      </c>
      <c r="M83" s="5" t="n"/>
      <c r="N83" s="5" t="n"/>
    </row>
    <row r="84">
      <c r="A84" s="5" t="n"/>
      <c r="B84" s="5" t="n"/>
      <c r="C84" s="5" t="n"/>
      <c r="D84" s="5" t="n"/>
      <c r="E84" s="5" t="n"/>
      <c r="F84" s="11" t="n"/>
      <c r="G84" s="11" t="n"/>
      <c r="H84" s="5" t="n"/>
      <c r="I84" s="5" t="n"/>
      <c r="J84" s="5" t="n"/>
      <c r="K84" s="5" t="n"/>
      <c r="L84" s="4">
        <f>IF(B84="","",IF(AND(H84="Yes",I84="Yes",OR(K84="Yes",K84="N/A")),"Compliant",IF(OR(H84="No",I84="No"),"Non-Compliant","Partial")))</f>
        <v/>
      </c>
      <c r="M84" s="5" t="n"/>
      <c r="N84" s="5" t="n"/>
    </row>
    <row r="85">
      <c r="A85" s="5" t="n"/>
      <c r="B85" s="5" t="n"/>
      <c r="C85" s="5" t="n"/>
      <c r="D85" s="5" t="n"/>
      <c r="E85" s="5" t="n"/>
      <c r="F85" s="11" t="n"/>
      <c r="G85" s="11" t="n"/>
      <c r="H85" s="5" t="n"/>
      <c r="I85" s="5" t="n"/>
      <c r="J85" s="5" t="n"/>
      <c r="K85" s="5" t="n"/>
      <c r="L85" s="4">
        <f>IF(B85="","",IF(AND(H85="Yes",I85="Yes",OR(K85="Yes",K85="N/A")),"Compliant",IF(OR(H85="No",I85="No"),"Non-Compliant","Partial")))</f>
        <v/>
      </c>
      <c r="M85" s="5" t="n"/>
      <c r="N85" s="5" t="n"/>
    </row>
    <row r="86">
      <c r="A86" s="5" t="n"/>
      <c r="B86" s="5" t="n"/>
      <c r="C86" s="5" t="n"/>
      <c r="D86" s="5" t="n"/>
      <c r="E86" s="5" t="n"/>
      <c r="F86" s="11" t="n"/>
      <c r="G86" s="11" t="n"/>
      <c r="H86" s="5" t="n"/>
      <c r="I86" s="5" t="n"/>
      <c r="J86" s="5" t="n"/>
      <c r="K86" s="5" t="n"/>
      <c r="L86" s="4">
        <f>IF(B86="","",IF(AND(H86="Yes",I86="Yes",OR(K86="Yes",K86="N/A")),"Compliant",IF(OR(H86="No",I86="No"),"Non-Compliant","Partial")))</f>
        <v/>
      </c>
      <c r="M86" s="5" t="n"/>
      <c r="N86" s="5" t="n"/>
    </row>
    <row r="87">
      <c r="A87" s="5" t="n"/>
      <c r="B87" s="5" t="n"/>
      <c r="C87" s="5" t="n"/>
      <c r="D87" s="5" t="n"/>
      <c r="E87" s="5" t="n"/>
      <c r="F87" s="11" t="n"/>
      <c r="G87" s="11" t="n"/>
      <c r="H87" s="5" t="n"/>
      <c r="I87" s="5" t="n"/>
      <c r="J87" s="5" t="n"/>
      <c r="K87" s="5" t="n"/>
      <c r="L87" s="4">
        <f>IF(B87="","",IF(AND(H87="Yes",I87="Yes",OR(K87="Yes",K87="N/A")),"Compliant",IF(OR(H87="No",I87="No"),"Non-Compliant","Partial")))</f>
        <v/>
      </c>
      <c r="M87" s="5" t="n"/>
      <c r="N87" s="5" t="n"/>
    </row>
    <row r="88">
      <c r="A88" s="5" t="n"/>
      <c r="B88" s="5" t="n"/>
      <c r="C88" s="5" t="n"/>
      <c r="D88" s="5" t="n"/>
      <c r="E88" s="5" t="n"/>
      <c r="F88" s="11" t="n"/>
      <c r="G88" s="11" t="n"/>
      <c r="H88" s="5" t="n"/>
      <c r="I88" s="5" t="n"/>
      <c r="J88" s="5" t="n"/>
      <c r="K88" s="5" t="n"/>
      <c r="L88" s="4">
        <f>IF(B88="","",IF(AND(H88="Yes",I88="Yes",OR(K88="Yes",K88="N/A")),"Compliant",IF(OR(H88="No",I88="No"),"Non-Compliant","Partial")))</f>
        <v/>
      </c>
      <c r="M88" s="5" t="n"/>
      <c r="N88" s="5" t="n"/>
    </row>
    <row r="89">
      <c r="A89" s="5" t="n"/>
      <c r="B89" s="5" t="n"/>
      <c r="C89" s="5" t="n"/>
      <c r="D89" s="5" t="n"/>
      <c r="E89" s="5" t="n"/>
      <c r="F89" s="11" t="n"/>
      <c r="G89" s="11" t="n"/>
      <c r="H89" s="5" t="n"/>
      <c r="I89" s="5" t="n"/>
      <c r="J89" s="5" t="n"/>
      <c r="K89" s="5" t="n"/>
      <c r="L89" s="4">
        <f>IF(B89="","",IF(AND(H89="Yes",I89="Yes",OR(K89="Yes",K89="N/A")),"Compliant",IF(OR(H89="No",I89="No"),"Non-Compliant","Partial")))</f>
        <v/>
      </c>
      <c r="M89" s="5" t="n"/>
      <c r="N89" s="5" t="n"/>
    </row>
    <row r="90">
      <c r="A90" s="5" t="n"/>
      <c r="B90" s="5" t="n"/>
      <c r="C90" s="5" t="n"/>
      <c r="D90" s="5" t="n"/>
      <c r="E90" s="5" t="n"/>
      <c r="F90" s="11" t="n"/>
      <c r="G90" s="11" t="n"/>
      <c r="H90" s="5" t="n"/>
      <c r="I90" s="5" t="n"/>
      <c r="J90" s="5" t="n"/>
      <c r="K90" s="5" t="n"/>
      <c r="L90" s="4">
        <f>IF(B90="","",IF(AND(H90="Yes",I90="Yes",OR(K90="Yes",K90="N/A")),"Compliant",IF(OR(H90="No",I90="No"),"Non-Compliant","Partial")))</f>
        <v/>
      </c>
      <c r="M90" s="5" t="n"/>
      <c r="N90" s="5" t="n"/>
    </row>
    <row r="91">
      <c r="A91" s="5" t="n"/>
      <c r="B91" s="5" t="n"/>
      <c r="C91" s="5" t="n"/>
      <c r="D91" s="5" t="n"/>
      <c r="E91" s="5" t="n"/>
      <c r="F91" s="11" t="n"/>
      <c r="G91" s="11" t="n"/>
      <c r="H91" s="5" t="n"/>
      <c r="I91" s="5" t="n"/>
      <c r="J91" s="5" t="n"/>
      <c r="K91" s="5" t="n"/>
      <c r="L91" s="4">
        <f>IF(B91="","",IF(AND(H91="Yes",I91="Yes",OR(K91="Yes",K91="N/A")),"Compliant",IF(OR(H91="No",I91="No"),"Non-Compliant","Partial")))</f>
        <v/>
      </c>
      <c r="M91" s="5" t="n"/>
      <c r="N91" s="5" t="n"/>
    </row>
    <row r="92">
      <c r="A92" s="5" t="n"/>
      <c r="B92" s="5" t="n"/>
      <c r="C92" s="5" t="n"/>
      <c r="D92" s="5" t="n"/>
      <c r="E92" s="5" t="n"/>
      <c r="F92" s="11" t="n"/>
      <c r="G92" s="11" t="n"/>
      <c r="H92" s="5" t="n"/>
      <c r="I92" s="5" t="n"/>
      <c r="J92" s="5" t="n"/>
      <c r="K92" s="5" t="n"/>
      <c r="L92" s="4">
        <f>IF(B92="","",IF(AND(H92="Yes",I92="Yes",OR(K92="Yes",K92="N/A")),"Compliant",IF(OR(H92="No",I92="No"),"Non-Compliant","Partial")))</f>
        <v/>
      </c>
      <c r="M92" s="5" t="n"/>
      <c r="N92" s="5" t="n"/>
    </row>
    <row r="93">
      <c r="A93" s="5" t="n"/>
      <c r="B93" s="5" t="n"/>
      <c r="C93" s="5" t="n"/>
      <c r="D93" s="5" t="n"/>
      <c r="E93" s="5" t="n"/>
      <c r="F93" s="11" t="n"/>
      <c r="G93" s="11" t="n"/>
      <c r="H93" s="5" t="n"/>
      <c r="I93" s="5" t="n"/>
      <c r="J93" s="5" t="n"/>
      <c r="K93" s="5" t="n"/>
      <c r="L93" s="4">
        <f>IF(B93="","",IF(AND(H93="Yes",I93="Yes",OR(K93="Yes",K93="N/A")),"Compliant",IF(OR(H93="No",I93="No"),"Non-Compliant","Partial")))</f>
        <v/>
      </c>
      <c r="M93" s="5" t="n"/>
      <c r="N93" s="5" t="n"/>
    </row>
    <row r="94">
      <c r="A94" s="5" t="n"/>
      <c r="B94" s="5" t="n"/>
      <c r="C94" s="5" t="n"/>
      <c r="D94" s="5" t="n"/>
      <c r="E94" s="5" t="n"/>
      <c r="F94" s="11" t="n"/>
      <c r="G94" s="11" t="n"/>
      <c r="H94" s="5" t="n"/>
      <c r="I94" s="5" t="n"/>
      <c r="J94" s="5" t="n"/>
      <c r="K94" s="5" t="n"/>
      <c r="L94" s="4">
        <f>IF(B94="","",IF(AND(H94="Yes",I94="Yes",OR(K94="Yes",K94="N/A")),"Compliant",IF(OR(H94="No",I94="No"),"Non-Compliant","Partial")))</f>
        <v/>
      </c>
      <c r="M94" s="5" t="n"/>
      <c r="N94" s="5" t="n"/>
    </row>
    <row r="95">
      <c r="A95" s="5" t="n"/>
      <c r="B95" s="5" t="n"/>
      <c r="C95" s="5" t="n"/>
      <c r="D95" s="5" t="n"/>
      <c r="E95" s="5" t="n"/>
      <c r="F95" s="11" t="n"/>
      <c r="G95" s="11" t="n"/>
      <c r="H95" s="5" t="n"/>
      <c r="I95" s="5" t="n"/>
      <c r="J95" s="5" t="n"/>
      <c r="K95" s="5" t="n"/>
      <c r="L95" s="4">
        <f>IF(B95="","",IF(AND(H95="Yes",I95="Yes",OR(K95="Yes",K95="N/A")),"Compliant",IF(OR(H95="No",I95="No"),"Non-Compliant","Partial")))</f>
        <v/>
      </c>
      <c r="M95" s="5" t="n"/>
      <c r="N95" s="5" t="n"/>
    </row>
    <row r="96">
      <c r="A96" s="5" t="n"/>
      <c r="B96" s="5" t="n"/>
      <c r="C96" s="5" t="n"/>
      <c r="D96" s="5" t="n"/>
      <c r="E96" s="5" t="n"/>
      <c r="F96" s="11" t="n"/>
      <c r="G96" s="11" t="n"/>
      <c r="H96" s="5" t="n"/>
      <c r="I96" s="5" t="n"/>
      <c r="J96" s="5" t="n"/>
      <c r="K96" s="5" t="n"/>
      <c r="L96" s="4">
        <f>IF(B96="","",IF(AND(H96="Yes",I96="Yes",OR(K96="Yes",K96="N/A")),"Compliant",IF(OR(H96="No",I96="No"),"Non-Compliant","Partial")))</f>
        <v/>
      </c>
      <c r="M96" s="5" t="n"/>
      <c r="N96" s="5" t="n"/>
    </row>
    <row r="97">
      <c r="A97" s="5" t="n"/>
      <c r="B97" s="5" t="n"/>
      <c r="C97" s="5" t="n"/>
      <c r="D97" s="5" t="n"/>
      <c r="E97" s="5" t="n"/>
      <c r="F97" s="11" t="n"/>
      <c r="G97" s="11" t="n"/>
      <c r="H97" s="5" t="n"/>
      <c r="I97" s="5" t="n"/>
      <c r="J97" s="5" t="n"/>
      <c r="K97" s="5" t="n"/>
      <c r="L97" s="4">
        <f>IF(B97="","",IF(AND(H97="Yes",I97="Yes",OR(K97="Yes",K97="N/A")),"Compliant",IF(OR(H97="No",I97="No"),"Non-Compliant","Partial")))</f>
        <v/>
      </c>
      <c r="M97" s="5" t="n"/>
      <c r="N97" s="5" t="n"/>
    </row>
    <row r="98">
      <c r="A98" s="5" t="n"/>
      <c r="B98" s="5" t="n"/>
      <c r="C98" s="5" t="n"/>
      <c r="D98" s="5" t="n"/>
      <c r="E98" s="5" t="n"/>
      <c r="F98" s="11" t="n"/>
      <c r="G98" s="11" t="n"/>
      <c r="H98" s="5" t="n"/>
      <c r="I98" s="5" t="n"/>
      <c r="J98" s="5" t="n"/>
      <c r="K98" s="5" t="n"/>
      <c r="L98" s="4">
        <f>IF(B98="","",IF(AND(H98="Yes",I98="Yes",OR(K98="Yes",K98="N/A")),"Compliant",IF(OR(H98="No",I98="No"),"Non-Compliant","Partial")))</f>
        <v/>
      </c>
      <c r="M98" s="5" t="n"/>
      <c r="N98" s="5" t="n"/>
    </row>
    <row r="99">
      <c r="A99" s="5" t="n"/>
      <c r="B99" s="5" t="n"/>
      <c r="C99" s="5" t="n"/>
      <c r="D99" s="5" t="n"/>
      <c r="E99" s="5" t="n"/>
      <c r="F99" s="11" t="n"/>
      <c r="G99" s="11" t="n"/>
      <c r="H99" s="5" t="n"/>
      <c r="I99" s="5" t="n"/>
      <c r="J99" s="5" t="n"/>
      <c r="K99" s="5" t="n"/>
      <c r="L99" s="4">
        <f>IF(B99="","",IF(AND(H99="Yes",I99="Yes",OR(K99="Yes",K99="N/A")),"Compliant",IF(OR(H99="No",I99="No"),"Non-Compliant","Partial")))</f>
        <v/>
      </c>
      <c r="M99" s="5" t="n"/>
      <c r="N99" s="5" t="n"/>
    </row>
    <row r="100">
      <c r="A100" s="5" t="n"/>
      <c r="B100" s="5" t="n"/>
      <c r="C100" s="5" t="n"/>
      <c r="D100" s="5" t="n"/>
      <c r="E100" s="5" t="n"/>
      <c r="F100" s="11" t="n"/>
      <c r="G100" s="11" t="n"/>
      <c r="H100" s="5" t="n"/>
      <c r="I100" s="5" t="n"/>
      <c r="J100" s="5" t="n"/>
      <c r="K100" s="5" t="n"/>
      <c r="L100" s="4">
        <f>IF(B100="","",IF(AND(H100="Yes",I100="Yes",OR(K100="Yes",K100="N/A")),"Compliant",IF(OR(H100="No",I100="No"),"Non-Compliant","Partial")))</f>
        <v/>
      </c>
      <c r="M100" s="5" t="n"/>
      <c r="N100" s="5" t="n"/>
    </row>
    <row r="101">
      <c r="A101" s="5" t="n"/>
      <c r="B101" s="5" t="n"/>
      <c r="C101" s="5" t="n"/>
      <c r="D101" s="5" t="n"/>
      <c r="E101" s="5" t="n"/>
      <c r="F101" s="11" t="n"/>
      <c r="G101" s="11" t="n"/>
      <c r="H101" s="5" t="n"/>
      <c r="I101" s="5" t="n"/>
      <c r="J101" s="5" t="n"/>
      <c r="K101" s="5" t="n"/>
      <c r="L101" s="4">
        <f>IF(B101="","",IF(AND(H101="Yes",I101="Yes",OR(K101="Yes",K101="N/A")),"Compliant",IF(OR(H101="No",I101="No"),"Non-Compliant","Partial")))</f>
        <v/>
      </c>
      <c r="M101" s="5" t="n"/>
      <c r="N101" s="5" t="n"/>
    </row>
    <row r="102">
      <c r="A102" s="5" t="n"/>
      <c r="B102" s="5" t="n"/>
      <c r="C102" s="5" t="n"/>
      <c r="D102" s="5" t="n"/>
      <c r="E102" s="5" t="n"/>
      <c r="F102" s="11" t="n"/>
      <c r="G102" s="11" t="n"/>
      <c r="H102" s="5" t="n"/>
      <c r="I102" s="5" t="n"/>
      <c r="J102" s="5" t="n"/>
      <c r="K102" s="5" t="n"/>
      <c r="L102" s="4">
        <f>IF(B102="","",IF(AND(H102="Yes",I102="Yes",OR(K102="Yes",K102="N/A")),"Compliant",IF(OR(H102="No",I102="No"),"Non-Compliant","Partial")))</f>
        <v/>
      </c>
      <c r="M102" s="5" t="n"/>
      <c r="N102" s="5" t="n"/>
    </row>
    <row r="103">
      <c r="A103" s="5" t="n"/>
      <c r="B103" s="5" t="n"/>
      <c r="C103" s="5" t="n"/>
      <c r="D103" s="5" t="n"/>
      <c r="E103" s="5" t="n"/>
      <c r="F103" s="11" t="n"/>
      <c r="G103" s="11" t="n"/>
      <c r="H103" s="5" t="n"/>
      <c r="I103" s="5" t="n"/>
      <c r="J103" s="5" t="n"/>
      <c r="K103" s="5" t="n"/>
      <c r="L103" s="4">
        <f>IF(B103="","",IF(AND(H103="Yes",I103="Yes",OR(K103="Yes",K103="N/A")),"Compliant",IF(OR(H103="No",I103="No"),"Non-Compliant","Partial")))</f>
        <v/>
      </c>
      <c r="M103" s="5" t="n"/>
      <c r="N103" s="5" t="n"/>
    </row>
    <row r="104">
      <c r="A104" s="5" t="n"/>
      <c r="B104" s="5" t="n"/>
      <c r="C104" s="5" t="n"/>
      <c r="D104" s="5" t="n"/>
      <c r="E104" s="5" t="n"/>
      <c r="F104" s="11" t="n"/>
      <c r="G104" s="11" t="n"/>
      <c r="H104" s="5" t="n"/>
      <c r="I104" s="5" t="n"/>
      <c r="J104" s="5" t="n"/>
      <c r="K104" s="5" t="n"/>
      <c r="L104" s="4">
        <f>IF(B104="","",IF(AND(H104="Yes",I104="Yes",OR(K104="Yes",K104="N/A")),"Compliant",IF(OR(H104="No",I104="No"),"Non-Compliant","Partial")))</f>
        <v/>
      </c>
      <c r="M104" s="5" t="n"/>
      <c r="N1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N2"/>
    <mergeCell ref="A1:N1"/>
  </mergeCells>
  <dataValidations count="3">
    <dataValidation sqref="D5:D104" showDropDown="0" showInputMessage="0" showErrorMessage="1" allowBlank="1" errorTitle="Invalid Entry" error="Please select from dropdown" type="list">
      <formula1>"Statement-of-Work,Master-Services-Agreement,Professional-Services,Staffing-Agency,Consulting-Agreement,Vendor-Contract,Other"</formula1>
    </dataValidation>
    <dataValidation sqref="H5:H104 I5:I104 K5:K104" showDropDown="0" showInputMessage="0" showErrorMessage="1" allowBlank="1" errorTitle="Invalid Entry" error="Please select from dropdown" type="list">
      <formula1>"Yes,No,Partial,N/A"</formula1>
    </dataValidation>
    <dataValidation sqref="J5:J104" showDropDown="0" showInputMessage="0" showErrorMessage="1" allowBlank="1" errorTitle="Invalid Entry" error="Please select from dropdown" type="list">
      <formula1>"None,Limited,Standard,Privileged,Admin"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  <col width="50" customWidth="1" min="5" max="5"/>
    <col width="15" customWidth="1" min="6" max="6"/>
    <col width="40" customWidth="1" min="7" max="7"/>
    <col width="15" customWidth="1" min="8" max="8"/>
    <col width="50" customWidth="1" min="9" max="9"/>
    <col width="25" customWidth="1" min="10" max="10"/>
    <col width="15" customWidth="1" min="11" max="11"/>
    <col width="15" customWidth="1" min="12" max="12"/>
    <col width="30" customWidth="1" min="13" max="13"/>
    <col width="15" customWidth="1" min="14" max="14"/>
    <col width="30" customWidth="1" min="15" max="15"/>
    <col width="40" customWidth="1" min="16" max="16"/>
  </cols>
  <sheetData>
    <row r="1">
      <c r="A1" s="1" t="inlineStr">
        <is>
          <t>GAP ANALYSIS</t>
        </is>
      </c>
    </row>
    <row r="2">
      <c r="A2" s="2" t="inlineStr">
        <is>
          <t>Consolidated gaps from all employment contract assessment domains</t>
        </is>
      </c>
    </row>
    <row r="4">
      <c r="A4" s="8" t="inlineStr">
        <is>
          <t>Gap_ID</t>
        </is>
      </c>
      <c r="B4" s="8" t="inlineStr">
        <is>
          <t>Source_Sheet</t>
        </is>
      </c>
      <c r="C4" s="8" t="inlineStr">
        <is>
          <t>Affected_Entity</t>
        </is>
      </c>
      <c r="D4" s="8" t="inlineStr">
        <is>
          <t>Gap_Category</t>
        </is>
      </c>
      <c r="E4" s="8" t="inlineStr">
        <is>
          <t>Gap_Description</t>
        </is>
      </c>
      <c r="F4" s="8" t="inlineStr">
        <is>
          <t>Risk_Level</t>
        </is>
      </c>
      <c r="G4" s="8" t="inlineStr">
        <is>
          <t>Impact_Assessment</t>
        </is>
      </c>
      <c r="H4" s="8" t="inlineStr">
        <is>
          <t>Affected_Personnel_Count</t>
        </is>
      </c>
      <c r="I4" s="8" t="inlineStr">
        <is>
          <t>Remediation_Action</t>
        </is>
      </c>
      <c r="J4" s="8" t="inlineStr">
        <is>
          <t>Responsible_Party</t>
        </is>
      </c>
      <c r="K4" s="8" t="inlineStr">
        <is>
          <t>Target_Completion_Date</t>
        </is>
      </c>
      <c r="L4" s="8" t="inlineStr">
        <is>
          <t>Estimated_Effort</t>
        </is>
      </c>
      <c r="M4" s="8" t="inlineStr">
        <is>
          <t>Dependencies</t>
        </is>
      </c>
      <c r="N4" s="8" t="inlineStr">
        <is>
          <t>Status</t>
        </is>
      </c>
      <c r="O4" s="8" t="inlineStr">
        <is>
          <t>Completion_Evidence</t>
        </is>
      </c>
      <c r="P4" s="8" t="inlineStr">
        <is>
          <t>Risk_Acceptance</t>
        </is>
      </c>
    </row>
    <row r="5">
      <c r="A5" s="4">
        <f>IF(B5&lt;&gt;"",TEXT(ROW()-4,"GAP-000"),"")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11" t="n"/>
      <c r="L5" s="5" t="n"/>
      <c r="M5" s="5" t="n"/>
      <c r="N5" s="5" t="n"/>
      <c r="O5" s="5" t="n"/>
      <c r="P5" s="5" t="n"/>
    </row>
    <row r="6">
      <c r="A6" s="4">
        <f>IF(B6&lt;&gt;"",TEXT(ROW()-4,"GAP-000"),"")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11" t="n"/>
      <c r="L6" s="5" t="n"/>
      <c r="M6" s="5" t="n"/>
      <c r="N6" s="5" t="n"/>
      <c r="O6" s="5" t="n"/>
      <c r="P6" s="5" t="n"/>
    </row>
    <row r="7">
      <c r="A7" s="4">
        <f>IF(B7&lt;&gt;"",TEXT(ROW()-4,"GAP-000"),"")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11" t="n"/>
      <c r="L7" s="5" t="n"/>
      <c r="M7" s="5" t="n"/>
      <c r="N7" s="5" t="n"/>
      <c r="O7" s="5" t="n"/>
      <c r="P7" s="5" t="n"/>
    </row>
    <row r="8">
      <c r="A8" s="4">
        <f>IF(B8&lt;&gt;"",TEXT(ROW()-4,"GAP-000"),"")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11" t="n"/>
      <c r="L8" s="5" t="n"/>
      <c r="M8" s="5" t="n"/>
      <c r="N8" s="5" t="n"/>
      <c r="O8" s="5" t="n"/>
      <c r="P8" s="5" t="n"/>
    </row>
    <row r="9">
      <c r="A9" s="4">
        <f>IF(B9&lt;&gt;"",TEXT(ROW()-4,"GAP-000"),"")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11" t="n"/>
      <c r="L9" s="5" t="n"/>
      <c r="M9" s="5" t="n"/>
      <c r="N9" s="5" t="n"/>
      <c r="O9" s="5" t="n"/>
      <c r="P9" s="5" t="n"/>
    </row>
    <row r="10">
      <c r="A10" s="4">
        <f>IF(B10&lt;&gt;"",TEXT(ROW()-4,"GAP-000"),"")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11" t="n"/>
      <c r="L10" s="5" t="n"/>
      <c r="M10" s="5" t="n"/>
      <c r="N10" s="5" t="n"/>
      <c r="O10" s="5" t="n"/>
      <c r="P10" s="5" t="n"/>
    </row>
    <row r="11">
      <c r="A11" s="4">
        <f>IF(B11&lt;&gt;"",TEXT(ROW()-4,"GAP-000"),"")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11" t="n"/>
      <c r="L11" s="5" t="n"/>
      <c r="M11" s="5" t="n"/>
      <c r="N11" s="5" t="n"/>
      <c r="O11" s="5" t="n"/>
      <c r="P11" s="5" t="n"/>
    </row>
    <row r="12">
      <c r="A12" s="4">
        <f>IF(B12&lt;&gt;"",TEXT(ROW()-4,"GAP-000"),"")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11" t="n"/>
      <c r="L12" s="5" t="n"/>
      <c r="M12" s="5" t="n"/>
      <c r="N12" s="5" t="n"/>
      <c r="O12" s="5" t="n"/>
      <c r="P12" s="5" t="n"/>
    </row>
    <row r="13">
      <c r="A13" s="4">
        <f>IF(B13&lt;&gt;"",TEXT(ROW()-4,"GAP-000"),"")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11" t="n"/>
      <c r="L13" s="5" t="n"/>
      <c r="M13" s="5" t="n"/>
      <c r="N13" s="5" t="n"/>
      <c r="O13" s="5" t="n"/>
      <c r="P13" s="5" t="n"/>
    </row>
    <row r="14">
      <c r="A14" s="4">
        <f>IF(B14&lt;&gt;"",TEXT(ROW()-4,"GAP-000"),"")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11" t="n"/>
      <c r="L14" s="5" t="n"/>
      <c r="M14" s="5" t="n"/>
      <c r="N14" s="5" t="n"/>
      <c r="O14" s="5" t="n"/>
      <c r="P14" s="5" t="n"/>
    </row>
    <row r="15">
      <c r="A15" s="4">
        <f>IF(B15&lt;&gt;"",TEXT(ROW()-4,"GAP-000"),"")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11" t="n"/>
      <c r="L15" s="5" t="n"/>
      <c r="M15" s="5" t="n"/>
      <c r="N15" s="5" t="n"/>
      <c r="O15" s="5" t="n"/>
      <c r="P15" s="5" t="n"/>
    </row>
    <row r="16">
      <c r="A16" s="4">
        <f>IF(B16&lt;&gt;"",TEXT(ROW()-4,"GAP-000"),"")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11" t="n"/>
      <c r="L16" s="5" t="n"/>
      <c r="M16" s="5" t="n"/>
      <c r="N16" s="5" t="n"/>
      <c r="O16" s="5" t="n"/>
      <c r="P16" s="5" t="n"/>
    </row>
    <row r="17">
      <c r="A17" s="4">
        <f>IF(B17&lt;&gt;"",TEXT(ROW()-4,"GAP-000"),"")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11" t="n"/>
      <c r="L17" s="5" t="n"/>
      <c r="M17" s="5" t="n"/>
      <c r="N17" s="5" t="n"/>
      <c r="O17" s="5" t="n"/>
      <c r="P17" s="5" t="n"/>
    </row>
    <row r="18">
      <c r="A18" s="4">
        <f>IF(B18&lt;&gt;"",TEXT(ROW()-4,"GAP-000"),"")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11" t="n"/>
      <c r="L18" s="5" t="n"/>
      <c r="M18" s="5" t="n"/>
      <c r="N18" s="5" t="n"/>
      <c r="O18" s="5" t="n"/>
      <c r="P18" s="5" t="n"/>
    </row>
    <row r="19">
      <c r="A19" s="4">
        <f>IF(B19&lt;&gt;"",TEXT(ROW()-4,"GAP-000"),"")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11" t="n"/>
      <c r="L19" s="5" t="n"/>
      <c r="M19" s="5" t="n"/>
      <c r="N19" s="5" t="n"/>
      <c r="O19" s="5" t="n"/>
      <c r="P19" s="5" t="n"/>
    </row>
    <row r="20">
      <c r="A20" s="4">
        <f>IF(B20&lt;&gt;"",TEXT(ROW()-4,"GAP-000"),"")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11" t="n"/>
      <c r="L20" s="5" t="n"/>
      <c r="M20" s="5" t="n"/>
      <c r="N20" s="5" t="n"/>
      <c r="O20" s="5" t="n"/>
      <c r="P20" s="5" t="n"/>
    </row>
    <row r="21">
      <c r="A21" s="4">
        <f>IF(B21&lt;&gt;"",TEXT(ROW()-4,"GAP-000"),"")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11" t="n"/>
      <c r="L21" s="5" t="n"/>
      <c r="M21" s="5" t="n"/>
      <c r="N21" s="5" t="n"/>
      <c r="O21" s="5" t="n"/>
      <c r="P21" s="5" t="n"/>
    </row>
    <row r="22">
      <c r="A22" s="4">
        <f>IF(B22&lt;&gt;"",TEXT(ROW()-4,"GAP-000"),"")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11" t="n"/>
      <c r="L22" s="5" t="n"/>
      <c r="M22" s="5" t="n"/>
      <c r="N22" s="5" t="n"/>
      <c r="O22" s="5" t="n"/>
      <c r="P22" s="5" t="n"/>
    </row>
    <row r="23">
      <c r="A23" s="4">
        <f>IF(B23&lt;&gt;"",TEXT(ROW()-4,"GAP-000"),"")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11" t="n"/>
      <c r="L23" s="5" t="n"/>
      <c r="M23" s="5" t="n"/>
      <c r="N23" s="5" t="n"/>
      <c r="O23" s="5" t="n"/>
      <c r="P23" s="5" t="n"/>
    </row>
    <row r="24">
      <c r="A24" s="4">
        <f>IF(B24&lt;&gt;"",TEXT(ROW()-4,"GAP-000"),"")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11" t="n"/>
      <c r="L24" s="5" t="n"/>
      <c r="M24" s="5" t="n"/>
      <c r="N24" s="5" t="n"/>
      <c r="O24" s="5" t="n"/>
      <c r="P24" s="5" t="n"/>
    </row>
    <row r="25">
      <c r="A25" s="4">
        <f>IF(B25&lt;&gt;"",TEXT(ROW()-4,"GAP-000"),"")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1" t="n"/>
      <c r="L25" s="5" t="n"/>
      <c r="M25" s="5" t="n"/>
      <c r="N25" s="5" t="n"/>
      <c r="O25" s="5" t="n"/>
      <c r="P25" s="5" t="n"/>
    </row>
    <row r="26">
      <c r="A26" s="4">
        <f>IF(B26&lt;&gt;"",TEXT(ROW()-4,"GAP-000"),"")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11" t="n"/>
      <c r="L26" s="5" t="n"/>
      <c r="M26" s="5" t="n"/>
      <c r="N26" s="5" t="n"/>
      <c r="O26" s="5" t="n"/>
      <c r="P26" s="5" t="n"/>
    </row>
    <row r="27">
      <c r="A27" s="4">
        <f>IF(B27&lt;&gt;"",TEXT(ROW()-4,"GAP-000"),"")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11" t="n"/>
      <c r="L27" s="5" t="n"/>
      <c r="M27" s="5" t="n"/>
      <c r="N27" s="5" t="n"/>
      <c r="O27" s="5" t="n"/>
      <c r="P27" s="5" t="n"/>
    </row>
    <row r="28">
      <c r="A28" s="4">
        <f>IF(B28&lt;&gt;"",TEXT(ROW()-4,"GAP-000"),"")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11" t="n"/>
      <c r="L28" s="5" t="n"/>
      <c r="M28" s="5" t="n"/>
      <c r="N28" s="5" t="n"/>
      <c r="O28" s="5" t="n"/>
      <c r="P28" s="5" t="n"/>
    </row>
    <row r="29">
      <c r="A29" s="4">
        <f>IF(B29&lt;&gt;"",TEXT(ROW()-4,"GAP-000"),"")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11" t="n"/>
      <c r="L29" s="5" t="n"/>
      <c r="M29" s="5" t="n"/>
      <c r="N29" s="5" t="n"/>
      <c r="O29" s="5" t="n"/>
      <c r="P29" s="5" t="n"/>
    </row>
    <row r="30">
      <c r="A30" s="4">
        <f>IF(B30&lt;&gt;"",TEXT(ROW()-4,"GAP-000"),"")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11" t="n"/>
      <c r="L30" s="5" t="n"/>
      <c r="M30" s="5" t="n"/>
      <c r="N30" s="5" t="n"/>
      <c r="O30" s="5" t="n"/>
      <c r="P30" s="5" t="n"/>
    </row>
    <row r="31">
      <c r="A31" s="4">
        <f>IF(B31&lt;&gt;"",TEXT(ROW()-4,"GAP-000"),"")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11" t="n"/>
      <c r="L31" s="5" t="n"/>
      <c r="M31" s="5" t="n"/>
      <c r="N31" s="5" t="n"/>
      <c r="O31" s="5" t="n"/>
      <c r="P31" s="5" t="n"/>
    </row>
    <row r="32">
      <c r="A32" s="4">
        <f>IF(B32&lt;&gt;"",TEXT(ROW()-4,"GAP-000"),"")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11" t="n"/>
      <c r="L32" s="5" t="n"/>
      <c r="M32" s="5" t="n"/>
      <c r="N32" s="5" t="n"/>
      <c r="O32" s="5" t="n"/>
      <c r="P32" s="5" t="n"/>
    </row>
    <row r="33">
      <c r="A33" s="4">
        <f>IF(B33&lt;&gt;"",TEXT(ROW()-4,"GAP-000"),"")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11" t="n"/>
      <c r="L33" s="5" t="n"/>
      <c r="M33" s="5" t="n"/>
      <c r="N33" s="5" t="n"/>
      <c r="O33" s="5" t="n"/>
      <c r="P33" s="5" t="n"/>
    </row>
    <row r="34">
      <c r="A34" s="4">
        <f>IF(B34&lt;&gt;"",TEXT(ROW()-4,"GAP-000"),"")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11" t="n"/>
      <c r="L34" s="5" t="n"/>
      <c r="M34" s="5" t="n"/>
      <c r="N34" s="5" t="n"/>
      <c r="O34" s="5" t="n"/>
      <c r="P34" s="5" t="n"/>
    </row>
    <row r="35">
      <c r="A35" s="4">
        <f>IF(B35&lt;&gt;"",TEXT(ROW()-4,"GAP-000"),"")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11" t="n"/>
      <c r="L35" s="5" t="n"/>
      <c r="M35" s="5" t="n"/>
      <c r="N35" s="5" t="n"/>
      <c r="O35" s="5" t="n"/>
      <c r="P35" s="5" t="n"/>
    </row>
    <row r="36">
      <c r="A36" s="4">
        <f>IF(B36&lt;&gt;"",TEXT(ROW()-4,"GAP-000"),"")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11" t="n"/>
      <c r="L36" s="5" t="n"/>
      <c r="M36" s="5" t="n"/>
      <c r="N36" s="5" t="n"/>
      <c r="O36" s="5" t="n"/>
      <c r="P36" s="5" t="n"/>
    </row>
    <row r="37">
      <c r="A37" s="4">
        <f>IF(B37&lt;&gt;"",TEXT(ROW()-4,"GAP-000"),"")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11" t="n"/>
      <c r="L37" s="5" t="n"/>
      <c r="M37" s="5" t="n"/>
      <c r="N37" s="5" t="n"/>
      <c r="O37" s="5" t="n"/>
      <c r="P37" s="5" t="n"/>
    </row>
    <row r="38">
      <c r="A38" s="4">
        <f>IF(B38&lt;&gt;"",TEXT(ROW()-4,"GAP-000"),"")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11" t="n"/>
      <c r="L38" s="5" t="n"/>
      <c r="M38" s="5" t="n"/>
      <c r="N38" s="5" t="n"/>
      <c r="O38" s="5" t="n"/>
      <c r="P38" s="5" t="n"/>
    </row>
    <row r="39">
      <c r="A39" s="4">
        <f>IF(B39&lt;&gt;"",TEXT(ROW()-4,"GAP-000"),"")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11" t="n"/>
      <c r="L39" s="5" t="n"/>
      <c r="M39" s="5" t="n"/>
      <c r="N39" s="5" t="n"/>
      <c r="O39" s="5" t="n"/>
      <c r="P39" s="5" t="n"/>
    </row>
    <row r="40">
      <c r="A40" s="4">
        <f>IF(B40&lt;&gt;"",TEXT(ROW()-4,"GAP-000"),"")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11" t="n"/>
      <c r="L40" s="5" t="n"/>
      <c r="M40" s="5" t="n"/>
      <c r="N40" s="5" t="n"/>
      <c r="O40" s="5" t="n"/>
      <c r="P40" s="5" t="n"/>
    </row>
    <row r="41">
      <c r="A41" s="4">
        <f>IF(B41&lt;&gt;"",TEXT(ROW()-4,"GAP-000"),"")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11" t="n"/>
      <c r="L41" s="5" t="n"/>
      <c r="M41" s="5" t="n"/>
      <c r="N41" s="5" t="n"/>
      <c r="O41" s="5" t="n"/>
      <c r="P41" s="5" t="n"/>
    </row>
    <row r="42">
      <c r="A42" s="4">
        <f>IF(B42&lt;&gt;"",TEXT(ROW()-4,"GAP-000"),"")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11" t="n"/>
      <c r="L42" s="5" t="n"/>
      <c r="M42" s="5" t="n"/>
      <c r="N42" s="5" t="n"/>
      <c r="O42" s="5" t="n"/>
      <c r="P42" s="5" t="n"/>
    </row>
    <row r="43">
      <c r="A43" s="4">
        <f>IF(B43&lt;&gt;"",TEXT(ROW()-4,"GAP-000"),"")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11" t="n"/>
      <c r="L43" s="5" t="n"/>
      <c r="M43" s="5" t="n"/>
      <c r="N43" s="5" t="n"/>
      <c r="O43" s="5" t="n"/>
      <c r="P43" s="5" t="n"/>
    </row>
    <row r="44">
      <c r="A44" s="4">
        <f>IF(B44&lt;&gt;"",TEXT(ROW()-4,"GAP-000"),"")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11" t="n"/>
      <c r="L44" s="5" t="n"/>
      <c r="M44" s="5" t="n"/>
      <c r="N44" s="5" t="n"/>
      <c r="O44" s="5" t="n"/>
      <c r="P44" s="5" t="n"/>
    </row>
    <row r="45">
      <c r="A45" s="4">
        <f>IF(B45&lt;&gt;"",TEXT(ROW()-4,"GAP-000"),"")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11" t="n"/>
      <c r="L45" s="5" t="n"/>
      <c r="M45" s="5" t="n"/>
      <c r="N45" s="5" t="n"/>
      <c r="O45" s="5" t="n"/>
      <c r="P45" s="5" t="n"/>
    </row>
    <row r="46">
      <c r="A46" s="4">
        <f>IF(B46&lt;&gt;"",TEXT(ROW()-4,"GAP-000"),"")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11" t="n"/>
      <c r="L46" s="5" t="n"/>
      <c r="M46" s="5" t="n"/>
      <c r="N46" s="5" t="n"/>
      <c r="O46" s="5" t="n"/>
      <c r="P46" s="5" t="n"/>
    </row>
    <row r="47">
      <c r="A47" s="4">
        <f>IF(B47&lt;&gt;"",TEXT(ROW()-4,"GAP-000"),"")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11" t="n"/>
      <c r="L47" s="5" t="n"/>
      <c r="M47" s="5" t="n"/>
      <c r="N47" s="5" t="n"/>
      <c r="O47" s="5" t="n"/>
      <c r="P47" s="5" t="n"/>
    </row>
    <row r="48">
      <c r="A48" s="4">
        <f>IF(B48&lt;&gt;"",TEXT(ROW()-4,"GAP-000"),"")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11" t="n"/>
      <c r="L48" s="5" t="n"/>
      <c r="M48" s="5" t="n"/>
      <c r="N48" s="5" t="n"/>
      <c r="O48" s="5" t="n"/>
      <c r="P48" s="5" t="n"/>
    </row>
    <row r="49">
      <c r="A49" s="4">
        <f>IF(B49&lt;&gt;"",TEXT(ROW()-4,"GAP-000"),"")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11" t="n"/>
      <c r="L49" s="5" t="n"/>
      <c r="M49" s="5" t="n"/>
      <c r="N49" s="5" t="n"/>
      <c r="O49" s="5" t="n"/>
      <c r="P49" s="5" t="n"/>
    </row>
    <row r="50">
      <c r="A50" s="4">
        <f>IF(B50&lt;&gt;"",TEXT(ROW()-4,"GAP-000"),"")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11" t="n"/>
      <c r="L50" s="5" t="n"/>
      <c r="M50" s="5" t="n"/>
      <c r="N50" s="5" t="n"/>
      <c r="O50" s="5" t="n"/>
      <c r="P50" s="5" t="n"/>
    </row>
    <row r="51">
      <c r="A51" s="4">
        <f>IF(B51&lt;&gt;"",TEXT(ROW()-4,"GAP-000"),"")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11" t="n"/>
      <c r="L51" s="5" t="n"/>
      <c r="M51" s="5" t="n"/>
      <c r="N51" s="5" t="n"/>
      <c r="O51" s="5" t="n"/>
      <c r="P51" s="5" t="n"/>
    </row>
    <row r="52">
      <c r="A52" s="4">
        <f>IF(B52&lt;&gt;"",TEXT(ROW()-4,"GAP-000"),"")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11" t="n"/>
      <c r="L52" s="5" t="n"/>
      <c r="M52" s="5" t="n"/>
      <c r="N52" s="5" t="n"/>
      <c r="O52" s="5" t="n"/>
      <c r="P52" s="5" t="n"/>
    </row>
    <row r="53">
      <c r="A53" s="4">
        <f>IF(B53&lt;&gt;"",TEXT(ROW()-4,"GAP-000"),"")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11" t="n"/>
      <c r="L53" s="5" t="n"/>
      <c r="M53" s="5" t="n"/>
      <c r="N53" s="5" t="n"/>
      <c r="O53" s="5" t="n"/>
      <c r="P53" s="5" t="n"/>
    </row>
    <row r="54">
      <c r="A54" s="4">
        <f>IF(B54&lt;&gt;"",TEXT(ROW()-4,"GAP-000"),"")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11" t="n"/>
      <c r="L54" s="5" t="n"/>
      <c r="M54" s="5" t="n"/>
      <c r="N54" s="5" t="n"/>
      <c r="O54" s="5" t="n"/>
      <c r="P54" s="5" t="n"/>
    </row>
    <row r="55">
      <c r="A55" s="4">
        <f>IF(B55&lt;&gt;"",TEXT(ROW()-4,"GAP-000"),"")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11" t="n"/>
      <c r="L55" s="5" t="n"/>
      <c r="M55" s="5" t="n"/>
      <c r="N55" s="5" t="n"/>
      <c r="O55" s="5" t="n"/>
      <c r="P55" s="5" t="n"/>
    </row>
    <row r="56">
      <c r="A56" s="4">
        <f>IF(B56&lt;&gt;"",TEXT(ROW()-4,"GAP-000"),"")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11" t="n"/>
      <c r="L56" s="5" t="n"/>
      <c r="M56" s="5" t="n"/>
      <c r="N56" s="5" t="n"/>
      <c r="O56" s="5" t="n"/>
      <c r="P56" s="5" t="n"/>
    </row>
    <row r="57">
      <c r="A57" s="4">
        <f>IF(B57&lt;&gt;"",TEXT(ROW()-4,"GAP-000"),"")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11" t="n"/>
      <c r="L57" s="5" t="n"/>
      <c r="M57" s="5" t="n"/>
      <c r="N57" s="5" t="n"/>
      <c r="O57" s="5" t="n"/>
      <c r="P57" s="5" t="n"/>
    </row>
    <row r="58">
      <c r="A58" s="4">
        <f>IF(B58&lt;&gt;"",TEXT(ROW()-4,"GAP-000"),"")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11" t="n"/>
      <c r="L58" s="5" t="n"/>
      <c r="M58" s="5" t="n"/>
      <c r="N58" s="5" t="n"/>
      <c r="O58" s="5" t="n"/>
      <c r="P58" s="5" t="n"/>
    </row>
    <row r="59">
      <c r="A59" s="4">
        <f>IF(B59&lt;&gt;"",TEXT(ROW()-4,"GAP-000"),"")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11" t="n"/>
      <c r="L59" s="5" t="n"/>
      <c r="M59" s="5" t="n"/>
      <c r="N59" s="5" t="n"/>
      <c r="O59" s="5" t="n"/>
      <c r="P59" s="5" t="n"/>
    </row>
    <row r="60">
      <c r="A60" s="4">
        <f>IF(B60&lt;&gt;"",TEXT(ROW()-4,"GAP-000"),"")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11" t="n"/>
      <c r="L60" s="5" t="n"/>
      <c r="M60" s="5" t="n"/>
      <c r="N60" s="5" t="n"/>
      <c r="O60" s="5" t="n"/>
      <c r="P60" s="5" t="n"/>
    </row>
    <row r="61">
      <c r="A61" s="4">
        <f>IF(B61&lt;&gt;"",TEXT(ROW()-4,"GAP-000"),"")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11" t="n"/>
      <c r="L61" s="5" t="n"/>
      <c r="M61" s="5" t="n"/>
      <c r="N61" s="5" t="n"/>
      <c r="O61" s="5" t="n"/>
      <c r="P61" s="5" t="n"/>
    </row>
    <row r="62">
      <c r="A62" s="4">
        <f>IF(B62&lt;&gt;"",TEXT(ROW()-4,"GAP-000"),"")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11" t="n"/>
      <c r="L62" s="5" t="n"/>
      <c r="M62" s="5" t="n"/>
      <c r="N62" s="5" t="n"/>
      <c r="O62" s="5" t="n"/>
      <c r="P62" s="5" t="n"/>
    </row>
    <row r="63">
      <c r="A63" s="4">
        <f>IF(B63&lt;&gt;"",TEXT(ROW()-4,"GAP-000"),"")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11" t="n"/>
      <c r="L63" s="5" t="n"/>
      <c r="M63" s="5" t="n"/>
      <c r="N63" s="5" t="n"/>
      <c r="O63" s="5" t="n"/>
      <c r="P63" s="5" t="n"/>
    </row>
    <row r="64">
      <c r="A64" s="4">
        <f>IF(B64&lt;&gt;"",TEXT(ROW()-4,"GAP-000"),"")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11" t="n"/>
      <c r="L64" s="5" t="n"/>
      <c r="M64" s="5" t="n"/>
      <c r="N64" s="5" t="n"/>
      <c r="O64" s="5" t="n"/>
      <c r="P64" s="5" t="n"/>
    </row>
    <row r="65">
      <c r="A65" s="4">
        <f>IF(B65&lt;&gt;"",TEXT(ROW()-4,"GAP-000"),"")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11" t="n"/>
      <c r="L65" s="5" t="n"/>
      <c r="M65" s="5" t="n"/>
      <c r="N65" s="5" t="n"/>
      <c r="O65" s="5" t="n"/>
      <c r="P65" s="5" t="n"/>
    </row>
    <row r="66">
      <c r="A66" s="4">
        <f>IF(B66&lt;&gt;"",TEXT(ROW()-4,"GAP-000"),"")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11" t="n"/>
      <c r="L66" s="5" t="n"/>
      <c r="M66" s="5" t="n"/>
      <c r="N66" s="5" t="n"/>
      <c r="O66" s="5" t="n"/>
      <c r="P66" s="5" t="n"/>
    </row>
    <row r="67">
      <c r="A67" s="4">
        <f>IF(B67&lt;&gt;"",TEXT(ROW()-4,"GAP-000"),"")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11" t="n"/>
      <c r="L67" s="5" t="n"/>
      <c r="M67" s="5" t="n"/>
      <c r="N67" s="5" t="n"/>
      <c r="O67" s="5" t="n"/>
      <c r="P67" s="5" t="n"/>
    </row>
    <row r="68">
      <c r="A68" s="4">
        <f>IF(B68&lt;&gt;"",TEXT(ROW()-4,"GAP-000"),"")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11" t="n"/>
      <c r="L68" s="5" t="n"/>
      <c r="M68" s="5" t="n"/>
      <c r="N68" s="5" t="n"/>
      <c r="O68" s="5" t="n"/>
      <c r="P68" s="5" t="n"/>
    </row>
    <row r="69">
      <c r="A69" s="4">
        <f>IF(B69&lt;&gt;"",TEXT(ROW()-4,"GAP-000"),"")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11" t="n"/>
      <c r="L69" s="5" t="n"/>
      <c r="M69" s="5" t="n"/>
      <c r="N69" s="5" t="n"/>
      <c r="O69" s="5" t="n"/>
      <c r="P69" s="5" t="n"/>
    </row>
    <row r="70">
      <c r="A70" s="4">
        <f>IF(B70&lt;&gt;"",TEXT(ROW()-4,"GAP-000"),"")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11" t="n"/>
      <c r="L70" s="5" t="n"/>
      <c r="M70" s="5" t="n"/>
      <c r="N70" s="5" t="n"/>
      <c r="O70" s="5" t="n"/>
      <c r="P70" s="5" t="n"/>
    </row>
    <row r="71">
      <c r="A71" s="4">
        <f>IF(B71&lt;&gt;"",TEXT(ROW()-4,"GAP-000"),"")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11" t="n"/>
      <c r="L71" s="5" t="n"/>
      <c r="M71" s="5" t="n"/>
      <c r="N71" s="5" t="n"/>
      <c r="O71" s="5" t="n"/>
      <c r="P71" s="5" t="n"/>
    </row>
    <row r="72">
      <c r="A72" s="4">
        <f>IF(B72&lt;&gt;"",TEXT(ROW()-4,"GAP-000"),"")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11" t="n"/>
      <c r="L72" s="5" t="n"/>
      <c r="M72" s="5" t="n"/>
      <c r="N72" s="5" t="n"/>
      <c r="O72" s="5" t="n"/>
      <c r="P72" s="5" t="n"/>
    </row>
    <row r="73">
      <c r="A73" s="4">
        <f>IF(B73&lt;&gt;"",TEXT(ROW()-4,"GAP-000"),"")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11" t="n"/>
      <c r="L73" s="5" t="n"/>
      <c r="M73" s="5" t="n"/>
      <c r="N73" s="5" t="n"/>
      <c r="O73" s="5" t="n"/>
      <c r="P73" s="5" t="n"/>
    </row>
    <row r="74">
      <c r="A74" s="4">
        <f>IF(B74&lt;&gt;"",TEXT(ROW()-4,"GAP-000"),"")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11" t="n"/>
      <c r="L74" s="5" t="n"/>
      <c r="M74" s="5" t="n"/>
      <c r="N74" s="5" t="n"/>
      <c r="O74" s="5" t="n"/>
      <c r="P74" s="5" t="n"/>
    </row>
    <row r="75">
      <c r="A75" s="4">
        <f>IF(B75&lt;&gt;"",TEXT(ROW()-4,"GAP-000"),"")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11" t="n"/>
      <c r="L75" s="5" t="n"/>
      <c r="M75" s="5" t="n"/>
      <c r="N75" s="5" t="n"/>
      <c r="O75" s="5" t="n"/>
      <c r="P75" s="5" t="n"/>
    </row>
    <row r="76">
      <c r="A76" s="4">
        <f>IF(B76&lt;&gt;"",TEXT(ROW()-4,"GAP-000"),"")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11" t="n"/>
      <c r="L76" s="5" t="n"/>
      <c r="M76" s="5" t="n"/>
      <c r="N76" s="5" t="n"/>
      <c r="O76" s="5" t="n"/>
      <c r="P76" s="5" t="n"/>
    </row>
    <row r="77">
      <c r="A77" s="4">
        <f>IF(B77&lt;&gt;"",TEXT(ROW()-4,"GAP-000"),"")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11" t="n"/>
      <c r="L77" s="5" t="n"/>
      <c r="M77" s="5" t="n"/>
      <c r="N77" s="5" t="n"/>
      <c r="O77" s="5" t="n"/>
      <c r="P77" s="5" t="n"/>
    </row>
    <row r="78">
      <c r="A78" s="4">
        <f>IF(B78&lt;&gt;"",TEXT(ROW()-4,"GAP-000"),"")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11" t="n"/>
      <c r="L78" s="5" t="n"/>
      <c r="M78" s="5" t="n"/>
      <c r="N78" s="5" t="n"/>
      <c r="O78" s="5" t="n"/>
      <c r="P78" s="5" t="n"/>
    </row>
    <row r="79">
      <c r="A79" s="4">
        <f>IF(B79&lt;&gt;"",TEXT(ROW()-4,"GAP-000"),"")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11" t="n"/>
      <c r="L79" s="5" t="n"/>
      <c r="M79" s="5" t="n"/>
      <c r="N79" s="5" t="n"/>
      <c r="O79" s="5" t="n"/>
      <c r="P79" s="5" t="n"/>
    </row>
    <row r="80">
      <c r="A80" s="4">
        <f>IF(B80&lt;&gt;"",TEXT(ROW()-4,"GAP-000"),"")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11" t="n"/>
      <c r="L80" s="5" t="n"/>
      <c r="M80" s="5" t="n"/>
      <c r="N80" s="5" t="n"/>
      <c r="O80" s="5" t="n"/>
      <c r="P80" s="5" t="n"/>
    </row>
    <row r="81">
      <c r="A81" s="4">
        <f>IF(B81&lt;&gt;"",TEXT(ROW()-4,"GAP-000"),"")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11" t="n"/>
      <c r="L81" s="5" t="n"/>
      <c r="M81" s="5" t="n"/>
      <c r="N81" s="5" t="n"/>
      <c r="O81" s="5" t="n"/>
      <c r="P81" s="5" t="n"/>
    </row>
    <row r="82">
      <c r="A82" s="4">
        <f>IF(B82&lt;&gt;"",TEXT(ROW()-4,"GAP-000"),"")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11" t="n"/>
      <c r="L82" s="5" t="n"/>
      <c r="M82" s="5" t="n"/>
      <c r="N82" s="5" t="n"/>
      <c r="O82" s="5" t="n"/>
      <c r="P82" s="5" t="n"/>
    </row>
    <row r="83">
      <c r="A83" s="4">
        <f>IF(B83&lt;&gt;"",TEXT(ROW()-4,"GAP-000"),"")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11" t="n"/>
      <c r="L83" s="5" t="n"/>
      <c r="M83" s="5" t="n"/>
      <c r="N83" s="5" t="n"/>
      <c r="O83" s="5" t="n"/>
      <c r="P83" s="5" t="n"/>
    </row>
    <row r="84">
      <c r="A84" s="4">
        <f>IF(B84&lt;&gt;"",TEXT(ROW()-4,"GAP-000"),"")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11" t="n"/>
      <c r="L84" s="5" t="n"/>
      <c r="M84" s="5" t="n"/>
      <c r="N84" s="5" t="n"/>
      <c r="O84" s="5" t="n"/>
      <c r="P84" s="5" t="n"/>
    </row>
    <row r="85">
      <c r="A85" s="4">
        <f>IF(B85&lt;&gt;"",TEXT(ROW()-4,"GAP-000"),"")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11" t="n"/>
      <c r="L85" s="5" t="n"/>
      <c r="M85" s="5" t="n"/>
      <c r="N85" s="5" t="n"/>
      <c r="O85" s="5" t="n"/>
      <c r="P85" s="5" t="n"/>
    </row>
    <row r="86">
      <c r="A86" s="4">
        <f>IF(B86&lt;&gt;"",TEXT(ROW()-4,"GAP-000"),"")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11" t="n"/>
      <c r="L86" s="5" t="n"/>
      <c r="M86" s="5" t="n"/>
      <c r="N86" s="5" t="n"/>
      <c r="O86" s="5" t="n"/>
      <c r="P86" s="5" t="n"/>
    </row>
    <row r="87">
      <c r="A87" s="4">
        <f>IF(B87&lt;&gt;"",TEXT(ROW()-4,"GAP-000"),"")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11" t="n"/>
      <c r="L87" s="5" t="n"/>
      <c r="M87" s="5" t="n"/>
      <c r="N87" s="5" t="n"/>
      <c r="O87" s="5" t="n"/>
      <c r="P87" s="5" t="n"/>
    </row>
    <row r="88">
      <c r="A88" s="4">
        <f>IF(B88&lt;&gt;"",TEXT(ROW()-4,"GAP-000"),"")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11" t="n"/>
      <c r="L88" s="5" t="n"/>
      <c r="M88" s="5" t="n"/>
      <c r="N88" s="5" t="n"/>
      <c r="O88" s="5" t="n"/>
      <c r="P88" s="5" t="n"/>
    </row>
    <row r="89">
      <c r="A89" s="4">
        <f>IF(B89&lt;&gt;"",TEXT(ROW()-4,"GAP-000"),"")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11" t="n"/>
      <c r="L89" s="5" t="n"/>
      <c r="M89" s="5" t="n"/>
      <c r="N89" s="5" t="n"/>
      <c r="O89" s="5" t="n"/>
      <c r="P89" s="5" t="n"/>
    </row>
    <row r="90">
      <c r="A90" s="4">
        <f>IF(B90&lt;&gt;"",TEXT(ROW()-4,"GAP-000"),"")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11" t="n"/>
      <c r="L90" s="5" t="n"/>
      <c r="M90" s="5" t="n"/>
      <c r="N90" s="5" t="n"/>
      <c r="O90" s="5" t="n"/>
      <c r="P90" s="5" t="n"/>
    </row>
    <row r="91">
      <c r="A91" s="4">
        <f>IF(B91&lt;&gt;"",TEXT(ROW()-4,"GAP-000"),"")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11" t="n"/>
      <c r="L91" s="5" t="n"/>
      <c r="M91" s="5" t="n"/>
      <c r="N91" s="5" t="n"/>
      <c r="O91" s="5" t="n"/>
      <c r="P91" s="5" t="n"/>
    </row>
    <row r="92">
      <c r="A92" s="4">
        <f>IF(B92&lt;&gt;"",TEXT(ROW()-4,"GAP-000"),"")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11" t="n"/>
      <c r="L92" s="5" t="n"/>
      <c r="M92" s="5" t="n"/>
      <c r="N92" s="5" t="n"/>
      <c r="O92" s="5" t="n"/>
      <c r="P92" s="5" t="n"/>
    </row>
    <row r="93">
      <c r="A93" s="4">
        <f>IF(B93&lt;&gt;"",TEXT(ROW()-4,"GAP-000"),"")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11" t="n"/>
      <c r="L93" s="5" t="n"/>
      <c r="M93" s="5" t="n"/>
      <c r="N93" s="5" t="n"/>
      <c r="O93" s="5" t="n"/>
      <c r="P93" s="5" t="n"/>
    </row>
    <row r="94">
      <c r="A94" s="4">
        <f>IF(B94&lt;&gt;"",TEXT(ROW()-4,"GAP-000"),"")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11" t="n"/>
      <c r="L94" s="5" t="n"/>
      <c r="M94" s="5" t="n"/>
      <c r="N94" s="5" t="n"/>
      <c r="O94" s="5" t="n"/>
      <c r="P94" s="5" t="n"/>
    </row>
    <row r="95">
      <c r="A95" s="4">
        <f>IF(B95&lt;&gt;"",TEXT(ROW()-4,"GAP-000"),"")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11" t="n"/>
      <c r="L95" s="5" t="n"/>
      <c r="M95" s="5" t="n"/>
      <c r="N95" s="5" t="n"/>
      <c r="O95" s="5" t="n"/>
      <c r="P95" s="5" t="n"/>
    </row>
    <row r="96">
      <c r="A96" s="4">
        <f>IF(B96&lt;&gt;"",TEXT(ROW()-4,"GAP-000"),"")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11" t="n"/>
      <c r="L96" s="5" t="n"/>
      <c r="M96" s="5" t="n"/>
      <c r="N96" s="5" t="n"/>
      <c r="O96" s="5" t="n"/>
      <c r="P96" s="5" t="n"/>
    </row>
    <row r="97">
      <c r="A97" s="4">
        <f>IF(B97&lt;&gt;"",TEXT(ROW()-4,"GAP-000"),"")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11" t="n"/>
      <c r="L97" s="5" t="n"/>
      <c r="M97" s="5" t="n"/>
      <c r="N97" s="5" t="n"/>
      <c r="O97" s="5" t="n"/>
      <c r="P97" s="5" t="n"/>
    </row>
    <row r="98">
      <c r="A98" s="4">
        <f>IF(B98&lt;&gt;"",TEXT(ROW()-4,"GAP-000"),"")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11" t="n"/>
      <c r="L98" s="5" t="n"/>
      <c r="M98" s="5" t="n"/>
      <c r="N98" s="5" t="n"/>
      <c r="O98" s="5" t="n"/>
      <c r="P98" s="5" t="n"/>
    </row>
    <row r="99">
      <c r="A99" s="4">
        <f>IF(B99&lt;&gt;"",TEXT(ROW()-4,"GAP-000"),"")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11" t="n"/>
      <c r="L99" s="5" t="n"/>
      <c r="M99" s="5" t="n"/>
      <c r="N99" s="5" t="n"/>
      <c r="O99" s="5" t="n"/>
      <c r="P99" s="5" t="n"/>
    </row>
    <row r="100">
      <c r="A100" s="4">
        <f>IF(B100&lt;&gt;"",TEXT(ROW()-4,"GAP-000"),"")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11" t="n"/>
      <c r="L100" s="5" t="n"/>
      <c r="M100" s="5" t="n"/>
      <c r="N100" s="5" t="n"/>
      <c r="O100" s="5" t="n"/>
      <c r="P100" s="5" t="n"/>
    </row>
    <row r="101">
      <c r="A101" s="4">
        <f>IF(B101&lt;&gt;"",TEXT(ROW()-4,"GAP-000"),"")</f>
        <v/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11" t="n"/>
      <c r="L101" s="5" t="n"/>
      <c r="M101" s="5" t="n"/>
      <c r="N101" s="5" t="n"/>
      <c r="O101" s="5" t="n"/>
      <c r="P101" s="5" t="n"/>
    </row>
    <row r="102">
      <c r="A102" s="4">
        <f>IF(B102&lt;&gt;"",TEXT(ROW()-4,"GAP-000"),"")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11" t="n"/>
      <c r="L102" s="5" t="n"/>
      <c r="M102" s="5" t="n"/>
      <c r="N102" s="5" t="n"/>
      <c r="O102" s="5" t="n"/>
      <c r="P102" s="5" t="n"/>
    </row>
    <row r="103">
      <c r="A103" s="4">
        <f>IF(B103&lt;&gt;"",TEXT(ROW()-4,"GAP-000"),"")</f>
        <v/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11" t="n"/>
      <c r="L103" s="5" t="n"/>
      <c r="M103" s="5" t="n"/>
      <c r="N103" s="5" t="n"/>
      <c r="O103" s="5" t="n"/>
      <c r="P103" s="5" t="n"/>
    </row>
    <row r="104">
      <c r="A104" s="4">
        <f>IF(B104&lt;&gt;"",TEXT(ROW()-4,"GAP-000"),"")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11" t="n"/>
      <c r="L104" s="5" t="n"/>
      <c r="M104" s="5" t="n"/>
      <c r="N104" s="5" t="n"/>
      <c r="O104" s="5" t="n"/>
      <c r="P1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P1"/>
    <mergeCell ref="A2:P2"/>
  </mergeCells>
  <dataValidations count="5">
    <dataValidation sqref="B5:B104" showDropDown="0" showInputMessage="0" showErrorMessage="1" allowBlank="1" errorTitle="Invalid Entry" error="Please select from dropdown" type="list">
      <formula1>"Contract_Template_Assessment,Required_Clause_Registry,Personnel_Contract_Compliance,Confidentiality_NDA_Tracking,Post_Employment_Obligations,Contractor_Agreement_Assessment"</formula1>
    </dataValidation>
    <dataValidation sqref="D5:D104" showDropDown="0" showInputMessage="0" showErrorMessage="1" allowBlank="1" errorTitle="Invalid Entry" error="Please select from dropdown" type="list">
      <formula1>"Template-Gap,Clause-Gap,Contract-Gap,NDA-Gap,Post-Employment-Gap,Contractor-Gap,Process-Gap,Documentation-Gap"</formula1>
    </dataValidation>
    <dataValidation sqref="F5:F104" showDropDown="0" showInputMessage="0" showErrorMessage="1" allowBlank="1" errorTitle="Invalid Entry" error="Please select from dropdown" type="list">
      <formula1>"Critical,High,Medium,Low"</formula1>
    </dataValidation>
    <dataValidation sqref="L5:L104" showDropDown="0" showInputMessage="0" showErrorMessage="1" allowBlank="1" errorTitle="Invalid Entry" error="Please select from dropdown" type="list">
      <formula1>"&lt;1hr,1-4hrs,1day,2-5days,&gt;1week"</formula1>
    </dataValidation>
    <dataValidation sqref="N5:N104" showDropDown="0" showInputMessage="0" showErrorMessage="1" allowBlank="1" errorTitle="Invalid Entry" error="Please select from dropdown" type="list">
      <formula1>"Not-Started,In-Progress,Blocked,Completed,Accepted-Risk"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20" customWidth="1" min="4" max="4"/>
    <col width="25" customWidth="1" min="5" max="5"/>
    <col width="40" customWidth="1" min="6" max="6"/>
    <col width="12" customWidth="1" min="7" max="7"/>
    <col width="25" customWidth="1" min="8" max="8"/>
    <col width="15" customWidth="1" min="9" max="9"/>
    <col width="40" customWidth="1" min="10" max="10"/>
  </cols>
  <sheetData>
    <row r="1">
      <c r="A1" s="1" t="inlineStr">
        <is>
          <t>EVIDENCE REGISTER</t>
        </is>
      </c>
    </row>
    <row r="2">
      <c r="A2" s="2" t="inlineStr">
        <is>
          <t>Documentation of all supporting evidence for employment contract assessment</t>
        </is>
      </c>
    </row>
    <row r="4">
      <c r="A4" s="8" t="inlineStr">
        <is>
          <t>Evidence_ID</t>
        </is>
      </c>
      <c r="B4" s="8" t="inlineStr">
        <is>
          <t>Evidence_Type</t>
        </is>
      </c>
      <c r="C4" s="8" t="inlineStr">
        <is>
          <t>Description</t>
        </is>
      </c>
      <c r="D4" s="8" t="inlineStr">
        <is>
          <t>Related_Entity_ID</t>
        </is>
      </c>
      <c r="E4" s="8" t="inlineStr">
        <is>
          <t>Related_Assessment_Sheet</t>
        </is>
      </c>
      <c r="F4" s="8" t="inlineStr">
        <is>
          <t>File_Location</t>
        </is>
      </c>
      <c r="G4" s="8" t="inlineStr">
        <is>
          <t>Date_Collected</t>
        </is>
      </c>
      <c r="H4" s="8" t="inlineStr">
        <is>
          <t>Collected_By</t>
        </is>
      </c>
      <c r="I4" s="8" t="inlineStr">
        <is>
          <t>Verification_Status</t>
        </is>
      </c>
      <c r="J4" s="8" t="inlineStr">
        <is>
          <t>Notes</t>
        </is>
      </c>
    </row>
    <row r="5">
      <c r="A5" s="4">
        <f>IF(B5&lt;&gt;"",TEXT(ROW()-4,"EVD-000"),"")</f>
        <v/>
      </c>
      <c r="B5" s="5" t="n"/>
      <c r="C5" s="5" t="n"/>
      <c r="D5" s="5" t="n"/>
      <c r="E5" s="5" t="n"/>
      <c r="F5" s="5" t="n"/>
      <c r="G5" s="11" t="n"/>
      <c r="H5" s="5" t="n"/>
      <c r="I5" s="5" t="n"/>
      <c r="J5" s="5" t="n"/>
    </row>
    <row r="6">
      <c r="A6" s="4">
        <f>IF(B6&lt;&gt;"",TEXT(ROW()-4,"EVD-000"),"")</f>
        <v/>
      </c>
      <c r="B6" s="5" t="n"/>
      <c r="C6" s="5" t="n"/>
      <c r="D6" s="5" t="n"/>
      <c r="E6" s="5" t="n"/>
      <c r="F6" s="5" t="n"/>
      <c r="G6" s="11" t="n"/>
      <c r="H6" s="5" t="n"/>
      <c r="I6" s="5" t="n"/>
      <c r="J6" s="5" t="n"/>
    </row>
    <row r="7">
      <c r="A7" s="4">
        <f>IF(B7&lt;&gt;"",TEXT(ROW()-4,"EVD-000"),"")</f>
        <v/>
      </c>
      <c r="B7" s="5" t="n"/>
      <c r="C7" s="5" t="n"/>
      <c r="D7" s="5" t="n"/>
      <c r="E7" s="5" t="n"/>
      <c r="F7" s="5" t="n"/>
      <c r="G7" s="11" t="n"/>
      <c r="H7" s="5" t="n"/>
      <c r="I7" s="5" t="n"/>
      <c r="J7" s="5" t="n"/>
    </row>
    <row r="8">
      <c r="A8" s="4">
        <f>IF(B8&lt;&gt;"",TEXT(ROW()-4,"EVD-000"),"")</f>
        <v/>
      </c>
      <c r="B8" s="5" t="n"/>
      <c r="C8" s="5" t="n"/>
      <c r="D8" s="5" t="n"/>
      <c r="E8" s="5" t="n"/>
      <c r="F8" s="5" t="n"/>
      <c r="G8" s="11" t="n"/>
      <c r="H8" s="5" t="n"/>
      <c r="I8" s="5" t="n"/>
      <c r="J8" s="5" t="n"/>
    </row>
    <row r="9">
      <c r="A9" s="4">
        <f>IF(B9&lt;&gt;"",TEXT(ROW()-4,"EVD-000"),"")</f>
        <v/>
      </c>
      <c r="B9" s="5" t="n"/>
      <c r="C9" s="5" t="n"/>
      <c r="D9" s="5" t="n"/>
      <c r="E9" s="5" t="n"/>
      <c r="F9" s="5" t="n"/>
      <c r="G9" s="11" t="n"/>
      <c r="H9" s="5" t="n"/>
      <c r="I9" s="5" t="n"/>
      <c r="J9" s="5" t="n"/>
    </row>
    <row r="10">
      <c r="A10" s="4">
        <f>IF(B10&lt;&gt;"",TEXT(ROW()-4,"EVD-000"),"")</f>
        <v/>
      </c>
      <c r="B10" s="5" t="n"/>
      <c r="C10" s="5" t="n"/>
      <c r="D10" s="5" t="n"/>
      <c r="E10" s="5" t="n"/>
      <c r="F10" s="5" t="n"/>
      <c r="G10" s="11" t="n"/>
      <c r="H10" s="5" t="n"/>
      <c r="I10" s="5" t="n"/>
      <c r="J10" s="5" t="n"/>
    </row>
    <row r="11">
      <c r="A11" s="4">
        <f>IF(B11&lt;&gt;"",TEXT(ROW()-4,"EVD-000"),"")</f>
        <v/>
      </c>
      <c r="B11" s="5" t="n"/>
      <c r="C11" s="5" t="n"/>
      <c r="D11" s="5" t="n"/>
      <c r="E11" s="5" t="n"/>
      <c r="F11" s="5" t="n"/>
      <c r="G11" s="11" t="n"/>
      <c r="H11" s="5" t="n"/>
      <c r="I11" s="5" t="n"/>
      <c r="J11" s="5" t="n"/>
    </row>
    <row r="12">
      <c r="A12" s="4">
        <f>IF(B12&lt;&gt;"",TEXT(ROW()-4,"EVD-000"),"")</f>
        <v/>
      </c>
      <c r="B12" s="5" t="n"/>
      <c r="C12" s="5" t="n"/>
      <c r="D12" s="5" t="n"/>
      <c r="E12" s="5" t="n"/>
      <c r="F12" s="5" t="n"/>
      <c r="G12" s="11" t="n"/>
      <c r="H12" s="5" t="n"/>
      <c r="I12" s="5" t="n"/>
      <c r="J12" s="5" t="n"/>
    </row>
    <row r="13">
      <c r="A13" s="4">
        <f>IF(B13&lt;&gt;"",TEXT(ROW()-4,"EVD-000"),"")</f>
        <v/>
      </c>
      <c r="B13" s="5" t="n"/>
      <c r="C13" s="5" t="n"/>
      <c r="D13" s="5" t="n"/>
      <c r="E13" s="5" t="n"/>
      <c r="F13" s="5" t="n"/>
      <c r="G13" s="11" t="n"/>
      <c r="H13" s="5" t="n"/>
      <c r="I13" s="5" t="n"/>
      <c r="J13" s="5" t="n"/>
    </row>
    <row r="14">
      <c r="A14" s="4">
        <f>IF(B14&lt;&gt;"",TEXT(ROW()-4,"EVD-000"),"")</f>
        <v/>
      </c>
      <c r="B14" s="5" t="n"/>
      <c r="C14" s="5" t="n"/>
      <c r="D14" s="5" t="n"/>
      <c r="E14" s="5" t="n"/>
      <c r="F14" s="5" t="n"/>
      <c r="G14" s="11" t="n"/>
      <c r="H14" s="5" t="n"/>
      <c r="I14" s="5" t="n"/>
      <c r="J14" s="5" t="n"/>
    </row>
    <row r="15">
      <c r="A15" s="4">
        <f>IF(B15&lt;&gt;"",TEXT(ROW()-4,"EVD-000"),"")</f>
        <v/>
      </c>
      <c r="B15" s="5" t="n"/>
      <c r="C15" s="5" t="n"/>
      <c r="D15" s="5" t="n"/>
      <c r="E15" s="5" t="n"/>
      <c r="F15" s="5" t="n"/>
      <c r="G15" s="11" t="n"/>
      <c r="H15" s="5" t="n"/>
      <c r="I15" s="5" t="n"/>
      <c r="J15" s="5" t="n"/>
    </row>
    <row r="16">
      <c r="A16" s="4">
        <f>IF(B16&lt;&gt;"",TEXT(ROW()-4,"EVD-000"),"")</f>
        <v/>
      </c>
      <c r="B16" s="5" t="n"/>
      <c r="C16" s="5" t="n"/>
      <c r="D16" s="5" t="n"/>
      <c r="E16" s="5" t="n"/>
      <c r="F16" s="5" t="n"/>
      <c r="G16" s="11" t="n"/>
      <c r="H16" s="5" t="n"/>
      <c r="I16" s="5" t="n"/>
      <c r="J16" s="5" t="n"/>
    </row>
    <row r="17">
      <c r="A17" s="4">
        <f>IF(B17&lt;&gt;"",TEXT(ROW()-4,"EVD-000"),"")</f>
        <v/>
      </c>
      <c r="B17" s="5" t="n"/>
      <c r="C17" s="5" t="n"/>
      <c r="D17" s="5" t="n"/>
      <c r="E17" s="5" t="n"/>
      <c r="F17" s="5" t="n"/>
      <c r="G17" s="11" t="n"/>
      <c r="H17" s="5" t="n"/>
      <c r="I17" s="5" t="n"/>
      <c r="J17" s="5" t="n"/>
    </row>
    <row r="18">
      <c r="A18" s="4">
        <f>IF(B18&lt;&gt;"",TEXT(ROW()-4,"EVD-000"),"")</f>
        <v/>
      </c>
      <c r="B18" s="5" t="n"/>
      <c r="C18" s="5" t="n"/>
      <c r="D18" s="5" t="n"/>
      <c r="E18" s="5" t="n"/>
      <c r="F18" s="5" t="n"/>
      <c r="G18" s="11" t="n"/>
      <c r="H18" s="5" t="n"/>
      <c r="I18" s="5" t="n"/>
      <c r="J18" s="5" t="n"/>
    </row>
    <row r="19">
      <c r="A19" s="4">
        <f>IF(B19&lt;&gt;"",TEXT(ROW()-4,"EVD-000"),"")</f>
        <v/>
      </c>
      <c r="B19" s="5" t="n"/>
      <c r="C19" s="5" t="n"/>
      <c r="D19" s="5" t="n"/>
      <c r="E19" s="5" t="n"/>
      <c r="F19" s="5" t="n"/>
      <c r="G19" s="11" t="n"/>
      <c r="H19" s="5" t="n"/>
      <c r="I19" s="5" t="n"/>
      <c r="J19" s="5" t="n"/>
    </row>
    <row r="20">
      <c r="A20" s="4">
        <f>IF(B20&lt;&gt;"",TEXT(ROW()-4,"EVD-000"),"")</f>
        <v/>
      </c>
      <c r="B20" s="5" t="n"/>
      <c r="C20" s="5" t="n"/>
      <c r="D20" s="5" t="n"/>
      <c r="E20" s="5" t="n"/>
      <c r="F20" s="5" t="n"/>
      <c r="G20" s="11" t="n"/>
      <c r="H20" s="5" t="n"/>
      <c r="I20" s="5" t="n"/>
      <c r="J20" s="5" t="n"/>
    </row>
    <row r="21">
      <c r="A21" s="4">
        <f>IF(B21&lt;&gt;"",TEXT(ROW()-4,"EVD-000"),"")</f>
        <v/>
      </c>
      <c r="B21" s="5" t="n"/>
      <c r="C21" s="5" t="n"/>
      <c r="D21" s="5" t="n"/>
      <c r="E21" s="5" t="n"/>
      <c r="F21" s="5" t="n"/>
      <c r="G21" s="11" t="n"/>
      <c r="H21" s="5" t="n"/>
      <c r="I21" s="5" t="n"/>
      <c r="J21" s="5" t="n"/>
    </row>
    <row r="22">
      <c r="A22" s="4">
        <f>IF(B22&lt;&gt;"",TEXT(ROW()-4,"EVD-000"),"")</f>
        <v/>
      </c>
      <c r="B22" s="5" t="n"/>
      <c r="C22" s="5" t="n"/>
      <c r="D22" s="5" t="n"/>
      <c r="E22" s="5" t="n"/>
      <c r="F22" s="5" t="n"/>
      <c r="G22" s="11" t="n"/>
      <c r="H22" s="5" t="n"/>
      <c r="I22" s="5" t="n"/>
      <c r="J22" s="5" t="n"/>
    </row>
    <row r="23">
      <c r="A23" s="4">
        <f>IF(B23&lt;&gt;"",TEXT(ROW()-4,"EVD-000"),"")</f>
        <v/>
      </c>
      <c r="B23" s="5" t="n"/>
      <c r="C23" s="5" t="n"/>
      <c r="D23" s="5" t="n"/>
      <c r="E23" s="5" t="n"/>
      <c r="F23" s="5" t="n"/>
      <c r="G23" s="11" t="n"/>
      <c r="H23" s="5" t="n"/>
      <c r="I23" s="5" t="n"/>
      <c r="J23" s="5" t="n"/>
    </row>
    <row r="24">
      <c r="A24" s="4">
        <f>IF(B24&lt;&gt;"",TEXT(ROW()-4,"EVD-000"),"")</f>
        <v/>
      </c>
      <c r="B24" s="5" t="n"/>
      <c r="C24" s="5" t="n"/>
      <c r="D24" s="5" t="n"/>
      <c r="E24" s="5" t="n"/>
      <c r="F24" s="5" t="n"/>
      <c r="G24" s="11" t="n"/>
      <c r="H24" s="5" t="n"/>
      <c r="I24" s="5" t="n"/>
      <c r="J24" s="5" t="n"/>
    </row>
    <row r="25">
      <c r="A25" s="4">
        <f>IF(B25&lt;&gt;"",TEXT(ROW()-4,"EVD-000"),"")</f>
        <v/>
      </c>
      <c r="B25" s="5" t="n"/>
      <c r="C25" s="5" t="n"/>
      <c r="D25" s="5" t="n"/>
      <c r="E25" s="5" t="n"/>
      <c r="F25" s="5" t="n"/>
      <c r="G25" s="11" t="n"/>
      <c r="H25" s="5" t="n"/>
      <c r="I25" s="5" t="n"/>
      <c r="J25" s="5" t="n"/>
    </row>
    <row r="26">
      <c r="A26" s="4">
        <f>IF(B26&lt;&gt;"",TEXT(ROW()-4,"EVD-000"),"")</f>
        <v/>
      </c>
      <c r="B26" s="5" t="n"/>
      <c r="C26" s="5" t="n"/>
      <c r="D26" s="5" t="n"/>
      <c r="E26" s="5" t="n"/>
      <c r="F26" s="5" t="n"/>
      <c r="G26" s="11" t="n"/>
      <c r="H26" s="5" t="n"/>
      <c r="I26" s="5" t="n"/>
      <c r="J26" s="5" t="n"/>
    </row>
    <row r="27">
      <c r="A27" s="4">
        <f>IF(B27&lt;&gt;"",TEXT(ROW()-4,"EVD-000"),"")</f>
        <v/>
      </c>
      <c r="B27" s="5" t="n"/>
      <c r="C27" s="5" t="n"/>
      <c r="D27" s="5" t="n"/>
      <c r="E27" s="5" t="n"/>
      <c r="F27" s="5" t="n"/>
      <c r="G27" s="11" t="n"/>
      <c r="H27" s="5" t="n"/>
      <c r="I27" s="5" t="n"/>
      <c r="J27" s="5" t="n"/>
    </row>
    <row r="28">
      <c r="A28" s="4">
        <f>IF(B28&lt;&gt;"",TEXT(ROW()-4,"EVD-000"),"")</f>
        <v/>
      </c>
      <c r="B28" s="5" t="n"/>
      <c r="C28" s="5" t="n"/>
      <c r="D28" s="5" t="n"/>
      <c r="E28" s="5" t="n"/>
      <c r="F28" s="5" t="n"/>
      <c r="G28" s="11" t="n"/>
      <c r="H28" s="5" t="n"/>
      <c r="I28" s="5" t="n"/>
      <c r="J28" s="5" t="n"/>
    </row>
    <row r="29">
      <c r="A29" s="4">
        <f>IF(B29&lt;&gt;"",TEXT(ROW()-4,"EVD-000"),"")</f>
        <v/>
      </c>
      <c r="B29" s="5" t="n"/>
      <c r="C29" s="5" t="n"/>
      <c r="D29" s="5" t="n"/>
      <c r="E29" s="5" t="n"/>
      <c r="F29" s="5" t="n"/>
      <c r="G29" s="11" t="n"/>
      <c r="H29" s="5" t="n"/>
      <c r="I29" s="5" t="n"/>
      <c r="J29" s="5" t="n"/>
    </row>
    <row r="30">
      <c r="A30" s="4">
        <f>IF(B30&lt;&gt;"",TEXT(ROW()-4,"EVD-000"),"")</f>
        <v/>
      </c>
      <c r="B30" s="5" t="n"/>
      <c r="C30" s="5" t="n"/>
      <c r="D30" s="5" t="n"/>
      <c r="E30" s="5" t="n"/>
      <c r="F30" s="5" t="n"/>
      <c r="G30" s="11" t="n"/>
      <c r="H30" s="5" t="n"/>
      <c r="I30" s="5" t="n"/>
      <c r="J30" s="5" t="n"/>
    </row>
    <row r="31">
      <c r="A31" s="4">
        <f>IF(B31&lt;&gt;"",TEXT(ROW()-4,"EVD-000"),"")</f>
        <v/>
      </c>
      <c r="B31" s="5" t="n"/>
      <c r="C31" s="5" t="n"/>
      <c r="D31" s="5" t="n"/>
      <c r="E31" s="5" t="n"/>
      <c r="F31" s="5" t="n"/>
      <c r="G31" s="11" t="n"/>
      <c r="H31" s="5" t="n"/>
      <c r="I31" s="5" t="n"/>
      <c r="J31" s="5" t="n"/>
    </row>
    <row r="32">
      <c r="A32" s="4">
        <f>IF(B32&lt;&gt;"",TEXT(ROW()-4,"EVD-000"),"")</f>
        <v/>
      </c>
      <c r="B32" s="5" t="n"/>
      <c r="C32" s="5" t="n"/>
      <c r="D32" s="5" t="n"/>
      <c r="E32" s="5" t="n"/>
      <c r="F32" s="5" t="n"/>
      <c r="G32" s="11" t="n"/>
      <c r="H32" s="5" t="n"/>
      <c r="I32" s="5" t="n"/>
      <c r="J32" s="5" t="n"/>
    </row>
    <row r="33">
      <c r="A33" s="4">
        <f>IF(B33&lt;&gt;"",TEXT(ROW()-4,"EVD-000"),"")</f>
        <v/>
      </c>
      <c r="B33" s="5" t="n"/>
      <c r="C33" s="5" t="n"/>
      <c r="D33" s="5" t="n"/>
      <c r="E33" s="5" t="n"/>
      <c r="F33" s="5" t="n"/>
      <c r="G33" s="11" t="n"/>
      <c r="H33" s="5" t="n"/>
      <c r="I33" s="5" t="n"/>
      <c r="J33" s="5" t="n"/>
    </row>
    <row r="34">
      <c r="A34" s="4">
        <f>IF(B34&lt;&gt;"",TEXT(ROW()-4,"EVD-000"),"")</f>
        <v/>
      </c>
      <c r="B34" s="5" t="n"/>
      <c r="C34" s="5" t="n"/>
      <c r="D34" s="5" t="n"/>
      <c r="E34" s="5" t="n"/>
      <c r="F34" s="5" t="n"/>
      <c r="G34" s="11" t="n"/>
      <c r="H34" s="5" t="n"/>
      <c r="I34" s="5" t="n"/>
      <c r="J34" s="5" t="n"/>
    </row>
    <row r="35">
      <c r="A35" s="4">
        <f>IF(B35&lt;&gt;"",TEXT(ROW()-4,"EVD-000"),"")</f>
        <v/>
      </c>
      <c r="B35" s="5" t="n"/>
      <c r="C35" s="5" t="n"/>
      <c r="D35" s="5" t="n"/>
      <c r="E35" s="5" t="n"/>
      <c r="F35" s="5" t="n"/>
      <c r="G35" s="11" t="n"/>
      <c r="H35" s="5" t="n"/>
      <c r="I35" s="5" t="n"/>
      <c r="J35" s="5" t="n"/>
    </row>
    <row r="36">
      <c r="A36" s="4">
        <f>IF(B36&lt;&gt;"",TEXT(ROW()-4,"EVD-000"),"")</f>
        <v/>
      </c>
      <c r="B36" s="5" t="n"/>
      <c r="C36" s="5" t="n"/>
      <c r="D36" s="5" t="n"/>
      <c r="E36" s="5" t="n"/>
      <c r="F36" s="5" t="n"/>
      <c r="G36" s="11" t="n"/>
      <c r="H36" s="5" t="n"/>
      <c r="I36" s="5" t="n"/>
      <c r="J36" s="5" t="n"/>
    </row>
    <row r="37">
      <c r="A37" s="4">
        <f>IF(B37&lt;&gt;"",TEXT(ROW()-4,"EVD-000"),"")</f>
        <v/>
      </c>
      <c r="B37" s="5" t="n"/>
      <c r="C37" s="5" t="n"/>
      <c r="D37" s="5" t="n"/>
      <c r="E37" s="5" t="n"/>
      <c r="F37" s="5" t="n"/>
      <c r="G37" s="11" t="n"/>
      <c r="H37" s="5" t="n"/>
      <c r="I37" s="5" t="n"/>
      <c r="J37" s="5" t="n"/>
    </row>
    <row r="38">
      <c r="A38" s="4">
        <f>IF(B38&lt;&gt;"",TEXT(ROW()-4,"EVD-000"),"")</f>
        <v/>
      </c>
      <c r="B38" s="5" t="n"/>
      <c r="C38" s="5" t="n"/>
      <c r="D38" s="5" t="n"/>
      <c r="E38" s="5" t="n"/>
      <c r="F38" s="5" t="n"/>
      <c r="G38" s="11" t="n"/>
      <c r="H38" s="5" t="n"/>
      <c r="I38" s="5" t="n"/>
      <c r="J38" s="5" t="n"/>
    </row>
    <row r="39">
      <c r="A39" s="4">
        <f>IF(B39&lt;&gt;"",TEXT(ROW()-4,"EVD-000"),"")</f>
        <v/>
      </c>
      <c r="B39" s="5" t="n"/>
      <c r="C39" s="5" t="n"/>
      <c r="D39" s="5" t="n"/>
      <c r="E39" s="5" t="n"/>
      <c r="F39" s="5" t="n"/>
      <c r="G39" s="11" t="n"/>
      <c r="H39" s="5" t="n"/>
      <c r="I39" s="5" t="n"/>
      <c r="J39" s="5" t="n"/>
    </row>
    <row r="40">
      <c r="A40" s="4">
        <f>IF(B40&lt;&gt;"",TEXT(ROW()-4,"EVD-000"),"")</f>
        <v/>
      </c>
      <c r="B40" s="5" t="n"/>
      <c r="C40" s="5" t="n"/>
      <c r="D40" s="5" t="n"/>
      <c r="E40" s="5" t="n"/>
      <c r="F40" s="5" t="n"/>
      <c r="G40" s="11" t="n"/>
      <c r="H40" s="5" t="n"/>
      <c r="I40" s="5" t="n"/>
      <c r="J40" s="5" t="n"/>
    </row>
    <row r="41">
      <c r="A41" s="4">
        <f>IF(B41&lt;&gt;"",TEXT(ROW()-4,"EVD-000"),"")</f>
        <v/>
      </c>
      <c r="B41" s="5" t="n"/>
      <c r="C41" s="5" t="n"/>
      <c r="D41" s="5" t="n"/>
      <c r="E41" s="5" t="n"/>
      <c r="F41" s="5" t="n"/>
      <c r="G41" s="11" t="n"/>
      <c r="H41" s="5" t="n"/>
      <c r="I41" s="5" t="n"/>
      <c r="J41" s="5" t="n"/>
    </row>
    <row r="42">
      <c r="A42" s="4">
        <f>IF(B42&lt;&gt;"",TEXT(ROW()-4,"EVD-000"),"")</f>
        <v/>
      </c>
      <c r="B42" s="5" t="n"/>
      <c r="C42" s="5" t="n"/>
      <c r="D42" s="5" t="n"/>
      <c r="E42" s="5" t="n"/>
      <c r="F42" s="5" t="n"/>
      <c r="G42" s="11" t="n"/>
      <c r="H42" s="5" t="n"/>
      <c r="I42" s="5" t="n"/>
      <c r="J42" s="5" t="n"/>
    </row>
    <row r="43">
      <c r="A43" s="4">
        <f>IF(B43&lt;&gt;"",TEXT(ROW()-4,"EVD-000"),"")</f>
        <v/>
      </c>
      <c r="B43" s="5" t="n"/>
      <c r="C43" s="5" t="n"/>
      <c r="D43" s="5" t="n"/>
      <c r="E43" s="5" t="n"/>
      <c r="F43" s="5" t="n"/>
      <c r="G43" s="11" t="n"/>
      <c r="H43" s="5" t="n"/>
      <c r="I43" s="5" t="n"/>
      <c r="J43" s="5" t="n"/>
    </row>
    <row r="44">
      <c r="A44" s="4">
        <f>IF(B44&lt;&gt;"",TEXT(ROW()-4,"EVD-000"),"")</f>
        <v/>
      </c>
      <c r="B44" s="5" t="n"/>
      <c r="C44" s="5" t="n"/>
      <c r="D44" s="5" t="n"/>
      <c r="E44" s="5" t="n"/>
      <c r="F44" s="5" t="n"/>
      <c r="G44" s="11" t="n"/>
      <c r="H44" s="5" t="n"/>
      <c r="I44" s="5" t="n"/>
      <c r="J44" s="5" t="n"/>
    </row>
    <row r="45">
      <c r="A45" s="4">
        <f>IF(B45&lt;&gt;"",TEXT(ROW()-4,"EVD-000"),"")</f>
        <v/>
      </c>
      <c r="B45" s="5" t="n"/>
      <c r="C45" s="5" t="n"/>
      <c r="D45" s="5" t="n"/>
      <c r="E45" s="5" t="n"/>
      <c r="F45" s="5" t="n"/>
      <c r="G45" s="11" t="n"/>
      <c r="H45" s="5" t="n"/>
      <c r="I45" s="5" t="n"/>
      <c r="J45" s="5" t="n"/>
    </row>
    <row r="46">
      <c r="A46" s="4">
        <f>IF(B46&lt;&gt;"",TEXT(ROW()-4,"EVD-000"),"")</f>
        <v/>
      </c>
      <c r="B46" s="5" t="n"/>
      <c r="C46" s="5" t="n"/>
      <c r="D46" s="5" t="n"/>
      <c r="E46" s="5" t="n"/>
      <c r="F46" s="5" t="n"/>
      <c r="G46" s="11" t="n"/>
      <c r="H46" s="5" t="n"/>
      <c r="I46" s="5" t="n"/>
      <c r="J46" s="5" t="n"/>
    </row>
    <row r="47">
      <c r="A47" s="4">
        <f>IF(B47&lt;&gt;"",TEXT(ROW()-4,"EVD-000"),"")</f>
        <v/>
      </c>
      <c r="B47" s="5" t="n"/>
      <c r="C47" s="5" t="n"/>
      <c r="D47" s="5" t="n"/>
      <c r="E47" s="5" t="n"/>
      <c r="F47" s="5" t="n"/>
      <c r="G47" s="11" t="n"/>
      <c r="H47" s="5" t="n"/>
      <c r="I47" s="5" t="n"/>
      <c r="J47" s="5" t="n"/>
    </row>
    <row r="48">
      <c r="A48" s="4">
        <f>IF(B48&lt;&gt;"",TEXT(ROW()-4,"EVD-000"),"")</f>
        <v/>
      </c>
      <c r="B48" s="5" t="n"/>
      <c r="C48" s="5" t="n"/>
      <c r="D48" s="5" t="n"/>
      <c r="E48" s="5" t="n"/>
      <c r="F48" s="5" t="n"/>
      <c r="G48" s="11" t="n"/>
      <c r="H48" s="5" t="n"/>
      <c r="I48" s="5" t="n"/>
      <c r="J48" s="5" t="n"/>
    </row>
    <row r="49">
      <c r="A49" s="4">
        <f>IF(B49&lt;&gt;"",TEXT(ROW()-4,"EVD-000"),"")</f>
        <v/>
      </c>
      <c r="B49" s="5" t="n"/>
      <c r="C49" s="5" t="n"/>
      <c r="D49" s="5" t="n"/>
      <c r="E49" s="5" t="n"/>
      <c r="F49" s="5" t="n"/>
      <c r="G49" s="11" t="n"/>
      <c r="H49" s="5" t="n"/>
      <c r="I49" s="5" t="n"/>
      <c r="J49" s="5" t="n"/>
    </row>
    <row r="50">
      <c r="A50" s="4">
        <f>IF(B50&lt;&gt;"",TEXT(ROW()-4,"EVD-000"),"")</f>
        <v/>
      </c>
      <c r="B50" s="5" t="n"/>
      <c r="C50" s="5" t="n"/>
      <c r="D50" s="5" t="n"/>
      <c r="E50" s="5" t="n"/>
      <c r="F50" s="5" t="n"/>
      <c r="G50" s="11" t="n"/>
      <c r="H50" s="5" t="n"/>
      <c r="I50" s="5" t="n"/>
      <c r="J50" s="5" t="n"/>
    </row>
    <row r="51">
      <c r="A51" s="4">
        <f>IF(B51&lt;&gt;"",TEXT(ROW()-4,"EVD-000"),"")</f>
        <v/>
      </c>
      <c r="B51" s="5" t="n"/>
      <c r="C51" s="5" t="n"/>
      <c r="D51" s="5" t="n"/>
      <c r="E51" s="5" t="n"/>
      <c r="F51" s="5" t="n"/>
      <c r="G51" s="11" t="n"/>
      <c r="H51" s="5" t="n"/>
      <c r="I51" s="5" t="n"/>
      <c r="J51" s="5" t="n"/>
    </row>
    <row r="52">
      <c r="A52" s="4">
        <f>IF(B52&lt;&gt;"",TEXT(ROW()-4,"EVD-000"),"")</f>
        <v/>
      </c>
      <c r="B52" s="5" t="n"/>
      <c r="C52" s="5" t="n"/>
      <c r="D52" s="5" t="n"/>
      <c r="E52" s="5" t="n"/>
      <c r="F52" s="5" t="n"/>
      <c r="G52" s="11" t="n"/>
      <c r="H52" s="5" t="n"/>
      <c r="I52" s="5" t="n"/>
      <c r="J52" s="5" t="n"/>
    </row>
    <row r="53">
      <c r="A53" s="4">
        <f>IF(B53&lt;&gt;"",TEXT(ROW()-4,"EVD-000"),"")</f>
        <v/>
      </c>
      <c r="B53" s="5" t="n"/>
      <c r="C53" s="5" t="n"/>
      <c r="D53" s="5" t="n"/>
      <c r="E53" s="5" t="n"/>
      <c r="F53" s="5" t="n"/>
      <c r="G53" s="11" t="n"/>
      <c r="H53" s="5" t="n"/>
      <c r="I53" s="5" t="n"/>
      <c r="J53" s="5" t="n"/>
    </row>
    <row r="54">
      <c r="A54" s="4">
        <f>IF(B54&lt;&gt;"",TEXT(ROW()-4,"EVD-000"),"")</f>
        <v/>
      </c>
      <c r="B54" s="5" t="n"/>
      <c r="C54" s="5" t="n"/>
      <c r="D54" s="5" t="n"/>
      <c r="E54" s="5" t="n"/>
      <c r="F54" s="5" t="n"/>
      <c r="G54" s="11" t="n"/>
      <c r="H54" s="5" t="n"/>
      <c r="I54" s="5" t="n"/>
      <c r="J54" s="5" t="n"/>
    </row>
    <row r="55">
      <c r="A55" s="4">
        <f>IF(B55&lt;&gt;"",TEXT(ROW()-4,"EVD-000"),"")</f>
        <v/>
      </c>
      <c r="B55" s="5" t="n"/>
      <c r="C55" s="5" t="n"/>
      <c r="D55" s="5" t="n"/>
      <c r="E55" s="5" t="n"/>
      <c r="F55" s="5" t="n"/>
      <c r="G55" s="11" t="n"/>
      <c r="H55" s="5" t="n"/>
      <c r="I55" s="5" t="n"/>
      <c r="J55" s="5" t="n"/>
    </row>
    <row r="56">
      <c r="A56" s="4">
        <f>IF(B56&lt;&gt;"",TEXT(ROW()-4,"EVD-000"),"")</f>
        <v/>
      </c>
      <c r="B56" s="5" t="n"/>
      <c r="C56" s="5" t="n"/>
      <c r="D56" s="5" t="n"/>
      <c r="E56" s="5" t="n"/>
      <c r="F56" s="5" t="n"/>
      <c r="G56" s="11" t="n"/>
      <c r="H56" s="5" t="n"/>
      <c r="I56" s="5" t="n"/>
      <c r="J56" s="5" t="n"/>
    </row>
    <row r="57">
      <c r="A57" s="4">
        <f>IF(B57&lt;&gt;"",TEXT(ROW()-4,"EVD-000"),"")</f>
        <v/>
      </c>
      <c r="B57" s="5" t="n"/>
      <c r="C57" s="5" t="n"/>
      <c r="D57" s="5" t="n"/>
      <c r="E57" s="5" t="n"/>
      <c r="F57" s="5" t="n"/>
      <c r="G57" s="11" t="n"/>
      <c r="H57" s="5" t="n"/>
      <c r="I57" s="5" t="n"/>
      <c r="J57" s="5" t="n"/>
    </row>
    <row r="58">
      <c r="A58" s="4">
        <f>IF(B58&lt;&gt;"",TEXT(ROW()-4,"EVD-000"),"")</f>
        <v/>
      </c>
      <c r="B58" s="5" t="n"/>
      <c r="C58" s="5" t="n"/>
      <c r="D58" s="5" t="n"/>
      <c r="E58" s="5" t="n"/>
      <c r="F58" s="5" t="n"/>
      <c r="G58" s="11" t="n"/>
      <c r="H58" s="5" t="n"/>
      <c r="I58" s="5" t="n"/>
      <c r="J58" s="5" t="n"/>
    </row>
    <row r="59">
      <c r="A59" s="4">
        <f>IF(B59&lt;&gt;"",TEXT(ROW()-4,"EVD-000"),"")</f>
        <v/>
      </c>
      <c r="B59" s="5" t="n"/>
      <c r="C59" s="5" t="n"/>
      <c r="D59" s="5" t="n"/>
      <c r="E59" s="5" t="n"/>
      <c r="F59" s="5" t="n"/>
      <c r="G59" s="11" t="n"/>
      <c r="H59" s="5" t="n"/>
      <c r="I59" s="5" t="n"/>
      <c r="J59" s="5" t="n"/>
    </row>
    <row r="60">
      <c r="A60" s="4">
        <f>IF(B60&lt;&gt;"",TEXT(ROW()-4,"EVD-000"),"")</f>
        <v/>
      </c>
      <c r="B60" s="5" t="n"/>
      <c r="C60" s="5" t="n"/>
      <c r="D60" s="5" t="n"/>
      <c r="E60" s="5" t="n"/>
      <c r="F60" s="5" t="n"/>
      <c r="G60" s="11" t="n"/>
      <c r="H60" s="5" t="n"/>
      <c r="I60" s="5" t="n"/>
      <c r="J60" s="5" t="n"/>
    </row>
    <row r="61">
      <c r="A61" s="4">
        <f>IF(B61&lt;&gt;"",TEXT(ROW()-4,"EVD-000"),"")</f>
        <v/>
      </c>
      <c r="B61" s="5" t="n"/>
      <c r="C61" s="5" t="n"/>
      <c r="D61" s="5" t="n"/>
      <c r="E61" s="5" t="n"/>
      <c r="F61" s="5" t="n"/>
      <c r="G61" s="11" t="n"/>
      <c r="H61" s="5" t="n"/>
      <c r="I61" s="5" t="n"/>
      <c r="J61" s="5" t="n"/>
    </row>
    <row r="62">
      <c r="A62" s="4">
        <f>IF(B62&lt;&gt;"",TEXT(ROW()-4,"EVD-000"),"")</f>
        <v/>
      </c>
      <c r="B62" s="5" t="n"/>
      <c r="C62" s="5" t="n"/>
      <c r="D62" s="5" t="n"/>
      <c r="E62" s="5" t="n"/>
      <c r="F62" s="5" t="n"/>
      <c r="G62" s="11" t="n"/>
      <c r="H62" s="5" t="n"/>
      <c r="I62" s="5" t="n"/>
      <c r="J62" s="5" t="n"/>
    </row>
    <row r="63">
      <c r="A63" s="4">
        <f>IF(B63&lt;&gt;"",TEXT(ROW()-4,"EVD-000"),"")</f>
        <v/>
      </c>
      <c r="B63" s="5" t="n"/>
      <c r="C63" s="5" t="n"/>
      <c r="D63" s="5" t="n"/>
      <c r="E63" s="5" t="n"/>
      <c r="F63" s="5" t="n"/>
      <c r="G63" s="11" t="n"/>
      <c r="H63" s="5" t="n"/>
      <c r="I63" s="5" t="n"/>
      <c r="J63" s="5" t="n"/>
    </row>
    <row r="64">
      <c r="A64" s="4">
        <f>IF(B64&lt;&gt;"",TEXT(ROW()-4,"EVD-000"),"")</f>
        <v/>
      </c>
      <c r="B64" s="5" t="n"/>
      <c r="C64" s="5" t="n"/>
      <c r="D64" s="5" t="n"/>
      <c r="E64" s="5" t="n"/>
      <c r="F64" s="5" t="n"/>
      <c r="G64" s="11" t="n"/>
      <c r="H64" s="5" t="n"/>
      <c r="I64" s="5" t="n"/>
      <c r="J64" s="5" t="n"/>
    </row>
    <row r="65">
      <c r="A65" s="4">
        <f>IF(B65&lt;&gt;"",TEXT(ROW()-4,"EVD-000"),"")</f>
        <v/>
      </c>
      <c r="B65" s="5" t="n"/>
      <c r="C65" s="5" t="n"/>
      <c r="D65" s="5" t="n"/>
      <c r="E65" s="5" t="n"/>
      <c r="F65" s="5" t="n"/>
      <c r="G65" s="11" t="n"/>
      <c r="H65" s="5" t="n"/>
      <c r="I65" s="5" t="n"/>
      <c r="J65" s="5" t="n"/>
    </row>
    <row r="66">
      <c r="A66" s="4">
        <f>IF(B66&lt;&gt;"",TEXT(ROW()-4,"EVD-000"),"")</f>
        <v/>
      </c>
      <c r="B66" s="5" t="n"/>
      <c r="C66" s="5" t="n"/>
      <c r="D66" s="5" t="n"/>
      <c r="E66" s="5" t="n"/>
      <c r="F66" s="5" t="n"/>
      <c r="G66" s="11" t="n"/>
      <c r="H66" s="5" t="n"/>
      <c r="I66" s="5" t="n"/>
      <c r="J66" s="5" t="n"/>
    </row>
    <row r="67">
      <c r="A67" s="4">
        <f>IF(B67&lt;&gt;"",TEXT(ROW()-4,"EVD-000"),"")</f>
        <v/>
      </c>
      <c r="B67" s="5" t="n"/>
      <c r="C67" s="5" t="n"/>
      <c r="D67" s="5" t="n"/>
      <c r="E67" s="5" t="n"/>
      <c r="F67" s="5" t="n"/>
      <c r="G67" s="11" t="n"/>
      <c r="H67" s="5" t="n"/>
      <c r="I67" s="5" t="n"/>
      <c r="J67" s="5" t="n"/>
    </row>
    <row r="68">
      <c r="A68" s="4">
        <f>IF(B68&lt;&gt;"",TEXT(ROW()-4,"EVD-000"),"")</f>
        <v/>
      </c>
      <c r="B68" s="5" t="n"/>
      <c r="C68" s="5" t="n"/>
      <c r="D68" s="5" t="n"/>
      <c r="E68" s="5" t="n"/>
      <c r="F68" s="5" t="n"/>
      <c r="G68" s="11" t="n"/>
      <c r="H68" s="5" t="n"/>
      <c r="I68" s="5" t="n"/>
      <c r="J68" s="5" t="n"/>
    </row>
    <row r="69">
      <c r="A69" s="4">
        <f>IF(B69&lt;&gt;"",TEXT(ROW()-4,"EVD-000"),"")</f>
        <v/>
      </c>
      <c r="B69" s="5" t="n"/>
      <c r="C69" s="5" t="n"/>
      <c r="D69" s="5" t="n"/>
      <c r="E69" s="5" t="n"/>
      <c r="F69" s="5" t="n"/>
      <c r="G69" s="11" t="n"/>
      <c r="H69" s="5" t="n"/>
      <c r="I69" s="5" t="n"/>
      <c r="J69" s="5" t="n"/>
    </row>
    <row r="70">
      <c r="A70" s="4">
        <f>IF(B70&lt;&gt;"",TEXT(ROW()-4,"EVD-000"),"")</f>
        <v/>
      </c>
      <c r="B70" s="5" t="n"/>
      <c r="C70" s="5" t="n"/>
      <c r="D70" s="5" t="n"/>
      <c r="E70" s="5" t="n"/>
      <c r="F70" s="5" t="n"/>
      <c r="G70" s="11" t="n"/>
      <c r="H70" s="5" t="n"/>
      <c r="I70" s="5" t="n"/>
      <c r="J70" s="5" t="n"/>
    </row>
    <row r="71">
      <c r="A71" s="4">
        <f>IF(B71&lt;&gt;"",TEXT(ROW()-4,"EVD-000"),"")</f>
        <v/>
      </c>
      <c r="B71" s="5" t="n"/>
      <c r="C71" s="5" t="n"/>
      <c r="D71" s="5" t="n"/>
      <c r="E71" s="5" t="n"/>
      <c r="F71" s="5" t="n"/>
      <c r="G71" s="11" t="n"/>
      <c r="H71" s="5" t="n"/>
      <c r="I71" s="5" t="n"/>
      <c r="J71" s="5" t="n"/>
    </row>
    <row r="72">
      <c r="A72" s="4">
        <f>IF(B72&lt;&gt;"",TEXT(ROW()-4,"EVD-000"),"")</f>
        <v/>
      </c>
      <c r="B72" s="5" t="n"/>
      <c r="C72" s="5" t="n"/>
      <c r="D72" s="5" t="n"/>
      <c r="E72" s="5" t="n"/>
      <c r="F72" s="5" t="n"/>
      <c r="G72" s="11" t="n"/>
      <c r="H72" s="5" t="n"/>
      <c r="I72" s="5" t="n"/>
      <c r="J72" s="5" t="n"/>
    </row>
    <row r="73">
      <c r="A73" s="4">
        <f>IF(B73&lt;&gt;"",TEXT(ROW()-4,"EVD-000"),"")</f>
        <v/>
      </c>
      <c r="B73" s="5" t="n"/>
      <c r="C73" s="5" t="n"/>
      <c r="D73" s="5" t="n"/>
      <c r="E73" s="5" t="n"/>
      <c r="F73" s="5" t="n"/>
      <c r="G73" s="11" t="n"/>
      <c r="H73" s="5" t="n"/>
      <c r="I73" s="5" t="n"/>
      <c r="J73" s="5" t="n"/>
    </row>
    <row r="74">
      <c r="A74" s="4">
        <f>IF(B74&lt;&gt;"",TEXT(ROW()-4,"EVD-000"),"")</f>
        <v/>
      </c>
      <c r="B74" s="5" t="n"/>
      <c r="C74" s="5" t="n"/>
      <c r="D74" s="5" t="n"/>
      <c r="E74" s="5" t="n"/>
      <c r="F74" s="5" t="n"/>
      <c r="G74" s="11" t="n"/>
      <c r="H74" s="5" t="n"/>
      <c r="I74" s="5" t="n"/>
      <c r="J74" s="5" t="n"/>
    </row>
    <row r="75">
      <c r="A75" s="4">
        <f>IF(B75&lt;&gt;"",TEXT(ROW()-4,"EVD-000"),"")</f>
        <v/>
      </c>
      <c r="B75" s="5" t="n"/>
      <c r="C75" s="5" t="n"/>
      <c r="D75" s="5" t="n"/>
      <c r="E75" s="5" t="n"/>
      <c r="F75" s="5" t="n"/>
      <c r="G75" s="11" t="n"/>
      <c r="H75" s="5" t="n"/>
      <c r="I75" s="5" t="n"/>
      <c r="J75" s="5" t="n"/>
    </row>
    <row r="76">
      <c r="A76" s="4">
        <f>IF(B76&lt;&gt;"",TEXT(ROW()-4,"EVD-000"),"")</f>
        <v/>
      </c>
      <c r="B76" s="5" t="n"/>
      <c r="C76" s="5" t="n"/>
      <c r="D76" s="5" t="n"/>
      <c r="E76" s="5" t="n"/>
      <c r="F76" s="5" t="n"/>
      <c r="G76" s="11" t="n"/>
      <c r="H76" s="5" t="n"/>
      <c r="I76" s="5" t="n"/>
      <c r="J76" s="5" t="n"/>
    </row>
    <row r="77">
      <c r="A77" s="4">
        <f>IF(B77&lt;&gt;"",TEXT(ROW()-4,"EVD-000"),"")</f>
        <v/>
      </c>
      <c r="B77" s="5" t="n"/>
      <c r="C77" s="5" t="n"/>
      <c r="D77" s="5" t="n"/>
      <c r="E77" s="5" t="n"/>
      <c r="F77" s="5" t="n"/>
      <c r="G77" s="11" t="n"/>
      <c r="H77" s="5" t="n"/>
      <c r="I77" s="5" t="n"/>
      <c r="J77" s="5" t="n"/>
    </row>
    <row r="78">
      <c r="A78" s="4">
        <f>IF(B78&lt;&gt;"",TEXT(ROW()-4,"EVD-000"),"")</f>
        <v/>
      </c>
      <c r="B78" s="5" t="n"/>
      <c r="C78" s="5" t="n"/>
      <c r="D78" s="5" t="n"/>
      <c r="E78" s="5" t="n"/>
      <c r="F78" s="5" t="n"/>
      <c r="G78" s="11" t="n"/>
      <c r="H78" s="5" t="n"/>
      <c r="I78" s="5" t="n"/>
      <c r="J78" s="5" t="n"/>
    </row>
    <row r="79">
      <c r="A79" s="4">
        <f>IF(B79&lt;&gt;"",TEXT(ROW()-4,"EVD-000"),"")</f>
        <v/>
      </c>
      <c r="B79" s="5" t="n"/>
      <c r="C79" s="5" t="n"/>
      <c r="D79" s="5" t="n"/>
      <c r="E79" s="5" t="n"/>
      <c r="F79" s="5" t="n"/>
      <c r="G79" s="11" t="n"/>
      <c r="H79" s="5" t="n"/>
      <c r="I79" s="5" t="n"/>
      <c r="J79" s="5" t="n"/>
    </row>
    <row r="80">
      <c r="A80" s="4">
        <f>IF(B80&lt;&gt;"",TEXT(ROW()-4,"EVD-000"),"")</f>
        <v/>
      </c>
      <c r="B80" s="5" t="n"/>
      <c r="C80" s="5" t="n"/>
      <c r="D80" s="5" t="n"/>
      <c r="E80" s="5" t="n"/>
      <c r="F80" s="5" t="n"/>
      <c r="G80" s="11" t="n"/>
      <c r="H80" s="5" t="n"/>
      <c r="I80" s="5" t="n"/>
      <c r="J80" s="5" t="n"/>
    </row>
    <row r="81">
      <c r="A81" s="4">
        <f>IF(B81&lt;&gt;"",TEXT(ROW()-4,"EVD-000"),"")</f>
        <v/>
      </c>
      <c r="B81" s="5" t="n"/>
      <c r="C81" s="5" t="n"/>
      <c r="D81" s="5" t="n"/>
      <c r="E81" s="5" t="n"/>
      <c r="F81" s="5" t="n"/>
      <c r="G81" s="11" t="n"/>
      <c r="H81" s="5" t="n"/>
      <c r="I81" s="5" t="n"/>
      <c r="J81" s="5" t="n"/>
    </row>
    <row r="82">
      <c r="A82" s="4">
        <f>IF(B82&lt;&gt;"",TEXT(ROW()-4,"EVD-000"),"")</f>
        <v/>
      </c>
      <c r="B82" s="5" t="n"/>
      <c r="C82" s="5" t="n"/>
      <c r="D82" s="5" t="n"/>
      <c r="E82" s="5" t="n"/>
      <c r="F82" s="5" t="n"/>
      <c r="G82" s="11" t="n"/>
      <c r="H82" s="5" t="n"/>
      <c r="I82" s="5" t="n"/>
      <c r="J82" s="5" t="n"/>
    </row>
    <row r="83">
      <c r="A83" s="4">
        <f>IF(B83&lt;&gt;"",TEXT(ROW()-4,"EVD-000"),"")</f>
        <v/>
      </c>
      <c r="B83" s="5" t="n"/>
      <c r="C83" s="5" t="n"/>
      <c r="D83" s="5" t="n"/>
      <c r="E83" s="5" t="n"/>
      <c r="F83" s="5" t="n"/>
      <c r="G83" s="11" t="n"/>
      <c r="H83" s="5" t="n"/>
      <c r="I83" s="5" t="n"/>
      <c r="J83" s="5" t="n"/>
    </row>
    <row r="84">
      <c r="A84" s="4">
        <f>IF(B84&lt;&gt;"",TEXT(ROW()-4,"EVD-000"),"")</f>
        <v/>
      </c>
      <c r="B84" s="5" t="n"/>
      <c r="C84" s="5" t="n"/>
      <c r="D84" s="5" t="n"/>
      <c r="E84" s="5" t="n"/>
      <c r="F84" s="5" t="n"/>
      <c r="G84" s="11" t="n"/>
      <c r="H84" s="5" t="n"/>
      <c r="I84" s="5" t="n"/>
      <c r="J84" s="5" t="n"/>
    </row>
    <row r="85">
      <c r="A85" s="4">
        <f>IF(B85&lt;&gt;"",TEXT(ROW()-4,"EVD-000"),"")</f>
        <v/>
      </c>
      <c r="B85" s="5" t="n"/>
      <c r="C85" s="5" t="n"/>
      <c r="D85" s="5" t="n"/>
      <c r="E85" s="5" t="n"/>
      <c r="F85" s="5" t="n"/>
      <c r="G85" s="11" t="n"/>
      <c r="H85" s="5" t="n"/>
      <c r="I85" s="5" t="n"/>
      <c r="J85" s="5" t="n"/>
    </row>
    <row r="86">
      <c r="A86" s="4">
        <f>IF(B86&lt;&gt;"",TEXT(ROW()-4,"EVD-000"),"")</f>
        <v/>
      </c>
      <c r="B86" s="5" t="n"/>
      <c r="C86" s="5" t="n"/>
      <c r="D86" s="5" t="n"/>
      <c r="E86" s="5" t="n"/>
      <c r="F86" s="5" t="n"/>
      <c r="G86" s="11" t="n"/>
      <c r="H86" s="5" t="n"/>
      <c r="I86" s="5" t="n"/>
      <c r="J86" s="5" t="n"/>
    </row>
    <row r="87">
      <c r="A87" s="4">
        <f>IF(B87&lt;&gt;"",TEXT(ROW()-4,"EVD-000"),"")</f>
        <v/>
      </c>
      <c r="B87" s="5" t="n"/>
      <c r="C87" s="5" t="n"/>
      <c r="D87" s="5" t="n"/>
      <c r="E87" s="5" t="n"/>
      <c r="F87" s="5" t="n"/>
      <c r="G87" s="11" t="n"/>
      <c r="H87" s="5" t="n"/>
      <c r="I87" s="5" t="n"/>
      <c r="J87" s="5" t="n"/>
    </row>
    <row r="88">
      <c r="A88" s="4">
        <f>IF(B88&lt;&gt;"",TEXT(ROW()-4,"EVD-000"),"")</f>
        <v/>
      </c>
      <c r="B88" s="5" t="n"/>
      <c r="C88" s="5" t="n"/>
      <c r="D88" s="5" t="n"/>
      <c r="E88" s="5" t="n"/>
      <c r="F88" s="5" t="n"/>
      <c r="G88" s="11" t="n"/>
      <c r="H88" s="5" t="n"/>
      <c r="I88" s="5" t="n"/>
      <c r="J88" s="5" t="n"/>
    </row>
    <row r="89">
      <c r="A89" s="4">
        <f>IF(B89&lt;&gt;"",TEXT(ROW()-4,"EVD-000"),"")</f>
        <v/>
      </c>
      <c r="B89" s="5" t="n"/>
      <c r="C89" s="5" t="n"/>
      <c r="D89" s="5" t="n"/>
      <c r="E89" s="5" t="n"/>
      <c r="F89" s="5" t="n"/>
      <c r="G89" s="11" t="n"/>
      <c r="H89" s="5" t="n"/>
      <c r="I89" s="5" t="n"/>
      <c r="J89" s="5" t="n"/>
    </row>
    <row r="90">
      <c r="A90" s="4">
        <f>IF(B90&lt;&gt;"",TEXT(ROW()-4,"EVD-000"),"")</f>
        <v/>
      </c>
      <c r="B90" s="5" t="n"/>
      <c r="C90" s="5" t="n"/>
      <c r="D90" s="5" t="n"/>
      <c r="E90" s="5" t="n"/>
      <c r="F90" s="5" t="n"/>
      <c r="G90" s="11" t="n"/>
      <c r="H90" s="5" t="n"/>
      <c r="I90" s="5" t="n"/>
      <c r="J90" s="5" t="n"/>
    </row>
    <row r="91">
      <c r="A91" s="4">
        <f>IF(B91&lt;&gt;"",TEXT(ROW()-4,"EVD-000"),"")</f>
        <v/>
      </c>
      <c r="B91" s="5" t="n"/>
      <c r="C91" s="5" t="n"/>
      <c r="D91" s="5" t="n"/>
      <c r="E91" s="5" t="n"/>
      <c r="F91" s="5" t="n"/>
      <c r="G91" s="11" t="n"/>
      <c r="H91" s="5" t="n"/>
      <c r="I91" s="5" t="n"/>
      <c r="J91" s="5" t="n"/>
    </row>
    <row r="92">
      <c r="A92" s="4">
        <f>IF(B92&lt;&gt;"",TEXT(ROW()-4,"EVD-000"),"")</f>
        <v/>
      </c>
      <c r="B92" s="5" t="n"/>
      <c r="C92" s="5" t="n"/>
      <c r="D92" s="5" t="n"/>
      <c r="E92" s="5" t="n"/>
      <c r="F92" s="5" t="n"/>
      <c r="G92" s="11" t="n"/>
      <c r="H92" s="5" t="n"/>
      <c r="I92" s="5" t="n"/>
      <c r="J92" s="5" t="n"/>
    </row>
    <row r="93">
      <c r="A93" s="4">
        <f>IF(B93&lt;&gt;"",TEXT(ROW()-4,"EVD-000"),"")</f>
        <v/>
      </c>
      <c r="B93" s="5" t="n"/>
      <c r="C93" s="5" t="n"/>
      <c r="D93" s="5" t="n"/>
      <c r="E93" s="5" t="n"/>
      <c r="F93" s="5" t="n"/>
      <c r="G93" s="11" t="n"/>
      <c r="H93" s="5" t="n"/>
      <c r="I93" s="5" t="n"/>
      <c r="J93" s="5" t="n"/>
    </row>
    <row r="94">
      <c r="A94" s="4">
        <f>IF(B94&lt;&gt;"",TEXT(ROW()-4,"EVD-000"),"")</f>
        <v/>
      </c>
      <c r="B94" s="5" t="n"/>
      <c r="C94" s="5" t="n"/>
      <c r="D94" s="5" t="n"/>
      <c r="E94" s="5" t="n"/>
      <c r="F94" s="5" t="n"/>
      <c r="G94" s="11" t="n"/>
      <c r="H94" s="5" t="n"/>
      <c r="I94" s="5" t="n"/>
      <c r="J94" s="5" t="n"/>
    </row>
    <row r="95">
      <c r="A95" s="4">
        <f>IF(B95&lt;&gt;"",TEXT(ROW()-4,"EVD-000"),"")</f>
        <v/>
      </c>
      <c r="B95" s="5" t="n"/>
      <c r="C95" s="5" t="n"/>
      <c r="D95" s="5" t="n"/>
      <c r="E95" s="5" t="n"/>
      <c r="F95" s="5" t="n"/>
      <c r="G95" s="11" t="n"/>
      <c r="H95" s="5" t="n"/>
      <c r="I95" s="5" t="n"/>
      <c r="J95" s="5" t="n"/>
    </row>
    <row r="96">
      <c r="A96" s="4">
        <f>IF(B96&lt;&gt;"",TEXT(ROW()-4,"EVD-000"),"")</f>
        <v/>
      </c>
      <c r="B96" s="5" t="n"/>
      <c r="C96" s="5" t="n"/>
      <c r="D96" s="5" t="n"/>
      <c r="E96" s="5" t="n"/>
      <c r="F96" s="5" t="n"/>
      <c r="G96" s="11" t="n"/>
      <c r="H96" s="5" t="n"/>
      <c r="I96" s="5" t="n"/>
      <c r="J96" s="5" t="n"/>
    </row>
    <row r="97">
      <c r="A97" s="4">
        <f>IF(B97&lt;&gt;"",TEXT(ROW()-4,"EVD-000"),"")</f>
        <v/>
      </c>
      <c r="B97" s="5" t="n"/>
      <c r="C97" s="5" t="n"/>
      <c r="D97" s="5" t="n"/>
      <c r="E97" s="5" t="n"/>
      <c r="F97" s="5" t="n"/>
      <c r="G97" s="11" t="n"/>
      <c r="H97" s="5" t="n"/>
      <c r="I97" s="5" t="n"/>
      <c r="J97" s="5" t="n"/>
    </row>
    <row r="98">
      <c r="A98" s="4">
        <f>IF(B98&lt;&gt;"",TEXT(ROW()-4,"EVD-000"),"")</f>
        <v/>
      </c>
      <c r="B98" s="5" t="n"/>
      <c r="C98" s="5" t="n"/>
      <c r="D98" s="5" t="n"/>
      <c r="E98" s="5" t="n"/>
      <c r="F98" s="5" t="n"/>
      <c r="G98" s="11" t="n"/>
      <c r="H98" s="5" t="n"/>
      <c r="I98" s="5" t="n"/>
      <c r="J98" s="5" t="n"/>
    </row>
    <row r="99">
      <c r="A99" s="4">
        <f>IF(B99&lt;&gt;"",TEXT(ROW()-4,"EVD-000"),"")</f>
        <v/>
      </c>
      <c r="B99" s="5" t="n"/>
      <c r="C99" s="5" t="n"/>
      <c r="D99" s="5" t="n"/>
      <c r="E99" s="5" t="n"/>
      <c r="F99" s="5" t="n"/>
      <c r="G99" s="11" t="n"/>
      <c r="H99" s="5" t="n"/>
      <c r="I99" s="5" t="n"/>
      <c r="J99" s="5" t="n"/>
    </row>
    <row r="100">
      <c r="A100" s="4">
        <f>IF(B100&lt;&gt;"",TEXT(ROW()-4,"EVD-000"),"")</f>
        <v/>
      </c>
      <c r="B100" s="5" t="n"/>
      <c r="C100" s="5" t="n"/>
      <c r="D100" s="5" t="n"/>
      <c r="E100" s="5" t="n"/>
      <c r="F100" s="5" t="n"/>
      <c r="G100" s="11" t="n"/>
      <c r="H100" s="5" t="n"/>
      <c r="I100" s="5" t="n"/>
      <c r="J100" s="5" t="n"/>
    </row>
    <row r="101">
      <c r="A101" s="4">
        <f>IF(B101&lt;&gt;"",TEXT(ROW()-4,"EVD-000"),"")</f>
        <v/>
      </c>
      <c r="B101" s="5" t="n"/>
      <c r="C101" s="5" t="n"/>
      <c r="D101" s="5" t="n"/>
      <c r="E101" s="5" t="n"/>
      <c r="F101" s="5" t="n"/>
      <c r="G101" s="11" t="n"/>
      <c r="H101" s="5" t="n"/>
      <c r="I101" s="5" t="n"/>
      <c r="J101" s="5" t="n"/>
    </row>
    <row r="102">
      <c r="A102" s="4">
        <f>IF(B102&lt;&gt;"",TEXT(ROW()-4,"EVD-000"),"")</f>
        <v/>
      </c>
      <c r="B102" s="5" t="n"/>
      <c r="C102" s="5" t="n"/>
      <c r="D102" s="5" t="n"/>
      <c r="E102" s="5" t="n"/>
      <c r="F102" s="5" t="n"/>
      <c r="G102" s="11" t="n"/>
      <c r="H102" s="5" t="n"/>
      <c r="I102" s="5" t="n"/>
      <c r="J102" s="5" t="n"/>
    </row>
    <row r="103">
      <c r="A103" s="4">
        <f>IF(B103&lt;&gt;"",TEXT(ROW()-4,"EVD-000"),"")</f>
        <v/>
      </c>
      <c r="B103" s="5" t="n"/>
      <c r="C103" s="5" t="n"/>
      <c r="D103" s="5" t="n"/>
      <c r="E103" s="5" t="n"/>
      <c r="F103" s="5" t="n"/>
      <c r="G103" s="11" t="n"/>
      <c r="H103" s="5" t="n"/>
      <c r="I103" s="5" t="n"/>
      <c r="J103" s="5" t="n"/>
    </row>
    <row r="104">
      <c r="A104" s="4">
        <f>IF(B104&lt;&gt;"",TEXT(ROW()-4,"EVD-000"),"")</f>
        <v/>
      </c>
      <c r="B104" s="5" t="n"/>
      <c r="C104" s="5" t="n"/>
      <c r="D104" s="5" t="n"/>
      <c r="E104" s="5" t="n"/>
      <c r="F104" s="5" t="n"/>
      <c r="G104" s="11" t="n"/>
      <c r="H104" s="5" t="n"/>
      <c r="I104" s="5" t="n"/>
      <c r="J1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J1"/>
    <mergeCell ref="A2:J2"/>
  </mergeCells>
  <dataValidations count="3">
    <dataValidation sqref="B5:B104" showDropDown="0" showInputMessage="0" showErrorMessage="1" allowBlank="1" errorTitle="Invalid Entry" error="Please select from dropdown" type="list">
      <formula1>"Employment-Contract,NDA-Agreement,Contract-Template,Signed-Acknowledgment,Background-Check-Report,Exit-Interview-Form,Asset-Return-Form,Legal-Review,Policy-Acknowledgment,Training-Certificate,Other"</formula1>
    </dataValidation>
    <dataValidation sqref="E5:E104" showDropDown="0" showInputMessage="0" showErrorMessage="1" allowBlank="1" errorTitle="Invalid Entry" error="Please select from dropdown" type="list">
      <formula1>"Contract_Template_Assessment,Required_Clause_Registry,Personnel_Contract_Compliance,Confidentiality_NDA_Tracking,Post_Employment_Obligations,Contractor_Agreement_Assessment,Gap_Analysis"</formula1>
    </dataValidation>
    <dataValidation sqref="I5:I104" showDropDown="0" showInputMessage="0" showErrorMessage="1" allowBlank="1" errorTitle="Invalid Entry" error="Please select from dropdown" type="list">
      <formula1>"Verified,Pending,Not-Verified,Expired"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  <col width="30" customWidth="1" min="4" max="4"/>
  </cols>
  <sheetData>
    <row r="1" ht="30" customHeight="1">
      <c r="A1" s="1" t="inlineStr">
        <is>
          <t>APPROVAL &amp; SIGN-OFF</t>
        </is>
      </c>
    </row>
    <row r="3">
      <c r="A3" s="6" t="inlineStr">
        <is>
          <t>ASSESSMENT SUMMARY</t>
        </is>
      </c>
    </row>
    <row r="5">
      <c r="A5" s="3" t="inlineStr">
        <is>
          <t>Document:</t>
        </is>
      </c>
      <c r="B5" s="4" t="inlineStr">
        <is>
          <t>ISMS-IMP-A.5.1-2-6.1-2.S4</t>
        </is>
      </c>
    </row>
    <row r="6">
      <c r="A6" s="3" t="inlineStr">
        <is>
          <t>Assessment Period:</t>
        </is>
      </c>
      <c r="B6" s="4">
        <f>Dashboard!B7</f>
        <v/>
      </c>
    </row>
    <row r="7">
      <c r="A7" s="3" t="inlineStr">
        <is>
          <t>Overall Compliance Score:</t>
        </is>
      </c>
      <c r="B7" s="4">
        <f>Dashboard!B19</f>
        <v/>
      </c>
    </row>
    <row r="8">
      <c r="A8" s="3" t="inlineStr">
        <is>
          <t>Contract Templates Assessed:</t>
        </is>
      </c>
      <c r="B8" s="4">
        <f>Dashboard!B20</f>
        <v/>
      </c>
    </row>
    <row r="9">
      <c r="A9" s="3" t="inlineStr">
        <is>
          <t>Personnel Contracts Verified:</t>
        </is>
      </c>
      <c r="B9" s="4">
        <f>Dashboard!B22</f>
        <v/>
      </c>
    </row>
    <row r="10">
      <c r="A10" s="3" t="inlineStr">
        <is>
          <t>NDA Coverage Rate:</t>
        </is>
      </c>
      <c r="B10" s="4">
        <f>Dashboard!B23</f>
        <v/>
      </c>
    </row>
    <row r="11">
      <c r="A11" s="3" t="inlineStr">
        <is>
          <t>Critical Gaps:</t>
        </is>
      </c>
      <c r="B11" s="4">
        <f>Dashboard!B24</f>
        <v/>
      </c>
    </row>
    <row r="12">
      <c r="A12" s="3" t="inlineStr">
        <is>
          <t>High Priority Gaps:</t>
        </is>
      </c>
      <c r="B12" s="4">
        <f>Dashboard!B25</f>
        <v/>
      </c>
    </row>
    <row r="13">
      <c r="A13" s="3" t="inlineStr">
        <is>
          <t>Contractor Agreements Verified:</t>
        </is>
      </c>
      <c r="B13" s="4">
        <f>Dashboard!B26</f>
        <v/>
      </c>
    </row>
    <row r="16">
      <c r="A16" s="6" t="inlineStr">
        <is>
          <t>LEVEL 1: PREPARED BY</t>
        </is>
      </c>
    </row>
    <row r="17">
      <c r="A17" s="3" t="inlineStr">
        <is>
          <t>Name:</t>
        </is>
      </c>
      <c r="B17" s="5" t="n"/>
    </row>
    <row r="18">
      <c r="A18" s="3" t="inlineStr">
        <is>
          <t>Role:</t>
        </is>
      </c>
      <c r="B18" s="5" t="n"/>
    </row>
    <row r="19">
      <c r="A19" s="3" t="inlineStr">
        <is>
          <t>Date:</t>
        </is>
      </c>
      <c r="B19" s="5" t="n"/>
    </row>
    <row r="20">
      <c r="A20" s="3" t="inlineStr">
        <is>
          <t>Signature:</t>
        </is>
      </c>
      <c r="B20" s="5" t="n"/>
    </row>
    <row r="21">
      <c r="A21" s="3" t="inlineStr">
        <is>
          <t>Certification:</t>
        </is>
      </c>
      <c r="B21" s="4" t="inlineStr">
        <is>
          <t>I certify this assessment is complete and accurate</t>
        </is>
      </c>
    </row>
    <row r="22">
      <c r="A22" s="3" t="inlineStr">
        <is>
          <t>Comments:</t>
        </is>
      </c>
      <c r="B22" s="5" t="n"/>
    </row>
    <row r="24">
      <c r="A24" s="6" t="inlineStr">
        <is>
          <t>LEVEL 2: REVIEWED BY (HR / LEGAL)</t>
        </is>
      </c>
    </row>
    <row r="25">
      <c r="A25" s="3" t="inlineStr">
        <is>
          <t>Name:</t>
        </is>
      </c>
      <c r="B25" s="5" t="n"/>
    </row>
    <row r="26">
      <c r="A26" s="3" t="inlineStr">
        <is>
          <t>Role:</t>
        </is>
      </c>
      <c r="B26" s="5" t="n"/>
    </row>
    <row r="27">
      <c r="A27" s="3" t="inlineStr">
        <is>
          <t>Date:</t>
        </is>
      </c>
      <c r="B27" s="5" t="n"/>
    </row>
    <row r="28">
      <c r="A28" s="3" t="inlineStr">
        <is>
          <t>Signature:</t>
        </is>
      </c>
      <c r="B28" s="5" t="n"/>
    </row>
    <row r="30">
      <c r="A30" s="3" t="inlineStr">
        <is>
          <t>Review Checklist:</t>
        </is>
      </c>
    </row>
    <row r="31">
      <c r="A31" t="inlineStr">
        <is>
          <t>[ ] Contract templates reviewed and current</t>
        </is>
      </c>
    </row>
    <row r="32">
      <c r="A32" t="inlineStr">
        <is>
          <t>[ ] All required security clauses verified</t>
        </is>
      </c>
    </row>
    <row r="33">
      <c r="A33" t="inlineStr">
        <is>
          <t>[ ] Personnel contract compliance checked</t>
        </is>
      </c>
    </row>
    <row r="34">
      <c r="A34" t="inlineStr">
        <is>
          <t>[ ] NDA coverage 100% (audit focal point)</t>
        </is>
      </c>
    </row>
    <row r="35">
      <c r="A35" t="inlineStr">
        <is>
          <t>[ ] Post-employment obligations tracked</t>
        </is>
      </c>
    </row>
    <row r="36">
      <c r="A36" t="inlineStr">
        <is>
          <t>[ ] Contractor agreements verified</t>
        </is>
      </c>
    </row>
    <row r="37">
      <c r="A37" t="inlineStr">
        <is>
          <t>[ ] Gaps documented with remediation plans</t>
        </is>
      </c>
    </row>
    <row r="38">
      <c r="A38" t="inlineStr">
        <is>
          <t>[ ] Evidence register complete</t>
        </is>
      </c>
    </row>
    <row r="39">
      <c r="A39" s="3" t="inlineStr">
        <is>
          <t>Comments:</t>
        </is>
      </c>
      <c r="B39" s="5" t="n"/>
    </row>
    <row r="41">
      <c r="A41" s="6" t="inlineStr">
        <is>
          <t>LEVEL 3: APPROVED BY (CISO)</t>
        </is>
      </c>
    </row>
    <row r="42">
      <c r="A42" s="3" t="inlineStr">
        <is>
          <t>Name:</t>
        </is>
      </c>
      <c r="B42" s="5" t="n"/>
    </row>
    <row r="43">
      <c r="A43" s="3" t="inlineStr">
        <is>
          <t>Role:</t>
        </is>
      </c>
      <c r="B43" s="5" t="n"/>
    </row>
    <row r="44">
      <c r="A44" s="3" t="inlineStr">
        <is>
          <t>Date:</t>
        </is>
      </c>
      <c r="B44" s="5" t="n"/>
    </row>
    <row r="45">
      <c r="A45" s="3" t="inlineStr">
        <is>
          <t>Signature:</t>
        </is>
      </c>
      <c r="B45" s="5" t="n"/>
    </row>
    <row r="46">
      <c r="A46" s="3" t="inlineStr">
        <is>
          <t>Final Approval:</t>
        </is>
      </c>
      <c r="B46" s="4" t="inlineStr">
        <is>
          <t>I approve this assessment as accurate</t>
        </is>
      </c>
    </row>
    <row r="47">
      <c r="A47" s="3" t="inlineStr">
        <is>
          <t>Risk Acceptance:</t>
        </is>
      </c>
      <c r="B47" s="4" t="inlineStr">
        <is>
          <t>I accept residual risk for: [list]</t>
        </is>
      </c>
    </row>
    <row r="48">
      <c r="A48" s="3" t="inlineStr">
        <is>
          <t>Comments:</t>
        </is>
      </c>
      <c r="B48" s="5" t="n"/>
    </row>
    <row r="50">
      <c r="A50" s="3" t="inlineStr">
        <is>
          <t>Next Review Date:</t>
        </is>
      </c>
      <c r="B50" s="5" t="n"/>
    </row>
    <row r="51">
      <c r="A51" s="3" t="inlineStr">
        <is>
          <t>Assessment Status:</t>
        </is>
      </c>
      <c r="B51" s="5" t="n"/>
    </row>
    <row r="53">
      <c r="A53" s="3" t="inlineStr">
        <is>
          <t>Audit Readiness Checklist:</t>
        </is>
      </c>
    </row>
    <row r="54">
      <c r="A54" t="inlineStr">
        <is>
          <t>[ ] All three approvals complete</t>
        </is>
      </c>
    </row>
    <row r="55">
      <c r="A55" t="inlineStr">
        <is>
          <t>[ ] Evidence 100% verified</t>
        </is>
      </c>
    </row>
    <row r="56">
      <c r="A56" t="inlineStr">
        <is>
          <t>[ ] NDA coverage verified (audit focal point)</t>
        </is>
      </c>
    </row>
    <row r="57">
      <c r="A57" t="inlineStr">
        <is>
          <t>[ ] All critical gaps have remediation plans</t>
        </is>
      </c>
    </row>
    <row r="58">
      <c r="A58" t="inlineStr">
        <is>
          <t>[ ] Assessment audit-ready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18">
    <mergeCell ref="A1:D1"/>
    <mergeCell ref="A37:D37"/>
    <mergeCell ref="A56:D56"/>
    <mergeCell ref="A31:D31"/>
    <mergeCell ref="A58:D58"/>
    <mergeCell ref="A34:D34"/>
    <mergeCell ref="A35:D35"/>
    <mergeCell ref="A3:D3"/>
    <mergeCell ref="A38:D38"/>
    <mergeCell ref="A54:D54"/>
    <mergeCell ref="A55:D55"/>
    <mergeCell ref="A57:D57"/>
    <mergeCell ref="A24:D24"/>
    <mergeCell ref="A16:D16"/>
    <mergeCell ref="A33:D33"/>
    <mergeCell ref="A41:D41"/>
    <mergeCell ref="A32:D32"/>
    <mergeCell ref="A36:D36"/>
  </mergeCells>
  <dataValidations count="1">
    <dataValidation sqref="B51" showDropDown="0" showInputMessage="0" showErrorMessage="1" allowBlank="1" errorTitle="Invalid Entry" error="Please select from dropdown" type="list">
      <formula1>"Draft,Under-Review,Approved,Audit-Ready"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[Organization] Information Security Team</dc:creator>
  <dc:title xmlns:dc="http://purl.org/dc/elements/1.1/">ISMS-IMP-A.5.1-2-6.1-2.S4 - Employment Contract Assessment</dc:title>
  <dc:subject xmlns:dc="http://purl.org/dc/elements/1.1/">ISO/IEC 27001:2022 Controls A.6.1/A.6.2 Assessment</dc:subject>
  <dcterms:created xmlns:dcterms="http://purl.org/dc/terms/" xmlns:xsi="http://www.w3.org/2001/XMLSchema-instance" xsi:type="dcterms:W3CDTF">2026-02-08T11:25:12Z</dcterms:created>
  <dcterms:modified xmlns:dcterms="http://purl.org/dc/terms/" xmlns:xsi="http://www.w3.org/2001/XMLSchema-instance" xsi:type="dcterms:W3CDTF">2026-02-08T11:25:13Z</dcterms:modified>
  <cp:keywords>Employment, Contract, NDA, ISMS, ISO27001, A.6.1, A.6.2</cp:keywords>
</cp:coreProperties>
</file>