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Legend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Maturity_Assessment" sheetId="3" state="visible" r:id="rId3"/>
    <sheet xmlns:r="http://schemas.openxmlformats.org/officeDocument/2006/relationships" name="Policy_Summary" sheetId="4" state="visible" r:id="rId4"/>
    <sheet xmlns:r="http://schemas.openxmlformats.org/officeDocument/2006/relationships" name="Roles_Summary" sheetId="5" state="visible" r:id="rId5"/>
    <sheet xmlns:r="http://schemas.openxmlformats.org/officeDocument/2006/relationships" name="Screening_Summary" sheetId="6" state="visible" r:id="rId6"/>
    <sheet xmlns:r="http://schemas.openxmlformats.org/officeDocument/2006/relationships" name="Contract_Summary" sheetId="7" state="visible" r:id="rId7"/>
    <sheet xmlns:r="http://schemas.openxmlformats.org/officeDocument/2006/relationships" name="Gap_Analysi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ction_Items" sheetId="10" state="visible" r:id="rId10"/>
    <sheet xmlns:r="http://schemas.openxmlformats.org/officeDocument/2006/relationships" name="Approval_Sign_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DD.MM.YYYY"/>
    <numFmt numFmtId="166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2"/>
    </font>
    <font>
      <name val="Calibri"/>
      <b val="1"/>
      <color rgb="00FFFFFF"/>
      <sz val="14"/>
    </font>
    <font>
      <name val="Calibri"/>
      <b val="1"/>
      <color rgb="00000000"/>
      <sz val="10"/>
    </font>
    <font>
      <b val="1"/>
    </font>
    <font>
      <name val="Calibri"/>
      <color rgb="00000000"/>
      <sz val="10"/>
    </font>
    <font>
      <name val="Calibri"/>
      <b val="1"/>
      <color rgb="00000000"/>
      <sz val="16"/>
    </font>
    <font>
      <name val="Calibri"/>
      <b val="1"/>
      <sz val="28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7030A0"/>
        <bgColor rgb="007030A0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3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5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top" wrapText="1"/>
    </xf>
    <xf numFmtId="0" fontId="3" fillId="9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164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center" wrapText="1"/>
    </xf>
    <xf numFmtId="165" fontId="6" fillId="4" borderId="1" applyAlignment="1" pivotButton="0" quotePrefix="0" xfId="0">
      <alignment horizontal="left" vertical="top" wrapText="1"/>
    </xf>
    <xf numFmtId="166" fontId="6" fillId="5" borderId="1" applyAlignment="1" pivotButton="0" quotePrefix="0" xfId="0">
      <alignment horizontal="left" vertical="top" wrapText="1"/>
    </xf>
    <xf numFmtId="0" fontId="11" fillId="10" borderId="0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left" vertical="top" wrapText="1"/>
    </xf>
    <xf numFmtId="9" fontId="6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1" t="inlineStr">
        <is>
          <t>ISMS-IMP-A.5.1-2-6.1-2.S5 - Governance Compliance Dashboard</t>
        </is>
      </c>
    </row>
    <row r="2" ht="30" customHeight="1">
      <c r="A2" s="2" t="inlineStr">
        <is>
          <t>Instructions, Navigation Guide, and Legend</t>
        </is>
      </c>
    </row>
    <row r="4">
      <c r="A4" s="3" t="inlineStr">
        <is>
          <t>PURPOSE</t>
        </is>
      </c>
    </row>
    <row r="5" ht="60" customHeight="1">
      <c r="A5" s="4" t="inlineStr">
        <is>
          <t>This workbook provides an integrated governance compliance dashboard for the Secure Employment and Roles framework (A.5.1, A.5.2, A.6.1, A.6.2). It aggregates findings from S1-S4 assessment workbooks into a board-facing executive summary with weighted compliance scoring and cross-domain gap identification.</t>
        </is>
      </c>
    </row>
    <row r="6"/>
    <row r="7"/>
    <row r="9">
      <c r="A9" s="3" t="inlineStr">
        <is>
          <t>WORKBOOK STRUCTURE</t>
        </is>
      </c>
    </row>
    <row r="11">
      <c r="A11" s="5" t="inlineStr">
        <is>
          <t>#</t>
        </is>
      </c>
      <c r="B11" s="5" t="inlineStr">
        <is>
          <t>Sheet Name</t>
        </is>
      </c>
      <c r="C11" s="5" t="inlineStr">
        <is>
          <t>Description</t>
        </is>
      </c>
    </row>
    <row r="12">
      <c r="A12" s="6" t="inlineStr">
        <is>
          <t>1</t>
        </is>
      </c>
      <c r="B12" s="6" t="inlineStr">
        <is>
          <t>Instructions_Legend</t>
        </is>
      </c>
      <c r="C12" s="6" t="inlineStr">
        <is>
          <t>Navigation guide and legend (this sheet)</t>
        </is>
      </c>
    </row>
    <row r="13">
      <c r="A13" s="6" t="inlineStr">
        <is>
          <t>2</t>
        </is>
      </c>
      <c r="B13" s="6" t="inlineStr">
        <is>
          <t>Executive_Summary</t>
        </is>
      </c>
      <c r="C13" s="6" t="inlineStr">
        <is>
          <t>Board-facing summary with weighted compliance score</t>
        </is>
      </c>
    </row>
    <row r="14">
      <c r="A14" s="6" t="inlineStr">
        <is>
          <t>3</t>
        </is>
      </c>
      <c r="B14" s="6" t="inlineStr">
        <is>
          <t>Maturity_Assessment</t>
        </is>
      </c>
      <c r="C14" s="6" t="inlineStr">
        <is>
          <t>5-level maturity model with trend analysis</t>
        </is>
      </c>
    </row>
    <row r="15">
      <c r="A15" s="6" t="inlineStr">
        <is>
          <t>4</t>
        </is>
      </c>
      <c r="B15" s="6" t="inlineStr">
        <is>
          <t>Policy_Summary</t>
        </is>
      </c>
      <c r="C15" s="6" t="inlineStr">
        <is>
          <t>S1 (A.5.1) Policy Framework domain metrics</t>
        </is>
      </c>
    </row>
    <row r="16">
      <c r="A16" s="6" t="inlineStr">
        <is>
          <t>5</t>
        </is>
      </c>
      <c r="B16" s="6" t="inlineStr">
        <is>
          <t>Roles_Summary</t>
        </is>
      </c>
      <c r="C16" s="6" t="inlineStr">
        <is>
          <t>S2 (A.5.2) Roles &amp; Responsibilities domain metrics</t>
        </is>
      </c>
    </row>
    <row r="17">
      <c r="A17" s="6" t="inlineStr">
        <is>
          <t>6</t>
        </is>
      </c>
      <c r="B17" s="6" t="inlineStr">
        <is>
          <t>Screening_Summary</t>
        </is>
      </c>
      <c r="C17" s="6" t="inlineStr">
        <is>
          <t>S3 (A.6.1) Screening domain metrics + FADP indicator</t>
        </is>
      </c>
    </row>
    <row r="18">
      <c r="A18" s="6" t="inlineStr">
        <is>
          <t>7</t>
        </is>
      </c>
      <c r="B18" s="6" t="inlineStr">
        <is>
          <t>Contract_Summary</t>
        </is>
      </c>
      <c r="C18" s="6" t="inlineStr">
        <is>
          <t>S4 (A.6.2/A.6.5) Employment terms + NDA focal point</t>
        </is>
      </c>
    </row>
    <row r="19">
      <c r="A19" s="6" t="inlineStr">
        <is>
          <t>8</t>
        </is>
      </c>
      <c r="B19" s="6" t="inlineStr">
        <is>
          <t>Gap_Analysis</t>
        </is>
      </c>
      <c r="C19" s="6" t="inlineStr">
        <is>
          <t>Consolidated gaps with cross-domain flags</t>
        </is>
      </c>
    </row>
    <row r="20">
      <c r="A20" s="6" t="inlineStr">
        <is>
          <t>9</t>
        </is>
      </c>
      <c r="B20" s="6" t="inlineStr">
        <is>
          <t>Evidence_Register</t>
        </is>
      </c>
      <c r="C20" s="6" t="inlineStr">
        <is>
          <t>Consolidated evidence index</t>
        </is>
      </c>
    </row>
    <row r="21">
      <c r="A21" s="6" t="inlineStr">
        <is>
          <t>10</t>
        </is>
      </c>
      <c r="B21" s="6" t="inlineStr">
        <is>
          <t>Action_Items</t>
        </is>
      </c>
      <c r="C21" s="6" t="inlineStr">
        <is>
          <t>Remediation tracker</t>
        </is>
      </c>
    </row>
    <row r="22">
      <c r="A22" s="6" t="inlineStr">
        <is>
          <t>11</t>
        </is>
      </c>
      <c r="B22" s="6" t="inlineStr">
        <is>
          <t>Approval_Sign_Off</t>
        </is>
      </c>
      <c r="C22" s="6" t="inlineStr">
        <is>
          <t>Three-level governance certification with FADP</t>
        </is>
      </c>
    </row>
    <row r="25">
      <c r="A25" s="3" t="inlineStr">
        <is>
          <t>COLOR LEGEND</t>
        </is>
      </c>
    </row>
    <row r="27">
      <c r="A27" s="5" t="inlineStr">
        <is>
          <t>Color</t>
        </is>
      </c>
      <c r="B27" s="5" t="inlineStr">
        <is>
          <t>Sample</t>
        </is>
      </c>
      <c r="C27" s="5" t="inlineStr">
        <is>
          <t>Meaning</t>
        </is>
      </c>
    </row>
    <row r="28">
      <c r="A28" s="6" t="inlineStr">
        <is>
          <t>Yellow</t>
        </is>
      </c>
      <c r="B28" s="7" t="inlineStr"/>
      <c r="C28" s="6" t="inlineStr">
        <is>
          <t>User Input - Cells requiring manual entry</t>
        </is>
      </c>
    </row>
    <row r="29">
      <c r="A29" s="6" t="inlineStr">
        <is>
          <t>Light Blue</t>
        </is>
      </c>
      <c r="B29" s="8" t="inlineStr"/>
      <c r="C29" s="6" t="inlineStr">
        <is>
          <t>Calculated - Auto-populated/formula cells</t>
        </is>
      </c>
    </row>
    <row r="30">
      <c r="A30" s="6" t="inlineStr">
        <is>
          <t>Gray</t>
        </is>
      </c>
      <c r="B30" s="9" t="inlineStr"/>
      <c r="C30" s="6" t="inlineStr">
        <is>
          <t>Labels - Row/column headers</t>
        </is>
      </c>
    </row>
    <row r="31">
      <c r="A31" s="6" t="inlineStr">
        <is>
          <t>Green</t>
        </is>
      </c>
      <c r="B31" s="10" t="inlineStr"/>
      <c r="C31" s="6" t="inlineStr">
        <is>
          <t>Compliant - Meets requirements</t>
        </is>
      </c>
    </row>
    <row r="32">
      <c r="A32" s="6" t="inlineStr">
        <is>
          <t>Amber/Yellow</t>
        </is>
      </c>
      <c r="B32" s="11" t="inlineStr"/>
      <c r="C32" s="6" t="inlineStr">
        <is>
          <t>Partial - Partially meets requirements</t>
        </is>
      </c>
    </row>
    <row r="33">
      <c r="A33" s="6" t="inlineStr">
        <is>
          <t>Red</t>
        </is>
      </c>
      <c r="B33" s="12" t="inlineStr"/>
      <c r="C33" s="6" t="inlineStr">
        <is>
          <t>Non-Compliant - Does not meet requirements</t>
        </is>
      </c>
    </row>
    <row r="34">
      <c r="A34" s="6" t="inlineStr">
        <is>
          <t>Purple</t>
        </is>
      </c>
      <c r="B34" s="13" t="inlineStr"/>
      <c r="C34" s="6" t="inlineStr">
        <is>
          <t>FADP Relevant - Swiss data protection applicable</t>
        </is>
      </c>
    </row>
    <row r="37">
      <c r="A37" s="3" t="inlineStr">
        <is>
          <t>COMPLIANCE WEIGHTING</t>
        </is>
      </c>
    </row>
    <row r="39">
      <c r="A39" s="5" t="inlineStr">
        <is>
          <t>Domain</t>
        </is>
      </c>
      <c r="B39" s="5" t="inlineStr">
        <is>
          <t>Weight</t>
        </is>
      </c>
      <c r="C39" s="5" t="inlineStr">
        <is>
          <t>Source</t>
        </is>
      </c>
    </row>
    <row r="40">
      <c r="A40" s="6" t="inlineStr">
        <is>
          <t>Policy Framework (A.5.1)</t>
        </is>
      </c>
      <c r="B40" s="6" t="inlineStr">
        <is>
          <t>35%</t>
        </is>
      </c>
      <c r="C40" s="6" t="inlineStr">
        <is>
          <t>S1 Workbook</t>
        </is>
      </c>
    </row>
    <row r="41">
      <c r="A41" s="6" t="inlineStr">
        <is>
          <t>Roles &amp; Responsibilities (A.5.2)</t>
        </is>
      </c>
      <c r="B41" s="6" t="inlineStr">
        <is>
          <t>25%</t>
        </is>
      </c>
      <c r="C41" s="6" t="inlineStr">
        <is>
          <t>S2 Workbook</t>
        </is>
      </c>
    </row>
    <row r="42">
      <c r="A42" s="6" t="inlineStr">
        <is>
          <t>Screening &amp; Vetting (A.6.1)</t>
        </is>
      </c>
      <c r="B42" s="6" t="inlineStr">
        <is>
          <t>20%</t>
        </is>
      </c>
      <c r="C42" s="6" t="inlineStr">
        <is>
          <t>S3 Workbook</t>
        </is>
      </c>
    </row>
    <row r="43">
      <c r="A43" s="6" t="inlineStr">
        <is>
          <t>Employment Terms (A.6.2)</t>
        </is>
      </c>
      <c r="B43" s="6" t="inlineStr">
        <is>
          <t>20%</t>
        </is>
      </c>
      <c r="C43" s="6" t="inlineStr">
        <is>
          <t>S4 Workbook</t>
        </is>
      </c>
    </row>
    <row r="44">
      <c r="A44" s="14" t="inlineStr">
        <is>
          <t>TOTAL</t>
        </is>
      </c>
      <c r="B44" s="14" t="inlineStr">
        <is>
          <t>100%</t>
        </is>
      </c>
      <c r="C44" s="14" t="inlineStr">
        <is>
          <t>-</t>
        </is>
      </c>
    </row>
    <row r="47">
      <c r="A47" s="3" t="inlineStr">
        <is>
          <t>KEY INDICATORS</t>
        </is>
      </c>
    </row>
    <row r="49">
      <c r="A49" s="5" t="inlineStr">
        <is>
          <t>Indicator</t>
        </is>
      </c>
      <c r="B49" s="5" t="inlineStr">
        <is>
          <t>Description</t>
        </is>
      </c>
    </row>
    <row r="50">
      <c r="A50" s="6" t="inlineStr">
        <is>
          <t>FADP Indicator</t>
        </is>
      </c>
      <c r="B50" s="6" t="inlineStr">
        <is>
          <t>Swiss Federal Act on Data Protection compliance flag</t>
        </is>
      </c>
    </row>
    <row r="51">
      <c r="A51" s="6" t="inlineStr">
        <is>
          <t>NDA Rate</t>
        </is>
      </c>
      <c r="B51" s="6" t="inlineStr">
        <is>
          <t>Percentage of employees with signed NDAs</t>
        </is>
      </c>
    </row>
    <row r="52">
      <c r="A52" s="6" t="inlineStr">
        <is>
          <t>Cross-Domain Gap</t>
        </is>
      </c>
      <c r="B52" s="6" t="inlineStr">
        <is>
          <t>Gap affecting multiple control domains</t>
        </is>
      </c>
    </row>
    <row r="53">
      <c r="A53" s="6" t="inlineStr">
        <is>
          <t>Maturity Level</t>
        </is>
      </c>
      <c r="B53" s="6" t="inlineStr">
        <is>
          <t>CMM-style 1-5 maturity assessment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0"/>
  <mergeCells count="8">
    <mergeCell ref="A9:H9"/>
    <mergeCell ref="A4:H4"/>
    <mergeCell ref="A25:H25"/>
    <mergeCell ref="A2:H2"/>
    <mergeCell ref="A5:H7"/>
    <mergeCell ref="A47:H47"/>
    <mergeCell ref="A1:H1"/>
    <mergeCell ref="A37:H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40" customHeight="1">
      <c r="A1" s="1" t="inlineStr">
        <is>
          <t>ISMS-IMP-A.5.1-2-6.1-2.S5 - Executive Summary</t>
        </is>
      </c>
    </row>
    <row r="2" ht="30" customHeight="1">
      <c r="A2" s="2" t="inlineStr">
        <is>
          <t>Governance Compliance Dashboard - Board-Level View</t>
        </is>
      </c>
    </row>
    <row r="4">
      <c r="A4" s="15" t="inlineStr">
        <is>
          <t>Document ID:</t>
        </is>
      </c>
      <c r="B4" s="16" t="inlineStr">
        <is>
          <t>ISMS-IMP-A.5.1-2-6.1-2.S5</t>
        </is>
      </c>
      <c r="E4" s="3" t="inlineStr">
        <is>
          <t>OVERALL COMPLIANCE</t>
        </is>
      </c>
      <c r="I4" s="17" t="inlineStr">
        <is>
          <t>FADP STATUS</t>
        </is>
      </c>
    </row>
    <row r="5">
      <c r="A5" s="15" t="inlineStr">
        <is>
          <t>Control Reference:</t>
        </is>
      </c>
      <c r="B5" s="16" t="inlineStr">
        <is>
          <t>ISO/IEC 27001:2022 - Control A.5.1-2-6.1-2: Information Security Policies and Organization</t>
        </is>
      </c>
    </row>
    <row r="6" ht="30" customHeight="1">
      <c r="A6" s="15" t="inlineStr">
        <is>
          <t>Assessment Period:</t>
        </is>
      </c>
      <c r="B6" s="18" t="n"/>
      <c r="E6" s="19">
        <f>ROUND((Policy_Summary!B20*0.35)+(Roles_Summary!B20*0.25)+(Screening_Summary!B20*0.20)+(Contract_Summary!B20*0.20),1)</f>
        <v/>
      </c>
      <c r="I6" s="20">
        <f>IF(Screening_Summary!B22="Yes","COMPLIANT",IF(Screening_Summary!B22="Partial","PARTIAL","REVIEW REQUIRED"))</f>
        <v/>
      </c>
    </row>
    <row r="7" ht="30" customHeight="1">
      <c r="A7" s="15" t="inlineStr">
        <is>
          <t>Assessment Date:</t>
        </is>
      </c>
      <c r="B7" s="16">
        <f>TODAY()</f>
        <v/>
      </c>
    </row>
    <row r="8" ht="30" customHeight="1">
      <c r="A8" s="15" t="inlineStr">
        <is>
          <t>Prepared By:</t>
        </is>
      </c>
      <c r="B8" s="18" t="n"/>
    </row>
    <row r="9">
      <c r="A9" s="15" t="inlineStr">
        <is>
          <t>Framework Version:</t>
        </is>
      </c>
      <c r="B9" s="16" t="inlineStr">
        <is>
          <t>1.0</t>
        </is>
      </c>
    </row>
    <row r="11">
      <c r="A11" s="3" t="inlineStr">
        <is>
          <t>DOMAIN COMPLIANCE BREAKDOWN</t>
        </is>
      </c>
    </row>
    <row r="13">
      <c r="A13" s="5" t="inlineStr">
        <is>
          <t>Domain</t>
        </is>
      </c>
      <c r="B13" s="5" t="inlineStr">
        <is>
          <t>Weight</t>
        </is>
      </c>
      <c r="C13" s="5" t="inlineStr">
        <is>
          <t>Raw Score</t>
        </is>
      </c>
      <c r="D13" s="5" t="inlineStr">
        <is>
          <t>Weighted Score</t>
        </is>
      </c>
      <c r="E13" s="5" t="inlineStr">
        <is>
          <t>Status</t>
        </is>
      </c>
      <c r="F13" s="5" t="inlineStr">
        <is>
          <t>Source Workbook</t>
        </is>
      </c>
    </row>
    <row r="14">
      <c r="A14" s="15" t="inlineStr">
        <is>
          <t>Policy Framework (A.5.1)</t>
        </is>
      </c>
      <c r="B14" s="16" t="inlineStr">
        <is>
          <t>35%</t>
        </is>
      </c>
      <c r="C14" s="21">
        <f>Policy_Summary!B20</f>
        <v/>
      </c>
      <c r="D14" s="21">
        <f>C14*0.35</f>
        <v/>
      </c>
      <c r="E14" s="16">
        <f>IF(C14&gt;=0.9,"Compliant",IF(C14&gt;=0.7,"Partial","Non-Compliant"))</f>
        <v/>
      </c>
      <c r="F14" s="16" t="inlineStr">
        <is>
          <t>S1</t>
        </is>
      </c>
    </row>
    <row r="15">
      <c r="A15" s="15" t="inlineStr">
        <is>
          <t>Roles &amp; Responsibilities (A.5.2)</t>
        </is>
      </c>
      <c r="B15" s="16" t="inlineStr">
        <is>
          <t>25%</t>
        </is>
      </c>
      <c r="C15" s="21">
        <f>Roles_Summary!B20</f>
        <v/>
      </c>
      <c r="D15" s="21">
        <f>C15*0.25</f>
        <v/>
      </c>
      <c r="E15" s="16">
        <f>IF(C15&gt;=0.9,"Compliant",IF(C15&gt;=0.7,"Partial","Non-Compliant"))</f>
        <v/>
      </c>
      <c r="F15" s="16" t="inlineStr">
        <is>
          <t>S2</t>
        </is>
      </c>
    </row>
    <row r="16">
      <c r="A16" s="15" t="inlineStr">
        <is>
          <t>Screening &amp; Vetting (A.6.1)</t>
        </is>
      </c>
      <c r="B16" s="16" t="inlineStr">
        <is>
          <t>20%</t>
        </is>
      </c>
      <c r="C16" s="21">
        <f>Screening_Summary!B20</f>
        <v/>
      </c>
      <c r="D16" s="21">
        <f>C16*0.20</f>
        <v/>
      </c>
      <c r="E16" s="16">
        <f>IF(C16&gt;=0.9,"Compliant",IF(C16&gt;=0.7,"Partial","Non-Compliant"))</f>
        <v/>
      </c>
      <c r="F16" s="16" t="inlineStr">
        <is>
          <t>S3</t>
        </is>
      </c>
    </row>
    <row r="17">
      <c r="A17" s="15" t="inlineStr">
        <is>
          <t>Employment Terms (A.6.2)</t>
        </is>
      </c>
      <c r="B17" s="16" t="inlineStr">
        <is>
          <t>20%</t>
        </is>
      </c>
      <c r="C17" s="21">
        <f>Contract_Summary!B20</f>
        <v/>
      </c>
      <c r="D17" s="21">
        <f>C17*0.20</f>
        <v/>
      </c>
      <c r="E17" s="16">
        <f>IF(C17&gt;=0.9,"Compliant",IF(C17&gt;=0.7,"Partial","Non-Compliant"))</f>
        <v/>
      </c>
      <c r="F17" s="16" t="inlineStr">
        <is>
          <t>S4</t>
        </is>
      </c>
    </row>
    <row r="18">
      <c r="A18" s="22" t="inlineStr">
        <is>
          <t>WEIGHTED TOTAL</t>
        </is>
      </c>
      <c r="B18" t="inlineStr">
        <is>
          <t>100%</t>
        </is>
      </c>
      <c r="D18" s="21">
        <f>SUM(D14:D17)</f>
        <v/>
      </c>
    </row>
    <row r="20">
      <c r="A20" s="3" t="inlineStr">
        <is>
          <t>KEY PERFORMANCE INDICATORS</t>
        </is>
      </c>
    </row>
    <row r="22">
      <c r="A22" s="5" t="inlineStr">
        <is>
          <t>KPI</t>
        </is>
      </c>
      <c r="B22" s="5" t="inlineStr">
        <is>
          <t>Current Value</t>
        </is>
      </c>
      <c r="C22" s="5" t="inlineStr">
        <is>
          <t>Target</t>
        </is>
      </c>
      <c r="D22" s="5" t="inlineStr">
        <is>
          <t>Status</t>
        </is>
      </c>
      <c r="E22" s="5" t="inlineStr">
        <is>
          <t>Owner</t>
        </is>
      </c>
    </row>
    <row r="23">
      <c r="A23" s="15" t="inlineStr">
        <is>
          <t>NDA Compliance Rate</t>
        </is>
      </c>
      <c r="B23" s="21">
        <f>Contract_Summary!B24</f>
        <v/>
      </c>
      <c r="C23" s="16" t="inlineStr">
        <is>
          <t>&gt;=95%</t>
        </is>
      </c>
      <c r="D23" s="16">
        <f>IF(B23&gt;=VALUE(SUBSTITUTE(C23,"%","")/100),"On Target","Below Target")</f>
        <v/>
      </c>
      <c r="E23" s="16" t="inlineStr">
        <is>
          <t>Employment</t>
        </is>
      </c>
    </row>
    <row r="24">
      <c r="A24" s="15" t="inlineStr">
        <is>
          <t>Policy Acknowledgment Rate</t>
        </is>
      </c>
      <c r="B24" s="21">
        <f>Policy_Summary!B24</f>
        <v/>
      </c>
      <c r="C24" s="16" t="inlineStr">
        <is>
          <t>&gt;=90%</t>
        </is>
      </c>
      <c r="D24" s="16">
        <f>IF(B24&gt;=VALUE(SUBSTITUTE(C24,"%","")/100),"On Target","Below Target")</f>
        <v/>
      </c>
      <c r="E24" s="16" t="inlineStr">
        <is>
          <t>Policy</t>
        </is>
      </c>
    </row>
    <row r="25">
      <c r="A25" s="15" t="inlineStr">
        <is>
          <t>Screening Completion Rate</t>
        </is>
      </c>
      <c r="B25" s="21">
        <f>Screening_Summary!B24</f>
        <v/>
      </c>
      <c r="C25" s="16" t="inlineStr">
        <is>
          <t>100%</t>
        </is>
      </c>
      <c r="D25" s="16">
        <f>IF(B25&gt;=VALUE(SUBSTITUTE(C25,"%","")/100),"On Target","Below Target")</f>
        <v/>
      </c>
      <c r="E25" s="16" t="inlineStr">
        <is>
          <t>HR</t>
        </is>
      </c>
    </row>
    <row r="26">
      <c r="A26" s="15" t="inlineStr">
        <is>
          <t>FADP Training Completion</t>
        </is>
      </c>
      <c r="B26" s="21">
        <f>Screening_Summary!B26</f>
        <v/>
      </c>
      <c r="C26" s="16" t="inlineStr">
        <is>
          <t>&gt;=95%</t>
        </is>
      </c>
      <c r="D26" s="16">
        <f>IF(B26&gt;=VALUE(SUBSTITUTE(C26,"%","")/100),"On Target","Below Target")</f>
        <v/>
      </c>
      <c r="E26" s="16" t="inlineStr">
        <is>
          <t>Training</t>
        </is>
      </c>
    </row>
    <row r="27">
      <c r="A27" s="15" t="inlineStr">
        <is>
          <t>Critical Gaps Open</t>
        </is>
      </c>
      <c r="B27" s="16">
        <f>Gap_Analysis!B50</f>
        <v/>
      </c>
      <c r="C27" s="16" t="inlineStr">
        <is>
          <t>0</t>
        </is>
      </c>
      <c r="D27" s="16">
        <f>IF(B27&gt;=VALUE(SUBSTITUTE(C27,"%","")/100),"On Target","Below Target")</f>
        <v/>
      </c>
      <c r="E27" s="16" t="inlineStr">
        <is>
          <t>Risk</t>
        </is>
      </c>
    </row>
    <row r="28">
      <c r="A28" s="15" t="inlineStr">
        <is>
          <t>Cross-Domain Gaps</t>
        </is>
      </c>
      <c r="B28" s="16">
        <f>Gap_Analysis!B51</f>
        <v/>
      </c>
      <c r="C28" s="16" t="inlineStr">
        <is>
          <t>0</t>
        </is>
      </c>
      <c r="D28" s="16">
        <f>IF(B28&gt;=VALUE(SUBSTITUTE(C28,"%","")/100),"On Target","Below Target")</f>
        <v/>
      </c>
      <c r="E28" s="16" t="inlineStr">
        <is>
          <t>Risk</t>
        </is>
      </c>
    </row>
    <row r="31">
      <c r="A31" s="3" t="inlineStr">
        <is>
          <t>ASSESSMENT STATUS</t>
        </is>
      </c>
    </row>
    <row r="33">
      <c r="A33" s="15" t="inlineStr">
        <is>
          <t>Overall Assessment Status:</t>
        </is>
      </c>
      <c r="B33" s="18" t="n"/>
    </row>
    <row r="34">
      <c r="A34" s="15" t="inlineStr">
        <is>
          <t>Next Board Review:</t>
        </is>
      </c>
      <c r="B34" s="23" t="n"/>
    </row>
    <row r="35">
      <c r="A35" s="15" t="inlineStr">
        <is>
          <t>CISO Recommendation:</t>
        </is>
      </c>
      <c r="B3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0"/>
  <mergeCells count="18">
    <mergeCell ref="B6:C6"/>
    <mergeCell ref="A1:J1"/>
    <mergeCell ref="I6:J8"/>
    <mergeCell ref="B7:C7"/>
    <mergeCell ref="I4:J5"/>
    <mergeCell ref="E4:G5"/>
    <mergeCell ref="E6:G8"/>
    <mergeCell ref="B5:C5"/>
    <mergeCell ref="A31:J31"/>
    <mergeCell ref="B33:C33"/>
    <mergeCell ref="B34:C34"/>
    <mergeCell ref="B35:E35"/>
    <mergeCell ref="A20:J20"/>
    <mergeCell ref="A2:J2"/>
    <mergeCell ref="B9:C9"/>
    <mergeCell ref="B8:C8"/>
    <mergeCell ref="B4:C4"/>
    <mergeCell ref="A11:J11"/>
  </mergeCells>
  <dataValidations count="1">
    <dataValidation sqref="B33" showDropDown="0" showInputMessage="0" showErrorMessage="1" allowBlank="1" errorTitle="Invalid Entry" error="Please select from dropdown" type="list">
      <formula1>"Draft,Under-Review,Approved,Audit-Ready"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0" customWidth="1" min="5" max="5"/>
    <col width="15" customWidth="1" min="6" max="6"/>
    <col width="15" customWidth="1" min="7" max="7"/>
    <col width="40" customWidth="1" min="8" max="8"/>
    <col width="15" customWidth="1" min="9" max="9"/>
  </cols>
  <sheetData>
    <row r="1" ht="40" customHeight="1">
      <c r="A1" s="1" t="inlineStr">
        <is>
          <t>MATURITY ASSESSMENT</t>
        </is>
      </c>
    </row>
    <row r="2">
      <c r="A2" s="2" t="inlineStr">
        <is>
          <t>5-Level Capability Maturity Model for Secure Employment Framework</t>
        </is>
      </c>
    </row>
    <row r="4">
      <c r="A4" s="3" t="inlineStr">
        <is>
          <t>MATURITY LEVEL DEFINITIONS</t>
        </is>
      </c>
    </row>
    <row r="6">
      <c r="A6" s="5" t="inlineStr">
        <is>
          <t>Level</t>
        </is>
      </c>
      <c r="B6" s="5" t="inlineStr">
        <is>
          <t>Description</t>
        </is>
      </c>
    </row>
    <row r="7">
      <c r="A7" s="6" t="inlineStr">
        <is>
          <t>Level 1 - Initial</t>
        </is>
      </c>
      <c r="B7" s="6" t="inlineStr">
        <is>
          <t>Ad-hoc processes, inconsistent execution, reactive approach</t>
        </is>
      </c>
    </row>
    <row r="8">
      <c r="A8" s="6" t="inlineStr">
        <is>
          <t>Level 2 - Repeatable</t>
        </is>
      </c>
      <c r="B8" s="6" t="inlineStr">
        <is>
          <t>Basic processes documented, some consistency</t>
        </is>
      </c>
    </row>
    <row r="9">
      <c r="A9" s="6" t="inlineStr">
        <is>
          <t>Level 3 - Defined</t>
        </is>
      </c>
      <c r="B9" s="6" t="inlineStr">
        <is>
          <t>Standardized processes, proactive management</t>
        </is>
      </c>
    </row>
    <row r="10">
      <c r="A10" s="6" t="inlineStr">
        <is>
          <t>Level 4 - Managed</t>
        </is>
      </c>
      <c r="B10" s="6" t="inlineStr">
        <is>
          <t>Measured processes, quantitative goals</t>
        </is>
      </c>
    </row>
    <row r="11">
      <c r="A11" s="6" t="inlineStr">
        <is>
          <t>Level 5 - Optimized</t>
        </is>
      </c>
      <c r="B11" s="6" t="inlineStr">
        <is>
          <t>Continuous improvement, best practice leadership</t>
        </is>
      </c>
    </row>
    <row r="14">
      <c r="A14" s="3" t="inlineStr">
        <is>
          <t>DOMAIN MATURITY ASSESSMENT</t>
        </is>
      </c>
    </row>
    <row r="16">
      <c r="A16" s="5" t="inlineStr">
        <is>
          <t>Domain</t>
        </is>
      </c>
      <c r="B16" s="5" t="inlineStr">
        <is>
          <t>Control</t>
        </is>
      </c>
      <c r="C16" s="5" t="inlineStr">
        <is>
          <t>Current Level</t>
        </is>
      </c>
      <c r="D16" s="5" t="inlineStr">
        <is>
          <t>Target Level</t>
        </is>
      </c>
      <c r="E16" s="5" t="inlineStr">
        <is>
          <t>Gap</t>
        </is>
      </c>
      <c r="F16" s="5" t="inlineStr">
        <is>
          <t>Trend</t>
        </is>
      </c>
      <c r="G16" s="5" t="inlineStr">
        <is>
          <t>Priority</t>
        </is>
      </c>
      <c r="H16" s="5" t="inlineStr">
        <is>
          <t>Notes</t>
        </is>
      </c>
    </row>
    <row r="17">
      <c r="A17" s="15" t="inlineStr">
        <is>
          <t>Policy Framework</t>
        </is>
      </c>
      <c r="B17" s="16" t="inlineStr">
        <is>
          <t>A.5.1</t>
        </is>
      </c>
      <c r="C17" s="18" t="n"/>
      <c r="D17" s="18" t="n"/>
      <c r="E17" s="16">
        <f>IF(AND(C17&lt;&gt;"",D17&lt;&gt;""),D17-C17,"")</f>
        <v/>
      </c>
      <c r="F17" s="18" t="n"/>
      <c r="G17" s="16">
        <f>IF(E17="","",IF(E17&gt;=2,"High",IF(E17&gt;=1,"Medium","Low")))</f>
        <v/>
      </c>
      <c r="H17" s="18" t="n"/>
    </row>
    <row r="18">
      <c r="A18" s="15" t="inlineStr">
        <is>
          <t>Roles &amp; Responsibilities</t>
        </is>
      </c>
      <c r="B18" s="16" t="inlineStr">
        <is>
          <t>A.5.2</t>
        </is>
      </c>
      <c r="C18" s="18" t="n"/>
      <c r="D18" s="18" t="n"/>
      <c r="E18" s="16">
        <f>IF(AND(C18&lt;&gt;"",D18&lt;&gt;""),D18-C18,"")</f>
        <v/>
      </c>
      <c r="F18" s="18" t="n"/>
      <c r="G18" s="16">
        <f>IF(E18="","",IF(E18&gt;=2,"High",IF(E18&gt;=1,"Medium","Low")))</f>
        <v/>
      </c>
      <c r="H18" s="18" t="n"/>
    </row>
    <row r="19">
      <c r="A19" s="15" t="inlineStr">
        <is>
          <t>Screening &amp; Vetting</t>
        </is>
      </c>
      <c r="B19" s="16" t="inlineStr">
        <is>
          <t>A.6.1</t>
        </is>
      </c>
      <c r="C19" s="18" t="n"/>
      <c r="D19" s="18" t="n"/>
      <c r="E19" s="16">
        <f>IF(AND(C19&lt;&gt;"",D19&lt;&gt;""),D19-C19,"")</f>
        <v/>
      </c>
      <c r="F19" s="18" t="n"/>
      <c r="G19" s="16">
        <f>IF(E19="","",IF(E19&gt;=2,"High",IF(E19&gt;=1,"Medium","Low")))</f>
        <v/>
      </c>
      <c r="H19" s="18" t="n"/>
    </row>
    <row r="20">
      <c r="A20" s="15" t="inlineStr">
        <is>
          <t>Employment Terms</t>
        </is>
      </c>
      <c r="B20" s="16" t="inlineStr">
        <is>
          <t>A.6.2</t>
        </is>
      </c>
      <c r="C20" s="18" t="n"/>
      <c r="D20" s="18" t="n"/>
      <c r="E20" s="16">
        <f>IF(AND(C20&lt;&gt;"",D20&lt;&gt;""),D20-C20,"")</f>
        <v/>
      </c>
      <c r="F20" s="18" t="n"/>
      <c r="G20" s="16">
        <f>IF(E20="","",IF(E20&gt;=2,"High",IF(E20&gt;=1,"Medium","Low")))</f>
        <v/>
      </c>
      <c r="H20" s="18" t="n"/>
    </row>
    <row r="23">
      <c r="A23" s="3" t="inlineStr">
        <is>
          <t>OVERALL MATURITY SUMMARY</t>
        </is>
      </c>
    </row>
    <row r="25">
      <c r="A25" s="15" t="inlineStr">
        <is>
          <t>Average Current Maturity:</t>
        </is>
      </c>
      <c r="B25" s="24">
        <f>AVERAGE(C17:C20)</f>
        <v/>
      </c>
    </row>
    <row r="26">
      <c r="A26" s="15" t="inlineStr">
        <is>
          <t>Average Target Maturity:</t>
        </is>
      </c>
      <c r="B26" s="24">
        <f>AVERAGE(D17:D20)</f>
        <v/>
      </c>
    </row>
    <row r="27">
      <c r="A27" s="15" t="inlineStr">
        <is>
          <t>Overall Gap:</t>
        </is>
      </c>
      <c r="B27" s="24">
        <f>B26-B25</f>
        <v/>
      </c>
    </row>
    <row r="30">
      <c r="A30" s="3" t="inlineStr">
        <is>
          <t>TREND HISTORY</t>
        </is>
      </c>
    </row>
    <row r="32">
      <c r="A32" s="5" t="inlineStr">
        <is>
          <t>Assessment Date</t>
        </is>
      </c>
      <c r="B32" s="5" t="inlineStr">
        <is>
          <t>Policy (A.5.1)</t>
        </is>
      </c>
      <c r="C32" s="5" t="inlineStr">
        <is>
          <t>Roles (A.5.2)</t>
        </is>
      </c>
      <c r="D32" s="5" t="inlineStr">
        <is>
          <t>Screening (A.6.1)</t>
        </is>
      </c>
      <c r="E32" s="5" t="inlineStr">
        <is>
          <t>Terms (A.6.2)</t>
        </is>
      </c>
      <c r="F32" s="5" t="inlineStr">
        <is>
          <t>Average</t>
        </is>
      </c>
      <c r="G32" s="5" t="inlineStr">
        <is>
          <t>Notes</t>
        </is>
      </c>
    </row>
    <row r="33">
      <c r="A33" s="23" t="n"/>
      <c r="B33" s="18" t="n"/>
      <c r="C33" s="18" t="n"/>
      <c r="D33" s="18" t="n"/>
      <c r="E33" s="18" t="n"/>
      <c r="F33" s="24">
        <f>IF(B33&lt;&gt;"",AVERAGE(B33:E33),"")</f>
        <v/>
      </c>
      <c r="G33" s="18" t="n"/>
    </row>
    <row r="34">
      <c r="A34" s="23" t="n"/>
      <c r="B34" s="18" t="n"/>
      <c r="C34" s="18" t="n"/>
      <c r="D34" s="18" t="n"/>
      <c r="E34" s="18" t="n"/>
      <c r="F34" s="24">
        <f>IF(B34&lt;&gt;"",AVERAGE(B34:E34),"")</f>
        <v/>
      </c>
      <c r="G34" s="18" t="n"/>
    </row>
    <row r="35">
      <c r="A35" s="23" t="n"/>
      <c r="B35" s="18" t="n"/>
      <c r="C35" s="18" t="n"/>
      <c r="D35" s="18" t="n"/>
      <c r="E35" s="18" t="n"/>
      <c r="F35" s="24">
        <f>IF(B35&lt;&gt;"",AVERAGE(B35:E35),"")</f>
        <v/>
      </c>
      <c r="G35" s="18" t="n"/>
    </row>
    <row r="36">
      <c r="A36" s="23" t="n"/>
      <c r="B36" s="18" t="n"/>
      <c r="C36" s="18" t="n"/>
      <c r="D36" s="18" t="n"/>
      <c r="E36" s="18" t="n"/>
      <c r="F36" s="24">
        <f>IF(B36&lt;&gt;"",AVERAGE(B36:E36),"")</f>
        <v/>
      </c>
      <c r="G36" s="18" t="n"/>
    </row>
    <row r="37">
      <c r="A37" s="23" t="n"/>
      <c r="B37" s="18" t="n"/>
      <c r="C37" s="18" t="n"/>
      <c r="D37" s="18" t="n"/>
      <c r="E37" s="18" t="n"/>
      <c r="F37" s="24">
        <f>IF(B37&lt;&gt;"",AVERAGE(B37:E37),"")</f>
        <v/>
      </c>
      <c r="G37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0"/>
  <mergeCells count="11">
    <mergeCell ref="B9:I9"/>
    <mergeCell ref="A2:I2"/>
    <mergeCell ref="B7:I7"/>
    <mergeCell ref="B11:I11"/>
    <mergeCell ref="A14:I14"/>
    <mergeCell ref="B10:I10"/>
    <mergeCell ref="A1:I1"/>
    <mergeCell ref="A23:I23"/>
    <mergeCell ref="A4:I4"/>
    <mergeCell ref="B8:I8"/>
    <mergeCell ref="A30:I30"/>
  </mergeCells>
  <dataValidations count="2">
    <dataValidation sqref="C17:D20" showDropDown="0" showInputMessage="0" showErrorMessage="1" allowBlank="1" errorTitle="Invalid Entry" error="Please select from dropdown" type="list">
      <formula1>"1,2,3,4,5"</formula1>
    </dataValidation>
    <dataValidation sqref="F17:F20" showDropDown="0" showInputMessage="0" showErrorMessage="1" allowBlank="1" errorTitle="Invalid Entry" error="Please select from dropdown" type="list">
      <formula1>"Improving,Stable,Declining"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POLICY FRAMEWORK SUMMARY (A.5.1)</t>
        </is>
      </c>
    </row>
    <row r="2">
      <c r="A2" s="2" t="inlineStr">
        <is>
          <t>S1 Workbook Metrics - Policies for Information Security</t>
        </is>
      </c>
    </row>
    <row r="4">
      <c r="A4" s="15" t="inlineStr">
        <is>
          <t>Source Workbook:</t>
        </is>
      </c>
      <c r="B4" s="16" t="inlineStr">
        <is>
          <t>ISMS-IMP-A.5.1-2-6.1-2.S1_Policy_Framework</t>
        </is>
      </c>
    </row>
    <row r="5">
      <c r="A5" s="15" t="inlineStr">
        <is>
          <t>Weight in Dashboard:</t>
        </is>
      </c>
      <c r="B5" s="16" t="inlineStr">
        <is>
          <t>35%</t>
        </is>
      </c>
    </row>
    <row r="7">
      <c r="A7" s="3" t="inlineStr">
        <is>
          <t>KEY METRICS</t>
        </is>
      </c>
    </row>
    <row r="9">
      <c r="A9" s="15" t="inlineStr">
        <is>
          <t>Total Policies Assessed:</t>
        </is>
      </c>
      <c r="B9" s="18" t="n"/>
    </row>
    <row r="10">
      <c r="A10" s="15" t="inlineStr">
        <is>
          <t>Policies Compliant:</t>
        </is>
      </c>
      <c r="B10" s="18" t="n"/>
    </row>
    <row r="11">
      <c r="A11" s="15" t="inlineStr">
        <is>
          <t>Policies Partial:</t>
        </is>
      </c>
      <c r="B11" s="18" t="n"/>
    </row>
    <row r="12">
      <c r="A12" s="15" t="inlineStr">
        <is>
          <t>Policies Non-Compliant:</t>
        </is>
      </c>
      <c r="B12" s="18" t="n"/>
    </row>
    <row r="13">
      <c r="A13" s="15" t="inlineStr">
        <is>
          <t>Tier-1 Policies:</t>
        </is>
      </c>
      <c r="B13" s="18" t="n"/>
    </row>
    <row r="14">
      <c r="A14" s="15" t="inlineStr">
        <is>
          <t>Tier-2 Policies:</t>
        </is>
      </c>
      <c r="B14" s="18" t="n"/>
    </row>
    <row r="15">
      <c r="A15" s="15" t="inlineStr">
        <is>
          <t>Tier-3 Policies:</t>
        </is>
      </c>
      <c r="B15" s="18" t="n"/>
    </row>
    <row r="16">
      <c r="A16" s="15" t="inlineStr">
        <is>
          <t>Average Policy Age (months):</t>
        </is>
      </c>
      <c r="B16" s="18" t="n"/>
    </row>
    <row r="17">
      <c r="A17" s="15" t="inlineStr">
        <is>
          <t>Overdue Reviews:</t>
        </is>
      </c>
      <c r="B17" s="18" t="n"/>
    </row>
    <row r="18">
      <c r="A18" s="15" t="inlineStr">
        <is>
          <t>Policies with Gaps:</t>
        </is>
      </c>
      <c r="B18" s="18" t="n"/>
    </row>
    <row r="20">
      <c r="A20" s="25" t="inlineStr">
        <is>
          <t>OVERALL COMPLIANCE SCORE</t>
        </is>
      </c>
      <c r="B20" s="26" t="n"/>
    </row>
    <row r="22">
      <c r="A22" s="3" t="inlineStr">
        <is>
          <t>COMPLIANCE BY DOMAIN</t>
        </is>
      </c>
    </row>
    <row r="24">
      <c r="A24" s="5" t="inlineStr">
        <is>
          <t>Domain</t>
        </is>
      </c>
      <c r="B24" s="5">
        <f>B20</f>
        <v/>
      </c>
      <c r="C24" s="5" t="inlineStr">
        <is>
          <t>Score</t>
        </is>
      </c>
      <c r="D24" s="5" t="inlineStr">
        <is>
          <t>Status</t>
        </is>
      </c>
    </row>
    <row r="25">
      <c r="A25" s="15" t="inlineStr">
        <is>
          <t>Policy Inventory Completeness</t>
        </is>
      </c>
      <c r="B25" s="16" t="inlineStr">
        <is>
          <t>25%</t>
        </is>
      </c>
      <c r="C25" s="26" t="n"/>
      <c r="D25" s="16">
        <f>IF(C25="","",IF(C25&gt;=0.9,"Compliant",IF(C25&gt;=0.7,"Partial","Non-Compliant")))</f>
        <v/>
      </c>
    </row>
    <row r="26">
      <c r="A26" s="15" t="inlineStr">
        <is>
          <t>Policy Lifecycle Compliance</t>
        </is>
      </c>
      <c r="B26" s="16" t="inlineStr">
        <is>
          <t>25%</t>
        </is>
      </c>
      <c r="C26" s="26" t="n"/>
      <c r="D26" s="16">
        <f>IF(C26="","",IF(C26&gt;=0.9,"Compliant",IF(C26&gt;=0.7,"Partial","Non-Compliant")))</f>
        <v/>
      </c>
    </row>
    <row r="27">
      <c r="A27" s="15" t="inlineStr">
        <is>
          <t>Policy Governance</t>
        </is>
      </c>
      <c r="B27" s="16" t="inlineStr">
        <is>
          <t>20%</t>
        </is>
      </c>
      <c r="C27" s="26" t="n"/>
      <c r="D27" s="16">
        <f>IF(C27="","",IF(C27&gt;=0.9,"Compliant",IF(C27&gt;=0.7,"Partial","Non-Compliant")))</f>
        <v/>
      </c>
    </row>
    <row r="28">
      <c r="A28" s="15" t="inlineStr">
        <is>
          <t>Policy Classification</t>
        </is>
      </c>
      <c r="B28" s="16" t="inlineStr">
        <is>
          <t>10%</t>
        </is>
      </c>
      <c r="C28" s="26" t="n"/>
      <c r="D28" s="16">
        <f>IF(C28="","",IF(C28&gt;=0.9,"Compliant",IF(C28&gt;=0.7,"Partial","Non-Compliant")))</f>
        <v/>
      </c>
    </row>
    <row r="29">
      <c r="A29" s="15" t="inlineStr">
        <is>
          <t>Policy Communication</t>
        </is>
      </c>
      <c r="B29" s="16" t="inlineStr">
        <is>
          <t>15%</t>
        </is>
      </c>
      <c r="C29" s="26" t="n"/>
      <c r="D29" s="16">
        <f>IF(C29="","",IF(C29&gt;=0.9,"Compliant",IF(C29&gt;=0.7,"Partial","Non-Compliant")))</f>
        <v/>
      </c>
    </row>
    <row r="30">
      <c r="A30" s="15" t="inlineStr">
        <is>
          <t>Policy Repository</t>
        </is>
      </c>
      <c r="B30" s="16" t="inlineStr">
        <is>
          <t>5%</t>
        </is>
      </c>
      <c r="C30" s="26" t="n"/>
      <c r="D30" s="16">
        <f>IF(C30="","",IF(C30&gt;=0.9,"Compliant",IF(C30&gt;=0.7,"Partial","Non-Compliant")))</f>
        <v/>
      </c>
    </row>
    <row r="33">
      <c r="A33" s="15" t="inlineStr">
        <is>
          <t>Policy Acknowledgment Rate:</t>
        </is>
      </c>
      <c r="B33" s="2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0"/>
  <mergeCells count="5">
    <mergeCell ref="A2:F2"/>
    <mergeCell ref="A20:B20"/>
    <mergeCell ref="A1:F1"/>
    <mergeCell ref="A22:F22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ROLES &amp; RESPONSIBILITIES SUMMARY (A.5.2)</t>
        </is>
      </c>
    </row>
    <row r="2">
      <c r="A2" s="2" t="inlineStr">
        <is>
          <t>S2 Workbook Metrics - Information Security Roles and Responsibilities</t>
        </is>
      </c>
    </row>
    <row r="4">
      <c r="A4" s="15" t="inlineStr">
        <is>
          <t>Source Workbook:</t>
        </is>
      </c>
      <c r="B4" s="16" t="inlineStr">
        <is>
          <t>ISMS-IMP-A.5.1-2-6.1-2.S2_Roles_Responsibilities</t>
        </is>
      </c>
    </row>
    <row r="5">
      <c r="A5" s="15" t="inlineStr">
        <is>
          <t>Weight in Dashboard:</t>
        </is>
      </c>
      <c r="B5" s="16" t="inlineStr">
        <is>
          <t>25%</t>
        </is>
      </c>
    </row>
    <row r="7">
      <c r="A7" s="3" t="inlineStr">
        <is>
          <t>KEY METRICS</t>
        </is>
      </c>
    </row>
    <row r="9">
      <c r="A9" s="15" t="inlineStr">
        <is>
          <t>Total Roles Defined:</t>
        </is>
      </c>
      <c r="B9" s="18" t="n"/>
    </row>
    <row r="10">
      <c r="A10" s="15" t="inlineStr">
        <is>
          <t>Roles with Clear Ownership:</t>
        </is>
      </c>
      <c r="B10" s="18" t="n"/>
    </row>
    <row r="11">
      <c r="A11" s="15" t="inlineStr">
        <is>
          <t>Roles with RACI Matrix:</t>
        </is>
      </c>
      <c r="B11" s="18" t="n"/>
    </row>
    <row r="12">
      <c r="A12" s="15" t="inlineStr">
        <is>
          <t>Roles with Documented Responsibilities:</t>
        </is>
      </c>
      <c r="B12" s="18" t="n"/>
    </row>
    <row r="13">
      <c r="A13" s="15" t="inlineStr">
        <is>
          <t>Key Security Roles Filled:</t>
        </is>
      </c>
      <c r="B13" s="18" t="n"/>
    </row>
    <row r="14">
      <c r="A14" s="15" t="inlineStr">
        <is>
          <t>Roles with Succession Planning:</t>
        </is>
      </c>
      <c r="B14" s="18" t="n"/>
    </row>
    <row r="15">
      <c r="A15" s="15" t="inlineStr">
        <is>
          <t>Segregation of Duties Verified:</t>
        </is>
      </c>
      <c r="B15" s="18" t="n"/>
    </row>
    <row r="16">
      <c r="A16" s="15" t="inlineStr">
        <is>
          <t>Role-Based Access Aligned:</t>
        </is>
      </c>
      <c r="B16" s="18" t="n"/>
    </row>
    <row r="17">
      <c r="A17" s="15" t="inlineStr">
        <is>
          <t>Roles Requiring Update:</t>
        </is>
      </c>
      <c r="B17" s="18" t="n"/>
    </row>
    <row r="18">
      <c r="A18" s="15" t="inlineStr">
        <is>
          <t>Vacant Critical Roles:</t>
        </is>
      </c>
      <c r="B18" s="18" t="n"/>
    </row>
    <row r="20">
      <c r="A20" s="25" t="inlineStr">
        <is>
          <t>OVERALL COMPLIANCE SCORE</t>
        </is>
      </c>
      <c r="B20" s="26" t="n"/>
    </row>
    <row r="22">
      <c r="A22" s="3" t="inlineStr">
        <is>
          <t>COMPLIANCE BY DOMAIN</t>
        </is>
      </c>
    </row>
    <row r="24">
      <c r="A24" s="5" t="inlineStr">
        <is>
          <t>Domain</t>
        </is>
      </c>
      <c r="B24" s="5" t="inlineStr">
        <is>
          <t>Weight</t>
        </is>
      </c>
      <c r="C24" s="5" t="inlineStr">
        <is>
          <t>Score</t>
        </is>
      </c>
      <c r="D24" s="5" t="inlineStr">
        <is>
          <t>Status</t>
        </is>
      </c>
    </row>
    <row r="25">
      <c r="A25" s="15" t="inlineStr">
        <is>
          <t>Role Definition Completeness</t>
        </is>
      </c>
      <c r="B25" s="16" t="inlineStr">
        <is>
          <t>30%</t>
        </is>
      </c>
      <c r="C25" s="26" t="n"/>
      <c r="D25" s="16">
        <f>IF(C25="","",IF(C25&gt;=0.9,"Compliant",IF(C25&gt;=0.7,"Partial","Non-Compliant")))</f>
        <v/>
      </c>
    </row>
    <row r="26">
      <c r="A26" s="15" t="inlineStr">
        <is>
          <t>RACI Matrix Coverage</t>
        </is>
      </c>
      <c r="B26" s="16" t="inlineStr">
        <is>
          <t>25%</t>
        </is>
      </c>
      <c r="C26" s="26" t="n"/>
      <c r="D26" s="16">
        <f>IF(C26="","",IF(C26&gt;=0.9,"Compliant",IF(C26&gt;=0.7,"Partial","Non-Compliant")))</f>
        <v/>
      </c>
    </row>
    <row r="27">
      <c r="A27" s="15" t="inlineStr">
        <is>
          <t>Segregation of Duties</t>
        </is>
      </c>
      <c r="B27" s="16" t="inlineStr">
        <is>
          <t>20%</t>
        </is>
      </c>
      <c r="C27" s="26" t="n"/>
      <c r="D27" s="16">
        <f>IF(C27="","",IF(C27&gt;=0.9,"Compliant",IF(C27&gt;=0.7,"Partial","Non-Compliant")))</f>
        <v/>
      </c>
    </row>
    <row r="28">
      <c r="A28" s="15" t="inlineStr">
        <is>
          <t>Succession Planning</t>
        </is>
      </c>
      <c r="B28" s="16" t="inlineStr">
        <is>
          <t>15%</t>
        </is>
      </c>
      <c r="C28" s="26" t="n"/>
      <c r="D28" s="16">
        <f>IF(C28="","",IF(C28&gt;=0.9,"Compliant",IF(C28&gt;=0.7,"Partial","Non-Compliant")))</f>
        <v/>
      </c>
    </row>
    <row r="29">
      <c r="A29" s="15" t="inlineStr">
        <is>
          <t>Role Documentation</t>
        </is>
      </c>
      <c r="B29" s="16" t="inlineStr">
        <is>
          <t>10%</t>
        </is>
      </c>
      <c r="C29" s="26" t="n"/>
      <c r="D29" s="16">
        <f>IF(C29="","",IF(C29&gt;=0.9,"Compliant",IF(C29&gt;=0.7,"Partial","Non-Compliant")))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0"/>
  <mergeCells count="5">
    <mergeCell ref="A2:F2"/>
    <mergeCell ref="A20:B20"/>
    <mergeCell ref="A1:F1"/>
    <mergeCell ref="A22:F22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SCREENING &amp; VETTING SUMMARY (A.6.1)</t>
        </is>
      </c>
    </row>
    <row r="2">
      <c r="A2" s="2" t="inlineStr">
        <is>
          <t>S3 Workbook Metrics - Personnel Screening and Background Verification</t>
        </is>
      </c>
    </row>
    <row r="4">
      <c r="A4" s="15" t="inlineStr">
        <is>
          <t>Source Workbook:</t>
        </is>
      </c>
      <c r="B4" s="16" t="inlineStr">
        <is>
          <t>ISMS-IMP-A.5.1-2-6.1-2.S3_Screening_Vetting</t>
        </is>
      </c>
    </row>
    <row r="5">
      <c r="A5" s="15" t="inlineStr">
        <is>
          <t>Weight in Dashboard:</t>
        </is>
      </c>
      <c r="B5" s="16" t="inlineStr">
        <is>
          <t>20%</t>
        </is>
      </c>
    </row>
    <row r="7">
      <c r="A7" s="3" t="inlineStr">
        <is>
          <t>KEY METRICS</t>
        </is>
      </c>
    </row>
    <row r="9">
      <c r="A9" s="15" t="inlineStr">
        <is>
          <t>Total Personnel in Scope:</t>
        </is>
      </c>
      <c r="B9" s="18" t="n"/>
    </row>
    <row r="10">
      <c r="A10" s="15" t="inlineStr">
        <is>
          <t>Screening Completed:</t>
        </is>
      </c>
      <c r="B10" s="18" t="n"/>
    </row>
    <row r="11">
      <c r="A11" s="15" t="inlineStr">
        <is>
          <t>Screening Pending:</t>
        </is>
      </c>
      <c r="B11" s="18" t="n"/>
    </row>
    <row r="12">
      <c r="A12" s="15" t="inlineStr">
        <is>
          <t>Screening Overdue:</t>
        </is>
      </c>
      <c r="B12" s="18" t="n"/>
    </row>
    <row r="13">
      <c r="A13" s="15" t="inlineStr">
        <is>
          <t>Reference Checks Completed:</t>
        </is>
      </c>
      <c r="B13" s="18" t="n"/>
    </row>
    <row r="14">
      <c r="A14" s="15" t="inlineStr">
        <is>
          <t>Criminal Record Checks:</t>
        </is>
      </c>
      <c r="B14" s="18" t="n"/>
    </row>
    <row r="15">
      <c r="A15" s="15" t="inlineStr">
        <is>
          <t>Credential Verifications:</t>
        </is>
      </c>
      <c r="B15" s="18" t="n"/>
    </row>
    <row r="16">
      <c r="A16" s="15" t="inlineStr">
        <is>
          <t>Re-Screening Due:</t>
        </is>
      </c>
      <c r="B16" s="18" t="n"/>
    </row>
    <row r="17">
      <c r="A17" s="15" t="inlineStr">
        <is>
          <t>Exceptions Documented:</t>
        </is>
      </c>
      <c r="B17" s="18" t="n"/>
    </row>
    <row r="18">
      <c r="A18" s="15" t="inlineStr">
        <is>
          <t>Risk-Based Screening Applied:</t>
        </is>
      </c>
      <c r="B18" s="18" t="n"/>
    </row>
    <row r="20">
      <c r="A20" s="25" t="inlineStr">
        <is>
          <t>OVERALL COMPLIANCE SCORE</t>
        </is>
      </c>
      <c r="B20" s="26" t="n"/>
    </row>
    <row r="22">
      <c r="A22" s="17" t="inlineStr">
        <is>
          <t>SWISS FADP COMPLIANCE</t>
        </is>
      </c>
    </row>
    <row r="24">
      <c r="A24" s="15" t="inlineStr">
        <is>
          <t>FADP Compliant Screening Process:</t>
        </is>
      </c>
      <c r="B24" s="26">
        <f>B10/(B9)*100</f>
        <v/>
      </c>
    </row>
    <row r="25">
      <c r="A25" s="15" t="inlineStr">
        <is>
          <t>Data Minimization Applied:</t>
        </is>
      </c>
      <c r="B25" s="18" t="n"/>
    </row>
    <row r="26">
      <c r="A26" s="15" t="inlineStr">
        <is>
          <t>FADP Training Completed:</t>
        </is>
      </c>
      <c r="B26" s="18" t="n"/>
    </row>
    <row r="27">
      <c r="A27" s="15" t="inlineStr">
        <is>
          <t>Consent Documentation:</t>
        </is>
      </c>
      <c r="B27" s="18" t="n"/>
    </row>
    <row r="28">
      <c r="A28" s="15" t="inlineStr">
        <is>
          <t>Cross-Border Transfer Controls:</t>
        </is>
      </c>
      <c r="B28" s="18" t="n"/>
    </row>
    <row r="29">
      <c r="A29" s="15" t="inlineStr">
        <is>
          <t>Data Retention Compliance:</t>
        </is>
      </c>
      <c r="B29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0"/>
  <mergeCells count="5">
    <mergeCell ref="A2:F2"/>
    <mergeCell ref="A20:B20"/>
    <mergeCell ref="A1:F1"/>
    <mergeCell ref="A22:F22"/>
    <mergeCell ref="A7:F7"/>
  </mergeCells>
  <dataValidations count="1">
    <dataValidation sqref="B24:B29" showDropDown="0" showInputMessage="0" showErrorMessage="1" allowBlank="1" errorTitle="Invalid Entry" error="Please select from dropdown" type="list">
      <formula1>"Yes,Partial,No,N/A"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EMPLOYMENT TERMS SUMMARY (A.6.2)</t>
        </is>
      </c>
    </row>
    <row r="2">
      <c r="A2" s="2" t="inlineStr">
        <is>
          <t>S4 Workbook Metrics - Terms and Conditions of Employment</t>
        </is>
      </c>
    </row>
    <row r="4">
      <c r="A4" s="15" t="inlineStr">
        <is>
          <t>Source Workbook:</t>
        </is>
      </c>
      <c r="B4" s="16" t="inlineStr">
        <is>
          <t>ISMS-IMP-A.5.1-2-6.1-2.S4_Employment_Terms</t>
        </is>
      </c>
    </row>
    <row r="5">
      <c r="A5" s="15" t="inlineStr">
        <is>
          <t>Weight in Dashboard:</t>
        </is>
      </c>
      <c r="B5" s="16" t="inlineStr">
        <is>
          <t>20%</t>
        </is>
      </c>
    </row>
    <row r="7">
      <c r="A7" s="3" t="inlineStr">
        <is>
          <t>KEY METRICS</t>
        </is>
      </c>
    </row>
    <row r="9">
      <c r="A9" s="15" t="inlineStr">
        <is>
          <t>Total Employees in Scope:</t>
        </is>
      </c>
      <c r="B9" s="18" t="n"/>
    </row>
    <row r="10">
      <c r="A10" s="15" t="inlineStr">
        <is>
          <t>Contracts with Security Terms:</t>
        </is>
      </c>
      <c r="B10" s="18" t="n"/>
    </row>
    <row r="11">
      <c r="A11" s="15" t="inlineStr">
        <is>
          <t>Contracts Reviewed (Annual):</t>
        </is>
      </c>
      <c r="B11" s="18" t="n"/>
    </row>
    <row r="12">
      <c r="A12" s="15" t="inlineStr">
        <is>
          <t>Contracts Requiring Update:</t>
        </is>
      </c>
      <c r="B12" s="18" t="n"/>
    </row>
    <row r="13">
      <c r="A13" s="15" t="inlineStr">
        <is>
          <t>Security Clauses Standard:</t>
        </is>
      </c>
      <c r="B13" s="18" t="n"/>
    </row>
    <row r="14">
      <c r="A14" s="15" t="inlineStr">
        <is>
          <t>Acceptable Use Acknowledged:</t>
        </is>
      </c>
      <c r="B14" s="18" t="n"/>
    </row>
    <row r="15">
      <c r="A15" s="15" t="inlineStr">
        <is>
          <t>Post-Employment Terms Defined:</t>
        </is>
      </c>
      <c r="B15" s="18" t="n"/>
    </row>
    <row r="16">
      <c r="A16" s="15" t="inlineStr">
        <is>
          <t>Contractor Agreements Compliant:</t>
        </is>
      </c>
      <c r="B16" s="18" t="n"/>
    </row>
    <row r="17">
      <c r="A17" s="15" t="inlineStr">
        <is>
          <t>Third-Party Terms Verified:</t>
        </is>
      </c>
      <c r="B17" s="18" t="n"/>
    </row>
    <row r="18">
      <c r="A18" s="15" t="inlineStr">
        <is>
          <t>Contract Templates Updated:</t>
        </is>
      </c>
      <c r="B18" s="18" t="n"/>
    </row>
    <row r="20">
      <c r="A20" s="25" t="inlineStr">
        <is>
          <t>OVERALL COMPLIANCE SCORE</t>
        </is>
      </c>
      <c r="B20" s="26" t="n"/>
    </row>
    <row r="22">
      <c r="A22" s="3" t="inlineStr">
        <is>
          <t>NDA COMPLIANCE (FOCAL POINT)</t>
        </is>
      </c>
    </row>
    <row r="24">
      <c r="A24" s="15" t="inlineStr">
        <is>
          <t>NDA Compliance Rate:</t>
        </is>
      </c>
      <c r="B24" s="26" t="n"/>
    </row>
    <row r="25">
      <c r="A25" s="15" t="inlineStr">
        <is>
          <t>NDAs Signed (Employees):</t>
        </is>
      </c>
      <c r="B25" s="18" t="n"/>
    </row>
    <row r="26">
      <c r="A26" s="15" t="inlineStr">
        <is>
          <t>NDAs Signed (Contractors):</t>
        </is>
      </c>
      <c r="B26" s="18" t="n"/>
    </row>
    <row r="27">
      <c r="A27" s="15" t="inlineStr">
        <is>
          <t>NDAs Signed (Third Parties):</t>
        </is>
      </c>
      <c r="B27" s="18" t="n"/>
    </row>
    <row r="28">
      <c r="A28" s="15" t="inlineStr">
        <is>
          <t>NDAs Pending Signature:</t>
        </is>
      </c>
      <c r="B28" s="18" t="n"/>
    </row>
    <row r="29">
      <c r="A29" s="15" t="inlineStr">
        <is>
          <t>NDAs Expired/Requiring Renewal:</t>
        </is>
      </c>
      <c r="B29" s="18" t="n"/>
    </row>
    <row r="30">
      <c r="A30" s="15" t="inlineStr">
        <is>
          <t>NDA Template Last Updated:</t>
        </is>
      </c>
      <c r="B30" s="23" t="n"/>
    </row>
    <row r="31">
      <c r="A31" s="15" t="inlineStr">
        <is>
          <t>NDA Covers FADP Requirements:</t>
        </is>
      </c>
      <c r="B31" s="18" t="n"/>
    </row>
    <row r="33">
      <c r="A33" s="3" t="inlineStr">
        <is>
          <t>COMPLIANCE BY DOMAIN</t>
        </is>
      </c>
    </row>
    <row r="35">
      <c r="A35" s="5" t="inlineStr">
        <is>
          <t>Domain</t>
        </is>
      </c>
      <c r="B35" s="5" t="inlineStr">
        <is>
          <t>Weight</t>
        </is>
      </c>
      <c r="C35" s="5" t="inlineStr">
        <is>
          <t>Score</t>
        </is>
      </c>
      <c r="D35" s="5" t="inlineStr">
        <is>
          <t>Status</t>
        </is>
      </c>
    </row>
    <row r="36">
      <c r="A36" s="15" t="inlineStr">
        <is>
          <t>Security Clause Coverage</t>
        </is>
      </c>
      <c r="B36" s="16" t="inlineStr">
        <is>
          <t>30%</t>
        </is>
      </c>
      <c r="C36" s="26" t="n"/>
      <c r="D36" s="16">
        <f>IF(C36="","",IF(C36&gt;=0.9,"Compliant",IF(C36&gt;=0.7,"Partial","Non-Compliant")))</f>
        <v/>
      </c>
    </row>
    <row r="37">
      <c r="A37" s="15" t="inlineStr">
        <is>
          <t>NDA Compliance</t>
        </is>
      </c>
      <c r="B37" s="16" t="inlineStr">
        <is>
          <t>25%</t>
        </is>
      </c>
      <c r="C37" s="26" t="n"/>
      <c r="D37" s="16">
        <f>IF(C37="","",IF(C37&gt;=0.9,"Compliant",IF(C37&gt;=0.7,"Partial","Non-Compliant")))</f>
        <v/>
      </c>
    </row>
    <row r="38">
      <c r="A38" s="15" t="inlineStr">
        <is>
          <t>Acceptable Use Acknowledgment</t>
        </is>
      </c>
      <c r="B38" s="16" t="inlineStr">
        <is>
          <t>20%</t>
        </is>
      </c>
      <c r="C38" s="26" t="n"/>
      <c r="D38" s="16">
        <f>IF(C38="","",IF(C38&gt;=0.9,"Compliant",IF(C38&gt;=0.7,"Partial","Non-Compliant")))</f>
        <v/>
      </c>
    </row>
    <row r="39">
      <c r="A39" s="15" t="inlineStr">
        <is>
          <t>Post-Employment Terms</t>
        </is>
      </c>
      <c r="B39" s="16" t="inlineStr">
        <is>
          <t>15%</t>
        </is>
      </c>
      <c r="C39" s="26" t="n"/>
      <c r="D39" s="16">
        <f>IF(C39="","",IF(C39&gt;=0.9,"Compliant",IF(C39&gt;=0.7,"Partial","Non-Compliant")))</f>
        <v/>
      </c>
    </row>
    <row r="40">
      <c r="A40" s="15" t="inlineStr">
        <is>
          <t>Contract Review Currency</t>
        </is>
      </c>
      <c r="B40" s="16" t="inlineStr">
        <is>
          <t>10%</t>
        </is>
      </c>
      <c r="C40" s="26" t="n"/>
      <c r="D40" s="16">
        <f>IF(C40="","",IF(C40&gt;=0.9,"Compliant",IF(C40&gt;=0.7,"Partial","Non-Compliant")))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0"/>
  <mergeCells count="6">
    <mergeCell ref="A2:F2"/>
    <mergeCell ref="A20:B20"/>
    <mergeCell ref="A33:F33"/>
    <mergeCell ref="A1:F1"/>
    <mergeCell ref="A22:F22"/>
    <mergeCell ref="A7:F7"/>
  </mergeCells>
  <dataValidations count="1">
    <dataValidation sqref="B31" showDropDown="0" showInputMessage="0" showErrorMessage="1" allowBlank="1" errorTitle="Invalid Entry" error="Please select from dropdown" type="list">
      <formula1>"Yes,Partial,No"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0" customWidth="1" min="4" max="4"/>
    <col width="40" customWidth="1" min="5" max="5"/>
    <col width="12" customWidth="1" min="6" max="6"/>
    <col width="20" customWidth="1" min="7" max="7"/>
    <col width="15" customWidth="1" min="8" max="8"/>
    <col width="35" customWidth="1" min="9" max="9"/>
    <col width="20" customWidth="1" min="10" max="10"/>
    <col width="12" customWidth="1" min="11" max="11"/>
    <col width="15" customWidth="1" min="12" max="12"/>
    <col width="12" customWidth="1" min="13" max="13"/>
    <col width="30" customWidth="1" min="14" max="14"/>
  </cols>
  <sheetData>
    <row r="1" ht="40" customHeight="1">
      <c r="A1" s="1" t="inlineStr">
        <is>
          <t>CONSOLIDATED GAP ANALYSIS</t>
        </is>
      </c>
    </row>
    <row r="2">
      <c r="A2" s="2" t="inlineStr">
        <is>
          <t>Cross-Domain Gap Identification and Remediation Tracking</t>
        </is>
      </c>
    </row>
    <row r="4">
      <c r="A4" s="3" t="inlineStr">
        <is>
          <t>GAP SUMMARY</t>
        </is>
      </c>
    </row>
    <row r="6">
      <c r="A6" s="15" t="inlineStr">
        <is>
          <t>Total Gaps Identified:</t>
        </is>
      </c>
      <c r="B6" s="16">
        <f>COUNTA(A11:A110)-1</f>
        <v/>
      </c>
    </row>
    <row r="7">
      <c r="A7" s="15" t="inlineStr">
        <is>
          <t>Critical Gaps:</t>
        </is>
      </c>
      <c r="B7" s="16">
        <f>COUNTIF(F11:F110,"Critical")</f>
        <v/>
      </c>
    </row>
    <row r="8">
      <c r="A8" s="15" t="inlineStr">
        <is>
          <t>High Gaps:</t>
        </is>
      </c>
      <c r="B8" s="16">
        <f>COUNTIF(F11:F110,"High")</f>
        <v/>
      </c>
    </row>
    <row r="9">
      <c r="A9" s="15" t="inlineStr">
        <is>
          <t>Medium Gaps:</t>
        </is>
      </c>
      <c r="B9" s="16">
        <f>COUNTIF(F11:F110,"Medium")</f>
        <v/>
      </c>
    </row>
    <row r="10">
      <c r="A10" s="15" t="inlineStr">
        <is>
          <t>Low Gaps:</t>
        </is>
      </c>
      <c r="B10" s="16">
        <f>COUNTIF(F11:F110,"Low")</f>
        <v/>
      </c>
    </row>
    <row r="11">
      <c r="A11" s="5" t="inlineStr">
        <is>
          <t>Gap_ID</t>
        </is>
      </c>
      <c r="B11" s="5" t="inlineStr">
        <is>
          <t>Source_Workbook</t>
        </is>
      </c>
      <c r="C11" s="5" t="inlineStr">
        <is>
          <t>Primary_Control</t>
        </is>
      </c>
      <c r="D11" s="5" t="inlineStr">
        <is>
          <t>Gap_Title</t>
        </is>
      </c>
      <c r="E11" s="5" t="inlineStr">
        <is>
          <t>Gap_Description</t>
        </is>
      </c>
      <c r="F11" s="5" t="inlineStr">
        <is>
          <t>Risk_Level</t>
        </is>
      </c>
      <c r="G11" s="5" t="inlineStr">
        <is>
          <t>Affected_Domains</t>
        </is>
      </c>
      <c r="H11" s="5" t="inlineStr">
        <is>
          <t>Cross_Domain_Flag</t>
        </is>
      </c>
      <c r="I11" s="5" t="inlineStr">
        <is>
          <t>Remediation_Action</t>
        </is>
      </c>
      <c r="J11" s="5" t="inlineStr">
        <is>
          <t>Owner</t>
        </is>
      </c>
      <c r="K11" s="5" t="inlineStr">
        <is>
          <t>Target_Date</t>
        </is>
      </c>
      <c r="L11" s="5" t="inlineStr">
        <is>
          <t>Status</t>
        </is>
      </c>
      <c r="M11" s="5" t="inlineStr">
        <is>
          <t>FADP_Relevant</t>
        </is>
      </c>
      <c r="N11" s="5" t="inlineStr">
        <is>
          <t>Notes</t>
        </is>
      </c>
    </row>
    <row r="12">
      <c r="A12" s="16">
        <f>IF(D12&lt;&gt;"",TEXT(ROW()-11,"GAP-000"),"")</f>
        <v/>
      </c>
      <c r="B12" s="18" t="n"/>
      <c r="C12" s="18" t="n"/>
      <c r="D12" s="18" t="n"/>
      <c r="E12" s="18" t="n"/>
      <c r="F12" s="18" t="n"/>
      <c r="G12" s="18" t="n"/>
      <c r="H12" s="16">
        <f>IF(G12="","",IF(LEN(G12)-LEN(SUBSTITUTE(G12,",",""))&gt;=1,"Yes","No"))</f>
        <v/>
      </c>
      <c r="I12" s="18" t="n"/>
      <c r="J12" s="18" t="n"/>
      <c r="K12" s="23" t="n"/>
      <c r="L12" s="18" t="n"/>
      <c r="M12" s="18" t="n"/>
      <c r="N12" s="18" t="n"/>
    </row>
    <row r="13">
      <c r="A13" s="16">
        <f>IF(D13&lt;&gt;"",TEXT(ROW()-11,"GAP-000"),"")</f>
        <v/>
      </c>
      <c r="B13" s="18" t="n"/>
      <c r="C13" s="18" t="n"/>
      <c r="D13" s="18" t="n"/>
      <c r="E13" s="18" t="n"/>
      <c r="F13" s="18" t="n"/>
      <c r="G13" s="18" t="n"/>
      <c r="H13" s="16">
        <f>IF(G13="","",IF(LEN(G13)-LEN(SUBSTITUTE(G13,",",""))&gt;=1,"Yes","No"))</f>
        <v/>
      </c>
      <c r="I13" s="18" t="n"/>
      <c r="J13" s="18" t="n"/>
      <c r="K13" s="23" t="n"/>
      <c r="L13" s="18" t="n"/>
      <c r="M13" s="18" t="n"/>
      <c r="N13" s="18" t="n"/>
    </row>
    <row r="14">
      <c r="A14" s="16">
        <f>IF(D14&lt;&gt;"",TEXT(ROW()-11,"GAP-000"),"")</f>
        <v/>
      </c>
      <c r="B14" s="18" t="n"/>
      <c r="C14" s="18" t="n"/>
      <c r="D14" s="18" t="n"/>
      <c r="E14" s="18" t="n"/>
      <c r="F14" s="18" t="n"/>
      <c r="G14" s="18" t="n"/>
      <c r="H14" s="16">
        <f>IF(G14="","",IF(LEN(G14)-LEN(SUBSTITUTE(G14,",",""))&gt;=1,"Yes","No"))</f>
        <v/>
      </c>
      <c r="I14" s="18" t="n"/>
      <c r="J14" s="18" t="n"/>
      <c r="K14" s="23" t="n"/>
      <c r="L14" s="18" t="n"/>
      <c r="M14" s="18" t="n"/>
      <c r="N14" s="18" t="n"/>
    </row>
    <row r="15">
      <c r="A15" s="16">
        <f>IF(D15&lt;&gt;"",TEXT(ROW()-11,"GAP-000"),"")</f>
        <v/>
      </c>
      <c r="B15" s="18" t="n"/>
      <c r="C15" s="18" t="n"/>
      <c r="D15" s="18" t="n"/>
      <c r="E15" s="18" t="n"/>
      <c r="F15" s="18" t="n"/>
      <c r="G15" s="18" t="n"/>
      <c r="H15" s="16">
        <f>IF(G15="","",IF(LEN(G15)-LEN(SUBSTITUTE(G15,",",""))&gt;=1,"Yes","No"))</f>
        <v/>
      </c>
      <c r="I15" s="18" t="n"/>
      <c r="J15" s="18" t="n"/>
      <c r="K15" s="23" t="n"/>
      <c r="L15" s="18" t="n"/>
      <c r="M15" s="18" t="n"/>
      <c r="N15" s="18" t="n"/>
    </row>
    <row r="16">
      <c r="A16" s="16">
        <f>IF(D16&lt;&gt;"",TEXT(ROW()-11,"GAP-000"),"")</f>
        <v/>
      </c>
      <c r="B16" s="18" t="n"/>
      <c r="C16" s="18" t="n"/>
      <c r="D16" s="18" t="n"/>
      <c r="E16" s="18" t="n"/>
      <c r="F16" s="18" t="n"/>
      <c r="G16" s="18" t="n"/>
      <c r="H16" s="16">
        <f>IF(G16="","",IF(LEN(G16)-LEN(SUBSTITUTE(G16,",",""))&gt;=1,"Yes","No"))</f>
        <v/>
      </c>
      <c r="I16" s="18" t="n"/>
      <c r="J16" s="18" t="n"/>
      <c r="K16" s="23" t="n"/>
      <c r="L16" s="18" t="n"/>
      <c r="M16" s="18" t="n"/>
      <c r="N16" s="18" t="n"/>
    </row>
    <row r="17">
      <c r="A17" s="16">
        <f>IF(D17&lt;&gt;"",TEXT(ROW()-11,"GAP-000"),"")</f>
        <v/>
      </c>
      <c r="B17" s="18" t="n"/>
      <c r="C17" s="18" t="n"/>
      <c r="D17" s="18" t="n"/>
      <c r="E17" s="18" t="n"/>
      <c r="F17" s="18" t="n"/>
      <c r="G17" s="18" t="n"/>
      <c r="H17" s="16">
        <f>IF(G17="","",IF(LEN(G17)-LEN(SUBSTITUTE(G17,",",""))&gt;=1,"Yes","No"))</f>
        <v/>
      </c>
      <c r="I17" s="18" t="n"/>
      <c r="J17" s="18" t="n"/>
      <c r="K17" s="23" t="n"/>
      <c r="L17" s="18" t="n"/>
      <c r="M17" s="18" t="n"/>
      <c r="N17" s="18" t="n"/>
    </row>
    <row r="18">
      <c r="A18" s="16">
        <f>IF(D18&lt;&gt;"",TEXT(ROW()-11,"GAP-000"),"")</f>
        <v/>
      </c>
      <c r="B18" s="18" t="n"/>
      <c r="C18" s="18" t="n"/>
      <c r="D18" s="18" t="n"/>
      <c r="E18" s="18" t="n"/>
      <c r="F18" s="18" t="n"/>
      <c r="G18" s="18" t="n"/>
      <c r="H18" s="16">
        <f>IF(G18="","",IF(LEN(G18)-LEN(SUBSTITUTE(G18,",",""))&gt;=1,"Yes","No"))</f>
        <v/>
      </c>
      <c r="I18" s="18" t="n"/>
      <c r="J18" s="18" t="n"/>
      <c r="K18" s="23" t="n"/>
      <c r="L18" s="18" t="n"/>
      <c r="M18" s="18" t="n"/>
      <c r="N18" s="18" t="n"/>
    </row>
    <row r="19">
      <c r="A19" s="16">
        <f>IF(D19&lt;&gt;"",TEXT(ROW()-11,"GAP-000"),"")</f>
        <v/>
      </c>
      <c r="B19" s="18" t="n"/>
      <c r="C19" s="18" t="n"/>
      <c r="D19" s="18" t="n"/>
      <c r="E19" s="18" t="n"/>
      <c r="F19" s="18" t="n"/>
      <c r="G19" s="18" t="n"/>
      <c r="H19" s="16">
        <f>IF(G19="","",IF(LEN(G19)-LEN(SUBSTITUTE(G19,",",""))&gt;=1,"Yes","No"))</f>
        <v/>
      </c>
      <c r="I19" s="18" t="n"/>
      <c r="J19" s="18" t="n"/>
      <c r="K19" s="23" t="n"/>
      <c r="L19" s="18" t="n"/>
      <c r="M19" s="18" t="n"/>
      <c r="N19" s="18" t="n"/>
    </row>
    <row r="20">
      <c r="A20" s="16">
        <f>IF(D20&lt;&gt;"",TEXT(ROW()-11,"GAP-000"),"")</f>
        <v/>
      </c>
      <c r="B20" s="18" t="n"/>
      <c r="C20" s="18" t="n"/>
      <c r="D20" s="18" t="n"/>
      <c r="E20" s="18" t="n"/>
      <c r="F20" s="18" t="n"/>
      <c r="G20" s="18" t="n"/>
      <c r="H20" s="16">
        <f>IF(G20="","",IF(LEN(G20)-LEN(SUBSTITUTE(G20,",",""))&gt;=1,"Yes","No"))</f>
        <v/>
      </c>
      <c r="I20" s="18" t="n"/>
      <c r="J20" s="18" t="n"/>
      <c r="K20" s="23" t="n"/>
      <c r="L20" s="18" t="n"/>
      <c r="M20" s="18" t="n"/>
      <c r="N20" s="18" t="n"/>
    </row>
    <row r="21">
      <c r="A21" s="16">
        <f>IF(D21&lt;&gt;"",TEXT(ROW()-11,"GAP-000"),"")</f>
        <v/>
      </c>
      <c r="B21" s="18" t="n"/>
      <c r="C21" s="18" t="n"/>
      <c r="D21" s="18" t="n"/>
      <c r="E21" s="18" t="n"/>
      <c r="F21" s="18" t="n"/>
      <c r="G21" s="18" t="n"/>
      <c r="H21" s="16">
        <f>IF(G21="","",IF(LEN(G21)-LEN(SUBSTITUTE(G21,",",""))&gt;=1,"Yes","No"))</f>
        <v/>
      </c>
      <c r="I21" s="18" t="n"/>
      <c r="J21" s="18" t="n"/>
      <c r="K21" s="23" t="n"/>
      <c r="L21" s="18" t="n"/>
      <c r="M21" s="18" t="n"/>
      <c r="N21" s="18" t="n"/>
    </row>
    <row r="22">
      <c r="A22" s="16">
        <f>IF(D22&lt;&gt;"",TEXT(ROW()-11,"GAP-000"),"")</f>
        <v/>
      </c>
      <c r="B22" s="18" t="n"/>
      <c r="C22" s="18" t="n"/>
      <c r="D22" s="18" t="n"/>
      <c r="E22" s="18" t="n"/>
      <c r="F22" s="18" t="n"/>
      <c r="G22" s="18" t="n"/>
      <c r="H22" s="16">
        <f>IF(G22="","",IF(LEN(G22)-LEN(SUBSTITUTE(G22,",",""))&gt;=1,"Yes","No"))</f>
        <v/>
      </c>
      <c r="I22" s="18" t="n"/>
      <c r="J22" s="18" t="n"/>
      <c r="K22" s="23" t="n"/>
      <c r="L22" s="18" t="n"/>
      <c r="M22" s="18" t="n"/>
      <c r="N22" s="18" t="n"/>
    </row>
    <row r="23">
      <c r="A23" s="16">
        <f>IF(D23&lt;&gt;"",TEXT(ROW()-11,"GAP-000"),"")</f>
        <v/>
      </c>
      <c r="B23" s="18" t="n"/>
      <c r="C23" s="18" t="n"/>
      <c r="D23" s="18" t="n"/>
      <c r="E23" s="18" t="n"/>
      <c r="F23" s="18" t="n"/>
      <c r="G23" s="18" t="n"/>
      <c r="H23" s="16">
        <f>IF(G23="","",IF(LEN(G23)-LEN(SUBSTITUTE(G23,",",""))&gt;=1,"Yes","No"))</f>
        <v/>
      </c>
      <c r="I23" s="18" t="n"/>
      <c r="J23" s="18" t="n"/>
      <c r="K23" s="23" t="n"/>
      <c r="L23" s="18" t="n"/>
      <c r="M23" s="18" t="n"/>
      <c r="N23" s="18" t="n"/>
    </row>
    <row r="24">
      <c r="A24" s="16">
        <f>IF(D24&lt;&gt;"",TEXT(ROW()-11,"GAP-000"),"")</f>
        <v/>
      </c>
      <c r="B24" s="18" t="n"/>
      <c r="C24" s="18" t="n"/>
      <c r="D24" s="18" t="n"/>
      <c r="E24" s="18" t="n"/>
      <c r="F24" s="18" t="n"/>
      <c r="G24" s="18" t="n"/>
      <c r="H24" s="16">
        <f>IF(G24="","",IF(LEN(G24)-LEN(SUBSTITUTE(G24,",",""))&gt;=1,"Yes","No"))</f>
        <v/>
      </c>
      <c r="I24" s="18" t="n"/>
      <c r="J24" s="18" t="n"/>
      <c r="K24" s="23" t="n"/>
      <c r="L24" s="18" t="n"/>
      <c r="M24" s="18" t="n"/>
      <c r="N24" s="18" t="n"/>
    </row>
    <row r="25">
      <c r="A25" s="16">
        <f>IF(D25&lt;&gt;"",TEXT(ROW()-11,"GAP-000"),"")</f>
        <v/>
      </c>
      <c r="B25" s="18" t="n"/>
      <c r="C25" s="18" t="n"/>
      <c r="D25" s="18" t="n"/>
      <c r="E25" s="18" t="n"/>
      <c r="F25" s="18" t="n"/>
      <c r="G25" s="18" t="n"/>
      <c r="H25" s="16">
        <f>IF(G25="","",IF(LEN(G25)-LEN(SUBSTITUTE(G25,",",""))&gt;=1,"Yes","No"))</f>
        <v/>
      </c>
      <c r="I25" s="18" t="n"/>
      <c r="J25" s="18" t="n"/>
      <c r="K25" s="23" t="n"/>
      <c r="L25" s="18" t="n"/>
      <c r="M25" s="18" t="n"/>
      <c r="N25" s="18" t="n"/>
    </row>
    <row r="26">
      <c r="A26" s="16">
        <f>IF(D26&lt;&gt;"",TEXT(ROW()-11,"GAP-000"),"")</f>
        <v/>
      </c>
      <c r="B26" s="18" t="n"/>
      <c r="C26" s="18" t="n"/>
      <c r="D26" s="18" t="n"/>
      <c r="E26" s="18" t="n"/>
      <c r="F26" s="18" t="n"/>
      <c r="G26" s="18" t="n"/>
      <c r="H26" s="16">
        <f>IF(G26="","",IF(LEN(G26)-LEN(SUBSTITUTE(G26,",",""))&gt;=1,"Yes","No"))</f>
        <v/>
      </c>
      <c r="I26" s="18" t="n"/>
      <c r="J26" s="18" t="n"/>
      <c r="K26" s="23" t="n"/>
      <c r="L26" s="18" t="n"/>
      <c r="M26" s="18" t="n"/>
      <c r="N26" s="18" t="n"/>
    </row>
    <row r="27">
      <c r="A27" s="16">
        <f>IF(D27&lt;&gt;"",TEXT(ROW()-11,"GAP-000"),"")</f>
        <v/>
      </c>
      <c r="B27" s="18" t="n"/>
      <c r="C27" s="18" t="n"/>
      <c r="D27" s="18" t="n"/>
      <c r="E27" s="18" t="n"/>
      <c r="F27" s="18" t="n"/>
      <c r="G27" s="18" t="n"/>
      <c r="H27" s="16">
        <f>IF(G27="","",IF(LEN(G27)-LEN(SUBSTITUTE(G27,",",""))&gt;=1,"Yes","No"))</f>
        <v/>
      </c>
      <c r="I27" s="18" t="n"/>
      <c r="J27" s="18" t="n"/>
      <c r="K27" s="23" t="n"/>
      <c r="L27" s="18" t="n"/>
      <c r="M27" s="18" t="n"/>
      <c r="N27" s="18" t="n"/>
    </row>
    <row r="28">
      <c r="A28" s="16">
        <f>IF(D28&lt;&gt;"",TEXT(ROW()-11,"GAP-000"),"")</f>
        <v/>
      </c>
      <c r="B28" s="18" t="n"/>
      <c r="C28" s="18" t="n"/>
      <c r="D28" s="18" t="n"/>
      <c r="E28" s="18" t="n"/>
      <c r="F28" s="18" t="n"/>
      <c r="G28" s="18" t="n"/>
      <c r="H28" s="16">
        <f>IF(G28="","",IF(LEN(G28)-LEN(SUBSTITUTE(G28,",",""))&gt;=1,"Yes","No"))</f>
        <v/>
      </c>
      <c r="I28" s="18" t="n"/>
      <c r="J28" s="18" t="n"/>
      <c r="K28" s="23" t="n"/>
      <c r="L28" s="18" t="n"/>
      <c r="M28" s="18" t="n"/>
      <c r="N28" s="18" t="n"/>
    </row>
    <row r="29">
      <c r="A29" s="16">
        <f>IF(D29&lt;&gt;"",TEXT(ROW()-11,"GAP-000"),"")</f>
        <v/>
      </c>
      <c r="B29" s="18" t="n"/>
      <c r="C29" s="18" t="n"/>
      <c r="D29" s="18" t="n"/>
      <c r="E29" s="18" t="n"/>
      <c r="F29" s="18" t="n"/>
      <c r="G29" s="18" t="n"/>
      <c r="H29" s="16">
        <f>IF(G29="","",IF(LEN(G29)-LEN(SUBSTITUTE(G29,",",""))&gt;=1,"Yes","No"))</f>
        <v/>
      </c>
      <c r="I29" s="18" t="n"/>
      <c r="J29" s="18" t="n"/>
      <c r="K29" s="23" t="n"/>
      <c r="L29" s="18" t="n"/>
      <c r="M29" s="18" t="n"/>
      <c r="N29" s="18" t="n"/>
    </row>
    <row r="30">
      <c r="A30" s="16">
        <f>IF(D30&lt;&gt;"",TEXT(ROW()-11,"GAP-000"),"")</f>
        <v/>
      </c>
      <c r="B30" s="18" t="n"/>
      <c r="C30" s="18" t="n"/>
      <c r="D30" s="18" t="n"/>
      <c r="E30" s="18" t="n"/>
      <c r="F30" s="18" t="n"/>
      <c r="G30" s="18" t="n"/>
      <c r="H30" s="16">
        <f>IF(G30="","",IF(LEN(G30)-LEN(SUBSTITUTE(G30,",",""))&gt;=1,"Yes","No"))</f>
        <v/>
      </c>
      <c r="I30" s="18" t="n"/>
      <c r="J30" s="18" t="n"/>
      <c r="K30" s="23" t="n"/>
      <c r="L30" s="18" t="n"/>
      <c r="M30" s="18" t="n"/>
      <c r="N30" s="18" t="n"/>
    </row>
    <row r="31">
      <c r="A31" s="16">
        <f>IF(D31&lt;&gt;"",TEXT(ROW()-11,"GAP-000"),"")</f>
        <v/>
      </c>
      <c r="B31" s="18" t="n"/>
      <c r="C31" s="18" t="n"/>
      <c r="D31" s="18" t="n"/>
      <c r="E31" s="18" t="n"/>
      <c r="F31" s="18" t="n"/>
      <c r="G31" s="18" t="n"/>
      <c r="H31" s="16">
        <f>IF(G31="","",IF(LEN(G31)-LEN(SUBSTITUTE(G31,",",""))&gt;=1,"Yes","No"))</f>
        <v/>
      </c>
      <c r="I31" s="18" t="n"/>
      <c r="J31" s="18" t="n"/>
      <c r="K31" s="23" t="n"/>
      <c r="L31" s="18" t="n"/>
      <c r="M31" s="18" t="n"/>
      <c r="N31" s="18" t="n"/>
    </row>
    <row r="32">
      <c r="A32" s="16">
        <f>IF(D32&lt;&gt;"",TEXT(ROW()-11,"GAP-000"),"")</f>
        <v/>
      </c>
      <c r="B32" s="18" t="n"/>
      <c r="C32" s="18" t="n"/>
      <c r="D32" s="18" t="n"/>
      <c r="E32" s="18" t="n"/>
      <c r="F32" s="18" t="n"/>
      <c r="G32" s="18" t="n"/>
      <c r="H32" s="16">
        <f>IF(G32="","",IF(LEN(G32)-LEN(SUBSTITUTE(G32,",",""))&gt;=1,"Yes","No"))</f>
        <v/>
      </c>
      <c r="I32" s="18" t="n"/>
      <c r="J32" s="18" t="n"/>
      <c r="K32" s="23" t="n"/>
      <c r="L32" s="18" t="n"/>
      <c r="M32" s="18" t="n"/>
      <c r="N32" s="18" t="n"/>
    </row>
    <row r="33">
      <c r="A33" s="16">
        <f>IF(D33&lt;&gt;"",TEXT(ROW()-11,"GAP-000"),"")</f>
        <v/>
      </c>
      <c r="B33" s="18" t="n"/>
      <c r="C33" s="18" t="n"/>
      <c r="D33" s="18" t="n"/>
      <c r="E33" s="18" t="n"/>
      <c r="F33" s="18" t="n"/>
      <c r="G33" s="18" t="n"/>
      <c r="H33" s="16">
        <f>IF(G33="","",IF(LEN(G33)-LEN(SUBSTITUTE(G33,",",""))&gt;=1,"Yes","No"))</f>
        <v/>
      </c>
      <c r="I33" s="18" t="n"/>
      <c r="J33" s="18" t="n"/>
      <c r="K33" s="23" t="n"/>
      <c r="L33" s="18" t="n"/>
      <c r="M33" s="18" t="n"/>
      <c r="N33" s="18" t="n"/>
    </row>
    <row r="34">
      <c r="A34" s="16">
        <f>IF(D34&lt;&gt;"",TEXT(ROW()-11,"GAP-000"),"")</f>
        <v/>
      </c>
      <c r="B34" s="18" t="n"/>
      <c r="C34" s="18" t="n"/>
      <c r="D34" s="18" t="n"/>
      <c r="E34" s="18" t="n"/>
      <c r="F34" s="18" t="n"/>
      <c r="G34" s="18" t="n"/>
      <c r="H34" s="16">
        <f>IF(G34="","",IF(LEN(G34)-LEN(SUBSTITUTE(G34,",",""))&gt;=1,"Yes","No"))</f>
        <v/>
      </c>
      <c r="I34" s="18" t="n"/>
      <c r="J34" s="18" t="n"/>
      <c r="K34" s="23" t="n"/>
      <c r="L34" s="18" t="n"/>
      <c r="M34" s="18" t="n"/>
      <c r="N34" s="18" t="n"/>
    </row>
    <row r="35">
      <c r="A35" s="16">
        <f>IF(D35&lt;&gt;"",TEXT(ROW()-11,"GAP-000"),"")</f>
        <v/>
      </c>
      <c r="B35" s="18" t="n"/>
      <c r="C35" s="18" t="n"/>
      <c r="D35" s="18" t="n"/>
      <c r="E35" s="18" t="n"/>
      <c r="F35" s="18" t="n"/>
      <c r="G35" s="18" t="n"/>
      <c r="H35" s="16">
        <f>IF(G35="","",IF(LEN(G35)-LEN(SUBSTITUTE(G35,",",""))&gt;=1,"Yes","No"))</f>
        <v/>
      </c>
      <c r="I35" s="18" t="n"/>
      <c r="J35" s="18" t="n"/>
      <c r="K35" s="23" t="n"/>
      <c r="L35" s="18" t="n"/>
      <c r="M35" s="18" t="n"/>
      <c r="N35" s="18" t="n"/>
    </row>
    <row r="36">
      <c r="A36" s="16">
        <f>IF(D36&lt;&gt;"",TEXT(ROW()-11,"GAP-000"),"")</f>
        <v/>
      </c>
      <c r="B36" s="18" t="n"/>
      <c r="C36" s="18" t="n"/>
      <c r="D36" s="18" t="n"/>
      <c r="E36" s="18" t="n"/>
      <c r="F36" s="18" t="n"/>
      <c r="G36" s="18" t="n"/>
      <c r="H36" s="16">
        <f>IF(G36="","",IF(LEN(G36)-LEN(SUBSTITUTE(G36,",",""))&gt;=1,"Yes","No"))</f>
        <v/>
      </c>
      <c r="I36" s="18" t="n"/>
      <c r="J36" s="18" t="n"/>
      <c r="K36" s="23" t="n"/>
      <c r="L36" s="18" t="n"/>
      <c r="M36" s="18" t="n"/>
      <c r="N36" s="18" t="n"/>
    </row>
    <row r="37">
      <c r="A37" s="16">
        <f>IF(D37&lt;&gt;"",TEXT(ROW()-11,"GAP-000"),"")</f>
        <v/>
      </c>
      <c r="B37" s="18" t="n"/>
      <c r="C37" s="18" t="n"/>
      <c r="D37" s="18" t="n"/>
      <c r="E37" s="18" t="n"/>
      <c r="F37" s="18" t="n"/>
      <c r="G37" s="18" t="n"/>
      <c r="H37" s="16">
        <f>IF(G37="","",IF(LEN(G37)-LEN(SUBSTITUTE(G37,",",""))&gt;=1,"Yes","No"))</f>
        <v/>
      </c>
      <c r="I37" s="18" t="n"/>
      <c r="J37" s="18" t="n"/>
      <c r="K37" s="23" t="n"/>
      <c r="L37" s="18" t="n"/>
      <c r="M37" s="18" t="n"/>
      <c r="N37" s="18" t="n"/>
    </row>
    <row r="38">
      <c r="A38" s="16">
        <f>IF(D38&lt;&gt;"",TEXT(ROW()-11,"GAP-000"),"")</f>
        <v/>
      </c>
      <c r="B38" s="18" t="n"/>
      <c r="C38" s="18" t="n"/>
      <c r="D38" s="18" t="n"/>
      <c r="E38" s="18" t="n"/>
      <c r="F38" s="18" t="n"/>
      <c r="G38" s="18" t="n"/>
      <c r="H38" s="16">
        <f>IF(G38="","",IF(LEN(G38)-LEN(SUBSTITUTE(G38,",",""))&gt;=1,"Yes","No"))</f>
        <v/>
      </c>
      <c r="I38" s="18" t="n"/>
      <c r="J38" s="18" t="n"/>
      <c r="K38" s="23" t="n"/>
      <c r="L38" s="18" t="n"/>
      <c r="M38" s="18" t="n"/>
      <c r="N38" s="18" t="n"/>
    </row>
    <row r="39">
      <c r="A39" s="16">
        <f>IF(D39&lt;&gt;"",TEXT(ROW()-11,"GAP-000"),"")</f>
        <v/>
      </c>
      <c r="B39" s="18" t="n"/>
      <c r="C39" s="18" t="n"/>
      <c r="D39" s="18" t="n"/>
      <c r="E39" s="18" t="n"/>
      <c r="F39" s="18" t="n"/>
      <c r="G39" s="18" t="n"/>
      <c r="H39" s="16">
        <f>IF(G39="","",IF(LEN(G39)-LEN(SUBSTITUTE(G39,",",""))&gt;=1,"Yes","No"))</f>
        <v/>
      </c>
      <c r="I39" s="18" t="n"/>
      <c r="J39" s="18" t="n"/>
      <c r="K39" s="23" t="n"/>
      <c r="L39" s="18" t="n"/>
      <c r="M39" s="18" t="n"/>
      <c r="N39" s="18" t="n"/>
    </row>
    <row r="40">
      <c r="A40" s="16">
        <f>IF(D40&lt;&gt;"",TEXT(ROW()-11,"GAP-000"),"")</f>
        <v/>
      </c>
      <c r="B40" s="18" t="n"/>
      <c r="C40" s="18" t="n"/>
      <c r="D40" s="18" t="n"/>
      <c r="E40" s="18" t="n"/>
      <c r="F40" s="18" t="n"/>
      <c r="G40" s="18" t="n"/>
      <c r="H40" s="16">
        <f>IF(G40="","",IF(LEN(G40)-LEN(SUBSTITUTE(G40,",",""))&gt;=1,"Yes","No"))</f>
        <v/>
      </c>
      <c r="I40" s="18" t="n"/>
      <c r="J40" s="18" t="n"/>
      <c r="K40" s="23" t="n"/>
      <c r="L40" s="18" t="n"/>
      <c r="M40" s="18" t="n"/>
      <c r="N40" s="18" t="n"/>
    </row>
    <row r="41">
      <c r="A41" s="16">
        <f>IF(D41&lt;&gt;"",TEXT(ROW()-11,"GAP-000"),"")</f>
        <v/>
      </c>
      <c r="B41" s="18" t="n"/>
      <c r="C41" s="18" t="n"/>
      <c r="D41" s="18" t="n"/>
      <c r="E41" s="18" t="n"/>
      <c r="F41" s="18" t="n"/>
      <c r="G41" s="18" t="n"/>
      <c r="H41" s="16">
        <f>IF(G41="","",IF(LEN(G41)-LEN(SUBSTITUTE(G41,",",""))&gt;=1,"Yes","No"))</f>
        <v/>
      </c>
      <c r="I41" s="18" t="n"/>
      <c r="J41" s="18" t="n"/>
      <c r="K41" s="23" t="n"/>
      <c r="L41" s="18" t="n"/>
      <c r="M41" s="18" t="n"/>
      <c r="N41" s="18" t="n"/>
    </row>
    <row r="42">
      <c r="A42" s="16">
        <f>IF(D42&lt;&gt;"",TEXT(ROW()-11,"GAP-000"),"")</f>
        <v/>
      </c>
      <c r="B42" s="18" t="n"/>
      <c r="C42" s="18" t="n"/>
      <c r="D42" s="18" t="n"/>
      <c r="E42" s="18" t="n"/>
      <c r="F42" s="18" t="n"/>
      <c r="G42" s="18" t="n"/>
      <c r="H42" s="16">
        <f>IF(G42="","",IF(LEN(G42)-LEN(SUBSTITUTE(G42,",",""))&gt;=1,"Yes","No"))</f>
        <v/>
      </c>
      <c r="I42" s="18" t="n"/>
      <c r="J42" s="18" t="n"/>
      <c r="K42" s="23" t="n"/>
      <c r="L42" s="18" t="n"/>
      <c r="M42" s="18" t="n"/>
      <c r="N42" s="18" t="n"/>
    </row>
    <row r="43">
      <c r="A43" s="16">
        <f>IF(D43&lt;&gt;"",TEXT(ROW()-11,"GAP-000"),"")</f>
        <v/>
      </c>
      <c r="B43" s="18" t="n"/>
      <c r="C43" s="18" t="n"/>
      <c r="D43" s="18" t="n"/>
      <c r="E43" s="18" t="n"/>
      <c r="F43" s="18" t="n"/>
      <c r="G43" s="18" t="n"/>
      <c r="H43" s="16">
        <f>IF(G43="","",IF(LEN(G43)-LEN(SUBSTITUTE(G43,",",""))&gt;=1,"Yes","No"))</f>
        <v/>
      </c>
      <c r="I43" s="18" t="n"/>
      <c r="J43" s="18" t="n"/>
      <c r="K43" s="23" t="n"/>
      <c r="L43" s="18" t="n"/>
      <c r="M43" s="18" t="n"/>
      <c r="N43" s="18" t="n"/>
    </row>
    <row r="44">
      <c r="A44" s="16">
        <f>IF(D44&lt;&gt;"",TEXT(ROW()-11,"GAP-000"),"")</f>
        <v/>
      </c>
      <c r="B44" s="18" t="n"/>
      <c r="C44" s="18" t="n"/>
      <c r="D44" s="18" t="n"/>
      <c r="E44" s="18" t="n"/>
      <c r="F44" s="18" t="n"/>
      <c r="G44" s="18" t="n"/>
      <c r="H44" s="16">
        <f>IF(G44="","",IF(LEN(G44)-LEN(SUBSTITUTE(G44,",",""))&gt;=1,"Yes","No"))</f>
        <v/>
      </c>
      <c r="I44" s="18" t="n"/>
      <c r="J44" s="18" t="n"/>
      <c r="K44" s="23" t="n"/>
      <c r="L44" s="18" t="n"/>
      <c r="M44" s="18" t="n"/>
      <c r="N44" s="18" t="n"/>
    </row>
    <row r="45">
      <c r="A45" s="16">
        <f>IF(D45&lt;&gt;"",TEXT(ROW()-11,"GAP-000"),"")</f>
        <v/>
      </c>
      <c r="B45" s="18" t="n"/>
      <c r="C45" s="18" t="n"/>
      <c r="D45" s="18" t="n"/>
      <c r="E45" s="18" t="n"/>
      <c r="F45" s="18" t="n"/>
      <c r="G45" s="18" t="n"/>
      <c r="H45" s="16">
        <f>IF(G45="","",IF(LEN(G45)-LEN(SUBSTITUTE(G45,",",""))&gt;=1,"Yes","No"))</f>
        <v/>
      </c>
      <c r="I45" s="18" t="n"/>
      <c r="J45" s="18" t="n"/>
      <c r="K45" s="23" t="n"/>
      <c r="L45" s="18" t="n"/>
      <c r="M45" s="18" t="n"/>
      <c r="N45" s="18" t="n"/>
    </row>
    <row r="46">
      <c r="A46" s="16">
        <f>IF(D46&lt;&gt;"",TEXT(ROW()-11,"GAP-000"),"")</f>
        <v/>
      </c>
      <c r="B46" s="18" t="n"/>
      <c r="C46" s="18" t="n"/>
      <c r="D46" s="18" t="n"/>
      <c r="E46" s="18" t="n"/>
      <c r="F46" s="18" t="n"/>
      <c r="G46" s="18" t="n"/>
      <c r="H46" s="16">
        <f>IF(G46="","",IF(LEN(G46)-LEN(SUBSTITUTE(G46,",",""))&gt;=1,"Yes","No"))</f>
        <v/>
      </c>
      <c r="I46" s="18" t="n"/>
      <c r="J46" s="18" t="n"/>
      <c r="K46" s="23" t="n"/>
      <c r="L46" s="18" t="n"/>
      <c r="M46" s="18" t="n"/>
      <c r="N46" s="18" t="n"/>
    </row>
    <row r="47">
      <c r="A47" s="16">
        <f>IF(D47&lt;&gt;"",TEXT(ROW()-11,"GAP-000"),"")</f>
        <v/>
      </c>
      <c r="B47" s="18" t="n"/>
      <c r="C47" s="18" t="n"/>
      <c r="D47" s="18" t="n"/>
      <c r="E47" s="18" t="n"/>
      <c r="F47" s="18" t="n"/>
      <c r="G47" s="18" t="n"/>
      <c r="H47" s="16">
        <f>IF(G47="","",IF(LEN(G47)-LEN(SUBSTITUTE(G47,",",""))&gt;=1,"Yes","No"))</f>
        <v/>
      </c>
      <c r="I47" s="18" t="n"/>
      <c r="J47" s="18" t="n"/>
      <c r="K47" s="23" t="n"/>
      <c r="L47" s="18" t="n"/>
      <c r="M47" s="18" t="n"/>
      <c r="N47" s="18" t="n"/>
    </row>
    <row r="48">
      <c r="A48" s="16">
        <f>IF(D48&lt;&gt;"",TEXT(ROW()-11,"GAP-000"),"")</f>
        <v/>
      </c>
      <c r="B48" s="18" t="n"/>
      <c r="C48" s="18" t="n"/>
      <c r="D48" s="18" t="n"/>
      <c r="E48" s="18" t="n"/>
      <c r="F48" s="18" t="n"/>
      <c r="G48" s="18" t="n"/>
      <c r="H48" s="16">
        <f>IF(G48="","",IF(LEN(G48)-LEN(SUBSTITUTE(G48,",",""))&gt;=1,"Yes","No"))</f>
        <v/>
      </c>
      <c r="I48" s="18" t="n"/>
      <c r="J48" s="18" t="n"/>
      <c r="K48" s="23" t="n"/>
      <c r="L48" s="18" t="n"/>
      <c r="M48" s="18" t="n"/>
      <c r="N48" s="18" t="n"/>
    </row>
    <row r="49">
      <c r="A49" s="16">
        <f>IF(D49&lt;&gt;"",TEXT(ROW()-11,"GAP-000"),"")</f>
        <v/>
      </c>
      <c r="B49" s="18" t="n"/>
      <c r="C49" s="18" t="n"/>
      <c r="D49" s="18" t="n"/>
      <c r="E49" s="18" t="n"/>
      <c r="F49" s="18" t="n"/>
      <c r="G49" s="18" t="n"/>
      <c r="H49" s="16">
        <f>IF(G49="","",IF(LEN(G49)-LEN(SUBSTITUTE(G49,",",""))&gt;=1,"Yes","No"))</f>
        <v/>
      </c>
      <c r="I49" s="18" t="n"/>
      <c r="J49" s="18" t="n"/>
      <c r="K49" s="23" t="n"/>
      <c r="L49" s="18" t="n"/>
      <c r="M49" s="18" t="n"/>
      <c r="N49" s="18" t="n"/>
    </row>
    <row r="50">
      <c r="A50" s="16">
        <f>IF(D50&lt;&gt;"",TEXT(ROW()-11,"GAP-000"),"")</f>
        <v/>
      </c>
      <c r="B50" s="18">
        <f>COUNTIF(H11:H110,"Yes")</f>
        <v/>
      </c>
      <c r="C50" s="18" t="n"/>
      <c r="D50" s="18" t="n"/>
      <c r="E50" s="18" t="n"/>
      <c r="F50" s="18" t="n"/>
      <c r="G50" s="18" t="n"/>
      <c r="H50" s="16">
        <f>IF(G50="","",IF(LEN(G50)-LEN(SUBSTITUTE(G50,",",""))&gt;=1,"Yes","No"))</f>
        <v/>
      </c>
      <c r="I50" s="18" t="n"/>
      <c r="J50" s="18" t="n"/>
      <c r="K50" s="23" t="n"/>
      <c r="L50" s="18" t="n"/>
      <c r="M50" s="18" t="n"/>
      <c r="N50" s="18" t="n"/>
    </row>
    <row r="51">
      <c r="A51" s="16">
        <f>IF(D51&lt;&gt;"",TEXT(ROW()-11,"GAP-000"),"")</f>
        <v/>
      </c>
      <c r="B51" s="18">
        <f>B50</f>
        <v/>
      </c>
      <c r="C51" s="18" t="n"/>
      <c r="D51" s="18" t="n"/>
      <c r="E51" s="18" t="n"/>
      <c r="F51" s="18" t="n"/>
      <c r="G51" s="18" t="n"/>
      <c r="H51" s="16">
        <f>IF(G51="","",IF(LEN(G51)-LEN(SUBSTITUTE(G51,",",""))&gt;=1,"Yes","No"))</f>
        <v/>
      </c>
      <c r="I51" s="18" t="n"/>
      <c r="J51" s="18" t="n"/>
      <c r="K51" s="23" t="n"/>
      <c r="L51" s="18" t="n"/>
      <c r="M51" s="18" t="n"/>
      <c r="N51" s="18" t="n"/>
    </row>
    <row r="52">
      <c r="A52" s="16">
        <f>IF(D52&lt;&gt;"",TEXT(ROW()-11,"GAP-000"),"")</f>
        <v/>
      </c>
      <c r="B52" s="18" t="n"/>
      <c r="C52" s="18" t="n"/>
      <c r="D52" s="18" t="n"/>
      <c r="E52" s="18" t="n"/>
      <c r="F52" s="18" t="n"/>
      <c r="G52" s="18" t="n"/>
      <c r="H52" s="16">
        <f>IF(G52="","",IF(LEN(G52)-LEN(SUBSTITUTE(G52,",",""))&gt;=1,"Yes","No"))</f>
        <v/>
      </c>
      <c r="I52" s="18" t="n"/>
      <c r="J52" s="18" t="n"/>
      <c r="K52" s="23" t="n"/>
      <c r="L52" s="18" t="n"/>
      <c r="M52" s="18" t="n"/>
      <c r="N52" s="18" t="n"/>
    </row>
    <row r="53">
      <c r="A53" s="16">
        <f>IF(D53&lt;&gt;"",TEXT(ROW()-11,"GAP-000"),"")</f>
        <v/>
      </c>
      <c r="B53" s="18" t="n"/>
      <c r="C53" s="18" t="n"/>
      <c r="D53" s="18" t="n"/>
      <c r="E53" s="18" t="n"/>
      <c r="F53" s="18" t="n"/>
      <c r="G53" s="18" t="n"/>
      <c r="H53" s="16">
        <f>IF(G53="","",IF(LEN(G53)-LEN(SUBSTITUTE(G53,",",""))&gt;=1,"Yes","No"))</f>
        <v/>
      </c>
      <c r="I53" s="18" t="n"/>
      <c r="J53" s="18" t="n"/>
      <c r="K53" s="23" t="n"/>
      <c r="L53" s="18" t="n"/>
      <c r="M53" s="18" t="n"/>
      <c r="N53" s="18" t="n"/>
    </row>
    <row r="54">
      <c r="A54" s="16">
        <f>IF(D54&lt;&gt;"",TEXT(ROW()-11,"GAP-000"),"")</f>
        <v/>
      </c>
      <c r="B54" s="18" t="n"/>
      <c r="C54" s="18" t="n"/>
      <c r="D54" s="18" t="n"/>
      <c r="E54" s="18" t="n"/>
      <c r="F54" s="18" t="n"/>
      <c r="G54" s="18" t="n"/>
      <c r="H54" s="16">
        <f>IF(G54="","",IF(LEN(G54)-LEN(SUBSTITUTE(G54,",",""))&gt;=1,"Yes","No"))</f>
        <v/>
      </c>
      <c r="I54" s="18" t="n"/>
      <c r="J54" s="18" t="n"/>
      <c r="K54" s="23" t="n"/>
      <c r="L54" s="18" t="n"/>
      <c r="M54" s="18" t="n"/>
      <c r="N54" s="18" t="n"/>
    </row>
    <row r="55">
      <c r="A55" s="16">
        <f>IF(D55&lt;&gt;"",TEXT(ROW()-11,"GAP-000"),"")</f>
        <v/>
      </c>
      <c r="B55" s="18" t="n"/>
      <c r="C55" s="18" t="n"/>
      <c r="D55" s="18" t="n"/>
      <c r="E55" s="18" t="n"/>
      <c r="F55" s="18" t="n"/>
      <c r="G55" s="18" t="n"/>
      <c r="H55" s="16">
        <f>IF(G55="","",IF(LEN(G55)-LEN(SUBSTITUTE(G55,",",""))&gt;=1,"Yes","No"))</f>
        <v/>
      </c>
      <c r="I55" s="18" t="n"/>
      <c r="J55" s="18" t="n"/>
      <c r="K55" s="23" t="n"/>
      <c r="L55" s="18" t="n"/>
      <c r="M55" s="18" t="n"/>
      <c r="N55" s="18" t="n"/>
    </row>
    <row r="56">
      <c r="A56" s="16">
        <f>IF(D56&lt;&gt;"",TEXT(ROW()-11,"GAP-000"),"")</f>
        <v/>
      </c>
      <c r="B56" s="18" t="n"/>
      <c r="C56" s="18" t="n"/>
      <c r="D56" s="18" t="n"/>
      <c r="E56" s="18" t="n"/>
      <c r="F56" s="18" t="n"/>
      <c r="G56" s="18" t="n"/>
      <c r="H56" s="16">
        <f>IF(G56="","",IF(LEN(G56)-LEN(SUBSTITUTE(G56,",",""))&gt;=1,"Yes","No"))</f>
        <v/>
      </c>
      <c r="I56" s="18" t="n"/>
      <c r="J56" s="18" t="n"/>
      <c r="K56" s="23" t="n"/>
      <c r="L56" s="18" t="n"/>
      <c r="M56" s="18" t="n"/>
      <c r="N56" s="18" t="n"/>
    </row>
    <row r="57">
      <c r="A57" s="16">
        <f>IF(D57&lt;&gt;"",TEXT(ROW()-11,"GAP-000"),"")</f>
        <v/>
      </c>
      <c r="B57" s="18" t="n"/>
      <c r="C57" s="18" t="n"/>
      <c r="D57" s="18" t="n"/>
      <c r="E57" s="18" t="n"/>
      <c r="F57" s="18" t="n"/>
      <c r="G57" s="18" t="n"/>
      <c r="H57" s="16">
        <f>IF(G57="","",IF(LEN(G57)-LEN(SUBSTITUTE(G57,",",""))&gt;=1,"Yes","No"))</f>
        <v/>
      </c>
      <c r="I57" s="18" t="n"/>
      <c r="J57" s="18" t="n"/>
      <c r="K57" s="23" t="n"/>
      <c r="L57" s="18" t="n"/>
      <c r="M57" s="18" t="n"/>
      <c r="N57" s="18" t="n"/>
    </row>
    <row r="58">
      <c r="A58" s="16">
        <f>IF(D58&lt;&gt;"",TEXT(ROW()-11,"GAP-000"),"")</f>
        <v/>
      </c>
      <c r="B58" s="18" t="n"/>
      <c r="C58" s="18" t="n"/>
      <c r="D58" s="18" t="n"/>
      <c r="E58" s="18" t="n"/>
      <c r="F58" s="18" t="n"/>
      <c r="G58" s="18" t="n"/>
      <c r="H58" s="16">
        <f>IF(G58="","",IF(LEN(G58)-LEN(SUBSTITUTE(G58,",",""))&gt;=1,"Yes","No"))</f>
        <v/>
      </c>
      <c r="I58" s="18" t="n"/>
      <c r="J58" s="18" t="n"/>
      <c r="K58" s="23" t="n"/>
      <c r="L58" s="18" t="n"/>
      <c r="M58" s="18" t="n"/>
      <c r="N58" s="18" t="n"/>
    </row>
    <row r="59">
      <c r="A59" s="16">
        <f>IF(D59&lt;&gt;"",TEXT(ROW()-11,"GAP-000"),"")</f>
        <v/>
      </c>
      <c r="B59" s="18" t="n"/>
      <c r="C59" s="18" t="n"/>
      <c r="D59" s="18" t="n"/>
      <c r="E59" s="18" t="n"/>
      <c r="F59" s="18" t="n"/>
      <c r="G59" s="18" t="n"/>
      <c r="H59" s="16">
        <f>IF(G59="","",IF(LEN(G59)-LEN(SUBSTITUTE(G59,",",""))&gt;=1,"Yes","No"))</f>
        <v/>
      </c>
      <c r="I59" s="18" t="n"/>
      <c r="J59" s="18" t="n"/>
      <c r="K59" s="23" t="n"/>
      <c r="L59" s="18" t="n"/>
      <c r="M59" s="18" t="n"/>
      <c r="N59" s="18" t="n"/>
    </row>
    <row r="60">
      <c r="A60" s="16">
        <f>IF(D60&lt;&gt;"",TEXT(ROW()-11,"GAP-000"),"")</f>
        <v/>
      </c>
      <c r="B60" s="18" t="n"/>
      <c r="C60" s="18" t="n"/>
      <c r="D60" s="18" t="n"/>
      <c r="E60" s="18" t="n"/>
      <c r="F60" s="18" t="n"/>
      <c r="G60" s="18" t="n"/>
      <c r="H60" s="16">
        <f>IF(G60="","",IF(LEN(G60)-LEN(SUBSTITUTE(G60,",",""))&gt;=1,"Yes","No"))</f>
        <v/>
      </c>
      <c r="I60" s="18" t="n"/>
      <c r="J60" s="18" t="n"/>
      <c r="K60" s="23" t="n"/>
      <c r="L60" s="18" t="n"/>
      <c r="M60" s="18" t="n"/>
      <c r="N60" s="18" t="n"/>
    </row>
    <row r="61">
      <c r="A61" s="16">
        <f>IF(D61&lt;&gt;"",TEXT(ROW()-11,"GAP-000"),"")</f>
        <v/>
      </c>
      <c r="B61" s="18" t="n"/>
      <c r="C61" s="18" t="n"/>
      <c r="D61" s="18" t="n"/>
      <c r="E61" s="18" t="n"/>
      <c r="F61" s="18" t="n"/>
      <c r="G61" s="18" t="n"/>
      <c r="H61" s="16">
        <f>IF(G61="","",IF(LEN(G61)-LEN(SUBSTITUTE(G61,",",""))&gt;=1,"Yes","No"))</f>
        <v/>
      </c>
      <c r="I61" s="18" t="n"/>
      <c r="J61" s="18" t="n"/>
      <c r="K61" s="23" t="n"/>
      <c r="L61" s="18" t="n"/>
      <c r="M61" s="18" t="n"/>
      <c r="N61" s="18" t="n"/>
    </row>
    <row r="62">
      <c r="A62" s="16">
        <f>IF(D62&lt;&gt;"",TEXT(ROW()-11,"GAP-000"),"")</f>
        <v/>
      </c>
      <c r="B62" s="18" t="n"/>
      <c r="C62" s="18" t="n"/>
      <c r="D62" s="18" t="n"/>
      <c r="E62" s="18" t="n"/>
      <c r="F62" s="18" t="n"/>
      <c r="G62" s="18" t="n"/>
      <c r="H62" s="16">
        <f>IF(G62="","",IF(LEN(G62)-LEN(SUBSTITUTE(G62,",",""))&gt;=1,"Yes","No"))</f>
        <v/>
      </c>
      <c r="I62" s="18" t="n"/>
      <c r="J62" s="18" t="n"/>
      <c r="K62" s="23" t="n"/>
      <c r="L62" s="18" t="n"/>
      <c r="M62" s="18" t="n"/>
      <c r="N62" s="18" t="n"/>
    </row>
    <row r="63">
      <c r="A63" s="16">
        <f>IF(D63&lt;&gt;"",TEXT(ROW()-11,"GAP-000"),"")</f>
        <v/>
      </c>
      <c r="B63" s="18" t="n"/>
      <c r="C63" s="18" t="n"/>
      <c r="D63" s="18" t="n"/>
      <c r="E63" s="18" t="n"/>
      <c r="F63" s="18" t="n"/>
      <c r="G63" s="18" t="n"/>
      <c r="H63" s="16">
        <f>IF(G63="","",IF(LEN(G63)-LEN(SUBSTITUTE(G63,",",""))&gt;=1,"Yes","No"))</f>
        <v/>
      </c>
      <c r="I63" s="18" t="n"/>
      <c r="J63" s="18" t="n"/>
      <c r="K63" s="23" t="n"/>
      <c r="L63" s="18" t="n"/>
      <c r="M63" s="18" t="n"/>
      <c r="N63" s="18" t="n"/>
    </row>
    <row r="64">
      <c r="A64" s="16">
        <f>IF(D64&lt;&gt;"",TEXT(ROW()-11,"GAP-000"),"")</f>
        <v/>
      </c>
      <c r="B64" s="18" t="n"/>
      <c r="C64" s="18" t="n"/>
      <c r="D64" s="18" t="n"/>
      <c r="E64" s="18" t="n"/>
      <c r="F64" s="18" t="n"/>
      <c r="G64" s="18" t="n"/>
      <c r="H64" s="16">
        <f>IF(G64="","",IF(LEN(G64)-LEN(SUBSTITUTE(G64,",",""))&gt;=1,"Yes","No"))</f>
        <v/>
      </c>
      <c r="I64" s="18" t="n"/>
      <c r="J64" s="18" t="n"/>
      <c r="K64" s="23" t="n"/>
      <c r="L64" s="18" t="n"/>
      <c r="M64" s="18" t="n"/>
      <c r="N64" s="18" t="n"/>
    </row>
    <row r="65">
      <c r="A65" s="16">
        <f>IF(D65&lt;&gt;"",TEXT(ROW()-11,"GAP-000"),"")</f>
        <v/>
      </c>
      <c r="B65" s="18" t="n"/>
      <c r="C65" s="18" t="n"/>
      <c r="D65" s="18" t="n"/>
      <c r="E65" s="18" t="n"/>
      <c r="F65" s="18" t="n"/>
      <c r="G65" s="18" t="n"/>
      <c r="H65" s="16">
        <f>IF(G65="","",IF(LEN(G65)-LEN(SUBSTITUTE(G65,",",""))&gt;=1,"Yes","No"))</f>
        <v/>
      </c>
      <c r="I65" s="18" t="n"/>
      <c r="J65" s="18" t="n"/>
      <c r="K65" s="23" t="n"/>
      <c r="L65" s="18" t="n"/>
      <c r="M65" s="18" t="n"/>
      <c r="N65" s="18" t="n"/>
    </row>
    <row r="66">
      <c r="A66" s="16">
        <f>IF(D66&lt;&gt;"",TEXT(ROW()-11,"GAP-000"),"")</f>
        <v/>
      </c>
      <c r="B66" s="18" t="n"/>
      <c r="C66" s="18" t="n"/>
      <c r="D66" s="18" t="n"/>
      <c r="E66" s="18" t="n"/>
      <c r="F66" s="18" t="n"/>
      <c r="G66" s="18" t="n"/>
      <c r="H66" s="16">
        <f>IF(G66="","",IF(LEN(G66)-LEN(SUBSTITUTE(G66,",",""))&gt;=1,"Yes","No"))</f>
        <v/>
      </c>
      <c r="I66" s="18" t="n"/>
      <c r="J66" s="18" t="n"/>
      <c r="K66" s="23" t="n"/>
      <c r="L66" s="18" t="n"/>
      <c r="M66" s="18" t="n"/>
      <c r="N66" s="18" t="n"/>
    </row>
    <row r="67">
      <c r="A67" s="16">
        <f>IF(D67&lt;&gt;"",TEXT(ROW()-11,"GAP-000"),"")</f>
        <v/>
      </c>
      <c r="B67" s="18" t="n"/>
      <c r="C67" s="18" t="n"/>
      <c r="D67" s="18" t="n"/>
      <c r="E67" s="18" t="n"/>
      <c r="F67" s="18" t="n"/>
      <c r="G67" s="18" t="n"/>
      <c r="H67" s="16">
        <f>IF(G67="","",IF(LEN(G67)-LEN(SUBSTITUTE(G67,",",""))&gt;=1,"Yes","No"))</f>
        <v/>
      </c>
      <c r="I67" s="18" t="n"/>
      <c r="J67" s="18" t="n"/>
      <c r="K67" s="23" t="n"/>
      <c r="L67" s="18" t="n"/>
      <c r="M67" s="18" t="n"/>
      <c r="N67" s="18" t="n"/>
    </row>
    <row r="68">
      <c r="A68" s="16">
        <f>IF(D68&lt;&gt;"",TEXT(ROW()-11,"GAP-000"),"")</f>
        <v/>
      </c>
      <c r="B68" s="18" t="n"/>
      <c r="C68" s="18" t="n"/>
      <c r="D68" s="18" t="n"/>
      <c r="E68" s="18" t="n"/>
      <c r="F68" s="18" t="n"/>
      <c r="G68" s="18" t="n"/>
      <c r="H68" s="16">
        <f>IF(G68="","",IF(LEN(G68)-LEN(SUBSTITUTE(G68,",",""))&gt;=1,"Yes","No"))</f>
        <v/>
      </c>
      <c r="I68" s="18" t="n"/>
      <c r="J68" s="18" t="n"/>
      <c r="K68" s="23" t="n"/>
      <c r="L68" s="18" t="n"/>
      <c r="M68" s="18" t="n"/>
      <c r="N68" s="18" t="n"/>
    </row>
    <row r="69">
      <c r="A69" s="16">
        <f>IF(D69&lt;&gt;"",TEXT(ROW()-11,"GAP-000"),"")</f>
        <v/>
      </c>
      <c r="B69" s="18" t="n"/>
      <c r="C69" s="18" t="n"/>
      <c r="D69" s="18" t="n"/>
      <c r="E69" s="18" t="n"/>
      <c r="F69" s="18" t="n"/>
      <c r="G69" s="18" t="n"/>
      <c r="H69" s="16">
        <f>IF(G69="","",IF(LEN(G69)-LEN(SUBSTITUTE(G69,",",""))&gt;=1,"Yes","No"))</f>
        <v/>
      </c>
      <c r="I69" s="18" t="n"/>
      <c r="J69" s="18" t="n"/>
      <c r="K69" s="23" t="n"/>
      <c r="L69" s="18" t="n"/>
      <c r="M69" s="18" t="n"/>
      <c r="N69" s="18" t="n"/>
    </row>
    <row r="70">
      <c r="A70" s="16">
        <f>IF(D70&lt;&gt;"",TEXT(ROW()-11,"GAP-000"),"")</f>
        <v/>
      </c>
      <c r="B70" s="18" t="n"/>
      <c r="C70" s="18" t="n"/>
      <c r="D70" s="18" t="n"/>
      <c r="E70" s="18" t="n"/>
      <c r="F70" s="18" t="n"/>
      <c r="G70" s="18" t="n"/>
      <c r="H70" s="16">
        <f>IF(G70="","",IF(LEN(G70)-LEN(SUBSTITUTE(G70,",",""))&gt;=1,"Yes","No"))</f>
        <v/>
      </c>
      <c r="I70" s="18" t="n"/>
      <c r="J70" s="18" t="n"/>
      <c r="K70" s="23" t="n"/>
      <c r="L70" s="18" t="n"/>
      <c r="M70" s="18" t="n"/>
      <c r="N70" s="18" t="n"/>
    </row>
    <row r="71">
      <c r="A71" s="16">
        <f>IF(D71&lt;&gt;"",TEXT(ROW()-11,"GAP-000"),"")</f>
        <v/>
      </c>
      <c r="B71" s="18" t="n"/>
      <c r="C71" s="18" t="n"/>
      <c r="D71" s="18" t="n"/>
      <c r="E71" s="18" t="n"/>
      <c r="F71" s="18" t="n"/>
      <c r="G71" s="18" t="n"/>
      <c r="H71" s="16">
        <f>IF(G71="","",IF(LEN(G71)-LEN(SUBSTITUTE(G71,",",""))&gt;=1,"Yes","No"))</f>
        <v/>
      </c>
      <c r="I71" s="18" t="n"/>
      <c r="J71" s="18" t="n"/>
      <c r="K71" s="23" t="n"/>
      <c r="L71" s="18" t="n"/>
      <c r="M71" s="18" t="n"/>
      <c r="N71" s="18" t="n"/>
    </row>
    <row r="72">
      <c r="A72" s="16">
        <f>IF(D72&lt;&gt;"",TEXT(ROW()-11,"GAP-000"),"")</f>
        <v/>
      </c>
      <c r="B72" s="18" t="n"/>
      <c r="C72" s="18" t="n"/>
      <c r="D72" s="18" t="n"/>
      <c r="E72" s="18" t="n"/>
      <c r="F72" s="18" t="n"/>
      <c r="G72" s="18" t="n"/>
      <c r="H72" s="16">
        <f>IF(G72="","",IF(LEN(G72)-LEN(SUBSTITUTE(G72,",",""))&gt;=1,"Yes","No"))</f>
        <v/>
      </c>
      <c r="I72" s="18" t="n"/>
      <c r="J72" s="18" t="n"/>
      <c r="K72" s="23" t="n"/>
      <c r="L72" s="18" t="n"/>
      <c r="M72" s="18" t="n"/>
      <c r="N72" s="18" t="n"/>
    </row>
    <row r="73">
      <c r="A73" s="16">
        <f>IF(D73&lt;&gt;"",TEXT(ROW()-11,"GAP-000"),"")</f>
        <v/>
      </c>
      <c r="B73" s="18" t="n"/>
      <c r="C73" s="18" t="n"/>
      <c r="D73" s="18" t="n"/>
      <c r="E73" s="18" t="n"/>
      <c r="F73" s="18" t="n"/>
      <c r="G73" s="18" t="n"/>
      <c r="H73" s="16">
        <f>IF(G73="","",IF(LEN(G73)-LEN(SUBSTITUTE(G73,",",""))&gt;=1,"Yes","No"))</f>
        <v/>
      </c>
      <c r="I73" s="18" t="n"/>
      <c r="J73" s="18" t="n"/>
      <c r="K73" s="23" t="n"/>
      <c r="L73" s="18" t="n"/>
      <c r="M73" s="18" t="n"/>
      <c r="N73" s="18" t="n"/>
    </row>
    <row r="74">
      <c r="A74" s="16">
        <f>IF(D74&lt;&gt;"",TEXT(ROW()-11,"GAP-000"),"")</f>
        <v/>
      </c>
      <c r="B74" s="18" t="n"/>
      <c r="C74" s="18" t="n"/>
      <c r="D74" s="18" t="n"/>
      <c r="E74" s="18" t="n"/>
      <c r="F74" s="18" t="n"/>
      <c r="G74" s="18" t="n"/>
      <c r="H74" s="16">
        <f>IF(G74="","",IF(LEN(G74)-LEN(SUBSTITUTE(G74,",",""))&gt;=1,"Yes","No"))</f>
        <v/>
      </c>
      <c r="I74" s="18" t="n"/>
      <c r="J74" s="18" t="n"/>
      <c r="K74" s="23" t="n"/>
      <c r="L74" s="18" t="n"/>
      <c r="M74" s="18" t="n"/>
      <c r="N74" s="18" t="n"/>
    </row>
    <row r="75">
      <c r="A75" s="16">
        <f>IF(D75&lt;&gt;"",TEXT(ROW()-11,"GAP-000"),"")</f>
        <v/>
      </c>
      <c r="B75" s="18" t="n"/>
      <c r="C75" s="18" t="n"/>
      <c r="D75" s="18" t="n"/>
      <c r="E75" s="18" t="n"/>
      <c r="F75" s="18" t="n"/>
      <c r="G75" s="18" t="n"/>
      <c r="H75" s="16">
        <f>IF(G75="","",IF(LEN(G75)-LEN(SUBSTITUTE(G75,",",""))&gt;=1,"Yes","No"))</f>
        <v/>
      </c>
      <c r="I75" s="18" t="n"/>
      <c r="J75" s="18" t="n"/>
      <c r="K75" s="23" t="n"/>
      <c r="L75" s="18" t="n"/>
      <c r="M75" s="18" t="n"/>
      <c r="N75" s="18" t="n"/>
    </row>
    <row r="76">
      <c r="A76" s="16">
        <f>IF(D76&lt;&gt;"",TEXT(ROW()-11,"GAP-000"),"")</f>
        <v/>
      </c>
      <c r="B76" s="18" t="n"/>
      <c r="C76" s="18" t="n"/>
      <c r="D76" s="18" t="n"/>
      <c r="E76" s="18" t="n"/>
      <c r="F76" s="18" t="n"/>
      <c r="G76" s="18" t="n"/>
      <c r="H76" s="16">
        <f>IF(G76="","",IF(LEN(G76)-LEN(SUBSTITUTE(G76,",",""))&gt;=1,"Yes","No"))</f>
        <v/>
      </c>
      <c r="I76" s="18" t="n"/>
      <c r="J76" s="18" t="n"/>
      <c r="K76" s="23" t="n"/>
      <c r="L76" s="18" t="n"/>
      <c r="M76" s="18" t="n"/>
      <c r="N76" s="18" t="n"/>
    </row>
    <row r="77">
      <c r="A77" s="16">
        <f>IF(D77&lt;&gt;"",TEXT(ROW()-11,"GAP-000"),"")</f>
        <v/>
      </c>
      <c r="B77" s="18" t="n"/>
      <c r="C77" s="18" t="n"/>
      <c r="D77" s="18" t="n"/>
      <c r="E77" s="18" t="n"/>
      <c r="F77" s="18" t="n"/>
      <c r="G77" s="18" t="n"/>
      <c r="H77" s="16">
        <f>IF(G77="","",IF(LEN(G77)-LEN(SUBSTITUTE(G77,",",""))&gt;=1,"Yes","No"))</f>
        <v/>
      </c>
      <c r="I77" s="18" t="n"/>
      <c r="J77" s="18" t="n"/>
      <c r="K77" s="23" t="n"/>
      <c r="L77" s="18" t="n"/>
      <c r="M77" s="18" t="n"/>
      <c r="N77" s="18" t="n"/>
    </row>
    <row r="78">
      <c r="A78" s="16">
        <f>IF(D78&lt;&gt;"",TEXT(ROW()-11,"GAP-000"),"")</f>
        <v/>
      </c>
      <c r="B78" s="18" t="n"/>
      <c r="C78" s="18" t="n"/>
      <c r="D78" s="18" t="n"/>
      <c r="E78" s="18" t="n"/>
      <c r="F78" s="18" t="n"/>
      <c r="G78" s="18" t="n"/>
      <c r="H78" s="16">
        <f>IF(G78="","",IF(LEN(G78)-LEN(SUBSTITUTE(G78,",",""))&gt;=1,"Yes","No"))</f>
        <v/>
      </c>
      <c r="I78" s="18" t="n"/>
      <c r="J78" s="18" t="n"/>
      <c r="K78" s="23" t="n"/>
      <c r="L78" s="18" t="n"/>
      <c r="M78" s="18" t="n"/>
      <c r="N78" s="18" t="n"/>
    </row>
    <row r="79">
      <c r="A79" s="16">
        <f>IF(D79&lt;&gt;"",TEXT(ROW()-11,"GAP-000"),"")</f>
        <v/>
      </c>
      <c r="B79" s="18" t="n"/>
      <c r="C79" s="18" t="n"/>
      <c r="D79" s="18" t="n"/>
      <c r="E79" s="18" t="n"/>
      <c r="F79" s="18" t="n"/>
      <c r="G79" s="18" t="n"/>
      <c r="H79" s="16">
        <f>IF(G79="","",IF(LEN(G79)-LEN(SUBSTITUTE(G79,",",""))&gt;=1,"Yes","No"))</f>
        <v/>
      </c>
      <c r="I79" s="18" t="n"/>
      <c r="J79" s="18" t="n"/>
      <c r="K79" s="23" t="n"/>
      <c r="L79" s="18" t="n"/>
      <c r="M79" s="18" t="n"/>
      <c r="N79" s="18" t="n"/>
    </row>
    <row r="80">
      <c r="A80" s="16">
        <f>IF(D80&lt;&gt;"",TEXT(ROW()-11,"GAP-000"),"")</f>
        <v/>
      </c>
      <c r="B80" s="18" t="n"/>
      <c r="C80" s="18" t="n"/>
      <c r="D80" s="18" t="n"/>
      <c r="E80" s="18" t="n"/>
      <c r="F80" s="18" t="n"/>
      <c r="G80" s="18" t="n"/>
      <c r="H80" s="16">
        <f>IF(G80="","",IF(LEN(G80)-LEN(SUBSTITUTE(G80,",",""))&gt;=1,"Yes","No"))</f>
        <v/>
      </c>
      <c r="I80" s="18" t="n"/>
      <c r="J80" s="18" t="n"/>
      <c r="K80" s="23" t="n"/>
      <c r="L80" s="18" t="n"/>
      <c r="M80" s="18" t="n"/>
      <c r="N80" s="18" t="n"/>
    </row>
    <row r="81">
      <c r="A81" s="16">
        <f>IF(D81&lt;&gt;"",TEXT(ROW()-11,"GAP-000"),"")</f>
        <v/>
      </c>
      <c r="B81" s="18" t="n"/>
      <c r="C81" s="18" t="n"/>
      <c r="D81" s="18" t="n"/>
      <c r="E81" s="18" t="n"/>
      <c r="F81" s="18" t="n"/>
      <c r="G81" s="18" t="n"/>
      <c r="H81" s="16">
        <f>IF(G81="","",IF(LEN(G81)-LEN(SUBSTITUTE(G81,",",""))&gt;=1,"Yes","No"))</f>
        <v/>
      </c>
      <c r="I81" s="18" t="n"/>
      <c r="J81" s="18" t="n"/>
      <c r="K81" s="23" t="n"/>
      <c r="L81" s="18" t="n"/>
      <c r="M81" s="18" t="n"/>
      <c r="N81" s="18" t="n"/>
    </row>
    <row r="82">
      <c r="A82" s="16">
        <f>IF(D82&lt;&gt;"",TEXT(ROW()-11,"GAP-000"),"")</f>
        <v/>
      </c>
      <c r="B82" s="18" t="n"/>
      <c r="C82" s="18" t="n"/>
      <c r="D82" s="18" t="n"/>
      <c r="E82" s="18" t="n"/>
      <c r="F82" s="18" t="n"/>
      <c r="G82" s="18" t="n"/>
      <c r="H82" s="16">
        <f>IF(G82="","",IF(LEN(G82)-LEN(SUBSTITUTE(G82,",",""))&gt;=1,"Yes","No"))</f>
        <v/>
      </c>
      <c r="I82" s="18" t="n"/>
      <c r="J82" s="18" t="n"/>
      <c r="K82" s="23" t="n"/>
      <c r="L82" s="18" t="n"/>
      <c r="M82" s="18" t="n"/>
      <c r="N82" s="18" t="n"/>
    </row>
    <row r="83">
      <c r="A83" s="16">
        <f>IF(D83&lt;&gt;"",TEXT(ROW()-11,"GAP-000"),"")</f>
        <v/>
      </c>
      <c r="B83" s="18" t="n"/>
      <c r="C83" s="18" t="n"/>
      <c r="D83" s="18" t="n"/>
      <c r="E83" s="18" t="n"/>
      <c r="F83" s="18" t="n"/>
      <c r="G83" s="18" t="n"/>
      <c r="H83" s="16">
        <f>IF(G83="","",IF(LEN(G83)-LEN(SUBSTITUTE(G83,",",""))&gt;=1,"Yes","No"))</f>
        <v/>
      </c>
      <c r="I83" s="18" t="n"/>
      <c r="J83" s="18" t="n"/>
      <c r="K83" s="23" t="n"/>
      <c r="L83" s="18" t="n"/>
      <c r="M83" s="18" t="n"/>
      <c r="N83" s="18" t="n"/>
    </row>
    <row r="84">
      <c r="A84" s="16">
        <f>IF(D84&lt;&gt;"",TEXT(ROW()-11,"GAP-000"),"")</f>
        <v/>
      </c>
      <c r="B84" s="18" t="n"/>
      <c r="C84" s="18" t="n"/>
      <c r="D84" s="18" t="n"/>
      <c r="E84" s="18" t="n"/>
      <c r="F84" s="18" t="n"/>
      <c r="G84" s="18" t="n"/>
      <c r="H84" s="16">
        <f>IF(G84="","",IF(LEN(G84)-LEN(SUBSTITUTE(G84,",",""))&gt;=1,"Yes","No"))</f>
        <v/>
      </c>
      <c r="I84" s="18" t="n"/>
      <c r="J84" s="18" t="n"/>
      <c r="K84" s="23" t="n"/>
      <c r="L84" s="18" t="n"/>
      <c r="M84" s="18" t="n"/>
      <c r="N84" s="18" t="n"/>
    </row>
    <row r="85">
      <c r="A85" s="16">
        <f>IF(D85&lt;&gt;"",TEXT(ROW()-11,"GAP-000"),"")</f>
        <v/>
      </c>
      <c r="B85" s="18" t="n"/>
      <c r="C85" s="18" t="n"/>
      <c r="D85" s="18" t="n"/>
      <c r="E85" s="18" t="n"/>
      <c r="F85" s="18" t="n"/>
      <c r="G85" s="18" t="n"/>
      <c r="H85" s="16">
        <f>IF(G85="","",IF(LEN(G85)-LEN(SUBSTITUTE(G85,",",""))&gt;=1,"Yes","No"))</f>
        <v/>
      </c>
      <c r="I85" s="18" t="n"/>
      <c r="J85" s="18" t="n"/>
      <c r="K85" s="23" t="n"/>
      <c r="L85" s="18" t="n"/>
      <c r="M85" s="18" t="n"/>
      <c r="N85" s="18" t="n"/>
    </row>
    <row r="86">
      <c r="A86" s="16">
        <f>IF(D86&lt;&gt;"",TEXT(ROW()-11,"GAP-000"),"")</f>
        <v/>
      </c>
      <c r="B86" s="18" t="n"/>
      <c r="C86" s="18" t="n"/>
      <c r="D86" s="18" t="n"/>
      <c r="E86" s="18" t="n"/>
      <c r="F86" s="18" t="n"/>
      <c r="G86" s="18" t="n"/>
      <c r="H86" s="16">
        <f>IF(G86="","",IF(LEN(G86)-LEN(SUBSTITUTE(G86,",",""))&gt;=1,"Yes","No"))</f>
        <v/>
      </c>
      <c r="I86" s="18" t="n"/>
      <c r="J86" s="18" t="n"/>
      <c r="K86" s="23" t="n"/>
      <c r="L86" s="18" t="n"/>
      <c r="M86" s="18" t="n"/>
      <c r="N86" s="18" t="n"/>
    </row>
    <row r="87">
      <c r="A87" s="16">
        <f>IF(D87&lt;&gt;"",TEXT(ROW()-11,"GAP-000"),"")</f>
        <v/>
      </c>
      <c r="B87" s="18" t="n"/>
      <c r="C87" s="18" t="n"/>
      <c r="D87" s="18" t="n"/>
      <c r="E87" s="18" t="n"/>
      <c r="F87" s="18" t="n"/>
      <c r="G87" s="18" t="n"/>
      <c r="H87" s="16">
        <f>IF(G87="","",IF(LEN(G87)-LEN(SUBSTITUTE(G87,",",""))&gt;=1,"Yes","No"))</f>
        <v/>
      </c>
      <c r="I87" s="18" t="n"/>
      <c r="J87" s="18" t="n"/>
      <c r="K87" s="23" t="n"/>
      <c r="L87" s="18" t="n"/>
      <c r="M87" s="18" t="n"/>
      <c r="N87" s="18" t="n"/>
    </row>
    <row r="88">
      <c r="A88" s="16">
        <f>IF(D88&lt;&gt;"",TEXT(ROW()-11,"GAP-000"),"")</f>
        <v/>
      </c>
      <c r="B88" s="18" t="n"/>
      <c r="C88" s="18" t="n"/>
      <c r="D88" s="18" t="n"/>
      <c r="E88" s="18" t="n"/>
      <c r="F88" s="18" t="n"/>
      <c r="G88" s="18" t="n"/>
      <c r="H88" s="16">
        <f>IF(G88="","",IF(LEN(G88)-LEN(SUBSTITUTE(G88,",",""))&gt;=1,"Yes","No"))</f>
        <v/>
      </c>
      <c r="I88" s="18" t="n"/>
      <c r="J88" s="18" t="n"/>
      <c r="K88" s="23" t="n"/>
      <c r="L88" s="18" t="n"/>
      <c r="M88" s="18" t="n"/>
      <c r="N88" s="18" t="n"/>
    </row>
    <row r="89">
      <c r="A89" s="16">
        <f>IF(D89&lt;&gt;"",TEXT(ROW()-11,"GAP-000"),"")</f>
        <v/>
      </c>
      <c r="B89" s="18" t="n"/>
      <c r="C89" s="18" t="n"/>
      <c r="D89" s="18" t="n"/>
      <c r="E89" s="18" t="n"/>
      <c r="F89" s="18" t="n"/>
      <c r="G89" s="18" t="n"/>
      <c r="H89" s="16">
        <f>IF(G89="","",IF(LEN(G89)-LEN(SUBSTITUTE(G89,",",""))&gt;=1,"Yes","No"))</f>
        <v/>
      </c>
      <c r="I89" s="18" t="n"/>
      <c r="J89" s="18" t="n"/>
      <c r="K89" s="23" t="n"/>
      <c r="L89" s="18" t="n"/>
      <c r="M89" s="18" t="n"/>
      <c r="N89" s="18" t="n"/>
    </row>
    <row r="90">
      <c r="A90" s="16">
        <f>IF(D90&lt;&gt;"",TEXT(ROW()-11,"GAP-000"),"")</f>
        <v/>
      </c>
      <c r="B90" s="18" t="n"/>
      <c r="C90" s="18" t="n"/>
      <c r="D90" s="18" t="n"/>
      <c r="E90" s="18" t="n"/>
      <c r="F90" s="18" t="n"/>
      <c r="G90" s="18" t="n"/>
      <c r="H90" s="16">
        <f>IF(G90="","",IF(LEN(G90)-LEN(SUBSTITUTE(G90,",",""))&gt;=1,"Yes","No"))</f>
        <v/>
      </c>
      <c r="I90" s="18" t="n"/>
      <c r="J90" s="18" t="n"/>
      <c r="K90" s="23" t="n"/>
      <c r="L90" s="18" t="n"/>
      <c r="M90" s="18" t="n"/>
      <c r="N90" s="18" t="n"/>
    </row>
    <row r="91">
      <c r="A91" s="16">
        <f>IF(D91&lt;&gt;"",TEXT(ROW()-11,"GAP-000"),"")</f>
        <v/>
      </c>
      <c r="B91" s="18" t="n"/>
      <c r="C91" s="18" t="n"/>
      <c r="D91" s="18" t="n"/>
      <c r="E91" s="18" t="n"/>
      <c r="F91" s="18" t="n"/>
      <c r="G91" s="18" t="n"/>
      <c r="H91" s="16">
        <f>IF(G91="","",IF(LEN(G91)-LEN(SUBSTITUTE(G91,",",""))&gt;=1,"Yes","No"))</f>
        <v/>
      </c>
      <c r="I91" s="18" t="n"/>
      <c r="J91" s="18" t="n"/>
      <c r="K91" s="23" t="n"/>
      <c r="L91" s="18" t="n"/>
      <c r="M91" s="18" t="n"/>
      <c r="N91" s="18" t="n"/>
    </row>
    <row r="92">
      <c r="A92" s="16">
        <f>IF(D92&lt;&gt;"",TEXT(ROW()-11,"GAP-000"),"")</f>
        <v/>
      </c>
      <c r="B92" s="18" t="n"/>
      <c r="C92" s="18" t="n"/>
      <c r="D92" s="18" t="n"/>
      <c r="E92" s="18" t="n"/>
      <c r="F92" s="18" t="n"/>
      <c r="G92" s="18" t="n"/>
      <c r="H92" s="16">
        <f>IF(G92="","",IF(LEN(G92)-LEN(SUBSTITUTE(G92,",",""))&gt;=1,"Yes","No"))</f>
        <v/>
      </c>
      <c r="I92" s="18" t="n"/>
      <c r="J92" s="18" t="n"/>
      <c r="K92" s="23" t="n"/>
      <c r="L92" s="18" t="n"/>
      <c r="M92" s="18" t="n"/>
      <c r="N92" s="18" t="n"/>
    </row>
    <row r="93">
      <c r="A93" s="16">
        <f>IF(D93&lt;&gt;"",TEXT(ROW()-11,"GAP-000"),"")</f>
        <v/>
      </c>
      <c r="B93" s="18" t="n"/>
      <c r="C93" s="18" t="n"/>
      <c r="D93" s="18" t="n"/>
      <c r="E93" s="18" t="n"/>
      <c r="F93" s="18" t="n"/>
      <c r="G93" s="18" t="n"/>
      <c r="H93" s="16">
        <f>IF(G93="","",IF(LEN(G93)-LEN(SUBSTITUTE(G93,",",""))&gt;=1,"Yes","No"))</f>
        <v/>
      </c>
      <c r="I93" s="18" t="n"/>
      <c r="J93" s="18" t="n"/>
      <c r="K93" s="23" t="n"/>
      <c r="L93" s="18" t="n"/>
      <c r="M93" s="18" t="n"/>
      <c r="N93" s="18" t="n"/>
    </row>
    <row r="94">
      <c r="A94" s="16">
        <f>IF(D94&lt;&gt;"",TEXT(ROW()-11,"GAP-000"),"")</f>
        <v/>
      </c>
      <c r="B94" s="18" t="n"/>
      <c r="C94" s="18" t="n"/>
      <c r="D94" s="18" t="n"/>
      <c r="E94" s="18" t="n"/>
      <c r="F94" s="18" t="n"/>
      <c r="G94" s="18" t="n"/>
      <c r="H94" s="16">
        <f>IF(G94="","",IF(LEN(G94)-LEN(SUBSTITUTE(G94,",",""))&gt;=1,"Yes","No"))</f>
        <v/>
      </c>
      <c r="I94" s="18" t="n"/>
      <c r="J94" s="18" t="n"/>
      <c r="K94" s="23" t="n"/>
      <c r="L94" s="18" t="n"/>
      <c r="M94" s="18" t="n"/>
      <c r="N94" s="18" t="n"/>
    </row>
    <row r="95">
      <c r="A95" s="16">
        <f>IF(D95&lt;&gt;"",TEXT(ROW()-11,"GAP-000"),"")</f>
        <v/>
      </c>
      <c r="B95" s="18" t="n"/>
      <c r="C95" s="18" t="n"/>
      <c r="D95" s="18" t="n"/>
      <c r="E95" s="18" t="n"/>
      <c r="F95" s="18" t="n"/>
      <c r="G95" s="18" t="n"/>
      <c r="H95" s="16">
        <f>IF(G95="","",IF(LEN(G95)-LEN(SUBSTITUTE(G95,",",""))&gt;=1,"Yes","No"))</f>
        <v/>
      </c>
      <c r="I95" s="18" t="n"/>
      <c r="J95" s="18" t="n"/>
      <c r="K95" s="23" t="n"/>
      <c r="L95" s="18" t="n"/>
      <c r="M95" s="18" t="n"/>
      <c r="N95" s="18" t="n"/>
    </row>
    <row r="96">
      <c r="A96" s="16">
        <f>IF(D96&lt;&gt;"",TEXT(ROW()-11,"GAP-000"),"")</f>
        <v/>
      </c>
      <c r="B96" s="18" t="n"/>
      <c r="C96" s="18" t="n"/>
      <c r="D96" s="18" t="n"/>
      <c r="E96" s="18" t="n"/>
      <c r="F96" s="18" t="n"/>
      <c r="G96" s="18" t="n"/>
      <c r="H96" s="16">
        <f>IF(G96="","",IF(LEN(G96)-LEN(SUBSTITUTE(G96,",",""))&gt;=1,"Yes","No"))</f>
        <v/>
      </c>
      <c r="I96" s="18" t="n"/>
      <c r="J96" s="18" t="n"/>
      <c r="K96" s="23" t="n"/>
      <c r="L96" s="18" t="n"/>
      <c r="M96" s="18" t="n"/>
      <c r="N96" s="18" t="n"/>
    </row>
    <row r="97">
      <c r="A97" s="16">
        <f>IF(D97&lt;&gt;"",TEXT(ROW()-11,"GAP-000"),"")</f>
        <v/>
      </c>
      <c r="B97" s="18" t="n"/>
      <c r="C97" s="18" t="n"/>
      <c r="D97" s="18" t="n"/>
      <c r="E97" s="18" t="n"/>
      <c r="F97" s="18" t="n"/>
      <c r="G97" s="18" t="n"/>
      <c r="H97" s="16">
        <f>IF(G97="","",IF(LEN(G97)-LEN(SUBSTITUTE(G97,",",""))&gt;=1,"Yes","No"))</f>
        <v/>
      </c>
      <c r="I97" s="18" t="n"/>
      <c r="J97" s="18" t="n"/>
      <c r="K97" s="23" t="n"/>
      <c r="L97" s="18" t="n"/>
      <c r="M97" s="18" t="n"/>
      <c r="N97" s="18" t="n"/>
    </row>
    <row r="98">
      <c r="A98" s="16">
        <f>IF(D98&lt;&gt;"",TEXT(ROW()-11,"GAP-000"),"")</f>
        <v/>
      </c>
      <c r="B98" s="18" t="n"/>
      <c r="C98" s="18" t="n"/>
      <c r="D98" s="18" t="n"/>
      <c r="E98" s="18" t="n"/>
      <c r="F98" s="18" t="n"/>
      <c r="G98" s="18" t="n"/>
      <c r="H98" s="16">
        <f>IF(G98="","",IF(LEN(G98)-LEN(SUBSTITUTE(G98,",",""))&gt;=1,"Yes","No"))</f>
        <v/>
      </c>
      <c r="I98" s="18" t="n"/>
      <c r="J98" s="18" t="n"/>
      <c r="K98" s="23" t="n"/>
      <c r="L98" s="18" t="n"/>
      <c r="M98" s="18" t="n"/>
      <c r="N98" s="18" t="n"/>
    </row>
    <row r="99">
      <c r="A99" s="16">
        <f>IF(D99&lt;&gt;"",TEXT(ROW()-11,"GAP-000"),"")</f>
        <v/>
      </c>
      <c r="B99" s="18" t="n"/>
      <c r="C99" s="18" t="n"/>
      <c r="D99" s="18" t="n"/>
      <c r="E99" s="18" t="n"/>
      <c r="F99" s="18" t="n"/>
      <c r="G99" s="18" t="n"/>
      <c r="H99" s="16">
        <f>IF(G99="","",IF(LEN(G99)-LEN(SUBSTITUTE(G99,",",""))&gt;=1,"Yes","No"))</f>
        <v/>
      </c>
      <c r="I99" s="18" t="n"/>
      <c r="J99" s="18" t="n"/>
      <c r="K99" s="23" t="n"/>
      <c r="L99" s="18" t="n"/>
      <c r="M99" s="18" t="n"/>
      <c r="N99" s="18" t="n"/>
    </row>
    <row r="100">
      <c r="A100" s="16">
        <f>IF(D100&lt;&gt;"",TEXT(ROW()-11,"GAP-000"),"")</f>
        <v/>
      </c>
      <c r="B100" s="18" t="n"/>
      <c r="C100" s="18" t="n"/>
      <c r="D100" s="18" t="n"/>
      <c r="E100" s="18" t="n"/>
      <c r="F100" s="18" t="n"/>
      <c r="G100" s="18" t="n"/>
      <c r="H100" s="16">
        <f>IF(G100="","",IF(LEN(G100)-LEN(SUBSTITUTE(G100,",",""))&gt;=1,"Yes","No"))</f>
        <v/>
      </c>
      <c r="I100" s="18" t="n"/>
      <c r="J100" s="18" t="n"/>
      <c r="K100" s="23" t="n"/>
      <c r="L100" s="18" t="n"/>
      <c r="M100" s="18" t="n"/>
      <c r="N100" s="18" t="n"/>
    </row>
    <row r="101">
      <c r="A101" s="16">
        <f>IF(D101&lt;&gt;"",TEXT(ROW()-11,"GAP-000"),"")</f>
        <v/>
      </c>
      <c r="B101" s="18" t="n"/>
      <c r="C101" s="18" t="n"/>
      <c r="D101" s="18" t="n"/>
      <c r="E101" s="18" t="n"/>
      <c r="F101" s="18" t="n"/>
      <c r="G101" s="18" t="n"/>
      <c r="H101" s="16">
        <f>IF(G101="","",IF(LEN(G101)-LEN(SUBSTITUTE(G101,",",""))&gt;=1,"Yes","No"))</f>
        <v/>
      </c>
      <c r="I101" s="18" t="n"/>
      <c r="J101" s="18" t="n"/>
      <c r="K101" s="23" t="n"/>
      <c r="L101" s="18" t="n"/>
      <c r="M101" s="18" t="n"/>
      <c r="N101" s="18" t="n"/>
    </row>
    <row r="102">
      <c r="A102" s="16">
        <f>IF(D102&lt;&gt;"",TEXT(ROW()-11,"GAP-000"),"")</f>
        <v/>
      </c>
      <c r="B102" s="18" t="n"/>
      <c r="C102" s="18" t="n"/>
      <c r="D102" s="18" t="n"/>
      <c r="E102" s="18" t="n"/>
      <c r="F102" s="18" t="n"/>
      <c r="G102" s="18" t="n"/>
      <c r="H102" s="16">
        <f>IF(G102="","",IF(LEN(G102)-LEN(SUBSTITUTE(G102,",",""))&gt;=1,"Yes","No"))</f>
        <v/>
      </c>
      <c r="I102" s="18" t="n"/>
      <c r="J102" s="18" t="n"/>
      <c r="K102" s="23" t="n"/>
      <c r="L102" s="18" t="n"/>
      <c r="M102" s="18" t="n"/>
      <c r="N102" s="18" t="n"/>
    </row>
    <row r="103">
      <c r="A103" s="16">
        <f>IF(D103&lt;&gt;"",TEXT(ROW()-11,"GAP-000"),"")</f>
        <v/>
      </c>
      <c r="B103" s="18" t="n"/>
      <c r="C103" s="18" t="n"/>
      <c r="D103" s="18" t="n"/>
      <c r="E103" s="18" t="n"/>
      <c r="F103" s="18" t="n"/>
      <c r="G103" s="18" t="n"/>
      <c r="H103" s="16">
        <f>IF(G103="","",IF(LEN(G103)-LEN(SUBSTITUTE(G103,",",""))&gt;=1,"Yes","No"))</f>
        <v/>
      </c>
      <c r="I103" s="18" t="n"/>
      <c r="J103" s="18" t="n"/>
      <c r="K103" s="23" t="n"/>
      <c r="L103" s="18" t="n"/>
      <c r="M103" s="18" t="n"/>
      <c r="N103" s="18" t="n"/>
    </row>
    <row r="104">
      <c r="A104" s="16">
        <f>IF(D104&lt;&gt;"",TEXT(ROW()-11,"GAP-000"),"")</f>
        <v/>
      </c>
      <c r="B104" s="18" t="n"/>
      <c r="C104" s="18" t="n"/>
      <c r="D104" s="18" t="n"/>
      <c r="E104" s="18" t="n"/>
      <c r="F104" s="18" t="n"/>
      <c r="G104" s="18" t="n"/>
      <c r="H104" s="16">
        <f>IF(G104="","",IF(LEN(G104)-LEN(SUBSTITUTE(G104,",",""))&gt;=1,"Yes","No"))</f>
        <v/>
      </c>
      <c r="I104" s="18" t="n"/>
      <c r="J104" s="18" t="n"/>
      <c r="K104" s="23" t="n"/>
      <c r="L104" s="18" t="n"/>
      <c r="M104" s="18" t="n"/>
      <c r="N104" s="18" t="n"/>
    </row>
    <row r="105">
      <c r="A105" s="16">
        <f>IF(D105&lt;&gt;"",TEXT(ROW()-11,"GAP-000"),"")</f>
        <v/>
      </c>
      <c r="B105" s="18" t="n"/>
      <c r="C105" s="18" t="n"/>
      <c r="D105" s="18" t="n"/>
      <c r="E105" s="18" t="n"/>
      <c r="F105" s="18" t="n"/>
      <c r="G105" s="18" t="n"/>
      <c r="H105" s="16">
        <f>IF(G105="","",IF(LEN(G105)-LEN(SUBSTITUTE(G105,",",""))&gt;=1,"Yes","No"))</f>
        <v/>
      </c>
      <c r="I105" s="18" t="n"/>
      <c r="J105" s="18" t="n"/>
      <c r="K105" s="23" t="n"/>
      <c r="L105" s="18" t="n"/>
      <c r="M105" s="18" t="n"/>
      <c r="N105" s="18" t="n"/>
    </row>
    <row r="106">
      <c r="A106" s="16">
        <f>IF(D106&lt;&gt;"",TEXT(ROW()-11,"GAP-000"),"")</f>
        <v/>
      </c>
      <c r="B106" s="18" t="n"/>
      <c r="C106" s="18" t="n"/>
      <c r="D106" s="18" t="n"/>
      <c r="E106" s="18" t="n"/>
      <c r="F106" s="18" t="n"/>
      <c r="G106" s="18" t="n"/>
      <c r="H106" s="16">
        <f>IF(G106="","",IF(LEN(G106)-LEN(SUBSTITUTE(G106,",",""))&gt;=1,"Yes","No"))</f>
        <v/>
      </c>
      <c r="I106" s="18" t="n"/>
      <c r="J106" s="18" t="n"/>
      <c r="K106" s="23" t="n"/>
      <c r="L106" s="18" t="n"/>
      <c r="M106" s="18" t="n"/>
      <c r="N106" s="18" t="n"/>
    </row>
    <row r="107">
      <c r="A107" s="16">
        <f>IF(D107&lt;&gt;"",TEXT(ROW()-11,"GAP-000"),"")</f>
        <v/>
      </c>
      <c r="B107" s="18" t="n"/>
      <c r="C107" s="18" t="n"/>
      <c r="D107" s="18" t="n"/>
      <c r="E107" s="18" t="n"/>
      <c r="F107" s="18" t="n"/>
      <c r="G107" s="18" t="n"/>
      <c r="H107" s="16">
        <f>IF(G107="","",IF(LEN(G107)-LEN(SUBSTITUTE(G107,",",""))&gt;=1,"Yes","No"))</f>
        <v/>
      </c>
      <c r="I107" s="18" t="n"/>
      <c r="J107" s="18" t="n"/>
      <c r="K107" s="23" t="n"/>
      <c r="L107" s="18" t="n"/>
      <c r="M107" s="18" t="n"/>
      <c r="N107" s="18" t="n"/>
    </row>
    <row r="108">
      <c r="A108" s="16">
        <f>IF(D108&lt;&gt;"",TEXT(ROW()-11,"GAP-000"),"")</f>
        <v/>
      </c>
      <c r="B108" s="18" t="n"/>
      <c r="C108" s="18" t="n"/>
      <c r="D108" s="18" t="n"/>
      <c r="E108" s="18" t="n"/>
      <c r="F108" s="18" t="n"/>
      <c r="G108" s="18" t="n"/>
      <c r="H108" s="16">
        <f>IF(G108="","",IF(LEN(G108)-LEN(SUBSTITUTE(G108,",",""))&gt;=1,"Yes","No"))</f>
        <v/>
      </c>
      <c r="I108" s="18" t="n"/>
      <c r="J108" s="18" t="n"/>
      <c r="K108" s="23" t="n"/>
      <c r="L108" s="18" t="n"/>
      <c r="M108" s="18" t="n"/>
      <c r="N108" s="18" t="n"/>
    </row>
    <row r="109">
      <c r="A109" s="16">
        <f>IF(D109&lt;&gt;"",TEXT(ROW()-11,"GAP-000"),"")</f>
        <v/>
      </c>
      <c r="B109" s="18" t="n"/>
      <c r="C109" s="18" t="n"/>
      <c r="D109" s="18" t="n"/>
      <c r="E109" s="18" t="n"/>
      <c r="F109" s="18" t="n"/>
      <c r="G109" s="18" t="n"/>
      <c r="H109" s="16">
        <f>IF(G109="","",IF(LEN(G109)-LEN(SUBSTITUTE(G109,",",""))&gt;=1,"Yes","No"))</f>
        <v/>
      </c>
      <c r="I109" s="18" t="n"/>
      <c r="J109" s="18" t="n"/>
      <c r="K109" s="23" t="n"/>
      <c r="L109" s="18" t="n"/>
      <c r="M109" s="18" t="n"/>
      <c r="N109" s="18" t="n"/>
    </row>
    <row r="110">
      <c r="A110" s="16">
        <f>IF(D110&lt;&gt;"",TEXT(ROW()-11,"GAP-000"),"")</f>
        <v/>
      </c>
      <c r="B110" s="18" t="n"/>
      <c r="C110" s="18" t="n"/>
      <c r="D110" s="18" t="n"/>
      <c r="E110" s="18" t="n"/>
      <c r="F110" s="18" t="n"/>
      <c r="G110" s="18" t="n"/>
      <c r="H110" s="16">
        <f>IF(G110="","",IF(LEN(G110)-LEN(SUBSTITUTE(G110,",",""))&gt;=1,"Yes","No"))</f>
        <v/>
      </c>
      <c r="I110" s="18" t="n"/>
      <c r="J110" s="18" t="n"/>
      <c r="K110" s="23" t="n"/>
      <c r="L110" s="18" t="n"/>
      <c r="M110" s="18" t="n"/>
      <c r="N110" s="18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3">
    <mergeCell ref="A4:N4"/>
    <mergeCell ref="A2:N2"/>
    <mergeCell ref="A1:N1"/>
  </mergeCells>
  <dataValidations count="5">
    <dataValidation sqref="B12:B110" showDropDown="0" showInputMessage="0" showErrorMessage="1" allowBlank="1" errorTitle="Invalid Entry" error="Please select from dropdown" type="list">
      <formula1>"S1-Policy,S2-Roles,S3-Screening,S4-Contracts,Cross-Domain"</formula1>
    </dataValidation>
    <dataValidation sqref="C12:C110" showDropDown="0" showInputMessage="0" showErrorMessage="1" allowBlank="1" errorTitle="Invalid Entry" error="Please select from dropdown" type="list">
      <formula1>"A.5.1,A.5.2,A.6.1,A.6.2,Multiple"</formula1>
    </dataValidation>
    <dataValidation sqref="F12:F110" showDropDown="0" showInputMessage="0" showErrorMessage="1" allowBlank="1" errorTitle="Invalid Entry" error="Please select from dropdown" type="list">
      <formula1>"Critical,High,Medium,Low"</formula1>
    </dataValidation>
    <dataValidation sqref="L12:L110" showDropDown="0" showInputMessage="0" showErrorMessage="1" allowBlank="1" errorTitle="Invalid Entry" error="Please select from dropdown" type="list">
      <formula1>"Open,In-Progress,Blocked,Closed,Accepted-Risk"</formula1>
    </dataValidation>
    <dataValidation sqref="M12:M110" showDropDown="0" showInputMessage="0" showErrorMessage="1" allowBlank="1" errorTitle="Invalid Entry" error="Please select from dropdown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40" customWidth="1" min="4" max="4"/>
    <col width="12" customWidth="1" min="5" max="5"/>
    <col width="12" customWidth="1" min="6" max="6"/>
    <col width="40" customWidth="1" min="7" max="7"/>
    <col width="12" customWidth="1" min="8" max="8"/>
    <col width="20" customWidth="1" min="9" max="9"/>
    <col width="15" customWidth="1" min="10" max="10"/>
    <col width="30" customWidth="1" min="11" max="11"/>
  </cols>
  <sheetData>
    <row r="1" ht="40" customHeight="1">
      <c r="A1" s="1" t="inlineStr">
        <is>
          <t>CONSOLIDATED EVIDENCE REGISTER</t>
        </is>
      </c>
    </row>
    <row r="2">
      <c r="A2" s="2" t="inlineStr">
        <is>
          <t>Evidence Index for Governance Compliance Dashboard</t>
        </is>
      </c>
    </row>
    <row r="4">
      <c r="A4" s="5" t="inlineStr">
        <is>
          <t>Evidence_ID</t>
        </is>
      </c>
      <c r="B4" s="5" t="inlineStr">
        <is>
          <t>Source_Workbook</t>
        </is>
      </c>
      <c r="C4" s="5" t="inlineStr">
        <is>
          <t>Evidence_Type</t>
        </is>
      </c>
      <c r="D4" s="5" t="inlineStr">
        <is>
          <t>Description</t>
        </is>
      </c>
      <c r="E4" s="5" t="inlineStr">
        <is>
          <t>Related_Control</t>
        </is>
      </c>
      <c r="F4" s="5" t="inlineStr">
        <is>
          <t>Related_Gap_ID</t>
        </is>
      </c>
      <c r="G4" s="5" t="inlineStr">
        <is>
          <t>File_Location</t>
        </is>
      </c>
      <c r="H4" s="5" t="inlineStr">
        <is>
          <t>Date_Collected</t>
        </is>
      </c>
      <c r="I4" s="5" t="inlineStr">
        <is>
          <t>Collected_By</t>
        </is>
      </c>
      <c r="J4" s="5" t="inlineStr">
        <is>
          <t>Verification_Status</t>
        </is>
      </c>
      <c r="K4" s="5" t="inlineStr">
        <is>
          <t>Notes</t>
        </is>
      </c>
    </row>
    <row r="5">
      <c r="A5" s="16">
        <f>IF(D5&lt;&gt;"",TEXT(ROW()-4,"EVD-000"),"")</f>
        <v/>
      </c>
      <c r="B5" s="18" t="n"/>
      <c r="C5" s="18" t="n"/>
      <c r="D5" s="18" t="n"/>
      <c r="E5" s="18" t="n"/>
      <c r="F5" s="18" t="n"/>
      <c r="G5" s="18" t="n"/>
      <c r="H5" s="23" t="n"/>
      <c r="I5" s="18" t="n"/>
      <c r="J5" s="18" t="n"/>
      <c r="K5" s="18" t="n"/>
    </row>
    <row r="6">
      <c r="A6" s="16">
        <f>IF(D6&lt;&gt;"",TEXT(ROW()-4,"EVD-000"),"")</f>
        <v/>
      </c>
      <c r="B6" s="18" t="n"/>
      <c r="C6" s="18" t="n"/>
      <c r="D6" s="18" t="n"/>
      <c r="E6" s="18" t="n"/>
      <c r="F6" s="18" t="n"/>
      <c r="G6" s="18" t="n"/>
      <c r="H6" s="23" t="n"/>
      <c r="I6" s="18" t="n"/>
      <c r="J6" s="18" t="n"/>
      <c r="K6" s="18" t="n"/>
    </row>
    <row r="7">
      <c r="A7" s="16">
        <f>IF(D7&lt;&gt;"",TEXT(ROW()-4,"EVD-000"),"")</f>
        <v/>
      </c>
      <c r="B7" s="18" t="n"/>
      <c r="C7" s="18" t="n"/>
      <c r="D7" s="18" t="n"/>
      <c r="E7" s="18" t="n"/>
      <c r="F7" s="18" t="n"/>
      <c r="G7" s="18" t="n"/>
      <c r="H7" s="23" t="n"/>
      <c r="I7" s="18" t="n"/>
      <c r="J7" s="18" t="n"/>
      <c r="K7" s="18" t="n"/>
    </row>
    <row r="8">
      <c r="A8" s="16">
        <f>IF(D8&lt;&gt;"",TEXT(ROW()-4,"EVD-000"),"")</f>
        <v/>
      </c>
      <c r="B8" s="18" t="n"/>
      <c r="C8" s="18" t="n"/>
      <c r="D8" s="18" t="n"/>
      <c r="E8" s="18" t="n"/>
      <c r="F8" s="18" t="n"/>
      <c r="G8" s="18" t="n"/>
      <c r="H8" s="23" t="n"/>
      <c r="I8" s="18" t="n"/>
      <c r="J8" s="18" t="n"/>
      <c r="K8" s="18" t="n"/>
    </row>
    <row r="9">
      <c r="A9" s="16">
        <f>IF(D9&lt;&gt;"",TEXT(ROW()-4,"EVD-000"),"")</f>
        <v/>
      </c>
      <c r="B9" s="18" t="n"/>
      <c r="C9" s="18" t="n"/>
      <c r="D9" s="18" t="n"/>
      <c r="E9" s="18" t="n"/>
      <c r="F9" s="18" t="n"/>
      <c r="G9" s="18" t="n"/>
      <c r="H9" s="23" t="n"/>
      <c r="I9" s="18" t="n"/>
      <c r="J9" s="18" t="n"/>
      <c r="K9" s="18" t="n"/>
    </row>
    <row r="10">
      <c r="A10" s="16">
        <f>IF(D10&lt;&gt;"",TEXT(ROW()-4,"EVD-000"),"")</f>
        <v/>
      </c>
      <c r="B10" s="18" t="n"/>
      <c r="C10" s="18" t="n"/>
      <c r="D10" s="18" t="n"/>
      <c r="E10" s="18" t="n"/>
      <c r="F10" s="18" t="n"/>
      <c r="G10" s="18" t="n"/>
      <c r="H10" s="23" t="n"/>
      <c r="I10" s="18" t="n"/>
      <c r="J10" s="18" t="n"/>
      <c r="K10" s="18" t="n"/>
    </row>
    <row r="11">
      <c r="A11" s="16">
        <f>IF(D11&lt;&gt;"",TEXT(ROW()-4,"EVD-000"),"")</f>
        <v/>
      </c>
      <c r="B11" s="18" t="n"/>
      <c r="C11" s="18" t="n"/>
      <c r="D11" s="18" t="n"/>
      <c r="E11" s="18" t="n"/>
      <c r="F11" s="18" t="n"/>
      <c r="G11" s="18" t="n"/>
      <c r="H11" s="23" t="n"/>
      <c r="I11" s="18" t="n"/>
      <c r="J11" s="18" t="n"/>
      <c r="K11" s="18" t="n"/>
    </row>
    <row r="12">
      <c r="A12" s="16">
        <f>IF(D12&lt;&gt;"",TEXT(ROW()-4,"EVD-000"),"")</f>
        <v/>
      </c>
      <c r="B12" s="18" t="n"/>
      <c r="C12" s="18" t="n"/>
      <c r="D12" s="18" t="n"/>
      <c r="E12" s="18" t="n"/>
      <c r="F12" s="18" t="n"/>
      <c r="G12" s="18" t="n"/>
      <c r="H12" s="23" t="n"/>
      <c r="I12" s="18" t="n"/>
      <c r="J12" s="18" t="n"/>
      <c r="K12" s="18" t="n"/>
    </row>
    <row r="13">
      <c r="A13" s="16">
        <f>IF(D13&lt;&gt;"",TEXT(ROW()-4,"EVD-000"),"")</f>
        <v/>
      </c>
      <c r="B13" s="18" t="n"/>
      <c r="C13" s="18" t="n"/>
      <c r="D13" s="18" t="n"/>
      <c r="E13" s="18" t="n"/>
      <c r="F13" s="18" t="n"/>
      <c r="G13" s="18" t="n"/>
      <c r="H13" s="23" t="n"/>
      <c r="I13" s="18" t="n"/>
      <c r="J13" s="18" t="n"/>
      <c r="K13" s="18" t="n"/>
    </row>
    <row r="14">
      <c r="A14" s="16">
        <f>IF(D14&lt;&gt;"",TEXT(ROW()-4,"EVD-000"),"")</f>
        <v/>
      </c>
      <c r="B14" s="18" t="n"/>
      <c r="C14" s="18" t="n"/>
      <c r="D14" s="18" t="n"/>
      <c r="E14" s="18" t="n"/>
      <c r="F14" s="18" t="n"/>
      <c r="G14" s="18" t="n"/>
      <c r="H14" s="23" t="n"/>
      <c r="I14" s="18" t="n"/>
      <c r="J14" s="18" t="n"/>
      <c r="K14" s="18" t="n"/>
    </row>
    <row r="15">
      <c r="A15" s="16">
        <f>IF(D15&lt;&gt;"",TEXT(ROW()-4,"EVD-000"),"")</f>
        <v/>
      </c>
      <c r="B15" s="18" t="n"/>
      <c r="C15" s="18" t="n"/>
      <c r="D15" s="18" t="n"/>
      <c r="E15" s="18" t="n"/>
      <c r="F15" s="18" t="n"/>
      <c r="G15" s="18" t="n"/>
      <c r="H15" s="23" t="n"/>
      <c r="I15" s="18" t="n"/>
      <c r="J15" s="18" t="n"/>
      <c r="K15" s="18" t="n"/>
    </row>
    <row r="16">
      <c r="A16" s="16">
        <f>IF(D16&lt;&gt;"",TEXT(ROW()-4,"EVD-000"),"")</f>
        <v/>
      </c>
      <c r="B16" s="18" t="n"/>
      <c r="C16" s="18" t="n"/>
      <c r="D16" s="18" t="n"/>
      <c r="E16" s="18" t="n"/>
      <c r="F16" s="18" t="n"/>
      <c r="G16" s="18" t="n"/>
      <c r="H16" s="23" t="n"/>
      <c r="I16" s="18" t="n"/>
      <c r="J16" s="18" t="n"/>
      <c r="K16" s="18" t="n"/>
    </row>
    <row r="17">
      <c r="A17" s="16">
        <f>IF(D17&lt;&gt;"",TEXT(ROW()-4,"EVD-000"),"")</f>
        <v/>
      </c>
      <c r="B17" s="18" t="n"/>
      <c r="C17" s="18" t="n"/>
      <c r="D17" s="18" t="n"/>
      <c r="E17" s="18" t="n"/>
      <c r="F17" s="18" t="n"/>
      <c r="G17" s="18" t="n"/>
      <c r="H17" s="23" t="n"/>
      <c r="I17" s="18" t="n"/>
      <c r="J17" s="18" t="n"/>
      <c r="K17" s="18" t="n"/>
    </row>
    <row r="18">
      <c r="A18" s="16">
        <f>IF(D18&lt;&gt;"",TEXT(ROW()-4,"EVD-000"),"")</f>
        <v/>
      </c>
      <c r="B18" s="18" t="n"/>
      <c r="C18" s="18" t="n"/>
      <c r="D18" s="18" t="n"/>
      <c r="E18" s="18" t="n"/>
      <c r="F18" s="18" t="n"/>
      <c r="G18" s="18" t="n"/>
      <c r="H18" s="23" t="n"/>
      <c r="I18" s="18" t="n"/>
      <c r="J18" s="18" t="n"/>
      <c r="K18" s="18" t="n"/>
    </row>
    <row r="19">
      <c r="A19" s="16">
        <f>IF(D19&lt;&gt;"",TEXT(ROW()-4,"EVD-000"),"")</f>
        <v/>
      </c>
      <c r="B19" s="18" t="n"/>
      <c r="C19" s="18" t="n"/>
      <c r="D19" s="18" t="n"/>
      <c r="E19" s="18" t="n"/>
      <c r="F19" s="18" t="n"/>
      <c r="G19" s="18" t="n"/>
      <c r="H19" s="23" t="n"/>
      <c r="I19" s="18" t="n"/>
      <c r="J19" s="18" t="n"/>
      <c r="K19" s="18" t="n"/>
    </row>
    <row r="20">
      <c r="A20" s="16">
        <f>IF(D20&lt;&gt;"",TEXT(ROW()-4,"EVD-000"),"")</f>
        <v/>
      </c>
      <c r="B20" s="18" t="n"/>
      <c r="C20" s="18" t="n"/>
      <c r="D20" s="18" t="n"/>
      <c r="E20" s="18" t="n"/>
      <c r="F20" s="18" t="n"/>
      <c r="G20" s="18" t="n"/>
      <c r="H20" s="23" t="n"/>
      <c r="I20" s="18" t="n"/>
      <c r="J20" s="18" t="n"/>
      <c r="K20" s="18" t="n"/>
    </row>
    <row r="21">
      <c r="A21" s="16">
        <f>IF(D21&lt;&gt;"",TEXT(ROW()-4,"EVD-000"),"")</f>
        <v/>
      </c>
      <c r="B21" s="18" t="n"/>
      <c r="C21" s="18" t="n"/>
      <c r="D21" s="18" t="n"/>
      <c r="E21" s="18" t="n"/>
      <c r="F21" s="18" t="n"/>
      <c r="G21" s="18" t="n"/>
      <c r="H21" s="23" t="n"/>
      <c r="I21" s="18" t="n"/>
      <c r="J21" s="18" t="n"/>
      <c r="K21" s="18" t="n"/>
    </row>
    <row r="22">
      <c r="A22" s="16">
        <f>IF(D22&lt;&gt;"",TEXT(ROW()-4,"EVD-000"),"")</f>
        <v/>
      </c>
      <c r="B22" s="18" t="n"/>
      <c r="C22" s="18" t="n"/>
      <c r="D22" s="18" t="n"/>
      <c r="E22" s="18" t="n"/>
      <c r="F22" s="18" t="n"/>
      <c r="G22" s="18" t="n"/>
      <c r="H22" s="23" t="n"/>
      <c r="I22" s="18" t="n"/>
      <c r="J22" s="18" t="n"/>
      <c r="K22" s="18" t="n"/>
    </row>
    <row r="23">
      <c r="A23" s="16">
        <f>IF(D23&lt;&gt;"",TEXT(ROW()-4,"EVD-000"),"")</f>
        <v/>
      </c>
      <c r="B23" s="18" t="n"/>
      <c r="C23" s="18" t="n"/>
      <c r="D23" s="18" t="n"/>
      <c r="E23" s="18" t="n"/>
      <c r="F23" s="18" t="n"/>
      <c r="G23" s="18" t="n"/>
      <c r="H23" s="23" t="n"/>
      <c r="I23" s="18" t="n"/>
      <c r="J23" s="18" t="n"/>
      <c r="K23" s="18" t="n"/>
    </row>
    <row r="24">
      <c r="A24" s="16">
        <f>IF(D24&lt;&gt;"",TEXT(ROW()-4,"EVD-000"),"")</f>
        <v/>
      </c>
      <c r="B24" s="18" t="n"/>
      <c r="C24" s="18" t="n"/>
      <c r="D24" s="18" t="n"/>
      <c r="E24" s="18" t="n"/>
      <c r="F24" s="18" t="n"/>
      <c r="G24" s="18" t="n"/>
      <c r="H24" s="23" t="n"/>
      <c r="I24" s="18" t="n"/>
      <c r="J24" s="18" t="n"/>
      <c r="K24" s="18" t="n"/>
    </row>
    <row r="25">
      <c r="A25" s="16">
        <f>IF(D25&lt;&gt;"",TEXT(ROW()-4,"EVD-000"),"")</f>
        <v/>
      </c>
      <c r="B25" s="18" t="n"/>
      <c r="C25" s="18" t="n"/>
      <c r="D25" s="18" t="n"/>
      <c r="E25" s="18" t="n"/>
      <c r="F25" s="18" t="n"/>
      <c r="G25" s="18" t="n"/>
      <c r="H25" s="23" t="n"/>
      <c r="I25" s="18" t="n"/>
      <c r="J25" s="18" t="n"/>
      <c r="K25" s="18" t="n"/>
    </row>
    <row r="26">
      <c r="A26" s="16">
        <f>IF(D26&lt;&gt;"",TEXT(ROW()-4,"EVD-000"),"")</f>
        <v/>
      </c>
      <c r="B26" s="18" t="n"/>
      <c r="C26" s="18" t="n"/>
      <c r="D26" s="18" t="n"/>
      <c r="E26" s="18" t="n"/>
      <c r="F26" s="18" t="n"/>
      <c r="G26" s="18" t="n"/>
      <c r="H26" s="23" t="n"/>
      <c r="I26" s="18" t="n"/>
      <c r="J26" s="18" t="n"/>
      <c r="K26" s="18" t="n"/>
    </row>
    <row r="27">
      <c r="A27" s="16">
        <f>IF(D27&lt;&gt;"",TEXT(ROW()-4,"EVD-000"),"")</f>
        <v/>
      </c>
      <c r="B27" s="18" t="n"/>
      <c r="C27" s="18" t="n"/>
      <c r="D27" s="18" t="n"/>
      <c r="E27" s="18" t="n"/>
      <c r="F27" s="18" t="n"/>
      <c r="G27" s="18" t="n"/>
      <c r="H27" s="23" t="n"/>
      <c r="I27" s="18" t="n"/>
      <c r="J27" s="18" t="n"/>
      <c r="K27" s="18" t="n"/>
    </row>
    <row r="28">
      <c r="A28" s="16">
        <f>IF(D28&lt;&gt;"",TEXT(ROW()-4,"EVD-000"),"")</f>
        <v/>
      </c>
      <c r="B28" s="18" t="n"/>
      <c r="C28" s="18" t="n"/>
      <c r="D28" s="18" t="n"/>
      <c r="E28" s="18" t="n"/>
      <c r="F28" s="18" t="n"/>
      <c r="G28" s="18" t="n"/>
      <c r="H28" s="23" t="n"/>
      <c r="I28" s="18" t="n"/>
      <c r="J28" s="18" t="n"/>
      <c r="K28" s="18" t="n"/>
    </row>
    <row r="29">
      <c r="A29" s="16">
        <f>IF(D29&lt;&gt;"",TEXT(ROW()-4,"EVD-000"),"")</f>
        <v/>
      </c>
      <c r="B29" s="18" t="n"/>
      <c r="C29" s="18" t="n"/>
      <c r="D29" s="18" t="n"/>
      <c r="E29" s="18" t="n"/>
      <c r="F29" s="18" t="n"/>
      <c r="G29" s="18" t="n"/>
      <c r="H29" s="23" t="n"/>
      <c r="I29" s="18" t="n"/>
      <c r="J29" s="18" t="n"/>
      <c r="K29" s="18" t="n"/>
    </row>
    <row r="30">
      <c r="A30" s="16">
        <f>IF(D30&lt;&gt;"",TEXT(ROW()-4,"EVD-000"),"")</f>
        <v/>
      </c>
      <c r="B30" s="18" t="n"/>
      <c r="C30" s="18" t="n"/>
      <c r="D30" s="18" t="n"/>
      <c r="E30" s="18" t="n"/>
      <c r="F30" s="18" t="n"/>
      <c r="G30" s="18" t="n"/>
      <c r="H30" s="23" t="n"/>
      <c r="I30" s="18" t="n"/>
      <c r="J30" s="18" t="n"/>
      <c r="K30" s="18" t="n"/>
    </row>
    <row r="31">
      <c r="A31" s="16">
        <f>IF(D31&lt;&gt;"",TEXT(ROW()-4,"EVD-000"),"")</f>
        <v/>
      </c>
      <c r="B31" s="18" t="n"/>
      <c r="C31" s="18" t="n"/>
      <c r="D31" s="18" t="n"/>
      <c r="E31" s="18" t="n"/>
      <c r="F31" s="18" t="n"/>
      <c r="G31" s="18" t="n"/>
      <c r="H31" s="23" t="n"/>
      <c r="I31" s="18" t="n"/>
      <c r="J31" s="18" t="n"/>
      <c r="K31" s="18" t="n"/>
    </row>
    <row r="32">
      <c r="A32" s="16">
        <f>IF(D32&lt;&gt;"",TEXT(ROW()-4,"EVD-000"),"")</f>
        <v/>
      </c>
      <c r="B32" s="18" t="n"/>
      <c r="C32" s="18" t="n"/>
      <c r="D32" s="18" t="n"/>
      <c r="E32" s="18" t="n"/>
      <c r="F32" s="18" t="n"/>
      <c r="G32" s="18" t="n"/>
      <c r="H32" s="23" t="n"/>
      <c r="I32" s="18" t="n"/>
      <c r="J32" s="18" t="n"/>
      <c r="K32" s="18" t="n"/>
    </row>
    <row r="33">
      <c r="A33" s="16">
        <f>IF(D33&lt;&gt;"",TEXT(ROW()-4,"EVD-000"),"")</f>
        <v/>
      </c>
      <c r="B33" s="18" t="n"/>
      <c r="C33" s="18" t="n"/>
      <c r="D33" s="18" t="n"/>
      <c r="E33" s="18" t="n"/>
      <c r="F33" s="18" t="n"/>
      <c r="G33" s="18" t="n"/>
      <c r="H33" s="23" t="n"/>
      <c r="I33" s="18" t="n"/>
      <c r="J33" s="18" t="n"/>
      <c r="K33" s="18" t="n"/>
    </row>
    <row r="34">
      <c r="A34" s="16">
        <f>IF(D34&lt;&gt;"",TEXT(ROW()-4,"EVD-000"),"")</f>
        <v/>
      </c>
      <c r="B34" s="18" t="n"/>
      <c r="C34" s="18" t="n"/>
      <c r="D34" s="18" t="n"/>
      <c r="E34" s="18" t="n"/>
      <c r="F34" s="18" t="n"/>
      <c r="G34" s="18" t="n"/>
      <c r="H34" s="23" t="n"/>
      <c r="I34" s="18" t="n"/>
      <c r="J34" s="18" t="n"/>
      <c r="K34" s="18" t="n"/>
    </row>
    <row r="35">
      <c r="A35" s="16">
        <f>IF(D35&lt;&gt;"",TEXT(ROW()-4,"EVD-000"),"")</f>
        <v/>
      </c>
      <c r="B35" s="18" t="n"/>
      <c r="C35" s="18" t="n"/>
      <c r="D35" s="18" t="n"/>
      <c r="E35" s="18" t="n"/>
      <c r="F35" s="18" t="n"/>
      <c r="G35" s="18" t="n"/>
      <c r="H35" s="23" t="n"/>
      <c r="I35" s="18" t="n"/>
      <c r="J35" s="18" t="n"/>
      <c r="K35" s="18" t="n"/>
    </row>
    <row r="36">
      <c r="A36" s="16">
        <f>IF(D36&lt;&gt;"",TEXT(ROW()-4,"EVD-000"),"")</f>
        <v/>
      </c>
      <c r="B36" s="18" t="n"/>
      <c r="C36" s="18" t="n"/>
      <c r="D36" s="18" t="n"/>
      <c r="E36" s="18" t="n"/>
      <c r="F36" s="18" t="n"/>
      <c r="G36" s="18" t="n"/>
      <c r="H36" s="23" t="n"/>
      <c r="I36" s="18" t="n"/>
      <c r="J36" s="18" t="n"/>
      <c r="K36" s="18" t="n"/>
    </row>
    <row r="37">
      <c r="A37" s="16">
        <f>IF(D37&lt;&gt;"",TEXT(ROW()-4,"EVD-000"),"")</f>
        <v/>
      </c>
      <c r="B37" s="18" t="n"/>
      <c r="C37" s="18" t="n"/>
      <c r="D37" s="18" t="n"/>
      <c r="E37" s="18" t="n"/>
      <c r="F37" s="18" t="n"/>
      <c r="G37" s="18" t="n"/>
      <c r="H37" s="23" t="n"/>
      <c r="I37" s="18" t="n"/>
      <c r="J37" s="18" t="n"/>
      <c r="K37" s="18" t="n"/>
    </row>
    <row r="38">
      <c r="A38" s="16">
        <f>IF(D38&lt;&gt;"",TEXT(ROW()-4,"EVD-000"),"")</f>
        <v/>
      </c>
      <c r="B38" s="18" t="n"/>
      <c r="C38" s="18" t="n"/>
      <c r="D38" s="18" t="n"/>
      <c r="E38" s="18" t="n"/>
      <c r="F38" s="18" t="n"/>
      <c r="G38" s="18" t="n"/>
      <c r="H38" s="23" t="n"/>
      <c r="I38" s="18" t="n"/>
      <c r="J38" s="18" t="n"/>
      <c r="K38" s="18" t="n"/>
    </row>
    <row r="39">
      <c r="A39" s="16">
        <f>IF(D39&lt;&gt;"",TEXT(ROW()-4,"EVD-000"),"")</f>
        <v/>
      </c>
      <c r="B39" s="18" t="n"/>
      <c r="C39" s="18" t="n"/>
      <c r="D39" s="18" t="n"/>
      <c r="E39" s="18" t="n"/>
      <c r="F39" s="18" t="n"/>
      <c r="G39" s="18" t="n"/>
      <c r="H39" s="23" t="n"/>
      <c r="I39" s="18" t="n"/>
      <c r="J39" s="18" t="n"/>
      <c r="K39" s="18" t="n"/>
    </row>
    <row r="40">
      <c r="A40" s="16">
        <f>IF(D40&lt;&gt;"",TEXT(ROW()-4,"EVD-000"),"")</f>
        <v/>
      </c>
      <c r="B40" s="18" t="n"/>
      <c r="C40" s="18" t="n"/>
      <c r="D40" s="18" t="n"/>
      <c r="E40" s="18" t="n"/>
      <c r="F40" s="18" t="n"/>
      <c r="G40" s="18" t="n"/>
      <c r="H40" s="23" t="n"/>
      <c r="I40" s="18" t="n"/>
      <c r="J40" s="18" t="n"/>
      <c r="K40" s="18" t="n"/>
    </row>
    <row r="41">
      <c r="A41" s="16">
        <f>IF(D41&lt;&gt;"",TEXT(ROW()-4,"EVD-000"),"")</f>
        <v/>
      </c>
      <c r="B41" s="18" t="n"/>
      <c r="C41" s="18" t="n"/>
      <c r="D41" s="18" t="n"/>
      <c r="E41" s="18" t="n"/>
      <c r="F41" s="18" t="n"/>
      <c r="G41" s="18" t="n"/>
      <c r="H41" s="23" t="n"/>
      <c r="I41" s="18" t="n"/>
      <c r="J41" s="18" t="n"/>
      <c r="K41" s="18" t="n"/>
    </row>
    <row r="42">
      <c r="A42" s="16">
        <f>IF(D42&lt;&gt;"",TEXT(ROW()-4,"EVD-000"),"")</f>
        <v/>
      </c>
      <c r="B42" s="18" t="n"/>
      <c r="C42" s="18" t="n"/>
      <c r="D42" s="18" t="n"/>
      <c r="E42" s="18" t="n"/>
      <c r="F42" s="18" t="n"/>
      <c r="G42" s="18" t="n"/>
      <c r="H42" s="23" t="n"/>
      <c r="I42" s="18" t="n"/>
      <c r="J42" s="18" t="n"/>
      <c r="K42" s="18" t="n"/>
    </row>
    <row r="43">
      <c r="A43" s="16">
        <f>IF(D43&lt;&gt;"",TEXT(ROW()-4,"EVD-000"),"")</f>
        <v/>
      </c>
      <c r="B43" s="18" t="n"/>
      <c r="C43" s="18" t="n"/>
      <c r="D43" s="18" t="n"/>
      <c r="E43" s="18" t="n"/>
      <c r="F43" s="18" t="n"/>
      <c r="G43" s="18" t="n"/>
      <c r="H43" s="23" t="n"/>
      <c r="I43" s="18" t="n"/>
      <c r="J43" s="18" t="n"/>
      <c r="K43" s="18" t="n"/>
    </row>
    <row r="44">
      <c r="A44" s="16">
        <f>IF(D44&lt;&gt;"",TEXT(ROW()-4,"EVD-000"),"")</f>
        <v/>
      </c>
      <c r="B44" s="18" t="n"/>
      <c r="C44" s="18" t="n"/>
      <c r="D44" s="18" t="n"/>
      <c r="E44" s="18" t="n"/>
      <c r="F44" s="18" t="n"/>
      <c r="G44" s="18" t="n"/>
      <c r="H44" s="23" t="n"/>
      <c r="I44" s="18" t="n"/>
      <c r="J44" s="18" t="n"/>
      <c r="K44" s="18" t="n"/>
    </row>
    <row r="45">
      <c r="A45" s="16">
        <f>IF(D45&lt;&gt;"",TEXT(ROW()-4,"EVD-000"),"")</f>
        <v/>
      </c>
      <c r="B45" s="18" t="n"/>
      <c r="C45" s="18" t="n"/>
      <c r="D45" s="18" t="n"/>
      <c r="E45" s="18" t="n"/>
      <c r="F45" s="18" t="n"/>
      <c r="G45" s="18" t="n"/>
      <c r="H45" s="23" t="n"/>
      <c r="I45" s="18" t="n"/>
      <c r="J45" s="18" t="n"/>
      <c r="K45" s="18" t="n"/>
    </row>
    <row r="46">
      <c r="A46" s="16">
        <f>IF(D46&lt;&gt;"",TEXT(ROW()-4,"EVD-000"),"")</f>
        <v/>
      </c>
      <c r="B46" s="18" t="n"/>
      <c r="C46" s="18" t="n"/>
      <c r="D46" s="18" t="n"/>
      <c r="E46" s="18" t="n"/>
      <c r="F46" s="18" t="n"/>
      <c r="G46" s="18" t="n"/>
      <c r="H46" s="23" t="n"/>
      <c r="I46" s="18" t="n"/>
      <c r="J46" s="18" t="n"/>
      <c r="K46" s="18" t="n"/>
    </row>
    <row r="47">
      <c r="A47" s="16">
        <f>IF(D47&lt;&gt;"",TEXT(ROW()-4,"EVD-000"),"")</f>
        <v/>
      </c>
      <c r="B47" s="18" t="n"/>
      <c r="C47" s="18" t="n"/>
      <c r="D47" s="18" t="n"/>
      <c r="E47" s="18" t="n"/>
      <c r="F47" s="18" t="n"/>
      <c r="G47" s="18" t="n"/>
      <c r="H47" s="23" t="n"/>
      <c r="I47" s="18" t="n"/>
      <c r="J47" s="18" t="n"/>
      <c r="K47" s="18" t="n"/>
    </row>
    <row r="48">
      <c r="A48" s="16">
        <f>IF(D48&lt;&gt;"",TEXT(ROW()-4,"EVD-000"),"")</f>
        <v/>
      </c>
      <c r="B48" s="18" t="n"/>
      <c r="C48" s="18" t="n"/>
      <c r="D48" s="18" t="n"/>
      <c r="E48" s="18" t="n"/>
      <c r="F48" s="18" t="n"/>
      <c r="G48" s="18" t="n"/>
      <c r="H48" s="23" t="n"/>
      <c r="I48" s="18" t="n"/>
      <c r="J48" s="18" t="n"/>
      <c r="K48" s="18" t="n"/>
    </row>
    <row r="49">
      <c r="A49" s="16">
        <f>IF(D49&lt;&gt;"",TEXT(ROW()-4,"EVD-000"),"")</f>
        <v/>
      </c>
      <c r="B49" s="18" t="n"/>
      <c r="C49" s="18" t="n"/>
      <c r="D49" s="18" t="n"/>
      <c r="E49" s="18" t="n"/>
      <c r="F49" s="18" t="n"/>
      <c r="G49" s="18" t="n"/>
      <c r="H49" s="23" t="n"/>
      <c r="I49" s="18" t="n"/>
      <c r="J49" s="18" t="n"/>
      <c r="K49" s="18" t="n"/>
    </row>
    <row r="50">
      <c r="A50" s="16">
        <f>IF(D50&lt;&gt;"",TEXT(ROW()-4,"EVD-000"),"")</f>
        <v/>
      </c>
      <c r="B50" s="18" t="n"/>
      <c r="C50" s="18" t="n"/>
      <c r="D50" s="18" t="n"/>
      <c r="E50" s="18" t="n"/>
      <c r="F50" s="18" t="n"/>
      <c r="G50" s="18" t="n"/>
      <c r="H50" s="23" t="n"/>
      <c r="I50" s="18" t="n"/>
      <c r="J50" s="18" t="n"/>
      <c r="K50" s="18" t="n"/>
    </row>
    <row r="51">
      <c r="A51" s="16">
        <f>IF(D51&lt;&gt;"",TEXT(ROW()-4,"EVD-000"),"")</f>
        <v/>
      </c>
      <c r="B51" s="18" t="n"/>
      <c r="C51" s="18" t="n"/>
      <c r="D51" s="18" t="n"/>
      <c r="E51" s="18" t="n"/>
      <c r="F51" s="18" t="n"/>
      <c r="G51" s="18" t="n"/>
      <c r="H51" s="23" t="n"/>
      <c r="I51" s="18" t="n"/>
      <c r="J51" s="18" t="n"/>
      <c r="K51" s="18" t="n"/>
    </row>
    <row r="52">
      <c r="A52" s="16">
        <f>IF(D52&lt;&gt;"",TEXT(ROW()-4,"EVD-000"),"")</f>
        <v/>
      </c>
      <c r="B52" s="18" t="n"/>
      <c r="C52" s="18" t="n"/>
      <c r="D52" s="18" t="n"/>
      <c r="E52" s="18" t="n"/>
      <c r="F52" s="18" t="n"/>
      <c r="G52" s="18" t="n"/>
      <c r="H52" s="23" t="n"/>
      <c r="I52" s="18" t="n"/>
      <c r="J52" s="18" t="n"/>
      <c r="K52" s="18" t="n"/>
    </row>
    <row r="53">
      <c r="A53" s="16">
        <f>IF(D53&lt;&gt;"",TEXT(ROW()-4,"EVD-000"),"")</f>
        <v/>
      </c>
      <c r="B53" s="18" t="n"/>
      <c r="C53" s="18" t="n"/>
      <c r="D53" s="18" t="n"/>
      <c r="E53" s="18" t="n"/>
      <c r="F53" s="18" t="n"/>
      <c r="G53" s="18" t="n"/>
      <c r="H53" s="23" t="n"/>
      <c r="I53" s="18" t="n"/>
      <c r="J53" s="18" t="n"/>
      <c r="K53" s="18" t="n"/>
    </row>
    <row r="54">
      <c r="A54" s="16">
        <f>IF(D54&lt;&gt;"",TEXT(ROW()-4,"EVD-000"),"")</f>
        <v/>
      </c>
      <c r="B54" s="18" t="n"/>
      <c r="C54" s="18" t="n"/>
      <c r="D54" s="18" t="n"/>
      <c r="E54" s="18" t="n"/>
      <c r="F54" s="18" t="n"/>
      <c r="G54" s="18" t="n"/>
      <c r="H54" s="23" t="n"/>
      <c r="I54" s="18" t="n"/>
      <c r="J54" s="18" t="n"/>
      <c r="K54" s="18" t="n"/>
    </row>
    <row r="55">
      <c r="A55" s="16">
        <f>IF(D55&lt;&gt;"",TEXT(ROW()-4,"EVD-000"),"")</f>
        <v/>
      </c>
      <c r="B55" s="18" t="n"/>
      <c r="C55" s="18" t="n"/>
      <c r="D55" s="18" t="n"/>
      <c r="E55" s="18" t="n"/>
      <c r="F55" s="18" t="n"/>
      <c r="G55" s="18" t="n"/>
      <c r="H55" s="23" t="n"/>
      <c r="I55" s="18" t="n"/>
      <c r="J55" s="18" t="n"/>
      <c r="K55" s="18" t="n"/>
    </row>
    <row r="56">
      <c r="A56" s="16">
        <f>IF(D56&lt;&gt;"",TEXT(ROW()-4,"EVD-000"),"")</f>
        <v/>
      </c>
      <c r="B56" s="18" t="n"/>
      <c r="C56" s="18" t="n"/>
      <c r="D56" s="18" t="n"/>
      <c r="E56" s="18" t="n"/>
      <c r="F56" s="18" t="n"/>
      <c r="G56" s="18" t="n"/>
      <c r="H56" s="23" t="n"/>
      <c r="I56" s="18" t="n"/>
      <c r="J56" s="18" t="n"/>
      <c r="K56" s="18" t="n"/>
    </row>
    <row r="57">
      <c r="A57" s="16">
        <f>IF(D57&lt;&gt;"",TEXT(ROW()-4,"EVD-000"),"")</f>
        <v/>
      </c>
      <c r="B57" s="18" t="n"/>
      <c r="C57" s="18" t="n"/>
      <c r="D57" s="18" t="n"/>
      <c r="E57" s="18" t="n"/>
      <c r="F57" s="18" t="n"/>
      <c r="G57" s="18" t="n"/>
      <c r="H57" s="23" t="n"/>
      <c r="I57" s="18" t="n"/>
      <c r="J57" s="18" t="n"/>
      <c r="K57" s="18" t="n"/>
    </row>
    <row r="58">
      <c r="A58" s="16">
        <f>IF(D58&lt;&gt;"",TEXT(ROW()-4,"EVD-000"),"")</f>
        <v/>
      </c>
      <c r="B58" s="18" t="n"/>
      <c r="C58" s="18" t="n"/>
      <c r="D58" s="18" t="n"/>
      <c r="E58" s="18" t="n"/>
      <c r="F58" s="18" t="n"/>
      <c r="G58" s="18" t="n"/>
      <c r="H58" s="23" t="n"/>
      <c r="I58" s="18" t="n"/>
      <c r="J58" s="18" t="n"/>
      <c r="K58" s="18" t="n"/>
    </row>
    <row r="59">
      <c r="A59" s="16">
        <f>IF(D59&lt;&gt;"",TEXT(ROW()-4,"EVD-000"),"")</f>
        <v/>
      </c>
      <c r="B59" s="18" t="n"/>
      <c r="C59" s="18" t="n"/>
      <c r="D59" s="18" t="n"/>
      <c r="E59" s="18" t="n"/>
      <c r="F59" s="18" t="n"/>
      <c r="G59" s="18" t="n"/>
      <c r="H59" s="23" t="n"/>
      <c r="I59" s="18" t="n"/>
      <c r="J59" s="18" t="n"/>
      <c r="K59" s="18" t="n"/>
    </row>
    <row r="60">
      <c r="A60" s="16">
        <f>IF(D60&lt;&gt;"",TEXT(ROW()-4,"EVD-000"),"")</f>
        <v/>
      </c>
      <c r="B60" s="18" t="n"/>
      <c r="C60" s="18" t="n"/>
      <c r="D60" s="18" t="n"/>
      <c r="E60" s="18" t="n"/>
      <c r="F60" s="18" t="n"/>
      <c r="G60" s="18" t="n"/>
      <c r="H60" s="23" t="n"/>
      <c r="I60" s="18" t="n"/>
      <c r="J60" s="18" t="n"/>
      <c r="K60" s="18" t="n"/>
    </row>
    <row r="61">
      <c r="A61" s="16">
        <f>IF(D61&lt;&gt;"",TEXT(ROW()-4,"EVD-000"),"")</f>
        <v/>
      </c>
      <c r="B61" s="18" t="n"/>
      <c r="C61" s="18" t="n"/>
      <c r="D61" s="18" t="n"/>
      <c r="E61" s="18" t="n"/>
      <c r="F61" s="18" t="n"/>
      <c r="G61" s="18" t="n"/>
      <c r="H61" s="23" t="n"/>
      <c r="I61" s="18" t="n"/>
      <c r="J61" s="18" t="n"/>
      <c r="K61" s="18" t="n"/>
    </row>
    <row r="62">
      <c r="A62" s="16">
        <f>IF(D62&lt;&gt;"",TEXT(ROW()-4,"EVD-000"),"")</f>
        <v/>
      </c>
      <c r="B62" s="18" t="n"/>
      <c r="C62" s="18" t="n"/>
      <c r="D62" s="18" t="n"/>
      <c r="E62" s="18" t="n"/>
      <c r="F62" s="18" t="n"/>
      <c r="G62" s="18" t="n"/>
      <c r="H62" s="23" t="n"/>
      <c r="I62" s="18" t="n"/>
      <c r="J62" s="18" t="n"/>
      <c r="K62" s="18" t="n"/>
    </row>
    <row r="63">
      <c r="A63" s="16">
        <f>IF(D63&lt;&gt;"",TEXT(ROW()-4,"EVD-000"),"")</f>
        <v/>
      </c>
      <c r="B63" s="18" t="n"/>
      <c r="C63" s="18" t="n"/>
      <c r="D63" s="18" t="n"/>
      <c r="E63" s="18" t="n"/>
      <c r="F63" s="18" t="n"/>
      <c r="G63" s="18" t="n"/>
      <c r="H63" s="23" t="n"/>
      <c r="I63" s="18" t="n"/>
      <c r="J63" s="18" t="n"/>
      <c r="K63" s="18" t="n"/>
    </row>
    <row r="64">
      <c r="A64" s="16">
        <f>IF(D64&lt;&gt;"",TEXT(ROW()-4,"EVD-000"),"")</f>
        <v/>
      </c>
      <c r="B64" s="18" t="n"/>
      <c r="C64" s="18" t="n"/>
      <c r="D64" s="18" t="n"/>
      <c r="E64" s="18" t="n"/>
      <c r="F64" s="18" t="n"/>
      <c r="G64" s="18" t="n"/>
      <c r="H64" s="23" t="n"/>
      <c r="I64" s="18" t="n"/>
      <c r="J64" s="18" t="n"/>
      <c r="K64" s="18" t="n"/>
    </row>
    <row r="65">
      <c r="A65" s="16">
        <f>IF(D65&lt;&gt;"",TEXT(ROW()-4,"EVD-000"),"")</f>
        <v/>
      </c>
      <c r="B65" s="18" t="n"/>
      <c r="C65" s="18" t="n"/>
      <c r="D65" s="18" t="n"/>
      <c r="E65" s="18" t="n"/>
      <c r="F65" s="18" t="n"/>
      <c r="G65" s="18" t="n"/>
      <c r="H65" s="23" t="n"/>
      <c r="I65" s="18" t="n"/>
      <c r="J65" s="18" t="n"/>
      <c r="K65" s="18" t="n"/>
    </row>
    <row r="66">
      <c r="A66" s="16">
        <f>IF(D66&lt;&gt;"",TEXT(ROW()-4,"EVD-000"),"")</f>
        <v/>
      </c>
      <c r="B66" s="18" t="n"/>
      <c r="C66" s="18" t="n"/>
      <c r="D66" s="18" t="n"/>
      <c r="E66" s="18" t="n"/>
      <c r="F66" s="18" t="n"/>
      <c r="G66" s="18" t="n"/>
      <c r="H66" s="23" t="n"/>
      <c r="I66" s="18" t="n"/>
      <c r="J66" s="18" t="n"/>
      <c r="K66" s="18" t="n"/>
    </row>
    <row r="67">
      <c r="A67" s="16">
        <f>IF(D67&lt;&gt;"",TEXT(ROW()-4,"EVD-000"),"")</f>
        <v/>
      </c>
      <c r="B67" s="18" t="n"/>
      <c r="C67" s="18" t="n"/>
      <c r="D67" s="18" t="n"/>
      <c r="E67" s="18" t="n"/>
      <c r="F67" s="18" t="n"/>
      <c r="G67" s="18" t="n"/>
      <c r="H67" s="23" t="n"/>
      <c r="I67" s="18" t="n"/>
      <c r="J67" s="18" t="n"/>
      <c r="K67" s="18" t="n"/>
    </row>
    <row r="68">
      <c r="A68" s="16">
        <f>IF(D68&lt;&gt;"",TEXT(ROW()-4,"EVD-000"),"")</f>
        <v/>
      </c>
      <c r="B68" s="18" t="n"/>
      <c r="C68" s="18" t="n"/>
      <c r="D68" s="18" t="n"/>
      <c r="E68" s="18" t="n"/>
      <c r="F68" s="18" t="n"/>
      <c r="G68" s="18" t="n"/>
      <c r="H68" s="23" t="n"/>
      <c r="I68" s="18" t="n"/>
      <c r="J68" s="18" t="n"/>
      <c r="K68" s="18" t="n"/>
    </row>
    <row r="69">
      <c r="A69" s="16">
        <f>IF(D69&lt;&gt;"",TEXT(ROW()-4,"EVD-000"),"")</f>
        <v/>
      </c>
      <c r="B69" s="18" t="n"/>
      <c r="C69" s="18" t="n"/>
      <c r="D69" s="18" t="n"/>
      <c r="E69" s="18" t="n"/>
      <c r="F69" s="18" t="n"/>
      <c r="G69" s="18" t="n"/>
      <c r="H69" s="23" t="n"/>
      <c r="I69" s="18" t="n"/>
      <c r="J69" s="18" t="n"/>
      <c r="K69" s="18" t="n"/>
    </row>
    <row r="70">
      <c r="A70" s="16">
        <f>IF(D70&lt;&gt;"",TEXT(ROW()-4,"EVD-000"),"")</f>
        <v/>
      </c>
      <c r="B70" s="18" t="n"/>
      <c r="C70" s="18" t="n"/>
      <c r="D70" s="18" t="n"/>
      <c r="E70" s="18" t="n"/>
      <c r="F70" s="18" t="n"/>
      <c r="G70" s="18" t="n"/>
      <c r="H70" s="23" t="n"/>
      <c r="I70" s="18" t="n"/>
      <c r="J70" s="18" t="n"/>
      <c r="K70" s="18" t="n"/>
    </row>
    <row r="71">
      <c r="A71" s="16">
        <f>IF(D71&lt;&gt;"",TEXT(ROW()-4,"EVD-000"),"")</f>
        <v/>
      </c>
      <c r="B71" s="18" t="n"/>
      <c r="C71" s="18" t="n"/>
      <c r="D71" s="18" t="n"/>
      <c r="E71" s="18" t="n"/>
      <c r="F71" s="18" t="n"/>
      <c r="G71" s="18" t="n"/>
      <c r="H71" s="23" t="n"/>
      <c r="I71" s="18" t="n"/>
      <c r="J71" s="18" t="n"/>
      <c r="K71" s="18" t="n"/>
    </row>
    <row r="72">
      <c r="A72" s="16">
        <f>IF(D72&lt;&gt;"",TEXT(ROW()-4,"EVD-000"),"")</f>
        <v/>
      </c>
      <c r="B72" s="18" t="n"/>
      <c r="C72" s="18" t="n"/>
      <c r="D72" s="18" t="n"/>
      <c r="E72" s="18" t="n"/>
      <c r="F72" s="18" t="n"/>
      <c r="G72" s="18" t="n"/>
      <c r="H72" s="23" t="n"/>
      <c r="I72" s="18" t="n"/>
      <c r="J72" s="18" t="n"/>
      <c r="K72" s="18" t="n"/>
    </row>
    <row r="73">
      <c r="A73" s="16">
        <f>IF(D73&lt;&gt;"",TEXT(ROW()-4,"EVD-000"),"")</f>
        <v/>
      </c>
      <c r="B73" s="18" t="n"/>
      <c r="C73" s="18" t="n"/>
      <c r="D73" s="18" t="n"/>
      <c r="E73" s="18" t="n"/>
      <c r="F73" s="18" t="n"/>
      <c r="G73" s="18" t="n"/>
      <c r="H73" s="23" t="n"/>
      <c r="I73" s="18" t="n"/>
      <c r="J73" s="18" t="n"/>
      <c r="K73" s="18" t="n"/>
    </row>
    <row r="74">
      <c r="A74" s="16">
        <f>IF(D74&lt;&gt;"",TEXT(ROW()-4,"EVD-000"),"")</f>
        <v/>
      </c>
      <c r="B74" s="18" t="n"/>
      <c r="C74" s="18" t="n"/>
      <c r="D74" s="18" t="n"/>
      <c r="E74" s="18" t="n"/>
      <c r="F74" s="18" t="n"/>
      <c r="G74" s="18" t="n"/>
      <c r="H74" s="23" t="n"/>
      <c r="I74" s="18" t="n"/>
      <c r="J74" s="18" t="n"/>
      <c r="K74" s="18" t="n"/>
    </row>
    <row r="75">
      <c r="A75" s="16">
        <f>IF(D75&lt;&gt;"",TEXT(ROW()-4,"EVD-000"),"")</f>
        <v/>
      </c>
      <c r="B75" s="18" t="n"/>
      <c r="C75" s="18" t="n"/>
      <c r="D75" s="18" t="n"/>
      <c r="E75" s="18" t="n"/>
      <c r="F75" s="18" t="n"/>
      <c r="G75" s="18" t="n"/>
      <c r="H75" s="23" t="n"/>
      <c r="I75" s="18" t="n"/>
      <c r="J75" s="18" t="n"/>
      <c r="K75" s="18" t="n"/>
    </row>
    <row r="76">
      <c r="A76" s="16">
        <f>IF(D76&lt;&gt;"",TEXT(ROW()-4,"EVD-000"),"")</f>
        <v/>
      </c>
      <c r="B76" s="18" t="n"/>
      <c r="C76" s="18" t="n"/>
      <c r="D76" s="18" t="n"/>
      <c r="E76" s="18" t="n"/>
      <c r="F76" s="18" t="n"/>
      <c r="G76" s="18" t="n"/>
      <c r="H76" s="23" t="n"/>
      <c r="I76" s="18" t="n"/>
      <c r="J76" s="18" t="n"/>
      <c r="K76" s="18" t="n"/>
    </row>
    <row r="77">
      <c r="A77" s="16">
        <f>IF(D77&lt;&gt;"",TEXT(ROW()-4,"EVD-000"),"")</f>
        <v/>
      </c>
      <c r="B77" s="18" t="n"/>
      <c r="C77" s="18" t="n"/>
      <c r="D77" s="18" t="n"/>
      <c r="E77" s="18" t="n"/>
      <c r="F77" s="18" t="n"/>
      <c r="G77" s="18" t="n"/>
      <c r="H77" s="23" t="n"/>
      <c r="I77" s="18" t="n"/>
      <c r="J77" s="18" t="n"/>
      <c r="K77" s="18" t="n"/>
    </row>
    <row r="78">
      <c r="A78" s="16">
        <f>IF(D78&lt;&gt;"",TEXT(ROW()-4,"EVD-000"),"")</f>
        <v/>
      </c>
      <c r="B78" s="18" t="n"/>
      <c r="C78" s="18" t="n"/>
      <c r="D78" s="18" t="n"/>
      <c r="E78" s="18" t="n"/>
      <c r="F78" s="18" t="n"/>
      <c r="G78" s="18" t="n"/>
      <c r="H78" s="23" t="n"/>
      <c r="I78" s="18" t="n"/>
      <c r="J78" s="18" t="n"/>
      <c r="K78" s="18" t="n"/>
    </row>
    <row r="79">
      <c r="A79" s="16">
        <f>IF(D79&lt;&gt;"",TEXT(ROW()-4,"EVD-000"),"")</f>
        <v/>
      </c>
      <c r="B79" s="18" t="n"/>
      <c r="C79" s="18" t="n"/>
      <c r="D79" s="18" t="n"/>
      <c r="E79" s="18" t="n"/>
      <c r="F79" s="18" t="n"/>
      <c r="G79" s="18" t="n"/>
      <c r="H79" s="23" t="n"/>
      <c r="I79" s="18" t="n"/>
      <c r="J79" s="18" t="n"/>
      <c r="K79" s="18" t="n"/>
    </row>
    <row r="80">
      <c r="A80" s="16">
        <f>IF(D80&lt;&gt;"",TEXT(ROW()-4,"EVD-000"),"")</f>
        <v/>
      </c>
      <c r="B80" s="18" t="n"/>
      <c r="C80" s="18" t="n"/>
      <c r="D80" s="18" t="n"/>
      <c r="E80" s="18" t="n"/>
      <c r="F80" s="18" t="n"/>
      <c r="G80" s="18" t="n"/>
      <c r="H80" s="23" t="n"/>
      <c r="I80" s="18" t="n"/>
      <c r="J80" s="18" t="n"/>
      <c r="K80" s="18" t="n"/>
    </row>
    <row r="81">
      <c r="A81" s="16">
        <f>IF(D81&lt;&gt;"",TEXT(ROW()-4,"EVD-000"),"")</f>
        <v/>
      </c>
      <c r="B81" s="18" t="n"/>
      <c r="C81" s="18" t="n"/>
      <c r="D81" s="18" t="n"/>
      <c r="E81" s="18" t="n"/>
      <c r="F81" s="18" t="n"/>
      <c r="G81" s="18" t="n"/>
      <c r="H81" s="23" t="n"/>
      <c r="I81" s="18" t="n"/>
      <c r="J81" s="18" t="n"/>
      <c r="K81" s="18" t="n"/>
    </row>
    <row r="82">
      <c r="A82" s="16">
        <f>IF(D82&lt;&gt;"",TEXT(ROW()-4,"EVD-000"),"")</f>
        <v/>
      </c>
      <c r="B82" s="18" t="n"/>
      <c r="C82" s="18" t="n"/>
      <c r="D82" s="18" t="n"/>
      <c r="E82" s="18" t="n"/>
      <c r="F82" s="18" t="n"/>
      <c r="G82" s="18" t="n"/>
      <c r="H82" s="23" t="n"/>
      <c r="I82" s="18" t="n"/>
      <c r="J82" s="18" t="n"/>
      <c r="K82" s="18" t="n"/>
    </row>
    <row r="83">
      <c r="A83" s="16">
        <f>IF(D83&lt;&gt;"",TEXT(ROW()-4,"EVD-000"),"")</f>
        <v/>
      </c>
      <c r="B83" s="18" t="n"/>
      <c r="C83" s="18" t="n"/>
      <c r="D83" s="18" t="n"/>
      <c r="E83" s="18" t="n"/>
      <c r="F83" s="18" t="n"/>
      <c r="G83" s="18" t="n"/>
      <c r="H83" s="23" t="n"/>
      <c r="I83" s="18" t="n"/>
      <c r="J83" s="18" t="n"/>
      <c r="K83" s="18" t="n"/>
    </row>
    <row r="84">
      <c r="A84" s="16">
        <f>IF(D84&lt;&gt;"",TEXT(ROW()-4,"EVD-000"),"")</f>
        <v/>
      </c>
      <c r="B84" s="18" t="n"/>
      <c r="C84" s="18" t="n"/>
      <c r="D84" s="18" t="n"/>
      <c r="E84" s="18" t="n"/>
      <c r="F84" s="18" t="n"/>
      <c r="G84" s="18" t="n"/>
      <c r="H84" s="23" t="n"/>
      <c r="I84" s="18" t="n"/>
      <c r="J84" s="18" t="n"/>
      <c r="K84" s="18" t="n"/>
    </row>
    <row r="85">
      <c r="A85" s="16">
        <f>IF(D85&lt;&gt;"",TEXT(ROW()-4,"EVD-000"),"")</f>
        <v/>
      </c>
      <c r="B85" s="18" t="n"/>
      <c r="C85" s="18" t="n"/>
      <c r="D85" s="18" t="n"/>
      <c r="E85" s="18" t="n"/>
      <c r="F85" s="18" t="n"/>
      <c r="G85" s="18" t="n"/>
      <c r="H85" s="23" t="n"/>
      <c r="I85" s="18" t="n"/>
      <c r="J85" s="18" t="n"/>
      <c r="K85" s="18" t="n"/>
    </row>
    <row r="86">
      <c r="A86" s="16">
        <f>IF(D86&lt;&gt;"",TEXT(ROW()-4,"EVD-000"),"")</f>
        <v/>
      </c>
      <c r="B86" s="18" t="n"/>
      <c r="C86" s="18" t="n"/>
      <c r="D86" s="18" t="n"/>
      <c r="E86" s="18" t="n"/>
      <c r="F86" s="18" t="n"/>
      <c r="G86" s="18" t="n"/>
      <c r="H86" s="23" t="n"/>
      <c r="I86" s="18" t="n"/>
      <c r="J86" s="18" t="n"/>
      <c r="K86" s="18" t="n"/>
    </row>
    <row r="87">
      <c r="A87" s="16">
        <f>IF(D87&lt;&gt;"",TEXT(ROW()-4,"EVD-000"),"")</f>
        <v/>
      </c>
      <c r="B87" s="18" t="n"/>
      <c r="C87" s="18" t="n"/>
      <c r="D87" s="18" t="n"/>
      <c r="E87" s="18" t="n"/>
      <c r="F87" s="18" t="n"/>
      <c r="G87" s="18" t="n"/>
      <c r="H87" s="23" t="n"/>
      <c r="I87" s="18" t="n"/>
      <c r="J87" s="18" t="n"/>
      <c r="K87" s="18" t="n"/>
    </row>
    <row r="88">
      <c r="A88" s="16">
        <f>IF(D88&lt;&gt;"",TEXT(ROW()-4,"EVD-000"),"")</f>
        <v/>
      </c>
      <c r="B88" s="18" t="n"/>
      <c r="C88" s="18" t="n"/>
      <c r="D88" s="18" t="n"/>
      <c r="E88" s="18" t="n"/>
      <c r="F88" s="18" t="n"/>
      <c r="G88" s="18" t="n"/>
      <c r="H88" s="23" t="n"/>
      <c r="I88" s="18" t="n"/>
      <c r="J88" s="18" t="n"/>
      <c r="K88" s="18" t="n"/>
    </row>
    <row r="89">
      <c r="A89" s="16">
        <f>IF(D89&lt;&gt;"",TEXT(ROW()-4,"EVD-000"),"")</f>
        <v/>
      </c>
      <c r="B89" s="18" t="n"/>
      <c r="C89" s="18" t="n"/>
      <c r="D89" s="18" t="n"/>
      <c r="E89" s="18" t="n"/>
      <c r="F89" s="18" t="n"/>
      <c r="G89" s="18" t="n"/>
      <c r="H89" s="23" t="n"/>
      <c r="I89" s="18" t="n"/>
      <c r="J89" s="18" t="n"/>
      <c r="K89" s="18" t="n"/>
    </row>
    <row r="90">
      <c r="A90" s="16">
        <f>IF(D90&lt;&gt;"",TEXT(ROW()-4,"EVD-000"),"")</f>
        <v/>
      </c>
      <c r="B90" s="18" t="n"/>
      <c r="C90" s="18" t="n"/>
      <c r="D90" s="18" t="n"/>
      <c r="E90" s="18" t="n"/>
      <c r="F90" s="18" t="n"/>
      <c r="G90" s="18" t="n"/>
      <c r="H90" s="23" t="n"/>
      <c r="I90" s="18" t="n"/>
      <c r="J90" s="18" t="n"/>
      <c r="K90" s="18" t="n"/>
    </row>
    <row r="91">
      <c r="A91" s="16">
        <f>IF(D91&lt;&gt;"",TEXT(ROW()-4,"EVD-000"),"")</f>
        <v/>
      </c>
      <c r="B91" s="18" t="n"/>
      <c r="C91" s="18" t="n"/>
      <c r="D91" s="18" t="n"/>
      <c r="E91" s="18" t="n"/>
      <c r="F91" s="18" t="n"/>
      <c r="G91" s="18" t="n"/>
      <c r="H91" s="23" t="n"/>
      <c r="I91" s="18" t="n"/>
      <c r="J91" s="18" t="n"/>
      <c r="K91" s="18" t="n"/>
    </row>
    <row r="92">
      <c r="A92" s="16">
        <f>IF(D92&lt;&gt;"",TEXT(ROW()-4,"EVD-000"),"")</f>
        <v/>
      </c>
      <c r="B92" s="18" t="n"/>
      <c r="C92" s="18" t="n"/>
      <c r="D92" s="18" t="n"/>
      <c r="E92" s="18" t="n"/>
      <c r="F92" s="18" t="n"/>
      <c r="G92" s="18" t="n"/>
      <c r="H92" s="23" t="n"/>
      <c r="I92" s="18" t="n"/>
      <c r="J92" s="18" t="n"/>
      <c r="K92" s="18" t="n"/>
    </row>
    <row r="93">
      <c r="A93" s="16">
        <f>IF(D93&lt;&gt;"",TEXT(ROW()-4,"EVD-000"),"")</f>
        <v/>
      </c>
      <c r="B93" s="18" t="n"/>
      <c r="C93" s="18" t="n"/>
      <c r="D93" s="18" t="n"/>
      <c r="E93" s="18" t="n"/>
      <c r="F93" s="18" t="n"/>
      <c r="G93" s="18" t="n"/>
      <c r="H93" s="23" t="n"/>
      <c r="I93" s="18" t="n"/>
      <c r="J93" s="18" t="n"/>
      <c r="K93" s="18" t="n"/>
    </row>
    <row r="94">
      <c r="A94" s="16">
        <f>IF(D94&lt;&gt;"",TEXT(ROW()-4,"EVD-000"),"")</f>
        <v/>
      </c>
      <c r="B94" s="18" t="n"/>
      <c r="C94" s="18" t="n"/>
      <c r="D94" s="18" t="n"/>
      <c r="E94" s="18" t="n"/>
      <c r="F94" s="18" t="n"/>
      <c r="G94" s="18" t="n"/>
      <c r="H94" s="23" t="n"/>
      <c r="I94" s="18" t="n"/>
      <c r="J94" s="18" t="n"/>
      <c r="K94" s="18" t="n"/>
    </row>
    <row r="95">
      <c r="A95" s="16">
        <f>IF(D95&lt;&gt;"",TEXT(ROW()-4,"EVD-000"),"")</f>
        <v/>
      </c>
      <c r="B95" s="18" t="n"/>
      <c r="C95" s="18" t="n"/>
      <c r="D95" s="18" t="n"/>
      <c r="E95" s="18" t="n"/>
      <c r="F95" s="18" t="n"/>
      <c r="G95" s="18" t="n"/>
      <c r="H95" s="23" t="n"/>
      <c r="I95" s="18" t="n"/>
      <c r="J95" s="18" t="n"/>
      <c r="K95" s="18" t="n"/>
    </row>
    <row r="96">
      <c r="A96" s="16">
        <f>IF(D96&lt;&gt;"",TEXT(ROW()-4,"EVD-000"),"")</f>
        <v/>
      </c>
      <c r="B96" s="18" t="n"/>
      <c r="C96" s="18" t="n"/>
      <c r="D96" s="18" t="n"/>
      <c r="E96" s="18" t="n"/>
      <c r="F96" s="18" t="n"/>
      <c r="G96" s="18" t="n"/>
      <c r="H96" s="23" t="n"/>
      <c r="I96" s="18" t="n"/>
      <c r="J96" s="18" t="n"/>
      <c r="K96" s="18" t="n"/>
    </row>
    <row r="97">
      <c r="A97" s="16">
        <f>IF(D97&lt;&gt;"",TEXT(ROW()-4,"EVD-000"),"")</f>
        <v/>
      </c>
      <c r="B97" s="18" t="n"/>
      <c r="C97" s="18" t="n"/>
      <c r="D97" s="18" t="n"/>
      <c r="E97" s="18" t="n"/>
      <c r="F97" s="18" t="n"/>
      <c r="G97" s="18" t="n"/>
      <c r="H97" s="23" t="n"/>
      <c r="I97" s="18" t="n"/>
      <c r="J97" s="18" t="n"/>
      <c r="K97" s="18" t="n"/>
    </row>
    <row r="98">
      <c r="A98" s="16">
        <f>IF(D98&lt;&gt;"",TEXT(ROW()-4,"EVD-000"),"")</f>
        <v/>
      </c>
      <c r="B98" s="18" t="n"/>
      <c r="C98" s="18" t="n"/>
      <c r="D98" s="18" t="n"/>
      <c r="E98" s="18" t="n"/>
      <c r="F98" s="18" t="n"/>
      <c r="G98" s="18" t="n"/>
      <c r="H98" s="23" t="n"/>
      <c r="I98" s="18" t="n"/>
      <c r="J98" s="18" t="n"/>
      <c r="K98" s="18" t="n"/>
    </row>
    <row r="99">
      <c r="A99" s="16">
        <f>IF(D99&lt;&gt;"",TEXT(ROW()-4,"EVD-000"),"")</f>
        <v/>
      </c>
      <c r="B99" s="18" t="n"/>
      <c r="C99" s="18" t="n"/>
      <c r="D99" s="18" t="n"/>
      <c r="E99" s="18" t="n"/>
      <c r="F99" s="18" t="n"/>
      <c r="G99" s="18" t="n"/>
      <c r="H99" s="23" t="n"/>
      <c r="I99" s="18" t="n"/>
      <c r="J99" s="18" t="n"/>
      <c r="K99" s="18" t="n"/>
    </row>
    <row r="100">
      <c r="A100" s="16">
        <f>IF(D100&lt;&gt;"",TEXT(ROW()-4,"EVD-000"),"")</f>
        <v/>
      </c>
      <c r="B100" s="18" t="n"/>
      <c r="C100" s="18" t="n"/>
      <c r="D100" s="18" t="n"/>
      <c r="E100" s="18" t="n"/>
      <c r="F100" s="18" t="n"/>
      <c r="G100" s="18" t="n"/>
      <c r="H100" s="23" t="n"/>
      <c r="I100" s="18" t="n"/>
      <c r="J100" s="18" t="n"/>
      <c r="K100" s="18" t="n"/>
    </row>
    <row r="101">
      <c r="A101" s="16">
        <f>IF(D101&lt;&gt;"",TEXT(ROW()-4,"EVD-000"),"")</f>
        <v/>
      </c>
      <c r="B101" s="18" t="n"/>
      <c r="C101" s="18" t="n"/>
      <c r="D101" s="18" t="n"/>
      <c r="E101" s="18" t="n"/>
      <c r="F101" s="18" t="n"/>
      <c r="G101" s="18" t="n"/>
      <c r="H101" s="23" t="n"/>
      <c r="I101" s="18" t="n"/>
      <c r="J101" s="18" t="n"/>
      <c r="K101" s="18" t="n"/>
    </row>
    <row r="102">
      <c r="A102" s="16">
        <f>IF(D102&lt;&gt;"",TEXT(ROW()-4,"EVD-000"),"")</f>
        <v/>
      </c>
      <c r="B102" s="18" t="n"/>
      <c r="C102" s="18" t="n"/>
      <c r="D102" s="18" t="n"/>
      <c r="E102" s="18" t="n"/>
      <c r="F102" s="18" t="n"/>
      <c r="G102" s="18" t="n"/>
      <c r="H102" s="23" t="n"/>
      <c r="I102" s="18" t="n"/>
      <c r="J102" s="18" t="n"/>
      <c r="K102" s="18" t="n"/>
    </row>
    <row r="103">
      <c r="A103" s="16">
        <f>IF(D103&lt;&gt;"",TEXT(ROW()-4,"EVD-000"),"")</f>
        <v/>
      </c>
      <c r="B103" s="18" t="n"/>
      <c r="C103" s="18" t="n"/>
      <c r="D103" s="18" t="n"/>
      <c r="E103" s="18" t="n"/>
      <c r="F103" s="18" t="n"/>
      <c r="G103" s="18" t="n"/>
      <c r="H103" s="23" t="n"/>
      <c r="I103" s="18" t="n"/>
      <c r="J103" s="18" t="n"/>
      <c r="K103" s="18" t="n"/>
    </row>
    <row r="104">
      <c r="A104" s="16">
        <f>IF(D104&lt;&gt;"",TEXT(ROW()-4,"EVD-000"),"")</f>
        <v/>
      </c>
      <c r="B104" s="18" t="n"/>
      <c r="C104" s="18" t="n"/>
      <c r="D104" s="18" t="n"/>
      <c r="E104" s="18" t="n"/>
      <c r="F104" s="18" t="n"/>
      <c r="G104" s="18" t="n"/>
      <c r="H104" s="23" t="n"/>
      <c r="I104" s="18" t="n"/>
      <c r="J104" s="18" t="n"/>
      <c r="K104" s="18" t="n"/>
    </row>
    <row r="105">
      <c r="A105" s="16">
        <f>IF(D105&lt;&gt;"",TEXT(ROW()-4,"EVD-000"),"")</f>
        <v/>
      </c>
      <c r="B105" s="18" t="n"/>
      <c r="C105" s="18" t="n"/>
      <c r="D105" s="18" t="n"/>
      <c r="E105" s="18" t="n"/>
      <c r="F105" s="18" t="n"/>
      <c r="G105" s="18" t="n"/>
      <c r="H105" s="23" t="n"/>
      <c r="I105" s="18" t="n"/>
      <c r="J105" s="18" t="n"/>
      <c r="K105" s="18" t="n"/>
    </row>
    <row r="106">
      <c r="A106" s="16">
        <f>IF(D106&lt;&gt;"",TEXT(ROW()-4,"EVD-000"),"")</f>
        <v/>
      </c>
      <c r="B106" s="18" t="n"/>
      <c r="C106" s="18" t="n"/>
      <c r="D106" s="18" t="n"/>
      <c r="E106" s="18" t="n"/>
      <c r="F106" s="18" t="n"/>
      <c r="G106" s="18" t="n"/>
      <c r="H106" s="23" t="n"/>
      <c r="I106" s="18" t="n"/>
      <c r="J106" s="18" t="n"/>
      <c r="K106" s="18" t="n"/>
    </row>
    <row r="107">
      <c r="A107" s="16">
        <f>IF(D107&lt;&gt;"",TEXT(ROW()-4,"EVD-000"),"")</f>
        <v/>
      </c>
      <c r="B107" s="18" t="n"/>
      <c r="C107" s="18" t="n"/>
      <c r="D107" s="18" t="n"/>
      <c r="E107" s="18" t="n"/>
      <c r="F107" s="18" t="n"/>
      <c r="G107" s="18" t="n"/>
      <c r="H107" s="23" t="n"/>
      <c r="I107" s="18" t="n"/>
      <c r="J107" s="18" t="n"/>
      <c r="K107" s="18" t="n"/>
    </row>
    <row r="108">
      <c r="A108" s="16">
        <f>IF(D108&lt;&gt;"",TEXT(ROW()-4,"EVD-000"),"")</f>
        <v/>
      </c>
      <c r="B108" s="18" t="n"/>
      <c r="C108" s="18" t="n"/>
      <c r="D108" s="18" t="n"/>
      <c r="E108" s="18" t="n"/>
      <c r="F108" s="18" t="n"/>
      <c r="G108" s="18" t="n"/>
      <c r="H108" s="23" t="n"/>
      <c r="I108" s="18" t="n"/>
      <c r="J108" s="18" t="n"/>
      <c r="K108" s="18" t="n"/>
    </row>
    <row r="109">
      <c r="A109" s="16">
        <f>IF(D109&lt;&gt;"",TEXT(ROW()-4,"EVD-000"),"")</f>
        <v/>
      </c>
      <c r="B109" s="18" t="n"/>
      <c r="C109" s="18" t="n"/>
      <c r="D109" s="18" t="n"/>
      <c r="E109" s="18" t="n"/>
      <c r="F109" s="18" t="n"/>
      <c r="G109" s="18" t="n"/>
      <c r="H109" s="23" t="n"/>
      <c r="I109" s="18" t="n"/>
      <c r="J109" s="18" t="n"/>
      <c r="K109" s="18" t="n"/>
    </row>
    <row r="110">
      <c r="A110" s="16">
        <f>IF(D110&lt;&gt;"",TEXT(ROW()-4,"EVD-000"),"")</f>
        <v/>
      </c>
      <c r="B110" s="18" t="n"/>
      <c r="C110" s="18" t="n"/>
      <c r="D110" s="18" t="n"/>
      <c r="E110" s="18" t="n"/>
      <c r="F110" s="18" t="n"/>
      <c r="G110" s="18" t="n"/>
      <c r="H110" s="23" t="n"/>
      <c r="I110" s="18" t="n"/>
      <c r="J110" s="18" t="n"/>
      <c r="K110" s="18" t="n"/>
    </row>
    <row r="111">
      <c r="A111" s="16">
        <f>IF(D111&lt;&gt;"",TEXT(ROW()-4,"EVD-000"),"")</f>
        <v/>
      </c>
      <c r="B111" s="18" t="n"/>
      <c r="C111" s="18" t="n"/>
      <c r="D111" s="18" t="n"/>
      <c r="E111" s="18" t="n"/>
      <c r="F111" s="18" t="n"/>
      <c r="G111" s="18" t="n"/>
      <c r="H111" s="23" t="n"/>
      <c r="I111" s="18" t="n"/>
      <c r="J111" s="18" t="n"/>
      <c r="K111" s="18" t="n"/>
    </row>
    <row r="112">
      <c r="A112" s="16">
        <f>IF(D112&lt;&gt;"",TEXT(ROW()-4,"EVD-000"),"")</f>
        <v/>
      </c>
      <c r="B112" s="18" t="n"/>
      <c r="C112" s="18" t="n"/>
      <c r="D112" s="18" t="n"/>
      <c r="E112" s="18" t="n"/>
      <c r="F112" s="18" t="n"/>
      <c r="G112" s="18" t="n"/>
      <c r="H112" s="23" t="n"/>
      <c r="I112" s="18" t="n"/>
      <c r="J112" s="18" t="n"/>
      <c r="K112" s="18" t="n"/>
    </row>
    <row r="113">
      <c r="A113" s="16">
        <f>IF(D113&lt;&gt;"",TEXT(ROW()-4,"EVD-000"),"")</f>
        <v/>
      </c>
      <c r="B113" s="18" t="n"/>
      <c r="C113" s="18" t="n"/>
      <c r="D113" s="18" t="n"/>
      <c r="E113" s="18" t="n"/>
      <c r="F113" s="18" t="n"/>
      <c r="G113" s="18" t="n"/>
      <c r="H113" s="23" t="n"/>
      <c r="I113" s="18" t="n"/>
      <c r="J113" s="18" t="n"/>
      <c r="K113" s="18" t="n"/>
    </row>
    <row r="114">
      <c r="A114" s="16">
        <f>IF(D114&lt;&gt;"",TEXT(ROW()-4,"EVD-000"),"")</f>
        <v/>
      </c>
      <c r="B114" s="18" t="n"/>
      <c r="C114" s="18" t="n"/>
      <c r="D114" s="18" t="n"/>
      <c r="E114" s="18" t="n"/>
      <c r="F114" s="18" t="n"/>
      <c r="G114" s="18" t="n"/>
      <c r="H114" s="23" t="n"/>
      <c r="I114" s="18" t="n"/>
      <c r="J114" s="18" t="n"/>
      <c r="K114" s="18" t="n"/>
    </row>
    <row r="115">
      <c r="A115" s="16">
        <f>IF(D115&lt;&gt;"",TEXT(ROW()-4,"EVD-000"),"")</f>
        <v/>
      </c>
      <c r="B115" s="18" t="n"/>
      <c r="C115" s="18" t="n"/>
      <c r="D115" s="18" t="n"/>
      <c r="E115" s="18" t="n"/>
      <c r="F115" s="18" t="n"/>
      <c r="G115" s="18" t="n"/>
      <c r="H115" s="23" t="n"/>
      <c r="I115" s="18" t="n"/>
      <c r="J115" s="18" t="n"/>
      <c r="K115" s="18" t="n"/>
    </row>
    <row r="116">
      <c r="A116" s="16">
        <f>IF(D116&lt;&gt;"",TEXT(ROW()-4,"EVD-000"),"")</f>
        <v/>
      </c>
      <c r="B116" s="18" t="n"/>
      <c r="C116" s="18" t="n"/>
      <c r="D116" s="18" t="n"/>
      <c r="E116" s="18" t="n"/>
      <c r="F116" s="18" t="n"/>
      <c r="G116" s="18" t="n"/>
      <c r="H116" s="23" t="n"/>
      <c r="I116" s="18" t="n"/>
      <c r="J116" s="18" t="n"/>
      <c r="K116" s="18" t="n"/>
    </row>
    <row r="117">
      <c r="A117" s="16">
        <f>IF(D117&lt;&gt;"",TEXT(ROW()-4,"EVD-000"),"")</f>
        <v/>
      </c>
      <c r="B117" s="18" t="n"/>
      <c r="C117" s="18" t="n"/>
      <c r="D117" s="18" t="n"/>
      <c r="E117" s="18" t="n"/>
      <c r="F117" s="18" t="n"/>
      <c r="G117" s="18" t="n"/>
      <c r="H117" s="23" t="n"/>
      <c r="I117" s="18" t="n"/>
      <c r="J117" s="18" t="n"/>
      <c r="K117" s="18" t="n"/>
    </row>
    <row r="118">
      <c r="A118" s="16">
        <f>IF(D118&lt;&gt;"",TEXT(ROW()-4,"EVD-000"),"")</f>
        <v/>
      </c>
      <c r="B118" s="18" t="n"/>
      <c r="C118" s="18" t="n"/>
      <c r="D118" s="18" t="n"/>
      <c r="E118" s="18" t="n"/>
      <c r="F118" s="18" t="n"/>
      <c r="G118" s="18" t="n"/>
      <c r="H118" s="23" t="n"/>
      <c r="I118" s="18" t="n"/>
      <c r="J118" s="18" t="n"/>
      <c r="K118" s="18" t="n"/>
    </row>
    <row r="119">
      <c r="A119" s="16">
        <f>IF(D119&lt;&gt;"",TEXT(ROW()-4,"EVD-000"),"")</f>
        <v/>
      </c>
      <c r="B119" s="18" t="n"/>
      <c r="C119" s="18" t="n"/>
      <c r="D119" s="18" t="n"/>
      <c r="E119" s="18" t="n"/>
      <c r="F119" s="18" t="n"/>
      <c r="G119" s="18" t="n"/>
      <c r="H119" s="23" t="n"/>
      <c r="I119" s="18" t="n"/>
      <c r="J119" s="18" t="n"/>
      <c r="K119" s="18" t="n"/>
    </row>
    <row r="120">
      <c r="A120" s="16">
        <f>IF(D120&lt;&gt;"",TEXT(ROW()-4,"EVD-000"),"")</f>
        <v/>
      </c>
      <c r="B120" s="18" t="n"/>
      <c r="C120" s="18" t="n"/>
      <c r="D120" s="18" t="n"/>
      <c r="E120" s="18" t="n"/>
      <c r="F120" s="18" t="n"/>
      <c r="G120" s="18" t="n"/>
      <c r="H120" s="23" t="n"/>
      <c r="I120" s="18" t="n"/>
      <c r="J120" s="18" t="n"/>
      <c r="K120" s="18" t="n"/>
    </row>
    <row r="121">
      <c r="A121" s="16">
        <f>IF(D121&lt;&gt;"",TEXT(ROW()-4,"EVD-000"),"")</f>
        <v/>
      </c>
      <c r="B121" s="18" t="n"/>
      <c r="C121" s="18" t="n"/>
      <c r="D121" s="18" t="n"/>
      <c r="E121" s="18" t="n"/>
      <c r="F121" s="18" t="n"/>
      <c r="G121" s="18" t="n"/>
      <c r="H121" s="23" t="n"/>
      <c r="I121" s="18" t="n"/>
      <c r="J121" s="18" t="n"/>
      <c r="K121" s="18" t="n"/>
    </row>
    <row r="122">
      <c r="A122" s="16">
        <f>IF(D122&lt;&gt;"",TEXT(ROW()-4,"EVD-000"),"")</f>
        <v/>
      </c>
      <c r="B122" s="18" t="n"/>
      <c r="C122" s="18" t="n"/>
      <c r="D122" s="18" t="n"/>
      <c r="E122" s="18" t="n"/>
      <c r="F122" s="18" t="n"/>
      <c r="G122" s="18" t="n"/>
      <c r="H122" s="23" t="n"/>
      <c r="I122" s="18" t="n"/>
      <c r="J122" s="18" t="n"/>
      <c r="K122" s="18" t="n"/>
    </row>
    <row r="123">
      <c r="A123" s="16">
        <f>IF(D123&lt;&gt;"",TEXT(ROW()-4,"EVD-000"),"")</f>
        <v/>
      </c>
      <c r="B123" s="18" t="n"/>
      <c r="C123" s="18" t="n"/>
      <c r="D123" s="18" t="n"/>
      <c r="E123" s="18" t="n"/>
      <c r="F123" s="18" t="n"/>
      <c r="G123" s="18" t="n"/>
      <c r="H123" s="23" t="n"/>
      <c r="I123" s="18" t="n"/>
      <c r="J123" s="18" t="n"/>
      <c r="K123" s="18" t="n"/>
    </row>
    <row r="124">
      <c r="A124" s="16">
        <f>IF(D124&lt;&gt;"",TEXT(ROW()-4,"EVD-000"),"")</f>
        <v/>
      </c>
      <c r="B124" s="18" t="n"/>
      <c r="C124" s="18" t="n"/>
      <c r="D124" s="18" t="n"/>
      <c r="E124" s="18" t="n"/>
      <c r="F124" s="18" t="n"/>
      <c r="G124" s="18" t="n"/>
      <c r="H124" s="23" t="n"/>
      <c r="I124" s="18" t="n"/>
      <c r="J124" s="18" t="n"/>
      <c r="K124" s="18" t="n"/>
    </row>
    <row r="125">
      <c r="A125" s="16">
        <f>IF(D125&lt;&gt;"",TEXT(ROW()-4,"EVD-000"),"")</f>
        <v/>
      </c>
      <c r="B125" s="18" t="n"/>
      <c r="C125" s="18" t="n"/>
      <c r="D125" s="18" t="n"/>
      <c r="E125" s="18" t="n"/>
      <c r="F125" s="18" t="n"/>
      <c r="G125" s="18" t="n"/>
      <c r="H125" s="23" t="n"/>
      <c r="I125" s="18" t="n"/>
      <c r="J125" s="18" t="n"/>
      <c r="K125" s="18" t="n"/>
    </row>
    <row r="126">
      <c r="A126" s="16">
        <f>IF(D126&lt;&gt;"",TEXT(ROW()-4,"EVD-000"),"")</f>
        <v/>
      </c>
      <c r="B126" s="18" t="n"/>
      <c r="C126" s="18" t="n"/>
      <c r="D126" s="18" t="n"/>
      <c r="E126" s="18" t="n"/>
      <c r="F126" s="18" t="n"/>
      <c r="G126" s="18" t="n"/>
      <c r="H126" s="23" t="n"/>
      <c r="I126" s="18" t="n"/>
      <c r="J126" s="18" t="n"/>
      <c r="K126" s="18" t="n"/>
    </row>
    <row r="127">
      <c r="A127" s="16">
        <f>IF(D127&lt;&gt;"",TEXT(ROW()-4,"EVD-000"),"")</f>
        <v/>
      </c>
      <c r="B127" s="18" t="n"/>
      <c r="C127" s="18" t="n"/>
      <c r="D127" s="18" t="n"/>
      <c r="E127" s="18" t="n"/>
      <c r="F127" s="18" t="n"/>
      <c r="G127" s="18" t="n"/>
      <c r="H127" s="23" t="n"/>
      <c r="I127" s="18" t="n"/>
      <c r="J127" s="18" t="n"/>
      <c r="K127" s="18" t="n"/>
    </row>
    <row r="128">
      <c r="A128" s="16">
        <f>IF(D128&lt;&gt;"",TEXT(ROW()-4,"EVD-000"),"")</f>
        <v/>
      </c>
      <c r="B128" s="18" t="n"/>
      <c r="C128" s="18" t="n"/>
      <c r="D128" s="18" t="n"/>
      <c r="E128" s="18" t="n"/>
      <c r="F128" s="18" t="n"/>
      <c r="G128" s="18" t="n"/>
      <c r="H128" s="23" t="n"/>
      <c r="I128" s="18" t="n"/>
      <c r="J128" s="18" t="n"/>
      <c r="K128" s="18" t="n"/>
    </row>
    <row r="129">
      <c r="A129" s="16">
        <f>IF(D129&lt;&gt;"",TEXT(ROW()-4,"EVD-000"),"")</f>
        <v/>
      </c>
      <c r="B129" s="18" t="n"/>
      <c r="C129" s="18" t="n"/>
      <c r="D129" s="18" t="n"/>
      <c r="E129" s="18" t="n"/>
      <c r="F129" s="18" t="n"/>
      <c r="G129" s="18" t="n"/>
      <c r="H129" s="23" t="n"/>
      <c r="I129" s="18" t="n"/>
      <c r="J129" s="18" t="n"/>
      <c r="K129" s="18" t="n"/>
    </row>
    <row r="130">
      <c r="A130" s="16">
        <f>IF(D130&lt;&gt;"",TEXT(ROW()-4,"EVD-000"),"")</f>
        <v/>
      </c>
      <c r="B130" s="18" t="n"/>
      <c r="C130" s="18" t="n"/>
      <c r="D130" s="18" t="n"/>
      <c r="E130" s="18" t="n"/>
      <c r="F130" s="18" t="n"/>
      <c r="G130" s="18" t="n"/>
      <c r="H130" s="23" t="n"/>
      <c r="I130" s="18" t="n"/>
      <c r="J130" s="18" t="n"/>
      <c r="K130" s="18" t="n"/>
    </row>
    <row r="131">
      <c r="A131" s="16">
        <f>IF(D131&lt;&gt;"",TEXT(ROW()-4,"EVD-000"),"")</f>
        <v/>
      </c>
      <c r="B131" s="18" t="n"/>
      <c r="C131" s="18" t="n"/>
      <c r="D131" s="18" t="n"/>
      <c r="E131" s="18" t="n"/>
      <c r="F131" s="18" t="n"/>
      <c r="G131" s="18" t="n"/>
      <c r="H131" s="23" t="n"/>
      <c r="I131" s="18" t="n"/>
      <c r="J131" s="18" t="n"/>
      <c r="K131" s="18" t="n"/>
    </row>
    <row r="132">
      <c r="A132" s="16">
        <f>IF(D132&lt;&gt;"",TEXT(ROW()-4,"EVD-000"),"")</f>
        <v/>
      </c>
      <c r="B132" s="18" t="n"/>
      <c r="C132" s="18" t="n"/>
      <c r="D132" s="18" t="n"/>
      <c r="E132" s="18" t="n"/>
      <c r="F132" s="18" t="n"/>
      <c r="G132" s="18" t="n"/>
      <c r="H132" s="23" t="n"/>
      <c r="I132" s="18" t="n"/>
      <c r="J132" s="18" t="n"/>
      <c r="K132" s="18" t="n"/>
    </row>
    <row r="133">
      <c r="A133" s="16">
        <f>IF(D133&lt;&gt;"",TEXT(ROW()-4,"EVD-000"),"")</f>
        <v/>
      </c>
      <c r="B133" s="18" t="n"/>
      <c r="C133" s="18" t="n"/>
      <c r="D133" s="18" t="n"/>
      <c r="E133" s="18" t="n"/>
      <c r="F133" s="18" t="n"/>
      <c r="G133" s="18" t="n"/>
      <c r="H133" s="23" t="n"/>
      <c r="I133" s="18" t="n"/>
      <c r="J133" s="18" t="n"/>
      <c r="K133" s="18" t="n"/>
    </row>
    <row r="134">
      <c r="A134" s="16">
        <f>IF(D134&lt;&gt;"",TEXT(ROW()-4,"EVD-000"),"")</f>
        <v/>
      </c>
      <c r="B134" s="18" t="n"/>
      <c r="C134" s="18" t="n"/>
      <c r="D134" s="18" t="n"/>
      <c r="E134" s="18" t="n"/>
      <c r="F134" s="18" t="n"/>
      <c r="G134" s="18" t="n"/>
      <c r="H134" s="23" t="n"/>
      <c r="I134" s="18" t="n"/>
      <c r="J134" s="18" t="n"/>
      <c r="K134" s="18" t="n"/>
    </row>
    <row r="135">
      <c r="A135" s="16">
        <f>IF(D135&lt;&gt;"",TEXT(ROW()-4,"EVD-000"),"")</f>
        <v/>
      </c>
      <c r="B135" s="18" t="n"/>
      <c r="C135" s="18" t="n"/>
      <c r="D135" s="18" t="n"/>
      <c r="E135" s="18" t="n"/>
      <c r="F135" s="18" t="n"/>
      <c r="G135" s="18" t="n"/>
      <c r="H135" s="23" t="n"/>
      <c r="I135" s="18" t="n"/>
      <c r="J135" s="18" t="n"/>
      <c r="K135" s="18" t="n"/>
    </row>
    <row r="136">
      <c r="A136" s="16">
        <f>IF(D136&lt;&gt;"",TEXT(ROW()-4,"EVD-000"),"")</f>
        <v/>
      </c>
      <c r="B136" s="18" t="n"/>
      <c r="C136" s="18" t="n"/>
      <c r="D136" s="18" t="n"/>
      <c r="E136" s="18" t="n"/>
      <c r="F136" s="18" t="n"/>
      <c r="G136" s="18" t="n"/>
      <c r="H136" s="23" t="n"/>
      <c r="I136" s="18" t="n"/>
      <c r="J136" s="18" t="n"/>
      <c r="K136" s="18" t="n"/>
    </row>
    <row r="137">
      <c r="A137" s="16">
        <f>IF(D137&lt;&gt;"",TEXT(ROW()-4,"EVD-000"),"")</f>
        <v/>
      </c>
      <c r="B137" s="18" t="n"/>
      <c r="C137" s="18" t="n"/>
      <c r="D137" s="18" t="n"/>
      <c r="E137" s="18" t="n"/>
      <c r="F137" s="18" t="n"/>
      <c r="G137" s="18" t="n"/>
      <c r="H137" s="23" t="n"/>
      <c r="I137" s="18" t="n"/>
      <c r="J137" s="18" t="n"/>
      <c r="K137" s="18" t="n"/>
    </row>
    <row r="138">
      <c r="A138" s="16">
        <f>IF(D138&lt;&gt;"",TEXT(ROW()-4,"EVD-000"),"")</f>
        <v/>
      </c>
      <c r="B138" s="18" t="n"/>
      <c r="C138" s="18" t="n"/>
      <c r="D138" s="18" t="n"/>
      <c r="E138" s="18" t="n"/>
      <c r="F138" s="18" t="n"/>
      <c r="G138" s="18" t="n"/>
      <c r="H138" s="23" t="n"/>
      <c r="I138" s="18" t="n"/>
      <c r="J138" s="18" t="n"/>
      <c r="K138" s="18" t="n"/>
    </row>
    <row r="139">
      <c r="A139" s="16">
        <f>IF(D139&lt;&gt;"",TEXT(ROW()-4,"EVD-000"),"")</f>
        <v/>
      </c>
      <c r="B139" s="18" t="n"/>
      <c r="C139" s="18" t="n"/>
      <c r="D139" s="18" t="n"/>
      <c r="E139" s="18" t="n"/>
      <c r="F139" s="18" t="n"/>
      <c r="G139" s="18" t="n"/>
      <c r="H139" s="23" t="n"/>
      <c r="I139" s="18" t="n"/>
      <c r="J139" s="18" t="n"/>
      <c r="K139" s="18" t="n"/>
    </row>
    <row r="140">
      <c r="A140" s="16">
        <f>IF(D140&lt;&gt;"",TEXT(ROW()-4,"EVD-000"),"")</f>
        <v/>
      </c>
      <c r="B140" s="18" t="n"/>
      <c r="C140" s="18" t="n"/>
      <c r="D140" s="18" t="n"/>
      <c r="E140" s="18" t="n"/>
      <c r="F140" s="18" t="n"/>
      <c r="G140" s="18" t="n"/>
      <c r="H140" s="23" t="n"/>
      <c r="I140" s="18" t="n"/>
      <c r="J140" s="18" t="n"/>
      <c r="K140" s="18" t="n"/>
    </row>
    <row r="141">
      <c r="A141" s="16">
        <f>IF(D141&lt;&gt;"",TEXT(ROW()-4,"EVD-000"),"")</f>
        <v/>
      </c>
      <c r="B141" s="18" t="n"/>
      <c r="C141" s="18" t="n"/>
      <c r="D141" s="18" t="n"/>
      <c r="E141" s="18" t="n"/>
      <c r="F141" s="18" t="n"/>
      <c r="G141" s="18" t="n"/>
      <c r="H141" s="23" t="n"/>
      <c r="I141" s="18" t="n"/>
      <c r="J141" s="18" t="n"/>
      <c r="K141" s="18" t="n"/>
    </row>
    <row r="142">
      <c r="A142" s="16">
        <f>IF(D142&lt;&gt;"",TEXT(ROW()-4,"EVD-000"),"")</f>
        <v/>
      </c>
      <c r="B142" s="18" t="n"/>
      <c r="C142" s="18" t="n"/>
      <c r="D142" s="18" t="n"/>
      <c r="E142" s="18" t="n"/>
      <c r="F142" s="18" t="n"/>
      <c r="G142" s="18" t="n"/>
      <c r="H142" s="23" t="n"/>
      <c r="I142" s="18" t="n"/>
      <c r="J142" s="18" t="n"/>
      <c r="K142" s="18" t="n"/>
    </row>
    <row r="143">
      <c r="A143" s="16">
        <f>IF(D143&lt;&gt;"",TEXT(ROW()-4,"EVD-000"),"")</f>
        <v/>
      </c>
      <c r="B143" s="18" t="n"/>
      <c r="C143" s="18" t="n"/>
      <c r="D143" s="18" t="n"/>
      <c r="E143" s="18" t="n"/>
      <c r="F143" s="18" t="n"/>
      <c r="G143" s="18" t="n"/>
      <c r="H143" s="23" t="n"/>
      <c r="I143" s="18" t="n"/>
      <c r="J143" s="18" t="n"/>
      <c r="K143" s="18" t="n"/>
    </row>
    <row r="144">
      <c r="A144" s="16">
        <f>IF(D144&lt;&gt;"",TEXT(ROW()-4,"EVD-000"),"")</f>
        <v/>
      </c>
      <c r="B144" s="18" t="n"/>
      <c r="C144" s="18" t="n"/>
      <c r="D144" s="18" t="n"/>
      <c r="E144" s="18" t="n"/>
      <c r="F144" s="18" t="n"/>
      <c r="G144" s="18" t="n"/>
      <c r="H144" s="23" t="n"/>
      <c r="I144" s="18" t="n"/>
      <c r="J144" s="18" t="n"/>
      <c r="K144" s="18" t="n"/>
    </row>
    <row r="145">
      <c r="A145" s="16">
        <f>IF(D145&lt;&gt;"",TEXT(ROW()-4,"EVD-000"),"")</f>
        <v/>
      </c>
      <c r="B145" s="18" t="n"/>
      <c r="C145" s="18" t="n"/>
      <c r="D145" s="18" t="n"/>
      <c r="E145" s="18" t="n"/>
      <c r="F145" s="18" t="n"/>
      <c r="G145" s="18" t="n"/>
      <c r="H145" s="23" t="n"/>
      <c r="I145" s="18" t="n"/>
      <c r="J145" s="18" t="n"/>
      <c r="K145" s="18" t="n"/>
    </row>
    <row r="146">
      <c r="A146" s="16">
        <f>IF(D146&lt;&gt;"",TEXT(ROW()-4,"EVD-000"),"")</f>
        <v/>
      </c>
      <c r="B146" s="18" t="n"/>
      <c r="C146" s="18" t="n"/>
      <c r="D146" s="18" t="n"/>
      <c r="E146" s="18" t="n"/>
      <c r="F146" s="18" t="n"/>
      <c r="G146" s="18" t="n"/>
      <c r="H146" s="23" t="n"/>
      <c r="I146" s="18" t="n"/>
      <c r="J146" s="18" t="n"/>
      <c r="K146" s="18" t="n"/>
    </row>
    <row r="147">
      <c r="A147" s="16">
        <f>IF(D147&lt;&gt;"",TEXT(ROW()-4,"EVD-000"),"")</f>
        <v/>
      </c>
      <c r="B147" s="18" t="n"/>
      <c r="C147" s="18" t="n"/>
      <c r="D147" s="18" t="n"/>
      <c r="E147" s="18" t="n"/>
      <c r="F147" s="18" t="n"/>
      <c r="G147" s="18" t="n"/>
      <c r="H147" s="23" t="n"/>
      <c r="I147" s="18" t="n"/>
      <c r="J147" s="18" t="n"/>
      <c r="K147" s="18" t="n"/>
    </row>
    <row r="148">
      <c r="A148" s="16">
        <f>IF(D148&lt;&gt;"",TEXT(ROW()-4,"EVD-000"),"")</f>
        <v/>
      </c>
      <c r="B148" s="18" t="n"/>
      <c r="C148" s="18" t="n"/>
      <c r="D148" s="18" t="n"/>
      <c r="E148" s="18" t="n"/>
      <c r="F148" s="18" t="n"/>
      <c r="G148" s="18" t="n"/>
      <c r="H148" s="23" t="n"/>
      <c r="I148" s="18" t="n"/>
      <c r="J148" s="18" t="n"/>
      <c r="K148" s="18" t="n"/>
    </row>
    <row r="149">
      <c r="A149" s="16">
        <f>IF(D149&lt;&gt;"",TEXT(ROW()-4,"EVD-000"),"")</f>
        <v/>
      </c>
      <c r="B149" s="18" t="n"/>
      <c r="C149" s="18" t="n"/>
      <c r="D149" s="18" t="n"/>
      <c r="E149" s="18" t="n"/>
      <c r="F149" s="18" t="n"/>
      <c r="G149" s="18" t="n"/>
      <c r="H149" s="23" t="n"/>
      <c r="I149" s="18" t="n"/>
      <c r="J149" s="18" t="n"/>
      <c r="K149" s="18" t="n"/>
    </row>
    <row r="150">
      <c r="A150" s="16">
        <f>IF(D150&lt;&gt;"",TEXT(ROW()-4,"EVD-000"),"")</f>
        <v/>
      </c>
      <c r="B150" s="18" t="n"/>
      <c r="C150" s="18" t="n"/>
      <c r="D150" s="18" t="n"/>
      <c r="E150" s="18" t="n"/>
      <c r="F150" s="18" t="n"/>
      <c r="G150" s="18" t="n"/>
      <c r="H150" s="23" t="n"/>
      <c r="I150" s="18" t="n"/>
      <c r="J150" s="18" t="n"/>
      <c r="K150" s="18" t="n"/>
    </row>
    <row r="151">
      <c r="A151" s="16">
        <f>IF(D151&lt;&gt;"",TEXT(ROW()-4,"EVD-000"),"")</f>
        <v/>
      </c>
      <c r="B151" s="18" t="n"/>
      <c r="C151" s="18" t="n"/>
      <c r="D151" s="18" t="n"/>
      <c r="E151" s="18" t="n"/>
      <c r="F151" s="18" t="n"/>
      <c r="G151" s="18" t="n"/>
      <c r="H151" s="23" t="n"/>
      <c r="I151" s="18" t="n"/>
      <c r="J151" s="18" t="n"/>
      <c r="K151" s="18" t="n"/>
    </row>
    <row r="152">
      <c r="A152" s="16">
        <f>IF(D152&lt;&gt;"",TEXT(ROW()-4,"EVD-000"),"")</f>
        <v/>
      </c>
      <c r="B152" s="18" t="n"/>
      <c r="C152" s="18" t="n"/>
      <c r="D152" s="18" t="n"/>
      <c r="E152" s="18" t="n"/>
      <c r="F152" s="18" t="n"/>
      <c r="G152" s="18" t="n"/>
      <c r="H152" s="23" t="n"/>
      <c r="I152" s="18" t="n"/>
      <c r="J152" s="18" t="n"/>
      <c r="K152" s="18" t="n"/>
    </row>
    <row r="153">
      <c r="A153" s="16">
        <f>IF(D153&lt;&gt;"",TEXT(ROW()-4,"EVD-000"),"")</f>
        <v/>
      </c>
      <c r="B153" s="18" t="n"/>
      <c r="C153" s="18" t="n"/>
      <c r="D153" s="18" t="n"/>
      <c r="E153" s="18" t="n"/>
      <c r="F153" s="18" t="n"/>
      <c r="G153" s="18" t="n"/>
      <c r="H153" s="23" t="n"/>
      <c r="I153" s="18" t="n"/>
      <c r="J153" s="18" t="n"/>
      <c r="K153" s="18" t="n"/>
    </row>
    <row r="154">
      <c r="A154" s="16">
        <f>IF(D154&lt;&gt;"",TEXT(ROW()-4,"EVD-000"),"")</f>
        <v/>
      </c>
      <c r="B154" s="18" t="n"/>
      <c r="C154" s="18" t="n"/>
      <c r="D154" s="18" t="n"/>
      <c r="E154" s="18" t="n"/>
      <c r="F154" s="18" t="n"/>
      <c r="G154" s="18" t="n"/>
      <c r="H154" s="23" t="n"/>
      <c r="I154" s="18" t="n"/>
      <c r="J154" s="18" t="n"/>
      <c r="K154" s="18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2:K2"/>
    <mergeCell ref="A1:K1"/>
  </mergeCells>
  <dataValidations count="4">
    <dataValidation sqref="B5:B154" showDropDown="0" showInputMessage="0" showErrorMessage="1" allowBlank="1" errorTitle="Invalid Entry" error="Please select from dropdown" type="list">
      <formula1>"S1-Policy,S2-Roles,S3-Screening,S4-Contracts,S5-Dashboard"</formula1>
    </dataValidation>
    <dataValidation sqref="C5:C154" showDropDown="0" showInputMessage="0" showErrorMessage="1" allowBlank="1" errorTitle="Invalid Entry" error="Please select from dropdown" type="list">
      <formula1>"Policy-Document,Approval-Record,Meeting-Minutes,Training-Record,Screening-Report,Contract-Copy,NDA-Signed,Acknowledgment-Record,Audit-Report,Assessment-Report,RACI-Matrix,Org-Chart,Other"</formula1>
    </dataValidation>
    <dataValidation sqref="E5:E154" showDropDown="0" showInputMessage="0" showErrorMessage="1" allowBlank="1" errorTitle="Invalid Entry" error="Please select from dropdown" type="list">
      <formula1>"A.5.1,A.5.2,A.6.1,A.6.2,Multiple"</formula1>
    </dataValidation>
    <dataValidation sqref="J5:J154" showDropDown="0" showInputMessage="0" showErrorMessage="1" allowBlank="1" errorTitle="Invalid Entry" error="Please select from dropdown" type="list">
      <formula1>"Verified,Pending,Not-Verified,Expired"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20" customWidth="1" min="5" max="5"/>
    <col width="12" customWidth="1" min="6" max="6"/>
    <col width="15" customWidth="1" min="7" max="7"/>
    <col width="12" customWidth="1" min="8" max="8"/>
    <col width="12" customWidth="1" min="9" max="9"/>
    <col width="30" customWidth="1" min="10" max="10"/>
    <col width="30" customWidth="1" min="11" max="11"/>
    <col width="15" customWidth="1" min="12" max="12"/>
    <col width="20" customWidth="1" min="13" max="13"/>
  </cols>
  <sheetData>
    <row r="1" ht="40" customHeight="1">
      <c r="A1" s="1" t="inlineStr">
        <is>
          <t>ACTION ITEMS TRACKER</t>
        </is>
      </c>
    </row>
    <row r="2">
      <c r="A2" s="2" t="inlineStr">
        <is>
          <t>Remediation Tracking for Identified Gaps</t>
        </is>
      </c>
    </row>
    <row r="4">
      <c r="A4" s="3" t="inlineStr">
        <is>
          <t>ACTION SUMMARY</t>
        </is>
      </c>
    </row>
    <row r="6">
      <c r="A6" s="15" t="inlineStr">
        <is>
          <t>Total Actions:</t>
        </is>
      </c>
      <c r="B6" s="16">
        <f>COUNTA(A10:A109)-1</f>
        <v/>
      </c>
    </row>
    <row r="7">
      <c r="A7" s="15" t="inlineStr">
        <is>
          <t>Actions Open:</t>
        </is>
      </c>
      <c r="B7" s="16">
        <f>COUNTIF(G10:G109,"Open")+COUNTIF(G10:G109,"In-Progress")</f>
        <v/>
      </c>
    </row>
    <row r="8">
      <c r="A8" s="15" t="inlineStr">
        <is>
          <t>Actions Blocked:</t>
        </is>
      </c>
      <c r="B8" s="16">
        <f>COUNTIF(G10:G109,"Blocked")</f>
        <v/>
      </c>
    </row>
    <row r="9">
      <c r="A9" s="15" t="inlineStr">
        <is>
          <t>Actions Completed:</t>
        </is>
      </c>
      <c r="B9" s="16">
        <f>COUNTIF(G10:G109,"Completed")</f>
        <v/>
      </c>
    </row>
    <row r="10">
      <c r="A10" s="5" t="inlineStr">
        <is>
          <t>Action_ID</t>
        </is>
      </c>
      <c r="B10" s="5" t="inlineStr">
        <is>
          <t>Related_Gap_ID</t>
        </is>
      </c>
      <c r="C10" s="5" t="inlineStr">
        <is>
          <t>Action_Description</t>
        </is>
      </c>
      <c r="D10" s="5" t="inlineStr">
        <is>
          <t>Priority</t>
        </is>
      </c>
      <c r="E10" s="5" t="inlineStr">
        <is>
          <t>Owner</t>
        </is>
      </c>
      <c r="F10" s="5" t="inlineStr">
        <is>
          <t>Target_Date</t>
        </is>
      </c>
      <c r="G10" s="5" t="inlineStr">
        <is>
          <t>Status</t>
        </is>
      </c>
      <c r="H10" s="5" t="inlineStr">
        <is>
          <t>Progress_%</t>
        </is>
      </c>
      <c r="I10" s="5" t="inlineStr">
        <is>
          <t>Last_Update</t>
        </is>
      </c>
      <c r="J10" s="5" t="inlineStr">
        <is>
          <t>Update_Notes</t>
        </is>
      </c>
      <c r="K10" s="5" t="inlineStr">
        <is>
          <t>Blocking_Issues</t>
        </is>
      </c>
      <c r="L10" s="5" t="inlineStr">
        <is>
          <t>Escalation_Required</t>
        </is>
      </c>
      <c r="M10" s="5" t="inlineStr">
        <is>
          <t>Escalation_To</t>
        </is>
      </c>
    </row>
    <row r="11">
      <c r="A11" s="16">
        <f>IF(B11&lt;&gt;"",SUBSTITUTE(B11,"GAP","ACT"),"")</f>
        <v/>
      </c>
      <c r="B11" s="18" t="n"/>
      <c r="C11" s="18" t="n"/>
      <c r="D11" s="18" t="n"/>
      <c r="E11" s="18" t="n"/>
      <c r="F11" s="23" t="n"/>
      <c r="G11" s="18" t="n"/>
      <c r="H11" s="27" t="n"/>
      <c r="I11" s="23" t="n"/>
      <c r="J11" s="18" t="n"/>
      <c r="K11" s="18" t="n"/>
      <c r="L11" s="18" t="n"/>
      <c r="M11" s="18" t="n"/>
    </row>
    <row r="12">
      <c r="A12" s="16">
        <f>IF(B12&lt;&gt;"",SUBSTITUTE(B12,"GAP","ACT"),"")</f>
        <v/>
      </c>
      <c r="B12" s="18" t="n"/>
      <c r="C12" s="18" t="n"/>
      <c r="D12" s="18" t="n"/>
      <c r="E12" s="18" t="n"/>
      <c r="F12" s="23" t="n"/>
      <c r="G12" s="18" t="n"/>
      <c r="H12" s="27" t="n"/>
      <c r="I12" s="23" t="n"/>
      <c r="J12" s="18" t="n"/>
      <c r="K12" s="18" t="n"/>
      <c r="L12" s="18" t="n"/>
      <c r="M12" s="18" t="n"/>
    </row>
    <row r="13">
      <c r="A13" s="16">
        <f>IF(B13&lt;&gt;"",SUBSTITUTE(B13,"GAP","ACT"),"")</f>
        <v/>
      </c>
      <c r="B13" s="18" t="n"/>
      <c r="C13" s="18" t="n"/>
      <c r="D13" s="18" t="n"/>
      <c r="E13" s="18" t="n"/>
      <c r="F13" s="23" t="n"/>
      <c r="G13" s="18" t="n"/>
      <c r="H13" s="27" t="n"/>
      <c r="I13" s="23" t="n"/>
      <c r="J13" s="18" t="n"/>
      <c r="K13" s="18" t="n"/>
      <c r="L13" s="18" t="n"/>
      <c r="M13" s="18" t="n"/>
    </row>
    <row r="14">
      <c r="A14" s="16">
        <f>IF(B14&lt;&gt;"",SUBSTITUTE(B14,"GAP","ACT"),"")</f>
        <v/>
      </c>
      <c r="B14" s="18" t="n"/>
      <c r="C14" s="18" t="n"/>
      <c r="D14" s="18" t="n"/>
      <c r="E14" s="18" t="n"/>
      <c r="F14" s="23" t="n"/>
      <c r="G14" s="18" t="n"/>
      <c r="H14" s="27" t="n"/>
      <c r="I14" s="23" t="n"/>
      <c r="J14" s="18" t="n"/>
      <c r="K14" s="18" t="n"/>
      <c r="L14" s="18" t="n"/>
      <c r="M14" s="18" t="n"/>
    </row>
    <row r="15">
      <c r="A15" s="16">
        <f>IF(B15&lt;&gt;"",SUBSTITUTE(B15,"GAP","ACT"),"")</f>
        <v/>
      </c>
      <c r="B15" s="18" t="n"/>
      <c r="C15" s="18" t="n"/>
      <c r="D15" s="18" t="n"/>
      <c r="E15" s="18" t="n"/>
      <c r="F15" s="23" t="n"/>
      <c r="G15" s="18" t="n"/>
      <c r="H15" s="27" t="n"/>
      <c r="I15" s="23" t="n"/>
      <c r="J15" s="18" t="n"/>
      <c r="K15" s="18" t="n"/>
      <c r="L15" s="18" t="n"/>
      <c r="M15" s="18" t="n"/>
    </row>
    <row r="16">
      <c r="A16" s="16">
        <f>IF(B16&lt;&gt;"",SUBSTITUTE(B16,"GAP","ACT"),"")</f>
        <v/>
      </c>
      <c r="B16" s="18" t="n"/>
      <c r="C16" s="18" t="n"/>
      <c r="D16" s="18" t="n"/>
      <c r="E16" s="18" t="n"/>
      <c r="F16" s="23" t="n"/>
      <c r="G16" s="18" t="n"/>
      <c r="H16" s="27" t="n"/>
      <c r="I16" s="23" t="n"/>
      <c r="J16" s="18" t="n"/>
      <c r="K16" s="18" t="n"/>
      <c r="L16" s="18" t="n"/>
      <c r="M16" s="18" t="n"/>
    </row>
    <row r="17">
      <c r="A17" s="16">
        <f>IF(B17&lt;&gt;"",SUBSTITUTE(B17,"GAP","ACT"),"")</f>
        <v/>
      </c>
      <c r="B17" s="18" t="n"/>
      <c r="C17" s="18" t="n"/>
      <c r="D17" s="18" t="n"/>
      <c r="E17" s="18" t="n"/>
      <c r="F17" s="23" t="n"/>
      <c r="G17" s="18" t="n"/>
      <c r="H17" s="27" t="n"/>
      <c r="I17" s="23" t="n"/>
      <c r="J17" s="18" t="n"/>
      <c r="K17" s="18" t="n"/>
      <c r="L17" s="18" t="n"/>
      <c r="M17" s="18" t="n"/>
    </row>
    <row r="18">
      <c r="A18" s="16">
        <f>IF(B18&lt;&gt;"",SUBSTITUTE(B18,"GAP","ACT"),"")</f>
        <v/>
      </c>
      <c r="B18" s="18" t="n"/>
      <c r="C18" s="18" t="n"/>
      <c r="D18" s="18" t="n"/>
      <c r="E18" s="18" t="n"/>
      <c r="F18" s="23" t="n"/>
      <c r="G18" s="18" t="n"/>
      <c r="H18" s="27" t="n"/>
      <c r="I18" s="23" t="n"/>
      <c r="J18" s="18" t="n"/>
      <c r="K18" s="18" t="n"/>
      <c r="L18" s="18" t="n"/>
      <c r="M18" s="18" t="n"/>
    </row>
    <row r="19">
      <c r="A19" s="16">
        <f>IF(B19&lt;&gt;"",SUBSTITUTE(B19,"GAP","ACT"),"")</f>
        <v/>
      </c>
      <c r="B19" s="18" t="n"/>
      <c r="C19" s="18" t="n"/>
      <c r="D19" s="18" t="n"/>
      <c r="E19" s="18" t="n"/>
      <c r="F19" s="23" t="n"/>
      <c r="G19" s="18" t="n"/>
      <c r="H19" s="27" t="n"/>
      <c r="I19" s="23" t="n"/>
      <c r="J19" s="18" t="n"/>
      <c r="K19" s="18" t="n"/>
      <c r="L19" s="18" t="n"/>
      <c r="M19" s="18" t="n"/>
    </row>
    <row r="20">
      <c r="A20" s="16">
        <f>IF(B20&lt;&gt;"",SUBSTITUTE(B20,"GAP","ACT"),"")</f>
        <v/>
      </c>
      <c r="B20" s="18" t="n"/>
      <c r="C20" s="18" t="n"/>
      <c r="D20" s="18" t="n"/>
      <c r="E20" s="18" t="n"/>
      <c r="F20" s="23" t="n"/>
      <c r="G20" s="18" t="n"/>
      <c r="H20" s="27" t="n"/>
      <c r="I20" s="23" t="n"/>
      <c r="J20" s="18" t="n"/>
      <c r="K20" s="18" t="n"/>
      <c r="L20" s="18" t="n"/>
      <c r="M20" s="18" t="n"/>
    </row>
    <row r="21">
      <c r="A21" s="16">
        <f>IF(B21&lt;&gt;"",SUBSTITUTE(B21,"GAP","ACT"),"")</f>
        <v/>
      </c>
      <c r="B21" s="18" t="n"/>
      <c r="C21" s="18" t="n"/>
      <c r="D21" s="18" t="n"/>
      <c r="E21" s="18" t="n"/>
      <c r="F21" s="23" t="n"/>
      <c r="G21" s="18" t="n"/>
      <c r="H21" s="27" t="n"/>
      <c r="I21" s="23" t="n"/>
      <c r="J21" s="18" t="n"/>
      <c r="K21" s="18" t="n"/>
      <c r="L21" s="18" t="n"/>
      <c r="M21" s="18" t="n"/>
    </row>
    <row r="22">
      <c r="A22" s="16">
        <f>IF(B22&lt;&gt;"",SUBSTITUTE(B22,"GAP","ACT"),"")</f>
        <v/>
      </c>
      <c r="B22" s="18" t="n"/>
      <c r="C22" s="18" t="n"/>
      <c r="D22" s="18" t="n"/>
      <c r="E22" s="18" t="n"/>
      <c r="F22" s="23" t="n"/>
      <c r="G22" s="18" t="n"/>
      <c r="H22" s="27" t="n"/>
      <c r="I22" s="23" t="n"/>
      <c r="J22" s="18" t="n"/>
      <c r="K22" s="18" t="n"/>
      <c r="L22" s="18" t="n"/>
      <c r="M22" s="18" t="n"/>
    </row>
    <row r="23">
      <c r="A23" s="16">
        <f>IF(B23&lt;&gt;"",SUBSTITUTE(B23,"GAP","ACT"),"")</f>
        <v/>
      </c>
      <c r="B23" s="18" t="n"/>
      <c r="C23" s="18" t="n"/>
      <c r="D23" s="18" t="n"/>
      <c r="E23" s="18" t="n"/>
      <c r="F23" s="23" t="n"/>
      <c r="G23" s="18" t="n"/>
      <c r="H23" s="27" t="n"/>
      <c r="I23" s="23" t="n"/>
      <c r="J23" s="18" t="n"/>
      <c r="K23" s="18" t="n"/>
      <c r="L23" s="18" t="n"/>
      <c r="M23" s="18" t="n"/>
    </row>
    <row r="24">
      <c r="A24" s="16">
        <f>IF(B24&lt;&gt;"",SUBSTITUTE(B24,"GAP","ACT"),"")</f>
        <v/>
      </c>
      <c r="B24" s="18" t="n"/>
      <c r="C24" s="18" t="n"/>
      <c r="D24" s="18" t="n"/>
      <c r="E24" s="18" t="n"/>
      <c r="F24" s="23" t="n"/>
      <c r="G24" s="18" t="n"/>
      <c r="H24" s="27" t="n"/>
      <c r="I24" s="23" t="n"/>
      <c r="J24" s="18" t="n"/>
      <c r="K24" s="18" t="n"/>
      <c r="L24" s="18" t="n"/>
      <c r="M24" s="18" t="n"/>
    </row>
    <row r="25">
      <c r="A25" s="16">
        <f>IF(B25&lt;&gt;"",SUBSTITUTE(B25,"GAP","ACT"),"")</f>
        <v/>
      </c>
      <c r="B25" s="18" t="n"/>
      <c r="C25" s="18" t="n"/>
      <c r="D25" s="18" t="n"/>
      <c r="E25" s="18" t="n"/>
      <c r="F25" s="23" t="n"/>
      <c r="G25" s="18" t="n"/>
      <c r="H25" s="27" t="n"/>
      <c r="I25" s="23" t="n"/>
      <c r="J25" s="18" t="n"/>
      <c r="K25" s="18" t="n"/>
      <c r="L25" s="18" t="n"/>
      <c r="M25" s="18" t="n"/>
    </row>
    <row r="26">
      <c r="A26" s="16">
        <f>IF(B26&lt;&gt;"",SUBSTITUTE(B26,"GAP","ACT"),"")</f>
        <v/>
      </c>
      <c r="B26" s="18" t="n"/>
      <c r="C26" s="18" t="n"/>
      <c r="D26" s="18" t="n"/>
      <c r="E26" s="18" t="n"/>
      <c r="F26" s="23" t="n"/>
      <c r="G26" s="18" t="n"/>
      <c r="H26" s="27" t="n"/>
      <c r="I26" s="23" t="n"/>
      <c r="J26" s="18" t="n"/>
      <c r="K26" s="18" t="n"/>
      <c r="L26" s="18" t="n"/>
      <c r="M26" s="18" t="n"/>
    </row>
    <row r="27">
      <c r="A27" s="16">
        <f>IF(B27&lt;&gt;"",SUBSTITUTE(B27,"GAP","ACT"),"")</f>
        <v/>
      </c>
      <c r="B27" s="18" t="n"/>
      <c r="C27" s="18" t="n"/>
      <c r="D27" s="18" t="n"/>
      <c r="E27" s="18" t="n"/>
      <c r="F27" s="23" t="n"/>
      <c r="G27" s="18" t="n"/>
      <c r="H27" s="27" t="n"/>
      <c r="I27" s="23" t="n"/>
      <c r="J27" s="18" t="n"/>
      <c r="K27" s="18" t="n"/>
      <c r="L27" s="18" t="n"/>
      <c r="M27" s="18" t="n"/>
    </row>
    <row r="28">
      <c r="A28" s="16">
        <f>IF(B28&lt;&gt;"",SUBSTITUTE(B28,"GAP","ACT"),"")</f>
        <v/>
      </c>
      <c r="B28" s="18" t="n"/>
      <c r="C28" s="18" t="n"/>
      <c r="D28" s="18" t="n"/>
      <c r="E28" s="18" t="n"/>
      <c r="F28" s="23" t="n"/>
      <c r="G28" s="18" t="n"/>
      <c r="H28" s="27" t="n"/>
      <c r="I28" s="23" t="n"/>
      <c r="J28" s="18" t="n"/>
      <c r="K28" s="18" t="n"/>
      <c r="L28" s="18" t="n"/>
      <c r="M28" s="18" t="n"/>
    </row>
    <row r="29">
      <c r="A29" s="16">
        <f>IF(B29&lt;&gt;"",SUBSTITUTE(B29,"GAP","ACT"),"")</f>
        <v/>
      </c>
      <c r="B29" s="18" t="n"/>
      <c r="C29" s="18" t="n"/>
      <c r="D29" s="18" t="n"/>
      <c r="E29" s="18" t="n"/>
      <c r="F29" s="23" t="n"/>
      <c r="G29" s="18" t="n"/>
      <c r="H29" s="27" t="n"/>
      <c r="I29" s="23" t="n"/>
      <c r="J29" s="18" t="n"/>
      <c r="K29" s="18" t="n"/>
      <c r="L29" s="18" t="n"/>
      <c r="M29" s="18" t="n"/>
    </row>
    <row r="30">
      <c r="A30" s="16">
        <f>IF(B30&lt;&gt;"",SUBSTITUTE(B30,"GAP","ACT"),"")</f>
        <v/>
      </c>
      <c r="B30" s="18" t="n"/>
      <c r="C30" s="18" t="n"/>
      <c r="D30" s="18" t="n"/>
      <c r="E30" s="18" t="n"/>
      <c r="F30" s="23" t="n"/>
      <c r="G30" s="18" t="n"/>
      <c r="H30" s="27" t="n"/>
      <c r="I30" s="23" t="n"/>
      <c r="J30" s="18" t="n"/>
      <c r="K30" s="18" t="n"/>
      <c r="L30" s="18" t="n"/>
      <c r="M30" s="18" t="n"/>
    </row>
    <row r="31">
      <c r="A31" s="16">
        <f>IF(B31&lt;&gt;"",SUBSTITUTE(B31,"GAP","ACT"),"")</f>
        <v/>
      </c>
      <c r="B31" s="18" t="n"/>
      <c r="C31" s="18" t="n"/>
      <c r="D31" s="18" t="n"/>
      <c r="E31" s="18" t="n"/>
      <c r="F31" s="23" t="n"/>
      <c r="G31" s="18" t="n"/>
      <c r="H31" s="27" t="n"/>
      <c r="I31" s="23" t="n"/>
      <c r="J31" s="18" t="n"/>
      <c r="K31" s="18" t="n"/>
      <c r="L31" s="18" t="n"/>
      <c r="M31" s="18" t="n"/>
    </row>
    <row r="32">
      <c r="A32" s="16">
        <f>IF(B32&lt;&gt;"",SUBSTITUTE(B32,"GAP","ACT"),"")</f>
        <v/>
      </c>
      <c r="B32" s="18" t="n"/>
      <c r="C32" s="18" t="n"/>
      <c r="D32" s="18" t="n"/>
      <c r="E32" s="18" t="n"/>
      <c r="F32" s="23" t="n"/>
      <c r="G32" s="18" t="n"/>
      <c r="H32" s="27" t="n"/>
      <c r="I32" s="23" t="n"/>
      <c r="J32" s="18" t="n"/>
      <c r="K32" s="18" t="n"/>
      <c r="L32" s="18" t="n"/>
      <c r="M32" s="18" t="n"/>
    </row>
    <row r="33">
      <c r="A33" s="16">
        <f>IF(B33&lt;&gt;"",SUBSTITUTE(B33,"GAP","ACT"),"")</f>
        <v/>
      </c>
      <c r="B33" s="18" t="n"/>
      <c r="C33" s="18" t="n"/>
      <c r="D33" s="18" t="n"/>
      <c r="E33" s="18" t="n"/>
      <c r="F33" s="23" t="n"/>
      <c r="G33" s="18" t="n"/>
      <c r="H33" s="27" t="n"/>
      <c r="I33" s="23" t="n"/>
      <c r="J33" s="18" t="n"/>
      <c r="K33" s="18" t="n"/>
      <c r="L33" s="18" t="n"/>
      <c r="M33" s="18" t="n"/>
    </row>
    <row r="34">
      <c r="A34" s="16">
        <f>IF(B34&lt;&gt;"",SUBSTITUTE(B34,"GAP","ACT"),"")</f>
        <v/>
      </c>
      <c r="B34" s="18" t="n"/>
      <c r="C34" s="18" t="n"/>
      <c r="D34" s="18" t="n"/>
      <c r="E34" s="18" t="n"/>
      <c r="F34" s="23" t="n"/>
      <c r="G34" s="18" t="n"/>
      <c r="H34" s="27" t="n"/>
      <c r="I34" s="23" t="n"/>
      <c r="J34" s="18" t="n"/>
      <c r="K34" s="18" t="n"/>
      <c r="L34" s="18" t="n"/>
      <c r="M34" s="18" t="n"/>
    </row>
    <row r="35">
      <c r="A35" s="16">
        <f>IF(B35&lt;&gt;"",SUBSTITUTE(B35,"GAP","ACT"),"")</f>
        <v/>
      </c>
      <c r="B35" s="18" t="n"/>
      <c r="C35" s="18" t="n"/>
      <c r="D35" s="18" t="n"/>
      <c r="E35" s="18" t="n"/>
      <c r="F35" s="23" t="n"/>
      <c r="G35" s="18" t="n"/>
      <c r="H35" s="27" t="n"/>
      <c r="I35" s="23" t="n"/>
      <c r="J35" s="18" t="n"/>
      <c r="K35" s="18" t="n"/>
      <c r="L35" s="18" t="n"/>
      <c r="M35" s="18" t="n"/>
    </row>
    <row r="36">
      <c r="A36" s="16">
        <f>IF(B36&lt;&gt;"",SUBSTITUTE(B36,"GAP","ACT"),"")</f>
        <v/>
      </c>
      <c r="B36" s="18" t="n"/>
      <c r="C36" s="18" t="n"/>
      <c r="D36" s="18" t="n"/>
      <c r="E36" s="18" t="n"/>
      <c r="F36" s="23" t="n"/>
      <c r="G36" s="18" t="n"/>
      <c r="H36" s="27" t="n"/>
      <c r="I36" s="23" t="n"/>
      <c r="J36" s="18" t="n"/>
      <c r="K36" s="18" t="n"/>
      <c r="L36" s="18" t="n"/>
      <c r="M36" s="18" t="n"/>
    </row>
    <row r="37">
      <c r="A37" s="16">
        <f>IF(B37&lt;&gt;"",SUBSTITUTE(B37,"GAP","ACT"),"")</f>
        <v/>
      </c>
      <c r="B37" s="18" t="n"/>
      <c r="C37" s="18" t="n"/>
      <c r="D37" s="18" t="n"/>
      <c r="E37" s="18" t="n"/>
      <c r="F37" s="23" t="n"/>
      <c r="G37" s="18" t="n"/>
      <c r="H37" s="27" t="n"/>
      <c r="I37" s="23" t="n"/>
      <c r="J37" s="18" t="n"/>
      <c r="K37" s="18" t="n"/>
      <c r="L37" s="18" t="n"/>
      <c r="M37" s="18" t="n"/>
    </row>
    <row r="38">
      <c r="A38" s="16">
        <f>IF(B38&lt;&gt;"",SUBSTITUTE(B38,"GAP","ACT"),"")</f>
        <v/>
      </c>
      <c r="B38" s="18" t="n"/>
      <c r="C38" s="18" t="n"/>
      <c r="D38" s="18" t="n"/>
      <c r="E38" s="18" t="n"/>
      <c r="F38" s="23" t="n"/>
      <c r="G38" s="18" t="n"/>
      <c r="H38" s="27" t="n"/>
      <c r="I38" s="23" t="n"/>
      <c r="J38" s="18" t="n"/>
      <c r="K38" s="18" t="n"/>
      <c r="L38" s="18" t="n"/>
      <c r="M38" s="18" t="n"/>
    </row>
    <row r="39">
      <c r="A39" s="16">
        <f>IF(B39&lt;&gt;"",SUBSTITUTE(B39,"GAP","ACT"),"")</f>
        <v/>
      </c>
      <c r="B39" s="18" t="n"/>
      <c r="C39" s="18" t="n"/>
      <c r="D39" s="18" t="n"/>
      <c r="E39" s="18" t="n"/>
      <c r="F39" s="23" t="n"/>
      <c r="G39" s="18" t="n"/>
      <c r="H39" s="27" t="n"/>
      <c r="I39" s="23" t="n"/>
      <c r="J39" s="18" t="n"/>
      <c r="K39" s="18" t="n"/>
      <c r="L39" s="18" t="n"/>
      <c r="M39" s="18" t="n"/>
    </row>
    <row r="40">
      <c r="A40" s="16">
        <f>IF(B40&lt;&gt;"",SUBSTITUTE(B40,"GAP","ACT"),"")</f>
        <v/>
      </c>
      <c r="B40" s="18" t="n"/>
      <c r="C40" s="18" t="n"/>
      <c r="D40" s="18" t="n"/>
      <c r="E40" s="18" t="n"/>
      <c r="F40" s="23" t="n"/>
      <c r="G40" s="18" t="n"/>
      <c r="H40" s="27" t="n"/>
      <c r="I40" s="23" t="n"/>
      <c r="J40" s="18" t="n"/>
      <c r="K40" s="18" t="n"/>
      <c r="L40" s="18" t="n"/>
      <c r="M40" s="18" t="n"/>
    </row>
    <row r="41">
      <c r="A41" s="16">
        <f>IF(B41&lt;&gt;"",SUBSTITUTE(B41,"GAP","ACT"),"")</f>
        <v/>
      </c>
      <c r="B41" s="18" t="n"/>
      <c r="C41" s="18" t="n"/>
      <c r="D41" s="18" t="n"/>
      <c r="E41" s="18" t="n"/>
      <c r="F41" s="23" t="n"/>
      <c r="G41" s="18" t="n"/>
      <c r="H41" s="27" t="n"/>
      <c r="I41" s="23" t="n"/>
      <c r="J41" s="18" t="n"/>
      <c r="K41" s="18" t="n"/>
      <c r="L41" s="18" t="n"/>
      <c r="M41" s="18" t="n"/>
    </row>
    <row r="42">
      <c r="A42" s="16">
        <f>IF(B42&lt;&gt;"",SUBSTITUTE(B42,"GAP","ACT"),"")</f>
        <v/>
      </c>
      <c r="B42" s="18" t="n"/>
      <c r="C42" s="18" t="n"/>
      <c r="D42" s="18" t="n"/>
      <c r="E42" s="18" t="n"/>
      <c r="F42" s="23" t="n"/>
      <c r="G42" s="18" t="n"/>
      <c r="H42" s="27" t="n"/>
      <c r="I42" s="23" t="n"/>
      <c r="J42" s="18" t="n"/>
      <c r="K42" s="18" t="n"/>
      <c r="L42" s="18" t="n"/>
      <c r="M42" s="18" t="n"/>
    </row>
    <row r="43">
      <c r="A43" s="16">
        <f>IF(B43&lt;&gt;"",SUBSTITUTE(B43,"GAP","ACT"),"")</f>
        <v/>
      </c>
      <c r="B43" s="18" t="n"/>
      <c r="C43" s="18" t="n"/>
      <c r="D43" s="18" t="n"/>
      <c r="E43" s="18" t="n"/>
      <c r="F43" s="23" t="n"/>
      <c r="G43" s="18" t="n"/>
      <c r="H43" s="27" t="n"/>
      <c r="I43" s="23" t="n"/>
      <c r="J43" s="18" t="n"/>
      <c r="K43" s="18" t="n"/>
      <c r="L43" s="18" t="n"/>
      <c r="M43" s="18" t="n"/>
    </row>
    <row r="44">
      <c r="A44" s="16">
        <f>IF(B44&lt;&gt;"",SUBSTITUTE(B44,"GAP","ACT"),"")</f>
        <v/>
      </c>
      <c r="B44" s="18" t="n"/>
      <c r="C44" s="18" t="n"/>
      <c r="D44" s="18" t="n"/>
      <c r="E44" s="18" t="n"/>
      <c r="F44" s="23" t="n"/>
      <c r="G44" s="18" t="n"/>
      <c r="H44" s="27" t="n"/>
      <c r="I44" s="23" t="n"/>
      <c r="J44" s="18" t="n"/>
      <c r="K44" s="18" t="n"/>
      <c r="L44" s="18" t="n"/>
      <c r="M44" s="18" t="n"/>
    </row>
    <row r="45">
      <c r="A45" s="16">
        <f>IF(B45&lt;&gt;"",SUBSTITUTE(B45,"GAP","ACT"),"")</f>
        <v/>
      </c>
      <c r="B45" s="18" t="n"/>
      <c r="C45" s="18" t="n"/>
      <c r="D45" s="18" t="n"/>
      <c r="E45" s="18" t="n"/>
      <c r="F45" s="23" t="n"/>
      <c r="G45" s="18" t="n"/>
      <c r="H45" s="27" t="n"/>
      <c r="I45" s="23" t="n"/>
      <c r="J45" s="18" t="n"/>
      <c r="K45" s="18" t="n"/>
      <c r="L45" s="18" t="n"/>
      <c r="M45" s="18" t="n"/>
    </row>
    <row r="46">
      <c r="A46" s="16">
        <f>IF(B46&lt;&gt;"",SUBSTITUTE(B46,"GAP","ACT"),"")</f>
        <v/>
      </c>
      <c r="B46" s="18" t="n"/>
      <c r="C46" s="18" t="n"/>
      <c r="D46" s="18" t="n"/>
      <c r="E46" s="18" t="n"/>
      <c r="F46" s="23" t="n"/>
      <c r="G46" s="18" t="n"/>
      <c r="H46" s="27" t="n"/>
      <c r="I46" s="23" t="n"/>
      <c r="J46" s="18" t="n"/>
      <c r="K46" s="18" t="n"/>
      <c r="L46" s="18" t="n"/>
      <c r="M46" s="18" t="n"/>
    </row>
    <row r="47">
      <c r="A47" s="16">
        <f>IF(B47&lt;&gt;"",SUBSTITUTE(B47,"GAP","ACT"),"")</f>
        <v/>
      </c>
      <c r="B47" s="18" t="n"/>
      <c r="C47" s="18" t="n"/>
      <c r="D47" s="18" t="n"/>
      <c r="E47" s="18" t="n"/>
      <c r="F47" s="23" t="n"/>
      <c r="G47" s="18" t="n"/>
      <c r="H47" s="27" t="n"/>
      <c r="I47" s="23" t="n"/>
      <c r="J47" s="18" t="n"/>
      <c r="K47" s="18" t="n"/>
      <c r="L47" s="18" t="n"/>
      <c r="M47" s="18" t="n"/>
    </row>
    <row r="48">
      <c r="A48" s="16">
        <f>IF(B48&lt;&gt;"",SUBSTITUTE(B48,"GAP","ACT"),"")</f>
        <v/>
      </c>
      <c r="B48" s="18" t="n"/>
      <c r="C48" s="18" t="n"/>
      <c r="D48" s="18" t="n"/>
      <c r="E48" s="18" t="n"/>
      <c r="F48" s="23" t="n"/>
      <c r="G48" s="18" t="n"/>
      <c r="H48" s="27" t="n"/>
      <c r="I48" s="23" t="n"/>
      <c r="J48" s="18" t="n"/>
      <c r="K48" s="18" t="n"/>
      <c r="L48" s="18" t="n"/>
      <c r="M48" s="18" t="n"/>
    </row>
    <row r="49">
      <c r="A49" s="16">
        <f>IF(B49&lt;&gt;"",SUBSTITUTE(B49,"GAP","ACT"),"")</f>
        <v/>
      </c>
      <c r="B49" s="18" t="n"/>
      <c r="C49" s="18" t="n"/>
      <c r="D49" s="18" t="n"/>
      <c r="E49" s="18" t="n"/>
      <c r="F49" s="23" t="n"/>
      <c r="G49" s="18" t="n"/>
      <c r="H49" s="27" t="n"/>
      <c r="I49" s="23" t="n"/>
      <c r="J49" s="18" t="n"/>
      <c r="K49" s="18" t="n"/>
      <c r="L49" s="18" t="n"/>
      <c r="M49" s="18" t="n"/>
    </row>
    <row r="50">
      <c r="A50" s="16">
        <f>IF(B50&lt;&gt;"",SUBSTITUTE(B50,"GAP","ACT"),"")</f>
        <v/>
      </c>
      <c r="B50" s="18" t="n"/>
      <c r="C50" s="18" t="n"/>
      <c r="D50" s="18" t="n"/>
      <c r="E50" s="18" t="n"/>
      <c r="F50" s="23" t="n"/>
      <c r="G50" s="18" t="n"/>
      <c r="H50" s="27" t="n"/>
      <c r="I50" s="23" t="n"/>
      <c r="J50" s="18" t="n"/>
      <c r="K50" s="18" t="n"/>
      <c r="L50" s="18" t="n"/>
      <c r="M50" s="18" t="n"/>
    </row>
    <row r="51">
      <c r="A51" s="16">
        <f>IF(B51&lt;&gt;"",SUBSTITUTE(B51,"GAP","ACT"),"")</f>
        <v/>
      </c>
      <c r="B51" s="18" t="n"/>
      <c r="C51" s="18" t="n"/>
      <c r="D51" s="18" t="n"/>
      <c r="E51" s="18" t="n"/>
      <c r="F51" s="23" t="n"/>
      <c r="G51" s="18" t="n"/>
      <c r="H51" s="27" t="n"/>
      <c r="I51" s="23" t="n"/>
      <c r="J51" s="18" t="n"/>
      <c r="K51" s="18" t="n"/>
      <c r="L51" s="18" t="n"/>
      <c r="M51" s="18" t="n"/>
    </row>
    <row r="52">
      <c r="A52" s="16">
        <f>IF(B52&lt;&gt;"",SUBSTITUTE(B52,"GAP","ACT"),"")</f>
        <v/>
      </c>
      <c r="B52" s="18" t="n"/>
      <c r="C52" s="18" t="n"/>
      <c r="D52" s="18" t="n"/>
      <c r="E52" s="18" t="n"/>
      <c r="F52" s="23" t="n"/>
      <c r="G52" s="18" t="n"/>
      <c r="H52" s="27" t="n"/>
      <c r="I52" s="23" t="n"/>
      <c r="J52" s="18" t="n"/>
      <c r="K52" s="18" t="n"/>
      <c r="L52" s="18" t="n"/>
      <c r="M52" s="18" t="n"/>
    </row>
    <row r="53">
      <c r="A53" s="16">
        <f>IF(B53&lt;&gt;"",SUBSTITUTE(B53,"GAP","ACT"),"")</f>
        <v/>
      </c>
      <c r="B53" s="18" t="n"/>
      <c r="C53" s="18" t="n"/>
      <c r="D53" s="18" t="n"/>
      <c r="E53" s="18" t="n"/>
      <c r="F53" s="23" t="n"/>
      <c r="G53" s="18" t="n"/>
      <c r="H53" s="27" t="n"/>
      <c r="I53" s="23" t="n"/>
      <c r="J53" s="18" t="n"/>
      <c r="K53" s="18" t="n"/>
      <c r="L53" s="18" t="n"/>
      <c r="M53" s="18" t="n"/>
    </row>
    <row r="54">
      <c r="A54" s="16">
        <f>IF(B54&lt;&gt;"",SUBSTITUTE(B54,"GAP","ACT"),"")</f>
        <v/>
      </c>
      <c r="B54" s="18" t="n"/>
      <c r="C54" s="18" t="n"/>
      <c r="D54" s="18" t="n"/>
      <c r="E54" s="18" t="n"/>
      <c r="F54" s="23" t="n"/>
      <c r="G54" s="18" t="n"/>
      <c r="H54" s="27" t="n"/>
      <c r="I54" s="23" t="n"/>
      <c r="J54" s="18" t="n"/>
      <c r="K54" s="18" t="n"/>
      <c r="L54" s="18" t="n"/>
      <c r="M54" s="18" t="n"/>
    </row>
    <row r="55">
      <c r="A55" s="16">
        <f>IF(B55&lt;&gt;"",SUBSTITUTE(B55,"GAP","ACT"),"")</f>
        <v/>
      </c>
      <c r="B55" s="18" t="n"/>
      <c r="C55" s="18" t="n"/>
      <c r="D55" s="18" t="n"/>
      <c r="E55" s="18" t="n"/>
      <c r="F55" s="23" t="n"/>
      <c r="G55" s="18" t="n"/>
      <c r="H55" s="27" t="n"/>
      <c r="I55" s="23" t="n"/>
      <c r="J55" s="18" t="n"/>
      <c r="K55" s="18" t="n"/>
      <c r="L55" s="18" t="n"/>
      <c r="M55" s="18" t="n"/>
    </row>
    <row r="56">
      <c r="A56" s="16">
        <f>IF(B56&lt;&gt;"",SUBSTITUTE(B56,"GAP","ACT"),"")</f>
        <v/>
      </c>
      <c r="B56" s="18" t="n"/>
      <c r="C56" s="18" t="n"/>
      <c r="D56" s="18" t="n"/>
      <c r="E56" s="18" t="n"/>
      <c r="F56" s="23" t="n"/>
      <c r="G56" s="18" t="n"/>
      <c r="H56" s="27" t="n"/>
      <c r="I56" s="23" t="n"/>
      <c r="J56" s="18" t="n"/>
      <c r="K56" s="18" t="n"/>
      <c r="L56" s="18" t="n"/>
      <c r="M56" s="18" t="n"/>
    </row>
    <row r="57">
      <c r="A57" s="16">
        <f>IF(B57&lt;&gt;"",SUBSTITUTE(B57,"GAP","ACT"),"")</f>
        <v/>
      </c>
      <c r="B57" s="18" t="n"/>
      <c r="C57" s="18" t="n"/>
      <c r="D57" s="18" t="n"/>
      <c r="E57" s="18" t="n"/>
      <c r="F57" s="23" t="n"/>
      <c r="G57" s="18" t="n"/>
      <c r="H57" s="27" t="n"/>
      <c r="I57" s="23" t="n"/>
      <c r="J57" s="18" t="n"/>
      <c r="K57" s="18" t="n"/>
      <c r="L57" s="18" t="n"/>
      <c r="M57" s="18" t="n"/>
    </row>
    <row r="58">
      <c r="A58" s="16">
        <f>IF(B58&lt;&gt;"",SUBSTITUTE(B58,"GAP","ACT"),"")</f>
        <v/>
      </c>
      <c r="B58" s="18" t="n"/>
      <c r="C58" s="18" t="n"/>
      <c r="D58" s="18" t="n"/>
      <c r="E58" s="18" t="n"/>
      <c r="F58" s="23" t="n"/>
      <c r="G58" s="18" t="n"/>
      <c r="H58" s="27" t="n"/>
      <c r="I58" s="23" t="n"/>
      <c r="J58" s="18" t="n"/>
      <c r="K58" s="18" t="n"/>
      <c r="L58" s="18" t="n"/>
      <c r="M58" s="18" t="n"/>
    </row>
    <row r="59">
      <c r="A59" s="16">
        <f>IF(B59&lt;&gt;"",SUBSTITUTE(B59,"GAP","ACT"),"")</f>
        <v/>
      </c>
      <c r="B59" s="18" t="n"/>
      <c r="C59" s="18" t="n"/>
      <c r="D59" s="18" t="n"/>
      <c r="E59" s="18" t="n"/>
      <c r="F59" s="23" t="n"/>
      <c r="G59" s="18" t="n"/>
      <c r="H59" s="27" t="n"/>
      <c r="I59" s="23" t="n"/>
      <c r="J59" s="18" t="n"/>
      <c r="K59" s="18" t="n"/>
      <c r="L59" s="18" t="n"/>
      <c r="M59" s="18" t="n"/>
    </row>
    <row r="60">
      <c r="A60" s="16">
        <f>IF(B60&lt;&gt;"",SUBSTITUTE(B60,"GAP","ACT"),"")</f>
        <v/>
      </c>
      <c r="B60" s="18" t="n"/>
      <c r="C60" s="18" t="n"/>
      <c r="D60" s="18" t="n"/>
      <c r="E60" s="18" t="n"/>
      <c r="F60" s="23" t="n"/>
      <c r="G60" s="18" t="n"/>
      <c r="H60" s="27" t="n"/>
      <c r="I60" s="23" t="n"/>
      <c r="J60" s="18" t="n"/>
      <c r="K60" s="18" t="n"/>
      <c r="L60" s="18" t="n"/>
      <c r="M60" s="18" t="n"/>
    </row>
    <row r="61">
      <c r="A61" s="16">
        <f>IF(B61&lt;&gt;"",SUBSTITUTE(B61,"GAP","ACT"),"")</f>
        <v/>
      </c>
      <c r="B61" s="18" t="n"/>
      <c r="C61" s="18" t="n"/>
      <c r="D61" s="18" t="n"/>
      <c r="E61" s="18" t="n"/>
      <c r="F61" s="23" t="n"/>
      <c r="G61" s="18" t="n"/>
      <c r="H61" s="27" t="n"/>
      <c r="I61" s="23" t="n"/>
      <c r="J61" s="18" t="n"/>
      <c r="K61" s="18" t="n"/>
      <c r="L61" s="18" t="n"/>
      <c r="M61" s="18" t="n"/>
    </row>
    <row r="62">
      <c r="A62" s="16">
        <f>IF(B62&lt;&gt;"",SUBSTITUTE(B62,"GAP","ACT"),"")</f>
        <v/>
      </c>
      <c r="B62" s="18" t="n"/>
      <c r="C62" s="18" t="n"/>
      <c r="D62" s="18" t="n"/>
      <c r="E62" s="18" t="n"/>
      <c r="F62" s="23" t="n"/>
      <c r="G62" s="18" t="n"/>
      <c r="H62" s="27" t="n"/>
      <c r="I62" s="23" t="n"/>
      <c r="J62" s="18" t="n"/>
      <c r="K62" s="18" t="n"/>
      <c r="L62" s="18" t="n"/>
      <c r="M62" s="18" t="n"/>
    </row>
    <row r="63">
      <c r="A63" s="16">
        <f>IF(B63&lt;&gt;"",SUBSTITUTE(B63,"GAP","ACT"),"")</f>
        <v/>
      </c>
      <c r="B63" s="18" t="n"/>
      <c r="C63" s="18" t="n"/>
      <c r="D63" s="18" t="n"/>
      <c r="E63" s="18" t="n"/>
      <c r="F63" s="23" t="n"/>
      <c r="G63" s="18" t="n"/>
      <c r="H63" s="27" t="n"/>
      <c r="I63" s="23" t="n"/>
      <c r="J63" s="18" t="n"/>
      <c r="K63" s="18" t="n"/>
      <c r="L63" s="18" t="n"/>
      <c r="M63" s="18" t="n"/>
    </row>
    <row r="64">
      <c r="A64" s="16">
        <f>IF(B64&lt;&gt;"",SUBSTITUTE(B64,"GAP","ACT"),"")</f>
        <v/>
      </c>
      <c r="B64" s="18" t="n"/>
      <c r="C64" s="18" t="n"/>
      <c r="D64" s="18" t="n"/>
      <c r="E64" s="18" t="n"/>
      <c r="F64" s="23" t="n"/>
      <c r="G64" s="18" t="n"/>
      <c r="H64" s="27" t="n"/>
      <c r="I64" s="23" t="n"/>
      <c r="J64" s="18" t="n"/>
      <c r="K64" s="18" t="n"/>
      <c r="L64" s="18" t="n"/>
      <c r="M64" s="18" t="n"/>
    </row>
    <row r="65">
      <c r="A65" s="16">
        <f>IF(B65&lt;&gt;"",SUBSTITUTE(B65,"GAP","ACT"),"")</f>
        <v/>
      </c>
      <c r="B65" s="18" t="n"/>
      <c r="C65" s="18" t="n"/>
      <c r="D65" s="18" t="n"/>
      <c r="E65" s="18" t="n"/>
      <c r="F65" s="23" t="n"/>
      <c r="G65" s="18" t="n"/>
      <c r="H65" s="27" t="n"/>
      <c r="I65" s="23" t="n"/>
      <c r="J65" s="18" t="n"/>
      <c r="K65" s="18" t="n"/>
      <c r="L65" s="18" t="n"/>
      <c r="M65" s="18" t="n"/>
    </row>
    <row r="66">
      <c r="A66" s="16">
        <f>IF(B66&lt;&gt;"",SUBSTITUTE(B66,"GAP","ACT"),"")</f>
        <v/>
      </c>
      <c r="B66" s="18" t="n"/>
      <c r="C66" s="18" t="n"/>
      <c r="D66" s="18" t="n"/>
      <c r="E66" s="18" t="n"/>
      <c r="F66" s="23" t="n"/>
      <c r="G66" s="18" t="n"/>
      <c r="H66" s="27" t="n"/>
      <c r="I66" s="23" t="n"/>
      <c r="J66" s="18" t="n"/>
      <c r="K66" s="18" t="n"/>
      <c r="L66" s="18" t="n"/>
      <c r="M66" s="18" t="n"/>
    </row>
    <row r="67">
      <c r="A67" s="16">
        <f>IF(B67&lt;&gt;"",SUBSTITUTE(B67,"GAP","ACT"),"")</f>
        <v/>
      </c>
      <c r="B67" s="18" t="n"/>
      <c r="C67" s="18" t="n"/>
      <c r="D67" s="18" t="n"/>
      <c r="E67" s="18" t="n"/>
      <c r="F67" s="23" t="n"/>
      <c r="G67" s="18" t="n"/>
      <c r="H67" s="27" t="n"/>
      <c r="I67" s="23" t="n"/>
      <c r="J67" s="18" t="n"/>
      <c r="K67" s="18" t="n"/>
      <c r="L67" s="18" t="n"/>
      <c r="M67" s="18" t="n"/>
    </row>
    <row r="68">
      <c r="A68" s="16">
        <f>IF(B68&lt;&gt;"",SUBSTITUTE(B68,"GAP","ACT"),"")</f>
        <v/>
      </c>
      <c r="B68" s="18" t="n"/>
      <c r="C68" s="18" t="n"/>
      <c r="D68" s="18" t="n"/>
      <c r="E68" s="18" t="n"/>
      <c r="F68" s="23" t="n"/>
      <c r="G68" s="18" t="n"/>
      <c r="H68" s="27" t="n"/>
      <c r="I68" s="23" t="n"/>
      <c r="J68" s="18" t="n"/>
      <c r="K68" s="18" t="n"/>
      <c r="L68" s="18" t="n"/>
      <c r="M68" s="18" t="n"/>
    </row>
    <row r="69">
      <c r="A69" s="16">
        <f>IF(B69&lt;&gt;"",SUBSTITUTE(B69,"GAP","ACT"),"")</f>
        <v/>
      </c>
      <c r="B69" s="18" t="n"/>
      <c r="C69" s="18" t="n"/>
      <c r="D69" s="18" t="n"/>
      <c r="E69" s="18" t="n"/>
      <c r="F69" s="23" t="n"/>
      <c r="G69" s="18" t="n"/>
      <c r="H69" s="27" t="n"/>
      <c r="I69" s="23" t="n"/>
      <c r="J69" s="18" t="n"/>
      <c r="K69" s="18" t="n"/>
      <c r="L69" s="18" t="n"/>
      <c r="M69" s="18" t="n"/>
    </row>
    <row r="70">
      <c r="A70" s="16">
        <f>IF(B70&lt;&gt;"",SUBSTITUTE(B70,"GAP","ACT"),"")</f>
        <v/>
      </c>
      <c r="B70" s="18" t="n"/>
      <c r="C70" s="18" t="n"/>
      <c r="D70" s="18" t="n"/>
      <c r="E70" s="18" t="n"/>
      <c r="F70" s="23" t="n"/>
      <c r="G70" s="18" t="n"/>
      <c r="H70" s="27" t="n"/>
      <c r="I70" s="23" t="n"/>
      <c r="J70" s="18" t="n"/>
      <c r="K70" s="18" t="n"/>
      <c r="L70" s="18" t="n"/>
      <c r="M70" s="18" t="n"/>
    </row>
    <row r="71">
      <c r="A71" s="16">
        <f>IF(B71&lt;&gt;"",SUBSTITUTE(B71,"GAP","ACT"),"")</f>
        <v/>
      </c>
      <c r="B71" s="18" t="n"/>
      <c r="C71" s="18" t="n"/>
      <c r="D71" s="18" t="n"/>
      <c r="E71" s="18" t="n"/>
      <c r="F71" s="23" t="n"/>
      <c r="G71" s="18" t="n"/>
      <c r="H71" s="27" t="n"/>
      <c r="I71" s="23" t="n"/>
      <c r="J71" s="18" t="n"/>
      <c r="K71" s="18" t="n"/>
      <c r="L71" s="18" t="n"/>
      <c r="M71" s="18" t="n"/>
    </row>
    <row r="72">
      <c r="A72" s="16">
        <f>IF(B72&lt;&gt;"",SUBSTITUTE(B72,"GAP","ACT"),"")</f>
        <v/>
      </c>
      <c r="B72" s="18" t="n"/>
      <c r="C72" s="18" t="n"/>
      <c r="D72" s="18" t="n"/>
      <c r="E72" s="18" t="n"/>
      <c r="F72" s="23" t="n"/>
      <c r="G72" s="18" t="n"/>
      <c r="H72" s="27" t="n"/>
      <c r="I72" s="23" t="n"/>
      <c r="J72" s="18" t="n"/>
      <c r="K72" s="18" t="n"/>
      <c r="L72" s="18" t="n"/>
      <c r="M72" s="18" t="n"/>
    </row>
    <row r="73">
      <c r="A73" s="16">
        <f>IF(B73&lt;&gt;"",SUBSTITUTE(B73,"GAP","ACT"),"")</f>
        <v/>
      </c>
      <c r="B73" s="18" t="n"/>
      <c r="C73" s="18" t="n"/>
      <c r="D73" s="18" t="n"/>
      <c r="E73" s="18" t="n"/>
      <c r="F73" s="23" t="n"/>
      <c r="G73" s="18" t="n"/>
      <c r="H73" s="27" t="n"/>
      <c r="I73" s="23" t="n"/>
      <c r="J73" s="18" t="n"/>
      <c r="K73" s="18" t="n"/>
      <c r="L73" s="18" t="n"/>
      <c r="M73" s="18" t="n"/>
    </row>
    <row r="74">
      <c r="A74" s="16">
        <f>IF(B74&lt;&gt;"",SUBSTITUTE(B74,"GAP","ACT"),"")</f>
        <v/>
      </c>
      <c r="B74" s="18" t="n"/>
      <c r="C74" s="18" t="n"/>
      <c r="D74" s="18" t="n"/>
      <c r="E74" s="18" t="n"/>
      <c r="F74" s="23" t="n"/>
      <c r="G74" s="18" t="n"/>
      <c r="H74" s="27" t="n"/>
      <c r="I74" s="23" t="n"/>
      <c r="J74" s="18" t="n"/>
      <c r="K74" s="18" t="n"/>
      <c r="L74" s="18" t="n"/>
      <c r="M74" s="18" t="n"/>
    </row>
    <row r="75">
      <c r="A75" s="16">
        <f>IF(B75&lt;&gt;"",SUBSTITUTE(B75,"GAP","ACT"),"")</f>
        <v/>
      </c>
      <c r="B75" s="18" t="n"/>
      <c r="C75" s="18" t="n"/>
      <c r="D75" s="18" t="n"/>
      <c r="E75" s="18" t="n"/>
      <c r="F75" s="23" t="n"/>
      <c r="G75" s="18" t="n"/>
      <c r="H75" s="27" t="n"/>
      <c r="I75" s="23" t="n"/>
      <c r="J75" s="18" t="n"/>
      <c r="K75" s="18" t="n"/>
      <c r="L75" s="18" t="n"/>
      <c r="M75" s="18" t="n"/>
    </row>
    <row r="76">
      <c r="A76" s="16">
        <f>IF(B76&lt;&gt;"",SUBSTITUTE(B76,"GAP","ACT"),"")</f>
        <v/>
      </c>
      <c r="B76" s="18" t="n"/>
      <c r="C76" s="18" t="n"/>
      <c r="D76" s="18" t="n"/>
      <c r="E76" s="18" t="n"/>
      <c r="F76" s="23" t="n"/>
      <c r="G76" s="18" t="n"/>
      <c r="H76" s="27" t="n"/>
      <c r="I76" s="23" t="n"/>
      <c r="J76" s="18" t="n"/>
      <c r="K76" s="18" t="n"/>
      <c r="L76" s="18" t="n"/>
      <c r="M76" s="18" t="n"/>
    </row>
    <row r="77">
      <c r="A77" s="16">
        <f>IF(B77&lt;&gt;"",SUBSTITUTE(B77,"GAP","ACT"),"")</f>
        <v/>
      </c>
      <c r="B77" s="18" t="n"/>
      <c r="C77" s="18" t="n"/>
      <c r="D77" s="18" t="n"/>
      <c r="E77" s="18" t="n"/>
      <c r="F77" s="23" t="n"/>
      <c r="G77" s="18" t="n"/>
      <c r="H77" s="27" t="n"/>
      <c r="I77" s="23" t="n"/>
      <c r="J77" s="18" t="n"/>
      <c r="K77" s="18" t="n"/>
      <c r="L77" s="18" t="n"/>
      <c r="M77" s="18" t="n"/>
    </row>
    <row r="78">
      <c r="A78" s="16">
        <f>IF(B78&lt;&gt;"",SUBSTITUTE(B78,"GAP","ACT"),"")</f>
        <v/>
      </c>
      <c r="B78" s="18" t="n"/>
      <c r="C78" s="18" t="n"/>
      <c r="D78" s="18" t="n"/>
      <c r="E78" s="18" t="n"/>
      <c r="F78" s="23" t="n"/>
      <c r="G78" s="18" t="n"/>
      <c r="H78" s="27" t="n"/>
      <c r="I78" s="23" t="n"/>
      <c r="J78" s="18" t="n"/>
      <c r="K78" s="18" t="n"/>
      <c r="L78" s="18" t="n"/>
      <c r="M78" s="18" t="n"/>
    </row>
    <row r="79">
      <c r="A79" s="16">
        <f>IF(B79&lt;&gt;"",SUBSTITUTE(B79,"GAP","ACT"),"")</f>
        <v/>
      </c>
      <c r="B79" s="18" t="n"/>
      <c r="C79" s="18" t="n"/>
      <c r="D79" s="18" t="n"/>
      <c r="E79" s="18" t="n"/>
      <c r="F79" s="23" t="n"/>
      <c r="G79" s="18" t="n"/>
      <c r="H79" s="27" t="n"/>
      <c r="I79" s="23" t="n"/>
      <c r="J79" s="18" t="n"/>
      <c r="K79" s="18" t="n"/>
      <c r="L79" s="18" t="n"/>
      <c r="M79" s="18" t="n"/>
    </row>
    <row r="80">
      <c r="A80" s="16">
        <f>IF(B80&lt;&gt;"",SUBSTITUTE(B80,"GAP","ACT"),"")</f>
        <v/>
      </c>
      <c r="B80" s="18" t="n"/>
      <c r="C80" s="18" t="n"/>
      <c r="D80" s="18" t="n"/>
      <c r="E80" s="18" t="n"/>
      <c r="F80" s="23" t="n"/>
      <c r="G80" s="18" t="n"/>
      <c r="H80" s="27" t="n"/>
      <c r="I80" s="23" t="n"/>
      <c r="J80" s="18" t="n"/>
      <c r="K80" s="18" t="n"/>
      <c r="L80" s="18" t="n"/>
      <c r="M80" s="18" t="n"/>
    </row>
    <row r="81">
      <c r="A81" s="16">
        <f>IF(B81&lt;&gt;"",SUBSTITUTE(B81,"GAP","ACT"),"")</f>
        <v/>
      </c>
      <c r="B81" s="18" t="n"/>
      <c r="C81" s="18" t="n"/>
      <c r="D81" s="18" t="n"/>
      <c r="E81" s="18" t="n"/>
      <c r="F81" s="23" t="n"/>
      <c r="G81" s="18" t="n"/>
      <c r="H81" s="27" t="n"/>
      <c r="I81" s="23" t="n"/>
      <c r="J81" s="18" t="n"/>
      <c r="K81" s="18" t="n"/>
      <c r="L81" s="18" t="n"/>
      <c r="M81" s="18" t="n"/>
    </row>
    <row r="82">
      <c r="A82" s="16">
        <f>IF(B82&lt;&gt;"",SUBSTITUTE(B82,"GAP","ACT"),"")</f>
        <v/>
      </c>
      <c r="B82" s="18" t="n"/>
      <c r="C82" s="18" t="n"/>
      <c r="D82" s="18" t="n"/>
      <c r="E82" s="18" t="n"/>
      <c r="F82" s="23" t="n"/>
      <c r="G82" s="18" t="n"/>
      <c r="H82" s="27" t="n"/>
      <c r="I82" s="23" t="n"/>
      <c r="J82" s="18" t="n"/>
      <c r="K82" s="18" t="n"/>
      <c r="L82" s="18" t="n"/>
      <c r="M82" s="18" t="n"/>
    </row>
    <row r="83">
      <c r="A83" s="16">
        <f>IF(B83&lt;&gt;"",SUBSTITUTE(B83,"GAP","ACT"),"")</f>
        <v/>
      </c>
      <c r="B83" s="18" t="n"/>
      <c r="C83" s="18" t="n"/>
      <c r="D83" s="18" t="n"/>
      <c r="E83" s="18" t="n"/>
      <c r="F83" s="23" t="n"/>
      <c r="G83" s="18" t="n"/>
      <c r="H83" s="27" t="n"/>
      <c r="I83" s="23" t="n"/>
      <c r="J83" s="18" t="n"/>
      <c r="K83" s="18" t="n"/>
      <c r="L83" s="18" t="n"/>
      <c r="M83" s="18" t="n"/>
    </row>
    <row r="84">
      <c r="A84" s="16">
        <f>IF(B84&lt;&gt;"",SUBSTITUTE(B84,"GAP","ACT"),"")</f>
        <v/>
      </c>
      <c r="B84" s="18" t="n"/>
      <c r="C84" s="18" t="n"/>
      <c r="D84" s="18" t="n"/>
      <c r="E84" s="18" t="n"/>
      <c r="F84" s="23" t="n"/>
      <c r="G84" s="18" t="n"/>
      <c r="H84" s="27" t="n"/>
      <c r="I84" s="23" t="n"/>
      <c r="J84" s="18" t="n"/>
      <c r="K84" s="18" t="n"/>
      <c r="L84" s="18" t="n"/>
      <c r="M84" s="18" t="n"/>
    </row>
    <row r="85">
      <c r="A85" s="16">
        <f>IF(B85&lt;&gt;"",SUBSTITUTE(B85,"GAP","ACT"),"")</f>
        <v/>
      </c>
      <c r="B85" s="18" t="n"/>
      <c r="C85" s="18" t="n"/>
      <c r="D85" s="18" t="n"/>
      <c r="E85" s="18" t="n"/>
      <c r="F85" s="23" t="n"/>
      <c r="G85" s="18" t="n"/>
      <c r="H85" s="27" t="n"/>
      <c r="I85" s="23" t="n"/>
      <c r="J85" s="18" t="n"/>
      <c r="K85" s="18" t="n"/>
      <c r="L85" s="18" t="n"/>
      <c r="M85" s="18" t="n"/>
    </row>
    <row r="86">
      <c r="A86" s="16">
        <f>IF(B86&lt;&gt;"",SUBSTITUTE(B86,"GAP","ACT"),"")</f>
        <v/>
      </c>
      <c r="B86" s="18" t="n"/>
      <c r="C86" s="18" t="n"/>
      <c r="D86" s="18" t="n"/>
      <c r="E86" s="18" t="n"/>
      <c r="F86" s="23" t="n"/>
      <c r="G86" s="18" t="n"/>
      <c r="H86" s="27" t="n"/>
      <c r="I86" s="23" t="n"/>
      <c r="J86" s="18" t="n"/>
      <c r="K86" s="18" t="n"/>
      <c r="L86" s="18" t="n"/>
      <c r="M86" s="18" t="n"/>
    </row>
    <row r="87">
      <c r="A87" s="16">
        <f>IF(B87&lt;&gt;"",SUBSTITUTE(B87,"GAP","ACT"),"")</f>
        <v/>
      </c>
      <c r="B87" s="18" t="n"/>
      <c r="C87" s="18" t="n"/>
      <c r="D87" s="18" t="n"/>
      <c r="E87" s="18" t="n"/>
      <c r="F87" s="23" t="n"/>
      <c r="G87" s="18" t="n"/>
      <c r="H87" s="27" t="n"/>
      <c r="I87" s="23" t="n"/>
      <c r="J87" s="18" t="n"/>
      <c r="K87" s="18" t="n"/>
      <c r="L87" s="18" t="n"/>
      <c r="M87" s="18" t="n"/>
    </row>
    <row r="88">
      <c r="A88" s="16">
        <f>IF(B88&lt;&gt;"",SUBSTITUTE(B88,"GAP","ACT"),"")</f>
        <v/>
      </c>
      <c r="B88" s="18" t="n"/>
      <c r="C88" s="18" t="n"/>
      <c r="D88" s="18" t="n"/>
      <c r="E88" s="18" t="n"/>
      <c r="F88" s="23" t="n"/>
      <c r="G88" s="18" t="n"/>
      <c r="H88" s="27" t="n"/>
      <c r="I88" s="23" t="n"/>
      <c r="J88" s="18" t="n"/>
      <c r="K88" s="18" t="n"/>
      <c r="L88" s="18" t="n"/>
      <c r="M88" s="18" t="n"/>
    </row>
    <row r="89">
      <c r="A89" s="16">
        <f>IF(B89&lt;&gt;"",SUBSTITUTE(B89,"GAP","ACT"),"")</f>
        <v/>
      </c>
      <c r="B89" s="18" t="n"/>
      <c r="C89" s="18" t="n"/>
      <c r="D89" s="18" t="n"/>
      <c r="E89" s="18" t="n"/>
      <c r="F89" s="23" t="n"/>
      <c r="G89" s="18" t="n"/>
      <c r="H89" s="27" t="n"/>
      <c r="I89" s="23" t="n"/>
      <c r="J89" s="18" t="n"/>
      <c r="K89" s="18" t="n"/>
      <c r="L89" s="18" t="n"/>
      <c r="M89" s="18" t="n"/>
    </row>
    <row r="90">
      <c r="A90" s="16">
        <f>IF(B90&lt;&gt;"",SUBSTITUTE(B90,"GAP","ACT"),"")</f>
        <v/>
      </c>
      <c r="B90" s="18" t="n"/>
      <c r="C90" s="18" t="n"/>
      <c r="D90" s="18" t="n"/>
      <c r="E90" s="18" t="n"/>
      <c r="F90" s="23" t="n"/>
      <c r="G90" s="18" t="n"/>
      <c r="H90" s="27" t="n"/>
      <c r="I90" s="23" t="n"/>
      <c r="J90" s="18" t="n"/>
      <c r="K90" s="18" t="n"/>
      <c r="L90" s="18" t="n"/>
      <c r="M90" s="18" t="n"/>
    </row>
    <row r="91">
      <c r="A91" s="16">
        <f>IF(B91&lt;&gt;"",SUBSTITUTE(B91,"GAP","ACT"),"")</f>
        <v/>
      </c>
      <c r="B91" s="18" t="n"/>
      <c r="C91" s="18" t="n"/>
      <c r="D91" s="18" t="n"/>
      <c r="E91" s="18" t="n"/>
      <c r="F91" s="23" t="n"/>
      <c r="G91" s="18" t="n"/>
      <c r="H91" s="27" t="n"/>
      <c r="I91" s="23" t="n"/>
      <c r="J91" s="18" t="n"/>
      <c r="K91" s="18" t="n"/>
      <c r="L91" s="18" t="n"/>
      <c r="M91" s="18" t="n"/>
    </row>
    <row r="92">
      <c r="A92" s="16">
        <f>IF(B92&lt;&gt;"",SUBSTITUTE(B92,"GAP","ACT"),"")</f>
        <v/>
      </c>
      <c r="B92" s="18" t="n"/>
      <c r="C92" s="18" t="n"/>
      <c r="D92" s="18" t="n"/>
      <c r="E92" s="18" t="n"/>
      <c r="F92" s="23" t="n"/>
      <c r="G92" s="18" t="n"/>
      <c r="H92" s="27" t="n"/>
      <c r="I92" s="23" t="n"/>
      <c r="J92" s="18" t="n"/>
      <c r="K92" s="18" t="n"/>
      <c r="L92" s="18" t="n"/>
      <c r="M92" s="18" t="n"/>
    </row>
    <row r="93">
      <c r="A93" s="16">
        <f>IF(B93&lt;&gt;"",SUBSTITUTE(B93,"GAP","ACT"),"")</f>
        <v/>
      </c>
      <c r="B93" s="18" t="n"/>
      <c r="C93" s="18" t="n"/>
      <c r="D93" s="18" t="n"/>
      <c r="E93" s="18" t="n"/>
      <c r="F93" s="23" t="n"/>
      <c r="G93" s="18" t="n"/>
      <c r="H93" s="27" t="n"/>
      <c r="I93" s="23" t="n"/>
      <c r="J93" s="18" t="n"/>
      <c r="K93" s="18" t="n"/>
      <c r="L93" s="18" t="n"/>
      <c r="M93" s="18" t="n"/>
    </row>
    <row r="94">
      <c r="A94" s="16">
        <f>IF(B94&lt;&gt;"",SUBSTITUTE(B94,"GAP","ACT"),"")</f>
        <v/>
      </c>
      <c r="B94" s="18" t="n"/>
      <c r="C94" s="18" t="n"/>
      <c r="D94" s="18" t="n"/>
      <c r="E94" s="18" t="n"/>
      <c r="F94" s="23" t="n"/>
      <c r="G94" s="18" t="n"/>
      <c r="H94" s="27" t="n"/>
      <c r="I94" s="23" t="n"/>
      <c r="J94" s="18" t="n"/>
      <c r="K94" s="18" t="n"/>
      <c r="L94" s="18" t="n"/>
      <c r="M94" s="18" t="n"/>
    </row>
    <row r="95">
      <c r="A95" s="16">
        <f>IF(B95&lt;&gt;"",SUBSTITUTE(B95,"GAP","ACT"),"")</f>
        <v/>
      </c>
      <c r="B95" s="18" t="n"/>
      <c r="C95" s="18" t="n"/>
      <c r="D95" s="18" t="n"/>
      <c r="E95" s="18" t="n"/>
      <c r="F95" s="23" t="n"/>
      <c r="G95" s="18" t="n"/>
      <c r="H95" s="27" t="n"/>
      <c r="I95" s="23" t="n"/>
      <c r="J95" s="18" t="n"/>
      <c r="K95" s="18" t="n"/>
      <c r="L95" s="18" t="n"/>
      <c r="M95" s="18" t="n"/>
    </row>
    <row r="96">
      <c r="A96" s="16">
        <f>IF(B96&lt;&gt;"",SUBSTITUTE(B96,"GAP","ACT"),"")</f>
        <v/>
      </c>
      <c r="B96" s="18" t="n"/>
      <c r="C96" s="18" t="n"/>
      <c r="D96" s="18" t="n"/>
      <c r="E96" s="18" t="n"/>
      <c r="F96" s="23" t="n"/>
      <c r="G96" s="18" t="n"/>
      <c r="H96" s="27" t="n"/>
      <c r="I96" s="23" t="n"/>
      <c r="J96" s="18" t="n"/>
      <c r="K96" s="18" t="n"/>
      <c r="L96" s="18" t="n"/>
      <c r="M96" s="18" t="n"/>
    </row>
    <row r="97">
      <c r="A97" s="16">
        <f>IF(B97&lt;&gt;"",SUBSTITUTE(B97,"GAP","ACT"),"")</f>
        <v/>
      </c>
      <c r="B97" s="18" t="n"/>
      <c r="C97" s="18" t="n"/>
      <c r="D97" s="18" t="n"/>
      <c r="E97" s="18" t="n"/>
      <c r="F97" s="23" t="n"/>
      <c r="G97" s="18" t="n"/>
      <c r="H97" s="27" t="n"/>
      <c r="I97" s="23" t="n"/>
      <c r="J97" s="18" t="n"/>
      <c r="K97" s="18" t="n"/>
      <c r="L97" s="18" t="n"/>
      <c r="M97" s="18" t="n"/>
    </row>
    <row r="98">
      <c r="A98" s="16">
        <f>IF(B98&lt;&gt;"",SUBSTITUTE(B98,"GAP","ACT"),"")</f>
        <v/>
      </c>
      <c r="B98" s="18" t="n"/>
      <c r="C98" s="18" t="n"/>
      <c r="D98" s="18" t="n"/>
      <c r="E98" s="18" t="n"/>
      <c r="F98" s="23" t="n"/>
      <c r="G98" s="18" t="n"/>
      <c r="H98" s="27" t="n"/>
      <c r="I98" s="23" t="n"/>
      <c r="J98" s="18" t="n"/>
      <c r="K98" s="18" t="n"/>
      <c r="L98" s="18" t="n"/>
      <c r="M98" s="18" t="n"/>
    </row>
    <row r="99">
      <c r="A99" s="16">
        <f>IF(B99&lt;&gt;"",SUBSTITUTE(B99,"GAP","ACT"),"")</f>
        <v/>
      </c>
      <c r="B99" s="18" t="n"/>
      <c r="C99" s="18" t="n"/>
      <c r="D99" s="18" t="n"/>
      <c r="E99" s="18" t="n"/>
      <c r="F99" s="23" t="n"/>
      <c r="G99" s="18" t="n"/>
      <c r="H99" s="27" t="n"/>
      <c r="I99" s="23" t="n"/>
      <c r="J99" s="18" t="n"/>
      <c r="K99" s="18" t="n"/>
      <c r="L99" s="18" t="n"/>
      <c r="M99" s="18" t="n"/>
    </row>
    <row r="100">
      <c r="A100" s="16">
        <f>IF(B100&lt;&gt;"",SUBSTITUTE(B100,"GAP","ACT"),"")</f>
        <v/>
      </c>
      <c r="B100" s="18" t="n"/>
      <c r="C100" s="18" t="n"/>
      <c r="D100" s="18" t="n"/>
      <c r="E100" s="18" t="n"/>
      <c r="F100" s="23" t="n"/>
      <c r="G100" s="18" t="n"/>
      <c r="H100" s="27" t="n"/>
      <c r="I100" s="23" t="n"/>
      <c r="J100" s="18" t="n"/>
      <c r="K100" s="18" t="n"/>
      <c r="L100" s="18" t="n"/>
      <c r="M100" s="18" t="n"/>
    </row>
    <row r="101">
      <c r="A101" s="16">
        <f>IF(B101&lt;&gt;"",SUBSTITUTE(B101,"GAP","ACT"),"")</f>
        <v/>
      </c>
      <c r="B101" s="18" t="n"/>
      <c r="C101" s="18" t="n"/>
      <c r="D101" s="18" t="n"/>
      <c r="E101" s="18" t="n"/>
      <c r="F101" s="23" t="n"/>
      <c r="G101" s="18" t="n"/>
      <c r="H101" s="27" t="n"/>
      <c r="I101" s="23" t="n"/>
      <c r="J101" s="18" t="n"/>
      <c r="K101" s="18" t="n"/>
      <c r="L101" s="18" t="n"/>
      <c r="M101" s="18" t="n"/>
    </row>
    <row r="102">
      <c r="A102" s="16">
        <f>IF(B102&lt;&gt;"",SUBSTITUTE(B102,"GAP","ACT"),"")</f>
        <v/>
      </c>
      <c r="B102" s="18" t="n"/>
      <c r="C102" s="18" t="n"/>
      <c r="D102" s="18" t="n"/>
      <c r="E102" s="18" t="n"/>
      <c r="F102" s="23" t="n"/>
      <c r="G102" s="18" t="n"/>
      <c r="H102" s="27" t="n"/>
      <c r="I102" s="23" t="n"/>
      <c r="J102" s="18" t="n"/>
      <c r="K102" s="18" t="n"/>
      <c r="L102" s="18" t="n"/>
      <c r="M102" s="18" t="n"/>
    </row>
    <row r="103">
      <c r="A103" s="16">
        <f>IF(B103&lt;&gt;"",SUBSTITUTE(B103,"GAP","ACT"),"")</f>
        <v/>
      </c>
      <c r="B103" s="18" t="n"/>
      <c r="C103" s="18" t="n"/>
      <c r="D103" s="18" t="n"/>
      <c r="E103" s="18" t="n"/>
      <c r="F103" s="23" t="n"/>
      <c r="G103" s="18" t="n"/>
      <c r="H103" s="27" t="n"/>
      <c r="I103" s="23" t="n"/>
      <c r="J103" s="18" t="n"/>
      <c r="K103" s="18" t="n"/>
      <c r="L103" s="18" t="n"/>
      <c r="M103" s="18" t="n"/>
    </row>
    <row r="104">
      <c r="A104" s="16">
        <f>IF(B104&lt;&gt;"",SUBSTITUTE(B104,"GAP","ACT"),"")</f>
        <v/>
      </c>
      <c r="B104" s="18" t="n"/>
      <c r="C104" s="18" t="n"/>
      <c r="D104" s="18" t="n"/>
      <c r="E104" s="18" t="n"/>
      <c r="F104" s="23" t="n"/>
      <c r="G104" s="18" t="n"/>
      <c r="H104" s="27" t="n"/>
      <c r="I104" s="23" t="n"/>
      <c r="J104" s="18" t="n"/>
      <c r="K104" s="18" t="n"/>
      <c r="L104" s="18" t="n"/>
      <c r="M104" s="18" t="n"/>
    </row>
    <row r="105">
      <c r="A105" s="16">
        <f>IF(B105&lt;&gt;"",SUBSTITUTE(B105,"GAP","ACT"),"")</f>
        <v/>
      </c>
      <c r="B105" s="18" t="n"/>
      <c r="C105" s="18" t="n"/>
      <c r="D105" s="18" t="n"/>
      <c r="E105" s="18" t="n"/>
      <c r="F105" s="23" t="n"/>
      <c r="G105" s="18" t="n"/>
      <c r="H105" s="27" t="n"/>
      <c r="I105" s="23" t="n"/>
      <c r="J105" s="18" t="n"/>
      <c r="K105" s="18" t="n"/>
      <c r="L105" s="18" t="n"/>
      <c r="M105" s="18" t="n"/>
    </row>
    <row r="106">
      <c r="A106" s="16">
        <f>IF(B106&lt;&gt;"",SUBSTITUTE(B106,"GAP","ACT"),"")</f>
        <v/>
      </c>
      <c r="B106" s="18" t="n"/>
      <c r="C106" s="18" t="n"/>
      <c r="D106" s="18" t="n"/>
      <c r="E106" s="18" t="n"/>
      <c r="F106" s="23" t="n"/>
      <c r="G106" s="18" t="n"/>
      <c r="H106" s="27" t="n"/>
      <c r="I106" s="23" t="n"/>
      <c r="J106" s="18" t="n"/>
      <c r="K106" s="18" t="n"/>
      <c r="L106" s="18" t="n"/>
      <c r="M106" s="18" t="n"/>
    </row>
    <row r="107">
      <c r="A107" s="16">
        <f>IF(B107&lt;&gt;"",SUBSTITUTE(B107,"GAP","ACT"),"")</f>
        <v/>
      </c>
      <c r="B107" s="18" t="n"/>
      <c r="C107" s="18" t="n"/>
      <c r="D107" s="18" t="n"/>
      <c r="E107" s="18" t="n"/>
      <c r="F107" s="23" t="n"/>
      <c r="G107" s="18" t="n"/>
      <c r="H107" s="27" t="n"/>
      <c r="I107" s="23" t="n"/>
      <c r="J107" s="18" t="n"/>
      <c r="K107" s="18" t="n"/>
      <c r="L107" s="18" t="n"/>
      <c r="M107" s="18" t="n"/>
    </row>
    <row r="108">
      <c r="A108" s="16">
        <f>IF(B108&lt;&gt;"",SUBSTITUTE(B108,"GAP","ACT"),"")</f>
        <v/>
      </c>
      <c r="B108" s="18" t="n"/>
      <c r="C108" s="18" t="n"/>
      <c r="D108" s="18" t="n"/>
      <c r="E108" s="18" t="n"/>
      <c r="F108" s="23" t="n"/>
      <c r="G108" s="18" t="n"/>
      <c r="H108" s="27" t="n"/>
      <c r="I108" s="23" t="n"/>
      <c r="J108" s="18" t="n"/>
      <c r="K108" s="18" t="n"/>
      <c r="L108" s="18" t="n"/>
      <c r="M108" s="18" t="n"/>
    </row>
    <row r="109">
      <c r="A109" s="16">
        <f>IF(B109&lt;&gt;"",SUBSTITUTE(B109,"GAP","ACT"),"")</f>
        <v/>
      </c>
      <c r="B109" s="18" t="n"/>
      <c r="C109" s="18" t="n"/>
      <c r="D109" s="18" t="n"/>
      <c r="E109" s="18" t="n"/>
      <c r="F109" s="23" t="n"/>
      <c r="G109" s="18" t="n"/>
      <c r="H109" s="27" t="n"/>
      <c r="I109" s="23" t="n"/>
      <c r="J109" s="18" t="n"/>
      <c r="K109" s="18" t="n"/>
      <c r="L109" s="18" t="n"/>
      <c r="M109" s="18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3">
    <mergeCell ref="A4:M4"/>
    <mergeCell ref="A2:M2"/>
    <mergeCell ref="A1:M1"/>
  </mergeCells>
  <dataValidations count="3">
    <dataValidation sqref="D11:D109" showDropDown="0" showInputMessage="0" showErrorMessage="1" allowBlank="1" errorTitle="Invalid Entry" error="Please select from dropdown" type="list">
      <formula1>"Critical,High,Medium,Low"</formula1>
    </dataValidation>
    <dataValidation sqref="G11:G109" showDropDown="0" showInputMessage="0" showErrorMessage="1" allowBlank="1" errorTitle="Invalid Entry" error="Please select from dropdown" type="list">
      <formula1>"Open,In-Progress,Blocked,Completed,Cancelled"</formula1>
    </dataValidation>
    <dataValidation sqref="L11:L109" showDropDown="0" showInputMessage="0" showErrorMessage="1" allowBlank="1" errorTitle="Invalid Entry" error="Please select from dropdown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  <col width="30" customWidth="1" min="4" max="4"/>
  </cols>
  <sheetData>
    <row r="1" ht="40" customHeight="1">
      <c r="A1" s="1" t="inlineStr">
        <is>
          <t>GOVERNANCE CERTIFICATION</t>
        </is>
      </c>
    </row>
    <row r="2">
      <c r="A2" s="2" t="inlineStr">
        <is>
          <t>Three-Level Approval with FADP Acknowledgment</t>
        </is>
      </c>
    </row>
    <row r="4">
      <c r="A4" s="3" t="inlineStr">
        <is>
          <t>ASSESSMENT SUMMARY</t>
        </is>
      </c>
    </row>
    <row r="6">
      <c r="A6" s="15" t="inlineStr">
        <is>
          <t>Document ID:</t>
        </is>
      </c>
      <c r="B6" s="16" t="inlineStr">
        <is>
          <t>ISMS-IMP-A.5.1-2-6.1-2.S5</t>
        </is>
      </c>
    </row>
    <row r="7">
      <c r="A7" s="15" t="inlineStr">
        <is>
          <t>Assessment Period:</t>
        </is>
      </c>
      <c r="B7" s="16">
        <f>Executive_Summary!B6</f>
        <v/>
      </c>
    </row>
    <row r="8">
      <c r="A8" s="15" t="inlineStr">
        <is>
          <t>Overall Compliance Score:</t>
        </is>
      </c>
      <c r="B8" s="21">
        <f>Executive_Summary!E6</f>
        <v/>
      </c>
    </row>
    <row r="9">
      <c r="A9" s="15" t="inlineStr">
        <is>
          <t>Policy Domain (A.5.1):</t>
        </is>
      </c>
      <c r="B9" s="21">
        <f>Policy_Summary!B20</f>
        <v/>
      </c>
    </row>
    <row r="10">
      <c r="A10" s="15" t="inlineStr">
        <is>
          <t>Roles Domain (A.5.2):</t>
        </is>
      </c>
      <c r="B10" s="21">
        <f>Roles_Summary!B20</f>
        <v/>
      </c>
    </row>
    <row r="11">
      <c r="A11" s="15" t="inlineStr">
        <is>
          <t>Screening Domain (A.6.1):</t>
        </is>
      </c>
      <c r="B11" s="21">
        <f>Screening_Summary!B20</f>
        <v/>
      </c>
    </row>
    <row r="12">
      <c r="A12" s="15" t="inlineStr">
        <is>
          <t>Employment Domain (A.6.2):</t>
        </is>
      </c>
      <c r="B12" s="21">
        <f>Contract_Summary!B20</f>
        <v/>
      </c>
    </row>
    <row r="13">
      <c r="A13" s="15" t="inlineStr">
        <is>
          <t>Total Gaps Identified:</t>
        </is>
      </c>
      <c r="B13" s="16">
        <f>Gap_Analysis!B6</f>
        <v/>
      </c>
    </row>
    <row r="14">
      <c r="A14" s="15" t="inlineStr">
        <is>
          <t>Critical/High Gaps:</t>
        </is>
      </c>
      <c r="B14" s="16">
        <f>Gap_Analysis!B7+Gap_Analysis!B8</f>
        <v/>
      </c>
    </row>
    <row r="15">
      <c r="A15" s="15" t="inlineStr">
        <is>
          <t>Cross-Domain Gaps:</t>
        </is>
      </c>
      <c r="B15" s="16">
        <f>Gap_Analysis!B51</f>
        <v/>
      </c>
    </row>
    <row r="16">
      <c r="A16" s="15" t="inlineStr">
        <is>
          <t>FADP Compliance Status:</t>
        </is>
      </c>
      <c r="B16" s="16">
        <f>Executive_Summary!I6</f>
        <v/>
      </c>
    </row>
    <row r="18">
      <c r="A18" s="3" t="inlineStr">
        <is>
          <t>LEVEL 1: PREPARED BY (Assessor)</t>
        </is>
      </c>
    </row>
    <row r="20">
      <c r="A20" s="15" t="inlineStr">
        <is>
          <t>Name:</t>
        </is>
      </c>
      <c r="B20" s="18" t="n"/>
    </row>
    <row r="21">
      <c r="A21" s="15" t="inlineStr">
        <is>
          <t>Role:</t>
        </is>
      </c>
      <c r="B21" s="18" t="n"/>
    </row>
    <row r="22">
      <c r="A22" s="15" t="inlineStr">
        <is>
          <t>Date:</t>
        </is>
      </c>
      <c r="B22" s="23" t="n"/>
    </row>
    <row r="23">
      <c r="A23" s="15" t="inlineStr">
        <is>
          <t>Signature:</t>
        </is>
      </c>
      <c r="B23" s="18" t="n"/>
    </row>
    <row r="24">
      <c r="A24" s="15" t="inlineStr">
        <is>
          <t>Certification:</t>
        </is>
      </c>
      <c r="B24" s="16" t="inlineStr">
        <is>
          <t>I certify this assessment is complete and accurate based on S1-S4 workbook data</t>
        </is>
      </c>
    </row>
    <row r="27">
      <c r="A27" s="3" t="inlineStr">
        <is>
          <t>LEVEL 2: REVIEWED BY (Security Manager)</t>
        </is>
      </c>
    </row>
    <row r="29">
      <c r="A29" s="15" t="inlineStr">
        <is>
          <t>Name:</t>
        </is>
      </c>
      <c r="B29" s="18" t="n"/>
    </row>
    <row r="30">
      <c r="A30" s="15" t="inlineStr">
        <is>
          <t>Role:</t>
        </is>
      </c>
      <c r="B30" s="18" t="n"/>
    </row>
    <row r="31">
      <c r="A31" s="15" t="inlineStr">
        <is>
          <t>Date:</t>
        </is>
      </c>
      <c r="B31" s="23" t="n"/>
    </row>
    <row r="32">
      <c r="A32" s="15" t="inlineStr">
        <is>
          <t>Signature:</t>
        </is>
      </c>
      <c r="B32" s="18" t="n"/>
    </row>
    <row r="34">
      <c r="A34" s="15" t="inlineStr">
        <is>
          <t>Review Checklist:</t>
        </is>
      </c>
    </row>
    <row r="35">
      <c r="A35" t="inlineStr">
        <is>
          <t>[ ] S1-S4 workbook data verified</t>
        </is>
      </c>
    </row>
    <row r="36">
      <c r="A36" t="inlineStr">
        <is>
          <t>[ ] Weighted scores calculated correctly</t>
        </is>
      </c>
    </row>
    <row r="37">
      <c r="A37" t="inlineStr">
        <is>
          <t>[ ] All gaps accounted for</t>
        </is>
      </c>
    </row>
    <row r="38">
      <c r="A38" t="inlineStr">
        <is>
          <t>[ ] Cross-domain impacts identified</t>
        </is>
      </c>
    </row>
    <row r="39">
      <c r="A39" t="inlineStr">
        <is>
          <t>[ ] NDA compliance rate verified</t>
        </is>
      </c>
    </row>
    <row r="40">
      <c r="A40" t="inlineStr">
        <is>
          <t>[ ] FADP indicators reviewed</t>
        </is>
      </c>
    </row>
    <row r="41">
      <c r="A41" t="inlineStr">
        <is>
          <t>[ ] Evidence sufficiency confirmed</t>
        </is>
      </c>
    </row>
    <row r="42">
      <c r="A42" s="15" t="inlineStr">
        <is>
          <t>Comments:</t>
        </is>
      </c>
      <c r="B42" s="18" t="n"/>
    </row>
    <row r="43"/>
    <row r="46">
      <c r="A46" s="3" t="inlineStr">
        <is>
          <t>LEVEL 3: APPROVED BY (CISO)</t>
        </is>
      </c>
    </row>
    <row r="48">
      <c r="A48" s="15" t="inlineStr">
        <is>
          <t>Name:</t>
        </is>
      </c>
      <c r="B48" s="18" t="n"/>
    </row>
    <row r="49">
      <c r="A49" s="15" t="inlineStr">
        <is>
          <t>Role:</t>
        </is>
      </c>
      <c r="B49" s="18" t="n"/>
    </row>
    <row r="50">
      <c r="A50" s="15" t="inlineStr">
        <is>
          <t>Date:</t>
        </is>
      </c>
      <c r="B50" s="23" t="n"/>
    </row>
    <row r="51">
      <c r="A51" s="15" t="inlineStr">
        <is>
          <t>Signature:</t>
        </is>
      </c>
      <c r="B51" s="18" t="n"/>
    </row>
    <row r="53">
      <c r="A53" s="15" t="inlineStr">
        <is>
          <t>CISO Certification:</t>
        </is>
      </c>
      <c r="B53" s="16" t="inlineStr">
        <is>
          <t>I approve this Governance Compliance Dashboard as an accurate representation of the organization's compliance status for controls A.5.1, A.5.2, A.6.1, and A.6.2. I acknowledge the FADP compliance status and accept residual risk for identified gaps.</t>
        </is>
      </c>
    </row>
    <row r="54"/>
    <row r="55"/>
    <row r="57">
      <c r="A57" s="17" t="inlineStr">
        <is>
          <t>FADP ACKNOWLEDGMENT</t>
        </is>
      </c>
    </row>
    <row r="59">
      <c r="A59" s="15" t="inlineStr">
        <is>
          <t>FADP Compliance Verified:</t>
        </is>
      </c>
      <c r="B59" s="18" t="n"/>
    </row>
    <row r="60">
      <c r="A60" s="15" t="inlineStr">
        <is>
          <t>Data Protection Officer Consulted:</t>
        </is>
      </c>
      <c r="B60" s="18" t="n"/>
    </row>
    <row r="61">
      <c r="A61" s="15" t="inlineStr">
        <is>
          <t>FADP Risk Acceptance:</t>
        </is>
      </c>
      <c r="B61" s="18" t="n"/>
    </row>
    <row r="62"/>
    <row r="64">
      <c r="A64" s="3" t="inlineStr">
        <is>
          <t>ASSESSMENT STATUS</t>
        </is>
      </c>
    </row>
    <row r="66">
      <c r="A66" s="15" t="inlineStr">
        <is>
          <t>Final Assessment Status:</t>
        </is>
      </c>
      <c r="B66" s="18" t="n"/>
    </row>
    <row r="67">
      <c r="A67" s="15" t="inlineStr">
        <is>
          <t>Next Review Date:</t>
        </is>
      </c>
      <c r="B67" s="23" t="n"/>
    </row>
    <row r="68">
      <c r="A68" s="15" t="inlineStr">
        <is>
          <t>Board Presentation Date:</t>
        </is>
      </c>
      <c r="B68" s="23" t="n"/>
    </row>
    <row r="70">
      <c r="A70" s="15" t="inlineStr">
        <is>
          <t>Audit Readiness:</t>
        </is>
      </c>
    </row>
    <row r="71">
      <c r="A71" t="inlineStr">
        <is>
          <t>[ ] All three approval levels complete</t>
        </is>
      </c>
    </row>
    <row r="72">
      <c r="A72" t="inlineStr">
        <is>
          <t>[ ] Evidence 100% verified</t>
        </is>
      </c>
    </row>
    <row r="73">
      <c r="A73" t="inlineStr">
        <is>
          <t>[ ] All critical gaps have remediation plans</t>
        </is>
      </c>
    </row>
    <row r="74">
      <c r="A74" t="inlineStr">
        <is>
          <t>[ ] FADP compliance acknowledged</t>
        </is>
      </c>
    </row>
    <row r="75">
      <c r="A75" t="inlineStr">
        <is>
          <t>[ ] Board presentation scheduled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0"/>
  <mergeCells count="23">
    <mergeCell ref="A35:D35"/>
    <mergeCell ref="A4:D4"/>
    <mergeCell ref="A38:D38"/>
    <mergeCell ref="A72:D72"/>
    <mergeCell ref="A40:D40"/>
    <mergeCell ref="B53:D55"/>
    <mergeCell ref="A39:D39"/>
    <mergeCell ref="A64:D64"/>
    <mergeCell ref="A73:D73"/>
    <mergeCell ref="B61:D62"/>
    <mergeCell ref="A36:D36"/>
    <mergeCell ref="A1:D1"/>
    <mergeCell ref="B42:D43"/>
    <mergeCell ref="A41:D41"/>
    <mergeCell ref="A46:D46"/>
    <mergeCell ref="A37:D37"/>
    <mergeCell ref="A18:D18"/>
    <mergeCell ref="A27:D27"/>
    <mergeCell ref="A75:D75"/>
    <mergeCell ref="A74:D74"/>
    <mergeCell ref="A57:D57"/>
    <mergeCell ref="A2:D2"/>
    <mergeCell ref="A71:D71"/>
  </mergeCells>
  <dataValidations count="3">
    <dataValidation sqref="B59" showDropDown="0" showInputMessage="0" showErrorMessage="1" allowBlank="1" errorTitle="Invalid Entry" error="Please select from dropdown" type="list">
      <formula1>"Yes,No,Partial"</formula1>
    </dataValidation>
    <dataValidation sqref="B60" showDropDown="0" showInputMessage="0" showErrorMessage="1" allowBlank="1" errorTitle="Invalid Entry" error="Please select from dropdown" type="list">
      <formula1>"Yes,No,N/A"</formula1>
    </dataValidation>
    <dataValidation sqref="B66" showDropDown="0" showInputMessage="0" showErrorMessage="1" allowBlank="1" errorTitle="Invalid Entry" error="Please select from dropdown" type="list">
      <formula1>"Draft,Under-Review,Approved,Audit-Ready"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[Organization] Information Security Team</dc:creator>
  <dc:title xmlns:dc="http://purl.org/dc/elements/1.1/">ISMS-IMP-A.5.1-2-6.1-2.S5 - Governance Compliance Dashboard</dc:title>
  <dc:subject xmlns:dc="http://purl.org/dc/elements/1.1/">ISO/IEC 27001:2022 - Control A.5.1-2-6.1-2: Information Security Policies and Organization</dc:subject>
  <dcterms:created xmlns:dcterms="http://purl.org/dc/terms/" xmlns:xsi="http://www.w3.org/2001/XMLSchema-instance" xsi:type="dcterms:W3CDTF">2026-02-08T10:48:45Z</dcterms:created>
  <dcterms:modified xmlns:dcterms="http://purl.org/dc/terms/" xmlns:xsi="http://www.w3.org/2001/XMLSchema-instance" xsi:type="dcterms:W3CDTF">2026-02-08T10:48:46Z</dcterms:modified>
  <cp:keywords>Governance, Dashboard, ISMS, ISO27001, A.5.1, A.5.2, A.6.1, A.6.2, FADP</cp:keywords>
</cp:coreProperties>
</file>