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tructure &amp; Access" sheetId="2" state="visible" r:id="rId2"/>
    <sheet xmlns:r="http://schemas.openxmlformats.org/officeDocument/2006/relationships" name="Update Triggers &amp; Workflows" sheetId="3" state="visible" r:id="rId3"/>
    <sheet xmlns:r="http://schemas.openxmlformats.org/officeDocument/2006/relationships" name="Integration Architecture" sheetId="4" state="visible" r:id="rId4"/>
    <sheet xmlns:r="http://schemas.openxmlformats.org/officeDocument/2006/relationships" name="Quality Control Processes" sheetId="5" state="visible" r:id="rId5"/>
    <sheet xmlns:r="http://schemas.openxmlformats.org/officeDocument/2006/relationships" name="Maintenance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amp; Sign-Off" sheetId="9" state="visible" r:id="rId9"/>
  </sheets>
  <definedNames/>
  <calcPr calcId="124519" fullCalcOnLoad="1"/>
</workbook>
</file>

<file path=xl/styles.xml><?xml version="1.0" encoding="utf-8"?>
<styleSheet xmlns="http://schemas.openxmlformats.org/spreadsheetml/2006/main">
  <numFmts count="2">
    <numFmt numFmtId="164" formatCode="0&quot;%&quot;"/>
    <numFmt numFmtId="165" formatCode="0.0&quot;%&quot;"/>
  </numFmts>
  <fonts count="15">
    <font>
      <name val="Calibri"/>
      <family val="2"/>
      <color theme="1"/>
      <sz val="11"/>
      <scheme val="minor"/>
    </font>
    <font>
      <b val="1"/>
      <color rgb="00FFFFFF"/>
      <sz val="16"/>
    </font>
    <font>
      <i val="1"/>
      <sz val="12"/>
    </font>
    <font>
      <b val="1"/>
      <color rgb="00FFFFFF"/>
      <sz val="12"/>
    </font>
    <font>
      <b val="1"/>
    </font>
    <font>
      <b val="1"/>
      <color rgb="00FFFFFF"/>
      <sz val="14"/>
    </font>
    <font>
      <b val="1"/>
      <color rgb="00FFFFFF"/>
    </font>
    <font>
      <b val="1"/>
      <sz val="12"/>
    </font>
    <font>
      <b val="1"/>
      <sz val="14"/>
    </font>
    <font>
      <b val="1"/>
      <color rgb="00FFFFFF"/>
      <sz val="11"/>
    </font>
    <font>
      <i val="1"/>
      <sz val="10"/>
    </font>
    <font>
      <b val="1"/>
      <color rgb="00FFFFFF"/>
      <sz val="13"/>
    </font>
    <font>
      <b val="1"/>
      <sz val="18"/>
    </font>
    <font>
      <sz val="10"/>
    </font>
    <font>
      <b val="1"/>
      <sz val="10"/>
    </font>
  </fonts>
  <fills count="11">
    <fill>
      <patternFill/>
    </fill>
    <fill>
      <patternFill patternType="gray125"/>
    </fill>
    <fill>
      <patternFill patternType="solid">
        <fgColor rgb="00003366"/>
      </patternFill>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
      <patternFill patternType="solid">
        <fgColor rgb="002E75B5"/>
      </patternFill>
    </fill>
    <fill>
      <patternFill patternType="solid">
        <fgColor rgb="00FFF2CC"/>
      </patternFill>
    </fill>
    <fill>
      <patternFill patternType="solid">
        <fgColor rgb="00D8E4F8"/>
      </patternFill>
    </fill>
  </fills>
  <borders count="1">
    <border>
      <left/>
      <right/>
      <top/>
      <bottom/>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pivotButton="0" quotePrefix="0" xfId="0"/>
    <xf numFmtId="0" fontId="0" fillId="0" borderId="0" applyAlignment="1" pivotButton="0" quotePrefix="0" xfId="0">
      <alignment horizontal="left" vertical="top" wrapText="1"/>
    </xf>
    <xf numFmtId="0" fontId="4" fillId="0"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0" fillId="6" borderId="0" pivotButton="0" quotePrefix="0" xfId="0"/>
    <xf numFmtId="0" fontId="5" fillId="2" borderId="0" applyAlignment="1" pivotButton="0" quotePrefix="0" xfId="0">
      <alignment horizontal="center" vertical="center"/>
    </xf>
    <xf numFmtId="0" fontId="6" fillId="2" borderId="0" applyAlignment="1" pivotButton="0" quotePrefix="0" xfId="0">
      <alignment horizontal="center" wrapText="1"/>
    </xf>
    <xf numFmtId="0" fontId="0" fillId="0" borderId="0" applyProtection="1" pivotButton="0" quotePrefix="0" xfId="0">
      <protection locked="0" hidden="0"/>
    </xf>
    <xf numFmtId="0" fontId="6" fillId="2" borderId="0" pivotButton="0" quotePrefix="0" xfId="0"/>
    <xf numFmtId="0" fontId="5" fillId="2" borderId="0" applyAlignment="1" pivotButton="0" quotePrefix="0" xfId="0">
      <alignment horizontal="center"/>
    </xf>
    <xf numFmtId="164" fontId="0" fillId="0" borderId="0" pivotButton="0" quotePrefix="0" xfId="0"/>
    <xf numFmtId="0" fontId="0" fillId="0" borderId="0" applyAlignment="1" pivotButton="0" quotePrefix="0" xfId="0">
      <alignment horizontal="center"/>
    </xf>
    <xf numFmtId="164" fontId="4" fillId="0" borderId="0" pivotButton="0" quotePrefix="0" xfId="0"/>
    <xf numFmtId="164" fontId="7" fillId="0" borderId="0" pivotButton="0" quotePrefix="0" xfId="0"/>
    <xf numFmtId="164" fontId="0" fillId="0" borderId="0" applyProtection="1" pivotButton="0" quotePrefix="0" xfId="0">
      <protection locked="0" hidden="0"/>
    </xf>
    <xf numFmtId="164" fontId="6" fillId="2" borderId="0" pivotButton="0" quotePrefix="0" xfId="0"/>
    <xf numFmtId="165" fontId="6" fillId="2" borderId="0" pivotButton="0" quotePrefix="0" xfId="0"/>
    <xf numFmtId="0" fontId="6" fillId="2" borderId="0" applyAlignment="1" pivotButton="0" quotePrefix="0" xfId="0">
      <alignment horizontal="center"/>
    </xf>
    <xf numFmtId="165" fontId="4" fillId="0" borderId="0" pivotButton="0" quotePrefix="0" xfId="0"/>
    <xf numFmtId="165" fontId="0" fillId="0" borderId="0" pivotButton="0" quotePrefix="0" xfId="0"/>
    <xf numFmtId="0" fontId="7" fillId="0" borderId="0" pivotButton="0" quotePrefix="0" xfId="0"/>
    <xf numFmtId="165" fontId="8" fillId="5" borderId="0" pivotButton="0" quotePrefix="0" xfId="0"/>
    <xf numFmtId="0" fontId="9" fillId="3" borderId="0" pivotButton="0" quotePrefix="0" xfId="0"/>
    <xf numFmtId="0" fontId="1" fillId="2" borderId="0" applyAlignment="1" pivotButton="0" quotePrefix="0" xfId="0">
      <alignment horizontal="center" vertical="center"/>
    </xf>
    <xf numFmtId="0" fontId="10" fillId="7" borderId="0" applyAlignment="1" pivotButton="0" quotePrefix="0" xfId="0">
      <alignment horizontal="center" vertical="center"/>
    </xf>
    <xf numFmtId="0" fontId="11" fillId="8" borderId="0" applyAlignment="1" pivotButton="0" quotePrefix="0" xfId="0">
      <alignment horizontal="center" vertical="center"/>
    </xf>
    <xf numFmtId="165" fontId="12" fillId="0" borderId="0" applyAlignment="1" pivotButton="0" quotePrefix="0" xfId="0">
      <alignment horizontal="center" vertical="center"/>
    </xf>
    <xf numFmtId="0" fontId="10" fillId="0" borderId="0" applyAlignment="1" pivotButton="0" quotePrefix="0" xfId="0">
      <alignment horizontal="center" vertical="center"/>
    </xf>
    <xf numFmtId="0" fontId="3" fillId="8" borderId="0" applyAlignment="1" pivotButton="0" quotePrefix="0" xfId="0">
      <alignment horizontal="center" vertical="center"/>
    </xf>
    <xf numFmtId="0" fontId="13" fillId="0" borderId="0" pivotButton="0" quotePrefix="0" xfId="0"/>
    <xf numFmtId="0" fontId="0" fillId="9" borderId="0" applyProtection="1" pivotButton="0" quotePrefix="0" xfId="0">
      <protection locked="0" hidden="0"/>
    </xf>
    <xf numFmtId="0" fontId="14" fillId="1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0" customWidth="1" min="1" max="1"/>
    <col width="35" customWidth="1" min="2" max="2"/>
    <col width="50" customWidth="1" min="3" max="3"/>
  </cols>
  <sheetData>
    <row r="1" ht="40" customHeight="1">
      <c r="A1" s="1" t="inlineStr">
        <is>
          <t>ISMS-IMP-A.5.9.2  -  Inventory Maintenance Assessment
ISO/IEC 27001:2022 - Control A.5.9: Inventory of Information and Assets</t>
        </is>
      </c>
    </row>
    <row r="2">
      <c r="A2" s="2" t="inlineStr">
        <is>
          <t>Assessment Domain 2 of 5: Inventory Maintenance &amp; Update Procedures</t>
        </is>
      </c>
    </row>
    <row r="4">
      <c r="A4" s="3" t="inlineStr">
        <is>
          <t>PURPOSE</t>
        </is>
      </c>
    </row>
    <row r="5" ht="60" customHeight="1">
      <c r="A5" s="4" t="inlineStr">
        <is>
          <t>This assessment evaluates HOW [Organization] keeps its asset inventory current and synchronized with actual infrastructure, personnel, and procurement changes.
Discovery finds assets that exist. Maintenance ensures the inventory STAYS accurate over time through systematic update procedures, integrations, and quality controls.
Four maintenance domains are assessed: Inventory Structure, Update Workflows, Integration Architecture, and Quality Control Processes.</t>
        </is>
      </c>
    </row>
    <row r="6"/>
    <row r="7"/>
    <row r="8"/>
    <row r="10">
      <c r="A10" s="3" t="inlineStr">
        <is>
          <t>ASSESSMENT METHODOLOGY</t>
        </is>
      </c>
    </row>
    <row r="11" ht="30" customHeight="1">
      <c r="A11" s="5" t="inlineStr">
        <is>
          <t>1. INVENTORY STRUCTURE</t>
        </is>
      </c>
      <c r="B11" s="6" t="inlineStr">
        <is>
          <t>Document system architecture, access controls, data model</t>
        </is>
      </c>
    </row>
    <row r="12" ht="30" customHeight="1">
      <c r="A12" s="5" t="inlineStr">
        <is>
          <t>2. UPDATE TRIGGERS</t>
        </is>
      </c>
      <c r="B12" s="6" t="inlineStr">
        <is>
          <t>Identify all events that should trigger inventory updates (procurement, decom, HR changes)</t>
        </is>
      </c>
    </row>
    <row r="13" ht="30" customHeight="1">
      <c r="A13" s="5" t="inlineStr">
        <is>
          <t>3. UPDATE WORKFLOWS</t>
        </is>
      </c>
      <c r="B13" s="6" t="inlineStr">
        <is>
          <t>Map procedures from trigger → inventory update → verification</t>
        </is>
      </c>
    </row>
    <row r="14" ht="30" customHeight="1">
      <c r="A14" s="5" t="inlineStr">
        <is>
          <t>4. INTEGRATIONS</t>
        </is>
      </c>
      <c r="B14" s="6" t="inlineStr">
        <is>
          <t>Document automated data feeds (HR, procurement, monitoring tools, CMDB)</t>
        </is>
      </c>
    </row>
    <row r="15" ht="30" customHeight="1">
      <c r="A15" s="5" t="inlineStr">
        <is>
          <t>5. QUALITY CONTROLS</t>
        </is>
      </c>
      <c r="B15" s="6" t="inlineStr">
        <is>
          <t>Assess validation rules, reconciliation processes, review cycles</t>
        </is>
      </c>
    </row>
    <row r="16" ht="30" customHeight="1">
      <c r="A16" s="5" t="inlineStr">
        <is>
          <t>6. SLA COMPLIANCE</t>
        </is>
      </c>
      <c r="B16" s="6" t="inlineStr">
        <is>
          <t>Measure update timeliness vs. defined SLAs</t>
        </is>
      </c>
    </row>
    <row r="18">
      <c r="A18" s="3" t="inlineStr">
        <is>
          <t>STANDARD SLA TARGETS</t>
        </is>
      </c>
    </row>
    <row r="19">
      <c r="A19" s="5" t="inlineStr">
        <is>
          <t>Update Trigger</t>
        </is>
      </c>
      <c r="B19" s="5" t="inlineStr">
        <is>
          <t>Target SLA (Business Days)</t>
        </is>
      </c>
      <c r="C19" s="5" t="inlineStr">
        <is>
          <t>Rationale</t>
        </is>
      </c>
    </row>
    <row r="20">
      <c r="A20" t="inlineStr">
        <is>
          <t>New Asset Addition</t>
        </is>
      </c>
      <c r="B20" t="inlineStr">
        <is>
          <t>5 days</t>
        </is>
      </c>
      <c r="C20" s="6" t="inlineStr">
        <is>
          <t>From procurement approval to inventory record</t>
        </is>
      </c>
    </row>
    <row r="21">
      <c r="A21" t="inlineStr">
        <is>
          <t>Asset Modification</t>
        </is>
      </c>
      <c r="B21" t="inlineStr">
        <is>
          <t>3 days</t>
        </is>
      </c>
      <c r="C21" s="6" t="inlineStr">
        <is>
          <t>Configuration changes, relocations, upgrades</t>
        </is>
      </c>
    </row>
    <row r="22">
      <c r="A22" t="inlineStr">
        <is>
          <t>Asset Decommission</t>
        </is>
      </c>
      <c r="B22" t="inlineStr">
        <is>
          <t>2 days</t>
        </is>
      </c>
      <c r="C22" s="6" t="inlineStr">
        <is>
          <t>Critical - must remove access quickly</t>
        </is>
      </c>
    </row>
    <row r="23">
      <c r="A23" t="inlineStr">
        <is>
          <t>Personnel Joiner</t>
        </is>
      </c>
      <c r="B23" t="inlineStr">
        <is>
          <t>1 day</t>
        </is>
      </c>
      <c r="C23" s="6" t="inlineStr">
        <is>
          <t>HR onboarding triggers inventory update</t>
        </is>
      </c>
    </row>
    <row r="24">
      <c r="A24" t="inlineStr">
        <is>
          <t>Personnel Leaver</t>
        </is>
      </c>
      <c r="B24" t="inlineStr">
        <is>
          <t>1 day</t>
        </is>
      </c>
      <c r="C24" s="6" t="inlineStr">
        <is>
          <t>CRITICAL - security risk if delayed</t>
        </is>
      </c>
    </row>
    <row r="25">
      <c r="A25" t="inlineStr">
        <is>
          <t>Ownership Change</t>
        </is>
      </c>
      <c r="B25" t="inlineStr">
        <is>
          <t>3 days</t>
        </is>
      </c>
      <c r="C25" s="6" t="inlineStr">
        <is>
          <t>Ownership transfer approved to inventory updated</t>
        </is>
      </c>
    </row>
    <row r="28">
      <c r="A28" s="3" t="inlineStr">
        <is>
          <t>TRAFFIC LIGHT LEGEND</t>
        </is>
      </c>
    </row>
    <row r="29">
      <c r="A29" s="7" t="inlineStr">
        <is>
          <t>✅ GREEN - Compliant</t>
        </is>
      </c>
      <c r="B29" t="inlineStr">
        <is>
          <t>SLA compliance ≥95% OR integration automated</t>
        </is>
      </c>
    </row>
    <row r="30">
      <c r="A30" s="8" t="inlineStr">
        <is>
          <t>⚠️ YELLOW - At Risk</t>
        </is>
      </c>
      <c r="B30" t="inlineStr">
        <is>
          <t>SLA compliance 80-94% OR manual with documented procedure</t>
        </is>
      </c>
    </row>
    <row r="31">
      <c r="A31" s="9" t="inlineStr">
        <is>
          <t>❌ RED - Non-Compliant</t>
        </is>
      </c>
      <c r="B31" t="inlineStr">
        <is>
          <t>SLA compliance &lt;80% OR no documented procedure</t>
        </is>
      </c>
    </row>
  </sheetData>
  <mergeCells count="3">
    <mergeCell ref="A5:H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40" customWidth="1" min="8" max="8"/>
    <col width="20" customWidth="1" min="9" max="9"/>
    <col width="15" customWidth="1" min="10" max="10"/>
    <col width="15" customWidth="1" min="11" max="11"/>
    <col width="30" customWidth="1" min="12" max="12"/>
  </cols>
  <sheetData>
    <row r="1" ht="25" customHeight="1">
      <c r="A1" s="10" t="inlineStr">
        <is>
          <t>Inventory Structure &amp; Access Controls</t>
        </is>
      </c>
    </row>
    <row r="3">
      <c r="A3" s="3" t="inlineStr">
        <is>
          <t>SECTION 1: INVENTORY SYSTEM ARCHITECTURE</t>
        </is>
      </c>
    </row>
    <row r="4">
      <c r="A4" s="11" t="inlineStr">
        <is>
          <t>System Component</t>
        </is>
      </c>
      <c r="B4" s="11" t="inlineStr">
        <is>
          <t>Technology/Platform</t>
        </is>
      </c>
      <c r="C4" s="11" t="inlineStr">
        <is>
          <t>Purpose</t>
        </is>
      </c>
      <c r="D4" s="11" t="inlineStr">
        <is>
          <t>Data Stored</t>
        </is>
      </c>
      <c r="E4" s="11" t="inlineStr">
        <is>
          <t>Owner</t>
        </is>
      </c>
      <c r="F4" s="11" t="inlineStr">
        <is>
          <t>Backup Frequency</t>
        </is>
      </c>
      <c r="G4" s="11" t="inlineStr">
        <is>
          <t>Availability</t>
        </is>
      </c>
      <c r="H4" s="11" t="inlineStr">
        <is>
          <t>Documentation</t>
        </is>
      </c>
      <c r="I4" s="11" t="inlineStr">
        <is>
          <t>Last Review</t>
        </is>
      </c>
      <c r="J4" s="11" t="inlineStr">
        <is>
          <t>Status</t>
        </is>
      </c>
      <c r="K4" s="11" t="inlineStr">
        <is>
          <t>Evidence ID</t>
        </is>
      </c>
      <c r="L4" s="11" t="inlineStr">
        <is>
          <t>Notes</t>
        </is>
      </c>
    </row>
    <row r="5">
      <c r="A5" s="5" t="inlineStr">
        <is>
          <t>Asset Inventory Database</t>
        </is>
      </c>
      <c r="B5" s="12" t="inlineStr">
        <is>
          <t>PostgreSQL / MySQL / SQL Server / Other</t>
        </is>
      </c>
      <c r="C5" s="12" t="inlineStr">
        <is>
          <t>Master inventory database</t>
        </is>
      </c>
      <c r="D5" s="12" t="n"/>
      <c r="E5" s="12" t="n"/>
      <c r="F5" s="12" t="n"/>
      <c r="G5" s="12" t="n"/>
      <c r="H5" s="12" t="n"/>
      <c r="I5" s="12" t="n"/>
      <c r="J5" s="12" t="n"/>
      <c r="K5" s="12" t="n"/>
      <c r="L5" s="12" t="n"/>
    </row>
    <row r="6">
      <c r="A6" s="5" t="inlineStr">
        <is>
          <t>CMDB (Configuration Management DB)</t>
        </is>
      </c>
      <c r="B6" s="12" t="inlineStr">
        <is>
          <t>ServiceNow / BMC / Jira / Other</t>
        </is>
      </c>
      <c r="C6" s="12" t="inlineStr">
        <is>
          <t>IT infrastructure CMDB</t>
        </is>
      </c>
      <c r="D6" s="12" t="n"/>
      <c r="E6" s="12" t="n"/>
      <c r="F6" s="12" t="n"/>
      <c r="G6" s="12" t="n"/>
      <c r="H6" s="12" t="n"/>
      <c r="I6" s="12" t="n"/>
      <c r="J6" s="12" t="n"/>
      <c r="K6" s="12" t="n"/>
      <c r="L6" s="12" t="n"/>
    </row>
    <row r="7">
      <c r="A7" s="5" t="inlineStr">
        <is>
          <t>Asset Management Tool</t>
        </is>
      </c>
      <c r="B7" s="12" t="inlineStr">
        <is>
          <t>Commercial Tool / Spreadsheet / Custom</t>
        </is>
      </c>
      <c r="C7" s="12" t="inlineStr">
        <is>
          <t>Asset tracking and management</t>
        </is>
      </c>
      <c r="D7" s="12" t="n"/>
      <c r="E7" s="12" t="n"/>
      <c r="F7" s="12" t="n"/>
      <c r="G7" s="12" t="n"/>
      <c r="H7" s="12" t="n"/>
      <c r="I7" s="12" t="n"/>
      <c r="J7" s="12" t="n"/>
      <c r="K7" s="12" t="n"/>
      <c r="L7" s="12" t="n"/>
    </row>
    <row r="8">
      <c r="A8" s="5" t="inlineStr">
        <is>
          <t>HR System Integration</t>
        </is>
      </c>
      <c r="B8" s="12" t="inlineStr">
        <is>
          <t>Workday / SAP SuccessFactors / Other</t>
        </is>
      </c>
      <c r="C8" s="12" t="inlineStr">
        <is>
          <t>Personnel asset integration</t>
        </is>
      </c>
      <c r="D8" s="12" t="n"/>
      <c r="E8" s="12" t="n"/>
      <c r="F8" s="12" t="n"/>
      <c r="G8" s="12" t="n"/>
      <c r="H8" s="12" t="n"/>
      <c r="I8" s="12" t="n"/>
      <c r="J8" s="12" t="n"/>
      <c r="K8" s="12" t="n"/>
      <c r="L8" s="12" t="n"/>
    </row>
    <row r="9">
      <c r="A9" s="5" t="inlineStr">
        <is>
          <t>Procurement System Integration</t>
        </is>
      </c>
      <c r="B9" s="12" t="inlineStr">
        <is>
          <t>SAP / Oracle / Coupa / Other</t>
        </is>
      </c>
      <c r="C9" s="12" t="inlineStr">
        <is>
          <t>Purchase order integration</t>
        </is>
      </c>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7">
      <c r="A17" s="3" t="inlineStr">
        <is>
          <t>SECTION 2: ACCESS CONTROL MATRIX</t>
        </is>
      </c>
    </row>
    <row r="18">
      <c r="A18" s="13" t="inlineStr">
        <is>
          <t>Role / User Group</t>
        </is>
      </c>
      <c r="B18" s="13" t="inlineStr">
        <is>
          <t>View Access</t>
        </is>
      </c>
      <c r="C18" s="13" t="inlineStr">
        <is>
          <t>Create Access</t>
        </is>
      </c>
      <c r="D18" s="13" t="inlineStr">
        <is>
          <t>Modify Access</t>
        </is>
      </c>
      <c r="E18" s="13" t="inlineStr">
        <is>
          <t>Delete Access</t>
        </is>
      </c>
      <c r="F18" s="13" t="inlineStr">
        <is>
          <t>Export Access</t>
        </is>
      </c>
      <c r="G18" s="13" t="inlineStr">
        <is>
          <t>Admin Access</t>
        </is>
      </c>
      <c r="H18" s="13" t="inlineStr">
        <is>
          <t>Justification</t>
        </is>
      </c>
      <c r="I18" s="13" t="inlineStr">
        <is>
          <t>Approved By</t>
        </is>
      </c>
      <c r="J18" s="13" t="inlineStr">
        <is>
          <t>Last Review</t>
        </is>
      </c>
      <c r="K18" s="13" t="inlineStr">
        <is>
          <t>Evidence ID</t>
        </is>
      </c>
      <c r="L18" s="13" t="inlineStr">
        <is>
          <t>Notes</t>
        </is>
      </c>
    </row>
    <row r="19">
      <c r="A19" s="5" t="inlineStr">
        <is>
          <t>Asset Owners</t>
        </is>
      </c>
      <c r="B19" s="12" t="n"/>
      <c r="C19" s="12" t="n"/>
      <c r="D19" s="12" t="n"/>
      <c r="E19" s="12" t="n"/>
      <c r="F19" s="12" t="n"/>
      <c r="G19" s="12" t="n"/>
      <c r="H19" s="12" t="n"/>
      <c r="I19" s="12" t="n"/>
      <c r="J19" s="12" t="n"/>
      <c r="K19" s="12" t="n"/>
      <c r="L19" s="12" t="n"/>
    </row>
    <row r="20">
      <c r="A20" s="5" t="inlineStr">
        <is>
          <t>IT Operations</t>
        </is>
      </c>
      <c r="B20" s="12" t="n"/>
      <c r="C20" s="12" t="n"/>
      <c r="D20" s="12" t="n"/>
      <c r="E20" s="12" t="n"/>
      <c r="F20" s="12" t="n"/>
      <c r="G20" s="12" t="n"/>
      <c r="H20" s="12" t="n"/>
      <c r="I20" s="12" t="n"/>
      <c r="J20" s="12" t="n"/>
      <c r="K20" s="12" t="n"/>
      <c r="L20" s="12" t="n"/>
    </row>
    <row r="21">
      <c r="A21" s="5" t="inlineStr">
        <is>
          <t>Security Team</t>
        </is>
      </c>
      <c r="B21" s="12" t="n"/>
      <c r="C21" s="12" t="n"/>
      <c r="D21" s="12" t="n"/>
      <c r="E21" s="12" t="n"/>
      <c r="F21" s="12" t="n"/>
      <c r="G21" s="12" t="n"/>
      <c r="H21" s="12" t="n"/>
      <c r="I21" s="12" t="n"/>
      <c r="J21" s="12" t="n"/>
      <c r="K21" s="12" t="n"/>
      <c r="L21" s="12" t="n"/>
    </row>
    <row r="22">
      <c r="A22" s="5" t="inlineStr">
        <is>
          <t>Auditors (Read-Only)</t>
        </is>
      </c>
      <c r="B22" s="12" t="n"/>
      <c r="C22" s="12" t="n"/>
      <c r="D22" s="12" t="n"/>
      <c r="E22" s="12" t="n"/>
      <c r="F22" s="12" t="n"/>
      <c r="G22" s="12" t="n"/>
      <c r="H22" s="12" t="n"/>
      <c r="I22" s="12" t="n"/>
      <c r="J22" s="12" t="n"/>
      <c r="K22" s="12" t="n"/>
      <c r="L22" s="12" t="n"/>
    </row>
    <row r="23">
      <c r="A23" s="5" t="inlineStr">
        <is>
          <t>Executive Management (Reports)</t>
        </is>
      </c>
      <c r="B23" s="12" t="n"/>
      <c r="C23" s="12" t="n"/>
      <c r="D23" s="12" t="n"/>
      <c r="E23" s="12" t="n"/>
      <c r="F23" s="12" t="n"/>
      <c r="G23" s="12" t="n"/>
      <c r="H23" s="12" t="n"/>
      <c r="I23" s="12" t="n"/>
      <c r="J23" s="12" t="n"/>
      <c r="K23" s="12" t="n"/>
      <c r="L23" s="12" t="n"/>
    </row>
    <row r="24">
      <c r="A24" s="5" t="inlineStr">
        <is>
          <t>Procurement Team</t>
        </is>
      </c>
      <c r="B24" s="12" t="n"/>
      <c r="C24" s="12" t="n"/>
      <c r="D24" s="12" t="n"/>
      <c r="E24" s="12" t="n"/>
      <c r="F24" s="12" t="n"/>
      <c r="G24" s="12" t="n"/>
      <c r="H24" s="12" t="n"/>
      <c r="I24" s="12" t="n"/>
      <c r="J24" s="12" t="n"/>
      <c r="K24" s="12" t="n"/>
      <c r="L24" s="12" t="n"/>
    </row>
    <row r="25">
      <c r="A25" s="5" t="inlineStr">
        <is>
          <t>HR Team</t>
        </is>
      </c>
      <c r="B25" s="12" t="n"/>
      <c r="C25" s="12" t="n"/>
      <c r="D25" s="12" t="n"/>
      <c r="E25" s="12" t="n"/>
      <c r="F25" s="12" t="n"/>
      <c r="G25" s="12" t="n"/>
      <c r="H25" s="12" t="n"/>
      <c r="I25" s="12" t="n"/>
      <c r="J25" s="12" t="n"/>
      <c r="K25" s="12" t="n"/>
      <c r="L25" s="12" t="n"/>
    </row>
  </sheetData>
  <mergeCells count="3">
    <mergeCell ref="A3:L3"/>
    <mergeCell ref="A1:L1"/>
    <mergeCell ref="A17:L17"/>
  </mergeCells>
  <dataValidations count="1">
    <dataValidation sqref="B19:G25"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8" customWidth="1" min="6" max="6"/>
    <col width="16" customWidth="1" min="7" max="7"/>
    <col width="18" customWidth="1" min="8" max="8"/>
    <col width="25" customWidth="1" min="9" max="9"/>
    <col width="35" customWidth="1" min="10" max="10"/>
    <col width="15" customWidth="1" min="11" max="11"/>
    <col width="15" customWidth="1" min="12" max="12"/>
    <col width="30" customWidth="1" min="13" max="13"/>
  </cols>
  <sheetData>
    <row r="1" ht="25" customHeight="1">
      <c r="A1" s="14" t="inlineStr">
        <is>
          <t>Update Triggers &amp; Workflows</t>
        </is>
      </c>
    </row>
    <row r="3">
      <c r="A3" s="11" t="inlineStr">
        <is>
          <t>Update Trigger Event</t>
        </is>
      </c>
      <c r="B3" s="11" t="inlineStr">
        <is>
          <t>Trigger Source</t>
        </is>
      </c>
      <c r="C3" s="11" t="inlineStr">
        <is>
          <t>Workflow Documented?</t>
        </is>
      </c>
      <c r="D3" s="11" t="inlineStr">
        <is>
          <t>Automation Level</t>
        </is>
      </c>
      <c r="E3" s="11" t="inlineStr">
        <is>
          <t>Target SLA (Days)</t>
        </is>
      </c>
      <c r="F3" s="11" t="inlineStr">
        <is>
          <t>Actual Avg Time (Days)</t>
        </is>
      </c>
      <c r="G3" s="11" t="inlineStr">
        <is>
          <t>SLA Compliance %</t>
        </is>
      </c>
      <c r="H3" s="11" t="inlineStr">
        <is>
          <t>Compliance Status</t>
        </is>
      </c>
      <c r="I3" s="11" t="inlineStr">
        <is>
          <t>Responsible Party</t>
        </is>
      </c>
      <c r="J3" s="11" t="inlineStr">
        <is>
          <t>Procedure Location</t>
        </is>
      </c>
      <c r="K3" s="11" t="inlineStr">
        <is>
          <t>Last Review</t>
        </is>
      </c>
      <c r="L3" s="11" t="inlineStr">
        <is>
          <t>Evidence ID</t>
        </is>
      </c>
      <c r="M3" s="11" t="inlineStr">
        <is>
          <t>Notes</t>
        </is>
      </c>
    </row>
    <row r="4">
      <c r="A4" s="5" t="inlineStr">
        <is>
          <t>New Asset Procurement</t>
        </is>
      </c>
      <c r="B4" t="inlineStr">
        <is>
          <t>Procurement System</t>
        </is>
      </c>
      <c r="C4" s="12" t="n"/>
      <c r="D4" s="12" t="n"/>
      <c r="E4" t="n">
        <v>5</v>
      </c>
      <c r="F4" s="12" t="n"/>
      <c r="G4" s="15">
        <f>IF(F4="","",IF(F4&lt;=E4,100,MAX(0,100-(F4-E4)/E4*100)))</f>
        <v/>
      </c>
      <c r="H4" s="16">
        <f>IF(G4="","",IF(G4&gt;=95,"✅ Compliant",IF(G4&gt;=80,"⚠️ At Risk","❌ Non-Compliant")))</f>
        <v/>
      </c>
      <c r="I4" s="12" t="n"/>
      <c r="J4" s="12" t="n"/>
      <c r="K4" s="12" t="n"/>
      <c r="L4" s="12" t="n"/>
      <c r="M4" s="12" t="n"/>
    </row>
    <row r="5">
      <c r="A5" s="5" t="inlineStr">
        <is>
          <t>Asset Deployment / Go-Live</t>
        </is>
      </c>
      <c r="B5" t="inlineStr">
        <is>
          <t>Change Management</t>
        </is>
      </c>
      <c r="C5" s="12" t="n"/>
      <c r="D5" s="12" t="n"/>
      <c r="E5" t="n">
        <v>3</v>
      </c>
      <c r="F5" s="12" t="n"/>
      <c r="G5" s="15">
        <f>IF(F5="","",IF(F5&lt;=E5,100,MAX(0,100-(F5-E5)/E5*100)))</f>
        <v/>
      </c>
      <c r="H5" s="16">
        <f>IF(G5="","",IF(G5&gt;=95,"✅ Compliant",IF(G5&gt;=80,"⚠️ At Risk","❌ Non-Compliant")))</f>
        <v/>
      </c>
      <c r="I5" s="12" t="n"/>
      <c r="J5" s="12" t="n"/>
      <c r="K5" s="12" t="n"/>
      <c r="L5" s="12" t="n"/>
      <c r="M5" s="12" t="n"/>
    </row>
    <row r="6">
      <c r="A6" s="5" t="inlineStr">
        <is>
          <t>Asset Configuration Change</t>
        </is>
      </c>
      <c r="B6" t="inlineStr">
        <is>
          <t>Change Management</t>
        </is>
      </c>
      <c r="C6" s="12" t="n"/>
      <c r="D6" s="12" t="n"/>
      <c r="E6" t="n">
        <v>3</v>
      </c>
      <c r="F6" s="12" t="n"/>
      <c r="G6" s="15">
        <f>IF(F6="","",IF(F6&lt;=E6,100,MAX(0,100-(F6-E6)/E6*100)))</f>
        <v/>
      </c>
      <c r="H6" s="16">
        <f>IF(G6="","",IF(G6&gt;=95,"✅ Compliant",IF(G6&gt;=80,"⚠️ At Risk","❌ Non-Compliant")))</f>
        <v/>
      </c>
      <c r="I6" s="12" t="n"/>
      <c r="J6" s="12" t="n"/>
      <c r="K6" s="12" t="n"/>
      <c r="L6" s="12" t="n"/>
      <c r="M6" s="12" t="n"/>
    </row>
    <row r="7">
      <c r="A7" s="5" t="inlineStr">
        <is>
          <t>Asset Relocation / Transfer</t>
        </is>
      </c>
      <c r="B7" t="inlineStr">
        <is>
          <t>Facilities / IT Ops</t>
        </is>
      </c>
      <c r="C7" s="12" t="n"/>
      <c r="D7" s="12" t="n"/>
      <c r="E7" t="n">
        <v>3</v>
      </c>
      <c r="F7" s="12" t="n"/>
      <c r="G7" s="15">
        <f>IF(F7="","",IF(F7&lt;=E7,100,MAX(0,100-(F7-E7)/E7*100)))</f>
        <v/>
      </c>
      <c r="H7" s="16">
        <f>IF(G7="","",IF(G7&gt;=95,"✅ Compliant",IF(G7&gt;=80,"⚠️ At Risk","❌ Non-Compliant")))</f>
        <v/>
      </c>
      <c r="I7" s="12" t="n"/>
      <c r="J7" s="12" t="n"/>
      <c r="K7" s="12" t="n"/>
      <c r="L7" s="12" t="n"/>
      <c r="M7" s="12" t="n"/>
    </row>
    <row r="8">
      <c r="A8" s="5" t="inlineStr">
        <is>
          <t>Asset Decommission / Disposal</t>
        </is>
      </c>
      <c r="B8" t="inlineStr">
        <is>
          <t>Change Management</t>
        </is>
      </c>
      <c r="C8" s="12" t="n"/>
      <c r="D8" s="12" t="n"/>
      <c r="E8" t="n">
        <v>2</v>
      </c>
      <c r="F8" s="12" t="n"/>
      <c r="G8" s="15">
        <f>IF(F8="","",IF(F8&lt;=E8,100,MAX(0,100-(F8-E8)/E8*100)))</f>
        <v/>
      </c>
      <c r="H8" s="16">
        <f>IF(G8="","",IF(G8&gt;=95,"✅ Compliant",IF(G8&gt;=80,"⚠️ At Risk","❌ Non-Compliant")))</f>
        <v/>
      </c>
      <c r="I8" s="12" t="n"/>
      <c r="J8" s="12" t="n"/>
      <c r="K8" s="12" t="n"/>
      <c r="L8" s="12" t="n"/>
      <c r="M8" s="12" t="n"/>
    </row>
    <row r="9">
      <c r="A9" s="5" t="inlineStr">
        <is>
          <t>Personnel Onboarding (Joiner)</t>
        </is>
      </c>
      <c r="B9" t="inlineStr">
        <is>
          <t>HR System</t>
        </is>
      </c>
      <c r="C9" s="12" t="n"/>
      <c r="D9" s="12" t="n"/>
      <c r="E9" t="n">
        <v>1</v>
      </c>
      <c r="F9" s="12" t="n"/>
      <c r="G9" s="15">
        <f>IF(F9="","",IF(F9&lt;=E9,100,MAX(0,100-(F9-E9)/E9*100)))</f>
        <v/>
      </c>
      <c r="H9" s="16">
        <f>IF(G9="","",IF(G9&gt;=95,"✅ Compliant",IF(G9&gt;=80,"⚠️ At Risk","❌ Non-Compliant")))</f>
        <v/>
      </c>
      <c r="I9" s="12" t="n"/>
      <c r="J9" s="12" t="n"/>
      <c r="K9" s="12" t="n"/>
      <c r="L9" s="12" t="n"/>
      <c r="M9" s="12" t="n"/>
    </row>
    <row r="10">
      <c r="A10" s="5" t="inlineStr">
        <is>
          <t>Personnel Offboarding (Leaver)</t>
        </is>
      </c>
      <c r="B10" t="inlineStr">
        <is>
          <t>HR System</t>
        </is>
      </c>
      <c r="C10" s="12" t="n"/>
      <c r="D10" s="12" t="n"/>
      <c r="E10" t="n">
        <v>1</v>
      </c>
      <c r="F10" s="12" t="n"/>
      <c r="G10" s="15">
        <f>IF(F10="","",IF(F10&lt;=E10,100,MAX(0,100-(F10-E10)/E10*100)))</f>
        <v/>
      </c>
      <c r="H10" s="16">
        <f>IF(G10="","",IF(G10&gt;=95,"✅ Compliant",IF(G10&gt;=80,"⚠️ At Risk","❌ Non-Compliant")))</f>
        <v/>
      </c>
      <c r="I10" s="12" t="n"/>
      <c r="J10" s="12" t="n"/>
      <c r="K10" s="12" t="n"/>
      <c r="L10" s="12" t="n"/>
      <c r="M10" s="12" t="n"/>
    </row>
    <row r="11">
      <c r="A11" s="5" t="inlineStr">
        <is>
          <t>Personnel Role Change</t>
        </is>
      </c>
      <c r="B11" t="inlineStr">
        <is>
          <t>HR System</t>
        </is>
      </c>
      <c r="C11" s="12" t="n"/>
      <c r="D11" s="12" t="n"/>
      <c r="E11" t="n">
        <v>2</v>
      </c>
      <c r="F11" s="12" t="n"/>
      <c r="G11" s="15">
        <f>IF(F11="","",IF(F11&lt;=E11,100,MAX(0,100-(F11-E11)/E11*100)))</f>
        <v/>
      </c>
      <c r="H11" s="16">
        <f>IF(G11="","",IF(G11&gt;=95,"✅ Compliant",IF(G11&gt;=80,"⚠️ At Risk","❌ Non-Compliant")))</f>
        <v/>
      </c>
      <c r="I11" s="12" t="n"/>
      <c r="J11" s="12" t="n"/>
      <c r="K11" s="12" t="n"/>
      <c r="L11" s="12" t="n"/>
      <c r="M11" s="12" t="n"/>
    </row>
    <row r="12">
      <c r="A12" s="5" t="inlineStr">
        <is>
          <t>Ownership Transfer</t>
        </is>
      </c>
      <c r="B12" t="inlineStr">
        <is>
          <t>Asset Owner / Security</t>
        </is>
      </c>
      <c r="C12" s="12" t="n"/>
      <c r="D12" s="12" t="n"/>
      <c r="E12" t="n">
        <v>3</v>
      </c>
      <c r="F12" s="12" t="n"/>
      <c r="G12" s="15">
        <f>IF(F12="","",IF(F12&lt;=E12,100,MAX(0,100-(F12-E12)/E12*100)))</f>
        <v/>
      </c>
      <c r="H12" s="16">
        <f>IF(G12="","",IF(G12&gt;=95,"✅ Compliant",IF(G12&gt;=80,"⚠️ At Risk","❌ Non-Compliant")))</f>
        <v/>
      </c>
      <c r="I12" s="12" t="n"/>
      <c r="J12" s="12" t="n"/>
      <c r="K12" s="12" t="n"/>
      <c r="L12" s="12" t="n"/>
      <c r="M12" s="12" t="n"/>
    </row>
    <row r="13">
      <c r="A13" s="5" t="inlineStr">
        <is>
          <t>Security Incident (Asset Affected)</t>
        </is>
      </c>
      <c r="B13" t="inlineStr">
        <is>
          <t>Security Team</t>
        </is>
      </c>
      <c r="C13" s="12" t="n"/>
      <c r="D13" s="12" t="n"/>
      <c r="E13" t="n">
        <v>1</v>
      </c>
      <c r="F13" s="12" t="n"/>
      <c r="G13" s="15">
        <f>IF(F13="","",IF(F13&lt;=E13,100,MAX(0,100-(F13-E13)/E13*100)))</f>
        <v/>
      </c>
      <c r="H13" s="16">
        <f>IF(G13="","",IF(G13&gt;=95,"✅ Compliant",IF(G13&gt;=80,"⚠️ At Risk","❌ Non-Compliant")))</f>
        <v/>
      </c>
      <c r="I13" s="12" t="n"/>
      <c r="J13" s="12" t="n"/>
      <c r="K13" s="12" t="n"/>
      <c r="L13" s="12" t="n"/>
      <c r="M13" s="12" t="n"/>
    </row>
    <row r="14">
      <c r="A14" s="5" t="inlineStr">
        <is>
          <t>Discovery Scan Finds New Asset</t>
        </is>
      </c>
      <c r="B14" t="inlineStr">
        <is>
          <t>Network Monitoring</t>
        </is>
      </c>
      <c r="C14" s="12" t="n"/>
      <c r="D14" s="12" t="n"/>
      <c r="E14" t="n">
        <v>5</v>
      </c>
      <c r="F14" s="12" t="n"/>
      <c r="G14" s="15">
        <f>IF(F14="","",IF(F14&lt;=E14,100,MAX(0,100-(F14-E14)/E14*100)))</f>
        <v/>
      </c>
      <c r="H14" s="16">
        <f>IF(G14="","",IF(G14&gt;=95,"✅ Compliant",IF(G14&gt;=80,"⚠️ At Risk","❌ Non-Compliant")))</f>
        <v/>
      </c>
      <c r="I14" s="12" t="n"/>
      <c r="J14" s="12" t="n"/>
      <c r="K14" s="12" t="n"/>
      <c r="L14" s="12" t="n"/>
      <c r="M14" s="12" t="n"/>
    </row>
    <row r="15">
      <c r="A15" s="5" t="inlineStr">
        <is>
          <t>Periodic Review Identifies Change</t>
        </is>
      </c>
      <c r="B15" t="inlineStr">
        <is>
          <t>Asset Owner</t>
        </is>
      </c>
      <c r="C15" s="12" t="n"/>
      <c r="D15" s="12" t="n"/>
      <c r="E15" t="n">
        <v>7</v>
      </c>
      <c r="F15" s="12" t="n"/>
      <c r="G15" s="15">
        <f>IF(F15="","",IF(F15&lt;=E15,100,MAX(0,100-(F15-E15)/E15*100)))</f>
        <v/>
      </c>
      <c r="H15" s="16">
        <f>IF(G15="","",IF(G15&gt;=95,"✅ Compliant",IF(G15&gt;=80,"⚠️ At Risk","❌ Non-Compliant")))</f>
        <v/>
      </c>
      <c r="I15" s="12" t="n"/>
      <c r="J15" s="12" t="n"/>
      <c r="K15" s="12" t="n"/>
      <c r="L15" s="12" t="n"/>
      <c r="M15" s="12" t="n"/>
    </row>
    <row r="18">
      <c r="A18" s="3" t="inlineStr">
        <is>
          <t>UPDATE WORKFLOW SUMMARY</t>
        </is>
      </c>
    </row>
    <row r="19">
      <c r="A19" t="inlineStr">
        <is>
          <t>Total Update Triggers</t>
        </is>
      </c>
      <c r="B19" s="5">
        <f>COUNTA(A4:A15)</f>
        <v/>
      </c>
    </row>
    <row r="20">
      <c r="A20" t="inlineStr">
        <is>
          <t>Triggers with Documented Workflow</t>
        </is>
      </c>
      <c r="B20" s="5">
        <f>COUNTIF(C4:C15,"Yes")</f>
        <v/>
      </c>
    </row>
    <row r="21">
      <c r="A21" t="inlineStr">
        <is>
          <t>Workflow Documentation %</t>
        </is>
      </c>
      <c r="B21" s="17">
        <f>IFERROR(B20/B19*100,0)</f>
        <v/>
      </c>
    </row>
    <row r="22">
      <c r="A22" t="inlineStr">
        <is>
          <t>Fully Automated Triggers</t>
        </is>
      </c>
      <c r="B22">
        <f>COUNTIF(D4:D15,"Fully Automated")</f>
        <v/>
      </c>
    </row>
    <row r="23">
      <c r="A23" t="inlineStr">
        <is>
          <t>Automation Rate %</t>
        </is>
      </c>
      <c r="B23" s="15">
        <f>IFERROR(B22/B19*100,0)</f>
        <v/>
      </c>
    </row>
    <row r="24">
      <c r="A24" t="inlineStr">
        <is>
          <t>Average SLA Compliance %</t>
        </is>
      </c>
      <c r="B24" s="18">
        <f>IFERROR(AVERAGE(G4:G15),0)</f>
        <v/>
      </c>
    </row>
  </sheetData>
  <mergeCells count="1">
    <mergeCell ref="A1:M1"/>
  </mergeCells>
  <conditionalFormatting sqref="G4:G15">
    <cfRule type="cellIs" priority="1" operator="greaterThanOrEqual" dxfId="0">
      <formula>95</formula>
    </cfRule>
    <cfRule type="cellIs" priority="2" operator="between" dxfId="1">
      <formula>80</formula>
      <formula>94</formula>
    </cfRule>
    <cfRule type="cellIs" priority="3" operator="lessThan" dxfId="2">
      <formula>80</formula>
    </cfRule>
  </conditionalFormatting>
  <dataValidations count="2">
    <dataValidation sqref="C4:C15" showDropDown="0" showInputMessage="0" showErrorMessage="0" allowBlank="1" type="list">
      <formula1>"Yes,No,Partial"</formula1>
    </dataValidation>
    <dataValidation sqref="D4:D15" showDropDown="0" showInputMessage="0" showErrorMessage="0" allowBlank="1" type="list">
      <formula1>"Fully Automated,Partially Automated,Manual with Procedure,Manual (Ad-hoc),Not Defined"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30" customWidth="1" min="1" max="1"/>
    <col width="25" customWidth="1" min="2" max="2"/>
    <col width="30" customWidth="1" min="3" max="3"/>
    <col width="20" customWidth="1" min="4" max="4"/>
    <col width="15" customWidth="1" min="5" max="5"/>
    <col width="18" customWidth="1" min="6" max="6"/>
    <col width="15" customWidth="1" min="7" max="7"/>
    <col width="18" customWidth="1" min="8" max="8"/>
    <col width="20" customWidth="1" min="9" max="9"/>
    <col width="35" customWidth="1" min="10" max="10"/>
    <col width="25" customWidth="1" min="11" max="11"/>
    <col width="15" customWidth="1" min="12" max="12"/>
    <col width="30" customWidth="1" min="13" max="13"/>
  </cols>
  <sheetData>
    <row r="1">
      <c r="A1" s="14" t="inlineStr">
        <is>
          <t>Integration Architecture</t>
        </is>
      </c>
    </row>
    <row r="3">
      <c r="A3" s="13" t="inlineStr">
        <is>
          <t>Source System</t>
        </is>
      </c>
      <c r="B3" s="13" t="inlineStr">
        <is>
          <t>Integration Type</t>
        </is>
      </c>
      <c r="C3" s="13" t="inlineStr">
        <is>
          <t>Data Flow</t>
        </is>
      </c>
      <c r="D3" s="13" t="inlineStr">
        <is>
          <t>Frequency</t>
        </is>
      </c>
      <c r="E3" s="13" t="inlineStr">
        <is>
          <t>Status</t>
        </is>
      </c>
      <c r="F3" s="13" t="inlineStr">
        <is>
          <t>Last Successful Run</t>
        </is>
      </c>
      <c r="G3" s="13" t="inlineStr">
        <is>
          <t>Success Rate %</t>
        </is>
      </c>
      <c r="H3" s="13" t="inlineStr">
        <is>
          <t>Health Status</t>
        </is>
      </c>
      <c r="I3" s="13" t="inlineStr">
        <is>
          <t>Owner</t>
        </is>
      </c>
      <c r="J3" s="13" t="inlineStr">
        <is>
          <t>Documentation</t>
        </is>
      </c>
      <c r="K3" s="13" t="inlineStr">
        <is>
          <t>Monitoring</t>
        </is>
      </c>
      <c r="L3" s="13" t="inlineStr">
        <is>
          <t>Evidence ID</t>
        </is>
      </c>
      <c r="M3" s="13" t="inlineStr">
        <is>
          <t>Notes</t>
        </is>
      </c>
    </row>
    <row r="4">
      <c r="A4" s="5" t="inlineStr">
        <is>
          <t>HR System (Personnel)</t>
        </is>
      </c>
      <c r="B4" t="inlineStr">
        <is>
          <t>Scheduled Batch (Daily)</t>
        </is>
      </c>
      <c r="C4" t="inlineStr">
        <is>
          <t>Employee data → Personnel Assets</t>
        </is>
      </c>
      <c r="D4" t="inlineStr">
        <is>
          <t>Daily 02:00</t>
        </is>
      </c>
      <c r="E4" s="12" t="n"/>
      <c r="F4" s="12" t="n"/>
      <c r="G4" s="19" t="n"/>
      <c r="H4" s="16">
        <f>IF(G4="","",IF(G4&gt;=98,"✅ Healthy",IF(G4&gt;=90,"⚠️ Degraded","❌ Unhealthy")))</f>
        <v/>
      </c>
      <c r="I4" s="12" t="n"/>
      <c r="J4" s="12" t="n"/>
      <c r="K4" s="12" t="n"/>
      <c r="L4" s="12" t="n"/>
      <c r="M4" s="12" t="n"/>
    </row>
    <row r="5">
      <c r="A5" s="5" t="inlineStr">
        <is>
          <t>Procurement System</t>
        </is>
      </c>
      <c r="B5" t="inlineStr">
        <is>
          <t>Webhook / Event-driven</t>
        </is>
      </c>
      <c r="C5" t="inlineStr">
        <is>
          <t>PO Approval → New Asset Record</t>
        </is>
      </c>
      <c r="D5" t="inlineStr">
        <is>
          <t>Real-time</t>
        </is>
      </c>
      <c r="E5" s="12" t="n"/>
      <c r="F5" s="12" t="n"/>
      <c r="G5" s="19" t="n"/>
      <c r="H5" s="16">
        <f>IF(G5="","",IF(G5&gt;=98,"✅ Healthy",IF(G5&gt;=90,"⚠️ Degraded","❌ Unhealthy")))</f>
        <v/>
      </c>
      <c r="I5" s="12" t="n"/>
      <c r="J5" s="12" t="n"/>
      <c r="K5" s="12" t="n"/>
      <c r="L5" s="12" t="n"/>
      <c r="M5" s="12" t="n"/>
    </row>
    <row r="6">
      <c r="A6" s="5" t="inlineStr">
        <is>
          <t>Network Monitoring (Nmap/Nessus)</t>
        </is>
      </c>
      <c r="B6" t="inlineStr">
        <is>
          <t>Scheduled Batch (Weekly)</t>
        </is>
      </c>
      <c r="C6" t="inlineStr">
        <is>
          <t>Scan Results → IT Infrastructure</t>
        </is>
      </c>
      <c r="D6" t="inlineStr">
        <is>
          <t>Weekly Sunday</t>
        </is>
      </c>
      <c r="E6" s="12" t="n"/>
      <c r="F6" s="12" t="n"/>
      <c r="G6" s="19" t="n"/>
      <c r="H6" s="16">
        <f>IF(G6="","",IF(G6&gt;=98,"✅ Healthy",IF(G6&gt;=90,"⚠️ Degraded","❌ Unhealthy")))</f>
        <v/>
      </c>
      <c r="I6" s="12" t="n"/>
      <c r="J6" s="12" t="n"/>
      <c r="K6" s="12" t="n"/>
      <c r="L6" s="12" t="n"/>
      <c r="M6" s="12" t="n"/>
    </row>
    <row r="7">
      <c r="A7" s="5" t="inlineStr">
        <is>
          <t>CMDB / ServiceNow</t>
        </is>
      </c>
      <c r="B7" t="inlineStr">
        <is>
          <t>Real-time API</t>
        </is>
      </c>
      <c r="C7" t="inlineStr">
        <is>
          <t>CI Updates → Inventory Sync</t>
        </is>
      </c>
      <c r="D7" t="inlineStr">
        <is>
          <t>Real-time</t>
        </is>
      </c>
      <c r="E7" s="12" t="n"/>
      <c r="F7" s="12" t="n"/>
      <c r="G7" s="19" t="n"/>
      <c r="H7" s="16">
        <f>IF(G7="","",IF(G7&gt;=98,"✅ Healthy",IF(G7&gt;=90,"⚠️ Degraded","❌ Unhealthy")))</f>
        <v/>
      </c>
      <c r="I7" s="12" t="n"/>
      <c r="J7" s="12" t="n"/>
      <c r="K7" s="12" t="n"/>
      <c r="L7" s="12" t="n"/>
      <c r="M7" s="12" t="n"/>
    </row>
    <row r="8">
      <c r="A8" s="5" t="inlineStr">
        <is>
          <t>Cloud Provider APIs (AWS/Azure)</t>
        </is>
      </c>
      <c r="B8" t="inlineStr">
        <is>
          <t>Scheduled Batch (Daily)</t>
        </is>
      </c>
      <c r="C8" t="inlineStr">
        <is>
          <t>Cloud Resources → IT Infrastructure</t>
        </is>
      </c>
      <c r="D8" t="inlineStr">
        <is>
          <t>Daily 03:00</t>
        </is>
      </c>
      <c r="E8" s="12" t="n"/>
      <c r="F8" s="12" t="n"/>
      <c r="G8" s="19" t="n"/>
      <c r="H8" s="16">
        <f>IF(G8="","",IF(G8&gt;=98,"✅ Healthy",IF(G8&gt;=90,"⚠️ Degraded","❌ Unhealthy")))</f>
        <v/>
      </c>
      <c r="I8" s="12" t="n"/>
      <c r="J8" s="12" t="n"/>
      <c r="K8" s="12" t="n"/>
      <c r="L8" s="12" t="n"/>
      <c r="M8" s="12" t="n"/>
    </row>
    <row r="9">
      <c r="A9" s="5" t="inlineStr">
        <is>
          <t>Active Directory</t>
        </is>
      </c>
      <c r="B9" t="inlineStr">
        <is>
          <t>Database Replication</t>
        </is>
      </c>
      <c r="C9" t="inlineStr">
        <is>
          <t>User/Group Data → Personnel/Access</t>
        </is>
      </c>
      <c r="D9" t="inlineStr">
        <is>
          <t>Hourly</t>
        </is>
      </c>
      <c r="E9" s="12" t="n"/>
      <c r="F9" s="12" t="n"/>
      <c r="G9" s="19" t="n"/>
      <c r="H9" s="16">
        <f>IF(G9="","",IF(G9&gt;=98,"✅ Healthy",IF(G9&gt;=90,"⚠️ Degraded","❌ Unhealthy")))</f>
        <v/>
      </c>
      <c r="I9" s="12" t="n"/>
      <c r="J9" s="12" t="n"/>
      <c r="K9" s="12" t="n"/>
      <c r="L9" s="12" t="n"/>
      <c r="M9" s="12" t="n"/>
    </row>
    <row r="10">
      <c r="A10" s="5" t="inlineStr">
        <is>
          <t>Asset Management Tool</t>
        </is>
      </c>
      <c r="B10" t="inlineStr">
        <is>
          <t>Real-time API</t>
        </is>
      </c>
      <c r="C10" t="inlineStr">
        <is>
          <t>Asset Changes → Inventory Sync</t>
        </is>
      </c>
      <c r="D10" t="inlineStr">
        <is>
          <t>Real-time</t>
        </is>
      </c>
      <c r="E10" s="12" t="n"/>
      <c r="F10" s="12" t="n"/>
      <c r="G10" s="19" t="n"/>
      <c r="H10" s="16">
        <f>IF(G10="","",IF(G10&gt;=98,"✅ Healthy",IF(G10&gt;=90,"⚠️ Degraded","❌ Unhealthy")))</f>
        <v/>
      </c>
      <c r="I10" s="12" t="n"/>
      <c r="J10" s="12" t="n"/>
      <c r="K10" s="12" t="n"/>
      <c r="L10" s="12" t="n"/>
      <c r="M10" s="12" t="n"/>
    </row>
    <row r="11">
      <c r="A11" s="12" t="n"/>
      <c r="B11" s="12" t="n"/>
      <c r="C11" s="12" t="n"/>
      <c r="D11" s="12" t="n"/>
      <c r="E11" s="12" t="n"/>
      <c r="F11" s="12" t="n"/>
      <c r="G11" s="12" t="n"/>
      <c r="I11" s="12" t="n"/>
      <c r="J11" s="12" t="n"/>
      <c r="K11" s="12" t="n"/>
      <c r="L11" s="12" t="n"/>
      <c r="M11" s="12" t="n"/>
    </row>
    <row r="12">
      <c r="A12" s="12" t="n"/>
      <c r="B12" s="12" t="n"/>
      <c r="C12" s="12" t="n"/>
      <c r="D12" s="12" t="n"/>
      <c r="E12" s="12" t="n"/>
      <c r="F12" s="12" t="n"/>
      <c r="G12" s="12" t="n"/>
      <c r="I12" s="12" t="n"/>
      <c r="J12" s="12" t="n"/>
      <c r="K12" s="12" t="n"/>
      <c r="L12" s="12" t="n"/>
      <c r="M12" s="12" t="n"/>
    </row>
    <row r="13">
      <c r="A13" s="12" t="n"/>
      <c r="B13" s="12" t="n"/>
      <c r="C13" s="12" t="n"/>
      <c r="D13" s="12" t="n"/>
      <c r="E13" s="12" t="n"/>
      <c r="F13" s="12" t="n"/>
      <c r="G13" s="12" t="n"/>
      <c r="I13" s="12" t="n"/>
      <c r="J13" s="12" t="n"/>
      <c r="K13" s="12" t="n"/>
      <c r="L13" s="12" t="n"/>
      <c r="M13" s="12" t="n"/>
    </row>
    <row r="14">
      <c r="A14" s="12" t="n"/>
      <c r="B14" s="12" t="n"/>
      <c r="C14" s="12" t="n"/>
      <c r="D14" s="12" t="n"/>
      <c r="E14" s="12" t="n"/>
      <c r="F14" s="12" t="n"/>
      <c r="G14" s="12" t="n"/>
      <c r="I14" s="12" t="n"/>
      <c r="J14" s="12" t="n"/>
      <c r="K14" s="12" t="n"/>
      <c r="L14" s="12" t="n"/>
      <c r="M14" s="12" t="n"/>
    </row>
    <row r="15">
      <c r="A15" s="12" t="n"/>
      <c r="B15" s="12" t="n"/>
      <c r="C15" s="12" t="n"/>
      <c r="D15" s="12" t="n"/>
      <c r="E15" s="12" t="n"/>
      <c r="F15" s="12" t="n"/>
      <c r="G15" s="12" t="n"/>
      <c r="I15" s="12" t="n"/>
      <c r="J15" s="12" t="n"/>
      <c r="K15" s="12" t="n"/>
      <c r="L15" s="12" t="n"/>
      <c r="M15" s="12" t="n"/>
    </row>
    <row r="18">
      <c r="A18" s="3" t="inlineStr">
        <is>
          <t>INTEGRATION HEALTH SUMMARY</t>
        </is>
      </c>
    </row>
    <row r="19">
      <c r="A19" t="inlineStr">
        <is>
          <t>Total Integrations</t>
        </is>
      </c>
      <c r="B19">
        <f>COUNTA(A4:A10)</f>
        <v/>
      </c>
    </row>
    <row r="20">
      <c r="A20" t="inlineStr">
        <is>
          <t>Active Integrations</t>
        </is>
      </c>
      <c r="B20">
        <f>COUNTIF(E4:E10,"Active")</f>
        <v/>
      </c>
    </row>
    <row r="21">
      <c r="A21" t="inlineStr">
        <is>
          <t>Healthy Integrations</t>
        </is>
      </c>
      <c r="B21">
        <f>COUNTIF(H4:H10,"✅ Healthy")</f>
        <v/>
      </c>
    </row>
    <row r="22">
      <c r="A22" t="inlineStr">
        <is>
          <t>Integration Health %</t>
        </is>
      </c>
      <c r="B22" s="18">
        <f>IFERROR(B21/B20*100,0)</f>
        <v/>
      </c>
    </row>
    <row r="23">
      <c r="A23" t="inlineStr">
        <is>
          <t>Average Success Rate</t>
        </is>
      </c>
      <c r="B23" s="15">
        <f>IFERROR(AVERAGE(G4:G10),0)</f>
        <v/>
      </c>
    </row>
  </sheetData>
  <mergeCells count="1">
    <mergeCell ref="A1:M1"/>
  </mergeCells>
  <conditionalFormatting sqref="G4:G10">
    <cfRule type="cellIs" priority="1" operator="greaterThanOrEqual" dxfId="0">
      <formula>98</formula>
    </cfRule>
    <cfRule type="cellIs" priority="2" operator="between" dxfId="1">
      <formula>90</formula>
      <formula>97</formula>
    </cfRule>
    <cfRule type="cellIs" priority="3" operator="lessThan" dxfId="2">
      <formula>90</formula>
    </cfRule>
  </conditionalFormatting>
  <dataValidations count="2">
    <dataValidation sqref="B4:B15" showDropDown="0" showInputMessage="0" showErrorMessage="0" allowBlank="1" type="list">
      <formula1>"Real-time API,Scheduled Batch (Daily),Scheduled Batch (Weekly),Webhook / Event-driven,File Transfer (SFTP),Database Replication,Manual Import,No Integration (Manual)"</formula1>
    </dataValidation>
    <dataValidation sqref="E4:E15" showDropDown="0" showInputMessage="0" showErrorMessage="0" allowBlank="1" type="list">
      <formula1>"Active,Inactive,Planned,Deprecated,Failed"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0" customWidth="1" min="2" max="2"/>
    <col width="15" customWidth="1" min="3" max="3"/>
    <col width="18" customWidth="1" min="4" max="4"/>
    <col width="25" customWidth="1" min="5" max="5"/>
    <col width="25" customWidth="1" min="6" max="6"/>
    <col width="20" customWidth="1" min="7" max="7"/>
    <col width="18" customWidth="1" min="8" max="8"/>
    <col width="18" customWidth="1" min="9" max="9"/>
    <col width="15" customWidth="1" min="10" max="10"/>
    <col width="30" customWidth="1" min="11" max="11"/>
  </cols>
  <sheetData>
    <row r="1">
      <c r="A1" s="14" t="inlineStr">
        <is>
          <t>Quality Control Processes</t>
        </is>
      </c>
    </row>
    <row r="3">
      <c r="A3" s="13" t="inlineStr">
        <is>
          <t>Quality Control Process</t>
        </is>
      </c>
      <c r="B3" s="13" t="inlineStr">
        <is>
          <t>Frequency</t>
        </is>
      </c>
      <c r="C3" s="13" t="inlineStr">
        <is>
          <t>Documented?</t>
        </is>
      </c>
      <c r="D3" s="13" t="inlineStr">
        <is>
          <t>Last Performed</t>
        </is>
      </c>
      <c r="E3" s="13" t="inlineStr">
        <is>
          <t>Responsible Party</t>
        </is>
      </c>
      <c r="F3" s="13" t="inlineStr">
        <is>
          <t>Issues Found (Last Run)</t>
        </is>
      </c>
      <c r="G3" s="13" t="inlineStr">
        <is>
          <t>Issues Resolved</t>
        </is>
      </c>
      <c r="H3" s="13" t="inlineStr">
        <is>
          <t>Effectiveness %</t>
        </is>
      </c>
      <c r="I3" s="13" t="inlineStr">
        <is>
          <t>Status</t>
        </is>
      </c>
      <c r="J3" s="13" t="inlineStr">
        <is>
          <t>Evidence ID</t>
        </is>
      </c>
      <c r="K3" s="13" t="inlineStr">
        <is>
          <t>Notes</t>
        </is>
      </c>
    </row>
    <row r="4">
      <c r="A4" s="5" t="inlineStr">
        <is>
          <t>Data Validation Rules (Automated)</t>
        </is>
      </c>
      <c r="B4" t="inlineStr">
        <is>
          <t>Real-time</t>
        </is>
      </c>
      <c r="C4" s="12" t="n"/>
      <c r="D4" s="12" t="n"/>
      <c r="E4" s="12" t="n"/>
      <c r="F4" s="12" t="n"/>
      <c r="G4" s="12" t="n"/>
      <c r="H4" s="15">
        <f>IF(OR(F4="",G4=""),"",IF(F4=0,100,G4/F4*100))</f>
        <v/>
      </c>
      <c r="I4" s="16">
        <f>IF(H4="","",IF(H4&gt;=90,"✅ Effective",IF(H4&gt;=70,"⚠️ Needs Improvement","❌ Ineffective")))</f>
        <v/>
      </c>
      <c r="J4" s="12" t="n"/>
      <c r="K4" s="12" t="n"/>
    </row>
    <row r="5">
      <c r="A5" s="5" t="inlineStr">
        <is>
          <t>Duplicate Detection / Deduplication</t>
        </is>
      </c>
      <c r="B5" t="inlineStr">
        <is>
          <t>Weekly</t>
        </is>
      </c>
      <c r="C5" s="12" t="n"/>
      <c r="D5" s="12" t="n"/>
      <c r="E5" s="12" t="n"/>
      <c r="F5" s="12" t="n"/>
      <c r="G5" s="12" t="n"/>
      <c r="H5" s="15">
        <f>IF(OR(F5="",G5=""),"",IF(F5=0,100,G5/F5*100))</f>
        <v/>
      </c>
      <c r="I5" s="16">
        <f>IF(H5="","",IF(H5&gt;=90,"✅ Effective",IF(H5&gt;=70,"⚠️ Needs Improvement","❌ Ineffective")))</f>
        <v/>
      </c>
      <c r="J5" s="12" t="n"/>
      <c r="K5" s="12" t="n"/>
    </row>
    <row r="6">
      <c r="A6" s="5" t="inlineStr">
        <is>
          <t>Orphan Record Detection</t>
        </is>
      </c>
      <c r="B6" t="inlineStr">
        <is>
          <t>Weekly</t>
        </is>
      </c>
      <c r="C6" s="12" t="n"/>
      <c r="D6" s="12" t="n"/>
      <c r="E6" s="12" t="n"/>
      <c r="F6" s="12" t="n"/>
      <c r="G6" s="12" t="n"/>
      <c r="H6" s="15">
        <f>IF(OR(F6="",G6=""),"",IF(F6=0,100,G6/F6*100))</f>
        <v/>
      </c>
      <c r="I6" s="16">
        <f>IF(H6="","",IF(H6&gt;=90,"✅ Effective",IF(H6&gt;=70,"⚠️ Needs Improvement","❌ Ineffective")))</f>
        <v/>
      </c>
      <c r="J6" s="12" t="n"/>
      <c r="K6" s="12" t="n"/>
    </row>
    <row r="7">
      <c r="A7" s="5" t="inlineStr">
        <is>
          <t>Consistency Checks (Cross-System)</t>
        </is>
      </c>
      <c r="B7" t="inlineStr">
        <is>
          <t>Monthly</t>
        </is>
      </c>
      <c r="C7" s="12" t="n"/>
      <c r="D7" s="12" t="n"/>
      <c r="E7" s="12" t="n"/>
      <c r="F7" s="12" t="n"/>
      <c r="G7" s="12" t="n"/>
      <c r="H7" s="15">
        <f>IF(OR(F7="",G7=""),"",IF(F7=0,100,G7/F7*100))</f>
        <v/>
      </c>
      <c r="I7" s="16">
        <f>IF(H7="","",IF(H7&gt;=90,"✅ Effective",IF(H7&gt;=70,"⚠️ Needs Improvement","❌ Ineffective")))</f>
        <v/>
      </c>
      <c r="J7" s="12" t="n"/>
      <c r="K7" s="12" t="n"/>
    </row>
    <row r="8">
      <c r="A8" s="5" t="inlineStr">
        <is>
          <t>Completeness Checks (Mandatory Fields)</t>
        </is>
      </c>
      <c r="B8" t="inlineStr">
        <is>
          <t>Daily</t>
        </is>
      </c>
      <c r="C8" s="12" t="n"/>
      <c r="D8" s="12" t="n"/>
      <c r="E8" s="12" t="n"/>
      <c r="F8" s="12" t="n"/>
      <c r="G8" s="12" t="n"/>
      <c r="H8" s="15">
        <f>IF(OR(F8="",G8=""),"",IF(F8=0,100,G8/F8*100))</f>
        <v/>
      </c>
      <c r="I8" s="16">
        <f>IF(H8="","",IF(H8&gt;=90,"✅ Effective",IF(H8&gt;=70,"⚠️ Needs Improvement","❌ Ineffective")))</f>
        <v/>
      </c>
      <c r="J8" s="12" t="n"/>
      <c r="K8" s="12" t="n"/>
    </row>
    <row r="9">
      <c r="A9" s="5" t="inlineStr">
        <is>
          <t>Ownership Verification</t>
        </is>
      </c>
      <c r="B9" t="inlineStr">
        <is>
          <t>Quarterly</t>
        </is>
      </c>
      <c r="C9" s="12" t="n"/>
      <c r="D9" s="12" t="n"/>
      <c r="E9" s="12" t="n"/>
      <c r="F9" s="12" t="n"/>
      <c r="G9" s="12" t="n"/>
      <c r="H9" s="15">
        <f>IF(OR(F9="",G9=""),"",IF(F9=0,100,G9/F9*100))</f>
        <v/>
      </c>
      <c r="I9" s="16">
        <f>IF(H9="","",IF(H9&gt;=90,"✅ Effective",IF(H9&gt;=70,"⚠️ Needs Improvement","❌ Ineffective")))</f>
        <v/>
      </c>
      <c r="J9" s="12" t="n"/>
      <c r="K9" s="12" t="n"/>
    </row>
    <row r="10">
      <c r="A10" s="5" t="inlineStr">
        <is>
          <t>Stale Record Review</t>
        </is>
      </c>
      <c r="B10" t="inlineStr">
        <is>
          <t>Monthly</t>
        </is>
      </c>
      <c r="C10" s="12" t="n"/>
      <c r="D10" s="12" t="n"/>
      <c r="E10" s="12" t="n"/>
      <c r="F10" s="12" t="n"/>
      <c r="G10" s="12" t="n"/>
      <c r="H10" s="15">
        <f>IF(OR(F10="",G10=""),"",IF(F10=0,100,G10/F10*100))</f>
        <v/>
      </c>
      <c r="I10" s="16">
        <f>IF(H10="","",IF(H10&gt;=90,"✅ Effective",IF(H10&gt;=70,"⚠️ Needs Improvement","❌ Ineffective")))</f>
        <v/>
      </c>
      <c r="J10" s="12" t="n"/>
      <c r="K10" s="12" t="n"/>
    </row>
    <row r="11">
      <c r="A11" s="5" t="inlineStr">
        <is>
          <t>Access Control Audit</t>
        </is>
      </c>
      <c r="B11" t="inlineStr">
        <is>
          <t>Quarterly</t>
        </is>
      </c>
      <c r="C11" s="12" t="n"/>
      <c r="D11" s="12" t="n"/>
      <c r="E11" s="12" t="n"/>
      <c r="F11" s="12" t="n"/>
      <c r="G11" s="12" t="n"/>
      <c r="H11" s="15">
        <f>IF(OR(F11="",G11=""),"",IF(F11=0,100,G11/F11*100))</f>
        <v/>
      </c>
      <c r="I11" s="16">
        <f>IF(H11="","",IF(H11&gt;=90,"✅ Effective",IF(H11&gt;=70,"⚠️ Needs Improvement","❌ Ineffective")))</f>
        <v/>
      </c>
      <c r="J11" s="12" t="n"/>
      <c r="K11" s="12" t="n"/>
    </row>
    <row r="12">
      <c r="A12" s="5" t="inlineStr">
        <is>
          <t>Integration Reconciliation</t>
        </is>
      </c>
      <c r="B12" t="inlineStr">
        <is>
          <t>Weekly</t>
        </is>
      </c>
      <c r="C12" s="12" t="n"/>
      <c r="D12" s="12" t="n"/>
      <c r="E12" s="12" t="n"/>
      <c r="F12" s="12" t="n"/>
      <c r="G12" s="12" t="n"/>
      <c r="H12" s="15">
        <f>IF(OR(F12="",G12=""),"",IF(F12=0,100,G12/F12*100))</f>
        <v/>
      </c>
      <c r="I12" s="16">
        <f>IF(H12="","",IF(H12&gt;=90,"✅ Effective",IF(H12&gt;=70,"⚠️ Needs Improvement","❌ Ineffective")))</f>
        <v/>
      </c>
      <c r="J12" s="12" t="n"/>
      <c r="K12" s="12" t="n"/>
    </row>
    <row r="13">
      <c r="A13" s="5" t="inlineStr">
        <is>
          <t>Periodic Full Inventory Reconciliation</t>
        </is>
      </c>
      <c r="B13" t="inlineStr">
        <is>
          <t>Annually</t>
        </is>
      </c>
      <c r="C13" s="12" t="n"/>
      <c r="D13" s="12" t="n"/>
      <c r="E13" s="12" t="n"/>
      <c r="F13" s="12" t="n"/>
      <c r="G13" s="12" t="n"/>
      <c r="H13" s="15">
        <f>IF(OR(F13="",G13=""),"",IF(F13=0,100,G13/F13*100))</f>
        <v/>
      </c>
      <c r="I13" s="16">
        <f>IF(H13="","",IF(H13&gt;=90,"✅ Effective",IF(H13&gt;=70,"⚠️ Needs Improvement","❌ Ineffective")))</f>
        <v/>
      </c>
      <c r="J13" s="12" t="n"/>
      <c r="K13" s="12" t="n"/>
    </row>
    <row r="16">
      <c r="A16" s="3" t="inlineStr">
        <is>
          <t>QUALITY CONTROL SUMMARY</t>
        </is>
      </c>
    </row>
    <row r="17">
      <c r="A17" t="inlineStr">
        <is>
          <t>Total QC Processes</t>
        </is>
      </c>
      <c r="B17">
        <f>COUNTA(A4:A13)</f>
        <v/>
      </c>
    </row>
    <row r="18">
      <c r="A18" t="inlineStr">
        <is>
          <t>Documented Processes</t>
        </is>
      </c>
      <c r="B18">
        <f>COUNTIF(C4:C13,"Yes")</f>
        <v/>
      </c>
    </row>
    <row r="19">
      <c r="A19" t="inlineStr">
        <is>
          <t>Documentation Rate %</t>
        </is>
      </c>
      <c r="B19" s="15">
        <f>IFERROR(B18/B17*100,0)</f>
        <v/>
      </c>
    </row>
    <row r="20">
      <c r="A20" t="inlineStr">
        <is>
          <t>Average Effectiveness %</t>
        </is>
      </c>
      <c r="B20" s="18">
        <f>IFERROR(AVERAGE(H4:H13),0)</f>
        <v/>
      </c>
    </row>
  </sheetData>
  <mergeCells count="1">
    <mergeCell ref="A1:K1"/>
  </mergeCells>
  <conditionalFormatting sqref="H4:H13">
    <cfRule type="cellIs" priority="1" operator="greaterThanOrEqual" dxfId="0">
      <formula>90</formula>
    </cfRule>
    <cfRule type="cellIs" priority="2" operator="between" dxfId="1">
      <formula>70</formula>
      <formula>89</formula>
    </cfRule>
    <cfRule type="cellIs" priority="3" operator="lessThan" dxfId="2">
      <formula>70</formula>
    </cfRule>
  </conditionalFormatting>
  <dataValidations count="1">
    <dataValidation sqref="C4:C13"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5" customWidth="1" min="1" max="1"/>
    <col width="15" customWidth="1" min="2" max="2"/>
    <col width="12" customWidth="1" min="3" max="3"/>
    <col width="12" customWidth="1" min="4" max="4"/>
    <col width="18" customWidth="1" min="5" max="5"/>
    <col width="40" customWidth="1" min="6" max="6"/>
  </cols>
  <sheetData>
    <row r="1">
      <c r="A1" s="14" t="inlineStr">
        <is>
          <t>Maintenance Metrics &amp; Summary</t>
        </is>
      </c>
    </row>
    <row r="3">
      <c r="A3" s="3" t="inlineStr">
        <is>
          <t>OVERALL MAINTENANCE EFFECTIVENESS</t>
        </is>
      </c>
    </row>
    <row r="4">
      <c r="A4" s="13" t="inlineStr">
        <is>
          <t>Metric</t>
        </is>
      </c>
      <c r="B4" s="20" t="inlineStr">
        <is>
          <t>Actual</t>
        </is>
      </c>
      <c r="C4" s="13" t="inlineStr">
        <is>
          <t>Target</t>
        </is>
      </c>
      <c r="D4" s="21" t="inlineStr">
        <is>
          <t>Gap</t>
        </is>
      </c>
      <c r="E4" s="22" t="inlineStr">
        <is>
          <t>Status</t>
        </is>
      </c>
      <c r="F4" s="13" t="inlineStr">
        <is>
          <t>Description</t>
        </is>
      </c>
    </row>
    <row r="5">
      <c r="A5" s="5" t="inlineStr">
        <is>
          <t>Update Workflow SLA Compliance</t>
        </is>
      </c>
      <c r="B5" s="23">
        <f>'Update Triggers &amp; Workflows'!B40</f>
        <v/>
      </c>
      <c r="C5" t="inlineStr">
        <is>
          <t>95%</t>
        </is>
      </c>
      <c r="D5" s="24">
        <f>B5-VALUE(LEFT(C5,LEN(C5)-1))/100</f>
        <v/>
      </c>
      <c r="E5" s="16">
        <f>IF(B5&gt;=VALUE(LEFT(C5,LEN(C5)-1))/100,"✅ Met",IF(B5&gt;=VALUE(LEFT(C5,LEN(C5)-1))/100-0.1,"⚠️ At Risk","❌ Not Met"))</f>
        <v/>
      </c>
      <c r="F5" t="inlineStr">
        <is>
          <t>Update timeliness</t>
        </is>
      </c>
    </row>
    <row r="6">
      <c r="A6" s="5" t="inlineStr">
        <is>
          <t>Integration Health</t>
        </is>
      </c>
      <c r="B6" s="23">
        <f>'Integration Architecture'!B21</f>
        <v/>
      </c>
      <c r="C6" t="inlineStr">
        <is>
          <t>98%</t>
        </is>
      </c>
      <c r="D6" s="24">
        <f>B6-VALUE(LEFT(C6,LEN(C6)-1))/100</f>
        <v/>
      </c>
      <c r="E6" s="16">
        <f>IF(B6&gt;=VALUE(LEFT(C6,LEN(C6)-1))/100,"✅ Met",IF(B6&gt;=VALUE(LEFT(C6,LEN(C6)-1))/100-0.1,"⚠️ At Risk","❌ Not Met"))</f>
        <v/>
      </c>
      <c r="F6" t="inlineStr">
        <is>
          <t>Automated feed reliability</t>
        </is>
      </c>
    </row>
    <row r="7">
      <c r="A7" s="5" t="inlineStr">
        <is>
          <t>Quality Control Effectiveness</t>
        </is>
      </c>
      <c r="B7" s="23">
        <f>'Quality Control Processes'!B27</f>
        <v/>
      </c>
      <c r="C7" t="inlineStr">
        <is>
          <t>90%</t>
        </is>
      </c>
      <c r="D7" s="24">
        <f>B7-VALUE(LEFT(C7,LEN(C7)-1))/100</f>
        <v/>
      </c>
      <c r="E7" s="16">
        <f>IF(B7&gt;=VALUE(LEFT(C7,LEN(C7)-1))/100,"✅ Met",IF(B7&gt;=VALUE(LEFT(C7,LEN(C7)-1))/100-0.1,"⚠️ At Risk","❌ Not Met"))</f>
        <v/>
      </c>
      <c r="F7" t="inlineStr">
        <is>
          <t>Issue remediation rate</t>
        </is>
      </c>
    </row>
    <row r="8">
      <c r="A8" t="inlineStr">
        <is>
          <t>Workflow Documentation Rate</t>
        </is>
      </c>
      <c r="B8" s="23">
        <f>'Update Triggers &amp; Workflows'!B36</f>
        <v/>
      </c>
      <c r="C8" t="inlineStr">
        <is>
          <t>100%</t>
        </is>
      </c>
      <c r="D8" s="24">
        <f>B8-VALUE(LEFT(C8,LEN(C8)-1))/100</f>
        <v/>
      </c>
      <c r="E8" s="16">
        <f>IF(B8&gt;=VALUE(LEFT(C8,LEN(C8)-1))/100,"✅ Met",IF(B8&gt;=VALUE(LEFT(C8,LEN(C8)-1))/100-0.1,"⚠️ At Risk","❌ Not Met"))</f>
        <v/>
      </c>
      <c r="F8" t="inlineStr">
        <is>
          <t>Procedure documentation</t>
        </is>
      </c>
    </row>
    <row r="11">
      <c r="A11" s="25" t="inlineStr">
        <is>
          <t>OVERALL MAINTENANCE SCORE</t>
        </is>
      </c>
      <c r="B11" s="26">
        <f>AVERAGE(B5:B8)</f>
        <v/>
      </c>
    </row>
    <row r="12">
      <c r="A12" t="inlineStr">
        <is>
          <t>Overall Target</t>
        </is>
      </c>
      <c r="B12" s="5" t="inlineStr">
        <is>
          <t>95%</t>
        </is>
      </c>
    </row>
    <row r="13">
      <c r="A13" t="inlineStr">
        <is>
          <t>Overall Gap</t>
        </is>
      </c>
      <c r="B13" s="24">
        <f>B11-0.95</f>
        <v/>
      </c>
    </row>
    <row r="16">
      <c r="A16" s="27" t="inlineStr">
        <is>
          <t>CSV EXPORT FOR DASHBOARD (Copy rows below)</t>
        </is>
      </c>
    </row>
    <row r="17">
      <c r="A17" s="5" t="inlineStr">
        <is>
          <t>Metric_Category</t>
        </is>
      </c>
      <c r="B17" s="5" t="inlineStr">
        <is>
          <t>Score_%</t>
        </is>
      </c>
      <c r="C17" s="5" t="inlineStr">
        <is>
          <t>Status</t>
        </is>
      </c>
    </row>
    <row r="18">
      <c r="A18">
        <f>A5</f>
        <v/>
      </c>
      <c r="B18">
        <f>B5</f>
        <v/>
      </c>
      <c r="C18">
        <f>E5</f>
        <v/>
      </c>
    </row>
    <row r="19">
      <c r="A19">
        <f>A6</f>
        <v/>
      </c>
      <c r="B19">
        <f>B6</f>
        <v/>
      </c>
      <c r="C19">
        <f>E6</f>
        <v/>
      </c>
    </row>
    <row r="20">
      <c r="A20">
        <f>A7</f>
        <v/>
      </c>
      <c r="B20">
        <f>B7</f>
        <v/>
      </c>
      <c r="C20">
        <f>E7</f>
        <v/>
      </c>
    </row>
    <row r="21">
      <c r="A21">
        <f>A8</f>
        <v/>
      </c>
      <c r="B21">
        <f>B8</f>
        <v/>
      </c>
      <c r="C21">
        <f>E8</f>
        <v/>
      </c>
    </row>
  </sheetData>
  <mergeCells count="2">
    <mergeCell ref="A3:H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5" customWidth="1" min="1" max="1"/>
    <col width="30" customWidth="1" min="2" max="2"/>
    <col width="30" customWidth="1" min="3" max="3"/>
    <col width="50" customWidth="1" min="4" max="4"/>
    <col width="40" customWidth="1" min="5" max="5"/>
    <col width="15" customWidth="1" min="6" max="6"/>
    <col width="25" customWidth="1" min="7" max="7"/>
    <col width="20" customWidth="1" min="8" max="8"/>
    <col width="15" customWidth="1" min="9" max="9"/>
    <col width="25" customWidth="1" min="10" max="10"/>
    <col width="20" customWidth="1" min="11" max="11"/>
    <col width="18" customWidth="1" min="12" max="12"/>
    <col width="25" customWidth="1" min="13" max="13"/>
    <col width="40" customWidth="1" min="14" max="14"/>
  </cols>
  <sheetData>
    <row r="1">
      <c r="A1" s="14" t="inlineStr">
        <is>
          <t>Maintenance Evidence Register</t>
        </is>
      </c>
    </row>
    <row r="3">
      <c r="A3" s="13" t="inlineStr">
        <is>
          <t>Evidence ID</t>
        </is>
      </c>
      <c r="B3" s="13" t="inlineStr">
        <is>
          <t>Maintenance Area</t>
        </is>
      </c>
      <c r="C3" s="13" t="inlineStr">
        <is>
          <t>Evidence Type</t>
        </is>
      </c>
      <c r="D3" s="13" t="inlineStr">
        <is>
          <t>Evidence Description</t>
        </is>
      </c>
      <c r="E3" s="13" t="inlineStr">
        <is>
          <t>Evidence Location</t>
        </is>
      </c>
      <c r="F3" s="13" t="inlineStr">
        <is>
          <t>Collection Date</t>
        </is>
      </c>
      <c r="G3" s="13" t="inlineStr">
        <is>
          <t>Collected By</t>
        </is>
      </c>
      <c r="H3" s="13" t="inlineStr">
        <is>
          <t>Validity Period</t>
        </is>
      </c>
      <c r="I3" s="13" t="inlineStr">
        <is>
          <t>Review Date</t>
        </is>
      </c>
      <c r="J3" s="13" t="inlineStr">
        <is>
          <t>Reviewed By</t>
        </is>
      </c>
      <c r="K3" s="13" t="inlineStr">
        <is>
          <t>Review Status</t>
        </is>
      </c>
      <c r="L3" s="13" t="inlineStr">
        <is>
          <t>Retention End Date</t>
        </is>
      </c>
      <c r="M3" s="13" t="inlineStr">
        <is>
          <t>Related Assessment</t>
        </is>
      </c>
      <c r="N3" s="13" t="inlineStr">
        <is>
          <t>Notes</t>
        </is>
      </c>
    </row>
    <row r="4">
      <c r="A4" s="12" t="inlineStr">
        <is>
          <t>MAINT-001</t>
        </is>
      </c>
      <c r="B4" s="12" t="inlineStr">
        <is>
          <t>Inventory Structure</t>
        </is>
      </c>
      <c r="C4" s="12" t="inlineStr">
        <is>
          <t>System Architecture Diagram</t>
        </is>
      </c>
      <c r="D4" s="12" t="inlineStr">
        <is>
          <t>Inventory database schema and access control model</t>
        </is>
      </c>
      <c r="E4" s="12" t="inlineStr">
        <is>
          <t>/evidence/inventory_architecture_20260122.pdf</t>
        </is>
      </c>
      <c r="F4" s="12" t="inlineStr">
        <is>
          <t>22.01.2026</t>
        </is>
      </c>
      <c r="G4" s="12" t="n"/>
      <c r="H4" s="12" t="n"/>
      <c r="I4" s="12" t="n"/>
      <c r="J4" s="12" t="n"/>
      <c r="K4" s="12" t="n"/>
      <c r="L4" s="12" t="n"/>
      <c r="M4" s="12" t="n"/>
      <c r="N4" s="12" t="n"/>
    </row>
    <row r="5">
      <c r="A5" s="12" t="inlineStr">
        <is>
          <t>MAINT-002</t>
        </is>
      </c>
      <c r="B5" s="12" t="inlineStr">
        <is>
          <t>Update Workflows</t>
        </is>
      </c>
      <c r="C5" s="12" t="inlineStr">
        <is>
          <t>Procedure Document</t>
        </is>
      </c>
      <c r="D5" s="12" t="inlineStr">
        <is>
          <t>New asset onboarding workflow (procurement to inventory)</t>
        </is>
      </c>
      <c r="E5" s="12" t="inlineStr">
        <is>
          <t>/evidence/onboarding_procedure_v2.0.pdf</t>
        </is>
      </c>
      <c r="F5" s="12" t="inlineStr">
        <is>
          <t>22.01.2026</t>
        </is>
      </c>
      <c r="G5" s="12" t="n"/>
      <c r="H5" s="12" t="n"/>
      <c r="I5" s="12" t="n"/>
      <c r="J5" s="12" t="n"/>
      <c r="K5" s="12" t="n"/>
      <c r="L5" s="12" t="n"/>
      <c r="M5" s="12" t="n"/>
      <c r="N5" s="12" t="n"/>
    </row>
    <row r="6">
      <c r="A6" s="12" t="inlineStr">
        <is>
          <t>MAINT-003</t>
        </is>
      </c>
      <c r="B6" s="12" t="inlineStr">
        <is>
          <t>Integration</t>
        </is>
      </c>
      <c r="C6" s="12" t="inlineStr">
        <is>
          <t>API Documentation</t>
        </is>
      </c>
      <c r="D6" s="12" t="inlineStr">
        <is>
          <t>HR system integration specification and data mapping</t>
        </is>
      </c>
      <c r="E6" s="12" t="inlineStr">
        <is>
          <t>/evidence/hr_integration_spec_20260122.pdf</t>
        </is>
      </c>
      <c r="F6" s="12" t="inlineStr">
        <is>
          <t>22.01.2026</t>
        </is>
      </c>
      <c r="G6" s="12" t="n"/>
      <c r="H6" s="12" t="n"/>
      <c r="I6" s="12" t="n"/>
      <c r="J6" s="12" t="n"/>
      <c r="K6" s="12" t="n"/>
      <c r="L6" s="12" t="n"/>
      <c r="M6" s="12" t="n"/>
      <c r="N6" s="12" t="n"/>
    </row>
    <row r="7">
      <c r="A7" s="12" t="inlineStr">
        <is>
          <t>MAINT-004</t>
        </is>
      </c>
      <c r="B7" s="12" t="inlineStr">
        <is>
          <t>Quality Control</t>
        </is>
      </c>
      <c r="C7" s="12" t="inlineStr">
        <is>
          <t>Reconciliation Report</t>
        </is>
      </c>
      <c r="D7" s="12" t="inlineStr">
        <is>
          <t>Monthly inventory reconciliation vs. CMDB</t>
        </is>
      </c>
      <c r="E7" s="12" t="inlineStr">
        <is>
          <t>/evidence/reconciliation_report_202601.xlsx</t>
        </is>
      </c>
      <c r="F7" s="12" t="inlineStr">
        <is>
          <t>22.01.2026</t>
        </is>
      </c>
      <c r="G7" s="12" t="n"/>
      <c r="H7" s="12" t="n"/>
      <c r="I7" s="12" t="n"/>
      <c r="J7" s="12" t="n"/>
      <c r="K7" s="12" t="n"/>
      <c r="L7" s="12" t="n"/>
      <c r="M7" s="12" t="n"/>
      <c r="N7" s="12" t="n"/>
    </row>
    <row r="8">
      <c r="A8" s="12" t="n"/>
      <c r="B8" s="12" t="n"/>
      <c r="C8" s="12" t="n"/>
      <c r="D8" s="12" t="n"/>
      <c r="E8" s="12" t="n"/>
      <c r="F8" s="12" t="n"/>
      <c r="G8" s="12" t="n"/>
      <c r="H8" s="12" t="n"/>
      <c r="I8" s="12" t="n"/>
      <c r="J8" s="12" t="n"/>
      <c r="K8" s="12" t="n"/>
      <c r="L8" s="12" t="n"/>
      <c r="M8" s="12" t="n"/>
      <c r="N8" s="12" t="n"/>
    </row>
    <row r="9">
      <c r="A9" s="12" t="n"/>
      <c r="B9" s="12" t="n"/>
      <c r="C9" s="12" t="n"/>
      <c r="D9" s="12" t="n"/>
      <c r="E9" s="12" t="n"/>
      <c r="F9" s="12" t="n"/>
      <c r="G9" s="12" t="n"/>
      <c r="H9" s="12" t="n"/>
      <c r="I9" s="12" t="n"/>
      <c r="J9" s="12" t="n"/>
      <c r="K9" s="12" t="n"/>
      <c r="L9" s="12" t="n"/>
      <c r="M9" s="12" t="n"/>
      <c r="N9" s="12" t="n"/>
    </row>
    <row r="10">
      <c r="A10" s="12" t="n"/>
      <c r="B10" s="12" t="n"/>
      <c r="C10" s="12" t="n"/>
      <c r="D10" s="12" t="n"/>
      <c r="E10" s="12" t="n"/>
      <c r="F10" s="12" t="n"/>
      <c r="G10" s="12" t="n"/>
      <c r="H10" s="12" t="n"/>
      <c r="I10" s="12" t="n"/>
      <c r="J10" s="12" t="n"/>
      <c r="K10" s="12" t="n"/>
      <c r="L10" s="12" t="n"/>
      <c r="M10" s="12" t="n"/>
      <c r="N10" s="12" t="n"/>
    </row>
    <row r="11">
      <c r="A11" s="12" t="n"/>
      <c r="B11" s="12" t="n"/>
      <c r="C11" s="12" t="n"/>
      <c r="D11" s="12" t="n"/>
      <c r="E11" s="12" t="n"/>
      <c r="F11" s="12" t="n"/>
      <c r="G11" s="12" t="n"/>
      <c r="H11" s="12" t="n"/>
      <c r="I11" s="12" t="n"/>
      <c r="J11" s="12" t="n"/>
      <c r="K11" s="12" t="n"/>
      <c r="L11" s="12" t="n"/>
      <c r="M11" s="12" t="n"/>
      <c r="N11" s="12" t="n"/>
    </row>
    <row r="12">
      <c r="A12" s="12" t="n"/>
      <c r="B12" s="12" t="n"/>
      <c r="C12" s="12" t="n"/>
      <c r="D12" s="12" t="n"/>
      <c r="E12" s="12" t="n"/>
      <c r="F12" s="12" t="n"/>
      <c r="G12" s="12" t="n"/>
      <c r="H12" s="12" t="n"/>
      <c r="I12" s="12" t="n"/>
      <c r="J12" s="12" t="n"/>
      <c r="K12" s="12" t="n"/>
      <c r="L12" s="12" t="n"/>
      <c r="M12" s="12" t="n"/>
      <c r="N12" s="12" t="n"/>
    </row>
    <row r="13">
      <c r="A13" s="12" t="n"/>
      <c r="B13" s="12" t="n"/>
      <c r="C13" s="12" t="n"/>
      <c r="D13" s="12" t="n"/>
      <c r="E13" s="12" t="n"/>
      <c r="F13" s="12" t="n"/>
      <c r="G13" s="12" t="n"/>
      <c r="H13" s="12" t="n"/>
      <c r="I13" s="12" t="n"/>
      <c r="J13" s="12" t="n"/>
      <c r="K13" s="12" t="n"/>
      <c r="L13" s="12" t="n"/>
      <c r="M13" s="12" t="n"/>
      <c r="N13" s="12" t="n"/>
    </row>
    <row r="14">
      <c r="A14" s="12" t="n"/>
      <c r="B14" s="12" t="n"/>
      <c r="C14" s="12" t="n"/>
      <c r="D14" s="12" t="n"/>
      <c r="E14" s="12" t="n"/>
      <c r="F14" s="12" t="n"/>
      <c r="G14" s="12" t="n"/>
      <c r="H14" s="12" t="n"/>
      <c r="I14" s="12" t="n"/>
      <c r="J14" s="12" t="n"/>
      <c r="K14" s="12" t="n"/>
      <c r="L14" s="12" t="n"/>
      <c r="M14" s="12" t="n"/>
      <c r="N14" s="12" t="n"/>
    </row>
    <row r="15">
      <c r="A15" s="12" t="n"/>
      <c r="B15" s="12" t="n"/>
      <c r="C15" s="12" t="n"/>
      <c r="D15" s="12" t="n"/>
      <c r="E15" s="12" t="n"/>
      <c r="F15" s="12" t="n"/>
      <c r="G15" s="12" t="n"/>
      <c r="H15" s="12" t="n"/>
      <c r="I15" s="12" t="n"/>
      <c r="J15" s="12" t="n"/>
      <c r="K15" s="12" t="n"/>
      <c r="L15" s="12" t="n"/>
      <c r="M15" s="12" t="n"/>
      <c r="N15" s="12" t="n"/>
    </row>
    <row r="16">
      <c r="A16" s="12" t="n"/>
      <c r="B16" s="12" t="n"/>
      <c r="C16" s="12" t="n"/>
      <c r="D16" s="12" t="n"/>
      <c r="E16" s="12" t="n"/>
      <c r="F16" s="12" t="n"/>
      <c r="G16" s="12" t="n"/>
      <c r="H16" s="12" t="n"/>
      <c r="I16" s="12" t="n"/>
      <c r="J16" s="12" t="n"/>
      <c r="K16" s="12" t="n"/>
      <c r="L16" s="12" t="n"/>
      <c r="M16" s="12" t="n"/>
      <c r="N16" s="12" t="n"/>
    </row>
    <row r="17">
      <c r="A17" s="12" t="n"/>
      <c r="B17" s="12" t="n"/>
      <c r="C17" s="12" t="n"/>
      <c r="D17" s="12" t="n"/>
      <c r="E17" s="12" t="n"/>
      <c r="F17" s="12" t="n"/>
      <c r="G17" s="12" t="n"/>
      <c r="H17" s="12" t="n"/>
      <c r="I17" s="12" t="n"/>
      <c r="J17" s="12" t="n"/>
      <c r="K17" s="12" t="n"/>
      <c r="L17" s="12" t="n"/>
      <c r="M17" s="12" t="n"/>
      <c r="N17" s="12" t="n"/>
    </row>
    <row r="18">
      <c r="A18" s="12" t="n"/>
      <c r="B18" s="12" t="n"/>
      <c r="C18" s="12" t="n"/>
      <c r="D18" s="12" t="n"/>
      <c r="E18" s="12" t="n"/>
      <c r="F18" s="12" t="n"/>
      <c r="G18" s="12" t="n"/>
      <c r="H18" s="12" t="n"/>
      <c r="I18" s="12" t="n"/>
      <c r="J18" s="12" t="n"/>
      <c r="K18" s="12" t="n"/>
      <c r="L18" s="12" t="n"/>
      <c r="M18" s="12" t="n"/>
      <c r="N18" s="12" t="n"/>
    </row>
    <row r="19">
      <c r="A19" s="12" t="n"/>
      <c r="B19" s="12" t="n"/>
      <c r="C19" s="12" t="n"/>
      <c r="D19" s="12" t="n"/>
      <c r="E19" s="12" t="n"/>
      <c r="F19" s="12" t="n"/>
      <c r="G19" s="12" t="n"/>
      <c r="H19" s="12" t="n"/>
      <c r="I19" s="12" t="n"/>
      <c r="J19" s="12" t="n"/>
      <c r="K19" s="12" t="n"/>
      <c r="L19" s="12" t="n"/>
      <c r="M19" s="12" t="n"/>
      <c r="N19" s="12" t="n"/>
    </row>
    <row r="20">
      <c r="A20" s="12" t="n"/>
      <c r="B20" s="12" t="n"/>
      <c r="C20" s="12" t="n"/>
      <c r="D20" s="12" t="n"/>
      <c r="E20" s="12" t="n"/>
      <c r="F20" s="12" t="n"/>
      <c r="G20" s="12" t="n"/>
      <c r="H20" s="12" t="n"/>
      <c r="I20" s="12" t="n"/>
      <c r="J20" s="12" t="n"/>
      <c r="K20" s="12" t="n"/>
      <c r="L20" s="12" t="n"/>
      <c r="M20" s="12" t="n"/>
      <c r="N20" s="12" t="n"/>
    </row>
    <row r="21">
      <c r="A21" s="12" t="n"/>
      <c r="B21" s="12" t="n"/>
      <c r="C21" s="12" t="n"/>
      <c r="D21" s="12" t="n"/>
      <c r="E21" s="12" t="n"/>
      <c r="F21" s="12" t="n"/>
      <c r="G21" s="12" t="n"/>
      <c r="H21" s="12" t="n"/>
      <c r="I21" s="12" t="n"/>
      <c r="J21" s="12" t="n"/>
      <c r="K21" s="12" t="n"/>
      <c r="L21" s="12" t="n"/>
      <c r="M21" s="12" t="n"/>
      <c r="N21" s="12" t="n"/>
    </row>
    <row r="22">
      <c r="A22" s="12" t="n"/>
      <c r="B22" s="12" t="n"/>
      <c r="C22" s="12" t="n"/>
      <c r="D22" s="12" t="n"/>
      <c r="E22" s="12" t="n"/>
      <c r="F22" s="12" t="n"/>
      <c r="G22" s="12" t="n"/>
      <c r="H22" s="12" t="n"/>
      <c r="I22" s="12" t="n"/>
      <c r="J22" s="12" t="n"/>
      <c r="K22" s="12" t="n"/>
      <c r="L22" s="12" t="n"/>
      <c r="M22" s="12" t="n"/>
      <c r="N22" s="12" t="n"/>
    </row>
    <row r="23">
      <c r="A23" s="12" t="n"/>
      <c r="B23" s="12" t="n"/>
      <c r="C23" s="12" t="n"/>
      <c r="D23" s="12" t="n"/>
      <c r="E23" s="12" t="n"/>
      <c r="F23" s="12" t="n"/>
      <c r="G23" s="12" t="n"/>
      <c r="H23" s="12" t="n"/>
      <c r="I23" s="12" t="n"/>
      <c r="J23" s="12" t="n"/>
      <c r="K23" s="12" t="n"/>
      <c r="L23" s="12" t="n"/>
      <c r="M23" s="12" t="n"/>
      <c r="N23" s="12" t="n"/>
    </row>
    <row r="24">
      <c r="A24" s="12" t="n"/>
      <c r="B24" s="12" t="n"/>
      <c r="C24" s="12" t="n"/>
      <c r="D24" s="12" t="n"/>
      <c r="E24" s="12" t="n"/>
      <c r="F24" s="12" t="n"/>
      <c r="G24" s="12" t="n"/>
      <c r="H24" s="12" t="n"/>
      <c r="I24" s="12" t="n"/>
      <c r="J24" s="12" t="n"/>
      <c r="K24" s="12" t="n"/>
      <c r="L24" s="12" t="n"/>
      <c r="M24" s="12" t="n"/>
      <c r="N24" s="12" t="n"/>
    </row>
    <row r="25">
      <c r="A25" s="12" t="n"/>
      <c r="B25" s="12" t="n"/>
      <c r="C25" s="12" t="n"/>
      <c r="D25" s="12" t="n"/>
      <c r="E25" s="12" t="n"/>
      <c r="F25" s="12" t="n"/>
      <c r="G25" s="12" t="n"/>
      <c r="H25" s="12" t="n"/>
      <c r="I25" s="12" t="n"/>
      <c r="J25" s="12" t="n"/>
      <c r="K25" s="12" t="n"/>
      <c r="L25" s="12" t="n"/>
      <c r="M25" s="12" t="n"/>
      <c r="N25" s="12" t="n"/>
    </row>
    <row r="26">
      <c r="A26" s="12" t="n"/>
      <c r="B26" s="12" t="n"/>
      <c r="C26" s="12" t="n"/>
      <c r="D26" s="12" t="n"/>
      <c r="E26" s="12" t="n"/>
      <c r="F26" s="12" t="n"/>
      <c r="G26" s="12" t="n"/>
      <c r="H26" s="12" t="n"/>
      <c r="I26" s="12" t="n"/>
      <c r="J26" s="12" t="n"/>
      <c r="K26" s="12" t="n"/>
      <c r="L26" s="12" t="n"/>
      <c r="M26" s="12" t="n"/>
      <c r="N26" s="12" t="n"/>
    </row>
    <row r="27">
      <c r="A27" s="12" t="n"/>
      <c r="B27" s="12" t="n"/>
      <c r="C27" s="12" t="n"/>
      <c r="D27" s="12" t="n"/>
      <c r="E27" s="12" t="n"/>
      <c r="F27" s="12" t="n"/>
      <c r="G27" s="12" t="n"/>
      <c r="H27" s="12" t="n"/>
      <c r="I27" s="12" t="n"/>
      <c r="J27" s="12" t="n"/>
      <c r="K27" s="12" t="n"/>
      <c r="L27" s="12" t="n"/>
      <c r="M27" s="12" t="n"/>
      <c r="N27" s="12" t="n"/>
    </row>
  </sheetData>
  <mergeCells count="1">
    <mergeCell ref="A1:N1"/>
  </mergeCells>
  <dataValidations count="2">
    <dataValidation sqref="B4:B100" showDropDown="0" showInputMessage="0" showErrorMessage="0" allowBlank="1" type="list">
      <formula1>"Inventory Structure,Update Workflows,Integration,Quality Control,All Areas"</formula1>
    </dataValidation>
    <dataValidation sqref="K4:K100" showDropDown="0" showInputMessage="0" showErrorMessage="0" allowBlank="1" type="list">
      <formula1>"Pending Review,Reviewed - Valid,Reviewed - Update Needed,Reviewed - Invalid"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s>
  <sheetData>
    <row r="1" ht="35" customHeight="1">
      <c r="A1" s="28" t="inlineStr">
        <is>
          <t>📊 INVENTORY MAINTENANCE ASSESSMENT - SUMMARY DASHBOARD</t>
        </is>
      </c>
    </row>
    <row r="2">
      <c r="A2" s="29" t="inlineStr">
        <is>
          <t>Quick overview of key metrics and compliance status</t>
        </is>
      </c>
    </row>
    <row r="4">
      <c r="A4" s="30" t="inlineStr">
        <is>
          <t>🎯 OVERALL COMPLIANCE</t>
        </is>
      </c>
    </row>
    <row r="5">
      <c r="A5" s="25" t="inlineStr">
        <is>
          <t>Overall Compliance:</t>
        </is>
      </c>
      <c r="D5" s="31">
        <f>'Maintenance Metrics'!D10</f>
        <v/>
      </c>
    </row>
    <row r="7">
      <c r="A7" s="30" t="inlineStr">
        <is>
          <t>📊 KEY METRICS</t>
        </is>
      </c>
    </row>
    <row r="8">
      <c r="A8" s="27" t="inlineStr">
        <is>
          <t>Metric</t>
        </is>
      </c>
      <c r="B8" s="27" t="inlineStr">
        <is>
          <t>Current</t>
        </is>
      </c>
      <c r="C8" s="27" t="inlineStr">
        <is>
          <t>Target</t>
        </is>
      </c>
      <c r="D8" s="27" t="inlineStr">
        <is>
          <t>Status</t>
        </is>
      </c>
    </row>
    <row r="9">
      <c r="A9" t="inlineStr">
        <is>
          <t>Update SLA Compliance</t>
        </is>
      </c>
      <c r="B9" s="24">
        <f>'Maintenance Metrics'!B4</f>
        <v/>
      </c>
      <c r="C9" t="inlineStr">
        <is>
          <t>95%</t>
        </is>
      </c>
      <c r="D9">
        <f>IF(B9&gt;0,"✅","❌")</f>
        <v/>
      </c>
    </row>
    <row r="10">
      <c r="A10" t="inlineStr">
        <is>
          <t>Accuracy Rate</t>
        </is>
      </c>
      <c r="B10" s="24">
        <f>'Maintenance Metrics'!B5</f>
        <v/>
      </c>
      <c r="C10" t="inlineStr">
        <is>
          <t>98%</t>
        </is>
      </c>
      <c r="D10">
        <f>IF(B10&gt;0,"✅","❌")</f>
        <v/>
      </c>
    </row>
    <row r="11">
      <c r="A11" t="inlineStr">
        <is>
          <t>Integration Coverage</t>
        </is>
      </c>
      <c r="B11" s="24">
        <f>'Maintenance Metrics'!B6</f>
        <v/>
      </c>
      <c r="C11" t="inlineStr">
        <is>
          <t>100%</t>
        </is>
      </c>
      <c r="D11">
        <f>IF(B11&gt;0,"✅","❌")</f>
        <v/>
      </c>
    </row>
  </sheetData>
  <mergeCells count="6">
    <mergeCell ref="A2:F2"/>
    <mergeCell ref="D5:F5"/>
    <mergeCell ref="A5:C5"/>
    <mergeCell ref="A1:F1"/>
    <mergeCell ref="A4:F4"/>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8" customWidth="1" min="2" max="2"/>
    <col width="18" customWidth="1" min="3" max="3"/>
    <col width="15" customWidth="1" min="4" max="4"/>
    <col width="30" customWidth="1" min="5" max="5"/>
  </cols>
  <sheetData>
    <row r="1" ht="30" customHeight="1">
      <c r="A1" s="10" t="inlineStr">
        <is>
          <t>INVENTORY MAINTENANCE ASSESSMENT - APPROVAL &amp; SIGN-OFF</t>
        </is>
      </c>
    </row>
    <row r="2">
      <c r="A2" s="32" t="inlineStr">
        <is>
          <t>Complete when assessment is finished and ready for approval</t>
        </is>
      </c>
    </row>
    <row r="4">
      <c r="A4" s="33" t="inlineStr">
        <is>
          <t>COMPLETION CHECKLIST</t>
        </is>
      </c>
    </row>
    <row r="5">
      <c r="A5" s="27" t="inlineStr">
        <is>
          <t>Item</t>
        </is>
      </c>
      <c r="B5" s="27" t="inlineStr">
        <is>
          <t>Status</t>
        </is>
      </c>
      <c r="C5" s="27" t="inlineStr">
        <is>
          <t>Completed By</t>
        </is>
      </c>
      <c r="D5" s="27" t="inlineStr">
        <is>
          <t>Date</t>
        </is>
      </c>
      <c r="E5" s="27" t="inlineStr">
        <is>
          <t>Notes</t>
        </is>
      </c>
    </row>
    <row r="6">
      <c r="A6" s="34" t="inlineStr">
        <is>
          <t>Inventory structure defined and documented</t>
        </is>
      </c>
      <c r="B6" s="35" t="n"/>
      <c r="C6" s="35" t="n"/>
      <c r="D6" s="35" t="n"/>
      <c r="E6" s="35" t="n"/>
    </row>
    <row r="7">
      <c r="A7" s="34" t="inlineStr">
        <is>
          <t>Update triggers identified and documented</t>
        </is>
      </c>
      <c r="B7" s="35" t="n"/>
      <c r="C7" s="35" t="n"/>
      <c r="D7" s="35" t="n"/>
      <c r="E7" s="35" t="n"/>
    </row>
    <row r="8">
      <c r="A8" s="34" t="inlineStr">
        <is>
          <t>Integration points mapped and tested</t>
        </is>
      </c>
      <c r="B8" s="35" t="n"/>
      <c r="C8" s="35" t="n"/>
      <c r="D8" s="35" t="n"/>
      <c r="E8" s="35" t="n"/>
    </row>
    <row r="9">
      <c r="A9" s="34" t="inlineStr">
        <is>
          <t>Quality control procedures documented</t>
        </is>
      </c>
      <c r="B9" s="35" t="n"/>
      <c r="C9" s="35" t="n"/>
      <c r="D9" s="35" t="n"/>
      <c r="E9" s="35" t="n"/>
    </row>
    <row r="10">
      <c r="A10" s="34" t="inlineStr">
        <is>
          <t>Maintenance metrics calculated</t>
        </is>
      </c>
      <c r="B10" s="35" t="n"/>
      <c r="C10" s="35" t="n"/>
      <c r="D10" s="35" t="n"/>
      <c r="E10" s="35" t="n"/>
    </row>
    <row r="11">
      <c r="A11" s="34" t="inlineStr">
        <is>
          <t>Evidence collected and registered</t>
        </is>
      </c>
      <c r="B11" s="35" t="n"/>
      <c r="C11" s="35" t="n"/>
      <c r="D11" s="35" t="n"/>
      <c r="E11" s="35" t="n"/>
    </row>
    <row r="12">
      <c r="A12" s="34" t="inlineStr">
        <is>
          <t>Assessment reviewed by Information Security</t>
        </is>
      </c>
      <c r="B12" s="35" t="n"/>
      <c r="C12" s="35" t="n"/>
      <c r="D12" s="35" t="n"/>
      <c r="E12" s="35" t="n"/>
    </row>
    <row r="15">
      <c r="A15" s="33" t="inlineStr">
        <is>
          <t>APPROVALS</t>
        </is>
      </c>
    </row>
    <row r="16">
      <c r="A16" s="27" t="inlineStr">
        <is>
          <t>Role</t>
        </is>
      </c>
      <c r="B16" s="27" t="inlineStr">
        <is>
          <t>Name</t>
        </is>
      </c>
      <c r="C16" s="27" t="inlineStr">
        <is>
          <t>Signature</t>
        </is>
      </c>
      <c r="D16" s="27" t="inlineStr">
        <is>
          <t>Date</t>
        </is>
      </c>
      <c r="E16" s="27" t="inlineStr">
        <is>
          <t>Comments</t>
        </is>
      </c>
    </row>
    <row r="17">
      <c r="A17" s="36" t="inlineStr">
        <is>
          <t>Asset Management Lead</t>
        </is>
      </c>
      <c r="B17" s="35" t="n"/>
      <c r="C17" s="35" t="n"/>
      <c r="D17" s="35" t="n"/>
      <c r="E17" s="35" t="n"/>
    </row>
    <row r="18">
      <c r="A18" s="36" t="inlineStr">
        <is>
          <t>Information Security Manager</t>
        </is>
      </c>
      <c r="B18" s="35" t="n"/>
      <c r="C18" s="35" t="n"/>
      <c r="D18" s="35" t="n"/>
      <c r="E18" s="35" t="n"/>
    </row>
    <row r="19">
      <c r="A19" s="36" t="inlineStr">
        <is>
          <t>CISO</t>
        </is>
      </c>
      <c r="B19" s="35" t="n"/>
      <c r="C19" s="35" t="n"/>
      <c r="D19" s="35" t="n"/>
      <c r="E19" s="35" t="n"/>
    </row>
  </sheetData>
  <mergeCells count="4">
    <mergeCell ref="A2:F2"/>
    <mergeCell ref="A1:F1"/>
    <mergeCell ref="A4:F4"/>
    <mergeCell ref="A15:F15"/>
  </mergeCells>
  <dataValidations count="1">
    <dataValidation sqref="B6:B12" showDropDown="0" showInputMessage="0" showErrorMessage="0" allowBlank="1" type="list">
      <formula1>"✅ Complete,⏳ In Progress,❌ Not 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2026-02-08T11:25:44Z</dcterms:created>
  <dcterms:modified xmlns:dcterms="http://purl.org/dc/terms/" xmlns:xsi="http://www.w3.org/2001/XMLSchema-instance" xsi:type="dcterms:W3CDTF">2026-02-08T11:25:44Z</dcterms:modified>
</cp:coreProperties>
</file>