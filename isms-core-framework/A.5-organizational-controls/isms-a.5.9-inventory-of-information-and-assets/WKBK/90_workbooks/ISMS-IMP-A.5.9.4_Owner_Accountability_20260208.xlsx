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Ownership Coverage" sheetId="2" state="visible" r:id="rId2"/>
    <sheet xmlns:r="http://schemas.openxmlformats.org/officeDocument/2006/relationships" name="Owner Acknowledgment" sheetId="3" state="visible" r:id="rId3"/>
    <sheet xmlns:r="http://schemas.openxmlformats.org/officeDocument/2006/relationships" name="Owner Awareness" sheetId="4" state="visible" r:id="rId4"/>
    <sheet xmlns:r="http://schemas.openxmlformats.org/officeDocument/2006/relationships" name="Owner Performance" sheetId="5" state="visible" r:id="rId5"/>
    <sheet xmlns:r="http://schemas.openxmlformats.org/officeDocument/2006/relationships" name="Accountability Metric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amp; Sign-Off" sheetId="9" state="visible" r:id="rId9"/>
  </sheets>
  <definedNames/>
  <calcPr calcId="124519" fullCalcOnLoad="1"/>
</workbook>
</file>

<file path=xl/styles.xml><?xml version="1.0" encoding="utf-8"?>
<styleSheet xmlns="http://schemas.openxmlformats.org/spreadsheetml/2006/main">
  <numFmts count="2">
    <numFmt numFmtId="164" formatCode="0.0&quot;%&quot;"/>
    <numFmt numFmtId="165" formatCode="0.0"/>
  </numFmts>
  <fonts count="17">
    <font>
      <name val="Calibri"/>
      <family val="2"/>
      <color theme="1"/>
      <sz val="11"/>
      <scheme val="minor"/>
    </font>
    <font>
      <b val="1"/>
      <color rgb="00FFFFFF"/>
      <sz val="16"/>
    </font>
    <font>
      <i val="1"/>
      <sz val="12"/>
    </font>
    <font>
      <b val="1"/>
      <color rgb="00FFFFFF"/>
      <sz val="12"/>
    </font>
    <font>
      <b val="1"/>
    </font>
    <font>
      <i val="1"/>
    </font>
    <font>
      <b val="1"/>
      <color rgb="00FFFFFF"/>
      <sz val="14"/>
    </font>
    <font>
      <b val="1"/>
      <color rgb="00FFFFFF"/>
    </font>
    <font>
      <b val="1"/>
      <color rgb="009C0006"/>
    </font>
    <font>
      <b val="1"/>
      <sz val="12"/>
    </font>
    <font>
      <b val="1"/>
      <sz val="14"/>
    </font>
    <font>
      <b val="1"/>
      <color rgb="00FFFFFF"/>
      <sz val="11"/>
    </font>
    <font>
      <i val="1"/>
      <sz val="10"/>
    </font>
    <font>
      <b val="1"/>
      <color rgb="00FFFFFF"/>
      <sz val="13"/>
    </font>
    <font>
      <b val="1"/>
      <sz val="18"/>
    </font>
    <font>
      <sz val="10"/>
    </font>
    <font>
      <b val="1"/>
      <sz val="10"/>
    </font>
  </fonts>
  <fills count="11">
    <fill>
      <patternFill/>
    </fill>
    <fill>
      <patternFill patternType="gray125"/>
    </fill>
    <fill>
      <patternFill patternType="solid">
        <fgColor rgb="00003366"/>
      </patternFill>
    </fill>
    <fill>
      <patternFill patternType="solid">
        <fgColor rgb="004472C4"/>
      </patternFill>
    </fill>
    <fill>
      <patternFill patternType="solid">
        <fgColor rgb="00C6EFCE"/>
      </patternFill>
    </fill>
    <fill>
      <patternFill patternType="solid">
        <fgColor rgb="00FFEB9C"/>
      </patternFill>
    </fill>
    <fill>
      <patternFill patternType="solid">
        <fgColor rgb="00FFC7CE"/>
      </patternFill>
    </fill>
    <fill>
      <patternFill patternType="solid">
        <fgColor rgb="00E7E6E6"/>
      </patternFill>
    </fill>
    <fill>
      <patternFill patternType="solid">
        <fgColor rgb="002E75B5"/>
      </patternFill>
    </fill>
    <fill>
      <patternFill patternType="solid">
        <fgColor rgb="00FFF2CC"/>
      </patternFill>
    </fill>
    <fill>
      <patternFill patternType="solid">
        <fgColor rgb="00D8E4F8"/>
      </patternFill>
    </fill>
  </fills>
  <borders count="1">
    <border>
      <left/>
      <right/>
      <top/>
      <bottom/>
      <diagonal/>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xf>
    <xf numFmtId="0" fontId="3" fillId="3" borderId="0" pivotButton="0" quotePrefix="0" xfId="0"/>
    <xf numFmtId="0" fontId="0" fillId="0" borderId="0" applyAlignment="1" pivotButton="0" quotePrefix="0" xfId="0">
      <alignment horizontal="left" vertical="top" wrapText="1"/>
    </xf>
    <xf numFmtId="0" fontId="4" fillId="0" borderId="0" pivotButton="0" quotePrefix="0" xfId="0"/>
    <xf numFmtId="0" fontId="0" fillId="0" borderId="0" applyAlignment="1" pivotButton="0" quotePrefix="0" xfId="0">
      <alignment wrapText="1"/>
    </xf>
    <xf numFmtId="0" fontId="5" fillId="0" borderId="0" pivotButton="0" quotePrefix="0" xfId="0"/>
    <xf numFmtId="0" fontId="0" fillId="4" borderId="0" pivotButton="0" quotePrefix="0" xfId="0"/>
    <xf numFmtId="0" fontId="0" fillId="5" borderId="0" pivotButton="0" quotePrefix="0" xfId="0"/>
    <xf numFmtId="0" fontId="0" fillId="6" borderId="0" pivotButton="0" quotePrefix="0" xfId="0"/>
    <xf numFmtId="0" fontId="6" fillId="2" borderId="0" applyAlignment="1" pivotButton="0" quotePrefix="0" xfId="0">
      <alignment horizontal="center"/>
    </xf>
    <xf numFmtId="0" fontId="7" fillId="2" borderId="0" pivotButton="0" quotePrefix="0" xfId="0"/>
    <xf numFmtId="0" fontId="0" fillId="0" borderId="0" applyProtection="1" pivotButton="0" quotePrefix="0" xfId="0">
      <protection locked="0" hidden="0"/>
    </xf>
    <xf numFmtId="164" fontId="0" fillId="0" borderId="0" pivotButton="0" quotePrefix="0" xfId="0"/>
    <xf numFmtId="0" fontId="0" fillId="0" borderId="0" applyAlignment="1" pivotButton="0" quotePrefix="0" xfId="0">
      <alignment horizontal="center"/>
    </xf>
    <xf numFmtId="165" fontId="0" fillId="0" borderId="0" pivotButton="0" quotePrefix="0" xfId="0"/>
    <xf numFmtId="0" fontId="8" fillId="0" borderId="0" pivotButton="0" quotePrefix="0" xfId="0"/>
    <xf numFmtId="164" fontId="9" fillId="5" borderId="0" pivotButton="0" quotePrefix="0" xfId="0"/>
    <xf numFmtId="1" fontId="0" fillId="0" borderId="0" pivotButton="0" quotePrefix="0" xfId="0"/>
    <xf numFmtId="164" fontId="4" fillId="0" borderId="0" pivotButton="0" quotePrefix="0" xfId="0"/>
    <xf numFmtId="0" fontId="9" fillId="0" borderId="0" pivotButton="0" quotePrefix="0" xfId="0"/>
    <xf numFmtId="164" fontId="10" fillId="5" borderId="0" pivotButton="0" quotePrefix="0" xfId="0"/>
    <xf numFmtId="0" fontId="11" fillId="3" borderId="0" pivotButton="0" quotePrefix="0" xfId="0"/>
    <xf numFmtId="0" fontId="1" fillId="2" borderId="0" applyAlignment="1" pivotButton="0" quotePrefix="0" xfId="0">
      <alignment horizontal="center" vertical="center"/>
    </xf>
    <xf numFmtId="0" fontId="12" fillId="7" borderId="0" applyAlignment="1" pivotButton="0" quotePrefix="0" xfId="0">
      <alignment horizontal="center" vertical="center"/>
    </xf>
    <xf numFmtId="0" fontId="13" fillId="8" borderId="0" applyAlignment="1" pivotButton="0" quotePrefix="0" xfId="0">
      <alignment horizontal="center" vertical="center"/>
    </xf>
    <xf numFmtId="164" fontId="14" fillId="0" borderId="0" applyAlignment="1" pivotButton="0" quotePrefix="0" xfId="0">
      <alignment horizontal="center" vertical="center"/>
    </xf>
    <xf numFmtId="0" fontId="6" fillId="2" borderId="0" applyAlignment="1" pivotButton="0" quotePrefix="0" xfId="0">
      <alignment horizontal="center" vertical="center"/>
    </xf>
    <xf numFmtId="0" fontId="12" fillId="0" borderId="0" applyAlignment="1" pivotButton="0" quotePrefix="0" xfId="0">
      <alignment horizontal="center" vertical="center"/>
    </xf>
    <xf numFmtId="0" fontId="3" fillId="8" borderId="0" applyAlignment="1" pivotButton="0" quotePrefix="0" xfId="0">
      <alignment horizontal="center" vertical="center"/>
    </xf>
    <xf numFmtId="0" fontId="15" fillId="0" borderId="0" pivotButton="0" quotePrefix="0" xfId="0"/>
    <xf numFmtId="0" fontId="0" fillId="9" borderId="0" applyProtection="1" pivotButton="0" quotePrefix="0" xfId="0">
      <protection locked="0" hidden="0"/>
    </xf>
    <xf numFmtId="0" fontId="16" fillId="10" borderId="0"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35" customWidth="1" min="1" max="1"/>
    <col width="55" customWidth="1" min="2" max="2"/>
    <col width="12" customWidth="1" min="3" max="3"/>
  </cols>
  <sheetData>
    <row r="1" ht="40" customHeight="1">
      <c r="A1" s="1" t="inlineStr">
        <is>
          <t>ISMS-IMP-A.5.9.4  -  Owner Accountability Assessment
ISO/IEC 27001:2022 - Control A.5.9: Inventory of Information and Assets</t>
        </is>
      </c>
    </row>
    <row r="2">
      <c r="A2" s="2" t="inlineStr">
        <is>
          <t>Assessment Domain 4 of 5: Asset Ownership &amp; Accountability Verification</t>
        </is>
      </c>
    </row>
    <row r="4">
      <c r="A4" s="3" t="inlineStr">
        <is>
          <t>PURPOSE</t>
        </is>
      </c>
    </row>
    <row r="5" ht="60" customHeight="1">
      <c r="A5" s="4" t="inlineStr">
        <is>
          <t>This assessment evaluates ACCOUNTABILITY - do asset owners understand their role, acknowledge ownership, know what they own, and actively perform their duties?
Discovery finds assets. Maintenance keeps them current. Quality ensures accuracy. Accountability ensures someone is responsible.
Four accountability domains are assessed: Coverage, Acknowledgment, Awareness, and Performance.</t>
        </is>
      </c>
    </row>
    <row r="6"/>
    <row r="7"/>
    <row r="8"/>
    <row r="10">
      <c r="A10" s="3" t="inlineStr">
        <is>
          <t>FOUR ACCOUNTABILITY DOMAINS</t>
        </is>
      </c>
    </row>
    <row r="11" ht="30" customHeight="1">
      <c r="A11" s="5" t="inlineStr">
        <is>
          <t>1. COVERAGE (40% weight)</t>
        </is>
      </c>
      <c r="B11" s="6" t="inlineStr">
        <is>
          <t>All assets have identified owners; owners accept role</t>
        </is>
      </c>
      <c r="C11" s="5" t="inlineStr">
        <is>
          <t>100%</t>
        </is>
      </c>
    </row>
    <row r="12" ht="30" customHeight="1">
      <c r="A12" s="5" t="inlineStr">
        <is>
          <t>2. ACKNOWLEDGMENT (25%)</t>
        </is>
      </c>
      <c r="B12" s="6" t="inlineStr">
        <is>
          <t>Owners formally attest to responsibilities (annual attestation campaign)</t>
        </is>
      </c>
      <c r="C12" s="5" t="inlineStr">
        <is>
          <t>95%</t>
        </is>
      </c>
    </row>
    <row r="13" ht="30" customHeight="1">
      <c r="A13" s="5" t="inlineStr">
        <is>
          <t>3. AWARENESS (20%)</t>
        </is>
      </c>
      <c r="B13" s="6" t="inlineStr">
        <is>
          <t>Owners can identify assets under their care and know current state</t>
        </is>
      </c>
      <c r="C13" s="5" t="inlineStr">
        <is>
          <t>100%</t>
        </is>
      </c>
    </row>
    <row r="14" ht="30" customHeight="1">
      <c r="A14" s="5" t="inlineStr">
        <is>
          <t>4. PERFORMANCE (15%)</t>
        </is>
      </c>
      <c r="B14" s="6" t="inlineStr">
        <is>
          <t>Owners actively perform duties (reviews, updates, decisions, responsiveness)</t>
        </is>
      </c>
      <c r="C14" s="5" t="inlineStr">
        <is>
          <t>80%</t>
        </is>
      </c>
    </row>
    <row r="16">
      <c r="A16" s="3" t="inlineStr">
        <is>
          <t>ATTESTATION CAMPAIGN WORKFLOW</t>
        </is>
      </c>
    </row>
    <row r="17" ht="100" customHeight="1">
      <c r="A17" s="4" t="inlineStr">
        <is>
          <t>Annual attestation campaign to formally acknowledge ownership:
Day 0: Email all asset owners requesting attestation
Day 7: Reminder #1 to non-responders
Day 14: Reminder #2 to non-responders
Day 21: Reminder #3 to non-responders
Day 28: Escalate to owner's manager + CISO notification
Target: ≥95% attestation rate within 28 days</t>
        </is>
      </c>
    </row>
    <row r="18"/>
    <row r="19"/>
    <row r="20"/>
    <row r="21"/>
    <row r="23">
      <c r="A23" s="3" t="inlineStr">
        <is>
          <t>WEIGHTED ACCOUNTABILITY SCORING</t>
        </is>
      </c>
    </row>
    <row r="24">
      <c r="A24" s="7" t="inlineStr">
        <is>
          <t>Overall Accountability Index = (Coverage × 40%) + (Acknowledgment × 25%) + (Awareness × 20%) + (Performance × 15%)</t>
        </is>
      </c>
    </row>
    <row r="25">
      <c r="A25" s="5" t="inlineStr">
        <is>
          <t>Target: ≥94% for effective accountability</t>
        </is>
      </c>
    </row>
    <row r="27">
      <c r="A27" s="3" t="inlineStr">
        <is>
          <t>TRAFFIC LIGHT LEGEND</t>
        </is>
      </c>
    </row>
    <row r="28">
      <c r="A28" s="8" t="inlineStr">
        <is>
          <t>✅ GREEN - Strong Accountability</t>
        </is>
      </c>
      <c r="B28" t="inlineStr">
        <is>
          <t>Score ≥ Target</t>
        </is>
      </c>
    </row>
    <row r="29">
      <c r="A29" s="9" t="inlineStr">
        <is>
          <t>⚠️ YELLOW - Needs Improvement</t>
        </is>
      </c>
      <c r="B29" t="inlineStr">
        <is>
          <t>Score within 5% of target</t>
        </is>
      </c>
    </row>
    <row r="30">
      <c r="A30" s="10" t="inlineStr">
        <is>
          <t>❌ RED - Weak Accountability</t>
        </is>
      </c>
      <c r="B30" t="inlineStr">
        <is>
          <t>Score &gt;5% below target</t>
        </is>
      </c>
    </row>
  </sheetData>
  <mergeCells count="5">
    <mergeCell ref="A24:H24"/>
    <mergeCell ref="A2:H2"/>
    <mergeCell ref="A5:H8"/>
    <mergeCell ref="A1:H1"/>
    <mergeCell ref="A17:H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25" customWidth="1" min="1" max="1"/>
    <col width="15" customWidth="1" min="2" max="2"/>
    <col width="18" customWidth="1" min="3" max="3"/>
    <col width="18" customWidth="1" min="4" max="4"/>
    <col width="15" customWidth="1" min="5" max="5"/>
    <col width="12" customWidth="1" min="6" max="6"/>
    <col width="12" customWidth="1" min="7" max="7"/>
    <col width="18" customWidth="1" min="8" max="8"/>
    <col width="18" customWidth="1" min="9" max="9"/>
    <col width="18" customWidth="1" min="10" max="10"/>
    <col width="15" customWidth="1" min="11" max="11"/>
    <col width="30" customWidth="1" min="12" max="12"/>
  </cols>
  <sheetData>
    <row r="1" ht="25" customHeight="1">
      <c r="A1" s="11" t="inlineStr">
        <is>
          <t>Ownership Coverage - Asset Owner Assignment</t>
        </is>
      </c>
    </row>
    <row r="3">
      <c r="A3" s="12" t="inlineStr">
        <is>
          <t>Asset Category</t>
        </is>
      </c>
      <c r="B3" s="12" t="inlineStr">
        <is>
          <t>Total Assets</t>
        </is>
      </c>
      <c r="C3" s="12" t="inlineStr">
        <is>
          <t>Assets with Owner</t>
        </is>
      </c>
      <c r="D3" s="12" t="inlineStr">
        <is>
          <t>Assets without Owner</t>
        </is>
      </c>
      <c r="E3" s="12" t="inlineStr">
        <is>
          <t>Coverage %</t>
        </is>
      </c>
      <c r="F3" s="12" t="inlineStr">
        <is>
          <t>Target %</t>
        </is>
      </c>
      <c r="G3" s="12" t="inlineStr">
        <is>
          <t>Gap</t>
        </is>
      </c>
      <c r="H3" s="12" t="inlineStr">
        <is>
          <t>Status</t>
        </is>
      </c>
      <c r="I3" s="12" t="inlineStr">
        <is>
          <t>Unique Owners Count</t>
        </is>
      </c>
      <c r="J3" s="12" t="inlineStr">
        <is>
          <t>Avg Assets per Owner</t>
        </is>
      </c>
      <c r="K3" s="12" t="inlineStr">
        <is>
          <t>Evidence ID</t>
        </is>
      </c>
      <c r="L3" s="12" t="inlineStr">
        <is>
          <t>Notes</t>
        </is>
      </c>
    </row>
    <row r="4">
      <c r="A4" s="5" t="inlineStr">
        <is>
          <t>Information Assets</t>
        </is>
      </c>
      <c r="B4" s="13" t="n"/>
      <c r="C4" s="13" t="n"/>
      <c r="D4">
        <f>B4-C4</f>
        <v/>
      </c>
      <c r="E4" s="14">
        <f>IFERROR(C4/B4*100,0)</f>
        <v/>
      </c>
      <c r="F4" t="inlineStr">
        <is>
          <t>100%</t>
        </is>
      </c>
      <c r="G4" s="14">
        <f>E4-100</f>
        <v/>
      </c>
      <c r="H4" s="15">
        <f>IF(E4=100,"✅ Full Coverage",IF(E4&gt;=95,"⚠️ Minor Gaps","❌ Major Gaps"))</f>
        <v/>
      </c>
      <c r="I4" s="13" t="n"/>
      <c r="J4" s="16">
        <f>IFERROR(B4/I4,0)</f>
        <v/>
      </c>
      <c r="K4" s="13" t="n"/>
      <c r="L4" s="13" t="n"/>
    </row>
    <row r="5">
      <c r="A5" s="5" t="inlineStr">
        <is>
          <t>IT Infrastructure</t>
        </is>
      </c>
      <c r="B5" s="13" t="n"/>
      <c r="C5" s="13" t="n"/>
      <c r="D5">
        <f>B5-C5</f>
        <v/>
      </c>
      <c r="E5" s="14">
        <f>IFERROR(C5/B5*100,0)</f>
        <v/>
      </c>
      <c r="F5" t="inlineStr">
        <is>
          <t>100%</t>
        </is>
      </c>
      <c r="G5" s="14">
        <f>E5-100</f>
        <v/>
      </c>
      <c r="H5" s="15">
        <f>IF(E5=100,"✅ Full Coverage",IF(E5&gt;=95,"⚠️ Minor Gaps","❌ Major Gaps"))</f>
        <v/>
      </c>
      <c r="I5" s="13" t="n"/>
      <c r="J5" s="16">
        <f>IFERROR(B5/I5,0)</f>
        <v/>
      </c>
      <c r="K5" s="13" t="n"/>
      <c r="L5" s="13" t="n"/>
    </row>
    <row r="6">
      <c r="A6" s="5" t="inlineStr">
        <is>
          <t>Applications</t>
        </is>
      </c>
      <c r="B6" s="13" t="n"/>
      <c r="C6" s="13" t="n"/>
      <c r="D6">
        <f>B6-C6</f>
        <v/>
      </c>
      <c r="E6" s="14">
        <f>IFERROR(C6/B6*100,0)</f>
        <v/>
      </c>
      <c r="F6" t="inlineStr">
        <is>
          <t>100%</t>
        </is>
      </c>
      <c r="G6" s="14">
        <f>E6-100</f>
        <v/>
      </c>
      <c r="H6" s="15">
        <f>IF(E6=100,"✅ Full Coverage",IF(E6&gt;=95,"⚠️ Minor Gaps","❌ Major Gaps"))</f>
        <v/>
      </c>
      <c r="I6" s="13" t="n"/>
      <c r="J6" s="16">
        <f>IFERROR(B6/I6,0)</f>
        <v/>
      </c>
      <c r="K6" s="13" t="n"/>
      <c r="L6" s="13" t="n"/>
    </row>
    <row r="7">
      <c r="A7" s="5" t="inlineStr">
        <is>
          <t>Physical Assets</t>
        </is>
      </c>
      <c r="B7" s="13" t="n"/>
      <c r="C7" s="13" t="n"/>
      <c r="D7">
        <f>B7-C7</f>
        <v/>
      </c>
      <c r="E7" s="14">
        <f>IFERROR(C7/B7*100,0)</f>
        <v/>
      </c>
      <c r="F7" t="inlineStr">
        <is>
          <t>100%</t>
        </is>
      </c>
      <c r="G7" s="14">
        <f>E7-100</f>
        <v/>
      </c>
      <c r="H7" s="15">
        <f>IF(E7=100,"✅ Full Coverage",IF(E7&gt;=95,"⚠️ Minor Gaps","❌ Major Gaps"))</f>
        <v/>
      </c>
      <c r="I7" s="13" t="n"/>
      <c r="J7" s="16">
        <f>IFERROR(B7/I7,0)</f>
        <v/>
      </c>
      <c r="K7" s="13" t="n"/>
      <c r="L7" s="13" t="n"/>
    </row>
    <row r="8">
      <c r="A8" s="5" t="inlineStr">
        <is>
          <t>Personnel Assets</t>
        </is>
      </c>
      <c r="B8" s="13" t="n"/>
      <c r="C8" s="13" t="n"/>
      <c r="D8">
        <f>B8-C8</f>
        <v/>
      </c>
      <c r="E8" s="14">
        <f>IFERROR(C8/B8*100,0)</f>
        <v/>
      </c>
      <c r="F8" t="inlineStr">
        <is>
          <t>100%</t>
        </is>
      </c>
      <c r="G8" s="14">
        <f>E8-100</f>
        <v/>
      </c>
      <c r="H8" s="15">
        <f>IF(E8=100,"✅ Full Coverage",IF(E8&gt;=95,"⚠️ Minor Gaps","❌ Major Gaps"))</f>
        <v/>
      </c>
      <c r="I8" s="13" t="n"/>
      <c r="J8" s="16">
        <f>IFERROR(B8/I8,0)</f>
        <v/>
      </c>
      <c r="K8" s="13" t="n"/>
      <c r="L8" s="13" t="n"/>
    </row>
    <row r="11">
      <c r="A11" s="3" t="inlineStr">
        <is>
          <t>OWNERSHIP COVERAGE SUMMARY</t>
        </is>
      </c>
    </row>
    <row r="12">
      <c r="A12" t="inlineStr">
        <is>
          <t>Total Assets</t>
        </is>
      </c>
      <c r="B12" s="5">
        <f>SUM(B4:B8)</f>
        <v/>
      </c>
    </row>
    <row r="13">
      <c r="A13" t="inlineStr">
        <is>
          <t>Assets with Owner</t>
        </is>
      </c>
      <c r="B13" s="5">
        <f>SUM(C4:C8)</f>
        <v/>
      </c>
    </row>
    <row r="14">
      <c r="A14" t="inlineStr">
        <is>
          <t>Assets without Owner</t>
        </is>
      </c>
      <c r="B14" s="17">
        <f>SUM(D4:D8)</f>
        <v/>
      </c>
    </row>
    <row r="15">
      <c r="A15" t="inlineStr">
        <is>
          <t>Overall Coverage %</t>
        </is>
      </c>
      <c r="B15" s="18">
        <f>IFERROR(B13/B12*100,0)</f>
        <v/>
      </c>
    </row>
    <row r="16">
      <c r="A16" t="inlineStr">
        <is>
          <t>Target</t>
        </is>
      </c>
      <c r="B16" s="17" t="inlineStr">
        <is>
          <t>100%</t>
        </is>
      </c>
    </row>
    <row r="17">
      <c r="A17" t="inlineStr">
        <is>
          <t>Gap</t>
        </is>
      </c>
      <c r="B17" s="14">
        <f>B15-100</f>
        <v/>
      </c>
    </row>
    <row r="18">
      <c r="A18" t="inlineStr">
        <is>
          <t>Status</t>
        </is>
      </c>
      <c r="B18" s="5">
        <f>IF(B15=100,"✅ Strong",IF(B15&gt;=95,"⚠️ Needs Improvement","❌ Weak"))</f>
        <v/>
      </c>
    </row>
  </sheetData>
  <mergeCells count="1">
    <mergeCell ref="A1:L1"/>
  </mergeCells>
  <conditionalFormatting sqref="E4:E8">
    <cfRule type="cellIs" priority="1" operator="equal" dxfId="0">
      <formula>100</formula>
    </cfRule>
    <cfRule type="cellIs" priority="2" operator="between" dxfId="1">
      <formula>95</formula>
      <formula>99</formula>
    </cfRule>
    <cfRule type="cellIs" priority="3" operator="lessThan" dxfId="2">
      <formula>95</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7"/>
  <sheetViews>
    <sheetView workbookViewId="0">
      <selection activeCell="A1" sqref="A1"/>
    </sheetView>
  </sheetViews>
  <sheetFormatPr baseColWidth="8" defaultRowHeight="15"/>
  <cols>
    <col width="25" customWidth="1" min="1" max="1"/>
    <col width="30" customWidth="1" min="2" max="2"/>
    <col width="20" customWidth="1" min="3" max="3"/>
    <col width="15" customWidth="1" min="4" max="4"/>
    <col width="18" customWidth="1" min="5" max="5"/>
    <col width="18" customWidth="1" min="6" max="6"/>
    <col width="18" customWidth="1" min="7" max="7"/>
    <col width="18" customWidth="1" min="8" max="8"/>
    <col width="18" customWidth="1" min="9" max="9"/>
    <col width="18" customWidth="1" min="10" max="10"/>
    <col width="15" customWidth="1" min="11" max="11"/>
    <col width="20" customWidth="1" min="12" max="12"/>
    <col width="25" customWidth="1" min="13" max="13"/>
    <col width="15" customWidth="1" min="14" max="14"/>
    <col width="30" customWidth="1" min="15" max="15"/>
  </cols>
  <sheetData>
    <row r="1">
      <c r="A1" s="11" t="inlineStr">
        <is>
          <t>Owner Acknowledgment - Attestation Campaign Tracking</t>
        </is>
      </c>
    </row>
    <row r="3">
      <c r="A3" s="12" t="inlineStr">
        <is>
          <t>Owner Name</t>
        </is>
      </c>
      <c r="B3" s="12" t="inlineStr">
        <is>
          <t>Owner Email</t>
        </is>
      </c>
      <c r="C3" s="12" t="inlineStr">
        <is>
          <t>Department</t>
        </is>
      </c>
      <c r="D3" s="12" t="inlineStr">
        <is>
          <t>Assets Count</t>
        </is>
      </c>
      <c r="E3" s="12" t="inlineStr">
        <is>
          <t>Email Sent Date</t>
        </is>
      </c>
      <c r="F3" s="12" t="inlineStr">
        <is>
          <t>Reminder 1 (Day 7)</t>
        </is>
      </c>
      <c r="G3" s="12" t="inlineStr">
        <is>
          <t>Reminder 2 (Day 14)</t>
        </is>
      </c>
      <c r="H3" s="12" t="inlineStr">
        <is>
          <t>Reminder 3 (Day 21)</t>
        </is>
      </c>
      <c r="I3" s="12" t="inlineStr">
        <is>
          <t>Escalation (Day 28)</t>
        </is>
      </c>
      <c r="J3" s="12" t="inlineStr">
        <is>
          <t>Response Date</t>
        </is>
      </c>
      <c r="K3" s="12" t="inlineStr">
        <is>
          <t>Days to Respond</t>
        </is>
      </c>
      <c r="L3" s="12" t="inlineStr">
        <is>
          <t>Attestation Status</t>
        </is>
      </c>
      <c r="M3" s="12" t="inlineStr">
        <is>
          <t>Next Action</t>
        </is>
      </c>
      <c r="N3" s="12" t="inlineStr">
        <is>
          <t>Evidence ID</t>
        </is>
      </c>
      <c r="O3" s="12" t="inlineStr">
        <is>
          <t>Notes</t>
        </is>
      </c>
    </row>
    <row r="4">
      <c r="A4" t="inlineStr">
        <is>
          <t>John Doe</t>
        </is>
      </c>
      <c r="B4" t="inlineStr">
        <is>
          <t>john.doe@org.com</t>
        </is>
      </c>
      <c r="C4" t="inlineStr">
        <is>
          <t>Engineering</t>
        </is>
      </c>
      <c r="D4" t="n">
        <v>15</v>
      </c>
      <c r="E4" s="13" t="n"/>
      <c r="F4" s="13" t="n"/>
      <c r="G4" s="13" t="n"/>
      <c r="H4" s="13" t="n"/>
      <c r="I4" s="13" t="n"/>
      <c r="J4" s="13" t="n"/>
      <c r="K4" s="19">
        <f>IF(AND(E4&lt;&gt;"",J4&lt;&gt;""),J4-E4,"")</f>
        <v/>
      </c>
      <c r="L4" s="13" t="n"/>
      <c r="M4" s="13" t="n"/>
      <c r="N4" s="13" t="n"/>
      <c r="O4" s="13" t="n"/>
    </row>
    <row r="5">
      <c r="A5" t="inlineStr">
        <is>
          <t>Jane Smith</t>
        </is>
      </c>
      <c r="B5" t="inlineStr">
        <is>
          <t>jane.smith@org.com</t>
        </is>
      </c>
      <c r="C5" t="inlineStr">
        <is>
          <t>IT Operations</t>
        </is>
      </c>
      <c r="D5" t="n">
        <v>42</v>
      </c>
      <c r="E5" s="13" t="n"/>
      <c r="F5" s="13" t="n"/>
      <c r="G5" s="13" t="n"/>
      <c r="H5" s="13" t="n"/>
      <c r="I5" s="13" t="n"/>
      <c r="J5" s="13" t="n"/>
      <c r="K5" s="19">
        <f>IF(AND(E5&lt;&gt;"",J5&lt;&gt;""),J5-E5,"")</f>
        <v/>
      </c>
      <c r="L5" s="13" t="n"/>
      <c r="M5" s="13" t="n"/>
      <c r="N5" s="13" t="n"/>
      <c r="O5" s="13" t="n"/>
    </row>
    <row r="6">
      <c r="A6" t="inlineStr">
        <is>
          <t>Bob Johnson</t>
        </is>
      </c>
      <c r="B6" t="inlineStr">
        <is>
          <t>bob.johnson@org.com</t>
        </is>
      </c>
      <c r="C6" t="inlineStr">
        <is>
          <t>Security</t>
        </is>
      </c>
      <c r="D6" t="n">
        <v>8</v>
      </c>
      <c r="E6" s="13" t="n"/>
      <c r="F6" s="13" t="n"/>
      <c r="G6" s="13" t="n"/>
      <c r="H6" s="13" t="n"/>
      <c r="I6" s="13" t="n"/>
      <c r="J6" s="13" t="n"/>
      <c r="K6" s="19">
        <f>IF(AND(E6&lt;&gt;"",J6&lt;&gt;""),J6-E6,"")</f>
        <v/>
      </c>
      <c r="L6" s="13" t="n"/>
      <c r="M6" s="13" t="n"/>
      <c r="N6" s="13" t="n"/>
      <c r="O6" s="13" t="n"/>
    </row>
    <row r="7">
      <c r="A7" t="inlineStr">
        <is>
          <t>Alice Williams</t>
        </is>
      </c>
      <c r="B7" t="inlineStr">
        <is>
          <t>alice.williams@org.com</t>
        </is>
      </c>
      <c r="C7" t="inlineStr">
        <is>
          <t>HR</t>
        </is>
      </c>
      <c r="D7" t="n">
        <v>5</v>
      </c>
      <c r="E7" s="13" t="n"/>
      <c r="F7" s="13" t="n"/>
      <c r="G7" s="13" t="n"/>
      <c r="H7" s="13" t="n"/>
      <c r="I7" s="13" t="n"/>
      <c r="J7" s="13" t="n"/>
      <c r="K7" s="19">
        <f>IF(AND(E7&lt;&gt;"",J7&lt;&gt;""),J7-E7,"")</f>
        <v/>
      </c>
      <c r="L7" s="13" t="n"/>
      <c r="M7" s="13" t="n"/>
      <c r="N7" s="13" t="n"/>
      <c r="O7" s="13" t="n"/>
    </row>
    <row r="8">
      <c r="A8" s="13" t="n"/>
      <c r="B8" s="13" t="n"/>
      <c r="C8" s="13" t="n"/>
      <c r="D8" s="13" t="n"/>
      <c r="E8" s="13" t="n"/>
      <c r="F8" s="13" t="n"/>
      <c r="G8" s="13" t="n"/>
      <c r="H8" s="13" t="n"/>
      <c r="I8" s="13" t="n"/>
      <c r="J8" s="13" t="n"/>
      <c r="K8">
        <f>IF(AND(E8&lt;&gt;"",J8&lt;&gt;""),J8-E8,"")</f>
        <v/>
      </c>
      <c r="L8" s="13" t="n"/>
      <c r="M8" s="13" t="n"/>
      <c r="N8" s="13" t="n"/>
      <c r="O8" s="13" t="n"/>
    </row>
    <row r="9">
      <c r="A9" s="13" t="n"/>
      <c r="B9" s="13" t="n"/>
      <c r="C9" s="13" t="n"/>
      <c r="D9" s="13" t="n"/>
      <c r="E9" s="13" t="n"/>
      <c r="F9" s="13" t="n"/>
      <c r="G9" s="13" t="n"/>
      <c r="H9" s="13" t="n"/>
      <c r="I9" s="13" t="n"/>
      <c r="J9" s="13" t="n"/>
      <c r="K9">
        <f>IF(AND(E9&lt;&gt;"",J9&lt;&gt;""),J9-E9,"")</f>
        <v/>
      </c>
      <c r="L9" s="13" t="n"/>
      <c r="M9" s="13" t="n"/>
      <c r="N9" s="13" t="n"/>
      <c r="O9" s="13" t="n"/>
    </row>
    <row r="10">
      <c r="A10" s="13" t="n"/>
      <c r="B10" s="13" t="n"/>
      <c r="C10" s="13" t="n"/>
      <c r="D10" s="13" t="n"/>
      <c r="E10" s="13" t="n"/>
      <c r="F10" s="13" t="n"/>
      <c r="G10" s="13" t="n"/>
      <c r="H10" s="13" t="n"/>
      <c r="I10" s="13" t="n"/>
      <c r="J10" s="13" t="n"/>
      <c r="K10">
        <f>IF(AND(E10&lt;&gt;"",J10&lt;&gt;""),J10-E10,"")</f>
        <v/>
      </c>
      <c r="L10" s="13" t="n"/>
      <c r="M10" s="13" t="n"/>
      <c r="N10" s="13" t="n"/>
      <c r="O10" s="13" t="n"/>
    </row>
    <row r="11">
      <c r="A11" s="13" t="n"/>
      <c r="B11" s="13" t="n"/>
      <c r="C11" s="13" t="n"/>
      <c r="D11" s="13" t="n"/>
      <c r="E11" s="13" t="n"/>
      <c r="F11" s="13" t="n"/>
      <c r="G11" s="13" t="n"/>
      <c r="H11" s="13" t="n"/>
      <c r="I11" s="13" t="n"/>
      <c r="J11" s="13" t="n"/>
      <c r="K11">
        <f>IF(AND(E11&lt;&gt;"",J11&lt;&gt;""),J11-E11,"")</f>
        <v/>
      </c>
      <c r="L11" s="13" t="n"/>
      <c r="M11" s="13" t="n"/>
      <c r="N11" s="13" t="n"/>
      <c r="O11" s="13" t="n"/>
    </row>
    <row r="12">
      <c r="A12" s="13" t="n"/>
      <c r="B12" s="13" t="n"/>
      <c r="C12" s="13" t="n"/>
      <c r="D12" s="13" t="n"/>
      <c r="E12" s="13" t="n"/>
      <c r="F12" s="13" t="n"/>
      <c r="G12" s="13" t="n"/>
      <c r="H12" s="13" t="n"/>
      <c r="I12" s="13" t="n"/>
      <c r="J12" s="13" t="n"/>
      <c r="K12">
        <f>IF(AND(E12&lt;&gt;"",J12&lt;&gt;""),J12-E12,"")</f>
        <v/>
      </c>
      <c r="L12" s="13" t="n"/>
      <c r="M12" s="13" t="n"/>
      <c r="N12" s="13" t="n"/>
      <c r="O12" s="13" t="n"/>
    </row>
    <row r="13">
      <c r="A13" s="13" t="n"/>
      <c r="B13" s="13" t="n"/>
      <c r="C13" s="13" t="n"/>
      <c r="D13" s="13" t="n"/>
      <c r="E13" s="13" t="n"/>
      <c r="F13" s="13" t="n"/>
      <c r="G13" s="13" t="n"/>
      <c r="H13" s="13" t="n"/>
      <c r="I13" s="13" t="n"/>
      <c r="J13" s="13" t="n"/>
      <c r="K13">
        <f>IF(AND(E13&lt;&gt;"",J13&lt;&gt;""),J13-E13,"")</f>
        <v/>
      </c>
      <c r="L13" s="13" t="n"/>
      <c r="M13" s="13" t="n"/>
      <c r="N13" s="13" t="n"/>
      <c r="O13" s="13" t="n"/>
    </row>
    <row r="14">
      <c r="A14" s="13" t="n"/>
      <c r="B14" s="13" t="n"/>
      <c r="C14" s="13" t="n"/>
      <c r="D14" s="13" t="n"/>
      <c r="E14" s="13" t="n"/>
      <c r="F14" s="13" t="n"/>
      <c r="G14" s="13" t="n"/>
      <c r="H14" s="13" t="n"/>
      <c r="I14" s="13" t="n"/>
      <c r="J14" s="13" t="n"/>
      <c r="K14">
        <f>IF(AND(E14&lt;&gt;"",J14&lt;&gt;""),J14-E14,"")</f>
        <v/>
      </c>
      <c r="L14" s="13" t="n"/>
      <c r="M14" s="13" t="n"/>
      <c r="N14" s="13" t="n"/>
      <c r="O14" s="13" t="n"/>
    </row>
    <row r="15">
      <c r="A15" s="13" t="n"/>
      <c r="B15" s="13" t="n"/>
      <c r="C15" s="13" t="n"/>
      <c r="D15" s="13" t="n"/>
      <c r="E15" s="13" t="n"/>
      <c r="F15" s="13" t="n"/>
      <c r="G15" s="13" t="n"/>
      <c r="H15" s="13" t="n"/>
      <c r="I15" s="13" t="n"/>
      <c r="J15" s="13" t="n"/>
      <c r="K15">
        <f>IF(AND(E15&lt;&gt;"",J15&lt;&gt;""),J15-E15,"")</f>
        <v/>
      </c>
      <c r="L15" s="13" t="n"/>
      <c r="M15" s="13" t="n"/>
      <c r="N15" s="13" t="n"/>
      <c r="O15" s="13" t="n"/>
    </row>
    <row r="16">
      <c r="A16" s="13" t="n"/>
      <c r="B16" s="13" t="n"/>
      <c r="C16" s="13" t="n"/>
      <c r="D16" s="13" t="n"/>
      <c r="E16" s="13" t="n"/>
      <c r="F16" s="13" t="n"/>
      <c r="G16" s="13" t="n"/>
      <c r="H16" s="13" t="n"/>
      <c r="I16" s="13" t="n"/>
      <c r="J16" s="13" t="n"/>
      <c r="K16">
        <f>IF(AND(E16&lt;&gt;"",J16&lt;&gt;""),J16-E16,"")</f>
        <v/>
      </c>
      <c r="L16" s="13" t="n"/>
      <c r="M16" s="13" t="n"/>
      <c r="N16" s="13" t="n"/>
      <c r="O16" s="13" t="n"/>
    </row>
    <row r="17">
      <c r="A17" s="13" t="n"/>
      <c r="B17" s="13" t="n"/>
      <c r="C17" s="13" t="n"/>
      <c r="D17" s="13" t="n"/>
      <c r="E17" s="13" t="n"/>
      <c r="F17" s="13" t="n"/>
      <c r="G17" s="13" t="n"/>
      <c r="H17" s="13" t="n"/>
      <c r="I17" s="13" t="n"/>
      <c r="J17" s="13" t="n"/>
      <c r="K17">
        <f>IF(AND(E17&lt;&gt;"",J17&lt;&gt;""),J17-E17,"")</f>
        <v/>
      </c>
      <c r="L17" s="13" t="n"/>
      <c r="M17" s="13" t="n"/>
      <c r="N17" s="13" t="n"/>
      <c r="O17" s="13" t="n"/>
    </row>
    <row r="18">
      <c r="A18" s="13" t="n"/>
      <c r="B18" s="13" t="n"/>
      <c r="C18" s="13" t="n"/>
      <c r="D18" s="13" t="n"/>
      <c r="E18" s="13" t="n"/>
      <c r="F18" s="13" t="n"/>
      <c r="G18" s="13" t="n"/>
      <c r="H18" s="13" t="n"/>
      <c r="I18" s="13" t="n"/>
      <c r="J18" s="13" t="n"/>
      <c r="K18">
        <f>IF(AND(E18&lt;&gt;"",J18&lt;&gt;""),J18-E18,"")</f>
        <v/>
      </c>
      <c r="L18" s="13" t="n"/>
      <c r="M18" s="13" t="n"/>
      <c r="N18" s="13" t="n"/>
      <c r="O18" s="13" t="n"/>
    </row>
    <row r="19">
      <c r="A19" s="13" t="n"/>
      <c r="B19" s="13" t="n"/>
      <c r="C19" s="13" t="n"/>
      <c r="D19" s="13" t="n"/>
      <c r="E19" s="13" t="n"/>
      <c r="F19" s="13" t="n"/>
      <c r="G19" s="13" t="n"/>
      <c r="H19" s="13" t="n"/>
      <c r="I19" s="13" t="n"/>
      <c r="J19" s="13" t="n"/>
      <c r="K19">
        <f>IF(AND(E19&lt;&gt;"",J19&lt;&gt;""),J19-E19,"")</f>
        <v/>
      </c>
      <c r="L19" s="13" t="n"/>
      <c r="M19" s="13" t="n"/>
      <c r="N19" s="13" t="n"/>
      <c r="O19" s="13" t="n"/>
    </row>
    <row r="20">
      <c r="A20" s="13" t="n"/>
      <c r="B20" s="13" t="n"/>
      <c r="C20" s="13" t="n"/>
      <c r="D20" s="13" t="n"/>
      <c r="E20" s="13" t="n"/>
      <c r="F20" s="13" t="n"/>
      <c r="G20" s="13" t="n"/>
      <c r="H20" s="13" t="n"/>
      <c r="I20" s="13" t="n"/>
      <c r="J20" s="13" t="n"/>
      <c r="K20">
        <f>IF(AND(E20&lt;&gt;"",J20&lt;&gt;""),J20-E20,"")</f>
        <v/>
      </c>
      <c r="L20" s="13" t="n"/>
      <c r="M20" s="13" t="n"/>
      <c r="N20" s="13" t="n"/>
      <c r="O20" s="13" t="n"/>
    </row>
    <row r="21">
      <c r="A21" s="13" t="n"/>
      <c r="B21" s="13" t="n"/>
      <c r="C21" s="13" t="n"/>
      <c r="D21" s="13" t="n"/>
      <c r="E21" s="13" t="n"/>
      <c r="F21" s="13" t="n"/>
      <c r="G21" s="13" t="n"/>
      <c r="H21" s="13" t="n"/>
      <c r="I21" s="13" t="n"/>
      <c r="J21" s="13" t="n"/>
      <c r="K21">
        <f>IF(AND(E21&lt;&gt;"",J21&lt;&gt;""),J21-E21,"")</f>
        <v/>
      </c>
      <c r="L21" s="13" t="n"/>
      <c r="M21" s="13" t="n"/>
      <c r="N21" s="13" t="n"/>
      <c r="O21" s="13" t="n"/>
    </row>
    <row r="22">
      <c r="A22" s="13" t="n"/>
      <c r="B22" s="13" t="n"/>
      <c r="C22" s="13" t="n"/>
      <c r="D22" s="13" t="n"/>
      <c r="E22" s="13" t="n"/>
      <c r="F22" s="13" t="n"/>
      <c r="G22" s="13" t="n"/>
      <c r="H22" s="13" t="n"/>
      <c r="I22" s="13" t="n"/>
      <c r="J22" s="13" t="n"/>
      <c r="K22">
        <f>IF(AND(E22&lt;&gt;"",J22&lt;&gt;""),J22-E22,"")</f>
        <v/>
      </c>
      <c r="L22" s="13" t="n"/>
      <c r="M22" s="13" t="n"/>
      <c r="N22" s="13" t="n"/>
      <c r="O22" s="13" t="n"/>
    </row>
    <row r="23">
      <c r="A23" s="13" t="n"/>
      <c r="B23" s="13" t="n"/>
      <c r="C23" s="13" t="n"/>
      <c r="D23" s="13" t="n"/>
      <c r="E23" s="13" t="n"/>
      <c r="F23" s="13" t="n"/>
      <c r="G23" s="13" t="n"/>
      <c r="H23" s="13" t="n"/>
      <c r="I23" s="13" t="n"/>
      <c r="J23" s="13" t="n"/>
      <c r="K23">
        <f>IF(AND(E23&lt;&gt;"",J23&lt;&gt;""),J23-E23,"")</f>
        <v/>
      </c>
      <c r="L23" s="13" t="n"/>
      <c r="M23" s="13" t="n"/>
      <c r="N23" s="13" t="n"/>
      <c r="O23" s="13" t="n"/>
    </row>
    <row r="24">
      <c r="A24" s="13" t="n"/>
      <c r="B24" s="13" t="n"/>
      <c r="C24" s="13" t="n"/>
      <c r="D24" s="13" t="n"/>
      <c r="E24" s="13" t="n"/>
      <c r="F24" s="13" t="n"/>
      <c r="G24" s="13" t="n"/>
      <c r="H24" s="13" t="n"/>
      <c r="I24" s="13" t="n"/>
      <c r="J24" s="13" t="n"/>
      <c r="K24">
        <f>IF(AND(E24&lt;&gt;"",J24&lt;&gt;""),J24-E24,"")</f>
        <v/>
      </c>
      <c r="L24" s="13" t="n"/>
      <c r="M24" s="13" t="n"/>
      <c r="N24" s="13" t="n"/>
      <c r="O24" s="13" t="n"/>
    </row>
    <row r="25">
      <c r="A25" s="13" t="n"/>
      <c r="B25" s="13" t="n"/>
      <c r="C25" s="13" t="n"/>
      <c r="D25" s="13" t="n"/>
      <c r="E25" s="13" t="n"/>
      <c r="F25" s="13" t="n"/>
      <c r="G25" s="13" t="n"/>
      <c r="H25" s="13" t="n"/>
      <c r="I25" s="13" t="n"/>
      <c r="J25" s="13" t="n"/>
      <c r="K25">
        <f>IF(AND(E25&lt;&gt;"",J25&lt;&gt;""),J25-E25,"")</f>
        <v/>
      </c>
      <c r="L25" s="13" t="n"/>
      <c r="M25" s="13" t="n"/>
      <c r="N25" s="13" t="n"/>
      <c r="O25" s="13" t="n"/>
    </row>
    <row r="26">
      <c r="A26" s="13" t="n"/>
      <c r="B26" s="13" t="n"/>
      <c r="C26" s="13" t="n"/>
      <c r="D26" s="13" t="n"/>
      <c r="E26" s="13" t="n"/>
      <c r="F26" s="13" t="n"/>
      <c r="G26" s="13" t="n"/>
      <c r="H26" s="13" t="n"/>
      <c r="I26" s="13" t="n"/>
      <c r="J26" s="13" t="n"/>
      <c r="K26">
        <f>IF(AND(E26&lt;&gt;"",J26&lt;&gt;""),J26-E26,"")</f>
        <v/>
      </c>
      <c r="L26" s="13" t="n"/>
      <c r="M26" s="13" t="n"/>
      <c r="N26" s="13" t="n"/>
      <c r="O26" s="13" t="n"/>
    </row>
    <row r="27">
      <c r="A27" s="13" t="n"/>
      <c r="B27" s="13" t="n"/>
      <c r="C27" s="13" t="n"/>
      <c r="D27" s="13" t="n"/>
      <c r="E27" s="13" t="n"/>
      <c r="F27" s="13" t="n"/>
      <c r="G27" s="13" t="n"/>
      <c r="H27" s="13" t="n"/>
      <c r="I27" s="13" t="n"/>
      <c r="J27" s="13" t="n"/>
      <c r="K27">
        <f>IF(AND(E27&lt;&gt;"",J27&lt;&gt;""),J27-E27,"")</f>
        <v/>
      </c>
      <c r="L27" s="13" t="n"/>
      <c r="M27" s="13" t="n"/>
      <c r="N27" s="13" t="n"/>
      <c r="O27" s="13" t="n"/>
    </row>
    <row r="28">
      <c r="A28" s="13" t="n"/>
      <c r="B28" s="13" t="n"/>
      <c r="C28" s="13" t="n"/>
      <c r="D28" s="13" t="n"/>
      <c r="E28" s="13" t="n"/>
      <c r="F28" s="13" t="n"/>
      <c r="G28" s="13" t="n"/>
      <c r="H28" s="13" t="n"/>
      <c r="I28" s="13" t="n"/>
      <c r="J28" s="13" t="n"/>
      <c r="K28">
        <f>IF(AND(E28&lt;&gt;"",J28&lt;&gt;""),J28-E28,"")</f>
        <v/>
      </c>
      <c r="L28" s="13" t="n"/>
      <c r="M28" s="13" t="n"/>
      <c r="N28" s="13" t="n"/>
      <c r="O28" s="13" t="n"/>
    </row>
    <row r="29">
      <c r="A29" s="13" t="n"/>
      <c r="B29" s="13" t="n"/>
      <c r="C29" s="13" t="n"/>
      <c r="D29" s="13" t="n"/>
      <c r="E29" s="13" t="n"/>
      <c r="F29" s="13" t="n"/>
      <c r="G29" s="13" t="n"/>
      <c r="H29" s="13" t="n"/>
      <c r="I29" s="13" t="n"/>
      <c r="J29" s="13" t="n"/>
      <c r="K29">
        <f>IF(AND(E29&lt;&gt;"",J29&lt;&gt;""),J29-E29,"")</f>
        <v/>
      </c>
      <c r="L29" s="13" t="n"/>
      <c r="M29" s="13" t="n"/>
      <c r="N29" s="13" t="n"/>
      <c r="O29" s="13" t="n"/>
    </row>
    <row r="30">
      <c r="A30" s="13" t="n"/>
      <c r="B30" s="13" t="n"/>
      <c r="C30" s="13" t="n"/>
      <c r="D30" s="13" t="n"/>
      <c r="E30" s="13" t="n"/>
      <c r="F30" s="13" t="n"/>
      <c r="G30" s="13" t="n"/>
      <c r="H30" s="13" t="n"/>
      <c r="I30" s="13" t="n"/>
      <c r="J30" s="13" t="n"/>
      <c r="K30">
        <f>IF(AND(E30&lt;&gt;"",J30&lt;&gt;""),J30-E30,"")</f>
        <v/>
      </c>
      <c r="L30" s="13" t="n"/>
      <c r="M30" s="13" t="n"/>
      <c r="N30" s="13" t="n"/>
      <c r="O30" s="13" t="n"/>
    </row>
    <row r="31">
      <c r="A31" s="13" t="n"/>
      <c r="B31" s="13" t="n"/>
      <c r="C31" s="13" t="n"/>
      <c r="D31" s="13" t="n"/>
      <c r="E31" s="13" t="n"/>
      <c r="F31" s="13" t="n"/>
      <c r="G31" s="13" t="n"/>
      <c r="H31" s="13" t="n"/>
      <c r="I31" s="13" t="n"/>
      <c r="J31" s="13" t="n"/>
      <c r="K31">
        <f>IF(AND(E31&lt;&gt;"",J31&lt;&gt;""),J31-E31,"")</f>
        <v/>
      </c>
      <c r="L31" s="13" t="n"/>
      <c r="M31" s="13" t="n"/>
      <c r="N31" s="13" t="n"/>
      <c r="O31" s="13" t="n"/>
    </row>
    <row r="32">
      <c r="A32" s="13" t="n"/>
      <c r="B32" s="13" t="n"/>
      <c r="C32" s="13" t="n"/>
      <c r="D32" s="13" t="n"/>
      <c r="E32" s="13" t="n"/>
      <c r="F32" s="13" t="n"/>
      <c r="G32" s="13" t="n"/>
      <c r="H32" s="13" t="n"/>
      <c r="I32" s="13" t="n"/>
      <c r="J32" s="13" t="n"/>
      <c r="K32">
        <f>IF(AND(E32&lt;&gt;"",J32&lt;&gt;""),J32-E32,"")</f>
        <v/>
      </c>
      <c r="L32" s="13" t="n"/>
      <c r="M32" s="13" t="n"/>
      <c r="N32" s="13" t="n"/>
      <c r="O32" s="13" t="n"/>
    </row>
    <row r="33">
      <c r="A33" s="13" t="n"/>
      <c r="B33" s="13" t="n"/>
      <c r="C33" s="13" t="n"/>
      <c r="D33" s="13" t="n"/>
      <c r="E33" s="13" t="n"/>
      <c r="F33" s="13" t="n"/>
      <c r="G33" s="13" t="n"/>
      <c r="H33" s="13" t="n"/>
      <c r="I33" s="13" t="n"/>
      <c r="J33" s="13" t="n"/>
      <c r="K33">
        <f>IF(AND(E33&lt;&gt;"",J33&lt;&gt;""),J33-E33,"")</f>
        <v/>
      </c>
      <c r="L33" s="13" t="n"/>
      <c r="M33" s="13" t="n"/>
      <c r="N33" s="13" t="n"/>
      <c r="O33" s="13" t="n"/>
    </row>
    <row r="34">
      <c r="A34" s="13" t="n"/>
      <c r="B34" s="13" t="n"/>
      <c r="C34" s="13" t="n"/>
      <c r="D34" s="13" t="n"/>
      <c r="E34" s="13" t="n"/>
      <c r="F34" s="13" t="n"/>
      <c r="G34" s="13" t="n"/>
      <c r="H34" s="13" t="n"/>
      <c r="I34" s="13" t="n"/>
      <c r="J34" s="13" t="n"/>
      <c r="K34">
        <f>IF(AND(E34&lt;&gt;"",J34&lt;&gt;""),J34-E34,"")</f>
        <v/>
      </c>
      <c r="L34" s="13" t="n"/>
      <c r="M34" s="13" t="n"/>
      <c r="N34" s="13" t="n"/>
      <c r="O34" s="13" t="n"/>
    </row>
    <row r="35">
      <c r="A35" s="13" t="n"/>
      <c r="B35" s="13" t="n"/>
      <c r="C35" s="13" t="n"/>
      <c r="D35" s="13" t="n"/>
      <c r="E35" s="13" t="n"/>
      <c r="F35" s="13" t="n"/>
      <c r="G35" s="13" t="n"/>
      <c r="H35" s="13" t="n"/>
      <c r="I35" s="13" t="n"/>
      <c r="J35" s="13" t="n"/>
      <c r="K35">
        <f>IF(AND(E35&lt;&gt;"",J35&lt;&gt;""),J35-E35,"")</f>
        <v/>
      </c>
      <c r="L35" s="13" t="n"/>
      <c r="M35" s="13" t="n"/>
      <c r="N35" s="13" t="n"/>
      <c r="O35" s="13" t="n"/>
    </row>
    <row r="36">
      <c r="A36" s="13" t="n"/>
      <c r="B36" s="13" t="n"/>
      <c r="C36" s="13" t="n"/>
      <c r="D36" s="13" t="n"/>
      <c r="E36" s="13" t="n"/>
      <c r="F36" s="13" t="n"/>
      <c r="G36" s="13" t="n"/>
      <c r="H36" s="13" t="n"/>
      <c r="I36" s="13" t="n"/>
      <c r="J36" s="13" t="n"/>
      <c r="K36">
        <f>IF(AND(E36&lt;&gt;"",J36&lt;&gt;""),J36-E36,"")</f>
        <v/>
      </c>
      <c r="L36" s="13" t="n"/>
      <c r="M36" s="13" t="n"/>
      <c r="N36" s="13" t="n"/>
      <c r="O36" s="13" t="n"/>
    </row>
    <row r="37">
      <c r="A37" s="13" t="n"/>
      <c r="B37" s="13" t="n"/>
      <c r="C37" s="13" t="n"/>
      <c r="D37" s="13" t="n"/>
      <c r="E37" s="13" t="n"/>
      <c r="F37" s="13" t="n"/>
      <c r="G37" s="13" t="n"/>
      <c r="H37" s="13" t="n"/>
      <c r="I37" s="13" t="n"/>
      <c r="J37" s="13" t="n"/>
      <c r="K37">
        <f>IF(AND(E37&lt;&gt;"",J37&lt;&gt;""),J37-E37,"")</f>
        <v/>
      </c>
      <c r="L37" s="13" t="n"/>
      <c r="M37" s="13" t="n"/>
      <c r="N37" s="13" t="n"/>
      <c r="O37" s="13" t="n"/>
    </row>
    <row r="40">
      <c r="A40" s="3" t="inlineStr">
        <is>
          <t>ACKNOWLEDGMENT SUMMARY</t>
        </is>
      </c>
    </row>
    <row r="41">
      <c r="A41" t="inlineStr">
        <is>
          <t>Total Owners</t>
        </is>
      </c>
      <c r="B41">
        <f>COUNTA(A4:A7)</f>
        <v/>
      </c>
    </row>
    <row r="42">
      <c r="A42" t="inlineStr">
        <is>
          <t>Attested (On Time + Late)</t>
        </is>
      </c>
      <c r="B42">
        <f>COUNTIFS(L4:L7,"Attested*")</f>
        <v/>
      </c>
    </row>
    <row r="43">
      <c r="A43" t="inlineStr">
        <is>
          <t>Acknowledgment Rate %</t>
        </is>
      </c>
      <c r="B43" s="18">
        <f>IFERROR(B42/B41*100,0)</f>
        <v/>
      </c>
    </row>
    <row r="44">
      <c r="A44" t="inlineStr">
        <is>
          <t>Target</t>
        </is>
      </c>
      <c r="B44" t="inlineStr">
        <is>
          <t>95%</t>
        </is>
      </c>
    </row>
    <row r="45">
      <c r="A45" t="inlineStr">
        <is>
          <t>Gap</t>
        </is>
      </c>
      <c r="B45" s="14">
        <f>B43-95</f>
        <v/>
      </c>
    </row>
    <row r="46">
      <c r="A46" t="inlineStr">
        <is>
          <t>Average Response Time (Days)</t>
        </is>
      </c>
      <c r="B46" s="16">
        <f>IFERROR(AVERAGE(K4:K7),0)</f>
        <v/>
      </c>
    </row>
    <row r="47">
      <c r="A47" t="inlineStr">
        <is>
          <t>Status</t>
        </is>
      </c>
      <c r="B47" s="5">
        <f>IF(B43&gt;=95,"✅ Strong",IF(B43&gt;=90,"⚠️ Needs Improvement","❌ Weak"))</f>
        <v/>
      </c>
    </row>
  </sheetData>
  <mergeCells count="1">
    <mergeCell ref="A1:O1"/>
  </mergeCells>
  <dataValidations count="1">
    <dataValidation sqref="L4:L37" showDropDown="0" showInputMessage="0" showErrorMessage="0" allowBlank="1" type="list">
      <formula1>"Attested - On Time,Attested - Late,Pending,Non-Responsive,Escalated,Exempted"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4"/>
  <sheetViews>
    <sheetView workbookViewId="0">
      <selection activeCell="A1" sqref="A1"/>
    </sheetView>
  </sheetViews>
  <sheetFormatPr baseColWidth="8" defaultRowHeight="15"/>
  <cols>
    <col width="25" customWidth="1" min="1" max="1"/>
    <col width="15" customWidth="1" min="2" max="2"/>
    <col width="22" customWidth="1" min="3" max="3"/>
    <col width="15" customWidth="1" min="4" max="4"/>
    <col width="12" customWidth="1" min="5" max="5"/>
    <col width="12" customWidth="1" min="6" max="6"/>
    <col width="18" customWidth="1" min="7" max="7"/>
    <col width="30" customWidth="1" min="8" max="8"/>
    <col width="18" customWidth="1" min="9" max="9"/>
    <col width="15" customWidth="1" min="10" max="10"/>
    <col width="30" customWidth="1" min="11" max="11"/>
  </cols>
  <sheetData>
    <row r="1">
      <c r="A1" s="11" t="inlineStr">
        <is>
          <t>Owner Awareness - Knowledge of Assets Under Care</t>
        </is>
      </c>
    </row>
    <row r="3">
      <c r="A3" s="12" t="inlineStr">
        <is>
          <t>Owner Name</t>
        </is>
      </c>
      <c r="B3" s="12" t="inlineStr">
        <is>
          <t>Assets Assigned</t>
        </is>
      </c>
      <c r="C3" s="12" t="inlineStr">
        <is>
          <t>Assets Identified by Owner</t>
        </is>
      </c>
      <c r="D3" s="12" t="inlineStr">
        <is>
          <t>Awareness %</t>
        </is>
      </c>
      <c r="E3" s="12" t="inlineStr">
        <is>
          <t>Target %</t>
        </is>
      </c>
      <c r="F3" s="12" t="inlineStr">
        <is>
          <t>Gap</t>
        </is>
      </c>
      <c r="G3" s="12" t="inlineStr">
        <is>
          <t>Status</t>
        </is>
      </c>
      <c r="H3" s="12" t="inlineStr">
        <is>
          <t>Verification Method</t>
        </is>
      </c>
      <c r="I3" s="12" t="inlineStr">
        <is>
          <t>Verification Date</t>
        </is>
      </c>
      <c r="J3" s="12" t="inlineStr">
        <is>
          <t>Evidence ID</t>
        </is>
      </c>
      <c r="K3" s="12" t="inlineStr">
        <is>
          <t>Notes</t>
        </is>
      </c>
    </row>
    <row r="4">
      <c r="A4" t="inlineStr">
        <is>
          <t>John Doe</t>
        </is>
      </c>
      <c r="B4" s="13" t="n"/>
      <c r="C4" s="13" t="n"/>
      <c r="D4" s="14">
        <f>IFERROR(C4/B4*100,0)</f>
        <v/>
      </c>
      <c r="E4" t="inlineStr">
        <is>
          <t>100%</t>
        </is>
      </c>
      <c r="F4" s="14">
        <f>D4-100</f>
        <v/>
      </c>
      <c r="G4" s="15">
        <f>IF(D4=100,"✅ Fully Aware",IF(D4&gt;=95,"⚠️ Mostly Aware","❌ Unaware"))</f>
        <v/>
      </c>
      <c r="H4" s="13" t="n"/>
      <c r="I4" s="13" t="n"/>
      <c r="J4" s="13" t="n"/>
      <c r="K4" s="13" t="n"/>
    </row>
    <row r="5">
      <c r="A5" t="inlineStr">
        <is>
          <t>Jane Smith</t>
        </is>
      </c>
      <c r="B5" s="13" t="n"/>
      <c r="C5" s="13" t="n"/>
      <c r="D5" s="14">
        <f>IFERROR(C5/B5*100,0)</f>
        <v/>
      </c>
      <c r="E5" t="inlineStr">
        <is>
          <t>100%</t>
        </is>
      </c>
      <c r="F5" s="14">
        <f>D5-100</f>
        <v/>
      </c>
      <c r="G5" s="15">
        <f>IF(D5=100,"✅ Fully Aware",IF(D5&gt;=95,"⚠️ Mostly Aware","❌ Unaware"))</f>
        <v/>
      </c>
      <c r="H5" s="13" t="n"/>
      <c r="I5" s="13" t="n"/>
      <c r="J5" s="13" t="n"/>
      <c r="K5" s="13" t="n"/>
    </row>
    <row r="6">
      <c r="A6" t="inlineStr">
        <is>
          <t>Bob Johnson</t>
        </is>
      </c>
      <c r="B6" s="13" t="n"/>
      <c r="C6" s="13" t="n"/>
      <c r="D6" s="14">
        <f>IFERROR(C6/B6*100,0)</f>
        <v/>
      </c>
      <c r="E6" t="inlineStr">
        <is>
          <t>100%</t>
        </is>
      </c>
      <c r="F6" s="14">
        <f>D6-100</f>
        <v/>
      </c>
      <c r="G6" s="15">
        <f>IF(D6=100,"✅ Fully Aware",IF(D6&gt;=95,"⚠️ Mostly Aware","❌ Unaware"))</f>
        <v/>
      </c>
      <c r="H6" s="13" t="n"/>
      <c r="I6" s="13" t="n"/>
      <c r="J6" s="13" t="n"/>
      <c r="K6" s="13" t="n"/>
    </row>
    <row r="7">
      <c r="A7" t="inlineStr">
        <is>
          <t>Alice Williams</t>
        </is>
      </c>
      <c r="B7" s="13" t="n"/>
      <c r="C7" s="13" t="n"/>
      <c r="D7" s="14">
        <f>IFERROR(C7/B7*100,0)</f>
        <v/>
      </c>
      <c r="E7" t="inlineStr">
        <is>
          <t>100%</t>
        </is>
      </c>
      <c r="F7" s="14">
        <f>D7-100</f>
        <v/>
      </c>
      <c r="G7" s="15">
        <f>IF(D7=100,"✅ Fully Aware",IF(D7&gt;=95,"⚠️ Mostly Aware","❌ Unaware"))</f>
        <v/>
      </c>
      <c r="H7" s="13" t="n"/>
      <c r="I7" s="13" t="n"/>
      <c r="J7" s="13" t="n"/>
      <c r="K7" s="13" t="n"/>
    </row>
    <row r="8">
      <c r="A8" s="13" t="n"/>
      <c r="B8" s="13" t="n"/>
      <c r="C8" s="13" t="n"/>
      <c r="D8" s="14">
        <f>IFERROR(C8/B8*100,0)</f>
        <v/>
      </c>
      <c r="E8" t="inlineStr">
        <is>
          <t>100%</t>
        </is>
      </c>
      <c r="F8" s="14">
        <f>D8-100</f>
        <v/>
      </c>
      <c r="G8">
        <f>IF(D8=100,"✅ Fully Aware",IF(D8&gt;=95,"⚠️ Mostly Aware","❌ Unaware"))</f>
        <v/>
      </c>
      <c r="H8" s="13" t="n"/>
      <c r="I8" s="13" t="n"/>
      <c r="J8" s="13" t="n"/>
      <c r="K8" s="13" t="n"/>
    </row>
    <row r="9">
      <c r="A9" s="13" t="n"/>
      <c r="B9" s="13" t="n"/>
      <c r="C9" s="13" t="n"/>
      <c r="D9" s="14">
        <f>IFERROR(C9/B9*100,0)</f>
        <v/>
      </c>
      <c r="E9" t="inlineStr">
        <is>
          <t>100%</t>
        </is>
      </c>
      <c r="F9" s="14">
        <f>D9-100</f>
        <v/>
      </c>
      <c r="G9">
        <f>IF(D9=100,"✅ Fully Aware",IF(D9&gt;=95,"⚠️ Mostly Aware","❌ Unaware"))</f>
        <v/>
      </c>
      <c r="H9" s="13" t="n"/>
      <c r="I9" s="13" t="n"/>
      <c r="J9" s="13" t="n"/>
      <c r="K9" s="13" t="n"/>
    </row>
    <row r="10">
      <c r="A10" s="13" t="n"/>
      <c r="B10" s="13" t="n"/>
      <c r="C10" s="13" t="n"/>
      <c r="D10" s="14">
        <f>IFERROR(C10/B10*100,0)</f>
        <v/>
      </c>
      <c r="E10" t="inlineStr">
        <is>
          <t>100%</t>
        </is>
      </c>
      <c r="F10" s="14">
        <f>D10-100</f>
        <v/>
      </c>
      <c r="G10">
        <f>IF(D10=100,"✅ Fully Aware",IF(D10&gt;=95,"⚠️ Mostly Aware","❌ Unaware"))</f>
        <v/>
      </c>
      <c r="H10" s="13" t="n"/>
      <c r="I10" s="13" t="n"/>
      <c r="J10" s="13" t="n"/>
      <c r="K10" s="13" t="n"/>
    </row>
    <row r="11">
      <c r="A11" s="13" t="n"/>
      <c r="B11" s="13" t="n"/>
      <c r="C11" s="13" t="n"/>
      <c r="D11" s="14">
        <f>IFERROR(C11/B11*100,0)</f>
        <v/>
      </c>
      <c r="E11" t="inlineStr">
        <is>
          <t>100%</t>
        </is>
      </c>
      <c r="F11" s="14">
        <f>D11-100</f>
        <v/>
      </c>
      <c r="G11">
        <f>IF(D11=100,"✅ Fully Aware",IF(D11&gt;=95,"⚠️ Mostly Aware","❌ Unaware"))</f>
        <v/>
      </c>
      <c r="H11" s="13" t="n"/>
      <c r="I11" s="13" t="n"/>
      <c r="J11" s="13" t="n"/>
      <c r="K11" s="13" t="n"/>
    </row>
    <row r="12">
      <c r="A12" s="13" t="n"/>
      <c r="B12" s="13" t="n"/>
      <c r="C12" s="13" t="n"/>
      <c r="D12" s="14">
        <f>IFERROR(C12/B12*100,0)</f>
        <v/>
      </c>
      <c r="E12" t="inlineStr">
        <is>
          <t>100%</t>
        </is>
      </c>
      <c r="F12" s="14">
        <f>D12-100</f>
        <v/>
      </c>
      <c r="G12">
        <f>IF(D12=100,"✅ Fully Aware",IF(D12&gt;=95,"⚠️ Mostly Aware","❌ Unaware"))</f>
        <v/>
      </c>
      <c r="H12" s="13" t="n"/>
      <c r="I12" s="13" t="n"/>
      <c r="J12" s="13" t="n"/>
      <c r="K12" s="13" t="n"/>
    </row>
    <row r="13">
      <c r="A13" s="13" t="n"/>
      <c r="B13" s="13" t="n"/>
      <c r="C13" s="13" t="n"/>
      <c r="D13" s="14">
        <f>IFERROR(C13/B13*100,0)</f>
        <v/>
      </c>
      <c r="E13" t="inlineStr">
        <is>
          <t>100%</t>
        </is>
      </c>
      <c r="F13" s="14">
        <f>D13-100</f>
        <v/>
      </c>
      <c r="G13">
        <f>IF(D13=100,"✅ Fully Aware",IF(D13&gt;=95,"⚠️ Mostly Aware","❌ Unaware"))</f>
        <v/>
      </c>
      <c r="H13" s="13" t="n"/>
      <c r="I13" s="13" t="n"/>
      <c r="J13" s="13" t="n"/>
      <c r="K13" s="13" t="n"/>
    </row>
    <row r="14">
      <c r="A14" s="13" t="n"/>
      <c r="B14" s="13" t="n"/>
      <c r="C14" s="13" t="n"/>
      <c r="D14" s="14">
        <f>IFERROR(C14/B14*100,0)</f>
        <v/>
      </c>
      <c r="E14" t="inlineStr">
        <is>
          <t>100%</t>
        </is>
      </c>
      <c r="F14" s="14">
        <f>D14-100</f>
        <v/>
      </c>
      <c r="G14">
        <f>IF(D14=100,"✅ Fully Aware",IF(D14&gt;=95,"⚠️ Mostly Aware","❌ Unaware"))</f>
        <v/>
      </c>
      <c r="H14" s="13" t="n"/>
      <c r="I14" s="13" t="n"/>
      <c r="J14" s="13" t="n"/>
      <c r="K14" s="13" t="n"/>
    </row>
    <row r="15">
      <c r="A15" s="13" t="n"/>
      <c r="B15" s="13" t="n"/>
      <c r="C15" s="13" t="n"/>
      <c r="D15" s="14">
        <f>IFERROR(C15/B15*100,0)</f>
        <v/>
      </c>
      <c r="E15" t="inlineStr">
        <is>
          <t>100%</t>
        </is>
      </c>
      <c r="F15" s="14">
        <f>D15-100</f>
        <v/>
      </c>
      <c r="G15">
        <f>IF(D15=100,"✅ Fully Aware",IF(D15&gt;=95,"⚠️ Mostly Aware","❌ Unaware"))</f>
        <v/>
      </c>
      <c r="H15" s="13" t="n"/>
      <c r="I15" s="13" t="n"/>
      <c r="J15" s="13" t="n"/>
      <c r="K15" s="13" t="n"/>
    </row>
    <row r="16">
      <c r="A16" s="13" t="n"/>
      <c r="B16" s="13" t="n"/>
      <c r="C16" s="13" t="n"/>
      <c r="D16" s="14">
        <f>IFERROR(C16/B16*100,0)</f>
        <v/>
      </c>
      <c r="E16" t="inlineStr">
        <is>
          <t>100%</t>
        </is>
      </c>
      <c r="F16" s="14">
        <f>D16-100</f>
        <v/>
      </c>
      <c r="G16">
        <f>IF(D16=100,"✅ Fully Aware",IF(D16&gt;=95,"⚠️ Mostly Aware","❌ Unaware"))</f>
        <v/>
      </c>
      <c r="H16" s="13" t="n"/>
      <c r="I16" s="13" t="n"/>
      <c r="J16" s="13" t="n"/>
      <c r="K16" s="13" t="n"/>
    </row>
    <row r="17">
      <c r="A17" s="13" t="n"/>
      <c r="B17" s="13" t="n"/>
      <c r="C17" s="13" t="n"/>
      <c r="D17" s="14">
        <f>IFERROR(C17/B17*100,0)</f>
        <v/>
      </c>
      <c r="E17" t="inlineStr">
        <is>
          <t>100%</t>
        </is>
      </c>
      <c r="F17" s="14">
        <f>D17-100</f>
        <v/>
      </c>
      <c r="G17">
        <f>IF(D17=100,"✅ Fully Aware",IF(D17&gt;=95,"⚠️ Mostly Aware","❌ Unaware"))</f>
        <v/>
      </c>
      <c r="H17" s="13" t="n"/>
      <c r="I17" s="13" t="n"/>
      <c r="J17" s="13" t="n"/>
      <c r="K17" s="13" t="n"/>
    </row>
    <row r="18">
      <c r="A18" s="13" t="n"/>
      <c r="B18" s="13" t="n"/>
      <c r="C18" s="13" t="n"/>
      <c r="D18" s="14">
        <f>IFERROR(C18/B18*100,0)</f>
        <v/>
      </c>
      <c r="E18" t="inlineStr">
        <is>
          <t>100%</t>
        </is>
      </c>
      <c r="F18" s="14">
        <f>D18-100</f>
        <v/>
      </c>
      <c r="G18">
        <f>IF(D18=100,"✅ Fully Aware",IF(D18&gt;=95,"⚠️ Mostly Aware","❌ Unaware"))</f>
        <v/>
      </c>
      <c r="H18" s="13" t="n"/>
      <c r="I18" s="13" t="n"/>
      <c r="J18" s="13" t="n"/>
      <c r="K18" s="13" t="n"/>
    </row>
    <row r="19">
      <c r="A19" s="13" t="n"/>
      <c r="B19" s="13" t="n"/>
      <c r="C19" s="13" t="n"/>
      <c r="D19" s="14">
        <f>IFERROR(C19/B19*100,0)</f>
        <v/>
      </c>
      <c r="E19" t="inlineStr">
        <is>
          <t>100%</t>
        </is>
      </c>
      <c r="F19" s="14">
        <f>D19-100</f>
        <v/>
      </c>
      <c r="G19">
        <f>IF(D19=100,"✅ Fully Aware",IF(D19&gt;=95,"⚠️ Mostly Aware","❌ Unaware"))</f>
        <v/>
      </c>
      <c r="H19" s="13" t="n"/>
      <c r="I19" s="13" t="n"/>
      <c r="J19" s="13" t="n"/>
      <c r="K19" s="13" t="n"/>
    </row>
    <row r="20">
      <c r="A20" s="13" t="n"/>
      <c r="B20" s="13" t="n"/>
      <c r="C20" s="13" t="n"/>
      <c r="D20" s="14">
        <f>IFERROR(C20/B20*100,0)</f>
        <v/>
      </c>
      <c r="E20" t="inlineStr">
        <is>
          <t>100%</t>
        </is>
      </c>
      <c r="F20" s="14">
        <f>D20-100</f>
        <v/>
      </c>
      <c r="G20">
        <f>IF(D20=100,"✅ Fully Aware",IF(D20&gt;=95,"⚠️ Mostly Aware","❌ Unaware"))</f>
        <v/>
      </c>
      <c r="H20" s="13" t="n"/>
      <c r="I20" s="13" t="n"/>
      <c r="J20" s="13" t="n"/>
      <c r="K20" s="13" t="n"/>
    </row>
    <row r="21">
      <c r="A21" s="13" t="n"/>
      <c r="B21" s="13" t="n"/>
      <c r="C21" s="13" t="n"/>
      <c r="D21" s="14">
        <f>IFERROR(C21/B21*100,0)</f>
        <v/>
      </c>
      <c r="E21" t="inlineStr">
        <is>
          <t>100%</t>
        </is>
      </c>
      <c r="F21" s="14">
        <f>D21-100</f>
        <v/>
      </c>
      <c r="G21">
        <f>IF(D21=100,"✅ Fully Aware",IF(D21&gt;=95,"⚠️ Mostly Aware","❌ Unaware"))</f>
        <v/>
      </c>
      <c r="H21" s="13" t="n"/>
      <c r="I21" s="13" t="n"/>
      <c r="J21" s="13" t="n"/>
      <c r="K21" s="13" t="n"/>
    </row>
    <row r="22">
      <c r="A22" s="13" t="n"/>
      <c r="B22" s="13" t="n"/>
      <c r="C22" s="13" t="n"/>
      <c r="D22" s="14">
        <f>IFERROR(C22/B22*100,0)</f>
        <v/>
      </c>
      <c r="E22" t="inlineStr">
        <is>
          <t>100%</t>
        </is>
      </c>
      <c r="F22" s="14">
        <f>D22-100</f>
        <v/>
      </c>
      <c r="G22">
        <f>IF(D22=100,"✅ Fully Aware",IF(D22&gt;=95,"⚠️ Mostly Aware","❌ Unaware"))</f>
        <v/>
      </c>
      <c r="H22" s="13" t="n"/>
      <c r="I22" s="13" t="n"/>
      <c r="J22" s="13" t="n"/>
      <c r="K22" s="13" t="n"/>
    </row>
    <row r="23">
      <c r="A23" s="13" t="n"/>
      <c r="B23" s="13" t="n"/>
      <c r="C23" s="13" t="n"/>
      <c r="D23" s="14">
        <f>IFERROR(C23/B23*100,0)</f>
        <v/>
      </c>
      <c r="E23" t="inlineStr">
        <is>
          <t>100%</t>
        </is>
      </c>
      <c r="F23" s="14">
        <f>D23-100</f>
        <v/>
      </c>
      <c r="G23">
        <f>IF(D23=100,"✅ Fully Aware",IF(D23&gt;=95,"⚠️ Mostly Aware","❌ Unaware"))</f>
        <v/>
      </c>
      <c r="H23" s="13" t="n"/>
      <c r="I23" s="13" t="n"/>
      <c r="J23" s="13" t="n"/>
      <c r="K23" s="13" t="n"/>
    </row>
    <row r="24">
      <c r="A24" s="13" t="n"/>
      <c r="B24" s="13" t="n"/>
      <c r="C24" s="13" t="n"/>
      <c r="D24" s="14">
        <f>IFERROR(C24/B24*100,0)</f>
        <v/>
      </c>
      <c r="E24" t="inlineStr">
        <is>
          <t>100%</t>
        </is>
      </c>
      <c r="F24" s="14">
        <f>D24-100</f>
        <v/>
      </c>
      <c r="G24">
        <f>IF(D24=100,"✅ Fully Aware",IF(D24&gt;=95,"⚠️ Mostly Aware","❌ Unaware"))</f>
        <v/>
      </c>
      <c r="H24" s="13" t="n"/>
      <c r="I24" s="13" t="n"/>
      <c r="J24" s="13" t="n"/>
      <c r="K24" s="13" t="n"/>
    </row>
    <row r="25">
      <c r="A25" s="13" t="n"/>
      <c r="B25" s="13" t="n"/>
      <c r="C25" s="13" t="n"/>
      <c r="D25" s="14">
        <f>IFERROR(C25/B25*100,0)</f>
        <v/>
      </c>
      <c r="E25" t="inlineStr">
        <is>
          <t>100%</t>
        </is>
      </c>
      <c r="F25" s="14">
        <f>D25-100</f>
        <v/>
      </c>
      <c r="G25">
        <f>IF(D25=100,"✅ Fully Aware",IF(D25&gt;=95,"⚠️ Mostly Aware","❌ Unaware"))</f>
        <v/>
      </c>
      <c r="H25" s="13" t="n"/>
      <c r="I25" s="13" t="n"/>
      <c r="J25" s="13" t="n"/>
      <c r="K25" s="13" t="n"/>
    </row>
    <row r="26">
      <c r="A26" s="13" t="n"/>
      <c r="B26" s="13" t="n"/>
      <c r="C26" s="13" t="n"/>
      <c r="D26" s="14">
        <f>IFERROR(C26/B26*100,0)</f>
        <v/>
      </c>
      <c r="E26" t="inlineStr">
        <is>
          <t>100%</t>
        </is>
      </c>
      <c r="F26" s="14">
        <f>D26-100</f>
        <v/>
      </c>
      <c r="G26">
        <f>IF(D26=100,"✅ Fully Aware",IF(D26&gt;=95,"⚠️ Mostly Aware","❌ Unaware"))</f>
        <v/>
      </c>
      <c r="H26" s="13" t="n"/>
      <c r="I26" s="13" t="n"/>
      <c r="J26" s="13" t="n"/>
      <c r="K26" s="13" t="n"/>
    </row>
    <row r="27">
      <c r="A27" s="13" t="n"/>
      <c r="B27" s="13" t="n"/>
      <c r="C27" s="13" t="n"/>
      <c r="D27" s="14">
        <f>IFERROR(C27/B27*100,0)</f>
        <v/>
      </c>
      <c r="E27" t="inlineStr">
        <is>
          <t>100%</t>
        </is>
      </c>
      <c r="F27" s="14">
        <f>D27-100</f>
        <v/>
      </c>
      <c r="G27">
        <f>IF(D27=100,"✅ Fully Aware",IF(D27&gt;=95,"⚠️ Mostly Aware","❌ Unaware"))</f>
        <v/>
      </c>
      <c r="H27" s="13" t="n"/>
      <c r="I27" s="13" t="n"/>
      <c r="J27" s="13" t="n"/>
      <c r="K27" s="13" t="n"/>
    </row>
    <row r="28">
      <c r="A28" s="13" t="n"/>
      <c r="B28" s="13" t="n"/>
      <c r="C28" s="13" t="n"/>
      <c r="D28" s="14">
        <f>IFERROR(C28/B28*100,0)</f>
        <v/>
      </c>
      <c r="E28" t="inlineStr">
        <is>
          <t>100%</t>
        </is>
      </c>
      <c r="F28" s="14">
        <f>D28-100</f>
        <v/>
      </c>
      <c r="G28">
        <f>IF(D28=100,"✅ Fully Aware",IF(D28&gt;=95,"⚠️ Mostly Aware","❌ Unaware"))</f>
        <v/>
      </c>
      <c r="H28" s="13" t="n"/>
      <c r="I28" s="13" t="n"/>
      <c r="J28" s="13" t="n"/>
      <c r="K28" s="13" t="n"/>
    </row>
    <row r="29">
      <c r="A29" s="13" t="n"/>
      <c r="B29" s="13" t="n"/>
      <c r="C29" s="13" t="n"/>
      <c r="D29" s="14">
        <f>IFERROR(C29/B29*100,0)</f>
        <v/>
      </c>
      <c r="E29" t="inlineStr">
        <is>
          <t>100%</t>
        </is>
      </c>
      <c r="F29" s="14">
        <f>D29-100</f>
        <v/>
      </c>
      <c r="G29">
        <f>IF(D29=100,"✅ Fully Aware",IF(D29&gt;=95,"⚠️ Mostly Aware","❌ Unaware"))</f>
        <v/>
      </c>
      <c r="H29" s="13" t="n"/>
      <c r="I29" s="13" t="n"/>
      <c r="J29" s="13" t="n"/>
      <c r="K29" s="13" t="n"/>
    </row>
    <row r="30">
      <c r="A30" s="13" t="n"/>
      <c r="B30" s="13" t="n"/>
      <c r="C30" s="13" t="n"/>
      <c r="D30" s="14">
        <f>IFERROR(C30/B30*100,0)</f>
        <v/>
      </c>
      <c r="E30" t="inlineStr">
        <is>
          <t>100%</t>
        </is>
      </c>
      <c r="F30" s="14">
        <f>D30-100</f>
        <v/>
      </c>
      <c r="G30">
        <f>IF(D30=100,"✅ Fully Aware",IF(D30&gt;=95,"⚠️ Mostly Aware","❌ Unaware"))</f>
        <v/>
      </c>
      <c r="H30" s="13" t="n"/>
      <c r="I30" s="13" t="n"/>
      <c r="J30" s="13" t="n"/>
      <c r="K30" s="13" t="n"/>
    </row>
    <row r="31">
      <c r="A31" s="13" t="n"/>
      <c r="B31" s="13" t="n"/>
      <c r="C31" s="13" t="n"/>
      <c r="D31" s="14">
        <f>IFERROR(C31/B31*100,0)</f>
        <v/>
      </c>
      <c r="E31" t="inlineStr">
        <is>
          <t>100%</t>
        </is>
      </c>
      <c r="F31" s="14">
        <f>D31-100</f>
        <v/>
      </c>
      <c r="G31">
        <f>IF(D31=100,"✅ Fully Aware",IF(D31&gt;=95,"⚠️ Mostly Aware","❌ Unaware"))</f>
        <v/>
      </c>
      <c r="H31" s="13" t="n"/>
      <c r="I31" s="13" t="n"/>
      <c r="J31" s="13" t="n"/>
      <c r="K31" s="13" t="n"/>
    </row>
    <row r="32">
      <c r="A32" s="13" t="n"/>
      <c r="B32" s="13" t="n"/>
      <c r="C32" s="13" t="n"/>
      <c r="D32" s="14">
        <f>IFERROR(C32/B32*100,0)</f>
        <v/>
      </c>
      <c r="E32" t="inlineStr">
        <is>
          <t>100%</t>
        </is>
      </c>
      <c r="F32" s="14">
        <f>D32-100</f>
        <v/>
      </c>
      <c r="G32">
        <f>IF(D32=100,"✅ Fully Aware",IF(D32&gt;=95,"⚠️ Mostly Aware","❌ Unaware"))</f>
        <v/>
      </c>
      <c r="H32" s="13" t="n"/>
      <c r="I32" s="13" t="n"/>
      <c r="J32" s="13" t="n"/>
      <c r="K32" s="13" t="n"/>
    </row>
    <row r="33">
      <c r="A33" s="13" t="n"/>
      <c r="B33" s="13" t="n"/>
      <c r="C33" s="13" t="n"/>
      <c r="D33" s="14">
        <f>IFERROR(C33/B33*100,0)</f>
        <v/>
      </c>
      <c r="E33" t="inlineStr">
        <is>
          <t>100%</t>
        </is>
      </c>
      <c r="F33" s="14">
        <f>D33-100</f>
        <v/>
      </c>
      <c r="G33">
        <f>IF(D33=100,"✅ Fully Aware",IF(D33&gt;=95,"⚠️ Mostly Aware","❌ Unaware"))</f>
        <v/>
      </c>
      <c r="H33" s="13" t="n"/>
      <c r="I33" s="13" t="n"/>
      <c r="J33" s="13" t="n"/>
      <c r="K33" s="13" t="n"/>
    </row>
    <row r="34">
      <c r="A34" s="13" t="n"/>
      <c r="B34" s="13" t="n"/>
      <c r="C34" s="13" t="n"/>
      <c r="D34" s="14">
        <f>IFERROR(C34/B34*100,0)</f>
        <v/>
      </c>
      <c r="E34" t="inlineStr">
        <is>
          <t>100%</t>
        </is>
      </c>
      <c r="F34" s="14">
        <f>D34-100</f>
        <v/>
      </c>
      <c r="G34">
        <f>IF(D34=100,"✅ Fully Aware",IF(D34&gt;=95,"⚠️ Mostly Aware","❌ Unaware"))</f>
        <v/>
      </c>
      <c r="H34" s="13" t="n"/>
      <c r="I34" s="13" t="n"/>
      <c r="J34" s="13" t="n"/>
      <c r="K34" s="13" t="n"/>
    </row>
    <row r="35">
      <c r="A35" s="13" t="n"/>
      <c r="B35" s="13" t="n"/>
      <c r="C35" s="13" t="n"/>
      <c r="D35" s="14">
        <f>IFERROR(C35/B35*100,0)</f>
        <v/>
      </c>
      <c r="E35" t="inlineStr">
        <is>
          <t>100%</t>
        </is>
      </c>
      <c r="F35" s="14">
        <f>D35-100</f>
        <v/>
      </c>
      <c r="G35">
        <f>IF(D35=100,"✅ Fully Aware",IF(D35&gt;=95,"⚠️ Mostly Aware","❌ Unaware"))</f>
        <v/>
      </c>
      <c r="H35" s="13" t="n"/>
      <c r="I35" s="13" t="n"/>
      <c r="J35" s="13" t="n"/>
      <c r="K35" s="13" t="n"/>
    </row>
    <row r="36">
      <c r="A36" s="13" t="n"/>
      <c r="B36" s="13" t="n"/>
      <c r="C36" s="13" t="n"/>
      <c r="D36" s="14">
        <f>IFERROR(C36/B36*100,0)</f>
        <v/>
      </c>
      <c r="E36" t="inlineStr">
        <is>
          <t>100%</t>
        </is>
      </c>
      <c r="F36" s="14">
        <f>D36-100</f>
        <v/>
      </c>
      <c r="G36">
        <f>IF(D36=100,"✅ Fully Aware",IF(D36&gt;=95,"⚠️ Mostly Aware","❌ Unaware"))</f>
        <v/>
      </c>
      <c r="H36" s="13" t="n"/>
      <c r="I36" s="13" t="n"/>
      <c r="J36" s="13" t="n"/>
      <c r="K36" s="13" t="n"/>
    </row>
    <row r="37">
      <c r="A37" s="13" t="n"/>
      <c r="B37" s="13" t="n"/>
      <c r="C37" s="13" t="n"/>
      <c r="D37" s="14">
        <f>IFERROR(C37/B37*100,0)</f>
        <v/>
      </c>
      <c r="E37" t="inlineStr">
        <is>
          <t>100%</t>
        </is>
      </c>
      <c r="F37" s="14">
        <f>D37-100</f>
        <v/>
      </c>
      <c r="G37">
        <f>IF(D37=100,"✅ Fully Aware",IF(D37&gt;=95,"⚠️ Mostly Aware","❌ Unaware"))</f>
        <v/>
      </c>
      <c r="H37" s="13" t="n"/>
      <c r="I37" s="13" t="n"/>
      <c r="J37" s="13" t="n"/>
      <c r="K37" s="13" t="n"/>
    </row>
    <row r="40">
      <c r="A40" s="3" t="inlineStr">
        <is>
          <t>AWARENESS SUMMARY</t>
        </is>
      </c>
    </row>
    <row r="41">
      <c r="A41" t="inlineStr">
        <is>
          <t>Average Awareness %</t>
        </is>
      </c>
      <c r="B41" s="18">
        <f>IFERROR(AVERAGE(D4:D7),0)</f>
        <v/>
      </c>
    </row>
    <row r="42">
      <c r="A42" t="inlineStr">
        <is>
          <t>Target</t>
        </is>
      </c>
      <c r="B42" s="17" t="inlineStr">
        <is>
          <t>100%</t>
        </is>
      </c>
    </row>
    <row r="43">
      <c r="A43" t="inlineStr">
        <is>
          <t>Gap</t>
        </is>
      </c>
      <c r="B43" s="14">
        <f>B41-100</f>
        <v/>
      </c>
    </row>
    <row r="44">
      <c r="A44" t="inlineStr">
        <is>
          <t>Status</t>
        </is>
      </c>
      <c r="B44" s="5">
        <f>IF(B41=100,"✅ Strong",IF(B41&gt;=95,"⚠️ Needs Improvement","❌ Weak"))</f>
        <v/>
      </c>
    </row>
  </sheetData>
  <mergeCells count="1">
    <mergeCell ref="A1:K1"/>
  </mergeCells>
  <conditionalFormatting sqref="D4:D7">
    <cfRule type="cellIs" priority="1" operator="equal" dxfId="0">
      <formula>100</formula>
    </cfRule>
    <cfRule type="cellIs" priority="2" operator="between" dxfId="1">
      <formula>95</formula>
      <formula>99</formula>
    </cfRule>
    <cfRule type="cellIs" priority="3" operator="lessThan" dxfId="2">
      <formula>95</formula>
    </cfRule>
  </conditionalFormatting>
  <dataValidations count="1">
    <dataValidation sqref="H4:H37" showDropDown="0" showInputMessage="0" showErrorMessage="0" allowBlank="1" type="list">
      <formula1>"Interview - Owner Listed Assets,Survey - Owner Confirmed Assets,Audit - Cross-checked vs Inventory,Self-Assessment,Other (Specify)"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4"/>
  <sheetViews>
    <sheetView workbookViewId="0">
      <selection activeCell="A1" sqref="A1"/>
    </sheetView>
  </sheetViews>
  <sheetFormatPr baseColWidth="8" defaultRowHeight="15"/>
  <cols>
    <col width="25" customWidth="1" min="1" max="1"/>
    <col width="15" customWidth="1" min="2" max="2"/>
    <col width="15" customWidth="1" min="3" max="3"/>
    <col width="18" customWidth="1" min="4" max="4"/>
    <col width="18" customWidth="1" min="5" max="5"/>
    <col width="22" customWidth="1" min="6" max="6"/>
    <col width="20" customWidth="1" min="7" max="7"/>
    <col width="18" customWidth="1" min="8" max="8"/>
    <col width="18" customWidth="1" min="9" max="9"/>
    <col width="12" customWidth="1" min="10" max="10"/>
    <col width="18" customWidth="1" min="11" max="11"/>
    <col width="15" customWidth="1" min="12" max="12"/>
    <col width="30" customWidth="1" min="13" max="13"/>
  </cols>
  <sheetData>
    <row r="1">
      <c r="A1" s="11" t="inlineStr">
        <is>
          <t>Owner Performance - Active Performance of Ownership Duties</t>
        </is>
      </c>
    </row>
    <row r="3">
      <c r="A3" s="12" t="inlineStr">
        <is>
          <t>Owner Name</t>
        </is>
      </c>
      <c r="B3" s="12" t="inlineStr">
        <is>
          <t>Assets Count</t>
        </is>
      </c>
      <c r="C3" s="12" t="inlineStr">
        <is>
          <t>Reviews Due</t>
        </is>
      </c>
      <c r="D3" s="12" t="inlineStr">
        <is>
          <t>Reviews Completed</t>
        </is>
      </c>
      <c r="E3" s="12" t="inlineStr">
        <is>
          <t>Review Compliance %</t>
        </is>
      </c>
      <c r="F3" s="12" t="inlineStr">
        <is>
          <t>Avg Response Time (Days)</t>
        </is>
      </c>
      <c r="G3" s="12" t="inlineStr">
        <is>
          <t>Target Response (Days)</t>
        </is>
      </c>
      <c r="H3" s="12" t="inlineStr">
        <is>
          <t>Responsiveness %</t>
        </is>
      </c>
      <c r="I3" s="12" t="inlineStr">
        <is>
          <t>Performance Score</t>
        </is>
      </c>
      <c r="J3" s="12" t="inlineStr">
        <is>
          <t>Target</t>
        </is>
      </c>
      <c r="K3" s="12" t="inlineStr">
        <is>
          <t>Status</t>
        </is>
      </c>
      <c r="L3" s="12" t="inlineStr">
        <is>
          <t>Evidence ID</t>
        </is>
      </c>
      <c r="M3" s="12" t="inlineStr">
        <is>
          <t>Notes</t>
        </is>
      </c>
    </row>
    <row r="4">
      <c r="A4" t="inlineStr">
        <is>
          <t>John Doe</t>
        </is>
      </c>
      <c r="B4" t="n">
        <v>15</v>
      </c>
      <c r="C4" s="13" t="n"/>
      <c r="D4" s="13" t="n"/>
      <c r="E4" s="14">
        <f>IFERROR(D4/C4*100,0)</f>
        <v/>
      </c>
      <c r="F4" s="13" t="n"/>
      <c r="G4" t="n">
        <v>3</v>
      </c>
      <c r="H4" s="14">
        <f>IF(F4="","",MAX(0,100-((F4-G4)/G4*100)))</f>
        <v/>
      </c>
      <c r="I4" s="20">
        <f>IF(OR(E4="",H4=""),"",(E4*0.6)+(H4*0.4))</f>
        <v/>
      </c>
      <c r="J4" t="inlineStr">
        <is>
          <t>80%</t>
        </is>
      </c>
      <c r="K4" s="15">
        <f>IF(I4="","",IF(I4&gt;=80,"✅ Strong",IF(I4&gt;=75,"⚠️ Needs Improvement","❌ Weak")))</f>
        <v/>
      </c>
      <c r="L4" s="13" t="n"/>
      <c r="M4" s="13" t="n"/>
    </row>
    <row r="5">
      <c r="A5" t="inlineStr">
        <is>
          <t>Jane Smith</t>
        </is>
      </c>
      <c r="B5" t="n">
        <v>42</v>
      </c>
      <c r="C5" s="13" t="n"/>
      <c r="D5" s="13" t="n"/>
      <c r="E5" s="14">
        <f>IFERROR(D5/C5*100,0)</f>
        <v/>
      </c>
      <c r="F5" s="13" t="n"/>
      <c r="G5" t="n">
        <v>3</v>
      </c>
      <c r="H5" s="14">
        <f>IF(F5="","",MAX(0,100-((F5-G5)/G5*100)))</f>
        <v/>
      </c>
      <c r="I5" s="20">
        <f>IF(OR(E5="",H5=""),"",(E5*0.6)+(H5*0.4))</f>
        <v/>
      </c>
      <c r="J5" t="inlineStr">
        <is>
          <t>80%</t>
        </is>
      </c>
      <c r="K5" s="15">
        <f>IF(I5="","",IF(I5&gt;=80,"✅ Strong",IF(I5&gt;=75,"⚠️ Needs Improvement","❌ Weak")))</f>
        <v/>
      </c>
      <c r="L5" s="13" t="n"/>
      <c r="M5" s="13" t="n"/>
    </row>
    <row r="6">
      <c r="A6" t="inlineStr">
        <is>
          <t>Bob Johnson</t>
        </is>
      </c>
      <c r="B6" t="n">
        <v>8</v>
      </c>
      <c r="C6" s="13" t="n"/>
      <c r="D6" s="13" t="n"/>
      <c r="E6" s="14">
        <f>IFERROR(D6/C6*100,0)</f>
        <v/>
      </c>
      <c r="F6" s="13" t="n"/>
      <c r="G6" t="n">
        <v>3</v>
      </c>
      <c r="H6" s="14">
        <f>IF(F6="","",MAX(0,100-((F6-G6)/G6*100)))</f>
        <v/>
      </c>
      <c r="I6" s="20">
        <f>IF(OR(E6="",H6=""),"",(E6*0.6)+(H6*0.4))</f>
        <v/>
      </c>
      <c r="J6" t="inlineStr">
        <is>
          <t>80%</t>
        </is>
      </c>
      <c r="K6" s="15">
        <f>IF(I6="","",IF(I6&gt;=80,"✅ Strong",IF(I6&gt;=75,"⚠️ Needs Improvement","❌ Weak")))</f>
        <v/>
      </c>
      <c r="L6" s="13" t="n"/>
      <c r="M6" s="13" t="n"/>
    </row>
    <row r="7">
      <c r="A7" t="inlineStr">
        <is>
          <t>Alice Williams</t>
        </is>
      </c>
      <c r="B7" t="n">
        <v>5</v>
      </c>
      <c r="C7" s="13" t="n"/>
      <c r="D7" s="13" t="n"/>
      <c r="E7" s="14">
        <f>IFERROR(D7/C7*100,0)</f>
        <v/>
      </c>
      <c r="F7" s="13" t="n"/>
      <c r="G7" t="n">
        <v>3</v>
      </c>
      <c r="H7" s="14">
        <f>IF(F7="","",MAX(0,100-((F7-G7)/G7*100)))</f>
        <v/>
      </c>
      <c r="I7" s="20">
        <f>IF(OR(E7="",H7=""),"",(E7*0.6)+(H7*0.4))</f>
        <v/>
      </c>
      <c r="J7" t="inlineStr">
        <is>
          <t>80%</t>
        </is>
      </c>
      <c r="K7" s="15">
        <f>IF(I7="","",IF(I7&gt;=80,"✅ Strong",IF(I7&gt;=75,"⚠️ Needs Improvement","❌ Weak")))</f>
        <v/>
      </c>
      <c r="L7" s="13" t="n"/>
      <c r="M7" s="13" t="n"/>
    </row>
    <row r="8">
      <c r="A8" s="13" t="n"/>
      <c r="B8" s="13" t="n"/>
      <c r="C8" s="13" t="n"/>
      <c r="D8" s="13" t="n"/>
      <c r="E8" s="14">
        <f>IFERROR(D8/C8*100,0)</f>
        <v/>
      </c>
      <c r="F8" s="13" t="n"/>
      <c r="G8" t="n">
        <v>3</v>
      </c>
      <c r="H8" s="14">
        <f>IF(F8="","",MAX(0,100-((F8-G8)/G8*100)))</f>
        <v/>
      </c>
      <c r="I8" s="14">
        <f>IF(OR(E8="",H8=""),"",(E8*0.6)+(H8*0.4))</f>
        <v/>
      </c>
      <c r="J8" t="inlineStr">
        <is>
          <t>80%</t>
        </is>
      </c>
      <c r="K8">
        <f>IF(I8="","",IF(I8&gt;=80,"✅ Strong",IF(I8&gt;=75,"⚠️ Needs Improvement","❌ Weak")))</f>
        <v/>
      </c>
      <c r="L8" s="13" t="n"/>
      <c r="M8" s="13" t="n"/>
    </row>
    <row r="9">
      <c r="A9" s="13" t="n"/>
      <c r="B9" s="13" t="n"/>
      <c r="C9" s="13" t="n"/>
      <c r="D9" s="13" t="n"/>
      <c r="E9" s="14">
        <f>IFERROR(D9/C9*100,0)</f>
        <v/>
      </c>
      <c r="F9" s="13" t="n"/>
      <c r="G9" t="n">
        <v>3</v>
      </c>
      <c r="H9" s="14">
        <f>IF(F9="","",MAX(0,100-((F9-G9)/G9*100)))</f>
        <v/>
      </c>
      <c r="I9" s="14">
        <f>IF(OR(E9="",H9=""),"",(E9*0.6)+(H9*0.4))</f>
        <v/>
      </c>
      <c r="J9" t="inlineStr">
        <is>
          <t>80%</t>
        </is>
      </c>
      <c r="K9">
        <f>IF(I9="","",IF(I9&gt;=80,"✅ Strong",IF(I9&gt;=75,"⚠️ Needs Improvement","❌ Weak")))</f>
        <v/>
      </c>
      <c r="L9" s="13" t="n"/>
      <c r="M9" s="13" t="n"/>
    </row>
    <row r="10">
      <c r="A10" s="13" t="n"/>
      <c r="B10" s="13" t="n"/>
      <c r="C10" s="13" t="n"/>
      <c r="D10" s="13" t="n"/>
      <c r="E10" s="14">
        <f>IFERROR(D10/C10*100,0)</f>
        <v/>
      </c>
      <c r="F10" s="13" t="n"/>
      <c r="G10" t="n">
        <v>3</v>
      </c>
      <c r="H10" s="14">
        <f>IF(F10="","",MAX(0,100-((F10-G10)/G10*100)))</f>
        <v/>
      </c>
      <c r="I10" s="14">
        <f>IF(OR(E10="",H10=""),"",(E10*0.6)+(H10*0.4))</f>
        <v/>
      </c>
      <c r="J10" t="inlineStr">
        <is>
          <t>80%</t>
        </is>
      </c>
      <c r="K10">
        <f>IF(I10="","",IF(I10&gt;=80,"✅ Strong",IF(I10&gt;=75,"⚠️ Needs Improvement","❌ Weak")))</f>
        <v/>
      </c>
      <c r="L10" s="13" t="n"/>
      <c r="M10" s="13" t="n"/>
    </row>
    <row r="11">
      <c r="A11" s="13" t="n"/>
      <c r="B11" s="13" t="n"/>
      <c r="C11" s="13" t="n"/>
      <c r="D11" s="13" t="n"/>
      <c r="E11" s="14">
        <f>IFERROR(D11/C11*100,0)</f>
        <v/>
      </c>
      <c r="F11" s="13" t="n"/>
      <c r="G11" t="n">
        <v>3</v>
      </c>
      <c r="H11" s="14">
        <f>IF(F11="","",MAX(0,100-((F11-G11)/G11*100)))</f>
        <v/>
      </c>
      <c r="I11" s="14">
        <f>IF(OR(E11="",H11=""),"",(E11*0.6)+(H11*0.4))</f>
        <v/>
      </c>
      <c r="J11" t="inlineStr">
        <is>
          <t>80%</t>
        </is>
      </c>
      <c r="K11">
        <f>IF(I11="","",IF(I11&gt;=80,"✅ Strong",IF(I11&gt;=75,"⚠️ Needs Improvement","❌ Weak")))</f>
        <v/>
      </c>
      <c r="L11" s="13" t="n"/>
      <c r="M11" s="13" t="n"/>
    </row>
    <row r="12">
      <c r="A12" s="13" t="n"/>
      <c r="B12" s="13" t="n"/>
      <c r="C12" s="13" t="n"/>
      <c r="D12" s="13" t="n"/>
      <c r="E12" s="14">
        <f>IFERROR(D12/C12*100,0)</f>
        <v/>
      </c>
      <c r="F12" s="13" t="n"/>
      <c r="G12" t="n">
        <v>3</v>
      </c>
      <c r="H12" s="14">
        <f>IF(F12="","",MAX(0,100-((F12-G12)/G12*100)))</f>
        <v/>
      </c>
      <c r="I12" s="14">
        <f>IF(OR(E12="",H12=""),"",(E12*0.6)+(H12*0.4))</f>
        <v/>
      </c>
      <c r="J12" t="inlineStr">
        <is>
          <t>80%</t>
        </is>
      </c>
      <c r="K12">
        <f>IF(I12="","",IF(I12&gt;=80,"✅ Strong",IF(I12&gt;=75,"⚠️ Needs Improvement","❌ Weak")))</f>
        <v/>
      </c>
      <c r="L12" s="13" t="n"/>
      <c r="M12" s="13" t="n"/>
    </row>
    <row r="13">
      <c r="A13" s="13" t="n"/>
      <c r="B13" s="13" t="n"/>
      <c r="C13" s="13" t="n"/>
      <c r="D13" s="13" t="n"/>
      <c r="E13" s="14">
        <f>IFERROR(D13/C13*100,0)</f>
        <v/>
      </c>
      <c r="F13" s="13" t="n"/>
      <c r="G13" t="n">
        <v>3</v>
      </c>
      <c r="H13" s="14">
        <f>IF(F13="","",MAX(0,100-((F13-G13)/G13*100)))</f>
        <v/>
      </c>
      <c r="I13" s="14">
        <f>IF(OR(E13="",H13=""),"",(E13*0.6)+(H13*0.4))</f>
        <v/>
      </c>
      <c r="J13" t="inlineStr">
        <is>
          <t>80%</t>
        </is>
      </c>
      <c r="K13">
        <f>IF(I13="","",IF(I13&gt;=80,"✅ Strong",IF(I13&gt;=75,"⚠️ Needs Improvement","❌ Weak")))</f>
        <v/>
      </c>
      <c r="L13" s="13" t="n"/>
      <c r="M13" s="13" t="n"/>
    </row>
    <row r="14">
      <c r="A14" s="13" t="n"/>
      <c r="B14" s="13" t="n"/>
      <c r="C14" s="13" t="n"/>
      <c r="D14" s="13" t="n"/>
      <c r="E14" s="14">
        <f>IFERROR(D14/C14*100,0)</f>
        <v/>
      </c>
      <c r="F14" s="13" t="n"/>
      <c r="G14" t="n">
        <v>3</v>
      </c>
      <c r="H14" s="14">
        <f>IF(F14="","",MAX(0,100-((F14-G14)/G14*100)))</f>
        <v/>
      </c>
      <c r="I14" s="14">
        <f>IF(OR(E14="",H14=""),"",(E14*0.6)+(H14*0.4))</f>
        <v/>
      </c>
      <c r="J14" t="inlineStr">
        <is>
          <t>80%</t>
        </is>
      </c>
      <c r="K14">
        <f>IF(I14="","",IF(I14&gt;=80,"✅ Strong",IF(I14&gt;=75,"⚠️ Needs Improvement","❌ Weak")))</f>
        <v/>
      </c>
      <c r="L14" s="13" t="n"/>
      <c r="M14" s="13" t="n"/>
    </row>
    <row r="15">
      <c r="A15" s="13" t="n"/>
      <c r="B15" s="13" t="n"/>
      <c r="C15" s="13" t="n"/>
      <c r="D15" s="13" t="n"/>
      <c r="E15" s="14">
        <f>IFERROR(D15/C15*100,0)</f>
        <v/>
      </c>
      <c r="F15" s="13" t="n"/>
      <c r="G15" t="n">
        <v>3</v>
      </c>
      <c r="H15" s="14">
        <f>IF(F15="","",MAX(0,100-((F15-G15)/G15*100)))</f>
        <v/>
      </c>
      <c r="I15" s="14">
        <f>IF(OR(E15="",H15=""),"",(E15*0.6)+(H15*0.4))</f>
        <v/>
      </c>
      <c r="J15" t="inlineStr">
        <is>
          <t>80%</t>
        </is>
      </c>
      <c r="K15">
        <f>IF(I15="","",IF(I15&gt;=80,"✅ Strong",IF(I15&gt;=75,"⚠️ Needs Improvement","❌ Weak")))</f>
        <v/>
      </c>
      <c r="L15" s="13" t="n"/>
      <c r="M15" s="13" t="n"/>
    </row>
    <row r="16">
      <c r="A16" s="13" t="n"/>
      <c r="B16" s="13" t="n"/>
      <c r="C16" s="13" t="n"/>
      <c r="D16" s="13" t="n"/>
      <c r="E16" s="14">
        <f>IFERROR(D16/C16*100,0)</f>
        <v/>
      </c>
      <c r="F16" s="13" t="n"/>
      <c r="G16" t="n">
        <v>3</v>
      </c>
      <c r="H16" s="14">
        <f>IF(F16="","",MAX(0,100-((F16-G16)/G16*100)))</f>
        <v/>
      </c>
      <c r="I16" s="14">
        <f>IF(OR(E16="",H16=""),"",(E16*0.6)+(H16*0.4))</f>
        <v/>
      </c>
      <c r="J16" t="inlineStr">
        <is>
          <t>80%</t>
        </is>
      </c>
      <c r="K16">
        <f>IF(I16="","",IF(I16&gt;=80,"✅ Strong",IF(I16&gt;=75,"⚠️ Needs Improvement","❌ Weak")))</f>
        <v/>
      </c>
      <c r="L16" s="13" t="n"/>
      <c r="M16" s="13" t="n"/>
    </row>
    <row r="17">
      <c r="A17" s="13" t="n"/>
      <c r="B17" s="13" t="n"/>
      <c r="C17" s="13" t="n"/>
      <c r="D17" s="13" t="n"/>
      <c r="E17" s="14">
        <f>IFERROR(D17/C17*100,0)</f>
        <v/>
      </c>
      <c r="F17" s="13" t="n"/>
      <c r="G17" t="n">
        <v>3</v>
      </c>
      <c r="H17" s="14">
        <f>IF(F17="","",MAX(0,100-((F17-G17)/G17*100)))</f>
        <v/>
      </c>
      <c r="I17" s="14">
        <f>IF(OR(E17="",H17=""),"",(E17*0.6)+(H17*0.4))</f>
        <v/>
      </c>
      <c r="J17" t="inlineStr">
        <is>
          <t>80%</t>
        </is>
      </c>
      <c r="K17">
        <f>IF(I17="","",IF(I17&gt;=80,"✅ Strong",IF(I17&gt;=75,"⚠️ Needs Improvement","❌ Weak")))</f>
        <v/>
      </c>
      <c r="L17" s="13" t="n"/>
      <c r="M17" s="13" t="n"/>
    </row>
    <row r="18">
      <c r="A18" s="13" t="n"/>
      <c r="B18" s="13" t="n"/>
      <c r="C18" s="13" t="n"/>
      <c r="D18" s="13" t="n"/>
      <c r="E18" s="14">
        <f>IFERROR(D18/C18*100,0)</f>
        <v/>
      </c>
      <c r="F18" s="13" t="n"/>
      <c r="G18" t="n">
        <v>3</v>
      </c>
      <c r="H18" s="14">
        <f>IF(F18="","",MAX(0,100-((F18-G18)/G18*100)))</f>
        <v/>
      </c>
      <c r="I18" s="14">
        <f>IF(OR(E18="",H18=""),"",(E18*0.6)+(H18*0.4))</f>
        <v/>
      </c>
      <c r="J18" t="inlineStr">
        <is>
          <t>80%</t>
        </is>
      </c>
      <c r="K18">
        <f>IF(I18="","",IF(I18&gt;=80,"✅ Strong",IF(I18&gt;=75,"⚠️ Needs Improvement","❌ Weak")))</f>
        <v/>
      </c>
      <c r="L18" s="13" t="n"/>
      <c r="M18" s="13" t="n"/>
    </row>
    <row r="19">
      <c r="A19" s="13" t="n"/>
      <c r="B19" s="13" t="n"/>
      <c r="C19" s="13" t="n"/>
      <c r="D19" s="13" t="n"/>
      <c r="E19" s="14">
        <f>IFERROR(D19/C19*100,0)</f>
        <v/>
      </c>
      <c r="F19" s="13" t="n"/>
      <c r="G19" t="n">
        <v>3</v>
      </c>
      <c r="H19" s="14">
        <f>IF(F19="","",MAX(0,100-((F19-G19)/G19*100)))</f>
        <v/>
      </c>
      <c r="I19" s="14">
        <f>IF(OR(E19="",H19=""),"",(E19*0.6)+(H19*0.4))</f>
        <v/>
      </c>
      <c r="J19" t="inlineStr">
        <is>
          <t>80%</t>
        </is>
      </c>
      <c r="K19">
        <f>IF(I19="","",IF(I19&gt;=80,"✅ Strong",IF(I19&gt;=75,"⚠️ Needs Improvement","❌ Weak")))</f>
        <v/>
      </c>
      <c r="L19" s="13" t="n"/>
      <c r="M19" s="13" t="n"/>
    </row>
    <row r="20">
      <c r="A20" s="13" t="n"/>
      <c r="B20" s="13" t="n"/>
      <c r="C20" s="13" t="n"/>
      <c r="D20" s="13" t="n"/>
      <c r="E20" s="14">
        <f>IFERROR(D20/C20*100,0)</f>
        <v/>
      </c>
      <c r="F20" s="13" t="n"/>
      <c r="G20" t="n">
        <v>3</v>
      </c>
      <c r="H20" s="14">
        <f>IF(F20="","",MAX(0,100-((F20-G20)/G20*100)))</f>
        <v/>
      </c>
      <c r="I20" s="14">
        <f>IF(OR(E20="",H20=""),"",(E20*0.6)+(H20*0.4))</f>
        <v/>
      </c>
      <c r="J20" t="inlineStr">
        <is>
          <t>80%</t>
        </is>
      </c>
      <c r="K20">
        <f>IF(I20="","",IF(I20&gt;=80,"✅ Strong",IF(I20&gt;=75,"⚠️ Needs Improvement","❌ Weak")))</f>
        <v/>
      </c>
      <c r="L20" s="13" t="n"/>
      <c r="M20" s="13" t="n"/>
    </row>
    <row r="21">
      <c r="A21" s="13" t="n"/>
      <c r="B21" s="13" t="n"/>
      <c r="C21" s="13" t="n"/>
      <c r="D21" s="13" t="n"/>
      <c r="E21" s="14">
        <f>IFERROR(D21/C21*100,0)</f>
        <v/>
      </c>
      <c r="F21" s="13" t="n"/>
      <c r="G21" t="n">
        <v>3</v>
      </c>
      <c r="H21" s="14">
        <f>IF(F21="","",MAX(0,100-((F21-G21)/G21*100)))</f>
        <v/>
      </c>
      <c r="I21" s="14">
        <f>IF(OR(E21="",H21=""),"",(E21*0.6)+(H21*0.4))</f>
        <v/>
      </c>
      <c r="J21" t="inlineStr">
        <is>
          <t>80%</t>
        </is>
      </c>
      <c r="K21">
        <f>IF(I21="","",IF(I21&gt;=80,"✅ Strong",IF(I21&gt;=75,"⚠️ Needs Improvement","❌ Weak")))</f>
        <v/>
      </c>
      <c r="L21" s="13" t="n"/>
      <c r="M21" s="13" t="n"/>
    </row>
    <row r="22">
      <c r="A22" s="13" t="n"/>
      <c r="B22" s="13" t="n"/>
      <c r="C22" s="13" t="n"/>
      <c r="D22" s="13" t="n"/>
      <c r="E22" s="14">
        <f>IFERROR(D22/C22*100,0)</f>
        <v/>
      </c>
      <c r="F22" s="13" t="n"/>
      <c r="G22" t="n">
        <v>3</v>
      </c>
      <c r="H22" s="14">
        <f>IF(F22="","",MAX(0,100-((F22-G22)/G22*100)))</f>
        <v/>
      </c>
      <c r="I22" s="14">
        <f>IF(OR(E22="",H22=""),"",(E22*0.6)+(H22*0.4))</f>
        <v/>
      </c>
      <c r="J22" t="inlineStr">
        <is>
          <t>80%</t>
        </is>
      </c>
      <c r="K22">
        <f>IF(I22="","",IF(I22&gt;=80,"✅ Strong",IF(I22&gt;=75,"⚠️ Needs Improvement","❌ Weak")))</f>
        <v/>
      </c>
      <c r="L22" s="13" t="n"/>
      <c r="M22" s="13" t="n"/>
    </row>
    <row r="23">
      <c r="A23" s="13" t="n"/>
      <c r="B23" s="13" t="n"/>
      <c r="C23" s="13" t="n"/>
      <c r="D23" s="13" t="n"/>
      <c r="E23" s="14">
        <f>IFERROR(D23/C23*100,0)</f>
        <v/>
      </c>
      <c r="F23" s="13" t="n"/>
      <c r="G23" t="n">
        <v>3</v>
      </c>
      <c r="H23" s="14">
        <f>IF(F23="","",MAX(0,100-((F23-G23)/G23*100)))</f>
        <v/>
      </c>
      <c r="I23" s="14">
        <f>IF(OR(E23="",H23=""),"",(E23*0.6)+(H23*0.4))</f>
        <v/>
      </c>
      <c r="J23" t="inlineStr">
        <is>
          <t>80%</t>
        </is>
      </c>
      <c r="K23">
        <f>IF(I23="","",IF(I23&gt;=80,"✅ Strong",IF(I23&gt;=75,"⚠️ Needs Improvement","❌ Weak")))</f>
        <v/>
      </c>
      <c r="L23" s="13" t="n"/>
      <c r="M23" s="13" t="n"/>
    </row>
    <row r="24">
      <c r="A24" s="13" t="n"/>
      <c r="B24" s="13" t="n"/>
      <c r="C24" s="13" t="n"/>
      <c r="D24" s="13" t="n"/>
      <c r="E24" s="14">
        <f>IFERROR(D24/C24*100,0)</f>
        <v/>
      </c>
      <c r="F24" s="13" t="n"/>
      <c r="G24" t="n">
        <v>3</v>
      </c>
      <c r="H24" s="14">
        <f>IF(F24="","",MAX(0,100-((F24-G24)/G24*100)))</f>
        <v/>
      </c>
      <c r="I24" s="14">
        <f>IF(OR(E24="",H24=""),"",(E24*0.6)+(H24*0.4))</f>
        <v/>
      </c>
      <c r="J24" t="inlineStr">
        <is>
          <t>80%</t>
        </is>
      </c>
      <c r="K24">
        <f>IF(I24="","",IF(I24&gt;=80,"✅ Strong",IF(I24&gt;=75,"⚠️ Needs Improvement","❌ Weak")))</f>
        <v/>
      </c>
      <c r="L24" s="13" t="n"/>
      <c r="M24" s="13" t="n"/>
    </row>
    <row r="25">
      <c r="A25" s="13" t="n"/>
      <c r="B25" s="13" t="n"/>
      <c r="C25" s="13" t="n"/>
      <c r="D25" s="13" t="n"/>
      <c r="E25" s="14">
        <f>IFERROR(D25/C25*100,0)</f>
        <v/>
      </c>
      <c r="F25" s="13" t="n"/>
      <c r="G25" t="n">
        <v>3</v>
      </c>
      <c r="H25" s="14">
        <f>IF(F25="","",MAX(0,100-((F25-G25)/G25*100)))</f>
        <v/>
      </c>
      <c r="I25" s="14">
        <f>IF(OR(E25="",H25=""),"",(E25*0.6)+(H25*0.4))</f>
        <v/>
      </c>
      <c r="J25" t="inlineStr">
        <is>
          <t>80%</t>
        </is>
      </c>
      <c r="K25">
        <f>IF(I25="","",IF(I25&gt;=80,"✅ Strong",IF(I25&gt;=75,"⚠️ Needs Improvement","❌ Weak")))</f>
        <v/>
      </c>
      <c r="L25" s="13" t="n"/>
      <c r="M25" s="13" t="n"/>
    </row>
    <row r="26">
      <c r="A26" s="13" t="n"/>
      <c r="B26" s="13" t="n"/>
      <c r="C26" s="13" t="n"/>
      <c r="D26" s="13" t="n"/>
      <c r="E26" s="14">
        <f>IFERROR(D26/C26*100,0)</f>
        <v/>
      </c>
      <c r="F26" s="13" t="n"/>
      <c r="G26" t="n">
        <v>3</v>
      </c>
      <c r="H26" s="14">
        <f>IF(F26="","",MAX(0,100-((F26-G26)/G26*100)))</f>
        <v/>
      </c>
      <c r="I26" s="14">
        <f>IF(OR(E26="",H26=""),"",(E26*0.6)+(H26*0.4))</f>
        <v/>
      </c>
      <c r="J26" t="inlineStr">
        <is>
          <t>80%</t>
        </is>
      </c>
      <c r="K26">
        <f>IF(I26="","",IF(I26&gt;=80,"✅ Strong",IF(I26&gt;=75,"⚠️ Needs Improvement","❌ Weak")))</f>
        <v/>
      </c>
      <c r="L26" s="13" t="n"/>
      <c r="M26" s="13" t="n"/>
    </row>
    <row r="27">
      <c r="A27" s="13" t="n"/>
      <c r="B27" s="13" t="n"/>
      <c r="C27" s="13" t="n"/>
      <c r="D27" s="13" t="n"/>
      <c r="E27" s="14">
        <f>IFERROR(D27/C27*100,0)</f>
        <v/>
      </c>
      <c r="F27" s="13" t="n"/>
      <c r="G27" t="n">
        <v>3</v>
      </c>
      <c r="H27" s="14">
        <f>IF(F27="","",MAX(0,100-((F27-G27)/G27*100)))</f>
        <v/>
      </c>
      <c r="I27" s="14">
        <f>IF(OR(E27="",H27=""),"",(E27*0.6)+(H27*0.4))</f>
        <v/>
      </c>
      <c r="J27" t="inlineStr">
        <is>
          <t>80%</t>
        </is>
      </c>
      <c r="K27">
        <f>IF(I27="","",IF(I27&gt;=80,"✅ Strong",IF(I27&gt;=75,"⚠️ Needs Improvement","❌ Weak")))</f>
        <v/>
      </c>
      <c r="L27" s="13" t="n"/>
      <c r="M27" s="13" t="n"/>
    </row>
    <row r="28">
      <c r="A28" s="13" t="n"/>
      <c r="B28" s="13" t="n"/>
      <c r="C28" s="13" t="n"/>
      <c r="D28" s="13" t="n"/>
      <c r="E28" s="14">
        <f>IFERROR(D28/C28*100,0)</f>
        <v/>
      </c>
      <c r="F28" s="13" t="n"/>
      <c r="G28" t="n">
        <v>3</v>
      </c>
      <c r="H28" s="14">
        <f>IF(F28="","",MAX(0,100-((F28-G28)/G28*100)))</f>
        <v/>
      </c>
      <c r="I28" s="14">
        <f>IF(OR(E28="",H28=""),"",(E28*0.6)+(H28*0.4))</f>
        <v/>
      </c>
      <c r="J28" t="inlineStr">
        <is>
          <t>80%</t>
        </is>
      </c>
      <c r="K28">
        <f>IF(I28="","",IF(I28&gt;=80,"✅ Strong",IF(I28&gt;=75,"⚠️ Needs Improvement","❌ Weak")))</f>
        <v/>
      </c>
      <c r="L28" s="13" t="n"/>
      <c r="M28" s="13" t="n"/>
    </row>
    <row r="29">
      <c r="A29" s="13" t="n"/>
      <c r="B29" s="13" t="n"/>
      <c r="C29" s="13" t="n"/>
      <c r="D29" s="13" t="n"/>
      <c r="E29" s="14">
        <f>IFERROR(D29/C29*100,0)</f>
        <v/>
      </c>
      <c r="F29" s="13" t="n"/>
      <c r="G29" t="n">
        <v>3</v>
      </c>
      <c r="H29" s="14">
        <f>IF(F29="","",MAX(0,100-((F29-G29)/G29*100)))</f>
        <v/>
      </c>
      <c r="I29" s="14">
        <f>IF(OR(E29="",H29=""),"",(E29*0.6)+(H29*0.4))</f>
        <v/>
      </c>
      <c r="J29" t="inlineStr">
        <is>
          <t>80%</t>
        </is>
      </c>
      <c r="K29">
        <f>IF(I29="","",IF(I29&gt;=80,"✅ Strong",IF(I29&gt;=75,"⚠️ Needs Improvement","❌ Weak")))</f>
        <v/>
      </c>
      <c r="L29" s="13" t="n"/>
      <c r="M29" s="13" t="n"/>
    </row>
    <row r="30">
      <c r="A30" s="13" t="n"/>
      <c r="B30" s="13" t="n"/>
      <c r="C30" s="13" t="n"/>
      <c r="D30" s="13" t="n"/>
      <c r="E30" s="14">
        <f>IFERROR(D30/C30*100,0)</f>
        <v/>
      </c>
      <c r="F30" s="13" t="n"/>
      <c r="G30" t="n">
        <v>3</v>
      </c>
      <c r="H30" s="14">
        <f>IF(F30="","",MAX(0,100-((F30-G30)/G30*100)))</f>
        <v/>
      </c>
      <c r="I30" s="14">
        <f>IF(OR(E30="",H30=""),"",(E30*0.6)+(H30*0.4))</f>
        <v/>
      </c>
      <c r="J30" t="inlineStr">
        <is>
          <t>80%</t>
        </is>
      </c>
      <c r="K30">
        <f>IF(I30="","",IF(I30&gt;=80,"✅ Strong",IF(I30&gt;=75,"⚠️ Needs Improvement","❌ Weak")))</f>
        <v/>
      </c>
      <c r="L30" s="13" t="n"/>
      <c r="M30" s="13" t="n"/>
    </row>
    <row r="31">
      <c r="A31" s="13" t="n"/>
      <c r="B31" s="13" t="n"/>
      <c r="C31" s="13" t="n"/>
      <c r="D31" s="13" t="n"/>
      <c r="E31" s="14">
        <f>IFERROR(D31/C31*100,0)</f>
        <v/>
      </c>
      <c r="F31" s="13" t="n"/>
      <c r="G31" t="n">
        <v>3</v>
      </c>
      <c r="H31" s="14">
        <f>IF(F31="","",MAX(0,100-((F31-G31)/G31*100)))</f>
        <v/>
      </c>
      <c r="I31" s="14">
        <f>IF(OR(E31="",H31=""),"",(E31*0.6)+(H31*0.4))</f>
        <v/>
      </c>
      <c r="J31" t="inlineStr">
        <is>
          <t>80%</t>
        </is>
      </c>
      <c r="K31">
        <f>IF(I31="","",IF(I31&gt;=80,"✅ Strong",IF(I31&gt;=75,"⚠️ Needs Improvement","❌ Weak")))</f>
        <v/>
      </c>
      <c r="L31" s="13" t="n"/>
      <c r="M31" s="13" t="n"/>
    </row>
    <row r="32">
      <c r="A32" s="13" t="n"/>
      <c r="B32" s="13" t="n"/>
      <c r="C32" s="13" t="n"/>
      <c r="D32" s="13" t="n"/>
      <c r="E32" s="14">
        <f>IFERROR(D32/C32*100,0)</f>
        <v/>
      </c>
      <c r="F32" s="13" t="n"/>
      <c r="G32" t="n">
        <v>3</v>
      </c>
      <c r="H32" s="14">
        <f>IF(F32="","",MAX(0,100-((F32-G32)/G32*100)))</f>
        <v/>
      </c>
      <c r="I32" s="14">
        <f>IF(OR(E32="",H32=""),"",(E32*0.6)+(H32*0.4))</f>
        <v/>
      </c>
      <c r="J32" t="inlineStr">
        <is>
          <t>80%</t>
        </is>
      </c>
      <c r="K32">
        <f>IF(I32="","",IF(I32&gt;=80,"✅ Strong",IF(I32&gt;=75,"⚠️ Needs Improvement","❌ Weak")))</f>
        <v/>
      </c>
      <c r="L32" s="13" t="n"/>
      <c r="M32" s="13" t="n"/>
    </row>
    <row r="33">
      <c r="A33" s="13" t="n"/>
      <c r="B33" s="13" t="n"/>
      <c r="C33" s="13" t="n"/>
      <c r="D33" s="13" t="n"/>
      <c r="E33" s="14">
        <f>IFERROR(D33/C33*100,0)</f>
        <v/>
      </c>
      <c r="F33" s="13" t="n"/>
      <c r="G33" t="n">
        <v>3</v>
      </c>
      <c r="H33" s="14">
        <f>IF(F33="","",MAX(0,100-((F33-G33)/G33*100)))</f>
        <v/>
      </c>
      <c r="I33" s="14">
        <f>IF(OR(E33="",H33=""),"",(E33*0.6)+(H33*0.4))</f>
        <v/>
      </c>
      <c r="J33" t="inlineStr">
        <is>
          <t>80%</t>
        </is>
      </c>
      <c r="K33">
        <f>IF(I33="","",IF(I33&gt;=80,"✅ Strong",IF(I33&gt;=75,"⚠️ Needs Improvement","❌ Weak")))</f>
        <v/>
      </c>
      <c r="L33" s="13" t="n"/>
      <c r="M33" s="13" t="n"/>
    </row>
    <row r="34">
      <c r="A34" s="13" t="n"/>
      <c r="B34" s="13" t="n"/>
      <c r="C34" s="13" t="n"/>
      <c r="D34" s="13" t="n"/>
      <c r="E34" s="14">
        <f>IFERROR(D34/C34*100,0)</f>
        <v/>
      </c>
      <c r="F34" s="13" t="n"/>
      <c r="G34" t="n">
        <v>3</v>
      </c>
      <c r="H34" s="14">
        <f>IF(F34="","",MAX(0,100-((F34-G34)/G34*100)))</f>
        <v/>
      </c>
      <c r="I34" s="14">
        <f>IF(OR(E34="",H34=""),"",(E34*0.6)+(H34*0.4))</f>
        <v/>
      </c>
      <c r="J34" t="inlineStr">
        <is>
          <t>80%</t>
        </is>
      </c>
      <c r="K34">
        <f>IF(I34="","",IF(I34&gt;=80,"✅ Strong",IF(I34&gt;=75,"⚠️ Needs Improvement","❌ Weak")))</f>
        <v/>
      </c>
      <c r="L34" s="13" t="n"/>
      <c r="M34" s="13" t="n"/>
    </row>
    <row r="35">
      <c r="A35" s="13" t="n"/>
      <c r="B35" s="13" t="n"/>
      <c r="C35" s="13" t="n"/>
      <c r="D35" s="13" t="n"/>
      <c r="E35" s="14">
        <f>IFERROR(D35/C35*100,0)</f>
        <v/>
      </c>
      <c r="F35" s="13" t="n"/>
      <c r="G35" t="n">
        <v>3</v>
      </c>
      <c r="H35" s="14">
        <f>IF(F35="","",MAX(0,100-((F35-G35)/G35*100)))</f>
        <v/>
      </c>
      <c r="I35" s="14">
        <f>IF(OR(E35="",H35=""),"",(E35*0.6)+(H35*0.4))</f>
        <v/>
      </c>
      <c r="J35" t="inlineStr">
        <is>
          <t>80%</t>
        </is>
      </c>
      <c r="K35">
        <f>IF(I35="","",IF(I35&gt;=80,"✅ Strong",IF(I35&gt;=75,"⚠️ Needs Improvement","❌ Weak")))</f>
        <v/>
      </c>
      <c r="L35" s="13" t="n"/>
      <c r="M35" s="13" t="n"/>
    </row>
    <row r="36">
      <c r="A36" s="13" t="n"/>
      <c r="B36" s="13" t="n"/>
      <c r="C36" s="13" t="n"/>
      <c r="D36" s="13" t="n"/>
      <c r="E36" s="14">
        <f>IFERROR(D36/C36*100,0)</f>
        <v/>
      </c>
      <c r="F36" s="13" t="n"/>
      <c r="G36" t="n">
        <v>3</v>
      </c>
      <c r="H36" s="14">
        <f>IF(F36="","",MAX(0,100-((F36-G36)/G36*100)))</f>
        <v/>
      </c>
      <c r="I36" s="14">
        <f>IF(OR(E36="",H36=""),"",(E36*0.6)+(H36*0.4))</f>
        <v/>
      </c>
      <c r="J36" t="inlineStr">
        <is>
          <t>80%</t>
        </is>
      </c>
      <c r="K36">
        <f>IF(I36="","",IF(I36&gt;=80,"✅ Strong",IF(I36&gt;=75,"⚠️ Needs Improvement","❌ Weak")))</f>
        <v/>
      </c>
      <c r="L36" s="13" t="n"/>
      <c r="M36" s="13" t="n"/>
    </row>
    <row r="37">
      <c r="A37" s="13" t="n"/>
      <c r="B37" s="13" t="n"/>
      <c r="C37" s="13" t="n"/>
      <c r="D37" s="13" t="n"/>
      <c r="E37" s="14">
        <f>IFERROR(D37/C37*100,0)</f>
        <v/>
      </c>
      <c r="F37" s="13" t="n"/>
      <c r="G37" t="n">
        <v>3</v>
      </c>
      <c r="H37" s="14">
        <f>IF(F37="","",MAX(0,100-((F37-G37)/G37*100)))</f>
        <v/>
      </c>
      <c r="I37" s="14">
        <f>IF(OR(E37="",H37=""),"",(E37*0.6)+(H37*0.4))</f>
        <v/>
      </c>
      <c r="J37" t="inlineStr">
        <is>
          <t>80%</t>
        </is>
      </c>
      <c r="K37">
        <f>IF(I37="","",IF(I37&gt;=80,"✅ Strong",IF(I37&gt;=75,"⚠️ Needs Improvement","❌ Weak")))</f>
        <v/>
      </c>
      <c r="L37" s="13" t="n"/>
      <c r="M37" s="13" t="n"/>
    </row>
    <row r="40">
      <c r="A40" s="3" t="inlineStr">
        <is>
          <t>PERFORMANCE SUMMARY</t>
        </is>
      </c>
    </row>
    <row r="41">
      <c r="A41" t="inlineStr">
        <is>
          <t>Average Performance Score %</t>
        </is>
      </c>
      <c r="B41" s="18">
        <f>IFERROR(AVERAGE(I4:I7),0)</f>
        <v/>
      </c>
    </row>
    <row r="42">
      <c r="A42" t="inlineStr">
        <is>
          <t>Target</t>
        </is>
      </c>
      <c r="B42" t="inlineStr">
        <is>
          <t>80%</t>
        </is>
      </c>
    </row>
    <row r="43">
      <c r="A43" t="inlineStr">
        <is>
          <t>Gap</t>
        </is>
      </c>
      <c r="B43" s="14">
        <f>B41-80</f>
        <v/>
      </c>
    </row>
    <row r="44">
      <c r="A44" t="inlineStr">
        <is>
          <t>Status</t>
        </is>
      </c>
      <c r="B44" s="5">
        <f>IF(B41&gt;=80,"✅ Strong",IF(B41&gt;=75,"⚠️ Needs Improvement","❌ Weak"))</f>
        <v/>
      </c>
    </row>
  </sheetData>
  <mergeCells count="1">
    <mergeCell ref="A1:M1"/>
  </mergeCells>
  <conditionalFormatting sqref="I4:I7">
    <cfRule type="cellIs" priority="1" operator="greaterThanOrEqual" dxfId="0">
      <formula>80</formula>
    </cfRule>
    <cfRule type="cellIs" priority="2" operator="between" dxfId="1">
      <formula>75</formula>
      <formula>79</formula>
    </cfRule>
    <cfRule type="cellIs" priority="3" operator="lessThan" dxfId="2">
      <formula>75</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25" customWidth="1" min="1" max="1"/>
    <col width="15" customWidth="1" min="2" max="2"/>
    <col width="12" customWidth="1" min="3" max="3"/>
    <col width="18" customWidth="1" min="4" max="4"/>
    <col width="12" customWidth="1" min="5" max="5"/>
    <col width="12" customWidth="1" min="6" max="6"/>
    <col width="18" customWidth="1" min="7" max="7"/>
  </cols>
  <sheetData>
    <row r="1">
      <c r="A1" s="11" t="inlineStr">
        <is>
          <t>Accountability Metrics - Weighted Accountability Index</t>
        </is>
      </c>
    </row>
    <row r="3">
      <c r="A3" s="12" t="inlineStr">
        <is>
          <t>Accountability Domain</t>
        </is>
      </c>
      <c r="B3" s="12" t="inlineStr">
        <is>
          <t>Score %</t>
        </is>
      </c>
      <c r="C3" s="12" t="inlineStr">
        <is>
          <t>Weight %</t>
        </is>
      </c>
      <c r="D3" s="12" t="inlineStr">
        <is>
          <t>Weighted Score</t>
        </is>
      </c>
      <c r="E3" s="12" t="inlineStr">
        <is>
          <t>Target %</t>
        </is>
      </c>
      <c r="F3" s="12" t="inlineStr">
        <is>
          <t>Gap</t>
        </is>
      </c>
      <c r="G3" s="12" t="inlineStr">
        <is>
          <t>Status</t>
        </is>
      </c>
    </row>
    <row r="4">
      <c r="A4" s="5" t="inlineStr">
        <is>
          <t>Coverage</t>
        </is>
      </c>
      <c r="B4" s="20">
        <f>'Ownership Coverage'!B17</f>
        <v/>
      </c>
      <c r="C4" t="inlineStr">
        <is>
          <t>40%</t>
        </is>
      </c>
      <c r="D4" s="14">
        <f>B4*40/100</f>
        <v/>
      </c>
      <c r="E4" t="inlineStr">
        <is>
          <t>100%</t>
        </is>
      </c>
      <c r="F4" s="14">
        <f>B4-100/100</f>
        <v/>
      </c>
      <c r="G4" s="15">
        <f>IF(B4&gt;=100/100,"✅ Strong",IF(B4&gt;=100/100-0.05,"⚠️ Medium","❌ Weak"))</f>
        <v/>
      </c>
    </row>
    <row r="5">
      <c r="A5" s="5" t="inlineStr">
        <is>
          <t>Acknowledgment</t>
        </is>
      </c>
      <c r="B5" s="20">
        <f>'Owner Acknowledgment'!B45</f>
        <v/>
      </c>
      <c r="C5" t="inlineStr">
        <is>
          <t>25%</t>
        </is>
      </c>
      <c r="D5" s="14">
        <f>B5*25/100</f>
        <v/>
      </c>
      <c r="E5" t="inlineStr">
        <is>
          <t>95%</t>
        </is>
      </c>
      <c r="F5" s="14">
        <f>B5-95/100</f>
        <v/>
      </c>
      <c r="G5" s="15">
        <f>IF(B5&gt;=95/100,"✅ Strong",IF(B5&gt;=95/100-0.05,"⚠️ Medium","❌ Weak"))</f>
        <v/>
      </c>
    </row>
    <row r="6">
      <c r="A6" s="5" t="inlineStr">
        <is>
          <t>Awareness</t>
        </is>
      </c>
      <c r="B6" s="20">
        <f>'Owner Awareness'!B40</f>
        <v/>
      </c>
      <c r="C6" t="inlineStr">
        <is>
          <t>20%</t>
        </is>
      </c>
      <c r="D6" s="14">
        <f>B6*20/100</f>
        <v/>
      </c>
      <c r="E6" t="inlineStr">
        <is>
          <t>100%</t>
        </is>
      </c>
      <c r="F6" s="14">
        <f>B6-100/100</f>
        <v/>
      </c>
      <c r="G6" s="15">
        <f>IF(B6&gt;=100/100,"✅ Strong",IF(B6&gt;=100/100-0.05,"⚠️ Medium","❌ Weak"))</f>
        <v/>
      </c>
    </row>
    <row r="7">
      <c r="A7" s="5" t="inlineStr">
        <is>
          <t>Performance</t>
        </is>
      </c>
      <c r="B7" s="20">
        <f>'Owner Performance'!B41</f>
        <v/>
      </c>
      <c r="C7" t="inlineStr">
        <is>
          <t>15%</t>
        </is>
      </c>
      <c r="D7" s="14">
        <f>B7*15/100</f>
        <v/>
      </c>
      <c r="E7" t="inlineStr">
        <is>
          <t>80%</t>
        </is>
      </c>
      <c r="F7" s="14">
        <f>B7-80/100</f>
        <v/>
      </c>
      <c r="G7" s="15">
        <f>IF(B7&gt;=80/100,"✅ Strong",IF(B7&gt;=80/100-0.05,"⚠️ Medium","❌ Weak"))</f>
        <v/>
      </c>
    </row>
    <row r="10">
      <c r="A10" s="21" t="inlineStr">
        <is>
          <t>OVERALL ACCOUNTABILITY INDEX</t>
        </is>
      </c>
      <c r="B10" s="22">
        <f>SUM(D4:D7)</f>
        <v/>
      </c>
    </row>
    <row r="11">
      <c r="A11" t="inlineStr">
        <is>
          <t>Overall Target</t>
        </is>
      </c>
      <c r="B11" s="5" t="inlineStr">
        <is>
          <t>94%</t>
        </is>
      </c>
    </row>
    <row r="12">
      <c r="A12" t="inlineStr">
        <is>
          <t>Overall Gap</t>
        </is>
      </c>
      <c r="B12" s="14">
        <f>B10-0.94</f>
        <v/>
      </c>
    </row>
    <row r="13">
      <c r="A13" t="inlineStr">
        <is>
          <t>Overall Status</t>
        </is>
      </c>
      <c r="B13" s="5">
        <f>IF(B10&gt;=0.94,"✅ Strong",IF(B10&gt;=0.89,"⚠️ Needs Improvement","❌ Weak"))</f>
        <v/>
      </c>
    </row>
    <row r="16">
      <c r="A16" s="23" t="inlineStr">
        <is>
          <t>CSV EXPORT FOR DASHBOARD (Copy rows below)</t>
        </is>
      </c>
    </row>
    <row r="17">
      <c r="A17" s="5" t="inlineStr">
        <is>
          <t>Accountability_Domain</t>
        </is>
      </c>
      <c r="B17" s="5" t="inlineStr">
        <is>
          <t>Score_%</t>
        </is>
      </c>
      <c r="C17" s="5" t="inlineStr">
        <is>
          <t>Status</t>
        </is>
      </c>
    </row>
    <row r="18">
      <c r="A18">
        <f>A4</f>
        <v/>
      </c>
      <c r="B18">
        <f>B4</f>
        <v/>
      </c>
      <c r="C18">
        <f>G4</f>
        <v/>
      </c>
    </row>
    <row r="19">
      <c r="A19">
        <f>A5</f>
        <v/>
      </c>
      <c r="B19">
        <f>B5</f>
        <v/>
      </c>
      <c r="C19">
        <f>G5</f>
        <v/>
      </c>
    </row>
    <row r="20">
      <c r="A20">
        <f>A6</f>
        <v/>
      </c>
      <c r="B20">
        <f>B6</f>
        <v/>
      </c>
      <c r="C20">
        <f>G6</f>
        <v/>
      </c>
    </row>
    <row r="21">
      <c r="A21">
        <f>A7</f>
        <v/>
      </c>
      <c r="B21">
        <f>B7</f>
        <v/>
      </c>
      <c r="C21">
        <f>G7</f>
        <v/>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cols>
    <col width="15" customWidth="1" min="1" max="1"/>
    <col width="25" customWidth="1" min="2" max="2"/>
    <col width="30" customWidth="1" min="3" max="3"/>
    <col width="50" customWidth="1" min="4" max="4"/>
    <col width="40" customWidth="1" min="5" max="5"/>
    <col width="15" customWidth="1" min="6" max="6"/>
    <col width="25" customWidth="1" min="7" max="7"/>
    <col width="20" customWidth="1" min="8" max="8"/>
    <col width="15" customWidth="1" min="9" max="9"/>
    <col width="25" customWidth="1" min="10" max="10"/>
    <col width="20" customWidth="1" min="11" max="11"/>
    <col width="18" customWidth="1" min="12" max="12"/>
    <col width="25" customWidth="1" min="13" max="13"/>
    <col width="40" customWidth="1" min="14" max="14"/>
  </cols>
  <sheetData>
    <row r="1">
      <c r="A1" s="11" t="inlineStr">
        <is>
          <t>Accountability Evidence Register</t>
        </is>
      </c>
    </row>
    <row r="3">
      <c r="A3" s="12" t="inlineStr">
        <is>
          <t>Evidence ID</t>
        </is>
      </c>
      <c r="B3" s="12" t="inlineStr">
        <is>
          <t>Accountability Domain</t>
        </is>
      </c>
      <c r="C3" s="12" t="inlineStr">
        <is>
          <t>Evidence Type</t>
        </is>
      </c>
      <c r="D3" s="12" t="inlineStr">
        <is>
          <t>Evidence Description</t>
        </is>
      </c>
      <c r="E3" s="12" t="inlineStr">
        <is>
          <t>Evidence Location</t>
        </is>
      </c>
      <c r="F3" s="12" t="inlineStr">
        <is>
          <t>Collection Date</t>
        </is>
      </c>
      <c r="G3" s="12" t="inlineStr">
        <is>
          <t>Collected By</t>
        </is>
      </c>
      <c r="H3" s="12" t="inlineStr">
        <is>
          <t>Validity Period</t>
        </is>
      </c>
      <c r="I3" s="12" t="inlineStr">
        <is>
          <t>Review Date</t>
        </is>
      </c>
      <c r="J3" s="12" t="inlineStr">
        <is>
          <t>Reviewed By</t>
        </is>
      </c>
      <c r="K3" s="12" t="inlineStr">
        <is>
          <t>Review Status</t>
        </is>
      </c>
      <c r="L3" s="12" t="inlineStr">
        <is>
          <t>Retention End Date</t>
        </is>
      </c>
      <c r="M3" s="12" t="inlineStr">
        <is>
          <t>Related Assessment</t>
        </is>
      </c>
      <c r="N3" s="12" t="inlineStr">
        <is>
          <t>Notes</t>
        </is>
      </c>
    </row>
    <row r="4">
      <c r="A4" s="13" t="inlineStr">
        <is>
          <t>ACCT-001</t>
        </is>
      </c>
      <c r="B4" s="13" t="inlineStr">
        <is>
          <t>Coverage</t>
        </is>
      </c>
      <c r="C4" s="13" t="inlineStr">
        <is>
          <t>Ownership Assignments</t>
        </is>
      </c>
      <c r="D4" s="13" t="inlineStr">
        <is>
          <t>Complete asset ownership matrix - all assets assigned</t>
        </is>
      </c>
      <c r="E4" s="13" t="inlineStr">
        <is>
          <t>/evidence/ownership_matrix_20260122.xlsx</t>
        </is>
      </c>
      <c r="F4" s="13" t="inlineStr">
        <is>
          <t>22.01.2026</t>
        </is>
      </c>
      <c r="G4" s="13" t="n"/>
      <c r="H4" s="13" t="n"/>
      <c r="I4" s="13" t="n"/>
      <c r="J4" s="13" t="n"/>
      <c r="K4" s="13" t="n"/>
      <c r="L4" s="13" t="n"/>
      <c r="M4" s="13" t="n"/>
      <c r="N4" s="13" t="n"/>
    </row>
    <row r="5">
      <c r="A5" s="13" t="inlineStr">
        <is>
          <t>ACCT-002</t>
        </is>
      </c>
      <c r="B5" s="13" t="inlineStr">
        <is>
          <t>Acknowledgment</t>
        </is>
      </c>
      <c r="C5" s="13" t="inlineStr">
        <is>
          <t>Attestation Campaign Results</t>
        </is>
      </c>
      <c r="D5" s="13" t="inlineStr">
        <is>
          <t>Annual attestation campaign - email logs and responses</t>
        </is>
      </c>
      <c r="E5" s="13" t="inlineStr">
        <is>
          <t>/evidence/attestation_campaign_20260122.xlsx</t>
        </is>
      </c>
      <c r="F5" s="13" t="inlineStr">
        <is>
          <t>22.01.2026</t>
        </is>
      </c>
      <c r="G5" s="13" t="n"/>
      <c r="H5" s="13" t="n"/>
      <c r="I5" s="13" t="n"/>
      <c r="J5" s="13" t="n"/>
      <c r="K5" s="13" t="n"/>
      <c r="L5" s="13" t="n"/>
      <c r="M5" s="13" t="n"/>
      <c r="N5" s="13" t="n"/>
    </row>
    <row r="6">
      <c r="A6" s="13" t="inlineStr">
        <is>
          <t>ACCT-003</t>
        </is>
      </c>
      <c r="B6" s="13" t="inlineStr">
        <is>
          <t>Awareness</t>
        </is>
      </c>
      <c r="C6" s="13" t="inlineStr">
        <is>
          <t>Owner Interview Results</t>
        </is>
      </c>
      <c r="D6" s="13" t="inlineStr">
        <is>
          <t>Owner awareness interviews - asset identification verification</t>
        </is>
      </c>
      <c r="E6" s="13" t="inlineStr">
        <is>
          <t>/evidence/awareness_interviews_20260122.xlsx</t>
        </is>
      </c>
      <c r="F6" s="13" t="inlineStr">
        <is>
          <t>22.01.2026</t>
        </is>
      </c>
      <c r="G6" s="13" t="n"/>
      <c r="H6" s="13" t="n"/>
      <c r="I6" s="13" t="n"/>
      <c r="J6" s="13" t="n"/>
      <c r="K6" s="13" t="n"/>
      <c r="L6" s="13" t="n"/>
      <c r="M6" s="13" t="n"/>
      <c r="N6" s="13" t="n"/>
    </row>
    <row r="7">
      <c r="A7" s="13" t="inlineStr">
        <is>
          <t>ACCT-004</t>
        </is>
      </c>
      <c r="B7" s="13" t="inlineStr">
        <is>
          <t>Performance</t>
        </is>
      </c>
      <c r="C7" s="13" t="inlineStr">
        <is>
          <t>Review Compliance Report</t>
        </is>
      </c>
      <c r="D7" s="13" t="inlineStr">
        <is>
          <t>Owner review compliance tracking - Q4 2025</t>
        </is>
      </c>
      <c r="E7" s="13" t="inlineStr">
        <is>
          <t>/evidence/review_compliance_Q4_2025.xlsx</t>
        </is>
      </c>
      <c r="F7" s="13" t="inlineStr">
        <is>
          <t>22.01.2026</t>
        </is>
      </c>
      <c r="G7" s="13" t="n"/>
      <c r="H7" s="13" t="n"/>
      <c r="I7" s="13" t="n"/>
      <c r="J7" s="13" t="n"/>
      <c r="K7" s="13" t="n"/>
      <c r="L7" s="13" t="n"/>
      <c r="M7" s="13" t="n"/>
      <c r="N7" s="13" t="n"/>
    </row>
    <row r="8">
      <c r="A8" s="13" t="n"/>
      <c r="B8" s="13" t="n"/>
      <c r="C8" s="13" t="n"/>
      <c r="D8" s="13" t="n"/>
      <c r="E8" s="13" t="n"/>
      <c r="F8" s="13" t="n"/>
      <c r="G8" s="13" t="n"/>
      <c r="H8" s="13" t="n"/>
      <c r="I8" s="13" t="n"/>
      <c r="J8" s="13" t="n"/>
      <c r="K8" s="13" t="n"/>
      <c r="L8" s="13" t="n"/>
      <c r="M8" s="13" t="n"/>
      <c r="N8" s="13" t="n"/>
    </row>
    <row r="9">
      <c r="A9" s="13" t="n"/>
      <c r="B9" s="13" t="n"/>
      <c r="C9" s="13" t="n"/>
      <c r="D9" s="13" t="n"/>
      <c r="E9" s="13" t="n"/>
      <c r="F9" s="13" t="n"/>
      <c r="G9" s="13" t="n"/>
      <c r="H9" s="13" t="n"/>
      <c r="I9" s="13" t="n"/>
      <c r="J9" s="13" t="n"/>
      <c r="K9" s="13" t="n"/>
      <c r="L9" s="13" t="n"/>
      <c r="M9" s="13" t="n"/>
      <c r="N9" s="13" t="n"/>
    </row>
    <row r="10">
      <c r="A10" s="13" t="n"/>
      <c r="B10" s="13" t="n"/>
      <c r="C10" s="13" t="n"/>
      <c r="D10" s="13" t="n"/>
      <c r="E10" s="13" t="n"/>
      <c r="F10" s="13" t="n"/>
      <c r="G10" s="13" t="n"/>
      <c r="H10" s="13" t="n"/>
      <c r="I10" s="13" t="n"/>
      <c r="J10" s="13" t="n"/>
      <c r="K10" s="13" t="n"/>
      <c r="L10" s="13" t="n"/>
      <c r="M10" s="13" t="n"/>
      <c r="N10" s="13" t="n"/>
    </row>
    <row r="11">
      <c r="A11" s="13" t="n"/>
      <c r="B11" s="13" t="n"/>
      <c r="C11" s="13" t="n"/>
      <c r="D11" s="13" t="n"/>
      <c r="E11" s="13" t="n"/>
      <c r="F11" s="13" t="n"/>
      <c r="G11" s="13" t="n"/>
      <c r="H11" s="13" t="n"/>
      <c r="I11" s="13" t="n"/>
      <c r="J11" s="13" t="n"/>
      <c r="K11" s="13" t="n"/>
      <c r="L11" s="13" t="n"/>
      <c r="M11" s="13" t="n"/>
      <c r="N11" s="13" t="n"/>
    </row>
    <row r="12">
      <c r="A12" s="13" t="n"/>
      <c r="B12" s="13" t="n"/>
      <c r="C12" s="13" t="n"/>
      <c r="D12" s="13" t="n"/>
      <c r="E12" s="13" t="n"/>
      <c r="F12" s="13" t="n"/>
      <c r="G12" s="13" t="n"/>
      <c r="H12" s="13" t="n"/>
      <c r="I12" s="13" t="n"/>
      <c r="J12" s="13" t="n"/>
      <c r="K12" s="13" t="n"/>
      <c r="L12" s="13" t="n"/>
      <c r="M12" s="13" t="n"/>
      <c r="N12" s="13" t="n"/>
    </row>
    <row r="13">
      <c r="A13" s="13" t="n"/>
      <c r="B13" s="13" t="n"/>
      <c r="C13" s="13" t="n"/>
      <c r="D13" s="13" t="n"/>
      <c r="E13" s="13" t="n"/>
      <c r="F13" s="13" t="n"/>
      <c r="G13" s="13" t="n"/>
      <c r="H13" s="13" t="n"/>
      <c r="I13" s="13" t="n"/>
      <c r="J13" s="13" t="n"/>
      <c r="K13" s="13" t="n"/>
      <c r="L13" s="13" t="n"/>
      <c r="M13" s="13" t="n"/>
      <c r="N13" s="13" t="n"/>
    </row>
    <row r="14">
      <c r="A14" s="13" t="n"/>
      <c r="B14" s="13" t="n"/>
      <c r="C14" s="13" t="n"/>
      <c r="D14" s="13" t="n"/>
      <c r="E14" s="13" t="n"/>
      <c r="F14" s="13" t="n"/>
      <c r="G14" s="13" t="n"/>
      <c r="H14" s="13" t="n"/>
      <c r="I14" s="13" t="n"/>
      <c r="J14" s="13" t="n"/>
      <c r="K14" s="13" t="n"/>
      <c r="L14" s="13" t="n"/>
      <c r="M14" s="13" t="n"/>
      <c r="N14" s="13" t="n"/>
    </row>
    <row r="15">
      <c r="A15" s="13" t="n"/>
      <c r="B15" s="13" t="n"/>
      <c r="C15" s="13" t="n"/>
      <c r="D15" s="13" t="n"/>
      <c r="E15" s="13" t="n"/>
      <c r="F15" s="13" t="n"/>
      <c r="G15" s="13" t="n"/>
      <c r="H15" s="13" t="n"/>
      <c r="I15" s="13" t="n"/>
      <c r="J15" s="13" t="n"/>
      <c r="K15" s="13" t="n"/>
      <c r="L15" s="13" t="n"/>
      <c r="M15" s="13" t="n"/>
      <c r="N15" s="13" t="n"/>
    </row>
    <row r="16">
      <c r="A16" s="13" t="n"/>
      <c r="B16" s="13" t="n"/>
      <c r="C16" s="13" t="n"/>
      <c r="D16" s="13" t="n"/>
      <c r="E16" s="13" t="n"/>
      <c r="F16" s="13" t="n"/>
      <c r="G16" s="13" t="n"/>
      <c r="H16" s="13" t="n"/>
      <c r="I16" s="13" t="n"/>
      <c r="J16" s="13" t="n"/>
      <c r="K16" s="13" t="n"/>
      <c r="L16" s="13" t="n"/>
      <c r="M16" s="13" t="n"/>
      <c r="N16" s="13" t="n"/>
    </row>
    <row r="17">
      <c r="A17" s="13" t="n"/>
      <c r="B17" s="13" t="n"/>
      <c r="C17" s="13" t="n"/>
      <c r="D17" s="13" t="n"/>
      <c r="E17" s="13" t="n"/>
      <c r="F17" s="13" t="n"/>
      <c r="G17" s="13" t="n"/>
      <c r="H17" s="13" t="n"/>
      <c r="I17" s="13" t="n"/>
      <c r="J17" s="13" t="n"/>
      <c r="K17" s="13" t="n"/>
      <c r="L17" s="13" t="n"/>
      <c r="M17" s="13" t="n"/>
      <c r="N17" s="13" t="n"/>
    </row>
    <row r="18">
      <c r="A18" s="13" t="n"/>
      <c r="B18" s="13" t="n"/>
      <c r="C18" s="13" t="n"/>
      <c r="D18" s="13" t="n"/>
      <c r="E18" s="13" t="n"/>
      <c r="F18" s="13" t="n"/>
      <c r="G18" s="13" t="n"/>
      <c r="H18" s="13" t="n"/>
      <c r="I18" s="13" t="n"/>
      <c r="J18" s="13" t="n"/>
      <c r="K18" s="13" t="n"/>
      <c r="L18" s="13" t="n"/>
      <c r="M18" s="13" t="n"/>
      <c r="N18" s="13" t="n"/>
    </row>
    <row r="19">
      <c r="A19" s="13" t="n"/>
      <c r="B19" s="13" t="n"/>
      <c r="C19" s="13" t="n"/>
      <c r="D19" s="13" t="n"/>
      <c r="E19" s="13" t="n"/>
      <c r="F19" s="13" t="n"/>
      <c r="G19" s="13" t="n"/>
      <c r="H19" s="13" t="n"/>
      <c r="I19" s="13" t="n"/>
      <c r="J19" s="13" t="n"/>
      <c r="K19" s="13" t="n"/>
      <c r="L19" s="13" t="n"/>
      <c r="M19" s="13" t="n"/>
      <c r="N19" s="13" t="n"/>
    </row>
    <row r="20">
      <c r="A20" s="13" t="n"/>
      <c r="B20" s="13" t="n"/>
      <c r="C20" s="13" t="n"/>
      <c r="D20" s="13" t="n"/>
      <c r="E20" s="13" t="n"/>
      <c r="F20" s="13" t="n"/>
      <c r="G20" s="13" t="n"/>
      <c r="H20" s="13" t="n"/>
      <c r="I20" s="13" t="n"/>
      <c r="J20" s="13" t="n"/>
      <c r="K20" s="13" t="n"/>
      <c r="L20" s="13" t="n"/>
      <c r="M20" s="13" t="n"/>
      <c r="N20" s="13" t="n"/>
    </row>
    <row r="21">
      <c r="A21" s="13" t="n"/>
      <c r="B21" s="13" t="n"/>
      <c r="C21" s="13" t="n"/>
      <c r="D21" s="13" t="n"/>
      <c r="E21" s="13" t="n"/>
      <c r="F21" s="13" t="n"/>
      <c r="G21" s="13" t="n"/>
      <c r="H21" s="13" t="n"/>
      <c r="I21" s="13" t="n"/>
      <c r="J21" s="13" t="n"/>
      <c r="K21" s="13" t="n"/>
      <c r="L21" s="13" t="n"/>
      <c r="M21" s="13" t="n"/>
      <c r="N21" s="13" t="n"/>
    </row>
    <row r="22">
      <c r="A22" s="13" t="n"/>
      <c r="B22" s="13" t="n"/>
      <c r="C22" s="13" t="n"/>
      <c r="D22" s="13" t="n"/>
      <c r="E22" s="13" t="n"/>
      <c r="F22" s="13" t="n"/>
      <c r="G22" s="13" t="n"/>
      <c r="H22" s="13" t="n"/>
      <c r="I22" s="13" t="n"/>
      <c r="J22" s="13" t="n"/>
      <c r="K22" s="13" t="n"/>
      <c r="L22" s="13" t="n"/>
      <c r="M22" s="13" t="n"/>
      <c r="N22" s="13" t="n"/>
    </row>
    <row r="23">
      <c r="A23" s="13" t="n"/>
      <c r="B23" s="13" t="n"/>
      <c r="C23" s="13" t="n"/>
      <c r="D23" s="13" t="n"/>
      <c r="E23" s="13" t="n"/>
      <c r="F23" s="13" t="n"/>
      <c r="G23" s="13" t="n"/>
      <c r="H23" s="13" t="n"/>
      <c r="I23" s="13" t="n"/>
      <c r="J23" s="13" t="n"/>
      <c r="K23" s="13" t="n"/>
      <c r="L23" s="13" t="n"/>
      <c r="M23" s="13" t="n"/>
      <c r="N23" s="13" t="n"/>
    </row>
    <row r="24">
      <c r="A24" s="13" t="n"/>
      <c r="B24" s="13" t="n"/>
      <c r="C24" s="13" t="n"/>
      <c r="D24" s="13" t="n"/>
      <c r="E24" s="13" t="n"/>
      <c r="F24" s="13" t="n"/>
      <c r="G24" s="13" t="n"/>
      <c r="H24" s="13" t="n"/>
      <c r="I24" s="13" t="n"/>
      <c r="J24" s="13" t="n"/>
      <c r="K24" s="13" t="n"/>
      <c r="L24" s="13" t="n"/>
      <c r="M24" s="13" t="n"/>
      <c r="N24" s="13" t="n"/>
    </row>
    <row r="25">
      <c r="A25" s="13" t="n"/>
      <c r="B25" s="13" t="n"/>
      <c r="C25" s="13" t="n"/>
      <c r="D25" s="13" t="n"/>
      <c r="E25" s="13" t="n"/>
      <c r="F25" s="13" t="n"/>
      <c r="G25" s="13" t="n"/>
      <c r="H25" s="13" t="n"/>
      <c r="I25" s="13" t="n"/>
      <c r="J25" s="13" t="n"/>
      <c r="K25" s="13" t="n"/>
      <c r="L25" s="13" t="n"/>
      <c r="M25" s="13" t="n"/>
      <c r="N25" s="13" t="n"/>
    </row>
    <row r="26">
      <c r="A26" s="13" t="n"/>
      <c r="B26" s="13" t="n"/>
      <c r="C26" s="13" t="n"/>
      <c r="D26" s="13" t="n"/>
      <c r="E26" s="13" t="n"/>
      <c r="F26" s="13" t="n"/>
      <c r="G26" s="13" t="n"/>
      <c r="H26" s="13" t="n"/>
      <c r="I26" s="13" t="n"/>
      <c r="J26" s="13" t="n"/>
      <c r="K26" s="13" t="n"/>
      <c r="L26" s="13" t="n"/>
      <c r="M26" s="13" t="n"/>
      <c r="N26" s="13" t="n"/>
    </row>
    <row r="27">
      <c r="A27" s="13" t="n"/>
      <c r="B27" s="13" t="n"/>
      <c r="C27" s="13" t="n"/>
      <c r="D27" s="13" t="n"/>
      <c r="E27" s="13" t="n"/>
      <c r="F27" s="13" t="n"/>
      <c r="G27" s="13" t="n"/>
      <c r="H27" s="13" t="n"/>
      <c r="I27" s="13" t="n"/>
      <c r="J27" s="13" t="n"/>
      <c r="K27" s="13" t="n"/>
      <c r="L27" s="13" t="n"/>
      <c r="M27" s="13" t="n"/>
      <c r="N27" s="13" t="n"/>
    </row>
  </sheetData>
  <mergeCells count="1">
    <mergeCell ref="A1:N1"/>
  </mergeCells>
  <dataValidations count="2">
    <dataValidation sqref="B4:B100" showDropDown="0" showInputMessage="0" showErrorMessage="0" allowBlank="1" type="list">
      <formula1>"Coverage,Acknowledgment,Awareness,Performance,All Domains"</formula1>
    </dataValidation>
    <dataValidation sqref="K4:K100" showDropDown="0" showInputMessage="0" showErrorMessage="0" allowBlank="1" type="list">
      <formula1>"Pending Review,Reviewed - Valid,Reviewed - Update Needed,Reviewed - Invalid"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5" customWidth="1" min="1" max="1"/>
    <col width="15" customWidth="1" min="2" max="2"/>
    <col width="15" customWidth="1" min="3" max="3"/>
    <col width="15" customWidth="1" min="4" max="4"/>
  </cols>
  <sheetData>
    <row r="1" ht="35" customHeight="1">
      <c r="A1" s="24" t="inlineStr">
        <is>
          <t>📊 OWNER ACCOUNTABILITY ASSESSMENT - SUMMARY DASHBOARD</t>
        </is>
      </c>
    </row>
    <row r="2">
      <c r="A2" s="25" t="inlineStr">
        <is>
          <t>Quick overview of key metrics and compliance status</t>
        </is>
      </c>
    </row>
    <row r="4">
      <c r="A4" s="26" t="inlineStr">
        <is>
          <t>🎯 OVERALL COMPLIANCE</t>
        </is>
      </c>
    </row>
    <row r="5">
      <c r="A5" s="21" t="inlineStr">
        <is>
          <t>Overall Compliance:</t>
        </is>
      </c>
      <c r="D5" s="27">
        <f>'Accountability Metrics'!D10</f>
        <v/>
      </c>
    </row>
    <row r="7">
      <c r="A7" s="26" t="inlineStr">
        <is>
          <t>📊 KEY METRICS</t>
        </is>
      </c>
    </row>
    <row r="8">
      <c r="A8" s="23" t="inlineStr">
        <is>
          <t>Metric</t>
        </is>
      </c>
      <c r="B8" s="23" t="inlineStr">
        <is>
          <t>Current</t>
        </is>
      </c>
      <c r="C8" s="23" t="inlineStr">
        <is>
          <t>Target</t>
        </is>
      </c>
      <c r="D8" s="23" t="inlineStr">
        <is>
          <t>Status</t>
        </is>
      </c>
    </row>
    <row r="9">
      <c r="A9" t="inlineStr">
        <is>
          <t>Ownership Coverage</t>
        </is>
      </c>
      <c r="B9" s="14">
        <f>'Accountability Metrics'!B4</f>
        <v/>
      </c>
      <c r="C9" t="inlineStr">
        <is>
          <t>100%</t>
        </is>
      </c>
      <c r="D9">
        <f>IF(B9&gt;0,"✅","❌")</f>
        <v/>
      </c>
    </row>
    <row r="10">
      <c r="A10" t="inlineStr">
        <is>
          <t>Acknowledgment Rate</t>
        </is>
      </c>
      <c r="B10" s="14">
        <f>'Accountability Metrics'!B5</f>
        <v/>
      </c>
      <c r="C10" t="inlineStr">
        <is>
          <t>100%</t>
        </is>
      </c>
      <c r="D10">
        <f>IF(B10&gt;0,"✅","❌")</f>
        <v/>
      </c>
    </row>
    <row r="11">
      <c r="A11" t="inlineStr">
        <is>
          <t>Awareness Score</t>
        </is>
      </c>
      <c r="B11" s="14">
        <f>'Accountability Metrics'!B6</f>
        <v/>
      </c>
      <c r="C11" t="inlineStr">
        <is>
          <t>95%</t>
        </is>
      </c>
      <c r="D11">
        <f>IF(B11&gt;0,"✅","❌")</f>
        <v/>
      </c>
    </row>
  </sheetData>
  <mergeCells count="6">
    <mergeCell ref="A2:F2"/>
    <mergeCell ref="D5:F5"/>
    <mergeCell ref="A5:C5"/>
    <mergeCell ref="A1:F1"/>
    <mergeCell ref="A4:F4"/>
    <mergeCell ref="A7:F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40" customWidth="1" min="1" max="1"/>
    <col width="18" customWidth="1" min="2" max="2"/>
    <col width="18" customWidth="1" min="3" max="3"/>
    <col width="15" customWidth="1" min="4" max="4"/>
    <col width="30" customWidth="1" min="5" max="5"/>
  </cols>
  <sheetData>
    <row r="1" ht="30" customHeight="1">
      <c r="A1" s="28" t="inlineStr">
        <is>
          <t>OWNER ACCOUNTABILITY ASSESSMENT - APPROVAL &amp; SIGN-OFF</t>
        </is>
      </c>
    </row>
    <row r="2">
      <c r="A2" s="29" t="inlineStr">
        <is>
          <t>Complete when assessment is finished and ready for approval</t>
        </is>
      </c>
    </row>
    <row r="4">
      <c r="A4" s="30" t="inlineStr">
        <is>
          <t>COMPLETION CHECKLIST</t>
        </is>
      </c>
    </row>
    <row r="5">
      <c r="A5" s="23" t="inlineStr">
        <is>
          <t>Item</t>
        </is>
      </c>
      <c r="B5" s="23" t="inlineStr">
        <is>
          <t>Status</t>
        </is>
      </c>
      <c r="C5" s="23" t="inlineStr">
        <is>
          <t>Completed By</t>
        </is>
      </c>
      <c r="D5" s="23" t="inlineStr">
        <is>
          <t>Date</t>
        </is>
      </c>
      <c r="E5" s="23" t="inlineStr">
        <is>
          <t>Notes</t>
        </is>
      </c>
    </row>
    <row r="6">
      <c r="A6" s="31" t="inlineStr">
        <is>
          <t>Ownership coverage assessed</t>
        </is>
      </c>
      <c r="B6" s="32" t="n"/>
      <c r="C6" s="32" t="n"/>
      <c r="D6" s="32" t="n"/>
      <c r="E6" s="32" t="n"/>
    </row>
    <row r="7">
      <c r="A7" s="31" t="inlineStr">
        <is>
          <t>Owner acknowledgments obtained</t>
        </is>
      </c>
      <c r="B7" s="32" t="n"/>
      <c r="C7" s="32" t="n"/>
      <c r="D7" s="32" t="n"/>
      <c r="E7" s="32" t="n"/>
    </row>
    <row r="8">
      <c r="A8" s="31" t="inlineStr">
        <is>
          <t>Owner awareness assessed</t>
        </is>
      </c>
      <c r="B8" s="32" t="n"/>
      <c r="C8" s="32" t="n"/>
      <c r="D8" s="32" t="n"/>
      <c r="E8" s="32" t="n"/>
    </row>
    <row r="9">
      <c r="A9" s="31" t="inlineStr">
        <is>
          <t>Owner performance evaluated</t>
        </is>
      </c>
      <c r="B9" s="32" t="n"/>
      <c r="C9" s="32" t="n"/>
      <c r="D9" s="32" t="n"/>
      <c r="E9" s="32" t="n"/>
    </row>
    <row r="10">
      <c r="A10" s="31" t="inlineStr">
        <is>
          <t>Accountability metrics calculated</t>
        </is>
      </c>
      <c r="B10" s="32" t="n"/>
      <c r="C10" s="32" t="n"/>
      <c r="D10" s="32" t="n"/>
      <c r="E10" s="32" t="n"/>
    </row>
    <row r="11">
      <c r="A11" s="31" t="inlineStr">
        <is>
          <t>Evidence collected and registered</t>
        </is>
      </c>
      <c r="B11" s="32" t="n"/>
      <c r="C11" s="32" t="n"/>
      <c r="D11" s="32" t="n"/>
      <c r="E11" s="32" t="n"/>
    </row>
    <row r="12">
      <c r="A12" s="31" t="inlineStr">
        <is>
          <t>Assessment reviewed by Information Security</t>
        </is>
      </c>
      <c r="B12" s="32" t="n"/>
      <c r="C12" s="32" t="n"/>
      <c r="D12" s="32" t="n"/>
      <c r="E12" s="32" t="n"/>
    </row>
    <row r="15">
      <c r="A15" s="30" t="inlineStr">
        <is>
          <t>APPROVALS</t>
        </is>
      </c>
    </row>
    <row r="16">
      <c r="A16" s="23" t="inlineStr">
        <is>
          <t>Role</t>
        </is>
      </c>
      <c r="B16" s="23" t="inlineStr">
        <is>
          <t>Name</t>
        </is>
      </c>
      <c r="C16" s="23" t="inlineStr">
        <is>
          <t>Signature</t>
        </is>
      </c>
      <c r="D16" s="23" t="inlineStr">
        <is>
          <t>Date</t>
        </is>
      </c>
      <c r="E16" s="23" t="inlineStr">
        <is>
          <t>Comments</t>
        </is>
      </c>
    </row>
    <row r="17">
      <c r="A17" s="33" t="inlineStr">
        <is>
          <t>Asset Management Lead</t>
        </is>
      </c>
      <c r="B17" s="32" t="n"/>
      <c r="C17" s="32" t="n"/>
      <c r="D17" s="32" t="n"/>
      <c r="E17" s="32" t="n"/>
    </row>
    <row r="18">
      <c r="A18" s="33" t="inlineStr">
        <is>
          <t>Information Security Manager</t>
        </is>
      </c>
      <c r="B18" s="32" t="n"/>
      <c r="C18" s="32" t="n"/>
      <c r="D18" s="32" t="n"/>
      <c r="E18" s="32" t="n"/>
    </row>
    <row r="19">
      <c r="A19" s="33" t="inlineStr">
        <is>
          <t>CISO</t>
        </is>
      </c>
      <c r="B19" s="32" t="n"/>
      <c r="C19" s="32" t="n"/>
      <c r="D19" s="32" t="n"/>
      <c r="E19" s="32" t="n"/>
    </row>
  </sheetData>
  <mergeCells count="4">
    <mergeCell ref="A2:F2"/>
    <mergeCell ref="A1:F1"/>
    <mergeCell ref="A4:F4"/>
    <mergeCell ref="A15:F15"/>
  </mergeCells>
  <dataValidations count="1">
    <dataValidation sqref="B6:B12" showDropDown="0" showInputMessage="0" showErrorMessage="0" allowBlank="1" type="list">
      <formula1>"✅ Complete,⏳ In Progress,❌ Not Done"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2026-02-08T11:25:45Z</dcterms:created>
  <dcterms:modified xmlns:dcterms="http://purl.org/dc/terms/" xmlns:xsi="http://www.w3.org/2001/XMLSchema-instance" xsi:type="dcterms:W3CDTF">2026-02-08T11:25:45Z</dcterms:modified>
</cp:coreProperties>
</file>