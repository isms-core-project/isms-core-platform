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Information Assets Discovery" sheetId="2" state="visible" r:id="rId2"/>
    <sheet xmlns:r="http://schemas.openxmlformats.org/officeDocument/2006/relationships" name="IT Infrastructure Discovery" sheetId="3" state="visible" r:id="rId3"/>
    <sheet xmlns:r="http://schemas.openxmlformats.org/officeDocument/2006/relationships" name="Applications Discovery" sheetId="4" state="visible" r:id="rId4"/>
    <sheet xmlns:r="http://schemas.openxmlformats.org/officeDocument/2006/relationships" name="Physical Assets Discovery" sheetId="5" state="visible" r:id="rId5"/>
    <sheet xmlns:r="http://schemas.openxmlformats.org/officeDocument/2006/relationships" name="Personnel Assets Discovery" sheetId="6" state="visible" r:id="rId6"/>
    <sheet xmlns:r="http://schemas.openxmlformats.org/officeDocument/2006/relationships" name="Discovery Metrics &amp; Summary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&amp;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2"/>
    </font>
    <font>
      <b val="1"/>
      <color rgb="00FFFFFF"/>
      <sz val="12"/>
    </font>
    <font>
      <b val="1"/>
    </font>
    <font>
      <b val="1"/>
      <color rgb="00FFFFFF"/>
      <sz val="14"/>
    </font>
    <font>
      <b val="1"/>
      <color rgb="00FFFFFF"/>
    </font>
    <font>
      <b val="1"/>
      <sz val="12"/>
    </font>
    <font>
      <b val="1"/>
      <color rgb="009C0006"/>
    </font>
    <font>
      <b val="1"/>
      <sz val="14"/>
    </font>
    <font>
      <b val="1"/>
      <color rgb="00FFFFFF"/>
      <sz val="11"/>
    </font>
    <font>
      <i val="1"/>
      <sz val="10"/>
    </font>
    <font>
      <b val="1"/>
      <color rgb="00FFFFFF"/>
      <sz val="13"/>
    </font>
    <font>
      <b val="1"/>
      <sz val="18"/>
    </font>
    <font>
      <sz val="10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7E6E6"/>
      </patternFill>
    </fill>
    <fill>
      <patternFill patternType="solid">
        <fgColor rgb="002E75B5"/>
      </patternFill>
    </fill>
    <fill>
      <patternFill patternType="solid">
        <fgColor rgb="00FFF2CC"/>
      </patternFill>
    </fill>
    <fill>
      <patternFill patternType="solid">
        <fgColor rgb="00D8E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wrapText="1"/>
    </xf>
    <xf numFmtId="0" fontId="0" fillId="0" borderId="0" applyProtection="1" pivotButton="0" quotePrefix="0" xfId="0">
      <protection locked="0" hidden="0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4" fontId="7" fillId="0" borderId="0" pivotButton="0" quotePrefix="0" xfId="0"/>
    <xf numFmtId="164" fontId="4" fillId="0" borderId="0" pivotButton="0" quotePrefix="0" xfId="0"/>
    <xf numFmtId="0" fontId="6" fillId="2" borderId="0" pivotButton="0" quotePrefix="0" xfId="0"/>
    <xf numFmtId="0" fontId="5" fillId="2" borderId="0" applyAlignment="1" pivotButton="0" quotePrefix="0" xfId="0">
      <alignment horizontal="center"/>
    </xf>
    <xf numFmtId="0" fontId="8" fillId="0" borderId="0" pivotButton="0" quotePrefix="0" xfId="0"/>
    <xf numFmtId="164" fontId="9" fillId="5" borderId="0" pivotButton="0" quotePrefix="0" xfId="0"/>
    <xf numFmtId="0" fontId="10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7" fillId="0" borderId="0" pivotButton="0" quotePrefix="0" xfId="0"/>
    <xf numFmtId="164" fontId="13" fillId="0" borderId="0" applyAlignment="1" pivotButton="0" quotePrefix="0" xfId="0">
      <alignment horizontal="center" vertical="center"/>
    </xf>
    <xf numFmtId="3" fontId="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14" fillId="0" borderId="0" pivotButton="0" quotePrefix="0" xfId="0"/>
    <xf numFmtId="0" fontId="0" fillId="9" borderId="0" applyProtection="1" pivotButton="0" quotePrefix="0" xfId="0">
      <protection locked="0" hidden="0"/>
    </xf>
    <xf numFmtId="0" fontId="15" fillId="1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50" customWidth="1" min="3" max="3"/>
  </cols>
  <sheetData>
    <row r="1" ht="40" customHeight="1">
      <c r="A1" s="1" t="inlineStr">
        <is>
          <t>ISMS-IMP-A.5.9.1  -  Asset Discovery Assessment
ISO/IEC 27001:2022 - Control A.5.9: Inventory of Information and Assets</t>
        </is>
      </c>
    </row>
    <row r="2">
      <c r="A2" s="2" t="inlineStr">
        <is>
          <t>Assessment Domain 1 of 5: Asset Discovery &amp; Completeness Verification</t>
        </is>
      </c>
    </row>
    <row r="4">
      <c r="A4" s="3" t="inlineStr">
        <is>
          <t>PURPOSE</t>
        </is>
      </c>
    </row>
    <row r="5" ht="60" customHeight="1">
      <c r="A5" s="4" t="inlineStr">
        <is>
          <t>This assessment evaluates whether [Organization] has successfully identified and documented all assets that store, process, transmit, or protect information assets.
The goal is to measure discovery COMPLETENESS - do we know what exists? This is the foundation for all other inventory activities (maintenance, quality, accountability).
Five asset categories are assessed: Information Assets, IT Infrastructure, Applications, Physical Assets, and Personnel Assets.</t>
        </is>
      </c>
    </row>
    <row r="6"/>
    <row r="7"/>
    <row r="8"/>
    <row r="10">
      <c r="A10" s="3" t="inlineStr">
        <is>
          <t>ASSESSMENT METHODOLOGY</t>
        </is>
      </c>
    </row>
    <row r="11" ht="30" customHeight="1">
      <c r="A11" s="5" t="inlineStr">
        <is>
          <t>1. EXPECTED POPULATION</t>
        </is>
      </c>
      <c r="B11" s="6" t="inlineStr">
        <is>
          <t>Estimate total expected assets in each category (from business context, org size, infrastructure)</t>
        </is>
      </c>
    </row>
    <row r="12" ht="30" customHeight="1">
      <c r="A12" s="5" t="inlineStr">
        <is>
          <t>2. DISCOVERED ASSETS</t>
        </is>
      </c>
      <c r="B12" s="6" t="inlineStr">
        <is>
          <t>Count assets actually identified and documented via discovery methods</t>
        </is>
      </c>
    </row>
    <row r="13" ht="30" customHeight="1">
      <c r="A13" s="5" t="inlineStr">
        <is>
          <t>3. COMPLETENESS %</t>
        </is>
      </c>
      <c r="B13" s="6" t="inlineStr">
        <is>
          <t>Calculate: (Discovered / Expected) × 100%</t>
        </is>
      </c>
    </row>
    <row r="14" ht="30" customHeight="1">
      <c r="A14" s="5" t="inlineStr">
        <is>
          <t>4. GAP ANALYSIS</t>
        </is>
      </c>
      <c r="B14" s="6" t="inlineStr">
        <is>
          <t>Identify categories &lt;95% complete, prioritize additional discovery</t>
        </is>
      </c>
    </row>
    <row r="15" ht="30" customHeight="1">
      <c r="A15" s="5" t="inlineStr">
        <is>
          <t>5. DISCOVERY METHODS</t>
        </is>
      </c>
      <c r="B15" s="6" t="inlineStr">
        <is>
          <t>Document how assets were found (network scan, HR export, manual, etc.)</t>
        </is>
      </c>
    </row>
    <row r="17">
      <c r="A17" s="3" t="inlineStr">
        <is>
          <t>COMPLETENESS TARGETS</t>
        </is>
      </c>
    </row>
    <row r="18">
      <c r="A18" s="5" t="inlineStr">
        <is>
          <t>Asset Category</t>
        </is>
      </c>
      <c r="B18" s="5" t="inlineStr">
        <is>
          <t>Target Completeness</t>
        </is>
      </c>
      <c r="C18" s="5" t="inlineStr">
        <is>
          <t>Rationale</t>
        </is>
      </c>
    </row>
    <row r="19">
      <c r="A19" t="inlineStr">
        <is>
          <t>Information Assets</t>
        </is>
      </c>
      <c r="B19" t="inlineStr">
        <is>
          <t>95%</t>
        </is>
      </c>
      <c r="C19" s="6" t="inlineStr">
        <is>
          <t>High criticality - must know sensitive data locations</t>
        </is>
      </c>
    </row>
    <row r="20">
      <c r="A20" t="inlineStr">
        <is>
          <t>IT Infrastructure</t>
        </is>
      </c>
      <c r="B20" t="inlineStr">
        <is>
          <t>98%</t>
        </is>
      </c>
      <c r="C20" s="6" t="inlineStr">
        <is>
          <t>Critical for security controls - servers, network devices</t>
        </is>
      </c>
    </row>
    <row r="21">
      <c r="A21" t="inlineStr">
        <is>
          <t>Applications</t>
        </is>
      </c>
      <c r="B21" t="inlineStr">
        <is>
          <t>90%</t>
        </is>
      </c>
      <c r="C21" s="6" t="inlineStr">
        <is>
          <t>Acceptable - shadow IT discovery ongoing</t>
        </is>
      </c>
    </row>
    <row r="22">
      <c r="A22" t="inlineStr">
        <is>
          <t>Physical Assets</t>
        </is>
      </c>
      <c r="B22" t="inlineStr">
        <is>
          <t>90%</t>
        </is>
      </c>
      <c r="C22" s="6" t="inlineStr">
        <is>
          <t>Facilities and equipment - manual discovery acceptable</t>
        </is>
      </c>
    </row>
    <row r="23">
      <c r="A23" t="inlineStr">
        <is>
          <t>Personnel Assets</t>
        </is>
      </c>
      <c r="B23" t="inlineStr">
        <is>
          <t>100%</t>
        </is>
      </c>
      <c r="C23" s="6" t="inlineStr">
        <is>
          <t>Critical - must know all key personnel and competencies</t>
        </is>
      </c>
    </row>
    <row r="26">
      <c r="A26" s="3" t="inlineStr">
        <is>
          <t>TRAFFIC LIGHT LEGEND</t>
        </is>
      </c>
    </row>
    <row r="27">
      <c r="A27" s="7" t="inlineStr">
        <is>
          <t>✅ GREEN - Compliant</t>
        </is>
      </c>
      <c r="B27" t="inlineStr">
        <is>
          <t>Completeness ≥ Target (e.g., ≥95%)</t>
        </is>
      </c>
    </row>
    <row r="28">
      <c r="A28" s="8" t="inlineStr">
        <is>
          <t>⚠️ YELLOW - At Risk</t>
        </is>
      </c>
      <c r="B28" t="inlineStr">
        <is>
          <t>Completeness within 10% of target (e.g., 85-94%)</t>
        </is>
      </c>
    </row>
    <row r="29">
      <c r="A29" s="9" t="inlineStr">
        <is>
          <t>❌ RED - Non-Compliant</t>
        </is>
      </c>
      <c r="B29" t="inlineStr">
        <is>
          <t>Completeness &gt;10% below target (e.g., &lt;85%)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5:H8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15" customWidth="1" min="5" max="5"/>
    <col width="18" customWidth="1" min="6" max="6"/>
    <col width="40" customWidth="1" min="7" max="7"/>
    <col width="30" customWidth="1" min="8" max="8"/>
    <col width="40" customWidth="1" min="9" max="9"/>
    <col width="25" customWidth="1" min="10" max="10"/>
    <col width="15" customWidth="1" min="11" max="11"/>
    <col width="15" customWidth="1" min="12" max="12"/>
    <col width="30" customWidth="1" min="13" max="13"/>
  </cols>
  <sheetData>
    <row r="1" ht="25" customHeight="1">
      <c r="A1" s="10" t="inlineStr">
        <is>
          <t>Information Assets Discovery Assessment</t>
        </is>
      </c>
    </row>
    <row r="3" ht="30" customHeight="1">
      <c r="A3" s="11" t="inlineStr">
        <is>
          <t>Asset Subcategory</t>
        </is>
      </c>
      <c r="B3" s="11" t="inlineStr">
        <is>
          <t>Discovery Method</t>
        </is>
      </c>
      <c r="C3" s="11" t="inlineStr">
        <is>
          <t>Expected Count</t>
        </is>
      </c>
      <c r="D3" s="11" t="inlineStr">
        <is>
          <t>Discovered Count</t>
        </is>
      </c>
      <c r="E3" s="11" t="inlineStr">
        <is>
          <t>Completeness %</t>
        </is>
      </c>
      <c r="F3" s="11" t="inlineStr">
        <is>
          <t>Compliance Status</t>
        </is>
      </c>
      <c r="G3" s="11" t="inlineStr">
        <is>
          <t>Gaps Identified</t>
        </is>
      </c>
      <c r="H3" s="11" t="inlineStr">
        <is>
          <t>Discovery Evidence</t>
        </is>
      </c>
      <c r="I3" s="11" t="inlineStr">
        <is>
          <t>Next Discovery Actions</t>
        </is>
      </c>
      <c r="J3" s="11" t="inlineStr">
        <is>
          <t>Responsible Party</t>
        </is>
      </c>
      <c r="K3" s="11" t="inlineStr">
        <is>
          <t>Target Date</t>
        </is>
      </c>
      <c r="L3" s="11" t="inlineStr">
        <is>
          <t>Evidence ID</t>
        </is>
      </c>
      <c r="M3" s="11" t="inlineStr">
        <is>
          <t>Notes</t>
        </is>
      </c>
    </row>
    <row r="4">
      <c r="A4" t="inlineStr">
        <is>
          <t>Databases (Production)</t>
        </is>
      </c>
      <c r="B4" s="12" t="n"/>
      <c r="C4" s="12" t="n"/>
      <c r="D4" s="12" t="n"/>
      <c r="E4" s="13">
        <f>IFERROR(D4/C4*100,0)</f>
        <v/>
      </c>
      <c r="F4" s="14">
        <f>IF(E4&gt;=95,"✅ Compliant",IF(E4&gt;=85,"⚠️ At Risk","❌ Non-Compliant"))</f>
        <v/>
      </c>
      <c r="G4" s="12" t="n"/>
      <c r="H4" s="12" t="n"/>
      <c r="I4" s="12" t="n"/>
      <c r="J4" s="12" t="n"/>
      <c r="K4" s="12" t="n"/>
      <c r="L4" s="12" t="n"/>
      <c r="M4" s="12" t="n"/>
    </row>
    <row r="5">
      <c r="A5" t="inlineStr">
        <is>
          <t>Databases (Development/Test)</t>
        </is>
      </c>
      <c r="B5" s="12" t="n"/>
      <c r="C5" s="12" t="n"/>
      <c r="D5" s="12" t="n"/>
      <c r="E5" s="13">
        <f>IFERROR(D5/C5*100,0)</f>
        <v/>
      </c>
      <c r="F5" s="14">
        <f>IF(E5&gt;=95,"✅ Compliant",IF(E5&gt;=85,"⚠️ At Risk","❌ Non-Compliant"))</f>
        <v/>
      </c>
      <c r="G5" s="12" t="n"/>
      <c r="H5" s="12" t="n"/>
      <c r="I5" s="12" t="n"/>
      <c r="J5" s="12" t="n"/>
      <c r="K5" s="12" t="n"/>
      <c r="L5" s="12" t="n"/>
      <c r="M5" s="12" t="n"/>
    </row>
    <row r="6">
      <c r="A6" t="inlineStr">
        <is>
          <t>Data Warehouses / Analytics</t>
        </is>
      </c>
      <c r="B6" s="12" t="n"/>
      <c r="C6" s="12" t="n"/>
      <c r="D6" s="12" t="n"/>
      <c r="E6" s="13">
        <f>IFERROR(D6/C6*100,0)</f>
        <v/>
      </c>
      <c r="F6" s="14">
        <f>IF(E6&gt;=95,"✅ Compliant",IF(E6&gt;=85,"⚠️ At Risk","❌ Non-Compliant"))</f>
        <v/>
      </c>
      <c r="G6" s="12" t="n"/>
      <c r="H6" s="12" t="n"/>
      <c r="I6" s="12" t="n"/>
      <c r="J6" s="12" t="n"/>
      <c r="K6" s="12" t="n"/>
      <c r="L6" s="12" t="n"/>
      <c r="M6" s="12" t="n"/>
    </row>
    <row r="7">
      <c r="A7" t="inlineStr">
        <is>
          <t>File Shares (Departmental)</t>
        </is>
      </c>
      <c r="B7" s="12" t="n"/>
      <c r="C7" s="12" t="n"/>
      <c r="D7" s="12" t="n"/>
      <c r="E7" s="13">
        <f>IFERROR(D7/C7*100,0)</f>
        <v/>
      </c>
      <c r="F7" s="14">
        <f>IF(E7&gt;=95,"✅ Compliant",IF(E7&gt;=85,"⚠️ At Risk","❌ Non-Compliant"))</f>
        <v/>
      </c>
      <c r="G7" s="12" t="n"/>
      <c r="H7" s="12" t="n"/>
      <c r="I7" s="12" t="n"/>
      <c r="J7" s="12" t="n"/>
      <c r="K7" s="12" t="n"/>
      <c r="L7" s="12" t="n"/>
      <c r="M7" s="12" t="n"/>
    </row>
    <row r="8">
      <c r="A8" t="inlineStr">
        <is>
          <t>SharePoint / Document Management</t>
        </is>
      </c>
      <c r="B8" s="12" t="n"/>
      <c r="C8" s="12" t="n"/>
      <c r="D8" s="12" t="n"/>
      <c r="E8" s="13">
        <f>IFERROR(D8/C8*100,0)</f>
        <v/>
      </c>
      <c r="F8" s="14">
        <f>IF(E8&gt;=95,"✅ Compliant",IF(E8&gt;=85,"⚠️ At Risk","❌ Non-Compliant"))</f>
        <v/>
      </c>
      <c r="G8" s="12" t="n"/>
      <c r="H8" s="12" t="n"/>
      <c r="I8" s="12" t="n"/>
      <c r="J8" s="12" t="n"/>
      <c r="K8" s="12" t="n"/>
      <c r="L8" s="12" t="n"/>
      <c r="M8" s="12" t="n"/>
    </row>
    <row r="9">
      <c r="A9" t="inlineStr">
        <is>
          <t>Business Records / Archives</t>
        </is>
      </c>
      <c r="B9" s="12" t="n"/>
      <c r="C9" s="12" t="n"/>
      <c r="D9" s="12" t="n"/>
      <c r="E9" s="13">
        <f>IFERROR(D9/C9*100,0)</f>
        <v/>
      </c>
      <c r="F9" s="14">
        <f>IF(E9&gt;=95,"✅ Compliant",IF(E9&gt;=85,"⚠️ At Risk","❌ Non-Compliant"))</f>
        <v/>
      </c>
      <c r="G9" s="12" t="n"/>
      <c r="H9" s="12" t="n"/>
      <c r="I9" s="12" t="n"/>
      <c r="J9" s="12" t="n"/>
      <c r="K9" s="12" t="n"/>
      <c r="L9" s="12" t="n"/>
      <c r="M9" s="12" t="n"/>
    </row>
    <row r="10">
      <c r="A10" t="inlineStr">
        <is>
          <t>Email Archives</t>
        </is>
      </c>
      <c r="B10" s="12" t="n"/>
      <c r="C10" s="12" t="n"/>
      <c r="D10" s="12" t="n"/>
      <c r="E10" s="13">
        <f>IFERROR(D10/C10*100,0)</f>
        <v/>
      </c>
      <c r="F10" s="14">
        <f>IF(E10&gt;=95,"✅ Compliant",IF(E10&gt;=85,"⚠️ At Risk","❌ Non-Compliant"))</f>
        <v/>
      </c>
      <c r="G10" s="12" t="n"/>
      <c r="H10" s="12" t="n"/>
      <c r="I10" s="12" t="n"/>
      <c r="J10" s="12" t="n"/>
      <c r="K10" s="12" t="n"/>
      <c r="L10" s="12" t="n"/>
      <c r="M10" s="12" t="n"/>
    </row>
    <row r="11">
      <c r="A11" t="inlineStr">
        <is>
          <t>Intellectual Property (Patents, Trade Secrets)</t>
        </is>
      </c>
      <c r="B11" s="12" t="n"/>
      <c r="C11" s="12" t="n"/>
      <c r="D11" s="12" t="n"/>
      <c r="E11" s="13">
        <f>IFERROR(D11/C11*100,0)</f>
        <v/>
      </c>
      <c r="F11" s="14">
        <f>IF(E11&gt;=95,"✅ Compliant",IF(E11&gt;=85,"⚠️ At Risk","❌ Non-Compliant"))</f>
        <v/>
      </c>
      <c r="G11" s="12" t="n"/>
      <c r="H11" s="12" t="n"/>
      <c r="I11" s="12" t="n"/>
      <c r="J11" s="12" t="n"/>
      <c r="K11" s="12" t="n"/>
      <c r="L11" s="12" t="n"/>
      <c r="M11" s="12" t="n"/>
    </row>
    <row r="12">
      <c r="A12" t="inlineStr">
        <is>
          <t>Source Code Repositories</t>
        </is>
      </c>
      <c r="B12" s="12" t="n"/>
      <c r="C12" s="12" t="n"/>
      <c r="D12" s="12" t="n"/>
      <c r="E12" s="13">
        <f>IFERROR(D12/C12*100,0)</f>
        <v/>
      </c>
      <c r="F12" s="14">
        <f>IF(E12&gt;=95,"✅ Compliant",IF(E12&gt;=85,"⚠️ At Risk","❌ Non-Compliant"))</f>
        <v/>
      </c>
      <c r="G12" s="12" t="n"/>
      <c r="H12" s="12" t="n"/>
      <c r="I12" s="12" t="n"/>
      <c r="J12" s="12" t="n"/>
      <c r="K12" s="12" t="n"/>
      <c r="L12" s="12" t="n"/>
      <c r="M12" s="12" t="n"/>
    </row>
    <row r="13">
      <c r="A13" t="inlineStr">
        <is>
          <t>Customer Data Collections</t>
        </is>
      </c>
      <c r="B13" s="12" t="n"/>
      <c r="C13" s="12" t="n"/>
      <c r="D13" s="12" t="n"/>
      <c r="E13" s="13">
        <f>IFERROR(D13/C13*100,0)</f>
        <v/>
      </c>
      <c r="F13" s="14">
        <f>IF(E13&gt;=95,"✅ Compliant",IF(E13&gt;=85,"⚠️ At Risk","❌ Non-Compliant"))</f>
        <v/>
      </c>
      <c r="G13" s="12" t="n"/>
      <c r="H13" s="12" t="n"/>
      <c r="I13" s="12" t="n"/>
      <c r="J13" s="12" t="n"/>
      <c r="K13" s="12" t="n"/>
      <c r="L13" s="12" t="n"/>
      <c r="M13" s="12" t="n"/>
    </row>
    <row r="14">
      <c r="A14" t="inlineStr">
        <is>
          <t>Financial Records</t>
        </is>
      </c>
      <c r="B14" s="12" t="n"/>
      <c r="C14" s="12" t="n"/>
      <c r="D14" s="12" t="n"/>
      <c r="E14" s="13">
        <f>IFERROR(D14/C14*100,0)</f>
        <v/>
      </c>
      <c r="F14" s="14">
        <f>IF(E14&gt;=95,"✅ Compliant",IF(E14&gt;=85,"⚠️ At Risk","❌ Non-Compliant"))</f>
        <v/>
      </c>
      <c r="G14" s="12" t="n"/>
      <c r="H14" s="12" t="n"/>
      <c r="I14" s="12" t="n"/>
      <c r="J14" s="12" t="n"/>
      <c r="K14" s="12" t="n"/>
      <c r="L14" s="12" t="n"/>
      <c r="M14" s="12" t="n"/>
    </row>
    <row r="15">
      <c r="A15" t="inlineStr">
        <is>
          <t>HR Records (Personnel Files)</t>
        </is>
      </c>
      <c r="B15" s="12" t="n"/>
      <c r="C15" s="12" t="n"/>
      <c r="D15" s="12" t="n"/>
      <c r="E15" s="13">
        <f>IFERROR(D15/C15*100,0)</f>
        <v/>
      </c>
      <c r="F15" s="14">
        <f>IF(E15&gt;=95,"✅ Compliant",IF(E15&gt;=85,"⚠️ At Risk","❌ Non-Compliant"))</f>
        <v/>
      </c>
      <c r="G15" s="12" t="n"/>
      <c r="H15" s="12" t="n"/>
      <c r="I15" s="12" t="n"/>
      <c r="J15" s="12" t="n"/>
      <c r="K15" s="12" t="n"/>
      <c r="L15" s="12" t="n"/>
      <c r="M15" s="12" t="n"/>
    </row>
    <row r="16">
      <c r="A16" t="inlineStr">
        <is>
          <t>Contracts and Legal Documents</t>
        </is>
      </c>
      <c r="B16" s="12" t="n"/>
      <c r="C16" s="12" t="n"/>
      <c r="D16" s="12" t="n"/>
      <c r="E16" s="13">
        <f>IFERROR(D16/C16*100,0)</f>
        <v/>
      </c>
      <c r="F16" s="14">
        <f>IF(E16&gt;=95,"✅ Compliant",IF(E16&gt;=85,"⚠️ At Risk","❌ Non-Compliant"))</f>
        <v/>
      </c>
      <c r="G16" s="12" t="n"/>
      <c r="H16" s="12" t="n"/>
      <c r="I16" s="12" t="n"/>
      <c r="J16" s="12" t="n"/>
      <c r="K16" s="12" t="n"/>
      <c r="L16" s="12" t="n"/>
      <c r="M16" s="12" t="n"/>
    </row>
    <row r="17">
      <c r="A17" t="inlineStr">
        <is>
          <t>Technical Documentation</t>
        </is>
      </c>
      <c r="B17" s="12" t="n"/>
      <c r="C17" s="12" t="n"/>
      <c r="D17" s="12" t="n"/>
      <c r="E17" s="13">
        <f>IFERROR(D17/C17*100,0)</f>
        <v/>
      </c>
      <c r="F17" s="14">
        <f>IF(E17&gt;=95,"✅ Compliant",IF(E17&gt;=85,"⚠️ At Risk","❌ Non-Compliant"))</f>
        <v/>
      </c>
      <c r="G17" s="12" t="n"/>
      <c r="H17" s="12" t="n"/>
      <c r="I17" s="12" t="n"/>
      <c r="J17" s="12" t="n"/>
      <c r="K17" s="12" t="n"/>
      <c r="L17" s="12" t="n"/>
      <c r="M17" s="12" t="n"/>
    </row>
    <row r="18">
      <c r="A18" t="inlineStr">
        <is>
          <t>Marketing / Sales Materials</t>
        </is>
      </c>
      <c r="B18" s="12" t="n"/>
      <c r="C18" s="12" t="n"/>
      <c r="D18" s="12" t="n"/>
      <c r="E18" s="13">
        <f>IFERROR(D18/C18*100,0)</f>
        <v/>
      </c>
      <c r="F18" s="14">
        <f>IF(E18&gt;=95,"✅ Compliant",IF(E18&gt;=85,"⚠️ At Risk","❌ Non-Compliant"))</f>
        <v/>
      </c>
      <c r="G18" s="12" t="n"/>
      <c r="H18" s="12" t="n"/>
      <c r="I18" s="12" t="n"/>
      <c r="J18" s="12" t="n"/>
      <c r="K18" s="12" t="n"/>
      <c r="L18" s="12" t="n"/>
      <c r="M18" s="12" t="n"/>
    </row>
    <row r="21">
      <c r="A21" s="3" t="inlineStr">
        <is>
          <t>INFORMATION ASSETS SUMMARY</t>
        </is>
      </c>
    </row>
    <row r="22">
      <c r="A22" t="inlineStr">
        <is>
          <t>Total Expected</t>
        </is>
      </c>
      <c r="B22" s="5">
        <f>SUM(C4:C18)</f>
        <v/>
      </c>
    </row>
    <row r="23">
      <c r="A23" t="inlineStr">
        <is>
          <t>Total Discovered</t>
        </is>
      </c>
      <c r="B23" s="5">
        <f>SUM(D4:D18)</f>
        <v/>
      </c>
    </row>
    <row r="24">
      <c r="A24" t="inlineStr">
        <is>
          <t>Overall Completeness %</t>
        </is>
      </c>
      <c r="B24" s="15">
        <f>IFERROR(B23/B22*100,0)</f>
        <v/>
      </c>
    </row>
    <row r="25">
      <c r="A25" t="inlineStr">
        <is>
          <t>Target</t>
        </is>
      </c>
      <c r="B25" s="5" t="inlineStr">
        <is>
          <t>95%</t>
        </is>
      </c>
    </row>
    <row r="26">
      <c r="A26" t="inlineStr">
        <is>
          <t>Gap vs. Target</t>
        </is>
      </c>
      <c r="B26" s="16">
        <f>B24-95</f>
        <v/>
      </c>
    </row>
  </sheetData>
  <mergeCells count="1">
    <mergeCell ref="A1:M1"/>
  </mergeCells>
  <conditionalFormatting sqref="E4:E18">
    <cfRule type="cellIs" priority="1" operator="greaterThanOrEqual" dxfId="0">
      <formula>95</formula>
    </cfRule>
    <cfRule type="cellIs" priority="2" operator="between" dxfId="1">
      <formula>85</formula>
      <formula>94</formula>
    </cfRule>
    <cfRule type="cellIs" priority="3" operator="lessThan" dxfId="2">
      <formula>85</formula>
    </cfRule>
  </conditionalFormatting>
  <dataValidations count="1">
    <dataValidation sqref="B4:B18" showDropDown="0" showInputMessage="0" showErrorMessage="0" allowBlank="1" type="list">
      <formula1>"Network Scan (Automated),CMDB/Asset Management System,Procurement Records,HR System Export,Manual Survey,License Audit,Physical Inspection,Department Interviews,Document Repository Scan,Cloud Provider API,Other (Specify)"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15" customWidth="1" min="5" max="5"/>
    <col width="18" customWidth="1" min="6" max="6"/>
    <col width="40" customWidth="1" min="7" max="7"/>
    <col width="30" customWidth="1" min="8" max="8"/>
    <col width="40" customWidth="1" min="9" max="9"/>
    <col width="25" customWidth="1" min="10" max="10"/>
    <col width="15" customWidth="1" min="11" max="11"/>
    <col width="15" customWidth="1" min="12" max="12"/>
    <col width="30" customWidth="1" min="13" max="13"/>
  </cols>
  <sheetData>
    <row r="1" ht="25" customHeight="1">
      <c r="A1" s="10" t="inlineStr">
        <is>
          <t>IT Infrastructure Discovery Assessment</t>
        </is>
      </c>
    </row>
    <row r="3">
      <c r="A3" s="11" t="inlineStr">
        <is>
          <t>Asset Subcategory</t>
        </is>
      </c>
      <c r="B3" s="11" t="inlineStr">
        <is>
          <t>Discovery Method</t>
        </is>
      </c>
      <c r="C3" s="11" t="inlineStr">
        <is>
          <t>Expected Count</t>
        </is>
      </c>
      <c r="D3" s="11" t="inlineStr">
        <is>
          <t>Discovered Count</t>
        </is>
      </c>
      <c r="E3" s="11" t="inlineStr">
        <is>
          <t>Completeness %</t>
        </is>
      </c>
      <c r="F3" s="11" t="inlineStr">
        <is>
          <t>Compliance Status</t>
        </is>
      </c>
      <c r="G3" s="11" t="inlineStr">
        <is>
          <t>Gaps Identified</t>
        </is>
      </c>
      <c r="H3" s="11" t="inlineStr">
        <is>
          <t>Discovery Evidence</t>
        </is>
      </c>
      <c r="I3" s="11" t="inlineStr">
        <is>
          <t>Next Discovery Actions</t>
        </is>
      </c>
      <c r="J3" s="11" t="inlineStr">
        <is>
          <t>Responsible Party</t>
        </is>
      </c>
      <c r="K3" s="11" t="inlineStr">
        <is>
          <t>Target Date</t>
        </is>
      </c>
      <c r="L3" s="11" t="inlineStr">
        <is>
          <t>Evidence ID</t>
        </is>
      </c>
      <c r="M3" s="11" t="inlineStr">
        <is>
          <t>Notes</t>
        </is>
      </c>
    </row>
    <row r="4">
      <c r="A4" t="inlineStr">
        <is>
          <t>Physical Servers (Production)</t>
        </is>
      </c>
      <c r="B4" s="12" t="n"/>
      <c r="C4" s="12" t="n"/>
      <c r="D4" s="12" t="n"/>
      <c r="E4" s="13">
        <f>IFERROR(D4/C4*100,0)</f>
        <v/>
      </c>
      <c r="F4" s="14">
        <f>IF(E4&gt;=98,"✅ Compliant",IF(E4&gt;=88,"⚠️ At Risk","❌ Non-Compliant"))</f>
        <v/>
      </c>
      <c r="G4" s="12" t="n"/>
      <c r="H4" s="12" t="n"/>
      <c r="I4" s="12" t="n"/>
      <c r="J4" s="12" t="n"/>
      <c r="K4" s="12" t="n"/>
      <c r="L4" s="12" t="n"/>
      <c r="M4" s="12" t="n"/>
    </row>
    <row r="5">
      <c r="A5" t="inlineStr">
        <is>
          <t>Physical Servers (Non-Production)</t>
        </is>
      </c>
      <c r="B5" s="12" t="n"/>
      <c r="C5" s="12" t="n"/>
      <c r="D5" s="12" t="n"/>
      <c r="E5" s="13">
        <f>IFERROR(D5/C5*100,0)</f>
        <v/>
      </c>
      <c r="F5" s="14">
        <f>IF(E5&gt;=98,"✅ Compliant",IF(E5&gt;=88,"⚠️ At Risk","❌ Non-Compliant"))</f>
        <v/>
      </c>
      <c r="G5" s="12" t="n"/>
      <c r="H5" s="12" t="n"/>
      <c r="I5" s="12" t="n"/>
      <c r="J5" s="12" t="n"/>
      <c r="K5" s="12" t="n"/>
      <c r="L5" s="12" t="n"/>
      <c r="M5" s="12" t="n"/>
    </row>
    <row r="6">
      <c r="A6" t="inlineStr">
        <is>
          <t>Virtual Servers / VMs</t>
        </is>
      </c>
      <c r="B6" s="12" t="n"/>
      <c r="C6" s="12" t="n"/>
      <c r="D6" s="12" t="n"/>
      <c r="E6" s="13">
        <f>IFERROR(D6/C6*100,0)</f>
        <v/>
      </c>
      <c r="F6" s="14">
        <f>IF(E6&gt;=98,"✅ Compliant",IF(E6&gt;=88,"⚠️ At Risk","❌ Non-Compliant"))</f>
        <v/>
      </c>
      <c r="G6" s="12" t="n"/>
      <c r="H6" s="12" t="n"/>
      <c r="I6" s="12" t="n"/>
      <c r="J6" s="12" t="n"/>
      <c r="K6" s="12" t="n"/>
      <c r="L6" s="12" t="n"/>
      <c r="M6" s="12" t="n"/>
    </row>
    <row r="7">
      <c r="A7" t="inlineStr">
        <is>
          <t>Network Routers</t>
        </is>
      </c>
      <c r="B7" s="12" t="n"/>
      <c r="C7" s="12" t="n"/>
      <c r="D7" s="12" t="n"/>
      <c r="E7" s="13">
        <f>IFERROR(D7/C7*100,0)</f>
        <v/>
      </c>
      <c r="F7" s="14">
        <f>IF(E7&gt;=98,"✅ Compliant",IF(E7&gt;=88,"⚠️ At Risk","❌ Non-Compliant"))</f>
        <v/>
      </c>
      <c r="G7" s="12" t="n"/>
      <c r="H7" s="12" t="n"/>
      <c r="I7" s="12" t="n"/>
      <c r="J7" s="12" t="n"/>
      <c r="K7" s="12" t="n"/>
      <c r="L7" s="12" t="n"/>
      <c r="M7" s="12" t="n"/>
    </row>
    <row r="8">
      <c r="A8" t="inlineStr">
        <is>
          <t>Network Switches</t>
        </is>
      </c>
      <c r="B8" s="12" t="n"/>
      <c r="C8" s="12" t="n"/>
      <c r="D8" s="12" t="n"/>
      <c r="E8" s="13">
        <f>IFERROR(D8/C8*100,0)</f>
        <v/>
      </c>
      <c r="F8" s="14">
        <f>IF(E8&gt;=98,"✅ Compliant",IF(E8&gt;=88,"⚠️ At Risk","❌ Non-Compliant"))</f>
        <v/>
      </c>
      <c r="G8" s="12" t="n"/>
      <c r="H8" s="12" t="n"/>
      <c r="I8" s="12" t="n"/>
      <c r="J8" s="12" t="n"/>
      <c r="K8" s="12" t="n"/>
      <c r="L8" s="12" t="n"/>
      <c r="M8" s="12" t="n"/>
    </row>
    <row r="9">
      <c r="A9" t="inlineStr">
        <is>
          <t>Firewalls</t>
        </is>
      </c>
      <c r="B9" s="12" t="n"/>
      <c r="C9" s="12" t="n"/>
      <c r="D9" s="12" t="n"/>
      <c r="E9" s="13">
        <f>IFERROR(D9/C9*100,0)</f>
        <v/>
      </c>
      <c r="F9" s="14">
        <f>IF(E9&gt;=98,"✅ Compliant",IF(E9&gt;=88,"⚠️ At Risk","❌ Non-Compliant"))</f>
        <v/>
      </c>
      <c r="G9" s="12" t="n"/>
      <c r="H9" s="12" t="n"/>
      <c r="I9" s="12" t="n"/>
      <c r="J9" s="12" t="n"/>
      <c r="K9" s="12" t="n"/>
      <c r="L9" s="12" t="n"/>
      <c r="M9" s="12" t="n"/>
    </row>
    <row r="10">
      <c r="A10" t="inlineStr">
        <is>
          <t>Load Balancers</t>
        </is>
      </c>
      <c r="B10" s="12" t="n"/>
      <c r="C10" s="12" t="n"/>
      <c r="D10" s="12" t="n"/>
      <c r="E10" s="13">
        <f>IFERROR(D10/C10*100,0)</f>
        <v/>
      </c>
      <c r="F10" s="14">
        <f>IF(E10&gt;=98,"✅ Compliant",IF(E10&gt;=88,"⚠️ At Risk","❌ Non-Compliant"))</f>
        <v/>
      </c>
      <c r="G10" s="12" t="n"/>
      <c r="H10" s="12" t="n"/>
      <c r="I10" s="12" t="n"/>
      <c r="J10" s="12" t="n"/>
      <c r="K10" s="12" t="n"/>
      <c r="L10" s="12" t="n"/>
      <c r="M10" s="12" t="n"/>
    </row>
    <row r="11">
      <c r="A11" t="inlineStr">
        <is>
          <t>Storage Arrays / NAS / SAN</t>
        </is>
      </c>
      <c r="B11" s="12" t="n"/>
      <c r="C11" s="12" t="n"/>
      <c r="D11" s="12" t="n"/>
      <c r="E11" s="13">
        <f>IFERROR(D11/C11*100,0)</f>
        <v/>
      </c>
      <c r="F11" s="14">
        <f>IF(E11&gt;=98,"✅ Compliant",IF(E11&gt;=88,"⚠️ At Risk","❌ Non-Compliant"))</f>
        <v/>
      </c>
      <c r="G11" s="12" t="n"/>
      <c r="H11" s="12" t="n"/>
      <c r="I11" s="12" t="n"/>
      <c r="J11" s="12" t="n"/>
      <c r="K11" s="12" t="n"/>
      <c r="L11" s="12" t="n"/>
      <c r="M11" s="12" t="n"/>
    </row>
    <row r="12">
      <c r="A12" t="inlineStr">
        <is>
          <t>Backup Devices / Tape Libraries</t>
        </is>
      </c>
      <c r="B12" s="12" t="n"/>
      <c r="C12" s="12" t="n"/>
      <c r="D12" s="12" t="n"/>
      <c r="E12" s="13">
        <f>IFERROR(D12/C12*100,0)</f>
        <v/>
      </c>
      <c r="F12" s="14">
        <f>IF(E12&gt;=98,"✅ Compliant",IF(E12&gt;=88,"⚠️ At Risk","❌ Non-Compliant"))</f>
        <v/>
      </c>
      <c r="G12" s="12" t="n"/>
      <c r="H12" s="12" t="n"/>
      <c r="I12" s="12" t="n"/>
      <c r="J12" s="12" t="n"/>
      <c r="K12" s="12" t="n"/>
      <c r="L12" s="12" t="n"/>
      <c r="M12" s="12" t="n"/>
    </row>
    <row r="13">
      <c r="A13" t="inlineStr">
        <is>
          <t>Workstations / Desktops</t>
        </is>
      </c>
      <c r="B13" s="12" t="n"/>
      <c r="C13" s="12" t="n"/>
      <c r="D13" s="12" t="n"/>
      <c r="E13" s="13">
        <f>IFERROR(D13/C13*100,0)</f>
        <v/>
      </c>
      <c r="F13" s="14">
        <f>IF(E13&gt;=98,"✅ Compliant",IF(E13&gt;=88,"⚠️ At Risk","❌ Non-Compliant"))</f>
        <v/>
      </c>
      <c r="G13" s="12" t="n"/>
      <c r="H13" s="12" t="n"/>
      <c r="I13" s="12" t="n"/>
      <c r="J13" s="12" t="n"/>
      <c r="K13" s="12" t="n"/>
      <c r="L13" s="12" t="n"/>
      <c r="M13" s="12" t="n"/>
    </row>
    <row r="14">
      <c r="A14" t="inlineStr">
        <is>
          <t>Laptops / Mobile Devices</t>
        </is>
      </c>
      <c r="B14" s="12" t="n"/>
      <c r="C14" s="12" t="n"/>
      <c r="D14" s="12" t="n"/>
      <c r="E14" s="13">
        <f>IFERROR(D14/C14*100,0)</f>
        <v/>
      </c>
      <c r="F14" s="14">
        <f>IF(E14&gt;=98,"✅ Compliant",IF(E14&gt;=88,"⚠️ At Risk","❌ Non-Compliant"))</f>
        <v/>
      </c>
      <c r="G14" s="12" t="n"/>
      <c r="H14" s="12" t="n"/>
      <c r="I14" s="12" t="n"/>
      <c r="J14" s="12" t="n"/>
      <c r="K14" s="12" t="n"/>
      <c r="L14" s="12" t="n"/>
      <c r="M14" s="12" t="n"/>
    </row>
    <row r="15">
      <c r="A15" t="inlineStr">
        <is>
          <t>Tablets / iPads</t>
        </is>
      </c>
      <c r="B15" s="12" t="n"/>
      <c r="C15" s="12" t="n"/>
      <c r="D15" s="12" t="n"/>
      <c r="E15" s="13">
        <f>IFERROR(D15/C15*100,0)</f>
        <v/>
      </c>
      <c r="F15" s="14">
        <f>IF(E15&gt;=98,"✅ Compliant",IF(E15&gt;=88,"⚠️ At Risk","❌ Non-Compliant"))</f>
        <v/>
      </c>
      <c r="G15" s="12" t="n"/>
      <c r="H15" s="12" t="n"/>
      <c r="I15" s="12" t="n"/>
      <c r="J15" s="12" t="n"/>
      <c r="K15" s="12" t="n"/>
      <c r="L15" s="12" t="n"/>
      <c r="M15" s="12" t="n"/>
    </row>
    <row r="16">
      <c r="A16" t="inlineStr">
        <is>
          <t>Smartphones (Corporate)</t>
        </is>
      </c>
      <c r="B16" s="12" t="n"/>
      <c r="C16" s="12" t="n"/>
      <c r="D16" s="12" t="n"/>
      <c r="E16" s="13">
        <f>IFERROR(D16/C16*100,0)</f>
        <v/>
      </c>
      <c r="F16" s="14">
        <f>IF(E16&gt;=98,"✅ Compliant",IF(E16&gt;=88,"⚠️ At Risk","❌ Non-Compliant"))</f>
        <v/>
      </c>
      <c r="G16" s="12" t="n"/>
      <c r="H16" s="12" t="n"/>
      <c r="I16" s="12" t="n"/>
      <c r="J16" s="12" t="n"/>
      <c r="K16" s="12" t="n"/>
      <c r="L16" s="12" t="n"/>
      <c r="M16" s="12" t="n"/>
    </row>
    <row r="17">
      <c r="A17" t="inlineStr">
        <is>
          <t>Printers / Multifunction Devices</t>
        </is>
      </c>
      <c r="B17" s="12" t="n"/>
      <c r="C17" s="12" t="n"/>
      <c r="D17" s="12" t="n"/>
      <c r="E17" s="13">
        <f>IFERROR(D17/C17*100,0)</f>
        <v/>
      </c>
      <c r="F17" s="14">
        <f>IF(E17&gt;=98,"✅ Compliant",IF(E17&gt;=88,"⚠️ At Risk","❌ Non-Compliant"))</f>
        <v/>
      </c>
      <c r="G17" s="12" t="n"/>
      <c r="H17" s="12" t="n"/>
      <c r="I17" s="12" t="n"/>
      <c r="J17" s="12" t="n"/>
      <c r="K17" s="12" t="n"/>
      <c r="L17" s="12" t="n"/>
      <c r="M17" s="12" t="n"/>
    </row>
    <row r="18">
      <c r="A18" t="inlineStr">
        <is>
          <t>IoT Devices / Sensors</t>
        </is>
      </c>
      <c r="B18" s="12" t="n"/>
      <c r="C18" s="12" t="n"/>
      <c r="D18" s="12" t="n"/>
      <c r="E18" s="13">
        <f>IFERROR(D18/C18*100,0)</f>
        <v/>
      </c>
      <c r="F18" s="14">
        <f>IF(E18&gt;=98,"✅ Compliant",IF(E18&gt;=88,"⚠️ At Risk","❌ Non-Compliant"))</f>
        <v/>
      </c>
      <c r="G18" s="12" t="n"/>
      <c r="H18" s="12" t="n"/>
      <c r="I18" s="12" t="n"/>
      <c r="J18" s="12" t="n"/>
      <c r="K18" s="12" t="n"/>
      <c r="L18" s="12" t="n"/>
      <c r="M18" s="12" t="n"/>
    </row>
    <row r="19">
      <c r="A19" t="inlineStr">
        <is>
          <t>Network Attached Devices</t>
        </is>
      </c>
      <c r="B19" s="12" t="n"/>
      <c r="C19" s="12" t="n"/>
      <c r="D19" s="12" t="n"/>
      <c r="E19" s="13">
        <f>IFERROR(D19/C19*100,0)</f>
        <v/>
      </c>
      <c r="F19" s="14">
        <f>IF(E19&gt;=98,"✅ Compliant",IF(E19&gt;=88,"⚠️ At Risk","❌ Non-Compliant"))</f>
        <v/>
      </c>
      <c r="G19" s="12" t="n"/>
      <c r="H19" s="12" t="n"/>
      <c r="I19" s="12" t="n"/>
      <c r="J19" s="12" t="n"/>
      <c r="K19" s="12" t="n"/>
      <c r="L19" s="12" t="n"/>
      <c r="M19" s="12" t="n"/>
    </row>
    <row r="22">
      <c r="A22" s="3" t="inlineStr">
        <is>
          <t>IT INFRASTRUCTURE SUMMARY</t>
        </is>
      </c>
    </row>
    <row r="23">
      <c r="A23" t="inlineStr">
        <is>
          <t>Total Expected</t>
        </is>
      </c>
      <c r="B23" s="5">
        <f>SUM(C4:C19)</f>
        <v/>
      </c>
    </row>
    <row r="24">
      <c r="A24" t="inlineStr">
        <is>
          <t>Total Discovered</t>
        </is>
      </c>
      <c r="B24" s="5">
        <f>SUM(D4:D19)</f>
        <v/>
      </c>
    </row>
    <row r="25">
      <c r="A25" t="inlineStr">
        <is>
          <t>Overall Completeness %</t>
        </is>
      </c>
      <c r="B25" s="15">
        <f>IFERROR(B24/B23*100,0)</f>
        <v/>
      </c>
    </row>
    <row r="26">
      <c r="A26" t="inlineStr">
        <is>
          <t>Target</t>
        </is>
      </c>
      <c r="B26" s="5" t="inlineStr">
        <is>
          <t>98%</t>
        </is>
      </c>
    </row>
    <row r="27">
      <c r="A27" t="inlineStr">
        <is>
          <t>Gap vs. Target</t>
        </is>
      </c>
      <c r="B27" s="16">
        <f>B25-98</f>
        <v/>
      </c>
    </row>
  </sheetData>
  <mergeCells count="1">
    <mergeCell ref="A1:M1"/>
  </mergeCells>
  <conditionalFormatting sqref="E4:E19">
    <cfRule type="cellIs" priority="1" operator="greaterThanOrEqual" dxfId="0">
      <formula>98</formula>
    </cfRule>
    <cfRule type="cellIs" priority="2" operator="between" dxfId="1">
      <formula>88</formula>
      <formula>97</formula>
    </cfRule>
    <cfRule type="cellIs" priority="3" operator="lessThan" dxfId="2">
      <formula>88</formula>
    </cfRule>
  </conditionalFormatting>
  <dataValidations count="1">
    <dataValidation sqref="B4:B19" showDropDown="0" showInputMessage="0" showErrorMessage="0" allowBlank="1" type="list">
      <formula1>"Network Scan (Automated),CMDB/Asset Management System,Procurement Records,HR System Export,Manual Survey,License Audit,Physical Inspection,Department Interviews,Document Repository Scan,Cloud Provider API,Other (Specify)"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15" customWidth="1" min="5" max="5"/>
    <col width="18" customWidth="1" min="6" max="6"/>
    <col width="40" customWidth="1" min="7" max="7"/>
    <col width="30" customWidth="1" min="8" max="8"/>
    <col width="40" customWidth="1" min="9" max="9"/>
    <col width="25" customWidth="1" min="10" max="10"/>
    <col width="15" customWidth="1" min="11" max="11"/>
    <col width="15" customWidth="1" min="12" max="12"/>
    <col width="30" customWidth="1" min="13" max="13"/>
  </cols>
  <sheetData>
    <row r="1">
      <c r="A1" s="10" t="inlineStr">
        <is>
          <t>Applications Discovery Assessment</t>
        </is>
      </c>
    </row>
    <row r="3">
      <c r="A3" s="17" t="inlineStr">
        <is>
          <t>Asset Subcategory</t>
        </is>
      </c>
      <c r="B3" s="17" t="inlineStr">
        <is>
          <t>Discovery Method</t>
        </is>
      </c>
      <c r="C3" s="17" t="inlineStr">
        <is>
          <t>Expected Count</t>
        </is>
      </c>
      <c r="D3" s="17" t="inlineStr">
        <is>
          <t>Discovered Count</t>
        </is>
      </c>
      <c r="E3" s="17" t="inlineStr">
        <is>
          <t>Completeness %</t>
        </is>
      </c>
      <c r="F3" s="17" t="inlineStr">
        <is>
          <t>Compliance Status</t>
        </is>
      </c>
      <c r="G3" s="17" t="inlineStr">
        <is>
          <t>Gaps Identified</t>
        </is>
      </c>
      <c r="H3" s="17" t="inlineStr">
        <is>
          <t>Discovery Evidence</t>
        </is>
      </c>
      <c r="I3" s="17" t="inlineStr">
        <is>
          <t>Next Discovery Actions</t>
        </is>
      </c>
      <c r="J3" s="17" t="inlineStr">
        <is>
          <t>Responsible Party</t>
        </is>
      </c>
      <c r="K3" s="17" t="inlineStr">
        <is>
          <t>Target Date</t>
        </is>
      </c>
      <c r="L3" s="17" t="inlineStr">
        <is>
          <t>Evidence ID</t>
        </is>
      </c>
      <c r="M3" s="17" t="inlineStr">
        <is>
          <t>Notes</t>
        </is>
      </c>
    </row>
    <row r="4">
      <c r="A4" t="inlineStr">
        <is>
          <t>SaaS Applications (Licensed)</t>
        </is>
      </c>
      <c r="B4" s="12" t="n"/>
      <c r="C4" s="12" t="n"/>
      <c r="D4" s="12" t="n"/>
      <c r="E4" s="13">
        <f>IFERROR(D4/C4*100,0)</f>
        <v/>
      </c>
      <c r="F4" s="14">
        <f>IF(E4&gt;=90,"✅ Compliant",IF(E4&gt;=80,"⚠️ At Risk","❌ Non-Compliant"))</f>
        <v/>
      </c>
      <c r="G4" s="12" t="n"/>
      <c r="H4" s="12" t="n"/>
      <c r="I4" s="12" t="n"/>
      <c r="J4" s="12" t="n"/>
      <c r="K4" s="12" t="n"/>
      <c r="L4" s="12" t="n"/>
      <c r="M4" s="12" t="n"/>
    </row>
    <row r="5">
      <c r="A5" t="inlineStr">
        <is>
          <t>Cloud-Hosted Applications (Custom)</t>
        </is>
      </c>
      <c r="B5" s="12" t="n"/>
      <c r="C5" s="12" t="n"/>
      <c r="D5" s="12" t="n"/>
      <c r="E5" s="13">
        <f>IFERROR(D5/C5*100,0)</f>
        <v/>
      </c>
      <c r="F5" s="14">
        <f>IF(E5&gt;=90,"✅ Compliant",IF(E5&gt;=80,"⚠️ At Risk","❌ Non-Compliant"))</f>
        <v/>
      </c>
      <c r="G5" s="12" t="n"/>
      <c r="H5" s="12" t="n"/>
      <c r="I5" s="12" t="n"/>
      <c r="J5" s="12" t="n"/>
      <c r="K5" s="12" t="n"/>
      <c r="L5" s="12" t="n"/>
      <c r="M5" s="12" t="n"/>
    </row>
    <row r="6">
      <c r="A6" t="inlineStr">
        <is>
          <t>On-Premise Applications (COTS)</t>
        </is>
      </c>
      <c r="B6" s="12" t="n"/>
      <c r="C6" s="12" t="n"/>
      <c r="D6" s="12" t="n"/>
      <c r="E6" s="13">
        <f>IFERROR(D6/C6*100,0)</f>
        <v/>
      </c>
      <c r="F6" s="14">
        <f>IF(E6&gt;=90,"✅ Compliant",IF(E6&gt;=80,"⚠️ At Risk","❌ Non-Compliant"))</f>
        <v/>
      </c>
      <c r="G6" s="12" t="n"/>
      <c r="H6" s="12" t="n"/>
      <c r="I6" s="12" t="n"/>
      <c r="J6" s="12" t="n"/>
      <c r="K6" s="12" t="n"/>
      <c r="L6" s="12" t="n"/>
      <c r="M6" s="12" t="n"/>
    </row>
    <row r="7">
      <c r="A7" t="inlineStr">
        <is>
          <t>On-Premise Applications (Custom/In-House)</t>
        </is>
      </c>
      <c r="B7" s="12" t="n"/>
      <c r="C7" s="12" t="n"/>
      <c r="D7" s="12" t="n"/>
      <c r="E7" s="13">
        <f>IFERROR(D7/C7*100,0)</f>
        <v/>
      </c>
      <c r="F7" s="14">
        <f>IF(E7&gt;=90,"✅ Compliant",IF(E7&gt;=80,"⚠️ At Risk","❌ Non-Compliant"))</f>
        <v/>
      </c>
      <c r="G7" s="12" t="n"/>
      <c r="H7" s="12" t="n"/>
      <c r="I7" s="12" t="n"/>
      <c r="J7" s="12" t="n"/>
      <c r="K7" s="12" t="n"/>
      <c r="L7" s="12" t="n"/>
      <c r="M7" s="12" t="n"/>
    </row>
    <row r="8">
      <c r="A8" t="inlineStr">
        <is>
          <t>Database Management Systems</t>
        </is>
      </c>
      <c r="B8" s="12" t="n"/>
      <c r="C8" s="12" t="n"/>
      <c r="D8" s="12" t="n"/>
      <c r="E8" s="13">
        <f>IFERROR(D8/C8*100,0)</f>
        <v/>
      </c>
      <c r="F8" s="14">
        <f>IF(E8&gt;=90,"✅ Compliant",IF(E8&gt;=80,"⚠️ At Risk","❌ Non-Compliant"))</f>
        <v/>
      </c>
      <c r="G8" s="12" t="n"/>
      <c r="H8" s="12" t="n"/>
      <c r="I8" s="12" t="n"/>
      <c r="J8" s="12" t="n"/>
      <c r="K8" s="12" t="n"/>
      <c r="L8" s="12" t="n"/>
      <c r="M8" s="12" t="n"/>
    </row>
    <row r="9">
      <c r="A9" t="inlineStr">
        <is>
          <t>Middleware / Integration Platforms</t>
        </is>
      </c>
      <c r="B9" s="12" t="n"/>
      <c r="C9" s="12" t="n"/>
      <c r="D9" s="12" t="n"/>
      <c r="E9" s="13">
        <f>IFERROR(D9/C9*100,0)</f>
        <v/>
      </c>
      <c r="F9" s="14">
        <f>IF(E9&gt;=90,"✅ Compliant",IF(E9&gt;=80,"⚠️ At Risk","❌ Non-Compliant"))</f>
        <v/>
      </c>
      <c r="G9" s="12" t="n"/>
      <c r="H9" s="12" t="n"/>
      <c r="I9" s="12" t="n"/>
      <c r="J9" s="12" t="n"/>
      <c r="K9" s="12" t="n"/>
      <c r="L9" s="12" t="n"/>
      <c r="M9" s="12" t="n"/>
    </row>
    <row r="10">
      <c r="A10" t="inlineStr">
        <is>
          <t>Development Tools / IDEs</t>
        </is>
      </c>
      <c r="B10" s="12" t="n"/>
      <c r="C10" s="12" t="n"/>
      <c r="D10" s="12" t="n"/>
      <c r="E10" s="13">
        <f>IFERROR(D10/C10*100,0)</f>
        <v/>
      </c>
      <c r="F10" s="14">
        <f>IF(E10&gt;=90,"✅ Compliant",IF(E10&gt;=80,"⚠️ At Risk","❌ Non-Compliant"))</f>
        <v/>
      </c>
      <c r="G10" s="12" t="n"/>
      <c r="H10" s="12" t="n"/>
      <c r="I10" s="12" t="n"/>
      <c r="J10" s="12" t="n"/>
      <c r="K10" s="12" t="n"/>
      <c r="L10" s="12" t="n"/>
      <c r="M10" s="12" t="n"/>
    </row>
    <row r="11">
      <c r="A11" t="inlineStr">
        <is>
          <t>Security Tools (SIEM, EDR, Firewall)</t>
        </is>
      </c>
      <c r="B11" s="12" t="n"/>
      <c r="C11" s="12" t="n"/>
      <c r="D11" s="12" t="n"/>
      <c r="E11" s="13">
        <f>IFERROR(D11/C11*100,0)</f>
        <v/>
      </c>
      <c r="F11" s="14">
        <f>IF(E11&gt;=90,"✅ Compliant",IF(E11&gt;=80,"⚠️ At Risk","❌ Non-Compliant"))</f>
        <v/>
      </c>
      <c r="G11" s="12" t="n"/>
      <c r="H11" s="12" t="n"/>
      <c r="I11" s="12" t="n"/>
      <c r="J11" s="12" t="n"/>
      <c r="K11" s="12" t="n"/>
      <c r="L11" s="12" t="n"/>
      <c r="M11" s="12" t="n"/>
    </row>
    <row r="12">
      <c r="A12" t="inlineStr">
        <is>
          <t>Monitoring / Observability Tools</t>
        </is>
      </c>
      <c r="B12" s="12" t="n"/>
      <c r="C12" s="12" t="n"/>
      <c r="D12" s="12" t="n"/>
      <c r="E12" s="13">
        <f>IFERROR(D12/C12*100,0)</f>
        <v/>
      </c>
      <c r="F12" s="14">
        <f>IF(E12&gt;=90,"✅ Compliant",IF(E12&gt;=80,"⚠️ At Risk","❌ Non-Compliant"))</f>
        <v/>
      </c>
      <c r="G12" s="12" t="n"/>
      <c r="H12" s="12" t="n"/>
      <c r="I12" s="12" t="n"/>
      <c r="J12" s="12" t="n"/>
      <c r="K12" s="12" t="n"/>
      <c r="L12" s="12" t="n"/>
      <c r="M12" s="12" t="n"/>
    </row>
    <row r="13">
      <c r="A13" t="inlineStr">
        <is>
          <t>Backup / Recovery Software</t>
        </is>
      </c>
      <c r="B13" s="12" t="n"/>
      <c r="C13" s="12" t="n"/>
      <c r="D13" s="12" t="n"/>
      <c r="E13" s="13">
        <f>IFERROR(D13/C13*100,0)</f>
        <v/>
      </c>
      <c r="F13" s="14">
        <f>IF(E13&gt;=90,"✅ Compliant",IF(E13&gt;=80,"⚠️ At Risk","❌ Non-Compliant"))</f>
        <v/>
      </c>
      <c r="G13" s="12" t="n"/>
      <c r="H13" s="12" t="n"/>
      <c r="I13" s="12" t="n"/>
      <c r="J13" s="12" t="n"/>
      <c r="K13" s="12" t="n"/>
      <c r="L13" s="12" t="n"/>
      <c r="M13" s="12" t="n"/>
    </row>
    <row r="14">
      <c r="A14" t="inlineStr">
        <is>
          <t>Collaboration Tools (Slack, Teams, etc.)</t>
        </is>
      </c>
      <c r="B14" s="12" t="n"/>
      <c r="C14" s="12" t="n"/>
      <c r="D14" s="12" t="n"/>
      <c r="E14" s="13">
        <f>IFERROR(D14/C14*100,0)</f>
        <v/>
      </c>
      <c r="F14" s="14">
        <f>IF(E14&gt;=90,"✅ Compliant",IF(E14&gt;=80,"⚠️ At Risk","❌ Non-Compliant"))</f>
        <v/>
      </c>
      <c r="G14" s="12" t="n"/>
      <c r="H14" s="12" t="n"/>
      <c r="I14" s="12" t="n"/>
      <c r="J14" s="12" t="n"/>
      <c r="K14" s="12" t="n"/>
      <c r="L14" s="12" t="n"/>
      <c r="M14" s="12" t="n"/>
    </row>
    <row r="15">
      <c r="A15" t="inlineStr">
        <is>
          <t>Productivity Suites (Office 365, G Suite)</t>
        </is>
      </c>
      <c r="B15" s="12" t="n"/>
      <c r="C15" s="12" t="n"/>
      <c r="D15" s="12" t="n"/>
      <c r="E15" s="13">
        <f>IFERROR(D15/C15*100,0)</f>
        <v/>
      </c>
      <c r="F15" s="14">
        <f>IF(E15&gt;=90,"✅ Compliant",IF(E15&gt;=80,"⚠️ At Risk","❌ Non-Compliant"))</f>
        <v/>
      </c>
      <c r="G15" s="12" t="n"/>
      <c r="H15" s="12" t="n"/>
      <c r="I15" s="12" t="n"/>
      <c r="J15" s="12" t="n"/>
      <c r="K15" s="12" t="n"/>
      <c r="L15" s="12" t="n"/>
      <c r="M15" s="12" t="n"/>
    </row>
    <row r="16">
      <c r="A16" t="inlineStr">
        <is>
          <t>ERP / CRM Systems</t>
        </is>
      </c>
      <c r="B16" s="12" t="n"/>
      <c r="C16" s="12" t="n"/>
      <c r="D16" s="12" t="n"/>
      <c r="E16" s="13">
        <f>IFERROR(D16/C16*100,0)</f>
        <v/>
      </c>
      <c r="F16" s="14">
        <f>IF(E16&gt;=90,"✅ Compliant",IF(E16&gt;=80,"⚠️ At Risk","❌ Non-Compliant"))</f>
        <v/>
      </c>
      <c r="G16" s="12" t="n"/>
      <c r="H16" s="12" t="n"/>
      <c r="I16" s="12" t="n"/>
      <c r="J16" s="12" t="n"/>
      <c r="K16" s="12" t="n"/>
      <c r="L16" s="12" t="n"/>
      <c r="M16" s="12" t="n"/>
    </row>
    <row r="17">
      <c r="A17" t="inlineStr">
        <is>
          <t>HR Management Systems</t>
        </is>
      </c>
      <c r="B17" s="12" t="n"/>
      <c r="C17" s="12" t="n"/>
      <c r="D17" s="12" t="n"/>
      <c r="E17" s="13">
        <f>IFERROR(D17/C17*100,0)</f>
        <v/>
      </c>
      <c r="F17" s="14">
        <f>IF(E17&gt;=90,"✅ Compliant",IF(E17&gt;=80,"⚠️ At Risk","❌ Non-Compliant"))</f>
        <v/>
      </c>
      <c r="G17" s="12" t="n"/>
      <c r="H17" s="12" t="n"/>
      <c r="I17" s="12" t="n"/>
      <c r="J17" s="12" t="n"/>
      <c r="K17" s="12" t="n"/>
      <c r="L17" s="12" t="n"/>
      <c r="M17" s="12" t="n"/>
    </row>
    <row r="18">
      <c r="A18" t="inlineStr">
        <is>
          <t>Shadow IT (Unauthorized SaaS)</t>
        </is>
      </c>
      <c r="B18" s="12" t="n"/>
      <c r="C18" s="12" t="n"/>
      <c r="D18" s="12" t="n"/>
      <c r="E18" s="13">
        <f>IFERROR(D18/C18*100,0)</f>
        <v/>
      </c>
      <c r="F18" s="14">
        <f>IF(E18&gt;=90,"✅ Compliant",IF(E18&gt;=80,"⚠️ At Risk","❌ Non-Compliant"))</f>
        <v/>
      </c>
      <c r="G18" s="12" t="n"/>
      <c r="H18" s="12" t="n"/>
      <c r="I18" s="12" t="n"/>
      <c r="J18" s="12" t="n"/>
      <c r="K18" s="12" t="n"/>
      <c r="L18" s="12" t="n"/>
      <c r="M18" s="12" t="n"/>
    </row>
    <row r="21">
      <c r="A21" s="3" t="inlineStr">
        <is>
          <t>APPLICATIONS SUMMARY</t>
        </is>
      </c>
    </row>
    <row r="22">
      <c r="A22" t="inlineStr">
        <is>
          <t>Total Expected</t>
        </is>
      </c>
      <c r="B22" s="5">
        <f>SUM(C4:C18)</f>
        <v/>
      </c>
    </row>
    <row r="23">
      <c r="A23" t="inlineStr">
        <is>
          <t>Total Discovered</t>
        </is>
      </c>
      <c r="B23" s="5">
        <f>SUM(D4:D18)</f>
        <v/>
      </c>
    </row>
    <row r="24">
      <c r="A24" t="inlineStr">
        <is>
          <t>Overall Completeness %</t>
        </is>
      </c>
      <c r="B24" s="15">
        <f>IFERROR(B23/B22*100,0)</f>
        <v/>
      </c>
    </row>
    <row r="25">
      <c r="A25" t="inlineStr">
        <is>
          <t>Target</t>
        </is>
      </c>
      <c r="B25" s="5" t="inlineStr">
        <is>
          <t>90%</t>
        </is>
      </c>
    </row>
    <row r="26">
      <c r="A26" t="inlineStr">
        <is>
          <t>Gap vs. Target</t>
        </is>
      </c>
      <c r="B26" s="13">
        <f>B24-90</f>
        <v/>
      </c>
    </row>
  </sheetData>
  <mergeCells count="1">
    <mergeCell ref="A1:M1"/>
  </mergeCells>
  <conditionalFormatting sqref="E4:E18">
    <cfRule type="cellIs" priority="1" operator="greaterThanOrEqual" dxfId="0">
      <formula>90</formula>
    </cfRule>
    <cfRule type="cellIs" priority="2" operator="between" dxfId="1">
      <formula>80</formula>
      <formula>89</formula>
    </cfRule>
    <cfRule type="cellIs" priority="3" operator="lessThan" dxfId="2">
      <formula>80</formula>
    </cfRule>
  </conditionalFormatting>
  <dataValidations count="1">
    <dataValidation sqref="B4:B18" showDropDown="0" showInputMessage="0" showErrorMessage="0" allowBlank="1" type="list">
      <formula1>"Network Scan (Automated),CMDB/Asset Management System,Procurement Records,HR System Export,Manual Survey,License Audit,Physical Inspection,Department Interviews,Document Repository Scan,Cloud Provider API,Other (Specify)"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15" customWidth="1" min="5" max="5"/>
    <col width="18" customWidth="1" min="6" max="6"/>
    <col width="40" customWidth="1" min="7" max="7"/>
    <col width="30" customWidth="1" min="8" max="8"/>
    <col width="40" customWidth="1" min="9" max="9"/>
    <col width="25" customWidth="1" min="10" max="10"/>
    <col width="15" customWidth="1" min="11" max="11"/>
    <col width="15" customWidth="1" min="12" max="12"/>
    <col width="30" customWidth="1" min="13" max="13"/>
  </cols>
  <sheetData>
    <row r="1">
      <c r="A1" s="18" t="inlineStr">
        <is>
          <t>Physical Assets Discovery Assessment</t>
        </is>
      </c>
    </row>
    <row r="3">
      <c r="A3" s="17" t="inlineStr">
        <is>
          <t>Asset Subcategory</t>
        </is>
      </c>
      <c r="B3" s="17" t="inlineStr">
        <is>
          <t>Discovery Method</t>
        </is>
      </c>
      <c r="C3" s="17" t="inlineStr">
        <is>
          <t>Expected Count</t>
        </is>
      </c>
      <c r="D3" s="17" t="inlineStr">
        <is>
          <t>Discovered Count</t>
        </is>
      </c>
      <c r="E3" s="17" t="inlineStr">
        <is>
          <t>Completeness %</t>
        </is>
      </c>
      <c r="F3" s="17" t="inlineStr">
        <is>
          <t>Compliance Status</t>
        </is>
      </c>
      <c r="G3" s="17" t="inlineStr">
        <is>
          <t>Gaps Identified</t>
        </is>
      </c>
      <c r="H3" s="17" t="inlineStr">
        <is>
          <t>Discovery Evidence</t>
        </is>
      </c>
      <c r="I3" s="17" t="inlineStr">
        <is>
          <t>Next Discovery Actions</t>
        </is>
      </c>
      <c r="J3" s="17" t="inlineStr">
        <is>
          <t>Responsible Party</t>
        </is>
      </c>
      <c r="K3" s="17" t="inlineStr">
        <is>
          <t>Target Date</t>
        </is>
      </c>
      <c r="L3" s="17" t="inlineStr">
        <is>
          <t>Evidence ID</t>
        </is>
      </c>
      <c r="M3" s="17" t="inlineStr">
        <is>
          <t>Notes</t>
        </is>
      </c>
    </row>
    <row r="4">
      <c r="A4" t="inlineStr">
        <is>
          <t>Data Centers / Server Rooms</t>
        </is>
      </c>
      <c r="B4" s="12" t="n"/>
      <c r="C4" s="12" t="n"/>
      <c r="D4" s="12" t="n"/>
      <c r="E4" s="13">
        <f>IFERROR(D4/C4*100,0)</f>
        <v/>
      </c>
      <c r="F4" s="14">
        <f>IF(E4&gt;=90,"✅ Compliant",IF(E4&gt;=80,"⚠️ At Risk","❌ Non-Compliant"))</f>
        <v/>
      </c>
      <c r="G4" s="12" t="n"/>
      <c r="H4" s="12" t="n"/>
      <c r="I4" s="12" t="n"/>
      <c r="J4" s="12" t="n"/>
      <c r="K4" s="12" t="n"/>
      <c r="L4" s="12" t="n"/>
      <c r="M4" s="12" t="n"/>
    </row>
    <row r="5">
      <c r="A5" t="inlineStr">
        <is>
          <t>Office Facilities</t>
        </is>
      </c>
      <c r="B5" s="12" t="n"/>
      <c r="C5" s="12" t="n"/>
      <c r="D5" s="12" t="n"/>
      <c r="E5" s="13">
        <f>IFERROR(D5/C5*100,0)</f>
        <v/>
      </c>
      <c r="F5" s="14">
        <f>IF(E5&gt;=90,"✅ Compliant",IF(E5&gt;=80,"⚠️ At Risk","❌ Non-Compliant"))</f>
        <v/>
      </c>
      <c r="G5" s="12" t="n"/>
      <c r="H5" s="12" t="n"/>
      <c r="I5" s="12" t="n"/>
      <c r="J5" s="12" t="n"/>
      <c r="K5" s="12" t="n"/>
      <c r="L5" s="12" t="n"/>
      <c r="M5" s="12" t="n"/>
    </row>
    <row r="6">
      <c r="A6" t="inlineStr">
        <is>
          <t>Storage Facilities (Offsite)</t>
        </is>
      </c>
      <c r="B6" s="12" t="n"/>
      <c r="C6" s="12" t="n"/>
      <c r="D6" s="12" t="n"/>
      <c r="E6" s="13">
        <f>IFERROR(D6/C6*100,0)</f>
        <v/>
      </c>
      <c r="F6" s="14">
        <f>IF(E6&gt;=90,"✅ Compliant",IF(E6&gt;=80,"⚠️ At Risk","❌ Non-Compliant"))</f>
        <v/>
      </c>
      <c r="G6" s="12" t="n"/>
      <c r="H6" s="12" t="n"/>
      <c r="I6" s="12" t="n"/>
      <c r="J6" s="12" t="n"/>
      <c r="K6" s="12" t="n"/>
      <c r="L6" s="12" t="n"/>
      <c r="M6" s="12" t="n"/>
    </row>
    <row r="7">
      <c r="A7" t="inlineStr">
        <is>
          <t>Backup Tape Libraries (Offsite)</t>
        </is>
      </c>
      <c r="B7" s="12" t="n"/>
      <c r="C7" s="12" t="n"/>
      <c r="D7" s="12" t="n"/>
      <c r="E7" s="13">
        <f>IFERROR(D7/C7*100,0)</f>
        <v/>
      </c>
      <c r="F7" s="14">
        <f>IF(E7&gt;=90,"✅ Compliant",IF(E7&gt;=80,"⚠️ At Risk","❌ Non-Compliant"))</f>
        <v/>
      </c>
      <c r="G7" s="12" t="n"/>
      <c r="H7" s="12" t="n"/>
      <c r="I7" s="12" t="n"/>
      <c r="J7" s="12" t="n"/>
      <c r="K7" s="12" t="n"/>
      <c r="L7" s="12" t="n"/>
      <c r="M7" s="12" t="n"/>
    </row>
    <row r="8">
      <c r="A8" t="inlineStr">
        <is>
          <t>Removable Media (USB Drives, External HDDs)</t>
        </is>
      </c>
      <c r="B8" s="12" t="n"/>
      <c r="C8" s="12" t="n"/>
      <c r="D8" s="12" t="n"/>
      <c r="E8" s="13">
        <f>IFERROR(D8/C8*100,0)</f>
        <v/>
      </c>
      <c r="F8" s="14">
        <f>IF(E8&gt;=90,"✅ Compliant",IF(E8&gt;=80,"⚠️ At Risk","❌ Non-Compliant"))</f>
        <v/>
      </c>
      <c r="G8" s="12" t="n"/>
      <c r="H8" s="12" t="n"/>
      <c r="I8" s="12" t="n"/>
      <c r="J8" s="12" t="n"/>
      <c r="K8" s="12" t="n"/>
      <c r="L8" s="12" t="n"/>
      <c r="M8" s="12" t="n"/>
    </row>
    <row r="9">
      <c r="A9" t="inlineStr">
        <is>
          <t>Paper Records / File Cabinets</t>
        </is>
      </c>
      <c r="B9" s="12" t="n"/>
      <c r="C9" s="12" t="n"/>
      <c r="D9" s="12" t="n"/>
      <c r="E9" s="13">
        <f>IFERROR(D9/C9*100,0)</f>
        <v/>
      </c>
      <c r="F9" s="14">
        <f>IF(E9&gt;=90,"✅ Compliant",IF(E9&gt;=80,"⚠️ At Risk","❌ Non-Compliant"))</f>
        <v/>
      </c>
      <c r="G9" s="12" t="n"/>
      <c r="H9" s="12" t="n"/>
      <c r="I9" s="12" t="n"/>
      <c r="J9" s="12" t="n"/>
      <c r="K9" s="12" t="n"/>
      <c r="L9" s="12" t="n"/>
      <c r="M9" s="12" t="n"/>
    </row>
    <row r="10">
      <c r="A10" t="inlineStr">
        <is>
          <t>Safes / Secure Storage</t>
        </is>
      </c>
      <c r="B10" s="12" t="n"/>
      <c r="C10" s="12" t="n"/>
      <c r="D10" s="12" t="n"/>
      <c r="E10" s="13">
        <f>IFERROR(D10/C10*100,0)</f>
        <v/>
      </c>
      <c r="F10" s="14">
        <f>IF(E10&gt;=90,"✅ Compliant",IF(E10&gt;=80,"⚠️ At Risk","❌ Non-Compliant"))</f>
        <v/>
      </c>
      <c r="G10" s="12" t="n"/>
      <c r="H10" s="12" t="n"/>
      <c r="I10" s="12" t="n"/>
      <c r="J10" s="12" t="n"/>
      <c r="K10" s="12" t="n"/>
      <c r="L10" s="12" t="n"/>
      <c r="M10" s="12" t="n"/>
    </row>
    <row r="11">
      <c r="A11" t="inlineStr">
        <is>
          <t>Badge Readers / Access Control Systems</t>
        </is>
      </c>
      <c r="B11" s="12" t="n"/>
      <c r="C11" s="12" t="n"/>
      <c r="D11" s="12" t="n"/>
      <c r="E11" s="13">
        <f>IFERROR(D11/C11*100,0)</f>
        <v/>
      </c>
      <c r="F11" s="14">
        <f>IF(E11&gt;=90,"✅ Compliant",IF(E11&gt;=80,"⚠️ At Risk","❌ Non-Compliant"))</f>
        <v/>
      </c>
      <c r="G11" s="12" t="n"/>
      <c r="H11" s="12" t="n"/>
      <c r="I11" s="12" t="n"/>
      <c r="J11" s="12" t="n"/>
      <c r="K11" s="12" t="n"/>
      <c r="L11" s="12" t="n"/>
      <c r="M11" s="12" t="n"/>
    </row>
    <row r="12">
      <c r="A12" t="inlineStr">
        <is>
          <t>CCTV / Surveillance Systems</t>
        </is>
      </c>
      <c r="B12" s="12" t="n"/>
      <c r="C12" s="12" t="n"/>
      <c r="D12" s="12" t="n"/>
      <c r="E12" s="13">
        <f>IFERROR(D12/C12*100,0)</f>
        <v/>
      </c>
      <c r="F12" s="14">
        <f>IF(E12&gt;=90,"✅ Compliant",IF(E12&gt;=80,"⚠️ At Risk","❌ Non-Compliant"))</f>
        <v/>
      </c>
      <c r="G12" s="12" t="n"/>
      <c r="H12" s="12" t="n"/>
      <c r="I12" s="12" t="n"/>
      <c r="J12" s="12" t="n"/>
      <c r="K12" s="12" t="n"/>
      <c r="L12" s="12" t="n"/>
      <c r="M12" s="12" t="n"/>
    </row>
    <row r="13">
      <c r="A13" t="inlineStr">
        <is>
          <t>Environmental Controls (HVAC, Fire Suppression)</t>
        </is>
      </c>
      <c r="B13" s="12" t="n"/>
      <c r="C13" s="12" t="n"/>
      <c r="D13" s="12" t="n"/>
      <c r="E13" s="13">
        <f>IFERROR(D13/C13*100,0)</f>
        <v/>
      </c>
      <c r="F13" s="14">
        <f>IF(E13&gt;=90,"✅ Compliant",IF(E13&gt;=80,"⚠️ At Risk","❌ Non-Compliant"))</f>
        <v/>
      </c>
      <c r="G13" s="12" t="n"/>
      <c r="H13" s="12" t="n"/>
      <c r="I13" s="12" t="n"/>
      <c r="J13" s="12" t="n"/>
      <c r="K13" s="12" t="n"/>
      <c r="L13" s="12" t="n"/>
      <c r="M13" s="12" t="n"/>
    </row>
    <row r="14">
      <c r="A14" t="inlineStr">
        <is>
          <t>Power Infrastructure (UPS, Generators)</t>
        </is>
      </c>
      <c r="B14" s="12" t="n"/>
      <c r="C14" s="12" t="n"/>
      <c r="D14" s="12" t="n"/>
      <c r="E14" s="13">
        <f>IFERROR(D14/C14*100,0)</f>
        <v/>
      </c>
      <c r="F14" s="14">
        <f>IF(E14&gt;=90,"✅ Compliant",IF(E14&gt;=80,"⚠️ At Risk","❌ Non-Compliant"))</f>
        <v/>
      </c>
      <c r="G14" s="12" t="n"/>
      <c r="H14" s="12" t="n"/>
      <c r="I14" s="12" t="n"/>
      <c r="J14" s="12" t="n"/>
      <c r="K14" s="12" t="n"/>
      <c r="L14" s="12" t="n"/>
      <c r="M14" s="12" t="n"/>
    </row>
    <row r="15">
      <c r="A15" t="inlineStr">
        <is>
          <t>Network Cabling Infrastructure</t>
        </is>
      </c>
      <c r="B15" s="12" t="n"/>
      <c r="C15" s="12" t="n"/>
      <c r="D15" s="12" t="n"/>
      <c r="E15" s="13">
        <f>IFERROR(D15/C15*100,0)</f>
        <v/>
      </c>
      <c r="F15" s="14">
        <f>IF(E15&gt;=90,"✅ Compliant",IF(E15&gt;=80,"⚠️ At Risk","❌ Non-Compliant"))</f>
        <v/>
      </c>
      <c r="G15" s="12" t="n"/>
      <c r="H15" s="12" t="n"/>
      <c r="I15" s="12" t="n"/>
      <c r="J15" s="12" t="n"/>
      <c r="K15" s="12" t="n"/>
      <c r="L15" s="12" t="n"/>
      <c r="M15" s="12" t="n"/>
    </row>
    <row r="18">
      <c r="A18" s="3" t="inlineStr">
        <is>
          <t>PHYSICAL ASSETS SUMMARY</t>
        </is>
      </c>
    </row>
    <row r="19">
      <c r="A19" t="inlineStr">
        <is>
          <t>Total Expected</t>
        </is>
      </c>
      <c r="B19">
        <f>SUM(C4:C15)</f>
        <v/>
      </c>
    </row>
    <row r="20">
      <c r="A20" t="inlineStr">
        <is>
          <t>Total Discovered</t>
        </is>
      </c>
      <c r="B20">
        <f>SUM(D4:D15)</f>
        <v/>
      </c>
    </row>
    <row r="21">
      <c r="A21" t="inlineStr">
        <is>
          <t>Overall Completeness %</t>
        </is>
      </c>
      <c r="B21" s="15">
        <f>IFERROR(B20/B19*100,0)</f>
        <v/>
      </c>
    </row>
    <row r="22">
      <c r="A22" t="inlineStr">
        <is>
          <t>Target</t>
        </is>
      </c>
      <c r="B22" t="inlineStr">
        <is>
          <t>90%</t>
        </is>
      </c>
    </row>
    <row r="23">
      <c r="A23" t="inlineStr">
        <is>
          <t>Gap vs. Target</t>
        </is>
      </c>
      <c r="B23" s="13">
        <f>B21-90</f>
        <v/>
      </c>
    </row>
  </sheetData>
  <mergeCells count="1">
    <mergeCell ref="A1:M1"/>
  </mergeCells>
  <conditionalFormatting sqref="E4:E15">
    <cfRule type="cellIs" priority="1" operator="greaterThanOrEqual" dxfId="0">
      <formula>90</formula>
    </cfRule>
    <cfRule type="cellIs" priority="2" operator="between" dxfId="1">
      <formula>80</formula>
      <formula>89</formula>
    </cfRule>
    <cfRule type="cellIs" priority="3" operator="lessThan" dxfId="2">
      <formula>80</formula>
    </cfRule>
  </conditionalFormatting>
  <dataValidations count="1">
    <dataValidation sqref="B4:B15" showDropDown="0" showInputMessage="0" showErrorMessage="0" allowBlank="1" type="list">
      <formula1>"Network Scan (Automated),CMDB/Asset Management System,Procurement Records,HR System Export,Manual Survey,License Audit,Physical Inspection,Department Interviews,Document Repository Scan,Cloud Provider API,Other (Specify)"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15" customWidth="1" min="5" max="5"/>
    <col width="18" customWidth="1" min="6" max="6"/>
    <col width="40" customWidth="1" min="7" max="7"/>
    <col width="30" customWidth="1" min="8" max="8"/>
    <col width="40" customWidth="1" min="9" max="9"/>
    <col width="25" customWidth="1" min="10" max="10"/>
    <col width="15" customWidth="1" min="11" max="11"/>
    <col width="15" customWidth="1" min="12" max="12"/>
    <col width="30" customWidth="1" min="13" max="13"/>
  </cols>
  <sheetData>
    <row r="1">
      <c r="A1" s="18" t="inlineStr">
        <is>
          <t>Personnel Assets Discovery Assessment</t>
        </is>
      </c>
    </row>
    <row r="3">
      <c r="A3" s="17" t="inlineStr">
        <is>
          <t>Asset Subcategory</t>
        </is>
      </c>
      <c r="B3" s="17" t="inlineStr">
        <is>
          <t>Discovery Method</t>
        </is>
      </c>
      <c r="C3" s="17" t="inlineStr">
        <is>
          <t>Expected Count</t>
        </is>
      </c>
      <c r="D3" s="17" t="inlineStr">
        <is>
          <t>Discovered Count</t>
        </is>
      </c>
      <c r="E3" s="17" t="inlineStr">
        <is>
          <t>Completeness %</t>
        </is>
      </c>
      <c r="F3" s="17" t="inlineStr">
        <is>
          <t>Compliance Status</t>
        </is>
      </c>
      <c r="G3" s="17" t="inlineStr">
        <is>
          <t>Gaps Identified</t>
        </is>
      </c>
      <c r="H3" s="17" t="inlineStr">
        <is>
          <t>Discovery Evidence</t>
        </is>
      </c>
      <c r="I3" s="17" t="inlineStr">
        <is>
          <t>Next Discovery Actions</t>
        </is>
      </c>
      <c r="J3" s="17" t="inlineStr">
        <is>
          <t>Responsible Party</t>
        </is>
      </c>
      <c r="K3" s="17" t="inlineStr">
        <is>
          <t>Target Date</t>
        </is>
      </c>
      <c r="L3" s="17" t="inlineStr">
        <is>
          <t>Evidence ID</t>
        </is>
      </c>
      <c r="M3" s="17" t="inlineStr">
        <is>
          <t>Notes</t>
        </is>
      </c>
    </row>
    <row r="4">
      <c r="A4" t="inlineStr">
        <is>
          <t>Executive Management (C-Suite)</t>
        </is>
      </c>
      <c r="B4" s="12" t="n"/>
      <c r="C4" s="12" t="n"/>
      <c r="D4" s="12" t="n"/>
      <c r="E4" s="13">
        <f>IFERROR(D4/C4*100,0)</f>
        <v/>
      </c>
      <c r="F4" s="14">
        <f>IF(E4=100,"✅ Compliant",IF(E4&gt;=90,"⚠️ At Risk","❌ Non-Compliant"))</f>
        <v/>
      </c>
      <c r="G4" s="12" t="n"/>
      <c r="H4" s="12" t="n"/>
      <c r="I4" s="12" t="n"/>
      <c r="J4" s="12" t="n"/>
      <c r="K4" s="12" t="n"/>
      <c r="L4" s="12" t="n"/>
      <c r="M4" s="12" t="n"/>
    </row>
    <row r="5">
      <c r="A5" t="inlineStr">
        <is>
          <t>Department Heads / Managers</t>
        </is>
      </c>
      <c r="B5" s="12" t="n"/>
      <c r="C5" s="12" t="n"/>
      <c r="D5" s="12" t="n"/>
      <c r="E5" s="13">
        <f>IFERROR(D5/C5*100,0)</f>
        <v/>
      </c>
      <c r="F5" s="14">
        <f>IF(E5=100,"✅ Compliant",IF(E5&gt;=90,"⚠️ At Risk","❌ Non-Compliant"))</f>
        <v/>
      </c>
      <c r="G5" s="12" t="n"/>
      <c r="H5" s="12" t="n"/>
      <c r="I5" s="12" t="n"/>
      <c r="J5" s="12" t="n"/>
      <c r="K5" s="12" t="n"/>
      <c r="L5" s="12" t="n"/>
      <c r="M5" s="12" t="n"/>
    </row>
    <row r="6">
      <c r="A6" t="inlineStr">
        <is>
          <t>Information Security Team</t>
        </is>
      </c>
      <c r="B6" s="12" t="n"/>
      <c r="C6" s="12" t="n"/>
      <c r="D6" s="12" t="n"/>
      <c r="E6" s="13">
        <f>IFERROR(D6/C6*100,0)</f>
        <v/>
      </c>
      <c r="F6" s="14">
        <f>IF(E6=100,"✅ Compliant",IF(E6&gt;=90,"⚠️ At Risk","❌ Non-Compliant"))</f>
        <v/>
      </c>
      <c r="G6" s="12" t="n"/>
      <c r="H6" s="12" t="n"/>
      <c r="I6" s="12" t="n"/>
      <c r="J6" s="12" t="n"/>
      <c r="K6" s="12" t="n"/>
      <c r="L6" s="12" t="n"/>
      <c r="M6" s="12" t="n"/>
    </row>
    <row r="7">
      <c r="A7" t="inlineStr">
        <is>
          <t>IT Operations Team</t>
        </is>
      </c>
      <c r="B7" s="12" t="n"/>
      <c r="C7" s="12" t="n"/>
      <c r="D7" s="12" t="n"/>
      <c r="E7" s="13">
        <f>IFERROR(D7/C7*100,0)</f>
        <v/>
      </c>
      <c r="F7" s="14">
        <f>IF(E7=100,"✅ Compliant",IF(E7&gt;=90,"⚠️ At Risk","❌ Non-Compliant"))</f>
        <v/>
      </c>
      <c r="G7" s="12" t="n"/>
      <c r="H7" s="12" t="n"/>
      <c r="I7" s="12" t="n"/>
      <c r="J7" s="12" t="n"/>
      <c r="K7" s="12" t="n"/>
      <c r="L7" s="12" t="n"/>
      <c r="M7" s="12" t="n"/>
    </row>
    <row r="8">
      <c r="A8" t="inlineStr">
        <is>
          <t>Developers / Engineers</t>
        </is>
      </c>
      <c r="B8" s="12" t="n"/>
      <c r="C8" s="12" t="n"/>
      <c r="D8" s="12" t="n"/>
      <c r="E8" s="13">
        <f>IFERROR(D8/C8*100,0)</f>
        <v/>
      </c>
      <c r="F8" s="14">
        <f>IF(E8=100,"✅ Compliant",IF(E8&gt;=90,"⚠️ At Risk","❌ Non-Compliant"))</f>
        <v/>
      </c>
      <c r="G8" s="12" t="n"/>
      <c r="H8" s="12" t="n"/>
      <c r="I8" s="12" t="n"/>
      <c r="J8" s="12" t="n"/>
      <c r="K8" s="12" t="n"/>
      <c r="L8" s="12" t="n"/>
      <c r="M8" s="12" t="n"/>
    </row>
    <row r="9">
      <c r="A9" t="inlineStr">
        <is>
          <t>Database Administrators</t>
        </is>
      </c>
      <c r="B9" s="12" t="n"/>
      <c r="C9" s="12" t="n"/>
      <c r="D9" s="12" t="n"/>
      <c r="E9" s="13">
        <f>IFERROR(D9/C9*100,0)</f>
        <v/>
      </c>
      <c r="F9" s="14">
        <f>IF(E9=100,"✅ Compliant",IF(E9&gt;=90,"⚠️ At Risk","❌ Non-Compliant"))</f>
        <v/>
      </c>
      <c r="G9" s="12" t="n"/>
      <c r="H9" s="12" t="n"/>
      <c r="I9" s="12" t="n"/>
      <c r="J9" s="12" t="n"/>
      <c r="K9" s="12" t="n"/>
      <c r="L9" s="12" t="n"/>
      <c r="M9" s="12" t="n"/>
    </row>
    <row r="10">
      <c r="A10" t="inlineStr">
        <is>
          <t>System Administrators</t>
        </is>
      </c>
      <c r="B10" s="12" t="n"/>
      <c r="C10" s="12" t="n"/>
      <c r="D10" s="12" t="n"/>
      <c r="E10" s="13">
        <f>IFERROR(D10/C10*100,0)</f>
        <v/>
      </c>
      <c r="F10" s="14">
        <f>IF(E10=100,"✅ Compliant",IF(E10&gt;=90,"⚠️ At Risk","❌ Non-Compliant"))</f>
        <v/>
      </c>
      <c r="G10" s="12" t="n"/>
      <c r="H10" s="12" t="n"/>
      <c r="I10" s="12" t="n"/>
      <c r="J10" s="12" t="n"/>
      <c r="K10" s="12" t="n"/>
      <c r="L10" s="12" t="n"/>
      <c r="M10" s="12" t="n"/>
    </row>
    <row r="11">
      <c r="A11" t="inlineStr">
        <is>
          <t>Network Engineers</t>
        </is>
      </c>
      <c r="B11" s="12" t="n"/>
      <c r="C11" s="12" t="n"/>
      <c r="D11" s="12" t="n"/>
      <c r="E11" s="13">
        <f>IFERROR(D11/C11*100,0)</f>
        <v/>
      </c>
      <c r="F11" s="14">
        <f>IF(E11=100,"✅ Compliant",IF(E11&gt;=90,"⚠️ At Risk","❌ Non-Compliant"))</f>
        <v/>
      </c>
      <c r="G11" s="12" t="n"/>
      <c r="H11" s="12" t="n"/>
      <c r="I11" s="12" t="n"/>
      <c r="J11" s="12" t="n"/>
      <c r="K11" s="12" t="n"/>
      <c r="L11" s="12" t="n"/>
      <c r="M11" s="12" t="n"/>
    </row>
    <row r="12">
      <c r="A12" t="inlineStr">
        <is>
          <t>Security Analysts / SOC</t>
        </is>
      </c>
      <c r="B12" s="12" t="n"/>
      <c r="C12" s="12" t="n"/>
      <c r="D12" s="12" t="n"/>
      <c r="E12" s="13">
        <f>IFERROR(D12/C12*100,0)</f>
        <v/>
      </c>
      <c r="F12" s="14">
        <f>IF(E12=100,"✅ Compliant",IF(E12&gt;=90,"⚠️ At Risk","❌ Non-Compliant"))</f>
        <v/>
      </c>
      <c r="G12" s="12" t="n"/>
      <c r="H12" s="12" t="n"/>
      <c r="I12" s="12" t="n"/>
      <c r="J12" s="12" t="n"/>
      <c r="K12" s="12" t="n"/>
      <c r="L12" s="12" t="n"/>
      <c r="M12" s="12" t="n"/>
    </row>
    <row r="13">
      <c r="A13" t="inlineStr">
        <is>
          <t>Compliance Officers</t>
        </is>
      </c>
      <c r="B13" s="12" t="n"/>
      <c r="C13" s="12" t="n"/>
      <c r="D13" s="12" t="n"/>
      <c r="E13" s="13">
        <f>IFERROR(D13/C13*100,0)</f>
        <v/>
      </c>
      <c r="F13" s="14">
        <f>IF(E13=100,"✅ Compliant",IF(E13&gt;=90,"⚠️ At Risk","❌ Non-Compliant"))</f>
        <v/>
      </c>
      <c r="G13" s="12" t="n"/>
      <c r="H13" s="12" t="n"/>
      <c r="I13" s="12" t="n"/>
      <c r="J13" s="12" t="n"/>
      <c r="K13" s="12" t="n"/>
      <c r="L13" s="12" t="n"/>
      <c r="M13" s="12" t="n"/>
    </row>
    <row r="14">
      <c r="A14" t="inlineStr">
        <is>
          <t>Data Protection Officers</t>
        </is>
      </c>
      <c r="B14" s="12" t="n"/>
      <c r="C14" s="12" t="n"/>
      <c r="D14" s="12" t="n"/>
      <c r="E14" s="13">
        <f>IFERROR(D14/C14*100,0)</f>
        <v/>
      </c>
      <c r="F14" s="14">
        <f>IF(E14=100,"✅ Compliant",IF(E14&gt;=90,"⚠️ At Risk","❌ Non-Compliant"))</f>
        <v/>
      </c>
      <c r="G14" s="12" t="n"/>
      <c r="H14" s="12" t="n"/>
      <c r="I14" s="12" t="n"/>
      <c r="J14" s="12" t="n"/>
      <c r="K14" s="12" t="n"/>
      <c r="L14" s="12" t="n"/>
      <c r="M14" s="12" t="n"/>
    </row>
    <row r="15">
      <c r="A15" t="inlineStr">
        <is>
          <t>Key Subject Matter Experts</t>
        </is>
      </c>
      <c r="B15" s="12" t="n"/>
      <c r="C15" s="12" t="n"/>
      <c r="D15" s="12" t="n"/>
      <c r="E15" s="13">
        <f>IFERROR(D15/C15*100,0)</f>
        <v/>
      </c>
      <c r="F15" s="14">
        <f>IF(E15=100,"✅ Compliant",IF(E15&gt;=90,"⚠️ At Risk","❌ Non-Compliant"))</f>
        <v/>
      </c>
      <c r="G15" s="12" t="n"/>
      <c r="H15" s="12" t="n"/>
      <c r="I15" s="12" t="n"/>
      <c r="J15" s="12" t="n"/>
      <c r="K15" s="12" t="n"/>
      <c r="L15" s="12" t="n"/>
      <c r="M15" s="12" t="n"/>
    </row>
    <row r="16">
      <c r="A16" t="inlineStr">
        <is>
          <t>Critical Project Personnel</t>
        </is>
      </c>
      <c r="B16" s="12" t="n"/>
      <c r="C16" s="12" t="n"/>
      <c r="D16" s="12" t="n"/>
      <c r="E16" s="13">
        <f>IFERROR(D16/C16*100,0)</f>
        <v/>
      </c>
      <c r="F16" s="14">
        <f>IF(E16=100,"✅ Compliant",IF(E16&gt;=90,"⚠️ At Risk","❌ Non-Compliant"))</f>
        <v/>
      </c>
      <c r="G16" s="12" t="n"/>
      <c r="H16" s="12" t="n"/>
      <c r="I16" s="12" t="n"/>
      <c r="J16" s="12" t="n"/>
      <c r="K16" s="12" t="n"/>
      <c r="L16" s="12" t="n"/>
      <c r="M16" s="12" t="n"/>
    </row>
    <row r="17">
      <c r="A17" t="inlineStr">
        <is>
          <t>Contractors (Long-term)</t>
        </is>
      </c>
      <c r="B17" s="12" t="n"/>
      <c r="C17" s="12" t="n"/>
      <c r="D17" s="12" t="n"/>
      <c r="E17" s="13">
        <f>IFERROR(D17/C17*100,0)</f>
        <v/>
      </c>
      <c r="F17" s="14">
        <f>IF(E17=100,"✅ Compliant",IF(E17&gt;=90,"⚠️ At Risk","❌ Non-Compliant"))</f>
        <v/>
      </c>
      <c r="G17" s="12" t="n"/>
      <c r="H17" s="12" t="n"/>
      <c r="I17" s="12" t="n"/>
      <c r="J17" s="12" t="n"/>
      <c r="K17" s="12" t="n"/>
      <c r="L17" s="12" t="n"/>
      <c r="M17" s="12" t="n"/>
    </row>
    <row r="18">
      <c r="A18" t="inlineStr">
        <is>
          <t>External Service Providers (Key Personnel)</t>
        </is>
      </c>
      <c r="B18" s="12" t="n"/>
      <c r="C18" s="12" t="n"/>
      <c r="D18" s="12" t="n"/>
      <c r="E18" s="13">
        <f>IFERROR(D18/C18*100,0)</f>
        <v/>
      </c>
      <c r="F18" s="14">
        <f>IF(E18=100,"✅ Compliant",IF(E18&gt;=90,"⚠️ At Risk","❌ Non-Compliant"))</f>
        <v/>
      </c>
      <c r="G18" s="12" t="n"/>
      <c r="H18" s="12" t="n"/>
      <c r="I18" s="12" t="n"/>
      <c r="J18" s="12" t="n"/>
      <c r="K18" s="12" t="n"/>
      <c r="L18" s="12" t="n"/>
      <c r="M18" s="12" t="n"/>
    </row>
    <row r="21">
      <c r="A21" s="3" t="inlineStr">
        <is>
          <t>PERSONNEL ASSETS SUMMARY</t>
        </is>
      </c>
    </row>
    <row r="22">
      <c r="A22" t="inlineStr">
        <is>
          <t>Total Expected</t>
        </is>
      </c>
      <c r="B22">
        <f>SUM(C4:C18)</f>
        <v/>
      </c>
    </row>
    <row r="23">
      <c r="A23" t="inlineStr">
        <is>
          <t>Total Discovered</t>
        </is>
      </c>
      <c r="B23">
        <f>SUM(D4:D18)</f>
        <v/>
      </c>
    </row>
    <row r="24">
      <c r="A24" t="inlineStr">
        <is>
          <t>Overall Completeness %</t>
        </is>
      </c>
      <c r="B24" s="15">
        <f>IFERROR(B23/B22*100,0)</f>
        <v/>
      </c>
    </row>
    <row r="25">
      <c r="A25" t="inlineStr">
        <is>
          <t>Target</t>
        </is>
      </c>
      <c r="B25" s="19" t="inlineStr">
        <is>
          <t>100%</t>
        </is>
      </c>
    </row>
    <row r="26">
      <c r="A26" t="inlineStr">
        <is>
          <t>Gap vs. Target</t>
        </is>
      </c>
      <c r="B26" s="13">
        <f>B24-100</f>
        <v/>
      </c>
    </row>
  </sheetData>
  <mergeCells count="1">
    <mergeCell ref="A1:M1"/>
  </mergeCells>
  <conditionalFormatting sqref="E4:E18">
    <cfRule type="cellIs" priority="1" operator="equal" dxfId="0">
      <formula>100</formula>
    </cfRule>
    <cfRule type="cellIs" priority="2" operator="between" dxfId="1">
      <formula>90</formula>
      <formula>99</formula>
    </cfRule>
    <cfRule type="cellIs" priority="3" operator="lessThan" dxfId="2">
      <formula>90</formula>
    </cfRule>
  </conditionalFormatting>
  <dataValidations count="1">
    <dataValidation sqref="B4:B18" showDropDown="0" showInputMessage="0" showErrorMessage="0" allowBlank="1" type="list">
      <formula1>"Network Scan (Automated),CMDB/Asset Management System,Procurement Records,HR System Export,Manual Survey,License Audit,Physical Inspection,Department Interviews,Document Repository Scan,Cloud Provider API,Other (Specify)"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  <col width="15" customWidth="1" min="8" max="8"/>
    <col width="50" customWidth="1" min="9" max="9"/>
    <col width="50" customWidth="1" min="10" max="10"/>
  </cols>
  <sheetData>
    <row r="1" ht="25" customHeight="1">
      <c r="A1" s="18" t="inlineStr">
        <is>
          <t>Discovery Metrics &amp; Summary - All Asset Categories</t>
        </is>
      </c>
    </row>
    <row r="3">
      <c r="A3" s="17" t="inlineStr">
        <is>
          <t>Asset Category</t>
        </is>
      </c>
      <c r="B3" s="17" t="inlineStr">
        <is>
          <t>Expected Count</t>
        </is>
      </c>
      <c r="C3" s="17" t="inlineStr">
        <is>
          <t>Discovered Count</t>
        </is>
      </c>
      <c r="D3" s="17" t="inlineStr">
        <is>
          <t>Completeness %</t>
        </is>
      </c>
      <c r="E3" s="17" t="inlineStr">
        <is>
          <t>Target %</t>
        </is>
      </c>
      <c r="F3" s="17" t="inlineStr">
        <is>
          <t>Gap vs. Target</t>
        </is>
      </c>
      <c r="G3" s="17" t="inlineStr">
        <is>
          <t>Compliance Status</t>
        </is>
      </c>
      <c r="H3" s="17" t="inlineStr">
        <is>
          <t>Priority</t>
        </is>
      </c>
      <c r="I3" s="17" t="inlineStr">
        <is>
          <t>Key Gaps</t>
        </is>
      </c>
      <c r="J3" s="17" t="inlineStr">
        <is>
          <t>Next Actions</t>
        </is>
      </c>
    </row>
    <row r="4">
      <c r="A4" s="5" t="inlineStr">
        <is>
          <t>Information Assets</t>
        </is>
      </c>
      <c r="B4">
        <f>'Information Assets Discovery'!B22</f>
        <v/>
      </c>
      <c r="C4">
        <f>'Information Assets Discovery'!B23</f>
        <v/>
      </c>
      <c r="D4" s="16">
        <f>IFERROR(C4/B4*100,0)</f>
        <v/>
      </c>
      <c r="E4" t="inlineStr">
        <is>
          <t>95%</t>
        </is>
      </c>
      <c r="F4" s="13">
        <f>D4-95</f>
        <v/>
      </c>
      <c r="G4" s="14">
        <f>IF(D4&gt;=95,"✅ Compliant",IF(D4&gt;=95-10,"⚠️ At Risk","❌ Non-Compliant"))</f>
        <v/>
      </c>
      <c r="H4" s="14">
        <f>IF(F4&lt;-10,"🔴 Critical",IF(F4&lt;0,"🟡 High","🟢 Low"))</f>
        <v/>
      </c>
      <c r="I4" s="12" t="n"/>
      <c r="J4" s="12" t="n"/>
    </row>
    <row r="5">
      <c r="A5" s="5" t="inlineStr">
        <is>
          <t>IT Infrastructure</t>
        </is>
      </c>
      <c r="B5">
        <f>'IT Infrastructure Discovery'!B22</f>
        <v/>
      </c>
      <c r="C5">
        <f>'IT Infrastructure Discovery'!B23</f>
        <v/>
      </c>
      <c r="D5" s="16">
        <f>IFERROR(C5/B5*100,0)</f>
        <v/>
      </c>
      <c r="E5" t="inlineStr">
        <is>
          <t>98%</t>
        </is>
      </c>
      <c r="F5" s="13">
        <f>D5-98</f>
        <v/>
      </c>
      <c r="G5" s="14">
        <f>IF(D5&gt;=98,"✅ Compliant",IF(D5&gt;=98-10,"⚠️ At Risk","❌ Non-Compliant"))</f>
        <v/>
      </c>
      <c r="H5" s="14">
        <f>IF(F5&lt;-10,"🔴 Critical",IF(F5&lt;0,"🟡 High","🟢 Low"))</f>
        <v/>
      </c>
      <c r="I5" s="12" t="n"/>
      <c r="J5" s="12" t="n"/>
    </row>
    <row r="6">
      <c r="A6" s="5" t="inlineStr">
        <is>
          <t>Applications</t>
        </is>
      </c>
      <c r="B6">
        <f>'Applications Discovery'!B22</f>
        <v/>
      </c>
      <c r="C6">
        <f>'Applications Discovery'!B23</f>
        <v/>
      </c>
      <c r="D6" s="16">
        <f>IFERROR(C6/B6*100,0)</f>
        <v/>
      </c>
      <c r="E6" t="inlineStr">
        <is>
          <t>90%</t>
        </is>
      </c>
      <c r="F6" s="13">
        <f>D6-90</f>
        <v/>
      </c>
      <c r="G6" s="14">
        <f>IF(D6&gt;=90,"✅ Compliant",IF(D6&gt;=90-10,"⚠️ At Risk","❌ Non-Compliant"))</f>
        <v/>
      </c>
      <c r="H6" s="14">
        <f>IF(F6&lt;-10,"🔴 Critical",IF(F6&lt;0,"🟡 High","🟢 Low"))</f>
        <v/>
      </c>
      <c r="I6" s="12" t="n"/>
      <c r="J6" s="12" t="n"/>
    </row>
    <row r="7">
      <c r="A7" s="5" t="inlineStr">
        <is>
          <t>Physical Assets</t>
        </is>
      </c>
      <c r="B7">
        <f>'Physical Assets Discovery'!B22</f>
        <v/>
      </c>
      <c r="C7">
        <f>'Physical Assets Discovery'!B23</f>
        <v/>
      </c>
      <c r="D7" s="16">
        <f>IFERROR(C7/B7*100,0)</f>
        <v/>
      </c>
      <c r="E7" t="inlineStr">
        <is>
          <t>90%</t>
        </is>
      </c>
      <c r="F7" s="13">
        <f>D7-90</f>
        <v/>
      </c>
      <c r="G7" s="14">
        <f>IF(D7&gt;=90,"✅ Compliant",IF(D7&gt;=90-10,"⚠️ At Risk","❌ Non-Compliant"))</f>
        <v/>
      </c>
      <c r="H7" s="14">
        <f>IF(F7&lt;-10,"🔴 Critical",IF(F7&lt;0,"🟡 High","🟢 Low"))</f>
        <v/>
      </c>
      <c r="I7" s="12" t="n"/>
      <c r="J7" s="12" t="n"/>
    </row>
    <row r="8">
      <c r="A8" s="5" t="inlineStr">
        <is>
          <t>Personnel Assets</t>
        </is>
      </c>
      <c r="B8">
        <f>'Personnel Assets Discovery'!B22</f>
        <v/>
      </c>
      <c r="C8">
        <f>'Personnel Assets Discovery'!B23</f>
        <v/>
      </c>
      <c r="D8" s="16">
        <f>IFERROR(C8/B8*100,0)</f>
        <v/>
      </c>
      <c r="E8" t="inlineStr">
        <is>
          <t>100%</t>
        </is>
      </c>
      <c r="F8" s="13">
        <f>D8-100</f>
        <v/>
      </c>
      <c r="G8" s="14">
        <f>IF(D8&gt;=100,"✅ Compliant",IF(D8&gt;=100-10,"⚠️ At Risk","❌ Non-Compliant"))</f>
        <v/>
      </c>
      <c r="H8" s="14">
        <f>IF(F8&lt;-10,"🔴 Critical",IF(F8&lt;0,"🟡 High","🟢 Low"))</f>
        <v/>
      </c>
      <c r="I8" s="12" t="n"/>
      <c r="J8" s="12" t="n"/>
    </row>
    <row r="11">
      <c r="A11" s="3" t="inlineStr">
        <is>
          <t>OVERALL DISCOVERY SUMMARY</t>
        </is>
      </c>
    </row>
    <row r="12">
      <c r="A12" t="inlineStr">
        <is>
          <t>Total Assets Expected (All Categories)</t>
        </is>
      </c>
      <c r="B12" s="5">
        <f>SUM(B4:B8)</f>
        <v/>
      </c>
    </row>
    <row r="13">
      <c r="A13" t="inlineStr">
        <is>
          <t>Total Assets Discovered</t>
        </is>
      </c>
      <c r="B13" s="5">
        <f>SUM(C4:C8)</f>
        <v/>
      </c>
    </row>
    <row r="14">
      <c r="A14" t="inlineStr">
        <is>
          <t>Overall Discovery Completeness %</t>
        </is>
      </c>
      <c r="B14" s="20">
        <f>IFERROR(B13/B12*100,0)</f>
        <v/>
      </c>
    </row>
    <row r="15">
      <c r="A15" t="inlineStr">
        <is>
          <t>Overall Target</t>
        </is>
      </c>
      <c r="B15" s="5" t="inlineStr">
        <is>
          <t>95%</t>
        </is>
      </c>
    </row>
    <row r="16">
      <c r="A16" t="inlineStr">
        <is>
          <t>Gap vs. Overall Target</t>
        </is>
      </c>
      <c r="B16" s="16">
        <f>B14-95</f>
        <v/>
      </c>
    </row>
    <row r="19">
      <c r="A19" s="21" t="inlineStr">
        <is>
          <t>CSV EXPORT FOR DASHBOARD (Copy rows below)</t>
        </is>
      </c>
    </row>
    <row r="20">
      <c r="A20" s="5" t="inlineStr">
        <is>
          <t>Discovery_Category</t>
        </is>
      </c>
      <c r="B20" s="5" t="inlineStr">
        <is>
          <t>Completeness_%</t>
        </is>
      </c>
      <c r="C20" s="5" t="inlineStr">
        <is>
          <t>Compliance_Status</t>
        </is>
      </c>
    </row>
    <row r="21">
      <c r="A21">
        <f>A4</f>
        <v/>
      </c>
      <c r="B21">
        <f>D4</f>
        <v/>
      </c>
      <c r="C21">
        <f>G4</f>
        <v/>
      </c>
    </row>
    <row r="22">
      <c r="A22">
        <f>A5</f>
        <v/>
      </c>
      <c r="B22">
        <f>D5</f>
        <v/>
      </c>
      <c r="C22">
        <f>G5</f>
        <v/>
      </c>
    </row>
    <row r="23">
      <c r="A23">
        <f>A6</f>
        <v/>
      </c>
      <c r="B23">
        <f>D6</f>
        <v/>
      </c>
      <c r="C23">
        <f>G6</f>
        <v/>
      </c>
    </row>
    <row r="24">
      <c r="A24">
        <f>A7</f>
        <v/>
      </c>
      <c r="B24">
        <f>D7</f>
        <v/>
      </c>
      <c r="C24">
        <f>G7</f>
        <v/>
      </c>
    </row>
    <row r="25">
      <c r="A25">
        <f>A8</f>
        <v/>
      </c>
      <c r="B25">
        <f>D8</f>
        <v/>
      </c>
      <c r="C25">
        <f>G8</f>
        <v/>
      </c>
    </row>
  </sheetData>
  <mergeCells count="2">
    <mergeCell ref="A1:J1"/>
    <mergeCell ref="A11:J11"/>
  </mergeCells>
  <conditionalFormatting sqref="D4:D8">
    <cfRule type="cellIs" priority="1" operator="greaterThanOrEqual" dxfId="0">
      <formula>95</formula>
    </cfRule>
    <cfRule type="cellIs" priority="2" operator="between" dxfId="1">
      <formula>85</formula>
      <formula>94</formula>
    </cfRule>
    <cfRule type="cellIs" priority="3" operator="lessThan" dxfId="2">
      <formula>85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30" customWidth="1" min="4" max="4"/>
    <col width="50" customWidth="1" min="5" max="5"/>
    <col width="40" customWidth="1" min="6" max="6"/>
    <col width="15" customWidth="1" min="7" max="7"/>
    <col width="25" customWidth="1" min="8" max="8"/>
    <col width="20" customWidth="1" min="9" max="9"/>
    <col width="15" customWidth="1" min="10" max="10"/>
    <col width="25" customWidth="1" min="11" max="11"/>
    <col width="20" customWidth="1" min="12" max="12"/>
    <col width="18" customWidth="1" min="13" max="13"/>
    <col width="40" customWidth="1" min="14" max="14"/>
  </cols>
  <sheetData>
    <row r="1">
      <c r="A1" s="18" t="inlineStr">
        <is>
          <t>Discovery Evidence Register</t>
        </is>
      </c>
    </row>
    <row r="3">
      <c r="A3" s="17" t="inlineStr">
        <is>
          <t>Evidence ID</t>
        </is>
      </c>
      <c r="B3" s="17" t="inlineStr">
        <is>
          <t>Asset Category</t>
        </is>
      </c>
      <c r="C3" s="17" t="inlineStr">
        <is>
          <t>Discovery Method</t>
        </is>
      </c>
      <c r="D3" s="17" t="inlineStr">
        <is>
          <t>Evidence Type</t>
        </is>
      </c>
      <c r="E3" s="17" t="inlineStr">
        <is>
          <t>Evidence Description</t>
        </is>
      </c>
      <c r="F3" s="17" t="inlineStr">
        <is>
          <t>Evidence Location</t>
        </is>
      </c>
      <c r="G3" s="17" t="inlineStr">
        <is>
          <t>Collection Date</t>
        </is>
      </c>
      <c r="H3" s="17" t="inlineStr">
        <is>
          <t>Collected By</t>
        </is>
      </c>
      <c r="I3" s="17" t="inlineStr">
        <is>
          <t>Validity Period</t>
        </is>
      </c>
      <c r="J3" s="17" t="inlineStr">
        <is>
          <t>Review Date</t>
        </is>
      </c>
      <c r="K3" s="17" t="inlineStr">
        <is>
          <t>Reviewed By</t>
        </is>
      </c>
      <c r="L3" s="17" t="inlineStr">
        <is>
          <t>Review Status</t>
        </is>
      </c>
      <c r="M3" s="17" t="inlineStr">
        <is>
          <t>Retention End Date</t>
        </is>
      </c>
      <c r="N3" s="17" t="inlineStr">
        <is>
          <t>Notes</t>
        </is>
      </c>
    </row>
    <row r="4">
      <c r="A4" s="12" t="inlineStr">
        <is>
          <t>DISC-001</t>
        </is>
      </c>
      <c r="B4" s="12" t="inlineStr">
        <is>
          <t>Information Assets</t>
        </is>
      </c>
      <c r="C4" s="12" t="inlineStr">
        <is>
          <t>Database Query</t>
        </is>
      </c>
      <c r="D4" s="12" t="inlineStr">
        <is>
          <t>SQL Query Results</t>
        </is>
      </c>
      <c r="E4" s="12" t="inlineStr">
        <is>
          <t>List of production databases from CMDB query</t>
        </is>
      </c>
      <c r="F4" s="12" t="inlineStr">
        <is>
          <t>/evidence/database_inventory_20260122.xlsx</t>
        </is>
      </c>
      <c r="G4" s="12" t="inlineStr">
        <is>
          <t>22.01.2026</t>
        </is>
      </c>
      <c r="H4" s="12" t="n"/>
      <c r="I4" s="12" t="n"/>
      <c r="J4" s="12" t="n"/>
      <c r="K4" s="12" t="n"/>
      <c r="L4" s="12" t="n"/>
      <c r="M4" s="12" t="n"/>
      <c r="N4" s="12" t="n"/>
    </row>
    <row r="5">
      <c r="A5" s="12" t="inlineStr">
        <is>
          <t>DISC-002</t>
        </is>
      </c>
      <c r="B5" s="12" t="inlineStr">
        <is>
          <t>IT Infrastructure</t>
        </is>
      </c>
      <c r="C5" s="12" t="inlineStr">
        <is>
          <t>Network Scan (Automated)</t>
        </is>
      </c>
      <c r="D5" s="12" t="inlineStr">
        <is>
          <t>Nmap Scan Results</t>
        </is>
      </c>
      <c r="E5" s="12" t="inlineStr">
        <is>
          <t>Network scan of 10.0.0.0/8 subnet</t>
        </is>
      </c>
      <c r="F5" s="12" t="inlineStr">
        <is>
          <t>/evidence/nmap_scan_20260122.xml</t>
        </is>
      </c>
      <c r="G5" s="12" t="inlineStr">
        <is>
          <t>22.01.2026</t>
        </is>
      </c>
      <c r="H5" s="12" t="n"/>
      <c r="I5" s="12" t="n"/>
      <c r="J5" s="12" t="n"/>
      <c r="K5" s="12" t="n"/>
      <c r="L5" s="12" t="n"/>
      <c r="M5" s="12" t="n"/>
      <c r="N5" s="12" t="n"/>
    </row>
    <row r="6">
      <c r="A6" s="12" t="inlineStr">
        <is>
          <t>DISC-003</t>
        </is>
      </c>
      <c r="B6" s="12" t="inlineStr">
        <is>
          <t>Applications</t>
        </is>
      </c>
      <c r="C6" s="12" t="inlineStr">
        <is>
          <t>SaaS Audit</t>
        </is>
      </c>
      <c r="D6" s="12" t="inlineStr">
        <is>
          <t>SaaS License Report</t>
        </is>
      </c>
      <c r="E6" s="12" t="inlineStr">
        <is>
          <t>Okta application report - all SSO-integrated apps</t>
        </is>
      </c>
      <c r="F6" s="12" t="inlineStr">
        <is>
          <t>/evidence/okta_apps_20260122.csv</t>
        </is>
      </c>
      <c r="G6" s="12" t="inlineStr">
        <is>
          <t>22.01.2026</t>
        </is>
      </c>
      <c r="H6" s="12" t="n"/>
      <c r="I6" s="12" t="n"/>
      <c r="J6" s="12" t="n"/>
      <c r="K6" s="12" t="n"/>
      <c r="L6" s="12" t="n"/>
      <c r="M6" s="12" t="n"/>
      <c r="N6" s="12" t="n"/>
    </row>
    <row r="7">
      <c r="A7" s="12" t="inlineStr">
        <is>
          <t>DISC-004</t>
        </is>
      </c>
      <c r="B7" s="12" t="inlineStr">
        <is>
          <t>Personnel Assets</t>
        </is>
      </c>
      <c r="C7" s="12" t="inlineStr">
        <is>
          <t>HR System Export</t>
        </is>
      </c>
      <c r="D7" s="12" t="inlineStr">
        <is>
          <t>HR Data Export</t>
        </is>
      </c>
      <c r="E7" s="12" t="inlineStr">
        <is>
          <t>Active employee list with roles and departments</t>
        </is>
      </c>
      <c r="F7" s="12" t="inlineStr">
        <is>
          <t>/evidence/hr_export_20260122.xlsx</t>
        </is>
      </c>
      <c r="G7" s="12" t="inlineStr">
        <is>
          <t>22.01.2026</t>
        </is>
      </c>
      <c r="H7" s="12" t="n"/>
      <c r="I7" s="12" t="n"/>
      <c r="J7" s="12" t="n"/>
      <c r="K7" s="12" t="n"/>
      <c r="L7" s="12" t="n"/>
      <c r="M7" s="12" t="n"/>
      <c r="N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</row>
  </sheetData>
  <mergeCells count="1">
    <mergeCell ref="A1:N1"/>
  </mergeCells>
  <dataValidations count="3">
    <dataValidation sqref="B4:B100" showDropDown="0" showInputMessage="0" showErrorMessage="0" allowBlank="1" type="list">
      <formula1>"Information Assets,IT Infrastructure,Applications,Physical Assets,Personnel Assets,All Categories"</formula1>
    </dataValidation>
    <dataValidation sqref="C4:C100" showDropDown="0" showInputMessage="0" showErrorMessage="0" allowBlank="1" type="list">
      <formula1>"Network Scan (Automated),CMDB/Asset Management System,Procurement Records,HR System Export,Manual Survey,License Audit,Physical Inspection,Department Interviews,Document Repository Scan,Cloud Provider API,Other (Specify)"</formula1>
    </dataValidation>
    <dataValidation sqref="L4:L100" showDropDown="0" showInputMessage="0" showErrorMessage="0" allowBlank="1" type="list">
      <formula1>"Pending Review,Reviewed - Valid,Reviewed - Update Needed,Reviewed - Invalid"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</cols>
  <sheetData>
    <row r="1" ht="35" customHeight="1">
      <c r="A1" s="22" t="inlineStr">
        <is>
          <t>📊 ASSET DISCOVERY ASSESSMENT - SUMMARY DASHBOARD</t>
        </is>
      </c>
    </row>
    <row r="2">
      <c r="A2" s="23" t="inlineStr">
        <is>
          <t>Quick overview of key metrics and compliance status</t>
        </is>
      </c>
    </row>
    <row r="4">
      <c r="A4" s="24" t="inlineStr">
        <is>
          <t>🎯 OVERALL COMPLIANCE</t>
        </is>
      </c>
    </row>
    <row r="5">
      <c r="A5" s="25" t="inlineStr">
        <is>
          <t>Overall Compliance:</t>
        </is>
      </c>
      <c r="D5" s="26">
        <f>'Discovery Metrics &amp; Summary'!D4</f>
        <v/>
      </c>
    </row>
    <row r="7">
      <c r="A7" s="24" t="inlineStr">
        <is>
          <t>📊 KEY METRICS</t>
        </is>
      </c>
    </row>
    <row r="8">
      <c r="A8" s="21" t="inlineStr">
        <is>
          <t>Metric</t>
        </is>
      </c>
      <c r="B8" s="21" t="inlineStr">
        <is>
          <t>Current</t>
        </is>
      </c>
      <c r="C8" s="21" t="inlineStr">
        <is>
          <t>Target</t>
        </is>
      </c>
      <c r="D8" s="21" t="inlineStr">
        <is>
          <t>Status</t>
        </is>
      </c>
    </row>
    <row r="9">
      <c r="A9" t="inlineStr">
        <is>
          <t>Information Assets Discovered</t>
        </is>
      </c>
      <c r="B9" s="27">
        <f>'Discovery Metrics &amp; Summary'!B4</f>
        <v/>
      </c>
      <c r="C9" t="inlineStr">
        <is>
          <t>100%</t>
        </is>
      </c>
      <c r="D9">
        <f>IF(B9&gt;0,"✅","❌")</f>
        <v/>
      </c>
    </row>
    <row r="10">
      <c r="A10" t="inlineStr">
        <is>
          <t>IT Infrastructure Discovered</t>
        </is>
      </c>
      <c r="B10" s="27">
        <f>'Discovery Metrics &amp; Summary'!B5</f>
        <v/>
      </c>
      <c r="C10" t="inlineStr">
        <is>
          <t>100%</t>
        </is>
      </c>
      <c r="D10">
        <f>IF(B10&gt;0,"✅","❌")</f>
        <v/>
      </c>
    </row>
    <row r="11">
      <c r="A11" t="inlineStr">
        <is>
          <t>Applications Discovered</t>
        </is>
      </c>
      <c r="B11" s="27">
        <f>'Discovery Metrics &amp; Summary'!B6</f>
        <v/>
      </c>
      <c r="C11" t="inlineStr">
        <is>
          <t>100%</t>
        </is>
      </c>
      <c r="D11">
        <f>IF(B11&gt;0,"✅","❌")</f>
        <v/>
      </c>
    </row>
    <row r="12">
      <c r="A12" t="inlineStr">
        <is>
          <t>Physical Assets Discovered</t>
        </is>
      </c>
      <c r="B12" s="27">
        <f>'Discovery Metrics &amp; Summary'!B7</f>
        <v/>
      </c>
      <c r="C12" t="inlineStr">
        <is>
          <t>100%</t>
        </is>
      </c>
      <c r="D12">
        <f>IF(B12&gt;0,"✅","❌")</f>
        <v/>
      </c>
    </row>
    <row r="13">
      <c r="A13" t="inlineStr">
        <is>
          <t>Personnel Assets Discovered</t>
        </is>
      </c>
      <c r="B13" s="27">
        <f>'Discovery Metrics &amp; Summary'!B8</f>
        <v/>
      </c>
      <c r="C13" t="inlineStr">
        <is>
          <t>100%</t>
        </is>
      </c>
      <c r="D13">
        <f>IF(B13&gt;0,"✅","❌")</f>
        <v/>
      </c>
    </row>
  </sheetData>
  <mergeCells count="6">
    <mergeCell ref="A2:F2"/>
    <mergeCell ref="D5:F5"/>
    <mergeCell ref="A5:C5"/>
    <mergeCell ref="A1:F1"/>
    <mergeCell ref="A4:F4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5" customWidth="1" min="4" max="4"/>
    <col width="30" customWidth="1" min="5" max="5"/>
  </cols>
  <sheetData>
    <row r="1" ht="30" customHeight="1">
      <c r="A1" s="10" t="inlineStr">
        <is>
          <t>ASSET DISCOVERY ASSESSMENT - APPROVAL &amp; SIGN-OFF</t>
        </is>
      </c>
    </row>
    <row r="2">
      <c r="A2" s="28" t="inlineStr">
        <is>
          <t>Complete when assessment is finished and ready for approval</t>
        </is>
      </c>
    </row>
    <row r="4">
      <c r="A4" s="29" t="inlineStr">
        <is>
          <t>COMPLETION CHECKLIST</t>
        </is>
      </c>
    </row>
    <row r="5">
      <c r="A5" s="21" t="inlineStr">
        <is>
          <t>Item</t>
        </is>
      </c>
      <c r="B5" s="21" t="inlineStr">
        <is>
          <t>Status</t>
        </is>
      </c>
      <c r="C5" s="21" t="inlineStr">
        <is>
          <t>Completed By</t>
        </is>
      </c>
      <c r="D5" s="21" t="inlineStr">
        <is>
          <t>Date</t>
        </is>
      </c>
      <c r="E5" s="21" t="inlineStr">
        <is>
          <t>Notes</t>
        </is>
      </c>
    </row>
    <row r="6">
      <c r="A6" s="30" t="inlineStr">
        <is>
          <t>All asset categories scanned/assessed</t>
        </is>
      </c>
      <c r="B6" s="31" t="n"/>
      <c r="C6" s="31" t="n"/>
      <c r="D6" s="31" t="n"/>
      <c r="E6" s="31" t="n"/>
    </row>
    <row r="7">
      <c r="A7" s="30" t="inlineStr">
        <is>
          <t>Information assets documented completely</t>
        </is>
      </c>
      <c r="B7" s="31" t="n"/>
      <c r="C7" s="31" t="n"/>
      <c r="D7" s="31" t="n"/>
      <c r="E7" s="31" t="n"/>
    </row>
    <row r="8">
      <c r="A8" s="30" t="inlineStr">
        <is>
          <t>IT infrastructure assets documented completely</t>
        </is>
      </c>
      <c r="B8" s="31" t="n"/>
      <c r="C8" s="31" t="n"/>
      <c r="D8" s="31" t="n"/>
      <c r="E8" s="31" t="n"/>
    </row>
    <row r="9">
      <c r="A9" s="30" t="inlineStr">
        <is>
          <t>Applications inventory completed</t>
        </is>
      </c>
      <c r="B9" s="31" t="n"/>
      <c r="C9" s="31" t="n"/>
      <c r="D9" s="31" t="n"/>
      <c r="E9" s="31" t="n"/>
    </row>
    <row r="10">
      <c r="A10" s="30" t="inlineStr">
        <is>
          <t>Physical assets inventory completed</t>
        </is>
      </c>
      <c r="B10" s="31" t="n"/>
      <c r="C10" s="31" t="n"/>
      <c r="D10" s="31" t="n"/>
      <c r="E10" s="31" t="n"/>
    </row>
    <row r="11">
      <c r="A11" s="30" t="inlineStr">
        <is>
          <t>Personnel assets inventory completed</t>
        </is>
      </c>
      <c r="B11" s="31" t="n"/>
      <c r="C11" s="31" t="n"/>
      <c r="D11" s="31" t="n"/>
      <c r="E11" s="31" t="n"/>
    </row>
    <row r="12">
      <c r="A12" s="30" t="inlineStr">
        <is>
          <t>Discovery metrics calculated and reviewed</t>
        </is>
      </c>
      <c r="B12" s="31" t="n"/>
      <c r="C12" s="31" t="n"/>
      <c r="D12" s="31" t="n"/>
      <c r="E12" s="31" t="n"/>
    </row>
    <row r="13">
      <c r="A13" s="30" t="inlineStr">
        <is>
          <t>Evidence collected and registered</t>
        </is>
      </c>
      <c r="B13" s="31" t="n"/>
      <c r="C13" s="31" t="n"/>
      <c r="D13" s="31" t="n"/>
      <c r="E13" s="31" t="n"/>
    </row>
    <row r="14">
      <c r="A14" s="30" t="inlineStr">
        <is>
          <t>Quality review completed</t>
        </is>
      </c>
      <c r="B14" s="31" t="n"/>
      <c r="C14" s="31" t="n"/>
      <c r="D14" s="31" t="n"/>
      <c r="E14" s="31" t="n"/>
    </row>
    <row r="15">
      <c r="A15" s="30" t="inlineStr">
        <is>
          <t>Gap analysis performed</t>
        </is>
      </c>
      <c r="B15" s="31" t="n"/>
      <c r="C15" s="31" t="n"/>
      <c r="D15" s="31" t="n"/>
      <c r="E15" s="31" t="n"/>
    </row>
    <row r="16">
      <c r="A16" s="30" t="inlineStr">
        <is>
          <t>Assessment reviewed by Information Security</t>
        </is>
      </c>
      <c r="B16" s="31" t="n"/>
      <c r="C16" s="31" t="n"/>
      <c r="D16" s="31" t="n"/>
      <c r="E16" s="31" t="n"/>
    </row>
    <row r="19">
      <c r="A19" s="29" t="inlineStr">
        <is>
          <t>APPROVALS</t>
        </is>
      </c>
    </row>
    <row r="20">
      <c r="A20" s="21" t="inlineStr">
        <is>
          <t>Role</t>
        </is>
      </c>
      <c r="B20" s="21" t="inlineStr">
        <is>
          <t>Name</t>
        </is>
      </c>
      <c r="C20" s="21" t="inlineStr">
        <is>
          <t>Signature</t>
        </is>
      </c>
      <c r="D20" s="21" t="inlineStr">
        <is>
          <t>Date</t>
        </is>
      </c>
      <c r="E20" s="21" t="inlineStr">
        <is>
          <t>Comments</t>
        </is>
      </c>
    </row>
    <row r="21">
      <c r="A21" s="32" t="inlineStr">
        <is>
          <t>Asset Management Lead</t>
        </is>
      </c>
      <c r="B21" s="31" t="n"/>
      <c r="C21" s="31" t="n"/>
      <c r="D21" s="31" t="n"/>
      <c r="E21" s="31" t="n"/>
    </row>
    <row r="22">
      <c r="A22" s="32" t="inlineStr">
        <is>
          <t>Information Security Manager</t>
        </is>
      </c>
      <c r="B22" s="31" t="n"/>
      <c r="C22" s="31" t="n"/>
      <c r="D22" s="31" t="n"/>
      <c r="E22" s="31" t="n"/>
    </row>
    <row r="23">
      <c r="A23" s="32" t="inlineStr">
        <is>
          <t>CISO</t>
        </is>
      </c>
      <c r="B23" s="31" t="n"/>
      <c r="C23" s="31" t="n"/>
      <c r="D23" s="31" t="n"/>
      <c r="E23" s="31" t="n"/>
    </row>
  </sheetData>
  <mergeCells count="4">
    <mergeCell ref="A19:F19"/>
    <mergeCell ref="A2:F2"/>
    <mergeCell ref="A1:F1"/>
    <mergeCell ref="A4:F4"/>
  </mergeCells>
  <dataValidations count="1">
    <dataValidation sqref="B6:B16" showDropDown="0" showInputMessage="0" showErrorMessage="0" allowBlank="1" type="list">
      <formula1>"✅ Complete,⏳ In Progress,❌ Not 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2026-02-08T10:49:17Z</dcterms:created>
  <dcterms:modified xmlns:dcterms="http://purl.org/dc/terms/" xmlns:xsi="http://www.w3.org/2001/XMLSchema-instance" xsi:type="dcterms:W3CDTF">2026-02-08T10:49:17Z</dcterms:modified>
</cp:coreProperties>
</file>