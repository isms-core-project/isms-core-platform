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uracy Sampling" sheetId="2" state="visible" r:id="rId2"/>
    <sheet xmlns:r="http://schemas.openxmlformats.org/officeDocument/2006/relationships" name="Completeness Assessment" sheetId="3" state="visible" r:id="rId3"/>
    <sheet xmlns:r="http://schemas.openxmlformats.org/officeDocument/2006/relationships" name="Currency Assessment" sheetId="4" state="visible" r:id="rId4"/>
    <sheet xmlns:r="http://schemas.openxmlformats.org/officeDocument/2006/relationships" name="Consistency Checks" sheetId="5" state="visible" r:id="rId5"/>
    <sheet xmlns:r="http://schemas.openxmlformats.org/officeDocument/2006/relationships" name="Policy Compliance Matrix" sheetId="6" state="visible" r:id="rId6"/>
    <sheet xmlns:r="http://schemas.openxmlformats.org/officeDocument/2006/relationships" name="Quality Metrics &amp; Scoring"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amp; Sign-Off" sheetId="10" state="visible" r:id="rId10"/>
  </sheets>
  <definedNames/>
  <calcPr calcId="124519" fullCalcOnLoad="1"/>
</workbook>
</file>

<file path=xl/styles.xml><?xml version="1.0" encoding="utf-8"?>
<styleSheet xmlns="http://schemas.openxmlformats.org/spreadsheetml/2006/main">
  <numFmts count="1">
    <numFmt numFmtId="164" formatCode="0.0&quot;%&quot;"/>
  </numFmts>
  <fonts count="17">
    <font>
      <name val="Calibri"/>
      <family val="2"/>
      <color theme="1"/>
      <sz val="11"/>
      <scheme val="minor"/>
    </font>
    <font>
      <b val="1"/>
      <color rgb="00FFFFFF"/>
      <sz val="16"/>
    </font>
    <font>
      <i val="1"/>
      <sz val="12"/>
    </font>
    <font>
      <b val="1"/>
      <color rgb="00FFFFFF"/>
      <sz val="12"/>
    </font>
    <font>
      <b val="1"/>
    </font>
    <font>
      <i val="1"/>
    </font>
    <font>
      <b val="1"/>
      <color rgb="00FFFFFF"/>
      <sz val="14"/>
    </font>
    <font>
      <b val="1"/>
      <color rgb="00FFFFFF"/>
    </font>
    <font>
      <b val="1"/>
      <sz val="12"/>
    </font>
    <font>
      <b val="1"/>
      <color rgb="009C0006"/>
    </font>
    <font>
      <b val="1"/>
      <sz val="14"/>
    </font>
    <font>
      <b val="1"/>
      <color rgb="00FFFFFF"/>
      <sz val="11"/>
    </font>
    <font>
      <i val="1"/>
      <sz val="10"/>
    </font>
    <font>
      <b val="1"/>
      <color rgb="00FFFFFF"/>
      <sz val="13"/>
    </font>
    <font>
      <b val="1"/>
      <sz val="18"/>
    </font>
    <font>
      <sz val="10"/>
    </font>
    <font>
      <b val="1"/>
      <sz val="10"/>
    </font>
  </fonts>
  <fills count="11">
    <fill>
      <patternFill/>
    </fill>
    <fill>
      <patternFill patternType="gray125"/>
    </fill>
    <fill>
      <patternFill patternType="solid">
        <fgColor rgb="00003366"/>
      </patternFill>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
      <patternFill patternType="solid">
        <fgColor rgb="002E75B5"/>
      </patternFill>
    </fill>
    <fill>
      <patternFill patternType="solid">
        <fgColor rgb="00FFF2CC"/>
      </patternFill>
    </fill>
    <fill>
      <patternFill patternType="solid">
        <fgColor rgb="00D8E4F8"/>
      </patternFill>
    </fill>
  </fills>
  <borders count="1">
    <border>
      <left/>
      <right/>
      <top/>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pivotButton="0" quotePrefix="0" xfId="0"/>
    <xf numFmtId="0" fontId="0" fillId="0" borderId="0" applyAlignment="1" pivotButton="0" quotePrefix="0" xfId="0">
      <alignment horizontal="left" vertical="top" wrapText="1"/>
    </xf>
    <xf numFmtId="0" fontId="4" fillId="0" borderId="0" pivotButton="0" quotePrefix="0" xfId="0"/>
    <xf numFmtId="0" fontId="0" fillId="0" borderId="0" applyAlignment="1" pivotButton="0" quotePrefix="0" xfId="0">
      <alignment wrapText="1"/>
    </xf>
    <xf numFmtId="0" fontId="5"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6" fillId="2" borderId="0" applyAlignment="1" pivotButton="0" quotePrefix="0" xfId="0">
      <alignment horizontal="center"/>
    </xf>
    <xf numFmtId="0" fontId="7" fillId="2" borderId="0" applyAlignment="1" pivotButton="0" quotePrefix="0" xfId="0">
      <alignment horizontal="center" wrapText="1"/>
    </xf>
    <xf numFmtId="0" fontId="0" fillId="0" borderId="0" applyProtection="1" pivotButton="0" quotePrefix="0" xfId="0">
      <protection locked="0" hidden="0"/>
    </xf>
    <xf numFmtId="164" fontId="8" fillId="5" borderId="0" pivotButton="0" quotePrefix="0" xfId="0"/>
    <xf numFmtId="164" fontId="0" fillId="0" borderId="0" pivotButton="0" quotePrefix="0" xfId="0"/>
    <xf numFmtId="0" fontId="4" fillId="0" borderId="0" applyAlignment="1" pivotButton="0" quotePrefix="0" xfId="0">
      <alignment horizontal="center"/>
    </xf>
    <xf numFmtId="0" fontId="7" fillId="2" borderId="0" pivotButton="0" quotePrefix="0" xfId="0"/>
    <xf numFmtId="0" fontId="0" fillId="0" borderId="0" applyAlignment="1" pivotButton="0" quotePrefix="0" xfId="0">
      <alignment horizontal="center"/>
    </xf>
    <xf numFmtId="0" fontId="9" fillId="0" borderId="0" pivotButton="0" quotePrefix="0" xfId="0"/>
    <xf numFmtId="164" fontId="4" fillId="0" borderId="0" pivotButton="0" quotePrefix="0" xfId="0"/>
    <xf numFmtId="0" fontId="8" fillId="0" borderId="0" pivotButton="0" quotePrefix="0" xfId="0"/>
    <xf numFmtId="164" fontId="10" fillId="5" borderId="0" pivotButton="0" quotePrefix="0" xfId="0"/>
    <xf numFmtId="0" fontId="11" fillId="3" borderId="0" pivotButton="0" quotePrefix="0" xfId="0"/>
    <xf numFmtId="0" fontId="1" fillId="2" borderId="0" applyAlignment="1" pivotButton="0" quotePrefix="0" xfId="0">
      <alignment horizontal="center" vertical="center"/>
    </xf>
    <xf numFmtId="0" fontId="12" fillId="7" borderId="0" applyAlignment="1" pivotButton="0" quotePrefix="0" xfId="0">
      <alignment horizontal="center" vertical="center"/>
    </xf>
    <xf numFmtId="0" fontId="13" fillId="8" borderId="0" applyAlignment="1" pivotButton="0" quotePrefix="0" xfId="0">
      <alignment horizontal="center" vertical="center"/>
    </xf>
    <xf numFmtId="164" fontId="14" fillId="0" borderId="0" applyAlignment="1" pivotButton="0" quotePrefix="0" xfId="0">
      <alignment horizontal="center" vertical="center"/>
    </xf>
    <xf numFmtId="0" fontId="6" fillId="2" borderId="0" applyAlignment="1" pivotButton="0" quotePrefix="0" xfId="0">
      <alignment horizontal="center" vertical="center"/>
    </xf>
    <xf numFmtId="0" fontId="12" fillId="0" borderId="0" applyAlignment="1" pivotButton="0" quotePrefix="0" xfId="0">
      <alignment horizontal="center" vertical="center"/>
    </xf>
    <xf numFmtId="0" fontId="3" fillId="8" borderId="0" applyAlignment="1" pivotButton="0" quotePrefix="0" xfId="0">
      <alignment horizontal="center" vertical="center"/>
    </xf>
    <xf numFmtId="0" fontId="15" fillId="0" borderId="0" pivotButton="0" quotePrefix="0" xfId="0"/>
    <xf numFmtId="0" fontId="0" fillId="9" borderId="0" applyProtection="1" pivotButton="0" quotePrefix="0" xfId="0">
      <protection locked="0" hidden="0"/>
    </xf>
    <xf numFmtId="0" fontId="16" fillId="1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0" customWidth="1" min="1" max="1"/>
    <col width="55" customWidth="1" min="2" max="2"/>
    <col width="12" customWidth="1" min="3" max="3"/>
  </cols>
  <sheetData>
    <row r="1" ht="40" customHeight="1">
      <c r="A1" s="1" t="inlineStr">
        <is>
          <t>ISMS-IMP-A.5.9.3  -  Quality &amp; Compliance Assessment
ISO/IEC 27001:2022 - Control A.5.9: Inventory of Information and Assets</t>
        </is>
      </c>
    </row>
    <row r="2">
      <c r="A2" s="2" t="inlineStr">
        <is>
          <t>Assessment Domain 3 of 5: Data Quality &amp; Policy Compliance Verification</t>
        </is>
      </c>
    </row>
    <row r="4">
      <c r="A4" s="3" t="inlineStr">
        <is>
          <t>PURPOSE</t>
        </is>
      </c>
    </row>
    <row r="5" ht="60" customHeight="1">
      <c r="A5" s="4" t="inlineStr">
        <is>
          <t>This assessment evaluates the QUALITY and COMPLIANCE of inventory data through systematic sampling and verification.
Discovery finds assets. Maintenance keeps inventory current. Quality ensures data is accurate, complete, current, consistent, and compliant.
Five quality dimensions are assessed using statistical sampling and cross-system verification.</t>
        </is>
      </c>
    </row>
    <row r="6"/>
    <row r="7"/>
    <row r="8"/>
    <row r="10">
      <c r="A10" s="3" t="inlineStr">
        <is>
          <t>FIVE QUALITY DIMENSIONS</t>
        </is>
      </c>
    </row>
    <row r="11" ht="30" customHeight="1">
      <c r="A11" s="5" t="inlineStr">
        <is>
          <t>1. ACCURACY (30% weight)</t>
        </is>
      </c>
      <c r="B11" s="6" t="inlineStr">
        <is>
          <t>Correctness of data vs. ground truth (e.g., server really exists, owner is correct)</t>
        </is>
      </c>
      <c r="C11" s="5" t="inlineStr">
        <is>
          <t>98%</t>
        </is>
      </c>
    </row>
    <row r="12" ht="30" customHeight="1">
      <c r="A12" s="5" t="inlineStr">
        <is>
          <t>2. COMPLETENESS (25%)</t>
        </is>
      </c>
      <c r="B12" s="6" t="inlineStr">
        <is>
          <t>All required fields populated, no missing mandatory attributes</t>
        </is>
      </c>
      <c r="C12" s="5" t="inlineStr">
        <is>
          <t>95%</t>
        </is>
      </c>
    </row>
    <row r="13" ht="30" customHeight="1">
      <c r="A13" s="5" t="inlineStr">
        <is>
          <t>3. CURRENCY (20%)</t>
        </is>
      </c>
      <c r="B13" s="6" t="inlineStr">
        <is>
          <t>Data freshness - recently reviewed, not stale (e.g., &lt;90 days)</t>
        </is>
      </c>
      <c r="C13" s="5" t="inlineStr">
        <is>
          <t>90%</t>
        </is>
      </c>
    </row>
    <row r="14" ht="30" customHeight="1">
      <c r="A14" s="5" t="inlineStr">
        <is>
          <t>4. CONSISTENCY (15%)</t>
        </is>
      </c>
      <c r="B14" s="6" t="inlineStr">
        <is>
          <t>Data alignment across related systems (inventory ↔ CMDB ↔ HR ↔ procurement)</t>
        </is>
      </c>
      <c r="C14" s="5" t="inlineStr">
        <is>
          <t>95%</t>
        </is>
      </c>
    </row>
    <row r="15" ht="30" customHeight="1">
      <c r="A15" s="5" t="inlineStr">
        <is>
          <t>5. POLICY COMPLIANCE (10%)</t>
        </is>
      </c>
      <c r="B15" s="6" t="inlineStr">
        <is>
          <t>Adherence to ISMS-POL-A.5.9 requirements (ownership, classification, etc.)</t>
        </is>
      </c>
      <c r="C15" s="5" t="inlineStr">
        <is>
          <t>100%</t>
        </is>
      </c>
    </row>
    <row r="17">
      <c r="A17" s="3" t="inlineStr">
        <is>
          <t>STATISTICAL SAMPLING METHODOLOGY</t>
        </is>
      </c>
    </row>
    <row r="18" ht="100" customHeight="1">
      <c r="A18" s="4" t="inlineStr">
        <is>
          <t>For ACCURACY sampling, use statistical sampling:
• 95% confidence level, ±5% margin of error
• Minimum 30 samples per asset category (for statistical validity)
• Random selection (use random number generator, not cherry-picking)
• Verify each sample against ground truth (physical inspection, source system, owner confirmation)
For COMPLETENESS, CURRENCY, CONSISTENCY: Can use automated queries/reports (100% population check)</t>
        </is>
      </c>
    </row>
    <row r="19"/>
    <row r="20"/>
    <row r="21"/>
    <row r="23">
      <c r="A23" s="3" t="inlineStr">
        <is>
          <t>WEIGHTED QUALITY SCORING</t>
        </is>
      </c>
    </row>
    <row r="24">
      <c r="A24" s="7" t="inlineStr">
        <is>
          <t>Overall Quality Index = (Accuracy × 30%) + (Completeness × 25%) + (Currency × 20%) + (Consistency × 15%) + (Policy Compliance × 10%)</t>
        </is>
      </c>
    </row>
    <row r="25">
      <c r="A25" s="5" t="inlineStr">
        <is>
          <t>Target: ≥97% for compliant quality</t>
        </is>
      </c>
    </row>
    <row r="27">
      <c r="A27" s="3" t="inlineStr">
        <is>
          <t>TRAFFIC LIGHT LEGEND</t>
        </is>
      </c>
    </row>
    <row r="28">
      <c r="A28" s="8" t="inlineStr">
        <is>
          <t>✅ GREEN - High Quality</t>
        </is>
      </c>
      <c r="B28" t="inlineStr">
        <is>
          <t>Score ≥ Target (e.g., Accuracy ≥98%)</t>
        </is>
      </c>
    </row>
    <row r="29">
      <c r="A29" s="9" t="inlineStr">
        <is>
          <t>⚠️ YELLOW - Needs Improvement</t>
        </is>
      </c>
      <c r="B29" t="inlineStr">
        <is>
          <t>Score within 5% of target (e.g., Accuracy 93-97%)</t>
        </is>
      </c>
    </row>
    <row r="30">
      <c r="A30" s="10" t="inlineStr">
        <is>
          <t>❌ RED - Poor Quality</t>
        </is>
      </c>
      <c r="B30" t="inlineStr">
        <is>
          <t>Score &gt;5% below target (e.g., Accuracy &lt;93%)</t>
        </is>
      </c>
    </row>
  </sheetData>
  <mergeCells count="5">
    <mergeCell ref="A24:H24"/>
    <mergeCell ref="A2:H2"/>
    <mergeCell ref="A5:H8"/>
    <mergeCell ref="A1:H1"/>
    <mergeCell ref="A18:H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cols>
    <col width="15" customWidth="1" min="1" max="1"/>
    <col width="25" customWidth="1" min="2" max="2"/>
    <col width="25" customWidth="1" min="3" max="3"/>
    <col width="30" customWidth="1" min="4" max="4"/>
    <col width="30" customWidth="1" min="5" max="5"/>
    <col width="30" customWidth="1" min="6" max="6"/>
    <col width="12" customWidth="1" min="7" max="7"/>
    <col width="25" customWidth="1" min="8" max="8"/>
    <col width="30" customWidth="1" min="9" max="9"/>
    <col width="20" customWidth="1" min="10" max="10"/>
    <col width="18" customWidth="1" min="11" max="11"/>
    <col width="15" customWidth="1" min="12" max="12"/>
    <col width="15" customWidth="1" min="13" max="13"/>
    <col width="30" customWidth="1" min="14" max="14"/>
  </cols>
  <sheetData>
    <row r="1" ht="25" customHeight="1">
      <c r="A1" s="11" t="inlineStr">
        <is>
          <t>Accuracy Sampling - Statistical Verification</t>
        </is>
      </c>
    </row>
    <row r="3">
      <c r="A3" s="12" t="inlineStr">
        <is>
          <t>Sample ID</t>
        </is>
      </c>
      <c r="B3" s="12" t="inlineStr">
        <is>
          <t>Asset Category</t>
        </is>
      </c>
      <c r="C3" s="12" t="inlineStr">
        <is>
          <t>Asset ID (Inventory)</t>
        </is>
      </c>
      <c r="D3" s="12" t="inlineStr">
        <is>
          <t>Attribute Verified</t>
        </is>
      </c>
      <c r="E3" s="12" t="inlineStr">
        <is>
          <t>Inventory Value</t>
        </is>
      </c>
      <c r="F3" s="12" t="inlineStr">
        <is>
          <t>Ground Truth Value</t>
        </is>
      </c>
      <c r="G3" s="12" t="inlineStr">
        <is>
          <t>Match?</t>
        </is>
      </c>
      <c r="H3" s="12" t="inlineStr">
        <is>
          <t>Discrepancy Type</t>
        </is>
      </c>
      <c r="I3" s="12" t="inlineStr">
        <is>
          <t>Verification Method</t>
        </is>
      </c>
      <c r="J3" s="12" t="inlineStr">
        <is>
          <t>Verified By</t>
        </is>
      </c>
      <c r="K3" s="12" t="inlineStr">
        <is>
          <t>Verification Date</t>
        </is>
      </c>
      <c r="L3" s="12" t="inlineStr">
        <is>
          <t>Corrected?</t>
        </is>
      </c>
      <c r="M3" s="12" t="inlineStr">
        <is>
          <t>Evidence ID</t>
        </is>
      </c>
      <c r="N3" s="12" t="inlineStr">
        <is>
          <t>Notes</t>
        </is>
      </c>
    </row>
    <row r="4">
      <c r="A4" s="13" t="inlineStr">
        <is>
          <t>ACC-001</t>
        </is>
      </c>
      <c r="B4" s="13" t="inlineStr">
        <is>
          <t>Information Assets</t>
        </is>
      </c>
      <c r="C4" s="13" t="inlineStr">
        <is>
          <t>DB-PROD-001</t>
        </is>
      </c>
      <c r="D4" s="13" t="inlineStr">
        <is>
          <t>Database Size</t>
        </is>
      </c>
      <c r="E4" s="13" t="inlineStr">
        <is>
          <t>500 GB</t>
        </is>
      </c>
      <c r="F4" s="13" t="inlineStr">
        <is>
          <t>482 GB</t>
        </is>
      </c>
      <c r="G4" s="13" t="inlineStr">
        <is>
          <t>No</t>
        </is>
      </c>
      <c r="H4" s="13" t="n"/>
      <c r="I4" s="13" t="n"/>
      <c r="J4" s="13" t="n"/>
      <c r="K4" s="13" t="n"/>
      <c r="L4" s="13" t="n"/>
      <c r="M4" s="13" t="n"/>
      <c r="N4" s="13" t="n"/>
    </row>
    <row r="5">
      <c r="A5" s="13" t="inlineStr">
        <is>
          <t>ACC-002</t>
        </is>
      </c>
      <c r="B5" s="13" t="inlineStr">
        <is>
          <t>IT Infrastructure</t>
        </is>
      </c>
      <c r="C5" s="13" t="inlineStr">
        <is>
          <t>SRV-WEB-023</t>
        </is>
      </c>
      <c r="D5" s="13" t="inlineStr">
        <is>
          <t>IP Address</t>
        </is>
      </c>
      <c r="E5" s="13" t="inlineStr">
        <is>
          <t>10.1.2.45</t>
        </is>
      </c>
      <c r="F5" s="13" t="inlineStr">
        <is>
          <t>10.1.2.45</t>
        </is>
      </c>
      <c r="G5" s="13" t="inlineStr">
        <is>
          <t>Yes</t>
        </is>
      </c>
      <c r="H5" s="13" t="n"/>
      <c r="I5" s="13" t="n"/>
      <c r="J5" s="13" t="n"/>
      <c r="K5" s="13" t="n"/>
      <c r="L5" s="13" t="n"/>
      <c r="M5" s="13" t="n"/>
      <c r="N5" s="13" t="n"/>
    </row>
    <row r="6">
      <c r="A6" s="13" t="inlineStr">
        <is>
          <t>ACC-003</t>
        </is>
      </c>
      <c r="B6" s="13" t="inlineStr">
        <is>
          <t>Applications</t>
        </is>
      </c>
      <c r="C6" s="13" t="inlineStr">
        <is>
          <t>APP-JIRA-001</t>
        </is>
      </c>
      <c r="D6" s="13" t="inlineStr">
        <is>
          <t>Owner</t>
        </is>
      </c>
      <c r="E6" s="13" t="inlineStr">
        <is>
          <t>John Doe</t>
        </is>
      </c>
      <c r="F6" s="13" t="inlineStr">
        <is>
          <t>Jane Smith</t>
        </is>
      </c>
      <c r="G6" s="13" t="inlineStr">
        <is>
          <t>No</t>
        </is>
      </c>
      <c r="H6" s="13" t="n"/>
      <c r="I6" s="13" t="n"/>
      <c r="J6" s="13" t="n"/>
      <c r="K6" s="13" t="n"/>
      <c r="L6" s="13" t="n"/>
      <c r="M6" s="13" t="n"/>
      <c r="N6" s="13" t="n"/>
    </row>
    <row r="7">
      <c r="A7" s="13" t="inlineStr">
        <is>
          <t>ACC-004</t>
        </is>
      </c>
      <c r="B7" s="13" t="inlineStr">
        <is>
          <t>Personnel Assets</t>
        </is>
      </c>
      <c r="C7" s="13" t="inlineStr">
        <is>
          <t>PER-ENG-042</t>
        </is>
      </c>
      <c r="D7" s="13" t="inlineStr">
        <is>
          <t>Department</t>
        </is>
      </c>
      <c r="E7" s="13" t="inlineStr">
        <is>
          <t>Engineering</t>
        </is>
      </c>
      <c r="F7" s="13" t="inlineStr">
        <is>
          <t>Engineering</t>
        </is>
      </c>
      <c r="G7" s="13" t="inlineStr">
        <is>
          <t>Yes</t>
        </is>
      </c>
      <c r="H7" s="13" t="n"/>
      <c r="I7" s="13" t="n"/>
      <c r="J7" s="13" t="n"/>
      <c r="K7" s="13" t="n"/>
      <c r="L7" s="13" t="n"/>
      <c r="M7" s="13" t="n"/>
      <c r="N7" s="13" t="n"/>
    </row>
    <row r="8">
      <c r="A8" s="13" t="n"/>
      <c r="B8" s="13" t="n"/>
      <c r="C8" s="13" t="n"/>
      <c r="D8" s="13" t="n"/>
      <c r="E8" s="13" t="n"/>
      <c r="F8" s="13" t="n"/>
      <c r="G8" s="13" t="n"/>
      <c r="H8" s="13" t="n"/>
      <c r="I8" s="13" t="n"/>
      <c r="J8" s="13" t="n"/>
      <c r="K8" s="13" t="n"/>
      <c r="L8" s="13" t="n"/>
      <c r="M8" s="13" t="n"/>
      <c r="N8" s="13" t="n"/>
    </row>
    <row r="9">
      <c r="A9" s="13" t="n"/>
      <c r="B9" s="13" t="n"/>
      <c r="C9" s="13" t="n"/>
      <c r="D9" s="13" t="n"/>
      <c r="E9" s="13" t="n"/>
      <c r="F9" s="13" t="n"/>
      <c r="G9" s="13" t="n"/>
      <c r="H9" s="13" t="n"/>
      <c r="I9" s="13" t="n"/>
      <c r="J9" s="13" t="n"/>
      <c r="K9" s="13" t="n"/>
      <c r="L9" s="13" t="n"/>
      <c r="M9" s="13" t="n"/>
      <c r="N9" s="13" t="n"/>
    </row>
    <row r="10">
      <c r="A10" s="13" t="n"/>
      <c r="B10" s="13" t="n"/>
      <c r="C10" s="13" t="n"/>
      <c r="D10" s="13" t="n"/>
      <c r="E10" s="13" t="n"/>
      <c r="F10" s="13" t="n"/>
      <c r="G10" s="13" t="n"/>
      <c r="H10" s="13" t="n"/>
      <c r="I10" s="13" t="n"/>
      <c r="J10" s="13" t="n"/>
      <c r="K10" s="13" t="n"/>
      <c r="L10" s="13" t="n"/>
      <c r="M10" s="13" t="n"/>
      <c r="N10" s="13" t="n"/>
    </row>
    <row r="11">
      <c r="A11" s="13" t="n"/>
      <c r="B11" s="13" t="n"/>
      <c r="C11" s="13" t="n"/>
      <c r="D11" s="13" t="n"/>
      <c r="E11" s="13" t="n"/>
      <c r="F11" s="13" t="n"/>
      <c r="G11" s="13" t="n"/>
      <c r="H11" s="13" t="n"/>
      <c r="I11" s="13" t="n"/>
      <c r="J11" s="13" t="n"/>
      <c r="K11" s="13" t="n"/>
      <c r="L11" s="13" t="n"/>
      <c r="M11" s="13" t="n"/>
      <c r="N11" s="13" t="n"/>
    </row>
    <row r="12">
      <c r="A12" s="13" t="n"/>
      <c r="B12" s="13" t="n"/>
      <c r="C12" s="13" t="n"/>
      <c r="D12" s="13" t="n"/>
      <c r="E12" s="13" t="n"/>
      <c r="F12" s="13" t="n"/>
      <c r="G12" s="13" t="n"/>
      <c r="H12" s="13" t="n"/>
      <c r="I12" s="13" t="n"/>
      <c r="J12" s="13" t="n"/>
      <c r="K12" s="13" t="n"/>
      <c r="L12" s="13" t="n"/>
      <c r="M12" s="13" t="n"/>
      <c r="N12" s="13" t="n"/>
    </row>
    <row r="13">
      <c r="A13" s="13" t="n"/>
      <c r="B13" s="13" t="n"/>
      <c r="C13" s="13" t="n"/>
      <c r="D13" s="13" t="n"/>
      <c r="E13" s="13" t="n"/>
      <c r="F13" s="13" t="n"/>
      <c r="G13" s="13" t="n"/>
      <c r="H13" s="13" t="n"/>
      <c r="I13" s="13" t="n"/>
      <c r="J13" s="13" t="n"/>
      <c r="K13" s="13" t="n"/>
      <c r="L13" s="13" t="n"/>
      <c r="M13" s="13" t="n"/>
      <c r="N13" s="13" t="n"/>
    </row>
    <row r="14">
      <c r="A14" s="13" t="n"/>
      <c r="B14" s="13" t="n"/>
      <c r="C14" s="13" t="n"/>
      <c r="D14" s="13" t="n"/>
      <c r="E14" s="13" t="n"/>
      <c r="F14" s="13" t="n"/>
      <c r="G14" s="13" t="n"/>
      <c r="H14" s="13" t="n"/>
      <c r="I14" s="13" t="n"/>
      <c r="J14" s="13" t="n"/>
      <c r="K14" s="13" t="n"/>
      <c r="L14" s="13" t="n"/>
      <c r="M14" s="13" t="n"/>
      <c r="N14" s="13" t="n"/>
    </row>
    <row r="15">
      <c r="A15" s="13" t="n"/>
      <c r="B15" s="13" t="n"/>
      <c r="C15" s="13" t="n"/>
      <c r="D15" s="13" t="n"/>
      <c r="E15" s="13" t="n"/>
      <c r="F15" s="13" t="n"/>
      <c r="G15" s="13" t="n"/>
      <c r="H15" s="13" t="n"/>
      <c r="I15" s="13" t="n"/>
      <c r="J15" s="13" t="n"/>
      <c r="K15" s="13" t="n"/>
      <c r="L15" s="13" t="n"/>
      <c r="M15" s="13" t="n"/>
      <c r="N15" s="13" t="n"/>
    </row>
    <row r="16">
      <c r="A16" s="13" t="n"/>
      <c r="B16" s="13" t="n"/>
      <c r="C16" s="13" t="n"/>
      <c r="D16" s="13" t="n"/>
      <c r="E16" s="13" t="n"/>
      <c r="F16" s="13" t="n"/>
      <c r="G16" s="13" t="n"/>
      <c r="H16" s="13" t="n"/>
      <c r="I16" s="13" t="n"/>
      <c r="J16" s="13" t="n"/>
      <c r="K16" s="13" t="n"/>
      <c r="L16" s="13" t="n"/>
      <c r="M16" s="13" t="n"/>
      <c r="N16" s="13" t="n"/>
    </row>
    <row r="17">
      <c r="A17" s="13" t="n"/>
      <c r="B17" s="13" t="n"/>
      <c r="C17" s="13" t="n"/>
      <c r="D17" s="13" t="n"/>
      <c r="E17" s="13" t="n"/>
      <c r="F17" s="13" t="n"/>
      <c r="G17" s="13" t="n"/>
      <c r="H17" s="13" t="n"/>
      <c r="I17" s="13" t="n"/>
      <c r="J17" s="13" t="n"/>
      <c r="K17" s="13" t="n"/>
      <c r="L17" s="13" t="n"/>
      <c r="M17" s="13" t="n"/>
      <c r="N17" s="13" t="n"/>
    </row>
    <row r="18">
      <c r="A18" s="13" t="n"/>
      <c r="B18" s="13" t="n"/>
      <c r="C18" s="13" t="n"/>
      <c r="D18" s="13" t="n"/>
      <c r="E18" s="13" t="n"/>
      <c r="F18" s="13" t="n"/>
      <c r="G18" s="13" t="n"/>
      <c r="H18" s="13" t="n"/>
      <c r="I18" s="13" t="n"/>
      <c r="J18" s="13" t="n"/>
      <c r="K18" s="13" t="n"/>
      <c r="L18" s="13" t="n"/>
      <c r="M18" s="13" t="n"/>
      <c r="N18" s="13" t="n"/>
    </row>
    <row r="19">
      <c r="A19" s="13" t="n"/>
      <c r="B19" s="13" t="n"/>
      <c r="C19" s="13" t="n"/>
      <c r="D19" s="13" t="n"/>
      <c r="E19" s="13" t="n"/>
      <c r="F19" s="13" t="n"/>
      <c r="G19" s="13" t="n"/>
      <c r="H19" s="13" t="n"/>
      <c r="I19" s="13" t="n"/>
      <c r="J19" s="13" t="n"/>
      <c r="K19" s="13" t="n"/>
      <c r="L19" s="13" t="n"/>
      <c r="M19" s="13" t="n"/>
      <c r="N19" s="13" t="n"/>
    </row>
    <row r="20">
      <c r="A20" s="13" t="n"/>
      <c r="B20" s="13" t="n"/>
      <c r="C20" s="13" t="n"/>
      <c r="D20" s="13" t="n"/>
      <c r="E20" s="13" t="n"/>
      <c r="F20" s="13" t="n"/>
      <c r="G20" s="13" t="n"/>
      <c r="H20" s="13" t="n"/>
      <c r="I20" s="13" t="n"/>
      <c r="J20" s="13" t="n"/>
      <c r="K20" s="13" t="n"/>
      <c r="L20" s="13" t="n"/>
      <c r="M20" s="13" t="n"/>
      <c r="N20" s="13" t="n"/>
    </row>
    <row r="21">
      <c r="A21" s="13" t="n"/>
      <c r="B21" s="13" t="n"/>
      <c r="C21" s="13" t="n"/>
      <c r="D21" s="13" t="n"/>
      <c r="E21" s="13" t="n"/>
      <c r="F21" s="13" t="n"/>
      <c r="G21" s="13" t="n"/>
      <c r="H21" s="13" t="n"/>
      <c r="I21" s="13" t="n"/>
      <c r="J21" s="13" t="n"/>
      <c r="K21" s="13" t="n"/>
      <c r="L21" s="13" t="n"/>
      <c r="M21" s="13" t="n"/>
      <c r="N21" s="13" t="n"/>
    </row>
    <row r="22">
      <c r="A22" s="13" t="n"/>
      <c r="B22" s="13" t="n"/>
      <c r="C22" s="13" t="n"/>
      <c r="D22" s="13" t="n"/>
      <c r="E22" s="13" t="n"/>
      <c r="F22" s="13" t="n"/>
      <c r="G22" s="13" t="n"/>
      <c r="H22" s="13" t="n"/>
      <c r="I22" s="13" t="n"/>
      <c r="J22" s="13" t="n"/>
      <c r="K22" s="13" t="n"/>
      <c r="L22" s="13" t="n"/>
      <c r="M22" s="13" t="n"/>
      <c r="N22" s="13" t="n"/>
    </row>
    <row r="23">
      <c r="A23" s="13" t="n"/>
      <c r="B23" s="13" t="n"/>
      <c r="C23" s="13" t="n"/>
      <c r="D23" s="13" t="n"/>
      <c r="E23" s="13" t="n"/>
      <c r="F23" s="13" t="n"/>
      <c r="G23" s="13" t="n"/>
      <c r="H23" s="13" t="n"/>
      <c r="I23" s="13" t="n"/>
      <c r="J23" s="13" t="n"/>
      <c r="K23" s="13" t="n"/>
      <c r="L23" s="13" t="n"/>
      <c r="M23" s="13" t="n"/>
      <c r="N23" s="13" t="n"/>
    </row>
    <row r="24">
      <c r="A24" s="13" t="n"/>
      <c r="B24" s="13" t="n"/>
      <c r="C24" s="13" t="n"/>
      <c r="D24" s="13" t="n"/>
      <c r="E24" s="13" t="n"/>
      <c r="F24" s="13" t="n"/>
      <c r="G24" s="13" t="n"/>
      <c r="H24" s="13" t="n"/>
      <c r="I24" s="13" t="n"/>
      <c r="J24" s="13" t="n"/>
      <c r="K24" s="13" t="n"/>
      <c r="L24" s="13" t="n"/>
      <c r="M24" s="13" t="n"/>
      <c r="N24" s="13" t="n"/>
    </row>
    <row r="25">
      <c r="A25" s="13" t="n"/>
      <c r="B25" s="13" t="n"/>
      <c r="C25" s="13" t="n"/>
      <c r="D25" s="13" t="n"/>
      <c r="E25" s="13" t="n"/>
      <c r="F25" s="13" t="n"/>
      <c r="G25" s="13" t="n"/>
      <c r="H25" s="13" t="n"/>
      <c r="I25" s="13" t="n"/>
      <c r="J25" s="13" t="n"/>
      <c r="K25" s="13" t="n"/>
      <c r="L25" s="13" t="n"/>
      <c r="M25" s="13" t="n"/>
      <c r="N25" s="13" t="n"/>
    </row>
    <row r="26">
      <c r="A26" s="13" t="n"/>
      <c r="B26" s="13" t="n"/>
      <c r="C26" s="13" t="n"/>
      <c r="D26" s="13" t="n"/>
      <c r="E26" s="13" t="n"/>
      <c r="F26" s="13" t="n"/>
      <c r="G26" s="13" t="n"/>
      <c r="H26" s="13" t="n"/>
      <c r="I26" s="13" t="n"/>
      <c r="J26" s="13" t="n"/>
      <c r="K26" s="13" t="n"/>
      <c r="L26" s="13" t="n"/>
      <c r="M26" s="13" t="n"/>
      <c r="N26" s="13" t="n"/>
    </row>
    <row r="27">
      <c r="A27" s="13" t="n"/>
      <c r="B27" s="13" t="n"/>
      <c r="C27" s="13" t="n"/>
      <c r="D27" s="13" t="n"/>
      <c r="E27" s="13" t="n"/>
      <c r="F27" s="13" t="n"/>
      <c r="G27" s="13" t="n"/>
      <c r="H27" s="13" t="n"/>
      <c r="I27" s="13" t="n"/>
      <c r="J27" s="13" t="n"/>
      <c r="K27" s="13" t="n"/>
      <c r="L27" s="13" t="n"/>
      <c r="M27" s="13" t="n"/>
      <c r="N27" s="13" t="n"/>
    </row>
    <row r="28">
      <c r="A28" s="13" t="n"/>
      <c r="B28" s="13" t="n"/>
      <c r="C28" s="13" t="n"/>
      <c r="D28" s="13" t="n"/>
      <c r="E28" s="13" t="n"/>
      <c r="F28" s="13" t="n"/>
      <c r="G28" s="13" t="n"/>
      <c r="H28" s="13" t="n"/>
      <c r="I28" s="13" t="n"/>
      <c r="J28" s="13" t="n"/>
      <c r="K28" s="13" t="n"/>
      <c r="L28" s="13" t="n"/>
      <c r="M28" s="13" t="n"/>
      <c r="N28" s="13" t="n"/>
    </row>
    <row r="29">
      <c r="A29" s="13" t="n"/>
      <c r="B29" s="13" t="n"/>
      <c r="C29" s="13" t="n"/>
      <c r="D29" s="13" t="n"/>
      <c r="E29" s="13" t="n"/>
      <c r="F29" s="13" t="n"/>
      <c r="G29" s="13" t="n"/>
      <c r="H29" s="13" t="n"/>
      <c r="I29" s="13" t="n"/>
      <c r="J29" s="13" t="n"/>
      <c r="K29" s="13" t="n"/>
      <c r="L29" s="13" t="n"/>
      <c r="M29" s="13" t="n"/>
      <c r="N29" s="13" t="n"/>
    </row>
    <row r="30">
      <c r="A30" s="13" t="n"/>
      <c r="B30" s="13" t="n"/>
      <c r="C30" s="13" t="n"/>
      <c r="D30" s="13" t="n"/>
      <c r="E30" s="13" t="n"/>
      <c r="F30" s="13" t="n"/>
      <c r="G30" s="13" t="n"/>
      <c r="H30" s="13" t="n"/>
      <c r="I30" s="13" t="n"/>
      <c r="J30" s="13" t="n"/>
      <c r="K30" s="13" t="n"/>
      <c r="L30" s="13" t="n"/>
      <c r="M30" s="13" t="n"/>
      <c r="N30" s="13" t="n"/>
    </row>
    <row r="31">
      <c r="A31" s="13" t="n"/>
      <c r="B31" s="13" t="n"/>
      <c r="C31" s="13" t="n"/>
      <c r="D31" s="13" t="n"/>
      <c r="E31" s="13" t="n"/>
      <c r="F31" s="13" t="n"/>
      <c r="G31" s="13" t="n"/>
      <c r="H31" s="13" t="n"/>
      <c r="I31" s="13" t="n"/>
      <c r="J31" s="13" t="n"/>
      <c r="K31" s="13" t="n"/>
      <c r="L31" s="13" t="n"/>
      <c r="M31" s="13" t="n"/>
      <c r="N31" s="13" t="n"/>
    </row>
    <row r="32">
      <c r="A32" s="13" t="n"/>
      <c r="B32" s="13" t="n"/>
      <c r="C32" s="13" t="n"/>
      <c r="D32" s="13" t="n"/>
      <c r="E32" s="13" t="n"/>
      <c r="F32" s="13" t="n"/>
      <c r="G32" s="13" t="n"/>
      <c r="H32" s="13" t="n"/>
      <c r="I32" s="13" t="n"/>
      <c r="J32" s="13" t="n"/>
      <c r="K32" s="13" t="n"/>
      <c r="L32" s="13" t="n"/>
      <c r="M32" s="13" t="n"/>
      <c r="N32" s="13" t="n"/>
    </row>
    <row r="33">
      <c r="A33" s="13" t="n"/>
      <c r="B33" s="13" t="n"/>
      <c r="C33" s="13" t="n"/>
      <c r="D33" s="13" t="n"/>
      <c r="E33" s="13" t="n"/>
      <c r="F33" s="13" t="n"/>
      <c r="G33" s="13" t="n"/>
      <c r="H33" s="13" t="n"/>
      <c r="I33" s="13" t="n"/>
      <c r="J33" s="13" t="n"/>
      <c r="K33" s="13" t="n"/>
      <c r="L33" s="13" t="n"/>
      <c r="M33" s="13" t="n"/>
      <c r="N33" s="13" t="n"/>
    </row>
    <row r="34">
      <c r="A34" s="13" t="n"/>
      <c r="B34" s="13" t="n"/>
      <c r="C34" s="13" t="n"/>
      <c r="D34" s="13" t="n"/>
      <c r="E34" s="13" t="n"/>
      <c r="F34" s="13" t="n"/>
      <c r="G34" s="13" t="n"/>
      <c r="H34" s="13" t="n"/>
      <c r="I34" s="13" t="n"/>
      <c r="J34" s="13" t="n"/>
      <c r="K34" s="13" t="n"/>
      <c r="L34" s="13" t="n"/>
      <c r="M34" s="13" t="n"/>
      <c r="N34" s="13" t="n"/>
    </row>
    <row r="35">
      <c r="A35" s="13" t="n"/>
      <c r="B35" s="13" t="n"/>
      <c r="C35" s="13" t="n"/>
      <c r="D35" s="13" t="n"/>
      <c r="E35" s="13" t="n"/>
      <c r="F35" s="13" t="n"/>
      <c r="G35" s="13" t="n"/>
      <c r="H35" s="13" t="n"/>
      <c r="I35" s="13" t="n"/>
      <c r="J35" s="13" t="n"/>
      <c r="K35" s="13" t="n"/>
      <c r="L35" s="13" t="n"/>
      <c r="M35" s="13" t="n"/>
      <c r="N35" s="13" t="n"/>
    </row>
    <row r="36">
      <c r="A36" s="13" t="n"/>
      <c r="B36" s="13" t="n"/>
      <c r="C36" s="13" t="n"/>
      <c r="D36" s="13" t="n"/>
      <c r="E36" s="13" t="n"/>
      <c r="F36" s="13" t="n"/>
      <c r="G36" s="13" t="n"/>
      <c r="H36" s="13" t="n"/>
      <c r="I36" s="13" t="n"/>
      <c r="J36" s="13" t="n"/>
      <c r="K36" s="13" t="n"/>
      <c r="L36" s="13" t="n"/>
      <c r="M36" s="13" t="n"/>
      <c r="N36" s="13" t="n"/>
    </row>
    <row r="37">
      <c r="A37" s="13" t="n"/>
      <c r="B37" s="13" t="n"/>
      <c r="C37" s="13" t="n"/>
      <c r="D37" s="13" t="n"/>
      <c r="E37" s="13" t="n"/>
      <c r="F37" s="13" t="n"/>
      <c r="G37" s="13" t="n"/>
      <c r="H37" s="13" t="n"/>
      <c r="I37" s="13" t="n"/>
      <c r="J37" s="13" t="n"/>
      <c r="K37" s="13" t="n"/>
      <c r="L37" s="13" t="n"/>
      <c r="M37" s="13" t="n"/>
      <c r="N37" s="13" t="n"/>
    </row>
    <row r="38">
      <c r="A38" s="13" t="n"/>
      <c r="B38" s="13" t="n"/>
      <c r="C38" s="13" t="n"/>
      <c r="D38" s="13" t="n"/>
      <c r="E38" s="13" t="n"/>
      <c r="F38" s="13" t="n"/>
      <c r="G38" s="13" t="n"/>
      <c r="H38" s="13" t="n"/>
      <c r="I38" s="13" t="n"/>
      <c r="J38" s="13" t="n"/>
      <c r="K38" s="13" t="n"/>
      <c r="L38" s="13" t="n"/>
      <c r="M38" s="13" t="n"/>
      <c r="N38" s="13" t="n"/>
    </row>
    <row r="39">
      <c r="A39" s="13" t="n"/>
      <c r="B39" s="13" t="n"/>
      <c r="C39" s="13" t="n"/>
      <c r="D39" s="13" t="n"/>
      <c r="E39" s="13" t="n"/>
      <c r="F39" s="13" t="n"/>
      <c r="G39" s="13" t="n"/>
      <c r="H39" s="13" t="n"/>
      <c r="I39" s="13" t="n"/>
      <c r="J39" s="13" t="n"/>
      <c r="K39" s="13" t="n"/>
      <c r="L39" s="13" t="n"/>
      <c r="M39" s="13" t="n"/>
      <c r="N39" s="13" t="n"/>
    </row>
    <row r="40">
      <c r="A40" s="13" t="n"/>
      <c r="B40" s="13" t="n"/>
      <c r="C40" s="13" t="n"/>
      <c r="D40" s="13" t="n"/>
      <c r="E40" s="13" t="n"/>
      <c r="F40" s="13" t="n"/>
      <c r="G40" s="13" t="n"/>
      <c r="H40" s="13" t="n"/>
      <c r="I40" s="13" t="n"/>
      <c r="J40" s="13" t="n"/>
      <c r="K40" s="13" t="n"/>
      <c r="L40" s="13" t="n"/>
      <c r="M40" s="13" t="n"/>
      <c r="N40" s="13" t="n"/>
    </row>
    <row r="41">
      <c r="A41" s="13" t="n"/>
      <c r="B41" s="13" t="n"/>
      <c r="C41" s="13" t="n"/>
      <c r="D41" s="13" t="n"/>
      <c r="E41" s="13" t="n"/>
      <c r="F41" s="13" t="n"/>
      <c r="G41" s="13" t="n"/>
      <c r="H41" s="13" t="n"/>
      <c r="I41" s="13" t="n"/>
      <c r="J41" s="13" t="n"/>
      <c r="K41" s="13" t="n"/>
      <c r="L41" s="13" t="n"/>
      <c r="M41" s="13" t="n"/>
      <c r="N41" s="13" t="n"/>
    </row>
    <row r="42">
      <c r="A42" s="13" t="n"/>
      <c r="B42" s="13" t="n"/>
      <c r="C42" s="13" t="n"/>
      <c r="D42" s="13" t="n"/>
      <c r="E42" s="13" t="n"/>
      <c r="F42" s="13" t="n"/>
      <c r="G42" s="13" t="n"/>
      <c r="H42" s="13" t="n"/>
      <c r="I42" s="13" t="n"/>
      <c r="J42" s="13" t="n"/>
      <c r="K42" s="13" t="n"/>
      <c r="L42" s="13" t="n"/>
      <c r="M42" s="13" t="n"/>
      <c r="N42" s="13" t="n"/>
    </row>
    <row r="43">
      <c r="A43" s="13" t="n"/>
      <c r="B43" s="13" t="n"/>
      <c r="C43" s="13" t="n"/>
      <c r="D43" s="13" t="n"/>
      <c r="E43" s="13" t="n"/>
      <c r="F43" s="13" t="n"/>
      <c r="G43" s="13" t="n"/>
      <c r="H43" s="13" t="n"/>
      <c r="I43" s="13" t="n"/>
      <c r="J43" s="13" t="n"/>
      <c r="K43" s="13" t="n"/>
      <c r="L43" s="13" t="n"/>
      <c r="M43" s="13" t="n"/>
      <c r="N43" s="13" t="n"/>
    </row>
    <row r="44">
      <c r="A44" s="13" t="n"/>
      <c r="B44" s="13" t="n"/>
      <c r="C44" s="13" t="n"/>
      <c r="D44" s="13" t="n"/>
      <c r="E44" s="13" t="n"/>
      <c r="F44" s="13" t="n"/>
      <c r="G44" s="13" t="n"/>
      <c r="H44" s="13" t="n"/>
      <c r="I44" s="13" t="n"/>
      <c r="J44" s="13" t="n"/>
      <c r="K44" s="13" t="n"/>
      <c r="L44" s="13" t="n"/>
      <c r="M44" s="13" t="n"/>
      <c r="N44" s="13" t="n"/>
    </row>
    <row r="45">
      <c r="A45" s="13" t="n"/>
      <c r="B45" s="13" t="n"/>
      <c r="C45" s="13" t="n"/>
      <c r="D45" s="13" t="n"/>
      <c r="E45" s="13" t="n"/>
      <c r="F45" s="13" t="n"/>
      <c r="G45" s="13" t="n"/>
      <c r="H45" s="13" t="n"/>
      <c r="I45" s="13" t="n"/>
      <c r="J45" s="13" t="n"/>
      <c r="K45" s="13" t="n"/>
      <c r="L45" s="13" t="n"/>
      <c r="M45" s="13" t="n"/>
      <c r="N45" s="13" t="n"/>
    </row>
    <row r="46">
      <c r="A46" s="13" t="n"/>
      <c r="B46" s="13" t="n"/>
      <c r="C46" s="13" t="n"/>
      <c r="D46" s="13" t="n"/>
      <c r="E46" s="13" t="n"/>
      <c r="F46" s="13" t="n"/>
      <c r="G46" s="13" t="n"/>
      <c r="H46" s="13" t="n"/>
      <c r="I46" s="13" t="n"/>
      <c r="J46" s="13" t="n"/>
      <c r="K46" s="13" t="n"/>
      <c r="L46" s="13" t="n"/>
      <c r="M46" s="13" t="n"/>
      <c r="N46" s="13" t="n"/>
    </row>
    <row r="47">
      <c r="A47" s="13" t="n"/>
      <c r="B47" s="13" t="n"/>
      <c r="C47" s="13" t="n"/>
      <c r="D47" s="13" t="n"/>
      <c r="E47" s="13" t="n"/>
      <c r="F47" s="13" t="n"/>
      <c r="G47" s="13" t="n"/>
      <c r="H47" s="13" t="n"/>
      <c r="I47" s="13" t="n"/>
      <c r="J47" s="13" t="n"/>
      <c r="K47" s="13" t="n"/>
      <c r="L47" s="13" t="n"/>
      <c r="M47" s="13" t="n"/>
      <c r="N47" s="13" t="n"/>
    </row>
    <row r="48">
      <c r="A48" s="13" t="n"/>
      <c r="B48" s="13" t="n"/>
      <c r="C48" s="13" t="n"/>
      <c r="D48" s="13" t="n"/>
      <c r="E48" s="13" t="n"/>
      <c r="F48" s="13" t="n"/>
      <c r="G48" s="13" t="n"/>
      <c r="H48" s="13" t="n"/>
      <c r="I48" s="13" t="n"/>
      <c r="J48" s="13" t="n"/>
      <c r="K48" s="13" t="n"/>
      <c r="L48" s="13" t="n"/>
      <c r="M48" s="13" t="n"/>
      <c r="N48" s="13" t="n"/>
    </row>
    <row r="49">
      <c r="A49" s="13" t="n"/>
      <c r="B49" s="13" t="n"/>
      <c r="C49" s="13" t="n"/>
      <c r="D49" s="13" t="n"/>
      <c r="E49" s="13" t="n"/>
      <c r="F49" s="13" t="n"/>
      <c r="G49" s="13" t="n"/>
      <c r="H49" s="13" t="n"/>
      <c r="I49" s="13" t="n"/>
      <c r="J49" s="13" t="n"/>
      <c r="K49" s="13" t="n"/>
      <c r="L49" s="13" t="n"/>
      <c r="M49" s="13" t="n"/>
      <c r="N49" s="13" t="n"/>
    </row>
    <row r="50">
      <c r="A50" s="13" t="n"/>
      <c r="B50" s="13" t="n"/>
      <c r="C50" s="13" t="n"/>
      <c r="D50" s="13" t="n"/>
      <c r="E50" s="13" t="n"/>
      <c r="F50" s="13" t="n"/>
      <c r="G50" s="13" t="n"/>
      <c r="H50" s="13" t="n"/>
      <c r="I50" s="13" t="n"/>
      <c r="J50" s="13" t="n"/>
      <c r="K50" s="13" t="n"/>
      <c r="L50" s="13" t="n"/>
      <c r="M50" s="13" t="n"/>
      <c r="N50" s="13" t="n"/>
    </row>
    <row r="51">
      <c r="A51" s="13" t="n"/>
      <c r="B51" s="13" t="n"/>
      <c r="C51" s="13" t="n"/>
      <c r="D51" s="13" t="n"/>
      <c r="E51" s="13" t="n"/>
      <c r="F51" s="13" t="n"/>
      <c r="G51" s="13" t="n"/>
      <c r="H51" s="13" t="n"/>
      <c r="I51" s="13" t="n"/>
      <c r="J51" s="13" t="n"/>
      <c r="K51" s="13" t="n"/>
      <c r="L51" s="13" t="n"/>
      <c r="M51" s="13" t="n"/>
      <c r="N51" s="13" t="n"/>
    </row>
    <row r="52">
      <c r="A52" s="13" t="n"/>
      <c r="B52" s="13" t="n"/>
      <c r="C52" s="13" t="n"/>
      <c r="D52" s="13" t="n"/>
      <c r="E52" s="13" t="n"/>
      <c r="F52" s="13" t="n"/>
      <c r="G52" s="13" t="n"/>
      <c r="H52" s="13" t="n"/>
      <c r="I52" s="13" t="n"/>
      <c r="J52" s="13" t="n"/>
      <c r="K52" s="13" t="n"/>
      <c r="L52" s="13" t="n"/>
      <c r="M52" s="13" t="n"/>
      <c r="N52" s="13" t="n"/>
    </row>
    <row r="53">
      <c r="A53" s="13" t="n"/>
      <c r="B53" s="13" t="n"/>
      <c r="C53" s="13" t="n"/>
      <c r="D53" s="13" t="n"/>
      <c r="E53" s="13" t="n"/>
      <c r="F53" s="13" t="n"/>
      <c r="G53" s="13" t="n"/>
      <c r="H53" s="13" t="n"/>
      <c r="I53" s="13" t="n"/>
      <c r="J53" s="13" t="n"/>
      <c r="K53" s="13" t="n"/>
      <c r="L53" s="13" t="n"/>
      <c r="M53" s="13" t="n"/>
      <c r="N53" s="13" t="n"/>
    </row>
    <row r="54">
      <c r="A54" s="13" t="n"/>
      <c r="B54" s="13" t="n"/>
      <c r="C54" s="13" t="n"/>
      <c r="D54" s="13" t="n"/>
      <c r="E54" s="13" t="n"/>
      <c r="F54" s="13" t="n"/>
      <c r="G54" s="13" t="n"/>
      <c r="H54" s="13" t="n"/>
      <c r="I54" s="13" t="n"/>
      <c r="J54" s="13" t="n"/>
      <c r="K54" s="13" t="n"/>
      <c r="L54" s="13" t="n"/>
      <c r="M54" s="13" t="n"/>
      <c r="N54" s="13" t="n"/>
    </row>
    <row r="55">
      <c r="A55" s="13" t="n"/>
      <c r="B55" s="13" t="n"/>
      <c r="C55" s="13" t="n"/>
      <c r="D55" s="13" t="n"/>
      <c r="E55" s="13" t="n"/>
      <c r="F55" s="13" t="n"/>
      <c r="G55" s="13" t="n"/>
      <c r="H55" s="13" t="n"/>
      <c r="I55" s="13" t="n"/>
      <c r="J55" s="13" t="n"/>
      <c r="K55" s="13" t="n"/>
      <c r="L55" s="13" t="n"/>
      <c r="M55" s="13" t="n"/>
      <c r="N55" s="13" t="n"/>
    </row>
    <row r="56">
      <c r="A56" s="13" t="n"/>
      <c r="B56" s="13" t="n"/>
      <c r="C56" s="13" t="n"/>
      <c r="D56" s="13" t="n"/>
      <c r="E56" s="13" t="n"/>
      <c r="F56" s="13" t="n"/>
      <c r="G56" s="13" t="n"/>
      <c r="H56" s="13" t="n"/>
      <c r="I56" s="13" t="n"/>
      <c r="J56" s="13" t="n"/>
      <c r="K56" s="13" t="n"/>
      <c r="L56" s="13" t="n"/>
      <c r="M56" s="13" t="n"/>
      <c r="N56" s="13" t="n"/>
    </row>
    <row r="57">
      <c r="A57" s="13" t="n"/>
      <c r="B57" s="13" t="n"/>
      <c r="C57" s="13" t="n"/>
      <c r="D57" s="13" t="n"/>
      <c r="E57" s="13" t="n"/>
      <c r="F57" s="13" t="n"/>
      <c r="G57" s="13" t="n"/>
      <c r="H57" s="13" t="n"/>
      <c r="I57" s="13" t="n"/>
      <c r="J57" s="13" t="n"/>
      <c r="K57" s="13" t="n"/>
      <c r="L57" s="13" t="n"/>
      <c r="M57" s="13" t="n"/>
      <c r="N57" s="13" t="n"/>
    </row>
    <row r="60">
      <c r="A60" s="3" t="inlineStr">
        <is>
          <t>ACCURACY SAMPLING SUMMARY</t>
        </is>
      </c>
    </row>
    <row r="61">
      <c r="A61" t="inlineStr">
        <is>
          <t>Total Samples</t>
        </is>
      </c>
      <c r="B61" s="5">
        <f>COUNTA(A4:A7)</f>
        <v/>
      </c>
    </row>
    <row r="62">
      <c r="A62" t="inlineStr">
        <is>
          <t>Matches (Accurate)</t>
        </is>
      </c>
      <c r="B62" s="5">
        <f>COUNTIF(G4:G7,"Yes")</f>
        <v/>
      </c>
    </row>
    <row r="63">
      <c r="A63" t="inlineStr">
        <is>
          <t>Accuracy %</t>
        </is>
      </c>
      <c r="B63" s="14">
        <f>IFERROR(B62/B61*100,0)</f>
        <v/>
      </c>
    </row>
    <row r="64">
      <c r="A64" t="inlineStr">
        <is>
          <t>Target</t>
        </is>
      </c>
      <c r="B64" s="5" t="inlineStr">
        <is>
          <t>98%</t>
        </is>
      </c>
    </row>
    <row r="65">
      <c r="A65" t="inlineStr">
        <is>
          <t>Gap</t>
        </is>
      </c>
      <c r="B65" s="15">
        <f>B63-98</f>
        <v/>
      </c>
    </row>
    <row r="66">
      <c r="A66" t="inlineStr">
        <is>
          <t>Status</t>
        </is>
      </c>
      <c r="B66" s="16">
        <f>IF(B63&gt;=98,"✅ High Quality",IF(B63&gt;=93,"⚠️ Needs Improvement","❌ Poor Quality"))</f>
        <v/>
      </c>
    </row>
  </sheetData>
  <mergeCells count="1">
    <mergeCell ref="A1:N1"/>
  </mergeCells>
  <dataValidations count="3">
    <dataValidation sqref="B4:B100" showDropDown="0" showInputMessage="0" showErrorMessage="0" allowBlank="1" type="list">
      <formula1>"Information Assets,IT Infrastructure,Applications,Physical Assets,Personnel Assets"</formula1>
    </dataValidation>
    <dataValidation sqref="G4:G100 L4:L100" showDropDown="0" showInputMessage="0" showErrorMessage="0" allowBlank="1" type="list">
      <formula1>"Yes,No"</formula1>
    </dataValidation>
    <dataValidation sqref="I4:I100" showDropDown="0" showInputMessage="0" showErrorMessage="0" allowBlank="1" type="list">
      <formula1>"Physical Inspection,Source System Query,Owner Confirmation,Network Scan Verification,HR System Verification,Procurement Records,Third-party Audit,Other (Specify)"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25" customWidth="1" min="1" max="1"/>
    <col width="30" customWidth="1" min="2" max="2"/>
    <col width="15" customWidth="1" min="3" max="3"/>
    <col width="20" customWidth="1" min="4" max="4"/>
    <col width="16" customWidth="1" min="5" max="5"/>
    <col width="12" customWidth="1" min="6" max="6"/>
    <col width="12" customWidth="1" min="7" max="7"/>
    <col width="18" customWidth="1" min="8" max="8"/>
    <col width="15" customWidth="1" min="9" max="9"/>
    <col width="15" customWidth="1" min="10" max="10"/>
    <col width="30" customWidth="1" min="11" max="11"/>
  </cols>
  <sheetData>
    <row r="1">
      <c r="A1" s="11" t="inlineStr">
        <is>
          <t>Completeness Assessment - Mandatory Fields</t>
        </is>
      </c>
    </row>
    <row r="3">
      <c r="A3" s="17" t="inlineStr">
        <is>
          <t>Asset Category</t>
        </is>
      </c>
      <c r="B3" s="17" t="inlineStr">
        <is>
          <t>Mandatory Field</t>
        </is>
      </c>
      <c r="C3" s="17" t="inlineStr">
        <is>
          <t>Total Assets</t>
        </is>
      </c>
      <c r="D3" s="17" t="inlineStr">
        <is>
          <t>Assets with Field Populated</t>
        </is>
      </c>
      <c r="E3" s="17" t="inlineStr">
        <is>
          <t>Completeness %</t>
        </is>
      </c>
      <c r="F3" s="17" t="inlineStr">
        <is>
          <t>Target %</t>
        </is>
      </c>
      <c r="G3" s="17" t="inlineStr">
        <is>
          <t>Gap</t>
        </is>
      </c>
      <c r="H3" s="17" t="inlineStr">
        <is>
          <t>Status</t>
        </is>
      </c>
      <c r="I3" s="17" t="inlineStr">
        <is>
          <t>Missing Count</t>
        </is>
      </c>
      <c r="J3" s="17" t="inlineStr">
        <is>
          <t>Evidence ID</t>
        </is>
      </c>
      <c r="K3" s="17" t="inlineStr">
        <is>
          <t>Notes</t>
        </is>
      </c>
    </row>
    <row r="4">
      <c r="A4" t="inlineStr">
        <is>
          <t>Information Assets</t>
        </is>
      </c>
      <c r="B4" t="inlineStr">
        <is>
          <t>Asset Name</t>
        </is>
      </c>
      <c r="C4" s="13" t="n"/>
      <c r="D4" s="13" t="n"/>
      <c r="E4" s="15">
        <f>IFERROR(D4/C4*100,0)</f>
        <v/>
      </c>
      <c r="F4" t="inlineStr">
        <is>
          <t>95%</t>
        </is>
      </c>
      <c r="G4" s="15">
        <f>E4-95</f>
        <v/>
      </c>
      <c r="H4" s="18">
        <f>IF(E4&gt;=95,"✅ Complete",IF(E4&gt;=90,"⚠️ At Risk","❌ Incomplete"))</f>
        <v/>
      </c>
      <c r="I4">
        <f>C4-D4</f>
        <v/>
      </c>
      <c r="J4" s="13" t="n"/>
      <c r="K4" s="13" t="n"/>
    </row>
    <row r="5">
      <c r="A5" t="inlineStr">
        <is>
          <t>Information Assets</t>
        </is>
      </c>
      <c r="B5" t="inlineStr">
        <is>
          <t>Owner</t>
        </is>
      </c>
      <c r="C5" s="13" t="n"/>
      <c r="D5" s="13" t="n"/>
      <c r="E5" s="15">
        <f>IFERROR(D5/C5*100,0)</f>
        <v/>
      </c>
      <c r="F5" t="inlineStr">
        <is>
          <t>95%</t>
        </is>
      </c>
      <c r="G5" s="15">
        <f>E5-95</f>
        <v/>
      </c>
      <c r="H5" s="18">
        <f>IF(E5&gt;=95,"✅ Complete",IF(E5&gt;=90,"⚠️ At Risk","❌ Incomplete"))</f>
        <v/>
      </c>
      <c r="I5">
        <f>C5-D5</f>
        <v/>
      </c>
      <c r="J5" s="13" t="n"/>
      <c r="K5" s="13" t="n"/>
    </row>
    <row r="6">
      <c r="A6" t="inlineStr">
        <is>
          <t>Information Assets</t>
        </is>
      </c>
      <c r="B6" t="inlineStr">
        <is>
          <t>Classification</t>
        </is>
      </c>
      <c r="C6" s="13" t="n"/>
      <c r="D6" s="13" t="n"/>
      <c r="E6" s="15">
        <f>IFERROR(D6/C6*100,0)</f>
        <v/>
      </c>
      <c r="F6" t="inlineStr">
        <is>
          <t>95%</t>
        </is>
      </c>
      <c r="G6" s="15">
        <f>E6-95</f>
        <v/>
      </c>
      <c r="H6" s="18">
        <f>IF(E6&gt;=95,"✅ Complete",IF(E6&gt;=90,"⚠️ At Risk","❌ Incomplete"))</f>
        <v/>
      </c>
      <c r="I6">
        <f>C6-D6</f>
        <v/>
      </c>
      <c r="J6" s="13" t="n"/>
      <c r="K6" s="13" t="n"/>
    </row>
    <row r="7">
      <c r="A7" t="inlineStr">
        <is>
          <t>Information Assets</t>
        </is>
      </c>
      <c r="B7" t="inlineStr">
        <is>
          <t>Location</t>
        </is>
      </c>
      <c r="C7" s="13" t="n"/>
      <c r="D7" s="13" t="n"/>
      <c r="E7" s="15">
        <f>IFERROR(D7/C7*100,0)</f>
        <v/>
      </c>
      <c r="F7" t="inlineStr">
        <is>
          <t>95%</t>
        </is>
      </c>
      <c r="G7" s="15">
        <f>E7-95</f>
        <v/>
      </c>
      <c r="H7" s="18">
        <f>IF(E7&gt;=95,"✅ Complete",IF(E7&gt;=90,"⚠️ At Risk","❌ Incomplete"))</f>
        <v/>
      </c>
      <c r="I7">
        <f>C7-D7</f>
        <v/>
      </c>
      <c r="J7" s="13" t="n"/>
      <c r="K7" s="13" t="n"/>
    </row>
    <row r="8">
      <c r="A8" t="inlineStr">
        <is>
          <t>IT Infrastructure</t>
        </is>
      </c>
      <c r="B8" t="inlineStr">
        <is>
          <t>Asset Name</t>
        </is>
      </c>
      <c r="C8" s="13" t="n"/>
      <c r="D8" s="13" t="n"/>
      <c r="E8" s="15">
        <f>IFERROR(D8/C8*100,0)</f>
        <v/>
      </c>
      <c r="F8" t="inlineStr">
        <is>
          <t>95%</t>
        </is>
      </c>
      <c r="G8" s="15">
        <f>E8-95</f>
        <v/>
      </c>
      <c r="H8" s="18">
        <f>IF(E8&gt;=95,"✅ Complete",IF(E8&gt;=90,"⚠️ At Risk","❌ Incomplete"))</f>
        <v/>
      </c>
      <c r="I8">
        <f>C8-D8</f>
        <v/>
      </c>
      <c r="J8" s="13" t="n"/>
      <c r="K8" s="13" t="n"/>
    </row>
    <row r="9">
      <c r="A9" t="inlineStr">
        <is>
          <t>IT Infrastructure</t>
        </is>
      </c>
      <c r="B9" t="inlineStr">
        <is>
          <t>IP Address / Hostname</t>
        </is>
      </c>
      <c r="C9" s="13" t="n"/>
      <c r="D9" s="13" t="n"/>
      <c r="E9" s="15">
        <f>IFERROR(D9/C9*100,0)</f>
        <v/>
      </c>
      <c r="F9" t="inlineStr">
        <is>
          <t>95%</t>
        </is>
      </c>
      <c r="G9" s="15">
        <f>E9-95</f>
        <v/>
      </c>
      <c r="H9" s="18">
        <f>IF(E9&gt;=95,"✅ Complete",IF(E9&gt;=90,"⚠️ At Risk","❌ Incomplete"))</f>
        <v/>
      </c>
      <c r="I9">
        <f>C9-D9</f>
        <v/>
      </c>
      <c r="J9" s="13" t="n"/>
      <c r="K9" s="13" t="n"/>
    </row>
    <row r="10">
      <c r="A10" t="inlineStr">
        <is>
          <t>IT Infrastructure</t>
        </is>
      </c>
      <c r="B10" t="inlineStr">
        <is>
          <t>Owner</t>
        </is>
      </c>
      <c r="C10" s="13" t="n"/>
      <c r="D10" s="13" t="n"/>
      <c r="E10" s="15">
        <f>IFERROR(D10/C10*100,0)</f>
        <v/>
      </c>
      <c r="F10" t="inlineStr">
        <is>
          <t>95%</t>
        </is>
      </c>
      <c r="G10" s="15">
        <f>E10-95</f>
        <v/>
      </c>
      <c r="H10" s="18">
        <f>IF(E10&gt;=95,"✅ Complete",IF(E10&gt;=90,"⚠️ At Risk","❌ Incomplete"))</f>
        <v/>
      </c>
      <c r="I10">
        <f>C10-D10</f>
        <v/>
      </c>
      <c r="J10" s="13" t="n"/>
      <c r="K10" s="13" t="n"/>
    </row>
    <row r="11">
      <c r="A11" t="inlineStr">
        <is>
          <t>IT Infrastructure</t>
        </is>
      </c>
      <c r="B11" t="inlineStr">
        <is>
          <t>Location</t>
        </is>
      </c>
      <c r="C11" s="13" t="n"/>
      <c r="D11" s="13" t="n"/>
      <c r="E11" s="15">
        <f>IFERROR(D11/C11*100,0)</f>
        <v/>
      </c>
      <c r="F11" t="inlineStr">
        <is>
          <t>95%</t>
        </is>
      </c>
      <c r="G11" s="15">
        <f>E11-95</f>
        <v/>
      </c>
      <c r="H11" s="18">
        <f>IF(E11&gt;=95,"✅ Complete",IF(E11&gt;=90,"⚠️ At Risk","❌ Incomplete"))</f>
        <v/>
      </c>
      <c r="I11">
        <f>C11-D11</f>
        <v/>
      </c>
      <c r="J11" s="13" t="n"/>
      <c r="K11" s="13" t="n"/>
    </row>
    <row r="12">
      <c r="A12" t="inlineStr">
        <is>
          <t>Applications</t>
        </is>
      </c>
      <c r="B12" t="inlineStr">
        <is>
          <t>Application Name</t>
        </is>
      </c>
      <c r="C12" s="13" t="n"/>
      <c r="D12" s="13" t="n"/>
      <c r="E12" s="15">
        <f>IFERROR(D12/C12*100,0)</f>
        <v/>
      </c>
      <c r="F12" t="inlineStr">
        <is>
          <t>95%</t>
        </is>
      </c>
      <c r="G12" s="15">
        <f>E12-95</f>
        <v/>
      </c>
      <c r="H12" s="18">
        <f>IF(E12&gt;=95,"✅ Complete",IF(E12&gt;=90,"⚠️ At Risk","❌ Incomplete"))</f>
        <v/>
      </c>
      <c r="I12">
        <f>C12-D12</f>
        <v/>
      </c>
      <c r="J12" s="13" t="n"/>
      <c r="K12" s="13" t="n"/>
    </row>
    <row r="13">
      <c r="A13" t="inlineStr">
        <is>
          <t>Applications</t>
        </is>
      </c>
      <c r="B13" t="inlineStr">
        <is>
          <t>Version</t>
        </is>
      </c>
      <c r="C13" s="13" t="n"/>
      <c r="D13" s="13" t="n"/>
      <c r="E13" s="15">
        <f>IFERROR(D13/C13*100,0)</f>
        <v/>
      </c>
      <c r="F13" t="inlineStr">
        <is>
          <t>95%</t>
        </is>
      </c>
      <c r="G13" s="15">
        <f>E13-95</f>
        <v/>
      </c>
      <c r="H13" s="18">
        <f>IF(E13&gt;=95,"✅ Complete",IF(E13&gt;=90,"⚠️ At Risk","❌ Incomplete"))</f>
        <v/>
      </c>
      <c r="I13">
        <f>C13-D13</f>
        <v/>
      </c>
      <c r="J13" s="13" t="n"/>
      <c r="K13" s="13" t="n"/>
    </row>
    <row r="14">
      <c r="A14" t="inlineStr">
        <is>
          <t>Applications</t>
        </is>
      </c>
      <c r="B14" t="inlineStr">
        <is>
          <t>Owner</t>
        </is>
      </c>
      <c r="C14" s="13" t="n"/>
      <c r="D14" s="13" t="n"/>
      <c r="E14" s="15">
        <f>IFERROR(D14/C14*100,0)</f>
        <v/>
      </c>
      <c r="F14" t="inlineStr">
        <is>
          <t>95%</t>
        </is>
      </c>
      <c r="G14" s="15">
        <f>E14-95</f>
        <v/>
      </c>
      <c r="H14" s="18">
        <f>IF(E14&gt;=95,"✅ Complete",IF(E14&gt;=90,"⚠️ At Risk","❌ Incomplete"))</f>
        <v/>
      </c>
      <c r="I14">
        <f>C14-D14</f>
        <v/>
      </c>
      <c r="J14" s="13" t="n"/>
      <c r="K14" s="13" t="n"/>
    </row>
    <row r="15">
      <c r="A15" t="inlineStr">
        <is>
          <t>Applications</t>
        </is>
      </c>
      <c r="B15" t="inlineStr">
        <is>
          <t>Business Purpose</t>
        </is>
      </c>
      <c r="C15" s="13" t="n"/>
      <c r="D15" s="13" t="n"/>
      <c r="E15" s="15">
        <f>IFERROR(D15/C15*100,0)</f>
        <v/>
      </c>
      <c r="F15" t="inlineStr">
        <is>
          <t>95%</t>
        </is>
      </c>
      <c r="G15" s="15">
        <f>E15-95</f>
        <v/>
      </c>
      <c r="H15" s="18">
        <f>IF(E15&gt;=95,"✅ Complete",IF(E15&gt;=90,"⚠️ At Risk","❌ Incomplete"))</f>
        <v/>
      </c>
      <c r="I15">
        <f>C15-D15</f>
        <v/>
      </c>
      <c r="J15" s="13" t="n"/>
      <c r="K15" s="13" t="n"/>
    </row>
    <row r="16">
      <c r="A16" t="inlineStr">
        <is>
          <t>Physical Assets</t>
        </is>
      </c>
      <c r="B16" t="inlineStr">
        <is>
          <t>Asset Name</t>
        </is>
      </c>
      <c r="C16" s="13" t="n"/>
      <c r="D16" s="13" t="n"/>
      <c r="E16" s="15">
        <f>IFERROR(D16/C16*100,0)</f>
        <v/>
      </c>
      <c r="F16" t="inlineStr">
        <is>
          <t>95%</t>
        </is>
      </c>
      <c r="G16" s="15">
        <f>E16-95</f>
        <v/>
      </c>
      <c r="H16" s="18">
        <f>IF(E16&gt;=95,"✅ Complete",IF(E16&gt;=90,"⚠️ At Risk","❌ Incomplete"))</f>
        <v/>
      </c>
      <c r="I16">
        <f>C16-D16</f>
        <v/>
      </c>
      <c r="J16" s="13" t="n"/>
      <c r="K16" s="13" t="n"/>
    </row>
    <row r="17">
      <c r="A17" t="inlineStr">
        <is>
          <t>Physical Assets</t>
        </is>
      </c>
      <c r="B17" t="inlineStr">
        <is>
          <t>Location</t>
        </is>
      </c>
      <c r="C17" s="13" t="n"/>
      <c r="D17" s="13" t="n"/>
      <c r="E17" s="15">
        <f>IFERROR(D17/C17*100,0)</f>
        <v/>
      </c>
      <c r="F17" t="inlineStr">
        <is>
          <t>95%</t>
        </is>
      </c>
      <c r="G17" s="15">
        <f>E17-95</f>
        <v/>
      </c>
      <c r="H17" s="18">
        <f>IF(E17&gt;=95,"✅ Complete",IF(E17&gt;=90,"⚠️ At Risk","❌ Incomplete"))</f>
        <v/>
      </c>
      <c r="I17">
        <f>C17-D17</f>
        <v/>
      </c>
      <c r="J17" s="13" t="n"/>
      <c r="K17" s="13" t="n"/>
    </row>
    <row r="18">
      <c r="A18" t="inlineStr">
        <is>
          <t>Physical Assets</t>
        </is>
      </c>
      <c r="B18" t="inlineStr">
        <is>
          <t>Custodian</t>
        </is>
      </c>
      <c r="C18" s="13" t="n"/>
      <c r="D18" s="13" t="n"/>
      <c r="E18" s="15">
        <f>IFERROR(D18/C18*100,0)</f>
        <v/>
      </c>
      <c r="F18" t="inlineStr">
        <is>
          <t>95%</t>
        </is>
      </c>
      <c r="G18" s="15">
        <f>E18-95</f>
        <v/>
      </c>
      <c r="H18" s="18">
        <f>IF(E18&gt;=95,"✅ Complete",IF(E18&gt;=90,"⚠️ At Risk","❌ Incomplete"))</f>
        <v/>
      </c>
      <c r="I18">
        <f>C18-D18</f>
        <v/>
      </c>
      <c r="J18" s="13" t="n"/>
      <c r="K18" s="13" t="n"/>
    </row>
    <row r="19">
      <c r="A19" t="inlineStr">
        <is>
          <t>Personnel Assets</t>
        </is>
      </c>
      <c r="B19" t="inlineStr">
        <is>
          <t>Name</t>
        </is>
      </c>
      <c r="C19" s="13" t="n"/>
      <c r="D19" s="13" t="n"/>
      <c r="E19" s="15">
        <f>IFERROR(D19/C19*100,0)</f>
        <v/>
      </c>
      <c r="F19" t="inlineStr">
        <is>
          <t>100%</t>
        </is>
      </c>
      <c r="G19" s="15">
        <f>E19-100</f>
        <v/>
      </c>
      <c r="H19" s="18">
        <f>IF(E19&gt;=100,"✅ Complete",IF(E19&gt;=95,"⚠️ At Risk","❌ Incomplete"))</f>
        <v/>
      </c>
      <c r="I19">
        <f>C19-D19</f>
        <v/>
      </c>
      <c r="J19" s="13" t="n"/>
      <c r="K19" s="13" t="n"/>
    </row>
    <row r="20">
      <c r="A20" t="inlineStr">
        <is>
          <t>Personnel Assets</t>
        </is>
      </c>
      <c r="B20" t="inlineStr">
        <is>
          <t>Role</t>
        </is>
      </c>
      <c r="C20" s="13" t="n"/>
      <c r="D20" s="13" t="n"/>
      <c r="E20" s="15">
        <f>IFERROR(D20/C20*100,0)</f>
        <v/>
      </c>
      <c r="F20" t="inlineStr">
        <is>
          <t>100%</t>
        </is>
      </c>
      <c r="G20" s="15">
        <f>E20-100</f>
        <v/>
      </c>
      <c r="H20" s="18">
        <f>IF(E20&gt;=100,"✅ Complete",IF(E20&gt;=95,"⚠️ At Risk","❌ Incomplete"))</f>
        <v/>
      </c>
      <c r="I20">
        <f>C20-D20</f>
        <v/>
      </c>
      <c r="J20" s="13" t="n"/>
      <c r="K20" s="13" t="n"/>
    </row>
    <row r="21">
      <c r="A21" t="inlineStr">
        <is>
          <t>Personnel Assets</t>
        </is>
      </c>
      <c r="B21" t="inlineStr">
        <is>
          <t>Department</t>
        </is>
      </c>
      <c r="C21" s="13" t="n"/>
      <c r="D21" s="13" t="n"/>
      <c r="E21" s="15">
        <f>IFERROR(D21/C21*100,0)</f>
        <v/>
      </c>
      <c r="F21" t="inlineStr">
        <is>
          <t>100%</t>
        </is>
      </c>
      <c r="G21" s="15">
        <f>E21-100</f>
        <v/>
      </c>
      <c r="H21" s="18">
        <f>IF(E21&gt;=100,"✅ Complete",IF(E21&gt;=95,"⚠️ At Risk","❌ Incomplete"))</f>
        <v/>
      </c>
      <c r="I21">
        <f>C21-D21</f>
        <v/>
      </c>
      <c r="J21" s="13" t="n"/>
      <c r="K21" s="13" t="n"/>
    </row>
    <row r="22">
      <c r="A22" t="inlineStr">
        <is>
          <t>Personnel Assets</t>
        </is>
      </c>
      <c r="B22" t="inlineStr">
        <is>
          <t>Manager</t>
        </is>
      </c>
      <c r="C22" s="13" t="n"/>
      <c r="D22" s="13" t="n"/>
      <c r="E22" s="15">
        <f>IFERROR(D22/C22*100,0)</f>
        <v/>
      </c>
      <c r="F22" t="inlineStr">
        <is>
          <t>100%</t>
        </is>
      </c>
      <c r="G22" s="15">
        <f>E22-100</f>
        <v/>
      </c>
      <c r="H22" s="18">
        <f>IF(E22&gt;=100,"✅ Complete",IF(E22&gt;=95,"⚠️ At Risk","❌ Incomplete"))</f>
        <v/>
      </c>
      <c r="I22">
        <f>C22-D22</f>
        <v/>
      </c>
      <c r="J22" s="13" t="n"/>
      <c r="K22" s="13" t="n"/>
    </row>
    <row r="25">
      <c r="A25" s="3" t="inlineStr">
        <is>
          <t>COMPLETENESS SUMMARY</t>
        </is>
      </c>
    </row>
    <row r="26">
      <c r="A26" t="inlineStr">
        <is>
          <t>Average Completeness %</t>
        </is>
      </c>
      <c r="B26" s="14">
        <f>IFERROR(AVERAGE(E4:E22),0)</f>
        <v/>
      </c>
    </row>
    <row r="27">
      <c r="A27" t="inlineStr">
        <is>
          <t>Target</t>
        </is>
      </c>
      <c r="B27" t="inlineStr">
        <is>
          <t>95%</t>
        </is>
      </c>
    </row>
    <row r="28">
      <c r="A28" t="inlineStr">
        <is>
          <t>Gap</t>
        </is>
      </c>
      <c r="B28" s="15">
        <f>B26-95</f>
        <v/>
      </c>
    </row>
    <row r="29">
      <c r="A29" t="inlineStr">
        <is>
          <t>Status</t>
        </is>
      </c>
      <c r="B29" s="16">
        <f>IF(B26&gt;=95,"✅ High Quality",IF(B26&gt;=90,"⚠️ Needs Improvement","❌ Poor Quality"))</f>
        <v/>
      </c>
    </row>
  </sheetData>
  <mergeCells count="1">
    <mergeCell ref="A1:K1"/>
  </mergeCells>
  <conditionalFormatting sqref="E4:E22">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25" customWidth="1" min="1" max="1"/>
    <col width="30" customWidth="1" min="2" max="2"/>
    <col width="15" customWidth="1" min="3" max="3"/>
    <col width="22" customWidth="1" min="4" max="4"/>
    <col width="15" customWidth="1" min="5" max="5"/>
    <col width="12" customWidth="1" min="6" max="6"/>
    <col width="12" customWidth="1" min="7" max="7"/>
    <col width="18" customWidth="1" min="8" max="8"/>
    <col width="18" customWidth="1" min="9" max="9"/>
    <col width="15" customWidth="1" min="10" max="10"/>
    <col width="30" customWidth="1" min="11" max="11"/>
  </cols>
  <sheetData>
    <row r="1">
      <c r="A1" s="11" t="inlineStr">
        <is>
          <t>Currency Assessment - Data Freshness</t>
        </is>
      </c>
    </row>
    <row r="3">
      <c r="A3" s="17" t="inlineStr">
        <is>
          <t>Asset Category</t>
        </is>
      </c>
      <c r="B3" s="17" t="inlineStr">
        <is>
          <t>Currency Metric</t>
        </is>
      </c>
      <c r="C3" s="17" t="inlineStr">
        <is>
          <t>Total Assets</t>
        </is>
      </c>
      <c r="D3" s="17" t="inlineStr">
        <is>
          <t>Assets Meeting Currency Target</t>
        </is>
      </c>
      <c r="E3" s="17" t="inlineStr">
        <is>
          <t>Currency %</t>
        </is>
      </c>
      <c r="F3" s="17" t="inlineStr">
        <is>
          <t>Target %</t>
        </is>
      </c>
      <c r="G3" s="17" t="inlineStr">
        <is>
          <t>Gap</t>
        </is>
      </c>
      <c r="H3" s="17" t="inlineStr">
        <is>
          <t>Status</t>
        </is>
      </c>
      <c r="I3" s="17" t="inlineStr">
        <is>
          <t>Stale Assets Count</t>
        </is>
      </c>
      <c r="J3" s="17" t="inlineStr">
        <is>
          <t>Evidence ID</t>
        </is>
      </c>
      <c r="K3" s="17" t="inlineStr">
        <is>
          <t>Notes</t>
        </is>
      </c>
    </row>
    <row r="4">
      <c r="A4" t="inlineStr">
        <is>
          <t>Information Assets</t>
        </is>
      </c>
      <c r="B4" t="inlineStr">
        <is>
          <t>Last Reviewed &lt;90 days</t>
        </is>
      </c>
      <c r="C4" s="13" t="n"/>
      <c r="D4" s="13" t="n"/>
      <c r="E4" s="15">
        <f>IFERROR(D4/C4*100,0)</f>
        <v/>
      </c>
      <c r="F4" t="inlineStr">
        <is>
          <t>90%</t>
        </is>
      </c>
      <c r="G4" s="15">
        <f>E4-90</f>
        <v/>
      </c>
      <c r="H4" s="18">
        <f>IF(E4&gt;=90,"✅ Current",IF(E4&gt;=85,"⚠️ At Risk","❌ Stale"))</f>
        <v/>
      </c>
      <c r="I4">
        <f>C4-D4</f>
        <v/>
      </c>
      <c r="J4" s="13" t="n"/>
      <c r="K4" s="13" t="n"/>
    </row>
    <row r="5">
      <c r="A5" t="inlineStr">
        <is>
          <t>Information Assets</t>
        </is>
      </c>
      <c r="B5" t="inlineStr">
        <is>
          <t>Last Updated &lt;180 days</t>
        </is>
      </c>
      <c r="C5" s="13" t="n"/>
      <c r="D5" s="13" t="n"/>
      <c r="E5" s="15">
        <f>IFERROR(D5/C5*100,0)</f>
        <v/>
      </c>
      <c r="F5" t="inlineStr">
        <is>
          <t>90%</t>
        </is>
      </c>
      <c r="G5" s="15">
        <f>E5-90</f>
        <v/>
      </c>
      <c r="H5" s="18">
        <f>IF(E5&gt;=90,"✅ Current",IF(E5&gt;=85,"⚠️ At Risk","❌ Stale"))</f>
        <v/>
      </c>
      <c r="I5">
        <f>C5-D5</f>
        <v/>
      </c>
      <c r="J5" s="13" t="n"/>
      <c r="K5" s="13" t="n"/>
    </row>
    <row r="6">
      <c r="A6" t="inlineStr">
        <is>
          <t>IT Infrastructure</t>
        </is>
      </c>
      <c r="B6" t="inlineStr">
        <is>
          <t>Last Reviewed &lt;90 days</t>
        </is>
      </c>
      <c r="C6" s="13" t="n"/>
      <c r="D6" s="13" t="n"/>
      <c r="E6" s="15">
        <f>IFERROR(D6/C6*100,0)</f>
        <v/>
      </c>
      <c r="F6" t="inlineStr">
        <is>
          <t>90%</t>
        </is>
      </c>
      <c r="G6" s="15">
        <f>E6-90</f>
        <v/>
      </c>
      <c r="H6" s="18">
        <f>IF(E6&gt;=90,"✅ Current",IF(E6&gt;=85,"⚠️ At Risk","❌ Stale"))</f>
        <v/>
      </c>
      <c r="I6">
        <f>C6-D6</f>
        <v/>
      </c>
      <c r="J6" s="13" t="n"/>
      <c r="K6" s="13" t="n"/>
    </row>
    <row r="7">
      <c r="A7" t="inlineStr">
        <is>
          <t>IT Infrastructure</t>
        </is>
      </c>
      <c r="B7" t="inlineStr">
        <is>
          <t>Last Scanned &lt;30 days</t>
        </is>
      </c>
      <c r="C7" s="13" t="n"/>
      <c r="D7" s="13" t="n"/>
      <c r="E7" s="15">
        <f>IFERROR(D7/C7*100,0)</f>
        <v/>
      </c>
      <c r="F7" t="inlineStr">
        <is>
          <t>90%</t>
        </is>
      </c>
      <c r="G7" s="15">
        <f>E7-90</f>
        <v/>
      </c>
      <c r="H7" s="18">
        <f>IF(E7&gt;=90,"✅ Current",IF(E7&gt;=85,"⚠️ At Risk","❌ Stale"))</f>
        <v/>
      </c>
      <c r="I7">
        <f>C7-D7</f>
        <v/>
      </c>
      <c r="J7" s="13" t="n"/>
      <c r="K7" s="13" t="n"/>
    </row>
    <row r="8">
      <c r="A8" t="inlineStr">
        <is>
          <t>Applications</t>
        </is>
      </c>
      <c r="B8" t="inlineStr">
        <is>
          <t>Last Reviewed &lt;180 days</t>
        </is>
      </c>
      <c r="C8" s="13" t="n"/>
      <c r="D8" s="13" t="n"/>
      <c r="E8" s="15">
        <f>IFERROR(D8/C8*100,0)</f>
        <v/>
      </c>
      <c r="F8" t="inlineStr">
        <is>
          <t>90%</t>
        </is>
      </c>
      <c r="G8" s="15">
        <f>E8-90</f>
        <v/>
      </c>
      <c r="H8" s="18">
        <f>IF(E8&gt;=90,"✅ Current",IF(E8&gt;=85,"⚠️ At Risk","❌ Stale"))</f>
        <v/>
      </c>
      <c r="I8">
        <f>C8-D8</f>
        <v/>
      </c>
      <c r="J8" s="13" t="n"/>
      <c r="K8" s="13" t="n"/>
    </row>
    <row r="9">
      <c r="A9" t="inlineStr">
        <is>
          <t>Applications</t>
        </is>
      </c>
      <c r="B9" t="inlineStr">
        <is>
          <t>Version Current</t>
        </is>
      </c>
      <c r="C9" s="13" t="n"/>
      <c r="D9" s="13" t="n"/>
      <c r="E9" s="15">
        <f>IFERROR(D9/C9*100,0)</f>
        <v/>
      </c>
      <c r="F9" t="inlineStr">
        <is>
          <t>90%</t>
        </is>
      </c>
      <c r="G9" s="15">
        <f>E9-90</f>
        <v/>
      </c>
      <c r="H9" s="18">
        <f>IF(E9&gt;=90,"✅ Current",IF(E9&gt;=85,"⚠️ At Risk","❌ Stale"))</f>
        <v/>
      </c>
      <c r="I9">
        <f>C9-D9</f>
        <v/>
      </c>
      <c r="J9" s="13" t="n"/>
      <c r="K9" s="13" t="n"/>
    </row>
    <row r="10">
      <c r="A10" t="inlineStr">
        <is>
          <t>Physical Assets</t>
        </is>
      </c>
      <c r="B10" t="inlineStr">
        <is>
          <t>Last Inspected &lt;365 days</t>
        </is>
      </c>
      <c r="C10" s="13" t="n"/>
      <c r="D10" s="13" t="n"/>
      <c r="E10" s="15">
        <f>IFERROR(D10/C10*100,0)</f>
        <v/>
      </c>
      <c r="F10" t="inlineStr">
        <is>
          <t>90%</t>
        </is>
      </c>
      <c r="G10" s="15">
        <f>E10-90</f>
        <v/>
      </c>
      <c r="H10" s="18">
        <f>IF(E10&gt;=90,"✅ Current",IF(E10&gt;=85,"⚠️ At Risk","❌ Stale"))</f>
        <v/>
      </c>
      <c r="I10">
        <f>C10-D10</f>
        <v/>
      </c>
      <c r="J10" s="13" t="n"/>
      <c r="K10" s="13" t="n"/>
    </row>
    <row r="11">
      <c r="A11" t="inlineStr">
        <is>
          <t>Personnel Assets</t>
        </is>
      </c>
      <c r="B11" t="inlineStr">
        <is>
          <t>Last Updated &lt;30 days</t>
        </is>
      </c>
      <c r="C11" s="13" t="n"/>
      <c r="D11" s="13" t="n"/>
      <c r="E11" s="15">
        <f>IFERROR(D11/C11*100,0)</f>
        <v/>
      </c>
      <c r="F11" t="inlineStr">
        <is>
          <t>100%</t>
        </is>
      </c>
      <c r="G11" s="15">
        <f>E11-100</f>
        <v/>
      </c>
      <c r="H11" s="18">
        <f>IF(E11&gt;=100,"✅ Current",IF(E11&gt;=95,"⚠️ At Risk","❌ Stale"))</f>
        <v/>
      </c>
      <c r="I11">
        <f>C11-D11</f>
        <v/>
      </c>
      <c r="J11" s="13" t="n"/>
      <c r="K11" s="13" t="n"/>
    </row>
    <row r="14">
      <c r="A14" s="3" t="inlineStr">
        <is>
          <t>CURRENCY SUMMARY</t>
        </is>
      </c>
    </row>
    <row r="15">
      <c r="A15" t="inlineStr">
        <is>
          <t>Average Currency %</t>
        </is>
      </c>
      <c r="B15" s="14">
        <f>IFERROR(AVERAGE(E4:E11),0)</f>
        <v/>
      </c>
    </row>
    <row r="16">
      <c r="A16" t="inlineStr">
        <is>
          <t>Target</t>
        </is>
      </c>
      <c r="B16" t="inlineStr">
        <is>
          <t>90%</t>
        </is>
      </c>
    </row>
    <row r="17">
      <c r="A17" t="inlineStr">
        <is>
          <t>Gap</t>
        </is>
      </c>
      <c r="B17" s="15">
        <f>B15-90</f>
        <v/>
      </c>
    </row>
    <row r="18">
      <c r="A18" t="inlineStr">
        <is>
          <t>Status</t>
        </is>
      </c>
      <c r="B18" s="5">
        <f>IF(B15&gt;=90,"✅ High Quality",IF(B15&gt;=85,"⚠️ Needs Improvement","❌ Poor Quality"))</f>
        <v/>
      </c>
    </row>
  </sheetData>
  <mergeCells count="1">
    <mergeCell ref="A1:K1"/>
  </mergeCells>
  <conditionalFormatting sqref="E4:E11">
    <cfRule type="cellIs" priority="1" operator="greaterThanOrEqual" dxfId="0">
      <formula>90</formula>
    </cfRule>
    <cfRule type="cellIs" priority="2" operator="between" dxfId="1">
      <formula>85</formula>
      <formula>89</formula>
    </cfRule>
    <cfRule type="cellIs" priority="3" operator="lessThan" dxfId="2">
      <formula>85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35" customWidth="1" min="1" max="1"/>
    <col width="25" customWidth="1" min="2" max="2"/>
    <col width="25" customWidth="1" min="3" max="3"/>
    <col width="15" customWidth="1" min="4" max="4"/>
    <col width="15" customWidth="1" min="5" max="5"/>
    <col width="15" customWidth="1" min="6" max="6"/>
    <col width="16" customWidth="1" min="7" max="7"/>
    <col width="12" customWidth="1" min="8" max="8"/>
    <col width="12" customWidth="1" min="9" max="9"/>
    <col width="18" customWidth="1" min="10" max="10"/>
    <col width="15" customWidth="1" min="11" max="11"/>
    <col width="30" customWidth="1" min="12" max="12"/>
  </cols>
  <sheetData>
    <row r="1">
      <c r="A1" s="11" t="inlineStr">
        <is>
          <t>Consistency Checks - Cross-System Alignment</t>
        </is>
      </c>
    </row>
    <row r="3">
      <c r="A3" s="17" t="inlineStr">
        <is>
          <t>Consistency Check</t>
        </is>
      </c>
      <c r="B3" s="17" t="inlineStr">
        <is>
          <t>System A</t>
        </is>
      </c>
      <c r="C3" s="17" t="inlineStr">
        <is>
          <t>System B</t>
        </is>
      </c>
      <c r="D3" s="17" t="inlineStr">
        <is>
          <t>Records in A</t>
        </is>
      </c>
      <c r="E3" s="17" t="inlineStr">
        <is>
          <t>Records in B</t>
        </is>
      </c>
      <c r="F3" s="17" t="inlineStr">
        <is>
          <t>Matches</t>
        </is>
      </c>
      <c r="G3" s="17" t="inlineStr">
        <is>
          <t>Consistency %</t>
        </is>
      </c>
      <c r="H3" s="17" t="inlineStr">
        <is>
          <t>Target %</t>
        </is>
      </c>
      <c r="I3" s="17" t="inlineStr">
        <is>
          <t>Gap</t>
        </is>
      </c>
      <c r="J3" s="17" t="inlineStr">
        <is>
          <t>Status</t>
        </is>
      </c>
      <c r="K3" s="17" t="inlineStr">
        <is>
          <t>Evidence ID</t>
        </is>
      </c>
      <c r="L3" s="17" t="inlineStr">
        <is>
          <t>Notes</t>
        </is>
      </c>
    </row>
    <row r="4">
      <c r="A4" t="inlineStr">
        <is>
          <t>IT Assets: Inventory ↔ CMDB</t>
        </is>
      </c>
      <c r="B4" t="inlineStr">
        <is>
          <t>Asset Inventory</t>
        </is>
      </c>
      <c r="C4" t="inlineStr">
        <is>
          <t>CMDB</t>
        </is>
      </c>
      <c r="D4" s="13" t="n"/>
      <c r="E4" s="13" t="n"/>
      <c r="F4" s="13" t="n"/>
      <c r="G4" s="15">
        <f>IFERROR(F4/MAX(D4,E4)*100,0)</f>
        <v/>
      </c>
      <c r="H4" t="inlineStr">
        <is>
          <t>95%</t>
        </is>
      </c>
      <c r="I4" s="15">
        <f>G4-95</f>
        <v/>
      </c>
      <c r="J4" s="18">
        <f>IF(G4&gt;=95,"✅ Consistent",IF(G4&gt;=90,"⚠️ At Risk","❌ Inconsistent"))</f>
        <v/>
      </c>
      <c r="K4" s="13" t="n"/>
      <c r="L4" s="13" t="n"/>
    </row>
    <row r="5">
      <c r="A5" t="inlineStr">
        <is>
          <t>Servers: Inventory ↔ Network Scan</t>
        </is>
      </c>
      <c r="B5" t="inlineStr">
        <is>
          <t>Asset Inventory</t>
        </is>
      </c>
      <c r="C5" t="inlineStr">
        <is>
          <t>Network Scan Results</t>
        </is>
      </c>
      <c r="D5" s="13" t="n"/>
      <c r="E5" s="13" t="n"/>
      <c r="F5" s="13" t="n"/>
      <c r="G5" s="15">
        <f>IFERROR(F5/MAX(D5,E5)*100,0)</f>
        <v/>
      </c>
      <c r="H5" t="inlineStr">
        <is>
          <t>95%</t>
        </is>
      </c>
      <c r="I5" s="15">
        <f>G5-95</f>
        <v/>
      </c>
      <c r="J5" s="18">
        <f>IF(G5&gt;=95,"✅ Consistent",IF(G5&gt;=90,"⚠️ At Risk","❌ Inconsistent"))</f>
        <v/>
      </c>
      <c r="K5" s="13" t="n"/>
      <c r="L5" s="13" t="n"/>
    </row>
    <row r="6">
      <c r="A6" t="inlineStr">
        <is>
          <t>Personnel: Inventory ↔ HR System</t>
        </is>
      </c>
      <c r="B6" t="inlineStr">
        <is>
          <t>Asset Inventory</t>
        </is>
      </c>
      <c r="C6" t="inlineStr">
        <is>
          <t>HR System</t>
        </is>
      </c>
      <c r="D6" s="13" t="n"/>
      <c r="E6" s="13" t="n"/>
      <c r="F6" s="13" t="n"/>
      <c r="G6" s="15">
        <f>IFERROR(F6/MAX(D6,E6)*100,0)</f>
        <v/>
      </c>
      <c r="H6" t="inlineStr">
        <is>
          <t>100%</t>
        </is>
      </c>
      <c r="I6" s="15">
        <f>G6-100</f>
        <v/>
      </c>
      <c r="J6" s="18">
        <f>IF(G6&gt;=100,"✅ Consistent",IF(G6&gt;=95,"⚠️ At Risk","❌ Inconsistent"))</f>
        <v/>
      </c>
      <c r="K6" s="13" t="n"/>
      <c r="L6" s="13" t="n"/>
    </row>
    <row r="7">
      <c r="A7" t="inlineStr">
        <is>
          <t>Applications: Inventory ↔ License DB</t>
        </is>
      </c>
      <c r="B7" t="inlineStr">
        <is>
          <t>Asset Inventory</t>
        </is>
      </c>
      <c r="C7" t="inlineStr">
        <is>
          <t>License Database</t>
        </is>
      </c>
      <c r="D7" s="13" t="n"/>
      <c r="E7" s="13" t="n"/>
      <c r="F7" s="13" t="n"/>
      <c r="G7" s="15">
        <f>IFERROR(F7/MAX(D7,E7)*100,0)</f>
        <v/>
      </c>
      <c r="H7" t="inlineStr">
        <is>
          <t>95%</t>
        </is>
      </c>
      <c r="I7" s="15">
        <f>G7-95</f>
        <v/>
      </c>
      <c r="J7" s="18">
        <f>IF(G7&gt;=95,"✅ Consistent",IF(G7&gt;=90,"⚠️ At Risk","❌ Inconsistent"))</f>
        <v/>
      </c>
      <c r="K7" s="13" t="n"/>
      <c r="L7" s="13" t="n"/>
    </row>
    <row r="8">
      <c r="A8" t="inlineStr">
        <is>
          <t>Hardware: Inventory ↔ Procurement</t>
        </is>
      </c>
      <c r="B8" t="inlineStr">
        <is>
          <t>Asset Inventory</t>
        </is>
      </c>
      <c r="C8" t="inlineStr">
        <is>
          <t>Procurement Records</t>
        </is>
      </c>
      <c r="D8" s="13" t="n"/>
      <c r="E8" s="13" t="n"/>
      <c r="F8" s="13" t="n"/>
      <c r="G8" s="15">
        <f>IFERROR(F8/MAX(D8,E8)*100,0)</f>
        <v/>
      </c>
      <c r="H8" t="inlineStr">
        <is>
          <t>95%</t>
        </is>
      </c>
      <c r="I8" s="15">
        <f>G8-95</f>
        <v/>
      </c>
      <c r="J8" s="18">
        <f>IF(G8&gt;=95,"✅ Consistent",IF(G8&gt;=90,"⚠️ At Risk","❌ Inconsistent"))</f>
        <v/>
      </c>
      <c r="K8" s="13" t="n"/>
      <c r="L8" s="13" t="n"/>
    </row>
    <row r="9">
      <c r="A9" t="inlineStr">
        <is>
          <t>Cloud Resources: Inventory ↔ Cloud API</t>
        </is>
      </c>
      <c r="B9" t="inlineStr">
        <is>
          <t>Asset Inventory</t>
        </is>
      </c>
      <c r="C9" t="inlineStr">
        <is>
          <t>AWS/Azure API</t>
        </is>
      </c>
      <c r="D9" s="13" t="n"/>
      <c r="E9" s="13" t="n"/>
      <c r="F9" s="13" t="n"/>
      <c r="G9" s="15">
        <f>IFERROR(F9/MAX(D9,E9)*100,0)</f>
        <v/>
      </c>
      <c r="H9" t="inlineStr">
        <is>
          <t>95%</t>
        </is>
      </c>
      <c r="I9" s="15">
        <f>G9-95</f>
        <v/>
      </c>
      <c r="J9" s="18">
        <f>IF(G9&gt;=95,"✅ Consistent",IF(G9&gt;=90,"⚠️ At Risk","❌ Inconsistent"))</f>
        <v/>
      </c>
      <c r="K9" s="13" t="n"/>
      <c r="L9" s="13" t="n"/>
    </row>
    <row r="12">
      <c r="A12" s="3" t="inlineStr">
        <is>
          <t>CONSISTENCY SUMMARY</t>
        </is>
      </c>
    </row>
    <row r="13">
      <c r="A13" t="inlineStr">
        <is>
          <t>Average Consistency %</t>
        </is>
      </c>
      <c r="B13" s="14">
        <f>IFERROR(AVERAGE(G4:G9),0)</f>
        <v/>
      </c>
    </row>
    <row r="14">
      <c r="A14" t="inlineStr">
        <is>
          <t>Target</t>
        </is>
      </c>
      <c r="B14" t="inlineStr">
        <is>
          <t>95%</t>
        </is>
      </c>
    </row>
    <row r="15">
      <c r="A15" t="inlineStr">
        <is>
          <t>Gap</t>
        </is>
      </c>
      <c r="B15" s="15">
        <f>B13-95</f>
        <v/>
      </c>
    </row>
    <row r="16">
      <c r="A16" t="inlineStr">
        <is>
          <t>Status</t>
        </is>
      </c>
      <c r="B16" s="5">
        <f>IF(B13&gt;=95,"✅ High Quality",IF(B13&gt;=90,"⚠️ Needs Improvement","❌ Poor Quality"))</f>
        <v/>
      </c>
    </row>
  </sheetData>
  <mergeCells count="1">
    <mergeCell ref="A1:L1"/>
  </mergeCells>
  <conditionalFormatting sqref="G4:G9">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0" customWidth="1" min="1" max="1"/>
    <col width="50" customWidth="1" min="2" max="2"/>
    <col width="18" customWidth="1" min="3" max="3"/>
    <col width="15" customWidth="1" min="4" max="4"/>
    <col width="16" customWidth="1" min="5" max="5"/>
    <col width="12" customWidth="1" min="6" max="6"/>
    <col width="12" customWidth="1" min="7" max="7"/>
    <col width="18" customWidth="1" min="8" max="8"/>
    <col width="15" customWidth="1" min="9" max="9"/>
    <col width="30" customWidth="1" min="10" max="10"/>
  </cols>
  <sheetData>
    <row r="1">
      <c r="A1" s="11" t="inlineStr">
        <is>
          <t>Policy Compliance Matrix - ISMS-POL-A.5.9 Requirements</t>
        </is>
      </c>
    </row>
    <row r="3">
      <c r="A3" s="17" t="inlineStr">
        <is>
          <t>Policy Requirement</t>
        </is>
      </c>
      <c r="B3" s="17" t="inlineStr">
        <is>
          <t>SHALL Requirement</t>
        </is>
      </c>
      <c r="C3" s="17" t="inlineStr">
        <is>
          <t>Compliant Assets</t>
        </is>
      </c>
      <c r="D3" s="17" t="inlineStr">
        <is>
          <t>Total Assets</t>
        </is>
      </c>
      <c r="E3" s="17" t="inlineStr">
        <is>
          <t>Compliance %</t>
        </is>
      </c>
      <c r="F3" s="17" t="inlineStr">
        <is>
          <t>Target</t>
        </is>
      </c>
      <c r="G3" s="17" t="inlineStr">
        <is>
          <t>Gap</t>
        </is>
      </c>
      <c r="H3" s="17" t="inlineStr">
        <is>
          <t>Status</t>
        </is>
      </c>
      <c r="I3" s="17" t="inlineStr">
        <is>
          <t>Evidence ID</t>
        </is>
      </c>
      <c r="J3" s="17" t="inlineStr">
        <is>
          <t>Notes</t>
        </is>
      </c>
    </row>
    <row r="4" ht="30" customHeight="1">
      <c r="A4" t="inlineStr">
        <is>
          <t>Asset Ownership</t>
        </is>
      </c>
      <c r="B4" s="6" t="inlineStr">
        <is>
          <t>[Organization] SHALL assign an owner to each asset</t>
        </is>
      </c>
      <c r="C4" s="13" t="n"/>
      <c r="D4" s="13" t="n"/>
      <c r="E4" s="15">
        <f>IFERROR(C4/D4*100,0)</f>
        <v/>
      </c>
      <c r="F4" t="inlineStr">
        <is>
          <t>100%</t>
        </is>
      </c>
      <c r="G4" s="15">
        <f>E4-100</f>
        <v/>
      </c>
      <c r="H4" s="18">
        <f>IF(E4=100,"✅ Compliant",IF(E4&gt;=95,"⚠️ Minor Gap","❌ Non-Compliant"))</f>
        <v/>
      </c>
      <c r="I4" s="13" t="n"/>
      <c r="J4" s="13" t="n"/>
    </row>
    <row r="5" ht="30" customHeight="1">
      <c r="A5" t="inlineStr">
        <is>
          <t>Classification</t>
        </is>
      </c>
      <c r="B5" s="6" t="inlineStr">
        <is>
          <t>[Organization] SHALL classify information assets by sensitivity</t>
        </is>
      </c>
      <c r="C5" s="13" t="n"/>
      <c r="D5" s="13" t="n"/>
      <c r="E5" s="15">
        <f>IFERROR(C5/D5*100,0)</f>
        <v/>
      </c>
      <c r="F5" t="inlineStr">
        <is>
          <t>100%</t>
        </is>
      </c>
      <c r="G5" s="15">
        <f>E5-100</f>
        <v/>
      </c>
      <c r="H5" s="18">
        <f>IF(E5=100,"✅ Compliant",IF(E5&gt;=95,"⚠️ Minor Gap","❌ Non-Compliant"))</f>
        <v/>
      </c>
      <c r="I5" s="13" t="n"/>
      <c r="J5" s="13" t="n"/>
    </row>
    <row r="6" ht="30" customHeight="1">
      <c r="A6" t="inlineStr">
        <is>
          <t>Acceptable Use</t>
        </is>
      </c>
      <c r="B6" s="6" t="inlineStr">
        <is>
          <t>Asset owners SHALL define acceptable use restrictions</t>
        </is>
      </c>
      <c r="C6" s="13" t="n"/>
      <c r="D6" s="13" t="n"/>
      <c r="E6" s="15">
        <f>IFERROR(C6/D6*100,0)</f>
        <v/>
      </c>
      <c r="F6" t="inlineStr">
        <is>
          <t>100%</t>
        </is>
      </c>
      <c r="G6" s="15">
        <f>E6-100</f>
        <v/>
      </c>
      <c r="H6" s="18">
        <f>IF(E6=100,"✅ Compliant",IF(E6&gt;=95,"⚠️ Minor Gap","❌ Non-Compliant"))</f>
        <v/>
      </c>
      <c r="I6" s="13" t="n"/>
      <c r="J6" s="13" t="n"/>
    </row>
    <row r="7" ht="30" customHeight="1">
      <c r="A7" t="inlineStr">
        <is>
          <t>Handling Requirements</t>
        </is>
      </c>
      <c r="B7" s="6" t="inlineStr">
        <is>
          <t>Asset owners SHALL document handling requirements</t>
        </is>
      </c>
      <c r="C7" s="13" t="n"/>
      <c r="D7" s="13" t="n"/>
      <c r="E7" s="15">
        <f>IFERROR(C7/D7*100,0)</f>
        <v/>
      </c>
      <c r="F7" t="inlineStr">
        <is>
          <t>100%</t>
        </is>
      </c>
      <c r="G7" s="15">
        <f>E7-100</f>
        <v/>
      </c>
      <c r="H7" s="18">
        <f>IF(E7=100,"✅ Compliant",IF(E7&gt;=95,"⚠️ Minor Gap","❌ Non-Compliant"))</f>
        <v/>
      </c>
      <c r="I7" s="13" t="n"/>
      <c r="J7" s="13" t="n"/>
    </row>
    <row r="8" ht="30" customHeight="1">
      <c r="A8" t="inlineStr">
        <is>
          <t>Inventory Maintenance</t>
        </is>
      </c>
      <c r="B8" s="6" t="inlineStr">
        <is>
          <t>[Organization] SHALL maintain current and accurate inventory</t>
        </is>
      </c>
      <c r="C8" s="13" t="n"/>
      <c r="D8" s="13" t="n"/>
      <c r="E8" s="15">
        <f>IFERROR(C8/D8*100,0)</f>
        <v/>
      </c>
      <c r="F8" t="inlineStr">
        <is>
          <t>100%</t>
        </is>
      </c>
      <c r="G8" s="15">
        <f>E8-100</f>
        <v/>
      </c>
      <c r="H8" s="18">
        <f>IF(E8=100,"✅ Compliant",IF(E8&gt;=95,"⚠️ Minor Gap","❌ Non-Compliant"))</f>
        <v/>
      </c>
      <c r="I8" s="13" t="n"/>
      <c r="J8" s="13" t="n"/>
    </row>
    <row r="9" ht="30" customHeight="1">
      <c r="A9" t="inlineStr">
        <is>
          <t>Periodic Review</t>
        </is>
      </c>
      <c r="B9" s="6" t="inlineStr">
        <is>
          <t>Asset owners SHALL review assets at least annually</t>
        </is>
      </c>
      <c r="C9" s="13" t="n"/>
      <c r="D9" s="13" t="n"/>
      <c r="E9" s="15">
        <f>IFERROR(C9/D9*100,0)</f>
        <v/>
      </c>
      <c r="F9" t="inlineStr">
        <is>
          <t>100%</t>
        </is>
      </c>
      <c r="G9" s="15">
        <f>E9-100</f>
        <v/>
      </c>
      <c r="H9" s="18">
        <f>IF(E9=100,"✅ Compliant",IF(E9&gt;=95,"⚠️ Minor Gap","❌ Non-Compliant"))</f>
        <v/>
      </c>
      <c r="I9" s="13" t="n"/>
      <c r="J9" s="13" t="n"/>
    </row>
    <row r="10" ht="30" customHeight="1">
      <c r="A10" t="inlineStr">
        <is>
          <t>Decommissioning</t>
        </is>
      </c>
      <c r="B10" s="6" t="inlineStr">
        <is>
          <t>[Organization] SHALL follow secure decommissioning procedures</t>
        </is>
      </c>
      <c r="C10" s="13" t="n"/>
      <c r="D10" s="13" t="n"/>
      <c r="E10" s="15">
        <f>IFERROR(C10/D10*100,0)</f>
        <v/>
      </c>
      <c r="F10" t="inlineStr">
        <is>
          <t>100%</t>
        </is>
      </c>
      <c r="G10" s="15">
        <f>E10-100</f>
        <v/>
      </c>
      <c r="H10" s="18">
        <f>IF(E10=100,"✅ Compliant",IF(E10&gt;=95,"⚠️ Minor Gap","❌ Non-Compliant"))</f>
        <v/>
      </c>
      <c r="I10" s="13" t="n"/>
      <c r="J10" s="13" t="n"/>
    </row>
    <row r="13">
      <c r="A13" s="3" t="inlineStr">
        <is>
          <t>POLICY COMPLIANCE SUMMARY</t>
        </is>
      </c>
    </row>
    <row r="14">
      <c r="A14" t="inlineStr">
        <is>
          <t>Average Policy Compliance %</t>
        </is>
      </c>
      <c r="B14" s="14">
        <f>IFERROR(AVERAGE(E4:E10),0)</f>
        <v/>
      </c>
    </row>
    <row r="15">
      <c r="A15" t="inlineStr">
        <is>
          <t>Target</t>
        </is>
      </c>
      <c r="B15" s="19" t="inlineStr">
        <is>
          <t>100%</t>
        </is>
      </c>
    </row>
    <row r="16">
      <c r="A16" t="inlineStr">
        <is>
          <t>Gap</t>
        </is>
      </c>
      <c r="B16" s="15">
        <f>B14-100</f>
        <v/>
      </c>
    </row>
    <row r="17">
      <c r="A17" t="inlineStr">
        <is>
          <t>Status</t>
        </is>
      </c>
      <c r="B17" s="5">
        <f>IF(B14=100,"✅ Fully Compliant",IF(B14&gt;=95,"⚠️ Minor Gaps","❌ Non-Compliant"))</f>
        <v/>
      </c>
    </row>
  </sheetData>
  <mergeCells count="1">
    <mergeCell ref="A1:J1"/>
  </mergeCells>
  <conditionalFormatting sqref="E4:E10">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Quality Metrics &amp; Scoring - Weighted Quality Index</t>
        </is>
      </c>
    </row>
    <row r="3">
      <c r="A3" s="17" t="inlineStr">
        <is>
          <t>Quality Dimension</t>
        </is>
      </c>
      <c r="B3" s="17" t="inlineStr">
        <is>
          <t>Score %</t>
        </is>
      </c>
      <c r="C3" s="17" t="inlineStr">
        <is>
          <t>Weight %</t>
        </is>
      </c>
      <c r="D3" s="17" t="inlineStr">
        <is>
          <t>Weighted Score</t>
        </is>
      </c>
      <c r="E3" s="17" t="inlineStr">
        <is>
          <t>Target %</t>
        </is>
      </c>
      <c r="F3" s="17" t="inlineStr">
        <is>
          <t>Gap</t>
        </is>
      </c>
      <c r="G3" s="17" t="inlineStr">
        <is>
          <t>Status</t>
        </is>
      </c>
    </row>
    <row r="4">
      <c r="A4" s="5" t="inlineStr">
        <is>
          <t>Accuracy</t>
        </is>
      </c>
      <c r="B4" s="20">
        <f>'Accuracy Sampling'!B62</f>
        <v/>
      </c>
      <c r="C4" t="inlineStr">
        <is>
          <t>30%</t>
        </is>
      </c>
      <c r="D4" s="15">
        <f>B4*30/100</f>
        <v/>
      </c>
      <c r="E4" t="inlineStr">
        <is>
          <t>98%</t>
        </is>
      </c>
      <c r="F4" s="15">
        <f>B4-98/100</f>
        <v/>
      </c>
      <c r="G4" s="18">
        <f>IF(B4&gt;=98/100,"✅ High",IF(B4&gt;=98/100-0.05,"⚠️ Medium","❌ Low"))</f>
        <v/>
      </c>
    </row>
    <row r="5">
      <c r="A5" s="5" t="inlineStr">
        <is>
          <t>Completeness</t>
        </is>
      </c>
      <c r="B5" s="20">
        <f>'Completeness Assessment'!B28</f>
        <v/>
      </c>
      <c r="C5" t="inlineStr">
        <is>
          <t>25%</t>
        </is>
      </c>
      <c r="D5" s="15">
        <f>B5*25/100</f>
        <v/>
      </c>
      <c r="E5" t="inlineStr">
        <is>
          <t>95%</t>
        </is>
      </c>
      <c r="F5" s="15">
        <f>B5-95/100</f>
        <v/>
      </c>
      <c r="G5" s="18">
        <f>IF(B5&gt;=95/100,"✅ High",IF(B5&gt;=95/100-0.05,"⚠️ Medium","❌ Low"))</f>
        <v/>
      </c>
    </row>
    <row r="6">
      <c r="A6" s="5" t="inlineStr">
        <is>
          <t>Currency</t>
        </is>
      </c>
      <c r="B6" s="20">
        <f>'Currency Assessment'!B16</f>
        <v/>
      </c>
      <c r="C6" t="inlineStr">
        <is>
          <t>20%</t>
        </is>
      </c>
      <c r="D6" s="15">
        <f>B6*20/100</f>
        <v/>
      </c>
      <c r="E6" t="inlineStr">
        <is>
          <t>90%</t>
        </is>
      </c>
      <c r="F6" s="15">
        <f>B6-90/100</f>
        <v/>
      </c>
      <c r="G6" s="18">
        <f>IF(B6&gt;=90/100,"✅ High",IF(B6&gt;=90/100-0.05,"⚠️ Medium","❌ Low"))</f>
        <v/>
      </c>
    </row>
    <row r="7">
      <c r="A7" s="5" t="inlineStr">
        <is>
          <t>Consistency</t>
        </is>
      </c>
      <c r="B7" s="20">
        <f>'Consistency Checks'!B13</f>
        <v/>
      </c>
      <c r="C7" t="inlineStr">
        <is>
          <t>15%</t>
        </is>
      </c>
      <c r="D7" s="15">
        <f>B7*15/100</f>
        <v/>
      </c>
      <c r="E7" t="inlineStr">
        <is>
          <t>95%</t>
        </is>
      </c>
      <c r="F7" s="15">
        <f>B7-95/100</f>
        <v/>
      </c>
      <c r="G7" s="18">
        <f>IF(B7&gt;=95/100,"✅ High",IF(B7&gt;=95/100-0.05,"⚠️ Medium","❌ Low"))</f>
        <v/>
      </c>
    </row>
    <row r="8">
      <c r="A8" s="5" t="inlineStr">
        <is>
          <t>Policy Compliance</t>
        </is>
      </c>
      <c r="B8" s="20">
        <f>'Policy Compliance Matrix'!B15</f>
        <v/>
      </c>
      <c r="C8" t="inlineStr">
        <is>
          <t>10%</t>
        </is>
      </c>
      <c r="D8" s="15">
        <f>B8*10/100</f>
        <v/>
      </c>
      <c r="E8" t="inlineStr">
        <is>
          <t>100%</t>
        </is>
      </c>
      <c r="F8" s="15">
        <f>B8-100/100</f>
        <v/>
      </c>
      <c r="G8" s="18">
        <f>IF(B8&gt;=100/100,"✅ High",IF(B8&gt;=100/100-0.05,"⚠️ Medium","❌ Low"))</f>
        <v/>
      </c>
    </row>
    <row r="11">
      <c r="A11" s="21" t="inlineStr">
        <is>
          <t>OVERALL QUALITY INDEX</t>
        </is>
      </c>
      <c r="B11" s="22">
        <f>SUM(D4:D8)</f>
        <v/>
      </c>
    </row>
    <row r="12">
      <c r="A12" t="inlineStr">
        <is>
          <t>Overall Target</t>
        </is>
      </c>
      <c r="B12" s="5" t="inlineStr">
        <is>
          <t>97%</t>
        </is>
      </c>
    </row>
    <row r="13">
      <c r="A13" t="inlineStr">
        <is>
          <t>Overall Gap</t>
        </is>
      </c>
      <c r="B13" s="15">
        <f>B11-0.97</f>
        <v/>
      </c>
    </row>
    <row r="14">
      <c r="A14" t="inlineStr">
        <is>
          <t>Overall Status</t>
        </is>
      </c>
      <c r="B14" s="5">
        <f>IF(B11&gt;=0.97,"✅ High Quality",IF(B11&gt;=0.92,"⚠️ Needs Improvement","❌ Poor Quality"))</f>
        <v/>
      </c>
    </row>
    <row r="17">
      <c r="A17" s="23" t="inlineStr">
        <is>
          <t>CSV EXPORT FOR DASHBOARD (Copy rows below)</t>
        </is>
      </c>
    </row>
    <row r="18">
      <c r="A18" s="5" t="inlineStr">
        <is>
          <t>Quality_Dimension</t>
        </is>
      </c>
      <c r="B18" s="5" t="inlineStr">
        <is>
          <t>Score_%</t>
        </is>
      </c>
      <c r="C18" s="5" t="inlineStr">
        <is>
          <t>Status</t>
        </is>
      </c>
    </row>
    <row r="19">
      <c r="A19">
        <f>A4</f>
        <v/>
      </c>
      <c r="B19">
        <f>B4</f>
        <v/>
      </c>
      <c r="C19">
        <f>G4</f>
        <v/>
      </c>
    </row>
    <row r="20">
      <c r="A20">
        <f>A5</f>
        <v/>
      </c>
      <c r="B20">
        <f>B5</f>
        <v/>
      </c>
      <c r="C20">
        <f>G5</f>
        <v/>
      </c>
    </row>
    <row r="21">
      <c r="A21">
        <f>A6</f>
        <v/>
      </c>
      <c r="B21">
        <f>B6</f>
        <v/>
      </c>
      <c r="C21">
        <f>G6</f>
        <v/>
      </c>
    </row>
    <row r="22">
      <c r="A22">
        <f>A7</f>
        <v/>
      </c>
      <c r="B22">
        <f>B7</f>
        <v/>
      </c>
      <c r="C22">
        <f>G7</f>
        <v/>
      </c>
    </row>
    <row r="23">
      <c r="A23">
        <f>A8</f>
        <v/>
      </c>
      <c r="B23">
        <f>B8</f>
        <v/>
      </c>
      <c r="C23">
        <f>G8</f>
        <v/>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5" customWidth="1" min="1" max="1"/>
    <col width="25" customWidth="1" min="2" max="2"/>
    <col width="30" customWidth="1" min="3" max="3"/>
    <col width="50" customWidth="1" min="4" max="4"/>
    <col width="40" customWidth="1" min="5" max="5"/>
    <col width="15" customWidth="1" min="6" max="6"/>
    <col width="25" customWidth="1" min="7" max="7"/>
    <col width="20" customWidth="1" min="8" max="8"/>
    <col width="15" customWidth="1" min="9" max="9"/>
    <col width="25" customWidth="1" min="10" max="10"/>
    <col width="20" customWidth="1" min="11" max="11"/>
    <col width="18" customWidth="1" min="12" max="12"/>
    <col width="25" customWidth="1" min="13" max="13"/>
    <col width="40" customWidth="1" min="14" max="14"/>
  </cols>
  <sheetData>
    <row r="1">
      <c r="A1" s="11" t="inlineStr">
        <is>
          <t>Quality Evidence Register</t>
        </is>
      </c>
    </row>
    <row r="3">
      <c r="A3" s="17" t="inlineStr">
        <is>
          <t>Evidence ID</t>
        </is>
      </c>
      <c r="B3" s="17" t="inlineStr">
        <is>
          <t>Quality Dimension</t>
        </is>
      </c>
      <c r="C3" s="17" t="inlineStr">
        <is>
          <t>Evidence Type</t>
        </is>
      </c>
      <c r="D3" s="17" t="inlineStr">
        <is>
          <t>Evidence Description</t>
        </is>
      </c>
      <c r="E3" s="17" t="inlineStr">
        <is>
          <t>Evidence Location</t>
        </is>
      </c>
      <c r="F3" s="17" t="inlineStr">
        <is>
          <t>Collection Date</t>
        </is>
      </c>
      <c r="G3" s="17" t="inlineStr">
        <is>
          <t>Collected By</t>
        </is>
      </c>
      <c r="H3" s="17" t="inlineStr">
        <is>
          <t>Validity Period</t>
        </is>
      </c>
      <c r="I3" s="17" t="inlineStr">
        <is>
          <t>Review Date</t>
        </is>
      </c>
      <c r="J3" s="17" t="inlineStr">
        <is>
          <t>Reviewed By</t>
        </is>
      </c>
      <c r="K3" s="17" t="inlineStr">
        <is>
          <t>Review Status</t>
        </is>
      </c>
      <c r="L3" s="17" t="inlineStr">
        <is>
          <t>Retention End Date</t>
        </is>
      </c>
      <c r="M3" s="17" t="inlineStr">
        <is>
          <t>Related Assessment</t>
        </is>
      </c>
      <c r="N3" s="17" t="inlineStr">
        <is>
          <t>Notes</t>
        </is>
      </c>
    </row>
    <row r="4">
      <c r="A4" s="13" t="inlineStr">
        <is>
          <t>QUAL-001</t>
        </is>
      </c>
      <c r="B4" s="13" t="inlineStr">
        <is>
          <t>Accuracy</t>
        </is>
      </c>
      <c r="C4" s="13" t="inlineStr">
        <is>
          <t>Sampling Results</t>
        </is>
      </c>
      <c r="D4" s="13" t="inlineStr">
        <is>
          <t>Accuracy sampling results - 50 samples verified</t>
        </is>
      </c>
      <c r="E4" s="13" t="inlineStr">
        <is>
          <t>/evidence/accuracy_sampling_20260122.xlsx</t>
        </is>
      </c>
      <c r="F4" s="13" t="inlineStr">
        <is>
          <t>22.01.2026</t>
        </is>
      </c>
      <c r="G4" s="13" t="n"/>
      <c r="H4" s="13" t="n"/>
      <c r="I4" s="13" t="n"/>
      <c r="J4" s="13" t="n"/>
      <c r="K4" s="13" t="n"/>
      <c r="L4" s="13" t="n"/>
      <c r="M4" s="13" t="n"/>
      <c r="N4" s="13" t="n"/>
    </row>
    <row r="5">
      <c r="A5" s="13" t="inlineStr">
        <is>
          <t>QUAL-002</t>
        </is>
      </c>
      <c r="B5" s="13" t="inlineStr">
        <is>
          <t>Completeness</t>
        </is>
      </c>
      <c r="C5" s="13" t="inlineStr">
        <is>
          <t>Completeness Report</t>
        </is>
      </c>
      <c r="D5" s="13" t="inlineStr">
        <is>
          <t>Mandatory fields completeness query results</t>
        </is>
      </c>
      <c r="E5" s="13" t="inlineStr">
        <is>
          <t>/evidence/completeness_report_20260122.xlsx</t>
        </is>
      </c>
      <c r="F5" s="13" t="inlineStr">
        <is>
          <t>22.01.2026</t>
        </is>
      </c>
      <c r="G5" s="13" t="n"/>
      <c r="H5" s="13" t="n"/>
      <c r="I5" s="13" t="n"/>
      <c r="J5" s="13" t="n"/>
      <c r="K5" s="13" t="n"/>
      <c r="L5" s="13" t="n"/>
      <c r="M5" s="13" t="n"/>
      <c r="N5" s="13" t="n"/>
    </row>
    <row r="6">
      <c r="A6" s="13" t="inlineStr">
        <is>
          <t>QUAL-003</t>
        </is>
      </c>
      <c r="B6" s="13" t="inlineStr">
        <is>
          <t>Currency</t>
        </is>
      </c>
      <c r="C6" s="13" t="inlineStr">
        <is>
          <t>Staleness Report</t>
        </is>
      </c>
      <c r="D6" s="13" t="inlineStr">
        <is>
          <t>Assets not reviewed in &gt;90 days</t>
        </is>
      </c>
      <c r="E6" s="13" t="inlineStr">
        <is>
          <t>/evidence/staleness_report_20260122.xlsx</t>
        </is>
      </c>
      <c r="F6" s="13" t="inlineStr">
        <is>
          <t>22.01.2026</t>
        </is>
      </c>
      <c r="G6" s="13" t="n"/>
      <c r="H6" s="13" t="n"/>
      <c r="I6" s="13" t="n"/>
      <c r="J6" s="13" t="n"/>
      <c r="K6" s="13" t="n"/>
      <c r="L6" s="13" t="n"/>
      <c r="M6" s="13" t="n"/>
      <c r="N6" s="13" t="n"/>
    </row>
    <row r="7">
      <c r="A7" s="13" t="inlineStr">
        <is>
          <t>QUAL-004</t>
        </is>
      </c>
      <c r="B7" s="13" t="inlineStr">
        <is>
          <t>Consistency</t>
        </is>
      </c>
      <c r="C7" s="13" t="inlineStr">
        <is>
          <t>Reconciliation Report</t>
        </is>
      </c>
      <c r="D7" s="13" t="inlineStr">
        <is>
          <t>Inventory vs. CMDB reconciliation</t>
        </is>
      </c>
      <c r="E7" s="13" t="inlineStr">
        <is>
          <t>/evidence/reconciliation_20260122.xlsx</t>
        </is>
      </c>
      <c r="F7" s="13" t="inlineStr">
        <is>
          <t>22.01.2026</t>
        </is>
      </c>
      <c r="G7" s="13" t="n"/>
      <c r="H7" s="13" t="n"/>
      <c r="I7" s="13" t="n"/>
      <c r="J7" s="13" t="n"/>
      <c r="K7" s="13" t="n"/>
      <c r="L7" s="13" t="n"/>
      <c r="M7" s="13" t="n"/>
      <c r="N7" s="13" t="n"/>
    </row>
    <row r="8">
      <c r="A8" s="13" t="n"/>
      <c r="B8" s="13" t="n"/>
      <c r="C8" s="13" t="n"/>
      <c r="D8" s="13" t="n"/>
      <c r="E8" s="13" t="n"/>
      <c r="F8" s="13" t="n"/>
      <c r="G8" s="13" t="n"/>
      <c r="H8" s="13" t="n"/>
      <c r="I8" s="13" t="n"/>
      <c r="J8" s="13" t="n"/>
      <c r="K8" s="13" t="n"/>
      <c r="L8" s="13" t="n"/>
      <c r="M8" s="13" t="n"/>
      <c r="N8" s="13" t="n"/>
    </row>
    <row r="9">
      <c r="A9" s="13" t="n"/>
      <c r="B9" s="13" t="n"/>
      <c r="C9" s="13" t="n"/>
      <c r="D9" s="13" t="n"/>
      <c r="E9" s="13" t="n"/>
      <c r="F9" s="13" t="n"/>
      <c r="G9" s="13" t="n"/>
      <c r="H9" s="13" t="n"/>
      <c r="I9" s="13" t="n"/>
      <c r="J9" s="13" t="n"/>
      <c r="K9" s="13" t="n"/>
      <c r="L9" s="13" t="n"/>
      <c r="M9" s="13" t="n"/>
      <c r="N9" s="13" t="n"/>
    </row>
    <row r="10">
      <c r="A10" s="13" t="n"/>
      <c r="B10" s="13" t="n"/>
      <c r="C10" s="13" t="n"/>
      <c r="D10" s="13" t="n"/>
      <c r="E10" s="13" t="n"/>
      <c r="F10" s="13" t="n"/>
      <c r="G10" s="13" t="n"/>
      <c r="H10" s="13" t="n"/>
      <c r="I10" s="13" t="n"/>
      <c r="J10" s="13" t="n"/>
      <c r="K10" s="13" t="n"/>
      <c r="L10" s="13" t="n"/>
      <c r="M10" s="13" t="n"/>
      <c r="N10" s="13" t="n"/>
    </row>
    <row r="11">
      <c r="A11" s="13" t="n"/>
      <c r="B11" s="13" t="n"/>
      <c r="C11" s="13" t="n"/>
      <c r="D11" s="13" t="n"/>
      <c r="E11" s="13" t="n"/>
      <c r="F11" s="13" t="n"/>
      <c r="G11" s="13" t="n"/>
      <c r="H11" s="13" t="n"/>
      <c r="I11" s="13" t="n"/>
      <c r="J11" s="13" t="n"/>
      <c r="K11" s="13" t="n"/>
      <c r="L11" s="13" t="n"/>
      <c r="M11" s="13" t="n"/>
      <c r="N11" s="13" t="n"/>
    </row>
    <row r="12">
      <c r="A12" s="13" t="n"/>
      <c r="B12" s="13" t="n"/>
      <c r="C12" s="13" t="n"/>
      <c r="D12" s="13" t="n"/>
      <c r="E12" s="13" t="n"/>
      <c r="F12" s="13" t="n"/>
      <c r="G12" s="13" t="n"/>
      <c r="H12" s="13" t="n"/>
      <c r="I12" s="13" t="n"/>
      <c r="J12" s="13" t="n"/>
      <c r="K12" s="13" t="n"/>
      <c r="L12" s="13" t="n"/>
      <c r="M12" s="13" t="n"/>
      <c r="N12" s="13" t="n"/>
    </row>
    <row r="13">
      <c r="A13" s="13" t="n"/>
      <c r="B13" s="13" t="n"/>
      <c r="C13" s="13" t="n"/>
      <c r="D13" s="13" t="n"/>
      <c r="E13" s="13" t="n"/>
      <c r="F13" s="13" t="n"/>
      <c r="G13" s="13" t="n"/>
      <c r="H13" s="13" t="n"/>
      <c r="I13" s="13" t="n"/>
      <c r="J13" s="13" t="n"/>
      <c r="K13" s="13" t="n"/>
      <c r="L13" s="13" t="n"/>
      <c r="M13" s="13" t="n"/>
      <c r="N13" s="13" t="n"/>
    </row>
    <row r="14">
      <c r="A14" s="13" t="n"/>
      <c r="B14" s="13" t="n"/>
      <c r="C14" s="13" t="n"/>
      <c r="D14" s="13" t="n"/>
      <c r="E14" s="13" t="n"/>
      <c r="F14" s="13" t="n"/>
      <c r="G14" s="13" t="n"/>
      <c r="H14" s="13" t="n"/>
      <c r="I14" s="13" t="n"/>
      <c r="J14" s="13" t="n"/>
      <c r="K14" s="13" t="n"/>
      <c r="L14" s="13" t="n"/>
      <c r="M14" s="13" t="n"/>
      <c r="N14" s="13" t="n"/>
    </row>
    <row r="15">
      <c r="A15" s="13" t="n"/>
      <c r="B15" s="13" t="n"/>
      <c r="C15" s="13" t="n"/>
      <c r="D15" s="13" t="n"/>
      <c r="E15" s="13" t="n"/>
      <c r="F15" s="13" t="n"/>
      <c r="G15" s="13" t="n"/>
      <c r="H15" s="13" t="n"/>
      <c r="I15" s="13" t="n"/>
      <c r="J15" s="13" t="n"/>
      <c r="K15" s="13" t="n"/>
      <c r="L15" s="13" t="n"/>
      <c r="M15" s="13" t="n"/>
      <c r="N15" s="13" t="n"/>
    </row>
    <row r="16">
      <c r="A16" s="13" t="n"/>
      <c r="B16" s="13" t="n"/>
      <c r="C16" s="13" t="n"/>
      <c r="D16" s="13" t="n"/>
      <c r="E16" s="13" t="n"/>
      <c r="F16" s="13" t="n"/>
      <c r="G16" s="13" t="n"/>
      <c r="H16" s="13" t="n"/>
      <c r="I16" s="13" t="n"/>
      <c r="J16" s="13" t="n"/>
      <c r="K16" s="13" t="n"/>
      <c r="L16" s="13" t="n"/>
      <c r="M16" s="13" t="n"/>
      <c r="N16" s="13" t="n"/>
    </row>
    <row r="17">
      <c r="A17" s="13" t="n"/>
      <c r="B17" s="13" t="n"/>
      <c r="C17" s="13" t="n"/>
      <c r="D17" s="13" t="n"/>
      <c r="E17" s="13" t="n"/>
      <c r="F17" s="13" t="n"/>
      <c r="G17" s="13" t="n"/>
      <c r="H17" s="13" t="n"/>
      <c r="I17" s="13" t="n"/>
      <c r="J17" s="13" t="n"/>
      <c r="K17" s="13" t="n"/>
      <c r="L17" s="13" t="n"/>
      <c r="M17" s="13" t="n"/>
      <c r="N17" s="13" t="n"/>
    </row>
    <row r="18">
      <c r="A18" s="13" t="n"/>
      <c r="B18" s="13" t="n"/>
      <c r="C18" s="13" t="n"/>
      <c r="D18" s="13" t="n"/>
      <c r="E18" s="13" t="n"/>
      <c r="F18" s="13" t="n"/>
      <c r="G18" s="13" t="n"/>
      <c r="H18" s="13" t="n"/>
      <c r="I18" s="13" t="n"/>
      <c r="J18" s="13" t="n"/>
      <c r="K18" s="13" t="n"/>
      <c r="L18" s="13" t="n"/>
      <c r="M18" s="13" t="n"/>
      <c r="N18" s="13" t="n"/>
    </row>
    <row r="19">
      <c r="A19" s="13" t="n"/>
      <c r="B19" s="13" t="n"/>
      <c r="C19" s="13" t="n"/>
      <c r="D19" s="13" t="n"/>
      <c r="E19" s="13" t="n"/>
      <c r="F19" s="13" t="n"/>
      <c r="G19" s="13" t="n"/>
      <c r="H19" s="13" t="n"/>
      <c r="I19" s="13" t="n"/>
      <c r="J19" s="13" t="n"/>
      <c r="K19" s="13" t="n"/>
      <c r="L19" s="13" t="n"/>
      <c r="M19" s="13" t="n"/>
      <c r="N19" s="13" t="n"/>
    </row>
    <row r="20">
      <c r="A20" s="13" t="n"/>
      <c r="B20" s="13" t="n"/>
      <c r="C20" s="13" t="n"/>
      <c r="D20" s="13" t="n"/>
      <c r="E20" s="13" t="n"/>
      <c r="F20" s="13" t="n"/>
      <c r="G20" s="13" t="n"/>
      <c r="H20" s="13" t="n"/>
      <c r="I20" s="13" t="n"/>
      <c r="J20" s="13" t="n"/>
      <c r="K20" s="13" t="n"/>
      <c r="L20" s="13" t="n"/>
      <c r="M20" s="13" t="n"/>
      <c r="N20" s="13" t="n"/>
    </row>
    <row r="21">
      <c r="A21" s="13" t="n"/>
      <c r="B21" s="13" t="n"/>
      <c r="C21" s="13" t="n"/>
      <c r="D21" s="13" t="n"/>
      <c r="E21" s="13" t="n"/>
      <c r="F21" s="13" t="n"/>
      <c r="G21" s="13" t="n"/>
      <c r="H21" s="13" t="n"/>
      <c r="I21" s="13" t="n"/>
      <c r="J21" s="13" t="n"/>
      <c r="K21" s="13" t="n"/>
      <c r="L21" s="13" t="n"/>
      <c r="M21" s="13" t="n"/>
      <c r="N21" s="13" t="n"/>
    </row>
    <row r="22">
      <c r="A22" s="13" t="n"/>
      <c r="B22" s="13" t="n"/>
      <c r="C22" s="13" t="n"/>
      <c r="D22" s="13" t="n"/>
      <c r="E22" s="13" t="n"/>
      <c r="F22" s="13" t="n"/>
      <c r="G22" s="13" t="n"/>
      <c r="H22" s="13" t="n"/>
      <c r="I22" s="13" t="n"/>
      <c r="J22" s="13" t="n"/>
      <c r="K22" s="13" t="n"/>
      <c r="L22" s="13" t="n"/>
      <c r="M22" s="13" t="n"/>
      <c r="N22" s="13" t="n"/>
    </row>
    <row r="23">
      <c r="A23" s="13" t="n"/>
      <c r="B23" s="13" t="n"/>
      <c r="C23" s="13" t="n"/>
      <c r="D23" s="13" t="n"/>
      <c r="E23" s="13" t="n"/>
      <c r="F23" s="13" t="n"/>
      <c r="G23" s="13" t="n"/>
      <c r="H23" s="13" t="n"/>
      <c r="I23" s="13" t="n"/>
      <c r="J23" s="13" t="n"/>
      <c r="K23" s="13" t="n"/>
      <c r="L23" s="13" t="n"/>
      <c r="M23" s="13" t="n"/>
      <c r="N23" s="13" t="n"/>
    </row>
    <row r="24">
      <c r="A24" s="13" t="n"/>
      <c r="B24" s="13" t="n"/>
      <c r="C24" s="13" t="n"/>
      <c r="D24" s="13" t="n"/>
      <c r="E24" s="13" t="n"/>
      <c r="F24" s="13" t="n"/>
      <c r="G24" s="13" t="n"/>
      <c r="H24" s="13" t="n"/>
      <c r="I24" s="13" t="n"/>
      <c r="J24" s="13" t="n"/>
      <c r="K24" s="13" t="n"/>
      <c r="L24" s="13" t="n"/>
      <c r="M24" s="13" t="n"/>
      <c r="N24" s="13" t="n"/>
    </row>
    <row r="25">
      <c r="A25" s="13" t="n"/>
      <c r="B25" s="13" t="n"/>
      <c r="C25" s="13" t="n"/>
      <c r="D25" s="13" t="n"/>
      <c r="E25" s="13" t="n"/>
      <c r="F25" s="13" t="n"/>
      <c r="G25" s="13" t="n"/>
      <c r="H25" s="13" t="n"/>
      <c r="I25" s="13" t="n"/>
      <c r="J25" s="13" t="n"/>
      <c r="K25" s="13" t="n"/>
      <c r="L25" s="13" t="n"/>
      <c r="M25" s="13" t="n"/>
      <c r="N25" s="13" t="n"/>
    </row>
    <row r="26">
      <c r="A26" s="13" t="n"/>
      <c r="B26" s="13" t="n"/>
      <c r="C26" s="13" t="n"/>
      <c r="D26" s="13" t="n"/>
      <c r="E26" s="13" t="n"/>
      <c r="F26" s="13" t="n"/>
      <c r="G26" s="13" t="n"/>
      <c r="H26" s="13" t="n"/>
      <c r="I26" s="13" t="n"/>
      <c r="J26" s="13" t="n"/>
      <c r="K26" s="13" t="n"/>
      <c r="L26" s="13" t="n"/>
      <c r="M26" s="13" t="n"/>
      <c r="N26" s="13" t="n"/>
    </row>
    <row r="27">
      <c r="A27" s="13" t="n"/>
      <c r="B27" s="13" t="n"/>
      <c r="C27" s="13" t="n"/>
      <c r="D27" s="13" t="n"/>
      <c r="E27" s="13" t="n"/>
      <c r="F27" s="13" t="n"/>
      <c r="G27" s="13" t="n"/>
      <c r="H27" s="13" t="n"/>
      <c r="I27" s="13" t="n"/>
      <c r="J27" s="13" t="n"/>
      <c r="K27" s="13" t="n"/>
      <c r="L27" s="13" t="n"/>
      <c r="M27" s="13" t="n"/>
      <c r="N27" s="13" t="n"/>
    </row>
  </sheetData>
  <mergeCells count="1">
    <mergeCell ref="A1:N1"/>
  </mergeCells>
  <dataValidations count="2">
    <dataValidation sqref="B4:B100" showDropDown="0" showInputMessage="0" showErrorMessage="0" allowBlank="1" type="list">
      <formula1>"Accuracy,Completeness,Currency,Consistency,Policy Compliance,All Dimensions"</formula1>
    </dataValidation>
    <dataValidation sqref="K4:K100" showDropDown="0" showInputMessage="0" showErrorMessage="0" allowBlank="1" type="list">
      <formula1>"Pending Review,Reviewed - Valid,Reviewed - Update Needed,Reviewed - Invalid"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s>
  <sheetData>
    <row r="1" ht="35" customHeight="1">
      <c r="A1" s="24" t="inlineStr">
        <is>
          <t>📊 QUALITY &amp; COMPLIANCE ASSESSMENT - SUMMARY DASHBOARD</t>
        </is>
      </c>
    </row>
    <row r="2">
      <c r="A2" s="25" t="inlineStr">
        <is>
          <t>Quick overview of key metrics and compliance status</t>
        </is>
      </c>
    </row>
    <row r="4">
      <c r="A4" s="26" t="inlineStr">
        <is>
          <t>🎯 OVERALL COMPLIANCE</t>
        </is>
      </c>
    </row>
    <row r="5">
      <c r="A5" s="21" t="inlineStr">
        <is>
          <t>Overall Compliance:</t>
        </is>
      </c>
      <c r="D5" s="27">
        <f>'Quality Metrics &amp; Scoring'!B10</f>
        <v/>
      </c>
    </row>
    <row r="7">
      <c r="A7" s="26" t="inlineStr">
        <is>
          <t>📊 KEY METRICS</t>
        </is>
      </c>
    </row>
    <row r="8">
      <c r="A8" s="23" t="inlineStr">
        <is>
          <t>Metric</t>
        </is>
      </c>
      <c r="B8" s="23" t="inlineStr">
        <is>
          <t>Current</t>
        </is>
      </c>
      <c r="C8" s="23" t="inlineStr">
        <is>
          <t>Target</t>
        </is>
      </c>
      <c r="D8" s="23" t="inlineStr">
        <is>
          <t>Status</t>
        </is>
      </c>
    </row>
    <row r="9">
      <c r="A9" t="inlineStr">
        <is>
          <t>Accuracy Score</t>
        </is>
      </c>
      <c r="B9" s="15">
        <f>'Quality Metrics &amp; Scoring'!B4</f>
        <v/>
      </c>
      <c r="C9" t="inlineStr">
        <is>
          <t>98%</t>
        </is>
      </c>
      <c r="D9">
        <f>IF(B9&gt;0,"✅","❌")</f>
        <v/>
      </c>
    </row>
    <row r="10">
      <c r="A10" t="inlineStr">
        <is>
          <t>Completeness Score</t>
        </is>
      </c>
      <c r="B10" s="15">
        <f>'Quality Metrics &amp; Scoring'!B5</f>
        <v/>
      </c>
      <c r="C10" t="inlineStr">
        <is>
          <t>95%</t>
        </is>
      </c>
      <c r="D10">
        <f>IF(B10&gt;0,"✅","❌")</f>
        <v/>
      </c>
    </row>
    <row r="11">
      <c r="A11" t="inlineStr">
        <is>
          <t>Currency Score</t>
        </is>
      </c>
      <c r="B11" s="15">
        <f>'Quality Metrics &amp; Scoring'!B6</f>
        <v/>
      </c>
      <c r="C11" t="inlineStr">
        <is>
          <t>95%</t>
        </is>
      </c>
      <c r="D11">
        <f>IF(B11&gt;0,"✅","❌")</f>
        <v/>
      </c>
    </row>
  </sheetData>
  <mergeCells count="6">
    <mergeCell ref="A2:F2"/>
    <mergeCell ref="D5:F5"/>
    <mergeCell ref="A5:C5"/>
    <mergeCell ref="A1:F1"/>
    <mergeCell ref="A4:F4"/>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18" customWidth="1" min="2" max="2"/>
    <col width="18" customWidth="1" min="3" max="3"/>
    <col width="15" customWidth="1" min="4" max="4"/>
    <col width="30" customWidth="1" min="5" max="5"/>
  </cols>
  <sheetData>
    <row r="1" ht="30" customHeight="1">
      <c r="A1" s="28" t="inlineStr">
        <is>
          <t>QUALITY &amp; COMPLIANCE ASSESSMENT - APPROVAL &amp; SIGN-OFF</t>
        </is>
      </c>
    </row>
    <row r="2">
      <c r="A2" s="29" t="inlineStr">
        <is>
          <t>Complete when assessment is finished and ready for approval</t>
        </is>
      </c>
    </row>
    <row r="4">
      <c r="A4" s="30" t="inlineStr">
        <is>
          <t>COMPLETION CHECKLIST</t>
        </is>
      </c>
    </row>
    <row r="5">
      <c r="A5" s="23" t="inlineStr">
        <is>
          <t>Item</t>
        </is>
      </c>
      <c r="B5" s="23" t="inlineStr">
        <is>
          <t>Status</t>
        </is>
      </c>
      <c r="C5" s="23" t="inlineStr">
        <is>
          <t>Completed By</t>
        </is>
      </c>
      <c r="D5" s="23" t="inlineStr">
        <is>
          <t>Date</t>
        </is>
      </c>
      <c r="E5" s="23" t="inlineStr">
        <is>
          <t>Notes</t>
        </is>
      </c>
    </row>
    <row r="6">
      <c r="A6" s="31" t="inlineStr">
        <is>
          <t>Accuracy sampling completed</t>
        </is>
      </c>
      <c r="B6" s="32" t="n"/>
      <c r="C6" s="32" t="n"/>
      <c r="D6" s="32" t="n"/>
      <c r="E6" s="32" t="n"/>
    </row>
    <row r="7">
      <c r="A7" s="31" t="inlineStr">
        <is>
          <t>Completeness assessment completed</t>
        </is>
      </c>
      <c r="B7" s="32" t="n"/>
      <c r="C7" s="32" t="n"/>
      <c r="D7" s="32" t="n"/>
      <c r="E7" s="32" t="n"/>
    </row>
    <row r="8">
      <c r="A8" s="31" t="inlineStr">
        <is>
          <t>Currency assessment completed</t>
        </is>
      </c>
      <c r="B8" s="32" t="n"/>
      <c r="C8" s="32" t="n"/>
      <c r="D8" s="32" t="n"/>
      <c r="E8" s="32" t="n"/>
    </row>
    <row r="9">
      <c r="A9" s="31" t="inlineStr">
        <is>
          <t>Consistency checks performed</t>
        </is>
      </c>
      <c r="B9" s="32" t="n"/>
      <c r="C9" s="32" t="n"/>
      <c r="D9" s="32" t="n"/>
      <c r="E9" s="32" t="n"/>
    </row>
    <row r="10">
      <c r="A10" s="31" t="inlineStr">
        <is>
          <t>Policy compliance verified</t>
        </is>
      </c>
      <c r="B10" s="32" t="n"/>
      <c r="C10" s="32" t="n"/>
      <c r="D10" s="32" t="n"/>
      <c r="E10" s="32" t="n"/>
    </row>
    <row r="11">
      <c r="A11" s="31" t="inlineStr">
        <is>
          <t>Quality metrics calculated</t>
        </is>
      </c>
      <c r="B11" s="32" t="n"/>
      <c r="C11" s="32" t="n"/>
      <c r="D11" s="32" t="n"/>
      <c r="E11" s="32" t="n"/>
    </row>
    <row r="12">
      <c r="A12" s="31" t="inlineStr">
        <is>
          <t>Evidence collected and registered</t>
        </is>
      </c>
      <c r="B12" s="32" t="n"/>
      <c r="C12" s="32" t="n"/>
      <c r="D12" s="32" t="n"/>
      <c r="E12" s="32" t="n"/>
    </row>
    <row r="13">
      <c r="A13" s="31" t="inlineStr">
        <is>
          <t>Assessment reviewed by Information Security</t>
        </is>
      </c>
      <c r="B13" s="32" t="n"/>
      <c r="C13" s="32" t="n"/>
      <c r="D13" s="32" t="n"/>
      <c r="E13" s="32" t="n"/>
    </row>
    <row r="16">
      <c r="A16" s="30" t="inlineStr">
        <is>
          <t>APPROVALS</t>
        </is>
      </c>
    </row>
    <row r="17">
      <c r="A17" s="23" t="inlineStr">
        <is>
          <t>Role</t>
        </is>
      </c>
      <c r="B17" s="23" t="inlineStr">
        <is>
          <t>Name</t>
        </is>
      </c>
      <c r="C17" s="23" t="inlineStr">
        <is>
          <t>Signature</t>
        </is>
      </c>
      <c r="D17" s="23" t="inlineStr">
        <is>
          <t>Date</t>
        </is>
      </c>
      <c r="E17" s="23" t="inlineStr">
        <is>
          <t>Comments</t>
        </is>
      </c>
    </row>
    <row r="18">
      <c r="A18" s="33" t="inlineStr">
        <is>
          <t>Asset Management Lead</t>
        </is>
      </c>
      <c r="B18" s="32" t="n"/>
      <c r="C18" s="32" t="n"/>
      <c r="D18" s="32" t="n"/>
      <c r="E18" s="32" t="n"/>
    </row>
    <row r="19">
      <c r="A19" s="33" t="inlineStr">
        <is>
          <t>Information Security Manager</t>
        </is>
      </c>
      <c r="B19" s="32" t="n"/>
      <c r="C19" s="32" t="n"/>
      <c r="D19" s="32" t="n"/>
      <c r="E19" s="32" t="n"/>
    </row>
    <row r="20">
      <c r="A20" s="33" t="inlineStr">
        <is>
          <t>CISO</t>
        </is>
      </c>
      <c r="B20" s="32" t="n"/>
      <c r="C20" s="32" t="n"/>
      <c r="D20" s="32" t="n"/>
      <c r="E20" s="32" t="n"/>
    </row>
  </sheetData>
  <mergeCells count="4">
    <mergeCell ref="A2:F2"/>
    <mergeCell ref="A16:F16"/>
    <mergeCell ref="A1:F1"/>
    <mergeCell ref="A4:F4"/>
  </mergeCells>
  <dataValidations count="1">
    <dataValidation sqref="B6:B13" showDropDown="0" showInputMessage="0" showErrorMessage="0" allowBlank="1" type="list">
      <formula1>"✅ Complete,⏳ In Progress,❌ Not 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2026-02-08T11:25:44Z</dcterms:created>
  <dcterms:modified xmlns:dcterms="http://purl.org/dc/terms/" xmlns:xsi="http://www.w3.org/2001/XMLSchema-instance" xsi:type="dcterms:W3CDTF">2026-02-08T11:25:44Z</dcterms:modified>
</cp:coreProperties>
</file>