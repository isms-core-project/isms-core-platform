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Compliance_Scores" sheetId="3" state="visible" r:id="rId3"/>
    <sheet xmlns:r="http://schemas.openxmlformats.org/officeDocument/2006/relationships" name="Gap_Analysis" sheetId="4" state="visible" r:id="rId4"/>
    <sheet xmlns:r="http://schemas.openxmlformats.org/officeDocument/2006/relationships" name="Incident_KPIs" sheetId="5" state="visible" r:id="rId5"/>
    <sheet xmlns:r="http://schemas.openxmlformats.org/officeDocument/2006/relationships" name="Evidence_Register" sheetId="6" state="visible" r:id="rId6"/>
    <sheet xmlns:r="http://schemas.openxmlformats.org/officeDocument/2006/relationships" name="Approval_Sign_Of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2"/>
    </font>
    <font>
      <b val="1"/>
    </font>
    <font>
      <name val="Calibri"/>
      <b val="1"/>
      <sz val="10"/>
    </font>
    <font>
      <b val="1"/>
      <sz val="12"/>
    </font>
    <font>
      <b val="1"/>
      <sz val="14"/>
    </font>
    <font>
      <i val="1"/>
      <color rgb="00666666"/>
    </font>
    <font>
      <i val="1"/>
      <sz val="10"/>
    </font>
  </fonts>
  <fills count="11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8E4F8"/>
        <bgColor rgb="00D8E4F8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0" borderId="0" applyAlignment="1" pivotButton="0" quotePrefix="0" xfId="0">
      <alignment horizontal="left" vertical="top" wrapText="1"/>
    </xf>
    <xf numFmtId="0" fontId="4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5" borderId="1" pivotButton="0" quotePrefix="0" xfId="0"/>
    <xf numFmtId="0" fontId="2" fillId="3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4" borderId="1" applyAlignment="1" pivotButton="0" quotePrefix="0" xfId="0">
      <alignment horizontal="center"/>
    </xf>
    <xf numFmtId="0" fontId="7" fillId="0" borderId="0" pivotButton="0" quotePrefix="0" xfId="0"/>
    <xf numFmtId="0" fontId="3" fillId="0" borderId="1" pivotButton="0" quotePrefix="0" xfId="0"/>
    <xf numFmtId="0" fontId="3" fillId="6" borderId="1" pivotButton="0" quotePrefix="0" xfId="0"/>
    <xf numFmtId="0" fontId="2" fillId="10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5" fillId="0" borderId="1" pivotButton="0" quotePrefix="0" xfId="0"/>
    <xf numFmtId="0" fontId="5" fillId="6" borderId="1" pivotButton="0" quotePrefix="0" xfId="0"/>
    <xf numFmtId="0" fontId="8" fillId="0" borderId="0" pivotButton="0" quotePrefix="0" xfId="0"/>
    <xf numFmtId="0" fontId="0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0" customWidth="1" min="3" max="3"/>
    <col width="45" customWidth="1" min="4" max="4"/>
    <col width="20" customWidth="1" min="5" max="5"/>
  </cols>
  <sheetData>
    <row r="1" ht="45" customHeight="1">
      <c r="A1" s="1" t="inlineStr">
        <is>
          <t>ISMS-IMP-A.5.24-28.S6 - Compliance Dashboard
ISO/IEC 27001:2022 - Controls A.5.24-28: Incident Management Lifecycle</t>
        </is>
      </c>
    </row>
    <row r="3">
      <c r="A3" s="2" t="inlineStr">
        <is>
          <t>DOCUMENT INFORMATION</t>
        </is>
      </c>
    </row>
    <row r="4">
      <c r="A4" s="3" t="inlineStr">
        <is>
          <t>Document ID:</t>
        </is>
      </c>
      <c r="B4" s="4" t="inlineStr">
        <is>
          <t>ISMS-IMP-A.5.24-28.S6</t>
        </is>
      </c>
    </row>
    <row r="5">
      <c r="A5" s="3" t="inlineStr">
        <is>
          <t>Assessment Area:</t>
        </is>
      </c>
      <c r="B5" s="4" t="inlineStr">
        <is>
          <t>Incident Management Compliance Dashboard</t>
        </is>
      </c>
    </row>
    <row r="6">
      <c r="A6" s="3" t="inlineStr">
        <is>
          <t>Related Policy:</t>
        </is>
      </c>
      <c r="B6" s="4" t="inlineStr">
        <is>
          <t>ISMS-POL-A.5.24-28</t>
        </is>
      </c>
    </row>
    <row r="7">
      <c r="A7" s="3" t="inlineStr">
        <is>
          <t>Version:</t>
        </is>
      </c>
      <c r="B7" s="4" t="inlineStr">
        <is>
          <t>1.0</t>
        </is>
      </c>
    </row>
    <row r="8">
      <c r="A8" s="3" t="inlineStr">
        <is>
          <t>Generated Date:</t>
        </is>
      </c>
      <c r="B8" s="4" t="inlineStr">
        <is>
          <t>08.02.2026</t>
        </is>
      </c>
    </row>
    <row r="9">
      <c r="A9" s="3" t="inlineStr">
        <is>
          <t>Organisation:</t>
        </is>
      </c>
      <c r="B9" s="5" t="inlineStr"/>
    </row>
    <row r="10">
      <c r="A10" s="3" t="inlineStr">
        <is>
          <t>Completed By:</t>
        </is>
      </c>
      <c r="B10" s="5" t="inlineStr"/>
    </row>
    <row r="11">
      <c r="A11" s="3" t="inlineStr">
        <is>
          <t>Assessment Period:</t>
        </is>
      </c>
      <c r="B11" s="5" t="inlineStr"/>
    </row>
    <row r="14">
      <c r="A14" s="2" t="inlineStr">
        <is>
          <t>DASHBOARD PURPOSE</t>
        </is>
      </c>
    </row>
    <row r="15" ht="120" customHeight="1">
      <c r="A15" s="6" t="inlineStr">
        <is>
          <t>This dashboard consolidates incident management compliance metrics from all five assessment
domains (S1-S5) into executive-ready visualisations. It provides visibility into:
• Overall incident management compliance posture
• Control-by-control compliance scoring (A.5.24 through A.5.28)
• Gap analysis consolidation across all assessment domains
• Key Performance Indicators (KPIs) for incident management
• Evidence traceability linking to source assessments</t>
        </is>
      </c>
    </row>
    <row r="16"/>
    <row r="17"/>
    <row r="18"/>
    <row r="19"/>
    <row r="20"/>
    <row r="21"/>
    <row r="23">
      <c r="A23" s="2" t="inlineStr">
        <is>
          <t>SOURCE WORKBOOKS</t>
        </is>
      </c>
    </row>
    <row r="24">
      <c r="A24" s="7" t="inlineStr">
        <is>
          <t>Source</t>
        </is>
      </c>
      <c r="B24" s="7" t="inlineStr">
        <is>
          <t>Control</t>
        </is>
      </c>
      <c r="C24" s="7" t="inlineStr">
        <is>
          <t>Assessment Domain</t>
        </is>
      </c>
      <c r="D24" s="7" t="inlineStr">
        <is>
          <t>Workbook Name</t>
        </is>
      </c>
    </row>
    <row r="25">
      <c r="A25" s="4" t="inlineStr">
        <is>
          <t>S1</t>
        </is>
      </c>
      <c r="B25" s="4" t="inlineStr">
        <is>
          <t>A.5.24</t>
        </is>
      </c>
      <c r="C25" s="4" t="inlineStr">
        <is>
          <t>Framework Assessment</t>
        </is>
      </c>
      <c r="D25" s="4" t="inlineStr">
        <is>
          <t>ISMS-IMP-A.5.24-28.S1_Framework_Assessment</t>
        </is>
      </c>
    </row>
    <row r="26">
      <c r="A26" s="4" t="inlineStr">
        <is>
          <t>S2</t>
        </is>
      </c>
      <c r="B26" s="4" t="inlineStr">
        <is>
          <t>A.5.25</t>
        </is>
      </c>
      <c r="C26" s="4" t="inlineStr">
        <is>
          <t>Detection &amp; Classification</t>
        </is>
      </c>
      <c r="D26" s="4" t="inlineStr">
        <is>
          <t>ISMS-IMP-A.5.24-28.S2_Detection_Classification</t>
        </is>
      </c>
    </row>
    <row r="27">
      <c r="A27" s="4" t="inlineStr">
        <is>
          <t>S3</t>
        </is>
      </c>
      <c r="B27" s="4" t="inlineStr">
        <is>
          <t>A.5.26</t>
        </is>
      </c>
      <c r="C27" s="4" t="inlineStr">
        <is>
          <t>Response Capabilities</t>
        </is>
      </c>
      <c r="D27" s="4" t="inlineStr">
        <is>
          <t>ISMS-IMP-A.5.24-28.S3_Response_Capabilities</t>
        </is>
      </c>
    </row>
    <row r="28">
      <c r="A28" s="4" t="inlineStr">
        <is>
          <t>S4</t>
        </is>
      </c>
      <c r="B28" s="4" t="inlineStr">
        <is>
          <t>A.5.28</t>
        </is>
      </c>
      <c r="C28" s="4" t="inlineStr">
        <is>
          <t>Forensic Evidence</t>
        </is>
      </c>
      <c r="D28" s="4" t="inlineStr">
        <is>
          <t>ISMS-IMP-A.5.24-28.S4_Forensic_Evidence</t>
        </is>
      </c>
    </row>
    <row r="29">
      <c r="A29" s="4" t="inlineStr">
        <is>
          <t>S5</t>
        </is>
      </c>
      <c r="B29" s="4" t="inlineStr">
        <is>
          <t>A.5.27</t>
        </is>
      </c>
      <c r="C29" s="4" t="inlineStr">
        <is>
          <t>Learning &amp; Improvement</t>
        </is>
      </c>
      <c r="D29" s="4" t="inlineStr">
        <is>
          <t>ISMS-IMP-A.5.24-28.S5_Learning_Improvement</t>
        </is>
      </c>
    </row>
    <row r="32">
      <c r="A32" s="2" t="inlineStr">
        <is>
          <t>COLOUR LEGEND</t>
        </is>
      </c>
    </row>
    <row r="33">
      <c r="A33" s="5" t="inlineStr">
        <is>
          <t>Yellow</t>
        </is>
      </c>
      <c r="B33" s="4" t="inlineStr">
        <is>
          <t>User Input Required</t>
        </is>
      </c>
    </row>
    <row r="34">
      <c r="A34" s="8" t="inlineStr">
        <is>
          <t>Green</t>
        </is>
      </c>
      <c r="B34" s="4" t="inlineStr">
        <is>
          <t>Compliant / Good / Verified</t>
        </is>
      </c>
    </row>
    <row r="35">
      <c r="A35" s="9" t="inlineStr">
        <is>
          <t>Amber</t>
        </is>
      </c>
      <c r="B35" s="4" t="inlineStr">
        <is>
          <t>Partial / Warning / Pending</t>
        </is>
      </c>
    </row>
    <row r="36">
      <c r="A36" s="10" t="inlineStr">
        <is>
          <t>Red</t>
        </is>
      </c>
      <c r="B36" s="4" t="inlineStr">
        <is>
          <t>Non-Compliant / Critical / Expired</t>
        </is>
      </c>
    </row>
    <row r="37">
      <c r="A37" s="11" t="inlineStr">
        <is>
          <t>Light Blue</t>
        </is>
      </c>
      <c r="B37" s="4" t="inlineStr">
        <is>
          <t>Section Header</t>
        </is>
      </c>
    </row>
    <row r="38">
      <c r="A38" s="12" t="inlineStr">
        <is>
          <t>Grey</t>
        </is>
      </c>
      <c r="B38" s="4" t="inlineStr">
        <is>
          <t>Column Header</t>
        </is>
      </c>
    </row>
  </sheetData>
  <mergeCells count="6">
    <mergeCell ref="A32:C32"/>
    <mergeCell ref="A1:E1"/>
    <mergeCell ref="A15:E21"/>
    <mergeCell ref="A23:E23"/>
    <mergeCell ref="A14:E14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18" customWidth="1" min="4" max="4"/>
    <col width="15" customWidth="1" min="5" max="5"/>
    <col width="25" customWidth="1" min="6" max="6"/>
  </cols>
  <sheetData>
    <row r="1" ht="35" customHeight="1">
      <c r="A1" s="1" t="inlineStr">
        <is>
          <t>INCIDENT MANAGEMENT - EXECUTIVE SUMMARY</t>
        </is>
      </c>
    </row>
    <row r="3">
      <c r="A3" s="13" t="inlineStr">
        <is>
          <t>OVERALL COMPLIANCE STATUS</t>
        </is>
      </c>
    </row>
    <row r="5">
      <c r="A5" s="14" t="inlineStr">
        <is>
          <t>Overall Incident Management Compliance:</t>
        </is>
      </c>
      <c r="B5" s="15" t="n"/>
      <c r="C5" s="16" t="inlineStr">
        <is>
          <t>(Enter % from calculated formula)</t>
        </is>
      </c>
    </row>
    <row r="8">
      <c r="A8" s="13" t="inlineStr">
        <is>
          <t>COMPLIANCE BY CONTROL</t>
        </is>
      </c>
    </row>
    <row r="10">
      <c r="A10" s="7" t="inlineStr">
        <is>
          <t>Control</t>
        </is>
      </c>
      <c r="B10" s="7" t="inlineStr">
        <is>
          <t>Description</t>
        </is>
      </c>
      <c r="C10" s="7" t="inlineStr">
        <is>
          <t>Weight</t>
        </is>
      </c>
      <c r="D10" s="7" t="inlineStr">
        <is>
          <t>Score</t>
        </is>
      </c>
      <c r="E10" s="7" t="inlineStr">
        <is>
          <t>Status</t>
        </is>
      </c>
      <c r="F10" s="7" t="inlineStr">
        <is>
          <t>Source</t>
        </is>
      </c>
    </row>
    <row r="11">
      <c r="A11" s="4" t="inlineStr">
        <is>
          <t>A.5.24</t>
        </is>
      </c>
      <c r="B11" s="4" t="inlineStr">
        <is>
          <t>Planning &amp; Preparation</t>
        </is>
      </c>
      <c r="C11" s="4" t="inlineStr">
        <is>
          <t>25%</t>
        </is>
      </c>
      <c r="D11" s="5" t="n"/>
      <c r="E11" s="5" t="n"/>
      <c r="F11" s="4" t="inlineStr">
        <is>
          <t>S1</t>
        </is>
      </c>
    </row>
    <row r="12">
      <c r="A12" s="4" t="inlineStr">
        <is>
          <t>A.5.25</t>
        </is>
      </c>
      <c r="B12" s="4" t="inlineStr">
        <is>
          <t>Assessment &amp; Decision</t>
        </is>
      </c>
      <c r="C12" s="4" t="inlineStr">
        <is>
          <t>20%</t>
        </is>
      </c>
      <c r="D12" s="5" t="n"/>
      <c r="E12" s="5" t="n"/>
      <c r="F12" s="4" t="inlineStr">
        <is>
          <t>S2</t>
        </is>
      </c>
    </row>
    <row r="13">
      <c r="A13" s="4" t="inlineStr">
        <is>
          <t>A.5.26</t>
        </is>
      </c>
      <c r="B13" s="4" t="inlineStr">
        <is>
          <t>Response to Incidents</t>
        </is>
      </c>
      <c r="C13" s="4" t="inlineStr">
        <is>
          <t>25%</t>
        </is>
      </c>
      <c r="D13" s="5" t="n"/>
      <c r="E13" s="5" t="n"/>
      <c r="F13" s="4" t="inlineStr">
        <is>
          <t>S3</t>
        </is>
      </c>
    </row>
    <row r="14">
      <c r="A14" s="4" t="inlineStr">
        <is>
          <t>A.5.27</t>
        </is>
      </c>
      <c r="B14" s="4" t="inlineStr">
        <is>
          <t>Learning from Incidents</t>
        </is>
      </c>
      <c r="C14" s="4" t="inlineStr">
        <is>
          <t>15%</t>
        </is>
      </c>
      <c r="D14" s="5" t="n"/>
      <c r="E14" s="5" t="n"/>
      <c r="F14" s="4" t="inlineStr">
        <is>
          <t>S5</t>
        </is>
      </c>
    </row>
    <row r="15">
      <c r="A15" s="4" t="inlineStr">
        <is>
          <t>A.5.28</t>
        </is>
      </c>
      <c r="B15" s="4" t="inlineStr">
        <is>
          <t>Collection of Evidence</t>
        </is>
      </c>
      <c r="C15" s="4" t="inlineStr">
        <is>
          <t>15%</t>
        </is>
      </c>
      <c r="D15" s="5" t="n"/>
      <c r="E15" s="5" t="n"/>
      <c r="F15" s="4" t="inlineStr">
        <is>
          <t>S4</t>
        </is>
      </c>
    </row>
    <row r="16">
      <c r="A16" s="17" t="inlineStr">
        <is>
          <t>TOTAL</t>
        </is>
      </c>
      <c r="B16" s="17" t="inlineStr">
        <is>
          <t>Weighted Average</t>
        </is>
      </c>
      <c r="C16" s="17" t="inlineStr">
        <is>
          <t>100%</t>
        </is>
      </c>
      <c r="D16" s="18" t="n"/>
      <c r="E16" s="4" t="n"/>
      <c r="F16" s="4" t="n"/>
    </row>
    <row r="19">
      <c r="A19" s="19" t="inlineStr">
        <is>
          <t>TOP 5 GAPS REQUIRING ATTENTION</t>
        </is>
      </c>
    </row>
    <row r="21">
      <c r="A21" s="7" t="inlineStr">
        <is>
          <t>Rank</t>
        </is>
      </c>
      <c r="B21" s="7" t="inlineStr">
        <is>
          <t>Gap Description</t>
        </is>
      </c>
      <c r="C21" s="7" t="inlineStr">
        <is>
          <t>Severity</t>
        </is>
      </c>
      <c r="D21" s="7" t="inlineStr">
        <is>
          <t>Owner</t>
        </is>
      </c>
      <c r="E21" s="7" t="inlineStr">
        <is>
          <t>Due Date</t>
        </is>
      </c>
      <c r="F21" s="7" t="inlineStr">
        <is>
          <t>Source</t>
        </is>
      </c>
    </row>
    <row r="22">
      <c r="A22" s="4" t="n">
        <v>1</v>
      </c>
      <c r="B22" s="5" t="n"/>
      <c r="C22" s="5" t="n"/>
      <c r="D22" s="5" t="n"/>
      <c r="E22" s="5" t="n"/>
      <c r="F22" s="5" t="n"/>
    </row>
    <row r="23">
      <c r="A23" s="4" t="n">
        <v>2</v>
      </c>
      <c r="B23" s="5" t="n"/>
      <c r="C23" s="5" t="n"/>
      <c r="D23" s="5" t="n"/>
      <c r="E23" s="5" t="n"/>
      <c r="F23" s="5" t="n"/>
    </row>
    <row r="24">
      <c r="A24" s="4" t="n">
        <v>3</v>
      </c>
      <c r="B24" s="5" t="n"/>
      <c r="C24" s="5" t="n"/>
      <c r="D24" s="5" t="n"/>
      <c r="E24" s="5" t="n"/>
      <c r="F24" s="5" t="n"/>
    </row>
    <row r="25">
      <c r="A25" s="4" t="n">
        <v>4</v>
      </c>
      <c r="B25" s="5" t="n"/>
      <c r="C25" s="5" t="n"/>
      <c r="D25" s="5" t="n"/>
      <c r="E25" s="5" t="n"/>
      <c r="F25" s="5" t="n"/>
    </row>
    <row r="26">
      <c r="A26" s="4" t="n">
        <v>5</v>
      </c>
      <c r="B26" s="5" t="n"/>
      <c r="C26" s="5" t="n"/>
      <c r="D26" s="5" t="n"/>
      <c r="E26" s="5" t="n"/>
      <c r="F26" s="5" t="n"/>
    </row>
    <row r="29">
      <c r="A29" s="13" t="inlineStr">
        <is>
          <t>KEY PERFORMANCE INDICATORS</t>
        </is>
      </c>
    </row>
    <row r="31">
      <c r="A31" s="7" t="inlineStr">
        <is>
          <t>KPI</t>
        </is>
      </c>
      <c r="B31" s="7" t="inlineStr">
        <is>
          <t>Current</t>
        </is>
      </c>
      <c r="C31" s="7" t="inlineStr">
        <is>
          <t>Target</t>
        </is>
      </c>
      <c r="D31" s="7" t="inlineStr">
        <is>
          <t>Status</t>
        </is>
      </c>
      <c r="E31" s="7" t="inlineStr">
        <is>
          <t>Trend</t>
        </is>
      </c>
      <c r="F31" s="7" t="inlineStr">
        <is>
          <t>Notes</t>
        </is>
      </c>
    </row>
    <row r="32">
      <c r="A32" s="4" t="inlineStr">
        <is>
          <t>MTTD (Critical)</t>
        </is>
      </c>
      <c r="B32" s="5" t="n"/>
      <c r="C32" s="4" t="inlineStr">
        <is>
          <t>&lt;1 hour</t>
        </is>
      </c>
      <c r="D32" s="5" t="n"/>
      <c r="E32" s="5" t="n"/>
      <c r="F32" s="5" t="n"/>
    </row>
    <row r="33">
      <c r="A33" s="4" t="inlineStr">
        <is>
          <t>MTTR (Critical)</t>
        </is>
      </c>
      <c r="B33" s="5" t="n"/>
      <c r="C33" s="4" t="inlineStr">
        <is>
          <t>&lt;15 min</t>
        </is>
      </c>
      <c r="D33" s="5" t="n"/>
      <c r="E33" s="5" t="n"/>
      <c r="F33" s="5" t="n"/>
    </row>
    <row r="34">
      <c r="A34" s="4" t="inlineStr">
        <is>
          <t>Incident Closure Rate</t>
        </is>
      </c>
      <c r="B34" s="5" t="n"/>
      <c r="C34" s="4" t="inlineStr">
        <is>
          <t>&gt;95%</t>
        </is>
      </c>
      <c r="D34" s="5" t="n"/>
      <c r="E34" s="5" t="n"/>
      <c r="F34" s="5" t="n"/>
    </row>
    <row r="35">
      <c r="A35" s="4" t="inlineStr">
        <is>
          <t>PIR Completion Rate</t>
        </is>
      </c>
      <c r="B35" s="5" t="n"/>
      <c r="C35" s="4" t="inlineStr">
        <is>
          <t>100%</t>
        </is>
      </c>
      <c r="D35" s="5" t="n"/>
      <c r="E35" s="5" t="n"/>
      <c r="F35" s="5" t="n"/>
    </row>
    <row r="36">
      <c r="A36" s="4" t="inlineStr">
        <is>
          <t>Training Completion</t>
        </is>
      </c>
      <c r="B36" s="5" t="n"/>
      <c r="C36" s="4" t="inlineStr">
        <is>
          <t>100%</t>
        </is>
      </c>
      <c r="D36" s="5" t="n"/>
      <c r="E36" s="5" t="n"/>
      <c r="F36" s="5" t="n"/>
    </row>
    <row r="37">
      <c r="A37" s="4" t="inlineStr">
        <is>
          <t>Exercise Frequency</t>
        </is>
      </c>
      <c r="B37" s="5" t="n"/>
      <c r="C37" s="4" t="inlineStr">
        <is>
          <t>2/year</t>
        </is>
      </c>
      <c r="D37" s="5" t="n"/>
      <c r="E37" s="5" t="n"/>
      <c r="F37" s="5" t="n"/>
    </row>
    <row r="40">
      <c r="A40" s="13" t="inlineStr">
        <is>
          <t>RECOMMENDATIONS</t>
        </is>
      </c>
    </row>
    <row r="42">
      <c r="A42" s="7" t="inlineStr">
        <is>
          <t>#</t>
        </is>
      </c>
      <c r="B42" s="7" t="inlineStr">
        <is>
          <t>Recommendation</t>
        </is>
      </c>
      <c r="C42" s="7" t="inlineStr">
        <is>
          <t>Owner</t>
        </is>
      </c>
      <c r="D42" s="7" t="inlineStr">
        <is>
          <t>Timeline</t>
        </is>
      </c>
      <c r="E42" s="7" t="inlineStr">
        <is>
          <t>Priority</t>
        </is>
      </c>
      <c r="F42" s="7" t="inlineStr">
        <is>
          <t>Status</t>
        </is>
      </c>
    </row>
    <row r="43">
      <c r="A43" s="4" t="n">
        <v>1</v>
      </c>
      <c r="B43" s="5" t="n"/>
      <c r="C43" s="5" t="n"/>
      <c r="D43" s="5" t="n"/>
      <c r="E43" s="5" t="n"/>
      <c r="F43" s="5" t="n"/>
    </row>
    <row r="44">
      <c r="A44" s="4" t="n">
        <v>2</v>
      </c>
      <c r="B44" s="5" t="n"/>
      <c r="C44" s="5" t="n"/>
      <c r="D44" s="5" t="n"/>
      <c r="E44" s="5" t="n"/>
      <c r="F44" s="5" t="n"/>
    </row>
    <row r="45">
      <c r="A45" s="4" t="n">
        <v>3</v>
      </c>
      <c r="B45" s="5" t="n"/>
      <c r="C45" s="5" t="n"/>
      <c r="D45" s="5" t="n"/>
      <c r="E45" s="5" t="n"/>
      <c r="F45" s="5" t="n"/>
    </row>
    <row r="46">
      <c r="A46" s="4" t="n">
        <v>4</v>
      </c>
      <c r="B46" s="5" t="n"/>
      <c r="C46" s="5" t="n"/>
      <c r="D46" s="5" t="n"/>
      <c r="E46" s="5" t="n"/>
      <c r="F46" s="5" t="n"/>
    </row>
    <row r="47">
      <c r="A47" s="4" t="n">
        <v>5</v>
      </c>
      <c r="B47" s="5" t="n"/>
      <c r="C47" s="5" t="n"/>
      <c r="D47" s="5" t="n"/>
      <c r="E47" s="5" t="n"/>
      <c r="F47" s="5" t="n"/>
    </row>
  </sheetData>
  <mergeCells count="6">
    <mergeCell ref="A19:F19"/>
    <mergeCell ref="A1:F1"/>
    <mergeCell ref="A8:F8"/>
    <mergeCell ref="A40:F40"/>
    <mergeCell ref="A3:F3"/>
    <mergeCell ref="A29:F29"/>
  </mergeCells>
  <dataValidations count="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  <col width="10" customWidth="1" min="4" max="4"/>
    <col width="12" customWidth="1" min="5" max="5"/>
    <col width="18" customWidth="1" min="6" max="6"/>
    <col width="45" customWidth="1" min="7" max="7"/>
    <col width="35" customWidth="1" min="8" max="8"/>
  </cols>
  <sheetData>
    <row r="1" ht="35" customHeight="1">
      <c r="A1" s="1" t="inlineStr">
        <is>
          <t>COMPLIANCE SCORES BY CONTROL</t>
        </is>
      </c>
    </row>
    <row r="3">
      <c r="A3" s="20" t="inlineStr">
        <is>
          <t>Control</t>
        </is>
      </c>
      <c r="B3" s="20" t="inlineStr">
        <is>
          <t>Control Name</t>
        </is>
      </c>
      <c r="C3" s="20" t="inlineStr">
        <is>
          <t>Domain</t>
        </is>
      </c>
      <c r="D3" s="20" t="inlineStr">
        <is>
          <t>Weight</t>
        </is>
      </c>
      <c r="E3" s="20" t="inlineStr">
        <is>
          <t>Score</t>
        </is>
      </c>
      <c r="F3" s="20" t="inlineStr">
        <is>
          <t>Status</t>
        </is>
      </c>
      <c r="G3" s="20" t="inlineStr">
        <is>
          <t>Source Reference</t>
        </is>
      </c>
      <c r="H3" s="20" t="inlineStr">
        <is>
          <t>Notes</t>
        </is>
      </c>
    </row>
    <row r="4">
      <c r="A4" s="4" t="inlineStr">
        <is>
          <t>A.5.24</t>
        </is>
      </c>
      <c r="B4" s="4" t="inlineStr">
        <is>
          <t>Incident Management Planning and Preparation</t>
        </is>
      </c>
      <c r="C4" s="4" t="inlineStr">
        <is>
          <t>Governance Framework</t>
        </is>
      </c>
      <c r="D4" s="4" t="inlineStr">
        <is>
          <t>25%</t>
        </is>
      </c>
      <c r="E4" s="5" t="n"/>
      <c r="F4" s="5" t="n"/>
      <c r="G4" s="4" t="inlineStr">
        <is>
          <t>S1-Framework</t>
        </is>
      </c>
      <c r="H4" s="5" t="n"/>
    </row>
    <row r="5">
      <c r="A5" s="4" t="inlineStr">
        <is>
          <t>A.5.24</t>
        </is>
      </c>
      <c r="B5" s="4" t="inlineStr">
        <is>
          <t>Incident Management Planning and Preparation</t>
        </is>
      </c>
      <c r="C5" s="4" t="inlineStr">
        <is>
          <t>Organisational Structure</t>
        </is>
      </c>
      <c r="D5" s="4" t="inlineStr">
        <is>
          <t>25%</t>
        </is>
      </c>
      <c r="E5" s="5" t="n"/>
      <c r="F5" s="5" t="n"/>
      <c r="G5" s="4" t="inlineStr">
        <is>
          <t>S1-Framework</t>
        </is>
      </c>
      <c r="H5" s="5" t="n"/>
    </row>
    <row r="6">
      <c r="A6" s="4" t="inlineStr">
        <is>
          <t>A.5.24</t>
        </is>
      </c>
      <c r="B6" s="4" t="inlineStr">
        <is>
          <t>Incident Management Planning and Preparation</t>
        </is>
      </c>
      <c r="C6" s="4" t="inlineStr">
        <is>
          <t>Training &amp; Competency</t>
        </is>
      </c>
      <c r="D6" s="4" t="inlineStr">
        <is>
          <t>20%</t>
        </is>
      </c>
      <c r="E6" s="5" t="n"/>
      <c r="F6" s="5" t="n"/>
      <c r="G6" s="4" t="inlineStr">
        <is>
          <t>S1-Framework</t>
        </is>
      </c>
      <c r="H6" s="5" t="n"/>
    </row>
    <row r="7">
      <c r="A7" s="4" t="inlineStr">
        <is>
          <t>A.5.24</t>
        </is>
      </c>
      <c r="B7" s="4" t="inlineStr">
        <is>
          <t>Incident Management Planning and Preparation</t>
        </is>
      </c>
      <c r="C7" s="4" t="inlineStr">
        <is>
          <t>Tools &amp; Technology</t>
        </is>
      </c>
      <c r="D7" s="4" t="inlineStr">
        <is>
          <t>15%</t>
        </is>
      </c>
      <c r="E7" s="5" t="n"/>
      <c r="F7" s="5" t="n"/>
      <c r="G7" s="4" t="inlineStr">
        <is>
          <t>S1-Framework</t>
        </is>
      </c>
      <c r="H7" s="5" t="n"/>
    </row>
    <row r="8">
      <c r="A8" s="4" t="inlineStr">
        <is>
          <t>A.5.24</t>
        </is>
      </c>
      <c r="B8" s="4" t="inlineStr">
        <is>
          <t>Incident Management Planning and Preparation</t>
        </is>
      </c>
      <c r="C8" s="4" t="inlineStr">
        <is>
          <t>Integration Assessment</t>
        </is>
      </c>
      <c r="D8" s="4" t="inlineStr">
        <is>
          <t>15%</t>
        </is>
      </c>
      <c r="E8" s="5" t="n"/>
      <c r="F8" s="5" t="n"/>
      <c r="G8" s="4" t="inlineStr">
        <is>
          <t>S1-Framework</t>
        </is>
      </c>
      <c r="H8" s="5" t="n"/>
    </row>
    <row r="9">
      <c r="A9" s="17" t="inlineStr">
        <is>
          <t>A.5.24</t>
        </is>
      </c>
      <c r="B9" s="17" t="inlineStr">
        <is>
          <t>Incident Management Planning and Preparation</t>
        </is>
      </c>
      <c r="C9" s="17" t="inlineStr">
        <is>
          <t>A.5.24 TOTAL</t>
        </is>
      </c>
      <c r="D9" s="17" t="inlineStr">
        <is>
          <t>100%</t>
        </is>
      </c>
      <c r="E9" s="18" t="n"/>
      <c r="F9" s="21" t="n"/>
      <c r="G9" s="17" t="inlineStr">
        <is>
          <t>S1-Dashboard</t>
        </is>
      </c>
      <c r="H9" s="21" t="n"/>
    </row>
    <row r="10">
      <c r="A10" s="4" t="inlineStr">
        <is>
          <t>A.5.25</t>
        </is>
      </c>
      <c r="B10" s="4" t="inlineStr">
        <is>
          <t>Assessment and Decision on Security Events</t>
        </is>
      </c>
      <c r="C10" s="4" t="inlineStr">
        <is>
          <t>Detection Sources</t>
        </is>
      </c>
      <c r="D10" s="4" t="inlineStr">
        <is>
          <t>20%</t>
        </is>
      </c>
      <c r="E10" s="5" t="n"/>
      <c r="F10" s="5" t="n"/>
      <c r="G10" s="4" t="inlineStr">
        <is>
          <t>S2-Detection</t>
        </is>
      </c>
      <c r="H10" s="5" t="n"/>
    </row>
    <row r="11">
      <c r="A11" s="4" t="inlineStr">
        <is>
          <t>A.5.25</t>
        </is>
      </c>
      <c r="B11" s="4" t="inlineStr">
        <is>
          <t>Assessment and Decision on Security Events</t>
        </is>
      </c>
      <c r="C11" s="4" t="inlineStr">
        <is>
          <t>Classification Framework</t>
        </is>
      </c>
      <c r="D11" s="4" t="inlineStr">
        <is>
          <t>25%</t>
        </is>
      </c>
      <c r="E11" s="5" t="n"/>
      <c r="F11" s="5" t="n"/>
      <c r="G11" s="4" t="inlineStr">
        <is>
          <t>S2-Detection</t>
        </is>
      </c>
      <c r="H11" s="5" t="n"/>
    </row>
    <row r="12">
      <c r="A12" s="4" t="inlineStr">
        <is>
          <t>A.5.25</t>
        </is>
      </c>
      <c r="B12" s="4" t="inlineStr">
        <is>
          <t>Assessment and Decision on Security Events</t>
        </is>
      </c>
      <c r="C12" s="4" t="inlineStr">
        <is>
          <t>Severity Assessment</t>
        </is>
      </c>
      <c r="D12" s="4" t="inlineStr">
        <is>
          <t>25%</t>
        </is>
      </c>
      <c r="E12" s="5" t="n"/>
      <c r="F12" s="5" t="n"/>
      <c r="G12" s="4" t="inlineStr">
        <is>
          <t>S2-Detection</t>
        </is>
      </c>
      <c r="H12" s="5" t="n"/>
    </row>
    <row r="13">
      <c r="A13" s="4" t="inlineStr">
        <is>
          <t>A.5.25</t>
        </is>
      </c>
      <c r="B13" s="4" t="inlineStr">
        <is>
          <t>Assessment and Decision on Security Events</t>
        </is>
      </c>
      <c r="C13" s="4" t="inlineStr">
        <is>
          <t>Triage Process</t>
        </is>
      </c>
      <c r="D13" s="4" t="inlineStr">
        <is>
          <t>20%</t>
        </is>
      </c>
      <c r="E13" s="5" t="n"/>
      <c r="F13" s="5" t="n"/>
      <c r="G13" s="4" t="inlineStr">
        <is>
          <t>S2-Detection</t>
        </is>
      </c>
      <c r="H13" s="5" t="n"/>
    </row>
    <row r="14">
      <c r="A14" s="4" t="inlineStr">
        <is>
          <t>A.5.25</t>
        </is>
      </c>
      <c r="B14" s="4" t="inlineStr">
        <is>
          <t>Assessment and Decision on Security Events</t>
        </is>
      </c>
      <c r="C14" s="4" t="inlineStr">
        <is>
          <t>Escalation Procedures</t>
        </is>
      </c>
      <c r="D14" s="4" t="inlineStr">
        <is>
          <t>10%</t>
        </is>
      </c>
      <c r="E14" s="5" t="n"/>
      <c r="F14" s="5" t="n"/>
      <c r="G14" s="4" t="inlineStr">
        <is>
          <t>S2-Detection</t>
        </is>
      </c>
      <c r="H14" s="5" t="n"/>
    </row>
    <row r="15">
      <c r="A15" s="17" t="inlineStr">
        <is>
          <t>A.5.25</t>
        </is>
      </c>
      <c r="B15" s="17" t="inlineStr">
        <is>
          <t>Assessment and Decision on Security Events</t>
        </is>
      </c>
      <c r="C15" s="17" t="inlineStr">
        <is>
          <t>A.5.25 TOTAL</t>
        </is>
      </c>
      <c r="D15" s="17" t="inlineStr">
        <is>
          <t>100%</t>
        </is>
      </c>
      <c r="E15" s="18" t="n"/>
      <c r="F15" s="21" t="n"/>
      <c r="G15" s="17" t="inlineStr">
        <is>
          <t>S2-Dashboard</t>
        </is>
      </c>
      <c r="H15" s="21" t="n"/>
    </row>
    <row r="16">
      <c r="A16" s="4" t="inlineStr">
        <is>
          <t>A.5.26</t>
        </is>
      </c>
      <c r="B16" s="4" t="inlineStr">
        <is>
          <t>Response to Information Security Incidents</t>
        </is>
      </c>
      <c r="C16" s="4" t="inlineStr">
        <is>
          <t>Response Procedures</t>
        </is>
      </c>
      <c r="D16" s="4" t="inlineStr">
        <is>
          <t>25%</t>
        </is>
      </c>
      <c r="E16" s="5" t="n"/>
      <c r="F16" s="5" t="n"/>
      <c r="G16" s="4" t="inlineStr">
        <is>
          <t>S3-Response</t>
        </is>
      </c>
      <c r="H16" s="5" t="n"/>
    </row>
    <row r="17">
      <c r="A17" s="4" t="inlineStr">
        <is>
          <t>A.5.26</t>
        </is>
      </c>
      <c r="B17" s="4" t="inlineStr">
        <is>
          <t>Response to Information Security Incidents</t>
        </is>
      </c>
      <c r="C17" s="4" t="inlineStr">
        <is>
          <t>Containment Capabilities</t>
        </is>
      </c>
      <c r="D17" s="4" t="inlineStr">
        <is>
          <t>25%</t>
        </is>
      </c>
      <c r="E17" s="5" t="n"/>
      <c r="F17" s="5" t="n"/>
      <c r="G17" s="4" t="inlineStr">
        <is>
          <t>S3-Response</t>
        </is>
      </c>
      <c r="H17" s="5" t="n"/>
    </row>
    <row r="18">
      <c r="A18" s="4" t="inlineStr">
        <is>
          <t>A.5.26</t>
        </is>
      </c>
      <c r="B18" s="4" t="inlineStr">
        <is>
          <t>Response to Information Security Incidents</t>
        </is>
      </c>
      <c r="C18" s="4" t="inlineStr">
        <is>
          <t>Eradication &amp; Recovery</t>
        </is>
      </c>
      <c r="D18" s="4" t="inlineStr">
        <is>
          <t>20%</t>
        </is>
      </c>
      <c r="E18" s="5" t="n"/>
      <c r="F18" s="5" t="n"/>
      <c r="G18" s="4" t="inlineStr">
        <is>
          <t>S3-Response</t>
        </is>
      </c>
      <c r="H18" s="5" t="n"/>
    </row>
    <row r="19">
      <c r="A19" s="4" t="inlineStr">
        <is>
          <t>A.5.26</t>
        </is>
      </c>
      <c r="B19" s="4" t="inlineStr">
        <is>
          <t>Response to Information Security Incidents</t>
        </is>
      </c>
      <c r="C19" s="4" t="inlineStr">
        <is>
          <t>Communication Protocols</t>
        </is>
      </c>
      <c r="D19" s="4" t="inlineStr">
        <is>
          <t>15%</t>
        </is>
      </c>
      <c r="E19" s="5" t="n"/>
      <c r="F19" s="5" t="n"/>
      <c r="G19" s="4" t="inlineStr">
        <is>
          <t>S3-Response</t>
        </is>
      </c>
      <c r="H19" s="5" t="n"/>
    </row>
    <row r="20">
      <c r="A20" s="4" t="inlineStr">
        <is>
          <t>A.5.26</t>
        </is>
      </c>
      <c r="B20" s="4" t="inlineStr">
        <is>
          <t>Response to Information Security Incidents</t>
        </is>
      </c>
      <c r="C20" s="4" t="inlineStr">
        <is>
          <t>Coordination Effectiveness</t>
        </is>
      </c>
      <c r="D20" s="4" t="inlineStr">
        <is>
          <t>15%</t>
        </is>
      </c>
      <c r="E20" s="5" t="n"/>
      <c r="F20" s="5" t="n"/>
      <c r="G20" s="4" t="inlineStr">
        <is>
          <t>S3-Response</t>
        </is>
      </c>
      <c r="H20" s="5" t="n"/>
    </row>
    <row r="21">
      <c r="A21" s="17" t="inlineStr">
        <is>
          <t>A.5.26</t>
        </is>
      </c>
      <c r="B21" s="17" t="inlineStr">
        <is>
          <t>Response to Information Security Incidents</t>
        </is>
      </c>
      <c r="C21" s="17" t="inlineStr">
        <is>
          <t>A.5.26 TOTAL</t>
        </is>
      </c>
      <c r="D21" s="17" t="inlineStr">
        <is>
          <t>100%</t>
        </is>
      </c>
      <c r="E21" s="18" t="n"/>
      <c r="F21" s="21" t="n"/>
      <c r="G21" s="17" t="inlineStr">
        <is>
          <t>S3-Dashboard</t>
        </is>
      </c>
      <c r="H21" s="21" t="n"/>
    </row>
    <row r="22">
      <c r="A22" s="4" t="inlineStr">
        <is>
          <t>A.5.27</t>
        </is>
      </c>
      <c r="B22" s="4" t="inlineStr">
        <is>
          <t>Learning from Information Security Incidents</t>
        </is>
      </c>
      <c r="C22" s="4" t="inlineStr">
        <is>
          <t>Post-Incident Review Process</t>
        </is>
      </c>
      <c r="D22" s="4" t="inlineStr">
        <is>
          <t>30%</t>
        </is>
      </c>
      <c r="E22" s="5" t="n"/>
      <c r="F22" s="5" t="n"/>
      <c r="G22" s="4" t="inlineStr">
        <is>
          <t>S5-Learning</t>
        </is>
      </c>
      <c r="H22" s="5" t="n"/>
    </row>
    <row r="23">
      <c r="A23" s="4" t="inlineStr">
        <is>
          <t>A.5.27</t>
        </is>
      </c>
      <c r="B23" s="4" t="inlineStr">
        <is>
          <t>Learning from Information Security Incidents</t>
        </is>
      </c>
      <c r="C23" s="4" t="inlineStr">
        <is>
          <t>Root Cause Analysis</t>
        </is>
      </c>
      <c r="D23" s="4" t="inlineStr">
        <is>
          <t>25%</t>
        </is>
      </c>
      <c r="E23" s="5" t="n"/>
      <c r="F23" s="5" t="n"/>
      <c r="G23" s="4" t="inlineStr">
        <is>
          <t>S5-Learning</t>
        </is>
      </c>
      <c r="H23" s="5" t="n"/>
    </row>
    <row r="24">
      <c r="A24" s="4" t="inlineStr">
        <is>
          <t>A.5.27</t>
        </is>
      </c>
      <c r="B24" s="4" t="inlineStr">
        <is>
          <t>Learning from Information Security Incidents</t>
        </is>
      </c>
      <c r="C24" s="4" t="inlineStr">
        <is>
          <t>Knowledge Management</t>
        </is>
      </c>
      <c r="D24" s="4" t="inlineStr">
        <is>
          <t>20%</t>
        </is>
      </c>
      <c r="E24" s="5" t="n"/>
      <c r="F24" s="5" t="n"/>
      <c r="G24" s="4" t="inlineStr">
        <is>
          <t>S5-Learning</t>
        </is>
      </c>
      <c r="H24" s="5" t="n"/>
    </row>
    <row r="25">
      <c r="A25" s="4" t="inlineStr">
        <is>
          <t>A.5.27</t>
        </is>
      </c>
      <c r="B25" s="4" t="inlineStr">
        <is>
          <t>Learning from Information Security Incidents</t>
        </is>
      </c>
      <c r="C25" s="4" t="inlineStr">
        <is>
          <t>Continuous Improvement</t>
        </is>
      </c>
      <c r="D25" s="4" t="inlineStr">
        <is>
          <t>15%</t>
        </is>
      </c>
      <c r="E25" s="5" t="n"/>
      <c r="F25" s="5" t="n"/>
      <c r="G25" s="4" t="inlineStr">
        <is>
          <t>S5-Learning</t>
        </is>
      </c>
      <c r="H25" s="5" t="n"/>
    </row>
    <row r="26">
      <c r="A26" s="4" t="inlineStr">
        <is>
          <t>A.5.27</t>
        </is>
      </c>
      <c r="B26" s="4" t="inlineStr">
        <is>
          <t>Learning from Information Security Incidents</t>
        </is>
      </c>
      <c r="C26" s="4" t="inlineStr">
        <is>
          <t>Metrics &amp; Reporting</t>
        </is>
      </c>
      <c r="D26" s="4" t="inlineStr">
        <is>
          <t>10%</t>
        </is>
      </c>
      <c r="E26" s="5" t="n"/>
      <c r="F26" s="5" t="n"/>
      <c r="G26" s="4" t="inlineStr">
        <is>
          <t>S5-Learning</t>
        </is>
      </c>
      <c r="H26" s="5" t="n"/>
    </row>
    <row r="27">
      <c r="A27" s="17" t="inlineStr">
        <is>
          <t>A.5.27</t>
        </is>
      </c>
      <c r="B27" s="17" t="inlineStr">
        <is>
          <t>Learning from Information Security Incidents</t>
        </is>
      </c>
      <c r="C27" s="17" t="inlineStr">
        <is>
          <t>A.5.27 TOTAL</t>
        </is>
      </c>
      <c r="D27" s="17" t="inlineStr">
        <is>
          <t>100%</t>
        </is>
      </c>
      <c r="E27" s="18" t="n"/>
      <c r="F27" s="21" t="n"/>
      <c r="G27" s="17" t="inlineStr">
        <is>
          <t>S5-Dashboard</t>
        </is>
      </c>
      <c r="H27" s="21" t="n"/>
    </row>
    <row r="28">
      <c r="A28" s="4" t="inlineStr">
        <is>
          <t>A.5.28</t>
        </is>
      </c>
      <c r="B28" s="4" t="inlineStr">
        <is>
          <t>Collection of Evidence</t>
        </is>
      </c>
      <c r="C28" s="4" t="inlineStr">
        <is>
          <t>Evidence Identification</t>
        </is>
      </c>
      <c r="D28" s="4" t="inlineStr">
        <is>
          <t>20%</t>
        </is>
      </c>
      <c r="E28" s="5" t="n"/>
      <c r="F28" s="5" t="n"/>
      <c r="G28" s="4" t="inlineStr">
        <is>
          <t>S4-Forensic</t>
        </is>
      </c>
      <c r="H28" s="5" t="n"/>
    </row>
    <row r="29">
      <c r="A29" s="4" t="inlineStr">
        <is>
          <t>A.5.28</t>
        </is>
      </c>
      <c r="B29" s="4" t="inlineStr">
        <is>
          <t>Collection of Evidence</t>
        </is>
      </c>
      <c r="C29" s="4" t="inlineStr">
        <is>
          <t>Collection Procedures</t>
        </is>
      </c>
      <c r="D29" s="4" t="inlineStr">
        <is>
          <t>25%</t>
        </is>
      </c>
      <c r="E29" s="5" t="n"/>
      <c r="F29" s="5" t="n"/>
      <c r="G29" s="4" t="inlineStr">
        <is>
          <t>S4-Forensic</t>
        </is>
      </c>
      <c r="H29" s="5" t="n"/>
    </row>
    <row r="30">
      <c r="A30" s="4" t="inlineStr">
        <is>
          <t>A.5.28</t>
        </is>
      </c>
      <c r="B30" s="4" t="inlineStr">
        <is>
          <t>Collection of Evidence</t>
        </is>
      </c>
      <c r="C30" s="4" t="inlineStr">
        <is>
          <t>Chain of Custody</t>
        </is>
      </c>
      <c r="D30" s="4" t="inlineStr">
        <is>
          <t>25%</t>
        </is>
      </c>
      <c r="E30" s="5" t="n"/>
      <c r="F30" s="5" t="n"/>
      <c r="G30" s="4" t="inlineStr">
        <is>
          <t>S4-Forensic</t>
        </is>
      </c>
      <c r="H30" s="5" t="n"/>
    </row>
    <row r="31">
      <c r="A31" s="4" t="inlineStr">
        <is>
          <t>A.5.28</t>
        </is>
      </c>
      <c r="B31" s="4" t="inlineStr">
        <is>
          <t>Collection of Evidence</t>
        </is>
      </c>
      <c r="C31" s="4" t="inlineStr">
        <is>
          <t>Preservation &amp; Storage</t>
        </is>
      </c>
      <c r="D31" s="4" t="inlineStr">
        <is>
          <t>20%</t>
        </is>
      </c>
      <c r="E31" s="5" t="n"/>
      <c r="F31" s="5" t="n"/>
      <c r="G31" s="4" t="inlineStr">
        <is>
          <t>S4-Forensic</t>
        </is>
      </c>
      <c r="H31" s="5" t="n"/>
    </row>
    <row r="32">
      <c r="A32" s="4" t="inlineStr">
        <is>
          <t>A.5.28</t>
        </is>
      </c>
      <c r="B32" s="4" t="inlineStr">
        <is>
          <t>Collection of Evidence</t>
        </is>
      </c>
      <c r="C32" s="4" t="inlineStr">
        <is>
          <t>Legal Admissibility</t>
        </is>
      </c>
      <c r="D32" s="4" t="inlineStr">
        <is>
          <t>10%</t>
        </is>
      </c>
      <c r="E32" s="5" t="n"/>
      <c r="F32" s="5" t="n"/>
      <c r="G32" s="4" t="inlineStr">
        <is>
          <t>S4-Forensic</t>
        </is>
      </c>
      <c r="H32" s="5" t="n"/>
    </row>
    <row r="33">
      <c r="A33" s="17" t="inlineStr">
        <is>
          <t>A.5.28</t>
        </is>
      </c>
      <c r="B33" s="17" t="inlineStr">
        <is>
          <t>Collection of Evidence</t>
        </is>
      </c>
      <c r="C33" s="17" t="inlineStr">
        <is>
          <t>A.5.28 TOTAL</t>
        </is>
      </c>
      <c r="D33" s="17" t="inlineStr">
        <is>
          <t>100%</t>
        </is>
      </c>
      <c r="E33" s="18" t="n"/>
      <c r="F33" s="21" t="n"/>
      <c r="G33" s="17" t="inlineStr">
        <is>
          <t>S4-Dashboard</t>
        </is>
      </c>
      <c r="H33" s="21" t="n"/>
    </row>
    <row r="35">
      <c r="A35" s="22" t="inlineStr">
        <is>
          <t>OVERALL</t>
        </is>
      </c>
      <c r="B35" s="22" t="inlineStr">
        <is>
          <t>Weighted Overall Compliance</t>
        </is>
      </c>
      <c r="C35" s="4" t="n"/>
      <c r="D35" s="4" t="n"/>
      <c r="E35" s="23" t="n"/>
      <c r="F35" s="4" t="n"/>
      <c r="G35" s="4" t="n"/>
      <c r="H35" s="4" t="n"/>
    </row>
  </sheetData>
  <mergeCells count="1">
    <mergeCell ref="A1:H1"/>
  </mergeCells>
  <dataValidations count="1">
    <dataValidation sqref="F4:F35" showDropDown="0" showInputMessage="0" showErrorMessage="0" allowBlank="1" type="list">
      <formula1>"GREEN - Compliant,AMBER - Partial,RED - Non-Compliant"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20" customWidth="1" min="4" max="4"/>
    <col width="45" customWidth="1" min="5" max="5"/>
    <col width="10" customWidth="1" min="6" max="6"/>
    <col width="25" customWidth="1" min="7" max="7"/>
    <col width="25" customWidth="1" min="8" max="8"/>
    <col width="35" customWidth="1" min="9" max="9"/>
    <col width="18" customWidth="1" min="10" max="10"/>
    <col width="12" customWidth="1" min="11" max="11"/>
    <col width="12" customWidth="1" min="12" max="12"/>
    <col width="10" customWidth="1" min="13" max="13"/>
    <col width="20" customWidth="1" min="14" max="14"/>
    <col width="30" customWidth="1" min="15" max="15"/>
  </cols>
  <sheetData>
    <row r="1" ht="35" customHeight="1">
      <c r="A1" s="1" t="inlineStr">
        <is>
          <t>GAP ANALYSIS - CONSOLIDATED</t>
        </is>
      </c>
    </row>
    <row r="2">
      <c r="A2" s="24" t="inlineStr">
        <is>
          <t>Consolidated gap inventory from S1-S5 assessments (100 items capacity)</t>
        </is>
      </c>
    </row>
    <row r="4">
      <c r="A4" s="20" t="inlineStr">
        <is>
          <t>Gap_ID</t>
        </is>
      </c>
      <c r="B4" s="20" t="inlineStr">
        <is>
          <t>Source</t>
        </is>
      </c>
      <c r="C4" s="20" t="inlineStr">
        <is>
          <t>Control</t>
        </is>
      </c>
      <c r="D4" s="20" t="inlineStr">
        <is>
          <t>Domain</t>
        </is>
      </c>
      <c r="E4" s="20" t="inlineStr">
        <is>
          <t>Gap_Description</t>
        </is>
      </c>
      <c r="F4" s="20" t="inlineStr">
        <is>
          <t>Severity</t>
        </is>
      </c>
      <c r="G4" s="20" t="inlineStr">
        <is>
          <t>Impact</t>
        </is>
      </c>
      <c r="H4" s="20" t="inlineStr">
        <is>
          <t>Root_Cause</t>
        </is>
      </c>
      <c r="I4" s="20" t="inlineStr">
        <is>
          <t>Remediation_Action</t>
        </is>
      </c>
      <c r="J4" s="20" t="inlineStr">
        <is>
          <t>Owner</t>
        </is>
      </c>
      <c r="K4" s="20" t="inlineStr">
        <is>
          <t>Status</t>
        </is>
      </c>
      <c r="L4" s="20" t="inlineStr">
        <is>
          <t>Due_Date</t>
        </is>
      </c>
      <c r="M4" s="20" t="inlineStr">
        <is>
          <t>Days_Open</t>
        </is>
      </c>
      <c r="N4" s="20" t="inlineStr">
        <is>
          <t>Evidence</t>
        </is>
      </c>
      <c r="O4" s="20" t="inlineStr">
        <is>
          <t>Notes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8">
        <f>IF(K5="Closed","N/A",IF(L5="","",TODAY()-L5))</f>
        <v/>
      </c>
      <c r="N5" s="5" t="n"/>
      <c r="O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8">
        <f>IF(K6="Closed","N/A",IF(L6="","",TODAY()-L6))</f>
        <v/>
      </c>
      <c r="N6" s="5" t="n"/>
      <c r="O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8">
        <f>IF(K7="Closed","N/A",IF(L7="","",TODAY()-L7))</f>
        <v/>
      </c>
      <c r="N7" s="5" t="n"/>
      <c r="O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8">
        <f>IF(K8="Closed","N/A",IF(L8="","",TODAY()-L8))</f>
        <v/>
      </c>
      <c r="N8" s="5" t="n"/>
      <c r="O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8">
        <f>IF(K9="Closed","N/A",IF(L9="","",TODAY()-L9))</f>
        <v/>
      </c>
      <c r="N9" s="5" t="n"/>
      <c r="O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8">
        <f>IF(K10="Closed","N/A",IF(L10="","",TODAY()-L10))</f>
        <v/>
      </c>
      <c r="N10" s="5" t="n"/>
      <c r="O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8">
        <f>IF(K11="Closed","N/A",IF(L11="","",TODAY()-L11))</f>
        <v/>
      </c>
      <c r="N11" s="5" t="n"/>
      <c r="O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8">
        <f>IF(K12="Closed","N/A",IF(L12="","",TODAY()-L12))</f>
        <v/>
      </c>
      <c r="N12" s="5" t="n"/>
      <c r="O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8">
        <f>IF(K13="Closed","N/A",IF(L13="","",TODAY()-L13))</f>
        <v/>
      </c>
      <c r="N13" s="5" t="n"/>
      <c r="O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8">
        <f>IF(K14="Closed","N/A",IF(L14="","",TODAY()-L14))</f>
        <v/>
      </c>
      <c r="N14" s="5" t="n"/>
      <c r="O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8">
        <f>IF(K15="Closed","N/A",IF(L15="","",TODAY()-L15))</f>
        <v/>
      </c>
      <c r="N15" s="5" t="n"/>
      <c r="O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8">
        <f>IF(K16="Closed","N/A",IF(L16="","",TODAY()-L16))</f>
        <v/>
      </c>
      <c r="N16" s="5" t="n"/>
      <c r="O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8">
        <f>IF(K17="Closed","N/A",IF(L17="","",TODAY()-L17))</f>
        <v/>
      </c>
      <c r="N17" s="5" t="n"/>
      <c r="O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8">
        <f>IF(K18="Closed","N/A",IF(L18="","",TODAY()-L18))</f>
        <v/>
      </c>
      <c r="N18" s="5" t="n"/>
      <c r="O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8">
        <f>IF(K19="Closed","N/A",IF(L19="","",TODAY()-L19))</f>
        <v/>
      </c>
      <c r="N19" s="5" t="n"/>
      <c r="O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8">
        <f>IF(K20="Closed","N/A",IF(L20="","",TODAY()-L20))</f>
        <v/>
      </c>
      <c r="N20" s="5" t="n"/>
      <c r="O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8">
        <f>IF(K21="Closed","N/A",IF(L21="","",TODAY()-L21))</f>
        <v/>
      </c>
      <c r="N21" s="5" t="n"/>
      <c r="O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8">
        <f>IF(K22="Closed","N/A",IF(L22="","",TODAY()-L22))</f>
        <v/>
      </c>
      <c r="N22" s="5" t="n"/>
      <c r="O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8">
        <f>IF(K23="Closed","N/A",IF(L23="","",TODAY()-L23))</f>
        <v/>
      </c>
      <c r="N23" s="5" t="n"/>
      <c r="O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8">
        <f>IF(K24="Closed","N/A",IF(L24="","",TODAY()-L24))</f>
        <v/>
      </c>
      <c r="N24" s="5" t="n"/>
      <c r="O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8">
        <f>IF(K25="Closed","N/A",IF(L25="","",TODAY()-L25))</f>
        <v/>
      </c>
      <c r="N25" s="5" t="n"/>
      <c r="O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8">
        <f>IF(K26="Closed","N/A",IF(L26="","",TODAY()-L26))</f>
        <v/>
      </c>
      <c r="N26" s="5" t="n"/>
      <c r="O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8">
        <f>IF(K27="Closed","N/A",IF(L27="","",TODAY()-L27))</f>
        <v/>
      </c>
      <c r="N27" s="5" t="n"/>
      <c r="O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8">
        <f>IF(K28="Closed","N/A",IF(L28="","",TODAY()-L28))</f>
        <v/>
      </c>
      <c r="N28" s="5" t="n"/>
      <c r="O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8">
        <f>IF(K29="Closed","N/A",IF(L29="","",TODAY()-L29))</f>
        <v/>
      </c>
      <c r="N29" s="5" t="n"/>
      <c r="O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8">
        <f>IF(K30="Closed","N/A",IF(L30="","",TODAY()-L30))</f>
        <v/>
      </c>
      <c r="N30" s="5" t="n"/>
      <c r="O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8">
        <f>IF(K31="Closed","N/A",IF(L31="","",TODAY()-L31))</f>
        <v/>
      </c>
      <c r="N31" s="5" t="n"/>
      <c r="O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8">
        <f>IF(K32="Closed","N/A",IF(L32="","",TODAY()-L32))</f>
        <v/>
      </c>
      <c r="N32" s="5" t="n"/>
      <c r="O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8">
        <f>IF(K33="Closed","N/A",IF(L33="","",TODAY()-L33))</f>
        <v/>
      </c>
      <c r="N33" s="5" t="n"/>
      <c r="O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8">
        <f>IF(K34="Closed","N/A",IF(L34="","",TODAY()-L34))</f>
        <v/>
      </c>
      <c r="N34" s="5" t="n"/>
      <c r="O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8">
        <f>IF(K35="Closed","N/A",IF(L35="","",TODAY()-L35))</f>
        <v/>
      </c>
      <c r="N35" s="5" t="n"/>
      <c r="O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8">
        <f>IF(K36="Closed","N/A",IF(L36="","",TODAY()-L36))</f>
        <v/>
      </c>
      <c r="N36" s="5" t="n"/>
      <c r="O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8">
        <f>IF(K37="Closed","N/A",IF(L37="","",TODAY()-L37))</f>
        <v/>
      </c>
      <c r="N37" s="5" t="n"/>
      <c r="O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8">
        <f>IF(K38="Closed","N/A",IF(L38="","",TODAY()-L38))</f>
        <v/>
      </c>
      <c r="N38" s="5" t="n"/>
      <c r="O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8">
        <f>IF(K39="Closed","N/A",IF(L39="","",TODAY()-L39))</f>
        <v/>
      </c>
      <c r="N39" s="5" t="n"/>
      <c r="O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8">
        <f>IF(K40="Closed","N/A",IF(L40="","",TODAY()-L40))</f>
        <v/>
      </c>
      <c r="N40" s="5" t="n"/>
      <c r="O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8">
        <f>IF(K41="Closed","N/A",IF(L41="","",TODAY()-L41))</f>
        <v/>
      </c>
      <c r="N41" s="5" t="n"/>
      <c r="O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8">
        <f>IF(K42="Closed","N/A",IF(L42="","",TODAY()-L42))</f>
        <v/>
      </c>
      <c r="N42" s="5" t="n"/>
      <c r="O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8">
        <f>IF(K43="Closed","N/A",IF(L43="","",TODAY()-L43))</f>
        <v/>
      </c>
      <c r="N43" s="5" t="n"/>
      <c r="O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8">
        <f>IF(K44="Closed","N/A",IF(L44="","",TODAY()-L44))</f>
        <v/>
      </c>
      <c r="N44" s="5" t="n"/>
      <c r="O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8">
        <f>IF(K45="Closed","N/A",IF(L45="","",TODAY()-L45))</f>
        <v/>
      </c>
      <c r="N45" s="5" t="n"/>
      <c r="O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8">
        <f>IF(K46="Closed","N/A",IF(L46="","",TODAY()-L46))</f>
        <v/>
      </c>
      <c r="N46" s="5" t="n"/>
      <c r="O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8">
        <f>IF(K47="Closed","N/A",IF(L47="","",TODAY()-L47))</f>
        <v/>
      </c>
      <c r="N47" s="5" t="n"/>
      <c r="O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8">
        <f>IF(K48="Closed","N/A",IF(L48="","",TODAY()-L48))</f>
        <v/>
      </c>
      <c r="N48" s="5" t="n"/>
      <c r="O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8">
        <f>IF(K49="Closed","N/A",IF(L49="","",TODAY()-L49))</f>
        <v/>
      </c>
      <c r="N49" s="5" t="n"/>
      <c r="O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8">
        <f>IF(K50="Closed","N/A",IF(L50="","",TODAY()-L50))</f>
        <v/>
      </c>
      <c r="N50" s="5" t="n"/>
      <c r="O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8">
        <f>IF(K51="Closed","N/A",IF(L51="","",TODAY()-L51))</f>
        <v/>
      </c>
      <c r="N51" s="5" t="n"/>
      <c r="O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8">
        <f>IF(K52="Closed","N/A",IF(L52="","",TODAY()-L52))</f>
        <v/>
      </c>
      <c r="N52" s="5" t="n"/>
      <c r="O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8">
        <f>IF(K53="Closed","N/A",IF(L53="","",TODAY()-L53))</f>
        <v/>
      </c>
      <c r="N53" s="5" t="n"/>
      <c r="O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8">
        <f>IF(K54="Closed","N/A",IF(L54="","",TODAY()-L54))</f>
        <v/>
      </c>
      <c r="N54" s="5" t="n"/>
      <c r="O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8">
        <f>IF(K55="Closed","N/A",IF(L55="","",TODAY()-L55))</f>
        <v/>
      </c>
      <c r="N55" s="5" t="n"/>
      <c r="O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8">
        <f>IF(K56="Closed","N/A",IF(L56="","",TODAY()-L56))</f>
        <v/>
      </c>
      <c r="N56" s="5" t="n"/>
      <c r="O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8">
        <f>IF(K57="Closed","N/A",IF(L57="","",TODAY()-L57))</f>
        <v/>
      </c>
      <c r="N57" s="5" t="n"/>
      <c r="O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8">
        <f>IF(K58="Closed","N/A",IF(L58="","",TODAY()-L58))</f>
        <v/>
      </c>
      <c r="N58" s="5" t="n"/>
      <c r="O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8">
        <f>IF(K59="Closed","N/A",IF(L59="","",TODAY()-L59))</f>
        <v/>
      </c>
      <c r="N59" s="5" t="n"/>
      <c r="O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8">
        <f>IF(K60="Closed","N/A",IF(L60="","",TODAY()-L60))</f>
        <v/>
      </c>
      <c r="N60" s="5" t="n"/>
      <c r="O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8">
        <f>IF(K61="Closed","N/A",IF(L61="","",TODAY()-L61))</f>
        <v/>
      </c>
      <c r="N61" s="5" t="n"/>
      <c r="O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8">
        <f>IF(K62="Closed","N/A",IF(L62="","",TODAY()-L62))</f>
        <v/>
      </c>
      <c r="N62" s="5" t="n"/>
      <c r="O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8">
        <f>IF(K63="Closed","N/A",IF(L63="","",TODAY()-L63))</f>
        <v/>
      </c>
      <c r="N63" s="5" t="n"/>
      <c r="O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8">
        <f>IF(K64="Closed","N/A",IF(L64="","",TODAY()-L64))</f>
        <v/>
      </c>
      <c r="N64" s="5" t="n"/>
      <c r="O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8">
        <f>IF(K65="Closed","N/A",IF(L65="","",TODAY()-L65))</f>
        <v/>
      </c>
      <c r="N65" s="5" t="n"/>
      <c r="O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8">
        <f>IF(K66="Closed","N/A",IF(L66="","",TODAY()-L66))</f>
        <v/>
      </c>
      <c r="N66" s="5" t="n"/>
      <c r="O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8">
        <f>IF(K67="Closed","N/A",IF(L67="","",TODAY()-L67))</f>
        <v/>
      </c>
      <c r="N67" s="5" t="n"/>
      <c r="O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8">
        <f>IF(K68="Closed","N/A",IF(L68="","",TODAY()-L68))</f>
        <v/>
      </c>
      <c r="N68" s="5" t="n"/>
      <c r="O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8">
        <f>IF(K69="Closed","N/A",IF(L69="","",TODAY()-L69))</f>
        <v/>
      </c>
      <c r="N69" s="5" t="n"/>
      <c r="O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8">
        <f>IF(K70="Closed","N/A",IF(L70="","",TODAY()-L70))</f>
        <v/>
      </c>
      <c r="N70" s="5" t="n"/>
      <c r="O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8">
        <f>IF(K71="Closed","N/A",IF(L71="","",TODAY()-L71))</f>
        <v/>
      </c>
      <c r="N71" s="5" t="n"/>
      <c r="O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8">
        <f>IF(K72="Closed","N/A",IF(L72="","",TODAY()-L72))</f>
        <v/>
      </c>
      <c r="N72" s="5" t="n"/>
      <c r="O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8">
        <f>IF(K73="Closed","N/A",IF(L73="","",TODAY()-L73))</f>
        <v/>
      </c>
      <c r="N73" s="5" t="n"/>
      <c r="O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8">
        <f>IF(K74="Closed","N/A",IF(L74="","",TODAY()-L74))</f>
        <v/>
      </c>
      <c r="N74" s="5" t="n"/>
      <c r="O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8">
        <f>IF(K75="Closed","N/A",IF(L75="","",TODAY()-L75))</f>
        <v/>
      </c>
      <c r="N75" s="5" t="n"/>
      <c r="O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8">
        <f>IF(K76="Closed","N/A",IF(L76="","",TODAY()-L76))</f>
        <v/>
      </c>
      <c r="N76" s="5" t="n"/>
      <c r="O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8">
        <f>IF(K77="Closed","N/A",IF(L77="","",TODAY()-L77))</f>
        <v/>
      </c>
      <c r="N77" s="5" t="n"/>
      <c r="O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8">
        <f>IF(K78="Closed","N/A",IF(L78="","",TODAY()-L78))</f>
        <v/>
      </c>
      <c r="N78" s="5" t="n"/>
      <c r="O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8">
        <f>IF(K79="Closed","N/A",IF(L79="","",TODAY()-L79))</f>
        <v/>
      </c>
      <c r="N79" s="5" t="n"/>
      <c r="O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8">
        <f>IF(K80="Closed","N/A",IF(L80="","",TODAY()-L80))</f>
        <v/>
      </c>
      <c r="N80" s="5" t="n"/>
      <c r="O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8">
        <f>IF(K81="Closed","N/A",IF(L81="","",TODAY()-L81))</f>
        <v/>
      </c>
      <c r="N81" s="5" t="n"/>
      <c r="O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8">
        <f>IF(K82="Closed","N/A",IF(L82="","",TODAY()-L82))</f>
        <v/>
      </c>
      <c r="N82" s="5" t="n"/>
      <c r="O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8">
        <f>IF(K83="Closed","N/A",IF(L83="","",TODAY()-L83))</f>
        <v/>
      </c>
      <c r="N83" s="5" t="n"/>
      <c r="O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8">
        <f>IF(K84="Closed","N/A",IF(L84="","",TODAY()-L84))</f>
        <v/>
      </c>
      <c r="N84" s="5" t="n"/>
      <c r="O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8">
        <f>IF(K85="Closed","N/A",IF(L85="","",TODAY()-L85))</f>
        <v/>
      </c>
      <c r="N85" s="5" t="n"/>
      <c r="O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8">
        <f>IF(K86="Closed","N/A",IF(L86="","",TODAY()-L86))</f>
        <v/>
      </c>
      <c r="N86" s="5" t="n"/>
      <c r="O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8">
        <f>IF(K87="Closed","N/A",IF(L87="","",TODAY()-L87))</f>
        <v/>
      </c>
      <c r="N87" s="5" t="n"/>
      <c r="O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8">
        <f>IF(K88="Closed","N/A",IF(L88="","",TODAY()-L88))</f>
        <v/>
      </c>
      <c r="N88" s="5" t="n"/>
      <c r="O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8">
        <f>IF(K89="Closed","N/A",IF(L89="","",TODAY()-L89))</f>
        <v/>
      </c>
      <c r="N89" s="5" t="n"/>
      <c r="O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8">
        <f>IF(K90="Closed","N/A",IF(L90="","",TODAY()-L90))</f>
        <v/>
      </c>
      <c r="N90" s="5" t="n"/>
      <c r="O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8">
        <f>IF(K91="Closed","N/A",IF(L91="","",TODAY()-L91))</f>
        <v/>
      </c>
      <c r="N91" s="5" t="n"/>
      <c r="O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8">
        <f>IF(K92="Closed","N/A",IF(L92="","",TODAY()-L92))</f>
        <v/>
      </c>
      <c r="N92" s="5" t="n"/>
      <c r="O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8">
        <f>IF(K93="Closed","N/A",IF(L93="","",TODAY()-L93))</f>
        <v/>
      </c>
      <c r="N93" s="5" t="n"/>
      <c r="O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8">
        <f>IF(K94="Closed","N/A",IF(L94="","",TODAY()-L94))</f>
        <v/>
      </c>
      <c r="N94" s="5" t="n"/>
      <c r="O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8">
        <f>IF(K95="Closed","N/A",IF(L95="","",TODAY()-L95))</f>
        <v/>
      </c>
      <c r="N95" s="5" t="n"/>
      <c r="O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8">
        <f>IF(K96="Closed","N/A",IF(L96="","",TODAY()-L96))</f>
        <v/>
      </c>
      <c r="N96" s="5" t="n"/>
      <c r="O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8">
        <f>IF(K97="Closed","N/A",IF(L97="","",TODAY()-L97))</f>
        <v/>
      </c>
      <c r="N97" s="5" t="n"/>
      <c r="O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8">
        <f>IF(K98="Closed","N/A",IF(L98="","",TODAY()-L98))</f>
        <v/>
      </c>
      <c r="N98" s="5" t="n"/>
      <c r="O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8">
        <f>IF(K99="Closed","N/A",IF(L99="","",TODAY()-L99))</f>
        <v/>
      </c>
      <c r="N99" s="5" t="n"/>
      <c r="O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8">
        <f>IF(K100="Closed","N/A",IF(L100="","",TODAY()-L100))</f>
        <v/>
      </c>
      <c r="N100" s="5" t="n"/>
      <c r="O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8">
        <f>IF(K101="Closed","N/A",IF(L101="","",TODAY()-L101))</f>
        <v/>
      </c>
      <c r="N101" s="5" t="n"/>
      <c r="O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8">
        <f>IF(K102="Closed","N/A",IF(L102="","",TODAY()-L102))</f>
        <v/>
      </c>
      <c r="N102" s="5" t="n"/>
      <c r="O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8">
        <f>IF(K103="Closed","N/A",IF(L103="","",TODAY()-L103))</f>
        <v/>
      </c>
      <c r="N103" s="5" t="n"/>
      <c r="O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8">
        <f>IF(K104="Closed","N/A",IF(L104="","",TODAY()-L104))</f>
        <v/>
      </c>
      <c r="N104" s="5" t="n"/>
      <c r="O104" s="5" t="n"/>
    </row>
    <row r="107">
      <c r="A107" s="2" t="inlineStr">
        <is>
          <t>GAP SUMMARY</t>
        </is>
      </c>
    </row>
    <row r="109">
      <c r="A109" s="7" t="inlineStr">
        <is>
          <t>Severity</t>
        </is>
      </c>
      <c r="B109" s="7" t="inlineStr">
        <is>
          <t>Open</t>
        </is>
      </c>
      <c r="C109" s="7" t="inlineStr">
        <is>
          <t>In Progress</t>
        </is>
      </c>
      <c r="D109" s="7" t="inlineStr">
        <is>
          <t>Closed</t>
        </is>
      </c>
      <c r="E109" s="7" t="inlineStr">
        <is>
          <t>Total</t>
        </is>
      </c>
      <c r="F109" s="7" t="inlineStr">
        <is>
          <t>% Open</t>
        </is>
      </c>
    </row>
    <row r="110">
      <c r="A110" s="4" t="inlineStr">
        <is>
          <t>Critical</t>
        </is>
      </c>
      <c r="B110" s="8" t="n"/>
      <c r="C110" s="8" t="n"/>
      <c r="D110" s="8" t="n"/>
      <c r="E110" s="8" t="n"/>
      <c r="F110" s="8" t="n"/>
    </row>
    <row r="111">
      <c r="A111" s="4" t="inlineStr">
        <is>
          <t>High</t>
        </is>
      </c>
      <c r="B111" s="8" t="n"/>
      <c r="C111" s="8" t="n"/>
      <c r="D111" s="8" t="n"/>
      <c r="E111" s="8" t="n"/>
      <c r="F111" s="8" t="n"/>
    </row>
    <row r="112">
      <c r="A112" s="4" t="inlineStr">
        <is>
          <t>Medium</t>
        </is>
      </c>
      <c r="B112" s="8" t="n"/>
      <c r="C112" s="8" t="n"/>
      <c r="D112" s="8" t="n"/>
      <c r="E112" s="8" t="n"/>
      <c r="F112" s="8" t="n"/>
    </row>
    <row r="113">
      <c r="A113" s="4" t="inlineStr">
        <is>
          <t>Low</t>
        </is>
      </c>
      <c r="B113" s="8" t="n"/>
      <c r="C113" s="8" t="n"/>
      <c r="D113" s="8" t="n"/>
      <c r="E113" s="8" t="n"/>
      <c r="F113" s="8" t="n"/>
    </row>
    <row r="114">
      <c r="A114" s="17" t="inlineStr">
        <is>
          <t>TOTAL</t>
        </is>
      </c>
      <c r="B114" s="18" t="n"/>
      <c r="C114" s="18" t="n"/>
      <c r="D114" s="18" t="n"/>
      <c r="E114" s="18" t="n"/>
      <c r="F114" s="18" t="n"/>
    </row>
  </sheetData>
  <mergeCells count="3">
    <mergeCell ref="A1:O1"/>
    <mergeCell ref="A107:F107"/>
    <mergeCell ref="A2:O2"/>
  </mergeCells>
  <dataValidations count="4">
    <dataValidation sqref="B5:B104" showDropDown="0" showInputMessage="0" showErrorMessage="0" allowBlank="1" type="list">
      <formula1>"S1-Framework,S2-Detection,S3-Response,S4-Forensic,S5-Learning"</formula1>
    </dataValidation>
    <dataValidation sqref="C5:C104" showDropDown="0" showInputMessage="0" showErrorMessage="0" allowBlank="1" type="list">
      <formula1>"A.5.24,A.5.25,A.5.26,A.5.27,A.5.28"</formula1>
    </dataValidation>
    <dataValidation sqref="F5:F104" showDropDown="0" showInputMessage="0" showErrorMessage="0" allowBlank="1" type="list">
      <formula1>"Critical,High,Medium,Low"</formula1>
    </dataValidation>
    <dataValidation sqref="K5:K104" showDropDown="0" showInputMessage="0" showErrorMessage="0" allowBlank="1" type="list">
      <formula1>"Open,In Progress,Closed"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20" customWidth="1" min="4" max="4"/>
    <col width="15" customWidth="1" min="5" max="5"/>
    <col width="12" customWidth="1" min="6" max="6"/>
    <col width="30" customWidth="1" min="7" max="7"/>
  </cols>
  <sheetData>
    <row r="1" ht="35" customHeight="1">
      <c r="A1" s="1" t="inlineStr">
        <is>
          <t>INCIDENT MANAGEMENT KEY PERFORMANCE INDICATORS</t>
        </is>
      </c>
    </row>
    <row r="3">
      <c r="A3" s="2" t="inlineStr">
        <is>
          <t>DETECTION METRICS</t>
        </is>
      </c>
    </row>
    <row r="5">
      <c r="A5" s="7" t="inlineStr">
        <is>
          <t>KPI</t>
        </is>
      </c>
      <c r="B5" s="7" t="inlineStr">
        <is>
          <t>Current</t>
        </is>
      </c>
      <c r="C5" s="7" t="inlineStr">
        <is>
          <t>Target</t>
        </is>
      </c>
      <c r="D5" s="7" t="inlineStr">
        <is>
          <t>Status</t>
        </is>
      </c>
      <c r="E5" s="7" t="inlineStr">
        <is>
          <t>Trend</t>
        </is>
      </c>
      <c r="F5" s="7" t="inlineStr">
        <is>
          <t>Period</t>
        </is>
      </c>
      <c r="G5" s="7" t="inlineStr">
        <is>
          <t>Notes</t>
        </is>
      </c>
    </row>
    <row r="6">
      <c r="A6" s="4" t="inlineStr">
        <is>
          <t>Mean Time to Detect (MTTD) - Critical</t>
        </is>
      </c>
      <c r="B6" s="5" t="n"/>
      <c r="C6" s="4" t="inlineStr">
        <is>
          <t>&lt;1 hour</t>
        </is>
      </c>
      <c r="D6" s="5" t="n"/>
      <c r="E6" s="5" t="n"/>
      <c r="F6" s="5" t="n"/>
      <c r="G6" s="5" t="n"/>
    </row>
    <row r="7">
      <c r="A7" s="4" t="inlineStr">
        <is>
          <t>Mean Time to Detect (MTTD) - High</t>
        </is>
      </c>
      <c r="B7" s="5" t="n"/>
      <c r="C7" s="4" t="inlineStr">
        <is>
          <t>&lt;4 hours</t>
        </is>
      </c>
      <c r="D7" s="5" t="n"/>
      <c r="E7" s="5" t="n"/>
      <c r="F7" s="5" t="n"/>
      <c r="G7" s="5" t="n"/>
    </row>
    <row r="8">
      <c r="A8" s="4" t="inlineStr">
        <is>
          <t>Mean Time to Detect (MTTD) - Medium</t>
        </is>
      </c>
      <c r="B8" s="5" t="n"/>
      <c r="C8" s="4" t="inlineStr">
        <is>
          <t>&lt;24 hours</t>
        </is>
      </c>
      <c r="D8" s="5" t="n"/>
      <c r="E8" s="5" t="n"/>
      <c r="F8" s="5" t="n"/>
      <c r="G8" s="5" t="n"/>
    </row>
    <row r="9">
      <c r="A9" s="4" t="inlineStr">
        <is>
          <t>Detection Source Coverage</t>
        </is>
      </c>
      <c r="B9" s="5" t="n"/>
      <c r="C9" s="4" t="inlineStr">
        <is>
          <t>&gt;80%</t>
        </is>
      </c>
      <c r="D9" s="5" t="n"/>
      <c r="E9" s="5" t="n"/>
      <c r="F9" s="5" t="n"/>
      <c r="G9" s="5" t="n"/>
    </row>
    <row r="10">
      <c r="A10" s="4" t="inlineStr">
        <is>
          <t>False Positive Rate</t>
        </is>
      </c>
      <c r="B10" s="5" t="n"/>
      <c r="C10" s="4" t="inlineStr">
        <is>
          <t>&lt;10%</t>
        </is>
      </c>
      <c r="D10" s="5" t="n"/>
      <c r="E10" s="5" t="n"/>
      <c r="F10" s="5" t="n"/>
      <c r="G10" s="5" t="n"/>
    </row>
    <row r="13">
      <c r="A13" s="2" t="inlineStr">
        <is>
          <t>RESPONSE METRICS</t>
        </is>
      </c>
    </row>
    <row r="15">
      <c r="A15" s="7" t="inlineStr">
        <is>
          <t>KPI</t>
        </is>
      </c>
      <c r="B15" s="7" t="inlineStr">
        <is>
          <t>Current</t>
        </is>
      </c>
      <c r="C15" s="7" t="inlineStr">
        <is>
          <t>Target</t>
        </is>
      </c>
      <c r="D15" s="7" t="inlineStr">
        <is>
          <t>Status</t>
        </is>
      </c>
      <c r="E15" s="7" t="inlineStr">
        <is>
          <t>Trend</t>
        </is>
      </c>
      <c r="F15" s="7" t="inlineStr">
        <is>
          <t>Period</t>
        </is>
      </c>
      <c r="G15" s="7" t="inlineStr">
        <is>
          <t>Notes</t>
        </is>
      </c>
    </row>
    <row r="16">
      <c r="A16" s="4" t="inlineStr">
        <is>
          <t>Mean Time to Respond (MTTR) - Critical</t>
        </is>
      </c>
      <c r="B16" s="5" t="n"/>
      <c r="C16" s="4" t="inlineStr">
        <is>
          <t>&lt;15 min</t>
        </is>
      </c>
      <c r="D16" s="5" t="n"/>
      <c r="E16" s="5" t="n"/>
      <c r="F16" s="5" t="n"/>
      <c r="G16" s="5" t="n"/>
    </row>
    <row r="17">
      <c r="A17" s="4" t="inlineStr">
        <is>
          <t>Mean Time to Respond (MTTR) - High</t>
        </is>
      </c>
      <c r="B17" s="5" t="n"/>
      <c r="C17" s="4" t="inlineStr">
        <is>
          <t>&lt;1 hour</t>
        </is>
      </c>
      <c r="D17" s="5" t="n"/>
      <c r="E17" s="5" t="n"/>
      <c r="F17" s="5" t="n"/>
      <c r="G17" s="5" t="n"/>
    </row>
    <row r="18">
      <c r="A18" s="4" t="inlineStr">
        <is>
          <t>Mean Time to Respond (MTTR) - Medium</t>
        </is>
      </c>
      <c r="B18" s="5" t="n"/>
      <c r="C18" s="4" t="inlineStr">
        <is>
          <t>&lt;4 hours</t>
        </is>
      </c>
      <c r="D18" s="5" t="n"/>
      <c r="E18" s="5" t="n"/>
      <c r="F18" s="5" t="n"/>
      <c r="G18" s="5" t="n"/>
    </row>
    <row r="19">
      <c r="A19" s="4" t="inlineStr">
        <is>
          <t>First Contact Resolution Rate</t>
        </is>
      </c>
      <c r="B19" s="5" t="n"/>
      <c r="C19" s="4" t="inlineStr">
        <is>
          <t>&gt;60%</t>
        </is>
      </c>
      <c r="D19" s="5" t="n"/>
      <c r="E19" s="5" t="n"/>
      <c r="F19" s="5" t="n"/>
      <c r="G19" s="5" t="n"/>
    </row>
    <row r="20">
      <c r="A20" s="4" t="inlineStr">
        <is>
          <t>Escalation Rate</t>
        </is>
      </c>
      <c r="B20" s="5" t="n"/>
      <c r="C20" s="4" t="inlineStr">
        <is>
          <t>&lt;20%</t>
        </is>
      </c>
      <c r="D20" s="5" t="n"/>
      <c r="E20" s="5" t="n"/>
      <c r="F20" s="5" t="n"/>
      <c r="G20" s="5" t="n"/>
    </row>
    <row r="23">
      <c r="A23" s="2" t="inlineStr">
        <is>
          <t>CONTAINMENT &amp; RECOVERY METRICS</t>
        </is>
      </c>
    </row>
    <row r="25">
      <c r="A25" s="7" t="inlineStr">
        <is>
          <t>KPI</t>
        </is>
      </c>
      <c r="B25" s="7" t="inlineStr">
        <is>
          <t>Current</t>
        </is>
      </c>
      <c r="C25" s="7" t="inlineStr">
        <is>
          <t>Target</t>
        </is>
      </c>
      <c r="D25" s="7" t="inlineStr">
        <is>
          <t>Status</t>
        </is>
      </c>
      <c r="E25" s="7" t="inlineStr">
        <is>
          <t>Trend</t>
        </is>
      </c>
      <c r="F25" s="7" t="inlineStr">
        <is>
          <t>Period</t>
        </is>
      </c>
      <c r="G25" s="7" t="inlineStr">
        <is>
          <t>Notes</t>
        </is>
      </c>
    </row>
    <row r="26">
      <c r="A26" s="4" t="inlineStr">
        <is>
          <t>Mean Time to Contain (MTTC) - Critical</t>
        </is>
      </c>
      <c r="B26" s="5" t="n"/>
      <c r="C26" s="4" t="inlineStr">
        <is>
          <t>&lt;1 hour</t>
        </is>
      </c>
      <c r="D26" s="5" t="n"/>
      <c r="E26" s="5" t="n"/>
      <c r="F26" s="5" t="n"/>
      <c r="G26" s="5" t="n"/>
    </row>
    <row r="27">
      <c r="A27" s="4" t="inlineStr">
        <is>
          <t>Mean Time to Contain (MTTC) - High</t>
        </is>
      </c>
      <c r="B27" s="5" t="n"/>
      <c r="C27" s="4" t="inlineStr">
        <is>
          <t>&lt;4 hours</t>
        </is>
      </c>
      <c r="D27" s="5" t="n"/>
      <c r="E27" s="5" t="n"/>
      <c r="F27" s="5" t="n"/>
      <c r="G27" s="5" t="n"/>
    </row>
    <row r="28">
      <c r="A28" s="4" t="inlineStr">
        <is>
          <t>Mean Time to Recover - Critical</t>
        </is>
      </c>
      <c r="B28" s="5" t="n"/>
      <c r="C28" s="4" t="inlineStr">
        <is>
          <t>&lt;4 hours</t>
        </is>
      </c>
      <c r="D28" s="5" t="n"/>
      <c r="E28" s="5" t="n"/>
      <c r="F28" s="5" t="n"/>
      <c r="G28" s="5" t="n"/>
    </row>
    <row r="29">
      <c r="A29" s="4" t="inlineStr">
        <is>
          <t>Mean Time to Recover - High</t>
        </is>
      </c>
      <c r="B29" s="5" t="n"/>
      <c r="C29" s="4" t="inlineStr">
        <is>
          <t>&lt;24 hours</t>
        </is>
      </c>
      <c r="D29" s="5" t="n"/>
      <c r="E29" s="5" t="n"/>
      <c r="F29" s="5" t="n"/>
      <c r="G29" s="5" t="n"/>
    </row>
    <row r="30">
      <c r="A30" s="4" t="inlineStr">
        <is>
          <t>Business Impact Duration (avg)</t>
        </is>
      </c>
      <c r="B30" s="5" t="n"/>
      <c r="C30" s="4" t="inlineStr">
        <is>
          <t>&lt;2 hours</t>
        </is>
      </c>
      <c r="D30" s="5" t="n"/>
      <c r="E30" s="5" t="n"/>
      <c r="F30" s="5" t="n"/>
      <c r="G30" s="5" t="n"/>
    </row>
    <row r="33">
      <c r="A33" s="2" t="inlineStr">
        <is>
          <t>OPERATIONAL METRICS</t>
        </is>
      </c>
    </row>
    <row r="35">
      <c r="A35" s="7" t="inlineStr">
        <is>
          <t>KPI</t>
        </is>
      </c>
      <c r="B35" s="7" t="inlineStr">
        <is>
          <t>Current</t>
        </is>
      </c>
      <c r="C35" s="7" t="inlineStr">
        <is>
          <t>Target</t>
        </is>
      </c>
      <c r="D35" s="7" t="inlineStr">
        <is>
          <t>Status</t>
        </is>
      </c>
      <c r="E35" s="7" t="inlineStr">
        <is>
          <t>Trend</t>
        </is>
      </c>
      <c r="F35" s="7" t="inlineStr">
        <is>
          <t>Period</t>
        </is>
      </c>
      <c r="G35" s="7" t="inlineStr">
        <is>
          <t>Notes</t>
        </is>
      </c>
    </row>
    <row r="36">
      <c r="A36" s="4" t="inlineStr">
        <is>
          <t>Total Incidents (12 months)</t>
        </is>
      </c>
      <c r="B36" s="5" t="n"/>
      <c r="C36" s="4" t="inlineStr">
        <is>
          <t>-</t>
        </is>
      </c>
      <c r="D36" s="5" t="n"/>
      <c r="E36" s="5" t="n"/>
      <c r="F36" s="5" t="n"/>
      <c r="G36" s="5" t="n"/>
    </row>
    <row r="37">
      <c r="A37" s="4" t="inlineStr">
        <is>
          <t>Critical Incidents</t>
        </is>
      </c>
      <c r="B37" s="5" t="n"/>
      <c r="C37" s="4" t="inlineStr">
        <is>
          <t>0</t>
        </is>
      </c>
      <c r="D37" s="5" t="n"/>
      <c r="E37" s="5" t="n"/>
      <c r="F37" s="5" t="n"/>
      <c r="G37" s="5" t="n"/>
    </row>
    <row r="38">
      <c r="A38" s="4" t="inlineStr">
        <is>
          <t>High Incidents</t>
        </is>
      </c>
      <c r="B38" s="5" t="n"/>
      <c r="C38" s="4" t="inlineStr">
        <is>
          <t>&lt;10</t>
        </is>
      </c>
      <c r="D38" s="5" t="n"/>
      <c r="E38" s="5" t="n"/>
      <c r="F38" s="5" t="n"/>
      <c r="G38" s="5" t="n"/>
    </row>
    <row r="39">
      <c r="A39" s="4" t="inlineStr">
        <is>
          <t>Incident Closure Rate</t>
        </is>
      </c>
      <c r="B39" s="5" t="n"/>
      <c r="C39" s="4" t="inlineStr">
        <is>
          <t>&gt;95%</t>
        </is>
      </c>
      <c r="D39" s="5" t="n"/>
      <c r="E39" s="5" t="n"/>
      <c r="F39" s="5" t="n"/>
      <c r="G39" s="5" t="n"/>
    </row>
    <row r="40">
      <c r="A40" s="4" t="inlineStr">
        <is>
          <t>SLA Compliance Rate</t>
        </is>
      </c>
      <c r="B40" s="5" t="n"/>
      <c r="C40" s="4" t="inlineStr">
        <is>
          <t>&gt;95%</t>
        </is>
      </c>
      <c r="D40" s="5" t="n"/>
      <c r="E40" s="5" t="n"/>
      <c r="F40" s="5" t="n"/>
      <c r="G40" s="5" t="n"/>
    </row>
    <row r="43">
      <c r="A43" s="2" t="inlineStr">
        <is>
          <t>GOVERNANCE METRICS</t>
        </is>
      </c>
    </row>
    <row r="45">
      <c r="A45" s="7" t="inlineStr">
        <is>
          <t>KPI</t>
        </is>
      </c>
      <c r="B45" s="7" t="inlineStr">
        <is>
          <t>Current</t>
        </is>
      </c>
      <c r="C45" s="7" t="inlineStr">
        <is>
          <t>Target</t>
        </is>
      </c>
      <c r="D45" s="7" t="inlineStr">
        <is>
          <t>Status</t>
        </is>
      </c>
      <c r="E45" s="7" t="inlineStr">
        <is>
          <t>Trend</t>
        </is>
      </c>
      <c r="F45" s="7" t="inlineStr">
        <is>
          <t>Period</t>
        </is>
      </c>
      <c r="G45" s="7" t="inlineStr">
        <is>
          <t>Notes</t>
        </is>
      </c>
    </row>
    <row r="46">
      <c r="A46" s="4" t="inlineStr">
        <is>
          <t>Post-Incident Review Completion</t>
        </is>
      </c>
      <c r="B46" s="5" t="n"/>
      <c r="C46" s="4" t="inlineStr">
        <is>
          <t>100%</t>
        </is>
      </c>
      <c r="D46" s="5" t="n"/>
      <c r="E46" s="5" t="n"/>
      <c r="F46" s="5" t="n"/>
      <c r="G46" s="5" t="n"/>
    </row>
    <row r="47">
      <c r="A47" s="4" t="inlineStr">
        <is>
          <t>PIR Completion within 14 days</t>
        </is>
      </c>
      <c r="B47" s="5" t="n"/>
      <c r="C47" s="4" t="inlineStr">
        <is>
          <t>&gt;90%</t>
        </is>
      </c>
      <c r="D47" s="5" t="n"/>
      <c r="E47" s="5" t="n"/>
      <c r="F47" s="5" t="n"/>
      <c r="G47" s="5" t="n"/>
    </row>
    <row r="48">
      <c r="A48" s="4" t="inlineStr">
        <is>
          <t>Training Completion (CSIRT)</t>
        </is>
      </c>
      <c r="B48" s="5" t="n"/>
      <c r="C48" s="4" t="inlineStr">
        <is>
          <t>100%</t>
        </is>
      </c>
      <c r="D48" s="5" t="n"/>
      <c r="E48" s="5" t="n"/>
      <c r="F48" s="5" t="n"/>
      <c r="G48" s="5" t="n"/>
    </row>
    <row r="49">
      <c r="A49" s="4" t="inlineStr">
        <is>
          <t>Tabletop Exercise Frequency</t>
        </is>
      </c>
      <c r="B49" s="5" t="n"/>
      <c r="C49" s="4" t="inlineStr">
        <is>
          <t>2/year</t>
        </is>
      </c>
      <c r="D49" s="5" t="n"/>
      <c r="E49" s="5" t="n"/>
      <c r="F49" s="5" t="n"/>
      <c r="G49" s="5" t="n"/>
    </row>
    <row r="50">
      <c r="A50" s="4" t="inlineStr">
        <is>
          <t>Policy Review Currency</t>
        </is>
      </c>
      <c r="B50" s="5" t="n"/>
      <c r="C50" s="4" t="inlineStr">
        <is>
          <t>&lt;12 months</t>
        </is>
      </c>
      <c r="D50" s="5" t="n"/>
      <c r="E50" s="5" t="n"/>
      <c r="F50" s="5" t="n"/>
      <c r="G50" s="5" t="n"/>
    </row>
    <row r="54">
      <c r="A54" s="2" t="inlineStr">
        <is>
          <t>12-MONTH TREND DATA</t>
        </is>
      </c>
    </row>
    <row r="56">
      <c r="A56" s="7" t="inlineStr">
        <is>
          <t>Month</t>
        </is>
      </c>
      <c r="B56" s="7" t="inlineStr">
        <is>
          <t>Total Incidents</t>
        </is>
      </c>
      <c r="C56" s="7" t="inlineStr">
        <is>
          <t>Critical</t>
        </is>
      </c>
      <c r="D56" s="7" t="inlineStr">
        <is>
          <t>High</t>
        </is>
      </c>
      <c r="E56" s="7" t="inlineStr">
        <is>
          <t>MTTD (avg)</t>
        </is>
      </c>
      <c r="F56" s="7" t="inlineStr">
        <is>
          <t>MTTR (avg)</t>
        </is>
      </c>
      <c r="G56" s="7" t="inlineStr">
        <is>
          <t>Closure Rate</t>
        </is>
      </c>
    </row>
    <row r="57">
      <c r="A57" s="5" t="n"/>
      <c r="B57" s="5" t="n"/>
      <c r="C57" s="5" t="n"/>
      <c r="D57" s="5" t="n"/>
      <c r="E57" s="5" t="n"/>
      <c r="F57" s="5" t="n"/>
      <c r="G57" s="5" t="n"/>
    </row>
    <row r="58">
      <c r="A58" s="5" t="n"/>
      <c r="B58" s="5" t="n"/>
      <c r="C58" s="5" t="n"/>
      <c r="D58" s="5" t="n"/>
      <c r="E58" s="5" t="n"/>
      <c r="F58" s="5" t="n"/>
      <c r="G58" s="5" t="n"/>
    </row>
    <row r="59">
      <c r="A59" s="5" t="n"/>
      <c r="B59" s="5" t="n"/>
      <c r="C59" s="5" t="n"/>
      <c r="D59" s="5" t="n"/>
      <c r="E59" s="5" t="n"/>
      <c r="F59" s="5" t="n"/>
      <c r="G59" s="5" t="n"/>
    </row>
    <row r="60">
      <c r="A60" s="5" t="n"/>
      <c r="B60" s="5" t="n"/>
      <c r="C60" s="5" t="n"/>
      <c r="D60" s="5" t="n"/>
      <c r="E60" s="5" t="n"/>
      <c r="F60" s="5" t="n"/>
      <c r="G60" s="5" t="n"/>
    </row>
    <row r="61">
      <c r="A61" s="5" t="n"/>
      <c r="B61" s="5" t="n"/>
      <c r="C61" s="5" t="n"/>
      <c r="D61" s="5" t="n"/>
      <c r="E61" s="5" t="n"/>
      <c r="F61" s="5" t="n"/>
      <c r="G61" s="5" t="n"/>
    </row>
    <row r="62">
      <c r="A62" s="5" t="n"/>
      <c r="B62" s="5" t="n"/>
      <c r="C62" s="5" t="n"/>
      <c r="D62" s="5" t="n"/>
      <c r="E62" s="5" t="n"/>
      <c r="F62" s="5" t="n"/>
      <c r="G62" s="5" t="n"/>
    </row>
    <row r="63">
      <c r="A63" s="5" t="n"/>
      <c r="B63" s="5" t="n"/>
      <c r="C63" s="5" t="n"/>
      <c r="D63" s="5" t="n"/>
      <c r="E63" s="5" t="n"/>
      <c r="F63" s="5" t="n"/>
      <c r="G63" s="5" t="n"/>
    </row>
    <row r="64">
      <c r="A64" s="5" t="n"/>
      <c r="B64" s="5" t="n"/>
      <c r="C64" s="5" t="n"/>
      <c r="D64" s="5" t="n"/>
      <c r="E64" s="5" t="n"/>
      <c r="F64" s="5" t="n"/>
      <c r="G64" s="5" t="n"/>
    </row>
    <row r="65">
      <c r="A65" s="5" t="n"/>
      <c r="B65" s="5" t="n"/>
      <c r="C65" s="5" t="n"/>
      <c r="D65" s="5" t="n"/>
      <c r="E65" s="5" t="n"/>
      <c r="F65" s="5" t="n"/>
      <c r="G65" s="5" t="n"/>
    </row>
    <row r="66">
      <c r="A66" s="5" t="n"/>
      <c r="B66" s="5" t="n"/>
      <c r="C66" s="5" t="n"/>
      <c r="D66" s="5" t="n"/>
      <c r="E66" s="5" t="n"/>
      <c r="F66" s="5" t="n"/>
      <c r="G66" s="5" t="n"/>
    </row>
    <row r="67">
      <c r="A67" s="5" t="n"/>
      <c r="B67" s="5" t="n"/>
      <c r="C67" s="5" t="n"/>
      <c r="D67" s="5" t="n"/>
      <c r="E67" s="5" t="n"/>
      <c r="F67" s="5" t="n"/>
      <c r="G67" s="5" t="n"/>
    </row>
    <row r="68">
      <c r="A68" s="5" t="n"/>
      <c r="B68" s="5" t="n"/>
      <c r="C68" s="5" t="n"/>
      <c r="D68" s="5" t="n"/>
      <c r="E68" s="5" t="n"/>
      <c r="F68" s="5" t="n"/>
      <c r="G68" s="5" t="n"/>
    </row>
  </sheetData>
  <mergeCells count="7">
    <mergeCell ref="A13:G13"/>
    <mergeCell ref="A1:G1"/>
    <mergeCell ref="A3:G3"/>
    <mergeCell ref="A54:G54"/>
    <mergeCell ref="A43:G43"/>
    <mergeCell ref="A33:G33"/>
    <mergeCell ref="A23:G23"/>
  </mergeCells>
  <dataValidations count="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0" customWidth="1" min="2" max="2"/>
    <col width="10" customWidth="1" min="3" max="3"/>
    <col width="25" customWidth="1" min="4" max="4"/>
    <col width="45" customWidth="1" min="5" max="5"/>
    <col width="14" customWidth="1" min="6" max="6"/>
    <col width="40" customWidth="1" min="7" max="7"/>
    <col width="14" customWidth="1" min="8" max="8"/>
    <col width="18" customWidth="1" min="9" max="9"/>
    <col width="16" customWidth="1" min="10" max="10"/>
    <col width="14" customWidth="1" min="11" max="11"/>
    <col width="12" customWidth="1" min="12" max="12"/>
    <col width="30" customWidth="1" min="13" max="13"/>
  </cols>
  <sheetData>
    <row r="1" ht="35" customHeight="1">
      <c r="A1" s="1" t="inlineStr">
        <is>
          <t>EVIDENCE REGISTER</t>
        </is>
      </c>
    </row>
    <row r="2">
      <c r="A2" s="24" t="inlineStr">
        <is>
          <t>Evidence inventory linking to source assessments (100 items capacity)</t>
        </is>
      </c>
    </row>
    <row r="4">
      <c r="A4" s="20" t="inlineStr">
        <is>
          <t>Evidence_ID</t>
        </is>
      </c>
      <c r="B4" s="20" t="inlineStr">
        <is>
          <t>Source_Workbook</t>
        </is>
      </c>
      <c r="C4" s="20" t="inlineStr">
        <is>
          <t>Control</t>
        </is>
      </c>
      <c r="D4" s="20" t="inlineStr">
        <is>
          <t>Domain</t>
        </is>
      </c>
      <c r="E4" s="20" t="inlineStr">
        <is>
          <t>Evidence_Description</t>
        </is>
      </c>
      <c r="F4" s="20" t="inlineStr">
        <is>
          <t>Evidence_Type</t>
        </is>
      </c>
      <c r="G4" s="20" t="inlineStr">
        <is>
          <t>Storage_Location</t>
        </is>
      </c>
      <c r="H4" s="20" t="inlineStr">
        <is>
          <t>Date_Collected</t>
        </is>
      </c>
      <c r="I4" s="20" t="inlineStr">
        <is>
          <t>Collected_By</t>
        </is>
      </c>
      <c r="J4" s="20" t="inlineStr">
        <is>
          <t>Verification_Status</t>
        </is>
      </c>
      <c r="K4" s="20" t="inlineStr">
        <is>
          <t>Last_Verified</t>
        </is>
      </c>
      <c r="L4" s="20" t="inlineStr">
        <is>
          <t>Expiry_Date</t>
        </is>
      </c>
      <c r="M4" s="20" t="inlineStr">
        <is>
          <t>Notes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</row>
    <row r="107">
      <c r="A107" s="2" t="inlineStr">
        <is>
          <t>EVIDENCE SUMMARY BY CONTROL</t>
        </is>
      </c>
    </row>
    <row r="109">
      <c r="A109" s="7" t="inlineStr">
        <is>
          <t>Control</t>
        </is>
      </c>
      <c r="B109" s="7" t="inlineStr">
        <is>
          <t>Total Evidence</t>
        </is>
      </c>
      <c r="C109" s="7" t="inlineStr">
        <is>
          <t>Verified</t>
        </is>
      </c>
      <c r="D109" s="7" t="inlineStr">
        <is>
          <t>Pending</t>
        </is>
      </c>
      <c r="E109" s="7" t="inlineStr">
        <is>
          <t>Expired</t>
        </is>
      </c>
      <c r="F109" s="7" t="inlineStr">
        <is>
          <t>Coverage</t>
        </is>
      </c>
    </row>
    <row r="110">
      <c r="A110" s="4" t="inlineStr">
        <is>
          <t>A.5.24</t>
        </is>
      </c>
      <c r="B110" s="8" t="n"/>
      <c r="C110" s="8" t="n"/>
      <c r="D110" s="8" t="n"/>
      <c r="E110" s="8" t="n"/>
      <c r="F110" s="8" t="n"/>
    </row>
    <row r="111">
      <c r="A111" s="4" t="inlineStr">
        <is>
          <t>A.5.25</t>
        </is>
      </c>
      <c r="B111" s="8" t="n"/>
      <c r="C111" s="8" t="n"/>
      <c r="D111" s="8" t="n"/>
      <c r="E111" s="8" t="n"/>
      <c r="F111" s="8" t="n"/>
    </row>
    <row r="112">
      <c r="A112" s="4" t="inlineStr">
        <is>
          <t>A.5.26</t>
        </is>
      </c>
      <c r="B112" s="8" t="n"/>
      <c r="C112" s="8" t="n"/>
      <c r="D112" s="8" t="n"/>
      <c r="E112" s="8" t="n"/>
      <c r="F112" s="8" t="n"/>
    </row>
    <row r="113">
      <c r="A113" s="4" t="inlineStr">
        <is>
          <t>A.5.27</t>
        </is>
      </c>
      <c r="B113" s="8" t="n"/>
      <c r="C113" s="8" t="n"/>
      <c r="D113" s="8" t="n"/>
      <c r="E113" s="8" t="n"/>
      <c r="F113" s="8" t="n"/>
    </row>
    <row r="114">
      <c r="A114" s="4" t="inlineStr">
        <is>
          <t>A.5.28</t>
        </is>
      </c>
      <c r="B114" s="8" t="n"/>
      <c r="C114" s="8" t="n"/>
      <c r="D114" s="8" t="n"/>
      <c r="E114" s="8" t="n"/>
      <c r="F114" s="8" t="n"/>
    </row>
    <row r="115">
      <c r="A115" s="17" t="inlineStr">
        <is>
          <t>TOTAL</t>
        </is>
      </c>
      <c r="B115" s="18" t="n"/>
      <c r="C115" s="18" t="n"/>
      <c r="D115" s="18" t="n"/>
      <c r="E115" s="18" t="n"/>
      <c r="F115" s="18" t="n"/>
    </row>
  </sheetData>
  <mergeCells count="3">
    <mergeCell ref="A2:M2"/>
    <mergeCell ref="A107:F107"/>
    <mergeCell ref="A1:M1"/>
  </mergeCells>
  <dataValidations count="3">
    <dataValidation sqref="C5:C104" showDropDown="0" showInputMessage="0" showErrorMessage="0" allowBlank="1" type="list">
      <formula1>"A.5.24,A.5.25,A.5.26,A.5.27,A.5.28"</formula1>
    </dataValidation>
    <dataValidation sqref="F5:F104" showDropDown="0" showInputMessage="0" showErrorMessage="0" allowBlank="1" type="list">
      <formula1>"Document,Screenshot,Record,Attestation"</formula1>
    </dataValidation>
    <dataValidation sqref="J5:J104" showDropDown="0" showInputMessage="0" showErrorMessage="0" allowBlank="1" type="list">
      <formula1>"Verified,Pending,Expired"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5" customWidth="1" min="3" max="3"/>
    <col width="20" customWidth="1" min="4" max="4"/>
  </cols>
  <sheetData>
    <row r="1" ht="35" customHeight="1">
      <c r="A1" s="1" t="inlineStr">
        <is>
          <t>APPROVAL SIGN-OFF</t>
        </is>
      </c>
    </row>
    <row r="3">
      <c r="A3" s="2" t="inlineStr">
        <is>
          <t>ASSESSMENT SUMMARY</t>
        </is>
      </c>
    </row>
    <row r="5">
      <c r="A5" s="17" t="inlineStr">
        <is>
          <t>Assessment Period:</t>
        </is>
      </c>
      <c r="B5" s="5" t="inlineStr"/>
    </row>
    <row r="6">
      <c r="A6" s="17" t="inlineStr">
        <is>
          <t>Dashboard Version:</t>
        </is>
      </c>
      <c r="B6" s="4" t="inlineStr">
        <is>
          <t>1.0</t>
        </is>
      </c>
    </row>
    <row r="7">
      <c r="A7" s="17" t="inlineStr">
        <is>
          <t>Overall Compliance Score:</t>
        </is>
      </c>
      <c r="B7" s="5" t="inlineStr"/>
    </row>
    <row r="8">
      <c r="A8" s="17" t="inlineStr">
        <is>
          <t>Critical Gaps Identified:</t>
        </is>
      </c>
      <c r="B8" s="5" t="inlineStr"/>
    </row>
    <row r="9">
      <c r="A9" s="17" t="inlineStr">
        <is>
          <t>High Gaps Identified:</t>
        </is>
      </c>
      <c r="B9" s="5" t="inlineStr"/>
    </row>
    <row r="10">
      <c r="A10" s="17" t="inlineStr">
        <is>
          <t>Open Recommendations:</t>
        </is>
      </c>
      <c r="B10" s="5" t="inlineStr"/>
    </row>
    <row r="11">
      <c r="A11" s="17" t="inlineStr">
        <is>
          <t>Last Refreshed:</t>
        </is>
      </c>
      <c r="B11" s="5" t="inlineStr"/>
    </row>
    <row r="14">
      <c r="A14" s="2" t="inlineStr">
        <is>
          <t>APPROVAL CHAIN</t>
        </is>
      </c>
    </row>
    <row r="16">
      <c r="A16" s="7" t="inlineStr">
        <is>
          <t>Approver Name</t>
        </is>
      </c>
      <c r="B16" s="7" t="inlineStr">
        <is>
          <t>Role</t>
        </is>
      </c>
      <c r="C16" s="7" t="inlineStr">
        <is>
          <t>Status</t>
        </is>
      </c>
      <c r="D16" s="7" t="inlineStr">
        <is>
          <t>Date</t>
        </is>
      </c>
    </row>
    <row r="17">
      <c r="A17" s="5" t="n"/>
      <c r="B17" s="4" t="inlineStr">
        <is>
          <t>CSIRT Manager</t>
        </is>
      </c>
      <c r="C17" s="5" t="n"/>
      <c r="D17" s="5" t="n"/>
    </row>
    <row r="18">
      <c r="A18" s="5" t="n"/>
      <c r="B18" s="4" t="inlineStr">
        <is>
          <t>CISO</t>
        </is>
      </c>
      <c r="C18" s="5" t="n"/>
      <c r="D18" s="5" t="n"/>
    </row>
    <row r="19">
      <c r="A19" s="5" t="n"/>
      <c r="B19" s="4" t="inlineStr">
        <is>
          <t>Internal Audit (optional)</t>
        </is>
      </c>
      <c r="C19" s="5" t="n"/>
      <c r="D19" s="5" t="n"/>
    </row>
    <row r="22">
      <c r="A22" s="2" t="inlineStr">
        <is>
          <t>REVIEW CHECKLIST</t>
        </is>
      </c>
    </row>
    <row r="24">
      <c r="A24" s="4" t="inlineStr">
        <is>
          <t>Data accuracy verified</t>
        </is>
      </c>
      <c r="B24" s="5" t="n"/>
    </row>
    <row r="25">
      <c r="A25" s="4" t="inlineStr">
        <is>
          <t>Calculations validated</t>
        </is>
      </c>
      <c r="B25" s="5" t="n"/>
    </row>
    <row r="26">
      <c r="A26" s="4" t="inlineStr">
        <is>
          <t>Evidence references checked</t>
        </is>
      </c>
      <c r="B26" s="5" t="n"/>
    </row>
    <row r="27">
      <c r="A27" s="4" t="inlineStr">
        <is>
          <t>Gap prioritisation agreed</t>
        </is>
      </c>
      <c r="B27" s="5" t="n"/>
    </row>
    <row r="28">
      <c r="A28" s="4" t="inlineStr">
        <is>
          <t>KPI targets confirmed</t>
        </is>
      </c>
      <c r="B28" s="5" t="n"/>
    </row>
    <row r="29">
      <c r="A29" s="4" t="inlineStr">
        <is>
          <t>Recommendations reviewed</t>
        </is>
      </c>
      <c r="B29" s="5" t="n"/>
    </row>
    <row r="32">
      <c r="A32" s="2" t="inlineStr">
        <is>
          <t>COMMENTS AND CONDITIONS</t>
        </is>
      </c>
    </row>
    <row r="33">
      <c r="A33" s="25" t="n"/>
    </row>
    <row r="34"/>
    <row r="35"/>
    <row r="36"/>
    <row r="37"/>
    <row r="40">
      <c r="A40" s="2" t="inlineStr">
        <is>
          <t>DISTRIBUTION</t>
        </is>
      </c>
    </row>
    <row r="42">
      <c r="A42" s="7" t="inlineStr">
        <is>
          <t>Recipient</t>
        </is>
      </c>
      <c r="B42" s="7" t="inlineStr">
        <is>
          <t>Role</t>
        </is>
      </c>
      <c r="C42" s="7" t="inlineStr">
        <is>
          <t>Distribution Date</t>
        </is>
      </c>
      <c r="D42" s="7" t="inlineStr">
        <is>
          <t>Method</t>
        </is>
      </c>
    </row>
    <row r="43">
      <c r="A43" s="5" t="n"/>
      <c r="B43" s="5" t="n"/>
      <c r="C43" s="5" t="n"/>
      <c r="D43" s="5" t="n"/>
    </row>
    <row r="44">
      <c r="A44" s="5" t="n"/>
      <c r="B44" s="5" t="n"/>
      <c r="C44" s="5" t="n"/>
      <c r="D44" s="5" t="n"/>
    </row>
    <row r="45">
      <c r="A45" s="5" t="n"/>
      <c r="B45" s="5" t="n"/>
      <c r="C45" s="5" t="n"/>
      <c r="D45" s="5" t="n"/>
    </row>
    <row r="46">
      <c r="A46" s="5" t="n"/>
      <c r="B46" s="5" t="n"/>
      <c r="C46" s="5" t="n"/>
      <c r="D46" s="5" t="n"/>
    </row>
    <row r="47">
      <c r="A47" s="5" t="n"/>
      <c r="B47" s="5" t="n"/>
      <c r="C47" s="5" t="n"/>
      <c r="D47" s="5" t="n"/>
    </row>
    <row r="50">
      <c r="A50" s="2" t="inlineStr">
        <is>
          <t>NEXT REVIEW</t>
        </is>
      </c>
    </row>
    <row r="52">
      <c r="A52" s="3" t="inlineStr">
        <is>
          <t>Next Review Date:</t>
        </is>
      </c>
      <c r="B52" s="5" t="n"/>
    </row>
    <row r="53">
      <c r="A53" s="3" t="inlineStr">
        <is>
          <t>Review Trigger Events:</t>
        </is>
      </c>
      <c r="B53" s="4" t="inlineStr">
        <is>
          <t>Major incident, organisational change, audit finding</t>
        </is>
      </c>
    </row>
  </sheetData>
  <mergeCells count="8">
    <mergeCell ref="A1:D1"/>
    <mergeCell ref="A40:D40"/>
    <mergeCell ref="A22:D22"/>
    <mergeCell ref="A50:D50"/>
    <mergeCell ref="A3:D3"/>
    <mergeCell ref="A33:D37"/>
    <mergeCell ref="A32:D32"/>
    <mergeCell ref="A14:D14"/>
  </mergeCells>
  <dataValidations coun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2026-02-08T10:48:55Z</dcterms:created>
  <dcterms:modified xmlns:dcterms="http://purl.org/dc/terms/" xmlns:xsi="http://www.w3.org/2001/XMLSchema-instance" xsi:type="dcterms:W3CDTF">2026-02-08T10:48:55Z</dcterms:modified>
</cp:coreProperties>
</file>