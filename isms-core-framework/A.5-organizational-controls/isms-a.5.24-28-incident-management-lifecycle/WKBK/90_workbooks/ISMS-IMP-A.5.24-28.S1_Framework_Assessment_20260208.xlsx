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Governance Assessment" sheetId="2" state="visible" r:id="rId2"/>
    <sheet xmlns:r="http://schemas.openxmlformats.org/officeDocument/2006/relationships" name="Organizational Structure" sheetId="3" state="visible" r:id="rId3"/>
    <sheet xmlns:r="http://schemas.openxmlformats.org/officeDocument/2006/relationships" name="Training &amp; Competency" sheetId="4" state="visible" r:id="rId4"/>
    <sheet xmlns:r="http://schemas.openxmlformats.org/officeDocument/2006/relationships" name="Tools &amp; Technology" sheetId="5" state="visible" r:id="rId5"/>
    <sheet xmlns:r="http://schemas.openxmlformats.org/officeDocument/2006/relationships" name="Integration Assessment" sheetId="6" state="visible" r:id="rId6"/>
    <sheet xmlns:r="http://schemas.openxmlformats.org/officeDocument/2006/relationships" name="Gap Analysis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Dashboard" sheetId="9" state="visible" r:id="rId9"/>
    <sheet xmlns:r="http://schemas.openxmlformats.org/officeDocument/2006/relationships" name="Approval Sign-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color rgb="00FFFFFF"/>
      <sz val="12"/>
    </font>
    <font>
      <b val="1"/>
    </font>
    <font>
      <i val="1"/>
      <sz val="10"/>
    </font>
    <font>
      <name val="Calibri"/>
      <b val="1"/>
      <color rgb="00FFFFFF"/>
      <sz val="10"/>
    </font>
    <font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  <fill>
      <patternFill patternType="solid">
        <fgColor rgb="00D8E4F8"/>
        <bgColor rgb="00D8E4F8"/>
      </patternFill>
    </fill>
    <fill>
      <patternFill patternType="solid">
        <fgColor rgb="00FFC7CE"/>
        <bgColor rgb="00FFC7CE"/>
      </patternFill>
    </fill>
    <fill>
      <patternFill patternType="solid">
        <fgColor rgb="00FFD9B3"/>
        <bgColor rgb="00FFD9B3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0" borderId="0" applyAlignment="1" pivotButton="0" quotePrefix="0" xfId="0">
      <alignment horizontal="left" vertical="top" wrapText="1"/>
    </xf>
    <xf numFmtId="0" fontId="3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10" borderId="1" pivotButton="0" quotePrefix="0" xfId="0"/>
    <xf numFmtId="0" fontId="0" fillId="11" borderId="1" pivotButton="0" quotePrefix="0" xfId="0"/>
    <xf numFmtId="0" fontId="6" fillId="3" borderId="0" pivotButton="0" quotePrefix="0" xfId="0"/>
    <xf numFmtId="0" fontId="0" fillId="6" borderId="0" pivotButton="0" quotePrefix="0" xfId="0"/>
    <xf numFmtId="164" fontId="0" fillId="6" borderId="0" pivotButton="0" quotePrefix="0" xfId="0"/>
    <xf numFmtId="164" fontId="0" fillId="6" borderId="1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25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ISMS-IMP-A.5.24-28.S1 — Incident Management Framework Assessment
ISO/IEC 27001:2022 - Control A.5.24: Planning and Preparation</t>
        </is>
      </c>
    </row>
    <row r="3">
      <c r="A3" s="2" t="inlineStr">
        <is>
          <t>DOCUMENT INFORMATION</t>
        </is>
      </c>
    </row>
    <row r="4">
      <c r="A4" s="3" t="inlineStr">
        <is>
          <t>Document ID:</t>
        </is>
      </c>
      <c r="B4" s="4" t="inlineStr">
        <is>
          <t>ISMS-IMP-A.5.24-28.S1</t>
        </is>
      </c>
    </row>
    <row r="5">
      <c r="A5" s="3" t="inlineStr">
        <is>
          <t>Assessment Area:</t>
        </is>
      </c>
      <c r="B5" s="4" t="inlineStr">
        <is>
          <t>Incident Management Framework &amp; Governance (Domain 1)</t>
        </is>
      </c>
    </row>
    <row r="6">
      <c r="A6" s="3" t="inlineStr">
        <is>
          <t>Related Policy:</t>
        </is>
      </c>
      <c r="B6" s="4" t="inlineStr">
        <is>
          <t>ISMS-POL-A.5.24-28, Section 2.1</t>
        </is>
      </c>
    </row>
    <row r="7">
      <c r="A7" s="3" t="inlineStr">
        <is>
          <t>Version:</t>
        </is>
      </c>
      <c r="B7" s="4" t="inlineStr">
        <is>
          <t>1.0</t>
        </is>
      </c>
    </row>
    <row r="8">
      <c r="A8" s="3" t="inlineStr">
        <is>
          <t>Assessment Date:</t>
        </is>
      </c>
      <c r="B8" s="5" t="inlineStr"/>
    </row>
    <row r="9">
      <c r="A9" s="3" t="inlineStr">
        <is>
          <t>Completed By:</t>
        </is>
      </c>
      <c r="B9" s="5" t="inlineStr"/>
    </row>
    <row r="10">
      <c r="A10" s="3" t="inlineStr">
        <is>
          <t>Organization:</t>
        </is>
      </c>
      <c r="B10" s="5" t="inlineStr"/>
    </row>
    <row r="11">
      <c r="A11" s="3" t="inlineStr">
        <is>
          <t>Review Cycle:</t>
        </is>
      </c>
      <c r="B11" s="4" t="inlineStr">
        <is>
          <t>Annual</t>
        </is>
      </c>
    </row>
    <row r="12">
      <c r="A12" s="3" t="inlineStr">
        <is>
          <t>Next Review Date:</t>
        </is>
      </c>
      <c r="B12" s="4" t="inlineStr"/>
    </row>
    <row r="15">
      <c r="A15" s="2" t="inlineStr">
        <is>
          <t>ASSESSMENT SCOPE</t>
        </is>
      </c>
    </row>
    <row r="16" ht="220" customHeight="1">
      <c r="A16" s="6" t="inlineStr">
        <is>
          <t>This assessment evaluates the incident management framework and governance structure (A.5.24 focus).
INCLUDED:
✅ Incident management governance (policy, procedures, authority)
✅ CSIRT/SOC organizational structure and staffing
✅ Role definitions, responsibilities, RACI matrix
✅ Training and competency programs
✅ Tools and technology capabilities
✅ Integration with logging, monitoring, BC/DR
EXCLUDED:
❌ Incident detection and classification procedures (see S2)
❌ Response execution and effectiveness (see S3)
❌ Forensic evidence procedures (see S4)
❌ Post-incident learning processes (see S5)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>
      <c r="A30" s="2" t="inlineStr">
        <is>
          <t>COLOR LEGEND</t>
        </is>
      </c>
    </row>
    <row r="31">
      <c r="A31" s="7" t="inlineStr">
        <is>
          <t>Color</t>
        </is>
      </c>
      <c r="B31" s="7" t="inlineStr">
        <is>
          <t>Meaning</t>
        </is>
      </c>
      <c r="C31" s="7" t="inlineStr">
        <is>
          <t>Usage</t>
        </is>
      </c>
    </row>
    <row r="32">
      <c r="A32" s="5" t="inlineStr">
        <is>
          <t>Yellow</t>
        </is>
      </c>
      <c r="B32" s="4" t="inlineStr">
        <is>
          <t>User Input Required</t>
        </is>
      </c>
      <c r="C32" s="4" t="inlineStr">
        <is>
          <t>Input cells</t>
        </is>
      </c>
    </row>
    <row r="33">
      <c r="A33" s="8" t="inlineStr">
        <is>
          <t>Light Green</t>
        </is>
      </c>
      <c r="B33" s="4" t="inlineStr">
        <is>
          <t>Calculated/Auto-filled</t>
        </is>
      </c>
      <c r="C33" s="4" t="inlineStr">
        <is>
          <t>Formula cells</t>
        </is>
      </c>
    </row>
    <row r="34">
      <c r="A34" s="9" t="inlineStr">
        <is>
          <t>White</t>
        </is>
      </c>
      <c r="B34" s="4" t="inlineStr">
        <is>
          <t>Read-Only Information</t>
        </is>
      </c>
      <c r="C34" s="4" t="inlineStr">
        <is>
          <t>Instructions, labels</t>
        </is>
      </c>
    </row>
    <row r="35">
      <c r="A35" s="10" t="inlineStr">
        <is>
          <t>Light Blue</t>
        </is>
      </c>
      <c r="B35" s="4" t="inlineStr">
        <is>
          <t>Section Header</t>
        </is>
      </c>
      <c r="C35" s="4" t="inlineStr">
        <is>
          <t>Section titles</t>
        </is>
      </c>
    </row>
    <row r="36">
      <c r="A36" s="11" t="inlineStr">
        <is>
          <t>Light Red</t>
        </is>
      </c>
      <c r="B36" s="4" t="inlineStr">
        <is>
          <t>Gap Identified</t>
        </is>
      </c>
      <c r="C36" s="4" t="inlineStr">
        <is>
          <t>Risk highlighting</t>
        </is>
      </c>
    </row>
    <row r="39">
      <c r="A39" s="2" t="inlineStr">
        <is>
          <t>ASSESSMENT WORKFLOW</t>
        </is>
      </c>
    </row>
    <row r="40" ht="380" customHeight="1">
      <c r="A40" s="6" t="inlineStr">
        <is>
          <t>1. Information Gathering (3-4 hours)
   • Review incident management policy and procedures
   • Collect organizational charts, job descriptions, RACI matrices
   • Gather training records and exercise logs
   • Inventory incident response tools and integrations
2. Assessment Completion (3-4 hours)
   • Complete Governance Assessment (25 questions)
   • Document Organizational Structure (30 questions)
   • Assess Training &amp; Competency (25 questions)
   • Evaluate Tools &amp; Technology (30 questions)
   • Complete Integration Assessment (25 questions)
3. Gap Analysis (1 hour)
   • Identify missing or incomplete elements
   • Prioritize gaps by risk level
   • Develop remediation recommendations
4. Evidence Collection (1-2 hours)
   • Screenshots and document exports
   • Training records and certificates
   • Tool configuration evidence
5. Quality Review (1-2 hours)
   • Self-assessment against policy requirements
   • Peer review with CSIRT team
   • Management review
6. Approval Workflow (1 week)
   • CSIRT Manager approval
   • CISO review and approval</t>
        </is>
      </c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</sheetData>
  <mergeCells count="7">
    <mergeCell ref="A1:G1"/>
    <mergeCell ref="A39:G39"/>
    <mergeCell ref="A30:C30"/>
    <mergeCell ref="A15:G15"/>
    <mergeCell ref="A40:G67"/>
    <mergeCell ref="A16:G29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25" customWidth="1" min="4" max="4"/>
    <col width="30" customWidth="1" min="5" max="5"/>
    <col width="35" customWidth="1" min="6" max="6"/>
    <col width="12" customWidth="1" min="7" max="7"/>
  </cols>
  <sheetData>
    <row r="1" ht="30" customHeight="1">
      <c r="A1" s="1" t="inlineStr">
        <is>
          <t>Sheet 2: Governance Assessment</t>
        </is>
      </c>
    </row>
    <row r="2">
      <c r="A2" s="12" t="inlineStr">
        <is>
          <t>Policy, Procedures, Authority, and Regulatory Compliance (25 Questions)</t>
        </is>
      </c>
    </row>
    <row r="4">
      <c r="A4" s="13" t="inlineStr">
        <is>
          <t>Question_ID</t>
        </is>
      </c>
      <c r="B4" s="13" t="inlineStr">
        <is>
          <t>Section</t>
        </is>
      </c>
      <c r="C4" s="13" t="inlineStr">
        <is>
          <t>Question</t>
        </is>
      </c>
      <c r="D4" s="13" t="inlineStr">
        <is>
          <t>Answer</t>
        </is>
      </c>
      <c r="E4" s="13" t="inlineStr">
        <is>
          <t>Evidence_Reference</t>
        </is>
      </c>
      <c r="F4" s="13" t="inlineStr">
        <is>
          <t>Comments</t>
        </is>
      </c>
      <c r="G4" s="13" t="inlineStr">
        <is>
          <t>Gap_Identified</t>
        </is>
      </c>
    </row>
    <row r="5">
      <c r="A5" s="4" t="inlineStr">
        <is>
          <t>Q1</t>
        </is>
      </c>
      <c r="B5" s="4" t="inlineStr">
        <is>
          <t>Policy Documentation</t>
        </is>
      </c>
      <c r="C5" s="14" t="inlineStr">
        <is>
          <t>Does [Organization] have a documented incident management policy?</t>
        </is>
      </c>
      <c r="D5" s="5" t="n"/>
      <c r="E5" s="5" t="n"/>
      <c r="F5" s="5" t="n"/>
      <c r="G5" s="8">
        <f>IF(OR(D5="No", D5="Partial", D5="Informal"), "Yes", "No")</f>
        <v/>
      </c>
    </row>
    <row r="6">
      <c r="A6" s="4" t="inlineStr">
        <is>
          <t>Q2</t>
        </is>
      </c>
      <c r="B6" s="4" t="inlineStr">
        <is>
          <t>Policy Documentation</t>
        </is>
      </c>
      <c r="C6" s="14" t="inlineStr">
        <is>
          <t>When was the current incident management policy approved? (DD.MM.YYYY)</t>
        </is>
      </c>
      <c r="D6" s="5" t="n"/>
      <c r="E6" s="5" t="n"/>
      <c r="F6" s="5" t="n"/>
      <c r="G6" s="8">
        <f>IF(OR(D6="No", D6="Partial", D6="Informal"), "Yes", "No")</f>
        <v/>
      </c>
    </row>
    <row r="7">
      <c r="A7" s="4" t="inlineStr">
        <is>
          <t>Q3</t>
        </is>
      </c>
      <c r="B7" s="4" t="inlineStr">
        <is>
          <t>Policy Documentation</t>
        </is>
      </c>
      <c r="C7" s="14" t="inlineStr">
        <is>
          <t>Who is the designated owner of the incident management policy? (Name, Title)</t>
        </is>
      </c>
      <c r="D7" s="5" t="n"/>
      <c r="E7" s="5" t="n"/>
      <c r="F7" s="5" t="n"/>
      <c r="G7" s="8">
        <f>IF(OR(D7="No", D7="Partial", D7="Informal"), "Yes", "No")</f>
        <v/>
      </c>
    </row>
    <row r="8">
      <c r="A8" s="4" t="inlineStr">
        <is>
          <t>Q4</t>
        </is>
      </c>
      <c r="B8" s="4" t="inlineStr">
        <is>
          <t>Policy Documentation</t>
        </is>
      </c>
      <c r="C8" s="14" t="inlineStr">
        <is>
          <t>How often is the incident management policy reviewed?</t>
        </is>
      </c>
      <c r="D8" s="5" t="n"/>
      <c r="E8" s="5" t="n"/>
      <c r="F8" s="5" t="n"/>
      <c r="G8" s="8">
        <f>IF(OR(D8="No", D8="Partial", D8="Informal"), "Yes", "No")</f>
        <v/>
      </c>
    </row>
    <row r="9">
      <c r="A9" s="4" t="inlineStr">
        <is>
          <t>Q5</t>
        </is>
      </c>
      <c r="B9" s="4" t="inlineStr">
        <is>
          <t>Policy Documentation</t>
        </is>
      </c>
      <c r="C9" s="14" t="inlineStr">
        <is>
          <t>When was the policy last reviewed? (DD.MM.YYYY)</t>
        </is>
      </c>
      <c r="D9" s="5" t="n"/>
      <c r="E9" s="5" t="n"/>
      <c r="F9" s="5" t="n"/>
      <c r="G9" s="8">
        <f>IF(OR(D9="No", D9="Partial", D9="Informal"), "Yes", "No")</f>
        <v/>
      </c>
    </row>
    <row r="10">
      <c r="A10" s="4" t="inlineStr">
        <is>
          <t>Q6</t>
        </is>
      </c>
      <c r="B10" s="4" t="inlineStr">
        <is>
          <t>Procedure Documentation</t>
        </is>
      </c>
      <c r="C10" s="14" t="inlineStr">
        <is>
          <t>Are incident response procedures documented?</t>
        </is>
      </c>
      <c r="D10" s="5" t="n"/>
      <c r="E10" s="5" t="n"/>
      <c r="F10" s="5" t="n"/>
      <c r="G10" s="8">
        <f>IF(OR(D10="No", D10="Partial", D10="Informal"), "Yes", "No")</f>
        <v/>
      </c>
    </row>
    <row r="11">
      <c r="A11" s="4" t="inlineStr">
        <is>
          <t>Q7</t>
        </is>
      </c>
      <c r="B11" s="4" t="inlineStr">
        <is>
          <t>Procedure Documentation</t>
        </is>
      </c>
      <c r="C11" s="14" t="inlineStr">
        <is>
          <t>In what format are incident response procedures documented? (Select all: Written/Flowcharts/Automated/Scenarios/Other)</t>
        </is>
      </c>
      <c r="D11" s="5" t="n"/>
      <c r="E11" s="5" t="n"/>
      <c r="F11" s="5" t="n"/>
      <c r="G11" s="8">
        <f>IF(OR(D11="No", D11="Partial", D11="Informal"), "Yes", "No")</f>
        <v/>
      </c>
    </row>
    <row r="12">
      <c r="A12" s="4" t="inlineStr">
        <is>
          <t>Q8</t>
        </is>
      </c>
      <c r="B12" s="4" t="inlineStr">
        <is>
          <t>Procedure Documentation</t>
        </is>
      </c>
      <c r="C12" s="14" t="inlineStr">
        <is>
          <t>Where are incident response procedures stored and how are they accessed?</t>
        </is>
      </c>
      <c r="D12" s="5" t="n"/>
      <c r="E12" s="5" t="n"/>
      <c r="F12" s="5" t="n"/>
      <c r="G12" s="8">
        <f>IF(OR(D12="No", D12="Partial", D12="Informal"), "Yes", "No")</f>
        <v/>
      </c>
    </row>
    <row r="13">
      <c r="A13" s="4" t="inlineStr">
        <is>
          <t>Q9</t>
        </is>
      </c>
      <c r="B13" s="4" t="inlineStr">
        <is>
          <t>Procedure Documentation</t>
        </is>
      </c>
      <c r="C13" s="14" t="inlineStr">
        <is>
          <t>Do procedures include up-to-date contact information (CSIRT, management, legal, external partners)?</t>
        </is>
      </c>
      <c r="D13" s="5" t="n"/>
      <c r="E13" s="5" t="n"/>
      <c r="F13" s="5" t="n"/>
      <c r="G13" s="8">
        <f>IF(OR(D13="No", D13="Partial", D13="Informal"), "Yes", "No")</f>
        <v/>
      </c>
    </row>
    <row r="14">
      <c r="A14" s="4" t="inlineStr">
        <is>
          <t>Q10</t>
        </is>
      </c>
      <c r="B14" s="4" t="inlineStr">
        <is>
          <t>Procedure Documentation</t>
        </is>
      </c>
      <c r="C14" s="14" t="inlineStr">
        <is>
          <t>When were incident response procedures last updated? (DD.MM.YYYY)</t>
        </is>
      </c>
      <c r="D14" s="5" t="n"/>
      <c r="E14" s="5" t="n"/>
      <c r="F14" s="5" t="n"/>
      <c r="G14" s="8">
        <f>IF(OR(D14="No", D14="Partial", D14="Informal"), "Yes", "No")</f>
        <v/>
      </c>
    </row>
    <row r="15">
      <c r="A15" s="4" t="inlineStr">
        <is>
          <t>Q11</t>
        </is>
      </c>
      <c r="B15" s="4" t="inlineStr">
        <is>
          <t>Authority &amp; Escalation</t>
        </is>
      </c>
      <c r="C15" s="14" t="inlineStr">
        <is>
          <t>Who has authority to declare a security incident? (Role/title)</t>
        </is>
      </c>
      <c r="D15" s="5" t="n"/>
      <c r="E15" s="5" t="n"/>
      <c r="F15" s="5" t="n"/>
      <c r="G15" s="8">
        <f>IF(OR(D15="No", D15="Partial", D15="Informal"), "Yes", "No")</f>
        <v/>
      </c>
    </row>
    <row r="16">
      <c r="A16" s="4" t="inlineStr">
        <is>
          <t>Q12</t>
        </is>
      </c>
      <c r="B16" s="4" t="inlineStr">
        <is>
          <t>Authority &amp; Escalation</t>
        </is>
      </c>
      <c r="C16" s="14" t="inlineStr">
        <is>
          <t>Is there a documented escalation matrix defining when and to whom incidents are escalated?</t>
        </is>
      </c>
      <c r="D16" s="5" t="n"/>
      <c r="E16" s="5" t="n"/>
      <c r="F16" s="5" t="n"/>
      <c r="G16" s="8">
        <f>IF(OR(D16="No", D16="Partial", D16="Informal"), "Yes", "No")</f>
        <v/>
      </c>
    </row>
    <row r="17">
      <c r="A17" s="4" t="inlineStr">
        <is>
          <t>Q13</t>
        </is>
      </c>
      <c r="B17" s="4" t="inlineStr">
        <is>
          <t>Authority &amp; Escalation</t>
        </is>
      </c>
      <c r="C17" s="14" t="inlineStr">
        <is>
          <t>What criteria trigger executive management notification?</t>
        </is>
      </c>
      <c r="D17" s="5" t="n"/>
      <c r="E17" s="5" t="n"/>
      <c r="F17" s="5" t="n"/>
      <c r="G17" s="8">
        <f>IF(OR(D17="No", D17="Partial", D17="Informal"), "Yes", "No")</f>
        <v/>
      </c>
    </row>
    <row r="18">
      <c r="A18" s="4" t="inlineStr">
        <is>
          <t>Q14</t>
        </is>
      </c>
      <c r="B18" s="4" t="inlineStr">
        <is>
          <t>Authority &amp; Escalation</t>
        </is>
      </c>
      <c r="C18" s="14" t="inlineStr">
        <is>
          <t>What criteria trigger Board of Directors notification?</t>
        </is>
      </c>
      <c r="D18" s="5" t="n"/>
      <c r="E18" s="5" t="n"/>
      <c r="F18" s="5" t="n"/>
      <c r="G18" s="8">
        <f>IF(OR(D18="No", D18="Partial", D18="Informal"), "Yes", "No")</f>
        <v/>
      </c>
    </row>
    <row r="19">
      <c r="A19" s="4" t="inlineStr">
        <is>
          <t>Q15</t>
        </is>
      </c>
      <c r="B19" s="4" t="inlineStr">
        <is>
          <t>Authority &amp; Escalation</t>
        </is>
      </c>
      <c r="C19" s="14" t="inlineStr">
        <is>
          <t>Are procedures defined for external notifications (regulators, law enforcement, customers, media)?</t>
        </is>
      </c>
      <c r="D19" s="5" t="n"/>
      <c r="E19" s="5" t="n"/>
      <c r="F19" s="5" t="n"/>
      <c r="G19" s="8">
        <f>IF(OR(D19="No", D19="Partial", D19="Informal"), "Yes", "No")</f>
        <v/>
      </c>
    </row>
    <row r="20">
      <c r="A20" s="4" t="inlineStr">
        <is>
          <t>Q16</t>
        </is>
      </c>
      <c r="B20" s="4" t="inlineStr">
        <is>
          <t>Regulatory Compliance</t>
        </is>
      </c>
      <c r="C20" s="14" t="inlineStr">
        <is>
          <t>Have applicable regulatory incident notification requirements been identified?</t>
        </is>
      </c>
      <c r="D20" s="5" t="n"/>
      <c r="E20" s="5" t="n"/>
      <c r="F20" s="5" t="n"/>
      <c r="G20" s="8">
        <f>IF(OR(D20="No", D20="Partial", D20="Informal"), "Yes", "No")</f>
        <v/>
      </c>
    </row>
    <row r="21">
      <c r="A21" s="4" t="inlineStr">
        <is>
          <t>Q17</t>
        </is>
      </c>
      <c r="B21" s="4" t="inlineStr">
        <is>
          <t>Regulatory Compliance</t>
        </is>
      </c>
      <c r="C21" s="14" t="inlineStr">
        <is>
          <t>(If GDPR applies) Is GDPR 72-hour breach notification procedure documented?</t>
        </is>
      </c>
      <c r="D21" s="5" t="n"/>
      <c r="E21" s="5" t="n"/>
      <c r="F21" s="5" t="n"/>
      <c r="G21" s="8">
        <f>IF(OR(D21="No", D21="Partial", D21="Informal"), "Yes", "No")</f>
        <v/>
      </c>
    </row>
    <row r="22">
      <c r="A22" s="4" t="inlineStr">
        <is>
          <t>Q18</t>
        </is>
      </c>
      <c r="B22" s="4" t="inlineStr">
        <is>
          <t>Regulatory Compliance</t>
        </is>
      </c>
      <c r="C22" s="14" t="inlineStr">
        <is>
          <t>(If Swiss nDSG applies) Is Swiss nDSG breach notification procedure documented?</t>
        </is>
      </c>
      <c r="D22" s="5" t="n"/>
      <c r="E22" s="5" t="n"/>
      <c r="F22" s="5" t="n"/>
      <c r="G22" s="8">
        <f>IF(OR(D22="No", D22="Partial", D22="Informal"), "Yes", "No")</f>
        <v/>
      </c>
    </row>
    <row r="23">
      <c r="A23" s="4" t="inlineStr">
        <is>
          <t>Q19</t>
        </is>
      </c>
      <c r="B23" s="4" t="inlineStr">
        <is>
          <t>Regulatory Compliance</t>
        </is>
      </c>
      <c r="C23" s="14" t="inlineStr">
        <is>
          <t>(If PCI DSS v4.0.1 applies) Is PCI DSS v4.0.1 incident reporting procedure documented?</t>
        </is>
      </c>
      <c r="D23" s="5" t="n"/>
      <c r="E23" s="5" t="n"/>
      <c r="F23" s="5" t="n"/>
      <c r="G23" s="8">
        <f>IF(OR(D23="No", D23="Partial", D23="Informal"), "Yes", "No")</f>
        <v/>
      </c>
    </row>
    <row r="24">
      <c r="A24" s="4" t="inlineStr">
        <is>
          <t>Q20</t>
        </is>
      </c>
      <c r="B24" s="4" t="inlineStr">
        <is>
          <t>Regulatory Compliance</t>
        </is>
      </c>
      <c r="C24" s="14" t="inlineStr">
        <is>
          <t>Are sector-specific incident reporting requirements documented (FINMA, DORA, NIS2, HIPAA, etc.)?</t>
        </is>
      </c>
      <c r="D24" s="5" t="n"/>
      <c r="E24" s="5" t="n"/>
      <c r="F24" s="5" t="n"/>
      <c r="G24" s="8">
        <f>IF(OR(D24="No", D24="Partial", D24="Informal"), "Yes", "No")</f>
        <v/>
      </c>
    </row>
    <row r="25">
      <c r="A25" s="4" t="inlineStr">
        <is>
          <t>Q21</t>
        </is>
      </c>
      <c r="B25" s="4" t="inlineStr">
        <is>
          <t>Exception Management</t>
        </is>
      </c>
      <c r="C25" s="14" t="inlineStr">
        <is>
          <t>Is there a process for exceptions to incident management requirements?</t>
        </is>
      </c>
      <c r="D25" s="5" t="n"/>
      <c r="E25" s="5" t="n"/>
      <c r="F25" s="5" t="n"/>
      <c r="G25" s="8">
        <f>IF(OR(D25="No", D25="Partial", D25="Informal"), "Yes", "No")</f>
        <v/>
      </c>
    </row>
    <row r="26">
      <c r="A26" s="4" t="inlineStr">
        <is>
          <t>Q22</t>
        </is>
      </c>
      <c r="B26" s="4" t="inlineStr">
        <is>
          <t>Exception Management</t>
        </is>
      </c>
      <c r="C26" s="14" t="inlineStr">
        <is>
          <t>Are current exceptions documented and approved?</t>
        </is>
      </c>
      <c r="D26" s="5" t="n"/>
      <c r="E26" s="5" t="n"/>
      <c r="F26" s="5" t="n"/>
      <c r="G26" s="8">
        <f>IF(OR(D26="No", D26="Partial", D26="Informal"), "Yes", "No")</f>
        <v/>
      </c>
    </row>
    <row r="27">
      <c r="A27" s="4" t="inlineStr">
        <is>
          <t>Q23</t>
        </is>
      </c>
      <c r="B27" s="4" t="inlineStr">
        <is>
          <t>Policy Governance</t>
        </is>
      </c>
      <c r="C27" s="14" t="inlineStr">
        <is>
          <t>How is the incident management policy communicated to staff? (Select all: Repository/Onboarding/Training/Other)</t>
        </is>
      </c>
      <c r="D27" s="5" t="n"/>
      <c r="E27" s="5" t="n"/>
      <c r="F27" s="5" t="n"/>
      <c r="G27" s="8">
        <f>IF(OR(D27="No", D27="Partial", D27="Informal"), "Yes", "No")</f>
        <v/>
      </c>
    </row>
    <row r="28">
      <c r="A28" s="4" t="inlineStr">
        <is>
          <t>Q24</t>
        </is>
      </c>
      <c r="B28" s="4" t="inlineStr">
        <is>
          <t>Policy Governance</t>
        </is>
      </c>
      <c r="C28" s="14" t="inlineStr">
        <is>
          <t>Can relevant staff easily access the incident management policy?</t>
        </is>
      </c>
      <c r="D28" s="5" t="n"/>
      <c r="E28" s="5" t="n"/>
      <c r="F28" s="5" t="n"/>
      <c r="G28" s="8">
        <f>IF(OR(D28="No", D28="Partial", D28="Informal"), "Yes", "No")</f>
        <v/>
      </c>
    </row>
    <row r="29">
      <c r="A29" s="4" t="inlineStr">
        <is>
          <t>Q25</t>
        </is>
      </c>
      <c r="B29" s="4" t="inlineStr">
        <is>
          <t>Policy Governance</t>
        </is>
      </c>
      <c r="C29" s="14" t="inlineStr">
        <is>
          <t>When is the next scheduled policy review? (DD.MM.YYYY)</t>
        </is>
      </c>
      <c r="D29" s="5" t="n"/>
      <c r="E29" s="5" t="n"/>
      <c r="F29" s="5" t="n"/>
      <c r="G29" s="8">
        <f>IF(OR(D29="No", D29="Partial", D29="Informal"), "Yes", "No")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25" customWidth="1" min="4" max="4"/>
    <col width="30" customWidth="1" min="5" max="5"/>
    <col width="35" customWidth="1" min="6" max="6"/>
    <col width="12" customWidth="1" min="7" max="7"/>
  </cols>
  <sheetData>
    <row r="1" ht="30" customHeight="1">
      <c r="A1" s="1" t="inlineStr">
        <is>
          <t>Sheet 3: Organizational Structure</t>
        </is>
      </c>
    </row>
    <row r="2">
      <c r="A2" s="12" t="inlineStr">
        <is>
          <t>CSIRT/SOC Model, Roles, Staffing, and RACI (30 Questions)</t>
        </is>
      </c>
    </row>
    <row r="4">
      <c r="A4" s="13" t="inlineStr">
        <is>
          <t>Question_ID</t>
        </is>
      </c>
      <c r="B4" s="13" t="inlineStr">
        <is>
          <t>Section</t>
        </is>
      </c>
      <c r="C4" s="13" t="inlineStr">
        <is>
          <t>Question</t>
        </is>
      </c>
      <c r="D4" s="13" t="inlineStr">
        <is>
          <t>Answer</t>
        </is>
      </c>
      <c r="E4" s="13" t="inlineStr">
        <is>
          <t>Evidence_Reference</t>
        </is>
      </c>
      <c r="F4" s="13" t="inlineStr">
        <is>
          <t>Comments</t>
        </is>
      </c>
      <c r="G4" s="13" t="inlineStr">
        <is>
          <t>Gap_Identified</t>
        </is>
      </c>
    </row>
    <row r="5">
      <c r="A5" s="4" t="inlineStr">
        <is>
          <t>Q26</t>
        </is>
      </c>
      <c r="B5" s="4" t="inlineStr">
        <is>
          <t>CSIRT/SOC Model</t>
        </is>
      </c>
      <c r="C5" s="14" t="inlineStr">
        <is>
          <t>What incident response organizational model does [Organization] use?</t>
        </is>
      </c>
      <c r="D5" s="5" t="n"/>
      <c r="E5" s="5" t="n"/>
      <c r="F5" s="5" t="n"/>
      <c r="G5" s="8">
        <f>IF(OR(D5="No", D5="Vacant", D5="Barely Adequate"), "Yes", "No")</f>
        <v/>
      </c>
    </row>
    <row r="6">
      <c r="A6" s="4" t="inlineStr">
        <is>
          <t>Q27</t>
        </is>
      </c>
      <c r="B6" s="4" t="inlineStr">
        <is>
          <t>CSIRT/SOC Model</t>
        </is>
      </c>
      <c r="C6" s="14" t="inlineStr">
        <is>
          <t>When was the CSIRT/SOC team established? (MM.YYYY)</t>
        </is>
      </c>
      <c r="D6" s="5" t="n"/>
      <c r="E6" s="5" t="n"/>
      <c r="F6" s="5" t="n"/>
      <c r="G6" s="8">
        <f>IF(OR(D6="No", D6="Vacant", D6="Barely Adequate"), "Yes", "No")</f>
        <v/>
      </c>
    </row>
    <row r="7">
      <c r="A7" s="4" t="inlineStr">
        <is>
          <t>Q28</t>
        </is>
      </c>
      <c r="B7" s="4" t="inlineStr">
        <is>
          <t>CSIRT/SOC Model</t>
        </is>
      </c>
      <c r="C7" s="14" t="inlineStr">
        <is>
          <t>What coverage does the CSIRT/SOC provide?</t>
        </is>
      </c>
      <c r="D7" s="5" t="n"/>
      <c r="E7" s="5" t="n"/>
      <c r="F7" s="5" t="n"/>
      <c r="G7" s="8">
        <f>IF(OR(D7="No", D7="Vacant", D7="Barely Adequate"), "Yes", "No")</f>
        <v/>
      </c>
    </row>
    <row r="8">
      <c r="A8" s="4" t="inlineStr">
        <is>
          <t>Q29</t>
        </is>
      </c>
      <c r="B8" s="4" t="inlineStr">
        <is>
          <t>CSIRT/SOC Model</t>
        </is>
      </c>
      <c r="C8" s="14" t="inlineStr">
        <is>
          <t>How many full-time equivalent (FTE) staff are dedicated to incident response?</t>
        </is>
      </c>
      <c r="D8" s="5" t="n"/>
      <c r="E8" s="5" t="n"/>
      <c r="F8" s="5" t="n"/>
      <c r="G8" s="8">
        <f>IF(OR(D8="No", D8="Vacant", D8="Barely Adequate"), "Yes", "No")</f>
        <v/>
      </c>
    </row>
    <row r="9">
      <c r="A9" s="4" t="inlineStr">
        <is>
          <t>Q30</t>
        </is>
      </c>
      <c r="B9" s="4" t="inlineStr">
        <is>
          <t>CSIRT/SOC Model</t>
        </is>
      </c>
      <c r="C9" s="14" t="inlineStr">
        <is>
          <t>To whom does the CSIRT/SOC team report? (Title/Department)</t>
        </is>
      </c>
      <c r="D9" s="5" t="n"/>
      <c r="E9" s="5" t="n"/>
      <c r="F9" s="5" t="n"/>
      <c r="G9" s="8">
        <f>IF(OR(D9="No", D9="Vacant", D9="Barely Adequate"), "Yes", "No")</f>
        <v/>
      </c>
    </row>
    <row r="10">
      <c r="A10" s="4" t="inlineStr">
        <is>
          <t>Q31</t>
        </is>
      </c>
      <c r="B10" s="4" t="inlineStr">
        <is>
          <t>Role Definitions</t>
        </is>
      </c>
      <c r="C10" s="14" t="inlineStr">
        <is>
          <t>Incident Manager - Does role exist? (Yes/No), Assigned to:</t>
        </is>
      </c>
      <c r="D10" s="5" t="n"/>
      <c r="E10" s="5" t="n"/>
      <c r="F10" s="5" t="n"/>
      <c r="G10" s="8">
        <f>IF(OR(D10="No", D10="Vacant", D10="Barely Adequate"), "Yes", "No")</f>
        <v/>
      </c>
    </row>
    <row r="11">
      <c r="A11" s="4" t="inlineStr">
        <is>
          <t>Q32</t>
        </is>
      </c>
      <c r="B11" s="4" t="inlineStr">
        <is>
          <t>Role Definitions</t>
        </is>
      </c>
      <c r="C11" s="14" t="inlineStr">
        <is>
          <t>SOC Analyst Tier 1 - Does role exist? (Yes/No), Assigned to:</t>
        </is>
      </c>
      <c r="D11" s="5" t="n"/>
      <c r="E11" s="5" t="n"/>
      <c r="F11" s="5" t="n"/>
      <c r="G11" s="8">
        <f>IF(OR(D11="No", D11="Vacant", D11="Barely Adequate"), "Yes", "No")</f>
        <v/>
      </c>
    </row>
    <row r="12">
      <c r="A12" s="4" t="inlineStr">
        <is>
          <t>Q33</t>
        </is>
      </c>
      <c r="B12" s="4" t="inlineStr">
        <is>
          <t>Role Definitions</t>
        </is>
      </c>
      <c r="C12" s="14" t="inlineStr">
        <is>
          <t>SOC Analyst Tier 2 - Does role exist? (Yes/No), Assigned to:</t>
        </is>
      </c>
      <c r="D12" s="5" t="n"/>
      <c r="E12" s="5" t="n"/>
      <c r="F12" s="5" t="n"/>
      <c r="G12" s="8">
        <f>IF(OR(D12="No", D12="Vacant", D12="Barely Adequate"), "Yes", "No")</f>
        <v/>
      </c>
    </row>
    <row r="13">
      <c r="A13" s="4" t="inlineStr">
        <is>
          <t>Q34</t>
        </is>
      </c>
      <c r="B13" s="4" t="inlineStr">
        <is>
          <t>Role Definitions</t>
        </is>
      </c>
      <c r="C13" s="14" t="inlineStr">
        <is>
          <t>Forensic Specialist - Does role exist? (Yes/No), Assigned to:</t>
        </is>
      </c>
      <c r="D13" s="5" t="n"/>
      <c r="E13" s="5" t="n"/>
      <c r="F13" s="5" t="n"/>
      <c r="G13" s="8">
        <f>IF(OR(D13="No", D13="Vacant", D13="Barely Adequate"), "Yes", "No")</f>
        <v/>
      </c>
    </row>
    <row r="14">
      <c r="A14" s="4" t="inlineStr">
        <is>
          <t>Q35</t>
        </is>
      </c>
      <c r="B14" s="4" t="inlineStr">
        <is>
          <t>Role Definitions</t>
        </is>
      </c>
      <c r="C14" s="14" t="inlineStr">
        <is>
          <t>Malware Analyst - Does role exist? (Yes/No), Assigned to:</t>
        </is>
      </c>
      <c r="D14" s="5" t="n"/>
      <c r="E14" s="5" t="n"/>
      <c r="F14" s="5" t="n"/>
      <c r="G14" s="8">
        <f>IF(OR(D14="No", D14="Vacant", D14="Barely Adequate"), "Yes", "No")</f>
        <v/>
      </c>
    </row>
    <row r="15">
      <c r="A15" s="4" t="inlineStr">
        <is>
          <t>Q36</t>
        </is>
      </c>
      <c r="B15" s="4" t="inlineStr">
        <is>
          <t>Role Definitions</t>
        </is>
      </c>
      <c r="C15" s="14" t="inlineStr">
        <is>
          <t>Threat Intelligence Analyst - Does role exist? (Yes/No), Assigned to:</t>
        </is>
      </c>
      <c r="D15" s="5" t="n"/>
      <c r="E15" s="5" t="n"/>
      <c r="F15" s="5" t="n"/>
      <c r="G15" s="8">
        <f>IF(OR(D15="No", D15="Vacant", D15="Barely Adequate"), "Yes", "No")</f>
        <v/>
      </c>
    </row>
    <row r="16">
      <c r="A16" s="4" t="inlineStr">
        <is>
          <t>Q37</t>
        </is>
      </c>
      <c r="B16" s="4" t="inlineStr">
        <is>
          <t>Role Definitions</t>
        </is>
      </c>
      <c r="C16" s="14" t="inlineStr">
        <is>
          <t>Communication Coordinator - Does role exist? (Yes/No), Assigned to:</t>
        </is>
      </c>
      <c r="D16" s="5" t="n"/>
      <c r="E16" s="5" t="n"/>
      <c r="F16" s="5" t="n"/>
      <c r="G16" s="8">
        <f>IF(OR(D16="No", D16="Vacant", D16="Barely Adequate"), "Yes", "No")</f>
        <v/>
      </c>
    </row>
    <row r="17">
      <c r="A17" s="4" t="inlineStr">
        <is>
          <t>Q38</t>
        </is>
      </c>
      <c r="B17" s="4" t="inlineStr">
        <is>
          <t>Role Definitions</t>
        </is>
      </c>
      <c r="C17" s="14" t="inlineStr">
        <is>
          <t>Legal Representative - Does role exist? (Yes/No), Assigned to:</t>
        </is>
      </c>
      <c r="D17" s="5" t="n"/>
      <c r="E17" s="5" t="n"/>
      <c r="F17" s="5" t="n"/>
      <c r="G17" s="8">
        <f>IF(OR(D17="No", D17="Vacant", D17="Barely Adequate"), "Yes", "No")</f>
        <v/>
      </c>
    </row>
    <row r="18">
      <c r="A18" s="4" t="inlineStr">
        <is>
          <t>Q39</t>
        </is>
      </c>
      <c r="B18" s="4" t="inlineStr">
        <is>
          <t>Role Definitions</t>
        </is>
      </c>
      <c r="C18" s="14" t="inlineStr">
        <is>
          <t>HR Representative - Does role exist? (Yes/No), Assigned to:</t>
        </is>
      </c>
      <c r="D18" s="5" t="n"/>
      <c r="E18" s="5" t="n"/>
      <c r="F18" s="5" t="n"/>
      <c r="G18" s="8">
        <f>IF(OR(D18="No", D18="Vacant", D18="Barely Adequate"), "Yes", "No")</f>
        <v/>
      </c>
    </row>
    <row r="19">
      <c r="A19" s="4" t="inlineStr">
        <is>
          <t>Q40</t>
        </is>
      </c>
      <c r="B19" s="4" t="inlineStr">
        <is>
          <t>Role Definitions</t>
        </is>
      </c>
      <c r="C19" s="14" t="inlineStr">
        <is>
          <t>IT Operations Liaison - Does role exist? (Yes/No), Assigned to:</t>
        </is>
      </c>
      <c r="D19" s="5" t="n"/>
      <c r="E19" s="5" t="n"/>
      <c r="F19" s="5" t="n"/>
      <c r="G19" s="8">
        <f>IF(OR(D19="No", D19="Vacant", D19="Barely Adequate"), "Yes", "No")</f>
        <v/>
      </c>
    </row>
    <row r="20">
      <c r="A20" s="4" t="inlineStr">
        <is>
          <t>Q41</t>
        </is>
      </c>
      <c r="B20" s="4" t="inlineStr">
        <is>
          <t>Role Definitions</t>
        </is>
      </c>
      <c r="C20" s="14" t="inlineStr">
        <is>
          <t>Business Unit Liaison - Does role exist? (Yes/No), Assigned to:</t>
        </is>
      </c>
      <c r="D20" s="5" t="n"/>
      <c r="E20" s="5" t="n"/>
      <c r="F20" s="5" t="n"/>
      <c r="G20" s="8">
        <f>IF(OR(D20="No", D20="Vacant", D20="Barely Adequate"), "Yes", "No")</f>
        <v/>
      </c>
    </row>
    <row r="21">
      <c r="A21" s="4" t="inlineStr">
        <is>
          <t>Q42</t>
        </is>
      </c>
      <c r="B21" s="4" t="inlineStr">
        <is>
          <t>Role Definitions</t>
        </is>
      </c>
      <c r="C21" s="14" t="inlineStr">
        <is>
          <t>Third-Party Coordinator - Does role exist? (Yes/No), Assigned to:</t>
        </is>
      </c>
      <c r="D21" s="5" t="n"/>
      <c r="E21" s="5" t="n"/>
      <c r="F21" s="5" t="n"/>
      <c r="G21" s="8">
        <f>IF(OR(D21="No", D21="Vacant", D21="Barely Adequate"), "Yes", "No")</f>
        <v/>
      </c>
    </row>
    <row r="22">
      <c r="A22" s="4" t="inlineStr">
        <is>
          <t>Q43</t>
        </is>
      </c>
      <c r="B22" s="4" t="inlineStr">
        <is>
          <t>Role Definitions</t>
        </is>
      </c>
      <c r="C22" s="14" t="inlineStr">
        <is>
          <t>Executive Sponsor - Does role exist? (Yes/No), Assigned to:</t>
        </is>
      </c>
      <c r="D22" s="5" t="n"/>
      <c r="E22" s="5" t="n"/>
      <c r="F22" s="5" t="n"/>
      <c r="G22" s="8">
        <f>IF(OR(D22="No", D22="Vacant", D22="Barely Adequate"), "Yes", "No")</f>
        <v/>
      </c>
    </row>
    <row r="23">
      <c r="A23" s="4" t="inlineStr">
        <is>
          <t>Q44</t>
        </is>
      </c>
      <c r="B23" s="4" t="inlineStr">
        <is>
          <t>Role Definitions</t>
        </is>
      </c>
      <c r="C23" s="14" t="inlineStr">
        <is>
          <t>On-Call Engineer - Does role exist? (Yes/No), Assigned to:</t>
        </is>
      </c>
      <c r="D23" s="5" t="n"/>
      <c r="E23" s="5" t="n"/>
      <c r="F23" s="5" t="n"/>
      <c r="G23" s="8">
        <f>IF(OR(D23="No", D23="Vacant", D23="Barely Adequate"), "Yes", "No")</f>
        <v/>
      </c>
    </row>
    <row r="24">
      <c r="A24" s="4" t="inlineStr">
        <is>
          <t>Q45</t>
        </is>
      </c>
      <c r="B24" s="4" t="inlineStr">
        <is>
          <t>Role Definitions</t>
        </is>
      </c>
      <c r="C24" s="14" t="inlineStr">
        <is>
          <t>Other Roles - List any additional incident response roles:</t>
        </is>
      </c>
      <c r="D24" s="5" t="n"/>
      <c r="E24" s="5" t="n"/>
      <c r="F24" s="5" t="n"/>
      <c r="G24" s="8">
        <f>IF(OR(D24="No", D24="Vacant", D24="Barely Adequate"), "Yes", "No")</f>
        <v/>
      </c>
    </row>
    <row r="25">
      <c r="A25" s="4" t="inlineStr">
        <is>
          <t>Q46</t>
        </is>
      </c>
      <c r="B25" s="4" t="inlineStr">
        <is>
          <t>RACI Matrix</t>
        </is>
      </c>
      <c r="C25" s="14" t="inlineStr">
        <is>
          <t>Is there a documented RACI matrix for incident management roles?</t>
        </is>
      </c>
      <c r="D25" s="5" t="n"/>
      <c r="E25" s="5" t="n"/>
      <c r="F25" s="5" t="n"/>
      <c r="G25" s="8">
        <f>IF(OR(D25="No", D25="Vacant", D25="Barely Adequate"), "Yes", "No")</f>
        <v/>
      </c>
    </row>
    <row r="26">
      <c r="A26" s="4" t="inlineStr">
        <is>
          <t>Q47</t>
        </is>
      </c>
      <c r="B26" s="4" t="inlineStr">
        <is>
          <t>RACI Matrix</t>
        </is>
      </c>
      <c r="C26" s="14" t="inlineStr">
        <is>
          <t>Overall, are roles and responsibilities clear and unambiguous?</t>
        </is>
      </c>
      <c r="D26" s="5" t="n"/>
      <c r="E26" s="5" t="n"/>
      <c r="F26" s="5" t="n"/>
      <c r="G26" s="8">
        <f>IF(OR(D26="No", D26="Vacant", D26="Barely Adequate"), "Yes", "No")</f>
        <v/>
      </c>
    </row>
    <row r="27">
      <c r="A27" s="4" t="inlineStr">
        <is>
          <t>Q48</t>
        </is>
      </c>
      <c r="B27" s="4" t="inlineStr">
        <is>
          <t>RACI Matrix</t>
        </is>
      </c>
      <c r="C27" s="14" t="inlineStr">
        <is>
          <t>When was the RACI matrix last reviewed/updated? (DD.MM.YYYY)</t>
        </is>
      </c>
      <c r="D27" s="5" t="n"/>
      <c r="E27" s="5" t="n"/>
      <c r="F27" s="5" t="n"/>
      <c r="G27" s="8">
        <f>IF(OR(D27="No", D27="Vacant", D27="Barely Adequate"), "Yes", "No")</f>
        <v/>
      </c>
    </row>
    <row r="28">
      <c r="A28" s="4" t="inlineStr">
        <is>
          <t>Q49</t>
        </is>
      </c>
      <c r="B28" s="4" t="inlineStr">
        <is>
          <t>Staffing Adequacy</t>
        </is>
      </c>
      <c r="C28" s="14" t="inlineStr">
        <is>
          <t>Is current staffing adequate to support stated coverage?</t>
        </is>
      </c>
      <c r="D28" s="5" t="n"/>
      <c r="E28" s="5" t="n"/>
      <c r="F28" s="5" t="n"/>
      <c r="G28" s="8">
        <f>IF(OR(D28="No", D28="Vacant", D28="Barely Adequate"), "Yes", "No")</f>
        <v/>
      </c>
    </row>
    <row r="29">
      <c r="A29" s="4" t="inlineStr">
        <is>
          <t>Q50</t>
        </is>
      </c>
      <c r="B29" s="4" t="inlineStr">
        <is>
          <t>Staffing Adequacy</t>
        </is>
      </c>
      <c r="C29" s="14" t="inlineStr">
        <is>
          <t>What is the CSIRT/SOC annual turnover rate? (%)</t>
        </is>
      </c>
      <c r="D29" s="5" t="n"/>
      <c r="E29" s="5" t="n"/>
      <c r="F29" s="5" t="n"/>
      <c r="G29" s="8">
        <f>IF(OR(D29="No", D29="Vacant", D29="Barely Adequate"), "Yes", "No")</f>
        <v/>
      </c>
    </row>
    <row r="30">
      <c r="A30" s="4" t="inlineStr">
        <is>
          <t>Q51</t>
        </is>
      </c>
      <c r="B30" s="4" t="inlineStr">
        <is>
          <t>Staffing Adequacy</t>
        </is>
      </c>
      <c r="C30" s="14" t="inlineStr">
        <is>
          <t>Is there succession planning for key incident response roles?</t>
        </is>
      </c>
      <c r="D30" s="5" t="n"/>
      <c r="E30" s="5" t="n"/>
      <c r="F30" s="5" t="n"/>
      <c r="G30" s="8">
        <f>IF(OR(D30="No", D30="Vacant", D30="Barely Adequate"), "Yes", "No")</f>
        <v/>
      </c>
    </row>
    <row r="31">
      <c r="A31" s="4" t="inlineStr">
        <is>
          <t>Q52</t>
        </is>
      </c>
      <c r="B31" s="4" t="inlineStr">
        <is>
          <t>Staffing Adequacy</t>
        </is>
      </c>
      <c r="C31" s="14" t="inlineStr">
        <is>
          <t>Have skill gaps in the incident response team been identified?</t>
        </is>
      </c>
      <c r="D31" s="5" t="n"/>
      <c r="E31" s="5" t="n"/>
      <c r="F31" s="5" t="n"/>
      <c r="G31" s="8">
        <f>IF(OR(D31="No", D31="Vacant", D31="Barely Adequate"), "Yes", "No")</f>
        <v/>
      </c>
    </row>
    <row r="32">
      <c r="A32" s="4" t="inlineStr">
        <is>
          <t>Q53</t>
        </is>
      </c>
      <c r="B32" s="4" t="inlineStr">
        <is>
          <t>Management Visibility</t>
        </is>
      </c>
      <c r="C32" s="14" t="inlineStr">
        <is>
          <t>How frequently does CSIRT report to management (CISO, CIO, or Executive)?</t>
        </is>
      </c>
      <c r="D32" s="5" t="n"/>
      <c r="E32" s="5" t="n"/>
      <c r="F32" s="5" t="n"/>
      <c r="G32" s="8">
        <f>IF(OR(D32="No", D32="Vacant", D32="Barely Adequate"), "Yes", "No")</f>
        <v/>
      </c>
    </row>
    <row r="33">
      <c r="A33" s="4" t="inlineStr">
        <is>
          <t>Q54</t>
        </is>
      </c>
      <c r="B33" s="4" t="inlineStr">
        <is>
          <t>Management Visibility</t>
        </is>
      </c>
      <c r="C33" s="14" t="inlineStr">
        <is>
          <t>Are incident management performance metrics defined and tracked?</t>
        </is>
      </c>
      <c r="D33" s="5" t="n"/>
      <c r="E33" s="5" t="n"/>
      <c r="F33" s="5" t="n"/>
      <c r="G33" s="8">
        <f>IF(OR(D33="No", D33="Vacant", D33="Barely Adequate"), "Yes", "No")</f>
        <v/>
      </c>
    </row>
    <row r="34">
      <c r="A34" s="4" t="inlineStr">
        <is>
          <t>Q55</t>
        </is>
      </c>
      <c r="B34" s="4" t="inlineStr">
        <is>
          <t>Management Visibility</t>
        </is>
      </c>
      <c r="C34" s="14" t="inlineStr">
        <is>
          <t>Is there a protocol for briefing the Board of Directors on material incidents?</t>
        </is>
      </c>
      <c r="D34" s="5" t="n"/>
      <c r="E34" s="5" t="n"/>
      <c r="F34" s="5" t="n"/>
      <c r="G34" s="8">
        <f>IF(OR(D34="No", D34="Vacant", D34="Barely Adequate"), "Yes", "No")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60" customWidth="1" min="3" max="3"/>
    <col width="25" customWidth="1" min="4" max="4"/>
    <col width="30" customWidth="1" min="5" max="5"/>
    <col width="35" customWidth="1" min="6" max="6"/>
    <col width="12" customWidth="1" min="7" max="7"/>
  </cols>
  <sheetData>
    <row r="1" ht="30" customHeight="1">
      <c r="A1" s="1" t="inlineStr">
        <is>
          <t>Sheet 4: Training &amp; Competency</t>
        </is>
      </c>
    </row>
    <row r="2">
      <c r="A2" s="12" t="inlineStr">
        <is>
          <t>Training Programs, Exercises, and Certifications (25 Questions)</t>
        </is>
      </c>
    </row>
    <row r="4">
      <c r="A4" s="13" t="inlineStr">
        <is>
          <t>Question_ID</t>
        </is>
      </c>
      <c r="B4" s="13" t="inlineStr">
        <is>
          <t>Section</t>
        </is>
      </c>
      <c r="C4" s="13" t="inlineStr">
        <is>
          <t>Question</t>
        </is>
      </c>
      <c r="D4" s="13" t="inlineStr">
        <is>
          <t>Answer</t>
        </is>
      </c>
      <c r="E4" s="13" t="inlineStr">
        <is>
          <t>Evidence_Reference</t>
        </is>
      </c>
      <c r="F4" s="13" t="inlineStr">
        <is>
          <t>Comments</t>
        </is>
      </c>
      <c r="G4" s="13" t="inlineStr">
        <is>
          <t>Gap_Identified</t>
        </is>
      </c>
    </row>
    <row r="5">
      <c r="A5" s="4" t="inlineStr">
        <is>
          <t>Q56</t>
        </is>
      </c>
      <c r="B5" s="4" t="inlineStr">
        <is>
          <t>Training Program</t>
        </is>
      </c>
      <c r="C5" s="14" t="inlineStr">
        <is>
          <t>Does [Organization] have a documented incident response training program?</t>
        </is>
      </c>
      <c r="D5" s="5" t="n"/>
      <c r="E5" s="5" t="n"/>
      <c r="F5" s="5" t="n"/>
      <c r="G5" s="8">
        <f>IF(OR(D5="No", D5&lt;95, D5="Never"), "Yes", "No")</f>
        <v/>
      </c>
    </row>
    <row r="6">
      <c r="A6" s="4" t="inlineStr">
        <is>
          <t>Q57</t>
        </is>
      </c>
      <c r="B6" s="4" t="inlineStr">
        <is>
          <t>Training Program</t>
        </is>
      </c>
      <c r="C6" s="14" t="inlineStr">
        <is>
          <t>Do all staff receive annual security awareness training including incident reporting?</t>
        </is>
      </c>
      <c r="D6" s="5" t="n"/>
      <c r="E6" s="5" t="n"/>
      <c r="F6" s="5" t="n"/>
      <c r="G6" s="8">
        <f>IF(OR(D6="No", D6&lt;95, D6="Never"), "Yes", "No")</f>
        <v/>
      </c>
    </row>
    <row r="7">
      <c r="A7" s="4" t="inlineStr">
        <is>
          <t>Q58</t>
        </is>
      </c>
      <c r="B7" s="4" t="inlineStr">
        <is>
          <t>Training Program</t>
        </is>
      </c>
      <c r="C7" s="14" t="inlineStr">
        <is>
          <t>What percentage of staff completed incident reporting awareness training in the last 12 months? (%)</t>
        </is>
      </c>
      <c r="D7" s="5" t="n"/>
      <c r="E7" s="5" t="n"/>
      <c r="F7" s="5" t="n"/>
      <c r="G7" s="8">
        <f>IF(OR(D7="No", D7&lt;95, D7="Never"), "Yes", "No")</f>
        <v/>
      </c>
    </row>
    <row r="8">
      <c r="A8" s="4" t="inlineStr">
        <is>
          <t>Q59</t>
        </is>
      </c>
      <c r="B8" s="4" t="inlineStr">
        <is>
          <t>Training Program</t>
        </is>
      </c>
      <c r="C8" s="14" t="inlineStr">
        <is>
          <t>Do CSIRT members receive specialized incident response training?</t>
        </is>
      </c>
      <c r="D8" s="5" t="n"/>
      <c r="E8" s="5" t="n"/>
      <c r="F8" s="5" t="n"/>
      <c r="G8" s="8">
        <f>IF(OR(D8="No", D8&lt;95, D8="Never"), "Yes", "No")</f>
        <v/>
      </c>
    </row>
    <row r="9">
      <c r="A9" s="4" t="inlineStr">
        <is>
          <t>Q60</t>
        </is>
      </c>
      <c r="B9" s="4" t="inlineStr">
        <is>
          <t>Training Program</t>
        </is>
      </c>
      <c r="C9" s="14" t="inlineStr">
        <is>
          <t>Is there a dedicated budget for incident response training (courses, certifications, conferences)?</t>
        </is>
      </c>
      <c r="D9" s="5" t="n"/>
      <c r="E9" s="5" t="n"/>
      <c r="F9" s="5" t="n"/>
      <c r="G9" s="8">
        <f>IF(OR(D9="No", D9&lt;95, D9="Never"), "Yes", "No")</f>
        <v/>
      </c>
    </row>
    <row r="10">
      <c r="A10" s="4" t="inlineStr">
        <is>
          <t>Q61</t>
        </is>
      </c>
      <c r="B10" s="4" t="inlineStr">
        <is>
          <t>Tabletop Exercises</t>
        </is>
      </c>
      <c r="C10" s="14" t="inlineStr">
        <is>
          <t>How often does [Organization] conduct incident response tabletop exercises?</t>
        </is>
      </c>
      <c r="D10" s="5" t="n"/>
      <c r="E10" s="5" t="n"/>
      <c r="F10" s="5" t="n"/>
      <c r="G10" s="8">
        <f>IF(OR(D10="No", D10&lt;95, D10="Never"), "Yes", "No")</f>
        <v/>
      </c>
    </row>
    <row r="11">
      <c r="A11" s="4" t="inlineStr">
        <is>
          <t>Q62</t>
        </is>
      </c>
      <c r="B11" s="4" t="inlineStr">
        <is>
          <t>Tabletop Exercises</t>
        </is>
      </c>
      <c r="C11" s="14" t="inlineStr">
        <is>
          <t>When was the most recent tabletop exercise conducted? (DD.MM.YYYY)</t>
        </is>
      </c>
      <c r="D11" s="5" t="n"/>
      <c r="E11" s="5" t="n"/>
      <c r="F11" s="5" t="n"/>
      <c r="G11" s="8">
        <f>IF(OR(D11="No", D11&lt;95, D11="Never"), "Yes", "No")</f>
        <v/>
      </c>
    </row>
    <row r="12">
      <c r="A12" s="4" t="inlineStr">
        <is>
          <t>Q63</t>
        </is>
      </c>
      <c r="B12" s="4" t="inlineStr">
        <is>
          <t>Tabletop Exercises</t>
        </is>
      </c>
      <c r="C12" s="14" t="inlineStr">
        <is>
          <t>Do tabletop exercises cover a variety of incident types?</t>
        </is>
      </c>
      <c r="D12" s="5" t="n"/>
      <c r="E12" s="5" t="n"/>
      <c r="F12" s="5" t="n"/>
      <c r="G12" s="8">
        <f>IF(OR(D12="No", D12&lt;95, D12="Never"), "Yes", "No")</f>
        <v/>
      </c>
    </row>
    <row r="13">
      <c r="A13" s="4" t="inlineStr">
        <is>
          <t>Q64</t>
        </is>
      </c>
      <c r="B13" s="4" t="inlineStr">
        <is>
          <t>Tabletop Exercises</t>
        </is>
      </c>
      <c r="C13" s="14" t="inlineStr">
        <is>
          <t>Who typically participates in tabletop exercises? (Select all: CSIRT/IT Ops/Legal/HR/Management/Executive/Board/External)</t>
        </is>
      </c>
      <c r="D13" s="5" t="n"/>
      <c r="E13" s="5" t="n"/>
      <c r="F13" s="5" t="n"/>
      <c r="G13" s="8">
        <f>IF(OR(D13="No", D13&lt;95, D13="Never"), "Yes", "No")</f>
        <v/>
      </c>
    </row>
    <row r="14">
      <c r="A14" s="4" t="inlineStr">
        <is>
          <t>Q65</t>
        </is>
      </c>
      <c r="B14" s="4" t="inlineStr">
        <is>
          <t>Tabletop Exercises</t>
        </is>
      </c>
      <c r="C14" s="14" t="inlineStr">
        <is>
          <t>Are lessons learned from tabletop exercises documented and acted upon?</t>
        </is>
      </c>
      <c r="D14" s="5" t="n"/>
      <c r="E14" s="5" t="n"/>
      <c r="F14" s="5" t="n"/>
      <c r="G14" s="8">
        <f>IF(OR(D14="No", D14&lt;95, D14="Never"), "Yes", "No")</f>
        <v/>
      </c>
    </row>
    <row r="15">
      <c r="A15" s="4" t="inlineStr">
        <is>
          <t>Q66</t>
        </is>
      </c>
      <c r="B15" s="4" t="inlineStr">
        <is>
          <t>Simulation &amp; Testing</t>
        </is>
      </c>
      <c r="C15" s="14" t="inlineStr">
        <is>
          <t>Does [Organization] conduct full-scale incident response exercises (beyond tabletop)?</t>
        </is>
      </c>
      <c r="D15" s="5" t="n"/>
      <c r="E15" s="5" t="n"/>
      <c r="F15" s="5" t="n"/>
      <c r="G15" s="8">
        <f>IF(OR(D15="No", D15&lt;95, D15="Never"), "Yes", "No")</f>
        <v/>
      </c>
    </row>
    <row r="16">
      <c r="A16" s="4" t="inlineStr">
        <is>
          <t>Q67</t>
        </is>
      </c>
      <c r="B16" s="4" t="inlineStr">
        <is>
          <t>Simulation &amp; Testing</t>
        </is>
      </c>
      <c r="C16" s="14" t="inlineStr">
        <is>
          <t>Does [Organization] use breach simulation or attack simulation tools?</t>
        </is>
      </c>
      <c r="D16" s="5" t="n"/>
      <c r="E16" s="5" t="n"/>
      <c r="F16" s="5" t="n"/>
      <c r="G16" s="8">
        <f>IF(OR(D16="No", D16&lt;95, D16="Never"), "Yes", "No")</f>
        <v/>
      </c>
    </row>
    <row r="17">
      <c r="A17" s="4" t="inlineStr">
        <is>
          <t>Q68</t>
        </is>
      </c>
      <c r="B17" s="4" t="inlineStr">
        <is>
          <t>Simulation &amp; Testing</t>
        </is>
      </c>
      <c r="C17" s="14" t="inlineStr">
        <is>
          <t>Are drills conducted specifically for regulatory breach notification (GDPR 72-hour, PCI DSS v4.0.1, etc.)?</t>
        </is>
      </c>
      <c r="D17" s="5" t="n"/>
      <c r="E17" s="5" t="n"/>
      <c r="F17" s="5" t="n"/>
      <c r="G17" s="8">
        <f>IF(OR(D17="No", D17&lt;95, D17="Never"), "Yes", "No")</f>
        <v/>
      </c>
    </row>
    <row r="18">
      <c r="A18" s="4" t="inlineStr">
        <is>
          <t>Q69</t>
        </is>
      </c>
      <c r="B18" s="4" t="inlineStr">
        <is>
          <t>Competency &amp; Certification</t>
        </is>
      </c>
      <c r="C18" s="14" t="inlineStr">
        <is>
          <t>Are competency requirements defined for incident response roles?</t>
        </is>
      </c>
      <c r="D18" s="5" t="n"/>
      <c r="E18" s="5" t="n"/>
      <c r="F18" s="5" t="n"/>
      <c r="G18" s="8">
        <f>IF(OR(D18="No", D18&lt;95, D18="Never"), "Yes", "No")</f>
        <v/>
      </c>
    </row>
    <row r="19">
      <c r="A19" s="4" t="inlineStr">
        <is>
          <t>Q70</t>
        </is>
      </c>
      <c r="B19" s="4" t="inlineStr">
        <is>
          <t>Competency &amp; Certification</t>
        </is>
      </c>
      <c r="C19" s="14" t="inlineStr">
        <is>
          <t>Does [Organization] track security certifications for CSIRT members?</t>
        </is>
      </c>
      <c r="D19" s="5" t="n"/>
      <c r="E19" s="5" t="n"/>
      <c r="F19" s="5" t="n"/>
      <c r="G19" s="8">
        <f>IF(OR(D19="No", D19&lt;95, D19="Never"), "Yes", "No")</f>
        <v/>
      </c>
    </row>
    <row r="20">
      <c r="A20" s="4" t="inlineStr">
        <is>
          <t>Q71</t>
        </is>
      </c>
      <c r="B20" s="4" t="inlineStr">
        <is>
          <t>Competency &amp; Certification</t>
        </is>
      </c>
      <c r="C20" s="14" t="inlineStr">
        <is>
          <t>Are certifications current (not expired)?</t>
        </is>
      </c>
      <c r="D20" s="5" t="n"/>
      <c r="E20" s="5" t="n"/>
      <c r="F20" s="5" t="n"/>
      <c r="G20" s="8">
        <f>IF(OR(D20="No", D20&lt;95, D20="Never"), "Yes", "No")</f>
        <v/>
      </c>
    </row>
    <row r="21">
      <c r="A21" s="4" t="inlineStr">
        <is>
          <t>Q72</t>
        </is>
      </c>
      <c r="B21" s="4" t="inlineStr">
        <is>
          <t>Competency &amp; Certification</t>
        </is>
      </c>
      <c r="C21" s="14" t="inlineStr">
        <is>
          <t>Is there a documented onboarding process for new CSIRT members?</t>
        </is>
      </c>
      <c r="D21" s="5" t="n"/>
      <c r="E21" s="5" t="n"/>
      <c r="F21" s="5" t="n"/>
      <c r="G21" s="8">
        <f>IF(OR(D21="No", D21&lt;95, D21="Never"), "Yes", "No")</f>
        <v/>
      </c>
    </row>
    <row r="22">
      <c r="A22" s="4" t="inlineStr">
        <is>
          <t>Q73</t>
        </is>
      </c>
      <c r="B22" s="4" t="inlineStr">
        <is>
          <t>Training Effectiveness</t>
        </is>
      </c>
      <c r="C22" s="14" t="inlineStr">
        <is>
          <t>Is training effectiveness measured (beyond completion tracking)?</t>
        </is>
      </c>
      <c r="D22" s="5" t="n"/>
      <c r="E22" s="5" t="n"/>
      <c r="F22" s="5" t="n"/>
      <c r="G22" s="8">
        <f>IF(OR(D22="No", D22&lt;95, D22="Never"), "Yes", "No")</f>
        <v/>
      </c>
    </row>
    <row r="23">
      <c r="A23" s="4" t="inlineStr">
        <is>
          <t>Q74</t>
        </is>
      </c>
      <c r="B23" s="4" t="inlineStr">
        <is>
          <t>Training Effectiveness</t>
        </is>
      </c>
      <c r="C23" s="14" t="inlineStr">
        <is>
          <t>Is feedback collected from training participants?</t>
        </is>
      </c>
      <c r="D23" s="5" t="n"/>
      <c r="E23" s="5" t="n"/>
      <c r="F23" s="5" t="n"/>
      <c r="G23" s="8">
        <f>IF(OR(D23="No", D23&lt;95, D23="Never"), "Yes", "No")</f>
        <v/>
      </c>
    </row>
    <row r="24">
      <c r="A24" s="4" t="inlineStr">
        <is>
          <t>Q75</t>
        </is>
      </c>
      <c r="B24" s="4" t="inlineStr">
        <is>
          <t>Training Effectiveness</t>
        </is>
      </c>
      <c r="C24" s="14" t="inlineStr">
        <is>
          <t>Have training gaps been identified through exercises or actual incidents?</t>
        </is>
      </c>
      <c r="D24" s="5" t="n"/>
      <c r="E24" s="5" t="n"/>
      <c r="F24" s="5" t="n"/>
      <c r="G24" s="8">
        <f>IF(OR(D24="No", D24&lt;95, D24="Never"), "Yes", "No")</f>
        <v/>
      </c>
    </row>
    <row r="25">
      <c r="A25" s="4" t="inlineStr">
        <is>
          <t>Q76</t>
        </is>
      </c>
      <c r="B25" s="4" t="inlineStr">
        <is>
          <t>Training Records</t>
        </is>
      </c>
      <c r="C25" s="14" t="inlineStr">
        <is>
          <t>Are training records maintained and accessible for audit purposes?</t>
        </is>
      </c>
      <c r="D25" s="5" t="n"/>
      <c r="E25" s="5" t="n"/>
      <c r="F25" s="5" t="n"/>
      <c r="G25" s="8">
        <f>IF(OR(D25="No", D25&lt;95, D25="Never"), "Yes", "No")</f>
        <v/>
      </c>
    </row>
    <row r="26">
      <c r="A26" s="4" t="inlineStr">
        <is>
          <t>Q77</t>
        </is>
      </c>
      <c r="B26" s="4" t="inlineStr">
        <is>
          <t>Training Records</t>
        </is>
      </c>
      <c r="C26" s="14" t="inlineStr">
        <is>
          <t>How long are training records retained? (Years)</t>
        </is>
      </c>
      <c r="D26" s="5" t="n"/>
      <c r="E26" s="5" t="n"/>
      <c r="F26" s="5" t="n"/>
      <c r="G26" s="8">
        <f>IF(OR(D26="No", D26&lt;95, D26="Never"), "Yes", "No")</f>
        <v/>
      </c>
    </row>
    <row r="27">
      <c r="A27" s="4" t="inlineStr">
        <is>
          <t>Q78</t>
        </is>
      </c>
      <c r="B27" s="4" t="inlineStr">
        <is>
          <t>External Training</t>
        </is>
      </c>
      <c r="C27" s="14" t="inlineStr">
        <is>
          <t>Have CSIRT members attended external training in the last 12 months?</t>
        </is>
      </c>
      <c r="D27" s="5" t="n"/>
      <c r="E27" s="5" t="n"/>
      <c r="F27" s="5" t="n"/>
      <c r="G27" s="8">
        <f>IF(OR(D27="No", D27&lt;95, D27="Never"), "Yes", "No")</f>
        <v/>
      </c>
    </row>
    <row r="28">
      <c r="A28" s="4" t="inlineStr">
        <is>
          <t>Q79</t>
        </is>
      </c>
      <c r="B28" s="4" t="inlineStr">
        <is>
          <t>Certification Goals</t>
        </is>
      </c>
      <c r="C28" s="14" t="inlineStr">
        <is>
          <t>Are certification goals set for CSIRT members?</t>
        </is>
      </c>
      <c r="D28" s="5" t="n"/>
      <c r="E28" s="5" t="n"/>
      <c r="F28" s="5" t="n"/>
      <c r="G28" s="8">
        <f>IF(OR(D28="No", D28&lt;95, D28="Never"), "Yes", "No")</f>
        <v/>
      </c>
    </row>
    <row r="29">
      <c r="A29" s="4" t="inlineStr">
        <is>
          <t>Q80</t>
        </is>
      </c>
      <c r="B29" s="4" t="inlineStr">
        <is>
          <t>Training Budget</t>
        </is>
      </c>
      <c r="C29" s="14" t="inlineStr">
        <is>
          <t>What percentage of security budget is allocated to incident response training? (%)</t>
        </is>
      </c>
      <c r="D29" s="5" t="n"/>
      <c r="E29" s="5" t="n"/>
      <c r="F29" s="5" t="n"/>
      <c r="G29" s="8">
        <f>IF(OR(D29="No", D29&lt;95, D29="Never"), "Yes", "No")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25" customWidth="1" min="4" max="4"/>
    <col width="30" customWidth="1" min="5" max="5"/>
    <col width="35" customWidth="1" min="6" max="6"/>
    <col width="12" customWidth="1" min="7" max="7"/>
  </cols>
  <sheetData>
    <row r="1" ht="30" customHeight="1">
      <c r="A1" s="1" t="inlineStr">
        <is>
          <t>Sheet 5: Tools &amp; Technology</t>
        </is>
      </c>
    </row>
    <row r="2">
      <c r="A2" s="12" t="inlineStr">
        <is>
          <t>Ticketing, SIEM, Forensics, Communication, and Automation (30 Questions)</t>
        </is>
      </c>
    </row>
    <row r="4">
      <c r="A4" s="13" t="inlineStr">
        <is>
          <t>Question_ID</t>
        </is>
      </c>
      <c r="B4" s="13" t="inlineStr">
        <is>
          <t>Section</t>
        </is>
      </c>
      <c r="C4" s="13" t="inlineStr">
        <is>
          <t>Question</t>
        </is>
      </c>
      <c r="D4" s="13" t="inlineStr">
        <is>
          <t>Answer</t>
        </is>
      </c>
      <c r="E4" s="13" t="inlineStr">
        <is>
          <t>Evidence_Reference</t>
        </is>
      </c>
      <c r="F4" s="13" t="inlineStr">
        <is>
          <t>Comments</t>
        </is>
      </c>
      <c r="G4" s="13" t="inlineStr">
        <is>
          <t>Gap_Identified</t>
        </is>
      </c>
    </row>
    <row r="5">
      <c r="A5" s="4" t="inlineStr">
        <is>
          <t>Q81</t>
        </is>
      </c>
      <c r="B5" s="4" t="inlineStr">
        <is>
          <t>Ticketing</t>
        </is>
      </c>
      <c r="C5" s="14" t="inlineStr">
        <is>
          <t>Does [Organization] have a dedicated incident ticketing/tracking system?</t>
        </is>
      </c>
      <c r="D5" s="5" t="n"/>
      <c r="E5" s="5" t="n"/>
      <c r="F5" s="5" t="n"/>
      <c r="G5" s="8">
        <f>IF(OR(D5="No", D5="None", D5="N/A"), "Yes", "No")</f>
        <v/>
      </c>
    </row>
    <row r="6">
      <c r="A6" s="4" t="inlineStr">
        <is>
          <t>Q82</t>
        </is>
      </c>
      <c r="B6" s="4" t="inlineStr">
        <is>
          <t>Ticketing</t>
        </is>
      </c>
      <c r="C6" s="14" t="inlineStr">
        <is>
          <t>What features does the incident ticketing system provide? (Select all: Creation/Severity/Timeline/Evidence/Tasks/Collaboration/Escalation/Integration/Reporting/Playbooks)</t>
        </is>
      </c>
      <c r="D6" s="5" t="n"/>
      <c r="E6" s="5" t="n"/>
      <c r="F6" s="5" t="n"/>
      <c r="G6" s="8">
        <f>IF(OR(D6="No", D6="None", D6="N/A"), "Yes", "No")</f>
        <v/>
      </c>
    </row>
    <row r="7">
      <c r="A7" s="4" t="inlineStr">
        <is>
          <t>Q83</t>
        </is>
      </c>
      <c r="B7" s="4" t="inlineStr">
        <is>
          <t>Ticketing</t>
        </is>
      </c>
      <c r="C7" s="14" t="inlineStr">
        <is>
          <t>How long are incident tickets retained? (Years)</t>
        </is>
      </c>
      <c r="D7" s="5" t="n"/>
      <c r="E7" s="5" t="n"/>
      <c r="F7" s="5" t="n"/>
      <c r="G7" s="8">
        <f>IF(OR(D7="No", D7="None", D7="N/A"), "Yes", "No")</f>
        <v/>
      </c>
    </row>
    <row r="8">
      <c r="A8" s="4" t="inlineStr">
        <is>
          <t>Q84</t>
        </is>
      </c>
      <c r="B8" s="4" t="inlineStr">
        <is>
          <t>Ticketing</t>
        </is>
      </c>
      <c r="C8" s="14" t="inlineStr">
        <is>
          <t>Are access controls implemented for incident tickets (need-to-know basis)?</t>
        </is>
      </c>
      <c r="D8" s="5" t="n"/>
      <c r="E8" s="5" t="n"/>
      <c r="F8" s="5" t="n"/>
      <c r="G8" s="8">
        <f>IF(OR(D8="No", D8="None", D8="N/A"), "Yes", "No")</f>
        <v/>
      </c>
    </row>
    <row r="9">
      <c r="A9" s="4" t="inlineStr">
        <is>
          <t>Q85</t>
        </is>
      </c>
      <c r="B9" s="4" t="inlineStr">
        <is>
          <t>SIEM</t>
        </is>
      </c>
      <c r="C9" s="14" t="inlineStr">
        <is>
          <t>Does [Organization] have a Security Information and Event Management (SIEM) system?</t>
        </is>
      </c>
      <c r="D9" s="5" t="n"/>
      <c r="E9" s="5" t="n"/>
      <c r="F9" s="5" t="n"/>
      <c r="G9" s="8">
        <f>IF(OR(D9="No", D9="None", D9="N/A"), "Yes", "No")</f>
        <v/>
      </c>
    </row>
    <row r="10">
      <c r="A10" s="4" t="inlineStr">
        <is>
          <t>Q86</t>
        </is>
      </c>
      <c r="B10" s="4" t="inlineStr">
        <is>
          <t>SIEM</t>
        </is>
      </c>
      <c r="C10" s="14" t="inlineStr">
        <is>
          <t>How many log sources feed into the SIEM? (Number)</t>
        </is>
      </c>
      <c r="D10" s="5" t="n"/>
      <c r="E10" s="5" t="n"/>
      <c r="F10" s="5" t="n"/>
      <c r="G10" s="8">
        <f>IF(OR(D10="No", D10="None", D10="N/A"), "Yes", "No")</f>
        <v/>
      </c>
    </row>
    <row r="11">
      <c r="A11" s="4" t="inlineStr">
        <is>
          <t>Q87</t>
        </is>
      </c>
      <c r="B11" s="4" t="inlineStr">
        <is>
          <t>SIEM</t>
        </is>
      </c>
      <c r="C11" s="14" t="inlineStr">
        <is>
          <t>Is the SIEM integrated with the incident ticketing system (automatic ticket creation)?</t>
        </is>
      </c>
      <c r="D11" s="5" t="n"/>
      <c r="E11" s="5" t="n"/>
      <c r="F11" s="5" t="n"/>
      <c r="G11" s="8">
        <f>IF(OR(D11="No", D11="None", D11="N/A"), "Yes", "No")</f>
        <v/>
      </c>
    </row>
    <row r="12">
      <c r="A12" s="4" t="inlineStr">
        <is>
          <t>Q88</t>
        </is>
      </c>
      <c r="B12" s="4" t="inlineStr">
        <is>
          <t>SIEM</t>
        </is>
      </c>
      <c r="C12" s="14" t="inlineStr">
        <is>
          <t>Does the SIEM/SOAR platform support automated playbooks for common incident types?</t>
        </is>
      </c>
      <c r="D12" s="5" t="n"/>
      <c r="E12" s="5" t="n"/>
      <c r="F12" s="5" t="n"/>
      <c r="G12" s="8">
        <f>IF(OR(D12="No", D12="None", D12="N/A"), "Yes", "No")</f>
        <v/>
      </c>
    </row>
    <row r="13">
      <c r="A13" s="4" t="inlineStr">
        <is>
          <t>Q89</t>
        </is>
      </c>
      <c r="B13" s="4" t="inlineStr">
        <is>
          <t>Forensics</t>
        </is>
      </c>
      <c r="C13" s="14" t="inlineStr">
        <is>
          <t>What digital forensic tools are available? (Select all: Disk imaging/Memory acquisition/Memory analysis/Network forensics/Log analysis/Malware analysis/Mobile/Cloud/Commercial suites/None)</t>
        </is>
      </c>
      <c r="D13" s="5" t="n"/>
      <c r="E13" s="5" t="n"/>
      <c r="F13" s="5" t="n"/>
      <c r="G13" s="8">
        <f>IF(OR(D13="No", D13="None", D13="N/A"), "Yes", "No")</f>
        <v/>
      </c>
    </row>
    <row r="14">
      <c r="A14" s="4" t="inlineStr">
        <is>
          <t>Q90</t>
        </is>
      </c>
      <c r="B14" s="4" t="inlineStr">
        <is>
          <t>Forensics</t>
        </is>
      </c>
      <c r="C14" s="14" t="inlineStr">
        <is>
          <t>Are CSIRT members trained in the use of forensic tools?</t>
        </is>
      </c>
      <c r="D14" s="5" t="n"/>
      <c r="E14" s="5" t="n"/>
      <c r="F14" s="5" t="n"/>
      <c r="G14" s="8">
        <f>IF(OR(D14="No", D14="None", D14="N/A"), "Yes", "No")</f>
        <v/>
      </c>
    </row>
    <row r="15">
      <c r="A15" s="4" t="inlineStr">
        <is>
          <t>Q91</t>
        </is>
      </c>
      <c r="B15" s="4" t="inlineStr">
        <is>
          <t>Forensics</t>
        </is>
      </c>
      <c r="C15" s="14" t="inlineStr">
        <is>
          <t>Does [Organization] have a dedicated forensic workstation or lab?</t>
        </is>
      </c>
      <c r="D15" s="5" t="n"/>
      <c r="E15" s="5" t="n"/>
      <c r="F15" s="5" t="n"/>
      <c r="G15" s="8">
        <f>IF(OR(D15="No", D15="None", D15="N/A"), "Yes", "No")</f>
        <v/>
      </c>
    </row>
    <row r="16">
      <c r="A16" s="4" t="inlineStr">
        <is>
          <t>Q92</t>
        </is>
      </c>
      <c r="B16" s="4" t="inlineStr">
        <is>
          <t>Forensics</t>
        </is>
      </c>
      <c r="C16" s="14" t="inlineStr">
        <is>
          <t>Is there secure storage for forensic evidence?</t>
        </is>
      </c>
      <c r="D16" s="5" t="n"/>
      <c r="E16" s="5" t="n"/>
      <c r="F16" s="5" t="n"/>
      <c r="G16" s="8">
        <f>IF(OR(D16="No", D16="None", D16="N/A"), "Yes", "No")</f>
        <v/>
      </c>
    </row>
    <row r="17">
      <c r="A17" s="4" t="inlineStr">
        <is>
          <t>Q93</t>
        </is>
      </c>
      <c r="B17" s="4" t="inlineStr">
        <is>
          <t>Communication</t>
        </is>
      </c>
      <c r="C17" s="14" t="inlineStr">
        <is>
          <t>What tools are used for internal incident response communication? (Select all: Email/Phone/IM/Video/War Room/IR Platform/Encrypted)</t>
        </is>
      </c>
      <c r="D17" s="5" t="n"/>
      <c r="E17" s="5" t="n"/>
      <c r="F17" s="5" t="n"/>
      <c r="G17" s="8">
        <f>IF(OR(D17="No", D17="None", D17="N/A"), "Yes", "No")</f>
        <v/>
      </c>
    </row>
    <row r="18">
      <c r="A18" s="4" t="inlineStr">
        <is>
          <t>Q94</t>
        </is>
      </c>
      <c r="B18" s="4" t="inlineStr">
        <is>
          <t>Communication</t>
        </is>
      </c>
      <c r="C18" s="14" t="inlineStr">
        <is>
          <t>Is there a secure channel for external communications (legal, law enforcement, regulators)?</t>
        </is>
      </c>
      <c r="D18" s="5" t="n"/>
      <c r="E18" s="5" t="n"/>
      <c r="F18" s="5" t="n"/>
      <c r="G18" s="8">
        <f>IF(OR(D18="No", D18="None", D18="N/A"), "Yes", "No")</f>
        <v/>
      </c>
    </row>
    <row r="19">
      <c r="A19" s="4" t="inlineStr">
        <is>
          <t>Q95</t>
        </is>
      </c>
      <c r="B19" s="4" t="inlineStr">
        <is>
          <t>Communication</t>
        </is>
      </c>
      <c r="C19" s="14" t="inlineStr">
        <is>
          <t>How are on-call incident responders alerted?</t>
        </is>
      </c>
      <c r="D19" s="5" t="n"/>
      <c r="E19" s="5" t="n"/>
      <c r="F19" s="5" t="n"/>
      <c r="G19" s="8">
        <f>IF(OR(D19="No", D19="None", D19="N/A"), "Yes", "No")</f>
        <v/>
      </c>
    </row>
    <row r="20">
      <c r="A20" s="4" t="inlineStr">
        <is>
          <t>Q96</t>
        </is>
      </c>
      <c r="B20" s="4" t="inlineStr">
        <is>
          <t>Threat Intel</t>
        </is>
      </c>
      <c r="C20" s="14" t="inlineStr">
        <is>
          <t>Does [Organization] subscribe to threat intelligence feeds?</t>
        </is>
      </c>
      <c r="D20" s="5" t="n"/>
      <c r="E20" s="5" t="n"/>
      <c r="F20" s="5" t="n"/>
      <c r="G20" s="8">
        <f>IF(OR(D20="No", D20="None", D20="N/A"), "Yes", "No")</f>
        <v/>
      </c>
    </row>
    <row r="21">
      <c r="A21" s="4" t="inlineStr">
        <is>
          <t>Q97</t>
        </is>
      </c>
      <c r="B21" s="4" t="inlineStr">
        <is>
          <t>Threat Intel</t>
        </is>
      </c>
      <c r="C21" s="14" t="inlineStr">
        <is>
          <t>Is threat intelligence integrated into SIEM for alerting?</t>
        </is>
      </c>
      <c r="D21" s="5" t="n"/>
      <c r="E21" s="5" t="n"/>
      <c r="F21" s="5" t="n"/>
      <c r="G21" s="8">
        <f>IF(OR(D21="No", D21="None", D21="N/A"), "Yes", "No")</f>
        <v/>
      </c>
    </row>
    <row r="22">
      <c r="A22" s="4" t="inlineStr">
        <is>
          <t>Q98</t>
        </is>
      </c>
      <c r="B22" s="4" t="inlineStr">
        <is>
          <t>Threat Intel</t>
        </is>
      </c>
      <c r="C22" s="14" t="inlineStr">
        <is>
          <t>Is there a dedicated threat intelligence analyst role?</t>
        </is>
      </c>
      <c r="D22" s="5" t="n"/>
      <c r="E22" s="5" t="n"/>
      <c r="F22" s="5" t="n"/>
      <c r="G22" s="8">
        <f>IF(OR(D22="No", D22="None", D22="N/A"), "Yes", "No")</f>
        <v/>
      </c>
    </row>
    <row r="23">
      <c r="A23" s="4" t="inlineStr">
        <is>
          <t>Q99</t>
        </is>
      </c>
      <c r="B23" s="4" t="inlineStr">
        <is>
          <t>Automation</t>
        </is>
      </c>
      <c r="C23" s="14" t="inlineStr">
        <is>
          <t>What level of incident response automation exists?</t>
        </is>
      </c>
      <c r="D23" s="5" t="n"/>
      <c r="E23" s="5" t="n"/>
      <c r="F23" s="5" t="n"/>
      <c r="G23" s="8">
        <f>IF(OR(D23="No", D23="None", D23="N/A"), "Yes", "No")</f>
        <v/>
      </c>
    </row>
    <row r="24">
      <c r="A24" s="4" t="inlineStr">
        <is>
          <t>Q100</t>
        </is>
      </c>
      <c r="B24" s="4" t="inlineStr">
        <is>
          <t>Automation</t>
        </is>
      </c>
      <c r="C24" s="14" t="inlineStr">
        <is>
          <t>How many documented/automated playbooks exist? (Number)</t>
        </is>
      </c>
      <c r="D24" s="5" t="n"/>
      <c r="E24" s="5" t="n"/>
      <c r="F24" s="5" t="n"/>
      <c r="G24" s="8">
        <f>IF(OR(D24="No", D24="None", D24="N/A"), "Yes", "No")</f>
        <v/>
      </c>
    </row>
    <row r="25">
      <c r="A25" s="4" t="inlineStr">
        <is>
          <t>Q101</t>
        </is>
      </c>
      <c r="B25" s="4" t="inlineStr">
        <is>
          <t>Automation</t>
        </is>
      </c>
      <c r="C25" s="14" t="inlineStr">
        <is>
          <t>Are playbooks regularly reviewed and updated?</t>
        </is>
      </c>
      <c r="D25" s="5" t="n"/>
      <c r="E25" s="5" t="n"/>
      <c r="F25" s="5" t="n"/>
      <c r="G25" s="8">
        <f>IF(OR(D25="No", D25="None", D25="N/A"), "Yes", "No")</f>
        <v/>
      </c>
    </row>
    <row r="26">
      <c r="A26" s="4" t="inlineStr">
        <is>
          <t>Q102</t>
        </is>
      </c>
      <c r="B26" s="4" t="inlineStr">
        <is>
          <t>Tool Gaps</t>
        </is>
      </c>
      <c r="C26" s="14" t="inlineStr">
        <is>
          <t>Are there critical tool gaps preventing effective incident response?</t>
        </is>
      </c>
      <c r="D26" s="5" t="n"/>
      <c r="E26" s="5" t="n"/>
      <c r="F26" s="5" t="n"/>
      <c r="G26" s="8">
        <f>IF(OR(D26="No", D26="None", D26="N/A"), "Yes", "No")</f>
        <v/>
      </c>
    </row>
    <row r="27">
      <c r="A27" s="4" t="inlineStr">
        <is>
          <t>Q103</t>
        </is>
      </c>
      <c r="B27" s="4" t="inlineStr">
        <is>
          <t>Tool Gaps</t>
        </is>
      </c>
      <c r="C27" s="14" t="inlineStr">
        <is>
          <t>Are tool gaps being addressed (budget approved, procurement in progress)?</t>
        </is>
      </c>
      <c r="D27" s="5" t="n"/>
      <c r="E27" s="5" t="n"/>
      <c r="F27" s="5" t="n"/>
      <c r="G27" s="8">
        <f>IF(OR(D27="No", D27="None", D27="N/A"), "Yes", "No")</f>
        <v/>
      </c>
    </row>
    <row r="28">
      <c r="A28" s="4" t="inlineStr">
        <is>
          <t>Q104</t>
        </is>
      </c>
      <c r="B28" s="4" t="inlineStr">
        <is>
          <t>Tool Gaps</t>
        </is>
      </c>
      <c r="C28" s="14" t="inlineStr">
        <is>
          <t>Are there challenges integrating incident response tools?</t>
        </is>
      </c>
      <c r="D28" s="5" t="n"/>
      <c r="E28" s="5" t="n"/>
      <c r="F28" s="5" t="n"/>
      <c r="G28" s="8">
        <f>IF(OR(D28="No", D28="None", D28="N/A"), "Yes", "No")</f>
        <v/>
      </c>
    </row>
    <row r="29">
      <c r="A29" s="4" t="inlineStr">
        <is>
          <t>Q105</t>
        </is>
      </c>
      <c r="B29" s="4" t="inlineStr">
        <is>
          <t>Tool Inventory</t>
        </is>
      </c>
      <c r="C29" s="14" t="inlineStr">
        <is>
          <t>Is there a documented inventory of all incident response tools?</t>
        </is>
      </c>
      <c r="D29" s="5" t="n"/>
      <c r="E29" s="5" t="n"/>
      <c r="F29" s="5" t="n"/>
      <c r="G29" s="8">
        <f>IF(OR(D29="No", D29="None", D29="N/A"), "Yes", "No")</f>
        <v/>
      </c>
    </row>
    <row r="30">
      <c r="A30" s="4" t="inlineStr">
        <is>
          <t>Q106</t>
        </is>
      </c>
      <c r="B30" s="4" t="inlineStr">
        <is>
          <t>Tool Licensing</t>
        </is>
      </c>
      <c r="C30" s="14" t="inlineStr">
        <is>
          <t>Are all incident response tools properly licensed?</t>
        </is>
      </c>
      <c r="D30" s="5" t="n"/>
      <c r="E30" s="5" t="n"/>
      <c r="F30" s="5" t="n"/>
      <c r="G30" s="8">
        <f>IF(OR(D30="No", D30="None", D30="N/A"), "Yes", "No")</f>
        <v/>
      </c>
    </row>
    <row r="31">
      <c r="A31" s="4" t="inlineStr">
        <is>
          <t>Q107</t>
        </is>
      </c>
      <c r="B31" s="4" t="inlineStr">
        <is>
          <t>Tool Maintenance</t>
        </is>
      </c>
      <c r="C31" s="14" t="inlineStr">
        <is>
          <t>Are incident response tools regularly updated and maintained?</t>
        </is>
      </c>
      <c r="D31" s="5" t="n"/>
      <c r="E31" s="5" t="n"/>
      <c r="F31" s="5" t="n"/>
      <c r="G31" s="8">
        <f>IF(OR(D31="No", D31="None", D31="N/A"), "Yes", "No")</f>
        <v/>
      </c>
    </row>
    <row r="32">
      <c r="A32" s="4" t="inlineStr">
        <is>
          <t>Q108</t>
        </is>
      </c>
      <c r="B32" s="4" t="inlineStr">
        <is>
          <t>Tool Training</t>
        </is>
      </c>
      <c r="C32" s="14" t="inlineStr">
        <is>
          <t>Do CSIRT members receive training on all critical tools?</t>
        </is>
      </c>
      <c r="D32" s="5" t="n"/>
      <c r="E32" s="5" t="n"/>
      <c r="F32" s="5" t="n"/>
      <c r="G32" s="8">
        <f>IF(OR(D32="No", D32="None", D32="N/A"), "Yes", "No")</f>
        <v/>
      </c>
    </row>
    <row r="33">
      <c r="A33" s="4" t="inlineStr">
        <is>
          <t>Q109</t>
        </is>
      </c>
      <c r="B33" s="4" t="inlineStr">
        <is>
          <t>Tool Documentation</t>
        </is>
      </c>
      <c r="C33" s="14" t="inlineStr">
        <is>
          <t>Is tool documentation maintained and accessible?</t>
        </is>
      </c>
      <c r="D33" s="5" t="n"/>
      <c r="E33" s="5" t="n"/>
      <c r="F33" s="5" t="n"/>
      <c r="G33" s="8">
        <f>IF(OR(D33="No", D33="None", D33="N/A"), "Yes", "No")</f>
        <v/>
      </c>
    </row>
    <row r="34">
      <c r="A34" s="4" t="inlineStr">
        <is>
          <t>Q110</t>
        </is>
      </c>
      <c r="B34" s="4" t="inlineStr">
        <is>
          <t>Tool Testing</t>
        </is>
      </c>
      <c r="C34" s="14" t="inlineStr">
        <is>
          <t>Are incident response tools tested regularly?</t>
        </is>
      </c>
      <c r="D34" s="5" t="n"/>
      <c r="E34" s="5" t="n"/>
      <c r="F34" s="5" t="n"/>
      <c r="G34" s="8">
        <f>IF(OR(D34="No", D34="None", D34="N/A"), "Yes", "No")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60" customWidth="1" min="3" max="3"/>
    <col width="25" customWidth="1" min="4" max="4"/>
    <col width="30" customWidth="1" min="5" max="5"/>
    <col width="35" customWidth="1" min="6" max="6"/>
    <col width="12" customWidth="1" min="7" max="7"/>
  </cols>
  <sheetData>
    <row r="1" ht="30" customHeight="1">
      <c r="A1" s="1" t="inlineStr">
        <is>
          <t>Sheet 6: Integration Assessment</t>
        </is>
      </c>
    </row>
    <row r="2">
      <c r="A2" s="12" t="inlineStr">
        <is>
          <t>Integration with Logging, Monitoring, BC/DR, and Other Controls (25 Questions)</t>
        </is>
      </c>
    </row>
    <row r="4">
      <c r="A4" s="13" t="inlineStr">
        <is>
          <t>Question_ID</t>
        </is>
      </c>
      <c r="B4" s="13" t="inlineStr">
        <is>
          <t>Section</t>
        </is>
      </c>
      <c r="C4" s="13" t="inlineStr">
        <is>
          <t>Question</t>
        </is>
      </c>
      <c r="D4" s="13" t="inlineStr">
        <is>
          <t>Answer</t>
        </is>
      </c>
      <c r="E4" s="13" t="inlineStr">
        <is>
          <t>Evidence_Reference</t>
        </is>
      </c>
      <c r="F4" s="13" t="inlineStr">
        <is>
          <t>Comments</t>
        </is>
      </c>
      <c r="G4" s="13" t="inlineStr">
        <is>
          <t>Gap_Identified</t>
        </is>
      </c>
    </row>
    <row r="5">
      <c r="A5" s="4" t="inlineStr">
        <is>
          <t>Q111</t>
        </is>
      </c>
      <c r="B5" s="4" t="inlineStr">
        <is>
          <t>Logging Integration</t>
        </is>
      </c>
      <c r="C5" s="14" t="inlineStr">
        <is>
          <t>Is incident management integrated with logging infrastructure (A.8.15)?</t>
        </is>
      </c>
      <c r="D5" s="5" t="n"/>
      <c r="E5" s="5" t="n"/>
      <c r="F5" s="5" t="n"/>
      <c r="G5" s="8">
        <f>IF(OR(D5="No", D5="Informal"), "Yes", "No")</f>
        <v/>
      </c>
    </row>
    <row r="6">
      <c r="A6" s="4" t="inlineStr">
        <is>
          <t>Q112</t>
        </is>
      </c>
      <c r="B6" s="4" t="inlineStr">
        <is>
          <t>Logging Integration</t>
        </is>
      </c>
      <c r="C6" s="14" t="inlineStr">
        <is>
          <t>Are logs readily available to CSIRT during incidents?</t>
        </is>
      </c>
      <c r="D6" s="5" t="n"/>
      <c r="E6" s="5" t="n"/>
      <c r="F6" s="5" t="n"/>
      <c r="G6" s="8">
        <f>IF(OR(D6="No", D6="Informal"), "Yes", "No")</f>
        <v/>
      </c>
    </row>
    <row r="7">
      <c r="A7" s="4" t="inlineStr">
        <is>
          <t>Q113</t>
        </is>
      </c>
      <c r="B7" s="4" t="inlineStr">
        <is>
          <t>Logging Integration</t>
        </is>
      </c>
      <c r="C7" s="14" t="inlineStr">
        <is>
          <t>Is log retention adequate for incident investigation?</t>
        </is>
      </c>
      <c r="D7" s="5" t="n"/>
      <c r="E7" s="5" t="n"/>
      <c r="F7" s="5" t="n"/>
      <c r="G7" s="8">
        <f>IF(OR(D7="No", D7="Informal"), "Yes", "No")</f>
        <v/>
      </c>
    </row>
    <row r="8">
      <c r="A8" s="4" t="inlineStr">
        <is>
          <t>Q114</t>
        </is>
      </c>
      <c r="B8" s="4" t="inlineStr">
        <is>
          <t>Monitoring Integration</t>
        </is>
      </c>
      <c r="C8" s="14" t="inlineStr">
        <is>
          <t>Is incident management integrated with security monitoring (A.8.16)?</t>
        </is>
      </c>
      <c r="D8" s="5" t="n"/>
      <c r="E8" s="5" t="n"/>
      <c r="F8" s="5" t="n"/>
      <c r="G8" s="8">
        <f>IF(OR(D8="No", D8="Informal"), "Yes", "No")</f>
        <v/>
      </c>
    </row>
    <row r="9">
      <c r="A9" s="4" t="inlineStr">
        <is>
          <t>Q115</t>
        </is>
      </c>
      <c r="B9" s="4" t="inlineStr">
        <is>
          <t>Monitoring Integration</t>
        </is>
      </c>
      <c r="C9" s="14" t="inlineStr">
        <is>
          <t>Is there a defined workflow from security alert to incident declaration?</t>
        </is>
      </c>
      <c r="D9" s="5" t="n"/>
      <c r="E9" s="5" t="n"/>
      <c r="F9" s="5" t="n"/>
      <c r="G9" s="8">
        <f>IF(OR(D9="No", D9="Informal"), "Yes", "No")</f>
        <v/>
      </c>
    </row>
    <row r="10">
      <c r="A10" s="4" t="inlineStr">
        <is>
          <t>Q116</t>
        </is>
      </c>
      <c r="B10" s="4" t="inlineStr">
        <is>
          <t>Monitoring Integration</t>
        </is>
      </c>
      <c r="C10" s="14" t="inlineStr">
        <is>
          <t>Is the false positive rate from monitoring tracked?</t>
        </is>
      </c>
      <c r="D10" s="5" t="n"/>
      <c r="E10" s="5" t="n"/>
      <c r="F10" s="5" t="n"/>
      <c r="G10" s="8">
        <f>IF(OR(D10="No", D10="Informal"), "Yes", "No")</f>
        <v/>
      </c>
    </row>
    <row r="11">
      <c r="A11" s="4" t="inlineStr">
        <is>
          <t>Q117</t>
        </is>
      </c>
      <c r="B11" s="4" t="inlineStr">
        <is>
          <t>User Reporting</t>
        </is>
      </c>
      <c r="C11" s="14" t="inlineStr">
        <is>
          <t>Is there a mechanism for users to report security events (A.6.8 integration)?</t>
        </is>
      </c>
      <c r="D11" s="5" t="n"/>
      <c r="E11" s="5" t="n"/>
      <c r="F11" s="5" t="n"/>
      <c r="G11" s="8">
        <f>IF(OR(D11="No", D11="Informal"), "Yes", "No")</f>
        <v/>
      </c>
    </row>
    <row r="12">
      <c r="A12" s="4" t="inlineStr">
        <is>
          <t>Q118</t>
        </is>
      </c>
      <c r="B12" s="4" t="inlineStr">
        <is>
          <t>User Reporting</t>
        </is>
      </c>
      <c r="C12" s="14" t="inlineStr">
        <is>
          <t>Are user-reported events integrated into incident ticketing system?</t>
        </is>
      </c>
      <c r="D12" s="5" t="n"/>
      <c r="E12" s="5" t="n"/>
      <c r="F12" s="5" t="n"/>
      <c r="G12" s="8">
        <f>IF(OR(D12="No", D12="Informal"), "Yes", "No")</f>
        <v/>
      </c>
    </row>
    <row r="13">
      <c r="A13" s="4" t="inlineStr">
        <is>
          <t>Q119</t>
        </is>
      </c>
      <c r="B13" s="4" t="inlineStr">
        <is>
          <t>User Reporting</t>
        </is>
      </c>
      <c r="C13" s="14" t="inlineStr">
        <is>
          <t>Do users know how to report security incidents?</t>
        </is>
      </c>
      <c r="D13" s="5" t="n"/>
      <c r="E13" s="5" t="n"/>
      <c r="F13" s="5" t="n"/>
      <c r="G13" s="8">
        <f>IF(OR(D13="No", D13="Informal"), "Yes", "No")</f>
        <v/>
      </c>
    </row>
    <row r="14">
      <c r="A14" s="4" t="inlineStr">
        <is>
          <t>Q120</t>
        </is>
      </c>
      <c r="B14" s="4" t="inlineStr">
        <is>
          <t>BC/DR Integration</t>
        </is>
      </c>
      <c r="C14" s="14" t="inlineStr">
        <is>
          <t>Is incident management integrated with Business Continuity / Disaster Recovery (A.5.29-30)?</t>
        </is>
      </c>
      <c r="D14" s="5" t="n"/>
      <c r="E14" s="5" t="n"/>
      <c r="F14" s="5" t="n"/>
      <c r="G14" s="8">
        <f>IF(OR(D14="No", D14="Informal"), "Yes", "No")</f>
        <v/>
      </c>
    </row>
    <row r="15">
      <c r="A15" s="4" t="inlineStr">
        <is>
          <t>Q121</t>
        </is>
      </c>
      <c r="B15" s="4" t="inlineStr">
        <is>
          <t>BC/DR Integration</t>
        </is>
      </c>
      <c r="C15" s="14" t="inlineStr">
        <is>
          <t>Are criteria defined for when an incident triggers BC/DR activation?</t>
        </is>
      </c>
      <c r="D15" s="5" t="n"/>
      <c r="E15" s="5" t="n"/>
      <c r="F15" s="5" t="n"/>
      <c r="G15" s="8">
        <f>IF(OR(D15="No", D15="Informal"), "Yes", "No")</f>
        <v/>
      </c>
    </row>
    <row r="16">
      <c r="A16" s="4" t="inlineStr">
        <is>
          <t>Q122</t>
        </is>
      </c>
      <c r="B16" s="4" t="inlineStr">
        <is>
          <t>BC/DR Integration</t>
        </is>
      </c>
      <c r="C16" s="14" t="inlineStr">
        <is>
          <t>Is CSIRT's role defined in BC/DR plans?</t>
        </is>
      </c>
      <c r="D16" s="5" t="n"/>
      <c r="E16" s="5" t="n"/>
      <c r="F16" s="5" t="n"/>
      <c r="G16" s="8">
        <f>IF(OR(D16="No", D16="Informal"), "Yes", "No")</f>
        <v/>
      </c>
    </row>
    <row r="17">
      <c r="A17" s="4" t="inlineStr">
        <is>
          <t>Q123</t>
        </is>
      </c>
      <c r="B17" s="4" t="inlineStr">
        <is>
          <t>Third-Party Coordination</t>
        </is>
      </c>
      <c r="C17" s="14" t="inlineStr">
        <is>
          <t>Are procedures defined for incidents involving third parties (suppliers, MSSPs)?</t>
        </is>
      </c>
      <c r="D17" s="5" t="n"/>
      <c r="E17" s="5" t="n"/>
      <c r="F17" s="5" t="n"/>
      <c r="G17" s="8">
        <f>IF(OR(D17="No", D17="Informal"), "Yes", "No")</f>
        <v/>
      </c>
    </row>
    <row r="18">
      <c r="A18" s="4" t="inlineStr">
        <is>
          <t>Q124</t>
        </is>
      </c>
      <c r="B18" s="4" t="inlineStr">
        <is>
          <t>Third-Party Coordination</t>
        </is>
      </c>
      <c r="C18" s="14" t="inlineStr">
        <is>
          <t>(If MSSP/outsourced SOC) Are SLAs defined for incident detection and escalation?</t>
        </is>
      </c>
      <c r="D18" s="5" t="n"/>
      <c r="E18" s="5" t="n"/>
      <c r="F18" s="5" t="n"/>
      <c r="G18" s="8">
        <f>IF(OR(D18="No", D18="Informal"), "Yes", "No")</f>
        <v/>
      </c>
    </row>
    <row r="19">
      <c r="A19" s="4" t="inlineStr">
        <is>
          <t>Q125</t>
        </is>
      </c>
      <c r="B19" s="4" t="inlineStr">
        <is>
          <t>Third-Party Coordination</t>
        </is>
      </c>
      <c r="C19" s="14" t="inlineStr">
        <is>
          <t>Do suppliers know how to report security incidents to [Organization]?</t>
        </is>
      </c>
      <c r="D19" s="5" t="n"/>
      <c r="E19" s="5" t="n"/>
      <c r="F19" s="5" t="n"/>
      <c r="G19" s="8">
        <f>IF(OR(D19="No", D19="Informal"), "Yes", "No")</f>
        <v/>
      </c>
    </row>
    <row r="20">
      <c r="A20" s="4" t="inlineStr">
        <is>
          <t>Q126</t>
        </is>
      </c>
      <c r="B20" s="4" t="inlineStr">
        <is>
          <t>Legal &amp; Regulatory</t>
        </is>
      </c>
      <c r="C20" s="14" t="inlineStr">
        <is>
          <t>Is Legal/Compliance involvement in incident management clearly defined?</t>
        </is>
      </c>
      <c r="D20" s="5" t="n"/>
      <c r="E20" s="5" t="n"/>
      <c r="F20" s="5" t="n"/>
      <c r="G20" s="8">
        <f>IF(OR(D20="No", D20="Informal"), "Yes", "No")</f>
        <v/>
      </c>
    </row>
    <row r="21">
      <c r="A21" s="4" t="inlineStr">
        <is>
          <t>Q127</t>
        </is>
      </c>
      <c r="B21" s="4" t="inlineStr">
        <is>
          <t>Legal &amp; Regulatory</t>
        </is>
      </c>
      <c r="C21" s="14" t="inlineStr">
        <is>
          <t>(If GDPR applicable) Is the Data Protection Officer (DPO) integrated into incident management?</t>
        </is>
      </c>
      <c r="D21" s="5" t="n"/>
      <c r="E21" s="5" t="n"/>
      <c r="F21" s="5" t="n"/>
      <c r="G21" s="8">
        <f>IF(OR(D21="No", D21="Informal"), "Yes", "No")</f>
        <v/>
      </c>
    </row>
    <row r="22">
      <c r="A22" s="4" t="inlineStr">
        <is>
          <t>Q128</t>
        </is>
      </c>
      <c r="B22" s="4" t="inlineStr">
        <is>
          <t>Legal &amp; Regulatory</t>
        </is>
      </c>
      <c r="C22" s="14" t="inlineStr">
        <is>
          <t>Are procedures defined for coordinating with law enforcement?</t>
        </is>
      </c>
      <c r="D22" s="5" t="n"/>
      <c r="E22" s="5" t="n"/>
      <c r="F22" s="5" t="n"/>
      <c r="G22" s="8">
        <f>IF(OR(D22="No", D22="Informal"), "Yes", "No")</f>
        <v/>
      </c>
    </row>
    <row r="23">
      <c r="A23" s="4" t="inlineStr">
        <is>
          <t>Q129</t>
        </is>
      </c>
      <c r="B23" s="4" t="inlineStr">
        <is>
          <t>Asset Management</t>
        </is>
      </c>
      <c r="C23" s="14" t="inlineStr">
        <is>
          <t>Is incident management integrated with asset management (A.5.9)?</t>
        </is>
      </c>
      <c r="D23" s="5" t="n"/>
      <c r="E23" s="5" t="n"/>
      <c r="F23" s="5" t="n"/>
      <c r="G23" s="8">
        <f>IF(OR(D23="No", D23="Informal"), "Yes", "No")</f>
        <v/>
      </c>
    </row>
    <row r="24">
      <c r="A24" s="4" t="inlineStr">
        <is>
          <t>Q130</t>
        </is>
      </c>
      <c r="B24" s="4" t="inlineStr">
        <is>
          <t>Access Control</t>
        </is>
      </c>
      <c r="C24" s="14" t="inlineStr">
        <is>
          <t>Is incident management integrated with access control processes (A.5.15-18)?</t>
        </is>
      </c>
      <c r="D24" s="5" t="n"/>
      <c r="E24" s="5" t="n"/>
      <c r="F24" s="5" t="n"/>
      <c r="G24" s="8">
        <f>IF(OR(D24="No", D24="Informal"), "Yes", "No")</f>
        <v/>
      </c>
    </row>
    <row r="25">
      <c r="A25" s="4" t="inlineStr">
        <is>
          <t>Q131</t>
        </is>
      </c>
      <c r="B25" s="4" t="inlineStr">
        <is>
          <t>Change Management</t>
        </is>
      </c>
      <c r="C25" s="14" t="inlineStr">
        <is>
          <t>Is incident management integrated with change management (A.8.32)?</t>
        </is>
      </c>
      <c r="D25" s="5" t="n"/>
      <c r="E25" s="5" t="n"/>
      <c r="F25" s="5" t="n"/>
      <c r="G25" s="8">
        <f>IF(OR(D25="No", D25="Informal"), "Yes", "No")</f>
        <v/>
      </c>
    </row>
    <row r="26">
      <c r="A26" s="4" t="inlineStr">
        <is>
          <t>Q132</t>
        </is>
      </c>
      <c r="B26" s="4" t="inlineStr">
        <is>
          <t>Vulnerability Management</t>
        </is>
      </c>
      <c r="C26" s="14" t="inlineStr">
        <is>
          <t>Is incident management integrated with vulnerability management (A.8.8)?</t>
        </is>
      </c>
      <c r="D26" s="5" t="n"/>
      <c r="E26" s="5" t="n"/>
      <c r="F26" s="5" t="n"/>
      <c r="G26" s="8">
        <f>IF(OR(D26="No", D26="Informal"), "Yes", "No")</f>
        <v/>
      </c>
    </row>
    <row r="27">
      <c r="A27" s="4" t="inlineStr">
        <is>
          <t>Q133</t>
        </is>
      </c>
      <c r="B27" s="4" t="inlineStr">
        <is>
          <t>Patch Management</t>
        </is>
      </c>
      <c r="C27" s="14" t="inlineStr">
        <is>
          <t>Is incident management integrated with patch management (A.8.19)?</t>
        </is>
      </c>
      <c r="D27" s="5" t="n"/>
      <c r="E27" s="5" t="n"/>
      <c r="F27" s="5" t="n"/>
      <c r="G27" s="8">
        <f>IF(OR(D27="No", D27="Informal"), "Yes", "No")</f>
        <v/>
      </c>
    </row>
    <row r="28">
      <c r="A28" s="4" t="inlineStr">
        <is>
          <t>Q134</t>
        </is>
      </c>
      <c r="B28" s="4" t="inlineStr">
        <is>
          <t>Risk Assessment</t>
        </is>
      </c>
      <c r="C28" s="14" t="inlineStr">
        <is>
          <t>Are incident trends fed back into risk assessment processes (A.5.8)?</t>
        </is>
      </c>
      <c r="D28" s="5" t="n"/>
      <c r="E28" s="5" t="n"/>
      <c r="F28" s="5" t="n"/>
      <c r="G28" s="8">
        <f>IF(OR(D28="No", D28="Informal"), "Yes", "No")</f>
        <v/>
      </c>
    </row>
    <row r="29">
      <c r="A29" s="4" t="inlineStr">
        <is>
          <t>Q135</t>
        </is>
      </c>
      <c r="B29" s="4" t="inlineStr">
        <is>
          <t>Audit &amp; Compliance</t>
        </is>
      </c>
      <c r="C29" s="14" t="inlineStr">
        <is>
          <t>Are incident records available for audit and compliance reviews?</t>
        </is>
      </c>
      <c r="D29" s="5" t="n"/>
      <c r="E29" s="5" t="n"/>
      <c r="F29" s="5" t="n"/>
      <c r="G29" s="8">
        <f>IF(OR(D29="No", D29="Informal"), "Yes", "No")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0" customWidth="1" min="3" max="3"/>
    <col width="12" customWidth="1" min="4" max="4"/>
    <col width="25" customWidth="1" min="5" max="5"/>
    <col width="25" customWidth="1" min="6" max="6"/>
    <col width="40" customWidth="1" min="7" max="7"/>
    <col width="18" customWidth="1" min="8" max="8"/>
    <col width="14" customWidth="1" min="9" max="9"/>
    <col width="14" customWidth="1" min="10" max="10"/>
  </cols>
  <sheetData>
    <row r="1" ht="30" customHeight="1">
      <c r="A1" s="1" t="inlineStr">
        <is>
          <t>Sheet 7: Gap Analysis</t>
        </is>
      </c>
    </row>
    <row r="2">
      <c r="A2" s="12" t="inlineStr">
        <is>
          <t>Gap Prioritization and Remediation Planning (60 Gap Capacity)</t>
        </is>
      </c>
    </row>
    <row r="4">
      <c r="A4" s="13" t="inlineStr">
        <is>
          <t>Gap_ID</t>
        </is>
      </c>
      <c r="B4" s="13" t="inlineStr">
        <is>
          <t>Assessment_Section</t>
        </is>
      </c>
      <c r="C4" s="13" t="inlineStr">
        <is>
          <t>Gap_Description</t>
        </is>
      </c>
      <c r="D4" s="13" t="inlineStr">
        <is>
          <t>Risk_Level</t>
        </is>
      </c>
      <c r="E4" s="13" t="inlineStr">
        <is>
          <t>Current_State</t>
        </is>
      </c>
      <c r="F4" s="13" t="inlineStr">
        <is>
          <t>Target_State</t>
        </is>
      </c>
      <c r="G4" s="13" t="inlineStr">
        <is>
          <t>Remediation_Action</t>
        </is>
      </c>
      <c r="H4" s="13" t="inlineStr">
        <is>
          <t>Owner</t>
        </is>
      </c>
      <c r="I4" s="13" t="inlineStr">
        <is>
          <t>Target_Date</t>
        </is>
      </c>
      <c r="J4" s="13" t="inlineStr">
        <is>
          <t>Status</t>
        </is>
      </c>
    </row>
    <row r="5">
      <c r="A5" s="4" t="inlineStr">
        <is>
          <t>GAP-001</t>
        </is>
      </c>
      <c r="B5" s="5" t="inlineStr">
        <is>
          <t>Governance</t>
        </is>
      </c>
      <c r="C5" s="5" t="inlineStr">
        <is>
          <t>No RACI matrix documented</t>
        </is>
      </c>
      <c r="D5" s="15" t="inlineStr">
        <is>
          <t>High</t>
        </is>
      </c>
      <c r="E5" s="5" t="inlineStr">
        <is>
          <t>Roles informally understood</t>
        </is>
      </c>
      <c r="F5" s="5" t="inlineStr">
        <is>
          <t>RACI matrix created and approved</t>
        </is>
      </c>
      <c r="G5" s="5" t="inlineStr">
        <is>
          <t>Document RACI matrix, review with CSIRT, approve</t>
        </is>
      </c>
      <c r="H5" s="5" t="inlineStr">
        <is>
          <t>CSIRT Manager</t>
        </is>
      </c>
      <c r="I5" s="5" t="inlineStr"/>
      <c r="J5" s="4" t="inlineStr">
        <is>
          <t>Open</t>
        </is>
      </c>
    </row>
    <row r="6">
      <c r="A6" s="4" t="inlineStr">
        <is>
          <t>GAP-002</t>
        </is>
      </c>
      <c r="B6" s="5" t="inlineStr">
        <is>
          <t>Training</t>
        </is>
      </c>
      <c r="C6" s="5" t="inlineStr">
        <is>
          <t>Tabletop exercise overdue (&gt;12 months)</t>
        </is>
      </c>
      <c r="D6" s="16" t="inlineStr">
        <is>
          <t>Medium</t>
        </is>
      </c>
      <c r="E6" s="5" t="inlineStr">
        <is>
          <t>Last exercise 18 months ago</t>
        </is>
      </c>
      <c r="F6" s="5" t="inlineStr">
        <is>
          <t>Quarterly exercises</t>
        </is>
      </c>
      <c r="G6" s="5" t="inlineStr">
        <is>
          <t>Schedule Q1 exercise, appoint facilitator</t>
        </is>
      </c>
      <c r="H6" s="5" t="inlineStr">
        <is>
          <t>CSIRT Manager</t>
        </is>
      </c>
      <c r="I6" s="5" t="inlineStr"/>
      <c r="J6" s="4" t="inlineStr">
        <is>
          <t>Open</t>
        </is>
      </c>
    </row>
    <row r="7">
      <c r="A7" s="4" t="inlineStr">
        <is>
          <t>GAP-003</t>
        </is>
      </c>
      <c r="B7" s="5" t="inlineStr">
        <is>
          <t>Tools</t>
        </is>
      </c>
      <c r="C7" s="5" t="inlineStr">
        <is>
          <t>No dedicated forensic workstation</t>
        </is>
      </c>
      <c r="D7" s="15" t="inlineStr">
        <is>
          <t>High</t>
        </is>
      </c>
      <c r="E7" s="5" t="inlineStr">
        <is>
          <t>No forensic lab</t>
        </is>
      </c>
      <c r="F7" s="5" t="inlineStr">
        <is>
          <t>Dedicated forensic workstation with write blockers</t>
        </is>
      </c>
      <c r="G7" s="5" t="inlineStr">
        <is>
          <t>Procure forensic workstation and tools</t>
        </is>
      </c>
      <c r="H7" s="5" t="inlineStr">
        <is>
          <t>IT Manager</t>
        </is>
      </c>
      <c r="I7" s="5" t="inlineStr"/>
      <c r="J7" s="4" t="inlineStr">
        <is>
          <t>Open</t>
        </is>
      </c>
    </row>
    <row r="8">
      <c r="A8" s="4" t="inlineStr">
        <is>
          <t>GAP-004</t>
        </is>
      </c>
      <c r="B8" s="5" t="inlineStr">
        <is>
          <t>Integration</t>
        </is>
      </c>
      <c r="C8" s="5" t="inlineStr">
        <is>
          <t>No BC/DR integration documented</t>
        </is>
      </c>
      <c r="D8" s="16" t="inlineStr">
        <is>
          <t>Medium</t>
        </is>
      </c>
      <c r="E8" s="5" t="inlineStr">
        <is>
          <t>Informal integration</t>
        </is>
      </c>
      <c r="F8" s="5" t="inlineStr">
        <is>
          <t>Formal integration in BC/DR plan</t>
        </is>
      </c>
      <c r="G8" s="5" t="inlineStr">
        <is>
          <t>Update BC/DR plan with CSIRT roles</t>
        </is>
      </c>
      <c r="H8" s="5" t="inlineStr">
        <is>
          <t>CISO</t>
        </is>
      </c>
      <c r="I8" s="5" t="inlineStr"/>
      <c r="J8" s="4" t="inlineStr">
        <is>
          <t>Open</t>
        </is>
      </c>
    </row>
    <row r="9">
      <c r="A9" s="4" t="inlineStr">
        <is>
          <t>GAP-005</t>
        </is>
      </c>
      <c r="B9" s="5" t="inlineStr">
        <is>
          <t>Staffing</t>
        </is>
      </c>
      <c r="C9" s="5" t="inlineStr">
        <is>
          <t>CSIRT understaffed for 24/7 coverage</t>
        </is>
      </c>
      <c r="D9" s="11" t="inlineStr">
        <is>
          <t>Critical</t>
        </is>
      </c>
      <c r="E9" s="5" t="inlineStr">
        <is>
          <t>2 FTE for 24/7</t>
        </is>
      </c>
      <c r="F9" s="5" t="inlineStr">
        <is>
          <t>5 FTE for proper shift coverage</t>
        </is>
      </c>
      <c r="G9" s="5" t="inlineStr">
        <is>
          <t>Hire 3 additional CSIRT analysts</t>
        </is>
      </c>
      <c r="H9" s="5" t="inlineStr">
        <is>
          <t>CISO</t>
        </is>
      </c>
      <c r="I9" s="5" t="inlineStr"/>
      <c r="J9" s="4" t="inlineStr">
        <is>
          <t>Open</t>
        </is>
      </c>
    </row>
    <row r="10">
      <c r="A10" t="inlineStr">
        <is>
          <t>GAP-006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t="inlineStr">
        <is>
          <t>GAP-007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t="inlineStr">
        <is>
          <t>GAP-008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t="inlineStr">
        <is>
          <t>GAP-009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t="inlineStr">
        <is>
          <t>GAP-010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t="inlineStr">
        <is>
          <t>GAP-011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t="inlineStr">
        <is>
          <t>GAP-012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t="inlineStr">
        <is>
          <t>GAP-013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t="inlineStr">
        <is>
          <t>GAP-014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t="inlineStr">
        <is>
          <t>GAP-015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t="inlineStr">
        <is>
          <t>GAP-016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t="inlineStr">
        <is>
          <t>GAP-017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t="inlineStr">
        <is>
          <t>GAP-018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t="inlineStr">
        <is>
          <t>GAP-019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t="inlineStr">
        <is>
          <t>GAP-020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t="inlineStr">
        <is>
          <t>GAP-021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t="inlineStr">
        <is>
          <t>GAP-022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t="inlineStr">
        <is>
          <t>GAP-023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t="inlineStr">
        <is>
          <t>GAP-024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t="inlineStr">
        <is>
          <t>GAP-025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t="inlineStr">
        <is>
          <t>GAP-026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t="inlineStr">
        <is>
          <t>GAP-027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t="inlineStr">
        <is>
          <t>GAP-028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t="inlineStr">
        <is>
          <t>GAP-029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t="inlineStr">
        <is>
          <t>GAP-030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t="inlineStr">
        <is>
          <t>GAP-031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t="inlineStr">
        <is>
          <t>GAP-032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t="inlineStr">
        <is>
          <t>GAP-033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t="inlineStr">
        <is>
          <t>GAP-034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t="inlineStr">
        <is>
          <t>GAP-035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t="inlineStr">
        <is>
          <t>GAP-036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t="inlineStr">
        <is>
          <t>GAP-037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t="inlineStr">
        <is>
          <t>GAP-038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t="inlineStr">
        <is>
          <t>GAP-039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t="inlineStr">
        <is>
          <t>GAP-040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t="inlineStr">
        <is>
          <t>GAP-041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t="inlineStr">
        <is>
          <t>GAP-042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t="inlineStr">
        <is>
          <t>GAP-043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t="inlineStr">
        <is>
          <t>GAP-044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t="inlineStr">
        <is>
          <t>GAP-045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t="inlineStr">
        <is>
          <t>GAP-046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t="inlineStr">
        <is>
          <t>GAP-047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t="inlineStr">
        <is>
          <t>GAP-048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t="inlineStr">
        <is>
          <t>GAP-049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t="inlineStr">
        <is>
          <t>GAP-050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t="inlineStr">
        <is>
          <t>GAP-051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t="inlineStr">
        <is>
          <t>GAP-052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t="inlineStr">
        <is>
          <t>GAP-053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t="inlineStr">
        <is>
          <t>GAP-054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t="inlineStr">
        <is>
          <t>GAP-055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t="inlineStr">
        <is>
          <t>GAP-056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t="inlineStr">
        <is>
          <t>GAP-057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t="inlineStr">
        <is>
          <t>GAP-058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t="inlineStr">
        <is>
          <t>GAP-059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t="inlineStr">
        <is>
          <t>GAP-060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7">
      <c r="A67" s="17" t="inlineStr">
        <is>
          <t>GAP SUMMARY</t>
        </is>
      </c>
    </row>
    <row r="68">
      <c r="A68" s="3" t="inlineStr">
        <is>
          <t>Total Gaps:</t>
        </is>
      </c>
      <c r="B68" s="18">
        <f>COUNTA(A5:A64)</f>
        <v/>
      </c>
    </row>
    <row r="69">
      <c r="A69" s="3" t="inlineStr">
        <is>
          <t>Critical:</t>
        </is>
      </c>
      <c r="B69" s="18">
        <f>COUNTIF(D5:D64, "Critical")</f>
        <v/>
      </c>
    </row>
    <row r="70">
      <c r="A70" s="3" t="inlineStr">
        <is>
          <t>High:</t>
        </is>
      </c>
      <c r="B70" s="18">
        <f>COUNTIF(D5:D64, "High")</f>
        <v/>
      </c>
    </row>
    <row r="71">
      <c r="A71" s="3" t="inlineStr">
        <is>
          <t>Medium:</t>
        </is>
      </c>
      <c r="B71" s="18">
        <f>COUNTIF(D5:D64, "Medium")</f>
        <v/>
      </c>
    </row>
    <row r="72">
      <c r="A72" s="3" t="inlineStr">
        <is>
          <t>Low:</t>
        </is>
      </c>
      <c r="B72" s="18">
        <f>COUNTIF(D5:D64, "Low")</f>
        <v/>
      </c>
    </row>
    <row r="73">
      <c r="A73" s="3" t="inlineStr"/>
    </row>
    <row r="74">
      <c r="A74" s="3" t="inlineStr">
        <is>
          <t>Open:</t>
        </is>
      </c>
      <c r="B74" s="18">
        <f>COUNTIF(J5:J64, "Open")</f>
        <v/>
      </c>
    </row>
    <row r="75">
      <c r="A75" s="3" t="inlineStr">
        <is>
          <t>In Progress:</t>
        </is>
      </c>
      <c r="B75" s="18">
        <f>COUNTIF(J5:J64, "In Progress")</f>
        <v/>
      </c>
    </row>
    <row r="76">
      <c r="A76" s="3" t="inlineStr">
        <is>
          <t>Resolved:</t>
        </is>
      </c>
      <c r="B76" s="18">
        <f>COUNTIF(J5:J64, "Resolved")</f>
        <v/>
      </c>
    </row>
    <row r="77">
      <c r="A77" s="3" t="inlineStr">
        <is>
          <t>Accepted:</t>
        </is>
      </c>
      <c r="B77" s="18">
        <f>COUNTIF(J5:J64, "Accepted")</f>
        <v/>
      </c>
    </row>
  </sheetData>
  <mergeCells count="3">
    <mergeCell ref="A1:J1"/>
    <mergeCell ref="A67:D67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20" customWidth="1" min="4" max="4"/>
    <col width="35" customWidth="1" min="5" max="5"/>
    <col width="14" customWidth="1" min="6" max="6"/>
    <col width="18" customWidth="1" min="7" max="7"/>
    <col width="18" customWidth="1" min="8" max="8"/>
  </cols>
  <sheetData>
    <row r="1" ht="30" customHeight="1">
      <c r="A1" s="1" t="inlineStr">
        <is>
          <t>Sheet 8: Evidence Register</t>
        </is>
      </c>
    </row>
    <row r="2">
      <c r="A2" s="12" t="inlineStr">
        <is>
          <t>Audit Evidence Tracking (100 Items Capacity)</t>
        </is>
      </c>
    </row>
    <row r="4">
      <c r="A4" s="13" t="inlineStr">
        <is>
          <t>Evidence_ID</t>
        </is>
      </c>
      <c r="B4" s="13" t="inlineStr">
        <is>
          <t>Evidence_Type</t>
        </is>
      </c>
      <c r="C4" s="13" t="inlineStr">
        <is>
          <t>Description</t>
        </is>
      </c>
      <c r="D4" s="13" t="inlineStr">
        <is>
          <t>Related_Section</t>
        </is>
      </c>
      <c r="E4" s="13" t="inlineStr">
        <is>
          <t>Storage_Location</t>
        </is>
      </c>
      <c r="F4" s="13" t="inlineStr">
        <is>
          <t>Date_Collected</t>
        </is>
      </c>
      <c r="G4" s="13" t="inlineStr">
        <is>
          <t>Collected_By</t>
        </is>
      </c>
      <c r="H4" s="13" t="inlineStr">
        <is>
          <t>Verification_Status</t>
        </is>
      </c>
    </row>
    <row r="5">
      <c r="A5" s="4" t="inlineStr">
        <is>
          <t>EV-001</t>
        </is>
      </c>
      <c r="B5" s="5" t="inlineStr">
        <is>
          <t>Policy Document</t>
        </is>
      </c>
      <c r="C5" s="5" t="inlineStr">
        <is>
          <t>ISMS-POL-A.5.24-28</t>
        </is>
      </c>
      <c r="D5" s="5" t="inlineStr">
        <is>
          <t>Governance</t>
        </is>
      </c>
      <c r="E5" s="5" t="inlineStr">
        <is>
          <t>SharePoint:/Policies/</t>
        </is>
      </c>
      <c r="F5" s="5" t="inlineStr">
        <is>
          <t>08.02.2026</t>
        </is>
      </c>
      <c r="G5" s="5" t="inlineStr">
        <is>
          <t>CSIRT Manager</t>
        </is>
      </c>
      <c r="H5" s="5" t="inlineStr">
        <is>
          <t>Verified</t>
        </is>
      </c>
    </row>
    <row r="6">
      <c r="A6" s="4" t="inlineStr">
        <is>
          <t>EV-002</t>
        </is>
      </c>
      <c r="B6" s="5" t="inlineStr">
        <is>
          <t>Org Chart</t>
        </is>
      </c>
      <c r="C6" s="5" t="inlineStr">
        <is>
          <t>CSIRT Organizational Chart</t>
        </is>
      </c>
      <c r="D6" s="5" t="inlineStr">
        <is>
          <t>Structure</t>
        </is>
      </c>
      <c r="E6" s="5" t="inlineStr">
        <is>
          <t>/Evidence/S1/org_chart.pdf</t>
        </is>
      </c>
      <c r="F6" s="5" t="inlineStr">
        <is>
          <t>08.02.2026</t>
        </is>
      </c>
      <c r="G6" s="5" t="inlineStr">
        <is>
          <t>HR</t>
        </is>
      </c>
      <c r="H6" s="5" t="inlineStr">
        <is>
          <t>Verified</t>
        </is>
      </c>
    </row>
    <row r="7">
      <c r="A7" s="4" t="inlineStr">
        <is>
          <t>EV-003</t>
        </is>
      </c>
      <c r="B7" s="5" t="inlineStr">
        <is>
          <t>Training Records</t>
        </is>
      </c>
      <c r="C7" s="5" t="inlineStr">
        <is>
          <t>2025 Security Awareness Training Completion</t>
        </is>
      </c>
      <c r="D7" s="5" t="inlineStr">
        <is>
          <t>Training</t>
        </is>
      </c>
      <c r="E7" s="5" t="inlineStr">
        <is>
          <t>HR System Report</t>
        </is>
      </c>
      <c r="F7" s="5" t="inlineStr">
        <is>
          <t>08.02.2026</t>
        </is>
      </c>
      <c r="G7" s="5" t="inlineStr">
        <is>
          <t>HR</t>
        </is>
      </c>
      <c r="H7" s="5" t="inlineStr">
        <is>
          <t>Verified</t>
        </is>
      </c>
    </row>
    <row r="8">
      <c r="A8" s="4" t="inlineStr">
        <is>
          <t>EV-004</t>
        </is>
      </c>
      <c r="B8" s="5" t="inlineStr">
        <is>
          <t>Tool Screenshot</t>
        </is>
      </c>
      <c r="C8" s="5" t="inlineStr">
        <is>
          <t>Incident Ticketing System Dashboard</t>
        </is>
      </c>
      <c r="D8" s="5" t="inlineStr">
        <is>
          <t>Tools</t>
        </is>
      </c>
      <c r="E8" s="5" t="inlineStr">
        <is>
          <t>/Evidence/S1/ticketing_system.png</t>
        </is>
      </c>
      <c r="F8" s="5" t="inlineStr">
        <is>
          <t>08.02.2026</t>
        </is>
      </c>
      <c r="G8" s="5" t="inlineStr">
        <is>
          <t>SOC Manager</t>
        </is>
      </c>
      <c r="H8" s="5" t="inlineStr">
        <is>
          <t>Pending</t>
        </is>
      </c>
    </row>
    <row r="9">
      <c r="A9" s="4" t="inlineStr">
        <is>
          <t>EV-005</t>
        </is>
      </c>
      <c r="B9" s="5" t="inlineStr">
        <is>
          <t>RACI Matrix</t>
        </is>
      </c>
      <c r="C9" s="5" t="inlineStr">
        <is>
          <t>Incident Response RACI Matrix v1.0</t>
        </is>
      </c>
      <c r="D9" s="5" t="inlineStr">
        <is>
          <t>Structure</t>
        </is>
      </c>
      <c r="E9" s="5" t="inlineStr">
        <is>
          <t>SharePoint:/CSIRT/RACI.xlsx</t>
        </is>
      </c>
      <c r="F9" s="5" t="inlineStr">
        <is>
          <t>08.02.2026</t>
        </is>
      </c>
      <c r="G9" s="5" t="inlineStr">
        <is>
          <t>CSIRT Manager</t>
        </is>
      </c>
      <c r="H9" s="5" t="inlineStr">
        <is>
          <t>Verified</t>
        </is>
      </c>
    </row>
    <row r="10">
      <c r="A10" t="inlineStr">
        <is>
          <t>EV-006</t>
        </is>
      </c>
      <c r="B10" s="5" t="n"/>
      <c r="C10" s="5" t="n"/>
      <c r="D10" s="5" t="n"/>
      <c r="E10" s="5" t="n"/>
      <c r="F10" s="5" t="n"/>
      <c r="G10" s="5" t="n"/>
      <c r="H10" s="5" t="n"/>
    </row>
    <row r="11">
      <c r="A11" t="inlineStr">
        <is>
          <t>EV-007</t>
        </is>
      </c>
      <c r="B11" s="5" t="n"/>
      <c r="C11" s="5" t="n"/>
      <c r="D11" s="5" t="n"/>
      <c r="E11" s="5" t="n"/>
      <c r="F11" s="5" t="n"/>
      <c r="G11" s="5" t="n"/>
      <c r="H11" s="5" t="n"/>
    </row>
    <row r="12">
      <c r="A12" t="inlineStr">
        <is>
          <t>EV-008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t="inlineStr">
        <is>
          <t>EV-009</t>
        </is>
      </c>
      <c r="B13" s="5" t="n"/>
      <c r="C13" s="5" t="n"/>
      <c r="D13" s="5" t="n"/>
      <c r="E13" s="5" t="n"/>
      <c r="F13" s="5" t="n"/>
      <c r="G13" s="5" t="n"/>
      <c r="H13" s="5" t="n"/>
    </row>
    <row r="14">
      <c r="A14" t="inlineStr">
        <is>
          <t>EV-010</t>
        </is>
      </c>
      <c r="B14" s="5" t="n"/>
      <c r="C14" s="5" t="n"/>
      <c r="D14" s="5" t="n"/>
      <c r="E14" s="5" t="n"/>
      <c r="F14" s="5" t="n"/>
      <c r="G14" s="5" t="n"/>
      <c r="H14" s="5" t="n"/>
    </row>
    <row r="15">
      <c r="A15" t="inlineStr">
        <is>
          <t>EV-011</t>
        </is>
      </c>
      <c r="B15" s="5" t="n"/>
      <c r="C15" s="5" t="n"/>
      <c r="D15" s="5" t="n"/>
      <c r="E15" s="5" t="n"/>
      <c r="F15" s="5" t="n"/>
      <c r="G15" s="5" t="n"/>
      <c r="H15" s="5" t="n"/>
    </row>
    <row r="16">
      <c r="A16" t="inlineStr">
        <is>
          <t>EV-012</t>
        </is>
      </c>
      <c r="B16" s="5" t="n"/>
      <c r="C16" s="5" t="n"/>
      <c r="D16" s="5" t="n"/>
      <c r="E16" s="5" t="n"/>
      <c r="F16" s="5" t="n"/>
      <c r="G16" s="5" t="n"/>
      <c r="H16" s="5" t="n"/>
    </row>
    <row r="17">
      <c r="A17" t="inlineStr">
        <is>
          <t>EV-013</t>
        </is>
      </c>
      <c r="B17" s="5" t="n"/>
      <c r="C17" s="5" t="n"/>
      <c r="D17" s="5" t="n"/>
      <c r="E17" s="5" t="n"/>
      <c r="F17" s="5" t="n"/>
      <c r="G17" s="5" t="n"/>
      <c r="H17" s="5" t="n"/>
    </row>
    <row r="18">
      <c r="A18" t="inlineStr">
        <is>
          <t>EV-014</t>
        </is>
      </c>
      <c r="B18" s="5" t="n"/>
      <c r="C18" s="5" t="n"/>
      <c r="D18" s="5" t="n"/>
      <c r="E18" s="5" t="n"/>
      <c r="F18" s="5" t="n"/>
      <c r="G18" s="5" t="n"/>
      <c r="H18" s="5" t="n"/>
    </row>
    <row r="19">
      <c r="A19" t="inlineStr">
        <is>
          <t>EV-015</t>
        </is>
      </c>
      <c r="B19" s="5" t="n"/>
      <c r="C19" s="5" t="n"/>
      <c r="D19" s="5" t="n"/>
      <c r="E19" s="5" t="n"/>
      <c r="F19" s="5" t="n"/>
      <c r="G19" s="5" t="n"/>
      <c r="H19" s="5" t="n"/>
    </row>
    <row r="20">
      <c r="A20" t="inlineStr">
        <is>
          <t>EV-016</t>
        </is>
      </c>
      <c r="B20" s="5" t="n"/>
      <c r="C20" s="5" t="n"/>
      <c r="D20" s="5" t="n"/>
      <c r="E20" s="5" t="n"/>
      <c r="F20" s="5" t="n"/>
      <c r="G20" s="5" t="n"/>
      <c r="H20" s="5" t="n"/>
    </row>
    <row r="21">
      <c r="A21" t="inlineStr">
        <is>
          <t>EV-017</t>
        </is>
      </c>
      <c r="B21" s="5" t="n"/>
      <c r="C21" s="5" t="n"/>
      <c r="D21" s="5" t="n"/>
      <c r="E21" s="5" t="n"/>
      <c r="F21" s="5" t="n"/>
      <c r="G21" s="5" t="n"/>
      <c r="H21" s="5" t="n"/>
    </row>
    <row r="22">
      <c r="A22" t="inlineStr">
        <is>
          <t>EV-018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t="inlineStr">
        <is>
          <t>EV-019</t>
        </is>
      </c>
      <c r="B23" s="5" t="n"/>
      <c r="C23" s="5" t="n"/>
      <c r="D23" s="5" t="n"/>
      <c r="E23" s="5" t="n"/>
      <c r="F23" s="5" t="n"/>
      <c r="G23" s="5" t="n"/>
      <c r="H23" s="5" t="n"/>
    </row>
    <row r="24">
      <c r="A24" t="inlineStr">
        <is>
          <t>EV-020</t>
        </is>
      </c>
      <c r="B24" s="5" t="n"/>
      <c r="C24" s="5" t="n"/>
      <c r="D24" s="5" t="n"/>
      <c r="E24" s="5" t="n"/>
      <c r="F24" s="5" t="n"/>
      <c r="G24" s="5" t="n"/>
      <c r="H24" s="5" t="n"/>
    </row>
    <row r="25">
      <c r="A25" t="inlineStr">
        <is>
          <t>EV-021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t="inlineStr">
        <is>
          <t>EV-022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t="inlineStr">
        <is>
          <t>EV-023</t>
        </is>
      </c>
      <c r="B27" s="5" t="n"/>
      <c r="C27" s="5" t="n"/>
      <c r="D27" s="5" t="n"/>
      <c r="E27" s="5" t="n"/>
      <c r="F27" s="5" t="n"/>
      <c r="G27" s="5" t="n"/>
      <c r="H27" s="5" t="n"/>
    </row>
    <row r="28">
      <c r="A28" t="inlineStr">
        <is>
          <t>EV-024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t="inlineStr">
        <is>
          <t>EV-025</t>
        </is>
      </c>
      <c r="B29" s="5" t="n"/>
      <c r="C29" s="5" t="n"/>
      <c r="D29" s="5" t="n"/>
      <c r="E29" s="5" t="n"/>
      <c r="F29" s="5" t="n"/>
      <c r="G29" s="5" t="n"/>
      <c r="H29" s="5" t="n"/>
    </row>
    <row r="30">
      <c r="A30" t="inlineStr">
        <is>
          <t>EV-026</t>
        </is>
      </c>
      <c r="B30" s="5" t="n"/>
      <c r="C30" s="5" t="n"/>
      <c r="D30" s="5" t="n"/>
      <c r="E30" s="5" t="n"/>
      <c r="F30" s="5" t="n"/>
      <c r="G30" s="5" t="n"/>
      <c r="H30" s="5" t="n"/>
    </row>
    <row r="31">
      <c r="A31" t="inlineStr">
        <is>
          <t>EV-027</t>
        </is>
      </c>
      <c r="B31" s="5" t="n"/>
      <c r="C31" s="5" t="n"/>
      <c r="D31" s="5" t="n"/>
      <c r="E31" s="5" t="n"/>
      <c r="F31" s="5" t="n"/>
      <c r="G31" s="5" t="n"/>
      <c r="H31" s="5" t="n"/>
    </row>
    <row r="32">
      <c r="A32" t="inlineStr">
        <is>
          <t>EV-028</t>
        </is>
      </c>
      <c r="B32" s="5" t="n"/>
      <c r="C32" s="5" t="n"/>
      <c r="D32" s="5" t="n"/>
      <c r="E32" s="5" t="n"/>
      <c r="F32" s="5" t="n"/>
      <c r="G32" s="5" t="n"/>
      <c r="H32" s="5" t="n"/>
    </row>
    <row r="33">
      <c r="A33" t="inlineStr">
        <is>
          <t>EV-029</t>
        </is>
      </c>
      <c r="B33" s="5" t="n"/>
      <c r="C33" s="5" t="n"/>
      <c r="D33" s="5" t="n"/>
      <c r="E33" s="5" t="n"/>
      <c r="F33" s="5" t="n"/>
      <c r="G33" s="5" t="n"/>
      <c r="H33" s="5" t="n"/>
    </row>
    <row r="34">
      <c r="A34" t="inlineStr">
        <is>
          <t>EV-030</t>
        </is>
      </c>
      <c r="B34" s="5" t="n"/>
      <c r="C34" s="5" t="n"/>
      <c r="D34" s="5" t="n"/>
      <c r="E34" s="5" t="n"/>
      <c r="F34" s="5" t="n"/>
      <c r="G34" s="5" t="n"/>
      <c r="H34" s="5" t="n"/>
    </row>
    <row r="35">
      <c r="A35" t="inlineStr">
        <is>
          <t>EV-031</t>
        </is>
      </c>
      <c r="B35" s="5" t="n"/>
      <c r="C35" s="5" t="n"/>
      <c r="D35" s="5" t="n"/>
      <c r="E35" s="5" t="n"/>
      <c r="F35" s="5" t="n"/>
      <c r="G35" s="5" t="n"/>
      <c r="H35" s="5" t="n"/>
    </row>
    <row r="36">
      <c r="A36" t="inlineStr">
        <is>
          <t>EV-032</t>
        </is>
      </c>
      <c r="B36" s="5" t="n"/>
      <c r="C36" s="5" t="n"/>
      <c r="D36" s="5" t="n"/>
      <c r="E36" s="5" t="n"/>
      <c r="F36" s="5" t="n"/>
      <c r="G36" s="5" t="n"/>
      <c r="H36" s="5" t="n"/>
    </row>
    <row r="37">
      <c r="A37" t="inlineStr">
        <is>
          <t>EV-033</t>
        </is>
      </c>
      <c r="B37" s="5" t="n"/>
      <c r="C37" s="5" t="n"/>
      <c r="D37" s="5" t="n"/>
      <c r="E37" s="5" t="n"/>
      <c r="F37" s="5" t="n"/>
      <c r="G37" s="5" t="n"/>
      <c r="H37" s="5" t="n"/>
    </row>
    <row r="38">
      <c r="A38" t="inlineStr">
        <is>
          <t>EV-034</t>
        </is>
      </c>
      <c r="B38" s="5" t="n"/>
      <c r="C38" s="5" t="n"/>
      <c r="D38" s="5" t="n"/>
      <c r="E38" s="5" t="n"/>
      <c r="F38" s="5" t="n"/>
      <c r="G38" s="5" t="n"/>
      <c r="H38" s="5" t="n"/>
    </row>
    <row r="39">
      <c r="A39" t="inlineStr">
        <is>
          <t>EV-035</t>
        </is>
      </c>
      <c r="B39" s="5" t="n"/>
      <c r="C39" s="5" t="n"/>
      <c r="D39" s="5" t="n"/>
      <c r="E39" s="5" t="n"/>
      <c r="F39" s="5" t="n"/>
      <c r="G39" s="5" t="n"/>
      <c r="H39" s="5" t="n"/>
    </row>
    <row r="40">
      <c r="A40" t="inlineStr">
        <is>
          <t>EV-036</t>
        </is>
      </c>
      <c r="B40" s="5" t="n"/>
      <c r="C40" s="5" t="n"/>
      <c r="D40" s="5" t="n"/>
      <c r="E40" s="5" t="n"/>
      <c r="F40" s="5" t="n"/>
      <c r="G40" s="5" t="n"/>
      <c r="H40" s="5" t="n"/>
    </row>
    <row r="41">
      <c r="A41" t="inlineStr">
        <is>
          <t>EV-037</t>
        </is>
      </c>
      <c r="B41" s="5" t="n"/>
      <c r="C41" s="5" t="n"/>
      <c r="D41" s="5" t="n"/>
      <c r="E41" s="5" t="n"/>
      <c r="F41" s="5" t="n"/>
      <c r="G41" s="5" t="n"/>
      <c r="H41" s="5" t="n"/>
    </row>
    <row r="42">
      <c r="A42" t="inlineStr">
        <is>
          <t>EV-038</t>
        </is>
      </c>
      <c r="B42" s="5" t="n"/>
      <c r="C42" s="5" t="n"/>
      <c r="D42" s="5" t="n"/>
      <c r="E42" s="5" t="n"/>
      <c r="F42" s="5" t="n"/>
      <c r="G42" s="5" t="n"/>
      <c r="H42" s="5" t="n"/>
    </row>
    <row r="43">
      <c r="A43" t="inlineStr">
        <is>
          <t>EV-039</t>
        </is>
      </c>
      <c r="B43" s="5" t="n"/>
      <c r="C43" s="5" t="n"/>
      <c r="D43" s="5" t="n"/>
      <c r="E43" s="5" t="n"/>
      <c r="F43" s="5" t="n"/>
      <c r="G43" s="5" t="n"/>
      <c r="H43" s="5" t="n"/>
    </row>
    <row r="44">
      <c r="A44" t="inlineStr">
        <is>
          <t>EV-040</t>
        </is>
      </c>
      <c r="B44" s="5" t="n"/>
      <c r="C44" s="5" t="n"/>
      <c r="D44" s="5" t="n"/>
      <c r="E44" s="5" t="n"/>
      <c r="F44" s="5" t="n"/>
      <c r="G44" s="5" t="n"/>
      <c r="H44" s="5" t="n"/>
    </row>
    <row r="45">
      <c r="A45" t="inlineStr">
        <is>
          <t>EV-041</t>
        </is>
      </c>
      <c r="B45" s="5" t="n"/>
      <c r="C45" s="5" t="n"/>
      <c r="D45" s="5" t="n"/>
      <c r="E45" s="5" t="n"/>
      <c r="F45" s="5" t="n"/>
      <c r="G45" s="5" t="n"/>
      <c r="H45" s="5" t="n"/>
    </row>
    <row r="46">
      <c r="A46" t="inlineStr">
        <is>
          <t>EV-042</t>
        </is>
      </c>
      <c r="B46" s="5" t="n"/>
      <c r="C46" s="5" t="n"/>
      <c r="D46" s="5" t="n"/>
      <c r="E46" s="5" t="n"/>
      <c r="F46" s="5" t="n"/>
      <c r="G46" s="5" t="n"/>
      <c r="H46" s="5" t="n"/>
    </row>
    <row r="47">
      <c r="A47" t="inlineStr">
        <is>
          <t>EV-043</t>
        </is>
      </c>
      <c r="B47" s="5" t="n"/>
      <c r="C47" s="5" t="n"/>
      <c r="D47" s="5" t="n"/>
      <c r="E47" s="5" t="n"/>
      <c r="F47" s="5" t="n"/>
      <c r="G47" s="5" t="n"/>
      <c r="H47" s="5" t="n"/>
    </row>
    <row r="48">
      <c r="A48" t="inlineStr">
        <is>
          <t>EV-044</t>
        </is>
      </c>
      <c r="B48" s="5" t="n"/>
      <c r="C48" s="5" t="n"/>
      <c r="D48" s="5" t="n"/>
      <c r="E48" s="5" t="n"/>
      <c r="F48" s="5" t="n"/>
      <c r="G48" s="5" t="n"/>
      <c r="H48" s="5" t="n"/>
    </row>
    <row r="49">
      <c r="A49" t="inlineStr">
        <is>
          <t>EV-045</t>
        </is>
      </c>
      <c r="B49" s="5" t="n"/>
      <c r="C49" s="5" t="n"/>
      <c r="D49" s="5" t="n"/>
      <c r="E49" s="5" t="n"/>
      <c r="F49" s="5" t="n"/>
      <c r="G49" s="5" t="n"/>
      <c r="H49" s="5" t="n"/>
    </row>
    <row r="50">
      <c r="A50" t="inlineStr">
        <is>
          <t>EV-046</t>
        </is>
      </c>
      <c r="B50" s="5" t="n"/>
      <c r="C50" s="5" t="n"/>
      <c r="D50" s="5" t="n"/>
      <c r="E50" s="5" t="n"/>
      <c r="F50" s="5" t="n"/>
      <c r="G50" s="5" t="n"/>
      <c r="H50" s="5" t="n"/>
    </row>
    <row r="51">
      <c r="A51" t="inlineStr">
        <is>
          <t>EV-047</t>
        </is>
      </c>
      <c r="B51" s="5" t="n"/>
      <c r="C51" s="5" t="n"/>
      <c r="D51" s="5" t="n"/>
      <c r="E51" s="5" t="n"/>
      <c r="F51" s="5" t="n"/>
      <c r="G51" s="5" t="n"/>
      <c r="H51" s="5" t="n"/>
    </row>
    <row r="52">
      <c r="A52" t="inlineStr">
        <is>
          <t>EV-048</t>
        </is>
      </c>
      <c r="B52" s="5" t="n"/>
      <c r="C52" s="5" t="n"/>
      <c r="D52" s="5" t="n"/>
      <c r="E52" s="5" t="n"/>
      <c r="F52" s="5" t="n"/>
      <c r="G52" s="5" t="n"/>
      <c r="H52" s="5" t="n"/>
    </row>
    <row r="53">
      <c r="A53" t="inlineStr">
        <is>
          <t>EV-049</t>
        </is>
      </c>
      <c r="B53" s="5" t="n"/>
      <c r="C53" s="5" t="n"/>
      <c r="D53" s="5" t="n"/>
      <c r="E53" s="5" t="n"/>
      <c r="F53" s="5" t="n"/>
      <c r="G53" s="5" t="n"/>
      <c r="H53" s="5" t="n"/>
    </row>
    <row r="54">
      <c r="A54" t="inlineStr">
        <is>
          <t>EV-050</t>
        </is>
      </c>
      <c r="B54" s="5" t="n"/>
      <c r="C54" s="5" t="n"/>
      <c r="D54" s="5" t="n"/>
      <c r="E54" s="5" t="n"/>
      <c r="F54" s="5" t="n"/>
      <c r="G54" s="5" t="n"/>
      <c r="H54" s="5" t="n"/>
    </row>
    <row r="55">
      <c r="A55" t="inlineStr">
        <is>
          <t>EV-051</t>
        </is>
      </c>
      <c r="B55" s="5" t="n"/>
      <c r="C55" s="5" t="n"/>
      <c r="D55" s="5" t="n"/>
      <c r="E55" s="5" t="n"/>
      <c r="F55" s="5" t="n"/>
      <c r="G55" s="5" t="n"/>
      <c r="H55" s="5" t="n"/>
    </row>
    <row r="56">
      <c r="A56" t="inlineStr">
        <is>
          <t>EV-052</t>
        </is>
      </c>
      <c r="B56" s="5" t="n"/>
      <c r="C56" s="5" t="n"/>
      <c r="D56" s="5" t="n"/>
      <c r="E56" s="5" t="n"/>
      <c r="F56" s="5" t="n"/>
      <c r="G56" s="5" t="n"/>
      <c r="H56" s="5" t="n"/>
    </row>
    <row r="57">
      <c r="A57" t="inlineStr">
        <is>
          <t>EV-053</t>
        </is>
      </c>
      <c r="B57" s="5" t="n"/>
      <c r="C57" s="5" t="n"/>
      <c r="D57" s="5" t="n"/>
      <c r="E57" s="5" t="n"/>
      <c r="F57" s="5" t="n"/>
      <c r="G57" s="5" t="n"/>
      <c r="H57" s="5" t="n"/>
    </row>
    <row r="58">
      <c r="A58" t="inlineStr">
        <is>
          <t>EV-054</t>
        </is>
      </c>
      <c r="B58" s="5" t="n"/>
      <c r="C58" s="5" t="n"/>
      <c r="D58" s="5" t="n"/>
      <c r="E58" s="5" t="n"/>
      <c r="F58" s="5" t="n"/>
      <c r="G58" s="5" t="n"/>
      <c r="H58" s="5" t="n"/>
    </row>
    <row r="59">
      <c r="A59" t="inlineStr">
        <is>
          <t>EV-055</t>
        </is>
      </c>
      <c r="B59" s="5" t="n"/>
      <c r="C59" s="5" t="n"/>
      <c r="D59" s="5" t="n"/>
      <c r="E59" s="5" t="n"/>
      <c r="F59" s="5" t="n"/>
      <c r="G59" s="5" t="n"/>
      <c r="H59" s="5" t="n"/>
    </row>
    <row r="60">
      <c r="A60" t="inlineStr">
        <is>
          <t>EV-056</t>
        </is>
      </c>
      <c r="B60" s="5" t="n"/>
      <c r="C60" s="5" t="n"/>
      <c r="D60" s="5" t="n"/>
      <c r="E60" s="5" t="n"/>
      <c r="F60" s="5" t="n"/>
      <c r="G60" s="5" t="n"/>
      <c r="H60" s="5" t="n"/>
    </row>
    <row r="61">
      <c r="A61" t="inlineStr">
        <is>
          <t>EV-057</t>
        </is>
      </c>
      <c r="B61" s="5" t="n"/>
      <c r="C61" s="5" t="n"/>
      <c r="D61" s="5" t="n"/>
      <c r="E61" s="5" t="n"/>
      <c r="F61" s="5" t="n"/>
      <c r="G61" s="5" t="n"/>
      <c r="H61" s="5" t="n"/>
    </row>
    <row r="62">
      <c r="A62" t="inlineStr">
        <is>
          <t>EV-058</t>
        </is>
      </c>
      <c r="B62" s="5" t="n"/>
      <c r="C62" s="5" t="n"/>
      <c r="D62" s="5" t="n"/>
      <c r="E62" s="5" t="n"/>
      <c r="F62" s="5" t="n"/>
      <c r="G62" s="5" t="n"/>
      <c r="H62" s="5" t="n"/>
    </row>
    <row r="63">
      <c r="A63" t="inlineStr">
        <is>
          <t>EV-059</t>
        </is>
      </c>
      <c r="B63" s="5" t="n"/>
      <c r="C63" s="5" t="n"/>
      <c r="D63" s="5" t="n"/>
      <c r="E63" s="5" t="n"/>
      <c r="F63" s="5" t="n"/>
      <c r="G63" s="5" t="n"/>
      <c r="H63" s="5" t="n"/>
    </row>
    <row r="64">
      <c r="A64" t="inlineStr">
        <is>
          <t>EV-060</t>
        </is>
      </c>
      <c r="B64" s="5" t="n"/>
      <c r="C64" s="5" t="n"/>
      <c r="D64" s="5" t="n"/>
      <c r="E64" s="5" t="n"/>
      <c r="F64" s="5" t="n"/>
      <c r="G64" s="5" t="n"/>
      <c r="H64" s="5" t="n"/>
    </row>
    <row r="65">
      <c r="A65" t="inlineStr">
        <is>
          <t>EV-061</t>
        </is>
      </c>
      <c r="B65" s="5" t="n"/>
      <c r="C65" s="5" t="n"/>
      <c r="D65" s="5" t="n"/>
      <c r="E65" s="5" t="n"/>
      <c r="F65" s="5" t="n"/>
      <c r="G65" s="5" t="n"/>
      <c r="H65" s="5" t="n"/>
    </row>
    <row r="66">
      <c r="A66" t="inlineStr">
        <is>
          <t>EV-062</t>
        </is>
      </c>
      <c r="B66" s="5" t="n"/>
      <c r="C66" s="5" t="n"/>
      <c r="D66" s="5" t="n"/>
      <c r="E66" s="5" t="n"/>
      <c r="F66" s="5" t="n"/>
      <c r="G66" s="5" t="n"/>
      <c r="H66" s="5" t="n"/>
    </row>
    <row r="67">
      <c r="A67" t="inlineStr">
        <is>
          <t>EV-063</t>
        </is>
      </c>
      <c r="B67" s="5" t="n"/>
      <c r="C67" s="5" t="n"/>
      <c r="D67" s="5" t="n"/>
      <c r="E67" s="5" t="n"/>
      <c r="F67" s="5" t="n"/>
      <c r="G67" s="5" t="n"/>
      <c r="H67" s="5" t="n"/>
    </row>
    <row r="68">
      <c r="A68" t="inlineStr">
        <is>
          <t>EV-064</t>
        </is>
      </c>
      <c r="B68" s="5" t="n"/>
      <c r="C68" s="5" t="n"/>
      <c r="D68" s="5" t="n"/>
      <c r="E68" s="5" t="n"/>
      <c r="F68" s="5" t="n"/>
      <c r="G68" s="5" t="n"/>
      <c r="H68" s="5" t="n"/>
    </row>
    <row r="69">
      <c r="A69" t="inlineStr">
        <is>
          <t>EV-065</t>
        </is>
      </c>
      <c r="B69" s="5" t="n"/>
      <c r="C69" s="5" t="n"/>
      <c r="D69" s="5" t="n"/>
      <c r="E69" s="5" t="n"/>
      <c r="F69" s="5" t="n"/>
      <c r="G69" s="5" t="n"/>
      <c r="H69" s="5" t="n"/>
    </row>
    <row r="70">
      <c r="A70" t="inlineStr">
        <is>
          <t>EV-066</t>
        </is>
      </c>
      <c r="B70" s="5" t="n"/>
      <c r="C70" s="5" t="n"/>
      <c r="D70" s="5" t="n"/>
      <c r="E70" s="5" t="n"/>
      <c r="F70" s="5" t="n"/>
      <c r="G70" s="5" t="n"/>
      <c r="H70" s="5" t="n"/>
    </row>
    <row r="71">
      <c r="A71" t="inlineStr">
        <is>
          <t>EV-067</t>
        </is>
      </c>
      <c r="B71" s="5" t="n"/>
      <c r="C71" s="5" t="n"/>
      <c r="D71" s="5" t="n"/>
      <c r="E71" s="5" t="n"/>
      <c r="F71" s="5" t="n"/>
      <c r="G71" s="5" t="n"/>
      <c r="H71" s="5" t="n"/>
    </row>
    <row r="72">
      <c r="A72" t="inlineStr">
        <is>
          <t>EV-068</t>
        </is>
      </c>
      <c r="B72" s="5" t="n"/>
      <c r="C72" s="5" t="n"/>
      <c r="D72" s="5" t="n"/>
      <c r="E72" s="5" t="n"/>
      <c r="F72" s="5" t="n"/>
      <c r="G72" s="5" t="n"/>
      <c r="H72" s="5" t="n"/>
    </row>
    <row r="73">
      <c r="A73" t="inlineStr">
        <is>
          <t>EV-069</t>
        </is>
      </c>
      <c r="B73" s="5" t="n"/>
      <c r="C73" s="5" t="n"/>
      <c r="D73" s="5" t="n"/>
      <c r="E73" s="5" t="n"/>
      <c r="F73" s="5" t="n"/>
      <c r="G73" s="5" t="n"/>
      <c r="H73" s="5" t="n"/>
    </row>
    <row r="74">
      <c r="A74" t="inlineStr">
        <is>
          <t>EV-070</t>
        </is>
      </c>
      <c r="B74" s="5" t="n"/>
      <c r="C74" s="5" t="n"/>
      <c r="D74" s="5" t="n"/>
      <c r="E74" s="5" t="n"/>
      <c r="F74" s="5" t="n"/>
      <c r="G74" s="5" t="n"/>
      <c r="H74" s="5" t="n"/>
    </row>
    <row r="75">
      <c r="A75" t="inlineStr">
        <is>
          <t>EV-071</t>
        </is>
      </c>
      <c r="B75" s="5" t="n"/>
      <c r="C75" s="5" t="n"/>
      <c r="D75" s="5" t="n"/>
      <c r="E75" s="5" t="n"/>
      <c r="F75" s="5" t="n"/>
      <c r="G75" s="5" t="n"/>
      <c r="H75" s="5" t="n"/>
    </row>
    <row r="76">
      <c r="A76" t="inlineStr">
        <is>
          <t>EV-072</t>
        </is>
      </c>
      <c r="B76" s="5" t="n"/>
      <c r="C76" s="5" t="n"/>
      <c r="D76" s="5" t="n"/>
      <c r="E76" s="5" t="n"/>
      <c r="F76" s="5" t="n"/>
      <c r="G76" s="5" t="n"/>
      <c r="H76" s="5" t="n"/>
    </row>
    <row r="77">
      <c r="A77" t="inlineStr">
        <is>
          <t>EV-073</t>
        </is>
      </c>
      <c r="B77" s="5" t="n"/>
      <c r="C77" s="5" t="n"/>
      <c r="D77" s="5" t="n"/>
      <c r="E77" s="5" t="n"/>
      <c r="F77" s="5" t="n"/>
      <c r="G77" s="5" t="n"/>
      <c r="H77" s="5" t="n"/>
    </row>
    <row r="78">
      <c r="A78" t="inlineStr">
        <is>
          <t>EV-074</t>
        </is>
      </c>
      <c r="B78" s="5" t="n"/>
      <c r="C78" s="5" t="n"/>
      <c r="D78" s="5" t="n"/>
      <c r="E78" s="5" t="n"/>
      <c r="F78" s="5" t="n"/>
      <c r="G78" s="5" t="n"/>
      <c r="H78" s="5" t="n"/>
    </row>
    <row r="79">
      <c r="A79" t="inlineStr">
        <is>
          <t>EV-075</t>
        </is>
      </c>
      <c r="B79" s="5" t="n"/>
      <c r="C79" s="5" t="n"/>
      <c r="D79" s="5" t="n"/>
      <c r="E79" s="5" t="n"/>
      <c r="F79" s="5" t="n"/>
      <c r="G79" s="5" t="n"/>
      <c r="H79" s="5" t="n"/>
    </row>
    <row r="80">
      <c r="A80" t="inlineStr">
        <is>
          <t>EV-076</t>
        </is>
      </c>
      <c r="B80" s="5" t="n"/>
      <c r="C80" s="5" t="n"/>
      <c r="D80" s="5" t="n"/>
      <c r="E80" s="5" t="n"/>
      <c r="F80" s="5" t="n"/>
      <c r="G80" s="5" t="n"/>
      <c r="H80" s="5" t="n"/>
    </row>
    <row r="81">
      <c r="A81" t="inlineStr">
        <is>
          <t>EV-077</t>
        </is>
      </c>
      <c r="B81" s="5" t="n"/>
      <c r="C81" s="5" t="n"/>
      <c r="D81" s="5" t="n"/>
      <c r="E81" s="5" t="n"/>
      <c r="F81" s="5" t="n"/>
      <c r="G81" s="5" t="n"/>
      <c r="H81" s="5" t="n"/>
    </row>
    <row r="82">
      <c r="A82" t="inlineStr">
        <is>
          <t>EV-078</t>
        </is>
      </c>
      <c r="B82" s="5" t="n"/>
      <c r="C82" s="5" t="n"/>
      <c r="D82" s="5" t="n"/>
      <c r="E82" s="5" t="n"/>
      <c r="F82" s="5" t="n"/>
      <c r="G82" s="5" t="n"/>
      <c r="H82" s="5" t="n"/>
    </row>
    <row r="83">
      <c r="A83" t="inlineStr">
        <is>
          <t>EV-079</t>
        </is>
      </c>
      <c r="B83" s="5" t="n"/>
      <c r="C83" s="5" t="n"/>
      <c r="D83" s="5" t="n"/>
      <c r="E83" s="5" t="n"/>
      <c r="F83" s="5" t="n"/>
      <c r="G83" s="5" t="n"/>
      <c r="H83" s="5" t="n"/>
    </row>
    <row r="84">
      <c r="A84" t="inlineStr">
        <is>
          <t>EV-080</t>
        </is>
      </c>
      <c r="B84" s="5" t="n"/>
      <c r="C84" s="5" t="n"/>
      <c r="D84" s="5" t="n"/>
      <c r="E84" s="5" t="n"/>
      <c r="F84" s="5" t="n"/>
      <c r="G84" s="5" t="n"/>
      <c r="H84" s="5" t="n"/>
    </row>
    <row r="85">
      <c r="A85" t="inlineStr">
        <is>
          <t>EV-081</t>
        </is>
      </c>
      <c r="B85" s="5" t="n"/>
      <c r="C85" s="5" t="n"/>
      <c r="D85" s="5" t="n"/>
      <c r="E85" s="5" t="n"/>
      <c r="F85" s="5" t="n"/>
      <c r="G85" s="5" t="n"/>
      <c r="H85" s="5" t="n"/>
    </row>
    <row r="86">
      <c r="A86" t="inlineStr">
        <is>
          <t>EV-082</t>
        </is>
      </c>
      <c r="B86" s="5" t="n"/>
      <c r="C86" s="5" t="n"/>
      <c r="D86" s="5" t="n"/>
      <c r="E86" s="5" t="n"/>
      <c r="F86" s="5" t="n"/>
      <c r="G86" s="5" t="n"/>
      <c r="H86" s="5" t="n"/>
    </row>
    <row r="87">
      <c r="A87" t="inlineStr">
        <is>
          <t>EV-083</t>
        </is>
      </c>
      <c r="B87" s="5" t="n"/>
      <c r="C87" s="5" t="n"/>
      <c r="D87" s="5" t="n"/>
      <c r="E87" s="5" t="n"/>
      <c r="F87" s="5" t="n"/>
      <c r="G87" s="5" t="n"/>
      <c r="H87" s="5" t="n"/>
    </row>
    <row r="88">
      <c r="A88" t="inlineStr">
        <is>
          <t>EV-084</t>
        </is>
      </c>
      <c r="B88" s="5" t="n"/>
      <c r="C88" s="5" t="n"/>
      <c r="D88" s="5" t="n"/>
      <c r="E88" s="5" t="n"/>
      <c r="F88" s="5" t="n"/>
      <c r="G88" s="5" t="n"/>
      <c r="H88" s="5" t="n"/>
    </row>
    <row r="89">
      <c r="A89" t="inlineStr">
        <is>
          <t>EV-085</t>
        </is>
      </c>
      <c r="B89" s="5" t="n"/>
      <c r="C89" s="5" t="n"/>
      <c r="D89" s="5" t="n"/>
      <c r="E89" s="5" t="n"/>
      <c r="F89" s="5" t="n"/>
      <c r="G89" s="5" t="n"/>
      <c r="H89" s="5" t="n"/>
    </row>
    <row r="90">
      <c r="A90" t="inlineStr">
        <is>
          <t>EV-086</t>
        </is>
      </c>
      <c r="B90" s="5" t="n"/>
      <c r="C90" s="5" t="n"/>
      <c r="D90" s="5" t="n"/>
      <c r="E90" s="5" t="n"/>
      <c r="F90" s="5" t="n"/>
      <c r="G90" s="5" t="n"/>
      <c r="H90" s="5" t="n"/>
    </row>
    <row r="91">
      <c r="A91" t="inlineStr">
        <is>
          <t>EV-087</t>
        </is>
      </c>
      <c r="B91" s="5" t="n"/>
      <c r="C91" s="5" t="n"/>
      <c r="D91" s="5" t="n"/>
      <c r="E91" s="5" t="n"/>
      <c r="F91" s="5" t="n"/>
      <c r="G91" s="5" t="n"/>
      <c r="H91" s="5" t="n"/>
    </row>
    <row r="92">
      <c r="A92" t="inlineStr">
        <is>
          <t>EV-088</t>
        </is>
      </c>
      <c r="B92" s="5" t="n"/>
      <c r="C92" s="5" t="n"/>
      <c r="D92" s="5" t="n"/>
      <c r="E92" s="5" t="n"/>
      <c r="F92" s="5" t="n"/>
      <c r="G92" s="5" t="n"/>
      <c r="H92" s="5" t="n"/>
    </row>
    <row r="93">
      <c r="A93" t="inlineStr">
        <is>
          <t>EV-089</t>
        </is>
      </c>
      <c r="B93" s="5" t="n"/>
      <c r="C93" s="5" t="n"/>
      <c r="D93" s="5" t="n"/>
      <c r="E93" s="5" t="n"/>
      <c r="F93" s="5" t="n"/>
      <c r="G93" s="5" t="n"/>
      <c r="H93" s="5" t="n"/>
    </row>
    <row r="94">
      <c r="A94" t="inlineStr">
        <is>
          <t>EV-090</t>
        </is>
      </c>
      <c r="B94" s="5" t="n"/>
      <c r="C94" s="5" t="n"/>
      <c r="D94" s="5" t="n"/>
      <c r="E94" s="5" t="n"/>
      <c r="F94" s="5" t="n"/>
      <c r="G94" s="5" t="n"/>
      <c r="H94" s="5" t="n"/>
    </row>
    <row r="95">
      <c r="A95" t="inlineStr">
        <is>
          <t>EV-091</t>
        </is>
      </c>
      <c r="B95" s="5" t="n"/>
      <c r="C95" s="5" t="n"/>
      <c r="D95" s="5" t="n"/>
      <c r="E95" s="5" t="n"/>
      <c r="F95" s="5" t="n"/>
      <c r="G95" s="5" t="n"/>
      <c r="H95" s="5" t="n"/>
    </row>
    <row r="96">
      <c r="A96" t="inlineStr">
        <is>
          <t>EV-092</t>
        </is>
      </c>
      <c r="B96" s="5" t="n"/>
      <c r="C96" s="5" t="n"/>
      <c r="D96" s="5" t="n"/>
      <c r="E96" s="5" t="n"/>
      <c r="F96" s="5" t="n"/>
      <c r="G96" s="5" t="n"/>
      <c r="H96" s="5" t="n"/>
    </row>
    <row r="97">
      <c r="A97" t="inlineStr">
        <is>
          <t>EV-093</t>
        </is>
      </c>
      <c r="B97" s="5" t="n"/>
      <c r="C97" s="5" t="n"/>
      <c r="D97" s="5" t="n"/>
      <c r="E97" s="5" t="n"/>
      <c r="F97" s="5" t="n"/>
      <c r="G97" s="5" t="n"/>
      <c r="H97" s="5" t="n"/>
    </row>
    <row r="98">
      <c r="A98" t="inlineStr">
        <is>
          <t>EV-094</t>
        </is>
      </c>
      <c r="B98" s="5" t="n"/>
      <c r="C98" s="5" t="n"/>
      <c r="D98" s="5" t="n"/>
      <c r="E98" s="5" t="n"/>
      <c r="F98" s="5" t="n"/>
      <c r="G98" s="5" t="n"/>
      <c r="H98" s="5" t="n"/>
    </row>
    <row r="99">
      <c r="A99" t="inlineStr">
        <is>
          <t>EV-095</t>
        </is>
      </c>
      <c r="B99" s="5" t="n"/>
      <c r="C99" s="5" t="n"/>
      <c r="D99" s="5" t="n"/>
      <c r="E99" s="5" t="n"/>
      <c r="F99" s="5" t="n"/>
      <c r="G99" s="5" t="n"/>
      <c r="H99" s="5" t="n"/>
    </row>
    <row r="100">
      <c r="A100" t="inlineStr">
        <is>
          <t>EV-096</t>
        </is>
      </c>
      <c r="B100" s="5" t="n"/>
      <c r="C100" s="5" t="n"/>
      <c r="D100" s="5" t="n"/>
      <c r="E100" s="5" t="n"/>
      <c r="F100" s="5" t="n"/>
      <c r="G100" s="5" t="n"/>
      <c r="H100" s="5" t="n"/>
    </row>
    <row r="101">
      <c r="A101" t="inlineStr">
        <is>
          <t>EV-097</t>
        </is>
      </c>
      <c r="B101" s="5" t="n"/>
      <c r="C101" s="5" t="n"/>
      <c r="D101" s="5" t="n"/>
      <c r="E101" s="5" t="n"/>
      <c r="F101" s="5" t="n"/>
      <c r="G101" s="5" t="n"/>
      <c r="H101" s="5" t="n"/>
    </row>
    <row r="102">
      <c r="A102" t="inlineStr">
        <is>
          <t>EV-098</t>
        </is>
      </c>
      <c r="B102" s="5" t="n"/>
      <c r="C102" s="5" t="n"/>
      <c r="D102" s="5" t="n"/>
      <c r="E102" s="5" t="n"/>
      <c r="F102" s="5" t="n"/>
      <c r="G102" s="5" t="n"/>
      <c r="H102" s="5" t="n"/>
    </row>
    <row r="103">
      <c r="A103" t="inlineStr">
        <is>
          <t>EV-099</t>
        </is>
      </c>
      <c r="B103" s="5" t="n"/>
      <c r="C103" s="5" t="n"/>
      <c r="D103" s="5" t="n"/>
      <c r="E103" s="5" t="n"/>
      <c r="F103" s="5" t="n"/>
      <c r="G103" s="5" t="n"/>
      <c r="H103" s="5" t="n"/>
    </row>
    <row r="104">
      <c r="A104" t="inlineStr">
        <is>
          <t>EV-100</t>
        </is>
      </c>
      <c r="B104" s="5" t="n"/>
      <c r="C104" s="5" t="n"/>
      <c r="D104" s="5" t="n"/>
      <c r="E104" s="5" t="n"/>
      <c r="F104" s="5" t="n"/>
      <c r="G104" s="5" t="n"/>
      <c r="H104" s="5" t="n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20" customWidth="1" min="4" max="4"/>
  </cols>
  <sheetData>
    <row r="1" ht="30" customHeight="1">
      <c r="A1" s="1" t="inlineStr">
        <is>
          <t>Sheet 9: Dashboard</t>
        </is>
      </c>
    </row>
    <row r="2">
      <c r="A2" s="12" t="inlineStr">
        <is>
          <t>Executive Summary - Framework Maturity Assessment</t>
        </is>
      </c>
    </row>
    <row r="4">
      <c r="A4" s="2" t="inlineStr">
        <is>
          <t>OVERALL FRAMEWORK MATURITY</t>
        </is>
      </c>
    </row>
    <row r="5">
      <c r="A5" s="3" t="inlineStr">
        <is>
          <t>Overall Maturity Score (%)</t>
        </is>
      </c>
      <c r="B5" s="19">
        <f>100 - ((COUNTIF('Governance Assessment'!G:G,"Yes") + COUNTIF('Organizational Structure'!G:G,"Yes") + COUNTIF('Training &amp; Competency'!G:G,"Yes") + COUNTIF('Tools &amp; Technology'!G:G,"Yes") + COUNTIF('Integration Assessment'!G:G,"Yes")) / 135 * 100)</f>
        <v/>
      </c>
    </row>
    <row r="6">
      <c r="A6" s="3" t="inlineStr">
        <is>
          <t>Maturity Level</t>
        </is>
      </c>
      <c r="B6" s="18">
        <f>IF(B5&lt;40,"Level 1 (Initial)",IF(B5&lt;60,"Level 2 (Developing)",IF(B5&lt;75,"Level 3 (Defined)",IF(B5&lt;90,"Level 4 (Managed)","Level 5 (Optimizing)"))))</f>
        <v/>
      </c>
    </row>
    <row r="9">
      <c r="A9" s="2" t="inlineStr">
        <is>
          <t>DOMAIN SCORES</t>
        </is>
      </c>
    </row>
    <row r="10">
      <c r="A10" s="7" t="inlineStr">
        <is>
          <t>Domain</t>
        </is>
      </c>
      <c r="B10" s="7" t="inlineStr">
        <is>
          <t>Score (%)</t>
        </is>
      </c>
      <c r="C10" s="7" t="inlineStr">
        <is>
          <t>Target</t>
        </is>
      </c>
      <c r="D10" s="7" t="inlineStr">
        <is>
          <t>Status</t>
        </is>
      </c>
    </row>
    <row r="11">
      <c r="A11" s="4" t="inlineStr">
        <is>
          <t>Governance</t>
        </is>
      </c>
      <c r="B11" s="20">
        <f>100 - (COUNTIF('Governance Assessment'!G:G,"Yes") / 25 * 100)</f>
        <v/>
      </c>
      <c r="C11" s="4" t="inlineStr">
        <is>
          <t>90%</t>
        </is>
      </c>
      <c r="D11" s="8">
        <f>IF(B11&gt;=VALUE(LEFT(C11,LEN(C11)-1)),"On Track","Needs Improvement")</f>
        <v/>
      </c>
    </row>
    <row r="12">
      <c r="A12" s="4" t="inlineStr">
        <is>
          <t>Organizational Structure</t>
        </is>
      </c>
      <c r="B12" s="20">
        <f>100 - (COUNTIF('Organizational Structure'!G:G,"Yes") / 30 * 100)</f>
        <v/>
      </c>
      <c r="C12" s="4" t="inlineStr">
        <is>
          <t>85%</t>
        </is>
      </c>
      <c r="D12" s="8">
        <f>IF(B12&gt;=VALUE(LEFT(C12,LEN(C12)-1)),"On Track","Needs Improvement")</f>
        <v/>
      </c>
    </row>
    <row r="13">
      <c r="A13" s="4" t="inlineStr">
        <is>
          <t>Training &amp; Competency</t>
        </is>
      </c>
      <c r="B13" s="20">
        <f>100 - (COUNTIF('Training &amp; Competency'!G:G,"Yes") / 25 * 100)</f>
        <v/>
      </c>
      <c r="C13" s="4" t="inlineStr">
        <is>
          <t>90%</t>
        </is>
      </c>
      <c r="D13" s="8">
        <f>IF(B13&gt;=VALUE(LEFT(C13,LEN(C13)-1)),"On Track","Needs Improvement")</f>
        <v/>
      </c>
    </row>
    <row r="14">
      <c r="A14" s="4" t="inlineStr">
        <is>
          <t>Tools &amp; Technology</t>
        </is>
      </c>
      <c r="B14" s="20">
        <f>100 - (COUNTIF('Tools &amp; Technology'!G:G,"Yes") / 30 * 100)</f>
        <v/>
      </c>
      <c r="C14" s="4" t="inlineStr">
        <is>
          <t>80%</t>
        </is>
      </c>
      <c r="D14" s="8">
        <f>IF(B14&gt;=VALUE(LEFT(C14,LEN(C14)-1)),"On Track","Needs Improvement")</f>
        <v/>
      </c>
    </row>
    <row r="15">
      <c r="A15" s="4" t="inlineStr">
        <is>
          <t>Integration</t>
        </is>
      </c>
      <c r="B15" s="20">
        <f>100 - (COUNTIF('Integration Assessment'!G:G,"Yes") / 25 * 100)</f>
        <v/>
      </c>
      <c r="C15" s="4" t="inlineStr">
        <is>
          <t>85%</t>
        </is>
      </c>
      <c r="D15" s="8">
        <f>IF(B15&gt;=VALUE(LEFT(C15,LEN(C15)-1)),"On Track","Needs Improvement")</f>
        <v/>
      </c>
    </row>
    <row r="18">
      <c r="A18" s="2" t="inlineStr">
        <is>
          <t>KEY METRICS</t>
        </is>
      </c>
    </row>
    <row r="19">
      <c r="A19" s="3" t="inlineStr">
        <is>
          <t>CSIRT Staffing (FTE)</t>
        </is>
      </c>
      <c r="B19" s="8">
        <f>'Organizational Structure'!D29</f>
        <v/>
      </c>
    </row>
    <row r="20">
      <c r="A20" s="3" t="inlineStr">
        <is>
          <t>Coverage Model</t>
        </is>
      </c>
      <c r="B20" s="8">
        <f>'Organizational Structure'!D28</f>
        <v/>
      </c>
    </row>
    <row r="21">
      <c r="A21" s="3" t="inlineStr">
        <is>
          <t>Training Completion Rate</t>
        </is>
      </c>
      <c r="B21" s="8">
        <f>'Training &amp; Competency'!D58</f>
        <v/>
      </c>
    </row>
    <row r="22">
      <c r="A22" s="3" t="inlineStr">
        <is>
          <t>Tabletop Exercise Frequency</t>
        </is>
      </c>
      <c r="B22" s="8">
        <f>'Training &amp; Competency'!D61</f>
        <v/>
      </c>
    </row>
    <row r="23">
      <c r="A23" s="3" t="inlineStr">
        <is>
          <t>Critical Gaps</t>
        </is>
      </c>
      <c r="B23" s="8">
        <f>'Gap Analysis'!B72</f>
        <v/>
      </c>
    </row>
    <row r="24">
      <c r="A24" s="3" t="inlineStr">
        <is>
          <t>High Gaps</t>
        </is>
      </c>
      <c r="B24" s="8">
        <f>'Gap Analysis'!B73</f>
        <v/>
      </c>
    </row>
  </sheetData>
  <mergeCells count="5">
    <mergeCell ref="A18:D18"/>
    <mergeCell ref="A9:D9"/>
    <mergeCell ref="A4:D4"/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Sheet 10: Approval &amp; Sign-Off</t>
        </is>
      </c>
    </row>
    <row r="3">
      <c r="A3" s="17" t="inlineStr">
        <is>
          <t>ASSESSMENT SUMMARY</t>
        </is>
      </c>
    </row>
    <row r="4">
      <c r="A4" s="3" t="inlineStr">
        <is>
          <t>Assessment Document</t>
        </is>
      </c>
      <c r="B4" s="21" t="inlineStr">
        <is>
          <t>ISMS-IMP-A.5.24-28.S1 - Framework Assessment</t>
        </is>
      </c>
    </row>
    <row r="5">
      <c r="A5" s="3" t="inlineStr">
        <is>
          <t>Assessment Period</t>
        </is>
      </c>
      <c r="B5" s="22" t="inlineStr"/>
    </row>
    <row r="6">
      <c r="A6" s="3" t="inlineStr">
        <is>
          <t>Overall Maturity Level</t>
        </is>
      </c>
      <c r="B6" s="21">
        <f>Dashboard!B6</f>
        <v/>
      </c>
    </row>
    <row r="7">
      <c r="A7" s="3" t="inlineStr">
        <is>
          <t>Overall Maturity Score</t>
        </is>
      </c>
      <c r="B7" s="21">
        <f>Dashboard!B5</f>
        <v/>
      </c>
    </row>
    <row r="8">
      <c r="A8" s="3" t="inlineStr">
        <is>
          <t>Assessment Status</t>
        </is>
      </c>
      <c r="B8" s="22" t="inlineStr"/>
    </row>
    <row r="11">
      <c r="A11" s="23" t="inlineStr">
        <is>
          <t>ASSESSMENT COMPLETED BY</t>
        </is>
      </c>
    </row>
    <row r="12">
      <c r="A12" s="3" t="inlineStr">
        <is>
          <t>Name:</t>
        </is>
      </c>
      <c r="B12" s="22" t="n"/>
    </row>
    <row r="13">
      <c r="A13" s="3" t="inlineStr">
        <is>
          <t>Role/Title:</t>
        </is>
      </c>
      <c r="B13" s="22" t="n"/>
    </row>
    <row r="14">
      <c r="A14" s="3" t="inlineStr">
        <is>
          <t>Department:</t>
        </is>
      </c>
      <c r="B14" s="22" t="n"/>
    </row>
    <row r="15">
      <c r="A15" s="3" t="inlineStr">
        <is>
          <t>Email:</t>
        </is>
      </c>
      <c r="B15" s="22" t="n"/>
    </row>
    <row r="16">
      <c r="A16" s="3" t="inlineStr">
        <is>
          <t>Date:</t>
        </is>
      </c>
      <c r="B16" s="22" t="n"/>
    </row>
    <row r="19">
      <c r="A19" s="24" t="inlineStr">
        <is>
          <t>REVIEWED BY (CISO)</t>
        </is>
      </c>
    </row>
    <row r="20">
      <c r="A20" s="3" t="inlineStr">
        <is>
          <t>Name:</t>
        </is>
      </c>
      <c r="B20" s="22" t="n"/>
    </row>
    <row r="21">
      <c r="A21" s="3" t="inlineStr">
        <is>
          <t>Date:</t>
        </is>
      </c>
      <c r="B21" s="22" t="n"/>
    </row>
    <row r="22">
      <c r="A22" s="3" t="inlineStr">
        <is>
          <t>Approval Decision:</t>
        </is>
      </c>
      <c r="B22" s="22" t="n"/>
    </row>
    <row r="23">
      <c r="A23" s="3" t="inlineStr">
        <is>
          <t>Signature:</t>
        </is>
      </c>
      <c r="B23" s="22" t="n"/>
    </row>
    <row r="26">
      <c r="A26" s="3" t="inlineStr">
        <is>
          <t>Next Review Date:</t>
        </is>
      </c>
      <c r="B26" s="22" t="n"/>
    </row>
  </sheetData>
  <mergeCells count="14">
    <mergeCell ref="B23:E23"/>
    <mergeCell ref="B26:E26"/>
    <mergeCell ref="B12:E12"/>
    <mergeCell ref="B13:E13"/>
    <mergeCell ref="B21:E21"/>
    <mergeCell ref="B16:E16"/>
    <mergeCell ref="A11:E11"/>
    <mergeCell ref="B15:E15"/>
    <mergeCell ref="A19:E19"/>
    <mergeCell ref="A1:E1"/>
    <mergeCell ref="B20:E20"/>
    <mergeCell ref="B22:E22"/>
    <mergeCell ref="B14:E1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2026-02-08T11:25:21Z</dcterms:created>
  <dcterms:modified xmlns:dcterms="http://purl.org/dc/terms/" xmlns:xsi="http://www.w3.org/2001/XMLSchema-instance" xsi:type="dcterms:W3CDTF">2026-02-08T11:25:22Z</dcterms:modified>
</cp:coreProperties>
</file>