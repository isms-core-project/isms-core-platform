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vidence Collection" sheetId="2" state="visible" r:id="rId2"/>
    <sheet xmlns:r="http://schemas.openxmlformats.org/officeDocument/2006/relationships" name="Chain of Custody" sheetId="3" state="visible" r:id="rId3"/>
    <sheet xmlns:r="http://schemas.openxmlformats.org/officeDocument/2006/relationships" name="Forensic Analysis" sheetId="4" state="visible" r:id="rId4"/>
    <sheet xmlns:r="http://schemas.openxmlformats.org/officeDocument/2006/relationships" name="Storage &amp; Retention" sheetId="5" state="visible" r:id="rId5"/>
    <sheet xmlns:r="http://schemas.openxmlformats.org/officeDocument/2006/relationships" name="Legal &amp; Regulatory" sheetId="6" state="visible" r:id="rId6"/>
    <sheet xmlns:r="http://schemas.openxmlformats.org/officeDocument/2006/relationships" name="Gap Analysis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FFFFFF"/>
      <sz val="12"/>
    </font>
    <font>
      <b val="1"/>
    </font>
    <font>
      <b val="1"/>
      <color rgb="00FFFFFF"/>
      <sz val="11"/>
    </font>
    <font>
      <i val="1"/>
      <sz val="10"/>
    </font>
    <font>
      <name val="Calibri"/>
      <b val="1"/>
      <color rgb="00FFFFFF"/>
      <sz val="10"/>
    </font>
    <font>
      <name val="Calibri"/>
      <b val="1"/>
      <sz val="10"/>
    </font>
    <font>
      <b val="1"/>
      <color rgb="00FFFFFF"/>
      <sz val="10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8E4F8"/>
        <bgColor rgb="00D8E4F8"/>
      </patternFill>
    </fill>
    <fill>
      <patternFill patternType="solid">
        <fgColor rgb="00C8F0C8"/>
        <bgColor rgb="00C8F0C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4" fillId="3" borderId="0" pivotButton="0" quotePrefix="0" xfId="0"/>
    <xf numFmtId="0" fontId="0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/>
    </xf>
    <xf numFmtId="0" fontId="8" fillId="3" borderId="0" pivotButton="0" quotePrefix="0" xfId="0"/>
    <xf numFmtId="0" fontId="0" fillId="6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0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40" customHeight="1">
      <c r="A1" s="1" t="inlineStr">
        <is>
          <t>ISMS-IMP-A.5.24-28.S4 — Forensic Evidence Assessment
ISO/IEC 27001:2022 - Control A.5.28: Incident Evidence Preservation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s="4" t="inlineStr">
        <is>
          <t>ISMS-IMP-A.5.24-28.S4</t>
        </is>
      </c>
    </row>
    <row r="5">
      <c r="A5" s="3" t="inlineStr">
        <is>
          <t>Assessment Area:</t>
        </is>
      </c>
      <c r="B5" s="4" t="inlineStr">
        <is>
          <t>Forensic Evidence Management (Domain 4)</t>
        </is>
      </c>
    </row>
    <row r="6">
      <c r="A6" s="3" t="inlineStr">
        <is>
          <t>Related Policy:</t>
        </is>
      </c>
      <c r="B6" s="4" t="inlineStr">
        <is>
          <t>ISMS-POL-A.5.24-28, Section 2.4</t>
        </is>
      </c>
    </row>
    <row r="7">
      <c r="A7" s="3" t="inlineStr">
        <is>
          <t>Related Reference:</t>
        </is>
      </c>
      <c r="B7" s="4" t="inlineStr">
        <is>
          <t>ISMS-REF-A.5.24-28, Section 3</t>
        </is>
      </c>
    </row>
    <row r="8">
      <c r="A8" s="3" t="inlineStr">
        <is>
          <t>Standards:</t>
        </is>
      </c>
      <c r="B8" s="4" t="inlineStr">
        <is>
          <t>ISO/IEC 27037:2012, NIST SP 800-86</t>
        </is>
      </c>
    </row>
    <row r="9">
      <c r="A9" s="3" t="inlineStr">
        <is>
          <t>Version:</t>
        </is>
      </c>
      <c r="B9" s="4" t="inlineStr">
        <is>
          <t>1.0</t>
        </is>
      </c>
    </row>
    <row r="10">
      <c r="A10" s="3" t="inlineStr">
        <is>
          <t>Assessment Date:</t>
        </is>
      </c>
      <c r="B10" s="5" t="inlineStr"/>
    </row>
    <row r="11">
      <c r="A11" s="3" t="inlineStr">
        <is>
          <t>Completed By:</t>
        </is>
      </c>
      <c r="B11" s="5" t="inlineStr"/>
    </row>
    <row r="12">
      <c r="A12" s="3" t="inlineStr">
        <is>
          <t>Organisation:</t>
        </is>
      </c>
      <c r="B12" s="5" t="inlineStr"/>
    </row>
    <row r="15">
      <c r="A15" s="6" t="inlineStr">
        <is>
          <t>FORENSIC EVIDENCE CORE PRINCIPLES (ISO/IEC 27037:2012)</t>
        </is>
      </c>
    </row>
    <row r="16" ht="90" customHeight="1">
      <c r="A16" s="7" t="inlineStr">
        <is>
          <t>1. IDENTIFICATION: Locate and recognise relevant digital evidence
2. COLLECTION: Gather evidence using validated, documented methods
3. ACQUISITION: Create forensic copies preserving original integrity
4. PRESERVATION: Maintain evidence integrity and chain of custody
Key Rules: Never analyse originals. Always hash. Document everything. Preserve chain of custody.</t>
        </is>
      </c>
    </row>
    <row r="17"/>
    <row r="18"/>
    <row r="19"/>
    <row r="20"/>
    <row r="22">
      <c r="A22" s="6" t="inlineStr">
        <is>
          <t>COLOR LEGEND</t>
        </is>
      </c>
    </row>
    <row r="23">
      <c r="A23" s="3" t="inlineStr">
        <is>
          <t>Yellow (FFFFCC)</t>
        </is>
      </c>
      <c r="B23" s="4" t="inlineStr">
        <is>
          <t>Input cell — Enter your response</t>
        </is>
      </c>
    </row>
    <row r="24">
      <c r="A24" s="3" t="inlineStr">
        <is>
          <t>Green (C8F0C8)</t>
        </is>
      </c>
      <c r="B24" s="4" t="inlineStr">
        <is>
          <t>Calculated cell — Auto-populated formula</t>
        </is>
      </c>
    </row>
    <row r="25">
      <c r="A25" s="3" t="inlineStr">
        <is>
          <t>Light Blue (D8E4F8)</t>
        </is>
      </c>
      <c r="B25" s="4" t="inlineStr">
        <is>
          <t>Section header</t>
        </is>
      </c>
    </row>
  </sheetData>
  <mergeCells count="5">
    <mergeCell ref="A1:G1"/>
    <mergeCell ref="A16:G20"/>
    <mergeCell ref="A15:G15"/>
    <mergeCell ref="A3:B3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8" customWidth="1" min="3" max="3"/>
    <col width="28" customWidth="1" min="4" max="4"/>
    <col width="28" customWidth="1" min="5" max="5"/>
    <col width="32" customWidth="1" min="6" max="6"/>
    <col width="10" customWidth="1" min="7" max="7"/>
  </cols>
  <sheetData>
    <row r="1" ht="30" customHeight="1">
      <c r="A1" s="1" t="inlineStr">
        <is>
          <t>Sheet 2: Evidence Collection</t>
        </is>
      </c>
    </row>
    <row r="2">
      <c r="A2" s="8" t="inlineStr">
        <is>
          <t>Collection Procedures, Evidence Sources, Collection Quality (25 Questions)</t>
        </is>
      </c>
    </row>
    <row r="4">
      <c r="A4" s="9" t="inlineStr">
        <is>
          <t>Question_ID</t>
        </is>
      </c>
      <c r="B4" s="9" t="inlineStr">
        <is>
          <t>Section</t>
        </is>
      </c>
      <c r="C4" s="9" t="inlineStr">
        <is>
          <t>Question</t>
        </is>
      </c>
      <c r="D4" s="9" t="inlineStr">
        <is>
          <t>Answer</t>
        </is>
      </c>
      <c r="E4" s="9" t="inlineStr">
        <is>
          <t>Evidence_Ref</t>
        </is>
      </c>
      <c r="F4" s="9" t="inlineStr">
        <is>
          <t>Comments</t>
        </is>
      </c>
      <c r="G4" s="9" t="inlineStr">
        <is>
          <t>Gap_Flag</t>
        </is>
      </c>
    </row>
    <row r="5" ht="20" customHeight="1">
      <c r="A5" s="10" t="inlineStr">
        <is>
          <t xml:space="preserve">  Collection Procedures</t>
        </is>
      </c>
      <c r="B5" s="4" t="n"/>
      <c r="C5" s="4" t="n"/>
      <c r="D5" s="4" t="n"/>
      <c r="E5" s="4" t="n"/>
      <c r="F5" s="4" t="n"/>
      <c r="G5" s="4" t="n"/>
    </row>
    <row r="6" ht="35" customHeight="1">
      <c r="A6" s="11" t="inlineStr">
        <is>
          <t>Q1</t>
        </is>
      </c>
      <c r="B6" s="11" t="inlineStr">
        <is>
          <t>Collection Procedures</t>
        </is>
      </c>
      <c r="C6" s="12" t="inlineStr">
        <is>
          <t>Are forensic evidence collection procedures documented?</t>
        </is>
      </c>
      <c r="D6" s="5" t="n"/>
      <c r="E6" s="5" t="n"/>
      <c r="F6" s="5" t="n"/>
      <c r="G6" s="13">
        <f>IF(OR(D6="No", D6="Never", D6="None", D6="No Capability"), "Yes", "No")</f>
        <v/>
      </c>
    </row>
    <row r="7" ht="35" customHeight="1">
      <c r="A7" s="11" t="inlineStr">
        <is>
          <t>Q2</t>
        </is>
      </c>
      <c r="B7" s="11" t="inlineStr">
        <is>
          <t>Collection Procedures</t>
        </is>
      </c>
      <c r="C7" s="12" t="inlineStr">
        <is>
          <t>Is evidence collection integrated into IR playbooks?</t>
        </is>
      </c>
      <c r="D7" s="5" t="n"/>
      <c r="E7" s="5" t="n"/>
      <c r="F7" s="5" t="n"/>
      <c r="G7" s="13">
        <f>IF(OR(D7="No", D7="Never", D7="None", D7="No Capability"), "Yes", "No")</f>
        <v/>
      </c>
    </row>
    <row r="8" ht="35" customHeight="1">
      <c r="A8" s="11" t="inlineStr">
        <is>
          <t>Q3</t>
        </is>
      </c>
      <c r="B8" s="11" t="inlineStr">
        <is>
          <t>Collection Procedures</t>
        </is>
      </c>
      <c r="C8" s="12" t="inlineStr">
        <is>
          <t>Which evidence types have collection procedures? (Disk/Memory/Network/Logs/Email/Cloud/Mobile/Physical/App/IoT)</t>
        </is>
      </c>
      <c r="D8" s="5" t="n"/>
      <c r="E8" s="5" t="n"/>
      <c r="F8" s="5" t="n"/>
      <c r="G8" s="13">
        <f>IF(OR(D8="No", D8="Never", D8="None", D8="No Capability"), "Yes", "No")</f>
        <v/>
      </c>
    </row>
    <row r="9" ht="35" customHeight="1">
      <c r="A9" s="11" t="inlineStr">
        <is>
          <t>Q4</t>
        </is>
      </c>
      <c r="B9" s="11" t="inlineStr">
        <is>
          <t>Collection Procedures</t>
        </is>
      </c>
      <c r="C9" s="12" t="inlineStr">
        <is>
          <t>Is evidence collection prioritised (volatile first)?</t>
        </is>
      </c>
      <c r="D9" s="5" t="n"/>
      <c r="E9" s="5" t="n"/>
      <c r="F9" s="5" t="n"/>
      <c r="G9" s="13">
        <f>IF(OR(D9="No", D9="Never", D9="None", D9="No Capability"), "Yes", "No")</f>
        <v/>
      </c>
    </row>
    <row r="10" ht="35" customHeight="1">
      <c r="A10" s="11" t="inlineStr">
        <is>
          <t>Q5</t>
        </is>
      </c>
      <c r="B10" s="11" t="inlineStr">
        <is>
          <t>Collection Procedures</t>
        </is>
      </c>
      <c r="C10" s="12" t="inlineStr">
        <is>
          <t>Is there a pre-collection checklist?</t>
        </is>
      </c>
      <c r="D10" s="5" t="n"/>
      <c r="E10" s="5" t="n"/>
      <c r="F10" s="5" t="n"/>
      <c r="G10" s="13">
        <f>IF(OR(D10="No", D10="Never", D10="None", D10="No Capability"), "Yes", "No")</f>
        <v/>
      </c>
    </row>
    <row r="11" ht="35" customHeight="1">
      <c r="A11" s="11" t="inlineStr">
        <is>
          <t>Q6</t>
        </is>
      </c>
      <c r="B11" s="11" t="inlineStr">
        <is>
          <t>Collection Procedures</t>
        </is>
      </c>
      <c r="C11" s="12" t="inlineStr">
        <is>
          <t>Are standard forensic collection tools defined and approved?</t>
        </is>
      </c>
      <c r="D11" s="5" t="n"/>
      <c r="E11" s="5" t="n"/>
      <c r="F11" s="5" t="n"/>
      <c r="G11" s="13">
        <f>IF(OR(D11="No", D11="Never", D11="None", D11="No Capability"), "Yes", "No")</f>
        <v/>
      </c>
    </row>
    <row r="12" ht="35" customHeight="1">
      <c r="A12" s="11" t="inlineStr">
        <is>
          <t>Q7</t>
        </is>
      </c>
      <c r="B12" s="11" t="inlineStr">
        <is>
          <t>Collection Procedures</t>
        </is>
      </c>
      <c r="C12" s="12" t="inlineStr">
        <is>
          <t>Collection training frequency?</t>
        </is>
      </c>
      <c r="D12" s="5" t="n"/>
      <c r="E12" s="5" t="n"/>
      <c r="F12" s="5" t="n"/>
      <c r="G12" s="13">
        <f>IF(OR(D12="No", D12="Never", D12="None", D12="No Capability"), "Yes", "No")</f>
        <v/>
      </c>
    </row>
    <row r="13" ht="35" customHeight="1">
      <c r="A13" s="11" t="inlineStr">
        <is>
          <t>Q8</t>
        </is>
      </c>
      <c r="B13" s="11" t="inlineStr">
        <is>
          <t>Collection Procedures</t>
        </is>
      </c>
      <c r="C13" s="12" t="inlineStr">
        <is>
          <t>Are common collection mistakes addressed in training?</t>
        </is>
      </c>
      <c r="D13" s="5" t="n"/>
      <c r="E13" s="5" t="n"/>
      <c r="F13" s="5" t="n"/>
      <c r="G13" s="13">
        <f>IF(OR(D13="No", D13="Never", D13="None", D13="No Capability"), "Yes", "No")</f>
        <v/>
      </c>
    </row>
    <row r="14" ht="20" customHeight="1">
      <c r="A14" s="10" t="inlineStr">
        <is>
          <t xml:space="preserve">  Evidence Sources</t>
        </is>
      </c>
      <c r="B14" s="4" t="n"/>
      <c r="C14" s="4" t="n"/>
      <c r="D14" s="4" t="n"/>
      <c r="E14" s="4" t="n"/>
      <c r="F14" s="4" t="n"/>
      <c r="G14" s="4" t="n"/>
    </row>
    <row r="15" ht="35" customHeight="1">
      <c r="A15" s="11" t="inlineStr">
        <is>
          <t>Q9</t>
        </is>
      </c>
      <c r="B15" s="11" t="inlineStr">
        <is>
          <t>Evidence Sources</t>
        </is>
      </c>
      <c r="C15" s="12" t="inlineStr">
        <is>
          <t>Endpoint Disk — Collection capability?</t>
        </is>
      </c>
      <c r="D15" s="5" t="n"/>
      <c r="E15" s="5" t="n"/>
      <c r="F15" s="5" t="n"/>
      <c r="G15" s="13">
        <f>IF(OR(D15="No", D15="Never", D15="None", D15="No Capability"), "Yes", "No")</f>
        <v/>
      </c>
    </row>
    <row r="16" ht="35" customHeight="1">
      <c r="A16" s="11" t="inlineStr">
        <is>
          <t>Q10</t>
        </is>
      </c>
      <c r="B16" s="11" t="inlineStr">
        <is>
          <t>Evidence Sources</t>
        </is>
      </c>
      <c r="C16" s="12" t="inlineStr">
        <is>
          <t>Endpoint Memory (RAM) — Collection capability?</t>
        </is>
      </c>
      <c r="D16" s="5" t="n"/>
      <c r="E16" s="5" t="n"/>
      <c r="F16" s="5" t="n"/>
      <c r="G16" s="13">
        <f>IF(OR(D16="No", D16="Never", D16="None", D16="No Capability"), "Yes", "No")</f>
        <v/>
      </c>
    </row>
    <row r="17" ht="35" customHeight="1">
      <c r="A17" s="11" t="inlineStr">
        <is>
          <t>Q11</t>
        </is>
      </c>
      <c r="B17" s="11" t="inlineStr">
        <is>
          <t>Evidence Sources</t>
        </is>
      </c>
      <c r="C17" s="12" t="inlineStr">
        <is>
          <t>Network Traffic (PCAP) — Collection capability?</t>
        </is>
      </c>
      <c r="D17" s="5" t="n"/>
      <c r="E17" s="5" t="n"/>
      <c r="F17" s="5" t="n"/>
      <c r="G17" s="13">
        <f>IF(OR(D17="No", D17="Never", D17="None", D17="No Capability"), "Yes", "No")</f>
        <v/>
      </c>
    </row>
    <row r="18" ht="35" customHeight="1">
      <c r="A18" s="11" t="inlineStr">
        <is>
          <t>Q12</t>
        </is>
      </c>
      <c r="B18" s="11" t="inlineStr">
        <is>
          <t>Evidence Sources</t>
        </is>
      </c>
      <c r="C18" s="12" t="inlineStr">
        <is>
          <t>System/Application Logs — Collection capability?</t>
        </is>
      </c>
      <c r="D18" s="5" t="n"/>
      <c r="E18" s="5" t="n"/>
      <c r="F18" s="5" t="n"/>
      <c r="G18" s="13">
        <f>IF(OR(D18="No", D18="Never", D18="None", D18="No Capability"), "Yes", "No")</f>
        <v/>
      </c>
    </row>
    <row r="19" ht="35" customHeight="1">
      <c r="A19" s="11" t="inlineStr">
        <is>
          <t>Q13</t>
        </is>
      </c>
      <c r="B19" s="11" t="inlineStr">
        <is>
          <t>Evidence Sources</t>
        </is>
      </c>
      <c r="C19" s="12" t="inlineStr">
        <is>
          <t>Email Evidence — Collection capability?</t>
        </is>
      </c>
      <c r="D19" s="5" t="n"/>
      <c r="E19" s="5" t="n"/>
      <c r="F19" s="5" t="n"/>
      <c r="G19" s="13">
        <f>IF(OR(D19="No", D19="Never", D19="None", D19="No Capability"), "Yes", "No")</f>
        <v/>
      </c>
    </row>
    <row r="20" ht="35" customHeight="1">
      <c r="A20" s="11" t="inlineStr">
        <is>
          <t>Q14</t>
        </is>
      </c>
      <c r="B20" s="11" t="inlineStr">
        <is>
          <t>Evidence Sources</t>
        </is>
      </c>
      <c r="C20" s="12" t="inlineStr">
        <is>
          <t>Cloud Audit Logs — Collection capability?</t>
        </is>
      </c>
      <c r="D20" s="5" t="n"/>
      <c r="E20" s="5" t="n"/>
      <c r="F20" s="5" t="n"/>
      <c r="G20" s="13">
        <f>IF(OR(D20="No", D20="Never", D20="None", D20="No Capability"), "Yes", "No")</f>
        <v/>
      </c>
    </row>
    <row r="21" ht="35" customHeight="1">
      <c r="A21" s="11" t="inlineStr">
        <is>
          <t>Q15</t>
        </is>
      </c>
      <c r="B21" s="11" t="inlineStr">
        <is>
          <t>Evidence Sources</t>
        </is>
      </c>
      <c r="C21" s="12" t="inlineStr">
        <is>
          <t>Mobile Device — Collection capability?</t>
        </is>
      </c>
      <c r="D21" s="5" t="n"/>
      <c r="E21" s="5" t="n"/>
      <c r="F21" s="5" t="n"/>
      <c r="G21" s="13">
        <f>IF(OR(D21="No", D21="Never", D21="None", D21="No Capability"), "Yes", "No")</f>
        <v/>
      </c>
    </row>
    <row r="22" ht="35" customHeight="1">
      <c r="A22" s="11" t="inlineStr">
        <is>
          <t>Q16</t>
        </is>
      </c>
      <c r="B22" s="11" t="inlineStr">
        <is>
          <t>Evidence Sources</t>
        </is>
      </c>
      <c r="C22" s="12" t="inlineStr">
        <is>
          <t>Physical Evidence — Collection capability?</t>
        </is>
      </c>
      <c r="D22" s="5" t="n"/>
      <c r="E22" s="5" t="n"/>
      <c r="F22" s="5" t="n"/>
      <c r="G22" s="13">
        <f>IF(OR(D22="No", D22="Never", D22="None", D22="No Capability"), "Yes", "No")</f>
        <v/>
      </c>
    </row>
    <row r="23" ht="35" customHeight="1">
      <c r="A23" s="11" t="inlineStr">
        <is>
          <t>Q17</t>
        </is>
      </c>
      <c r="B23" s="11" t="inlineStr">
        <is>
          <t>Evidence Sources</t>
        </is>
      </c>
      <c r="C23" s="12" t="inlineStr">
        <is>
          <t>Application-Level Evidence — Collection capability?</t>
        </is>
      </c>
      <c r="D23" s="5" t="n"/>
      <c r="E23" s="5" t="n"/>
      <c r="F23" s="5" t="n"/>
      <c r="G23" s="13">
        <f>IF(OR(D23="No", D23="Never", D23="None", D23="No Capability"), "Yes", "No")</f>
        <v/>
      </c>
    </row>
    <row r="24" ht="35" customHeight="1">
      <c r="A24" s="11" t="inlineStr">
        <is>
          <t>Q18</t>
        </is>
      </c>
      <c r="B24" s="11" t="inlineStr">
        <is>
          <t>Evidence Sources</t>
        </is>
      </c>
      <c r="C24" s="12" t="inlineStr">
        <is>
          <t>IoT / OT Device Evidence — Collection capability?</t>
        </is>
      </c>
      <c r="D24" s="5" t="n"/>
      <c r="E24" s="5" t="n"/>
      <c r="F24" s="5" t="n"/>
      <c r="G24" s="13">
        <f>IF(OR(D24="No", D24="Never", D24="None", D24="No Capability"), "Yes", "No")</f>
        <v/>
      </c>
    </row>
    <row r="25" ht="20" customHeight="1">
      <c r="A25" s="10" t="inlineStr">
        <is>
          <t xml:space="preserve">  Collection Quality</t>
        </is>
      </c>
      <c r="B25" s="4" t="n"/>
      <c r="C25" s="4" t="n"/>
      <c r="D25" s="4" t="n"/>
      <c r="E25" s="4" t="n"/>
      <c r="F25" s="4" t="n"/>
      <c r="G25" s="4" t="n"/>
    </row>
    <row r="26" ht="35" customHeight="1">
      <c r="A26" s="11" t="inlineStr">
        <is>
          <t>Q19</t>
        </is>
      </c>
      <c r="B26" s="11" t="inlineStr">
        <is>
          <t>Collection Quality</t>
        </is>
      </c>
      <c r="C26" s="12" t="inlineStr">
        <is>
          <t>Was evidence collection complete? (Last 10 incidents)</t>
        </is>
      </c>
      <c r="D26" s="5" t="n"/>
      <c r="E26" s="5" t="n"/>
      <c r="F26" s="5" t="n"/>
      <c r="G26" s="13">
        <f>IF(OR(D26="No", D26="Never", D26="None", D26="No Capability"), "Yes", "No")</f>
        <v/>
      </c>
    </row>
    <row r="27" ht="35" customHeight="1">
      <c r="A27" s="11" t="inlineStr">
        <is>
          <t>Q20</t>
        </is>
      </c>
      <c r="B27" s="11" t="inlineStr">
        <is>
          <t>Collection Quality</t>
        </is>
      </c>
      <c r="C27" s="12" t="inlineStr">
        <is>
          <t>Was volatile evidence captured before containment? (Last 10 incidents)</t>
        </is>
      </c>
      <c r="D27" s="5" t="n"/>
      <c r="E27" s="5" t="n"/>
      <c r="F27" s="5" t="n"/>
      <c r="G27" s="13">
        <f>IF(OR(D27="No", D27="Never", D27="None", D27="No Capability"), "Yes", "No")</f>
        <v/>
      </c>
    </row>
    <row r="28" ht="35" customHeight="1">
      <c r="A28" s="11" t="inlineStr">
        <is>
          <t>Q21</t>
        </is>
      </c>
      <c r="B28" s="11" t="inlineStr">
        <is>
          <t>Collection Quality</t>
        </is>
      </c>
      <c r="C28" s="12" t="inlineStr">
        <is>
          <t>Average time to begin evidence collection after incident declaration?</t>
        </is>
      </c>
      <c r="D28" s="5" t="n"/>
      <c r="E28" s="5" t="n"/>
      <c r="F28" s="5" t="n"/>
      <c r="G28" s="13">
        <f>IF(OR(D28="No", D28="Never", D28="None", D28="No Capability"), "Yes", "No")</f>
        <v/>
      </c>
    </row>
    <row r="29" ht="35" customHeight="1">
      <c r="A29" s="11" t="inlineStr">
        <is>
          <t>Q22</t>
        </is>
      </c>
      <c r="B29" s="11" t="inlineStr">
        <is>
          <t>Collection Quality</t>
        </is>
      </c>
      <c r="C29" s="12" t="inlineStr">
        <is>
          <t>Is evidence collection documented in real-time?</t>
        </is>
      </c>
      <c r="D29" s="5" t="n"/>
      <c r="E29" s="5" t="n"/>
      <c r="F29" s="5" t="n"/>
      <c r="G29" s="13">
        <f>IF(OR(D29="No", D29="Never", D29="None", D29="No Capability"), "Yes", "No")</f>
        <v/>
      </c>
    </row>
    <row r="30" ht="35" customHeight="1">
      <c r="A30" s="11" t="inlineStr">
        <is>
          <t>Q23</t>
        </is>
      </c>
      <c r="B30" s="11" t="inlineStr">
        <is>
          <t>Collection Quality</t>
        </is>
      </c>
      <c r="C30" s="12" t="inlineStr">
        <is>
          <t>% incidents with adequate evidence collection? (Last 10)</t>
        </is>
      </c>
      <c r="D30" s="5" t="n"/>
      <c r="E30" s="5" t="n"/>
      <c r="F30" s="5" t="n"/>
      <c r="G30" s="13">
        <f>IF(OR(D30="No", D30="Never", D30="None", D30="No Capability"), "Yes", "No")</f>
        <v/>
      </c>
    </row>
    <row r="31" ht="35" customHeight="1">
      <c r="A31" s="11" t="inlineStr">
        <is>
          <t>Q24</t>
        </is>
      </c>
      <c r="B31" s="11" t="inlineStr">
        <is>
          <t>Collection Quality</t>
        </is>
      </c>
      <c r="C31" s="12" t="inlineStr">
        <is>
          <t>If external forensics engaged, is collection coordinated?</t>
        </is>
      </c>
      <c r="D31" s="5" t="n"/>
      <c r="E31" s="5" t="n"/>
      <c r="F31" s="5" t="n"/>
      <c r="G31" s="13">
        <f>IF(OR(D31="No", D31="Never", D31="None", D31="No Capability"), "Yes", "No")</f>
        <v/>
      </c>
    </row>
    <row r="32" ht="35" customHeight="1">
      <c r="A32" s="11" t="inlineStr">
        <is>
          <t>Q25</t>
        </is>
      </c>
      <c r="B32" s="11" t="inlineStr">
        <is>
          <t>Collection Quality</t>
        </is>
      </c>
      <c r="C32" s="12" t="inlineStr">
        <is>
          <t>Are collection lessons learned captured and applied?</t>
        </is>
      </c>
      <c r="D32" s="5" t="n"/>
      <c r="E32" s="5" t="n"/>
      <c r="F32" s="5" t="n"/>
      <c r="G32" s="13">
        <f>IF(OR(D32="No", D32="Never", D32="None", D32="No Capability"), "Yes", "No")</f>
        <v/>
      </c>
    </row>
  </sheetData>
  <mergeCells count="5">
    <mergeCell ref="A14:G14"/>
    <mergeCell ref="A1:G1"/>
    <mergeCell ref="A2:G2"/>
    <mergeCell ref="A25:G25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8" customWidth="1" min="3" max="3"/>
    <col width="28" customWidth="1" min="4" max="4"/>
    <col width="28" customWidth="1" min="5" max="5"/>
    <col width="32" customWidth="1" min="6" max="6"/>
    <col width="10" customWidth="1" min="7" max="7"/>
  </cols>
  <sheetData>
    <row r="1" ht="30" customHeight="1">
      <c r="A1" s="1" t="inlineStr">
        <is>
          <t>Sheet 3: Chain of Custody</t>
        </is>
      </c>
    </row>
    <row r="2">
      <c r="A2" s="8" t="inlineStr">
        <is>
          <t>CoC Documentation, Integrity Verification, Access Control (20 Questions)</t>
        </is>
      </c>
    </row>
    <row r="4">
      <c r="A4" s="9" t="inlineStr">
        <is>
          <t>Question_ID</t>
        </is>
      </c>
      <c r="B4" s="9" t="inlineStr">
        <is>
          <t>Section</t>
        </is>
      </c>
      <c r="C4" s="9" t="inlineStr">
        <is>
          <t>Question</t>
        </is>
      </c>
      <c r="D4" s="9" t="inlineStr">
        <is>
          <t>Answer</t>
        </is>
      </c>
      <c r="E4" s="9" t="inlineStr">
        <is>
          <t>Evidence_Ref</t>
        </is>
      </c>
      <c r="F4" s="9" t="inlineStr">
        <is>
          <t>Comments</t>
        </is>
      </c>
      <c r="G4" s="9" t="inlineStr">
        <is>
          <t>Gap_Flag</t>
        </is>
      </c>
    </row>
    <row r="5" ht="20" customHeight="1">
      <c r="A5" s="10" t="inlineStr">
        <is>
          <t xml:space="preserve">  CoC Documentation</t>
        </is>
      </c>
      <c r="B5" s="4" t="n"/>
      <c r="C5" s="4" t="n"/>
      <c r="D5" s="4" t="n"/>
      <c r="E5" s="4" t="n"/>
      <c r="F5" s="4" t="n"/>
      <c r="G5" s="4" t="n"/>
    </row>
    <row r="6" ht="35" customHeight="1">
      <c r="A6" s="11" t="inlineStr">
        <is>
          <t>Q26</t>
        </is>
      </c>
      <c r="B6" s="11" t="inlineStr">
        <is>
          <t>CoC Documentation</t>
        </is>
      </c>
      <c r="C6" s="12" t="inlineStr">
        <is>
          <t>Is chain of custody procedure documented?</t>
        </is>
      </c>
      <c r="D6" s="5" t="n"/>
      <c r="E6" s="5" t="n"/>
      <c r="F6" s="5" t="n"/>
      <c r="G6" s="13">
        <f>IF(OR(D6="No", D6="Never", D6="None", D6="No Capability"), "Yes", "No")</f>
        <v/>
      </c>
    </row>
    <row r="7" ht="35" customHeight="1">
      <c r="A7" s="11" t="inlineStr">
        <is>
          <t>Q27</t>
        </is>
      </c>
      <c r="B7" s="11" t="inlineStr">
        <is>
          <t>CoC Documentation</t>
        </is>
      </c>
      <c r="C7" s="12" t="inlineStr">
        <is>
          <t>Are CoC forms completed for all evidence?</t>
        </is>
      </c>
      <c r="D7" s="5" t="n"/>
      <c r="E7" s="5" t="n"/>
      <c r="F7" s="5" t="n"/>
      <c r="G7" s="13">
        <f>IF(OR(D7="No", D7="Never", D7="None", D7="No Capability"), "Yes", "No")</f>
        <v/>
      </c>
    </row>
    <row r="8" ht="35" customHeight="1">
      <c r="A8" s="11" t="inlineStr">
        <is>
          <t>Q28</t>
        </is>
      </c>
      <c r="B8" s="11" t="inlineStr">
        <is>
          <t>CoC Documentation</t>
        </is>
      </c>
      <c r="C8" s="12" t="inlineStr">
        <is>
          <t>How is CoC documented?</t>
        </is>
      </c>
      <c r="D8" s="5" t="n"/>
      <c r="E8" s="5" t="n"/>
      <c r="F8" s="5" t="n"/>
      <c r="G8" s="13">
        <f>IF(OR(D8="No", D8="Never", D8="None", D8="No Capability"), "Yes", "No")</f>
        <v/>
      </c>
    </row>
    <row r="9" ht="35" customHeight="1">
      <c r="A9" s="11" t="inlineStr">
        <is>
          <t>Q29</t>
        </is>
      </c>
      <c r="B9" s="11" t="inlineStr">
        <is>
          <t>CoC Documentation</t>
        </is>
      </c>
      <c r="C9" s="12" t="inlineStr">
        <is>
          <t>Is every evidence transfer documented?</t>
        </is>
      </c>
      <c r="D9" s="5" t="n"/>
      <c r="E9" s="5" t="n"/>
      <c r="F9" s="5" t="n"/>
      <c r="G9" s="13">
        <f>IF(OR(D9="No", D9="Never", D9="None", D9="No Capability"), "Yes", "No")</f>
        <v/>
      </c>
    </row>
    <row r="10" ht="35" customHeight="1">
      <c r="A10" s="11" t="inlineStr">
        <is>
          <t>Q30</t>
        </is>
      </c>
      <c r="B10" s="11" t="inlineStr">
        <is>
          <t>CoC Documentation</t>
        </is>
      </c>
      <c r="C10" s="12" t="inlineStr">
        <is>
          <t>Is access to stored evidence logged?</t>
        </is>
      </c>
      <c r="D10" s="5" t="n"/>
      <c r="E10" s="5" t="n"/>
      <c r="F10" s="5" t="n"/>
      <c r="G10" s="13">
        <f>IF(OR(D10="No", D10="Never", D10="None", D10="No Capability"), "Yes", "No")</f>
        <v/>
      </c>
    </row>
    <row r="11" ht="35" customHeight="1">
      <c r="A11" s="11" t="inlineStr">
        <is>
          <t>Q31</t>
        </is>
      </c>
      <c r="B11" s="11" t="inlineStr">
        <is>
          <t>CoC Documentation</t>
        </is>
      </c>
      <c r="C11" s="12" t="inlineStr">
        <is>
          <t>Was CoC complete in recent investigations? (Last 10)</t>
        </is>
      </c>
      <c r="D11" s="5" t="n"/>
      <c r="E11" s="5" t="n"/>
      <c r="F11" s="5" t="n"/>
      <c r="G11" s="13">
        <f>IF(OR(D11="No", D11="Never", D11="None", D11="No Capability"), "Yes", "No")</f>
        <v/>
      </c>
    </row>
    <row r="12" ht="35" customHeight="1">
      <c r="A12" s="11" t="inlineStr">
        <is>
          <t>Q32</t>
        </is>
      </c>
      <c r="B12" s="11" t="inlineStr">
        <is>
          <t>CoC Documentation</t>
        </is>
      </c>
      <c r="C12" s="12" t="inlineStr">
        <is>
          <t>Do all evidence-handling personnel receive CoC training?</t>
        </is>
      </c>
      <c r="D12" s="5" t="n"/>
      <c r="E12" s="5" t="n"/>
      <c r="F12" s="5" t="n"/>
      <c r="G12" s="13">
        <f>IF(OR(D12="No", D12="Never", D12="None", D12="No Capability"), "Yes", "No")</f>
        <v/>
      </c>
    </row>
    <row r="13" ht="20" customHeight="1">
      <c r="A13" s="10" t="inlineStr">
        <is>
          <t xml:space="preserve">  Integrity Verification</t>
        </is>
      </c>
      <c r="B13" s="4" t="n"/>
      <c r="C13" s="4" t="n"/>
      <c r="D13" s="4" t="n"/>
      <c r="E13" s="4" t="n"/>
      <c r="F13" s="4" t="n"/>
      <c r="G13" s="4" t="n"/>
    </row>
    <row r="14" ht="35" customHeight="1">
      <c r="A14" s="11" t="inlineStr">
        <is>
          <t>Q33</t>
        </is>
      </c>
      <c r="B14" s="11" t="inlineStr">
        <is>
          <t>Integrity Verification</t>
        </is>
      </c>
      <c r="C14" s="12" t="inlineStr">
        <is>
          <t>Are hash values calculated for all collected evidence?</t>
        </is>
      </c>
      <c r="D14" s="5" t="n"/>
      <c r="E14" s="5" t="n"/>
      <c r="F14" s="5" t="n"/>
      <c r="G14" s="13">
        <f>IF(OR(D14="No", D14="Never", D14="None", D14="No Capability"), "Yes", "No")</f>
        <v/>
      </c>
    </row>
    <row r="15" ht="35" customHeight="1">
      <c r="A15" s="11" t="inlineStr">
        <is>
          <t>Q34</t>
        </is>
      </c>
      <c r="B15" s="11" t="inlineStr">
        <is>
          <t>Integrity Verification</t>
        </is>
      </c>
      <c r="C15" s="12" t="inlineStr">
        <is>
          <t>What hash algorithm is used?</t>
        </is>
      </c>
      <c r="D15" s="5" t="n"/>
      <c r="E15" s="5" t="n"/>
      <c r="F15" s="5" t="n"/>
      <c r="G15" s="13">
        <f>IF(OR(D15="No", D15="Never", D15="None", D15="No Capability"), "Yes", "No")</f>
        <v/>
      </c>
    </row>
    <row r="16" ht="35" customHeight="1">
      <c r="A16" s="11" t="inlineStr">
        <is>
          <t>Q35</t>
        </is>
      </c>
      <c r="B16" s="11" t="inlineStr">
        <is>
          <t>Integrity Verification</t>
        </is>
      </c>
      <c r="C16" s="12" t="inlineStr">
        <is>
          <t>Is dual hashing used (two independent algorithms)?</t>
        </is>
      </c>
      <c r="D16" s="5" t="n"/>
      <c r="E16" s="5" t="n"/>
      <c r="F16" s="5" t="n"/>
      <c r="G16" s="13">
        <f>IF(OR(D16="No", D16="Never", D16="None", D16="No Capability"), "Yes", "No")</f>
        <v/>
      </c>
    </row>
    <row r="17" ht="35" customHeight="1">
      <c r="A17" s="11" t="inlineStr">
        <is>
          <t>Q36</t>
        </is>
      </c>
      <c r="B17" s="11" t="inlineStr">
        <is>
          <t>Integrity Verification</t>
        </is>
      </c>
      <c r="C17" s="12" t="inlineStr">
        <is>
          <t>Are hash values verified when copies are made?</t>
        </is>
      </c>
      <c r="D17" s="5" t="n"/>
      <c r="E17" s="5" t="n"/>
      <c r="F17" s="5" t="n"/>
      <c r="G17" s="13">
        <f>IF(OR(D17="No", D17="Never", D17="None", D17="No Capability"), "Yes", "No")</f>
        <v/>
      </c>
    </row>
    <row r="18" ht="35" customHeight="1">
      <c r="A18" s="11" t="inlineStr">
        <is>
          <t>Q37</t>
        </is>
      </c>
      <c r="B18" s="11" t="inlineStr">
        <is>
          <t>Integrity Verification</t>
        </is>
      </c>
      <c r="C18" s="12" t="inlineStr">
        <is>
          <t>Are hash values stored separately from evidence?</t>
        </is>
      </c>
      <c r="D18" s="5" t="n"/>
      <c r="E18" s="5" t="n"/>
      <c r="F18" s="5" t="n"/>
      <c r="G18" s="13">
        <f>IF(OR(D18="No", D18="Never", D18="None", D18="No Capability"), "Yes", "No")</f>
        <v/>
      </c>
    </row>
    <row r="19" ht="35" customHeight="1">
      <c r="A19" s="11" t="inlineStr">
        <is>
          <t>Q38</t>
        </is>
      </c>
      <c r="B19" s="11" t="inlineStr">
        <is>
          <t>Integrity Verification</t>
        </is>
      </c>
      <c r="C19" s="12" t="inlineStr">
        <is>
          <t>How often is stored evidence integrity verified?</t>
        </is>
      </c>
      <c r="D19" s="5" t="n"/>
      <c r="E19" s="5" t="n"/>
      <c r="F19" s="5" t="n"/>
      <c r="G19" s="13">
        <f>IF(OR(D19="No", D19="Never", D19="None", D19="No Capability"), "Yes", "No")</f>
        <v/>
      </c>
    </row>
    <row r="20" ht="20" customHeight="1">
      <c r="A20" s="10" t="inlineStr">
        <is>
          <t xml:space="preserve">  Access Control</t>
        </is>
      </c>
      <c r="B20" s="4" t="n"/>
      <c r="C20" s="4" t="n"/>
      <c r="D20" s="4" t="n"/>
      <c r="E20" s="4" t="n"/>
      <c r="F20" s="4" t="n"/>
      <c r="G20" s="4" t="n"/>
    </row>
    <row r="21" ht="35" customHeight="1">
      <c r="A21" s="11" t="inlineStr">
        <is>
          <t>Q39</t>
        </is>
      </c>
      <c r="B21" s="11" t="inlineStr">
        <is>
          <t>Access Control</t>
        </is>
      </c>
      <c r="C21" s="12" t="inlineStr">
        <is>
          <t>Is access to forensic evidence restricted?</t>
        </is>
      </c>
      <c r="D21" s="5" t="n"/>
      <c r="E21" s="5" t="n"/>
      <c r="F21" s="5" t="n"/>
      <c r="G21" s="13">
        <f>IF(OR(D21="No", D21="Never", D21="None", D21="No Capability"), "Yes", "No")</f>
        <v/>
      </c>
    </row>
    <row r="22" ht="35" customHeight="1">
      <c r="A22" s="11" t="inlineStr">
        <is>
          <t>Q40</t>
        </is>
      </c>
      <c r="B22" s="11" t="inlineStr">
        <is>
          <t>Access Control</t>
        </is>
      </c>
      <c r="C22" s="12" t="inlineStr">
        <is>
          <t>Is an authorised access list maintained per evidence item?</t>
        </is>
      </c>
      <c r="D22" s="5" t="n"/>
      <c r="E22" s="5" t="n"/>
      <c r="F22" s="5" t="n"/>
      <c r="G22" s="13">
        <f>IF(OR(D22="No", D22="Never", D22="None", D22="No Capability"), "Yes", "No")</f>
        <v/>
      </c>
    </row>
    <row r="23" ht="35" customHeight="1">
      <c r="A23" s="11" t="inlineStr">
        <is>
          <t>Q41</t>
        </is>
      </c>
      <c r="B23" s="11" t="inlineStr">
        <is>
          <t>Access Control</t>
        </is>
      </c>
      <c r="C23" s="12" t="inlineStr">
        <is>
          <t>Is evidence accessible in read-only mode?</t>
        </is>
      </c>
      <c r="D23" s="5" t="n"/>
      <c r="E23" s="5" t="n"/>
      <c r="F23" s="5" t="n"/>
      <c r="G23" s="13">
        <f>IF(OR(D23="No", D23="Never", D23="None", D23="No Capability"), "Yes", "No")</f>
        <v/>
      </c>
    </row>
    <row r="24" ht="35" customHeight="1">
      <c r="A24" s="11" t="inlineStr">
        <is>
          <t>Q42</t>
        </is>
      </c>
      <c r="B24" s="11" t="inlineStr">
        <is>
          <t>Access Control</t>
        </is>
      </c>
      <c r="C24" s="12" t="inlineStr">
        <is>
          <t>Is physical evidence in a secure, access-controlled location?</t>
        </is>
      </c>
      <c r="D24" s="5" t="n"/>
      <c r="E24" s="5" t="n"/>
      <c r="F24" s="5" t="n"/>
      <c r="G24" s="13">
        <f>IF(OR(D24="No", D24="Never", D24="None", D24="No Capability"), "Yes", "No")</f>
        <v/>
      </c>
    </row>
    <row r="25" ht="35" customHeight="1">
      <c r="A25" s="11" t="inlineStr">
        <is>
          <t>Q43</t>
        </is>
      </c>
      <c r="B25" s="11" t="inlineStr">
        <is>
          <t>Access Control</t>
        </is>
      </c>
      <c r="C25" s="12" t="inlineStr">
        <is>
          <t>Can unauthorised access to evidence be detected?</t>
        </is>
      </c>
      <c r="D25" s="5" t="n"/>
      <c r="E25" s="5" t="n"/>
      <c r="F25" s="5" t="n"/>
      <c r="G25" s="13">
        <f>IF(OR(D25="No", D25="Never", D25="None", D25="No Capability"), "Yes", "No")</f>
        <v/>
      </c>
    </row>
    <row r="26" ht="35" customHeight="1">
      <c r="A26" s="11" t="inlineStr">
        <is>
          <t>Q44</t>
        </is>
      </c>
      <c r="B26" s="11" t="inlineStr">
        <is>
          <t>Access Control</t>
        </is>
      </c>
      <c r="C26" s="12" t="inlineStr">
        <is>
          <t>Are controls in place for sharing evidence externally?</t>
        </is>
      </c>
      <c r="D26" s="5" t="n"/>
      <c r="E26" s="5" t="n"/>
      <c r="F26" s="5" t="n"/>
      <c r="G26" s="13">
        <f>IF(OR(D26="No", D26="Never", D26="None", D26="No Capability"), "Yes", "No")</f>
        <v/>
      </c>
    </row>
    <row r="27" ht="35" customHeight="1">
      <c r="A27" s="11" t="inlineStr">
        <is>
          <t>Q45</t>
        </is>
      </c>
      <c r="B27" s="11" t="inlineStr">
        <is>
          <t>Access Control</t>
        </is>
      </c>
      <c r="C27" s="12" t="inlineStr">
        <is>
          <t>For physical evidence, are handling precautions followed (gloves, packaging)?</t>
        </is>
      </c>
      <c r="D27" s="5" t="n"/>
      <c r="E27" s="5" t="n"/>
      <c r="F27" s="5" t="n"/>
      <c r="G27" s="13">
        <f>IF(OR(D27="No", D27="Never", D27="None", D27="No Capability"), "Yes", "No")</f>
        <v/>
      </c>
    </row>
  </sheetData>
  <mergeCells count="5">
    <mergeCell ref="A13:G13"/>
    <mergeCell ref="A1:G1"/>
    <mergeCell ref="A20:G20"/>
    <mergeCell ref="A2:G2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8" customWidth="1" min="3" max="3"/>
    <col width="28" customWidth="1" min="4" max="4"/>
    <col width="28" customWidth="1" min="5" max="5"/>
    <col width="32" customWidth="1" min="6" max="6"/>
    <col width="10" customWidth="1" min="7" max="7"/>
  </cols>
  <sheetData>
    <row r="1" ht="30" customHeight="1">
      <c r="A1" s="1" t="inlineStr">
        <is>
          <t>Sheet 4: Forensic Analysis</t>
        </is>
      </c>
    </row>
    <row r="2">
      <c r="A2" s="8" t="inlineStr">
        <is>
          <t>Analysis Tools, Analyst Capabilities, Analysis Outcomes (20 Questions)</t>
        </is>
      </c>
    </row>
    <row r="4">
      <c r="A4" s="9" t="inlineStr">
        <is>
          <t>Question_ID</t>
        </is>
      </c>
      <c r="B4" s="9" t="inlineStr">
        <is>
          <t>Section</t>
        </is>
      </c>
      <c r="C4" s="9" t="inlineStr">
        <is>
          <t>Question</t>
        </is>
      </c>
      <c r="D4" s="9" t="inlineStr">
        <is>
          <t>Answer</t>
        </is>
      </c>
      <c r="E4" s="9" t="inlineStr">
        <is>
          <t>Evidence_Ref</t>
        </is>
      </c>
      <c r="F4" s="9" t="inlineStr">
        <is>
          <t>Comments</t>
        </is>
      </c>
      <c r="G4" s="9" t="inlineStr">
        <is>
          <t>Gap_Flag</t>
        </is>
      </c>
    </row>
    <row r="5" ht="20" customHeight="1">
      <c r="A5" s="10" t="inlineStr">
        <is>
          <t xml:space="preserve">  Analysis Tools</t>
        </is>
      </c>
      <c r="B5" s="4" t="n"/>
      <c r="C5" s="4" t="n"/>
      <c r="D5" s="4" t="n"/>
      <c r="E5" s="4" t="n"/>
      <c r="F5" s="4" t="n"/>
      <c r="G5" s="4" t="n"/>
    </row>
    <row r="6" ht="35" customHeight="1">
      <c r="A6" s="11" t="inlineStr">
        <is>
          <t>Q46</t>
        </is>
      </c>
      <c r="B6" s="11" t="inlineStr">
        <is>
          <t>Analysis Tools</t>
        </is>
      </c>
      <c r="C6" s="12" t="inlineStr">
        <is>
          <t>What forensic tools are available? (Disk/Memory/Network/Malware/Mobile/Cloud/Log/Other)</t>
        </is>
      </c>
      <c r="D6" s="5" t="n"/>
      <c r="E6" s="5" t="n"/>
      <c r="F6" s="5" t="n"/>
      <c r="G6" s="13">
        <f>IF(OR(D6="No", D6="Never", D6="None", D6="No Capability"), "Yes", "No")</f>
        <v/>
      </c>
    </row>
    <row r="7" ht="35" customHeight="1">
      <c r="A7" s="11" t="inlineStr">
        <is>
          <t>Q47</t>
        </is>
      </c>
      <c r="B7" s="11" t="inlineStr">
        <is>
          <t>Analysis Tools</t>
        </is>
      </c>
      <c r="C7" s="12" t="inlineStr">
        <is>
          <t>Tool type: Commercial / Open-Source / Both / None?</t>
        </is>
      </c>
      <c r="D7" s="5" t="n"/>
      <c r="E7" s="5" t="n"/>
      <c r="F7" s="5" t="n"/>
      <c r="G7" s="13">
        <f>IF(OR(D7="No", D7="Never", D7="None", D7="No Capability"), "Yes", "No")</f>
        <v/>
      </c>
    </row>
    <row r="8" ht="35" customHeight="1">
      <c r="A8" s="11" t="inlineStr">
        <is>
          <t>Q48</t>
        </is>
      </c>
      <c r="B8" s="11" t="inlineStr">
        <is>
          <t>Analysis Tools</t>
        </is>
      </c>
      <c r="C8" s="12" t="inlineStr">
        <is>
          <t>Are forensic tools properly licensed and maintained?</t>
        </is>
      </c>
      <c r="D8" s="5" t="n"/>
      <c r="E8" s="5" t="n"/>
      <c r="F8" s="5" t="n"/>
      <c r="G8" s="13">
        <f>IF(OR(D8="No", D8="Never", D8="None", D8="No Capability"), "Yes", "No")</f>
        <v/>
      </c>
    </row>
    <row r="9" ht="35" customHeight="1">
      <c r="A9" s="11" t="inlineStr">
        <is>
          <t>Q49</t>
        </is>
      </c>
      <c r="B9" s="11" t="inlineStr">
        <is>
          <t>Analysis Tools</t>
        </is>
      </c>
      <c r="C9" s="12" t="inlineStr">
        <is>
          <t>Are forensic tools validated before use?</t>
        </is>
      </c>
      <c r="D9" s="5" t="n"/>
      <c r="E9" s="5" t="n"/>
      <c r="F9" s="5" t="n"/>
      <c r="G9" s="13">
        <f>IF(OR(D9="No", D9="Never", D9="None", D9="No Capability"), "Yes", "No")</f>
        <v/>
      </c>
    </row>
    <row r="10" ht="35" customHeight="1">
      <c r="A10" s="11" t="inlineStr">
        <is>
          <t>Q50</t>
        </is>
      </c>
      <c r="B10" s="11" t="inlineStr">
        <is>
          <t>Analysis Tools</t>
        </is>
      </c>
      <c r="C10" s="12" t="inlineStr">
        <is>
          <t>Are forensic tools kept up-to-date?</t>
        </is>
      </c>
      <c r="D10" s="5" t="n"/>
      <c r="E10" s="5" t="n"/>
      <c r="F10" s="5" t="n"/>
      <c r="G10" s="13">
        <f>IF(OR(D10="No", D10="Never", D10="None", D10="No Capability"), "Yes", "No")</f>
        <v/>
      </c>
    </row>
    <row r="11" ht="35" customHeight="1">
      <c r="A11" s="11" t="inlineStr">
        <is>
          <t>Q51</t>
        </is>
      </c>
      <c r="B11" s="11" t="inlineStr">
        <is>
          <t>Analysis Tools</t>
        </is>
      </c>
      <c r="C11" s="12" t="inlineStr">
        <is>
          <t>Are dedicated forensic workstations available (isolated)?</t>
        </is>
      </c>
      <c r="D11" s="5" t="n"/>
      <c r="E11" s="5" t="n"/>
      <c r="F11" s="5" t="n"/>
      <c r="G11" s="13">
        <f>IF(OR(D11="No", D11="Never", D11="None", D11="No Capability"), "Yes", "No")</f>
        <v/>
      </c>
    </row>
    <row r="12" ht="35" customHeight="1">
      <c r="A12" s="11" t="inlineStr">
        <is>
          <t>Q52</t>
        </is>
      </c>
      <c r="B12" s="11" t="inlineStr">
        <is>
          <t>Analysis Tools</t>
        </is>
      </c>
      <c r="C12" s="12" t="inlineStr">
        <is>
          <t>Is a malware analysis sandbox available?</t>
        </is>
      </c>
      <c r="D12" s="5" t="n"/>
      <c r="E12" s="5" t="n"/>
      <c r="F12" s="5" t="n"/>
      <c r="G12" s="13">
        <f>IF(OR(D12="No", D12="Never", D12="None", D12="No Capability"), "Yes", "No")</f>
        <v/>
      </c>
    </row>
    <row r="13" ht="20" customHeight="1">
      <c r="A13" s="10" t="inlineStr">
        <is>
          <t xml:space="preserve">  Analyst Capabilities</t>
        </is>
      </c>
      <c r="B13" s="4" t="n"/>
      <c r="C13" s="4" t="n"/>
      <c r="D13" s="4" t="n"/>
      <c r="E13" s="4" t="n"/>
      <c r="F13" s="4" t="n"/>
      <c r="G13" s="4" t="n"/>
    </row>
    <row r="14" ht="35" customHeight="1">
      <c r="A14" s="11" t="inlineStr">
        <is>
          <t>Q53</t>
        </is>
      </c>
      <c r="B14" s="11" t="inlineStr">
        <is>
          <t>Analyst Capabilities</t>
        </is>
      </c>
      <c r="C14" s="12" t="inlineStr">
        <is>
          <t>How many qualified forensic analysts?</t>
        </is>
      </c>
      <c r="D14" s="5" t="n"/>
      <c r="E14" s="5" t="n"/>
      <c r="F14" s="5" t="n"/>
      <c r="G14" s="13">
        <f>IF(OR(D14="No", D14="Never", D14="None", D14="No Capability"), "Yes", "No")</f>
        <v/>
      </c>
    </row>
    <row r="15" ht="35" customHeight="1">
      <c r="A15" s="11" t="inlineStr">
        <is>
          <t>Q54</t>
        </is>
      </c>
      <c r="B15" s="11" t="inlineStr">
        <is>
          <t>Analyst Capabilities</t>
        </is>
      </c>
      <c r="C15" s="12" t="inlineStr">
        <is>
          <t>Do forensic analysts hold recognised certifications?</t>
        </is>
      </c>
      <c r="D15" s="5" t="n"/>
      <c r="E15" s="5" t="n"/>
      <c r="F15" s="5" t="n"/>
      <c r="G15" s="13">
        <f>IF(OR(D15="No", D15="Never", D15="None", D15="No Capability"), "Yes", "No")</f>
        <v/>
      </c>
    </row>
    <row r="16" ht="35" customHeight="1">
      <c r="A16" s="11" t="inlineStr">
        <is>
          <t>Q55</t>
        </is>
      </c>
      <c r="B16" s="11" t="inlineStr">
        <is>
          <t>Analyst Capabilities</t>
        </is>
      </c>
      <c r="C16" s="12" t="inlineStr">
        <is>
          <t>Forensic analyst training frequency?</t>
        </is>
      </c>
      <c r="D16" s="5" t="n"/>
      <c r="E16" s="5" t="n"/>
      <c r="F16" s="5" t="n"/>
      <c r="G16" s="13">
        <f>IF(OR(D16="No", D16="Never", D16="None", D16="No Capability"), "Yes", "No")</f>
        <v/>
      </c>
    </row>
    <row r="17" ht="35" customHeight="1">
      <c r="A17" s="11" t="inlineStr">
        <is>
          <t>Q56</t>
        </is>
      </c>
      <c r="B17" s="11" t="inlineStr">
        <is>
          <t>Analyst Capabilities</t>
        </is>
      </c>
      <c r="C17" s="12" t="inlineStr">
        <is>
          <t>Is analysis methodology documented?</t>
        </is>
      </c>
      <c r="D17" s="5" t="n"/>
      <c r="E17" s="5" t="n"/>
      <c r="F17" s="5" t="n"/>
      <c r="G17" s="13">
        <f>IF(OR(D17="No", D17="Never", D17="None", D17="No Capability"), "Yes", "No")</f>
        <v/>
      </c>
    </row>
    <row r="18" ht="35" customHeight="1">
      <c r="A18" s="11" t="inlineStr">
        <is>
          <t>Q57</t>
        </is>
      </c>
      <c r="B18" s="11" t="inlineStr">
        <is>
          <t>Analyst Capabilities</t>
        </is>
      </c>
      <c r="C18" s="12" t="inlineStr">
        <is>
          <t>Is analysis always performed on copies only?</t>
        </is>
      </c>
      <c r="D18" s="5" t="n"/>
      <c r="E18" s="5" t="n"/>
      <c r="F18" s="5" t="n"/>
      <c r="G18" s="13">
        <f>IF(OR(D18="No", D18="Never", D18="None", D18="No Capability"), "Yes", "No")</f>
        <v/>
      </c>
    </row>
    <row r="19" ht="35" customHeight="1">
      <c r="A19" s="11" t="inlineStr">
        <is>
          <t>Q58</t>
        </is>
      </c>
      <c r="B19" s="11" t="inlineStr">
        <is>
          <t>Analyst Capabilities</t>
        </is>
      </c>
      <c r="C19" s="12" t="inlineStr">
        <is>
          <t>Are findings reproducible (documented for verification)?</t>
        </is>
      </c>
      <c r="D19" s="5" t="n"/>
      <c r="E19" s="5" t="n"/>
      <c r="F19" s="5" t="n"/>
      <c r="G19" s="13">
        <f>IF(OR(D19="No", D19="Never", D19="None", D19="No Capability"), "Yes", "No")</f>
        <v/>
      </c>
    </row>
    <row r="20" ht="35" customHeight="1">
      <c r="A20" s="11" t="inlineStr">
        <is>
          <t>Q59</t>
        </is>
      </c>
      <c r="B20" s="11" t="inlineStr">
        <is>
          <t>Analyst Capabilities</t>
        </is>
      </c>
      <c r="C20" s="12" t="inlineStr">
        <is>
          <t>Are forensic reports reviewed by a second analyst?</t>
        </is>
      </c>
      <c r="D20" s="5" t="n"/>
      <c r="E20" s="5" t="n"/>
      <c r="F20" s="5" t="n"/>
      <c r="G20" s="13">
        <f>IF(OR(D20="No", D20="Never", D20="None", D20="No Capability"), "Yes", "No")</f>
        <v/>
      </c>
    </row>
    <row r="21" ht="35" customHeight="1">
      <c r="A21" s="11" t="inlineStr">
        <is>
          <t>Q60</t>
        </is>
      </c>
      <c r="B21" s="11" t="inlineStr">
        <is>
          <t>Analyst Capabilities</t>
        </is>
      </c>
      <c r="C21" s="12" t="inlineStr">
        <is>
          <t>Can external forensic services be engaged?</t>
        </is>
      </c>
      <c r="D21" s="5" t="n"/>
      <c r="E21" s="5" t="n"/>
      <c r="F21" s="5" t="n"/>
      <c r="G21" s="13">
        <f>IF(OR(D21="No", D21="Never", D21="None", D21="No Capability"), "Yes", "No")</f>
        <v/>
      </c>
    </row>
    <row r="22" ht="20" customHeight="1">
      <c r="A22" s="10" t="inlineStr">
        <is>
          <t xml:space="preserve">  Analysis Outcomes</t>
        </is>
      </c>
      <c r="B22" s="4" t="n"/>
      <c r="C22" s="4" t="n"/>
      <c r="D22" s="4" t="n"/>
      <c r="E22" s="4" t="n"/>
      <c r="F22" s="4" t="n"/>
      <c r="G22" s="4" t="n"/>
    </row>
    <row r="23" ht="35" customHeight="1">
      <c r="A23" s="11" t="inlineStr">
        <is>
          <t>Q61</t>
        </is>
      </c>
      <c r="B23" s="11" t="inlineStr">
        <is>
          <t>Analysis Outcomes</t>
        </is>
      </c>
      <c r="C23" s="12" t="inlineStr">
        <is>
          <t>% incidents with root cause identified? (Last 10 requiring forensics)</t>
        </is>
      </c>
      <c r="D23" s="5" t="n"/>
      <c r="E23" s="5" t="n"/>
      <c r="F23" s="5" t="n"/>
      <c r="G23" s="13">
        <f>IF(OR(D23="No", D23="Never", D23="None", D23="No Capability"), "Yes", "No")</f>
        <v/>
      </c>
    </row>
    <row r="24" ht="35" customHeight="1">
      <c r="A24" s="11" t="inlineStr">
        <is>
          <t>Q62</t>
        </is>
      </c>
      <c r="B24" s="11" t="inlineStr">
        <is>
          <t>Analysis Outcomes</t>
        </is>
      </c>
      <c r="C24" s="12" t="inlineStr">
        <is>
          <t>% breach incidents with full attacker scope determined?</t>
        </is>
      </c>
      <c r="D24" s="5" t="n"/>
      <c r="E24" s="5" t="n"/>
      <c r="F24" s="5" t="n"/>
      <c r="G24" s="13">
        <f>IF(OR(D24="No", D24="Never", D24="None", D24="No Capability"), "Yes", "No")</f>
        <v/>
      </c>
    </row>
    <row r="25" ht="35" customHeight="1">
      <c r="A25" s="11" t="inlineStr">
        <is>
          <t>Q63</t>
        </is>
      </c>
      <c r="B25" s="11" t="inlineStr">
        <is>
          <t>Analysis Outcomes</t>
        </is>
      </c>
      <c r="C25" s="12" t="inlineStr">
        <is>
          <t>Are IOCs generated from forensic analysis?</t>
        </is>
      </c>
      <c r="D25" s="5" t="n"/>
      <c r="E25" s="5" t="n"/>
      <c r="F25" s="5" t="n"/>
      <c r="G25" s="13">
        <f>IF(OR(D25="No", D25="Never", D25="None", D25="No Capability"), "Yes", "No")</f>
        <v/>
      </c>
    </row>
    <row r="26" ht="35" customHeight="1">
      <c r="A26" s="11" t="inlineStr">
        <is>
          <t>Q64</t>
        </is>
      </c>
      <c r="B26" s="11" t="inlineStr">
        <is>
          <t>Analysis Outcomes</t>
        </is>
      </c>
      <c r="C26" s="12" t="inlineStr">
        <is>
          <t>Are incident timelines reconstructed accurately?</t>
        </is>
      </c>
      <c r="D26" s="5" t="n"/>
      <c r="E26" s="5" t="n"/>
      <c r="F26" s="5" t="n"/>
      <c r="G26" s="13">
        <f>IF(OR(D26="No", D26="Never", D26="None", D26="No Capability"), "Yes", "No")</f>
        <v/>
      </c>
    </row>
    <row r="27" ht="35" customHeight="1">
      <c r="A27" s="11" t="inlineStr">
        <is>
          <t>Q65</t>
        </is>
      </c>
      <c r="B27" s="11" t="inlineStr">
        <is>
          <t>Analysis Outcomes</t>
        </is>
      </c>
      <c r="C27" s="12" t="inlineStr">
        <is>
          <t>Were forensic findings actionable?</t>
        </is>
      </c>
      <c r="D27" s="5" t="n"/>
      <c r="E27" s="5" t="n"/>
      <c r="F27" s="5" t="n"/>
      <c r="G27" s="13">
        <f>IF(OR(D27="No", D27="Never", D27="None", D27="No Capability"), "Yes", "No")</f>
        <v/>
      </c>
    </row>
  </sheetData>
  <mergeCells count="5">
    <mergeCell ref="A13:G13"/>
    <mergeCell ref="A1:G1"/>
    <mergeCell ref="A22:G22"/>
    <mergeCell ref="A2:G2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8" customWidth="1" min="3" max="3"/>
    <col width="28" customWidth="1" min="4" max="4"/>
    <col width="28" customWidth="1" min="5" max="5"/>
    <col width="32" customWidth="1" min="6" max="6"/>
    <col width="10" customWidth="1" min="7" max="7"/>
  </cols>
  <sheetData>
    <row r="1" ht="30" customHeight="1">
      <c r="A1" s="1" t="inlineStr">
        <is>
          <t>Sheet 5: Storage &amp; Retention</t>
        </is>
      </c>
    </row>
    <row r="2">
      <c r="A2" s="8" t="inlineStr">
        <is>
          <t>Evidence Storage, Retention &amp; Disposal (15 Questions)</t>
        </is>
      </c>
    </row>
    <row r="4">
      <c r="A4" s="9" t="inlineStr">
        <is>
          <t>Question_ID</t>
        </is>
      </c>
      <c r="B4" s="9" t="inlineStr">
        <is>
          <t>Section</t>
        </is>
      </c>
      <c r="C4" s="9" t="inlineStr">
        <is>
          <t>Question</t>
        </is>
      </c>
      <c r="D4" s="9" t="inlineStr">
        <is>
          <t>Answer</t>
        </is>
      </c>
      <c r="E4" s="9" t="inlineStr">
        <is>
          <t>Evidence_Ref</t>
        </is>
      </c>
      <c r="F4" s="9" t="inlineStr">
        <is>
          <t>Comments</t>
        </is>
      </c>
      <c r="G4" s="9" t="inlineStr">
        <is>
          <t>Gap_Flag</t>
        </is>
      </c>
    </row>
    <row r="5" ht="20" customHeight="1">
      <c r="A5" s="10" t="inlineStr">
        <is>
          <t xml:space="preserve">  Evidence Storage</t>
        </is>
      </c>
      <c r="B5" s="4" t="n"/>
      <c r="C5" s="4" t="n"/>
      <c r="D5" s="4" t="n"/>
      <c r="E5" s="4" t="n"/>
      <c r="F5" s="4" t="n"/>
      <c r="G5" s="4" t="n"/>
    </row>
    <row r="6" ht="35" customHeight="1">
      <c r="A6" s="11" t="inlineStr">
        <is>
          <t>Q66</t>
        </is>
      </c>
      <c r="B6" s="11" t="inlineStr">
        <is>
          <t>Evidence Storage</t>
        </is>
      </c>
      <c r="C6" s="12" t="inlineStr">
        <is>
          <t>Where is forensic evidence stored?</t>
        </is>
      </c>
      <c r="D6" s="5" t="n"/>
      <c r="E6" s="5" t="n"/>
      <c r="F6" s="5" t="n"/>
      <c r="G6" s="13">
        <f>IF(OR(D6="No", D6="Never", D6="None", D6="No Capability"), "Yes", "No")</f>
        <v/>
      </c>
    </row>
    <row r="7" ht="35" customHeight="1">
      <c r="A7" s="11" t="inlineStr">
        <is>
          <t>Q67</t>
        </is>
      </c>
      <c r="B7" s="11" t="inlineStr">
        <is>
          <t>Evidence Storage</t>
        </is>
      </c>
      <c r="C7" s="12" t="inlineStr">
        <is>
          <t>Is storage access-controlled?</t>
        </is>
      </c>
      <c r="D7" s="5" t="n"/>
      <c r="E7" s="5" t="n"/>
      <c r="F7" s="5" t="n"/>
      <c r="G7" s="13">
        <f>IF(OR(D7="No", D7="Never", D7="None", D7="No Capability"), "Yes", "No")</f>
        <v/>
      </c>
    </row>
    <row r="8" ht="35" customHeight="1">
      <c r="A8" s="11" t="inlineStr">
        <is>
          <t>Q68</t>
        </is>
      </c>
      <c r="B8" s="11" t="inlineStr">
        <is>
          <t>Evidence Storage</t>
        </is>
      </c>
      <c r="C8" s="12" t="inlineStr">
        <is>
          <t>Is stored evidence encrypted?</t>
        </is>
      </c>
      <c r="D8" s="5" t="n"/>
      <c r="E8" s="5" t="n"/>
      <c r="F8" s="5" t="n"/>
      <c r="G8" s="13">
        <f>IF(OR(D8="No", D8="Never", D8="None", D8="No Capability"), "Yes", "No")</f>
        <v/>
      </c>
    </row>
    <row r="9" ht="35" customHeight="1">
      <c r="A9" s="11" t="inlineStr">
        <is>
          <t>Q69</t>
        </is>
      </c>
      <c r="B9" s="11" t="inlineStr">
        <is>
          <t>Evidence Storage</t>
        </is>
      </c>
      <c r="C9" s="12" t="inlineStr">
        <is>
          <t>Are backup copies of critical evidence maintained?</t>
        </is>
      </c>
      <c r="D9" s="5" t="n"/>
      <c r="E9" s="5" t="n"/>
      <c r="F9" s="5" t="n"/>
      <c r="G9" s="13">
        <f>IF(OR(D9="No", D9="Never", D9="None", D9="No Capability"), "Yes", "No")</f>
        <v/>
      </c>
    </row>
    <row r="10" ht="35" customHeight="1">
      <c r="A10" s="11" t="inlineStr">
        <is>
          <t>Q70</t>
        </is>
      </c>
      <c r="B10" s="11" t="inlineStr">
        <is>
          <t>Evidence Storage</t>
        </is>
      </c>
      <c r="C10" s="12" t="inlineStr">
        <is>
          <t>Is evidence storage monitored?</t>
        </is>
      </c>
      <c r="D10" s="5" t="n"/>
      <c r="E10" s="5" t="n"/>
      <c r="F10" s="5" t="n"/>
      <c r="G10" s="13">
        <f>IF(OR(D10="No", D10="Never", D10="None", D10="No Capability"), "Yes", "No")</f>
        <v/>
      </c>
    </row>
    <row r="11" ht="35" customHeight="1">
      <c r="A11" s="11" t="inlineStr">
        <is>
          <t>Q71</t>
        </is>
      </c>
      <c r="B11" s="11" t="inlineStr">
        <is>
          <t>Evidence Storage</t>
        </is>
      </c>
      <c r="C11" s="12" t="inlineStr">
        <is>
          <t>Is an evidence catalog maintained?</t>
        </is>
      </c>
      <c r="D11" s="5" t="n"/>
      <c r="E11" s="5" t="n"/>
      <c r="F11" s="5" t="n"/>
      <c r="G11" s="13">
        <f>IF(OR(D11="No", D11="Never", D11="None", D11="No Capability"), "Yes", "No")</f>
        <v/>
      </c>
    </row>
    <row r="12" ht="35" customHeight="1">
      <c r="A12" s="11" t="inlineStr">
        <is>
          <t>Q72</t>
        </is>
      </c>
      <c r="B12" s="11" t="inlineStr">
        <is>
          <t>Evidence Storage</t>
        </is>
      </c>
      <c r="C12" s="12" t="inlineStr">
        <is>
          <t>Is storage capacity sufficient?</t>
        </is>
      </c>
      <c r="D12" s="5" t="n"/>
      <c r="E12" s="5" t="n"/>
      <c r="F12" s="5" t="n"/>
      <c r="G12" s="13">
        <f>IF(OR(D12="No", D12="Never", D12="None", D12="No Capability"), "Yes", "No")</f>
        <v/>
      </c>
    </row>
    <row r="13" ht="20" customHeight="1">
      <c r="A13" s="10" t="inlineStr">
        <is>
          <t xml:space="preserve">  Retention &amp; Disposal</t>
        </is>
      </c>
      <c r="B13" s="4" t="n"/>
      <c r="C13" s="4" t="n"/>
      <c r="D13" s="4" t="n"/>
      <c r="E13" s="4" t="n"/>
      <c r="F13" s="4" t="n"/>
      <c r="G13" s="4" t="n"/>
    </row>
    <row r="14" ht="35" customHeight="1">
      <c r="A14" s="11" t="inlineStr">
        <is>
          <t>Q73</t>
        </is>
      </c>
      <c r="B14" s="11" t="inlineStr">
        <is>
          <t>Retention &amp; Disposal</t>
        </is>
      </c>
      <c r="C14" s="12" t="inlineStr">
        <is>
          <t>Are retention periods defined for forensic evidence?</t>
        </is>
      </c>
      <c r="D14" s="5" t="n"/>
      <c r="E14" s="5" t="n"/>
      <c r="F14" s="5" t="n"/>
      <c r="G14" s="13">
        <f>IF(OR(D14="No", D14="Never", D14="None", D14="No Capability"), "Yes", "No")</f>
        <v/>
      </c>
    </row>
    <row r="15" ht="35" customHeight="1">
      <c r="A15" s="11" t="inlineStr">
        <is>
          <t>Q74</t>
        </is>
      </c>
      <c r="B15" s="11" t="inlineStr">
        <is>
          <t>Retention &amp; Disposal</t>
        </is>
      </c>
      <c r="C15" s="12" t="inlineStr">
        <is>
          <t>Do retention periods meet regulatory requirements?</t>
        </is>
      </c>
      <c r="D15" s="5" t="n"/>
      <c r="E15" s="5" t="n"/>
      <c r="F15" s="5" t="n"/>
      <c r="G15" s="13">
        <f>IF(OR(D15="No", D15="Never", D15="None", D15="No Capability"), "Yes", "No")</f>
        <v/>
      </c>
    </row>
    <row r="16" ht="35" customHeight="1">
      <c r="A16" s="11" t="inlineStr">
        <is>
          <t>Q75</t>
        </is>
      </c>
      <c r="B16" s="11" t="inlineStr">
        <is>
          <t>Retention &amp; Disposal</t>
        </is>
      </c>
      <c r="C16" s="12" t="inlineStr">
        <is>
          <t>Can retention be extended via legal hold?</t>
        </is>
      </c>
      <c r="D16" s="5" t="n"/>
      <c r="E16" s="5" t="n"/>
      <c r="F16" s="5" t="n"/>
      <c r="G16" s="13">
        <f>IF(OR(D16="No", D16="Never", D16="None", D16="No Capability"), "Yes", "No")</f>
        <v/>
      </c>
    </row>
    <row r="17" ht="35" customHeight="1">
      <c r="A17" s="11" t="inlineStr">
        <is>
          <t>Q76</t>
        </is>
      </c>
      <c r="B17" s="11" t="inlineStr">
        <is>
          <t>Retention &amp; Disposal</t>
        </is>
      </c>
      <c r="C17" s="12" t="inlineStr">
        <is>
          <t>Are evidence disposal procedures documented?</t>
        </is>
      </c>
      <c r="D17" s="5" t="n"/>
      <c r="E17" s="5" t="n"/>
      <c r="F17" s="5" t="n"/>
      <c r="G17" s="13">
        <f>IF(OR(D17="No", D17="Never", D17="None", D17="No Capability"), "Yes", "No")</f>
        <v/>
      </c>
    </row>
    <row r="18" ht="35" customHeight="1">
      <c r="A18" s="11" t="inlineStr">
        <is>
          <t>Q77</t>
        </is>
      </c>
      <c r="B18" s="11" t="inlineStr">
        <is>
          <t>Retention &amp; Disposal</t>
        </is>
      </c>
      <c r="C18" s="12" t="inlineStr">
        <is>
          <t>Is disposal authorised before execution?</t>
        </is>
      </c>
      <c r="D18" s="5" t="n"/>
      <c r="E18" s="5" t="n"/>
      <c r="F18" s="5" t="n"/>
      <c r="G18" s="13">
        <f>IF(OR(D18="No", D18="Never", D18="None", D18="No Capability"), "Yes", "No")</f>
        <v/>
      </c>
    </row>
    <row r="19" ht="35" customHeight="1">
      <c r="A19" s="11" t="inlineStr">
        <is>
          <t>Q78</t>
        </is>
      </c>
      <c r="B19" s="11" t="inlineStr">
        <is>
          <t>Retention &amp; Disposal</t>
        </is>
      </c>
      <c r="C19" s="12" t="inlineStr">
        <is>
          <t>Is disposal verified after execution?</t>
        </is>
      </c>
      <c r="D19" s="5" t="n"/>
      <c r="E19" s="5" t="n"/>
      <c r="F19" s="5" t="n"/>
      <c r="G19" s="13">
        <f>IF(OR(D19="No", D19="Never", D19="None", D19="No Capability"), "Yes", "No")</f>
        <v/>
      </c>
    </row>
    <row r="20" ht="35" customHeight="1">
      <c r="A20" s="11" t="inlineStr">
        <is>
          <t>Q79</t>
        </is>
      </c>
      <c r="B20" s="11" t="inlineStr">
        <is>
          <t>Retention &amp; Disposal</t>
        </is>
      </c>
      <c r="C20" s="12" t="inlineStr">
        <is>
          <t>Are disposal records maintained?</t>
        </is>
      </c>
      <c r="D20" s="5" t="n"/>
      <c r="E20" s="5" t="n"/>
      <c r="F20" s="5" t="n"/>
      <c r="G20" s="13">
        <f>IF(OR(D20="No", D20="Never", D20="None", D20="No Capability"), "Yes", "No")</f>
        <v/>
      </c>
    </row>
    <row r="21" ht="35" customHeight="1">
      <c r="A21" s="11" t="inlineStr">
        <is>
          <t>Q80</t>
        </is>
      </c>
      <c r="B21" s="11" t="inlineStr">
        <is>
          <t>Retention &amp; Disposal</t>
        </is>
      </c>
      <c r="C21" s="12" t="inlineStr">
        <is>
          <t>Is disposal automated when retention expires?</t>
        </is>
      </c>
      <c r="D21" s="5" t="n"/>
      <c r="E21" s="5" t="n"/>
      <c r="F21" s="5" t="n"/>
      <c r="G21" s="13">
        <f>IF(OR(D21="No", D21="Never", D21="None", D21="No Capability"), "Yes", "No")</f>
        <v/>
      </c>
    </row>
  </sheetData>
  <mergeCells count="4">
    <mergeCell ref="A13:G13"/>
    <mergeCell ref="A2:G2"/>
    <mergeCell ref="A1:G1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8" customWidth="1" min="3" max="3"/>
    <col width="28" customWidth="1" min="4" max="4"/>
    <col width="28" customWidth="1" min="5" max="5"/>
    <col width="32" customWidth="1" min="6" max="6"/>
    <col width="10" customWidth="1" min="7" max="7"/>
  </cols>
  <sheetData>
    <row r="1" ht="30" customHeight="1">
      <c r="A1" s="1" t="inlineStr">
        <is>
          <t>Sheet 6: Legal &amp; Regulatory Readiness</t>
        </is>
      </c>
    </row>
    <row r="2">
      <c r="A2" s="8" t="inlineStr">
        <is>
          <t>Legal Admissibility, Regulatory Compliance (15 Questions)</t>
        </is>
      </c>
    </row>
    <row r="4">
      <c r="A4" s="9" t="inlineStr">
        <is>
          <t>Question_ID</t>
        </is>
      </c>
      <c r="B4" s="9" t="inlineStr">
        <is>
          <t>Section</t>
        </is>
      </c>
      <c r="C4" s="9" t="inlineStr">
        <is>
          <t>Question</t>
        </is>
      </c>
      <c r="D4" s="9" t="inlineStr">
        <is>
          <t>Answer</t>
        </is>
      </c>
      <c r="E4" s="9" t="inlineStr">
        <is>
          <t>Evidence_Ref</t>
        </is>
      </c>
      <c r="F4" s="9" t="inlineStr">
        <is>
          <t>Comments</t>
        </is>
      </c>
      <c r="G4" s="9" t="inlineStr">
        <is>
          <t>Gap_Flag</t>
        </is>
      </c>
    </row>
    <row r="5" ht="20" customHeight="1">
      <c r="A5" s="10" t="inlineStr">
        <is>
          <t xml:space="preserve">  Legal Admissibility</t>
        </is>
      </c>
      <c r="B5" s="4" t="n"/>
      <c r="C5" s="4" t="n"/>
      <c r="D5" s="4" t="n"/>
      <c r="E5" s="4" t="n"/>
      <c r="F5" s="4" t="n"/>
      <c r="G5" s="4" t="n"/>
    </row>
    <row r="6" ht="35" customHeight="1">
      <c r="A6" s="11" t="inlineStr">
        <is>
          <t>Q81</t>
        </is>
      </c>
      <c r="B6" s="11" t="inlineStr">
        <is>
          <t>Legal Admissibility</t>
        </is>
      </c>
      <c r="C6" s="12" t="inlineStr">
        <is>
          <t>Have forensic procedures been reviewed by Legal?</t>
        </is>
      </c>
      <c r="D6" s="5" t="n"/>
      <c r="E6" s="5" t="n"/>
      <c r="F6" s="5" t="n"/>
      <c r="G6" s="13">
        <f>IF(OR(D6="No", D6="Never", D6="None", D6="No Capability"), "Yes", "No")</f>
        <v/>
      </c>
    </row>
    <row r="7" ht="35" customHeight="1">
      <c r="A7" s="11" t="inlineStr">
        <is>
          <t>Q82</t>
        </is>
      </c>
      <c r="B7" s="11" t="inlineStr">
        <is>
          <t>Legal Admissibility</t>
        </is>
      </c>
      <c r="C7" s="12" t="inlineStr">
        <is>
          <t>Are legal admissibility requirements documented?</t>
        </is>
      </c>
      <c r="D7" s="5" t="n"/>
      <c r="E7" s="5" t="n"/>
      <c r="F7" s="5" t="n"/>
      <c r="G7" s="13">
        <f>IF(OR(D7="No", D7="Never", D7="None", D7="No Capability"), "Yes", "No")</f>
        <v/>
      </c>
    </row>
    <row r="8" ht="35" customHeight="1">
      <c r="A8" s="11" t="inlineStr">
        <is>
          <t>Q83</t>
        </is>
      </c>
      <c r="B8" s="11" t="inlineStr">
        <is>
          <t>Legal Admissibility</t>
        </is>
      </c>
      <c r="C8" s="12" t="inlineStr">
        <is>
          <t>Can [Organisation] provide expert witnesses?</t>
        </is>
      </c>
      <c r="D8" s="5" t="n"/>
      <c r="E8" s="5" t="n"/>
      <c r="F8" s="5" t="n"/>
      <c r="G8" s="13">
        <f>IF(OR(D8="No", D8="Never", D8="None", D8="No Capability"), "Yes", "No")</f>
        <v/>
      </c>
    </row>
    <row r="9" ht="35" customHeight="1">
      <c r="A9" s="11" t="inlineStr">
        <is>
          <t>Q84</t>
        </is>
      </c>
      <c r="B9" s="11" t="inlineStr">
        <is>
          <t>Legal Admissibility</t>
        </is>
      </c>
      <c r="C9" s="12" t="inlineStr">
        <is>
          <t>Is forensic report format suitable for legal proceedings?</t>
        </is>
      </c>
      <c r="D9" s="5" t="n"/>
      <c r="E9" s="5" t="n"/>
      <c r="F9" s="5" t="n"/>
      <c r="G9" s="13">
        <f>IF(OR(D9="No", D9="Never", D9="None", D9="No Capability"), "Yes", "No")</f>
        <v/>
      </c>
    </row>
    <row r="10" ht="35" customHeight="1">
      <c r="A10" s="11" t="inlineStr">
        <is>
          <t>Q85</t>
        </is>
      </c>
      <c r="B10" s="11" t="inlineStr">
        <is>
          <t>Legal Admissibility</t>
        </is>
      </c>
      <c r="C10" s="12" t="inlineStr">
        <is>
          <t>Are forensic analysts prepared for cross-examination?</t>
        </is>
      </c>
      <c r="D10" s="5" t="n"/>
      <c r="E10" s="5" t="n"/>
      <c r="F10" s="5" t="n"/>
      <c r="G10" s="13">
        <f>IF(OR(D10="No", D10="Never", D10="None", D10="No Capability"), "Yes", "No")</f>
        <v/>
      </c>
    </row>
    <row r="11" ht="35" customHeight="1">
      <c r="A11" s="11" t="inlineStr">
        <is>
          <t>Q86</t>
        </is>
      </c>
      <c r="B11" s="11" t="inlineStr">
        <is>
          <t>Legal Admissibility</t>
        </is>
      </c>
      <c r="C11" s="12" t="inlineStr">
        <is>
          <t>Is evidence integrity fully documented (end-to-end)?</t>
        </is>
      </c>
      <c r="D11" s="5" t="n"/>
      <c r="E11" s="5" t="n"/>
      <c r="F11" s="5" t="n"/>
      <c r="G11" s="13">
        <f>IF(OR(D11="No", D11="Never", D11="None", D11="No Capability"), "Yes", "No")</f>
        <v/>
      </c>
    </row>
    <row r="12" ht="35" customHeight="1">
      <c r="A12" s="11" t="inlineStr">
        <is>
          <t>Q87</t>
        </is>
      </c>
      <c r="B12" s="11" t="inlineStr">
        <is>
          <t>Legal Admissibility</t>
        </is>
      </c>
      <c r="C12" s="12" t="inlineStr">
        <is>
          <t>Is physical evidence photographed in situ?</t>
        </is>
      </c>
      <c r="D12" s="5" t="n"/>
      <c r="E12" s="5" t="n"/>
      <c r="F12" s="5" t="n"/>
      <c r="G12" s="13">
        <f>IF(OR(D12="No", D12="Never", D12="None", D12="No Capability"), "Yes", "No")</f>
        <v/>
      </c>
    </row>
    <row r="13" ht="35" customHeight="1">
      <c r="A13" s="11" t="inlineStr">
        <is>
          <t>Q88</t>
        </is>
      </c>
      <c r="B13" s="11" t="inlineStr">
        <is>
          <t>Legal Admissibility</t>
        </is>
      </c>
      <c r="C13" s="12" t="inlineStr">
        <is>
          <t>Are witness statements collected during incidents?</t>
        </is>
      </c>
      <c r="D13" s="5" t="n"/>
      <c r="E13" s="5" t="n"/>
      <c r="F13" s="5" t="n"/>
      <c r="G13" s="13">
        <f>IF(OR(D13="No", D13="Never", D13="None", D13="No Capability"), "Yes", "No")</f>
        <v/>
      </c>
    </row>
    <row r="14" ht="20" customHeight="1">
      <c r="A14" s="10" t="inlineStr">
        <is>
          <t xml:space="preserve">  Regulatory Compliance</t>
        </is>
      </c>
      <c r="B14" s="4" t="n"/>
      <c r="C14" s="4" t="n"/>
      <c r="D14" s="4" t="n"/>
      <c r="E14" s="4" t="n"/>
      <c r="F14" s="4" t="n"/>
      <c r="G14" s="4" t="n"/>
    </row>
    <row r="15" ht="35" customHeight="1">
      <c r="A15" s="11" t="inlineStr">
        <is>
          <t>Q89</t>
        </is>
      </c>
      <c r="B15" s="11" t="inlineStr">
        <is>
          <t>Regulatory Compliance</t>
        </is>
      </c>
      <c r="C15" s="12" t="inlineStr">
        <is>
          <t>GDPR forensic evidence compliance?</t>
        </is>
      </c>
      <c r="D15" s="5" t="n"/>
      <c r="E15" s="5" t="n"/>
      <c r="F15" s="5" t="n"/>
      <c r="G15" s="13">
        <f>IF(OR(D15="No", D15="Never", D15="None", D15="No Capability"), "Yes", "No")</f>
        <v/>
      </c>
    </row>
    <row r="16" ht="35" customHeight="1">
      <c r="A16" s="11" t="inlineStr">
        <is>
          <t>Q90</t>
        </is>
      </c>
      <c r="B16" s="11" t="inlineStr">
        <is>
          <t>Regulatory Compliance</t>
        </is>
      </c>
      <c r="C16" s="12" t="inlineStr">
        <is>
          <t>PCI DSS forensic evidence compliance?</t>
        </is>
      </c>
      <c r="D16" s="5" t="n"/>
      <c r="E16" s="5" t="n"/>
      <c r="F16" s="5" t="n"/>
      <c r="G16" s="13">
        <f>IF(OR(D16="No", D16="Never", D16="None", D16="No Capability"), "Yes", "No")</f>
        <v/>
      </c>
    </row>
    <row r="17" ht="35" customHeight="1">
      <c r="A17" s="11" t="inlineStr">
        <is>
          <t>Q91</t>
        </is>
      </c>
      <c r="B17" s="11" t="inlineStr">
        <is>
          <t>Regulatory Compliance</t>
        </is>
      </c>
      <c r="C17" s="12" t="inlineStr">
        <is>
          <t>Industry-specific forensic requirements met?</t>
        </is>
      </c>
      <c r="D17" s="5" t="n"/>
      <c r="E17" s="5" t="n"/>
      <c r="F17" s="5" t="n"/>
      <c r="G17" s="13">
        <f>IF(OR(D17="No", D17="Never", D17="None", D17="No Capability"), "Yes", "No")</f>
        <v/>
      </c>
    </row>
    <row r="18" ht="35" customHeight="1">
      <c r="A18" s="11" t="inlineStr">
        <is>
          <t>Q92</t>
        </is>
      </c>
      <c r="B18" s="11" t="inlineStr">
        <is>
          <t>Regulatory Compliance</t>
        </is>
      </c>
      <c r="C18" s="12" t="inlineStr">
        <is>
          <t>Can evidence be submitted to regulators in required format?</t>
        </is>
      </c>
      <c r="D18" s="5" t="n"/>
      <c r="E18" s="5" t="n"/>
      <c r="F18" s="5" t="n"/>
      <c r="G18" s="13">
        <f>IF(OR(D18="No", D18="Never", D18="None", D18="No Capability"), "Yes", "No")</f>
        <v/>
      </c>
    </row>
    <row r="19" ht="35" customHeight="1">
      <c r="A19" s="11" t="inlineStr">
        <is>
          <t>Q93</t>
        </is>
      </c>
      <c r="B19" s="11" t="inlineStr">
        <is>
          <t>Regulatory Compliance</t>
        </is>
      </c>
      <c r="C19" s="12" t="inlineStr">
        <is>
          <t>Law enforcement evidence cooperation procedures?</t>
        </is>
      </c>
      <c r="D19" s="5" t="n"/>
      <c r="E19" s="5" t="n"/>
      <c r="F19" s="5" t="n"/>
      <c r="G19" s="13">
        <f>IF(OR(D19="No", D19="Never", D19="None", D19="No Capability"), "Yes", "No")</f>
        <v/>
      </c>
    </row>
    <row r="20" ht="35" customHeight="1">
      <c r="A20" s="11" t="inlineStr">
        <is>
          <t>Q94</t>
        </is>
      </c>
      <c r="B20" s="11" t="inlineStr">
        <is>
          <t>Regulatory Compliance</t>
        </is>
      </c>
      <c r="C20" s="12" t="inlineStr">
        <is>
          <t>International evidence requirements considered?</t>
        </is>
      </c>
      <c r="D20" s="5" t="n"/>
      <c r="E20" s="5" t="n"/>
      <c r="F20" s="5" t="n"/>
      <c r="G20" s="13">
        <f>IF(OR(D20="No", D20="Never", D20="None", D20="No Capability"), "Yes", "No")</f>
        <v/>
      </c>
    </row>
    <row r="21" ht="35" customHeight="1">
      <c r="A21" s="11" t="inlineStr">
        <is>
          <t>Q95</t>
        </is>
      </c>
      <c r="B21" s="11" t="inlineStr">
        <is>
          <t>Regulatory Compliance</t>
        </is>
      </c>
      <c r="C21" s="12" t="inlineStr">
        <is>
          <t>Forensic evidence available for regulatory audits?</t>
        </is>
      </c>
      <c r="D21" s="5" t="n"/>
      <c r="E21" s="5" t="n"/>
      <c r="F21" s="5" t="n"/>
      <c r="G21" s="13">
        <f>IF(OR(D21="No", D21="Never", D21="None", D21="No Capability"), "Yes", "No")</f>
        <v/>
      </c>
    </row>
  </sheetData>
  <mergeCells count="4">
    <mergeCell ref="A14:G14"/>
    <mergeCell ref="A2:G2"/>
    <mergeCell ref="A1:G1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12" customWidth="1" min="4" max="4"/>
    <col width="26" customWidth="1" min="5" max="5"/>
    <col width="26" customWidth="1" min="6" max="6"/>
    <col width="42" customWidth="1" min="7" max="7"/>
    <col width="18" customWidth="1" min="8" max="8"/>
    <col width="14" customWidth="1" min="9" max="9"/>
    <col width="14" customWidth="1" min="10" max="10"/>
  </cols>
  <sheetData>
    <row r="1" ht="30" customHeight="1">
      <c r="A1" s="1" t="inlineStr">
        <is>
          <t>Sheet 7: Gap Analysis</t>
        </is>
      </c>
    </row>
    <row r="3">
      <c r="A3" s="14" t="inlineStr">
        <is>
          <t>GAP SUMMARY</t>
        </is>
      </c>
    </row>
    <row r="4">
      <c r="A4" s="3" t="inlineStr">
        <is>
          <t>Total Gaps:</t>
        </is>
      </c>
      <c r="B4" s="15">
        <f>COUNTA(C6:C45)-COUNTBLANK(C6:C45)</f>
        <v/>
      </c>
      <c r="C4" s="3" t="inlineStr">
        <is>
          <t>Critical:</t>
        </is>
      </c>
      <c r="D4" s="15">
        <f>COUNTIF(E6:E45,"Critical")</f>
        <v/>
      </c>
      <c r="E4" s="3" t="inlineStr">
        <is>
          <t>High:</t>
        </is>
      </c>
      <c r="F4" s="15">
        <f>COUNTIF(E6:E45,"High")</f>
        <v/>
      </c>
      <c r="G4" s="3" t="inlineStr">
        <is>
          <t>Medium:</t>
        </is>
      </c>
      <c r="H4" s="15">
        <f>COUNTIF(E6:E45,"Medium")</f>
        <v/>
      </c>
    </row>
    <row r="6">
      <c r="A6" s="9" t="inlineStr">
        <is>
          <t>Gap_ID</t>
        </is>
      </c>
      <c r="B6" s="9" t="inlineStr">
        <is>
          <t>Domain</t>
        </is>
      </c>
      <c r="C6" s="9" t="inlineStr">
        <is>
          <t>Gap_Description</t>
        </is>
      </c>
      <c r="D6" s="9" t="inlineStr">
        <is>
          <t>Risk_Level</t>
        </is>
      </c>
      <c r="E6" s="9" t="inlineStr">
        <is>
          <t>Current_State</t>
        </is>
      </c>
      <c r="F6" s="9" t="inlineStr">
        <is>
          <t>Target_State</t>
        </is>
      </c>
      <c r="G6" s="9" t="inlineStr">
        <is>
          <t>Remediation_Action</t>
        </is>
      </c>
      <c r="H6" s="9" t="inlineStr">
        <is>
          <t>Owner</t>
        </is>
      </c>
      <c r="I6" s="9" t="inlineStr">
        <is>
          <t>Target_Date</t>
        </is>
      </c>
      <c r="J6" s="9" t="inlineStr">
        <is>
          <t>Status</t>
        </is>
      </c>
    </row>
    <row r="7">
      <c r="A7" s="11" t="inlineStr">
        <is>
          <t>GAP-001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11" t="inlineStr">
        <is>
          <t>GAP-002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1" t="inlineStr">
        <is>
          <t>GAP-003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11" t="inlineStr">
        <is>
          <t>GAP-004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11" t="inlineStr">
        <is>
          <t>GAP-005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11" t="inlineStr">
        <is>
          <t>GAP-006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11" t="inlineStr">
        <is>
          <t>GAP-007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11" t="inlineStr">
        <is>
          <t>GAP-008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11" t="inlineStr">
        <is>
          <t>GAP-009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11" t="inlineStr">
        <is>
          <t>GAP-010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11" t="inlineStr">
        <is>
          <t>GAP-011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11" t="inlineStr">
        <is>
          <t>GAP-012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11" t="inlineStr">
        <is>
          <t>GAP-013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11" t="inlineStr">
        <is>
          <t>GAP-014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11" t="inlineStr">
        <is>
          <t>GAP-015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11" t="inlineStr">
        <is>
          <t>GAP-016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11" t="inlineStr">
        <is>
          <t>GAP-017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11" t="inlineStr">
        <is>
          <t>GAP-018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11" t="inlineStr">
        <is>
          <t>GAP-019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11" t="inlineStr">
        <is>
          <t>GAP-020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11" t="inlineStr">
        <is>
          <t>GAP-021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11" t="inlineStr">
        <is>
          <t>GAP-022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11" t="inlineStr">
        <is>
          <t>GAP-023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11" t="inlineStr">
        <is>
          <t>GAP-024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11" t="inlineStr">
        <is>
          <t>GAP-025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11" t="inlineStr">
        <is>
          <t>GAP-026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11" t="inlineStr">
        <is>
          <t>GAP-027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11" t="inlineStr">
        <is>
          <t>GAP-028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11" t="inlineStr">
        <is>
          <t>GAP-029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11" t="inlineStr">
        <is>
          <t>GAP-030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11" t="inlineStr">
        <is>
          <t>GAP-031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11" t="inlineStr">
        <is>
          <t>GAP-032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11" t="inlineStr">
        <is>
          <t>GAP-033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11" t="inlineStr">
        <is>
          <t>GAP-034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11" t="inlineStr">
        <is>
          <t>GAP-035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11" t="inlineStr">
        <is>
          <t>GAP-036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11" t="inlineStr">
        <is>
          <t>GAP-037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11" t="inlineStr">
        <is>
          <t>GAP-038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11" t="inlineStr">
        <is>
          <t>GAP-039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11" t="inlineStr">
        <is>
          <t>GAP-040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</sheetData>
  <mergeCells count="2">
    <mergeCell ref="A1:J1"/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22" customWidth="1" min="4" max="4"/>
    <col width="32" customWidth="1" min="5" max="5"/>
    <col width="16" customWidth="1" min="6" max="6"/>
    <col width="20" customWidth="1" min="7" max="7"/>
    <col width="22" customWidth="1" min="8" max="8"/>
  </cols>
  <sheetData>
    <row r="1" ht="30" customHeight="1">
      <c r="A1" s="1" t="inlineStr">
        <is>
          <t>Sheet 8: Evidence Register</t>
        </is>
      </c>
    </row>
    <row r="4">
      <c r="A4" s="9" t="inlineStr">
        <is>
          <t>Evidence_ID</t>
        </is>
      </c>
      <c r="B4" s="9" t="inlineStr">
        <is>
          <t>Evidence_Type</t>
        </is>
      </c>
      <c r="C4" s="9" t="inlineStr">
        <is>
          <t>Description</t>
        </is>
      </c>
      <c r="D4" s="9" t="inlineStr">
        <is>
          <t>Related_Question</t>
        </is>
      </c>
      <c r="E4" s="9" t="inlineStr">
        <is>
          <t>Storage_Location</t>
        </is>
      </c>
      <c r="F4" s="9" t="inlineStr">
        <is>
          <t>Date_Collected</t>
        </is>
      </c>
      <c r="G4" s="9" t="inlineStr">
        <is>
          <t>Collected_By</t>
        </is>
      </c>
      <c r="H4" s="9" t="inlineStr">
        <is>
          <t>Verification_Status</t>
        </is>
      </c>
    </row>
    <row r="5">
      <c r="A5" s="11" t="inlineStr">
        <is>
          <t>EV-001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11" t="inlineStr">
        <is>
          <t>EV-002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11" t="inlineStr">
        <is>
          <t>EV-003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s="11" t="inlineStr">
        <is>
          <t>EV-004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s="11" t="inlineStr">
        <is>
          <t>EV-005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11" t="inlineStr">
        <is>
          <t>EV-006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s="11" t="inlineStr">
        <is>
          <t>EV-007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s="11" t="inlineStr">
        <is>
          <t>EV-008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11" t="inlineStr">
        <is>
          <t>EV-009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s="11" t="inlineStr">
        <is>
          <t>EV-010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s="11" t="inlineStr">
        <is>
          <t>EV-011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s="11" t="inlineStr">
        <is>
          <t>EV-012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A17" s="11" t="inlineStr">
        <is>
          <t>EV-013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s="11" t="inlineStr">
        <is>
          <t>EV-014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s="11" t="inlineStr">
        <is>
          <t>EV-015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s="11" t="inlineStr">
        <is>
          <t>EV-016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s="11" t="inlineStr">
        <is>
          <t>EV-017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s="11" t="inlineStr">
        <is>
          <t>EV-018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11" t="inlineStr">
        <is>
          <t>EV-019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s="11" t="inlineStr">
        <is>
          <t>EV-020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s="11" t="inlineStr">
        <is>
          <t>EV-021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11" t="inlineStr">
        <is>
          <t>EV-022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11" t="inlineStr">
        <is>
          <t>EV-023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11" t="inlineStr">
        <is>
          <t>EV-024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11" t="inlineStr">
        <is>
          <t>EV-025</t>
        </is>
      </c>
      <c r="B29" s="5" t="n"/>
      <c r="C29" s="5" t="n"/>
      <c r="D29" s="5" t="n"/>
      <c r="E29" s="5" t="n"/>
      <c r="F29" s="5" t="n"/>
      <c r="G29" s="5" t="n"/>
      <c r="H29" s="5" t="n"/>
    </row>
    <row r="30">
      <c r="A30" s="11" t="inlineStr">
        <is>
          <t>EV-026</t>
        </is>
      </c>
      <c r="B30" s="5" t="n"/>
      <c r="C30" s="5" t="n"/>
      <c r="D30" s="5" t="n"/>
      <c r="E30" s="5" t="n"/>
      <c r="F30" s="5" t="n"/>
      <c r="G30" s="5" t="n"/>
      <c r="H30" s="5" t="n"/>
    </row>
    <row r="31">
      <c r="A31" s="11" t="inlineStr">
        <is>
          <t>EV-027</t>
        </is>
      </c>
      <c r="B31" s="5" t="n"/>
      <c r="C31" s="5" t="n"/>
      <c r="D31" s="5" t="n"/>
      <c r="E31" s="5" t="n"/>
      <c r="F31" s="5" t="n"/>
      <c r="G31" s="5" t="n"/>
      <c r="H31" s="5" t="n"/>
    </row>
    <row r="32">
      <c r="A32" s="11" t="inlineStr">
        <is>
          <t>EV-028</t>
        </is>
      </c>
      <c r="B32" s="5" t="n"/>
      <c r="C32" s="5" t="n"/>
      <c r="D32" s="5" t="n"/>
      <c r="E32" s="5" t="n"/>
      <c r="F32" s="5" t="n"/>
      <c r="G32" s="5" t="n"/>
      <c r="H32" s="5" t="n"/>
    </row>
    <row r="33">
      <c r="A33" s="11" t="inlineStr">
        <is>
          <t>EV-029</t>
        </is>
      </c>
      <c r="B33" s="5" t="n"/>
      <c r="C33" s="5" t="n"/>
      <c r="D33" s="5" t="n"/>
      <c r="E33" s="5" t="n"/>
      <c r="F33" s="5" t="n"/>
      <c r="G33" s="5" t="n"/>
      <c r="H33" s="5" t="n"/>
    </row>
    <row r="34">
      <c r="A34" s="11" t="inlineStr">
        <is>
          <t>EV-030</t>
        </is>
      </c>
      <c r="B34" s="5" t="n"/>
      <c r="C34" s="5" t="n"/>
      <c r="D34" s="5" t="n"/>
      <c r="E34" s="5" t="n"/>
      <c r="F34" s="5" t="n"/>
      <c r="G34" s="5" t="n"/>
      <c r="H34" s="5" t="n"/>
    </row>
    <row r="35">
      <c r="A35" s="11" t="inlineStr">
        <is>
          <t>EV-031</t>
        </is>
      </c>
      <c r="B35" s="5" t="n"/>
      <c r="C35" s="5" t="n"/>
      <c r="D35" s="5" t="n"/>
      <c r="E35" s="5" t="n"/>
      <c r="F35" s="5" t="n"/>
      <c r="G35" s="5" t="n"/>
      <c r="H35" s="5" t="n"/>
    </row>
    <row r="36">
      <c r="A36" s="11" t="inlineStr">
        <is>
          <t>EV-032</t>
        </is>
      </c>
      <c r="B36" s="5" t="n"/>
      <c r="C36" s="5" t="n"/>
      <c r="D36" s="5" t="n"/>
      <c r="E36" s="5" t="n"/>
      <c r="F36" s="5" t="n"/>
      <c r="G36" s="5" t="n"/>
      <c r="H36" s="5" t="n"/>
    </row>
    <row r="37">
      <c r="A37" s="11" t="inlineStr">
        <is>
          <t>EV-033</t>
        </is>
      </c>
      <c r="B37" s="5" t="n"/>
      <c r="C37" s="5" t="n"/>
      <c r="D37" s="5" t="n"/>
      <c r="E37" s="5" t="n"/>
      <c r="F37" s="5" t="n"/>
      <c r="G37" s="5" t="n"/>
      <c r="H37" s="5" t="n"/>
    </row>
    <row r="38">
      <c r="A38" s="11" t="inlineStr">
        <is>
          <t>EV-034</t>
        </is>
      </c>
      <c r="B38" s="5" t="n"/>
      <c r="C38" s="5" t="n"/>
      <c r="D38" s="5" t="n"/>
      <c r="E38" s="5" t="n"/>
      <c r="F38" s="5" t="n"/>
      <c r="G38" s="5" t="n"/>
      <c r="H38" s="5" t="n"/>
    </row>
    <row r="39">
      <c r="A39" s="11" t="inlineStr">
        <is>
          <t>EV-035</t>
        </is>
      </c>
      <c r="B39" s="5" t="n"/>
      <c r="C39" s="5" t="n"/>
      <c r="D39" s="5" t="n"/>
      <c r="E39" s="5" t="n"/>
      <c r="F39" s="5" t="n"/>
      <c r="G39" s="5" t="n"/>
      <c r="H39" s="5" t="n"/>
    </row>
    <row r="40">
      <c r="A40" s="11" t="inlineStr">
        <is>
          <t>EV-036</t>
        </is>
      </c>
      <c r="B40" s="5" t="n"/>
      <c r="C40" s="5" t="n"/>
      <c r="D40" s="5" t="n"/>
      <c r="E40" s="5" t="n"/>
      <c r="F40" s="5" t="n"/>
      <c r="G40" s="5" t="n"/>
      <c r="H40" s="5" t="n"/>
    </row>
    <row r="41">
      <c r="A41" s="11" t="inlineStr">
        <is>
          <t>EV-037</t>
        </is>
      </c>
      <c r="B41" s="5" t="n"/>
      <c r="C41" s="5" t="n"/>
      <c r="D41" s="5" t="n"/>
      <c r="E41" s="5" t="n"/>
      <c r="F41" s="5" t="n"/>
      <c r="G41" s="5" t="n"/>
      <c r="H41" s="5" t="n"/>
    </row>
    <row r="42">
      <c r="A42" s="11" t="inlineStr">
        <is>
          <t>EV-038</t>
        </is>
      </c>
      <c r="B42" s="5" t="n"/>
      <c r="C42" s="5" t="n"/>
      <c r="D42" s="5" t="n"/>
      <c r="E42" s="5" t="n"/>
      <c r="F42" s="5" t="n"/>
      <c r="G42" s="5" t="n"/>
      <c r="H42" s="5" t="n"/>
    </row>
    <row r="43">
      <c r="A43" s="11" t="inlineStr">
        <is>
          <t>EV-039</t>
        </is>
      </c>
      <c r="B43" s="5" t="n"/>
      <c r="C43" s="5" t="n"/>
      <c r="D43" s="5" t="n"/>
      <c r="E43" s="5" t="n"/>
      <c r="F43" s="5" t="n"/>
      <c r="G43" s="5" t="n"/>
      <c r="H43" s="5" t="n"/>
    </row>
    <row r="44">
      <c r="A44" s="11" t="inlineStr">
        <is>
          <t>EV-040</t>
        </is>
      </c>
      <c r="B44" s="5" t="n"/>
      <c r="C44" s="5" t="n"/>
      <c r="D44" s="5" t="n"/>
      <c r="E44" s="5" t="n"/>
      <c r="F44" s="5" t="n"/>
      <c r="G44" s="5" t="n"/>
      <c r="H44" s="5" t="n"/>
    </row>
    <row r="45">
      <c r="A45" s="11" t="inlineStr">
        <is>
          <t>EV-041</t>
        </is>
      </c>
      <c r="B45" s="5" t="n"/>
      <c r="C45" s="5" t="n"/>
      <c r="D45" s="5" t="n"/>
      <c r="E45" s="5" t="n"/>
      <c r="F45" s="5" t="n"/>
      <c r="G45" s="5" t="n"/>
      <c r="H45" s="5" t="n"/>
    </row>
    <row r="46">
      <c r="A46" s="11" t="inlineStr">
        <is>
          <t>EV-042</t>
        </is>
      </c>
      <c r="B46" s="5" t="n"/>
      <c r="C46" s="5" t="n"/>
      <c r="D46" s="5" t="n"/>
      <c r="E46" s="5" t="n"/>
      <c r="F46" s="5" t="n"/>
      <c r="G46" s="5" t="n"/>
      <c r="H46" s="5" t="n"/>
    </row>
    <row r="47">
      <c r="A47" s="11" t="inlineStr">
        <is>
          <t>EV-043</t>
        </is>
      </c>
      <c r="B47" s="5" t="n"/>
      <c r="C47" s="5" t="n"/>
      <c r="D47" s="5" t="n"/>
      <c r="E47" s="5" t="n"/>
      <c r="F47" s="5" t="n"/>
      <c r="G47" s="5" t="n"/>
      <c r="H47" s="5" t="n"/>
    </row>
    <row r="48">
      <c r="A48" s="11" t="inlineStr">
        <is>
          <t>EV-044</t>
        </is>
      </c>
      <c r="B48" s="5" t="n"/>
      <c r="C48" s="5" t="n"/>
      <c r="D48" s="5" t="n"/>
      <c r="E48" s="5" t="n"/>
      <c r="F48" s="5" t="n"/>
      <c r="G48" s="5" t="n"/>
      <c r="H48" s="5" t="n"/>
    </row>
    <row r="49">
      <c r="A49" s="11" t="inlineStr">
        <is>
          <t>EV-045</t>
        </is>
      </c>
      <c r="B49" s="5" t="n"/>
      <c r="C49" s="5" t="n"/>
      <c r="D49" s="5" t="n"/>
      <c r="E49" s="5" t="n"/>
      <c r="F49" s="5" t="n"/>
      <c r="G49" s="5" t="n"/>
      <c r="H49" s="5" t="n"/>
    </row>
    <row r="50">
      <c r="A50" s="11" t="inlineStr">
        <is>
          <t>EV-046</t>
        </is>
      </c>
      <c r="B50" s="5" t="n"/>
      <c r="C50" s="5" t="n"/>
      <c r="D50" s="5" t="n"/>
      <c r="E50" s="5" t="n"/>
      <c r="F50" s="5" t="n"/>
      <c r="G50" s="5" t="n"/>
      <c r="H50" s="5" t="n"/>
    </row>
    <row r="51">
      <c r="A51" s="11" t="inlineStr">
        <is>
          <t>EV-047</t>
        </is>
      </c>
      <c r="B51" s="5" t="n"/>
      <c r="C51" s="5" t="n"/>
      <c r="D51" s="5" t="n"/>
      <c r="E51" s="5" t="n"/>
      <c r="F51" s="5" t="n"/>
      <c r="G51" s="5" t="n"/>
      <c r="H51" s="5" t="n"/>
    </row>
    <row r="52">
      <c r="A52" s="11" t="inlineStr">
        <is>
          <t>EV-048</t>
        </is>
      </c>
      <c r="B52" s="5" t="n"/>
      <c r="C52" s="5" t="n"/>
      <c r="D52" s="5" t="n"/>
      <c r="E52" s="5" t="n"/>
      <c r="F52" s="5" t="n"/>
      <c r="G52" s="5" t="n"/>
      <c r="H52" s="5" t="n"/>
    </row>
    <row r="53">
      <c r="A53" s="11" t="inlineStr">
        <is>
          <t>EV-049</t>
        </is>
      </c>
      <c r="B53" s="5" t="n"/>
      <c r="C53" s="5" t="n"/>
      <c r="D53" s="5" t="n"/>
      <c r="E53" s="5" t="n"/>
      <c r="F53" s="5" t="n"/>
      <c r="G53" s="5" t="n"/>
      <c r="H53" s="5" t="n"/>
    </row>
    <row r="54">
      <c r="A54" s="11" t="inlineStr">
        <is>
          <t>EV-050</t>
        </is>
      </c>
      <c r="B54" s="5" t="n"/>
      <c r="C54" s="5" t="n"/>
      <c r="D54" s="5" t="n"/>
      <c r="E54" s="5" t="n"/>
      <c r="F54" s="5" t="n"/>
      <c r="G54" s="5" t="n"/>
      <c r="H54" s="5" t="n"/>
    </row>
    <row r="55">
      <c r="A55" s="11" t="inlineStr">
        <is>
          <t>EV-051</t>
        </is>
      </c>
      <c r="B55" s="5" t="n"/>
      <c r="C55" s="5" t="n"/>
      <c r="D55" s="5" t="n"/>
      <c r="E55" s="5" t="n"/>
      <c r="F55" s="5" t="n"/>
      <c r="G55" s="5" t="n"/>
      <c r="H55" s="5" t="n"/>
    </row>
    <row r="56">
      <c r="A56" s="11" t="inlineStr">
        <is>
          <t>EV-052</t>
        </is>
      </c>
      <c r="B56" s="5" t="n"/>
      <c r="C56" s="5" t="n"/>
      <c r="D56" s="5" t="n"/>
      <c r="E56" s="5" t="n"/>
      <c r="F56" s="5" t="n"/>
      <c r="G56" s="5" t="n"/>
      <c r="H56" s="5" t="n"/>
    </row>
    <row r="57">
      <c r="A57" s="11" t="inlineStr">
        <is>
          <t>EV-053</t>
        </is>
      </c>
      <c r="B57" s="5" t="n"/>
      <c r="C57" s="5" t="n"/>
      <c r="D57" s="5" t="n"/>
      <c r="E57" s="5" t="n"/>
      <c r="F57" s="5" t="n"/>
      <c r="G57" s="5" t="n"/>
      <c r="H57" s="5" t="n"/>
    </row>
    <row r="58">
      <c r="A58" s="11" t="inlineStr">
        <is>
          <t>EV-054</t>
        </is>
      </c>
      <c r="B58" s="5" t="n"/>
      <c r="C58" s="5" t="n"/>
      <c r="D58" s="5" t="n"/>
      <c r="E58" s="5" t="n"/>
      <c r="F58" s="5" t="n"/>
      <c r="G58" s="5" t="n"/>
      <c r="H58" s="5" t="n"/>
    </row>
    <row r="59">
      <c r="A59" s="11" t="inlineStr">
        <is>
          <t>EV-055</t>
        </is>
      </c>
      <c r="B59" s="5" t="n"/>
      <c r="C59" s="5" t="n"/>
      <c r="D59" s="5" t="n"/>
      <c r="E59" s="5" t="n"/>
      <c r="F59" s="5" t="n"/>
      <c r="G59" s="5" t="n"/>
      <c r="H59" s="5" t="n"/>
    </row>
    <row r="60">
      <c r="A60" s="11" t="inlineStr">
        <is>
          <t>EV-056</t>
        </is>
      </c>
      <c r="B60" s="5" t="n"/>
      <c r="C60" s="5" t="n"/>
      <c r="D60" s="5" t="n"/>
      <c r="E60" s="5" t="n"/>
      <c r="F60" s="5" t="n"/>
      <c r="G60" s="5" t="n"/>
      <c r="H60" s="5" t="n"/>
    </row>
    <row r="61">
      <c r="A61" s="11" t="inlineStr">
        <is>
          <t>EV-057</t>
        </is>
      </c>
      <c r="B61" s="5" t="n"/>
      <c r="C61" s="5" t="n"/>
      <c r="D61" s="5" t="n"/>
      <c r="E61" s="5" t="n"/>
      <c r="F61" s="5" t="n"/>
      <c r="G61" s="5" t="n"/>
      <c r="H61" s="5" t="n"/>
    </row>
    <row r="62">
      <c r="A62" s="11" t="inlineStr">
        <is>
          <t>EV-058</t>
        </is>
      </c>
      <c r="B62" s="5" t="n"/>
      <c r="C62" s="5" t="n"/>
      <c r="D62" s="5" t="n"/>
      <c r="E62" s="5" t="n"/>
      <c r="F62" s="5" t="n"/>
      <c r="G62" s="5" t="n"/>
      <c r="H62" s="5" t="n"/>
    </row>
    <row r="63">
      <c r="A63" s="11" t="inlineStr">
        <is>
          <t>EV-059</t>
        </is>
      </c>
      <c r="B63" s="5" t="n"/>
      <c r="C63" s="5" t="n"/>
      <c r="D63" s="5" t="n"/>
      <c r="E63" s="5" t="n"/>
      <c r="F63" s="5" t="n"/>
      <c r="G63" s="5" t="n"/>
      <c r="H63" s="5" t="n"/>
    </row>
    <row r="64">
      <c r="A64" s="11" t="inlineStr">
        <is>
          <t>EV-060</t>
        </is>
      </c>
      <c r="B64" s="5" t="n"/>
      <c r="C64" s="5" t="n"/>
      <c r="D64" s="5" t="n"/>
      <c r="E64" s="5" t="n"/>
      <c r="F64" s="5" t="n"/>
      <c r="G64" s="5" t="n"/>
      <c r="H64" s="5" t="n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 ht="30" customHeight="1">
      <c r="A1" s="1" t="inlineStr">
        <is>
          <t>Sheet 9: Dashboard — Forensic Evidence Summary</t>
        </is>
      </c>
    </row>
    <row r="3">
      <c r="A3" s="6" t="inlineStr">
        <is>
          <t>KEY FORENSIC METRICS</t>
        </is>
      </c>
    </row>
    <row r="4">
      <c r="A4" s="16" t="inlineStr">
        <is>
          <t>Evidence Collection Completeness (%)</t>
        </is>
      </c>
      <c r="B4" s="13">
        <f>'Evidence Collection'!D23</f>
        <v/>
      </c>
    </row>
    <row r="5">
      <c r="A5" s="16" t="inlineStr">
        <is>
          <t>Root Cause Identification Rate (%)</t>
        </is>
      </c>
      <c r="B5" s="13">
        <f>'Forensic Analysis'!D61</f>
        <v/>
      </c>
    </row>
    <row r="6">
      <c r="A6" s="16" t="inlineStr">
        <is>
          <t>Attacker Scope Determination Rate (%)</t>
        </is>
      </c>
      <c r="B6" s="13">
        <f>'Forensic Analysis'!D62</f>
        <v/>
      </c>
    </row>
    <row r="7">
      <c r="A7" s="16" t="inlineStr">
        <is>
          <t>Time to Begin Collection</t>
        </is>
      </c>
      <c r="B7" s="13">
        <f>'Evidence Collection'!D21</f>
        <v/>
      </c>
    </row>
    <row r="8">
      <c r="A8" s="16" t="inlineStr">
        <is>
          <t>Forensic Analysts (FTE)</t>
        </is>
      </c>
      <c r="B8" s="13">
        <f>'Forensic Analysis'!D53</f>
        <v/>
      </c>
    </row>
    <row r="10">
      <c r="A10" s="6" t="inlineStr">
        <is>
          <t>EVIDENCE SOURCE COVERAGE</t>
        </is>
      </c>
    </row>
    <row r="11">
      <c r="A11" s="17" t="inlineStr">
        <is>
          <t>Endpoint Disk</t>
        </is>
      </c>
      <c r="B11" s="18">
        <f>'Evidence Collection'!D9</f>
        <v/>
      </c>
    </row>
    <row r="12">
      <c r="A12" s="17" t="inlineStr">
        <is>
          <t>Memory (RAM)</t>
        </is>
      </c>
      <c r="B12" s="18">
        <f>'Evidence Collection'!D10</f>
        <v/>
      </c>
    </row>
    <row r="13">
      <c r="A13" s="17" t="inlineStr">
        <is>
          <t>Network Traffic</t>
        </is>
      </c>
      <c r="B13" s="18">
        <f>'Evidence Collection'!D11</f>
        <v/>
      </c>
    </row>
    <row r="14">
      <c r="A14" s="17" t="inlineStr">
        <is>
          <t>System Logs</t>
        </is>
      </c>
      <c r="B14" s="18">
        <f>'Evidence Collection'!D12</f>
        <v/>
      </c>
    </row>
    <row r="15">
      <c r="A15" s="17" t="inlineStr">
        <is>
          <t>Email</t>
        </is>
      </c>
      <c r="B15" s="18">
        <f>'Evidence Collection'!D13</f>
        <v/>
      </c>
    </row>
    <row r="16">
      <c r="A16" s="17" t="inlineStr">
        <is>
          <t>Cloud Audit Logs</t>
        </is>
      </c>
      <c r="B16" s="18">
        <f>'Evidence Collection'!D14</f>
        <v/>
      </c>
    </row>
    <row r="17">
      <c r="A17" s="17" t="inlineStr">
        <is>
          <t>Mobile Device</t>
        </is>
      </c>
      <c r="B17" s="18">
        <f>'Evidence Collection'!D15</f>
        <v/>
      </c>
    </row>
    <row r="18">
      <c r="A18" s="17" t="inlineStr">
        <is>
          <t>Physical Evidence</t>
        </is>
      </c>
      <c r="B18" s="18">
        <f>'Evidence Collection'!D16</f>
        <v/>
      </c>
    </row>
    <row r="19">
      <c r="A19" s="17" t="inlineStr">
        <is>
          <t>Application Data</t>
        </is>
      </c>
      <c r="B19" s="18">
        <f>'Evidence Collection'!D17</f>
        <v/>
      </c>
    </row>
    <row r="20">
      <c r="A20" s="17" t="inlineStr">
        <is>
          <t>IoT / OT</t>
        </is>
      </c>
      <c r="B20" s="18">
        <f>'Evidence Collection'!D18</f>
        <v/>
      </c>
    </row>
    <row r="22">
      <c r="A22" s="6" t="inlineStr">
        <is>
          <t>GAP SUMMARY</t>
        </is>
      </c>
    </row>
    <row r="23">
      <c r="A23" s="16" t="inlineStr">
        <is>
          <t>Total Gaps</t>
        </is>
      </c>
      <c r="B23" s="13">
        <f>'Gap Analysis'!B4</f>
        <v/>
      </c>
    </row>
    <row r="24">
      <c r="A24" s="16" t="inlineStr">
        <is>
          <t>Critical Gaps</t>
        </is>
      </c>
      <c r="B24" s="13">
        <f>'Gap Analysis'!D4</f>
        <v/>
      </c>
    </row>
    <row r="25">
      <c r="A25" s="16" t="inlineStr">
        <is>
          <t>High Gaps</t>
        </is>
      </c>
      <c r="B25" s="13">
        <f>'Gap Analysis'!F4</f>
        <v/>
      </c>
    </row>
    <row r="26">
      <c r="A26" s="16" t="inlineStr">
        <is>
          <t>Medium Gaps</t>
        </is>
      </c>
      <c r="B26" s="13">
        <f>'Gap Analysis'!H4</f>
        <v/>
      </c>
    </row>
  </sheetData>
  <mergeCells count="4">
    <mergeCell ref="A10:C10"/>
    <mergeCell ref="A3:C3"/>
    <mergeCell ref="A1:F1"/>
    <mergeCell ref="A22:C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Sheet 10: Approval &amp; Sign-Off</t>
        </is>
      </c>
    </row>
    <row r="3">
      <c r="A3" s="6" t="inlineStr">
        <is>
          <t>ASSESSMENT SUMMARY</t>
        </is>
      </c>
    </row>
    <row r="4">
      <c r="A4" s="19" t="inlineStr">
        <is>
          <t>Assessment Document</t>
        </is>
      </c>
      <c r="B4" s="17" t="inlineStr">
        <is>
          <t>ISMS-IMP-A.5.24-28.S4 — Forensic Evidence Assessment</t>
        </is>
      </c>
      <c r="C4" s="20" t="n"/>
      <c r="D4" s="20" t="n"/>
      <c r="E4" s="21" t="n"/>
    </row>
    <row r="5">
      <c r="A5" s="19" t="inlineStr">
        <is>
          <t>Assessment Period</t>
        </is>
      </c>
      <c r="B5" s="5" t="inlineStr"/>
      <c r="C5" s="20" t="n"/>
      <c r="D5" s="20" t="n"/>
      <c r="E5" s="21" t="n"/>
    </row>
    <row r="6">
      <c r="A6" s="19" t="inlineStr">
        <is>
          <t>Evidence Collection Completeness</t>
        </is>
      </c>
      <c r="B6" s="15">
        <f>Dashboard!B4</f>
        <v/>
      </c>
      <c r="C6" s="20" t="n"/>
      <c r="D6" s="20" t="n"/>
      <c r="E6" s="21" t="n"/>
    </row>
    <row r="7">
      <c r="A7" s="19" t="inlineStr">
        <is>
          <t>Root Cause ID Rate</t>
        </is>
      </c>
      <c r="B7" s="15">
        <f>Dashboard!B5</f>
        <v/>
      </c>
      <c r="C7" s="20" t="n"/>
      <c r="D7" s="20" t="n"/>
      <c r="E7" s="21" t="n"/>
    </row>
    <row r="8">
      <c r="A8" s="19" t="inlineStr">
        <is>
          <t>Total Gaps Identified</t>
        </is>
      </c>
      <c r="B8" s="15">
        <f>Dashboard!B25</f>
        <v/>
      </c>
      <c r="C8" s="20" t="n"/>
      <c r="D8" s="20" t="n"/>
      <c r="E8" s="21" t="n"/>
    </row>
    <row r="9">
      <c r="A9" s="19" t="inlineStr">
        <is>
          <t>Critical Gaps</t>
        </is>
      </c>
      <c r="B9" s="15">
        <f>Dashboard!B26</f>
        <v/>
      </c>
      <c r="C9" s="20" t="n"/>
      <c r="D9" s="20" t="n"/>
      <c r="E9" s="21" t="n"/>
    </row>
    <row r="12">
      <c r="A12" s="22" t="inlineStr">
        <is>
          <t>COMPLETED BY (Digital Forensics Lead)</t>
        </is>
      </c>
    </row>
    <row r="13">
      <c r="A13" s="19" t="inlineStr">
        <is>
          <t>Name:</t>
        </is>
      </c>
      <c r="B13" s="5" t="n"/>
    </row>
    <row r="14">
      <c r="A14" s="19" t="inlineStr">
        <is>
          <t>Date:</t>
        </is>
      </c>
      <c r="B14" s="5" t="n"/>
    </row>
    <row r="15">
      <c r="A15" s="19" t="inlineStr">
        <is>
          <t>Signature:</t>
        </is>
      </c>
      <c r="B15" s="5" t="n"/>
    </row>
    <row r="17">
      <c r="A17" s="23" t="inlineStr">
        <is>
          <t>APPROVED BY (CISO)</t>
        </is>
      </c>
    </row>
    <row r="18">
      <c r="A18" s="19" t="inlineStr">
        <is>
          <t>Name:</t>
        </is>
      </c>
      <c r="B18" s="5" t="n"/>
    </row>
    <row r="19">
      <c r="A19" s="19" t="inlineStr">
        <is>
          <t>Date:</t>
        </is>
      </c>
      <c r="B19" s="5" t="n"/>
    </row>
    <row r="20">
      <c r="A20" s="19" t="inlineStr">
        <is>
          <t>Approval Decision:</t>
        </is>
      </c>
      <c r="B20" s="5" t="n"/>
    </row>
    <row r="21">
      <c r="A21" s="19" t="inlineStr">
        <is>
          <t>Signature:</t>
        </is>
      </c>
      <c r="B21" s="5" t="n"/>
    </row>
    <row r="23">
      <c r="A23" s="19" t="inlineStr">
        <is>
          <t>Next Review Date:</t>
        </is>
      </c>
      <c r="B23" s="5" t="n"/>
    </row>
  </sheetData>
  <mergeCells count="18">
    <mergeCell ref="B20:E20"/>
    <mergeCell ref="B23:E23"/>
    <mergeCell ref="B9:E9"/>
    <mergeCell ref="A12:E12"/>
    <mergeCell ref="B8:E8"/>
    <mergeCell ref="B18:E18"/>
    <mergeCell ref="B4:E4"/>
    <mergeCell ref="B13:E13"/>
    <mergeCell ref="B6:E6"/>
    <mergeCell ref="B21:E21"/>
    <mergeCell ref="B15:E15"/>
    <mergeCell ref="B7:E7"/>
    <mergeCell ref="A1:E1"/>
    <mergeCell ref="B5:E5"/>
    <mergeCell ref="B19:E19"/>
    <mergeCell ref="A17:E17"/>
    <mergeCell ref="B14:E1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2026-02-08T10:48:54Z</dcterms:created>
  <dcterms:modified xmlns:dcterms="http://purl.org/dc/terms/" xmlns:xsi="http://www.w3.org/2001/XMLSchema-instance" xsi:type="dcterms:W3CDTF">2026-02-08T10:48:54Z</dcterms:modified>
</cp:coreProperties>
</file>