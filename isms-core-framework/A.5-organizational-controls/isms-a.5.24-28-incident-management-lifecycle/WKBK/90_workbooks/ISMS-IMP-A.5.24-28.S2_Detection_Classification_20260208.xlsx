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Detection Mechanisms" sheetId="2" state="visible" r:id="rId2"/>
    <sheet xmlns:r="http://schemas.openxmlformats.org/officeDocument/2006/relationships" name="Alert Handling" sheetId="3" state="visible" r:id="rId3"/>
    <sheet xmlns:r="http://schemas.openxmlformats.org/officeDocument/2006/relationships" name="Classification &amp; Severity" sheetId="4" state="visible" r:id="rId4"/>
    <sheet xmlns:r="http://schemas.openxmlformats.org/officeDocument/2006/relationships" name="Detection Effectiveness" sheetId="5" state="visible" r:id="rId5"/>
    <sheet xmlns:r="http://schemas.openxmlformats.org/officeDocument/2006/relationships" name="Gap Analysis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color rgb="00FFFFFF"/>
      <sz val="12"/>
    </font>
    <font>
      <b val="1"/>
    </font>
    <font>
      <i val="1"/>
      <sz val="10"/>
    </font>
    <font>
      <name val="Calibri"/>
      <b val="1"/>
      <color rgb="00FFFFFF"/>
      <sz val="10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5" borderId="1" pivotButton="0" quotePrefix="0" xfId="0"/>
    <xf numFmtId="0" fontId="0" fillId="5" borderId="0" pivotButton="0" quotePrefix="0" xfId="0"/>
    <xf numFmtId="0" fontId="6" fillId="3" borderId="0" pivotButton="0" quotePrefix="0" xfId="0"/>
    <xf numFmtId="0" fontId="6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50" customWidth="1" min="2" max="2"/>
  </cols>
  <sheetData>
    <row r="1" ht="40" customHeight="1">
      <c r="A1" s="1" t="inlineStr">
        <is>
          <t>ISMS-IMP-A.5.24-28.S2 — Detection &amp; Classification Assessment
ISO/IEC 27001:2022 - Control A.5.25: Assessment and Decision</t>
        </is>
      </c>
    </row>
    <row r="3">
      <c r="A3" s="2" t="inlineStr">
        <is>
          <t>DOCUMENT INFORMATION</t>
        </is>
      </c>
    </row>
    <row r="4">
      <c r="A4" s="3" t="inlineStr">
        <is>
          <t>Document ID:</t>
        </is>
      </c>
      <c r="B4" s="4" t="inlineStr">
        <is>
          <t>ISMS-IMP-A.5.24-28.S2</t>
        </is>
      </c>
    </row>
    <row r="5">
      <c r="A5" s="3" t="inlineStr">
        <is>
          <t>Assessment Area:</t>
        </is>
      </c>
      <c r="B5" s="4" t="inlineStr">
        <is>
          <t>Incident Detection &amp; Classification (Domain 2)</t>
        </is>
      </c>
    </row>
    <row r="6">
      <c r="A6" s="3" t="inlineStr">
        <is>
          <t>Related Policy:</t>
        </is>
      </c>
      <c r="B6" s="4" t="inlineStr">
        <is>
          <t>ISMS-POL-A.5.24-28, Section 2.2</t>
        </is>
      </c>
    </row>
    <row r="7">
      <c r="A7" s="3" t="inlineStr">
        <is>
          <t>Version:</t>
        </is>
      </c>
      <c r="B7" s="4" t="inlineStr">
        <is>
          <t>1.0</t>
        </is>
      </c>
    </row>
    <row r="8">
      <c r="A8" s="3" t="inlineStr">
        <is>
          <t>Assessment Date:</t>
        </is>
      </c>
      <c r="B8" s="5" t="inlineStr"/>
    </row>
    <row r="9">
      <c r="A9" s="3" t="inlineStr">
        <is>
          <t>Completed By:</t>
        </is>
      </c>
      <c r="B9" s="5" t="inlineStr"/>
    </row>
    <row r="10">
      <c r="A10" s="3" t="inlineStr">
        <is>
          <t>Organization:</t>
        </is>
      </c>
      <c r="B10" s="5" t="inlineStr"/>
    </row>
    <row r="11">
      <c r="A11" s="3" t="inlineStr">
        <is>
          <t>Review Cycle:</t>
        </is>
      </c>
      <c r="B11" s="4" t="inlineStr">
        <is>
          <t>Annual</t>
        </is>
      </c>
    </row>
    <row r="14">
      <c r="A14" s="2" t="inlineStr">
        <is>
          <t>KEY METRICS DEFINITIONS</t>
        </is>
      </c>
    </row>
    <row r="15" ht="100" customHeight="1">
      <c r="A15" s="6" t="inlineStr">
        <is>
          <t>MTTD (Mean Time to Detect): Time from actual event occurrence to alert generation
MTTT (Mean Time to Triage): Time from alert generation to triage completion
False Positive Rate: (False Positives / Total Alerts) × 100
True Positive Rate: (True Positives / Total Alerts) × 100
Detection Coverage: (Categories with Detection / Total Categories) × 100
Alert-to-Incident Ratio: Total Alerts / True Positive Incidents</t>
        </is>
      </c>
    </row>
    <row r="16"/>
    <row r="17"/>
    <row r="18"/>
    <row r="19"/>
    <row r="20"/>
  </sheetData>
  <mergeCells count="4">
    <mergeCell ref="A14:G14"/>
    <mergeCell ref="A3:B3"/>
    <mergeCell ref="A15:G20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2: Detection Mechanisms</t>
        </is>
      </c>
    </row>
    <row r="2">
      <c r="A2" s="7" t="inlineStr">
        <is>
          <t>SIEM, EDR, IDS/IPS, NDR, User Reporting, Coverage by Threat Category (33 Questions)</t>
        </is>
      </c>
    </row>
    <row r="4">
      <c r="A4" s="8" t="inlineStr">
        <is>
          <t>Question_ID</t>
        </is>
      </c>
      <c r="B4" s="8" t="inlineStr">
        <is>
          <t>Section</t>
        </is>
      </c>
      <c r="C4" s="8" t="inlineStr">
        <is>
          <t>Question</t>
        </is>
      </c>
      <c r="D4" s="8" t="inlineStr">
        <is>
          <t>Answer</t>
        </is>
      </c>
      <c r="E4" s="8" t="inlineStr">
        <is>
          <t>Evidence_Reference</t>
        </is>
      </c>
      <c r="F4" s="8" t="inlineStr">
        <is>
          <t>Comments</t>
        </is>
      </c>
      <c r="G4" s="8" t="inlineStr">
        <is>
          <t>Gap_Identified</t>
        </is>
      </c>
    </row>
    <row r="5">
      <c r="A5" s="4" t="inlineStr">
        <is>
          <t>Q1</t>
        </is>
      </c>
      <c r="B5" s="4" t="inlineStr">
        <is>
          <t>SIEM</t>
        </is>
      </c>
      <c r="C5" s="9" t="inlineStr">
        <is>
          <t>What SIEM platform(s) does [Organization] use?</t>
        </is>
      </c>
      <c r="D5" s="5" t="n"/>
      <c r="E5" s="5" t="n"/>
      <c r="F5" s="5" t="n"/>
      <c r="G5" s="10">
        <f>IF(OR(D5="No", D5="Never", D5&lt;90), "Yes", "No")</f>
        <v/>
      </c>
    </row>
    <row r="6">
      <c r="A6" s="4" t="inlineStr">
        <is>
          <t>Q2</t>
        </is>
      </c>
      <c r="B6" s="4" t="inlineStr">
        <is>
          <t>SIEM</t>
        </is>
      </c>
      <c r="C6" s="9" t="inlineStr">
        <is>
          <t>How many active detection rules/alerts are configured in the SIEM?</t>
        </is>
      </c>
      <c r="D6" s="5" t="n"/>
      <c r="E6" s="5" t="n"/>
      <c r="F6" s="5" t="n"/>
      <c r="G6" s="10">
        <f>IF(OR(D6="No", D6="Never", D6&lt;90), "Yes", "No")</f>
        <v/>
      </c>
    </row>
    <row r="7">
      <c r="A7" s="4" t="inlineStr">
        <is>
          <t>Q3</t>
        </is>
      </c>
      <c r="B7" s="4" t="inlineStr">
        <is>
          <t>SIEM</t>
        </is>
      </c>
      <c r="C7" s="9" t="inlineStr">
        <is>
          <t>Which threat categories have SIEM detection rules?</t>
        </is>
      </c>
      <c r="D7" s="5" t="n"/>
      <c r="E7" s="5" t="n"/>
      <c r="F7" s="5" t="n"/>
      <c r="G7" s="10">
        <f>IF(OR(D7="No", D7="Never", D7&lt;90), "Yes", "No")</f>
        <v/>
      </c>
    </row>
    <row r="8">
      <c r="A8" s="4" t="inlineStr">
        <is>
          <t>Q4</t>
        </is>
      </c>
      <c r="B8" s="4" t="inlineStr">
        <is>
          <t>SIEM</t>
        </is>
      </c>
      <c r="C8" s="9" t="inlineStr">
        <is>
          <t>How often are SIEM rules tuned to reduce false positives?</t>
        </is>
      </c>
      <c r="D8" s="5" t="n"/>
      <c r="E8" s="5" t="n"/>
      <c r="F8" s="5" t="n"/>
      <c r="G8" s="10">
        <f>IF(OR(D8="No", D8="Never", D8&lt;90), "Yes", "No")</f>
        <v/>
      </c>
    </row>
    <row r="9">
      <c r="A9" s="4" t="inlineStr">
        <is>
          <t>Q5</t>
        </is>
      </c>
      <c r="B9" s="4" t="inlineStr">
        <is>
          <t>SIEM</t>
        </is>
      </c>
      <c r="C9" s="9" t="inlineStr">
        <is>
          <t>What percentage of SIEM rules are custom-developed (vs. vendor-provided)?</t>
        </is>
      </c>
      <c r="D9" s="5" t="n"/>
      <c r="E9" s="5" t="n"/>
      <c r="F9" s="5" t="n"/>
      <c r="G9" s="10">
        <f>IF(OR(D9="No", D9="Never", D9&lt;90), "Yes", "No")</f>
        <v/>
      </c>
    </row>
    <row r="10">
      <c r="A10" s="4" t="inlineStr">
        <is>
          <t>Q6</t>
        </is>
      </c>
      <c r="B10" s="4" t="inlineStr">
        <is>
          <t>SIEM</t>
        </is>
      </c>
      <c r="C10" s="9" t="inlineStr">
        <is>
          <t>Is threat intelligence integrated into SIEM for automated alerting?</t>
        </is>
      </c>
      <c r="D10" s="5" t="n"/>
      <c r="E10" s="5" t="n"/>
      <c r="F10" s="5" t="n"/>
      <c r="G10" s="10">
        <f>IF(OR(D10="No", D10="Never", D10&lt;90), "Yes", "No")</f>
        <v/>
      </c>
    </row>
    <row r="11">
      <c r="A11" s="4" t="inlineStr">
        <is>
          <t>Q7</t>
        </is>
      </c>
      <c r="B11" s="4" t="inlineStr">
        <is>
          <t>SIEM</t>
        </is>
      </c>
      <c r="C11" s="9" t="inlineStr">
        <is>
          <t>What is the average daily SIEM alert volume?</t>
        </is>
      </c>
      <c r="D11" s="5" t="n"/>
      <c r="E11" s="5" t="n"/>
      <c r="F11" s="5" t="n"/>
      <c r="G11" s="10">
        <f>IF(OR(D11="No", D11="Never", D11&lt;90), "Yes", "No")</f>
        <v/>
      </c>
    </row>
    <row r="12">
      <c r="A12" s="4" t="inlineStr">
        <is>
          <t>Q8</t>
        </is>
      </c>
      <c r="B12" s="4" t="inlineStr">
        <is>
          <t>SIEM</t>
        </is>
      </c>
      <c r="C12" s="9" t="inlineStr">
        <is>
          <t>How many log sources feed the SIEM?</t>
        </is>
      </c>
      <c r="D12" s="5" t="n"/>
      <c r="E12" s="5" t="n"/>
      <c r="F12" s="5" t="n"/>
      <c r="G12" s="10">
        <f>IF(OR(D12="No", D12="Never", D12&lt;90), "Yes", "No")</f>
        <v/>
      </c>
    </row>
    <row r="13">
      <c r="A13" s="4" t="inlineStr">
        <is>
          <t>Q9</t>
        </is>
      </c>
      <c r="B13" s="4" t="inlineStr">
        <is>
          <t>EDR</t>
        </is>
      </c>
      <c r="C13" s="9" t="inlineStr">
        <is>
          <t>Is EDR or XDR deployed?</t>
        </is>
      </c>
      <c r="D13" s="5" t="n"/>
      <c r="E13" s="5" t="n"/>
      <c r="F13" s="5" t="n"/>
      <c r="G13" s="10">
        <f>IF(OR(D13="No", D13="Never", D13&lt;90), "Yes", "No")</f>
        <v/>
      </c>
    </row>
    <row r="14">
      <c r="A14" s="4" t="inlineStr">
        <is>
          <t>Q10</t>
        </is>
      </c>
      <c r="B14" s="4" t="inlineStr">
        <is>
          <t>EDR</t>
        </is>
      </c>
      <c r="C14" s="9" t="inlineStr">
        <is>
          <t>What percentage of endpoints have EDR agent deployed?</t>
        </is>
      </c>
      <c r="D14" s="5" t="n"/>
      <c r="E14" s="5" t="n"/>
      <c r="F14" s="5" t="n"/>
      <c r="G14" s="10">
        <f>IF(OR(D14="No", D14="Never", D14&lt;90), "Yes", "No")</f>
        <v/>
      </c>
    </row>
    <row r="15">
      <c r="A15" s="4" t="inlineStr">
        <is>
          <t>Q11</t>
        </is>
      </c>
      <c r="B15" s="4" t="inlineStr">
        <is>
          <t>EDR</t>
        </is>
      </c>
      <c r="C15" s="9" t="inlineStr">
        <is>
          <t>What types of EDR alerts are enabled?</t>
        </is>
      </c>
      <c r="D15" s="5" t="n"/>
      <c r="E15" s="5" t="n"/>
      <c r="F15" s="5" t="n"/>
      <c r="G15" s="10">
        <f>IF(OR(D15="No", D15="Never", D15&lt;90), "Yes", "No")</f>
        <v/>
      </c>
    </row>
    <row r="16">
      <c r="A16" s="4" t="inlineStr">
        <is>
          <t>Q12</t>
        </is>
      </c>
      <c r="B16" s="4" t="inlineStr">
        <is>
          <t>EDR</t>
        </is>
      </c>
      <c r="C16" s="9" t="inlineStr">
        <is>
          <t>Does EDR support automated response actions?</t>
        </is>
      </c>
      <c r="D16" s="5" t="n"/>
      <c r="E16" s="5" t="n"/>
      <c r="F16" s="5" t="n"/>
      <c r="G16" s="10">
        <f>IF(OR(D16="No", D16="Never", D16&lt;90), "Yes", "No")</f>
        <v/>
      </c>
    </row>
    <row r="17">
      <c r="A17" s="4" t="inlineStr">
        <is>
          <t>Q13</t>
        </is>
      </c>
      <c r="B17" s="4" t="inlineStr">
        <is>
          <t>EDR</t>
        </is>
      </c>
      <c r="C17" s="9" t="inlineStr">
        <is>
          <t>How long does EDR retain forensic data?</t>
        </is>
      </c>
      <c r="D17" s="5" t="n"/>
      <c r="E17" s="5" t="n"/>
      <c r="F17" s="5" t="n"/>
      <c r="G17" s="10">
        <f>IF(OR(D17="No", D17="Never", D17&lt;90), "Yes", "No")</f>
        <v/>
      </c>
    </row>
    <row r="18">
      <c r="A18" s="4" t="inlineStr">
        <is>
          <t>Q14</t>
        </is>
      </c>
      <c r="B18" s="4" t="inlineStr">
        <is>
          <t>Network Detection</t>
        </is>
      </c>
      <c r="C18" s="9" t="inlineStr">
        <is>
          <t>Is IDS/IPS deployed?</t>
        </is>
      </c>
      <c r="D18" s="5" t="n"/>
      <c r="E18" s="5" t="n"/>
      <c r="F18" s="5" t="n"/>
      <c r="G18" s="10">
        <f>IF(OR(D18="No", D18="Never", D18&lt;90), "Yes", "No")</f>
        <v/>
      </c>
    </row>
    <row r="19">
      <c r="A19" s="4" t="inlineStr">
        <is>
          <t>Q15</t>
        </is>
      </c>
      <c r="B19" s="4" t="inlineStr">
        <is>
          <t>Network Detection</t>
        </is>
      </c>
      <c r="C19" s="9" t="inlineStr">
        <is>
          <t>Where is IDS/IPS deployed?</t>
        </is>
      </c>
      <c r="D19" s="5" t="n"/>
      <c r="E19" s="5" t="n"/>
      <c r="F19" s="5" t="n"/>
      <c r="G19" s="10">
        <f>IF(OR(D19="No", D19="Never", D19&lt;90), "Yes", "No")</f>
        <v/>
      </c>
    </row>
    <row r="20">
      <c r="A20" s="4" t="inlineStr">
        <is>
          <t>Q16</t>
        </is>
      </c>
      <c r="B20" s="4" t="inlineStr">
        <is>
          <t>Network Detection</t>
        </is>
      </c>
      <c r="C20" s="9" t="inlineStr">
        <is>
          <t>How frequently are IDS/IPS signatures updated?</t>
        </is>
      </c>
      <c r="D20" s="5" t="n"/>
      <c r="E20" s="5" t="n"/>
      <c r="F20" s="5" t="n"/>
      <c r="G20" s="10">
        <f>IF(OR(D20="No", D20="Never", D20&lt;90), "Yes", "No")</f>
        <v/>
      </c>
    </row>
    <row r="21">
      <c r="A21" s="4" t="inlineStr">
        <is>
          <t>Q17</t>
        </is>
      </c>
      <c r="B21" s="4" t="inlineStr">
        <is>
          <t>Network Detection</t>
        </is>
      </c>
      <c r="C21" s="9" t="inlineStr">
        <is>
          <t>Is NDR/NTA deployed?</t>
        </is>
      </c>
      <c r="D21" s="5" t="n"/>
      <c r="E21" s="5" t="n"/>
      <c r="F21" s="5" t="n"/>
      <c r="G21" s="10">
        <f>IF(OR(D21="No", D21="Never", D21&lt;90), "Yes", "No")</f>
        <v/>
      </c>
    </row>
    <row r="22">
      <c r="A22" s="4" t="inlineStr">
        <is>
          <t>Q18</t>
        </is>
      </c>
      <c r="B22" s="4" t="inlineStr">
        <is>
          <t>Other Detection</t>
        </is>
      </c>
      <c r="C22" s="9" t="inlineStr">
        <is>
          <t>Is there a user reporting mechanism (A.6.8)?</t>
        </is>
      </c>
      <c r="D22" s="5" t="n"/>
      <c r="E22" s="5" t="n"/>
      <c r="F22" s="5" t="n"/>
      <c r="G22" s="10">
        <f>IF(OR(D22="No", D22="Never", D22&lt;90), "Yes", "No")</f>
        <v/>
      </c>
    </row>
    <row r="23">
      <c r="A23" s="4" t="inlineStr">
        <is>
          <t>Q19</t>
        </is>
      </c>
      <c r="B23" s="4" t="inlineStr">
        <is>
          <t>Other Detection</t>
        </is>
      </c>
      <c r="C23" s="9" t="inlineStr">
        <is>
          <t>Average monthly user-reported events?</t>
        </is>
      </c>
      <c r="D23" s="5" t="n"/>
      <c r="E23" s="5" t="n"/>
      <c r="F23" s="5" t="n"/>
      <c r="G23" s="10">
        <f>IF(OR(D23="No", D23="Never", D23&lt;90), "Yes", "No")</f>
        <v/>
      </c>
    </row>
    <row r="24">
      <c r="A24" s="4" t="inlineStr">
        <is>
          <t>Q20</t>
        </is>
      </c>
      <c r="B24" s="4" t="inlineStr">
        <is>
          <t>Other Detection</t>
        </is>
      </c>
      <c r="C24" s="9" t="inlineStr">
        <is>
          <t>Does DLP generate security alerts?</t>
        </is>
      </c>
      <c r="D24" s="5" t="n"/>
      <c r="E24" s="5" t="n"/>
      <c r="F24" s="5" t="n"/>
      <c r="G24" s="10">
        <f>IF(OR(D24="No", D24="Never", D24&lt;90), "Yes", "No")</f>
        <v/>
      </c>
    </row>
    <row r="25">
      <c r="A25" s="4" t="inlineStr">
        <is>
          <t>Q21</t>
        </is>
      </c>
      <c r="B25" s="4" t="inlineStr">
        <is>
          <t>Other Detection</t>
        </is>
      </c>
      <c r="C25" s="9" t="inlineStr">
        <is>
          <t>Does CASB generate security alerts?</t>
        </is>
      </c>
      <c r="D25" s="5" t="n"/>
      <c r="E25" s="5" t="n"/>
      <c r="F25" s="5" t="n"/>
      <c r="G25" s="10">
        <f>IF(OR(D25="No", D25="Never", D25&lt;90), "Yes", "No")</f>
        <v/>
      </c>
    </row>
    <row r="26">
      <c r="A26" s="4" t="inlineStr">
        <is>
          <t>Q22</t>
        </is>
      </c>
      <c r="B26" s="4" t="inlineStr">
        <is>
          <t>Other Detection</t>
        </is>
      </c>
      <c r="C26" s="9" t="inlineStr">
        <is>
          <t>Are honeypots/deception deployed?</t>
        </is>
      </c>
      <c r="D26" s="5" t="n"/>
      <c r="E26" s="5" t="n"/>
      <c r="F26" s="5" t="n"/>
      <c r="G26" s="10">
        <f>IF(OR(D26="No", D26="Never", D26&lt;90), "Yes", "No")</f>
        <v/>
      </c>
    </row>
    <row r="27">
      <c r="A27" s="4" t="inlineStr">
        <is>
          <t>Q23</t>
        </is>
      </c>
      <c r="B27" s="4" t="inlineStr">
        <is>
          <t>Coverage</t>
        </is>
      </c>
      <c r="C27" s="9" t="inlineStr">
        <is>
          <t>Category 1: Malware Detection</t>
        </is>
      </c>
      <c r="D27" s="5" t="n"/>
      <c r="E27" s="5" t="n"/>
      <c r="F27" s="5" t="n"/>
      <c r="G27" s="10">
        <f>IF(OR(D27="No", D27="Never", D27&lt;90), "Yes", "No")</f>
        <v/>
      </c>
    </row>
    <row r="28">
      <c r="A28" s="4" t="inlineStr">
        <is>
          <t>Q24</t>
        </is>
      </c>
      <c r="B28" s="4" t="inlineStr">
        <is>
          <t>Coverage</t>
        </is>
      </c>
      <c r="C28" s="9" t="inlineStr">
        <is>
          <t>Category 2: Unauthorized Access Detection</t>
        </is>
      </c>
      <c r="D28" s="5" t="n"/>
      <c r="E28" s="5" t="n"/>
      <c r="F28" s="5" t="n"/>
      <c r="G28" s="10">
        <f>IF(OR(D28="No", D28="Never", D28&lt;90), "Yes", "No")</f>
        <v/>
      </c>
    </row>
    <row r="29">
      <c r="A29" s="4" t="inlineStr">
        <is>
          <t>Q25</t>
        </is>
      </c>
      <c r="B29" s="4" t="inlineStr">
        <is>
          <t>Coverage</t>
        </is>
      </c>
      <c r="C29" s="9" t="inlineStr">
        <is>
          <t>Category 3: Data Breach Detection</t>
        </is>
      </c>
      <c r="D29" s="5" t="n"/>
      <c r="E29" s="5" t="n"/>
      <c r="F29" s="5" t="n"/>
      <c r="G29" s="10">
        <f>IF(OR(D29="No", D29="Never", D29&lt;90), "Yes", "No")</f>
        <v/>
      </c>
    </row>
    <row r="30">
      <c r="A30" s="4" t="inlineStr">
        <is>
          <t>Q26</t>
        </is>
      </c>
      <c r="B30" s="4" t="inlineStr">
        <is>
          <t>Coverage</t>
        </is>
      </c>
      <c r="C30" s="9" t="inlineStr">
        <is>
          <t>Category 4: DoS Detection</t>
        </is>
      </c>
      <c r="D30" s="5" t="n"/>
      <c r="E30" s="5" t="n"/>
      <c r="F30" s="5" t="n"/>
      <c r="G30" s="10">
        <f>IF(OR(D30="No", D30="Never", D30&lt;90), "Yes", "No")</f>
        <v/>
      </c>
    </row>
    <row r="31">
      <c r="A31" s="4" t="inlineStr">
        <is>
          <t>Q27</t>
        </is>
      </c>
      <c r="B31" s="4" t="inlineStr">
        <is>
          <t>Coverage</t>
        </is>
      </c>
      <c r="C31" s="9" t="inlineStr">
        <is>
          <t>Category 5: Social Engineering Detection</t>
        </is>
      </c>
      <c r="D31" s="5" t="n"/>
      <c r="E31" s="5" t="n"/>
      <c r="F31" s="5" t="n"/>
      <c r="G31" s="10">
        <f>IF(OR(D31="No", D31="Never", D31&lt;90), "Yes", "No")</f>
        <v/>
      </c>
    </row>
    <row r="32">
      <c r="A32" s="4" t="inlineStr">
        <is>
          <t>Q28</t>
        </is>
      </c>
      <c r="B32" s="4" t="inlineStr">
        <is>
          <t>Coverage</t>
        </is>
      </c>
      <c r="C32" s="9" t="inlineStr">
        <is>
          <t>Category 6: Web Attack Detection</t>
        </is>
      </c>
      <c r="D32" s="5" t="n"/>
      <c r="E32" s="5" t="n"/>
      <c r="F32" s="5" t="n"/>
      <c r="G32" s="10">
        <f>IF(OR(D32="No", D32="Never", D32&lt;90), "Yes", "No")</f>
        <v/>
      </c>
    </row>
    <row r="33">
      <c r="A33" s="4" t="inlineStr">
        <is>
          <t>Q29</t>
        </is>
      </c>
      <c r="B33" s="4" t="inlineStr">
        <is>
          <t>Coverage</t>
        </is>
      </c>
      <c r="C33" s="9" t="inlineStr">
        <is>
          <t>Category 7: Network Attack Detection</t>
        </is>
      </c>
      <c r="D33" s="5" t="n"/>
      <c r="E33" s="5" t="n"/>
      <c r="F33" s="5" t="n"/>
      <c r="G33" s="10">
        <f>IF(OR(D33="No", D33="Never", D33&lt;90), "Yes", "No")</f>
        <v/>
      </c>
    </row>
    <row r="34">
      <c r="A34" s="4" t="inlineStr">
        <is>
          <t>Q30</t>
        </is>
      </c>
      <c r="B34" s="4" t="inlineStr">
        <is>
          <t>Coverage</t>
        </is>
      </c>
      <c r="C34" s="9" t="inlineStr">
        <is>
          <t>Category 8: Endpoint Compromise Detection</t>
        </is>
      </c>
      <c r="D34" s="5" t="n"/>
      <c r="E34" s="5" t="n"/>
      <c r="F34" s="5" t="n"/>
      <c r="G34" s="10">
        <f>IF(OR(D34="No", D34="Never", D34&lt;90), "Yes", "No")</f>
        <v/>
      </c>
    </row>
    <row r="35">
      <c r="A35" s="4" t="inlineStr">
        <is>
          <t>Q31</t>
        </is>
      </c>
      <c r="B35" s="4" t="inlineStr">
        <is>
          <t>Coverage</t>
        </is>
      </c>
      <c r="C35" s="9" t="inlineStr">
        <is>
          <t>Category 9: Physical Security Detection</t>
        </is>
      </c>
      <c r="D35" s="5" t="n"/>
      <c r="E35" s="5" t="n"/>
      <c r="F35" s="5" t="n"/>
      <c r="G35" s="10">
        <f>IF(OR(D35="No", D35="Never", D35&lt;90), "Yes", "No")</f>
        <v/>
      </c>
    </row>
    <row r="36">
      <c r="A36" s="4" t="inlineStr">
        <is>
          <t>Q32</t>
        </is>
      </c>
      <c r="B36" s="4" t="inlineStr">
        <is>
          <t>Coverage</t>
        </is>
      </c>
      <c r="C36" s="9" t="inlineStr">
        <is>
          <t>Category 10: Config/Patch Detection</t>
        </is>
      </c>
      <c r="D36" s="5" t="n"/>
      <c r="E36" s="5" t="n"/>
      <c r="F36" s="5" t="n"/>
      <c r="G36" s="10">
        <f>IF(OR(D36="No", D36="Never", D36&lt;90), "Yes", "No")</f>
        <v/>
      </c>
    </row>
    <row r="37">
      <c r="A37" s="4" t="inlineStr">
        <is>
          <t>Q33</t>
        </is>
      </c>
      <c r="B37" s="4" t="inlineStr">
        <is>
          <t>Coverage</t>
        </is>
      </c>
      <c r="C37" s="9" t="inlineStr">
        <is>
          <t>Category 11: Other Detection</t>
        </is>
      </c>
      <c r="D37" s="5" t="n"/>
      <c r="E37" s="5" t="n"/>
      <c r="F37" s="5" t="n"/>
      <c r="G37" s="10">
        <f>IF(OR(D37="No", D37="Never", D37&lt;90),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3: Alert Handling</t>
        </is>
      </c>
    </row>
    <row r="2">
      <c r="A2" s="7" t="inlineStr">
        <is>
          <t>Triage, Investigation, Escalation, Analyst Capacity (25 Questions)</t>
        </is>
      </c>
    </row>
    <row r="4">
      <c r="A4" s="8" t="inlineStr">
        <is>
          <t>Question_ID</t>
        </is>
      </c>
      <c r="B4" s="8" t="inlineStr">
        <is>
          <t>Section</t>
        </is>
      </c>
      <c r="C4" s="8" t="inlineStr">
        <is>
          <t>Question</t>
        </is>
      </c>
      <c r="D4" s="8" t="inlineStr">
        <is>
          <t>Answer</t>
        </is>
      </c>
      <c r="E4" s="8" t="inlineStr">
        <is>
          <t>Evidence_Reference</t>
        </is>
      </c>
      <c r="F4" s="8" t="inlineStr">
        <is>
          <t>Comments</t>
        </is>
      </c>
      <c r="G4" s="8" t="inlineStr">
        <is>
          <t>Gap_Identified</t>
        </is>
      </c>
    </row>
    <row r="5">
      <c r="A5" s="4" t="inlineStr">
        <is>
          <t>Q34</t>
        </is>
      </c>
      <c r="B5" s="4" t="inlineStr">
        <is>
          <t>Triage</t>
        </is>
      </c>
      <c r="C5" s="9" t="inlineStr">
        <is>
          <t>Are alert triage procedures documented?</t>
        </is>
      </c>
      <c r="D5" s="5" t="n"/>
      <c r="E5" s="5" t="n"/>
      <c r="F5" s="5" t="n"/>
      <c r="G5" s="10">
        <f>IF(OR(D5="No", D5="Informal", D5&lt;80), "Yes", "No")</f>
        <v/>
      </c>
    </row>
    <row r="6">
      <c r="A6" s="4" t="inlineStr">
        <is>
          <t>Q35</t>
        </is>
      </c>
      <c r="B6" s="4" t="inlineStr">
        <is>
          <t>Triage</t>
        </is>
      </c>
      <c r="C6" s="9" t="inlineStr">
        <is>
          <t>Are triage time SLAs defined for each severity?</t>
        </is>
      </c>
      <c r="D6" s="5" t="n"/>
      <c r="E6" s="5" t="n"/>
      <c r="F6" s="5" t="n"/>
      <c r="G6" s="10">
        <f>IF(OR(D6="No", D6="Informal", D6&lt;80), "Yes", "No")</f>
        <v/>
      </c>
    </row>
    <row r="7">
      <c r="A7" s="4" t="inlineStr">
        <is>
          <t>Q36</t>
        </is>
      </c>
      <c r="B7" s="4" t="inlineStr">
        <is>
          <t>Triage</t>
        </is>
      </c>
      <c r="C7" s="9" t="inlineStr">
        <is>
          <t>Percentage of alerts triaged within SLA? (90 days)</t>
        </is>
      </c>
      <c r="D7" s="5" t="n"/>
      <c r="E7" s="5" t="n"/>
      <c r="F7" s="5" t="n"/>
      <c r="G7" s="10">
        <f>IF(OR(D7="No", D7="Informal", D7&lt;80), "Yes", "No")</f>
        <v/>
      </c>
    </row>
    <row r="8">
      <c r="A8" s="4" t="inlineStr">
        <is>
          <t>Q37</t>
        </is>
      </c>
      <c r="B8" s="4" t="inlineStr">
        <is>
          <t>Triage</t>
        </is>
      </c>
      <c r="C8" s="9" t="inlineStr">
        <is>
          <t>How are alerts prioritized in queue?</t>
        </is>
      </c>
      <c r="D8" s="5" t="n"/>
      <c r="E8" s="5" t="n"/>
      <c r="F8" s="5" t="n"/>
      <c r="G8" s="10">
        <f>IF(OR(D8="No", D8="Informal", D8&lt;80), "Yes", "No")</f>
        <v/>
      </c>
    </row>
    <row r="9">
      <c r="A9" s="4" t="inlineStr">
        <is>
          <t>Q38</t>
        </is>
      </c>
      <c r="B9" s="4" t="inlineStr">
        <is>
          <t>Triage</t>
        </is>
      </c>
      <c r="C9" s="9" t="inlineStr">
        <is>
          <t>Documented shift handoff process?</t>
        </is>
      </c>
      <c r="D9" s="5" t="n"/>
      <c r="E9" s="5" t="n"/>
      <c r="F9" s="5" t="n"/>
      <c r="G9" s="10">
        <f>IF(OR(D9="No", D9="Informal", D9&lt;80), "Yes", "No")</f>
        <v/>
      </c>
    </row>
    <row r="10">
      <c r="A10" s="4" t="inlineStr">
        <is>
          <t>Q39</t>
        </is>
      </c>
      <c r="B10" s="4" t="inlineStr">
        <is>
          <t>Triage</t>
        </is>
      </c>
      <c r="C10" s="9" t="inlineStr">
        <is>
          <t>Do analysts receive triage training?</t>
        </is>
      </c>
      <c r="D10" s="5" t="n"/>
      <c r="E10" s="5" t="n"/>
      <c r="F10" s="5" t="n"/>
      <c r="G10" s="10">
        <f>IF(OR(D10="No", D10="Informal", D10&lt;80), "Yes", "No")</f>
        <v/>
      </c>
    </row>
    <row r="11">
      <c r="A11" s="4" t="inlineStr">
        <is>
          <t>Q40</t>
        </is>
      </c>
      <c r="B11" s="4" t="inlineStr">
        <is>
          <t>Triage</t>
        </is>
      </c>
      <c r="C11" s="9" t="inlineStr">
        <is>
          <t>What tools for alert triage?</t>
        </is>
      </c>
      <c r="D11" s="5" t="n"/>
      <c r="E11" s="5" t="n"/>
      <c r="F11" s="5" t="n"/>
      <c r="G11" s="10">
        <f>IF(OR(D11="No", D11="Informal", D11&lt;80), "Yes", "No")</f>
        <v/>
      </c>
    </row>
    <row r="12">
      <c r="A12" s="4" t="inlineStr">
        <is>
          <t>Q41</t>
        </is>
      </c>
      <c r="B12" s="4" t="inlineStr">
        <is>
          <t>Playbooks</t>
        </is>
      </c>
      <c r="C12" s="9" t="inlineStr">
        <is>
          <t>Are investigation playbooks documented?</t>
        </is>
      </c>
      <c r="D12" s="5" t="n"/>
      <c r="E12" s="5" t="n"/>
      <c r="F12" s="5" t="n"/>
      <c r="G12" s="10">
        <f>IF(OR(D12="No", D12="Informal", D12&lt;80), "Yes", "No")</f>
        <v/>
      </c>
    </row>
    <row r="13">
      <c r="A13" s="4" t="inlineStr">
        <is>
          <t>Q42</t>
        </is>
      </c>
      <c r="B13" s="4" t="inlineStr">
        <is>
          <t>Playbooks</t>
        </is>
      </c>
      <c r="C13" s="9" t="inlineStr">
        <is>
          <t>Which categories have playbooks?</t>
        </is>
      </c>
      <c r="D13" s="5" t="n"/>
      <c r="E13" s="5" t="n"/>
      <c r="F13" s="5" t="n"/>
      <c r="G13" s="10">
        <f>IF(OR(D13="No", D13="Informal", D13&lt;80), "Yes", "No")</f>
        <v/>
      </c>
    </row>
    <row r="14">
      <c r="A14" s="4" t="inlineStr">
        <is>
          <t>Q43</t>
        </is>
      </c>
      <c r="B14" s="4" t="inlineStr">
        <is>
          <t>Playbooks</t>
        </is>
      </c>
      <c r="C14" s="9" t="inlineStr">
        <is>
          <t>Playbook format?</t>
        </is>
      </c>
      <c r="D14" s="5" t="n"/>
      <c r="E14" s="5" t="n"/>
      <c r="F14" s="5" t="n"/>
      <c r="G14" s="10">
        <f>IF(OR(D14="No", D14="Informal", D14&lt;80), "Yes", "No")</f>
        <v/>
      </c>
    </row>
    <row r="15">
      <c r="A15" s="4" t="inlineStr">
        <is>
          <t>Q44</t>
        </is>
      </c>
      <c r="B15" s="4" t="inlineStr">
        <is>
          <t>Playbooks</t>
        </is>
      </c>
      <c r="C15" s="9" t="inlineStr">
        <is>
          <t>Playbook update frequency?</t>
        </is>
      </c>
      <c r="D15" s="5" t="n"/>
      <c r="E15" s="5" t="n"/>
      <c r="F15" s="5" t="n"/>
      <c r="G15" s="10">
        <f>IF(OR(D15="No", D15="Informal", D15&lt;80), "Yes", "No")</f>
        <v/>
      </c>
    </row>
    <row r="16">
      <c r="A16" s="4" t="inlineStr">
        <is>
          <t>Q45</t>
        </is>
      </c>
      <c r="B16" s="4" t="inlineStr">
        <is>
          <t>Playbooks</t>
        </is>
      </c>
      <c r="C16" s="9" t="inlineStr">
        <is>
          <t>Playbook: Malware/Ransomware</t>
        </is>
      </c>
      <c r="D16" s="5" t="n"/>
      <c r="E16" s="5" t="n"/>
      <c r="F16" s="5" t="n"/>
      <c r="G16" s="10">
        <f>IF(OR(D16="No", D16="Informal", D16&lt;80), "Yes", "No")</f>
        <v/>
      </c>
    </row>
    <row r="17">
      <c r="A17" s="4" t="inlineStr">
        <is>
          <t>Q46</t>
        </is>
      </c>
      <c r="B17" s="4" t="inlineStr">
        <is>
          <t>Playbooks</t>
        </is>
      </c>
      <c r="C17" s="9" t="inlineStr">
        <is>
          <t>Playbook: Phishing/BEC</t>
        </is>
      </c>
      <c r="D17" s="5" t="n"/>
      <c r="E17" s="5" t="n"/>
      <c r="F17" s="5" t="n"/>
      <c r="G17" s="10">
        <f>IF(OR(D17="No", D17="Informal", D17&lt;80), "Yes", "No")</f>
        <v/>
      </c>
    </row>
    <row r="18">
      <c r="A18" s="4" t="inlineStr">
        <is>
          <t>Q47</t>
        </is>
      </c>
      <c r="B18" s="4" t="inlineStr">
        <is>
          <t>Playbooks</t>
        </is>
      </c>
      <c r="C18" s="9" t="inlineStr">
        <is>
          <t>Playbook: Unauthorized Access</t>
        </is>
      </c>
      <c r="D18" s="5" t="n"/>
      <c r="E18" s="5" t="n"/>
      <c r="F18" s="5" t="n"/>
      <c r="G18" s="10">
        <f>IF(OR(D18="No", D18="Informal", D18&lt;80), "Yes", "No")</f>
        <v/>
      </c>
    </row>
    <row r="19">
      <c r="A19" s="4" t="inlineStr">
        <is>
          <t>Q48</t>
        </is>
      </c>
      <c r="B19" s="4" t="inlineStr">
        <is>
          <t>Playbooks</t>
        </is>
      </c>
      <c r="C19" s="9" t="inlineStr">
        <is>
          <t>Playbook: Data Exfiltration</t>
        </is>
      </c>
      <c r="D19" s="5" t="n"/>
      <c r="E19" s="5" t="n"/>
      <c r="F19" s="5" t="n"/>
      <c r="G19" s="10">
        <f>IF(OR(D19="No", D19="Informal", D19&lt;80), "Yes", "No")</f>
        <v/>
      </c>
    </row>
    <row r="20">
      <c r="A20" s="4" t="inlineStr">
        <is>
          <t>Q49</t>
        </is>
      </c>
      <c r="B20" s="4" t="inlineStr">
        <is>
          <t>Escalation</t>
        </is>
      </c>
      <c r="C20" s="9" t="inlineStr">
        <is>
          <t>Escalation criteria clearly defined?</t>
        </is>
      </c>
      <c r="D20" s="5" t="n"/>
      <c r="E20" s="5" t="n"/>
      <c r="F20" s="5" t="n"/>
      <c r="G20" s="10">
        <f>IF(OR(D20="No", D20="Informal", D20&lt;80), "Yes", "No")</f>
        <v/>
      </c>
    </row>
    <row r="21">
      <c r="A21" s="4" t="inlineStr">
        <is>
          <t>Q50</t>
        </is>
      </c>
      <c r="B21" s="4" t="inlineStr">
        <is>
          <t>Escalation</t>
        </is>
      </c>
      <c r="C21" s="9" t="inlineStr">
        <is>
          <t>How are incidents escalated SOC → CSIRT?</t>
        </is>
      </c>
      <c r="D21" s="5" t="n"/>
      <c r="E21" s="5" t="n"/>
      <c r="F21" s="5" t="n"/>
      <c r="G21" s="10">
        <f>IF(OR(D21="No", D21="Informal", D21&lt;80), "Yes", "No")</f>
        <v/>
      </c>
    </row>
    <row r="22">
      <c r="A22" s="4" t="inlineStr">
        <is>
          <t>Q51</t>
        </is>
      </c>
      <c r="B22" s="4" t="inlineStr">
        <is>
          <t>Escalation</t>
        </is>
      </c>
      <c r="C22" s="9" t="inlineStr">
        <is>
          <t>Handoff checklist for CSIRT escalation?</t>
        </is>
      </c>
      <c r="D22" s="5" t="n"/>
      <c r="E22" s="5" t="n"/>
      <c r="F22" s="5" t="n"/>
      <c r="G22" s="10">
        <f>IF(OR(D22="No", D22="Informal", D22&lt;80), "Yes", "No")</f>
        <v/>
      </c>
    </row>
    <row r="23">
      <c r="A23" s="4" t="inlineStr">
        <is>
          <t>Q52</t>
        </is>
      </c>
      <c r="B23" s="4" t="inlineStr">
        <is>
          <t>Escalation</t>
        </is>
      </c>
      <c r="C23" s="9" t="inlineStr">
        <is>
          <t>False positive handling process?</t>
        </is>
      </c>
      <c r="D23" s="5" t="n"/>
      <c r="E23" s="5" t="n"/>
      <c r="F23" s="5" t="n"/>
      <c r="G23" s="10">
        <f>IF(OR(D23="No", D23="Informal", D23&lt;80), "Yes", "No")</f>
        <v/>
      </c>
    </row>
    <row r="24">
      <c r="A24" s="4" t="inlineStr">
        <is>
          <t>Q53</t>
        </is>
      </c>
      <c r="B24" s="4" t="inlineStr">
        <is>
          <t>Escalation</t>
        </is>
      </c>
      <c r="C24" s="9" t="inlineStr">
        <is>
          <t>Feedback loop: FP → tuning?</t>
        </is>
      </c>
      <c r="D24" s="5" t="n"/>
      <c r="E24" s="5" t="n"/>
      <c r="F24" s="5" t="n"/>
      <c r="G24" s="10">
        <f>IF(OR(D24="No", D24="Informal", D24&lt;80), "Yes", "No")</f>
        <v/>
      </c>
    </row>
    <row r="25">
      <c r="A25" s="4" t="inlineStr">
        <is>
          <t>Q54</t>
        </is>
      </c>
      <c r="B25" s="4" t="inlineStr">
        <is>
          <t>Capacity</t>
        </is>
      </c>
      <c r="C25" s="9" t="inlineStr">
        <is>
          <t>SOC analyst FTE count?</t>
        </is>
      </c>
      <c r="D25" s="5" t="n"/>
      <c r="E25" s="5" t="n"/>
      <c r="F25" s="5" t="n"/>
      <c r="G25" s="10">
        <f>IF(OR(D25="No", D25="Informal", D25&lt;80), "Yes", "No")</f>
        <v/>
      </c>
    </row>
    <row r="26">
      <c r="A26" s="4" t="inlineStr">
        <is>
          <t>Q55</t>
        </is>
      </c>
      <c r="B26" s="4" t="inlineStr">
        <is>
          <t>Capacity</t>
        </is>
      </c>
      <c r="C26" s="9" t="inlineStr">
        <is>
          <t>Tiered analyst structure?</t>
        </is>
      </c>
      <c r="D26" s="5" t="n"/>
      <c r="E26" s="5" t="n"/>
      <c r="F26" s="5" t="n"/>
      <c r="G26" s="10">
        <f>IF(OR(D26="No", D26="Informal", D26&lt;80), "Yes", "No")</f>
        <v/>
      </c>
    </row>
    <row r="27">
      <c r="A27" s="4" t="inlineStr">
        <is>
          <t>Q56</t>
        </is>
      </c>
      <c r="B27" s="4" t="inlineStr">
        <is>
          <t>Capacity</t>
        </is>
      </c>
      <c r="C27" s="9" t="inlineStr">
        <is>
          <t>Analyst training frequency?</t>
        </is>
      </c>
      <c r="D27" s="5" t="n"/>
      <c r="E27" s="5" t="n"/>
      <c r="F27" s="5" t="n"/>
      <c r="G27" s="10">
        <f>IF(OR(D27="No", D27="Informal", D27&lt;80), "Yes", "No")</f>
        <v/>
      </c>
    </row>
    <row r="28">
      <c r="A28" s="4" t="inlineStr">
        <is>
          <t>Q57</t>
        </is>
      </c>
      <c r="B28" s="4" t="inlineStr">
        <is>
          <t>Capacity</t>
        </is>
      </c>
      <c r="C28" s="9" t="inlineStr">
        <is>
          <t>Analyst burnout indicators?</t>
        </is>
      </c>
      <c r="D28" s="5" t="n"/>
      <c r="E28" s="5" t="n"/>
      <c r="F28" s="5" t="n"/>
      <c r="G28" s="10">
        <f>IF(OR(D28="No", D28="Informal", D28&lt;80), "Yes", "No")</f>
        <v/>
      </c>
    </row>
    <row r="29">
      <c r="A29" s="4" t="inlineStr">
        <is>
          <t>Q58</t>
        </is>
      </c>
      <c r="B29" s="4" t="inlineStr">
        <is>
          <t>Capacity</t>
        </is>
      </c>
      <c r="C29" s="9" t="inlineStr">
        <is>
          <t>Analysts trained on all tools?</t>
        </is>
      </c>
      <c r="D29" s="5" t="n"/>
      <c r="E29" s="5" t="n"/>
      <c r="F29" s="5" t="n"/>
      <c r="G29" s="10">
        <f>IF(OR(D29="No", D29="Informal", D29&lt;80),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4: Classification &amp; Severity</t>
        </is>
      </c>
    </row>
    <row r="2">
      <c r="A2" s="7" t="inlineStr">
        <is>
          <t>Category Assignment, Severity Criteria, Consistency (25 Questions)</t>
        </is>
      </c>
    </row>
    <row r="4">
      <c r="A4" s="8" t="inlineStr">
        <is>
          <t>Question_ID</t>
        </is>
      </c>
      <c r="B4" s="8" t="inlineStr">
        <is>
          <t>Section</t>
        </is>
      </c>
      <c r="C4" s="8" t="inlineStr">
        <is>
          <t>Question</t>
        </is>
      </c>
      <c r="D4" s="8" t="inlineStr">
        <is>
          <t>Answer</t>
        </is>
      </c>
      <c r="E4" s="8" t="inlineStr">
        <is>
          <t>Evidence_Reference</t>
        </is>
      </c>
      <c r="F4" s="8" t="inlineStr">
        <is>
          <t>Comments</t>
        </is>
      </c>
      <c r="G4" s="8" t="inlineStr">
        <is>
          <t>Gap_Identified</t>
        </is>
      </c>
    </row>
    <row r="5">
      <c r="A5" s="4" t="inlineStr">
        <is>
          <t>Q59</t>
        </is>
      </c>
      <c r="B5" s="4" t="inlineStr">
        <is>
          <t>Classification</t>
        </is>
      </c>
      <c r="C5" s="9" t="inlineStr">
        <is>
          <t>Adopted ISMS-REF-A.5.24-28 taxonomy?</t>
        </is>
      </c>
      <c r="D5" s="5" t="n"/>
      <c r="E5" s="5" t="n"/>
      <c r="F5" s="5" t="n"/>
      <c r="G5" s="10">
        <f>IF(OR(D5="No", D5&lt;80), "Yes", "No")</f>
        <v/>
      </c>
    </row>
    <row r="6">
      <c r="A6" s="4" t="inlineStr">
        <is>
          <t>Q60</t>
        </is>
      </c>
      <c r="B6" s="4" t="inlineStr">
        <is>
          <t>Classification</t>
        </is>
      </c>
      <c r="C6" s="9" t="inlineStr">
        <is>
          <t>Classification procedure documented?</t>
        </is>
      </c>
      <c r="D6" s="5" t="n"/>
      <c r="E6" s="5" t="n"/>
      <c r="F6" s="5" t="n"/>
      <c r="G6" s="10">
        <f>IF(OR(D6="No", D6&lt;80), "Yes", "No")</f>
        <v/>
      </c>
    </row>
    <row r="7">
      <c r="A7" s="4" t="inlineStr">
        <is>
          <t>Q61</t>
        </is>
      </c>
      <c r="B7" s="4" t="inlineStr">
        <is>
          <t>Classification</t>
        </is>
      </c>
      <c r="C7" s="9" t="inlineStr">
        <is>
          <t>Analysts trained on classification?</t>
        </is>
      </c>
      <c r="D7" s="5" t="n"/>
      <c r="E7" s="5" t="n"/>
      <c r="F7" s="5" t="n"/>
      <c r="G7" s="10">
        <f>IF(OR(D7="No", D7&lt;80), "Yes", "No")</f>
        <v/>
      </c>
    </row>
    <row r="8">
      <c r="A8" s="4" t="inlineStr">
        <is>
          <t>Q62</t>
        </is>
      </c>
      <c r="B8" s="4" t="inlineStr">
        <is>
          <t>Classification</t>
        </is>
      </c>
      <c r="C8" s="9" t="inlineStr">
        <is>
          <t>Classification consistency reviewed?</t>
        </is>
      </c>
      <c r="D8" s="5" t="n"/>
      <c r="E8" s="5" t="n"/>
      <c r="F8" s="5" t="n"/>
      <c r="G8" s="10">
        <f>IF(OR(D8="No", D8&lt;80), "Yes", "No")</f>
        <v/>
      </c>
    </row>
    <row r="9">
      <c r="A9" s="4" t="inlineStr">
        <is>
          <t>Q63</t>
        </is>
      </c>
      <c r="B9" s="4" t="inlineStr">
        <is>
          <t>Classification</t>
        </is>
      </c>
      <c r="C9" s="9" t="inlineStr">
        <is>
          <t>Classification accuracy rate?</t>
        </is>
      </c>
      <c r="D9" s="5" t="n"/>
      <c r="E9" s="5" t="n"/>
      <c r="F9" s="5" t="n"/>
      <c r="G9" s="10">
        <f>IF(OR(D9="No", D9&lt;80), "Yes", "No")</f>
        <v/>
      </c>
    </row>
    <row r="10">
      <c r="A10" s="4" t="inlineStr">
        <is>
          <t>Q64</t>
        </is>
      </c>
      <c r="B10" s="4" t="inlineStr">
        <is>
          <t>Classification</t>
        </is>
      </c>
      <c r="C10" s="9" t="inlineStr">
        <is>
          <t>Reclassification process documented?</t>
        </is>
      </c>
      <c r="D10" s="5" t="n"/>
      <c r="E10" s="5" t="n"/>
      <c r="F10" s="5" t="n"/>
      <c r="G10" s="10">
        <f>IF(OR(D10="No", D10&lt;80), "Yes", "No")</f>
        <v/>
      </c>
    </row>
    <row r="11">
      <c r="A11" s="4" t="inlineStr">
        <is>
          <t>Q65</t>
        </is>
      </c>
      <c r="B11" s="4" t="inlineStr">
        <is>
          <t>Classification</t>
        </is>
      </c>
      <c r="C11" s="9" t="inlineStr">
        <is>
          <t>Multi-category incident handling?</t>
        </is>
      </c>
      <c r="D11" s="5" t="n"/>
      <c r="E11" s="5" t="n"/>
      <c r="F11" s="5" t="n"/>
      <c r="G11" s="10">
        <f>IF(OR(D11="No", D11&lt;80), "Yes", "No")</f>
        <v/>
      </c>
    </row>
    <row r="12">
      <c r="A12" s="4" t="inlineStr">
        <is>
          <t>Q66</t>
        </is>
      </c>
      <c r="B12" s="4" t="inlineStr">
        <is>
          <t>Severity</t>
        </is>
      </c>
      <c r="C12" s="9" t="inlineStr">
        <is>
          <t>How many severity levels?</t>
        </is>
      </c>
      <c r="D12" s="5" t="n"/>
      <c r="E12" s="5" t="n"/>
      <c r="F12" s="5" t="n"/>
      <c r="G12" s="10">
        <f>IF(OR(D12="No", D12&lt;80), "Yes", "No")</f>
        <v/>
      </c>
    </row>
    <row r="13">
      <c r="A13" s="4" t="inlineStr">
        <is>
          <t>Q67</t>
        </is>
      </c>
      <c r="B13" s="4" t="inlineStr">
        <is>
          <t>Severity</t>
        </is>
      </c>
      <c r="C13" s="9" t="inlineStr">
        <is>
          <t>Severity criteria documented?</t>
        </is>
      </c>
      <c r="D13" s="5" t="n"/>
      <c r="E13" s="5" t="n"/>
      <c r="F13" s="5" t="n"/>
      <c r="G13" s="10">
        <f>IF(OR(D13="No", D13&lt;80), "Yes", "No")</f>
        <v/>
      </c>
    </row>
    <row r="14">
      <c r="A14" s="4" t="inlineStr">
        <is>
          <t>Q68</t>
        </is>
      </c>
      <c r="B14" s="4" t="inlineStr">
        <is>
          <t>Severity</t>
        </is>
      </c>
      <c r="C14" s="9" t="inlineStr">
        <is>
          <t>Critical severity criteria?</t>
        </is>
      </c>
      <c r="D14" s="5" t="n"/>
      <c r="E14" s="5" t="n"/>
      <c r="F14" s="5" t="n"/>
      <c r="G14" s="10">
        <f>IF(OR(D14="No", D14&lt;80), "Yes", "No")</f>
        <v/>
      </c>
    </row>
    <row r="15">
      <c r="A15" s="4" t="inlineStr">
        <is>
          <t>Q69</t>
        </is>
      </c>
      <c r="B15" s="4" t="inlineStr">
        <is>
          <t>Severity</t>
        </is>
      </c>
      <c r="C15" s="9" t="inlineStr">
        <is>
          <t>Severity assignment training?</t>
        </is>
      </c>
      <c r="D15" s="5" t="n"/>
      <c r="E15" s="5" t="n"/>
      <c r="F15" s="5" t="n"/>
      <c r="G15" s="10">
        <f>IF(OR(D15="No", D15&lt;80), "Yes", "No")</f>
        <v/>
      </c>
    </row>
    <row r="16">
      <c r="A16" s="4" t="inlineStr">
        <is>
          <t>Q70</t>
        </is>
      </c>
      <c r="B16" s="4" t="inlineStr">
        <is>
          <t>Severity</t>
        </is>
      </c>
      <c r="C16" s="9" t="inlineStr">
        <is>
          <t>Severity consistency reviewed?</t>
        </is>
      </c>
      <c r="D16" s="5" t="n"/>
      <c r="E16" s="5" t="n"/>
      <c r="F16" s="5" t="n"/>
      <c r="G16" s="10">
        <f>IF(OR(D16="No", D16&lt;80), "Yes", "No")</f>
        <v/>
      </c>
    </row>
    <row r="17">
      <c r="A17" s="4" t="inlineStr">
        <is>
          <t>Q71</t>
        </is>
      </c>
      <c r="B17" s="4" t="inlineStr">
        <is>
          <t>Severity</t>
        </is>
      </c>
      <c r="C17" s="9" t="inlineStr">
        <is>
          <t>Severity upgrade process?</t>
        </is>
      </c>
      <c r="D17" s="5" t="n"/>
      <c r="E17" s="5" t="n"/>
      <c r="F17" s="5" t="n"/>
      <c r="G17" s="10">
        <f>IF(OR(D17="No", D17&lt;80), "Yes", "No")</f>
        <v/>
      </c>
    </row>
    <row r="18">
      <c r="A18" s="4" t="inlineStr">
        <is>
          <t>Q72</t>
        </is>
      </c>
      <c r="B18" s="4" t="inlineStr">
        <is>
          <t>Severity</t>
        </is>
      </c>
      <c r="C18" s="9" t="inlineStr">
        <is>
          <t>Severity downgrade process?</t>
        </is>
      </c>
      <c r="D18" s="5" t="n"/>
      <c r="E18" s="5" t="n"/>
      <c r="F18" s="5" t="n"/>
      <c r="G18" s="10">
        <f>IF(OR(D18="No", D18&lt;80), "Yes", "No")</f>
        <v/>
      </c>
    </row>
    <row r="19">
      <c r="A19" s="4" t="inlineStr">
        <is>
          <t>Q73</t>
        </is>
      </c>
      <c r="B19" s="4" t="inlineStr">
        <is>
          <t>Severity</t>
        </is>
      </c>
      <c r="C19" s="9" t="inlineStr">
        <is>
          <t>% Incidents Critical (90 days)?</t>
        </is>
      </c>
      <c r="D19" s="5" t="n"/>
      <c r="E19" s="5" t="n"/>
      <c r="F19" s="5" t="n"/>
      <c r="G19" s="10">
        <f>IF(OR(D19="No", D19&lt;80), "Yes", "No")</f>
        <v/>
      </c>
    </row>
    <row r="20">
      <c r="A20" s="4" t="inlineStr">
        <is>
          <t>Q74</t>
        </is>
      </c>
      <c r="B20" s="4" t="inlineStr">
        <is>
          <t>Severity</t>
        </is>
      </c>
      <c r="C20" s="9" t="inlineStr">
        <is>
          <t>% Incidents High (90 days)?</t>
        </is>
      </c>
      <c r="D20" s="5" t="n"/>
      <c r="E20" s="5" t="n"/>
      <c r="F20" s="5" t="n"/>
      <c r="G20" s="10">
        <f>IF(OR(D20="No", D20&lt;80), "Yes", "No")</f>
        <v/>
      </c>
    </row>
    <row r="21">
      <c r="A21" s="4" t="inlineStr">
        <is>
          <t>Q75</t>
        </is>
      </c>
      <c r="B21" s="4" t="inlineStr">
        <is>
          <t>Severity</t>
        </is>
      </c>
      <c r="C21" s="9" t="inlineStr">
        <is>
          <t>% Incidents Medium (90 days)?</t>
        </is>
      </c>
      <c r="D21" s="5" t="n"/>
      <c r="E21" s="5" t="n"/>
      <c r="F21" s="5" t="n"/>
      <c r="G21" s="10">
        <f>IF(OR(D21="No", D21&lt;80), "Yes", "No")</f>
        <v/>
      </c>
    </row>
    <row r="22">
      <c r="A22" s="4" t="inlineStr">
        <is>
          <t>Q76</t>
        </is>
      </c>
      <c r="B22" s="4" t="inlineStr">
        <is>
          <t>Correlation</t>
        </is>
      </c>
      <c r="C22" s="9" t="inlineStr">
        <is>
          <t>Top Category 1</t>
        </is>
      </c>
      <c r="D22" s="5" t="n"/>
      <c r="E22" s="5" t="n"/>
      <c r="F22" s="5" t="n"/>
      <c r="G22" s="10">
        <f>IF(OR(D22="No", D22&lt;80), "Yes", "No")</f>
        <v/>
      </c>
    </row>
    <row r="23">
      <c r="A23" s="4" t="inlineStr">
        <is>
          <t>Q77</t>
        </is>
      </c>
      <c r="B23" s="4" t="inlineStr">
        <is>
          <t>Correlation</t>
        </is>
      </c>
      <c r="C23" s="9" t="inlineStr">
        <is>
          <t>Top Category 2</t>
        </is>
      </c>
      <c r="D23" s="5" t="n"/>
      <c r="E23" s="5" t="n"/>
      <c r="F23" s="5" t="n"/>
      <c r="G23" s="10">
        <f>IF(OR(D23="No", D23&lt;80), "Yes", "No")</f>
        <v/>
      </c>
    </row>
    <row r="24">
      <c r="A24" s="4" t="inlineStr">
        <is>
          <t>Q78</t>
        </is>
      </c>
      <c r="B24" s="4" t="inlineStr">
        <is>
          <t>Correlation</t>
        </is>
      </c>
      <c r="C24" s="9" t="inlineStr">
        <is>
          <t>Top Category 3</t>
        </is>
      </c>
      <c r="D24" s="5" t="n"/>
      <c r="E24" s="5" t="n"/>
      <c r="F24" s="5" t="n"/>
      <c r="G24" s="10">
        <f>IF(OR(D24="No", D24&lt;80), "Yes", "No")</f>
        <v/>
      </c>
    </row>
    <row r="25">
      <c r="A25" s="4" t="inlineStr">
        <is>
          <t>Q79</t>
        </is>
      </c>
      <c r="B25" s="4" t="inlineStr">
        <is>
          <t>Correlation</t>
        </is>
      </c>
      <c r="C25" s="9" t="inlineStr">
        <is>
          <t>Top Category 4</t>
        </is>
      </c>
      <c r="D25" s="5" t="n"/>
      <c r="E25" s="5" t="n"/>
      <c r="F25" s="5" t="n"/>
      <c r="G25" s="10">
        <f>IF(OR(D25="No", D25&lt;80), "Yes", "No")</f>
        <v/>
      </c>
    </row>
    <row r="26">
      <c r="A26" s="4" t="inlineStr">
        <is>
          <t>Q80</t>
        </is>
      </c>
      <c r="B26" s="4" t="inlineStr">
        <is>
          <t>Correlation</t>
        </is>
      </c>
      <c r="C26" s="9" t="inlineStr">
        <is>
          <t>Top Category 5</t>
        </is>
      </c>
      <c r="D26" s="5" t="n"/>
      <c r="E26" s="5" t="n"/>
      <c r="F26" s="5" t="n"/>
      <c r="G26" s="10">
        <f>IF(OR(D26="No", D26&lt;80), "Yes", "No")</f>
        <v/>
      </c>
    </row>
    <row r="27">
      <c r="A27" s="4" t="inlineStr">
        <is>
          <t>Q81</t>
        </is>
      </c>
      <c r="B27" s="4" t="inlineStr">
        <is>
          <t>Correlation</t>
        </is>
      </c>
      <c r="C27" s="9" t="inlineStr">
        <is>
          <t>Top Category 6</t>
        </is>
      </c>
      <c r="D27" s="5" t="n"/>
      <c r="E27" s="5" t="n"/>
      <c r="F27" s="5" t="n"/>
      <c r="G27" s="10">
        <f>IF(OR(D27="No", D27&lt;80), "Yes", "No")</f>
        <v/>
      </c>
    </row>
    <row r="28">
      <c r="A28" s="4" t="inlineStr">
        <is>
          <t>Q82</t>
        </is>
      </c>
      <c r="B28" s="4" t="inlineStr">
        <is>
          <t>Correlation</t>
        </is>
      </c>
      <c r="C28" s="9" t="inlineStr">
        <is>
          <t>Top Category 7</t>
        </is>
      </c>
      <c r="D28" s="5" t="n"/>
      <c r="E28" s="5" t="n"/>
      <c r="F28" s="5" t="n"/>
      <c r="G28" s="10">
        <f>IF(OR(D28="No", D28&lt;80), "Yes", "No")</f>
        <v/>
      </c>
    </row>
    <row r="29">
      <c r="A29" s="4" t="inlineStr">
        <is>
          <t>Q83</t>
        </is>
      </c>
      <c r="B29" s="4" t="inlineStr">
        <is>
          <t>Correlation</t>
        </is>
      </c>
      <c r="C29" s="9" t="inlineStr">
        <is>
          <t>Top Category 8</t>
        </is>
      </c>
      <c r="D29" s="5" t="n"/>
      <c r="E29" s="5" t="n"/>
      <c r="F29" s="5" t="n"/>
      <c r="G29" s="10">
        <f>IF(OR(D29="No", D29&lt;80),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5: Detection Effectiveness</t>
        </is>
      </c>
    </row>
    <row r="2">
      <c r="A2" s="7" t="inlineStr">
        <is>
          <t>MTTD, MTTT, False Positives, Coverage Gaps (25 Questions)</t>
        </is>
      </c>
    </row>
    <row r="4">
      <c r="A4" s="8" t="inlineStr">
        <is>
          <t>Question_ID</t>
        </is>
      </c>
      <c r="B4" s="8" t="inlineStr">
        <is>
          <t>Section</t>
        </is>
      </c>
      <c r="C4" s="8" t="inlineStr">
        <is>
          <t>Question</t>
        </is>
      </c>
      <c r="D4" s="8" t="inlineStr">
        <is>
          <t>Answer</t>
        </is>
      </c>
      <c r="E4" s="8" t="inlineStr">
        <is>
          <t>Evidence_Reference</t>
        </is>
      </c>
      <c r="F4" s="8" t="inlineStr">
        <is>
          <t>Comments</t>
        </is>
      </c>
      <c r="G4" s="8" t="inlineStr">
        <is>
          <t>Gap_Identified</t>
        </is>
      </c>
    </row>
    <row r="5">
      <c r="A5" s="4" t="inlineStr">
        <is>
          <t>Q84</t>
        </is>
      </c>
      <c r="B5" s="4" t="inlineStr">
        <is>
          <t>MTTD</t>
        </is>
      </c>
      <c r="C5" s="9" t="inlineStr">
        <is>
          <t>Is MTTD tracked?</t>
        </is>
      </c>
      <c r="D5" s="5" t="n"/>
      <c r="E5" s="5" t="n"/>
      <c r="F5" s="5" t="n"/>
      <c r="G5" s="10">
        <f>IF(OR(D5="No", D5&gt;30, D5="Worsening"), "Yes", "No")</f>
        <v/>
      </c>
    </row>
    <row r="6">
      <c r="A6" s="4" t="inlineStr">
        <is>
          <t>Q85</t>
        </is>
      </c>
      <c r="B6" s="4" t="inlineStr">
        <is>
          <t>MTTD</t>
        </is>
      </c>
      <c r="C6" s="9" t="inlineStr">
        <is>
          <t>Overall MTTD (90 days)?</t>
        </is>
      </c>
      <c r="D6" s="5" t="n"/>
      <c r="E6" s="5" t="n"/>
      <c r="F6" s="5" t="n"/>
      <c r="G6" s="10">
        <f>IF(OR(D6="No", D6&gt;30, D6="Worsening"), "Yes", "No")</f>
        <v/>
      </c>
    </row>
    <row r="7">
      <c r="A7" s="4" t="inlineStr">
        <is>
          <t>Q86</t>
        </is>
      </c>
      <c r="B7" s="4" t="inlineStr">
        <is>
          <t>MTTD</t>
        </is>
      </c>
      <c r="C7" s="9" t="inlineStr">
        <is>
          <t>MTTD for Critical incidents?</t>
        </is>
      </c>
      <c r="D7" s="5" t="n"/>
      <c r="E7" s="5" t="n"/>
      <c r="F7" s="5" t="n"/>
      <c r="G7" s="10">
        <f>IF(OR(D7="No", D7&gt;30, D7="Worsening"), "Yes", "No")</f>
        <v/>
      </c>
    </row>
    <row r="8">
      <c r="A8" s="4" t="inlineStr">
        <is>
          <t>Q87</t>
        </is>
      </c>
      <c r="B8" s="4" t="inlineStr">
        <is>
          <t>MTTD</t>
        </is>
      </c>
      <c r="C8" s="9" t="inlineStr">
        <is>
          <t>MTTD for High incidents?</t>
        </is>
      </c>
      <c r="D8" s="5" t="n"/>
      <c r="E8" s="5" t="n"/>
      <c r="F8" s="5" t="n"/>
      <c r="G8" s="10">
        <f>IF(OR(D8="No", D8&gt;30, D8="Worsening"), "Yes", "No")</f>
        <v/>
      </c>
    </row>
    <row r="9">
      <c r="A9" s="4" t="inlineStr">
        <is>
          <t>Q88</t>
        </is>
      </c>
      <c r="B9" s="4" t="inlineStr">
        <is>
          <t>MTTD</t>
        </is>
      </c>
      <c r="C9" s="9" t="inlineStr">
        <is>
          <t>MTTD trend?</t>
        </is>
      </c>
      <c r="D9" s="5" t="n"/>
      <c r="E9" s="5" t="n"/>
      <c r="F9" s="5" t="n"/>
      <c r="G9" s="10">
        <f>IF(OR(D9="No", D9&gt;30, D9="Worsening"), "Yes", "No")</f>
        <v/>
      </c>
    </row>
    <row r="10">
      <c r="A10" s="4" t="inlineStr">
        <is>
          <t>Q89</t>
        </is>
      </c>
      <c r="B10" s="4" t="inlineStr">
        <is>
          <t>MTTT</t>
        </is>
      </c>
      <c r="C10" s="9" t="inlineStr">
        <is>
          <t>Is MTTT tracked?</t>
        </is>
      </c>
      <c r="D10" s="5" t="n"/>
      <c r="E10" s="5" t="n"/>
      <c r="F10" s="5" t="n"/>
      <c r="G10" s="10">
        <f>IF(OR(D10="No", D10&gt;30, D10="Worsening"), "Yes", "No")</f>
        <v/>
      </c>
    </row>
    <row r="11">
      <c r="A11" s="4" t="inlineStr">
        <is>
          <t>Q90</t>
        </is>
      </c>
      <c r="B11" s="4" t="inlineStr">
        <is>
          <t>MTTT</t>
        </is>
      </c>
      <c r="C11" s="9" t="inlineStr">
        <is>
          <t>Overall MTTT (90 days)?</t>
        </is>
      </c>
      <c r="D11" s="5" t="n"/>
      <c r="E11" s="5" t="n"/>
      <c r="F11" s="5" t="n"/>
      <c r="G11" s="10">
        <f>IF(OR(D11="No", D11&gt;30, D11="Worsening"), "Yes", "No")</f>
        <v/>
      </c>
    </row>
    <row r="12">
      <c r="A12" s="4" t="inlineStr">
        <is>
          <t>Q91</t>
        </is>
      </c>
      <c r="B12" s="4" t="inlineStr">
        <is>
          <t>MTTT</t>
        </is>
      </c>
      <c r="C12" s="9" t="inlineStr">
        <is>
          <t>MTTT for Critical alerts?</t>
        </is>
      </c>
      <c r="D12" s="5" t="n"/>
      <c r="E12" s="5" t="n"/>
      <c r="F12" s="5" t="n"/>
      <c r="G12" s="10">
        <f>IF(OR(D12="No", D12&gt;30, D12="Worsening"), "Yes", "No")</f>
        <v/>
      </c>
    </row>
    <row r="13">
      <c r="A13" s="4" t="inlineStr">
        <is>
          <t>Q92</t>
        </is>
      </c>
      <c r="B13" s="4" t="inlineStr">
        <is>
          <t>MTTT</t>
        </is>
      </c>
      <c r="C13" s="9" t="inlineStr">
        <is>
          <t>MTTT for High alerts?</t>
        </is>
      </c>
      <c r="D13" s="5" t="n"/>
      <c r="E13" s="5" t="n"/>
      <c r="F13" s="5" t="n"/>
      <c r="G13" s="10">
        <f>IF(OR(D13="No", D13&gt;30, D13="Worsening"), "Yes", "No")</f>
        <v/>
      </c>
    </row>
    <row r="14">
      <c r="A14" s="4" t="inlineStr">
        <is>
          <t>Q93</t>
        </is>
      </c>
      <c r="B14" s="4" t="inlineStr">
        <is>
          <t>MTTT</t>
        </is>
      </c>
      <c r="C14" s="9" t="inlineStr">
        <is>
          <t>MTTT SLA compliance %?</t>
        </is>
      </c>
      <c r="D14" s="5" t="n"/>
      <c r="E14" s="5" t="n"/>
      <c r="F14" s="5" t="n"/>
      <c r="G14" s="10">
        <f>IF(OR(D14="No", D14&gt;30, D14="Worsening"), "Yes", "No")</f>
        <v/>
      </c>
    </row>
    <row r="15">
      <c r="A15" s="4" t="inlineStr">
        <is>
          <t>Q94</t>
        </is>
      </c>
      <c r="B15" s="4" t="inlineStr">
        <is>
          <t>False Positives</t>
        </is>
      </c>
      <c r="C15" s="9" t="inlineStr">
        <is>
          <t>FPs systematically tracked?</t>
        </is>
      </c>
      <c r="D15" s="5" t="n"/>
      <c r="E15" s="5" t="n"/>
      <c r="F15" s="5" t="n"/>
      <c r="G15" s="10">
        <f>IF(OR(D15="No", D15&gt;30, D15="Worsening"), "Yes", "No")</f>
        <v/>
      </c>
    </row>
    <row r="16">
      <c r="A16" s="4" t="inlineStr">
        <is>
          <t>Q95</t>
        </is>
      </c>
      <c r="B16" s="4" t="inlineStr">
        <is>
          <t>False Positives</t>
        </is>
      </c>
      <c r="C16" s="9" t="inlineStr">
        <is>
          <t>Total alerts (90 days)?</t>
        </is>
      </c>
      <c r="D16" s="5" t="n"/>
      <c r="E16" s="5" t="n"/>
      <c r="F16" s="5" t="n"/>
      <c r="G16" s="10">
        <f>IF(OR(D16="No", D16&gt;30, D16="Worsening"), "Yes", "No")</f>
        <v/>
      </c>
    </row>
    <row r="17">
      <c r="A17" s="4" t="inlineStr">
        <is>
          <t>Q96</t>
        </is>
      </c>
      <c r="B17" s="4" t="inlineStr">
        <is>
          <t>False Positives</t>
        </is>
      </c>
      <c r="C17" s="9" t="inlineStr">
        <is>
          <t>False positives (90 days)?</t>
        </is>
      </c>
      <c r="D17" s="5" t="n"/>
      <c r="E17" s="5" t="n"/>
      <c r="F17" s="5" t="n"/>
      <c r="G17" s="10">
        <f>IF(OR(D17="No", D17&gt;30, D17="Worsening"), "Yes", "No")</f>
        <v/>
      </c>
    </row>
    <row r="18">
      <c r="A18" s="4" t="inlineStr">
        <is>
          <t>Q97</t>
        </is>
      </c>
      <c r="B18" s="4" t="inlineStr">
        <is>
          <t>False Positives</t>
        </is>
      </c>
      <c r="C18" s="9" t="inlineStr">
        <is>
          <t>False positive rate?</t>
        </is>
      </c>
      <c r="D18" s="10">
        <f>D6/D5*100</f>
        <v/>
      </c>
      <c r="E18" s="5" t="n"/>
      <c r="F18" s="5" t="n"/>
      <c r="G18" s="10">
        <f>IF(OR(D18="No", D18&gt;30, D18="Worsening"), "Yes", "No")</f>
        <v/>
      </c>
    </row>
    <row r="19">
      <c r="A19" s="4" t="inlineStr">
        <is>
          <t>Q98</t>
        </is>
      </c>
      <c r="B19" s="4" t="inlineStr">
        <is>
          <t>False Positives</t>
        </is>
      </c>
      <c r="C19" s="9" t="inlineStr">
        <is>
          <t>FP trend?</t>
        </is>
      </c>
      <c r="D19" s="5" t="n"/>
      <c r="E19" s="5" t="n"/>
      <c r="F19" s="5" t="n"/>
      <c r="G19" s="10">
        <f>IF(OR(D19="No", D19&gt;30, D19="Worsening"), "Yes", "No")</f>
        <v/>
      </c>
    </row>
    <row r="20">
      <c r="A20" s="4" t="inlineStr">
        <is>
          <t>Q99</t>
        </is>
      </c>
      <c r="B20" s="4" t="inlineStr">
        <is>
          <t>False Positives</t>
        </is>
      </c>
      <c r="C20" s="9" t="inlineStr">
        <is>
          <t>Top FP source?</t>
        </is>
      </c>
      <c r="D20" s="5" t="n"/>
      <c r="E20" s="5" t="n"/>
      <c r="F20" s="5" t="n"/>
      <c r="G20" s="10">
        <f>IF(OR(D20="No", D20&gt;30, D20="Worsening"), "Yes", "No")</f>
        <v/>
      </c>
    </row>
    <row r="21">
      <c r="A21" s="4" t="inlineStr">
        <is>
          <t>Q100</t>
        </is>
      </c>
      <c r="B21" s="4" t="inlineStr">
        <is>
          <t>False Positives</t>
        </is>
      </c>
      <c r="C21" s="9" t="inlineStr">
        <is>
          <t>FP tuning backlog?</t>
        </is>
      </c>
      <c r="D21" s="5" t="n"/>
      <c r="E21" s="5" t="n"/>
      <c r="F21" s="5" t="n"/>
      <c r="G21" s="10">
        <f>IF(OR(D21="No", D21&gt;30, D21="Worsening"), "Yes", "No")</f>
        <v/>
      </c>
    </row>
    <row r="22">
      <c r="A22" s="4" t="inlineStr">
        <is>
          <t>Q101</t>
        </is>
      </c>
      <c r="B22" s="4" t="inlineStr">
        <is>
          <t>True Positives</t>
        </is>
      </c>
      <c r="C22" s="9" t="inlineStr">
        <is>
          <t>True positives (90 days)?</t>
        </is>
      </c>
      <c r="D22" s="5" t="n"/>
      <c r="E22" s="5" t="n"/>
      <c r="F22" s="5" t="n"/>
      <c r="G22" s="10">
        <f>IF(OR(D22="No", D22&gt;30, D22="Worsening"), "Yes", "No")</f>
        <v/>
      </c>
    </row>
    <row r="23">
      <c r="A23" s="4" t="inlineStr">
        <is>
          <t>Q102</t>
        </is>
      </c>
      <c r="B23" s="4" t="inlineStr">
        <is>
          <t>True Positives</t>
        </is>
      </c>
      <c r="C23" s="9" t="inlineStr">
        <is>
          <t>True positive rate?</t>
        </is>
      </c>
      <c r="D23" s="10">
        <f>D16/D10*100</f>
        <v/>
      </c>
      <c r="E23" s="5" t="n"/>
      <c r="F23" s="5" t="n"/>
      <c r="G23" s="10">
        <f>IF(OR(D23="No", D23&gt;30, D23="Worsening"), "Yes", "No")</f>
        <v/>
      </c>
    </row>
    <row r="24">
      <c r="A24" s="4" t="inlineStr">
        <is>
          <t>Q103</t>
        </is>
      </c>
      <c r="B24" s="4" t="inlineStr">
        <is>
          <t>True Positives</t>
        </is>
      </c>
      <c r="C24" s="9" t="inlineStr">
        <is>
          <t>Incident volume trend?</t>
        </is>
      </c>
      <c r="D24" s="5" t="n"/>
      <c r="E24" s="5" t="n"/>
      <c r="F24" s="5" t="n"/>
      <c r="G24" s="10">
        <f>IF(OR(D24="No", D24&gt;30, D24="Worsening"), "Yes", "No")</f>
        <v/>
      </c>
    </row>
    <row r="25">
      <c r="A25" s="4" t="inlineStr">
        <is>
          <t>Q104</t>
        </is>
      </c>
      <c r="B25" s="4" t="inlineStr">
        <is>
          <t>True Positives</t>
        </is>
      </c>
      <c r="C25" s="9" t="inlineStr">
        <is>
          <t>Alert-to-incident ratio?</t>
        </is>
      </c>
      <c r="D25" s="10">
        <f>D12/D18</f>
        <v/>
      </c>
      <c r="E25" s="5" t="n"/>
      <c r="F25" s="5" t="n"/>
      <c r="G25" s="10">
        <f>IF(OR(D25="No", D25&gt;30, D25="Worsening"), "Yes", "No")</f>
        <v/>
      </c>
    </row>
    <row r="26">
      <c r="A26" s="4" t="inlineStr">
        <is>
          <t>Q105</t>
        </is>
      </c>
      <c r="B26" s="4" t="inlineStr">
        <is>
          <t>True Positives</t>
        </is>
      </c>
      <c r="C26" s="9" t="inlineStr">
        <is>
          <t>Can SOC handle volume?</t>
        </is>
      </c>
      <c r="D26" s="5" t="n"/>
      <c r="E26" s="5" t="n"/>
      <c r="F26" s="5" t="n"/>
      <c r="G26" s="10">
        <f>IF(OR(D26="No", D26&gt;30, D26="Worsening"), "Yes", "No")</f>
        <v/>
      </c>
    </row>
    <row r="27">
      <c r="A27" s="4" t="inlineStr">
        <is>
          <t>Q106</t>
        </is>
      </c>
      <c r="B27" s="4" t="inlineStr">
        <is>
          <t>Coverage</t>
        </is>
      </c>
      <c r="C27" s="9" t="inlineStr">
        <is>
          <t>Detection blind spots identified?</t>
        </is>
      </c>
      <c r="D27" s="5" t="n"/>
      <c r="E27" s="5" t="n"/>
      <c r="F27" s="5" t="n"/>
      <c r="G27" s="10">
        <f>IF(OR(D27="No", D27&gt;30, D27="Worsening"), "Yes", "No")</f>
        <v/>
      </c>
    </row>
    <row r="28">
      <c r="A28" s="4" t="inlineStr">
        <is>
          <t>Q107</t>
        </is>
      </c>
      <c r="B28" s="4" t="inlineStr">
        <is>
          <t>Coverage</t>
        </is>
      </c>
      <c r="C28" s="9" t="inlineStr">
        <is>
          <t>Coverage gaps prioritized?</t>
        </is>
      </c>
      <c r="D28" s="5" t="n"/>
      <c r="E28" s="5" t="n"/>
      <c r="F28" s="5" t="n"/>
      <c r="G28" s="10">
        <f>IF(OR(D28="No", D28&gt;30, D28="Worsening"), "Yes", "No")</f>
        <v/>
      </c>
    </row>
    <row r="29">
      <c r="A29" s="4" t="inlineStr">
        <is>
          <t>Q108</t>
        </is>
      </c>
      <c r="B29" s="4" t="inlineStr">
        <is>
          <t>Coverage</t>
        </is>
      </c>
      <c r="C29" s="9" t="inlineStr">
        <is>
          <t>Coverage improvement plan?</t>
        </is>
      </c>
      <c r="D29" s="5" t="n"/>
      <c r="E29" s="5" t="n"/>
      <c r="F29" s="5" t="n"/>
      <c r="G29" s="10">
        <f>IF(OR(D29="No", D29&gt;30, D29="Worsening"),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40" customWidth="1" min="3" max="3"/>
    <col width="12" customWidth="1" min="4" max="4"/>
    <col width="25" customWidth="1" min="5" max="5"/>
    <col width="25" customWidth="1" min="6" max="6"/>
    <col width="40" customWidth="1" min="7" max="7"/>
    <col width="18" customWidth="1" min="8" max="8"/>
    <col width="14" customWidth="1" min="9" max="9"/>
    <col width="14" customWidth="1" min="10" max="10"/>
  </cols>
  <sheetData>
    <row r="1" ht="30" customHeight="1">
      <c r="A1" s="1" t="inlineStr">
        <is>
          <t>Sheet 6: Gap Analysis</t>
        </is>
      </c>
    </row>
    <row r="4">
      <c r="A4" s="8" t="inlineStr">
        <is>
          <t>Gap_ID</t>
        </is>
      </c>
      <c r="B4" s="8" t="inlineStr">
        <is>
          <t>Section</t>
        </is>
      </c>
      <c r="C4" s="8" t="inlineStr">
        <is>
          <t>Gap_Description</t>
        </is>
      </c>
      <c r="D4" s="8" t="inlineStr">
        <is>
          <t>Risk_Level</t>
        </is>
      </c>
      <c r="E4" s="8" t="inlineStr">
        <is>
          <t>Current_State</t>
        </is>
      </c>
      <c r="F4" s="8" t="inlineStr">
        <is>
          <t>Target_State</t>
        </is>
      </c>
      <c r="G4" s="8" t="inlineStr">
        <is>
          <t>Remediation</t>
        </is>
      </c>
      <c r="H4" s="8" t="inlineStr">
        <is>
          <t>Owner</t>
        </is>
      </c>
      <c r="I4" s="8" t="inlineStr">
        <is>
          <t>Target_Date</t>
        </is>
      </c>
      <c r="J4" s="8" t="inlineStr">
        <is>
          <t>Status</t>
        </is>
      </c>
    </row>
    <row r="5">
      <c r="A5" t="inlineStr">
        <is>
          <t>GAP-001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t="inlineStr">
        <is>
          <t>GAP-002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t="inlineStr">
        <is>
          <t>GAP-003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t="inlineStr">
        <is>
          <t>GAP-004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t="inlineStr">
        <is>
          <t>GAP-005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t="inlineStr">
        <is>
          <t>GAP-006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t="inlineStr">
        <is>
          <t>GAP-007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t="inlineStr">
        <is>
          <t>GAP-008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t="inlineStr">
        <is>
          <t>GAP-009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t="inlineStr">
        <is>
          <t>GAP-010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t="inlineStr">
        <is>
          <t>GAP-011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t="inlineStr">
        <is>
          <t>GAP-012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t="inlineStr">
        <is>
          <t>GAP-013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t="inlineStr">
        <is>
          <t>GAP-014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t="inlineStr">
        <is>
          <t>GAP-015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t="inlineStr">
        <is>
          <t>GAP-016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t="inlineStr">
        <is>
          <t>GAP-017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t="inlineStr">
        <is>
          <t>GAP-018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t="inlineStr">
        <is>
          <t>GAP-019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t="inlineStr">
        <is>
          <t>GAP-020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t="inlineStr">
        <is>
          <t>GAP-021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t="inlineStr">
        <is>
          <t>GAP-022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t="inlineStr">
        <is>
          <t>GAP-023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t="inlineStr">
        <is>
          <t>GAP-024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t="inlineStr">
        <is>
          <t>GAP-025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t="inlineStr">
        <is>
          <t>GAP-026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t="inlineStr">
        <is>
          <t>GAP-027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t="inlineStr">
        <is>
          <t>GAP-028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t="inlineStr">
        <is>
          <t>GAP-029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t="inlineStr">
        <is>
          <t>GAP-030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t="inlineStr">
        <is>
          <t>GAP-031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 t="inlineStr">
        <is>
          <t>GAP-032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t="inlineStr">
        <is>
          <t>GAP-033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 t="inlineStr">
        <is>
          <t>GAP-034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t="inlineStr">
        <is>
          <t>GAP-035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 t="inlineStr">
        <is>
          <t>GAP-036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t="inlineStr">
        <is>
          <t>GAP-037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 t="inlineStr">
        <is>
          <t>GAP-038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t="inlineStr">
        <is>
          <t>GAP-039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 t="inlineStr">
        <is>
          <t>GAP-040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</sheetData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40" customWidth="1" min="3" max="3"/>
    <col width="20" customWidth="1" min="4" max="4"/>
    <col width="35" customWidth="1" min="5" max="5"/>
    <col width="14" customWidth="1" min="6" max="6"/>
    <col width="18" customWidth="1" min="7" max="7"/>
    <col width="18" customWidth="1" min="8" max="8"/>
  </cols>
  <sheetData>
    <row r="1" ht="30" customHeight="1">
      <c r="A1" s="1" t="inlineStr">
        <is>
          <t>Sheet 7: Evidence Register</t>
        </is>
      </c>
    </row>
    <row r="4">
      <c r="A4" s="8" t="inlineStr">
        <is>
          <t>Evidence_ID</t>
        </is>
      </c>
      <c r="B4" s="8" t="inlineStr">
        <is>
          <t>Evidence_Type</t>
        </is>
      </c>
      <c r="C4" s="8" t="inlineStr">
        <is>
          <t>Description</t>
        </is>
      </c>
      <c r="D4" s="8" t="inlineStr">
        <is>
          <t>Related_Section</t>
        </is>
      </c>
      <c r="E4" s="8" t="inlineStr">
        <is>
          <t>Storage_Location</t>
        </is>
      </c>
      <c r="F4" s="8" t="inlineStr">
        <is>
          <t>Date_Collected</t>
        </is>
      </c>
      <c r="G4" s="8" t="inlineStr">
        <is>
          <t>Collected_By</t>
        </is>
      </c>
      <c r="H4" s="8" t="inlineStr">
        <is>
          <t>Verification</t>
        </is>
      </c>
    </row>
    <row r="5">
      <c r="A5" t="inlineStr">
        <is>
          <t>EV-001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t="inlineStr">
        <is>
          <t>EV-002</t>
        </is>
      </c>
      <c r="B6" s="5" t="n"/>
      <c r="C6" s="5" t="n"/>
      <c r="D6" s="5" t="n"/>
      <c r="E6" s="5" t="n"/>
      <c r="F6" s="5" t="n"/>
      <c r="G6" s="5" t="n"/>
      <c r="H6" s="5" t="n"/>
    </row>
    <row r="7">
      <c r="A7" t="inlineStr">
        <is>
          <t>EV-003</t>
        </is>
      </c>
      <c r="B7" s="5" t="n"/>
      <c r="C7" s="5" t="n"/>
      <c r="D7" s="5" t="n"/>
      <c r="E7" s="5" t="n"/>
      <c r="F7" s="5" t="n"/>
      <c r="G7" s="5" t="n"/>
      <c r="H7" s="5" t="n"/>
    </row>
    <row r="8">
      <c r="A8" t="inlineStr">
        <is>
          <t>EV-004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t="inlineStr">
        <is>
          <t>EV-005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t="inlineStr">
        <is>
          <t>EV-006</t>
        </is>
      </c>
      <c r="B10" s="5" t="n"/>
      <c r="C10" s="5" t="n"/>
      <c r="D10" s="5" t="n"/>
      <c r="E10" s="5" t="n"/>
      <c r="F10" s="5" t="n"/>
      <c r="G10" s="5" t="n"/>
      <c r="H10" s="5" t="n"/>
    </row>
    <row r="11">
      <c r="A11" t="inlineStr">
        <is>
          <t>EV-007</t>
        </is>
      </c>
      <c r="B11" s="5" t="n"/>
      <c r="C11" s="5" t="n"/>
      <c r="D11" s="5" t="n"/>
      <c r="E11" s="5" t="n"/>
      <c r="F11" s="5" t="n"/>
      <c r="G11" s="5" t="n"/>
      <c r="H11" s="5" t="n"/>
    </row>
    <row r="12">
      <c r="A12" t="inlineStr">
        <is>
          <t>EV-008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t="inlineStr">
        <is>
          <t>EV-009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t="inlineStr">
        <is>
          <t>EV-010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t="inlineStr">
        <is>
          <t>EV-011</t>
        </is>
      </c>
      <c r="B15" s="5" t="n"/>
      <c r="C15" s="5" t="n"/>
      <c r="D15" s="5" t="n"/>
      <c r="E15" s="5" t="n"/>
      <c r="F15" s="5" t="n"/>
      <c r="G15" s="5" t="n"/>
      <c r="H15" s="5" t="n"/>
    </row>
    <row r="16">
      <c r="A16" t="inlineStr">
        <is>
          <t>EV-012</t>
        </is>
      </c>
      <c r="B16" s="5" t="n"/>
      <c r="C16" s="5" t="n"/>
      <c r="D16" s="5" t="n"/>
      <c r="E16" s="5" t="n"/>
      <c r="F16" s="5" t="n"/>
      <c r="G16" s="5" t="n"/>
      <c r="H16" s="5" t="n"/>
    </row>
    <row r="17">
      <c r="A17" t="inlineStr">
        <is>
          <t>EV-013</t>
        </is>
      </c>
      <c r="B17" s="5" t="n"/>
      <c r="C17" s="5" t="n"/>
      <c r="D17" s="5" t="n"/>
      <c r="E17" s="5" t="n"/>
      <c r="F17" s="5" t="n"/>
      <c r="G17" s="5" t="n"/>
      <c r="H17" s="5" t="n"/>
    </row>
    <row r="18">
      <c r="A18" t="inlineStr">
        <is>
          <t>EV-014</t>
        </is>
      </c>
      <c r="B18" s="5" t="n"/>
      <c r="C18" s="5" t="n"/>
      <c r="D18" s="5" t="n"/>
      <c r="E18" s="5" t="n"/>
      <c r="F18" s="5" t="n"/>
      <c r="G18" s="5" t="n"/>
      <c r="H18" s="5" t="n"/>
    </row>
    <row r="19">
      <c r="A19" t="inlineStr">
        <is>
          <t>EV-015</t>
        </is>
      </c>
      <c r="B19" s="5" t="n"/>
      <c r="C19" s="5" t="n"/>
      <c r="D19" s="5" t="n"/>
      <c r="E19" s="5" t="n"/>
      <c r="F19" s="5" t="n"/>
      <c r="G19" s="5" t="n"/>
      <c r="H19" s="5" t="n"/>
    </row>
    <row r="20">
      <c r="A20" t="inlineStr">
        <is>
          <t>EV-016</t>
        </is>
      </c>
      <c r="B20" s="5" t="n"/>
      <c r="C20" s="5" t="n"/>
      <c r="D20" s="5" t="n"/>
      <c r="E20" s="5" t="n"/>
      <c r="F20" s="5" t="n"/>
      <c r="G20" s="5" t="n"/>
      <c r="H20" s="5" t="n"/>
    </row>
    <row r="21">
      <c r="A21" t="inlineStr">
        <is>
          <t>EV-017</t>
        </is>
      </c>
      <c r="B21" s="5" t="n"/>
      <c r="C21" s="5" t="n"/>
      <c r="D21" s="5" t="n"/>
      <c r="E21" s="5" t="n"/>
      <c r="F21" s="5" t="n"/>
      <c r="G21" s="5" t="n"/>
      <c r="H21" s="5" t="n"/>
    </row>
    <row r="22">
      <c r="A22" t="inlineStr">
        <is>
          <t>EV-018</t>
        </is>
      </c>
      <c r="B22" s="5" t="n"/>
      <c r="C22" s="5" t="n"/>
      <c r="D22" s="5" t="n"/>
      <c r="E22" s="5" t="n"/>
      <c r="F22" s="5" t="n"/>
      <c r="G22" s="5" t="n"/>
      <c r="H22" s="5" t="n"/>
    </row>
    <row r="23">
      <c r="A23" t="inlineStr">
        <is>
          <t>EV-019</t>
        </is>
      </c>
      <c r="B23" s="5" t="n"/>
      <c r="C23" s="5" t="n"/>
      <c r="D23" s="5" t="n"/>
      <c r="E23" s="5" t="n"/>
      <c r="F23" s="5" t="n"/>
      <c r="G23" s="5" t="n"/>
      <c r="H23" s="5" t="n"/>
    </row>
    <row r="24">
      <c r="A24" t="inlineStr">
        <is>
          <t>EV-020</t>
        </is>
      </c>
      <c r="B24" s="5" t="n"/>
      <c r="C24" s="5" t="n"/>
      <c r="D24" s="5" t="n"/>
      <c r="E24" s="5" t="n"/>
      <c r="F24" s="5" t="n"/>
      <c r="G24" s="5" t="n"/>
      <c r="H24" s="5" t="n"/>
    </row>
    <row r="25">
      <c r="A25" t="inlineStr">
        <is>
          <t>EV-021</t>
        </is>
      </c>
      <c r="B25" s="5" t="n"/>
      <c r="C25" s="5" t="n"/>
      <c r="D25" s="5" t="n"/>
      <c r="E25" s="5" t="n"/>
      <c r="F25" s="5" t="n"/>
      <c r="G25" s="5" t="n"/>
      <c r="H25" s="5" t="n"/>
    </row>
    <row r="26">
      <c r="A26" t="inlineStr">
        <is>
          <t>EV-022</t>
        </is>
      </c>
      <c r="B26" s="5" t="n"/>
      <c r="C26" s="5" t="n"/>
      <c r="D26" s="5" t="n"/>
      <c r="E26" s="5" t="n"/>
      <c r="F26" s="5" t="n"/>
      <c r="G26" s="5" t="n"/>
      <c r="H26" s="5" t="n"/>
    </row>
    <row r="27">
      <c r="A27" t="inlineStr">
        <is>
          <t>EV-023</t>
        </is>
      </c>
      <c r="B27" s="5" t="n"/>
      <c r="C27" s="5" t="n"/>
      <c r="D27" s="5" t="n"/>
      <c r="E27" s="5" t="n"/>
      <c r="F27" s="5" t="n"/>
      <c r="G27" s="5" t="n"/>
      <c r="H27" s="5" t="n"/>
    </row>
    <row r="28">
      <c r="A28" t="inlineStr">
        <is>
          <t>EV-024</t>
        </is>
      </c>
      <c r="B28" s="5" t="n"/>
      <c r="C28" s="5" t="n"/>
      <c r="D28" s="5" t="n"/>
      <c r="E28" s="5" t="n"/>
      <c r="F28" s="5" t="n"/>
      <c r="G28" s="5" t="n"/>
      <c r="H28" s="5" t="n"/>
    </row>
    <row r="29">
      <c r="A29" t="inlineStr">
        <is>
          <t>EV-025</t>
        </is>
      </c>
      <c r="B29" s="5" t="n"/>
      <c r="C29" s="5" t="n"/>
      <c r="D29" s="5" t="n"/>
      <c r="E29" s="5" t="n"/>
      <c r="F29" s="5" t="n"/>
      <c r="G29" s="5" t="n"/>
      <c r="H29" s="5" t="n"/>
    </row>
    <row r="30">
      <c r="A30" t="inlineStr">
        <is>
          <t>EV-026</t>
        </is>
      </c>
      <c r="B30" s="5" t="n"/>
      <c r="C30" s="5" t="n"/>
      <c r="D30" s="5" t="n"/>
      <c r="E30" s="5" t="n"/>
      <c r="F30" s="5" t="n"/>
      <c r="G30" s="5" t="n"/>
      <c r="H30" s="5" t="n"/>
    </row>
    <row r="31">
      <c r="A31" t="inlineStr">
        <is>
          <t>EV-027</t>
        </is>
      </c>
      <c r="B31" s="5" t="n"/>
      <c r="C31" s="5" t="n"/>
      <c r="D31" s="5" t="n"/>
      <c r="E31" s="5" t="n"/>
      <c r="F31" s="5" t="n"/>
      <c r="G31" s="5" t="n"/>
      <c r="H31" s="5" t="n"/>
    </row>
    <row r="32">
      <c r="A32" t="inlineStr">
        <is>
          <t>EV-028</t>
        </is>
      </c>
      <c r="B32" s="5" t="n"/>
      <c r="C32" s="5" t="n"/>
      <c r="D32" s="5" t="n"/>
      <c r="E32" s="5" t="n"/>
      <c r="F32" s="5" t="n"/>
      <c r="G32" s="5" t="n"/>
      <c r="H32" s="5" t="n"/>
    </row>
    <row r="33">
      <c r="A33" t="inlineStr">
        <is>
          <t>EV-029</t>
        </is>
      </c>
      <c r="B33" s="5" t="n"/>
      <c r="C33" s="5" t="n"/>
      <c r="D33" s="5" t="n"/>
      <c r="E33" s="5" t="n"/>
      <c r="F33" s="5" t="n"/>
      <c r="G33" s="5" t="n"/>
      <c r="H33" s="5" t="n"/>
    </row>
    <row r="34">
      <c r="A34" t="inlineStr">
        <is>
          <t>EV-030</t>
        </is>
      </c>
      <c r="B34" s="5" t="n"/>
      <c r="C34" s="5" t="n"/>
      <c r="D34" s="5" t="n"/>
      <c r="E34" s="5" t="n"/>
      <c r="F34" s="5" t="n"/>
      <c r="G34" s="5" t="n"/>
      <c r="H34" s="5" t="n"/>
    </row>
    <row r="35">
      <c r="A35" t="inlineStr">
        <is>
          <t>EV-031</t>
        </is>
      </c>
      <c r="B35" s="5" t="n"/>
      <c r="C35" s="5" t="n"/>
      <c r="D35" s="5" t="n"/>
      <c r="E35" s="5" t="n"/>
      <c r="F35" s="5" t="n"/>
      <c r="G35" s="5" t="n"/>
      <c r="H35" s="5" t="n"/>
    </row>
    <row r="36">
      <c r="A36" t="inlineStr">
        <is>
          <t>EV-032</t>
        </is>
      </c>
      <c r="B36" s="5" t="n"/>
      <c r="C36" s="5" t="n"/>
      <c r="D36" s="5" t="n"/>
      <c r="E36" s="5" t="n"/>
      <c r="F36" s="5" t="n"/>
      <c r="G36" s="5" t="n"/>
      <c r="H36" s="5" t="n"/>
    </row>
    <row r="37">
      <c r="A37" t="inlineStr">
        <is>
          <t>EV-033</t>
        </is>
      </c>
      <c r="B37" s="5" t="n"/>
      <c r="C37" s="5" t="n"/>
      <c r="D37" s="5" t="n"/>
      <c r="E37" s="5" t="n"/>
      <c r="F37" s="5" t="n"/>
      <c r="G37" s="5" t="n"/>
      <c r="H37" s="5" t="n"/>
    </row>
    <row r="38">
      <c r="A38" t="inlineStr">
        <is>
          <t>EV-034</t>
        </is>
      </c>
      <c r="B38" s="5" t="n"/>
      <c r="C38" s="5" t="n"/>
      <c r="D38" s="5" t="n"/>
      <c r="E38" s="5" t="n"/>
      <c r="F38" s="5" t="n"/>
      <c r="G38" s="5" t="n"/>
      <c r="H38" s="5" t="n"/>
    </row>
    <row r="39">
      <c r="A39" t="inlineStr">
        <is>
          <t>EV-035</t>
        </is>
      </c>
      <c r="B39" s="5" t="n"/>
      <c r="C39" s="5" t="n"/>
      <c r="D39" s="5" t="n"/>
      <c r="E39" s="5" t="n"/>
      <c r="F39" s="5" t="n"/>
      <c r="G39" s="5" t="n"/>
      <c r="H39" s="5" t="n"/>
    </row>
    <row r="40">
      <c r="A40" t="inlineStr">
        <is>
          <t>EV-036</t>
        </is>
      </c>
      <c r="B40" s="5" t="n"/>
      <c r="C40" s="5" t="n"/>
      <c r="D40" s="5" t="n"/>
      <c r="E40" s="5" t="n"/>
      <c r="F40" s="5" t="n"/>
      <c r="G40" s="5" t="n"/>
      <c r="H40" s="5" t="n"/>
    </row>
    <row r="41">
      <c r="A41" t="inlineStr">
        <is>
          <t>EV-037</t>
        </is>
      </c>
      <c r="B41" s="5" t="n"/>
      <c r="C41" s="5" t="n"/>
      <c r="D41" s="5" t="n"/>
      <c r="E41" s="5" t="n"/>
      <c r="F41" s="5" t="n"/>
      <c r="G41" s="5" t="n"/>
      <c r="H41" s="5" t="n"/>
    </row>
    <row r="42">
      <c r="A42" t="inlineStr">
        <is>
          <t>EV-038</t>
        </is>
      </c>
      <c r="B42" s="5" t="n"/>
      <c r="C42" s="5" t="n"/>
      <c r="D42" s="5" t="n"/>
      <c r="E42" s="5" t="n"/>
      <c r="F42" s="5" t="n"/>
      <c r="G42" s="5" t="n"/>
      <c r="H42" s="5" t="n"/>
    </row>
    <row r="43">
      <c r="A43" t="inlineStr">
        <is>
          <t>EV-039</t>
        </is>
      </c>
      <c r="B43" s="5" t="n"/>
      <c r="C43" s="5" t="n"/>
      <c r="D43" s="5" t="n"/>
      <c r="E43" s="5" t="n"/>
      <c r="F43" s="5" t="n"/>
      <c r="G43" s="5" t="n"/>
      <c r="H43" s="5" t="n"/>
    </row>
    <row r="44">
      <c r="A44" t="inlineStr">
        <is>
          <t>EV-040</t>
        </is>
      </c>
      <c r="B44" s="5" t="n"/>
      <c r="C44" s="5" t="n"/>
      <c r="D44" s="5" t="n"/>
      <c r="E44" s="5" t="n"/>
      <c r="F44" s="5" t="n"/>
      <c r="G44" s="5" t="n"/>
      <c r="H44" s="5" t="n"/>
    </row>
    <row r="45">
      <c r="A45" t="inlineStr">
        <is>
          <t>EV-041</t>
        </is>
      </c>
      <c r="B45" s="5" t="n"/>
      <c r="C45" s="5" t="n"/>
      <c r="D45" s="5" t="n"/>
      <c r="E45" s="5" t="n"/>
      <c r="F45" s="5" t="n"/>
      <c r="G45" s="5" t="n"/>
      <c r="H45" s="5" t="n"/>
    </row>
    <row r="46">
      <c r="A46" t="inlineStr">
        <is>
          <t>EV-042</t>
        </is>
      </c>
      <c r="B46" s="5" t="n"/>
      <c r="C46" s="5" t="n"/>
      <c r="D46" s="5" t="n"/>
      <c r="E46" s="5" t="n"/>
      <c r="F46" s="5" t="n"/>
      <c r="G46" s="5" t="n"/>
      <c r="H46" s="5" t="n"/>
    </row>
    <row r="47">
      <c r="A47" t="inlineStr">
        <is>
          <t>EV-043</t>
        </is>
      </c>
      <c r="B47" s="5" t="n"/>
      <c r="C47" s="5" t="n"/>
      <c r="D47" s="5" t="n"/>
      <c r="E47" s="5" t="n"/>
      <c r="F47" s="5" t="n"/>
      <c r="G47" s="5" t="n"/>
      <c r="H47" s="5" t="n"/>
    </row>
    <row r="48">
      <c r="A48" t="inlineStr">
        <is>
          <t>EV-044</t>
        </is>
      </c>
      <c r="B48" s="5" t="n"/>
      <c r="C48" s="5" t="n"/>
      <c r="D48" s="5" t="n"/>
      <c r="E48" s="5" t="n"/>
      <c r="F48" s="5" t="n"/>
      <c r="G48" s="5" t="n"/>
      <c r="H48" s="5" t="n"/>
    </row>
    <row r="49">
      <c r="A49" t="inlineStr">
        <is>
          <t>EV-045</t>
        </is>
      </c>
      <c r="B49" s="5" t="n"/>
      <c r="C49" s="5" t="n"/>
      <c r="D49" s="5" t="n"/>
      <c r="E49" s="5" t="n"/>
      <c r="F49" s="5" t="n"/>
      <c r="G49" s="5" t="n"/>
      <c r="H49" s="5" t="n"/>
    </row>
    <row r="50">
      <c r="A50" t="inlineStr">
        <is>
          <t>EV-046</t>
        </is>
      </c>
      <c r="B50" s="5" t="n"/>
      <c r="C50" s="5" t="n"/>
      <c r="D50" s="5" t="n"/>
      <c r="E50" s="5" t="n"/>
      <c r="F50" s="5" t="n"/>
      <c r="G50" s="5" t="n"/>
      <c r="H50" s="5" t="n"/>
    </row>
    <row r="51">
      <c r="A51" t="inlineStr">
        <is>
          <t>EV-047</t>
        </is>
      </c>
      <c r="B51" s="5" t="n"/>
      <c r="C51" s="5" t="n"/>
      <c r="D51" s="5" t="n"/>
      <c r="E51" s="5" t="n"/>
      <c r="F51" s="5" t="n"/>
      <c r="G51" s="5" t="n"/>
      <c r="H51" s="5" t="n"/>
    </row>
    <row r="52">
      <c r="A52" t="inlineStr">
        <is>
          <t>EV-048</t>
        </is>
      </c>
      <c r="B52" s="5" t="n"/>
      <c r="C52" s="5" t="n"/>
      <c r="D52" s="5" t="n"/>
      <c r="E52" s="5" t="n"/>
      <c r="F52" s="5" t="n"/>
      <c r="G52" s="5" t="n"/>
      <c r="H52" s="5" t="n"/>
    </row>
    <row r="53">
      <c r="A53" t="inlineStr">
        <is>
          <t>EV-049</t>
        </is>
      </c>
      <c r="B53" s="5" t="n"/>
      <c r="C53" s="5" t="n"/>
      <c r="D53" s="5" t="n"/>
      <c r="E53" s="5" t="n"/>
      <c r="F53" s="5" t="n"/>
      <c r="G53" s="5" t="n"/>
      <c r="H53" s="5" t="n"/>
    </row>
    <row r="54">
      <c r="A54" t="inlineStr">
        <is>
          <t>EV-050</t>
        </is>
      </c>
      <c r="B54" s="5" t="n"/>
      <c r="C54" s="5" t="n"/>
      <c r="D54" s="5" t="n"/>
      <c r="E54" s="5" t="n"/>
      <c r="F54" s="5" t="n"/>
      <c r="G54" s="5" t="n"/>
      <c r="H54" s="5" t="n"/>
    </row>
    <row r="55">
      <c r="A55" t="inlineStr">
        <is>
          <t>EV-051</t>
        </is>
      </c>
      <c r="B55" s="5" t="n"/>
      <c r="C55" s="5" t="n"/>
      <c r="D55" s="5" t="n"/>
      <c r="E55" s="5" t="n"/>
      <c r="F55" s="5" t="n"/>
      <c r="G55" s="5" t="n"/>
      <c r="H55" s="5" t="n"/>
    </row>
    <row r="56">
      <c r="A56" t="inlineStr">
        <is>
          <t>EV-052</t>
        </is>
      </c>
      <c r="B56" s="5" t="n"/>
      <c r="C56" s="5" t="n"/>
      <c r="D56" s="5" t="n"/>
      <c r="E56" s="5" t="n"/>
      <c r="F56" s="5" t="n"/>
      <c r="G56" s="5" t="n"/>
      <c r="H56" s="5" t="n"/>
    </row>
    <row r="57">
      <c r="A57" t="inlineStr">
        <is>
          <t>EV-053</t>
        </is>
      </c>
      <c r="B57" s="5" t="n"/>
      <c r="C57" s="5" t="n"/>
      <c r="D57" s="5" t="n"/>
      <c r="E57" s="5" t="n"/>
      <c r="F57" s="5" t="n"/>
      <c r="G57" s="5" t="n"/>
      <c r="H57" s="5" t="n"/>
    </row>
    <row r="58">
      <c r="A58" t="inlineStr">
        <is>
          <t>EV-054</t>
        </is>
      </c>
      <c r="B58" s="5" t="n"/>
      <c r="C58" s="5" t="n"/>
      <c r="D58" s="5" t="n"/>
      <c r="E58" s="5" t="n"/>
      <c r="F58" s="5" t="n"/>
      <c r="G58" s="5" t="n"/>
      <c r="H58" s="5" t="n"/>
    </row>
    <row r="59">
      <c r="A59" t="inlineStr">
        <is>
          <t>EV-055</t>
        </is>
      </c>
      <c r="B59" s="5" t="n"/>
      <c r="C59" s="5" t="n"/>
      <c r="D59" s="5" t="n"/>
      <c r="E59" s="5" t="n"/>
      <c r="F59" s="5" t="n"/>
      <c r="G59" s="5" t="n"/>
      <c r="H59" s="5" t="n"/>
    </row>
    <row r="60">
      <c r="A60" t="inlineStr">
        <is>
          <t>EV-056</t>
        </is>
      </c>
      <c r="B60" s="5" t="n"/>
      <c r="C60" s="5" t="n"/>
      <c r="D60" s="5" t="n"/>
      <c r="E60" s="5" t="n"/>
      <c r="F60" s="5" t="n"/>
      <c r="G60" s="5" t="n"/>
      <c r="H60" s="5" t="n"/>
    </row>
    <row r="61">
      <c r="A61" t="inlineStr">
        <is>
          <t>EV-057</t>
        </is>
      </c>
      <c r="B61" s="5" t="n"/>
      <c r="C61" s="5" t="n"/>
      <c r="D61" s="5" t="n"/>
      <c r="E61" s="5" t="n"/>
      <c r="F61" s="5" t="n"/>
      <c r="G61" s="5" t="n"/>
      <c r="H61" s="5" t="n"/>
    </row>
    <row r="62">
      <c r="A62" t="inlineStr">
        <is>
          <t>EV-058</t>
        </is>
      </c>
      <c r="B62" s="5" t="n"/>
      <c r="C62" s="5" t="n"/>
      <c r="D62" s="5" t="n"/>
      <c r="E62" s="5" t="n"/>
      <c r="F62" s="5" t="n"/>
      <c r="G62" s="5" t="n"/>
      <c r="H62" s="5" t="n"/>
    </row>
    <row r="63">
      <c r="A63" t="inlineStr">
        <is>
          <t>EV-059</t>
        </is>
      </c>
      <c r="B63" s="5" t="n"/>
      <c r="C63" s="5" t="n"/>
      <c r="D63" s="5" t="n"/>
      <c r="E63" s="5" t="n"/>
      <c r="F63" s="5" t="n"/>
      <c r="G63" s="5" t="n"/>
      <c r="H63" s="5" t="n"/>
    </row>
    <row r="64">
      <c r="A64" t="inlineStr">
        <is>
          <t>EV-060</t>
        </is>
      </c>
      <c r="B64" s="5" t="n"/>
      <c r="C64" s="5" t="n"/>
      <c r="D64" s="5" t="n"/>
      <c r="E64" s="5" t="n"/>
      <c r="F64" s="5" t="n"/>
      <c r="G64" s="5" t="n"/>
      <c r="H64" s="5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</cols>
  <sheetData>
    <row r="1" ht="30" customHeight="1">
      <c r="A1" s="1" t="inlineStr">
        <is>
          <t>Sheet 8: Dashboard</t>
        </is>
      </c>
    </row>
    <row r="4">
      <c r="A4" s="2" t="inlineStr">
        <is>
          <t>DETECTION EFFECTIVENESS SUMMARY</t>
        </is>
      </c>
    </row>
    <row r="5">
      <c r="A5" s="3" t="inlineStr">
        <is>
          <t>Overall MTTD</t>
        </is>
      </c>
      <c r="B5" s="11">
        <f>'Detection Effectiveness'!D85</f>
        <v/>
      </c>
    </row>
    <row r="6">
      <c r="A6" s="3" t="inlineStr">
        <is>
          <t>Overall MTTT</t>
        </is>
      </c>
      <c r="B6" s="11">
        <f>'Detection Effectiveness'!D90</f>
        <v/>
      </c>
    </row>
    <row r="7">
      <c r="A7" s="3" t="inlineStr">
        <is>
          <t>False Positive Rate</t>
        </is>
      </c>
      <c r="B7" s="11">
        <f>'Detection Effectiveness'!D97</f>
        <v/>
      </c>
    </row>
    <row r="8">
      <c r="A8" s="3" t="inlineStr">
        <is>
          <t>True Positive Rate</t>
        </is>
      </c>
      <c r="B8" s="11">
        <f>'Detection Effectiveness'!D102</f>
        <v/>
      </c>
    </row>
    <row r="9">
      <c r="A9" s="3" t="inlineStr">
        <is>
          <t>Detection Coverage</t>
        </is>
      </c>
      <c r="B9" s="11">
        <f>COUNTIF('Detection Mechanisms'!D23:D33,"Yes")/11*100</f>
        <v/>
      </c>
    </row>
    <row r="10">
      <c r="A10" s="3" t="inlineStr">
        <is>
          <t>Alert-to-Incident Ratio</t>
        </is>
      </c>
      <c r="B10" s="11">
        <f>'Detection Effectiveness'!D104</f>
        <v/>
      </c>
    </row>
  </sheetData>
  <mergeCells count="2">
    <mergeCell ref="A4:D4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</cols>
  <sheetData>
    <row r="1" ht="30" customHeight="1">
      <c r="A1" s="1" t="inlineStr">
        <is>
          <t>Sheet 9: Approval &amp; Sign-Off</t>
        </is>
      </c>
    </row>
    <row r="3">
      <c r="A3" s="12" t="inlineStr">
        <is>
          <t>ASSESSMENT SUMMARY</t>
        </is>
      </c>
    </row>
    <row r="4">
      <c r="A4" s="3" t="inlineStr">
        <is>
          <t>Assessment Document</t>
        </is>
      </c>
      <c r="B4" s="10" t="inlineStr">
        <is>
          <t>ISMS-IMP-A.5.24-28.S2 - Detection &amp; Classification</t>
        </is>
      </c>
    </row>
    <row r="5">
      <c r="A5" s="3" t="inlineStr">
        <is>
          <t>Assessment Period</t>
        </is>
      </c>
      <c r="B5" s="5" t="inlineStr"/>
    </row>
    <row r="6">
      <c r="A6" s="3" t="inlineStr">
        <is>
          <t>False Positive Rate</t>
        </is>
      </c>
      <c r="B6" s="10">
        <f>Dashboard!B7</f>
        <v/>
      </c>
    </row>
    <row r="7">
      <c r="A7" s="3" t="inlineStr">
        <is>
          <t>Detection Coverage</t>
        </is>
      </c>
      <c r="B7" s="10">
        <f>Dashboard!B9</f>
        <v/>
      </c>
    </row>
    <row r="10">
      <c r="A10" s="13" t="inlineStr">
        <is>
          <t>COMPLETED BY (SOC Manager)</t>
        </is>
      </c>
    </row>
    <row r="11">
      <c r="A11" s="3" t="inlineStr">
        <is>
          <t>Name:</t>
        </is>
      </c>
      <c r="B11" s="5" t="n"/>
    </row>
    <row r="12">
      <c r="A12" s="3" t="inlineStr">
        <is>
          <t>Date:</t>
        </is>
      </c>
      <c r="B12" s="5" t="n"/>
    </row>
    <row r="13">
      <c r="A13" s="3" t="inlineStr">
        <is>
          <t>Signature:</t>
        </is>
      </c>
      <c r="B13" s="5" t="n"/>
    </row>
    <row r="15">
      <c r="A15" s="14" t="inlineStr">
        <is>
          <t>APPROVED BY (CISO)</t>
        </is>
      </c>
    </row>
    <row r="16">
      <c r="A16" s="3" t="inlineStr">
        <is>
          <t>Name:</t>
        </is>
      </c>
      <c r="B16" s="5" t="n"/>
    </row>
    <row r="17">
      <c r="A17" s="3" t="inlineStr">
        <is>
          <t>Date:</t>
        </is>
      </c>
      <c r="B17" s="5" t="n"/>
    </row>
    <row r="18">
      <c r="A18" s="3" t="inlineStr">
        <is>
          <t>Approval Decision:</t>
        </is>
      </c>
      <c r="B18" s="5" t="n"/>
    </row>
    <row r="19">
      <c r="A19" s="3" t="inlineStr">
        <is>
          <t>Signature:</t>
        </is>
      </c>
      <c r="B19" s="5" t="n"/>
    </row>
  </sheetData>
  <mergeCells count="11">
    <mergeCell ref="B17:E17"/>
    <mergeCell ref="B18:E18"/>
    <mergeCell ref="B12:E12"/>
    <mergeCell ref="A10:E10"/>
    <mergeCell ref="B13:E13"/>
    <mergeCell ref="A15:E15"/>
    <mergeCell ref="B16:E16"/>
    <mergeCell ref="A1:E1"/>
    <mergeCell ref="B11:E11"/>
    <mergeCell ref="B19:E19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2026-02-08T10:48:54Z</dcterms:created>
  <dcterms:modified xmlns:dcterms="http://purl.org/dc/terms/" xmlns:xsi="http://www.w3.org/2001/XMLSchema-instance" xsi:type="dcterms:W3CDTF">2026-02-08T10:48:54Z</dcterms:modified>
</cp:coreProperties>
</file>