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PIR Process" sheetId="2" state="visible" r:id="rId2"/>
    <sheet xmlns:r="http://schemas.openxmlformats.org/officeDocument/2006/relationships" name="Root Cause Analysis" sheetId="3" state="visible" r:id="rId3"/>
    <sheet xmlns:r="http://schemas.openxmlformats.org/officeDocument/2006/relationships" name="Lessons Learned" sheetId="4" state="visible" r:id="rId4"/>
    <sheet xmlns:r="http://schemas.openxmlformats.org/officeDocument/2006/relationships" name="Control Improvements" sheetId="5" state="visible" r:id="rId5"/>
    <sheet xmlns:r="http://schemas.openxmlformats.org/officeDocument/2006/relationships" name="Trend Analysis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 ht="35" customHeight="1">
      <c r="A1" s="1" t="inlineStr">
        <is>
          <t>ISMS-IMP-A.5.24-28.S5 - Learning &amp; Continuous Improvement Assessment</t>
        </is>
      </c>
    </row>
    <row r="2">
      <c r="A2" s="2" t="inlineStr">
        <is>
          <t>ISO/IEC 27001:2022 - Control A.5.27: Learning from Information Security Incidents</t>
        </is>
      </c>
    </row>
    <row r="4">
      <c r="A4" s="3" t="inlineStr">
        <is>
          <t>Document Information</t>
        </is>
      </c>
      <c r="B4" s="4" t="n"/>
      <c r="C4" s="5" t="n"/>
    </row>
    <row r="5">
      <c r="A5" s="6" t="inlineStr">
        <is>
          <t>Organisation</t>
        </is>
      </c>
      <c r="B5" s="7" t="inlineStr">
        <is>
          <t>[Enter organisation name]</t>
        </is>
      </c>
    </row>
    <row r="6">
      <c r="A6" s="6" t="inlineStr">
        <is>
          <t>Assessment Date</t>
        </is>
      </c>
      <c r="B6" s="7" t="inlineStr">
        <is>
          <t>[DD.MM.YYYY]</t>
        </is>
      </c>
    </row>
    <row r="7">
      <c r="A7" s="6" t="inlineStr">
        <is>
          <t>Assessor Name</t>
        </is>
      </c>
      <c r="B7" s="7" t="inlineStr">
        <is>
          <t>[Enter assessor name]</t>
        </is>
      </c>
    </row>
    <row r="8">
      <c r="A8" s="6" t="inlineStr">
        <is>
          <t>Assessment Period</t>
        </is>
      </c>
      <c r="B8" s="7" t="inlineStr">
        <is>
          <t>[Start date] to [End date]</t>
        </is>
      </c>
    </row>
    <row r="9">
      <c r="A9" s="6" t="inlineStr">
        <is>
          <t>Document Version</t>
        </is>
      </c>
      <c r="B9" s="7" t="inlineStr">
        <is>
          <t>1.0</t>
        </is>
      </c>
    </row>
    <row r="10">
      <c r="A10" s="6" t="inlineStr">
        <is>
          <t>Related Policy</t>
        </is>
      </c>
      <c r="B10" s="7" t="inlineStr">
        <is>
          <t>ISMS-POL-A.5.24-28</t>
        </is>
      </c>
    </row>
    <row r="12">
      <c r="A12" s="3" t="inlineStr">
        <is>
          <t>Status Legend</t>
        </is>
      </c>
      <c r="B12" s="4" t="n"/>
      <c r="C12" s="5" t="n"/>
    </row>
    <row r="13">
      <c r="A13" s="8" t="inlineStr">
        <is>
          <t>Compliant</t>
        </is>
      </c>
      <c r="B13" s="6" t="inlineStr">
        <is>
          <t>Fully meets policy requirements, no gaps identified</t>
        </is>
      </c>
    </row>
    <row r="14">
      <c r="A14" s="9" t="inlineStr">
        <is>
          <t>Partial</t>
        </is>
      </c>
      <c r="B14" s="6" t="inlineStr">
        <is>
          <t>Some requirements met, minor gaps exist</t>
        </is>
      </c>
    </row>
    <row r="15">
      <c r="A15" s="10" t="inlineStr">
        <is>
          <t>Non-Compliant</t>
        </is>
      </c>
      <c r="B15" s="6" t="inlineStr">
        <is>
          <t>Does not meet policy requirements, significant gaps</t>
        </is>
      </c>
    </row>
    <row r="16">
      <c r="A16" s="11" t="inlineStr">
        <is>
          <t>N/A</t>
        </is>
      </c>
      <c r="B16" s="6" t="inlineStr">
        <is>
          <t>Not applicable to this organisation</t>
        </is>
      </c>
    </row>
    <row r="18">
      <c r="A18" s="3" t="inlineStr">
        <is>
          <t>Assessment Scope - 5 Learning Domains</t>
        </is>
      </c>
      <c r="B18" s="4" t="n"/>
      <c r="C18" s="5" t="n"/>
    </row>
    <row r="19">
      <c r="A19" s="6" t="inlineStr">
        <is>
          <t>1. PIR Process</t>
        </is>
      </c>
      <c r="B19" s="6" t="inlineStr">
        <is>
          <t>Timeliness, completeness, quality of post-incident reviews</t>
        </is>
      </c>
    </row>
    <row r="20">
      <c r="A20" s="6" t="inlineStr">
        <is>
          <t>2. Root Cause Analysis</t>
        </is>
      </c>
      <c r="B20" s="6" t="inlineStr">
        <is>
          <t>Depth, methodology, accuracy of RCA</t>
        </is>
      </c>
    </row>
    <row r="21">
      <c r="A21" s="6" t="inlineStr">
        <is>
          <t>3. Lessons Learned</t>
        </is>
      </c>
      <c r="B21" s="6" t="inlineStr">
        <is>
          <t>Documentation, dissemination, knowledge base</t>
        </is>
      </c>
    </row>
    <row r="22">
      <c r="A22" s="6" t="inlineStr">
        <is>
          <t>4. Control Improvements</t>
        </is>
      </c>
      <c r="B22" s="6" t="inlineStr">
        <is>
          <t>Remediation tracking, ownership, closure</t>
        </is>
      </c>
    </row>
    <row r="23">
      <c r="A23" s="6" t="inlineStr">
        <is>
          <t>5. Trend Analysis</t>
        </is>
      </c>
      <c r="B23" s="6" t="inlineStr">
        <is>
          <t>KPIs, trend identification, reporting</t>
        </is>
      </c>
    </row>
    <row r="25">
      <c r="A25" s="3" t="inlineStr">
        <is>
          <t>Completion Instructions</t>
        </is>
      </c>
      <c r="B25" s="4" t="n"/>
      <c r="C25" s="5" t="n"/>
    </row>
    <row r="26">
      <c r="A26" s="6" t="inlineStr">
        <is>
          <t>1. Complete PIR Process sheet - review all PIRs from last 12 months</t>
        </is>
      </c>
      <c r="B26" s="4" t="n"/>
      <c r="C26" s="5" t="n"/>
    </row>
    <row r="27">
      <c r="A27" s="6" t="inlineStr">
        <is>
          <t>2. Complete Root Cause Analysis sheet - assess RCA quality for Critical/High incidents</t>
        </is>
      </c>
      <c r="B27" s="4" t="n"/>
      <c r="C27" s="5" t="n"/>
    </row>
    <row r="28">
      <c r="A28" s="6" t="inlineStr">
        <is>
          <t>3. Complete Lessons Learned sheet - verify documentation and distribution</t>
        </is>
      </c>
      <c r="B28" s="4" t="n"/>
      <c r="C28" s="5" t="n"/>
    </row>
    <row r="29">
      <c r="A29" s="6" t="inlineStr">
        <is>
          <t>4. Complete Control Improvements sheet - track remediation actions</t>
        </is>
      </c>
      <c r="B29" s="4" t="n"/>
      <c r="C29" s="5" t="n"/>
    </row>
    <row r="30">
      <c r="A30" s="6" t="inlineStr">
        <is>
          <t>5. Complete Trend Analysis sheet - verify KPIs and reporting</t>
        </is>
      </c>
      <c r="B30" s="4" t="n"/>
      <c r="C30" s="5" t="n"/>
    </row>
    <row r="31">
      <c r="A31" s="6" t="inlineStr">
        <is>
          <t>6. Review Gap Analysis - auto-populated from above sheets</t>
        </is>
      </c>
      <c r="B31" s="4" t="n"/>
      <c r="C31" s="5" t="n"/>
    </row>
    <row r="32">
      <c r="A32" s="6" t="inlineStr">
        <is>
          <t>7. Link evidence in Evidence Register</t>
        </is>
      </c>
      <c r="B32" s="4" t="n"/>
      <c r="C32" s="5" t="n"/>
    </row>
    <row r="33">
      <c r="A33" s="6" t="inlineStr">
        <is>
          <t>8. Review Summary Dashboard for overall compliance</t>
        </is>
      </c>
      <c r="B33" s="4" t="n"/>
      <c r="C33" s="5" t="n"/>
    </row>
    <row r="34">
      <c r="A34" s="6" t="inlineStr">
        <is>
          <t>9. Complete Approval Sign-Off workflow</t>
        </is>
      </c>
      <c r="B34" s="4" t="n"/>
      <c r="C34" s="5" t="n"/>
    </row>
    <row r="36">
      <c r="A36" s="3" t="inlineStr">
        <is>
          <t>Time Estimates</t>
        </is>
      </c>
      <c r="B36" s="4" t="n"/>
      <c r="C36" s="5" t="n"/>
    </row>
    <row r="37">
      <c r="A37" s="6" t="inlineStr">
        <is>
          <t>Information Gathering</t>
        </is>
      </c>
      <c r="B37" s="6" t="inlineStr">
        <is>
          <t>2-3 hours</t>
        </is>
      </c>
    </row>
    <row r="38">
      <c r="A38" s="6" t="inlineStr">
        <is>
          <t>Historical Sampling</t>
        </is>
      </c>
      <c r="B38" s="6" t="inlineStr">
        <is>
          <t>2-3 hours</t>
        </is>
      </c>
    </row>
    <row r="39">
      <c r="A39" s="6" t="inlineStr">
        <is>
          <t>Assessment Completion</t>
        </is>
      </c>
      <c r="B39" s="6" t="inlineStr">
        <is>
          <t>2-3 hours</t>
        </is>
      </c>
    </row>
    <row r="40">
      <c r="A40" s="6" t="inlineStr">
        <is>
          <t>Evidence Collection</t>
        </is>
      </c>
      <c r="B40" s="6" t="inlineStr">
        <is>
          <t>1-1.5 hours</t>
        </is>
      </c>
    </row>
    <row r="41">
      <c r="A41" s="6" t="inlineStr">
        <is>
          <t>Quality Review</t>
        </is>
      </c>
      <c r="B41" s="6" t="inlineStr">
        <is>
          <t>30-60 minutes</t>
        </is>
      </c>
    </row>
    <row r="42">
      <c r="A42" s="6" t="inlineStr">
        <is>
          <t>Total</t>
        </is>
      </c>
      <c r="B42" s="6" t="inlineStr">
        <is>
          <t>6-10 hours</t>
        </is>
      </c>
    </row>
  </sheetData>
  <mergeCells count="16">
    <mergeCell ref="A25:C25"/>
    <mergeCell ref="A28:C28"/>
    <mergeCell ref="A33:C33"/>
    <mergeCell ref="A36:C36"/>
    <mergeCell ref="A1:C1"/>
    <mergeCell ref="A32:C32"/>
    <mergeCell ref="A31:C31"/>
    <mergeCell ref="A18:C18"/>
    <mergeCell ref="A27:C27"/>
    <mergeCell ref="A30:C30"/>
    <mergeCell ref="A34:C34"/>
    <mergeCell ref="A12:C12"/>
    <mergeCell ref="A4:C4"/>
    <mergeCell ref="A26:C26"/>
    <mergeCell ref="A2:C2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 ht="30" customHeight="1">
      <c r="A1" s="1" t="inlineStr">
        <is>
          <t>Sheet 2: PIR Process Assessment</t>
        </is>
      </c>
    </row>
    <row r="3">
      <c r="A3" s="3" t="inlineStr">
        <is>
          <t>Section A: PIR Inventory (Last 12 Months)</t>
        </is>
      </c>
    </row>
    <row r="5">
      <c r="A5" s="2" t="inlineStr">
        <is>
          <t>Incident_ID</t>
        </is>
      </c>
      <c r="B5" s="2" t="inlineStr">
        <is>
          <t>Incident_Date</t>
        </is>
      </c>
      <c r="C5" s="2" t="inlineStr">
        <is>
          <t>Severity</t>
        </is>
      </c>
      <c r="D5" s="2" t="inlineStr">
        <is>
          <t>Resolution_Date</t>
        </is>
      </c>
      <c r="E5" s="2" t="inlineStr">
        <is>
          <t>PIR_Status</t>
        </is>
      </c>
      <c r="F5" s="2" t="inlineStr">
        <is>
          <t>PIR_Completion_Date</t>
        </is>
      </c>
      <c r="G5" s="2" t="inlineStr">
        <is>
          <t>SLA_Days</t>
        </is>
      </c>
      <c r="H5" s="2" t="inlineStr">
        <is>
          <t>Actual_Days</t>
        </is>
      </c>
      <c r="I5" s="2" t="inlineStr">
        <is>
          <t>SLA_Met</t>
        </is>
      </c>
      <c r="J5" s="2" t="inlineStr">
        <is>
          <t>Participants_Met</t>
        </is>
      </c>
      <c r="K5" s="2" t="inlineStr">
        <is>
          <t>Quality_Score</t>
        </is>
      </c>
      <c r="L5" s="2" t="inlineStr">
        <is>
          <t>Evidence_Ref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</row>
    <row r="58">
      <c r="A58" s="3" t="inlineStr">
        <is>
          <t>Section B: PIR Quality Scoring Criteria (Reference)</t>
        </is>
      </c>
    </row>
    <row r="59">
      <c r="A59" s="6" t="inlineStr">
        <is>
          <t>5 - Excellent</t>
        </is>
      </c>
      <c r="B59" s="6" t="inlineStr">
        <is>
          <t>Complete timeline, full impact assessment, all action items with owners/dates, root cause referenced, distributed</t>
        </is>
      </c>
    </row>
    <row r="60">
      <c r="A60" s="6" t="inlineStr">
        <is>
          <t>4 - Good</t>
        </is>
      </c>
      <c r="B60" s="6" t="inlineStr">
        <is>
          <t>Timeline and impact documented, most action items defined, minor gaps in distribution</t>
        </is>
      </c>
    </row>
    <row r="61">
      <c r="A61" s="6" t="inlineStr">
        <is>
          <t>3 - Adequate</t>
        </is>
      </c>
      <c r="B61" s="6" t="inlineStr">
        <is>
          <t>Basic incident summary, some action items defined, distribution incomplete</t>
        </is>
      </c>
    </row>
    <row r="62">
      <c r="A62" s="6" t="inlineStr">
        <is>
          <t>2 - Poor</t>
        </is>
      </c>
      <c r="B62" s="6" t="inlineStr">
        <is>
          <t>Minimal documentation, few action items, no distribution</t>
        </is>
      </c>
    </row>
    <row r="63">
      <c r="A63" s="6" t="inlineStr">
        <is>
          <t>1 - Non-existent</t>
        </is>
      </c>
      <c r="B63" s="6" t="inlineStr">
        <is>
          <t>PIR marked complete but no substantive report exists</t>
        </is>
      </c>
    </row>
    <row r="65">
      <c r="A65" s="3" t="inlineStr">
        <is>
          <t>Section C: PIR Process Summary</t>
        </is>
      </c>
    </row>
    <row r="66">
      <c r="A66" s="6" t="inlineStr">
        <is>
          <t>Total incidents in period</t>
        </is>
      </c>
      <c r="B66" s="4" t="n"/>
      <c r="C66" s="5" t="n"/>
      <c r="D66" s="12">
        <f>COUNTA(A6:A55)</f>
        <v/>
      </c>
    </row>
    <row r="67">
      <c r="A67" s="6" t="inlineStr">
        <is>
          <t>PIRs completed</t>
        </is>
      </c>
      <c r="B67" s="4" t="n"/>
      <c r="C67" s="5" t="n"/>
      <c r="D67" s="12">
        <f>COUNTIF(E6:E55,"Completed")</f>
        <v/>
      </c>
    </row>
    <row r="68">
      <c r="A68" s="6" t="inlineStr">
        <is>
          <t>PIRs overdue</t>
        </is>
      </c>
      <c r="B68" s="4" t="n"/>
      <c r="C68" s="5" t="n"/>
      <c r="D68" s="12">
        <f>COUNTIF(E6:E55,"Overdue")</f>
        <v/>
      </c>
    </row>
    <row r="69">
      <c r="A69" s="6" t="inlineStr">
        <is>
          <t>SLA compliance rate (%)</t>
        </is>
      </c>
      <c r="B69" s="4" t="n"/>
      <c r="C69" s="5" t="n"/>
      <c r="D69" s="12">
        <f>IF(B67&gt;0,COUNTIF(I6:I55,"Yes")/B67*100,0)</f>
        <v/>
      </c>
    </row>
    <row r="70">
      <c r="A70" s="6" t="inlineStr">
        <is>
          <t>Average quality score</t>
        </is>
      </c>
      <c r="B70" s="4" t="n"/>
      <c r="C70" s="5" t="n"/>
      <c r="D70" s="12">
        <f>AVERAGE(K6:K55)</f>
        <v/>
      </c>
    </row>
    <row r="71">
      <c r="A71" s="6" t="inlineStr">
        <is>
          <t>Participant requirement met (%)</t>
        </is>
      </c>
      <c r="B71" s="4" t="n"/>
      <c r="C71" s="5" t="n"/>
      <c r="D71" s="12">
        <f>IF(B67&gt;0,COUNTIF(J6:J55,"Yes")/B67*100,0)</f>
        <v/>
      </c>
    </row>
  </sheetData>
  <mergeCells count="15">
    <mergeCell ref="A68:C68"/>
    <mergeCell ref="A66:C66"/>
    <mergeCell ref="A71:C71"/>
    <mergeCell ref="B62:L62"/>
    <mergeCell ref="A1:L1"/>
    <mergeCell ref="B59:L59"/>
    <mergeCell ref="A70:C70"/>
    <mergeCell ref="A67:C67"/>
    <mergeCell ref="A58:L58"/>
    <mergeCell ref="A69:C69"/>
    <mergeCell ref="B60:L60"/>
    <mergeCell ref="A3:L3"/>
    <mergeCell ref="B63:L63"/>
    <mergeCell ref="B61:L61"/>
    <mergeCell ref="A65:L65"/>
  </mergeCells>
  <dataValidations count="4">
    <dataValidation sqref="C6:C55" showDropDown="0" showInputMessage="0" showErrorMessage="0" allowBlank="1" type="list">
      <formula1>"Critical,High,Medium,Low"</formula1>
    </dataValidation>
    <dataValidation sqref="E6:E55" showDropDown="0" showInputMessage="0" showErrorMessage="0" allowBlank="1" type="list">
      <formula1>"Completed,Overdue,Pending,Not_Required"</formula1>
    </dataValidation>
    <dataValidation sqref="I6:I55 J6:J55" showDropDown="0" showInputMessage="0" showErrorMessage="0" allowBlank="1" type="list">
      <formula1>"Yes,No"</formula1>
    </dataValidation>
    <dataValidation sqref="K6:K5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  <col width="30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Sheet 3: Root Cause Analysis Assessment</t>
        </is>
      </c>
    </row>
    <row r="3">
      <c r="A3" s="3" t="inlineStr">
        <is>
          <t>Section A: RCA Inventory (Critical and High Incidents)</t>
        </is>
      </c>
    </row>
    <row r="5">
      <c r="A5" s="2" t="inlineStr">
        <is>
          <t>Incident_ID</t>
        </is>
      </c>
      <c r="B5" s="2" t="inlineStr">
        <is>
          <t>Severity</t>
        </is>
      </c>
      <c r="C5" s="2" t="inlineStr">
        <is>
          <t>RCA_Status</t>
        </is>
      </c>
      <c r="D5" s="2" t="inlineStr">
        <is>
          <t>RCA_Date</t>
        </is>
      </c>
      <c r="E5" s="2" t="inlineStr">
        <is>
          <t>Methodology</t>
        </is>
      </c>
      <c r="F5" s="2" t="inlineStr">
        <is>
          <t>Root_Cause_Summary</t>
        </is>
      </c>
      <c r="G5" s="2" t="inlineStr">
        <is>
          <t>Depth_Score</t>
        </is>
      </c>
      <c r="H5" s="2" t="inlineStr">
        <is>
          <t>Recurring</t>
        </is>
      </c>
      <c r="I5" s="2" t="inlineStr">
        <is>
          <t>Evidence_Ref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</row>
    <row r="40">
      <c r="A40" s="3" t="inlineStr">
        <is>
          <t>Section B: RCA Quality Questions</t>
        </is>
      </c>
    </row>
    <row r="41">
      <c r="A41" s="6" t="inlineStr">
        <is>
          <t>Does RCA go beyond immediate technical cause to identify process/governance gaps?</t>
        </is>
      </c>
      <c r="B41" s="4" t="n"/>
      <c r="C41" s="4" t="n"/>
      <c r="D41" s="4" t="n"/>
      <c r="E41" s="4" t="n"/>
      <c r="F41" s="4" t="n"/>
      <c r="G41" s="5" t="n"/>
      <c r="H41" s="7" t="inlineStr"/>
    </row>
    <row r="42">
      <c r="A42" s="6" t="inlineStr">
        <is>
          <t>Was the RCA methodology appropriate for the incident complexity?</t>
        </is>
      </c>
      <c r="B42" s="4" t="n"/>
      <c r="C42" s="4" t="n"/>
      <c r="D42" s="4" t="n"/>
      <c r="E42" s="4" t="n"/>
      <c r="F42" s="4" t="n"/>
      <c r="G42" s="5" t="n"/>
      <c r="H42" s="7" t="inlineStr"/>
    </row>
    <row r="43">
      <c r="A43" s="6" t="inlineStr">
        <is>
          <t>Are preventive recommendations specific and actionable?</t>
        </is>
      </c>
      <c r="B43" s="4" t="n"/>
      <c r="C43" s="4" t="n"/>
      <c r="D43" s="4" t="n"/>
      <c r="E43" s="4" t="n"/>
      <c r="F43" s="4" t="n"/>
      <c r="G43" s="5" t="n"/>
      <c r="H43" s="7" t="inlineStr"/>
    </row>
    <row r="44">
      <c r="A44" s="6" t="inlineStr">
        <is>
          <t>Has the RCA been reviewed by someone other than the incident owner?</t>
        </is>
      </c>
      <c r="B44" s="4" t="n"/>
      <c r="C44" s="4" t="n"/>
      <c r="D44" s="4" t="n"/>
      <c r="E44" s="4" t="n"/>
      <c r="F44" s="4" t="n"/>
      <c r="G44" s="5" t="n"/>
      <c r="H44" s="7" t="inlineStr"/>
    </row>
    <row r="47">
      <c r="A47" s="3" t="inlineStr">
        <is>
          <t>Section C: RCA Summary</t>
        </is>
      </c>
    </row>
    <row r="48">
      <c r="A48" s="6" t="inlineStr">
        <is>
          <t>Critical/High incidents in period</t>
        </is>
      </c>
      <c r="B48" s="4" t="n"/>
      <c r="C48" s="5" t="n"/>
      <c r="D48" s="12">
        <f>COUNTA(A6:A35)</f>
        <v/>
      </c>
    </row>
    <row r="49">
      <c r="A49" s="6" t="inlineStr">
        <is>
          <t>RCAs completed</t>
        </is>
      </c>
      <c r="B49" s="4" t="n"/>
      <c r="C49" s="5" t="n"/>
      <c r="D49" s="12">
        <f>COUNTIF(C6:C35,"Completed")</f>
        <v/>
      </c>
    </row>
    <row r="50">
      <c r="A50" s="6" t="inlineStr">
        <is>
          <t>RCAs not performed</t>
        </is>
      </c>
      <c r="B50" s="4" t="n"/>
      <c r="C50" s="5" t="n"/>
      <c r="D50" s="12">
        <f>COUNTIF(C6:C35,"Not_Performed")</f>
        <v/>
      </c>
    </row>
    <row r="51">
      <c r="A51" s="6" t="inlineStr">
        <is>
          <t>Systemic depth RCAs</t>
        </is>
      </c>
      <c r="B51" s="4" t="n"/>
      <c r="C51" s="5" t="n"/>
      <c r="D51" s="12">
        <f>COUNTIF(G6:G35,"3 - Systemic")</f>
        <v/>
      </c>
    </row>
    <row r="52">
      <c r="A52" s="6" t="inlineStr">
        <is>
          <t>Recurring root causes</t>
        </is>
      </c>
      <c r="B52" s="4" t="n"/>
      <c r="C52" s="5" t="n"/>
      <c r="D52" s="12">
        <f>COUNTIF(H6:H35,"Yes")</f>
        <v/>
      </c>
    </row>
  </sheetData>
  <mergeCells count="13">
    <mergeCell ref="A50:C50"/>
    <mergeCell ref="A44:G44"/>
    <mergeCell ref="A49:C49"/>
    <mergeCell ref="A47:I47"/>
    <mergeCell ref="A1:I1"/>
    <mergeCell ref="A40:I40"/>
    <mergeCell ref="A3:I3"/>
    <mergeCell ref="A43:G43"/>
    <mergeCell ref="A41:G41"/>
    <mergeCell ref="A48:C48"/>
    <mergeCell ref="A51:C51"/>
    <mergeCell ref="A42:G42"/>
    <mergeCell ref="A52:C52"/>
  </mergeCells>
  <dataValidations count="6">
    <dataValidation sqref="B6:B35" showDropDown="0" showInputMessage="0" showErrorMessage="0" allowBlank="1" type="list">
      <formula1>"Critical,High"</formula1>
    </dataValidation>
    <dataValidation sqref="C6:C35" showDropDown="0" showInputMessage="0" showErrorMessage="0" allowBlank="1" type="list">
      <formula1>"Completed,In_Progress,Not_Performed"</formula1>
    </dataValidation>
    <dataValidation sqref="E6:E35" showDropDown="0" showInputMessage="0" showErrorMessage="0" allowBlank="1" type="list">
      <formula1>"5_Whys,Fishbone,Fault_Tree,Timeline,Combined,Other"</formula1>
    </dataValidation>
    <dataValidation sqref="G6:G35" showDropDown="0" showInputMessage="0" showErrorMessage="0" allowBlank="1" type="list">
      <formula1>"1 - Technical,2 - Procedural,3 - Systemic"</formula1>
    </dataValidation>
    <dataValidation sqref="H6:H35" showDropDown="0" showInputMessage="0" showErrorMessage="0" allowBlank="1" type="list">
      <formula1>"Yes,No"</formula1>
    </dataValidation>
    <dataValidation sqref="H41:H44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Sheet 4: Lessons Learned Assessment</t>
        </is>
      </c>
    </row>
    <row r="3">
      <c r="A3" s="3" t="inlineStr">
        <is>
          <t>Section A: Lessons Learned Log (Per PIR)</t>
        </is>
      </c>
    </row>
    <row r="5">
      <c r="A5" s="2" t="inlineStr">
        <is>
          <t>PIR_ID</t>
        </is>
      </c>
      <c r="B5" s="2" t="inlineStr">
        <is>
          <t>LL_Entry_Date</t>
        </is>
      </c>
      <c r="C5" s="2" t="inlineStr">
        <is>
          <t>Lesson_Summary</t>
        </is>
      </c>
      <c r="D5" s="2" t="inlineStr">
        <is>
          <t>Distribution_Date</t>
        </is>
      </c>
      <c r="E5" s="2" t="inlineStr">
        <is>
          <t>SLA_Met</t>
        </is>
      </c>
      <c r="F5" s="2" t="inlineStr">
        <is>
          <t>Playbook_Update</t>
        </is>
      </c>
      <c r="G5" s="2" t="inlineStr">
        <is>
          <t>Playbook_Date</t>
        </is>
      </c>
      <c r="H5" s="2" t="inlineStr">
        <is>
          <t>Evidence_Ref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</row>
    <row r="58">
      <c r="A58" s="3" t="inlineStr">
        <is>
          <t>Section B: Knowledge Base Inventory</t>
        </is>
      </c>
    </row>
    <row r="60">
      <c r="A60" s="2" t="inlineStr">
        <is>
          <t>KB_ID</t>
        </is>
      </c>
      <c r="B60" s="2" t="inlineStr">
        <is>
          <t>Title</t>
        </is>
      </c>
      <c r="C60" s="2" t="inlineStr">
        <is>
          <t>Type</t>
        </is>
      </c>
      <c r="D60" s="2" t="inlineStr">
        <is>
          <t>Last_Updated</t>
        </is>
      </c>
      <c r="E60" s="2" t="inlineStr">
        <is>
          <t>Status</t>
        </is>
      </c>
      <c r="F60" s="2" t="inlineStr">
        <is>
          <t>Owner</t>
        </is>
      </c>
      <c r="G60" s="2" t="inlineStr">
        <is>
          <t>Evidence_Ref</t>
        </is>
      </c>
      <c r="H60" s="2" t="inlineStr"/>
    </row>
    <row r="6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</row>
    <row r="74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</row>
    <row r="75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</row>
    <row r="78">
      <c r="A78" s="3" t="inlineStr">
        <is>
          <t>Section C: Lessons Learned Summary</t>
        </is>
      </c>
    </row>
    <row r="79">
      <c r="A79" s="6" t="inlineStr">
        <is>
          <t>Total lessons learned entries</t>
        </is>
      </c>
      <c r="B79" s="4" t="n"/>
      <c r="C79" s="5" t="n"/>
      <c r="D79" s="12">
        <f>COUNTA(A6:A55)</f>
        <v/>
      </c>
    </row>
    <row r="80">
      <c r="A80" s="6" t="inlineStr">
        <is>
          <t>Distribution SLA met (%)</t>
        </is>
      </c>
      <c r="B80" s="4" t="n"/>
      <c r="C80" s="5" t="n"/>
      <c r="D80" s="12">
        <f>IF(COUNTA(A6:A55)&gt;0,COUNTIF(E6:E55,"Yes")/COUNTA(A6:A55)*100,0)</f>
        <v/>
      </c>
    </row>
    <row r="81">
      <c r="A81" s="6" t="inlineStr">
        <is>
          <t>Playbook updates completed</t>
        </is>
      </c>
      <c r="B81" s="4" t="n"/>
      <c r="C81" s="5" t="n"/>
      <c r="D81" s="12">
        <f>COUNTIF(F6:F55,"Yes")</f>
        <v/>
      </c>
    </row>
    <row r="82">
      <c r="A82" s="6" t="inlineStr">
        <is>
          <t>KB items current</t>
        </is>
      </c>
      <c r="B82" s="4" t="n"/>
      <c r="C82" s="5" t="n"/>
      <c r="D82" s="12">
        <f>COUNTIF(E60:E74,"Current")</f>
        <v/>
      </c>
    </row>
    <row r="83">
      <c r="A83" s="6" t="inlineStr">
        <is>
          <t>KB items outdated/missing</t>
        </is>
      </c>
      <c r="B83" s="4" t="n"/>
      <c r="C83" s="5" t="n"/>
      <c r="D83" s="12">
        <f>COUNTIFS(E60:E74,"&lt;&gt;Current",E60:E74,"&lt;&gt;")</f>
        <v/>
      </c>
    </row>
  </sheetData>
  <mergeCells count="9">
    <mergeCell ref="A82:C82"/>
    <mergeCell ref="A78:H78"/>
    <mergeCell ref="A3:H3"/>
    <mergeCell ref="A80:C80"/>
    <mergeCell ref="A79:C79"/>
    <mergeCell ref="A83:C83"/>
    <mergeCell ref="A1:H1"/>
    <mergeCell ref="A81:C81"/>
    <mergeCell ref="A58:H58"/>
  </mergeCells>
  <dataValidations count="3">
    <dataValidation sqref="E6:E55 F6:F55" showDropDown="0" showInputMessage="0" showErrorMessage="0" allowBlank="1" type="list">
      <formula1>"Yes,No,N/A"</formula1>
    </dataValidation>
    <dataValidation sqref="C61:C75" showDropDown="0" showInputMessage="0" showErrorMessage="0" allowBlank="1" type="list">
      <formula1>"Playbook,Procedure,Template,Reference,Training"</formula1>
    </dataValidation>
    <dataValidation sqref="E61:E75" showDropDown="0" showInputMessage="0" showErrorMessage="0" allowBlank="1" type="list">
      <formula1>"Current,Outdated,Missing,Under_Review"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</cols>
  <sheetData>
    <row r="1" ht="30" customHeight="1">
      <c r="A1" s="1" t="inlineStr">
        <is>
          <t>Sheet 5: Control Improvements Assessment</t>
        </is>
      </c>
    </row>
    <row r="3">
      <c r="A3" s="3" t="inlineStr">
        <is>
          <t>Section A: Remediation Action Register</t>
        </is>
      </c>
    </row>
    <row r="5">
      <c r="A5" s="2" t="inlineStr">
        <is>
          <t>Action_ID</t>
        </is>
      </c>
      <c r="B5" s="2" t="inlineStr">
        <is>
          <t>Source_Incident</t>
        </is>
      </c>
      <c r="C5" s="2" t="inlineStr">
        <is>
          <t>Action_Description</t>
        </is>
      </c>
      <c r="D5" s="2" t="inlineStr">
        <is>
          <t>Priority</t>
        </is>
      </c>
      <c r="E5" s="2" t="inlineStr">
        <is>
          <t>Owner</t>
        </is>
      </c>
      <c r="F5" s="2" t="inlineStr">
        <is>
          <t>Target_Date</t>
        </is>
      </c>
      <c r="G5" s="2" t="inlineStr">
        <is>
          <t>Status</t>
        </is>
      </c>
      <c r="H5" s="2" t="inlineStr">
        <is>
          <t>Completion_Date</t>
        </is>
      </c>
      <c r="I5" s="2" t="inlineStr">
        <is>
          <t>Verified_By</t>
        </is>
      </c>
      <c r="J5" s="2" t="inlineStr">
        <is>
          <t>Escalated</t>
        </is>
      </c>
      <c r="K5" s="2" t="inlineStr">
        <is>
          <t>Evidence_Ref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</row>
    <row r="57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</row>
    <row r="58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</row>
    <row r="59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</row>
    <row r="60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</row>
    <row r="6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</row>
    <row r="74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</row>
    <row r="75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</row>
    <row r="80">
      <c r="A80" s="3" t="inlineStr">
        <is>
          <t>Section B: Action Summary Metrics</t>
        </is>
      </c>
    </row>
    <row r="81">
      <c r="A81" s="6" t="inlineStr">
        <is>
          <t>Total actions</t>
        </is>
      </c>
      <c r="B81" s="4" t="n"/>
      <c r="C81" s="5" t="n"/>
      <c r="D81" s="12">
        <f>COUNTA(A6:A75)</f>
        <v/>
      </c>
    </row>
    <row r="82">
      <c r="A82" s="6" t="inlineStr">
        <is>
          <t>Actions completed</t>
        </is>
      </c>
      <c r="B82" s="4" t="n"/>
      <c r="C82" s="5" t="n"/>
      <c r="D82" s="12">
        <f>COUNTIF(G6:G75,"Completed")</f>
        <v/>
      </c>
    </row>
    <row r="83">
      <c r="A83" s="6" t="inlineStr">
        <is>
          <t>Actions open</t>
        </is>
      </c>
      <c r="B83" s="4" t="n"/>
      <c r="C83" s="5" t="n"/>
      <c r="D83" s="12">
        <f>COUNTIF(G6:G75,"Open")</f>
        <v/>
      </c>
    </row>
    <row r="84">
      <c r="A84" s="6" t="inlineStr">
        <is>
          <t>Actions blocked</t>
        </is>
      </c>
      <c r="B84" s="4" t="n"/>
      <c r="C84" s="5" t="n"/>
      <c r="D84" s="12">
        <f>COUNTIF(G6:G75,"Blocked")</f>
        <v/>
      </c>
    </row>
    <row r="85">
      <c r="A85" s="6" t="inlineStr">
        <is>
          <t>Closure rate (%)</t>
        </is>
      </c>
      <c r="B85" s="4" t="n"/>
      <c r="C85" s="5" t="n"/>
      <c r="D85" s="12">
        <f>IF(COUNTA(A6:A75)&gt;0,COUNTIF(G6:G75,"Completed")/COUNTA(A6:A75)*100,0)</f>
        <v/>
      </c>
    </row>
    <row r="86">
      <c r="A86" s="6" t="inlineStr">
        <is>
          <t>Critical actions open</t>
        </is>
      </c>
      <c r="B86" s="4" t="n"/>
      <c r="C86" s="5" t="n"/>
      <c r="D86" s="12">
        <f>COUNTIFS(D6:D75,"Critical",G6:G75,"&lt;&gt;Completed")</f>
        <v/>
      </c>
    </row>
    <row r="87">
      <c r="A87" s="6" t="inlineStr">
        <is>
          <t>Overdue actions</t>
        </is>
      </c>
      <c r="B87" s="4" t="n"/>
      <c r="C87" s="5" t="n"/>
      <c r="D87" s="12">
        <f>COUNTIFS(F6:F75,"&lt;"&amp;TODAY(),G6:G75,"&lt;&gt;Completed")</f>
        <v/>
      </c>
    </row>
  </sheetData>
  <mergeCells count="10">
    <mergeCell ref="A82:C82"/>
    <mergeCell ref="A3:K3"/>
    <mergeCell ref="A85:C85"/>
    <mergeCell ref="A84:C84"/>
    <mergeCell ref="A1:K1"/>
    <mergeCell ref="A83:C83"/>
    <mergeCell ref="A87:C87"/>
    <mergeCell ref="A80:K80"/>
    <mergeCell ref="A81:C81"/>
    <mergeCell ref="A86:C86"/>
  </mergeCells>
  <dataValidations count="3">
    <dataValidation sqref="D6:D75" showDropDown="0" showInputMessage="0" showErrorMessage="0" allowBlank="1" type="list">
      <formula1>"Critical,High,Medium,Low"</formula1>
    </dataValidation>
    <dataValidation sqref="G6:G75" showDropDown="0" showInputMessage="0" showErrorMessage="0" allowBlank="1" type="list">
      <formula1>"Open,In_Progress,Completed,Blocked,Cancelled"</formula1>
    </dataValidation>
    <dataValidation sqref="J6:J7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</cols>
  <sheetData>
    <row r="1" ht="30" customHeight="1">
      <c r="A1" s="1" t="inlineStr">
        <is>
          <t>Sheet 6: Trend Analysis Assessment</t>
        </is>
      </c>
    </row>
    <row r="3">
      <c r="A3" s="3" t="inlineStr">
        <is>
          <t>Section A: KPI Definitions and Current Values</t>
        </is>
      </c>
    </row>
    <row r="5">
      <c r="A5" s="2" t="inlineStr">
        <is>
          <t>KPI</t>
        </is>
      </c>
      <c r="B5" s="2" t="inlineStr">
        <is>
          <t>Metric_Type</t>
        </is>
      </c>
      <c r="C5" s="2" t="inlineStr">
        <is>
          <t>Target</t>
        </is>
      </c>
      <c r="D5" s="2" t="inlineStr">
        <is>
          <t>Current</t>
        </is>
      </c>
      <c r="E5" s="2" t="inlineStr">
        <is>
          <t>Status</t>
        </is>
      </c>
      <c r="F5" s="2" t="inlineStr">
        <is>
          <t>Trend</t>
        </is>
      </c>
      <c r="G5" s="2" t="inlineStr">
        <is>
          <t>Period</t>
        </is>
      </c>
      <c r="H5" s="2" t="inlineStr">
        <is>
          <t>Evidence_Ref</t>
        </is>
      </c>
    </row>
    <row r="6">
      <c r="A6" s="6" t="inlineStr">
        <is>
          <t>Incident Recurrence Rate</t>
        </is>
      </c>
      <c r="B6" s="6" t="inlineStr">
        <is>
          <t>Percentage</t>
        </is>
      </c>
      <c r="C6" s="6" t="inlineStr">
        <is>
          <t>&lt;=15%</t>
        </is>
      </c>
      <c r="D6" s="7" t="inlineStr"/>
      <c r="E6" s="7" t="inlineStr"/>
      <c r="F6" s="7" t="inlineStr"/>
      <c r="G6" s="7" t="inlineStr"/>
      <c r="H6" s="7" t="inlineStr"/>
    </row>
    <row r="7">
      <c r="A7" s="6" t="inlineStr">
        <is>
          <t>PIR SLA Compliance Rate</t>
        </is>
      </c>
      <c r="B7" s="6" t="inlineStr">
        <is>
          <t>Percentage</t>
        </is>
      </c>
      <c r="C7" s="6" t="inlineStr">
        <is>
          <t>&gt;=95%</t>
        </is>
      </c>
      <c r="D7" s="7" t="inlineStr"/>
      <c r="E7" s="7" t="inlineStr"/>
      <c r="F7" s="7" t="inlineStr"/>
      <c r="G7" s="7" t="inlineStr"/>
      <c r="H7" s="7" t="inlineStr"/>
    </row>
    <row r="8">
      <c r="A8" s="6" t="inlineStr">
        <is>
          <t>Lessons Learned Distribution SLA</t>
        </is>
      </c>
      <c r="B8" s="6" t="inlineStr">
        <is>
          <t>Percentage</t>
        </is>
      </c>
      <c r="C8" s="6" t="inlineStr">
        <is>
          <t>&gt;=90%</t>
        </is>
      </c>
      <c r="D8" s="7" t="inlineStr"/>
      <c r="E8" s="7" t="inlineStr"/>
      <c r="F8" s="7" t="inlineStr"/>
      <c r="G8" s="7" t="inlineStr"/>
      <c r="H8" s="7" t="inlineStr"/>
    </row>
    <row r="9">
      <c r="A9" s="6" t="inlineStr">
        <is>
          <t>Remediation Closure Rate</t>
        </is>
      </c>
      <c r="B9" s="6" t="inlineStr">
        <is>
          <t>Percentage</t>
        </is>
      </c>
      <c r="C9" s="6" t="inlineStr">
        <is>
          <t>&gt;=85%</t>
        </is>
      </c>
      <c r="D9" s="7" t="inlineStr"/>
      <c r="E9" s="7" t="inlineStr"/>
      <c r="F9" s="7" t="inlineStr"/>
      <c r="G9" s="7" t="inlineStr"/>
      <c r="H9" s="7" t="inlineStr"/>
    </row>
    <row r="10">
      <c r="A10" s="6" t="inlineStr">
        <is>
          <t>Average PIR Quality Score</t>
        </is>
      </c>
      <c r="B10" s="6" t="inlineStr">
        <is>
          <t>Score (1-5)</t>
        </is>
      </c>
      <c r="C10" s="6" t="inlineStr">
        <is>
          <t>&gt;=4.0</t>
        </is>
      </c>
      <c r="D10" s="7" t="inlineStr"/>
      <c r="E10" s="7" t="inlineStr"/>
      <c r="F10" s="7" t="inlineStr"/>
      <c r="G10" s="7" t="inlineStr"/>
      <c r="H10" s="7" t="inlineStr"/>
    </row>
    <row r="11">
      <c r="A11" s="6" t="inlineStr">
        <is>
          <t>RCA Completion Rate (Crit/High)</t>
        </is>
      </c>
      <c r="B11" s="6" t="inlineStr">
        <is>
          <t>Percentage</t>
        </is>
      </c>
      <c r="C11" s="6" t="inlineStr">
        <is>
          <t>100%</t>
        </is>
      </c>
      <c r="D11" s="7" t="inlineStr"/>
      <c r="E11" s="7" t="inlineStr"/>
      <c r="F11" s="7" t="inlineStr"/>
      <c r="G11" s="7" t="inlineStr"/>
      <c r="H11" s="7" t="inlineStr"/>
    </row>
    <row r="12">
      <c r="A12" s="6" t="inlineStr">
        <is>
          <t>MTTD (Critical Incidents)</t>
        </is>
      </c>
      <c r="B12" s="6" t="inlineStr">
        <is>
          <t>Hours</t>
        </is>
      </c>
      <c r="C12" s="6" t="inlineStr">
        <is>
          <t>&lt;=1</t>
        </is>
      </c>
      <c r="D12" s="7" t="inlineStr"/>
      <c r="E12" s="7" t="inlineStr"/>
      <c r="F12" s="7" t="inlineStr"/>
      <c r="G12" s="7" t="inlineStr"/>
      <c r="H12" s="7" t="inlineStr"/>
    </row>
    <row r="13">
      <c r="A13" s="6" t="inlineStr">
        <is>
          <t>MTTR (Critical Incidents)</t>
        </is>
      </c>
      <c r="B13" s="6" t="inlineStr">
        <is>
          <t>Hours</t>
        </is>
      </c>
      <c r="C13" s="6" t="inlineStr">
        <is>
          <t>&lt;=4</t>
        </is>
      </c>
      <c r="D13" s="7" t="inlineStr"/>
      <c r="E13" s="7" t="inlineStr"/>
      <c r="F13" s="7" t="inlineStr"/>
      <c r="G13" s="7" t="inlineStr"/>
      <c r="H13" s="7" t="inlineStr"/>
    </row>
    <row r="16">
      <c r="A16" s="3" t="inlineStr">
        <is>
          <t>Section B: Reporting Cadence Verification</t>
        </is>
      </c>
    </row>
    <row r="18">
      <c r="A18" s="2" t="inlineStr">
        <is>
          <t>Report_Type</t>
        </is>
      </c>
      <c r="B18" s="2" t="inlineStr">
        <is>
          <t>Frequency</t>
        </is>
      </c>
      <c r="C18" s="2" t="inlineStr">
        <is>
          <t>Last_Produced</t>
        </is>
      </c>
      <c r="D18" s="2" t="inlineStr">
        <is>
          <t>On_Schedule</t>
        </is>
      </c>
      <c r="E18" s="2" t="inlineStr">
        <is>
          <t>Recipients_Documented</t>
        </is>
      </c>
      <c r="F18" s="2" t="inlineStr">
        <is>
          <t>Evidence_Ref</t>
        </is>
      </c>
      <c r="G18" s="2" t="inlineStr"/>
      <c r="H18" s="2" t="inlineStr"/>
    </row>
    <row r="19">
      <c r="A19" s="6" t="inlineStr">
        <is>
          <t>Weekly CSIRT Status</t>
        </is>
      </c>
      <c r="B19" s="6" t="inlineStr">
        <is>
          <t>Weekly</t>
        </is>
      </c>
      <c r="C19" s="7" t="inlineStr"/>
      <c r="D19" s="7" t="inlineStr"/>
      <c r="E19" s="7" t="inlineStr"/>
      <c r="F19" s="7" t="inlineStr"/>
    </row>
    <row r="20">
      <c r="A20" s="6" t="inlineStr">
        <is>
          <t>Monthly Incident Summary</t>
        </is>
      </c>
      <c r="B20" s="6" t="inlineStr">
        <is>
          <t>Monthly</t>
        </is>
      </c>
      <c r="C20" s="7" t="inlineStr"/>
      <c r="D20" s="7" t="inlineStr"/>
      <c r="E20" s="7" t="inlineStr"/>
      <c r="F20" s="7" t="inlineStr"/>
    </row>
    <row r="21">
      <c r="A21" s="6" t="inlineStr">
        <is>
          <t>Quarterly Trend Report</t>
        </is>
      </c>
      <c r="B21" s="6" t="inlineStr">
        <is>
          <t>Quarterly</t>
        </is>
      </c>
      <c r="C21" s="7" t="inlineStr"/>
      <c r="D21" s="7" t="inlineStr"/>
      <c r="E21" s="7" t="inlineStr"/>
      <c r="F21" s="7" t="inlineStr"/>
    </row>
    <row r="22">
      <c r="A22" s="6" t="inlineStr">
        <is>
          <t>Annual Executive Report</t>
        </is>
      </c>
      <c r="B22" s="6" t="inlineStr">
        <is>
          <t>Annual</t>
        </is>
      </c>
      <c r="C22" s="7" t="inlineStr"/>
      <c r="D22" s="7" t="inlineStr"/>
      <c r="E22" s="7" t="inlineStr"/>
      <c r="F22" s="7" t="inlineStr"/>
    </row>
  </sheetData>
  <mergeCells count="3">
    <mergeCell ref="A3:H3"/>
    <mergeCell ref="A16:H16"/>
    <mergeCell ref="A1:H1"/>
  </mergeCells>
  <dataValidations count="3">
    <dataValidation sqref="E6:E13" showDropDown="0" showInputMessage="0" showErrorMessage="0" allowBlank="1" type="list">
      <formula1>"Yes,No,At_Risk"</formula1>
    </dataValidation>
    <dataValidation sqref="F6:F13" showDropDown="0" showInputMessage="0" showErrorMessage="0" allowBlank="1" type="list">
      <formula1>"Improving,Stable,Degrading"</formula1>
    </dataValidation>
    <dataValidation sqref="D19:E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15" customWidth="1" min="5" max="5"/>
    <col width="12" customWidth="1" min="6" max="6"/>
    <col width="25" customWidth="1" min="7" max="7"/>
    <col width="12" customWidth="1" min="8" max="8"/>
  </cols>
  <sheetData>
    <row r="1" ht="30" customHeight="1">
      <c r="A1" s="1" t="inlineStr">
        <is>
          <t>Sheet 7: Gap Analysis</t>
        </is>
      </c>
    </row>
    <row r="3">
      <c r="A3" s="3" t="inlineStr">
        <is>
          <t>Consolidated Gap Register</t>
        </is>
      </c>
    </row>
    <row r="5">
      <c r="A5" s="2" t="inlineStr">
        <is>
          <t>Gap_ID</t>
        </is>
      </c>
      <c r="B5" s="2" t="inlineStr">
        <is>
          <t>Source_Sheet</t>
        </is>
      </c>
      <c r="C5" s="2" t="inlineStr">
        <is>
          <t>Gap_Description</t>
        </is>
      </c>
      <c r="D5" s="2" t="inlineStr">
        <is>
          <t>Severity</t>
        </is>
      </c>
      <c r="E5" s="2" t="inlineStr">
        <is>
          <t>Owner</t>
        </is>
      </c>
      <c r="F5" s="2" t="inlineStr">
        <is>
          <t>Target_Date</t>
        </is>
      </c>
      <c r="G5" s="2" t="inlineStr">
        <is>
          <t>Remediation_Plan</t>
        </is>
      </c>
      <c r="H5" s="2" t="inlineStr">
        <is>
          <t>Status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</row>
    <row r="38">
      <c r="A38" s="3" t="inlineStr">
        <is>
          <t>Total Gaps:</t>
        </is>
      </c>
      <c r="B38" s="12">
        <f>COUNTA(A6:A35)</f>
        <v/>
      </c>
      <c r="C38" t="inlineStr">
        <is>
          <t>Critical:</t>
        </is>
      </c>
      <c r="D38" s="12">
        <f>COUNTIF(D6:D35,"Critical")</f>
        <v/>
      </c>
      <c r="E38" t="inlineStr">
        <is>
          <t>High:</t>
        </is>
      </c>
      <c r="F38" s="12">
        <f>COUNTIF(D6:D35,"High")</f>
        <v/>
      </c>
    </row>
  </sheetData>
  <mergeCells count="2">
    <mergeCell ref="A3:H3"/>
    <mergeCell ref="A1:H1"/>
  </mergeCells>
  <dataValidations count="3">
    <dataValidation sqref="B6:B35" showDropDown="0" showInputMessage="0" showErrorMessage="0" allowBlank="1" type="list">
      <formula1>"PIR Process,Root Cause Analysis,Lessons Learned,Control Improvements,Trend Analysis"</formula1>
    </dataValidation>
    <dataValidation sqref="D6:D35" showDropDown="0" showInputMessage="0" showErrorMessage="0" allowBlank="1" type="list">
      <formula1>"Critical,High,Medium,Low"</formula1>
    </dataValidation>
    <dataValidation sqref="H6:H35" showDropDown="0" showInputMessage="0" showErrorMessage="0" allowBlank="1" type="list">
      <formula1>"Open,In_Progress,Closed,Accepted"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5" customWidth="1" min="4" max="4"/>
    <col width="35" customWidth="1" min="5" max="5"/>
    <col width="12" customWidth="1" min="6" max="6"/>
    <col width="15" customWidth="1" min="7" max="7"/>
  </cols>
  <sheetData>
    <row r="1" ht="30" customHeight="1">
      <c r="A1" s="1" t="inlineStr">
        <is>
          <t>Sheet 8: Evidence Register</t>
        </is>
      </c>
    </row>
    <row r="3">
      <c r="A3" s="3" t="inlineStr">
        <is>
          <t>Evidence Tracking Log</t>
        </is>
      </c>
    </row>
    <row r="5">
      <c r="A5" s="2" t="inlineStr">
        <is>
          <t>Evidence_ID</t>
        </is>
      </c>
      <c r="B5" s="2" t="inlineStr">
        <is>
          <t>Related_Sheet</t>
        </is>
      </c>
      <c r="C5" s="2" t="inlineStr">
        <is>
          <t>Evidence_Type</t>
        </is>
      </c>
      <c r="D5" s="2" t="inlineStr">
        <is>
          <t>Description</t>
        </is>
      </c>
      <c r="E5" s="2" t="inlineStr">
        <is>
          <t>File_Location</t>
        </is>
      </c>
      <c r="F5" s="2" t="inlineStr">
        <is>
          <t>Collection_Date</t>
        </is>
      </c>
      <c r="G5" s="2" t="inlineStr">
        <is>
          <t>Collected_By</t>
        </is>
      </c>
    </row>
    <row r="6">
      <c r="A6" s="12">
        <f>IF(B6&lt;&gt;"","EVD-"&amp;TEXT(ROW()-5,"000"),"")</f>
        <v/>
      </c>
      <c r="B6" s="7" t="inlineStr"/>
      <c r="C6" s="7" t="inlineStr"/>
      <c r="D6" s="7" t="inlineStr"/>
      <c r="E6" s="7" t="inlineStr"/>
      <c r="F6" s="7" t="inlineStr"/>
      <c r="G6" s="7" t="inlineStr"/>
    </row>
    <row r="7">
      <c r="A7" s="12">
        <f>IF(B7&lt;&gt;"","EVD-"&amp;TEXT(ROW()-5,"000"),"")</f>
        <v/>
      </c>
      <c r="B7" s="7" t="inlineStr"/>
      <c r="C7" s="7" t="inlineStr"/>
      <c r="D7" s="7" t="inlineStr"/>
      <c r="E7" s="7" t="inlineStr"/>
      <c r="F7" s="7" t="inlineStr"/>
      <c r="G7" s="7" t="inlineStr"/>
    </row>
    <row r="8">
      <c r="A8" s="12">
        <f>IF(B8&lt;&gt;"","EVD-"&amp;TEXT(ROW()-5,"000"),"")</f>
        <v/>
      </c>
      <c r="B8" s="7" t="inlineStr"/>
      <c r="C8" s="7" t="inlineStr"/>
      <c r="D8" s="7" t="inlineStr"/>
      <c r="E8" s="7" t="inlineStr"/>
      <c r="F8" s="7" t="inlineStr"/>
      <c r="G8" s="7" t="inlineStr"/>
    </row>
    <row r="9">
      <c r="A9" s="12">
        <f>IF(B9&lt;&gt;"","EVD-"&amp;TEXT(ROW()-5,"000"),"")</f>
        <v/>
      </c>
      <c r="B9" s="7" t="inlineStr"/>
      <c r="C9" s="7" t="inlineStr"/>
      <c r="D9" s="7" t="inlineStr"/>
      <c r="E9" s="7" t="inlineStr"/>
      <c r="F9" s="7" t="inlineStr"/>
      <c r="G9" s="7" t="inlineStr"/>
    </row>
    <row r="10">
      <c r="A10" s="12">
        <f>IF(B10&lt;&gt;"","EVD-"&amp;TEXT(ROW()-5,"000"),"")</f>
        <v/>
      </c>
      <c r="B10" s="7" t="inlineStr"/>
      <c r="C10" s="7" t="inlineStr"/>
      <c r="D10" s="7" t="inlineStr"/>
      <c r="E10" s="7" t="inlineStr"/>
      <c r="F10" s="7" t="inlineStr"/>
      <c r="G10" s="7" t="inlineStr"/>
    </row>
    <row r="11">
      <c r="A11" s="12">
        <f>IF(B11&lt;&gt;"","EVD-"&amp;TEXT(ROW()-5,"000"),"")</f>
        <v/>
      </c>
      <c r="B11" s="7" t="inlineStr"/>
      <c r="C11" s="7" t="inlineStr"/>
      <c r="D11" s="7" t="inlineStr"/>
      <c r="E11" s="7" t="inlineStr"/>
      <c r="F11" s="7" t="inlineStr"/>
      <c r="G11" s="7" t="inlineStr"/>
    </row>
    <row r="12">
      <c r="A12" s="12">
        <f>IF(B12&lt;&gt;"","EVD-"&amp;TEXT(ROW()-5,"000"),"")</f>
        <v/>
      </c>
      <c r="B12" s="7" t="inlineStr"/>
      <c r="C12" s="7" t="inlineStr"/>
      <c r="D12" s="7" t="inlineStr"/>
      <c r="E12" s="7" t="inlineStr"/>
      <c r="F12" s="7" t="inlineStr"/>
      <c r="G12" s="7" t="inlineStr"/>
    </row>
    <row r="13">
      <c r="A13" s="12">
        <f>IF(B13&lt;&gt;"","EVD-"&amp;TEXT(ROW()-5,"000"),"")</f>
        <v/>
      </c>
      <c r="B13" s="7" t="inlineStr"/>
      <c r="C13" s="7" t="inlineStr"/>
      <c r="D13" s="7" t="inlineStr"/>
      <c r="E13" s="7" t="inlineStr"/>
      <c r="F13" s="7" t="inlineStr"/>
      <c r="G13" s="7" t="inlineStr"/>
    </row>
    <row r="14">
      <c r="A14" s="12">
        <f>IF(B14&lt;&gt;"","EVD-"&amp;TEXT(ROW()-5,"000"),"")</f>
        <v/>
      </c>
      <c r="B14" s="7" t="inlineStr"/>
      <c r="C14" s="7" t="inlineStr"/>
      <c r="D14" s="7" t="inlineStr"/>
      <c r="E14" s="7" t="inlineStr"/>
      <c r="F14" s="7" t="inlineStr"/>
      <c r="G14" s="7" t="inlineStr"/>
    </row>
    <row r="15">
      <c r="A15" s="12">
        <f>IF(B15&lt;&gt;"","EVD-"&amp;TEXT(ROW()-5,"000"),"")</f>
        <v/>
      </c>
      <c r="B15" s="7" t="inlineStr"/>
      <c r="C15" s="7" t="inlineStr"/>
      <c r="D15" s="7" t="inlineStr"/>
      <c r="E15" s="7" t="inlineStr"/>
      <c r="F15" s="7" t="inlineStr"/>
      <c r="G15" s="7" t="inlineStr"/>
    </row>
    <row r="16">
      <c r="A16" s="12">
        <f>IF(B16&lt;&gt;"","EVD-"&amp;TEXT(ROW()-5,"000"),"")</f>
        <v/>
      </c>
      <c r="B16" s="7" t="inlineStr"/>
      <c r="C16" s="7" t="inlineStr"/>
      <c r="D16" s="7" t="inlineStr"/>
      <c r="E16" s="7" t="inlineStr"/>
      <c r="F16" s="7" t="inlineStr"/>
      <c r="G16" s="7" t="inlineStr"/>
    </row>
    <row r="17">
      <c r="A17" s="12">
        <f>IF(B17&lt;&gt;"","EVD-"&amp;TEXT(ROW()-5,"000"),"")</f>
        <v/>
      </c>
      <c r="B17" s="7" t="inlineStr"/>
      <c r="C17" s="7" t="inlineStr"/>
      <c r="D17" s="7" t="inlineStr"/>
      <c r="E17" s="7" t="inlineStr"/>
      <c r="F17" s="7" t="inlineStr"/>
      <c r="G17" s="7" t="inlineStr"/>
    </row>
    <row r="18">
      <c r="A18" s="12">
        <f>IF(B18&lt;&gt;"","EVD-"&amp;TEXT(ROW()-5,"000"),"")</f>
        <v/>
      </c>
      <c r="B18" s="7" t="inlineStr"/>
      <c r="C18" s="7" t="inlineStr"/>
      <c r="D18" s="7" t="inlineStr"/>
      <c r="E18" s="7" t="inlineStr"/>
      <c r="F18" s="7" t="inlineStr"/>
      <c r="G18" s="7" t="inlineStr"/>
    </row>
    <row r="19">
      <c r="A19" s="12">
        <f>IF(B19&lt;&gt;"","EVD-"&amp;TEXT(ROW()-5,"000"),"")</f>
        <v/>
      </c>
      <c r="B19" s="7" t="inlineStr"/>
      <c r="C19" s="7" t="inlineStr"/>
      <c r="D19" s="7" t="inlineStr"/>
      <c r="E19" s="7" t="inlineStr"/>
      <c r="F19" s="7" t="inlineStr"/>
      <c r="G19" s="7" t="inlineStr"/>
    </row>
    <row r="20">
      <c r="A20" s="12">
        <f>IF(B20&lt;&gt;"","EVD-"&amp;TEXT(ROW()-5,"000"),"")</f>
        <v/>
      </c>
      <c r="B20" s="7" t="inlineStr"/>
      <c r="C20" s="7" t="inlineStr"/>
      <c r="D20" s="7" t="inlineStr"/>
      <c r="E20" s="7" t="inlineStr"/>
      <c r="F20" s="7" t="inlineStr"/>
      <c r="G20" s="7" t="inlineStr"/>
    </row>
    <row r="21">
      <c r="A21" s="12">
        <f>IF(B21&lt;&gt;"","EVD-"&amp;TEXT(ROW()-5,"000"),"")</f>
        <v/>
      </c>
      <c r="B21" s="7" t="inlineStr"/>
      <c r="C21" s="7" t="inlineStr"/>
      <c r="D21" s="7" t="inlineStr"/>
      <c r="E21" s="7" t="inlineStr"/>
      <c r="F21" s="7" t="inlineStr"/>
      <c r="G21" s="7" t="inlineStr"/>
    </row>
    <row r="22">
      <c r="A22" s="12">
        <f>IF(B22&lt;&gt;"","EVD-"&amp;TEXT(ROW()-5,"000"),"")</f>
        <v/>
      </c>
      <c r="B22" s="7" t="inlineStr"/>
      <c r="C22" s="7" t="inlineStr"/>
      <c r="D22" s="7" t="inlineStr"/>
      <c r="E22" s="7" t="inlineStr"/>
      <c r="F22" s="7" t="inlineStr"/>
      <c r="G22" s="7" t="inlineStr"/>
    </row>
    <row r="23">
      <c r="A23" s="12">
        <f>IF(B23&lt;&gt;"","EVD-"&amp;TEXT(ROW()-5,"000"),"")</f>
        <v/>
      </c>
      <c r="B23" s="7" t="inlineStr"/>
      <c r="C23" s="7" t="inlineStr"/>
      <c r="D23" s="7" t="inlineStr"/>
      <c r="E23" s="7" t="inlineStr"/>
      <c r="F23" s="7" t="inlineStr"/>
      <c r="G23" s="7" t="inlineStr"/>
    </row>
    <row r="24">
      <c r="A24" s="12">
        <f>IF(B24&lt;&gt;"","EVD-"&amp;TEXT(ROW()-5,"000"),"")</f>
        <v/>
      </c>
      <c r="B24" s="7" t="inlineStr"/>
      <c r="C24" s="7" t="inlineStr"/>
      <c r="D24" s="7" t="inlineStr"/>
      <c r="E24" s="7" t="inlineStr"/>
      <c r="F24" s="7" t="inlineStr"/>
      <c r="G24" s="7" t="inlineStr"/>
    </row>
    <row r="25">
      <c r="A25" s="12">
        <f>IF(B25&lt;&gt;"","EVD-"&amp;TEXT(ROW()-5,"000"),"")</f>
        <v/>
      </c>
      <c r="B25" s="7" t="inlineStr"/>
      <c r="C25" s="7" t="inlineStr"/>
      <c r="D25" s="7" t="inlineStr"/>
      <c r="E25" s="7" t="inlineStr"/>
      <c r="F25" s="7" t="inlineStr"/>
      <c r="G25" s="7" t="inlineStr"/>
    </row>
    <row r="26">
      <c r="A26" s="12">
        <f>IF(B26&lt;&gt;"","EVD-"&amp;TEXT(ROW()-5,"000"),"")</f>
        <v/>
      </c>
      <c r="B26" s="7" t="inlineStr"/>
      <c r="C26" s="7" t="inlineStr"/>
      <c r="D26" s="7" t="inlineStr"/>
      <c r="E26" s="7" t="inlineStr"/>
      <c r="F26" s="7" t="inlineStr"/>
      <c r="G26" s="7" t="inlineStr"/>
    </row>
    <row r="27">
      <c r="A27" s="12">
        <f>IF(B27&lt;&gt;"","EVD-"&amp;TEXT(ROW()-5,"000"),"")</f>
        <v/>
      </c>
      <c r="B27" s="7" t="inlineStr"/>
      <c r="C27" s="7" t="inlineStr"/>
      <c r="D27" s="7" t="inlineStr"/>
      <c r="E27" s="7" t="inlineStr"/>
      <c r="F27" s="7" t="inlineStr"/>
      <c r="G27" s="7" t="inlineStr"/>
    </row>
    <row r="28">
      <c r="A28" s="12">
        <f>IF(B28&lt;&gt;"","EVD-"&amp;TEXT(ROW()-5,"000"),"")</f>
        <v/>
      </c>
      <c r="B28" s="7" t="inlineStr"/>
      <c r="C28" s="7" t="inlineStr"/>
      <c r="D28" s="7" t="inlineStr"/>
      <c r="E28" s="7" t="inlineStr"/>
      <c r="F28" s="7" t="inlineStr"/>
      <c r="G28" s="7" t="inlineStr"/>
    </row>
    <row r="29">
      <c r="A29" s="12">
        <f>IF(B29&lt;&gt;"","EVD-"&amp;TEXT(ROW()-5,"000"),"")</f>
        <v/>
      </c>
      <c r="B29" s="7" t="inlineStr"/>
      <c r="C29" s="7" t="inlineStr"/>
      <c r="D29" s="7" t="inlineStr"/>
      <c r="E29" s="7" t="inlineStr"/>
      <c r="F29" s="7" t="inlineStr"/>
      <c r="G29" s="7" t="inlineStr"/>
    </row>
    <row r="30">
      <c r="A30" s="12">
        <f>IF(B30&lt;&gt;"","EVD-"&amp;TEXT(ROW()-5,"000"),"")</f>
        <v/>
      </c>
      <c r="B30" s="7" t="inlineStr"/>
      <c r="C30" s="7" t="inlineStr"/>
      <c r="D30" s="7" t="inlineStr"/>
      <c r="E30" s="7" t="inlineStr"/>
      <c r="F30" s="7" t="inlineStr"/>
      <c r="G30" s="7" t="inlineStr"/>
    </row>
    <row r="31">
      <c r="A31" s="12">
        <f>IF(B31&lt;&gt;"","EVD-"&amp;TEXT(ROW()-5,"000"),"")</f>
        <v/>
      </c>
      <c r="B31" s="7" t="inlineStr"/>
      <c r="C31" s="7" t="inlineStr"/>
      <c r="D31" s="7" t="inlineStr"/>
      <c r="E31" s="7" t="inlineStr"/>
      <c r="F31" s="7" t="inlineStr"/>
      <c r="G31" s="7" t="inlineStr"/>
    </row>
    <row r="32">
      <c r="A32" s="12">
        <f>IF(B32&lt;&gt;"","EVD-"&amp;TEXT(ROW()-5,"000"),"")</f>
        <v/>
      </c>
      <c r="B32" s="7" t="inlineStr"/>
      <c r="C32" s="7" t="inlineStr"/>
      <c r="D32" s="7" t="inlineStr"/>
      <c r="E32" s="7" t="inlineStr"/>
      <c r="F32" s="7" t="inlineStr"/>
      <c r="G32" s="7" t="inlineStr"/>
    </row>
    <row r="33">
      <c r="A33" s="12">
        <f>IF(B33&lt;&gt;"","EVD-"&amp;TEXT(ROW()-5,"000"),"")</f>
        <v/>
      </c>
      <c r="B33" s="7" t="inlineStr"/>
      <c r="C33" s="7" t="inlineStr"/>
      <c r="D33" s="7" t="inlineStr"/>
      <c r="E33" s="7" t="inlineStr"/>
      <c r="F33" s="7" t="inlineStr"/>
      <c r="G33" s="7" t="inlineStr"/>
    </row>
    <row r="34">
      <c r="A34" s="12">
        <f>IF(B34&lt;&gt;"","EVD-"&amp;TEXT(ROW()-5,"000"),"")</f>
        <v/>
      </c>
      <c r="B34" s="7" t="inlineStr"/>
      <c r="C34" s="7" t="inlineStr"/>
      <c r="D34" s="7" t="inlineStr"/>
      <c r="E34" s="7" t="inlineStr"/>
      <c r="F34" s="7" t="inlineStr"/>
      <c r="G34" s="7" t="inlineStr"/>
    </row>
    <row r="35">
      <c r="A35" s="12">
        <f>IF(B35&lt;&gt;"","EVD-"&amp;TEXT(ROW()-5,"000"),"")</f>
        <v/>
      </c>
      <c r="B35" s="7" t="inlineStr"/>
      <c r="C35" s="7" t="inlineStr"/>
      <c r="D35" s="7" t="inlineStr"/>
      <c r="E35" s="7" t="inlineStr"/>
      <c r="F35" s="7" t="inlineStr"/>
      <c r="G35" s="7" t="inlineStr"/>
    </row>
    <row r="36">
      <c r="A36" s="12">
        <f>IF(B36&lt;&gt;"","EVD-"&amp;TEXT(ROW()-5,"000"),"")</f>
        <v/>
      </c>
      <c r="B36" s="7" t="inlineStr"/>
      <c r="C36" s="7" t="inlineStr"/>
      <c r="D36" s="7" t="inlineStr"/>
      <c r="E36" s="7" t="inlineStr"/>
      <c r="F36" s="7" t="inlineStr"/>
      <c r="G36" s="7" t="inlineStr"/>
    </row>
    <row r="37">
      <c r="A37" s="12">
        <f>IF(B37&lt;&gt;"","EVD-"&amp;TEXT(ROW()-5,"000"),"")</f>
        <v/>
      </c>
      <c r="B37" s="7" t="inlineStr"/>
      <c r="C37" s="7" t="inlineStr"/>
      <c r="D37" s="7" t="inlineStr"/>
      <c r="E37" s="7" t="inlineStr"/>
      <c r="F37" s="7" t="inlineStr"/>
      <c r="G37" s="7" t="inlineStr"/>
    </row>
    <row r="38">
      <c r="A38" s="12">
        <f>IF(B38&lt;&gt;"","EVD-"&amp;TEXT(ROW()-5,"000"),"")</f>
        <v/>
      </c>
      <c r="B38" s="7" t="inlineStr"/>
      <c r="C38" s="7" t="inlineStr"/>
      <c r="D38" s="7" t="inlineStr"/>
      <c r="E38" s="7" t="inlineStr"/>
      <c r="F38" s="7" t="inlineStr"/>
      <c r="G38" s="7" t="inlineStr"/>
    </row>
    <row r="39">
      <c r="A39" s="12">
        <f>IF(B39&lt;&gt;"","EVD-"&amp;TEXT(ROW()-5,"000"),"")</f>
        <v/>
      </c>
      <c r="B39" s="7" t="inlineStr"/>
      <c r="C39" s="7" t="inlineStr"/>
      <c r="D39" s="7" t="inlineStr"/>
      <c r="E39" s="7" t="inlineStr"/>
      <c r="F39" s="7" t="inlineStr"/>
      <c r="G39" s="7" t="inlineStr"/>
    </row>
    <row r="40">
      <c r="A40" s="12">
        <f>IF(B40&lt;&gt;"","EVD-"&amp;TEXT(ROW()-5,"000"),"")</f>
        <v/>
      </c>
      <c r="B40" s="7" t="inlineStr"/>
      <c r="C40" s="7" t="inlineStr"/>
      <c r="D40" s="7" t="inlineStr"/>
      <c r="E40" s="7" t="inlineStr"/>
      <c r="F40" s="7" t="inlineStr"/>
      <c r="G40" s="7" t="inlineStr"/>
    </row>
    <row r="41">
      <c r="A41" s="12">
        <f>IF(B41&lt;&gt;"","EVD-"&amp;TEXT(ROW()-5,"000"),"")</f>
        <v/>
      </c>
      <c r="B41" s="7" t="inlineStr"/>
      <c r="C41" s="7" t="inlineStr"/>
      <c r="D41" s="7" t="inlineStr"/>
      <c r="E41" s="7" t="inlineStr"/>
      <c r="F41" s="7" t="inlineStr"/>
      <c r="G41" s="7" t="inlineStr"/>
    </row>
    <row r="42">
      <c r="A42" s="12">
        <f>IF(B42&lt;&gt;"","EVD-"&amp;TEXT(ROW()-5,"000"),"")</f>
        <v/>
      </c>
      <c r="B42" s="7" t="inlineStr"/>
      <c r="C42" s="7" t="inlineStr"/>
      <c r="D42" s="7" t="inlineStr"/>
      <c r="E42" s="7" t="inlineStr"/>
      <c r="F42" s="7" t="inlineStr"/>
      <c r="G42" s="7" t="inlineStr"/>
    </row>
    <row r="43">
      <c r="A43" s="12">
        <f>IF(B43&lt;&gt;"","EVD-"&amp;TEXT(ROW()-5,"000"),"")</f>
        <v/>
      </c>
      <c r="B43" s="7" t="inlineStr"/>
      <c r="C43" s="7" t="inlineStr"/>
      <c r="D43" s="7" t="inlineStr"/>
      <c r="E43" s="7" t="inlineStr"/>
      <c r="F43" s="7" t="inlineStr"/>
      <c r="G43" s="7" t="inlineStr"/>
    </row>
    <row r="44">
      <c r="A44" s="12">
        <f>IF(B44&lt;&gt;"","EVD-"&amp;TEXT(ROW()-5,"000"),"")</f>
        <v/>
      </c>
      <c r="B44" s="7" t="inlineStr"/>
      <c r="C44" s="7" t="inlineStr"/>
      <c r="D44" s="7" t="inlineStr"/>
      <c r="E44" s="7" t="inlineStr"/>
      <c r="F44" s="7" t="inlineStr"/>
      <c r="G44" s="7" t="inlineStr"/>
    </row>
    <row r="45">
      <c r="A45" s="12">
        <f>IF(B45&lt;&gt;"","EVD-"&amp;TEXT(ROW()-5,"000"),"")</f>
        <v/>
      </c>
      <c r="B45" s="7" t="inlineStr"/>
      <c r="C45" s="7" t="inlineStr"/>
      <c r="D45" s="7" t="inlineStr"/>
      <c r="E45" s="7" t="inlineStr"/>
      <c r="F45" s="7" t="inlineStr"/>
      <c r="G45" s="7" t="inlineStr"/>
    </row>
    <row r="46">
      <c r="A46" s="12">
        <f>IF(B46&lt;&gt;"","EVD-"&amp;TEXT(ROW()-5,"000"),"")</f>
        <v/>
      </c>
      <c r="B46" s="7" t="inlineStr"/>
      <c r="C46" s="7" t="inlineStr"/>
      <c r="D46" s="7" t="inlineStr"/>
      <c r="E46" s="7" t="inlineStr"/>
      <c r="F46" s="7" t="inlineStr"/>
      <c r="G46" s="7" t="inlineStr"/>
    </row>
    <row r="47">
      <c r="A47" s="12">
        <f>IF(B47&lt;&gt;"","EVD-"&amp;TEXT(ROW()-5,"000"),"")</f>
        <v/>
      </c>
      <c r="B47" s="7" t="inlineStr"/>
      <c r="C47" s="7" t="inlineStr"/>
      <c r="D47" s="7" t="inlineStr"/>
      <c r="E47" s="7" t="inlineStr"/>
      <c r="F47" s="7" t="inlineStr"/>
      <c r="G47" s="7" t="inlineStr"/>
    </row>
    <row r="48">
      <c r="A48" s="12">
        <f>IF(B48&lt;&gt;"","EVD-"&amp;TEXT(ROW()-5,"000"),"")</f>
        <v/>
      </c>
      <c r="B48" s="7" t="inlineStr"/>
      <c r="C48" s="7" t="inlineStr"/>
      <c r="D48" s="7" t="inlineStr"/>
      <c r="E48" s="7" t="inlineStr"/>
      <c r="F48" s="7" t="inlineStr"/>
      <c r="G48" s="7" t="inlineStr"/>
    </row>
    <row r="49">
      <c r="A49" s="12">
        <f>IF(B49&lt;&gt;"","EVD-"&amp;TEXT(ROW()-5,"000"),"")</f>
        <v/>
      </c>
      <c r="B49" s="7" t="inlineStr"/>
      <c r="C49" s="7" t="inlineStr"/>
      <c r="D49" s="7" t="inlineStr"/>
      <c r="E49" s="7" t="inlineStr"/>
      <c r="F49" s="7" t="inlineStr"/>
      <c r="G49" s="7" t="inlineStr"/>
    </row>
    <row r="50">
      <c r="A50" s="12">
        <f>IF(B50&lt;&gt;"","EVD-"&amp;TEXT(ROW()-5,"000"),"")</f>
        <v/>
      </c>
      <c r="B50" s="7" t="inlineStr"/>
      <c r="C50" s="7" t="inlineStr"/>
      <c r="D50" s="7" t="inlineStr"/>
      <c r="E50" s="7" t="inlineStr"/>
      <c r="F50" s="7" t="inlineStr"/>
      <c r="G50" s="7" t="inlineStr"/>
    </row>
    <row r="51">
      <c r="A51" s="12">
        <f>IF(B51&lt;&gt;"","EVD-"&amp;TEXT(ROW()-5,"000"),"")</f>
        <v/>
      </c>
      <c r="B51" s="7" t="inlineStr"/>
      <c r="C51" s="7" t="inlineStr"/>
      <c r="D51" s="7" t="inlineStr"/>
      <c r="E51" s="7" t="inlineStr"/>
      <c r="F51" s="7" t="inlineStr"/>
      <c r="G51" s="7" t="inlineStr"/>
    </row>
    <row r="52">
      <c r="A52" s="12">
        <f>IF(B52&lt;&gt;"","EVD-"&amp;TEXT(ROW()-5,"000"),"")</f>
        <v/>
      </c>
      <c r="B52" s="7" t="inlineStr"/>
      <c r="C52" s="7" t="inlineStr"/>
      <c r="D52" s="7" t="inlineStr"/>
      <c r="E52" s="7" t="inlineStr"/>
      <c r="F52" s="7" t="inlineStr"/>
      <c r="G52" s="7" t="inlineStr"/>
    </row>
    <row r="53">
      <c r="A53" s="12">
        <f>IF(B53&lt;&gt;"","EVD-"&amp;TEXT(ROW()-5,"000"),"")</f>
        <v/>
      </c>
      <c r="B53" s="7" t="inlineStr"/>
      <c r="C53" s="7" t="inlineStr"/>
      <c r="D53" s="7" t="inlineStr"/>
      <c r="E53" s="7" t="inlineStr"/>
      <c r="F53" s="7" t="inlineStr"/>
      <c r="G53" s="7" t="inlineStr"/>
    </row>
    <row r="54">
      <c r="A54" s="12">
        <f>IF(B54&lt;&gt;"","EVD-"&amp;TEXT(ROW()-5,"000"),"")</f>
        <v/>
      </c>
      <c r="B54" s="7" t="inlineStr"/>
      <c r="C54" s="7" t="inlineStr"/>
      <c r="D54" s="7" t="inlineStr"/>
      <c r="E54" s="7" t="inlineStr"/>
      <c r="F54" s="7" t="inlineStr"/>
      <c r="G54" s="7" t="inlineStr"/>
    </row>
    <row r="55">
      <c r="A55" s="12">
        <f>IF(B55&lt;&gt;"","EVD-"&amp;TEXT(ROW()-5,"000"),"")</f>
        <v/>
      </c>
      <c r="B55" s="7" t="inlineStr"/>
      <c r="C55" s="7" t="inlineStr"/>
      <c r="D55" s="7" t="inlineStr"/>
      <c r="E55" s="7" t="inlineStr"/>
      <c r="F55" s="7" t="inlineStr"/>
      <c r="G55" s="7" t="inlineStr"/>
    </row>
  </sheetData>
  <mergeCells count="2">
    <mergeCell ref="A3:G3"/>
    <mergeCell ref="A1:G1"/>
  </mergeCells>
  <dataValidations count="2">
    <dataValidation sqref="B6:B55" showDropDown="0" showInputMessage="0" showErrorMessage="0" allowBlank="1" type="list">
      <formula1>"PIR Process,Root Cause Analysis,Lessons Learned,Control Improvements,Trend Analysis,Gap Analysis"</formula1>
    </dataValidation>
    <dataValidation sqref="C6:C55" showDropDown="0" showInputMessage="0" showErrorMessage="0" allowBlank="1" type="list">
      <formula1>"PIR Report,RCA Document,Email,Screenshot,Export,Policy Document,Meeting Minutes,Other"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 ht="35" customHeight="1">
      <c r="A1" s="1" t="inlineStr">
        <is>
          <t>ISMS-IMP-A.5.24-28.S5 - Summary Dashboard</t>
        </is>
      </c>
    </row>
    <row r="3">
      <c r="A3" s="3" t="inlineStr">
        <is>
          <t>Panel 1: Overall Compliance</t>
        </is>
      </c>
    </row>
    <row r="5">
      <c r="A5" t="inlineStr">
        <is>
          <t>Assessment Period</t>
        </is>
      </c>
      <c r="B5" s="7" t="inlineStr">
        <is>
          <t>[From Instructions sheet]</t>
        </is>
      </c>
    </row>
    <row r="6">
      <c r="A6" t="inlineStr">
        <is>
          <t>Overall Compliance Score</t>
        </is>
      </c>
      <c r="B6" s="12">
        <f>AVERAGE(B10:B14)</f>
        <v/>
      </c>
    </row>
    <row r="8">
      <c r="A8" s="3" t="inlineStr">
        <is>
          <t>Panel 2: Domain Compliance Scores</t>
        </is>
      </c>
    </row>
    <row r="10">
      <c r="A10" s="6" t="inlineStr">
        <is>
          <t>PIR Process</t>
        </is>
      </c>
      <c r="B10" s="12">
        <f>'PIR Process'!D72</f>
        <v/>
      </c>
      <c r="C10" s="6" t="inlineStr">
        <is>
          <t>&gt;=90%</t>
        </is>
      </c>
    </row>
    <row r="11">
      <c r="A11" s="6" t="inlineStr">
        <is>
          <t>Root Cause Analysis</t>
        </is>
      </c>
      <c r="B11" s="12">
        <f>'Root Cause Analysis'!D52</f>
        <v/>
      </c>
      <c r="C11" s="6" t="inlineStr">
        <is>
          <t>&gt;=90%</t>
        </is>
      </c>
    </row>
    <row r="12">
      <c r="A12" s="6" t="inlineStr">
        <is>
          <t>Lessons Learned</t>
        </is>
      </c>
      <c r="B12" s="12">
        <f>'Lessons Learned'!D82</f>
        <v/>
      </c>
      <c r="C12" s="6" t="inlineStr">
        <is>
          <t>&gt;=90%</t>
        </is>
      </c>
    </row>
    <row r="13">
      <c r="A13" s="6" t="inlineStr">
        <is>
          <t>Control Improvements</t>
        </is>
      </c>
      <c r="B13" s="12">
        <f>'Control Improvements'!D85</f>
        <v/>
      </c>
      <c r="C13" s="6" t="inlineStr">
        <is>
          <t>&gt;=85%</t>
        </is>
      </c>
    </row>
    <row r="14">
      <c r="A14" s="6" t="inlineStr">
        <is>
          <t>Trend Analysis</t>
        </is>
      </c>
      <c r="B14" s="12" t="inlineStr">
        <is>
          <t>Based on KPI status</t>
        </is>
      </c>
      <c r="C14" s="6" t="inlineStr">
        <is>
          <t>&gt;=80%</t>
        </is>
      </c>
    </row>
    <row r="17">
      <c r="A17" s="3" t="inlineStr">
        <is>
          <t>Panel 3: Critical Flags</t>
        </is>
      </c>
    </row>
    <row r="18">
      <c r="A18" s="6" t="inlineStr">
        <is>
          <t>PIR Overdue (Critical/High)</t>
        </is>
      </c>
      <c r="B18" s="7" t="inlineStr">
        <is>
          <t>Check PIR Process sheet</t>
        </is>
      </c>
    </row>
    <row r="19">
      <c r="A19" s="6" t="inlineStr">
        <is>
          <t>RCA Not Performed (Critical)</t>
        </is>
      </c>
      <c r="B19" s="7" t="inlineStr">
        <is>
          <t>Check Root Cause Analysis sheet</t>
        </is>
      </c>
    </row>
    <row r="20">
      <c r="A20" s="6" t="inlineStr">
        <is>
          <t>Overdue Critical Remediation</t>
        </is>
      </c>
      <c r="B20" s="7" t="inlineStr">
        <is>
          <t>Check Control Improvements sheet</t>
        </is>
      </c>
    </row>
    <row r="21">
      <c r="A21" s="6" t="inlineStr">
        <is>
          <t>Missing Escalation for Overdue</t>
        </is>
      </c>
      <c r="B21" s="7" t="inlineStr">
        <is>
          <t>Check Control Improvements sheet</t>
        </is>
      </c>
    </row>
    <row r="22">
      <c r="A22" s="6" t="inlineStr">
        <is>
          <t>Recurring Root Causes</t>
        </is>
      </c>
      <c r="B22" s="7" t="inlineStr">
        <is>
          <t>Check Root Cause Analysis sheet</t>
        </is>
      </c>
    </row>
  </sheetData>
  <mergeCells count="4">
    <mergeCell ref="A1:D1"/>
    <mergeCell ref="A8:D8"/>
    <mergeCell ref="A3:D3"/>
    <mergeCell ref="A17:D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40" customWidth="1" min="4" max="4"/>
  </cols>
  <sheetData>
    <row r="1" ht="30" customHeight="1">
      <c r="A1" s="1" t="inlineStr">
        <is>
          <t>Sheet 10: Approval Sign-Off</t>
        </is>
      </c>
    </row>
    <row r="3">
      <c r="A3" s="3" t="inlineStr">
        <is>
          <t>Assessment Summary</t>
        </is>
      </c>
    </row>
    <row r="5">
      <c r="A5" t="inlineStr">
        <is>
          <t>Assessment Period</t>
        </is>
      </c>
      <c r="B5" s="7" t="inlineStr">
        <is>
          <t>[From Instructions]</t>
        </is>
      </c>
    </row>
    <row r="6">
      <c r="A6" t="inlineStr">
        <is>
          <t>Overall Compliance</t>
        </is>
      </c>
      <c r="B6" s="12">
        <f>'Summary Dashboard'!B6</f>
        <v/>
      </c>
    </row>
    <row r="7">
      <c r="A7" t="inlineStr">
        <is>
          <t>Critical Gaps</t>
        </is>
      </c>
      <c r="B7" s="12">
        <f>'Gap Analysis'!D38</f>
        <v/>
      </c>
    </row>
    <row r="10">
      <c r="A10" s="3" t="inlineStr">
        <is>
          <t>Completed By</t>
        </is>
      </c>
    </row>
    <row r="11">
      <c r="A11" s="6" t="inlineStr">
        <is>
          <t>Name</t>
        </is>
      </c>
      <c r="B11" s="7" t="inlineStr"/>
    </row>
    <row r="12">
      <c r="A12" s="6" t="inlineStr">
        <is>
          <t>Role</t>
        </is>
      </c>
      <c r="B12" s="7" t="inlineStr"/>
    </row>
    <row r="13">
      <c r="A13" s="6" t="inlineStr">
        <is>
          <t>Department</t>
        </is>
      </c>
      <c r="B13" s="7" t="inlineStr"/>
    </row>
    <row r="14">
      <c r="A14" s="6" t="inlineStr">
        <is>
          <t>Email</t>
        </is>
      </c>
      <c r="B14" s="7" t="inlineStr"/>
    </row>
    <row r="15">
      <c r="A15" s="6" t="inlineStr">
        <is>
          <t>Date</t>
        </is>
      </c>
      <c r="B15" s="7" t="inlineStr"/>
    </row>
    <row r="16">
      <c r="A16" s="6" t="inlineStr">
        <is>
          <t>Signature</t>
        </is>
      </c>
      <c r="B16" s="7" t="inlineStr"/>
    </row>
    <row r="18">
      <c r="A18" s="3" t="inlineStr">
        <is>
          <t>Reviewed By (CSIRT Manager)</t>
        </is>
      </c>
    </row>
    <row r="19">
      <c r="A19" s="6" t="inlineStr">
        <is>
          <t>Name</t>
        </is>
      </c>
      <c r="B19" s="7" t="inlineStr"/>
    </row>
    <row r="20">
      <c r="A20" s="6" t="inlineStr">
        <is>
          <t>Date</t>
        </is>
      </c>
      <c r="B20" s="7" t="inlineStr"/>
    </row>
    <row r="21">
      <c r="A21" s="6" t="inlineStr">
        <is>
          <t>Signature</t>
        </is>
      </c>
      <c r="B21" s="7" t="inlineStr"/>
    </row>
    <row r="22">
      <c r="A22" s="6" t="inlineStr">
        <is>
          <t>Comments</t>
        </is>
      </c>
      <c r="B22" s="7" t="inlineStr"/>
    </row>
    <row r="23">
      <c r="A23" s="6" t="inlineStr">
        <is>
          <t>Outcome</t>
        </is>
      </c>
      <c r="B23" s="7" t="inlineStr"/>
    </row>
    <row r="25">
      <c r="A25" s="3" t="inlineStr">
        <is>
          <t>Approved By (CISO)</t>
        </is>
      </c>
    </row>
    <row r="26">
      <c r="A26" s="6" t="inlineStr">
        <is>
          <t>Name</t>
        </is>
      </c>
      <c r="B26" s="7" t="inlineStr"/>
    </row>
    <row r="27">
      <c r="A27" s="6" t="inlineStr">
        <is>
          <t>Date</t>
        </is>
      </c>
      <c r="B27" s="7" t="inlineStr"/>
    </row>
    <row r="28">
      <c r="A28" s="6" t="inlineStr">
        <is>
          <t>Signature</t>
        </is>
      </c>
      <c r="B28" s="7" t="inlineStr"/>
    </row>
    <row r="29">
      <c r="A29" s="6" t="inlineStr">
        <is>
          <t>Decision</t>
        </is>
      </c>
      <c r="B29" s="7" t="inlineStr"/>
    </row>
  </sheetData>
  <mergeCells count="5">
    <mergeCell ref="A1:D1"/>
    <mergeCell ref="A18:D18"/>
    <mergeCell ref="A3:D3"/>
    <mergeCell ref="A25:D25"/>
    <mergeCell ref="A10:D10"/>
  </mergeCells>
  <dataValidations count="2">
    <dataValidation sqref="B23" showDropDown="0" showInputMessage="0" showErrorMessage="0" allowBlank="1" type="list">
      <formula1>"Approved,Approved with corrections,Requires revision"</formula1>
    </dataValidation>
    <dataValidation sqref="B29" showDropDown="0" showInputMessage="0" showErrorMessage="0" allowBlank="1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2026-02-08T10:48:55Z</dcterms:created>
  <dcterms:modified xmlns:dcterms="http://purl.org/dc/terms/" xmlns:xsi="http://www.w3.org/2001/XMLSchema-instance" xsi:type="dcterms:W3CDTF">2026-02-08T10:48:55Z</dcterms:modified>
</cp:coreProperties>
</file>