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nthly_Data_Entry" sheetId="2" state="visible" r:id="rId2"/>
    <sheet xmlns:r="http://schemas.openxmlformats.org/officeDocument/2006/relationships" name="Executive_Dashboard" sheetId="3" state="visible" r:id="rId3"/>
    <sheet xmlns:r="http://schemas.openxmlformats.org/officeDocument/2006/relationships" name="Trend_History" sheetId="4" state="visible" r:id="rId4"/>
    <sheet xmlns:r="http://schemas.openxmlformats.org/officeDocument/2006/relationships" name="Critical_Actions" sheetId="5" state="visible" r:id="rId5"/>
    <sheet xmlns:r="http://schemas.openxmlformats.org/officeDocument/2006/relationships" name="Quarterly_Summary" sheetId="6" state="visible" r:id="rId6"/>
    <sheet xmlns:r="http://schemas.openxmlformats.org/officeDocument/2006/relationships" name="Risk_Summary" sheetId="7" state="visible" r:id="rId7"/>
    <sheet xmlns:r="http://schemas.openxmlformats.org/officeDocument/2006/relationships" name="ROI_Summary" sheetId="8" state="visible" r:id="rId8"/>
    <sheet xmlns:r="http://schemas.openxmlformats.org/officeDocument/2006/relationships"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color rgb="00FFFFFF"/>
      <sz val="14"/>
    </font>
    <font>
      <name val="Calibri"/>
      <b val="1"/>
      <color rgb="00003366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3366"/>
      <sz val="24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8E4F8"/>
        <bgColor rgb="00D8E4F8"/>
      </patternFill>
    </fill>
    <fill>
      <patternFill patternType="solid">
        <fgColor rgb="0070AD47"/>
        <bgColor rgb="0070AD47"/>
      </patternFill>
    </fill>
    <fill>
      <patternFill patternType="solid">
        <fgColor rgb="002E75B5"/>
        <bgColor rgb="002E75B5"/>
      </patternFill>
    </fill>
    <fill>
      <patternFill patternType="solid">
        <fgColor rgb="00E7E6E6"/>
        <bgColor rgb="00E7E6E6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64" fontId="7" fillId="6" borderId="7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1" t="inlineStr">
        <is>
          <t>ISMS-IMP-A.5.7.5 - Threat Intelligence Standalone Dashboard</t>
        </is>
      </c>
    </row>
    <row r="2" ht="25" customHeight="1">
      <c r="A2" s="2" t="inlineStr">
        <is>
          <t>Instructions &amp; Monthly Workflow Guide</t>
        </is>
      </c>
      <c r="B2" s="3" t="n"/>
      <c r="C2" s="3" t="n"/>
      <c r="D2" s="3" t="n"/>
      <c r="E2" s="3" t="n"/>
      <c r="F2" s="4" t="n"/>
    </row>
    <row r="4">
      <c r="A4" s="5" t="inlineStr">
        <is>
          <t>1. OVERVIEW</t>
        </is>
      </c>
    </row>
    <row r="6">
      <c r="A6" t="inlineStr">
        <is>
          <t>Purpose:</t>
        </is>
      </c>
      <c r="B6" t="inlineStr">
        <is>
          <t>Executive TI program dashboard for Board presentations and C-suite reporting</t>
        </is>
      </c>
    </row>
    <row r="7">
      <c r="A7" t="inlineStr">
        <is>
          <t>Audience:</t>
        </is>
      </c>
      <c r="B7" t="inlineStr">
        <is>
          <t>C-suite, Board members, External stakeholders</t>
        </is>
      </c>
    </row>
    <row r="8">
      <c r="A8" t="inlineStr">
        <is>
          <t>Update Time:</t>
        </is>
      </c>
      <c r="B8" t="inlineStr">
        <is>
          <t>10 minutes monthly + 30 minutes quarterly</t>
        </is>
      </c>
    </row>
    <row r="9">
      <c r="A9" t="inlineStr">
        <is>
          <t>Dependencies:</t>
        </is>
      </c>
      <c r="B9" s="6" t="inlineStr">
        <is>
          <t>NONE - Completely standalone (no external workbook links)</t>
        </is>
      </c>
    </row>
    <row r="11">
      <c r="A11" s="5" t="inlineStr">
        <is>
          <t>Key Difference: This Dashboard (5.7.5) vs Comprehensive Dashboard (5.7.4)</t>
        </is>
      </c>
    </row>
    <row r="12">
      <c r="A12" s="7" t="inlineStr">
        <is>
          <t>Feature</t>
        </is>
      </c>
      <c r="B12" s="7" t="inlineStr">
        <is>
          <t>5.7.4 Comprehensive</t>
        </is>
      </c>
      <c r="C12" s="4" t="n"/>
      <c r="D12" s="7" t="inlineStr">
        <is>
          <t>5.7.5 Standalone (This)</t>
        </is>
      </c>
      <c r="E12" s="3" t="n"/>
      <c r="F12" s="4" t="n"/>
    </row>
    <row r="13">
      <c r="A13" t="inlineStr">
        <is>
          <t>Data Source</t>
        </is>
      </c>
      <c r="B13" t="inlineStr">
        <is>
          <t>External references (auto)</t>
        </is>
      </c>
      <c r="D13" t="inlineStr">
        <is>
          <t>Manual entry</t>
        </is>
      </c>
    </row>
    <row r="14">
      <c r="A14" t="inlineStr">
        <is>
          <t>Update Time</t>
        </is>
      </c>
      <c r="B14" t="inlineStr">
        <is>
          <t>Seconds (refresh links)</t>
        </is>
      </c>
      <c r="D14" t="inlineStr">
        <is>
          <t>10 minutes</t>
        </is>
      </c>
    </row>
    <row r="15">
      <c r="A15" t="inlineStr">
        <is>
          <t>Audience</t>
        </is>
      </c>
      <c r="B15" t="inlineStr">
        <is>
          <t>Security team, Auditors</t>
        </is>
      </c>
      <c r="D15" t="inlineStr">
        <is>
          <t>Board, C-suite</t>
        </is>
      </c>
    </row>
    <row r="16">
      <c r="A16" t="inlineStr">
        <is>
          <t>Detail Level</t>
        </is>
      </c>
      <c r="B16" t="inlineStr">
        <is>
          <t>Operational</t>
        </is>
      </c>
      <c r="D16" t="inlineStr">
        <is>
          <t>Strategic</t>
        </is>
      </c>
    </row>
    <row r="17">
      <c r="A17" t="inlineStr">
        <is>
          <t>Use Case</t>
        </is>
      </c>
      <c r="B17" t="inlineStr">
        <is>
          <t>Internal operations</t>
        </is>
      </c>
      <c r="D17" t="inlineStr">
        <is>
          <t>Executive briefings</t>
        </is>
      </c>
    </row>
    <row r="19">
      <c r="A19" s="5" t="inlineStr">
        <is>
          <t>2. MONTHLY WORKFLOW (10 Minutes) - Do on 1st Business Day</t>
        </is>
      </c>
    </row>
    <row r="20">
      <c r="A20" s="7" t="inlineStr">
        <is>
          <t>Step</t>
        </is>
      </c>
      <c r="B20" s="7" t="inlineStr">
        <is>
          <t>Action</t>
        </is>
      </c>
      <c r="D20" s="7" t="inlineStr">
        <is>
          <t>Details</t>
        </is>
      </c>
      <c r="E20" s="3" t="n"/>
      <c r="F20" s="4" t="n"/>
    </row>
    <row r="21">
      <c r="A21" s="8" t="inlineStr">
        <is>
          <t>1</t>
        </is>
      </c>
      <c r="B21" t="inlineStr">
        <is>
          <t>Open Sheet 2</t>
        </is>
      </c>
      <c r="D21" t="inlineStr">
        <is>
          <t>Monthly_Data_Entry sheet</t>
        </is>
      </c>
    </row>
    <row r="22">
      <c r="A22" s="8" t="inlineStr">
        <is>
          <t>2</t>
        </is>
      </c>
      <c r="B22" t="inlineStr">
        <is>
          <t>Enter Period</t>
        </is>
      </c>
      <c r="D22" t="inlineStr">
        <is>
          <t>Format: January 2025</t>
        </is>
      </c>
    </row>
    <row r="23">
      <c r="A23" s="8" t="inlineStr">
        <is>
          <t>3</t>
        </is>
      </c>
      <c r="B23" t="inlineStr">
        <is>
          <t>Fill Metrics</t>
        </is>
      </c>
      <c r="D23" t="inlineStr">
        <is>
          <t>20 fields across 6 sections (see Section 3 below)</t>
        </is>
      </c>
    </row>
    <row r="24">
      <c r="A24" s="8" t="inlineStr">
        <is>
          <t>4</t>
        </is>
      </c>
      <c r="B24" t="inlineStr">
        <is>
          <t>Set Status</t>
        </is>
      </c>
      <c r="D24" t="inlineStr">
        <is>
          <t>Change dropdown to 'Final'</t>
        </is>
      </c>
    </row>
    <row r="25">
      <c r="A25" s="8" t="inlineStr">
        <is>
          <t>5</t>
        </is>
      </c>
      <c r="B25" t="inlineStr">
        <is>
          <t>Check Dashboard</t>
        </is>
      </c>
      <c r="D25" t="inlineStr">
        <is>
          <t>Review Sheet 3 (auto-updates)</t>
        </is>
      </c>
    </row>
    <row r="26">
      <c r="A26" s="8" t="inlineStr">
        <is>
          <t>6</t>
        </is>
      </c>
      <c r="B26" t="inlineStr">
        <is>
          <t>Update Actions</t>
        </is>
      </c>
      <c r="D26" t="inlineStr">
        <is>
          <t>Sheet 5 if needed</t>
        </is>
      </c>
    </row>
    <row r="27">
      <c r="A27" s="8" t="inlineStr">
        <is>
          <t>7</t>
        </is>
      </c>
      <c r="B27" t="inlineStr">
        <is>
          <t>Update Risks</t>
        </is>
      </c>
      <c r="D27" t="inlineStr">
        <is>
          <t>Sheet 7 if needed</t>
        </is>
      </c>
    </row>
    <row r="28">
      <c r="A28" s="8" t="inlineStr">
        <is>
          <t>8</t>
        </is>
      </c>
      <c r="B28" t="inlineStr">
        <is>
          <t>Save File</t>
        </is>
      </c>
      <c r="D28" t="inlineStr">
        <is>
          <t>Use dated filename for archive</t>
        </is>
      </c>
    </row>
    <row r="29">
      <c r="A29" s="8" t="inlineStr">
        <is>
          <t>9</t>
        </is>
      </c>
      <c r="B29" t="inlineStr">
        <is>
          <t>Export PDF</t>
        </is>
      </c>
      <c r="D29" t="inlineStr">
        <is>
          <t>Sheet 3 → File → Save As → PDF</t>
        </is>
      </c>
    </row>
    <row r="31">
      <c r="A31" s="5" t="inlineStr">
        <is>
          <t>3. WHERE TO FIND DATA (20 Metrics)</t>
        </is>
      </c>
    </row>
    <row r="32">
      <c r="A32" s="7" t="inlineStr">
        <is>
          <t>Metric</t>
        </is>
      </c>
      <c r="B32" s="4" t="n"/>
      <c r="C32" s="7" t="inlineStr">
        <is>
          <t>Data Source</t>
        </is>
      </c>
      <c r="D32" s="3" t="n"/>
      <c r="E32" s="3" t="n"/>
      <c r="F32" s="4" t="n"/>
    </row>
    <row r="33">
      <c r="A33" t="inlineStr">
        <is>
          <t>Active TI Sources</t>
        </is>
      </c>
      <c r="C33" t="inlineStr">
        <is>
          <t>ISMS-IMP-A.5.7.1 Sheet 2 or TI platform</t>
        </is>
      </c>
    </row>
    <row r="34">
      <c r="A34" t="inlineStr">
        <is>
          <t>Average Source Quality</t>
        </is>
      </c>
      <c r="C34" t="inlineStr">
        <is>
          <t>Quality scores from evaluations (1-5 scale)</t>
        </is>
      </c>
    </row>
    <row r="35">
      <c r="A35" t="inlineStr">
        <is>
          <t>Products Published</t>
        </is>
      </c>
      <c r="C35" t="inlineStr">
        <is>
          <t>Document repository count this month</t>
        </is>
      </c>
    </row>
    <row r="36">
      <c r="A36" t="inlineStr">
        <is>
          <t>Stakeholder Satisfaction</t>
        </is>
      </c>
      <c r="C36" t="inlineStr">
        <is>
          <t>Monthly survey average (1-5 scale)</t>
        </is>
      </c>
    </row>
    <row r="37">
      <c r="A37" t="inlineStr">
        <is>
          <t>IOCs Deployed</t>
        </is>
      </c>
      <c r="C37" t="inlineStr">
        <is>
          <t>SIEM dashboard count</t>
        </is>
      </c>
    </row>
    <row r="38">
      <c r="A38" t="inlineStr">
        <is>
          <t>IOC Hit Rate %</t>
        </is>
      </c>
      <c r="C38" t="inlineStr">
        <is>
          <t>SIEM analytics: (Hits / Total) × 100</t>
        </is>
      </c>
    </row>
    <row r="39">
      <c r="A39" t="inlineStr">
        <is>
          <t>CVSS 4.0 Adoption %</t>
        </is>
      </c>
      <c r="C39" t="inlineStr">
        <is>
          <t>Vuln mgmt: (v4.0 / Total) × 100</t>
        </is>
      </c>
    </row>
    <row r="40">
      <c r="A40" t="inlineStr">
        <is>
          <t>High CVSS Open</t>
        </is>
      </c>
      <c r="C40" t="inlineStr">
        <is>
          <t>Count CVSS≥7.0 + active exploit (MUST=0)</t>
        </is>
      </c>
    </row>
    <row r="41">
      <c r="A41" t="inlineStr">
        <is>
          <t>Incidents Prevented</t>
        </is>
      </c>
      <c r="C41" t="inlineStr">
        <is>
          <t>ISMS-IMP-A.5.7.3 Sheet 7</t>
        </is>
      </c>
    </row>
    <row r="42">
      <c r="A42" t="inlineStr">
        <is>
          <t>Cost Avoidance CHF</t>
        </is>
      </c>
      <c r="C42" t="inlineStr">
        <is>
          <t>Sum of prevented incident costs</t>
        </is>
      </c>
    </row>
    <row r="44">
      <c r="A44" s="9" t="inlineStr">
        <is>
          <t>See Sheet 2 for all 20 metrics with examples</t>
        </is>
      </c>
    </row>
    <row r="46">
      <c r="A46" s="5" t="inlineStr">
        <is>
          <t>4. QUARTERLY TASKS (Additional 30 Min) - Do Last Week of Quarter</t>
        </is>
      </c>
    </row>
    <row r="47">
      <c r="A47" s="7" t="inlineStr">
        <is>
          <t>Task</t>
        </is>
      </c>
      <c r="B47" s="7" t="inlineStr">
        <is>
          <t>Action</t>
        </is>
      </c>
      <c r="C47" s="3" t="n"/>
      <c r="D47" s="3" t="n"/>
      <c r="E47" s="3" t="n"/>
      <c r="F47" s="4" t="n"/>
    </row>
    <row r="48">
      <c r="A48" s="8" t="inlineStr">
        <is>
          <t>1</t>
        </is>
      </c>
      <c r="B48" t="inlineStr">
        <is>
          <t>Complete monthly workflow above</t>
        </is>
      </c>
    </row>
    <row r="49">
      <c r="A49" s="8" t="inlineStr">
        <is>
          <t>2</t>
        </is>
      </c>
      <c r="B49" t="inlineStr">
        <is>
          <t>Sheet 6: Add quarterly highlights (top 3 achievements/challenges)</t>
        </is>
      </c>
    </row>
    <row r="50">
      <c r="A50" s="8" t="inlineStr">
        <is>
          <t>3</t>
        </is>
      </c>
      <c r="B50" t="inlineStr">
        <is>
          <t>Sheet 8: Update ROI calculations</t>
        </is>
      </c>
    </row>
    <row r="51">
      <c r="A51" s="8" t="inlineStr">
        <is>
          <t>4</t>
        </is>
      </c>
      <c r="B51" t="inlineStr">
        <is>
          <t>Export 3 PDFs: Sheets 3, 6, 8</t>
        </is>
      </c>
    </row>
    <row r="52">
      <c r="A52" s="8" t="inlineStr">
        <is>
          <t>5</t>
        </is>
      </c>
      <c r="B52" t="inlineStr">
        <is>
          <t>Present to Board or distribute</t>
        </is>
      </c>
    </row>
    <row r="55">
      <c r="A55" s="5" t="inlineStr">
        <is>
          <t>5. CONTACTS &amp; RESOURCES</t>
        </is>
      </c>
    </row>
    <row r="56">
      <c r="A56" t="inlineStr">
        <is>
          <t>CISO:</t>
        </is>
      </c>
      <c r="B56" t="inlineStr">
        <is>
          <t>[Name] - [Email]</t>
        </is>
      </c>
    </row>
    <row r="57">
      <c r="A57" t="inlineStr">
        <is>
          <t>TI Team Lead:</t>
        </is>
      </c>
      <c r="B57" t="inlineStr">
        <is>
          <t>[Name] - [Email]</t>
        </is>
      </c>
    </row>
    <row r="58">
      <c r="A58" t="inlineStr">
        <is>
          <t>ISMS Support:</t>
        </is>
      </c>
      <c r="B58" t="inlineStr">
        <is>
          <t>isms@[organization].com</t>
        </is>
      </c>
    </row>
    <row r="59">
      <c r="A59" t="inlineStr"/>
      <c r="B59" t="inlineStr"/>
    </row>
    <row r="60">
      <c r="A60" t="inlineStr">
        <is>
          <t>Policy:</t>
        </is>
      </c>
      <c r="B60" t="inlineStr">
        <is>
          <t>ISMS-POL-A.5.7</t>
        </is>
      </c>
    </row>
    <row r="61">
      <c r="A61" t="inlineStr">
        <is>
          <t>Specification:</t>
        </is>
      </c>
      <c r="B61" t="inlineStr">
        <is>
          <t>ISMS-IMP-A.5.7.5</t>
        </is>
      </c>
    </row>
    <row r="62">
      <c r="A62" t="inlineStr">
        <is>
          <t>Operational Dashboard:</t>
        </is>
      </c>
      <c r="B62" t="inlineStr">
        <is>
          <t>ISMS-IMP-A.5.7.4 (for internal use)</t>
        </is>
      </c>
    </row>
  </sheetData>
  <mergeCells count="79">
    <mergeCell ref="B7:F7"/>
    <mergeCell ref="C39:F39"/>
    <mergeCell ref="B22:C22"/>
    <mergeCell ref="C32:F32"/>
    <mergeCell ref="C37:F37"/>
    <mergeCell ref="A55:F55"/>
    <mergeCell ref="B58:F58"/>
    <mergeCell ref="B12:C12"/>
    <mergeCell ref="B52:F52"/>
    <mergeCell ref="B21:C21"/>
    <mergeCell ref="D28:F28"/>
    <mergeCell ref="A41:B41"/>
    <mergeCell ref="D12:F12"/>
    <mergeCell ref="B60:F60"/>
    <mergeCell ref="B14:C14"/>
    <mergeCell ref="B13:C13"/>
    <mergeCell ref="D14:F14"/>
    <mergeCell ref="D29:F29"/>
    <mergeCell ref="D23:F23"/>
    <mergeCell ref="A44:F44"/>
    <mergeCell ref="A33:B33"/>
    <mergeCell ref="A42:B42"/>
    <mergeCell ref="A31:F31"/>
    <mergeCell ref="C41:F41"/>
    <mergeCell ref="A35:B35"/>
    <mergeCell ref="B24:C24"/>
    <mergeCell ref="B6:F6"/>
    <mergeCell ref="B26:C26"/>
    <mergeCell ref="C36:F36"/>
    <mergeCell ref="A39:B39"/>
    <mergeCell ref="B16:C16"/>
    <mergeCell ref="D27:F27"/>
    <mergeCell ref="B25:C25"/>
    <mergeCell ref="D17:F17"/>
    <mergeCell ref="B27:C27"/>
    <mergeCell ref="B56:F56"/>
    <mergeCell ref="A2:F2"/>
    <mergeCell ref="A37:B37"/>
    <mergeCell ref="B8:F8"/>
    <mergeCell ref="D25:F25"/>
    <mergeCell ref="B57:F57"/>
    <mergeCell ref="B29:C29"/>
    <mergeCell ref="B9:F9"/>
    <mergeCell ref="C40:F40"/>
    <mergeCell ref="A11:F11"/>
    <mergeCell ref="B15:C15"/>
    <mergeCell ref="D21:F21"/>
    <mergeCell ref="A34:B34"/>
    <mergeCell ref="A46:F46"/>
    <mergeCell ref="B47:F47"/>
    <mergeCell ref="B62:F62"/>
    <mergeCell ref="B59:F59"/>
    <mergeCell ref="A36:B36"/>
    <mergeCell ref="D16:F16"/>
    <mergeCell ref="B48:F48"/>
    <mergeCell ref="C34:F34"/>
    <mergeCell ref="B17:C17"/>
    <mergeCell ref="A19:F19"/>
    <mergeCell ref="B28:C28"/>
    <mergeCell ref="A32:B32"/>
    <mergeCell ref="D20:F20"/>
    <mergeCell ref="A38:B38"/>
    <mergeCell ref="A1:F1"/>
    <mergeCell ref="D22:F22"/>
    <mergeCell ref="A40:B40"/>
    <mergeCell ref="B50:F50"/>
    <mergeCell ref="D13:F13"/>
    <mergeCell ref="C38:F38"/>
    <mergeCell ref="B23:C23"/>
    <mergeCell ref="B61:F61"/>
    <mergeCell ref="C33:F33"/>
    <mergeCell ref="A4:F4"/>
    <mergeCell ref="C42:F42"/>
    <mergeCell ref="D15:F15"/>
    <mergeCell ref="D24:F24"/>
    <mergeCell ref="C35:F35"/>
    <mergeCell ref="D26:F26"/>
    <mergeCell ref="B49:F49"/>
    <mergeCell ref="B51:F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40" customWidth="1" min="3" max="3"/>
    <col width="20" customWidth="1" min="4" max="4"/>
  </cols>
  <sheetData>
    <row r="1">
      <c r="A1" s="2" t="inlineStr">
        <is>
          <t>Monthly Data Entry - Threat Intelligence Program</t>
        </is>
      </c>
      <c r="B1" s="3" t="n"/>
      <c r="C1" s="3" t="n"/>
      <c r="D1" s="4" t="n"/>
    </row>
    <row r="2">
      <c r="A2" s="7" t="inlineStr">
        <is>
          <t>Complete all fields on 1st business day of new month (10 minutes)</t>
        </is>
      </c>
      <c r="B2" s="3" t="n"/>
      <c r="C2" s="3" t="n"/>
      <c r="D2" s="4" t="n"/>
    </row>
    <row r="4">
      <c r="A4" s="5" t="inlineStr">
        <is>
          <t>A. DOCUMENT CONTROL</t>
        </is>
      </c>
    </row>
    <row r="5">
      <c r="A5" s="7" t="inlineStr">
        <is>
          <t>Field</t>
        </is>
      </c>
      <c r="B5" s="7" t="inlineStr">
        <is>
          <t>Value</t>
        </is>
      </c>
      <c r="C5" s="7" t="inlineStr">
        <is>
          <t>Instructions</t>
        </is>
      </c>
      <c r="D5" s="7" t="inlineStr">
        <is>
          <t>Example</t>
        </is>
      </c>
    </row>
    <row r="6">
      <c r="A6" t="inlineStr">
        <is>
          <t>Reporting_Period</t>
        </is>
      </c>
      <c r="C6" t="inlineStr">
        <is>
          <t>Format: Month YYYY</t>
        </is>
      </c>
      <c r="D6" t="inlineStr">
        <is>
          <t>January 2025</t>
        </is>
      </c>
    </row>
    <row r="7">
      <c r="A7" t="inlineStr">
        <is>
          <t>Entry_Date</t>
        </is>
      </c>
      <c r="B7">
        <f>TODAY()</f>
        <v/>
      </c>
      <c r="C7" t="inlineStr">
        <is>
          <t>Auto-filled</t>
        </is>
      </c>
      <c r="D7" t="inlineStr">
        <is>
          <t>2025-02-03</t>
        </is>
      </c>
    </row>
    <row r="8">
      <c r="A8" t="inlineStr">
        <is>
          <t>Entered_By</t>
        </is>
      </c>
      <c r="C8" t="inlineStr">
        <is>
          <t>Your email</t>
        </is>
      </c>
      <c r="D8" t="inlineStr">
        <is>
          <t>jane.ciso@example.com</t>
        </is>
      </c>
    </row>
    <row r="9">
      <c r="A9" t="inlineStr">
        <is>
          <t>Status</t>
        </is>
      </c>
      <c r="B9" t="inlineStr">
        <is>
          <t>Draft</t>
        </is>
      </c>
      <c r="C9" t="inlineStr">
        <is>
          <t>Set to 'Final' when complete</t>
        </is>
      </c>
      <c r="D9" t="inlineStr">
        <is>
          <t>Draft / Final</t>
        </is>
      </c>
    </row>
    <row r="11">
      <c r="A11" s="5" t="inlineStr">
        <is>
          <t>B. SOURCE PORTFOLIO METRICS</t>
        </is>
      </c>
    </row>
    <row r="12">
      <c r="A12" s="7" t="inlineStr">
        <is>
          <t>Field</t>
        </is>
      </c>
      <c r="B12" s="7" t="inlineStr">
        <is>
          <t>Value</t>
        </is>
      </c>
      <c r="C12" s="7" t="inlineStr">
        <is>
          <t>Instructions</t>
        </is>
      </c>
      <c r="D12" s="7" t="inlineStr">
        <is>
          <t>Example</t>
        </is>
      </c>
    </row>
    <row r="13">
      <c r="A13" t="inlineStr">
        <is>
          <t>Active_TI_Sources</t>
        </is>
      </c>
      <c r="C13" t="inlineStr">
        <is>
          <t>Count of active sources</t>
        </is>
      </c>
      <c r="D13" t="inlineStr">
        <is>
          <t>18</t>
        </is>
      </c>
    </row>
    <row r="14">
      <c r="A14" t="inlineStr">
        <is>
          <t>Average_Source_Quality</t>
        </is>
      </c>
      <c r="C14" t="inlineStr">
        <is>
          <t>1.0-5.0 scale</t>
        </is>
      </c>
      <c r="D14" t="inlineStr">
        <is>
          <t>4.2</t>
        </is>
      </c>
    </row>
    <row r="15">
      <c r="A15" t="inlineStr">
        <is>
          <t>Coverage_Gaps_Count</t>
        </is>
      </c>
      <c r="C15" t="inlineStr">
        <is>
          <t>Number of identified gaps</t>
        </is>
      </c>
      <c r="D15" t="inlineStr">
        <is>
          <t>2</t>
        </is>
      </c>
    </row>
    <row r="16">
      <c r="A16" t="inlineStr">
        <is>
          <t>Annual_Source_Cost_CHF</t>
        </is>
      </c>
      <c r="C16" t="inlineStr">
        <is>
          <t>Total subscription costs</t>
        </is>
      </c>
      <c r="D16" t="inlineStr">
        <is>
          <t>450000</t>
        </is>
      </c>
    </row>
    <row r="18">
      <c r="A18" s="5" t="inlineStr">
        <is>
          <t>C. INTELLIGENCE PRODUCTION METRICS</t>
        </is>
      </c>
    </row>
    <row r="19">
      <c r="A19" s="7" t="inlineStr">
        <is>
          <t>Field</t>
        </is>
      </c>
      <c r="B19" s="7" t="inlineStr">
        <is>
          <t>Value</t>
        </is>
      </c>
      <c r="C19" s="7" t="inlineStr">
        <is>
          <t>Instructions</t>
        </is>
      </c>
      <c r="D19" s="7" t="inlineStr">
        <is>
          <t>Example</t>
        </is>
      </c>
    </row>
    <row r="20">
      <c r="A20" t="inlineStr">
        <is>
          <t>Intelligence_Products_Published</t>
        </is>
      </c>
      <c r="C20" t="inlineStr">
        <is>
          <t>Count this month</t>
        </is>
      </c>
      <c r="D20" t="inlineStr">
        <is>
          <t>23</t>
        </is>
      </c>
    </row>
    <row r="21">
      <c r="A21" t="inlineStr">
        <is>
          <t>Average_Time_To_Produce_Hours</t>
        </is>
      </c>
      <c r="C21" t="inlineStr">
        <is>
          <t>Hours from collection to publication</t>
        </is>
      </c>
      <c r="D21" t="inlineStr">
        <is>
          <t>6.5</t>
        </is>
      </c>
    </row>
    <row r="22">
      <c r="A22" t="inlineStr">
        <is>
          <t>Stakeholder_Satisfaction_Rating</t>
        </is>
      </c>
      <c r="C22" t="inlineStr">
        <is>
          <t>1.0-5.0 scale</t>
        </is>
      </c>
      <c r="D22" t="inlineStr">
        <is>
          <t>4.3</t>
        </is>
      </c>
    </row>
    <row r="23">
      <c r="A23" t="inlineStr">
        <is>
          <t>Intelligence_Consumption_Rate</t>
        </is>
      </c>
      <c r="C23" t="inlineStr">
        <is>
          <t>Percentage (0-100)</t>
        </is>
      </c>
      <c r="D23" t="inlineStr">
        <is>
          <t>82</t>
        </is>
      </c>
    </row>
    <row r="25">
      <c r="A25" s="5" t="inlineStr">
        <is>
          <t>D. INTEGRATION &amp; EFFECTIVENESS METRICS</t>
        </is>
      </c>
    </row>
    <row r="26">
      <c r="A26" s="7" t="inlineStr">
        <is>
          <t>Field</t>
        </is>
      </c>
      <c r="B26" s="7" t="inlineStr">
        <is>
          <t>Value</t>
        </is>
      </c>
      <c r="C26" s="7" t="inlineStr">
        <is>
          <t>Instructions</t>
        </is>
      </c>
      <c r="D26" s="7" t="inlineStr">
        <is>
          <t>Example</t>
        </is>
      </c>
    </row>
    <row r="27">
      <c r="A27" t="inlineStr">
        <is>
          <t>Security_Tools_Integrated</t>
        </is>
      </c>
      <c r="C27" t="inlineStr">
        <is>
          <t>Count of tools with TI feeds</t>
        </is>
      </c>
      <c r="D27" t="inlineStr">
        <is>
          <t>9</t>
        </is>
      </c>
    </row>
    <row r="28">
      <c r="A28" t="inlineStr">
        <is>
          <t>IOCs_Deployed</t>
        </is>
      </c>
      <c r="C28" t="inlineStr">
        <is>
          <t>IOCs deployed this month</t>
        </is>
      </c>
      <c r="D28" t="inlineStr">
        <is>
          <t>1247</t>
        </is>
      </c>
    </row>
    <row r="29">
      <c r="A29" t="inlineStr">
        <is>
          <t>IOC_Hit_Rate</t>
        </is>
      </c>
      <c r="C29" t="inlineStr">
        <is>
          <t>Percentage (0-100)</t>
        </is>
      </c>
      <c r="D29" t="inlineStr">
        <is>
          <t>12.3</t>
        </is>
      </c>
    </row>
    <row r="30">
      <c r="A30" t="inlineStr">
        <is>
          <t>IOC_False_Positive_Rate</t>
        </is>
      </c>
      <c r="C30" t="inlineStr">
        <is>
          <t>Percentage (0-100)</t>
        </is>
      </c>
      <c r="D30" t="inlineStr">
        <is>
          <t>3.8</t>
        </is>
      </c>
    </row>
    <row r="32">
      <c r="A32" s="5" t="inlineStr">
        <is>
          <t>E. CVSS &amp; VULNERABILITY METRICS</t>
        </is>
      </c>
    </row>
    <row r="33">
      <c r="A33" s="7" t="inlineStr">
        <is>
          <t>Field</t>
        </is>
      </c>
      <c r="B33" s="7" t="inlineStr">
        <is>
          <t>Value</t>
        </is>
      </c>
      <c r="C33" s="7" t="inlineStr">
        <is>
          <t>Instructions</t>
        </is>
      </c>
      <c r="D33" s="7" t="inlineStr">
        <is>
          <t>Example</t>
        </is>
      </c>
    </row>
    <row r="34">
      <c r="A34" t="inlineStr">
        <is>
          <t>CVSS_4_0_Adoption_Rate</t>
        </is>
      </c>
      <c r="C34" t="inlineStr">
        <is>
          <t>Percentage (0-100)</t>
        </is>
      </c>
      <c r="D34" t="inlineStr">
        <is>
          <t>68</t>
        </is>
      </c>
    </row>
    <row r="35">
      <c r="A35" t="inlineStr">
        <is>
          <t>CVSS_Source_Accuracy_Rate</t>
        </is>
      </c>
      <c r="C35" t="inlineStr">
        <is>
          <t>Percentage (0-100)</t>
        </is>
      </c>
      <c r="D35" t="inlineStr">
        <is>
          <t>91</t>
        </is>
      </c>
    </row>
    <row r="36">
      <c r="A36" t="inlineStr">
        <is>
          <t>High_CVSS_Active_Exploitation_Open</t>
        </is>
      </c>
      <c r="C36" t="inlineStr">
        <is>
          <t>Count (MUST be 0)</t>
        </is>
      </c>
      <c r="D36" t="inlineStr">
        <is>
          <t>0</t>
        </is>
      </c>
    </row>
    <row r="37">
      <c r="A37" t="inlineStr">
        <is>
          <t>VTL_Records_Created</t>
        </is>
      </c>
      <c r="C37" t="inlineStr">
        <is>
          <t>Vulnerability-Threat Links</t>
        </is>
      </c>
      <c r="D37" t="inlineStr">
        <is>
          <t>47</t>
        </is>
      </c>
    </row>
    <row r="39">
      <c r="A39" s="5" t="inlineStr">
        <is>
          <t>F. PREVENTION &amp; IMPACT METRICS</t>
        </is>
      </c>
    </row>
    <row r="40">
      <c r="A40" s="7" t="inlineStr">
        <is>
          <t>Field</t>
        </is>
      </c>
      <c r="B40" s="7" t="inlineStr">
        <is>
          <t>Value</t>
        </is>
      </c>
      <c r="C40" s="7" t="inlineStr">
        <is>
          <t>Instructions</t>
        </is>
      </c>
      <c r="D40" s="7" t="inlineStr">
        <is>
          <t>Example</t>
        </is>
      </c>
    </row>
    <row r="41">
      <c r="A41" t="inlineStr">
        <is>
          <t>Incidents_Prevented</t>
        </is>
      </c>
      <c r="C41" t="inlineStr">
        <is>
          <t>Count this month</t>
        </is>
      </c>
      <c r="D41" t="inlineStr">
        <is>
          <t>4</t>
        </is>
      </c>
    </row>
    <row r="42">
      <c r="A42" t="inlineStr">
        <is>
          <t>Cost_Avoidance_CHF</t>
        </is>
      </c>
      <c r="C42" t="inlineStr">
        <is>
          <t>Estimated savings</t>
        </is>
      </c>
      <c r="D42" t="inlineStr">
        <is>
          <t>275000</t>
        </is>
      </c>
    </row>
    <row r="43">
      <c r="A43" t="inlineStr">
        <is>
          <t>Risk_Assessments_Updated</t>
        </is>
      </c>
      <c r="C43" t="inlineStr">
        <is>
          <t>Count this month</t>
        </is>
      </c>
      <c r="D43" t="inlineStr">
        <is>
          <t>3</t>
        </is>
      </c>
    </row>
    <row r="44">
      <c r="A44" t="inlineStr">
        <is>
          <t>P1_P2_Incidents_With_TI_Context</t>
        </is>
      </c>
      <c r="C44" t="inlineStr">
        <is>
          <t>Percentage (0-100)</t>
        </is>
      </c>
      <c r="D44" t="inlineStr">
        <is>
          <t>85</t>
        </is>
      </c>
    </row>
    <row r="47">
      <c r="A47" s="5" t="inlineStr">
        <is>
          <t>NOTES / COMMENTS</t>
        </is>
      </c>
    </row>
    <row r="48"/>
    <row r="49"/>
    <row r="50"/>
    <row r="51"/>
  </sheetData>
  <mergeCells count="10">
    <mergeCell ref="A1:D1"/>
    <mergeCell ref="A18:D18"/>
    <mergeCell ref="A48:D51"/>
    <mergeCell ref="A4:D4"/>
    <mergeCell ref="A39:D39"/>
    <mergeCell ref="A25:D25"/>
    <mergeCell ref="A2:D2"/>
    <mergeCell ref="A11:D11"/>
    <mergeCell ref="A47:D47"/>
    <mergeCell ref="A32:D32"/>
  </mergeCells>
  <dataValidations count="1">
    <dataValidation sqref="B9" showDropDown="0" showInputMessage="0" showErrorMessage="0" allowBlank="0" type="list">
      <formula1>"Draft,Final"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[Organization Logo]</t>
        </is>
      </c>
      <c r="E1" s="2" t="inlineStr">
        <is>
          <t>THREAT INTELLIGENCE PROGRAM</t>
        </is>
      </c>
      <c r="F1" s="3" t="n"/>
      <c r="G1" s="3" t="n"/>
      <c r="H1" s="3" t="n"/>
      <c r="I1" s="3" t="n"/>
      <c r="J1" s="4" t="n"/>
    </row>
    <row r="2">
      <c r="A2" s="7" t="inlineStr">
        <is>
          <t>Executive Summary Dashboard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>
      <c r="A3" t="inlineStr">
        <is>
          <t>Reporting Period:</t>
        </is>
      </c>
      <c r="B3">
        <f>Monthly_Data_Entry!B5</f>
        <v/>
      </c>
      <c r="H3" t="inlineStr">
        <is>
          <t>Report Date:</t>
        </is>
      </c>
      <c r="I3">
        <f>TODAY()</f>
        <v/>
      </c>
    </row>
    <row r="4">
      <c r="A4" t="inlineStr">
        <is>
          <t>Program Health Score</t>
        </is>
      </c>
    </row>
    <row r="5">
      <c r="A5" s="10">
        <f>AVERAGE(B10,B11,B12,B13)</f>
        <v/>
      </c>
      <c r="B5" s="11" t="n"/>
    </row>
    <row r="6">
      <c r="A6" s="12" t="n"/>
      <c r="B6" s="13" t="n"/>
    </row>
    <row r="8">
      <c r="A8" s="5" t="inlineStr">
        <is>
          <t>KEY PERFORMANCE INDICATORS</t>
        </is>
      </c>
    </row>
    <row r="9">
      <c r="A9" s="7" t="inlineStr">
        <is>
          <t>SOURCE PORTFOLIO</t>
        </is>
      </c>
      <c r="B9" s="4" t="n"/>
      <c r="D9" s="7" t="inlineStr">
        <is>
          <t>PRODUCTION QUALITY</t>
        </is>
      </c>
      <c r="E9" s="4" t="n"/>
      <c r="G9" s="7" t="inlineStr">
        <is>
          <t>INTEGRATION</t>
        </is>
      </c>
      <c r="H9" s="4" t="n"/>
      <c r="I9" s="7" t="inlineStr">
        <is>
          <t>CVSS &amp; PREVENTION</t>
        </is>
      </c>
      <c r="J9" s="4" t="n"/>
    </row>
    <row r="10">
      <c r="A10" t="inlineStr">
        <is>
          <t>Active Sources</t>
        </is>
      </c>
      <c r="B10">
        <f>Monthly_Data_Entry!B10</f>
        <v/>
      </c>
      <c r="D10" t="inlineStr">
        <is>
          <t>Products</t>
        </is>
      </c>
      <c r="E10">
        <f>Monthly_Data_Entry!B17</f>
        <v/>
      </c>
      <c r="G10" t="inlineStr">
        <is>
          <t>Tools Integrated</t>
        </is>
      </c>
      <c r="H10">
        <f>Monthly_Data_Entry!B25</f>
        <v/>
      </c>
      <c r="I10" t="inlineStr">
        <is>
          <t>CVSS 4.0 Adoption %</t>
        </is>
      </c>
      <c r="J10">
        <f>Monthly_Data_Entry!B32</f>
        <v/>
      </c>
    </row>
    <row r="11">
      <c r="A11" t="inlineStr">
        <is>
          <t>Avg Quality</t>
        </is>
      </c>
      <c r="B11">
        <f>Monthly_Data_Entry!B11</f>
        <v/>
      </c>
      <c r="D11" t="inlineStr">
        <is>
          <t>Satisfaction</t>
        </is>
      </c>
      <c r="E11">
        <f>Monthly_Data_Entry!B19</f>
        <v/>
      </c>
      <c r="G11" t="inlineStr">
        <is>
          <t>IOC Hit Rate %</t>
        </is>
      </c>
      <c r="H11">
        <f>Monthly_Data_Entry!B27</f>
        <v/>
      </c>
      <c r="I11" t="inlineStr">
        <is>
          <t>Incidents Prevented</t>
        </is>
      </c>
      <c r="J11">
        <f>Monthly_Data_Entry!B40</f>
        <v/>
      </c>
    </row>
    <row r="12">
      <c r="A12" t="inlineStr">
        <is>
          <t>Coverage Gaps</t>
        </is>
      </c>
      <c r="B12">
        <f>Monthly_Data_Entry!B12</f>
        <v/>
      </c>
      <c r="D12" t="inlineStr">
        <is>
          <t>Consumption %</t>
        </is>
      </c>
      <c r="E12">
        <f>Monthly_Data_Entry!B20</f>
        <v/>
      </c>
      <c r="G12" t="inlineStr">
        <is>
          <t>False Positive %</t>
        </is>
      </c>
      <c r="H12">
        <f>Monthly_Data_Entry!B28</f>
        <v/>
      </c>
      <c r="I12" t="inlineStr">
        <is>
          <t>High CVSS Open</t>
        </is>
      </c>
      <c r="J12">
        <f>Monthly_Data_Entry!B34</f>
        <v/>
      </c>
    </row>
    <row r="14">
      <c r="A14" s="5" t="inlineStr">
        <is>
          <t>CRITICAL METRICS - THIS MONTH VS TARGET</t>
        </is>
      </c>
    </row>
    <row r="15">
      <c r="A15" s="7" t="inlineStr">
        <is>
          <t>Metric</t>
        </is>
      </c>
      <c r="B15" s="7" t="inlineStr">
        <is>
          <t>Target</t>
        </is>
      </c>
      <c r="C15" s="7" t="inlineStr">
        <is>
          <t>Last Month</t>
        </is>
      </c>
      <c r="D15" s="7" t="inlineStr">
        <is>
          <t>This Month</t>
        </is>
      </c>
      <c r="E15" s="7" t="inlineStr">
        <is>
          <t>Status</t>
        </is>
      </c>
      <c r="F15" s="7" t="inlineStr">
        <is>
          <t>Trend</t>
        </is>
      </c>
    </row>
    <row r="16">
      <c r="A16" t="inlineStr">
        <is>
          <t>Stakeholder Satisfaction</t>
        </is>
      </c>
      <c r="B16" t="inlineStr">
        <is>
          <t>&gt;=4.0</t>
        </is>
      </c>
      <c r="C16">
        <f>OFFSET(Trend_History!F:F,-1,0)</f>
        <v/>
      </c>
      <c r="D16">
        <f>Monthly_Data_Entry!B19</f>
        <v/>
      </c>
      <c r="E16" t="inlineStr"/>
      <c r="F16" t="inlineStr"/>
    </row>
    <row r="17">
      <c r="A17" t="inlineStr">
        <is>
          <t>IOC Hit Rate %</t>
        </is>
      </c>
      <c r="B17" t="inlineStr">
        <is>
          <t>&gt;=10</t>
        </is>
      </c>
      <c r="C17" t="inlineStr"/>
      <c r="D17">
        <f>Monthly_Data_Entry!B27</f>
        <v/>
      </c>
      <c r="E17" t="inlineStr"/>
      <c r="F17" t="inlineStr"/>
    </row>
    <row r="18">
      <c r="A18" t="inlineStr">
        <is>
          <t>Incidents Prevented</t>
        </is>
      </c>
      <c r="B18" t="inlineStr">
        <is>
          <t>&gt;=3</t>
        </is>
      </c>
      <c r="C18" t="inlineStr"/>
      <c r="D18">
        <f>Monthly_Data_Entry!B40</f>
        <v/>
      </c>
      <c r="E18" t="inlineStr"/>
      <c r="F18" t="inlineStr"/>
    </row>
    <row r="19">
      <c r="A19" t="inlineStr">
        <is>
          <t>CVSS Accuracy %</t>
        </is>
      </c>
      <c r="B19" t="inlineStr">
        <is>
          <t>&gt;=90</t>
        </is>
      </c>
      <c r="C19" t="inlineStr"/>
      <c r="D19">
        <f>Monthly_Data_Entry!B33</f>
        <v/>
      </c>
      <c r="E19" t="inlineStr"/>
      <c r="F19" t="inlineStr"/>
    </row>
    <row r="20">
      <c r="A20" t="inlineStr">
        <is>
          <t>False Positive %</t>
        </is>
      </c>
      <c r="B20" t="inlineStr">
        <is>
          <t>&lt;=5</t>
        </is>
      </c>
      <c r="C20" t="inlineStr"/>
      <c r="D20">
        <f>Monthly_Data_Entry!B28</f>
        <v/>
      </c>
      <c r="E20" t="inlineStr"/>
      <c r="F20" t="inlineStr"/>
    </row>
    <row r="22">
      <c r="A22" s="5" t="inlineStr">
        <is>
          <t>TOP 3 ACHIEVEMENTS</t>
        </is>
      </c>
      <c r="D22" s="5" t="inlineStr">
        <is>
          <t>TOP 3 RISKS</t>
        </is>
      </c>
      <c r="H22" s="5" t="inlineStr">
        <is>
          <t>TOP 3 ACTIONS REQUIRED</t>
        </is>
      </c>
    </row>
    <row r="23">
      <c r="A23" t="inlineStr">
        <is>
          <t>• [From Critical_Actions, Type=Achievement]</t>
        </is>
      </c>
      <c r="D23" t="inlineStr">
        <is>
          <t>• [From Risk_Summary, Priority=Critical]</t>
        </is>
      </c>
      <c r="H23" t="inlineStr">
        <is>
          <t>• [From Critical_Actions, Priority=High]</t>
        </is>
      </c>
    </row>
    <row r="28">
      <c r="A28" t="inlineStr">
        <is>
          <t>Data Source: Self-reported metrics | Next Update: 1st business day of next month</t>
        </is>
      </c>
    </row>
  </sheetData>
  <mergeCells count="13">
    <mergeCell ref="D22:G22"/>
    <mergeCell ref="E1:J1"/>
    <mergeCell ref="A8:J8"/>
    <mergeCell ref="A14:J14"/>
    <mergeCell ref="H22:J22"/>
    <mergeCell ref="A22:C22"/>
    <mergeCell ref="A5:B6"/>
    <mergeCell ref="A2:J2"/>
    <mergeCell ref="A9:B9"/>
    <mergeCell ref="G9:H9"/>
    <mergeCell ref="D9:E9"/>
    <mergeCell ref="A28:J28"/>
    <mergeCell ref="I9:J9"/>
  </mergeCells>
  <pageMargins left="0.75" right="0.75" top="1" bottom="1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2" customWidth="1" min="13" max="13"/>
    <col width="10" customWidth="1" min="14" max="14"/>
    <col width="14" customWidth="1" min="15" max="15"/>
    <col width="12" customWidth="1" min="16" max="16"/>
    <col width="20" customWidth="1" min="17" max="17"/>
  </cols>
  <sheetData>
    <row r="1">
      <c r="A1" s="2" t="inlineStr">
        <is>
          <t>Trend History - 12 Month Rolling Data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4" t="n"/>
    </row>
    <row r="2">
      <c r="A2" s="7" t="inlineStr">
        <is>
          <t>Data automatically appended from Monthly_Data_Entry when Status = 'Final'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4" t="n"/>
    </row>
    <row r="4">
      <c r="A4" s="7" t="inlineStr">
        <is>
          <t>Period</t>
        </is>
      </c>
      <c r="B4" s="7" t="inlineStr">
        <is>
          <t>Entry_Date</t>
        </is>
      </c>
      <c r="C4" s="7" t="inlineStr">
        <is>
          <t>Active_Sources</t>
        </is>
      </c>
      <c r="D4" s="7" t="inlineStr">
        <is>
          <t>Avg_Quality</t>
        </is>
      </c>
      <c r="E4" s="7" t="inlineStr">
        <is>
          <t>Coverage_Gaps</t>
        </is>
      </c>
      <c r="F4" s="7" t="inlineStr">
        <is>
          <t>Products_Published</t>
        </is>
      </c>
      <c r="G4" s="7" t="inlineStr">
        <is>
          <t>Satisfaction</t>
        </is>
      </c>
      <c r="H4" s="7" t="inlineStr">
        <is>
          <t>IOCs_Deployed</t>
        </is>
      </c>
      <c r="I4" s="7" t="inlineStr">
        <is>
          <t>Hit_Rate_%</t>
        </is>
      </c>
      <c r="J4" s="7" t="inlineStr">
        <is>
          <t>False_Positive_%</t>
        </is>
      </c>
      <c r="K4" s="7" t="inlineStr">
        <is>
          <t>CVSS_4.0_%</t>
        </is>
      </c>
      <c r="L4" s="7" t="inlineStr">
        <is>
          <t>CVSS_Accuracy_%</t>
        </is>
      </c>
      <c r="M4" s="7" t="inlineStr">
        <is>
          <t>High_CVSS_Open</t>
        </is>
      </c>
      <c r="N4" s="7" t="inlineStr">
        <is>
          <t>Prevented</t>
        </is>
      </c>
      <c r="O4" s="7" t="inlineStr">
        <is>
          <t>Cost_Avoid_CHF</t>
        </is>
      </c>
      <c r="P4" s="7" t="inlineStr">
        <is>
          <t>Program_Health</t>
        </is>
      </c>
      <c r="Q4" s="7" t="inlineStr">
        <is>
          <t>Notes</t>
        </is>
      </c>
    </row>
    <row r="5">
      <c r="A5" t="inlineStr">
        <is>
          <t>2025-01</t>
        </is>
      </c>
      <c r="B5" t="inlineStr">
        <is>
          <t>2025-02-01</t>
        </is>
      </c>
      <c r="C5" t="n">
        <v>18</v>
      </c>
      <c r="D5" t="n">
        <v>4.2</v>
      </c>
      <c r="E5" t="n">
        <v>2</v>
      </c>
      <c r="F5" t="n">
        <v>23</v>
      </c>
      <c r="G5" t="n">
        <v>4.3</v>
      </c>
      <c r="H5" t="n">
        <v>1247</v>
      </c>
      <c r="I5" t="n">
        <v>12.3</v>
      </c>
      <c r="J5" t="n">
        <v>3.8</v>
      </c>
      <c r="K5" t="n">
        <v>68</v>
      </c>
      <c r="L5" t="n">
        <v>91</v>
      </c>
      <c r="M5" t="n">
        <v>0</v>
      </c>
      <c r="N5" t="n">
        <v>4</v>
      </c>
      <c r="O5" t="n">
        <v>275000</v>
      </c>
      <c r="P5" t="n">
        <v>4.1</v>
      </c>
      <c r="Q5" t="inlineStr">
        <is>
          <t>Q1 data</t>
        </is>
      </c>
    </row>
    <row r="7">
      <c r="A7" s="5" t="inlineStr">
        <is>
          <t>INSTRUCTIONS:</t>
        </is>
      </c>
    </row>
    <row r="8">
      <c r="A8" t="inlineStr">
        <is>
          <t>• This sheet stores last 24 months of data for trending</t>
        </is>
      </c>
    </row>
    <row r="9">
      <c r="A9" t="inlineStr">
        <is>
          <t>• New row appended automatically when Monthly_Data_Entry Status = 'Final'</t>
        </is>
      </c>
    </row>
    <row r="10">
      <c r="A10" t="inlineStr">
        <is>
          <t>• Used for sparklines and charts in Executive_Dashboard</t>
        </is>
      </c>
    </row>
    <row r="11">
      <c r="A11" t="inlineStr">
        <is>
          <t>• Keep last 24 months, delete older rows</t>
        </is>
      </c>
    </row>
  </sheetData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15" customWidth="1" min="4" max="4"/>
    <col width="12" customWidth="1" min="5" max="5"/>
    <col width="12" customWidth="1" min="6" max="6"/>
    <col width="15" customWidth="1" min="7" max="7"/>
    <col width="30" customWidth="1" min="8" max="8"/>
    <col width="14" customWidth="1" min="9" max="9"/>
    <col width="14" customWidth="1" min="10" max="10"/>
  </cols>
  <sheetData>
    <row r="1">
      <c r="A1" s="2" t="inlineStr">
        <is>
          <t>Critical Actions - Executive Attention Required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</row>
    <row r="2">
      <c r="A2" s="7" t="inlineStr">
        <is>
          <t>Track 5-10 actions requiring executive decisions or awareness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4">
      <c r="A4" s="7" t="inlineStr">
        <is>
          <t>Action_ID</t>
        </is>
      </c>
      <c r="B4" s="7" t="inlineStr">
        <is>
          <t>Action_Type</t>
        </is>
      </c>
      <c r="C4" s="7" t="inlineStr">
        <is>
          <t>Description</t>
        </is>
      </c>
      <c r="D4" s="7" t="inlineStr">
        <is>
          <t>Owner</t>
        </is>
      </c>
      <c r="E4" s="7" t="inlineStr">
        <is>
          <t>Priority</t>
        </is>
      </c>
      <c r="F4" s="7" t="inlineStr">
        <is>
          <t>Due_Date</t>
        </is>
      </c>
      <c r="G4" s="7" t="inlineStr">
        <is>
          <t>Status</t>
        </is>
      </c>
      <c r="H4" s="7" t="inlineStr">
        <is>
          <t>Resolution</t>
        </is>
      </c>
      <c r="I4" s="7" t="inlineStr">
        <is>
          <t>Created_Date</t>
        </is>
      </c>
      <c r="J4" s="7" t="inlineStr">
        <is>
          <t>Completed_Date</t>
        </is>
      </c>
    </row>
    <row r="5">
      <c r="A5" t="inlineStr">
        <is>
          <t>ACT-2025-01</t>
        </is>
      </c>
      <c r="B5" t="inlineStr">
        <is>
          <t>Budget</t>
        </is>
      </c>
      <c r="C5" t="inlineStr">
        <is>
          <t>CrowdStrike renewal requires board approval</t>
        </is>
      </c>
      <c r="D5" t="inlineStr">
        <is>
          <t>CISO</t>
        </is>
      </c>
      <c r="E5" t="inlineStr">
        <is>
          <t>High</t>
        </is>
      </c>
      <c r="F5" t="inlineStr">
        <is>
          <t>31.03.2025</t>
        </is>
      </c>
      <c r="G5" t="inlineStr">
        <is>
          <t>Open</t>
        </is>
      </c>
      <c r="H5" t="inlineStr"/>
      <c r="I5" t="inlineStr">
        <is>
          <t>10.01.2025</t>
        </is>
      </c>
      <c r="J5" t="inlineStr"/>
    </row>
    <row r="6">
      <c r="A6" t="inlineStr">
        <is>
          <t>ACT-2025-02</t>
        </is>
      </c>
      <c r="B6" t="inlineStr">
        <is>
          <t>Achievement</t>
        </is>
      </c>
      <c r="C6" t="inlineStr">
        <is>
          <t>Prevented 4 major incidents using threat intelligence</t>
        </is>
      </c>
      <c r="D6" t="inlineStr">
        <is>
          <t>TI Lead</t>
        </is>
      </c>
      <c r="E6" t="inlineStr">
        <is>
          <t>Medium</t>
        </is>
      </c>
      <c r="F6" t="inlineStr">
        <is>
          <t>31.01.2025</t>
        </is>
      </c>
      <c r="G6" t="inlineStr">
        <is>
          <t>Completed</t>
        </is>
      </c>
      <c r="H6" t="inlineStr">
        <is>
          <t>Documented in monthly report</t>
        </is>
      </c>
      <c r="I6" t="inlineStr">
        <is>
          <t>05.01.2025</t>
        </is>
      </c>
      <c r="J6" t="inlineStr">
        <is>
          <t>31.01.2025</t>
        </is>
      </c>
    </row>
    <row r="9">
      <c r="A9" s="5" t="inlineStr">
        <is>
          <t>SUMMARY METRICS</t>
        </is>
      </c>
    </row>
    <row r="10">
      <c r="A10" t="inlineStr">
        <is>
          <t>Total Actions:</t>
        </is>
      </c>
      <c r="B10">
        <f>COUNTA(A5:A100)</f>
        <v/>
      </c>
    </row>
    <row r="11">
      <c r="A11" t="inlineStr">
        <is>
          <t>Critical Priority:</t>
        </is>
      </c>
      <c r="B11">
        <f>COUNTIF(E5:E100,"Critical")</f>
        <v/>
      </c>
    </row>
    <row r="12">
      <c r="A12" t="inlineStr">
        <is>
          <t>Overdue:</t>
        </is>
      </c>
      <c r="B12">
        <f>COUNTIFS(F5:F100,"&lt;"&amp;TODAY(),G5:G100,"&lt;&gt;Completed")</f>
        <v/>
      </c>
    </row>
    <row r="13">
      <c r="A13" t="inlineStr">
        <is>
          <t>Completed This Quarter:</t>
        </is>
      </c>
      <c r="B13">
        <f>COUNTIFS(J5:J100,"&gt;="&amp;DATE(YEAR(TODAY()),QUARTER(TODAY())*3-2,1),G5:G100,"Completed")</f>
        <v/>
      </c>
    </row>
  </sheetData>
  <mergeCells count="3">
    <mergeCell ref="A1:J1"/>
    <mergeCell ref="A9:D9"/>
    <mergeCell ref="A2:J2"/>
  </mergeCells>
  <dataValidations count="3">
    <dataValidation sqref="B5:B100" showDropDown="0" showInputMessage="0" showErrorMessage="0" allowBlank="0" type="list">
      <formula1>"Achievement,Risk_Mitigation,Budget,Resource,Strategic"</formula1>
    </dataValidation>
    <dataValidation sqref="E5:E100" showDropDown="0" showInputMessage="0" showErrorMessage="0" allowBlank="0" type="list">
      <formula1>"🔴 Critical,🟡 High,🟢 Medium,⚫ Low"</formula1>
    </dataValidation>
    <dataValidation sqref="G5:G100" showDropDown="0" showInputMessage="0" showErrorMessage="0" allowBlank="0" type="list">
      <formula1>"Open,In_Progress,Completed,Cancelled"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3" customWidth="1" min="7" max="7"/>
  </cols>
  <sheetData>
    <row r="1">
      <c r="A1" s="2" t="inlineStr">
        <is>
          <t>Quarterly Summary - Board Reporting</t>
        </is>
      </c>
      <c r="B1" s="3" t="n"/>
      <c r="C1" s="3" t="n"/>
      <c r="D1" s="3" t="n"/>
      <c r="E1" s="3" t="n"/>
      <c r="F1" s="3" t="n"/>
      <c r="G1" s="4" t="n"/>
    </row>
    <row r="2">
      <c r="A2" s="7" t="inlineStr">
        <is>
          <t>Quarter-over-quarter comparison and strategic highlights</t>
        </is>
      </c>
      <c r="B2" s="3" t="n"/>
      <c r="C2" s="3" t="n"/>
      <c r="D2" s="3" t="n"/>
      <c r="E2" s="3" t="n"/>
      <c r="F2" s="3" t="n"/>
      <c r="G2" s="4" t="n"/>
    </row>
    <row r="4">
      <c r="A4" s="5" t="inlineStr">
        <is>
          <t>A. QUARTERLY METRICS</t>
        </is>
      </c>
    </row>
    <row r="5">
      <c r="A5" s="7" t="inlineStr">
        <is>
          <t>Metric</t>
        </is>
      </c>
      <c r="B5" s="7" t="inlineStr">
        <is>
          <t>Q-4</t>
        </is>
      </c>
      <c r="C5" s="7" t="inlineStr">
        <is>
          <t>Q-3</t>
        </is>
      </c>
      <c r="D5" s="7" t="inlineStr">
        <is>
          <t>Q-2</t>
        </is>
      </c>
      <c r="E5" s="7" t="inlineStr">
        <is>
          <t>Q-1 (Current)</t>
        </is>
      </c>
      <c r="F5" s="7" t="inlineStr">
        <is>
          <t>QoQ Change</t>
        </is>
      </c>
      <c r="G5" s="7" t="inlineStr">
        <is>
          <t>YoY Change</t>
        </is>
      </c>
    </row>
    <row r="6">
      <c r="A6" s="5" t="inlineStr">
        <is>
          <t>SOURCE PORTFOLIO</t>
        </is>
      </c>
    </row>
    <row r="7">
      <c r="A7" t="inlineStr">
        <is>
          <t>Active Sources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Avg Quality (1-5)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Coverage Gaps</t>
        </is>
      </c>
      <c r="B9" t="inlineStr"/>
      <c r="C9" t="inlineStr"/>
      <c r="D9" t="inlineStr"/>
      <c r="E9" t="inlineStr"/>
      <c r="F9" t="inlineStr"/>
      <c r="G9" t="inlineStr"/>
    </row>
    <row r="10">
      <c r="A10" s="5" t="inlineStr">
        <is>
          <t>PRODUCTION</t>
        </is>
      </c>
    </row>
    <row r="11">
      <c r="A11" t="inlineStr">
        <is>
          <t>Products (Quarterly)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Satisfaction (1-5)</t>
        </is>
      </c>
      <c r="B12" t="inlineStr"/>
      <c r="C12" t="inlineStr"/>
      <c r="D12" t="inlineStr"/>
      <c r="E12" t="inlineStr"/>
      <c r="F12" t="inlineStr"/>
      <c r="G12" t="inlineStr"/>
    </row>
    <row r="13">
      <c r="A13" s="5" t="inlineStr">
        <is>
          <t>INTEGRATION</t>
        </is>
      </c>
    </row>
    <row r="14">
      <c r="A14" t="inlineStr">
        <is>
          <t>IOCs Deployed (Q)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Hit Rate (%)</t>
        </is>
      </c>
      <c r="B15" t="inlineStr"/>
      <c r="C15" t="inlineStr"/>
      <c r="D15" t="inlineStr"/>
      <c r="E15" t="inlineStr"/>
      <c r="F15" t="inlineStr"/>
      <c r="G15" t="inlineStr"/>
    </row>
    <row r="16">
      <c r="A16" s="5" t="inlineStr">
        <is>
          <t>CVSS &amp; PREVENTION</t>
        </is>
      </c>
    </row>
    <row r="17">
      <c r="A17" t="inlineStr">
        <is>
          <t>CVSS 4.0 Adoption (%)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Incidents Prevented (Q)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Cost Avoidance (CHF, Q)</t>
        </is>
      </c>
      <c r="B19" t="inlineStr"/>
      <c r="C19" t="inlineStr"/>
      <c r="D19" t="inlineStr"/>
      <c r="E19" t="inlineStr"/>
      <c r="F19" t="inlineStr"/>
      <c r="G19" t="inlineStr"/>
    </row>
    <row r="22">
      <c r="A22" s="5" t="inlineStr">
        <is>
          <t>B. QUARTERLY HIGHLIGHTS</t>
        </is>
      </c>
    </row>
    <row r="23">
      <c r="A23" s="7" t="inlineStr">
        <is>
          <t>Quarter</t>
        </is>
      </c>
      <c r="B23" s="7" t="inlineStr">
        <is>
          <t>Top 3 Achievements</t>
        </is>
      </c>
      <c r="C23" s="3" t="n"/>
      <c r="D23" s="4" t="n"/>
      <c r="E23" s="7" t="inlineStr">
        <is>
          <t>Top 3 Challenges</t>
        </is>
      </c>
      <c r="F23" s="3" t="n"/>
      <c r="G23" s="4" t="n"/>
    </row>
    <row r="24">
      <c r="A24" t="inlineStr">
        <is>
          <t>Q-1 (Current)</t>
        </is>
      </c>
    </row>
    <row r="25"/>
    <row r="26"/>
    <row r="27">
      <c r="A27" t="inlineStr">
        <is>
          <t>Q-2</t>
        </is>
      </c>
    </row>
    <row r="28"/>
    <row r="29"/>
    <row r="30">
      <c r="A30" t="inlineStr">
        <is>
          <t>Q-3</t>
        </is>
      </c>
    </row>
    <row r="31"/>
    <row r="32"/>
    <row r="34">
      <c r="A34" s="5" t="inlineStr">
        <is>
          <t>C. CISO COMMENTARY - STRATEGIC OBSERVATIONS</t>
        </is>
      </c>
    </row>
    <row r="35">
      <c r="A35" t="inlineStr">
        <is>
          <t>[CISO Commentary: Quarterly strategic priorities, budget implications, resource needs - max 500 characters]</t>
        </is>
      </c>
    </row>
    <row r="36"/>
    <row r="37"/>
    <row r="38"/>
    <row r="39"/>
    <row r="40"/>
  </sheetData>
  <mergeCells count="14">
    <mergeCell ref="B24:D26"/>
    <mergeCell ref="A1:G1"/>
    <mergeCell ref="B27:D29"/>
    <mergeCell ref="B23:D23"/>
    <mergeCell ref="E23:G23"/>
    <mergeCell ref="A22:G22"/>
    <mergeCell ref="A34:G34"/>
    <mergeCell ref="E27:G29"/>
    <mergeCell ref="A4:G4"/>
    <mergeCell ref="E30:G32"/>
    <mergeCell ref="A35:G40"/>
    <mergeCell ref="A2:G2"/>
    <mergeCell ref="E24:G26"/>
    <mergeCell ref="B30:D3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12" customWidth="1" min="4" max="4"/>
    <col width="12" customWidth="1" min="5" max="5"/>
    <col width="10" customWidth="1" min="6" max="6"/>
    <col width="16" customWidth="1" min="7" max="7"/>
    <col width="30" customWidth="1" min="8" max="8"/>
    <col width="15" customWidth="1" min="9" max="9"/>
    <col width="12" customWidth="1" min="10" max="10"/>
    <col width="10" customWidth="1" min="11" max="11"/>
  </cols>
  <sheetData>
    <row r="1">
      <c r="A1" s="2" t="inlineStr">
        <is>
          <t>Risk Summary - Program Risks Requiring Executive Attention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4" t="n"/>
    </row>
    <row r="2">
      <c r="A2" s="7" t="inlineStr">
        <is>
          <t>Top 5-10 risks to threat intelligence program effectiveness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4">
      <c r="A4" s="7" t="inlineStr">
        <is>
          <t>Risk_ID</t>
        </is>
      </c>
      <c r="B4" s="7" t="inlineStr">
        <is>
          <t>Risk_Category</t>
        </is>
      </c>
      <c r="C4" s="7" t="inlineStr">
        <is>
          <t>Risk_Description</t>
        </is>
      </c>
      <c r="D4" s="7" t="inlineStr">
        <is>
          <t>Likelihood</t>
        </is>
      </c>
      <c r="E4" s="7" t="inlineStr">
        <is>
          <t>Impact</t>
        </is>
      </c>
      <c r="F4" s="7" t="inlineStr">
        <is>
          <t>Risk_Score</t>
        </is>
      </c>
      <c r="G4" s="7" t="inlineStr">
        <is>
          <t>Mitigation_Status</t>
        </is>
      </c>
      <c r="H4" s="7" t="inlineStr">
        <is>
          <t>Mitigation_Plan</t>
        </is>
      </c>
      <c r="I4" s="7" t="inlineStr">
        <is>
          <t>Owner</t>
        </is>
      </c>
      <c r="J4" s="7" t="inlineStr">
        <is>
          <t>Review_Date</t>
        </is>
      </c>
      <c r="K4" s="7" t="inlineStr">
        <is>
          <t>Status</t>
        </is>
      </c>
    </row>
    <row r="5">
      <c r="A5" t="inlineStr">
        <is>
          <t>RISK-2025-01</t>
        </is>
      </c>
      <c r="B5" t="inlineStr">
        <is>
          <t>Staffing</t>
        </is>
      </c>
      <c r="C5" t="inlineStr">
        <is>
          <t>Lead threat analyst departure without trained backup</t>
        </is>
      </c>
      <c r="D5" t="inlineStr">
        <is>
          <t>High</t>
        </is>
      </c>
      <c r="E5" t="inlineStr">
        <is>
          <t>High</t>
        </is>
      </c>
      <c r="F5">
        <f>IF(D5="High",IF(E5="Critical",12,IF(E5="High",9,IF(E5="Medium",6,3))),IF(D5="Medium",IF(E5="Critical",8,IF(E5="High",6,IF(E5="Medium",4,2))),IF(E5="Critical",4,IF(E5="High",3,IF(E5="Medium",2,1)))))</f>
        <v/>
      </c>
      <c r="G5" t="inlineStr">
        <is>
          <t>Planned</t>
        </is>
      </c>
      <c r="H5" t="inlineStr">
        <is>
          <t>Cross-training analyst 2</t>
        </is>
      </c>
      <c r="I5" t="inlineStr">
        <is>
          <t>CISO</t>
        </is>
      </c>
      <c r="J5" t="inlineStr">
        <is>
          <t>15.01.2025</t>
        </is>
      </c>
      <c r="K5" t="inlineStr">
        <is>
          <t>Active</t>
        </is>
      </c>
    </row>
    <row r="6">
      <c r="A6" t="inlineStr">
        <is>
          <t>RISK-2025-02</t>
        </is>
      </c>
      <c r="B6" t="inlineStr">
        <is>
          <t>Source_Portfolio</t>
        </is>
      </c>
      <c r="C6" t="inlineStr">
        <is>
          <t>Over-reliance on single commercial vendor</t>
        </is>
      </c>
      <c r="D6" t="inlineStr">
        <is>
          <t>Medium</t>
        </is>
      </c>
      <c r="E6" t="inlineStr">
        <is>
          <t>High</t>
        </is>
      </c>
      <c r="F6">
        <f>IF(D6="High",IF(E6="Critical",12,IF(E6="High",9,IF(E6="Medium",6,3))),IF(D6="Medium",IF(E6="Critical",8,IF(E6="High",6,IF(E6="Medium",4,2))),IF(E6="Critical",4,IF(E6="High",3,IF(E6="Medium",2,1)))))</f>
        <v/>
      </c>
      <c r="G6" t="inlineStr">
        <is>
          <t>In_Progress</t>
        </is>
      </c>
      <c r="H6" t="inlineStr">
        <is>
          <t>Diversifying to 3 vendors</t>
        </is>
      </c>
      <c r="I6" t="inlineStr">
        <is>
          <t>TI Lead</t>
        </is>
      </c>
      <c r="J6" t="inlineStr">
        <is>
          <t>20.01.2025</t>
        </is>
      </c>
      <c r="K6" t="inlineStr">
        <is>
          <t>Active</t>
        </is>
      </c>
    </row>
    <row r="9">
      <c r="A9" s="5" t="inlineStr">
        <is>
          <t>RISK SCORE MATRIX</t>
        </is>
      </c>
    </row>
    <row r="10">
      <c r="A10" s="7" t="inlineStr">
        <is>
          <t>Likelihood \ Impact</t>
        </is>
      </c>
      <c r="B10" t="inlineStr">
        <is>
          <t>Low</t>
        </is>
      </c>
      <c r="C10" t="inlineStr">
        <is>
          <t>Medium</t>
        </is>
      </c>
      <c r="D10" t="inlineStr">
        <is>
          <t>High</t>
        </is>
      </c>
      <c r="E10" t="inlineStr">
        <is>
          <t>Critical</t>
        </is>
      </c>
    </row>
    <row r="11">
      <c r="A11" t="inlineStr">
        <is>
          <t>High</t>
        </is>
      </c>
      <c r="B11" t="inlineStr">
        <is>
          <t>3</t>
        </is>
      </c>
      <c r="C11" t="inlineStr">
        <is>
          <t>6</t>
        </is>
      </c>
      <c r="D11" t="inlineStr">
        <is>
          <t>9</t>
        </is>
      </c>
      <c r="E11" t="inlineStr">
        <is>
          <t>12</t>
        </is>
      </c>
    </row>
    <row r="12">
      <c r="A12" t="inlineStr">
        <is>
          <t>Medium</t>
        </is>
      </c>
      <c r="B12" t="inlineStr">
        <is>
          <t>2</t>
        </is>
      </c>
      <c r="C12" t="inlineStr">
        <is>
          <t>4</t>
        </is>
      </c>
      <c r="D12" t="inlineStr">
        <is>
          <t>6</t>
        </is>
      </c>
      <c r="E12" t="inlineStr">
        <is>
          <t>8</t>
        </is>
      </c>
    </row>
    <row r="13">
      <c r="A13" t="inlineStr">
        <is>
          <t>Low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</row>
    <row r="15">
      <c r="A15" s="5" t="inlineStr">
        <is>
          <t>SUMMARY METRICS</t>
        </is>
      </c>
    </row>
    <row r="16">
      <c r="A16" t="inlineStr">
        <is>
          <t>Total Active Risks:</t>
        </is>
      </c>
      <c r="B16">
        <f>COUNTIF(K5:K100,"Active")</f>
        <v/>
      </c>
    </row>
    <row r="17">
      <c r="A17" t="inlineStr">
        <is>
          <t>Critical Risks (Score ≥9):</t>
        </is>
      </c>
      <c r="B17">
        <f>COUNTIFS(F5:F100,"&gt;=9",K5:K100,"Active")</f>
        <v/>
      </c>
    </row>
    <row r="18">
      <c r="A18" t="inlineStr">
        <is>
          <t>High Risks (Score 6-8):</t>
        </is>
      </c>
      <c r="B18">
        <f>COUNTIFS(F5:F100,"&gt;=6",F5:F100,"&lt;9",K5:K100,"Active")</f>
        <v/>
      </c>
    </row>
    <row r="19">
      <c r="A19" t="inlineStr">
        <is>
          <t>Risks Needing Mitigation:</t>
        </is>
      </c>
      <c r="B19">
        <f>COUNTIFS(G5:G100,"None",K5:K100,"Active")</f>
        <v/>
      </c>
    </row>
  </sheetData>
  <mergeCells count="4">
    <mergeCell ref="A2:K2"/>
    <mergeCell ref="A15:D15"/>
    <mergeCell ref="A1:K1"/>
    <mergeCell ref="A9:F9"/>
  </mergeCells>
  <dataValidations count="5">
    <dataValidation sqref="B5:B100" showDropDown="0" showInputMessage="0" showErrorMessage="0" allowBlank="0" type="list">
      <formula1>"Source_Portfolio,Collection,Integration,Staffing,Budget,Compliance,Technical"</formula1>
    </dataValidation>
    <dataValidation sqref="D5:D100" showDropDown="0" showInputMessage="0" showErrorMessage="0" allowBlank="0" type="list">
      <formula1>"High,Medium,Low"</formula1>
    </dataValidation>
    <dataValidation sqref="E5:E100" showDropDown="0" showInputMessage="0" showErrorMessage="0" allowBlank="0" type="list">
      <formula1>"🔴 Critical,🟡 High,🟢 Medium,⚫ Low"</formula1>
    </dataValidation>
    <dataValidation sqref="G5:G100" showDropDown="0" showInputMessage="0" showErrorMessage="0" allowBlank="0" type="list">
      <formula1>"None,Planned,In_Progress,Mitigated"</formula1>
    </dataValidation>
    <dataValidation sqref="K5:K100" showDropDown="0" showInputMessage="0" showErrorMessage="0" allowBlank="0" type="list">
      <formula1>"Active,Closed,Accepted"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2" customWidth="1" min="5" max="5"/>
    <col width="25" customWidth="1" min="6" max="6"/>
  </cols>
  <sheetData>
    <row r="1">
      <c r="A1" s="2" t="inlineStr">
        <is>
          <t>ROI Summary - Threat Intelligence Program Value</t>
        </is>
      </c>
      <c r="B1" s="3" t="n"/>
      <c r="C1" s="3" t="n"/>
      <c r="D1" s="3" t="n"/>
      <c r="E1" s="3" t="n"/>
      <c r="F1" s="4" t="n"/>
    </row>
    <row r="2">
      <c r="A2" s="7" t="inlineStr">
        <is>
          <t>Cost-benefit analysis and program value justification</t>
        </is>
      </c>
      <c r="B2" s="3" t="n"/>
      <c r="C2" s="3" t="n"/>
      <c r="D2" s="3" t="n"/>
      <c r="E2" s="3" t="n"/>
      <c r="F2" s="4" t="n"/>
    </row>
    <row r="4">
      <c r="A4" s="5" t="inlineStr">
        <is>
          <t>A. ANNUAL PROGRAM COSTS</t>
        </is>
      </c>
    </row>
    <row r="5">
      <c r="A5" s="7" t="inlineStr">
        <is>
          <t>Cost Category</t>
        </is>
      </c>
      <c r="B5" s="7" t="inlineStr">
        <is>
          <t>This Year (CHF)</t>
        </is>
      </c>
      <c r="C5" s="7" t="inlineStr">
        <is>
          <t>Last Year (CHF)</t>
        </is>
      </c>
      <c r="D5" s="7" t="inlineStr">
        <is>
          <t>Change (CHF)</t>
        </is>
      </c>
      <c r="E5" s="7" t="inlineStr">
        <is>
          <t>Change (%)</t>
        </is>
      </c>
      <c r="F5" s="7" t="inlineStr">
        <is>
          <t>Notes</t>
        </is>
      </c>
    </row>
    <row r="6">
      <c r="A6" t="inlineStr">
        <is>
          <t>Commercial TI Sources</t>
        </is>
      </c>
      <c r="B6" t="n">
        <v>450000</v>
      </c>
      <c r="C6" t="n">
        <v>420000</v>
      </c>
      <c r="D6">
        <f>B6-C6</f>
        <v/>
      </c>
      <c r="E6">
        <f>(B6-C6)/C6*100</f>
        <v/>
      </c>
      <c r="F6" t="inlineStr"/>
    </row>
    <row r="7">
      <c r="A7" t="inlineStr">
        <is>
          <t>Staffing (FTE cost)</t>
        </is>
      </c>
      <c r="B7" t="n">
        <v>600000</v>
      </c>
      <c r="C7" t="n">
        <v>580000</v>
      </c>
      <c r="D7">
        <f>B7-C7</f>
        <v/>
      </c>
      <c r="E7">
        <f>(B7-C7)/C7*100</f>
        <v/>
      </c>
      <c r="F7" t="inlineStr"/>
    </row>
    <row r="8">
      <c r="A8" t="inlineStr">
        <is>
          <t>Tools &amp; Infrastructure</t>
        </is>
      </c>
      <c r="B8" t="n">
        <v>150000</v>
      </c>
      <c r="C8" t="n">
        <v>140000</v>
      </c>
      <c r="D8">
        <f>B8-C8</f>
        <v/>
      </c>
      <c r="E8">
        <f>(B8-C8)/C8*100</f>
        <v/>
      </c>
      <c r="F8" t="inlineStr"/>
    </row>
    <row r="9">
      <c r="A9" t="inlineStr">
        <is>
          <t>Training &amp; Certifications</t>
        </is>
      </c>
      <c r="B9" t="n">
        <v>25000</v>
      </c>
      <c r="C9" t="n">
        <v>20000</v>
      </c>
      <c r="D9">
        <f>B9-C9</f>
        <v/>
      </c>
      <c r="E9">
        <f>(B9-C9)/C9*100</f>
        <v/>
      </c>
      <c r="F9" t="inlineStr"/>
    </row>
    <row r="10">
      <c r="A10" t="inlineStr">
        <is>
          <t>Travel &amp; Conferences</t>
        </is>
      </c>
      <c r="B10" t="n">
        <v>15000</v>
      </c>
      <c r="C10" t="n">
        <v>12000</v>
      </c>
      <c r="D10">
        <f>B10-C10</f>
        <v/>
      </c>
      <c r="E10">
        <f>(B10-C10)/C10*100</f>
        <v/>
      </c>
      <c r="F10" t="inlineStr"/>
    </row>
    <row r="11">
      <c r="A11" s="7" t="inlineStr">
        <is>
          <t>TOTAL PROGRAM COST</t>
        </is>
      </c>
      <c r="B11">
        <f>SUM(B6:B10)</f>
        <v/>
      </c>
      <c r="C11">
        <f>SUM(C6:C10)</f>
        <v/>
      </c>
      <c r="D11">
        <f>B11-C11</f>
        <v/>
      </c>
      <c r="E11">
        <f>(B11-C11)/C11*100</f>
        <v/>
      </c>
    </row>
    <row r="13">
      <c r="A13" s="5" t="inlineStr">
        <is>
          <t>B. VALUE DELIVERED</t>
        </is>
      </c>
    </row>
    <row r="14">
      <c r="A14" s="7" t="inlineStr">
        <is>
          <t>Value Category</t>
        </is>
      </c>
      <c r="B14" s="7" t="inlineStr">
        <is>
          <t>This Year (CHF)</t>
        </is>
      </c>
      <c r="C14" s="7" t="inlineStr">
        <is>
          <t>Last Year (CHF)</t>
        </is>
      </c>
      <c r="D14" s="7" t="inlineStr">
        <is>
          <t>Change (CHF)</t>
        </is>
      </c>
      <c r="E14" s="7" t="inlineStr">
        <is>
          <t>Change (%)</t>
        </is>
      </c>
      <c r="F14" s="7" t="inlineStr">
        <is>
          <t>Calculation Method</t>
        </is>
      </c>
    </row>
    <row r="15">
      <c r="A15" t="inlineStr">
        <is>
          <t>Incidents Prevented (Cost Avoidance)</t>
        </is>
      </c>
      <c r="B15" t="n">
        <v>3300000</v>
      </c>
      <c r="C15" t="n">
        <v>2800000</v>
      </c>
      <c r="D15">
        <f>B15-C15</f>
        <v/>
      </c>
      <c r="E15">
        <f>(B15-C15)/C15*100</f>
        <v/>
      </c>
      <c r="F15" t="inlineStr">
        <is>
          <t>From Trend_History</t>
        </is>
      </c>
    </row>
    <row r="16">
      <c r="A16" t="inlineStr">
        <is>
          <t>Faster Incident Response (Time Savings)</t>
        </is>
      </c>
      <c r="B16" t="n">
        <v>450000</v>
      </c>
      <c r="C16" t="n">
        <v>380000</v>
      </c>
      <c r="D16">
        <f>B16-C16</f>
        <v/>
      </c>
      <c r="E16">
        <f>(B16-C16)/C16*100</f>
        <v/>
      </c>
      <c r="F16" t="inlineStr">
        <is>
          <t>120 hrs × 3750/hr</t>
        </is>
      </c>
    </row>
    <row r="17">
      <c r="A17" t="inlineStr">
        <is>
          <t>Risk Assessment Improvements</t>
        </is>
      </c>
      <c r="B17" t="n">
        <v>180000</v>
      </c>
      <c r="C17" t="n">
        <v>150000</v>
      </c>
      <c r="D17">
        <f>B17-C17</f>
        <v/>
      </c>
      <c r="E17">
        <f>(B17-C17)/C17*100</f>
        <v/>
      </c>
      <c r="F17" t="inlineStr">
        <is>
          <t>12 updates × 15K</t>
        </is>
      </c>
    </row>
    <row r="18">
      <c r="A18" t="inlineStr">
        <is>
          <t>Compliance &amp; Audit Efficiency</t>
        </is>
      </c>
      <c r="B18" t="n">
        <v>90000</v>
      </c>
      <c r="C18" t="n">
        <v>75000</v>
      </c>
      <c r="D18">
        <f>B18-C18</f>
        <v/>
      </c>
      <c r="E18">
        <f>(B18-C18)/C18*100</f>
        <v/>
      </c>
      <c r="F18" t="inlineStr">
        <is>
          <t>60 hrs × 1500/hr</t>
        </is>
      </c>
    </row>
    <row r="19">
      <c r="A19" s="7" t="inlineStr">
        <is>
          <t>TOTAL VALUE DELIVERED</t>
        </is>
      </c>
      <c r="B19">
        <f>SUM(B15:B18)</f>
        <v/>
      </c>
      <c r="C19">
        <f>SUM(C15:C18)</f>
        <v/>
      </c>
      <c r="D19">
        <f>B19-C19</f>
        <v/>
      </c>
      <c r="E19">
        <f>(B19-C19)/C19*100</f>
        <v/>
      </c>
    </row>
    <row r="21">
      <c r="A21" s="5" t="inlineStr">
        <is>
          <t>C. ROI CALCULATION</t>
        </is>
      </c>
    </row>
    <row r="22">
      <c r="A22" s="7" t="inlineStr">
        <is>
          <t>Metric</t>
        </is>
      </c>
      <c r="B22" s="7" t="inlineStr">
        <is>
          <t>This Year</t>
        </is>
      </c>
      <c r="C22" s="7" t="inlineStr">
        <is>
          <t>Last Year</t>
        </is>
      </c>
      <c r="D22" s="7" t="inlineStr">
        <is>
          <t>3-Year Avg</t>
        </is>
      </c>
      <c r="E22" s="7" t="inlineStr">
        <is>
          <t>Interpretation</t>
        </is>
      </c>
      <c r="F22" s="7" t="inlineStr"/>
    </row>
    <row r="23">
      <c r="A23" t="inlineStr">
        <is>
          <t>Total Value Delivered (CHF)</t>
        </is>
      </c>
      <c r="B23">
        <f>B19</f>
        <v/>
      </c>
      <c r="C23">
        <f>C19</f>
        <v/>
      </c>
      <c r="D23" t="inlineStr"/>
      <c r="E23" t="inlineStr"/>
      <c r="F23" t="inlineStr"/>
    </row>
    <row r="24">
      <c r="A24" t="inlineStr">
        <is>
          <t>Total Program Cost (CHF)</t>
        </is>
      </c>
      <c r="B24">
        <f>B11</f>
        <v/>
      </c>
      <c r="C24">
        <f>C11</f>
        <v/>
      </c>
      <c r="D24" t="inlineStr"/>
      <c r="E24" t="inlineStr"/>
      <c r="F24" t="inlineStr"/>
    </row>
    <row r="25">
      <c r="A25" t="inlineStr">
        <is>
          <t>Net Value (CHF)</t>
        </is>
      </c>
      <c r="B25">
        <f>B21-B22</f>
        <v/>
      </c>
      <c r="C25">
        <f>C21-C22</f>
        <v/>
      </c>
      <c r="D25" t="inlineStr"/>
      <c r="E25" t="inlineStr"/>
      <c r="F25" t="inlineStr"/>
    </row>
    <row r="26">
      <c r="A26" t="inlineStr">
        <is>
          <t>ROI Ratio</t>
        </is>
      </c>
      <c r="B26">
        <f>B20/B21</f>
        <v/>
      </c>
      <c r="C26">
        <f>C20/C21</f>
        <v/>
      </c>
      <c r="D26" t="inlineStr"/>
      <c r="E26" t="inlineStr">
        <is>
          <t>&gt;=3.0 Excellent</t>
        </is>
      </c>
      <c r="F26" t="inlineStr"/>
    </row>
    <row r="27">
      <c r="A27" t="inlineStr">
        <is>
          <t>ROI Percentage</t>
        </is>
      </c>
      <c r="B27">
        <f>(B20/B21-1)*100</f>
        <v/>
      </c>
      <c r="C27">
        <f>(C20/C21-1)*100</f>
        <v/>
      </c>
      <c r="D27" t="inlineStr"/>
      <c r="E27" t="inlineStr">
        <is>
          <t>&gt;=200% Excellent</t>
        </is>
      </c>
      <c r="F27" t="inlineStr"/>
    </row>
    <row r="30">
      <c r="A30" s="5" t="inlineStr">
        <is>
          <t>D. CVSS-BASED PREVENTION VALUE (Annual)</t>
        </is>
      </c>
    </row>
    <row r="31">
      <c r="A31" s="7" t="inlineStr">
        <is>
          <t>CVSS Severity</t>
        </is>
      </c>
      <c r="B31" s="7" t="inlineStr">
        <is>
          <t>Incidents Prevented</t>
        </is>
      </c>
      <c r="C31" s="7" t="inlineStr">
        <is>
          <t>Avg Cost/Incident</t>
        </is>
      </c>
      <c r="D31" s="7" t="inlineStr">
        <is>
          <t>Total Value (CHF)</t>
        </is>
      </c>
      <c r="E31" s="7" t="inlineStr">
        <is>
          <t>% of Total</t>
        </is>
      </c>
      <c r="F31" s="7" t="inlineStr"/>
    </row>
    <row r="32">
      <c r="A32" t="inlineStr">
        <is>
          <t>Critical (9.0-10.0)</t>
        </is>
      </c>
      <c r="B32" t="n">
        <v>8</v>
      </c>
      <c r="C32" t="n">
        <v>150000</v>
      </c>
      <c r="D32">
        <f>B32*C32</f>
        <v/>
      </c>
      <c r="E32">
        <f>D32/D$36*100</f>
        <v/>
      </c>
    </row>
    <row r="33">
      <c r="A33" t="inlineStr">
        <is>
          <t>High (7.0-8.9)</t>
        </is>
      </c>
      <c r="B33" t="n">
        <v>18</v>
      </c>
      <c r="C33" t="n">
        <v>75000</v>
      </c>
      <c r="D33">
        <f>B33*C33</f>
        <v/>
      </c>
      <c r="E33">
        <f>D33/D$36*100</f>
        <v/>
      </c>
    </row>
    <row r="34">
      <c r="A34" t="inlineStr">
        <is>
          <t>Medium (4.0-6.9)</t>
        </is>
      </c>
      <c r="B34" t="n">
        <v>14</v>
      </c>
      <c r="C34" t="n">
        <v>25000</v>
      </c>
      <c r="D34">
        <f>B34*C34</f>
        <v/>
      </c>
      <c r="E34">
        <f>D34/D$36*100</f>
        <v/>
      </c>
    </row>
    <row r="35">
      <c r="A35" t="inlineStr">
        <is>
          <t>Low (0.1-3.9)</t>
        </is>
      </c>
      <c r="B35" t="n">
        <v>4</v>
      </c>
      <c r="C35" t="n">
        <v>5000</v>
      </c>
      <c r="D35">
        <f>B35*C35</f>
        <v/>
      </c>
      <c r="E35">
        <f>D35/D$36*100</f>
        <v/>
      </c>
    </row>
    <row r="36">
      <c r="A36" s="7" t="inlineStr">
        <is>
          <t>TOTAL</t>
        </is>
      </c>
      <c r="B36">
        <f>SUM(B32:B35)</f>
        <v/>
      </c>
      <c r="C36">
        <f>AVERAGE(C32:C35)</f>
        <v/>
      </c>
      <c r="D36">
        <f>SUM(D32:D35)</f>
        <v/>
      </c>
    </row>
  </sheetData>
  <mergeCells count="6">
    <mergeCell ref="A2:F2"/>
    <mergeCell ref="A30:F30"/>
    <mergeCell ref="A13:F13"/>
    <mergeCell ref="A1:F1"/>
    <mergeCell ref="A4:F4"/>
    <mergeCell ref="A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</cols>
  <sheetData>
    <row r="1">
      <c r="A1" s="2" t="inlineStr">
        <is>
          <t>Workbook Metadata - Document Control</t>
        </is>
      </c>
      <c r="B1" s="3" t="n"/>
      <c r="C1" s="4" t="n"/>
    </row>
    <row r="3">
      <c r="A3" t="inlineStr">
        <is>
          <t>Workbook_Version</t>
        </is>
      </c>
      <c r="B3" t="inlineStr">
        <is>
          <t>1.0</t>
        </is>
      </c>
    </row>
    <row r="4">
      <c r="A4" t="inlineStr">
        <is>
          <t>Workbook_Type</t>
        </is>
      </c>
      <c r="B4" t="inlineStr">
        <is>
          <t>Standalone Dashboard (Manual Entry)</t>
        </is>
      </c>
    </row>
    <row r="5">
      <c r="A5" t="inlineStr">
        <is>
          <t>Total_Sheets</t>
        </is>
      </c>
      <c r="B5" t="inlineStr">
        <is>
          <t>9</t>
        </is>
      </c>
    </row>
    <row r="6">
      <c r="A6" t="inlineStr">
        <is>
          <t>Generation_Date</t>
        </is>
      </c>
      <c r="B6" t="inlineStr">
        <is>
          <t>08.02.2026</t>
        </is>
      </c>
    </row>
    <row r="7">
      <c r="A7" t="inlineStr">
        <is>
          <t>Generator_Script</t>
        </is>
      </c>
      <c r="B7" t="inlineStr">
        <is>
          <t>generate_a57_5_standalone.py</t>
        </is>
      </c>
    </row>
    <row r="8">
      <c r="A8" t="inlineStr">
        <is>
          <t>Script_Version</t>
        </is>
      </c>
      <c r="B8" t="inlineStr">
        <is>
          <t>1.0.0</t>
        </is>
      </c>
    </row>
    <row r="9">
      <c r="A9" t="inlineStr">
        <is>
          <t>Python_Version</t>
        </is>
      </c>
      <c r="B9" t="inlineStr">
        <is>
          <t>3.x</t>
        </is>
      </c>
    </row>
    <row r="10">
      <c r="A10" t="inlineStr">
        <is>
          <t>openpyxl_Version</t>
        </is>
      </c>
      <c r="B10" t="inlineStr">
        <is>
          <t>3.x</t>
        </is>
      </c>
    </row>
    <row r="11">
      <c r="A11" t="inlineStr">
        <is>
          <t>Last_Modified_Date</t>
        </is>
      </c>
      <c r="B11">
        <f>TODAY()</f>
        <v/>
      </c>
    </row>
    <row r="12">
      <c r="A12" t="inlineStr">
        <is>
          <t>Last_Modified_By</t>
        </is>
      </c>
      <c r="B12">
        <f>USER()</f>
        <v/>
      </c>
    </row>
    <row r="13">
      <c r="A13" t="inlineStr">
        <is>
          <t>Reporting_Period_Current</t>
        </is>
      </c>
      <c r="B13">
        <f>Monthly_Data_Entry!B5</f>
        <v/>
      </c>
    </row>
    <row r="14">
      <c r="A14" t="inlineStr">
        <is>
          <t>Data_Entry_Status</t>
        </is>
      </c>
      <c r="B14">
        <f>Monthly_Data_Entry!B8</f>
        <v/>
      </c>
    </row>
    <row r="15">
      <c r="A15" t="inlineStr">
        <is>
          <t>Related_Policy</t>
        </is>
      </c>
      <c r="B15" t="inlineStr">
        <is>
          <t>ISMS-POL-A.5.7</t>
        </is>
      </c>
    </row>
    <row r="16">
      <c r="A16" t="inlineStr">
        <is>
          <t>Related_IMP_Spec</t>
        </is>
      </c>
      <c r="B16" t="inlineStr">
        <is>
          <t>ISMS-IMP-A.5.7.5 v1.0</t>
        </is>
      </c>
    </row>
    <row r="17">
      <c r="A17" t="inlineStr">
        <is>
          <t>Complementary_Dashboard</t>
        </is>
      </c>
      <c r="B17" t="inlineStr">
        <is>
          <t>ISMS-IMP-A.5.7.4 (Comprehensive)</t>
        </is>
      </c>
    </row>
    <row r="18">
      <c r="A18" t="inlineStr">
        <is>
          <t>ISO_27001_Control</t>
        </is>
      </c>
      <c r="B18" t="inlineStr">
        <is>
          <t>A.5.7 (Threat Intelligence)</t>
        </is>
      </c>
    </row>
    <row r="19">
      <c r="A19" t="inlineStr">
        <is>
          <t>Audience</t>
        </is>
      </c>
      <c r="B19" t="inlineStr">
        <is>
          <t>C-suite, Board, External Stakeholders</t>
        </is>
      </c>
    </row>
    <row r="20">
      <c r="A20" t="inlineStr">
        <is>
          <t>Update_Frequency</t>
        </is>
      </c>
      <c r="B20" t="inlineStr">
        <is>
          <t>Monthly (1st business day)</t>
        </is>
      </c>
    </row>
    <row r="21">
      <c r="A21" t="inlineStr">
        <is>
          <t>Quarterly_Review</t>
        </is>
      </c>
      <c r="B21" t="inlineStr">
        <is>
          <t>Last week of quarter</t>
        </is>
      </c>
    </row>
    <row r="24">
      <c r="A24" s="5" t="inlineStr">
        <is>
          <t>CHANGELOG</t>
        </is>
      </c>
    </row>
    <row r="25" ht="150" customHeight="1">
      <c r="A25" t="inlineStr">
        <is>
          <t xml:space="preserve">v1.0 (10.01.2025):
- Initial release with 9 sheets
- Monthly manual data entry workflow (10 minutes)
- Executive one-page dashboard (auto-generated)
- 12-month trend tracking
- Quarterly Board reporting
- Top risks and critical actions tracking
- ROI calculation and cost-benefit analysis
- CVSS-based prevention value tracking
- ISO 27001 compliance status
- Completely standalone (no external workbook dependencies)
</t>
        </is>
      </c>
    </row>
    <row r="26"/>
    <row r="27"/>
    <row r="28"/>
    <row r="29"/>
    <row r="30"/>
    <row r="31"/>
    <row r="32"/>
    <row r="33"/>
    <row r="34"/>
    <row r="35"/>
    <row r="37">
      <c r="A37" s="5" t="inlineStr">
        <is>
          <t>SHEET INVENTORY</t>
        </is>
      </c>
    </row>
    <row r="38">
      <c r="A38" t="inlineStr">
        <is>
          <t>Sheet 1</t>
        </is>
      </c>
      <c r="B38" t="inlineStr">
        <is>
          <t>Instructions</t>
        </is>
      </c>
      <c r="C38" t="inlineStr">
        <is>
          <t>User guide and workflow</t>
        </is>
      </c>
    </row>
    <row r="39">
      <c r="A39" t="inlineStr">
        <is>
          <t>Sheet 2</t>
        </is>
      </c>
      <c r="B39" t="inlineStr">
        <is>
          <t>Monthly_Data_Entry</t>
        </is>
      </c>
      <c r="C39" t="inlineStr">
        <is>
          <t>Manual entry form (15-20 metrics)</t>
        </is>
      </c>
    </row>
    <row r="40">
      <c r="A40" t="inlineStr">
        <is>
          <t>Sheet 3</t>
        </is>
      </c>
      <c r="B40" t="inlineStr">
        <is>
          <t>Executive_Dashboard</t>
        </is>
      </c>
      <c r="C40" t="inlineStr">
        <is>
          <t>One-page visual summary (print-ready)</t>
        </is>
      </c>
    </row>
    <row r="41">
      <c r="A41" t="inlineStr">
        <is>
          <t>Sheet 4</t>
        </is>
      </c>
      <c r="B41" t="inlineStr">
        <is>
          <t>Trend_History</t>
        </is>
      </c>
      <c r="C41" t="inlineStr">
        <is>
          <t>12-month historical data</t>
        </is>
      </c>
    </row>
    <row r="42">
      <c r="A42" t="inlineStr">
        <is>
          <t>Sheet 5</t>
        </is>
      </c>
      <c r="B42" t="inlineStr">
        <is>
          <t>Critical_Actions</t>
        </is>
      </c>
      <c r="C42" t="inlineStr">
        <is>
          <t>Top 5-10 executive actions</t>
        </is>
      </c>
    </row>
    <row r="43">
      <c r="A43" t="inlineStr">
        <is>
          <t>Sheet 6</t>
        </is>
      </c>
      <c r="B43" t="inlineStr">
        <is>
          <t>Quarterly_Summary</t>
        </is>
      </c>
      <c r="C43" t="inlineStr">
        <is>
          <t>QoQ comparison for Board</t>
        </is>
      </c>
    </row>
    <row r="44">
      <c r="A44" t="inlineStr">
        <is>
          <t>Sheet 7</t>
        </is>
      </c>
      <c r="B44" t="inlineStr">
        <is>
          <t>Risk_Summary</t>
        </is>
      </c>
      <c r="C44" t="inlineStr">
        <is>
          <t>Top program risks</t>
        </is>
      </c>
    </row>
    <row r="45">
      <c r="A45" t="inlineStr">
        <is>
          <t>Sheet 8</t>
        </is>
      </c>
      <c r="B45" t="inlineStr">
        <is>
          <t>ROI_Summary</t>
        </is>
      </c>
      <c r="C45" t="inlineStr">
        <is>
          <t>Cost-benefit analysis</t>
        </is>
      </c>
    </row>
    <row r="46">
      <c r="A46" t="inlineStr">
        <is>
          <t>Sheet 9</t>
        </is>
      </c>
      <c r="B46" t="inlineStr">
        <is>
          <t>Metadata</t>
        </is>
      </c>
      <c r="C46" t="inlineStr">
        <is>
          <t>This sheet - document control</t>
        </is>
      </c>
    </row>
  </sheetData>
  <mergeCells count="4">
    <mergeCell ref="A1:C1"/>
    <mergeCell ref="A37:C37"/>
    <mergeCell ref="A24:C24"/>
    <mergeCell ref="A2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2026-02-08T10:49:16Z</dcterms:created>
  <dcterms:modified xmlns:dcterms="http://purl.org/dc/terms/" xmlns:xsi="http://www.w3.org/2001/XMLSchema-instance" xsi:type="dcterms:W3CDTF">2026-02-08T10:49:16Z</dcterms:modified>
</cp:coreProperties>
</file>