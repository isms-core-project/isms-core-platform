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Program_KPIs" sheetId="2" state="visible" r:id="rId2"/>
    <sheet xmlns:r="http://schemas.openxmlformats.org/officeDocument/2006/relationships" name="Source_Portfolio" sheetId="3" state="visible" r:id="rId3"/>
    <sheet xmlns:r="http://schemas.openxmlformats.org/officeDocument/2006/relationships" name="Intelligence_Operations" sheetId="4" state="visible" r:id="rId4"/>
    <sheet xmlns:r="http://schemas.openxmlformats.org/officeDocument/2006/relationships" name="Integration_Status" sheetId="5" state="visible" r:id="rId5"/>
    <sheet xmlns:r="http://schemas.openxmlformats.org/officeDocument/2006/relationships" name="Stakeholder_Engagement" sheetId="6" state="visible" r:id="rId6"/>
    <sheet xmlns:r="http://schemas.openxmlformats.org/officeDocument/2006/relationships" name="Trend_Analysis" sheetId="7" state="visible" r:id="rId7"/>
    <sheet xmlns:r="http://schemas.openxmlformats.org/officeDocument/2006/relationships" name="Risk_Indicators" sheetId="8" state="visible" r:id="rId8"/>
    <sheet xmlns:r="http://schemas.openxmlformats.org/officeDocument/2006/relationships" name="Compliance_Evidence" sheetId="9" state="visible" r:id="rId9"/>
    <sheet xmlns:r="http://schemas.openxmlformats.org/officeDocument/2006/relationships" name="Monthly_Report" sheetId="10" state="visible" r:id="rId10"/>
    <sheet xmlns:r="http://schemas.openxmlformats.org/officeDocument/2006/relationships" name="Quarterly_Report" sheetId="11" state="visible" r:id="rId11"/>
    <sheet xmlns:r="http://schemas.openxmlformats.org/officeDocument/2006/relationships" name="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&quot;%&quot;"/>
    <numFmt numFmtId="166" formatCode="YYYY-MM-DD"/>
    <numFmt numFmtId="167" formatCode="0.0&quot; hrs&quot;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sz val="11"/>
    </font>
    <font>
      <name val="Calibri"/>
      <b val="1"/>
      <i val="1"/>
      <sz val="11"/>
    </font>
    <font>
      <name val="Calibri"/>
      <b val="1"/>
      <color rgb="00FFFFFF"/>
      <sz val="12"/>
    </font>
    <font>
      <name val="Calibri"/>
      <b val="1"/>
      <sz val="36"/>
    </font>
    <font>
      <name val="Calibri"/>
      <i val="1"/>
      <sz val="9"/>
    </font>
    <font>
      <name val="Calibri"/>
      <b val="1"/>
      <color rgb="00FFFFFF"/>
      <sz val="10"/>
    </font>
    <font>
      <name val="Calibri"/>
      <b val="1"/>
      <sz val="24"/>
    </font>
    <font>
      <name val="Calibri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0000"/>
      <sz val="10"/>
    </font>
    <font>
      <name val="Calibri"/>
      <i val="1"/>
      <sz val="10"/>
    </font>
    <font>
      <name val="Calibri"/>
      <color rgb="00FF0000"/>
      <sz val="9"/>
    </font>
    <font>
      <name val="Calibri"/>
      <b val="1"/>
      <color rgb="00FFFFFF"/>
      <sz val="14"/>
    </font>
    <font>
      <name val="Calibri"/>
      <i val="1"/>
      <color rgb="000000FF"/>
      <sz val="10"/>
    </font>
    <font>
      <name val="Calibri"/>
      <b val="1"/>
      <color rgb="000000FF"/>
      <sz val="10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EB9C"/>
        <bgColor rgb="00FFEB9C"/>
      </patternFill>
    </fill>
    <fill>
      <patternFill patternType="solid">
        <fgColor rgb="00C00000"/>
        <bgColor rgb="00C00000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8FAADC"/>
        <bgColor rgb="008FAADC"/>
      </patternFill>
    </fill>
    <fill>
      <patternFill patternType="solid">
        <fgColor rgb="00DEEBF7"/>
        <bgColor rgb="00DEEBF7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1" fillId="0" borderId="0" pivotButton="0" quotePrefix="0" xfId="0"/>
    <xf numFmtId="0" fontId="11" fillId="0" borderId="1" pivotButton="0" quotePrefix="0" xfId="0"/>
    <xf numFmtId="9" fontId="11" fillId="0" borderId="1" pivotButton="0" quotePrefix="0" xfId="0"/>
    <xf numFmtId="0" fontId="12" fillId="0" borderId="0" pivotButton="0" quotePrefix="0" xfId="0"/>
    <xf numFmtId="0" fontId="12" fillId="0" borderId="1" pivotButton="0" quotePrefix="0" xfId="0"/>
    <xf numFmtId="0" fontId="13" fillId="0" borderId="0" pivotButton="0" quotePrefix="0" xfId="0"/>
    <xf numFmtId="0" fontId="13" fillId="0" borderId="1" pivotButton="0" quotePrefix="0" xfId="0"/>
    <xf numFmtId="0" fontId="14" fillId="8" borderId="1" pivotButton="0" quotePrefix="0" xfId="0"/>
    <xf numFmtId="0" fontId="10" fillId="4" borderId="0" applyAlignment="1" pivotButton="0" quotePrefix="0" xfId="0">
      <alignment horizontal="center" vertical="center"/>
    </xf>
    <xf numFmtId="0" fontId="14" fillId="0" borderId="0" pivotButton="0" quotePrefix="0" xfId="0"/>
    <xf numFmtId="0" fontId="15" fillId="8" borderId="0" applyAlignment="1" pivotButton="0" quotePrefix="0" xfId="0">
      <alignment horizontal="left" vertical="top" wrapText="1"/>
    </xf>
    <xf numFmtId="0" fontId="16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8" borderId="1" pivotButton="0" quotePrefix="0" xfId="0"/>
    <xf numFmtId="165" fontId="0" fillId="10" borderId="1" pivotButton="0" quotePrefix="0" xfId="0"/>
    <xf numFmtId="166" fontId="0" fillId="8" borderId="1" pivotButton="0" quotePrefix="0" xfId="0"/>
    <xf numFmtId="0" fontId="1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10" borderId="1" pivotButton="0" quotePrefix="0" xfId="0"/>
    <xf numFmtId="0" fontId="11" fillId="8" borderId="1" pivotButton="0" quotePrefix="0" xfId="0"/>
    <xf numFmtId="0" fontId="17" fillId="0" borderId="0" applyAlignment="1" pivotButton="0" quotePrefix="0" xfId="0">
      <alignment horizontal="left" vertical="center" wrapText="1"/>
    </xf>
    <xf numFmtId="0" fontId="13" fillId="8" borderId="0" applyAlignment="1" pivotButton="0" quotePrefix="0" xfId="0">
      <alignment horizontal="center" vertical="center"/>
    </xf>
    <xf numFmtId="0" fontId="10" fillId="3" borderId="0" pivotButton="0" quotePrefix="0" xfId="0"/>
    <xf numFmtId="164" fontId="11" fillId="10" borderId="1" pivotButton="0" quotePrefix="0" xfId="0"/>
    <xf numFmtId="4" fontId="11" fillId="10" borderId="1" pivotButton="0" quotePrefix="0" xfId="0"/>
    <xf numFmtId="0" fontId="10" fillId="4" borderId="0" pivotButton="0" quotePrefix="0" xfId="0"/>
    <xf numFmtId="0" fontId="6" fillId="11" borderId="0" pivotButton="0" quotePrefix="0" xfId="0"/>
    <xf numFmtId="167" fontId="11" fillId="10" borderId="1" pivotButton="0" quotePrefix="0" xfId="0"/>
    <xf numFmtId="0" fontId="10" fillId="5" borderId="0" pivotButton="0" quotePrefix="0" xfId="0"/>
    <xf numFmtId="0" fontId="10" fillId="7" borderId="0" pivotButton="0" quotePrefix="0" xfId="0"/>
    <xf numFmtId="9" fontId="11" fillId="10" borderId="1" pivotButton="0" quotePrefix="0" xfId="0"/>
    <xf numFmtId="164" fontId="0" fillId="8" borderId="1" pivotButton="0" quotePrefix="0" xfId="0"/>
    <xf numFmtId="9" fontId="0" fillId="8" borderId="1" pivotButton="0" quotePrefix="0" xfId="0"/>
    <xf numFmtId="0" fontId="14" fillId="0" borderId="0" applyAlignment="1" pivotButton="0" quotePrefix="0" xfId="0">
      <alignment horizontal="left" vertical="top" wrapText="1"/>
    </xf>
    <xf numFmtId="0" fontId="10" fillId="12" borderId="0" applyAlignment="1" pivotButton="0" quotePrefix="0" xfId="0">
      <alignment horizontal="left" vertical="center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5" fontId="0" fillId="8" borderId="1" pivotButton="0" quotePrefix="0" xfId="0"/>
    <xf numFmtId="0" fontId="18" fillId="13" borderId="0" applyAlignment="1" pivotButton="0" quotePrefix="0" xfId="0">
      <alignment horizontal="left" vertical="center" wrapText="1"/>
    </xf>
    <xf numFmtId="9" fontId="11" fillId="0" borderId="0" pivotButton="0" quotePrefix="0" xfId="0"/>
    <xf numFmtId="0" fontId="16" fillId="2" borderId="0" applyAlignment="1" pivotButton="0" quotePrefix="0" xfId="0">
      <alignment horizontal="center" vertical="center"/>
    </xf>
    <xf numFmtId="0" fontId="19" fillId="0" borderId="0" pivotButton="0" quotePrefix="0" xfId="0"/>
    <xf numFmtId="0" fontId="2" fillId="0" borderId="0" applyAlignment="1" pivotButton="0" quotePrefix="0" xfId="0">
      <alignment horizontal="right"/>
    </xf>
    <xf numFmtId="0" fontId="0" fillId="14" borderId="0" applyAlignment="1" pivotButton="0" quotePrefix="0" xfId="0">
      <alignment horizontal="left" vertical="top" wrapText="1"/>
    </xf>
    <xf numFmtId="0" fontId="0" fillId="11" borderId="0" applyAlignment="1" pivotButton="0" quotePrefix="0" xfId="0">
      <alignment horizontal="left" vertical="top" wrapText="1"/>
    </xf>
    <xf numFmtId="0" fontId="10" fillId="6" borderId="0" pivotButton="0" quotePrefix="0" xfId="0"/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  <color rgb="00FFFFFF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5" customHeight="1">
      <c r="A1" s="1" t="inlineStr">
        <is>
          <t>Threat Intelligence Program - Executive Summary</t>
        </is>
      </c>
    </row>
    <row r="2">
      <c r="A2" s="2" t="inlineStr">
        <is>
          <t>Reporting Period: February 2026</t>
        </is>
      </c>
      <c r="E2" s="3" t="inlineStr">
        <is>
          <t>Generated: 08.02.2026</t>
        </is>
      </c>
      <c r="I2" s="4" t="inlineStr">
        <is>
          <t>Classification: INTERNAL</t>
        </is>
      </c>
    </row>
    <row r="4">
      <c r="A4" s="5" t="inlineStr">
        <is>
          <t>PROGRAM HEALTH SCORE</t>
        </is>
      </c>
      <c r="F4" s="6" t="inlineStr">
        <is>
          <t>Intelligence Production</t>
        </is>
      </c>
      <c r="I4" s="7" t="inlineStr">
        <is>
          <t>Stakeholder Satisfaction</t>
        </is>
      </c>
      <c r="K4" s="8" t="inlineStr">
        <is>
          <t>IOC Effectiveness</t>
        </is>
      </c>
    </row>
    <row r="5">
      <c r="F5" s="9">
        <f>COUNTIF('[ISMS-IMP-A.5.7.2.xlsx]Intelligence_Production'!N:N,"Published")</f>
        <v/>
      </c>
      <c r="I5" s="10">
        <f>AVERAGE('[ISMS-IMP-A.5.7.2.xlsx]Intelligence_Production'!J:J)</f>
        <v/>
      </c>
      <c r="K5" s="9">
        <f>COUNTA('[ISMS-IMP-A.5.7.3.xlsx]IOC_Deployment'!A:A)-4</f>
        <v/>
      </c>
    </row>
    <row r="6"/>
    <row r="7">
      <c r="F7" s="11" t="inlineStr">
        <is>
          <t>Products This Month</t>
        </is>
      </c>
      <c r="I7" s="11" t="inlineStr">
        <is>
          <t>Avg Rating (1-5)</t>
        </is>
      </c>
      <c r="K7" s="11" t="inlineStr">
        <is>
          <t>IOCs Deployed</t>
        </is>
      </c>
    </row>
    <row r="8">
      <c r="A8" s="12">
        <f>AVERAGE(Program_KPIs!E5:E24)</f>
        <v/>
      </c>
    </row>
    <row r="9"/>
    <row r="10"/>
    <row r="11">
      <c r="A11" s="13" t="inlineStr">
        <is>
          <t>Scale: 1.0 (Critical) → 5.0 (Excellent)</t>
        </is>
      </c>
    </row>
    <row r="14">
      <c r="A14" s="14" t="inlineStr">
        <is>
          <t>INTEGRATION STATUS</t>
        </is>
      </c>
      <c r="F14" s="15" t="inlineStr">
        <is>
          <t>CONTROL 8.8 LINKAGE (VTL)</t>
        </is>
      </c>
      <c r="I14" s="14" t="inlineStr">
        <is>
          <t>COMPLIANCE STATUS</t>
        </is>
      </c>
    </row>
    <row r="15">
      <c r="A15" s="16" t="inlineStr">
        <is>
          <t>Security Tools Integrated:</t>
        </is>
      </c>
      <c r="C15" s="17">
        <f>COUNTA('[ISMS-IMP-A.5.7.3.xlsx]Tool_Integration_Matrix'!A:A)-4</f>
        <v/>
      </c>
      <c r="F15" s="16" t="inlineStr">
        <is>
          <t>Total VT Links:</t>
        </is>
      </c>
      <c r="H15" s="17">
        <f>COUNTA('[ISMS-IMP-A.5.7.2.xlsx]Vulnerability_Linked_Threats'!A:A)-4</f>
        <v/>
      </c>
      <c r="I15" s="16" t="inlineStr">
        <is>
          <t>ISO 27001:2022 Control 5.7:</t>
        </is>
      </c>
      <c r="L15" s="18">
        <f>COUNTIF(Compliance_Evidence!F:F,"Current")/COUNTA(Compliance_Evidence!A:A)-4</f>
        <v/>
      </c>
    </row>
    <row r="16">
      <c r="A16" s="19" t="inlineStr">
        <is>
          <t>Fully Integrated:</t>
        </is>
      </c>
      <c r="C16" s="20">
        <f>COUNTIF('[ISMS-IMP-A.5.7.3.xlsx]Tool_Integration_Matrix'!D:D,"Full")</f>
        <v/>
      </c>
      <c r="F16" s="21" t="inlineStr">
        <is>
          <t>Active Exploitation:</t>
        </is>
      </c>
      <c r="H16" s="22">
        <f>COUNTIF('[ISMS-IMP-A.5.7.2.xlsx]Vulnerability_Linked_Threats'!E:E,"Active_Exploitation")</f>
        <v/>
      </c>
      <c r="I16" s="19" t="inlineStr">
        <is>
          <t>Outstanding Evidence:</t>
        </is>
      </c>
      <c r="L16" s="20">
        <f>COUNTIF(Compliance_Evidence!F:F,"Missing")</f>
        <v/>
      </c>
    </row>
    <row r="17">
      <c r="A17" s="19" t="inlineStr">
        <is>
          <t>Partially Integrated:</t>
        </is>
      </c>
      <c r="C17" s="20">
        <f>COUNTIF('[ISMS-IMP-A.5.7.3.xlsx]Tool_Integration_Matrix'!D:D,"Partial")</f>
        <v/>
      </c>
      <c r="F17" s="19" t="inlineStr">
        <is>
          <t>Patched:</t>
        </is>
      </c>
      <c r="H17" s="20">
        <f>COUNTIF('[ISMS-IMP-A.5.7.2.xlsx]Vulnerability_Linked_Threats'!R:R,"Patched")</f>
        <v/>
      </c>
      <c r="I17" s="19" t="inlineStr">
        <is>
          <t>Next Audit:</t>
        </is>
      </c>
      <c r="L17" s="23" t="inlineStr">
        <is>
          <t>[Enter Date]</t>
        </is>
      </c>
    </row>
    <row r="22">
      <c r="A22" s="24" t="inlineStr">
        <is>
          <t>📊 VISUALIZATION AREAS (Add charts manually or via reporting tools)</t>
        </is>
      </c>
    </row>
    <row r="23">
      <c r="A23" s="25" t="inlineStr">
        <is>
          <t>Area 1 (A23:D30): Source Performance Trend Chart (6 months)</t>
        </is>
      </c>
    </row>
    <row r="24">
      <c r="A24" s="25" t="inlineStr">
        <is>
          <t>Area 2 (E23:H30): Intelligence Production Volume (bar chart)</t>
        </is>
      </c>
    </row>
    <row r="25">
      <c r="A25" s="25" t="inlineStr">
        <is>
          <t>Area 3 (I23:L30): Stakeholder Satisfaction Trend (line chart)</t>
        </is>
      </c>
    </row>
    <row r="26">
      <c r="A26" s="25" t="inlineStr">
        <is>
          <t>Area 4 (A31:F38): MITRE ATT&amp;CK Coverage Heat Map</t>
        </is>
      </c>
    </row>
    <row r="27">
      <c r="A27" s="25" t="inlineStr">
        <is>
          <t>Area 5 (G31:L38): Risk Indicator Dashboard (gauges)</t>
        </is>
      </c>
    </row>
    <row r="40" ht="100" customHeight="1">
      <c r="A40" s="26" t="inlineStr">
        <is>
          <t xml:space="preserve">
⚠️ EXTERNAL REFERENCE SETUP REQUIRED ⚠️
This dashboard uses external references to aggregate data from:
- ISMS-IMP-A.5.7.1 (Threat Intelligence Sources)
- ISMS-IMP-A.5.7.2 (Collection &amp; Analysis)
- ISMS-IMP-A.5.7.3 (Integration &amp; Distribution)
AFTER GENERATION, you must:
1. Place all 5.7 workbooks in the same directory
2. Open this dashboard workbook
3. Go to Data → Edit Links (or Data → Connections)
4. Update source file paths to match your directory structure
Example paths to update:
  [ISMS-IMP-A.5.7.1.xlsx]Source_Inventory!A:B
  [ISMS-IMP-A.5.7.2.xlsx]Intelligence_Production!A:C
  [ISMS-IMP-A.5.7.3.xlsx]IOC_Deployment!A:T
When opening this file, Excel will prompt: "Update Links?" → Click UPDATE.
For formulas with external references, see Program_KPIs sheet column "Data_Source".
</t>
        </is>
      </c>
    </row>
    <row r="41"/>
    <row r="42"/>
    <row r="43"/>
  </sheetData>
  <mergeCells count="21">
    <mergeCell ref="I14:L14"/>
    <mergeCell ref="A8:D10"/>
    <mergeCell ref="I5:J6"/>
    <mergeCell ref="I7:J7"/>
    <mergeCell ref="A40:L43"/>
    <mergeCell ref="A22:L22"/>
    <mergeCell ref="A11:D11"/>
    <mergeCell ref="I2:L2"/>
    <mergeCell ref="F14:H14"/>
    <mergeCell ref="F5:H6"/>
    <mergeCell ref="F4:H4"/>
    <mergeCell ref="K5:L6"/>
    <mergeCell ref="K7:L7"/>
    <mergeCell ref="I4:J4"/>
    <mergeCell ref="A4:D7"/>
    <mergeCell ref="A1:L1"/>
    <mergeCell ref="A2:D2"/>
    <mergeCell ref="F7:H7"/>
    <mergeCell ref="K4:L4"/>
    <mergeCell ref="E2:H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40" customWidth="1" min="4" max="4"/>
    <col width="15" customWidth="1" min="5" max="5"/>
    <col width="18" customWidth="1" min="6" max="6"/>
    <col width="50" customWidth="1" min="7" max="7"/>
    <col width="12" customWidth="1" min="8" max="8"/>
    <col width="14" customWidth="1" min="9" max="9"/>
    <col width="14" customWidth="1" min="10" max="10"/>
    <col width="12" customWidth="1" min="11" max="11"/>
    <col width="14" customWidth="1" min="12" max="12"/>
    <col width="18" customWidth="1" min="13" max="13"/>
    <col width="12" customWidth="1" min="14" max="14"/>
    <col width="12" customWidth="1" min="15" max="15"/>
    <col width="25" customWidth="1" min="16" max="16"/>
    <col width="14" customWidth="1" min="17" max="17"/>
    <col width="30" customWidth="1" min="18" max="18"/>
  </cols>
  <sheetData>
    <row r="1" ht="25" customHeight="1">
      <c r="A1" s="27" t="inlineStr">
        <is>
          <t>Threat Intelligence Program - Key Performance Indicators</t>
        </is>
      </c>
    </row>
    <row r="2" ht="30" customHeight="1">
      <c r="A2" s="28" t="inlineStr">
        <is>
          <t>Track program KPIs with targets and thresholds. Set target values based on organizational goals.</t>
        </is>
      </c>
    </row>
    <row r="4" ht="35" customHeight="1">
      <c r="A4" s="29" t="inlineStr">
        <is>
          <t>KPI ID</t>
        </is>
      </c>
      <c r="B4" s="29" t="inlineStr">
        <is>
          <t>KPI Category</t>
        </is>
      </c>
      <c r="C4" s="29" t="inlineStr">
        <is>
          <t>KPI Name</t>
        </is>
      </c>
      <c r="D4" s="29" t="inlineStr">
        <is>
          <t>Description</t>
        </is>
      </c>
      <c r="E4" s="29" t="inlineStr">
        <is>
          <t>Unit</t>
        </is>
      </c>
      <c r="F4" s="29" t="inlineStr">
        <is>
          <t>Measurement Frequency</t>
        </is>
      </c>
      <c r="G4" s="29" t="inlineStr">
        <is>
          <t>Data Source</t>
        </is>
      </c>
      <c r="H4" s="29" t="inlineStr">
        <is>
          <t>Target Value</t>
        </is>
      </c>
      <c r="I4" s="29" t="inlineStr">
        <is>
          <t>Warning Threshold</t>
        </is>
      </c>
      <c r="J4" s="29" t="inlineStr">
        <is>
          <t>Critical Threshold</t>
        </is>
      </c>
      <c r="K4" s="29" t="inlineStr">
        <is>
          <t>Current Value</t>
        </is>
      </c>
      <c r="L4" s="29" t="inlineStr">
        <is>
          <t>Last Month Value</t>
        </is>
      </c>
      <c r="M4" s="29" t="inlineStr">
        <is>
          <t>Performance vs Target</t>
        </is>
      </c>
      <c r="N4" s="29" t="inlineStr">
        <is>
          <t>Status</t>
        </is>
      </c>
      <c r="O4" s="29" t="inlineStr">
        <is>
          <t>Trend</t>
        </is>
      </c>
      <c r="P4" s="29" t="inlineStr">
        <is>
          <t>Owner</t>
        </is>
      </c>
      <c r="Q4" s="29" t="inlineStr">
        <is>
          <t>Last Updated</t>
        </is>
      </c>
      <c r="R4" s="29" t="inlineStr">
        <is>
          <t>Notes</t>
        </is>
      </c>
    </row>
    <row r="5">
      <c r="A5" s="30" t="inlineStr">
        <is>
          <t>KPI-TI-001</t>
        </is>
      </c>
      <c r="B5" s="31" t="inlineStr">
        <is>
          <t>Source_Management</t>
        </is>
      </c>
      <c r="C5" s="31" t="inlineStr">
        <is>
          <t>Number of Active Sources</t>
        </is>
      </c>
      <c r="D5" s="31" t="inlineStr">
        <is>
          <t>Count of active TI sources</t>
        </is>
      </c>
      <c r="E5" s="31" t="inlineStr">
        <is>
          <t>Count</t>
        </is>
      </c>
      <c r="F5" s="31" t="inlineStr">
        <is>
          <t>Monthly</t>
        </is>
      </c>
      <c r="G5" s="30">
        <f>[ISMS-IMP-A.5.7.1.xlsx]Source_Inventory!B:B</f>
        <v/>
      </c>
      <c r="H5" s="31" t="inlineStr">
        <is>
          <t>20</t>
        </is>
      </c>
      <c r="I5" s="31" t="inlineStr">
        <is>
          <t>16</t>
        </is>
      </c>
      <c r="J5" s="31" t="inlineStr">
        <is>
          <t>12</t>
        </is>
      </c>
      <c r="K5" s="31" t="n"/>
      <c r="L5" s="31" t="n"/>
      <c r="M5" s="32">
        <f>IF(OR(K5="",H5=""),"N/A",(K5/H5-1)*100)</f>
        <v/>
      </c>
      <c r="N5" s="30">
        <f>IF(K5="","N/A",IF(K5&gt;=H5,"On_Track",IF(K5&gt;=I5,"Caution","At_Risk")))</f>
        <v/>
      </c>
      <c r="O5" s="30">
        <f>IF(OR(K5="",L5=""),"N/A",IF(K5&gt;L5,"Improving",IF(K5&lt;L5,"Declining","Stable")))</f>
        <v/>
      </c>
      <c r="P5" s="31" t="n"/>
      <c r="Q5" s="33" t="n"/>
      <c r="R5" s="31" t="n"/>
    </row>
    <row r="6">
      <c r="A6" s="30" t="inlineStr">
        <is>
          <t>KPI-TI-002</t>
        </is>
      </c>
      <c r="B6" s="31" t="inlineStr">
        <is>
          <t>Source_Management</t>
        </is>
      </c>
      <c r="C6" s="31" t="inlineStr">
        <is>
          <t>Average Source Quality Score</t>
        </is>
      </c>
      <c r="D6" s="31" t="inlineStr">
        <is>
          <t>Avg Admiralty Code score</t>
        </is>
      </c>
      <c r="E6" s="31" t="inlineStr">
        <is>
          <t>Score (1-5)</t>
        </is>
      </c>
      <c r="F6" s="31" t="inlineStr">
        <is>
          <t>Monthly</t>
        </is>
      </c>
      <c r="G6" s="30">
        <f>[ISMS-IMP-A.5.7.1.xlsx]Source_Evaluation!H:H</f>
        <v/>
      </c>
      <c r="H6" s="31" t="inlineStr">
        <is>
          <t>4.0</t>
        </is>
      </c>
      <c r="I6" s="31" t="inlineStr">
        <is>
          <t>3.5</t>
        </is>
      </c>
      <c r="J6" s="31" t="inlineStr">
        <is>
          <t>3.0</t>
        </is>
      </c>
      <c r="K6" s="31" t="n"/>
      <c r="L6" s="31" t="n"/>
      <c r="M6" s="32">
        <f>IF(OR(K6="",H6=""),"N/A",(K6/H6-1)*100)</f>
        <v/>
      </c>
      <c r="N6" s="30">
        <f>IF(K6="","N/A",IF(K6&gt;=H6,"On_Track",IF(K6&gt;=I6,"Caution","At_Risk")))</f>
        <v/>
      </c>
      <c r="O6" s="30">
        <f>IF(OR(K6="",L6=""),"N/A",IF(K6&gt;L6,"Improving",IF(K6&lt;L6,"Declining","Stable")))</f>
        <v/>
      </c>
      <c r="P6" s="31" t="n"/>
      <c r="Q6" s="33" t="n"/>
      <c r="R6" s="31" t="n"/>
    </row>
    <row r="7">
      <c r="A7" s="30" t="inlineStr">
        <is>
          <t>KPI-TI-003</t>
        </is>
      </c>
      <c r="B7" s="31" t="inlineStr">
        <is>
          <t>Source_Management</t>
        </is>
      </c>
      <c r="C7" s="31" t="inlineStr">
        <is>
          <t>Source Coverage Gaps</t>
        </is>
      </c>
      <c r="D7" s="31" t="inlineStr">
        <is>
          <t>Requirements with inadequate coverage</t>
        </is>
      </c>
      <c r="E7" s="31" t="inlineStr">
        <is>
          <t>Count</t>
        </is>
      </c>
      <c r="F7" s="31" t="inlineStr">
        <is>
          <t>Monthly</t>
        </is>
      </c>
      <c r="G7" s="30">
        <f>[ISMS-IMP-A.5.7.1.xlsx]Coverage_Matrix!Summary</f>
        <v/>
      </c>
      <c r="H7" s="31" t="inlineStr">
        <is>
          <t>5</t>
        </is>
      </c>
      <c r="I7" s="31" t="inlineStr">
        <is>
          <t>8</t>
        </is>
      </c>
      <c r="J7" s="31" t="inlineStr">
        <is>
          <t>12</t>
        </is>
      </c>
      <c r="K7" s="31" t="n"/>
      <c r="L7" s="31" t="n"/>
      <c r="M7" s="32">
        <f>IF(OR(K7="",H7=""),"N/A",(K7/H7-1)*100)</f>
        <v/>
      </c>
      <c r="N7" s="30">
        <f>IF(K7="","N/A",IF(K7&gt;=H7,"On_Track",IF(K7&gt;=I7,"Caution","At_Risk")))</f>
        <v/>
      </c>
      <c r="O7" s="30">
        <f>IF(OR(K7="",L7=""),"N/A",IF(K7&gt;L7,"Improving",IF(K7&lt;L7,"Declining","Stable")))</f>
        <v/>
      </c>
      <c r="P7" s="31" t="n"/>
      <c r="Q7" s="33" t="n"/>
      <c r="R7" s="31" t="n"/>
    </row>
    <row r="8">
      <c r="A8" s="30" t="inlineStr">
        <is>
          <t>KPI-TI-004</t>
        </is>
      </c>
      <c r="B8" s="31" t="inlineStr">
        <is>
          <t>Source_Management</t>
        </is>
      </c>
      <c r="C8" s="31" t="inlineStr">
        <is>
          <t>Cost Per Source (Avg)</t>
        </is>
      </c>
      <c r="D8" s="31" t="inlineStr">
        <is>
          <t>Average annual cost per source</t>
        </is>
      </c>
      <c r="E8" s="31" t="inlineStr">
        <is>
          <t>USD</t>
        </is>
      </c>
      <c r="F8" s="31" t="inlineStr">
        <is>
          <t>Quarterly</t>
        </is>
      </c>
      <c r="G8" s="30">
        <f>[ISMS-IMP-A.5.7.1.xlsx]Cost_Analysis!E:E</f>
        <v/>
      </c>
      <c r="H8" s="31" t="inlineStr">
        <is>
          <t>50000</t>
        </is>
      </c>
      <c r="I8" s="31" t="inlineStr">
        <is>
          <t>60000</t>
        </is>
      </c>
      <c r="J8" s="31" t="inlineStr">
        <is>
          <t>75000</t>
        </is>
      </c>
      <c r="K8" s="31" t="n"/>
      <c r="L8" s="31" t="n"/>
      <c r="M8" s="32">
        <f>IF(OR(K8="",H8=""),"N/A",(K8/H8-1)*100)</f>
        <v/>
      </c>
      <c r="N8" s="30">
        <f>IF(K8="","N/A",IF(K8&gt;=H8,"On_Track",IF(K8&gt;=I8,"Caution","At_Risk")))</f>
        <v/>
      </c>
      <c r="O8" s="30">
        <f>IF(OR(K8="",L8=""),"N/A",IF(K8&gt;L8,"Improving",IF(K8&lt;L8,"Declining","Stable")))</f>
        <v/>
      </c>
      <c r="P8" s="31" t="n"/>
      <c r="Q8" s="33" t="n"/>
      <c r="R8" s="31" t="n"/>
    </row>
    <row r="9">
      <c r="A9" s="30" t="inlineStr">
        <is>
          <t>KPI-TI-005</t>
        </is>
      </c>
      <c r="B9" s="31" t="inlineStr">
        <is>
          <t>Production</t>
        </is>
      </c>
      <c r="C9" s="31" t="inlineStr">
        <is>
          <t>Intelligence Products per Month</t>
        </is>
      </c>
      <c r="D9" s="31" t="inlineStr">
        <is>
          <t>Count of published products</t>
        </is>
      </c>
      <c r="E9" s="31" t="inlineStr">
        <is>
          <t>Reports</t>
        </is>
      </c>
      <c r="F9" s="31" t="inlineStr">
        <is>
          <t>Monthly</t>
        </is>
      </c>
      <c r="G9" s="30">
        <f>COUNTIF('[ISMS-IMP-A.5.7.2.xlsx]Intelligence_Production'!N:N,"Published")</f>
        <v/>
      </c>
      <c r="H9" s="31" t="inlineStr">
        <is>
          <t>20</t>
        </is>
      </c>
      <c r="I9" s="31" t="inlineStr">
        <is>
          <t>16</t>
        </is>
      </c>
      <c r="J9" s="31" t="inlineStr">
        <is>
          <t>12</t>
        </is>
      </c>
      <c r="K9" s="31" t="n"/>
      <c r="L9" s="31" t="n"/>
      <c r="M9" s="32">
        <f>IF(OR(K9="",H9=""),"N/A",(K9/H9-1)*100)</f>
        <v/>
      </c>
      <c r="N9" s="30">
        <f>IF(K9="","N/A",IF(K9&gt;=H9,"On_Track",IF(K9&gt;=I9,"Caution","At_Risk")))</f>
        <v/>
      </c>
      <c r="O9" s="30">
        <f>IF(OR(K9="",L9=""),"N/A",IF(K9&gt;L9,"Improving",IF(K9&lt;L9,"Declining","Stable")))</f>
        <v/>
      </c>
      <c r="P9" s="31" t="n"/>
      <c r="Q9" s="33" t="n"/>
      <c r="R9" s="31" t="n"/>
    </row>
    <row r="10">
      <c r="A10" s="30" t="inlineStr">
        <is>
          <t>KPI-TI-006</t>
        </is>
      </c>
      <c r="B10" s="31" t="inlineStr">
        <is>
          <t>Analysis</t>
        </is>
      </c>
      <c r="C10" s="31" t="inlineStr">
        <is>
          <t>Avg Time to Produce (hours)</t>
        </is>
      </c>
      <c r="D10" s="31" t="inlineStr">
        <is>
          <t>Hours from start to publication</t>
        </is>
      </c>
      <c r="E10" s="31" t="inlineStr">
        <is>
          <t>Hours</t>
        </is>
      </c>
      <c r="F10" s="31" t="inlineStr">
        <is>
          <t>Monthly</t>
        </is>
      </c>
      <c r="G10" s="30">
        <f>AVERAGE('[ISMS-IMP-A.5.7.2.xlsx]Intelligence_Production'!M:M)</f>
        <v/>
      </c>
      <c r="H10" s="31" t="inlineStr">
        <is>
          <t>48</t>
        </is>
      </c>
      <c r="I10" s="31" t="inlineStr">
        <is>
          <t>72</t>
        </is>
      </c>
      <c r="J10" s="31" t="inlineStr">
        <is>
          <t>96</t>
        </is>
      </c>
      <c r="K10" s="31" t="n"/>
      <c r="L10" s="31" t="n"/>
      <c r="M10" s="32">
        <f>IF(OR(K10="",H10=""),"N/A",(K10/H10-1)*100)</f>
        <v/>
      </c>
      <c r="N10" s="30">
        <f>IF(K10="","N/A",IF(K10&gt;=H10,"On_Track",IF(K10&gt;=I10,"Caution","At_Risk")))</f>
        <v/>
      </c>
      <c r="O10" s="30">
        <f>IF(OR(K10="",L10=""),"N/A",IF(K10&gt;L10,"Improving",IF(K10&lt;L10,"Declining","Stable")))</f>
        <v/>
      </c>
      <c r="P10" s="31" t="n"/>
      <c r="Q10" s="33" t="n"/>
      <c r="R10" s="31" t="n"/>
    </row>
    <row r="11">
      <c r="A11" s="30" t="inlineStr">
        <is>
          <t>KPI-TI-007</t>
        </is>
      </c>
      <c r="B11" s="31" t="inlineStr">
        <is>
          <t>Production</t>
        </is>
      </c>
      <c r="C11" s="31" t="inlineStr">
        <is>
          <t>Stakeholder Feedback Rating</t>
        </is>
      </c>
      <c r="D11" s="31" t="inlineStr">
        <is>
          <t>Average consumer rating</t>
        </is>
      </c>
      <c r="E11" s="31" t="inlineStr">
        <is>
          <t>Rating (1-5)</t>
        </is>
      </c>
      <c r="F11" s="31" t="inlineStr">
        <is>
          <t>Monthly</t>
        </is>
      </c>
      <c r="G11" s="30">
        <f>AVERAGE('[ISMS-IMP-A.5.7.2.xlsx]Intelligence_Production'!J:J)</f>
        <v/>
      </c>
      <c r="H11" s="31" t="inlineStr">
        <is>
          <t>4.0</t>
        </is>
      </c>
      <c r="I11" s="31" t="inlineStr">
        <is>
          <t>3.5</t>
        </is>
      </c>
      <c r="J11" s="31" t="inlineStr">
        <is>
          <t>3.0</t>
        </is>
      </c>
      <c r="K11" s="31" t="n"/>
      <c r="L11" s="31" t="n"/>
      <c r="M11" s="32">
        <f>IF(OR(K11="",H11=""),"N/A",(K11/H11-1)*100)</f>
        <v/>
      </c>
      <c r="N11" s="30">
        <f>IF(K11="","N/A",IF(K11&gt;=H11,"On_Track",IF(K11&gt;=I11,"Caution","At_Risk")))</f>
        <v/>
      </c>
      <c r="O11" s="30">
        <f>IF(OR(K11="",L11=""),"N/A",IF(K11&gt;L11,"Improving",IF(K11&lt;L11,"Declining","Stable")))</f>
        <v/>
      </c>
      <c r="P11" s="31" t="n"/>
      <c r="Q11" s="33" t="n"/>
      <c r="R11" s="31" t="n"/>
    </row>
    <row r="12">
      <c r="A12" s="30" t="inlineStr">
        <is>
          <t>KPI-TI-008</t>
        </is>
      </c>
      <c r="B12" s="31" t="inlineStr">
        <is>
          <t>Production</t>
        </is>
      </c>
      <c r="C12" s="31" t="inlineStr">
        <is>
          <t>Intelligence Consumption Rate</t>
        </is>
      </c>
      <c r="D12" s="31" t="inlineStr">
        <is>
          <t>% of products acted upon</t>
        </is>
      </c>
      <c r="E12" s="31" t="inlineStr">
        <is>
          <t>Percentage</t>
        </is>
      </c>
      <c r="F12" s="31" t="inlineStr">
        <is>
          <t>Monthly</t>
        </is>
      </c>
      <c r="G12" s="30">
        <f>AVERAGE('[ISMS-IMP-A.5.7.2.xlsx]Intelligence_Production'!K:K)</f>
        <v/>
      </c>
      <c r="H12" s="31" t="inlineStr">
        <is>
          <t>75%</t>
        </is>
      </c>
      <c r="I12" s="31" t="inlineStr">
        <is>
          <t>60%</t>
        </is>
      </c>
      <c r="J12" s="31" t="inlineStr">
        <is>
          <t>50%</t>
        </is>
      </c>
      <c r="K12" s="31" t="n"/>
      <c r="L12" s="31" t="n"/>
      <c r="M12" s="32">
        <f>IF(OR(K12="",H12=""),"N/A",(K12/H12-1)*100)</f>
        <v/>
      </c>
      <c r="N12" s="30">
        <f>IF(K12="","N/A",IF(K12&gt;=H12,"On_Track",IF(K12&gt;=I12,"Caution","At_Risk")))</f>
        <v/>
      </c>
      <c r="O12" s="30">
        <f>IF(OR(K12="",L12=""),"N/A",IF(K12&gt;L12,"Improving",IF(K12&lt;L12,"Declining","Stable")))</f>
        <v/>
      </c>
      <c r="P12" s="31" t="n"/>
      <c r="Q12" s="33" t="n"/>
      <c r="R12" s="31" t="n"/>
    </row>
    <row r="13">
      <c r="A13" s="30" t="inlineStr">
        <is>
          <t>KPI-TI-009</t>
        </is>
      </c>
      <c r="B13" s="31" t="inlineStr">
        <is>
          <t>Analysis</t>
        </is>
      </c>
      <c r="C13" s="31" t="inlineStr">
        <is>
          <t>MITRE ATT&amp;CK Coverage</t>
        </is>
      </c>
      <c r="D13" s="31" t="inlineStr">
        <is>
          <t>% of critical techniques covered</t>
        </is>
      </c>
      <c r="E13" s="31" t="inlineStr">
        <is>
          <t>Percentage</t>
        </is>
      </c>
      <c r="F13" s="31" t="inlineStr">
        <is>
          <t>Quarterly</t>
        </is>
      </c>
      <c r="G13" s="30">
        <f>COUNTIF('[ISMS-IMP-A.5.7.2.xlsx]MITRE_Mapping'!F:F,"Full")/COUNTA('[ISMS-IMP-A.5.7.2.xlsx]MITRE_Mapping'!A:A)-4</f>
        <v/>
      </c>
      <c r="H13" s="31" t="inlineStr">
        <is>
          <t>80%</t>
        </is>
      </c>
      <c r="I13" s="31" t="inlineStr">
        <is>
          <t>70%</t>
        </is>
      </c>
      <c r="J13" s="31" t="inlineStr">
        <is>
          <t>60%</t>
        </is>
      </c>
      <c r="K13" s="31" t="n"/>
      <c r="L13" s="31" t="n"/>
      <c r="M13" s="32">
        <f>IF(OR(K13="",H13=""),"N/A",(K13/H13-1)*100)</f>
        <v/>
      </c>
      <c r="N13" s="30">
        <f>IF(K13="","N/A",IF(K13&gt;=H13,"On_Track",IF(K13&gt;=I13,"Caution","At_Risk")))</f>
        <v/>
      </c>
      <c r="O13" s="30">
        <f>IF(OR(K13="",L13=""),"N/A",IF(K13&gt;L13,"Improving",IF(K13&lt;L13,"Declining","Stable")))</f>
        <v/>
      </c>
      <c r="P13" s="31" t="n"/>
      <c r="Q13" s="33" t="n"/>
      <c r="R13" s="31" t="n"/>
    </row>
    <row r="14">
      <c r="A14" s="30" t="inlineStr">
        <is>
          <t>KPI-TI-010</t>
        </is>
      </c>
      <c r="B14" s="31" t="inlineStr">
        <is>
          <t>Analysis</t>
        </is>
      </c>
      <c r="C14" s="31" t="inlineStr">
        <is>
          <t>Analyst Training Completion</t>
        </is>
      </c>
      <c r="D14" s="31" t="inlineStr">
        <is>
          <t>% of planned training completed</t>
        </is>
      </c>
      <c r="E14" s="31" t="inlineStr">
        <is>
          <t>Percentage</t>
        </is>
      </c>
      <c r="F14" s="31" t="inlineStr">
        <is>
          <t>Quarterly</t>
        </is>
      </c>
      <c r="G14" s="30">
        <f>AVERAGE('[ISMS-IMP-A.5.7.2.xlsx]Analyst_Capabilities'!J:J)</f>
        <v/>
      </c>
      <c r="H14" s="31" t="inlineStr">
        <is>
          <t>90%</t>
        </is>
      </c>
      <c r="I14" s="31" t="inlineStr">
        <is>
          <t>75%</t>
        </is>
      </c>
      <c r="J14" s="31" t="inlineStr">
        <is>
          <t>60%</t>
        </is>
      </c>
      <c r="K14" s="31" t="n"/>
      <c r="L14" s="31" t="n"/>
      <c r="M14" s="32">
        <f>IF(OR(K14="",H14=""),"N/A",(K14/H14-1)*100)</f>
        <v/>
      </c>
      <c r="N14" s="30">
        <f>IF(K14="","N/A",IF(K14&gt;=H14,"On_Track",IF(K14&gt;=I14,"Caution","At_Risk")))</f>
        <v/>
      </c>
      <c r="O14" s="30">
        <f>IF(OR(K14="",L14=""),"N/A",IF(K14&gt;L14,"Improving",IF(K14&lt;L14,"Declining","Stable")))</f>
        <v/>
      </c>
      <c r="P14" s="31" t="n"/>
      <c r="Q14" s="33" t="n"/>
      <c r="R14" s="31" t="n"/>
    </row>
    <row r="15">
      <c r="A15" s="30" t="inlineStr">
        <is>
          <t>KPI-TI-011</t>
        </is>
      </c>
      <c r="B15" s="31" t="inlineStr">
        <is>
          <t>Collection</t>
        </is>
      </c>
      <c r="C15" s="31" t="inlineStr">
        <is>
          <t>VT Links Created per Month</t>
        </is>
      </c>
      <c r="D15" s="31" t="inlineStr">
        <is>
          <t>Vulnerability-threat linkages</t>
        </is>
      </c>
      <c r="E15" s="31" t="inlineStr">
        <is>
          <t>Count</t>
        </is>
      </c>
      <c r="F15" s="31" t="inlineStr">
        <is>
          <t>Monthly</t>
        </is>
      </c>
      <c r="G15" s="30">
        <f>COUNTA('[ISMS-IMP-A.5.7.2.xlsx]Vulnerability_Linked_Threats'!A:A)-4</f>
        <v/>
      </c>
      <c r="H15" s="31" t="inlineStr">
        <is>
          <t>10</t>
        </is>
      </c>
      <c r="I15" s="31" t="inlineStr">
        <is>
          <t>7</t>
        </is>
      </c>
      <c r="J15" s="31" t="inlineStr">
        <is>
          <t>5</t>
        </is>
      </c>
      <c r="K15" s="31" t="n"/>
      <c r="L15" s="31" t="n"/>
      <c r="M15" s="32">
        <f>IF(OR(K15="",H15=""),"N/A",(K15/H15-1)*100)</f>
        <v/>
      </c>
      <c r="N15" s="30">
        <f>IF(K15="","N/A",IF(K15&gt;=H15,"On_Track",IF(K15&gt;=I15,"Caution","At_Risk")))</f>
        <v/>
      </c>
      <c r="O15" s="30">
        <f>IF(OR(K15="",L15=""),"N/A",IF(K15&gt;L15,"Improving",IF(K15&lt;L15,"Declining","Stable")))</f>
        <v/>
      </c>
      <c r="P15" s="31" t="n"/>
      <c r="Q15" s="33" t="n"/>
      <c r="R15" s="31" t="n"/>
    </row>
    <row r="16">
      <c r="A16" s="30" t="inlineStr">
        <is>
          <t>KPI-TI-012</t>
        </is>
      </c>
      <c r="B16" s="31" t="inlineStr">
        <is>
          <t>Integration</t>
        </is>
      </c>
      <c r="C16" s="31" t="inlineStr">
        <is>
          <t>Security Tools Integrated</t>
        </is>
      </c>
      <c r="D16" s="31" t="inlineStr">
        <is>
          <t>Tools with TI integration</t>
        </is>
      </c>
      <c r="E16" s="31" t="inlineStr">
        <is>
          <t>Count</t>
        </is>
      </c>
      <c r="F16" s="31" t="inlineStr">
        <is>
          <t>Quarterly</t>
        </is>
      </c>
      <c r="G16" s="30">
        <f>COUNTA('[ISMS-IMP-A.5.7.3.xlsx]Tool_Integration_Matrix'!A:A)-4</f>
        <v/>
      </c>
      <c r="H16" s="31" t="inlineStr">
        <is>
          <t>15</t>
        </is>
      </c>
      <c r="I16" s="31" t="inlineStr">
        <is>
          <t>12</t>
        </is>
      </c>
      <c r="J16" s="31" t="inlineStr">
        <is>
          <t>10</t>
        </is>
      </c>
      <c r="K16" s="31" t="n"/>
      <c r="L16" s="31" t="n"/>
      <c r="M16" s="32">
        <f>IF(OR(K16="",H16=""),"N/A",(K16/H16-1)*100)</f>
        <v/>
      </c>
      <c r="N16" s="30">
        <f>IF(K16="","N/A",IF(K16&gt;=H16,"On_Track",IF(K16&gt;=I16,"Caution","At_Risk")))</f>
        <v/>
      </c>
      <c r="O16" s="30">
        <f>IF(OR(K16="",L16=""),"N/A",IF(K16&gt;L16,"Improving",IF(K16&lt;L16,"Declining","Stable")))</f>
        <v/>
      </c>
      <c r="P16" s="31" t="n"/>
      <c r="Q16" s="33" t="n"/>
      <c r="R16" s="31" t="n"/>
    </row>
    <row r="17">
      <c r="A17" s="30" t="inlineStr">
        <is>
          <t>KPI-TI-013</t>
        </is>
      </c>
      <c r="B17" s="31" t="inlineStr">
        <is>
          <t>Integration</t>
        </is>
      </c>
      <c r="C17" s="31" t="inlineStr">
        <is>
          <t>IOCs Deployed per Month</t>
        </is>
      </c>
      <c r="D17" s="31" t="inlineStr">
        <is>
          <t>Indicators deployed to security tools</t>
        </is>
      </c>
      <c r="E17" s="31" t="inlineStr">
        <is>
          <t>Count</t>
        </is>
      </c>
      <c r="F17" s="31" t="inlineStr">
        <is>
          <t>Monthly</t>
        </is>
      </c>
      <c r="G17" s="30">
        <f>COUNTA('[ISMS-IMP-A.5.7.3.xlsx]IOC_Deployment'!A:A)-4</f>
        <v/>
      </c>
      <c r="H17" s="31" t="inlineStr">
        <is>
          <t>100</t>
        </is>
      </c>
      <c r="I17" s="31" t="inlineStr">
        <is>
          <t>75</t>
        </is>
      </c>
      <c r="J17" s="31" t="inlineStr">
        <is>
          <t>50</t>
        </is>
      </c>
      <c r="K17" s="31" t="n"/>
      <c r="L17" s="31" t="n"/>
      <c r="M17" s="32">
        <f>IF(OR(K17="",H17=""),"N/A",(K17/H17-1)*100)</f>
        <v/>
      </c>
      <c r="N17" s="30">
        <f>IF(K17="","N/A",IF(K17&gt;=H17,"On_Track",IF(K17&gt;=I17,"Caution","At_Risk")))</f>
        <v/>
      </c>
      <c r="O17" s="30">
        <f>IF(OR(K17="",L17=""),"N/A",IF(K17&gt;L17,"Improving",IF(K17&lt;L17,"Declining","Stable")))</f>
        <v/>
      </c>
      <c r="P17" s="31" t="n"/>
      <c r="Q17" s="33" t="n"/>
      <c r="R17" s="31" t="n"/>
    </row>
    <row r="18">
      <c r="A18" s="30" t="inlineStr">
        <is>
          <t>KPI-TI-014</t>
        </is>
      </c>
      <c r="B18" s="31" t="inlineStr">
        <is>
          <t>Integration</t>
        </is>
      </c>
      <c r="C18" s="31" t="inlineStr">
        <is>
          <t>IOC Hit Rate</t>
        </is>
      </c>
      <c r="D18" s="31" t="inlineStr">
        <is>
          <t>% of IOCs with detections</t>
        </is>
      </c>
      <c r="E18" s="31" t="inlineStr">
        <is>
          <t>Percentage</t>
        </is>
      </c>
      <c r="F18" s="31" t="inlineStr">
        <is>
          <t>Monthly</t>
        </is>
      </c>
      <c r="G18" s="30">
        <f>COUNTIF('[ISMS-IMP-A.5.7.3.xlsx]IOC_Deployment'!I:I,"Active")/COUNTA('[ISMS-IMP-A.5.7.3.xlsx]IOC_Deployment'!A:A)-4</f>
        <v/>
      </c>
      <c r="H18" s="31" t="inlineStr">
        <is>
          <t>15%</t>
        </is>
      </c>
      <c r="I18" s="31" t="inlineStr">
        <is>
          <t>10%</t>
        </is>
      </c>
      <c r="J18" s="31" t="inlineStr">
        <is>
          <t>5%</t>
        </is>
      </c>
      <c r="K18" s="31" t="n"/>
      <c r="L18" s="31" t="n"/>
      <c r="M18" s="32">
        <f>IF(OR(K18="",H18=""),"N/A",(K18/H18-1)*100)</f>
        <v/>
      </c>
      <c r="N18" s="30">
        <f>IF(K18="","N/A",IF(K18&gt;=H18,"On_Track",IF(K18&gt;=I18,"Caution","At_Risk")))</f>
        <v/>
      </c>
      <c r="O18" s="30">
        <f>IF(OR(K18="",L18=""),"N/A",IF(K18&gt;L18,"Improving",IF(K18&lt;L18,"Declining","Stable")))</f>
        <v/>
      </c>
      <c r="P18" s="31" t="n"/>
      <c r="Q18" s="33" t="n"/>
      <c r="R18" s="31" t="n"/>
    </row>
    <row r="19">
      <c r="A19" s="30" t="inlineStr">
        <is>
          <t>KPI-TI-015</t>
        </is>
      </c>
      <c r="B19" s="31" t="inlineStr">
        <is>
          <t>Integration</t>
        </is>
      </c>
      <c r="C19" s="31" t="inlineStr">
        <is>
          <t>IOC False Positive Rate</t>
        </is>
      </c>
      <c r="D19" s="31" t="inlineStr">
        <is>
          <t>% of IOCs generating false positives</t>
        </is>
      </c>
      <c r="E19" s="31" t="inlineStr">
        <is>
          <t>Percentage</t>
        </is>
      </c>
      <c r="F19" s="31" t="inlineStr">
        <is>
          <t>Monthly</t>
        </is>
      </c>
      <c r="G19" s="30">
        <f>COUNTIF('[ISMS-IMP-A.5.7.3.xlsx]IOC_Deployment'!J:J,"&gt;0")/COUNTA('[ISMS-IMP-A.5.7.3.xlsx]IOC_Deployment'!A:A)-4</f>
        <v/>
      </c>
      <c r="H19" s="31" t="inlineStr">
        <is>
          <t>5%</t>
        </is>
      </c>
      <c r="I19" s="31" t="inlineStr">
        <is>
          <t>10%</t>
        </is>
      </c>
      <c r="J19" s="31" t="inlineStr">
        <is>
          <t>15%</t>
        </is>
      </c>
      <c r="K19" s="31" t="n"/>
      <c r="L19" s="31" t="n"/>
      <c r="M19" s="32">
        <f>IF(OR(K19="",H19=""),"N/A",(K19/H19-1)*100)</f>
        <v/>
      </c>
      <c r="N19" s="30">
        <f>IF(K19="","N/A",IF(K19&gt;=H19,"On_Track",IF(K19&gt;=I19,"Caution","At_Risk")))</f>
        <v/>
      </c>
      <c r="O19" s="30">
        <f>IF(OR(K19="",L19=""),"N/A",IF(K19&gt;L19,"Improving",IF(K19&lt;L19,"Declining","Stable")))</f>
        <v/>
      </c>
      <c r="P19" s="31" t="n"/>
      <c r="Q19" s="33" t="n"/>
      <c r="R19" s="31" t="n"/>
    </row>
    <row r="20">
      <c r="A20" s="30" t="inlineStr">
        <is>
          <t>KPI-TI-016</t>
        </is>
      </c>
      <c r="B20" s="31" t="inlineStr">
        <is>
          <t>Dissemination</t>
        </is>
      </c>
      <c r="C20" s="31" t="inlineStr">
        <is>
          <t>Stakeholder Engagement Score</t>
        </is>
      </c>
      <c r="D20" s="31" t="inlineStr">
        <is>
          <t>Average engagement rating</t>
        </is>
      </c>
      <c r="E20" s="31" t="inlineStr">
        <is>
          <t>Rating (1-5)</t>
        </is>
      </c>
      <c r="F20" s="31" t="inlineStr">
        <is>
          <t>Monthly</t>
        </is>
      </c>
      <c r="G20" s="30">
        <f>AVERAGE('[ISMS-IMP-A.5.7.3.xlsx]Feedback_Collection'!D:D)</f>
        <v/>
      </c>
      <c r="H20" s="31" t="inlineStr">
        <is>
          <t>4.0</t>
        </is>
      </c>
      <c r="I20" s="31" t="inlineStr">
        <is>
          <t>3.5</t>
        </is>
      </c>
      <c r="J20" s="31" t="inlineStr">
        <is>
          <t>3.0</t>
        </is>
      </c>
      <c r="K20" s="31" t="n"/>
      <c r="L20" s="31" t="n"/>
      <c r="M20" s="32">
        <f>IF(OR(K20="",H20=""),"N/A",(K20/H20-1)*100)</f>
        <v/>
      </c>
      <c r="N20" s="30">
        <f>IF(K20="","N/A",IF(K20&gt;=H20,"On_Track",IF(K20&gt;=I20,"Caution","At_Risk")))</f>
        <v/>
      </c>
      <c r="O20" s="30">
        <f>IF(OR(K20="",L20=""),"N/A",IF(K20&gt;L20,"Improving",IF(K20&lt;L20,"Declining","Stable")))</f>
        <v/>
      </c>
      <c r="P20" s="31" t="n"/>
      <c r="Q20" s="33" t="n"/>
      <c r="R20" s="31" t="n"/>
    </row>
    <row r="21">
      <c r="A21" s="30" t="inlineStr">
        <is>
          <t>KPI-TI-017</t>
        </is>
      </c>
      <c r="B21" s="31" t="inlineStr">
        <is>
          <t>Dissemination</t>
        </is>
      </c>
      <c r="C21" s="31" t="inlineStr">
        <is>
          <t>Distribution Reach</t>
        </is>
      </c>
      <c r="D21" s="31" t="inlineStr">
        <is>
          <t>% of target audience reached</t>
        </is>
      </c>
      <c r="E21" s="31" t="inlineStr">
        <is>
          <t>Percentage</t>
        </is>
      </c>
      <c r="F21" s="31" t="inlineStr">
        <is>
          <t>Monthly</t>
        </is>
      </c>
      <c r="G21" s="30">
        <f>COUNTA('[ISMS-IMP-A.5.7.3.xlsx]Distribution_Tracking'!A:A)/COUNTA('[ISMS-IMP-A.5.7.3.xlsx]Stakeholder_Registry'!A:A)</f>
        <v/>
      </c>
      <c r="H21" s="31" t="inlineStr">
        <is>
          <t>90%</t>
        </is>
      </c>
      <c r="I21" s="31" t="inlineStr">
        <is>
          <t>75%</t>
        </is>
      </c>
      <c r="J21" s="31" t="inlineStr">
        <is>
          <t>60%</t>
        </is>
      </c>
      <c r="K21" s="31" t="n"/>
      <c r="L21" s="31" t="n"/>
      <c r="M21" s="32">
        <f>IF(OR(K21="",H21=""),"N/A",(K21/H21-1)*100)</f>
        <v/>
      </c>
      <c r="N21" s="30">
        <f>IF(K21="","N/A",IF(K21&gt;=H21,"On_Track",IF(K21&gt;=I21,"Caution","At_Risk")))</f>
        <v/>
      </c>
      <c r="O21" s="30">
        <f>IF(OR(K21="",L21=""),"N/A",IF(K21&gt;L21,"Improving",IF(K21&lt;L21,"Declining","Stable")))</f>
        <v/>
      </c>
      <c r="P21" s="31" t="n"/>
      <c r="Q21" s="33" t="n"/>
      <c r="R21" s="31" t="n"/>
    </row>
    <row r="22">
      <c r="A22" s="30" t="inlineStr">
        <is>
          <t>KPI-TI-018</t>
        </is>
      </c>
      <c r="B22" s="31" t="inlineStr">
        <is>
          <t>Dissemination</t>
        </is>
      </c>
      <c r="C22" s="31" t="inlineStr">
        <is>
          <t>Mean Time to Action</t>
        </is>
      </c>
      <c r="D22" s="31" t="inlineStr">
        <is>
          <t>Hours from intel to action taken</t>
        </is>
      </c>
      <c r="E22" s="31" t="inlineStr">
        <is>
          <t>Hours</t>
        </is>
      </c>
      <c r="F22" s="31" t="inlineStr">
        <is>
          <t>Monthly</t>
        </is>
      </c>
      <c r="G22" s="30">
        <f>AVERAGE('[ISMS-IMP-A.5.7.3.xlsx]Distribution_Tracking'!TimeToAction)</f>
        <v/>
      </c>
      <c r="H22" s="31" t="inlineStr">
        <is>
          <t>24</t>
        </is>
      </c>
      <c r="I22" s="31" t="inlineStr">
        <is>
          <t>48</t>
        </is>
      </c>
      <c r="J22" s="31" t="inlineStr">
        <is>
          <t>72</t>
        </is>
      </c>
      <c r="K22" s="31" t="n"/>
      <c r="L22" s="31" t="n"/>
      <c r="M22" s="32">
        <f>IF(OR(K22="",H22=""),"N/A",(K22/H22-1)*100)</f>
        <v/>
      </c>
      <c r="N22" s="30">
        <f>IF(K22="","N/A",IF(K22&gt;=H22,"On_Track",IF(K22&gt;=I22,"Caution","At_Risk")))</f>
        <v/>
      </c>
      <c r="O22" s="30">
        <f>IF(OR(K22="",L22=""),"N/A",IF(K22&gt;L22,"Improving",IF(K22&lt;L22,"Declining","Stable")))</f>
        <v/>
      </c>
      <c r="P22" s="31" t="n"/>
      <c r="Q22" s="33" t="n"/>
      <c r="R22" s="31" t="n"/>
    </row>
    <row r="23">
      <c r="A23" s="30" t="inlineStr">
        <is>
          <t>KPI-CVSS-001</t>
        </is>
      </c>
      <c r="B23" s="31" t="inlineStr">
        <is>
          <t>Framework_Currency</t>
        </is>
      </c>
      <c r="C23" s="31" t="inlineStr">
        <is>
          <t>CVSS 4.0 Adoption Rate</t>
        </is>
      </c>
      <c r="D23" s="31" t="inlineStr">
        <is>
          <t>% of VTL records using CVSS 4.0</t>
        </is>
      </c>
      <c r="E23" s="31" t="inlineStr">
        <is>
          <t>Percentage</t>
        </is>
      </c>
      <c r="F23" s="31" t="inlineStr">
        <is>
          <t>Monthly</t>
        </is>
      </c>
      <c r="G23" s="30">
        <f>IF(COUNTA([ISMS-IMP-A.5.7.2.xlsx]Vulnerability_Threat_Link!A:A)-4=0,0,COUNTIF([ISMS-IMP-A.5.7.2.xlsx]Vulnerability_Threat_Link!E:E,"4.0")/(COUNTA([ISMS-IMP-A.5.7.2.xlsx]Vulnerability_Threat_Link!A:A)-4)*100)</f>
        <v/>
      </c>
      <c r="H23" s="31" t="inlineStr">
        <is>
          <t>75%</t>
        </is>
      </c>
      <c r="I23" s="31" t="inlineStr">
        <is>
          <t>60%</t>
        </is>
      </c>
      <c r="J23" s="31" t="inlineStr">
        <is>
          <t>50%</t>
        </is>
      </c>
      <c r="K23" s="31" t="n"/>
      <c r="L23" s="31" t="n"/>
      <c r="M23" s="32">
        <f>IF(OR(K23="",H23=""),"N/A",(K23/H23-1)*100)</f>
        <v/>
      </c>
      <c r="N23" s="30">
        <f>IF(K23="","N/A",IF(K23&gt;=H23,"On_Track",IF(K23&gt;=I23,"Caution","At_Risk")))</f>
        <v/>
      </c>
      <c r="O23" s="30">
        <f>IF(OR(K23="",L23=""),"N/A",IF(K23&gt;L23,"Improving",IF(K23&lt;L23,"Declining","Stable")))</f>
        <v/>
      </c>
      <c r="P23" s="31" t="n"/>
      <c r="Q23" s="33" t="n"/>
      <c r="R23" s="31" t="n"/>
    </row>
    <row r="24">
      <c r="A24" s="30" t="inlineStr">
        <is>
          <t>KPI-CVSS-002</t>
        </is>
      </c>
      <c r="B24" s="31" t="inlineStr">
        <is>
          <t>Quality_Assurance</t>
        </is>
      </c>
      <c r="C24" s="31" t="inlineStr">
        <is>
          <t>CVSS Accuracy Rate (All Sources)</t>
        </is>
      </c>
      <c r="D24" s="31" t="inlineStr">
        <is>
          <t>Average CVSS accuracy across all TI sources</t>
        </is>
      </c>
      <c r="E24" s="31" t="inlineStr">
        <is>
          <t>Percentage</t>
        </is>
      </c>
      <c r="F24" s="31" t="inlineStr">
        <is>
          <t>Monthly</t>
        </is>
      </c>
      <c r="G24" s="30">
        <f>IFERROR(AVERAGE([ISMS-IMP-A.5.7.1.xlsx]Source_Performance_Validation!O:O),0)</f>
        <v/>
      </c>
      <c r="H24" s="31" t="inlineStr">
        <is>
          <t>90%</t>
        </is>
      </c>
      <c r="I24" s="31" t="inlineStr">
        <is>
          <t>85%</t>
        </is>
      </c>
      <c r="J24" s="31" t="inlineStr">
        <is>
          <t>80%</t>
        </is>
      </c>
      <c r="K24" s="31" t="n"/>
      <c r="L24" s="31" t="n"/>
      <c r="M24" s="32">
        <f>IF(OR(K24="",H24=""),"N/A",(K24/H24-1)*100)</f>
        <v/>
      </c>
      <c r="N24" s="30">
        <f>IF(K24="","N/A",IF(K24&gt;=H24,"On_Track",IF(K24&gt;=I24,"Caution","At_Risk")))</f>
        <v/>
      </c>
      <c r="O24" s="30">
        <f>IF(OR(K24="",L24=""),"N/A",IF(K24&gt;L24,"Improving",IF(K24&lt;L24,"Declining","Stable")))</f>
        <v/>
      </c>
      <c r="P24" s="31" t="n"/>
      <c r="Q24" s="33" t="n"/>
      <c r="R24" s="31" t="n"/>
    </row>
    <row r="25">
      <c r="A25" s="30" t="inlineStr">
        <is>
          <t>KPI-CVSS-003</t>
        </is>
      </c>
      <c r="B25" s="31" t="inlineStr">
        <is>
          <t>Emergency_Response</t>
        </is>
      </c>
      <c r="C25" s="31" t="inlineStr">
        <is>
          <t>High CVSS + Active Exploitation (Open)</t>
        </is>
      </c>
      <c r="D25" s="31" t="inlineStr">
        <is>
          <t>Count of CVSS&gt;=7.0 with active exploitation still unpatched</t>
        </is>
      </c>
      <c r="E25" s="31" t="inlineStr">
        <is>
          <t>Count</t>
        </is>
      </c>
      <c r="F25" s="31" t="inlineStr">
        <is>
          <t>Daily</t>
        </is>
      </c>
      <c r="G25" s="30">
        <f>SUMPRODUCT(([ISMS-IMP-A.5.7.2.xlsx]Vulnerability_Threat_Link!F:F&gt;=7)*(([ISMS-IMP-A.5.7.2.xlsx]Vulnerability_Threat_Link!L:L="Active Exploitation")+([ISMS-IMP-A.5.7.2.xlsx]Vulnerability_Threat_Link!L:L="Mass Exploitation"))*([ISMS-IMP-A.5.7.2.xlsx]Vulnerability_Threat_Link!M:M="Open"))</f>
        <v/>
      </c>
      <c r="H25" s="31" t="inlineStr">
        <is>
          <t>0</t>
        </is>
      </c>
      <c r="I25" s="31" t="inlineStr">
        <is>
          <t>0</t>
        </is>
      </c>
      <c r="J25" s="31" t="inlineStr">
        <is>
          <t>1</t>
        </is>
      </c>
      <c r="K25" s="31" t="n"/>
      <c r="L25" s="31" t="n"/>
      <c r="M25" s="32">
        <f>IF(OR(K25="",H25=""),"N/A",(K25/H25-1)*100)</f>
        <v/>
      </c>
      <c r="N25" s="30">
        <f>IF(A25="KPI-CVSS-003",IF(K25="","N/A",IF(K25=0,"On_Track","At_Risk")),IF(K25="","N/A",IF(K25&gt;=H25,"On_Track",IF(K25&gt;=I25,"Caution","At_Risk"))))</f>
        <v/>
      </c>
      <c r="O25" s="30">
        <f>IF(OR(K25="",L25=""),"N/A",IF(K25&gt;L25,"Improving",IF(K25&lt;L25,"Declining","Stable")))</f>
        <v/>
      </c>
      <c r="P25" s="31" t="n"/>
      <c r="Q25" s="33" t="n"/>
      <c r="R25" s="31" t="n"/>
    </row>
    <row r="26">
      <c r="A26" s="30" t="inlineStr">
        <is>
          <t>KPI-CVSS-004</t>
        </is>
      </c>
      <c r="B26" s="31" t="inlineStr">
        <is>
          <t>Impact_Measurement</t>
        </is>
      </c>
      <c r="C26" s="31" t="inlineStr">
        <is>
          <t>Avg CVSS (Prevented Incidents)</t>
        </is>
      </c>
      <c r="D26" s="31" t="inlineStr">
        <is>
          <t>Average CVSS score of prevented incidents</t>
        </is>
      </c>
      <c r="E26" s="31" t="inlineStr">
        <is>
          <t>Score (0-10)</t>
        </is>
      </c>
      <c r="F26" s="31" t="inlineStr">
        <is>
          <t>Monthly</t>
        </is>
      </c>
      <c r="G26" s="30">
        <f>IFERROR(AVERAGE([ISMS-IMP-A.5.7.3.xlsx]Prevention_Tracking!F:F),0)</f>
        <v/>
      </c>
      <c r="H26" s="31" t="inlineStr">
        <is>
          <t>N/A</t>
        </is>
      </c>
      <c r="I26" s="31" t="inlineStr">
        <is>
          <t>N/A</t>
        </is>
      </c>
      <c r="J26" s="31" t="inlineStr">
        <is>
          <t>N/A</t>
        </is>
      </c>
      <c r="K26" s="31" t="n"/>
      <c r="L26" s="31" t="n"/>
      <c r="M26" s="32">
        <f>IF(OR(K26="",H26=""),"N/A",(K26/H26-1)*100)</f>
        <v/>
      </c>
      <c r="N26" s="30">
        <f>IF(K26="","N/A",IF(K26&gt;=H26,"On_Track",IF(K26&gt;=I26,"Caution","At_Risk")))</f>
        <v/>
      </c>
      <c r="O26" s="30">
        <f>IF(OR(K26="",L26=""),"N/A",IF(K26&gt;L26,"Improving",IF(K26&lt;L26,"Declining","Stable")))</f>
        <v/>
      </c>
      <c r="P26" s="31" t="n"/>
      <c r="Q26" s="33" t="n"/>
      <c r="R26" s="31" t="n"/>
    </row>
    <row r="27">
      <c r="A27" s="30" t="inlineStr">
        <is>
          <t>KPI-RISK-001</t>
        </is>
      </c>
      <c r="B27" s="31" t="inlineStr">
        <is>
          <t>Risk_Management</t>
        </is>
      </c>
      <c r="C27" s="31" t="inlineStr">
        <is>
          <t>Risk Updates with CVSS Quantification</t>
        </is>
      </c>
      <c r="D27" s="31" t="inlineStr">
        <is>
          <t>% of vulnerability risks with CVSS scores (Clause 6.1)</t>
        </is>
      </c>
      <c r="E27" s="31" t="inlineStr">
        <is>
          <t>Percentage</t>
        </is>
      </c>
      <c r="F27" s="31" t="inlineStr">
        <is>
          <t>Monthly</t>
        </is>
      </c>
      <c r="G27" s="30">
        <f>IF(COUNTIF([ISMS-IMP-A.5.7.3.xlsx]Risk_Assessment_Updates!F:F,"Vulnerability")=0,100,COUNTIFS([ISMS-IMP-A.5.7.3.xlsx]Risk_Assessment_Updates!F:F,"Vulnerability",[ISMS-IMP-A.5.7.3.xlsx]Risk_Assessment_Updates!H:H,"&lt;&gt;")/COUNTIF([ISMS-IMP-A.5.7.3.xlsx]Risk_Assessment_Updates!F:F,"Vulnerability")*100)</f>
        <v/>
      </c>
      <c r="H27" s="31" t="inlineStr">
        <is>
          <t>100%</t>
        </is>
      </c>
      <c r="I27" s="31" t="inlineStr">
        <is>
          <t>95%</t>
        </is>
      </c>
      <c r="J27" s="31" t="inlineStr">
        <is>
          <t>90%</t>
        </is>
      </c>
      <c r="K27" s="31" t="n"/>
      <c r="L27" s="31" t="n"/>
      <c r="M27" s="32">
        <f>IF(OR(K27="",H27=""),"N/A",(K27/H27-1)*100)</f>
        <v/>
      </c>
      <c r="N27" s="30">
        <f>IF(K27="","N/A",IF(K27&gt;=H27,"On_Track",IF(K27&gt;=I27,"Caution","At_Risk")))</f>
        <v/>
      </c>
      <c r="O27" s="30">
        <f>IF(OR(K27="",L27=""),"N/A",IF(K27&gt;L27,"Improving",IF(K27&lt;L27,"Declining","Stable")))</f>
        <v/>
      </c>
      <c r="P27" s="31" t="n"/>
      <c r="Q27" s="33" t="n"/>
      <c r="R27" s="31" t="n"/>
    </row>
    <row r="28">
      <c r="A28" s="30" t="inlineStr">
        <is>
          <t>KPI-INC-001</t>
        </is>
      </c>
      <c r="B28" s="31" t="inlineStr">
        <is>
          <t>Incident_Response</t>
        </is>
      </c>
      <c r="C28" s="31" t="inlineStr">
        <is>
          <t>Incidents with CVSS Context</t>
        </is>
      </c>
      <c r="D28" s="31" t="inlineStr">
        <is>
          <t>% of vulnerability incidents with CVSS data</t>
        </is>
      </c>
      <c r="E28" s="31" t="inlineStr">
        <is>
          <t>Percentage</t>
        </is>
      </c>
      <c r="F28" s="31" t="inlineStr">
        <is>
          <t>Monthly</t>
        </is>
      </c>
      <c r="G28" s="30">
        <f>IF(COUNTIF([ISMS-IMP-A.5.7.3.xlsx]Incident_TI_Integration!D:D,"Exploitation")=0,100,COUNTIFS([ISMS-IMP-A.5.7.3.xlsx]Incident_TI_Integration!D:D,"Exploitation",[ISMS-IMP-A.5.7.3.xlsx]Incident_TI_Integration!H:H,"&lt;&gt;")/COUNTIF([ISMS-IMP-A.5.7.3.xlsx]Incident_TI_Integration!D:D,"Exploitation")*100)</f>
        <v/>
      </c>
      <c r="H28" s="31" t="inlineStr">
        <is>
          <t>100%</t>
        </is>
      </c>
      <c r="I28" s="31" t="inlineStr">
        <is>
          <t>90%</t>
        </is>
      </c>
      <c r="J28" s="31" t="inlineStr">
        <is>
          <t>80%</t>
        </is>
      </c>
      <c r="K28" s="31" t="n"/>
      <c r="L28" s="31" t="n"/>
      <c r="M28" s="32">
        <f>IF(OR(K28="",H28=""),"N/A",(K28/H28-1)*100)</f>
        <v/>
      </c>
      <c r="N28" s="30">
        <f>IF(K28="","N/A",IF(K28&gt;=H28,"On_Track",IF(K28&gt;=I28,"Caution","At_Risk")))</f>
        <v/>
      </c>
      <c r="O28" s="30">
        <f>IF(OR(K28="",L28=""),"N/A",IF(K28&gt;L28,"Improving",IF(K28&lt;L28,"Declining","Stable")))</f>
        <v/>
      </c>
      <c r="P28" s="31" t="n"/>
      <c r="Q28" s="33" t="n"/>
      <c r="R28" s="31" t="n"/>
    </row>
    <row r="29">
      <c r="A29" s="30" t="inlineStr">
        <is>
          <t>KPI-TI-025</t>
        </is>
      </c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2">
        <f>IF(OR(K29="",H29=""),"N/A",(K29/H29-1)*100)</f>
        <v/>
      </c>
      <c r="N29" s="30">
        <f>IF(K29="","N/A",IF(K29&gt;=H29,"On_Track",IF(K29&gt;=I29,"Caution","At_Risk")))</f>
        <v/>
      </c>
      <c r="O29" s="30">
        <f>IF(OR(K29="",L29=""),"N/A",IF(K29&gt;L29,"Improving",IF(K29&lt;L29,"Declining","Stable")))</f>
        <v/>
      </c>
      <c r="P29" s="31" t="n"/>
      <c r="Q29" s="31" t="n"/>
      <c r="R29" s="31" t="n"/>
    </row>
    <row r="30">
      <c r="A30" s="30" t="inlineStr">
        <is>
          <t>KPI-TI-026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2">
        <f>IF(OR(K30="",H30=""),"N/A",(K30/H30-1)*100)</f>
        <v/>
      </c>
      <c r="N30" s="30">
        <f>IF(K30="","N/A",IF(K30&gt;=H30,"On_Track",IF(K30&gt;=I30,"Caution","At_Risk")))</f>
        <v/>
      </c>
      <c r="O30" s="30">
        <f>IF(OR(K30="",L30=""),"N/A",IF(K30&gt;L30,"Improving",IF(K30&lt;L30,"Declining","Stable")))</f>
        <v/>
      </c>
      <c r="P30" s="31" t="n"/>
      <c r="Q30" s="31" t="n"/>
      <c r="R30" s="31" t="n"/>
    </row>
    <row r="31">
      <c r="A31" s="30" t="inlineStr">
        <is>
          <t>KPI-TI-027</t>
        </is>
      </c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2">
        <f>IF(OR(K31="",H31=""),"N/A",(K31/H31-1)*100)</f>
        <v/>
      </c>
      <c r="N31" s="30">
        <f>IF(K31="","N/A",IF(K31&gt;=H31,"On_Track",IF(K31&gt;=I31,"Caution","At_Risk")))</f>
        <v/>
      </c>
      <c r="O31" s="30">
        <f>IF(OR(K31="",L31=""),"N/A",IF(K31&gt;L31,"Improving",IF(K31&lt;L31,"Declining","Stable")))</f>
        <v/>
      </c>
      <c r="P31" s="31" t="n"/>
      <c r="Q31" s="31" t="n"/>
      <c r="R31" s="31" t="n"/>
    </row>
    <row r="32">
      <c r="A32" s="34" t="inlineStr">
        <is>
          <t>KPI PERFORMANCE SUMMARY</t>
        </is>
      </c>
      <c r="B32" s="35" t="n"/>
      <c r="C32" s="35" t="n"/>
      <c r="D32" s="36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2">
        <f>IF(OR(K32="",H32=""),"N/A",(K32/H32-1)*100)</f>
        <v/>
      </c>
      <c r="N32" s="30">
        <f>IF(K32="","N/A",IF(K32&gt;=H32,"On_Track",IF(K32&gt;=I32,"Caution","At_Risk")))</f>
        <v/>
      </c>
      <c r="O32" s="30">
        <f>IF(OR(K32="",L32=""),"N/A",IF(K32&gt;L32,"Improving",IF(K32&lt;L32,"Declining","Stable")))</f>
        <v/>
      </c>
      <c r="P32" s="31" t="n"/>
      <c r="Q32" s="31" t="n"/>
      <c r="R32" s="31" t="n"/>
    </row>
    <row r="33">
      <c r="A33" s="37" t="inlineStr">
        <is>
          <t>Total KPIs Tracked:</t>
        </is>
      </c>
      <c r="B33" s="38">
        <f>COUNTA(A5:A30)</f>
        <v/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2">
        <f>IF(OR(K33="",H33=""),"N/A",(K33/H33-1)*100)</f>
        <v/>
      </c>
      <c r="N33" s="30">
        <f>IF(K33="","N/A",IF(K33&gt;=H33,"On_Track",IF(K33&gt;=I33,"Caution","At_Risk")))</f>
        <v/>
      </c>
      <c r="O33" s="30">
        <f>IF(OR(K33="",L33=""),"N/A",IF(K33&gt;L33,"Improving",IF(K33&lt;L33,"Declining","Stable")))</f>
        <v/>
      </c>
      <c r="P33" s="31" t="n"/>
      <c r="Q33" s="31" t="n"/>
      <c r="R33" s="31" t="n"/>
    </row>
    <row r="34">
      <c r="A34" s="37" t="inlineStr">
        <is>
          <t>On Track:</t>
        </is>
      </c>
      <c r="B34" s="38">
        <f>COUNTIF(N5:N30,"On_Track")</f>
        <v/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2">
        <f>IF(OR(K34="",H34=""),"N/A",(K34/H34-1)*100)</f>
        <v/>
      </c>
      <c r="N34" s="30">
        <f>IF(K34="","N/A",IF(K34&gt;=H34,"On_Track",IF(K34&gt;=I34,"Caution","At_Risk")))</f>
        <v/>
      </c>
      <c r="O34" s="30">
        <f>IF(OR(K34="",L34=""),"N/A",IF(K34&gt;L34,"Improving",IF(K34&lt;L34,"Declining","Stable")))</f>
        <v/>
      </c>
      <c r="P34" s="31" t="n"/>
      <c r="Q34" s="31" t="n"/>
      <c r="R34" s="31" t="n"/>
    </row>
    <row r="35">
      <c r="A35" s="37" t="inlineStr">
        <is>
          <t>Caution:</t>
        </is>
      </c>
      <c r="B35" s="38">
        <f>COUNTIF(N5:N30,"Caution")</f>
        <v/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2">
        <f>IF(OR(K35="",H35=""),"N/A",(K35/H35-1)*100)</f>
        <v/>
      </c>
      <c r="N35" s="30">
        <f>IF(K35="","N/A",IF(K35&gt;=H35,"On_Track",IF(K35&gt;=I35,"Caution","At_Risk")))</f>
        <v/>
      </c>
      <c r="O35" s="30">
        <f>IF(OR(K35="",L35=""),"N/A",IF(K35&gt;L35,"Improving",IF(K35&lt;L35,"Declining","Stable")))</f>
        <v/>
      </c>
      <c r="P35" s="31" t="n"/>
      <c r="Q35" s="31" t="n"/>
      <c r="R35" s="31" t="n"/>
    </row>
    <row r="36">
      <c r="A36" s="37" t="inlineStr">
        <is>
          <t>At Risk:</t>
        </is>
      </c>
      <c r="B36" s="38">
        <f>COUNTIF(N5:N30,"At_Risk")</f>
        <v/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2">
        <f>IF(OR(K36="",H36=""),"N/A",(K36/H36-1)*100)</f>
        <v/>
      </c>
      <c r="N36" s="30">
        <f>IF(K36="","N/A",IF(K36&gt;=H36,"On_Track",IF(K36&gt;=I36,"Caution","At_Risk")))</f>
        <v/>
      </c>
      <c r="O36" s="30">
        <f>IF(OR(K36="",L36=""),"N/A",IF(K36&gt;L36,"Improving",IF(K36&lt;L36,"Declining","Stable")))</f>
        <v/>
      </c>
      <c r="P36" s="31" t="n"/>
      <c r="Q36" s="31" t="n"/>
      <c r="R36" s="31" t="n"/>
    </row>
    <row r="37">
      <c r="A37" s="16" t="inlineStr">
        <is>
          <t>Improving Trends:</t>
        </is>
      </c>
      <c r="B37" s="16">
        <f>COUNTIF(O5:O30,"Improving")</f>
        <v/>
      </c>
    </row>
    <row r="38">
      <c r="A38" s="16" t="inlineStr">
        <is>
          <t>Declining Trends:</t>
        </is>
      </c>
      <c r="B38" s="16">
        <f>COUNTIF(O5:O30,"Declining")</f>
        <v/>
      </c>
    </row>
  </sheetData>
  <mergeCells count="3">
    <mergeCell ref="A2:M2"/>
    <mergeCell ref="A32:D32"/>
    <mergeCell ref="A1:M1"/>
  </mergeCells>
  <conditionalFormatting sqref="N5:N40">
    <cfRule type="cellIs" priority="1" operator="equal" dxfId="0">
      <formula>"On_Track"</formula>
    </cfRule>
    <cfRule type="cellIs" priority="3" operator="equal" dxfId="1">
      <formula>"Caution"</formula>
    </cfRule>
    <cfRule type="cellIs" priority="4" operator="equal" dxfId="2">
      <formula>"At_Risk"</formula>
    </cfRule>
  </conditionalFormatting>
  <conditionalFormatting sqref="K25:N25">
    <cfRule type="cellIs" priority="2" operator="greaterThan" dxfId="3">
      <formula>0</formula>
    </cfRule>
  </conditionalFormatting>
  <dataValidations count="4">
    <dataValidation sqref="B5 B6 B7 B8 B9 B10 B11 B12 B13 B14 B15 B16 B17 B18 B19 B20 B21 B22 B23 B24 B25 B26 B27 B28 B29 B30" showDropDown="0" showInputMessage="0" showErrorMessage="0" allowBlank="0" type="list">
      <formula1>"Source_Management,Collection,Analysis,Production,Integration,Dissemination,Framework_Currency,Quality_Assurance,Emergency_Response,Impact_Measurement,Risk_Management,Incident_Response"</formula1>
    </dataValidation>
    <dataValidation sqref="F5 F6 F7 F8 F9 F10 F11 F12 F13 F14 F15 F16 F17 F18 F19 F20 F21 F22 F23 F24 F25 F26 F27 F28 F29 F30" showDropDown="0" showInputMessage="0" showErrorMessage="0" allowBlank="0" type="list">
      <formula1>"Daily,Weekly,Monthly,Quarterly"</formula1>
    </dataValidation>
    <dataValidation sqref="G5 G6 G7 G8 G9 G10 G11 G12 G13 G14 G15 G16 G17 G18 G19 G20" showDropDown="0" showInputMessage="0" showErrorMessage="0" allowBlank="0" type="list">
      <formula1>"Normal,Warning,Critical"</formula1>
    </dataValidation>
    <dataValidation sqref="F5 F6 F7 F8 F9 F10 F11 F12 F13 F14 F15 F16 F17 F18 F19 F20 F21 F22 F23 F24" showDropDown="0" showInputMessage="0" showErrorMessage="0" allowBlank="0" type="list">
      <formula1>"Current,Outdated,Missing"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4" customWidth="1" min="4" max="4"/>
    <col width="16" customWidth="1" min="5" max="5"/>
    <col width="14" customWidth="1" min="6" max="6"/>
    <col width="12" customWidth="1" min="7" max="7"/>
    <col width="16" customWidth="1" min="8" max="8"/>
    <col width="12" customWidth="1" min="9" max="9"/>
    <col width="30" customWidth="1" min="10" max="10"/>
  </cols>
  <sheetData>
    <row r="1" ht="25" customHeight="1">
      <c r="A1" s="27" t="inlineStr">
        <is>
          <t>Source Portfolio Performance (from ISMS-IMP-A.5.7.1)</t>
        </is>
      </c>
    </row>
    <row r="2" ht="30" customHeight="1">
      <c r="A2" s="39" t="inlineStr">
        <is>
          <t>Read-only aggregation from 5.7.1 Sources workbook. Update source workbook to refresh data here.</t>
        </is>
      </c>
    </row>
    <row r="3">
      <c r="A3" s="40" t="inlineStr">
        <is>
          <t>⚠️ External Reference: [ISMS-IMP-A.5.7.1.xlsx]</t>
        </is>
      </c>
    </row>
    <row r="5">
      <c r="A5" s="41" t="inlineStr">
        <is>
          <t>SOURCE PORTFOLIO SUMMARY</t>
        </is>
      </c>
    </row>
    <row r="6">
      <c r="A6" s="16" t="inlineStr">
        <is>
          <t>Total Active Sources:</t>
        </is>
      </c>
      <c r="C6" s="37">
        <f>COUNTA('[ISMS-IMP-A.5.7.1.xlsx]Source_Inventory'!A:A)-4</f>
        <v/>
      </c>
    </row>
    <row r="7">
      <c r="A7" s="16" t="inlineStr">
        <is>
          <t>Commercial Sources:</t>
        </is>
      </c>
      <c r="C7" s="37">
        <f>COUNTIF('[ISMS-IMP-A.5.7.1.xlsx]Source_Inventory'!C:C,"Commercial")</f>
        <v/>
      </c>
    </row>
    <row r="8">
      <c r="A8" s="16" t="inlineStr">
        <is>
          <t>OSINT Sources:</t>
        </is>
      </c>
      <c r="C8" s="37">
        <f>COUNTIF('[ISMS-IMP-A.5.7.1.xlsx]Source_Inventory'!C:C,"OSINT")</f>
        <v/>
      </c>
    </row>
    <row r="9">
      <c r="A9" s="16" t="inlineStr">
        <is>
          <t>Government Sources:</t>
        </is>
      </c>
      <c r="C9" s="37">
        <f>COUNTIF('[ISMS-IMP-A.5.7.1.xlsx]Source_Inventory'!C:C,"Government")</f>
        <v/>
      </c>
    </row>
    <row r="10">
      <c r="A10" s="16" t="inlineStr">
        <is>
          <t>Average Quality Score:</t>
        </is>
      </c>
      <c r="C10" s="42">
        <f>AVERAGE('[ISMS-IMP-A.5.7.1.xlsx]Source_Evaluation'!H:H)</f>
        <v/>
      </c>
    </row>
    <row r="11">
      <c r="A11" s="16" t="inlineStr">
        <is>
          <t>Sources Rated Excellent:</t>
        </is>
      </c>
      <c r="C11" s="37">
        <f>COUNTIF('[ISMS-IMP-A.5.7.1.xlsx]Source_Evaluation'!L:L,"Excellent")</f>
        <v/>
      </c>
    </row>
    <row r="12">
      <c r="A12" s="16" t="inlineStr">
        <is>
          <t>Coverage Gaps Identified:</t>
        </is>
      </c>
      <c r="C12" s="37">
        <f>COUNTIF('[ISMS-IMP-A.5.7.1.xlsx]Coverage_Matrix'!Status,"Gap")</f>
        <v/>
      </c>
    </row>
    <row r="13">
      <c r="A13" s="16" t="inlineStr">
        <is>
          <t>Annual Portfolio Cost:</t>
        </is>
      </c>
      <c r="C13" s="43">
        <f>SUM('[ISMS-IMP-A.5.7.1.xlsx]Cost_Analysis'!E:E)</f>
        <v/>
      </c>
    </row>
    <row r="14">
      <c r="A14" s="16" t="inlineStr">
        <is>
          <t>Compliance Issues:</t>
        </is>
      </c>
      <c r="C14" s="37">
        <f>COUNTIF('[ISMS-IMP-A.5.7.1.xlsx]Compliance_Check'!I:I,"Non_Compliant")</f>
        <v/>
      </c>
    </row>
    <row r="17">
      <c r="A17" s="44" t="inlineStr">
        <is>
          <t>TOP PERFORMING SOURCES (Quality Score)</t>
        </is>
      </c>
    </row>
    <row r="18">
      <c r="A18" s="29" t="inlineStr">
        <is>
          <t>Source ID</t>
        </is>
      </c>
      <c r="B18" s="29" t="inlineStr">
        <is>
          <t>Source Name</t>
        </is>
      </c>
      <c r="C18" s="29" t="inlineStr">
        <is>
          <t>Type</t>
        </is>
      </c>
      <c r="D18" s="29" t="inlineStr">
        <is>
          <t>Quality Score</t>
        </is>
      </c>
      <c r="E18" s="29" t="inlineStr">
        <is>
          <t>Coverage Rating</t>
        </is>
      </c>
      <c r="F18" s="29" t="inlineStr">
        <is>
          <t>Cost Annual</t>
        </is>
      </c>
      <c r="G18" s="29" t="inlineStr">
        <is>
          <t>ROI Rating</t>
        </is>
      </c>
      <c r="H18" s="29" t="inlineStr">
        <is>
          <t>Recommendation</t>
        </is>
      </c>
      <c r="I18" s="29" t="inlineStr">
        <is>
          <t>Status</t>
        </is>
      </c>
      <c r="J18" s="29" t="inlineStr">
        <is>
          <t>Notes</t>
        </is>
      </c>
    </row>
    <row r="19">
      <c r="A19" s="45" t="inlineStr">
        <is>
          <t>Note: Top sources require manual aggregation or advanced Excel formulas (SORT, FILTER - Excel 365)</t>
        </is>
      </c>
    </row>
  </sheetData>
  <mergeCells count="6">
    <mergeCell ref="A1:J1"/>
    <mergeCell ref="A5:J5"/>
    <mergeCell ref="A17:J17"/>
    <mergeCell ref="A3:J3"/>
    <mergeCell ref="A2:J2"/>
    <mergeCell ref="A19:J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  <col width="25" customWidth="1" min="7" max="7"/>
    <col width="15" customWidth="1" min="8" max="8"/>
    <col width="18" customWidth="1" min="9" max="9"/>
    <col width="15" customWidth="1" min="10" max="10"/>
    <col width="15" customWidth="1" min="11" max="11"/>
  </cols>
  <sheetData>
    <row r="1" ht="25" customHeight="1">
      <c r="A1" s="27" t="inlineStr">
        <is>
          <t>Intelligence Operations Metrics (from ISMS-IMP-A.5.7.2)</t>
        </is>
      </c>
    </row>
    <row r="2" ht="30" customHeight="1">
      <c r="A2" s="39" t="inlineStr">
        <is>
          <t>Read-only aggregation from 5.7.2 Collection &amp; Analysis workbook. Includes VTL metrics.</t>
        </is>
      </c>
    </row>
    <row r="3">
      <c r="A3" s="40" t="inlineStr">
        <is>
          <t>⚠️ External Reference: [ISMS-IMP-A.5.7.2.xlsx]</t>
        </is>
      </c>
    </row>
    <row r="5">
      <c r="A5" s="41" t="inlineStr">
        <is>
          <t>COLLECTION COVERAGE</t>
        </is>
      </c>
      <c r="G5" s="44" t="inlineStr">
        <is>
          <t>INTELLIGENCE PRODUCTION</t>
        </is>
      </c>
    </row>
    <row r="6">
      <c r="A6" s="16" t="inlineStr">
        <is>
          <t>Total Requirements:</t>
        </is>
      </c>
      <c r="C6" s="37">
        <f>COUNTA('[ISMS-IMP-A.5.7.2.xlsx]Collection_Coverage'!A:A)-4</f>
        <v/>
      </c>
      <c r="G6" s="16" t="inlineStr">
        <is>
          <t>Total Products:</t>
        </is>
      </c>
      <c r="I6" s="37">
        <f>COUNTA('[ISMS-IMP-A.5.7.2.xlsx]Intelligence_Production'!A:A)-4</f>
        <v/>
      </c>
    </row>
    <row r="7">
      <c r="A7" s="16" t="inlineStr">
        <is>
          <t>Adequate Coverage:</t>
        </is>
      </c>
      <c r="C7" s="37">
        <f>COUNTIF('[ISMS-IMP-A.5.7.2.xlsx]Collection_Coverage'!L:L,"Adequate")</f>
        <v/>
      </c>
      <c r="G7" s="16" t="inlineStr">
        <is>
          <t>Published This Month:</t>
        </is>
      </c>
      <c r="I7" s="37">
        <f>COUNTIF('[ISMS-IMP-A.5.7.2.xlsx]Intelligence_Production'!N:N,"Published")</f>
        <v/>
      </c>
    </row>
    <row r="8">
      <c r="A8" s="16" t="inlineStr">
        <is>
          <t>Minimal Coverage:</t>
        </is>
      </c>
      <c r="C8" s="37">
        <f>COUNTIF('[ISMS-IMP-A.5.7.2.xlsx]Collection_Coverage'!L:L,"Minimal")</f>
        <v/>
      </c>
      <c r="G8" s="16" t="inlineStr">
        <is>
          <t>Avg Feedback Rating:</t>
        </is>
      </c>
      <c r="I8" s="42">
        <f>AVERAGE('[ISMS-IMP-A.5.7.2.xlsx]Intelligence_Production'!J:J)</f>
        <v/>
      </c>
    </row>
    <row r="9">
      <c r="A9" s="16" t="inlineStr">
        <is>
          <t>Coverage Gaps:</t>
        </is>
      </c>
      <c r="C9" s="37">
        <f>COUNTIF('[ISMS-IMP-A.5.7.2.xlsx]Collection_Coverage'!L:L,"Gap")</f>
        <v/>
      </c>
      <c r="G9" s="16" t="inlineStr">
        <is>
          <t>Avg Time to Produce:</t>
        </is>
      </c>
      <c r="I9" s="46">
        <f>AVERAGE('[ISMS-IMP-A.5.7.2.xlsx]Intelligence_Production'!M:M)</f>
        <v/>
      </c>
    </row>
    <row r="12">
      <c r="A12" s="47" t="inlineStr">
        <is>
          <t>MITRE ATT&amp;CK COVERAGE</t>
        </is>
      </c>
      <c r="G12" s="48" t="inlineStr">
        <is>
          <t>VULNERABILITY-THREAT LINKS (VTL) ⚠️</t>
        </is>
      </c>
    </row>
    <row r="13">
      <c r="A13" s="16" t="inlineStr">
        <is>
          <t>Total Techniques Tracked:</t>
        </is>
      </c>
      <c r="C13" s="37">
        <f>COUNTA('[ISMS-IMP-A.5.7.2.xlsx]MITRE_Mapping'!A:A)-4</f>
        <v/>
      </c>
      <c r="G13" s="16" t="inlineStr">
        <is>
          <t>Total VT Links:</t>
        </is>
      </c>
      <c r="I13" s="37">
        <f>COUNTA('[ISMS-IMP-A.5.7.2.xlsx]Vulnerability_Linked_Threats'!A:A)-4</f>
        <v/>
      </c>
    </row>
    <row r="14">
      <c r="A14" s="16" t="inlineStr">
        <is>
          <t>Full Coverage:</t>
        </is>
      </c>
      <c r="C14" s="37">
        <f>COUNTIF('[ISMS-IMP-A.5.7.2.xlsx]MITRE_Mapping'!F:F,"Full")</f>
        <v/>
      </c>
      <c r="G14" s="21" t="inlineStr">
        <is>
          <t>Active Exploitation:</t>
        </is>
      </c>
      <c r="I14" s="37">
        <f>COUNTIF('[ISMS-IMP-A.5.7.2.xlsx]Vulnerability_Linked_Threats'!E:E,"Active_Exploitation")</f>
        <v/>
      </c>
    </row>
    <row r="15">
      <c r="A15" s="16" t="inlineStr">
        <is>
          <t>Partial Coverage:</t>
        </is>
      </c>
      <c r="C15" s="37">
        <f>COUNTIF('[ISMS-IMP-A.5.7.2.xlsx]MITRE_Mapping'!F:F,"Partial")</f>
        <v/>
      </c>
      <c r="G15" s="21" t="inlineStr">
        <is>
          <t>Critical Assets Affected:</t>
        </is>
      </c>
      <c r="I15" s="37">
        <f>COUNTIF('[ISMS-IMP-A.5.7.2.xlsx]Vulnerability_Linked_Threats'!Q:Q,"Yes")</f>
        <v/>
      </c>
    </row>
    <row r="16">
      <c r="A16" s="16" t="inlineStr">
        <is>
          <t>No Coverage:</t>
        </is>
      </c>
      <c r="C16" s="37">
        <f>COUNTIF('[ISMS-IMP-A.5.7.2.xlsx]MITRE_Mapping'!F:F,"None")</f>
        <v/>
      </c>
      <c r="G16" s="16" t="inlineStr">
        <is>
          <t>Remediation - Open:</t>
        </is>
      </c>
      <c r="I16" s="37">
        <f>COUNTIF('[ISMS-IMP-A.5.7.2.xlsx]Vulnerability_Linked_Threats'!R:R,"Open")</f>
        <v/>
      </c>
    </row>
    <row r="17">
      <c r="G17" s="16" t="inlineStr">
        <is>
          <t>Remediation - Patched:</t>
        </is>
      </c>
      <c r="I17" s="37">
        <f>COUNTIF('[ISMS-IMP-A.5.7.2.xlsx]Vulnerability_Linked_Threats'!R:R,"Patched")</f>
        <v/>
      </c>
    </row>
    <row r="19">
      <c r="A19" s="41" t="inlineStr">
        <is>
          <t>ANALYST TEAM CAPABILITY</t>
        </is>
      </c>
    </row>
    <row r="20">
      <c r="A20" s="16" t="inlineStr">
        <is>
          <t>Total Analysts:</t>
        </is>
      </c>
      <c r="D20" s="37">
        <f>COUNTA('[ISMS-IMP-A.5.7.2.xlsx]Analyst_Capabilities'!A:A)-4</f>
        <v/>
      </c>
    </row>
    <row r="21">
      <c r="A21" s="16" t="inlineStr">
        <is>
          <t>Avg Years TI Experience:</t>
        </is>
      </c>
      <c r="D21" s="42">
        <f>AVERAGE('[ISMS-IMP-A.5.7.2.xlsx]Analyst_Capabilities'!F:F)</f>
        <v/>
      </c>
    </row>
    <row r="22">
      <c r="A22" s="16" t="inlineStr">
        <is>
          <t>Training Completion Rate:</t>
        </is>
      </c>
      <c r="D22" s="49">
        <f>AVERAGE('[ISMS-IMP-A.5.7.2.xlsx]Analyst_Capabilities'!J:J)</f>
        <v/>
      </c>
    </row>
    <row r="23">
      <c r="A23" s="16" t="inlineStr">
        <is>
          <t>Certifications Held:</t>
        </is>
      </c>
      <c r="D23" s="37">
        <f>COUNTA('[ISMS-IMP-A.5.7.2.xlsx]Analyst_Capabilities'!Q:Q)-4</f>
        <v/>
      </c>
    </row>
  </sheetData>
  <mergeCells count="8">
    <mergeCell ref="A12:E12"/>
    <mergeCell ref="A3:K3"/>
    <mergeCell ref="G12:K12"/>
    <mergeCell ref="A2:K2"/>
    <mergeCell ref="A19:K19"/>
    <mergeCell ref="A5:E5"/>
    <mergeCell ref="G5:K5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18" customWidth="1" min="4" max="4"/>
    <col width="15" customWidth="1" min="5" max="5"/>
    <col width="30" customWidth="1" min="6" max="6"/>
    <col width="15" customWidth="1" min="7" max="7"/>
    <col width="18" customWidth="1" min="8" max="8"/>
    <col width="15" customWidth="1" min="9" max="9"/>
    <col width="15" customWidth="1" min="10" max="10"/>
  </cols>
  <sheetData>
    <row r="1" ht="25" customHeight="1">
      <c r="A1" s="27" t="inlineStr">
        <is>
          <t>Integration Status (from ISMS-IMP-A.5.7.3)</t>
        </is>
      </c>
    </row>
    <row r="2" ht="30" customHeight="1">
      <c r="A2" s="39" t="inlineStr">
        <is>
          <t>Read-only aggregation from 5.7.3 Integration &amp; Distribution workbook. Tool integration and IOC deployment metrics.</t>
        </is>
      </c>
    </row>
    <row r="3">
      <c r="A3" s="40" t="inlineStr">
        <is>
          <t>⚠️ External Reference: [ISMS-IMP-A.5.7.3.xlsx]</t>
        </is>
      </c>
    </row>
    <row r="5">
      <c r="A5" s="41" t="inlineStr">
        <is>
          <t>SECURITY TOOL INTEGRATION</t>
        </is>
      </c>
      <c r="F5" s="44" t="inlineStr">
        <is>
          <t>IOC DEPLOYMENT &amp; EFFECTIVENESS</t>
        </is>
      </c>
    </row>
    <row r="6">
      <c r="A6" s="16" t="inlineStr">
        <is>
          <t>Total Security Tools:</t>
        </is>
      </c>
      <c r="C6" s="37">
        <f>COUNTA('[ISMS-IMP-A.5.7.3.xlsx]Tool_Integration_Matrix'!A:A)-4</f>
        <v/>
      </c>
      <c r="F6" s="16" t="inlineStr">
        <is>
          <t>Total IOCs Deployed:</t>
        </is>
      </c>
      <c r="H6" s="37">
        <f>COUNTA('[ISMS-IMP-A.5.7.3.xlsx]IOC_Deployment'!A:A)-4</f>
        <v/>
      </c>
    </row>
    <row r="7">
      <c r="A7" s="16" t="inlineStr">
        <is>
          <t>Fully Integrated:</t>
        </is>
      </c>
      <c r="C7" s="37">
        <f>COUNTIF('[ISMS-IMP-A.5.7.3.xlsx]Tool_Integration_Matrix'!D:D,"Full")</f>
        <v/>
      </c>
      <c r="F7" s="16" t="inlineStr">
        <is>
          <t>Active IOCs:</t>
        </is>
      </c>
      <c r="H7" s="37">
        <f>COUNTIF('[ISMS-IMP-A.5.7.3.xlsx]IOC_Deployment'!I:I,"Active")</f>
        <v/>
      </c>
    </row>
    <row r="8">
      <c r="A8" s="16" t="inlineStr">
        <is>
          <t>Partially Integrated:</t>
        </is>
      </c>
      <c r="C8" s="37">
        <f>COUNTIF('[ISMS-IMP-A.5.7.3.xlsx]Tool_Integration_Matrix'!D:D,"Partial")</f>
        <v/>
      </c>
      <c r="F8" s="16" t="inlineStr">
        <is>
          <t>Expired IOCs:</t>
        </is>
      </c>
      <c r="H8" s="37">
        <f>COUNTIF('[ISMS-IMP-A.5.7.3.xlsx]IOC_Deployment'!I:I,"Expired")</f>
        <v/>
      </c>
    </row>
    <row r="9">
      <c r="A9" s="16" t="inlineStr">
        <is>
          <t>Planned Integration:</t>
        </is>
      </c>
      <c r="C9" s="37">
        <f>COUNTIF('[ISMS-IMP-A.5.7.3.xlsx]Tool_Integration_Matrix'!D:D,"Planned")</f>
        <v/>
      </c>
      <c r="F9" s="16" t="inlineStr">
        <is>
          <t>IOCs with Hits:</t>
        </is>
      </c>
      <c r="H9" s="37">
        <f>COUNTIF('[ISMS-IMP-A.5.7.3.xlsx]IOC_Deployment'!J:J,"&gt;0")</f>
        <v/>
      </c>
    </row>
    <row r="10">
      <c r="A10" s="16" t="inlineStr">
        <is>
          <t>Not Integrated:</t>
        </is>
      </c>
      <c r="C10" s="37">
        <f>COUNTIF('[ISMS-IMP-A.5.7.3.xlsx]Tool_Integration_Matrix'!D:D,"None")</f>
        <v/>
      </c>
      <c r="F10" s="16" t="inlineStr">
        <is>
          <t>Hit Rate %:</t>
        </is>
      </c>
      <c r="H10" s="49">
        <f>COUNTIF('[ISMS-IMP-A.5.7.3.xlsx]IOC_Deployment'!J:J,"&gt;0")/COUNTA('[ISMS-IMP-A.5.7.3.xlsx]IOC_Deployment'!A:A)-4</f>
        <v/>
      </c>
    </row>
    <row r="11">
      <c r="A11" s="16" t="inlineStr">
        <is>
          <t>Integration Coverage %:</t>
        </is>
      </c>
      <c r="C11" s="49">
        <f>COUNTIF('[ISMS-IMP-A.5.7.3.xlsx]Tool_Integration_Matrix'!D:D,"Full")/COUNTA('[ISMS-IMP-A.5.7.3.xlsx]Tool_Integration_Matrix'!A:A)-4</f>
        <v/>
      </c>
      <c r="F11" s="16" t="inlineStr">
        <is>
          <t>Avg False Positives:</t>
        </is>
      </c>
      <c r="H11" s="42">
        <f>AVERAGE('[ISMS-IMP-A.5.7.3.xlsx]IOC_Deployment'!K:K)</f>
        <v/>
      </c>
    </row>
    <row r="14">
      <c r="A14" s="47" t="inlineStr">
        <is>
          <t>DISSEMINATION CHANNELS</t>
        </is>
      </c>
    </row>
    <row r="15">
      <c r="A15" s="16" t="inlineStr">
        <is>
          <t>Total Channels Configured:</t>
        </is>
      </c>
      <c r="D15" s="37">
        <f>COUNTA('[ISMS-IMP-A.5.7.3.xlsx]Dissemination_Channels'!A:A)-4</f>
        <v/>
      </c>
    </row>
    <row r="16">
      <c r="A16" s="16" t="inlineStr">
        <is>
          <t>Active Channels:</t>
        </is>
      </c>
      <c r="D16" s="37">
        <f>COUNTIF('[ISMS-IMP-A.5.7.3.xlsx]Dissemination_Channels'!G:G,"Active")</f>
        <v/>
      </c>
    </row>
    <row r="17">
      <c r="A17" s="16" t="inlineStr">
        <is>
          <t>Distribution Events (Month):</t>
        </is>
      </c>
      <c r="D17" s="37">
        <f>COUNTA('[ISMS-IMP-A.5.7.3.xlsx]Distribution_Tracking'!A:A)-4</f>
        <v/>
      </c>
    </row>
    <row r="18">
      <c r="A18" s="16" t="inlineStr">
        <is>
          <t>Avg Distribution Time (hrs):</t>
        </is>
      </c>
      <c r="D18" s="46">
        <f>AVERAGE('[ISMS-IMP-A.5.7.3.xlsx]Distribution_Tracking'!TimeCol)</f>
        <v/>
      </c>
    </row>
    <row r="21">
      <c r="A21" s="41" t="inlineStr">
        <is>
          <t>INTEGRATION HEALTH INDICATORS</t>
        </is>
      </c>
    </row>
    <row r="22">
      <c r="A22" s="16" t="inlineStr">
        <is>
          <t>Tools Requiring Attention:</t>
        </is>
      </c>
      <c r="D22" s="37">
        <f>COUNTIF('[ISMS-IMP-A.5.7.3.xlsx]Tool_Integration_Matrix'!J:J,"High")</f>
        <v/>
      </c>
    </row>
    <row r="23">
      <c r="A23" s="16" t="inlineStr">
        <is>
          <t>Integration Issues Open:</t>
        </is>
      </c>
      <c r="D23" s="37">
        <f>COUNTIF('[ISMS-IMP-A.5.7.3.xlsx]Tool_Integration_Matrix'!Issues,"&gt;0")</f>
        <v/>
      </c>
    </row>
    <row r="24">
      <c r="A24" s="16" t="inlineStr">
        <is>
          <t>IOCs Pending Deployment:</t>
        </is>
      </c>
      <c r="D24" s="37">
        <f>COUNTIF('[ISMS-IMP-A.5.7.3.xlsx]IOC_Deployment'!I:I,"Pending")</f>
        <v/>
      </c>
    </row>
    <row r="25">
      <c r="A25" s="16" t="inlineStr">
        <is>
          <t>Average Integration Maturity:</t>
        </is>
      </c>
      <c r="D25" s="37" t="inlineStr">
        <is>
          <t>Manual Calculation Required</t>
        </is>
      </c>
    </row>
  </sheetData>
  <mergeCells count="7">
    <mergeCell ref="A1:J1"/>
    <mergeCell ref="A14:J14"/>
    <mergeCell ref="A3:J3"/>
    <mergeCell ref="A21:J21"/>
    <mergeCell ref="F5:J5"/>
    <mergeCell ref="A5:E5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27" t="inlineStr">
        <is>
          <t>Stakeholder Engagement Metrics (from ISMS-IMP-A.5.7.3)</t>
        </is>
      </c>
    </row>
    <row r="2" ht="30" customHeight="1">
      <c r="A2" s="39" t="inlineStr">
        <is>
          <t>Read-only aggregation from 5.7.3 Integration &amp; Distribution workbook. Stakeholder feedback and engagement tracking.</t>
        </is>
      </c>
    </row>
    <row r="3">
      <c r="A3" s="40" t="inlineStr">
        <is>
          <t>⚠️ External Reference: [ISMS-IMP-A.5.7.3.xlsx]</t>
        </is>
      </c>
    </row>
    <row r="5">
      <c r="A5" s="41" t="inlineStr">
        <is>
          <t>STAKEHOLDER REGISTRY</t>
        </is>
      </c>
    </row>
    <row r="6">
      <c r="A6" s="16" t="inlineStr">
        <is>
          <t>Total Registered Stakeholders:</t>
        </is>
      </c>
      <c r="C6" s="37">
        <f>COUNTA('[ISMS-IMP-A.5.7.3.xlsx]Stakeholder_Registry'!A:A)-4</f>
        <v/>
      </c>
    </row>
    <row r="7">
      <c r="A7" s="16" t="inlineStr">
        <is>
          <t>Executive Level:</t>
        </is>
      </c>
      <c r="C7" s="37">
        <f>COUNTIF('[ISMS-IMP-A.5.7.3.xlsx]Stakeholder_Registry'!D:D,"Executive")</f>
        <v/>
      </c>
    </row>
    <row r="8">
      <c r="A8" s="16" t="inlineStr">
        <is>
          <t>Management Level:</t>
        </is>
      </c>
      <c r="C8" s="37">
        <f>COUNTIF('[ISMS-IMP-A.5.7.3.xlsx]Stakeholder_Registry'!D:D,"Management")</f>
        <v/>
      </c>
    </row>
    <row r="9">
      <c r="A9" s="16" t="inlineStr">
        <is>
          <t>Technical Level:</t>
        </is>
      </c>
      <c r="C9" s="37">
        <f>COUNTIF('[ISMS-IMP-A.5.7.3.xlsx]Stakeholder_Registry'!D:D,"Technical")</f>
        <v/>
      </c>
    </row>
    <row r="10">
      <c r="A10" s="16" t="inlineStr">
        <is>
          <t>Active Stakeholders:</t>
        </is>
      </c>
      <c r="C10" s="37">
        <f>COUNTIF('[ISMS-IMP-A.5.7.3.xlsx]Stakeholder_Registry'!Status,"Active")</f>
        <v/>
      </c>
    </row>
    <row r="13">
      <c r="A13" s="44" t="inlineStr">
        <is>
          <t>FEEDBACK &amp; SATISFACTION</t>
        </is>
      </c>
    </row>
    <row r="14">
      <c r="A14" s="16" t="inlineStr">
        <is>
          <t>Total Feedback Entries:</t>
        </is>
      </c>
      <c r="D14" s="37">
        <f>COUNTA('[ISMS-IMP-A.5.7.3.xlsx]Feedback_Collection'!A:A)-4</f>
        <v/>
      </c>
    </row>
    <row r="15">
      <c r="A15" s="16" t="inlineStr">
        <is>
          <t>Avg Relevance Rating (1-5):</t>
        </is>
      </c>
      <c r="D15" s="42">
        <f>AVERAGE('[ISMS-IMP-A.5.7.3.xlsx]Feedback_Collection'!D:D)</f>
        <v/>
      </c>
    </row>
    <row r="16">
      <c r="A16" s="16" t="inlineStr">
        <is>
          <t>Avg Timeliness Rating (1-5):</t>
        </is>
      </c>
      <c r="D16" s="42">
        <f>AVERAGE('[ISMS-IMP-A.5.7.3.xlsx]Feedback_Collection'!E:E)</f>
        <v/>
      </c>
    </row>
    <row r="17">
      <c r="A17" s="16" t="inlineStr">
        <is>
          <t>Avg Actionability Rating (1-5):</t>
        </is>
      </c>
      <c r="D17" s="42">
        <f>AVERAGE('[ISMS-IMP-A.5.7.3.xlsx]Feedback_Collection'!F:F)</f>
        <v/>
      </c>
    </row>
    <row r="18">
      <c r="A18" s="16" t="inlineStr">
        <is>
          <t>Overall Satisfaction (Avg):</t>
        </is>
      </c>
      <c r="D18" s="42">
        <f>AVERAGE('[ISMS-IMP-A.5.7.3.xlsx]Feedback_Collection'!D:F)</f>
        <v/>
      </c>
    </row>
    <row r="19">
      <c r="A19" s="16" t="inlineStr">
        <is>
          <t>Feedback Response Rate %:</t>
        </is>
      </c>
      <c r="D19" s="49">
        <f>COUNTA('[ISMS-IMP-A.5.7.3.xlsx]Feedback_Collection'!A:A)/COUNTA('[ISMS-IMP-A.5.7.3.xlsx]Distribution_Tracking'!A:A)</f>
        <v/>
      </c>
    </row>
    <row r="22">
      <c r="A22" s="47" t="inlineStr">
        <is>
          <t>ENGAGEMENT INDICATORS</t>
        </is>
      </c>
    </row>
    <row r="23">
      <c r="A23" s="16" t="inlineStr">
        <is>
          <t>Intelligence Consumption Rate:</t>
        </is>
      </c>
      <c r="D23" s="49">
        <f>AVERAGE('[ISMS-IMP-A.5.7.2.xlsx]Intelligence_Production'!K:K)</f>
        <v/>
      </c>
    </row>
    <row r="24">
      <c r="A24" s="16" t="inlineStr">
        <is>
          <t>Stakeholder Reach This Month:</t>
        </is>
      </c>
      <c r="D24" s="37">
        <f>COUNTA('[ISMS-IMP-A.5.7.3.xlsx]Distribution_Tracking'!UniqueStakeholders)</f>
        <v/>
      </c>
    </row>
    <row r="25">
      <c r="A25" s="16" t="inlineStr">
        <is>
          <t>Distribution Events This Month:</t>
        </is>
      </c>
      <c r="D25" s="37">
        <f>COUNTA('[ISMS-IMP-A.5.7.3.xlsx]Distribution_Tracking'!A:A)-4</f>
        <v/>
      </c>
    </row>
    <row r="26">
      <c r="A26" s="16" t="inlineStr">
        <is>
          <t>Avg Time to Stakeholder Action:</t>
        </is>
      </c>
      <c r="D26" s="46">
        <f>AVERAGE('[ISMS-IMP-A.5.7.3.xlsx]Distribution_Tracking'!ActionTime)</f>
        <v/>
      </c>
    </row>
  </sheetData>
  <mergeCells count="6">
    <mergeCell ref="A1:H1"/>
    <mergeCell ref="A3:H3"/>
    <mergeCell ref="A2:H2"/>
    <mergeCell ref="A13:H13"/>
    <mergeCell ref="A5:H5"/>
    <mergeCell ref="A22:H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 ht="25" customHeight="1">
      <c r="A1" s="27" t="inlineStr">
        <is>
          <t>Trend Analysis &amp; Forecasting</t>
        </is>
      </c>
    </row>
    <row r="2" ht="30" customHeight="1">
      <c r="A2" s="28" t="inlineStr">
        <is>
          <t>Track KPI trends over time. Manually update monthly data for trend analysis. Historical data enables forecasting.</t>
        </is>
      </c>
    </row>
    <row r="4">
      <c r="A4" s="41" t="inlineStr">
        <is>
          <t>MONTHLY TREND DATA (Last 12 Months)</t>
        </is>
      </c>
    </row>
    <row r="5">
      <c r="A5" s="29" t="inlineStr">
        <is>
          <t>Month</t>
        </is>
      </c>
      <c r="B5" s="29" t="inlineStr">
        <is>
          <t>Intel Products</t>
        </is>
      </c>
      <c r="C5" s="29" t="inlineStr">
        <is>
          <t>Avg Feedback Rating</t>
        </is>
      </c>
      <c r="D5" s="29" t="inlineStr">
        <is>
          <t>IOCs Deployed</t>
        </is>
      </c>
      <c r="E5" s="29" t="inlineStr">
        <is>
          <t>IOC Hit Rate %</t>
        </is>
      </c>
      <c r="F5" s="29" t="inlineStr">
        <is>
          <t>VT Links Created</t>
        </is>
      </c>
      <c r="G5" s="29" t="inlineStr">
        <is>
          <t>Active Sources</t>
        </is>
      </c>
      <c r="H5" s="29" t="inlineStr">
        <is>
          <t>Program Health Score</t>
        </is>
      </c>
    </row>
    <row r="6">
      <c r="A6" s="17" t="inlineStr">
        <is>
          <t>2025-02</t>
        </is>
      </c>
      <c r="B6" s="31" t="n"/>
      <c r="C6" s="50" t="n"/>
      <c r="D6" s="31" t="n"/>
      <c r="E6" s="51" t="n"/>
      <c r="F6" s="31" t="n"/>
      <c r="G6" s="31" t="n"/>
      <c r="H6" s="50" t="n"/>
    </row>
    <row r="7">
      <c r="A7" s="17" t="inlineStr">
        <is>
          <t>2025-03</t>
        </is>
      </c>
      <c r="B7" s="31" t="n"/>
      <c r="C7" s="50" t="n"/>
      <c r="D7" s="31" t="n"/>
      <c r="E7" s="51" t="n"/>
      <c r="F7" s="31" t="n"/>
      <c r="G7" s="31" t="n"/>
      <c r="H7" s="50" t="n"/>
    </row>
    <row r="8">
      <c r="A8" s="17" t="inlineStr">
        <is>
          <t>2025-04</t>
        </is>
      </c>
      <c r="B8" s="31" t="n"/>
      <c r="C8" s="50" t="n"/>
      <c r="D8" s="31" t="n"/>
      <c r="E8" s="51" t="n"/>
      <c r="F8" s="31" t="n"/>
      <c r="G8" s="31" t="n"/>
      <c r="H8" s="50" t="n"/>
    </row>
    <row r="9">
      <c r="A9" s="17" t="inlineStr">
        <is>
          <t>2025-05</t>
        </is>
      </c>
      <c r="B9" s="31" t="n"/>
      <c r="C9" s="50" t="n"/>
      <c r="D9" s="31" t="n"/>
      <c r="E9" s="51" t="n"/>
      <c r="F9" s="31" t="n"/>
      <c r="G9" s="31" t="n"/>
      <c r="H9" s="50" t="n"/>
    </row>
    <row r="10">
      <c r="A10" s="17" t="inlineStr">
        <is>
          <t>2025-06</t>
        </is>
      </c>
      <c r="B10" s="31" t="n"/>
      <c r="C10" s="50" t="n"/>
      <c r="D10" s="31" t="n"/>
      <c r="E10" s="51" t="n"/>
      <c r="F10" s="31" t="n"/>
      <c r="G10" s="31" t="n"/>
      <c r="H10" s="50" t="n"/>
    </row>
    <row r="11">
      <c r="A11" s="17" t="inlineStr">
        <is>
          <t>2025-07</t>
        </is>
      </c>
      <c r="B11" s="31" t="n"/>
      <c r="C11" s="50" t="n"/>
      <c r="D11" s="31" t="n"/>
      <c r="E11" s="51" t="n"/>
      <c r="F11" s="31" t="n"/>
      <c r="G11" s="31" t="n"/>
      <c r="H11" s="50" t="n"/>
    </row>
    <row r="12">
      <c r="A12" s="17" t="inlineStr">
        <is>
          <t>2025-08</t>
        </is>
      </c>
      <c r="B12" s="31" t="n"/>
      <c r="C12" s="50" t="n"/>
      <c r="D12" s="31" t="n"/>
      <c r="E12" s="51" t="n"/>
      <c r="F12" s="31" t="n"/>
      <c r="G12" s="31" t="n"/>
      <c r="H12" s="50" t="n"/>
    </row>
    <row r="13">
      <c r="A13" s="17" t="inlineStr">
        <is>
          <t>2025-09</t>
        </is>
      </c>
      <c r="B13" s="31" t="n"/>
      <c r="C13" s="50" t="n"/>
      <c r="D13" s="31" t="n"/>
      <c r="E13" s="51" t="n"/>
      <c r="F13" s="31" t="n"/>
      <c r="G13" s="31" t="n"/>
      <c r="H13" s="50" t="n"/>
    </row>
    <row r="14">
      <c r="A14" s="17" t="inlineStr">
        <is>
          <t>2025-10</t>
        </is>
      </c>
      <c r="B14" s="31" t="n"/>
      <c r="C14" s="50" t="n"/>
      <c r="D14" s="31" t="n"/>
      <c r="E14" s="51" t="n"/>
      <c r="F14" s="31" t="n"/>
      <c r="G14" s="31" t="n"/>
      <c r="H14" s="50" t="n"/>
    </row>
    <row r="15">
      <c r="A15" s="17" t="inlineStr">
        <is>
          <t>2025-11</t>
        </is>
      </c>
      <c r="B15" s="31" t="n"/>
      <c r="C15" s="50" t="n"/>
      <c r="D15" s="31" t="n"/>
      <c r="E15" s="51" t="n"/>
      <c r="F15" s="31" t="n"/>
      <c r="G15" s="31" t="n"/>
      <c r="H15" s="50" t="n"/>
    </row>
    <row r="16">
      <c r="A16" s="17" t="inlineStr">
        <is>
          <t>2025-12</t>
        </is>
      </c>
      <c r="B16" s="31" t="n"/>
      <c r="C16" s="50" t="n"/>
      <c r="D16" s="31" t="n"/>
      <c r="E16" s="51" t="n"/>
      <c r="F16" s="31" t="n"/>
      <c r="G16" s="31" t="n"/>
      <c r="H16" s="50" t="n"/>
    </row>
    <row r="17">
      <c r="A17" s="17" t="inlineStr">
        <is>
          <t>2026-01</t>
        </is>
      </c>
      <c r="B17" s="31" t="n"/>
      <c r="C17" s="50" t="n"/>
      <c r="D17" s="31" t="n"/>
      <c r="E17" s="51" t="n"/>
      <c r="F17" s="31" t="n"/>
      <c r="G17" s="31" t="n"/>
      <c r="H17" s="50" t="n"/>
    </row>
    <row r="19">
      <c r="A19" s="44" t="inlineStr">
        <is>
          <t>TREND SUMMARY</t>
        </is>
      </c>
    </row>
    <row r="20">
      <c r="A20" s="16" t="inlineStr">
        <is>
          <t>Avg Intel Products (12mo):</t>
        </is>
      </c>
      <c r="C20" s="37">
        <f>AVERAGE(B6:B17)</f>
        <v/>
      </c>
    </row>
    <row r="21">
      <c r="A21" s="16" t="inlineStr">
        <is>
          <t>Trend - Intel Products:</t>
        </is>
      </c>
      <c r="C21" s="37">
        <f>IF(B17&gt;B6,"Increasing",IF(B17&lt;B6,"Decreasing","Stable"))</f>
        <v/>
      </c>
    </row>
    <row r="22">
      <c r="A22" s="16" t="inlineStr">
        <is>
          <t>Avg Feedback Rating (12mo):</t>
        </is>
      </c>
      <c r="C22" s="42">
        <f>AVERAGE(C6:C17)</f>
        <v/>
      </c>
    </row>
    <row r="23">
      <c r="A23" s="16" t="inlineStr">
        <is>
          <t>Trend - Feedback:</t>
        </is>
      </c>
      <c r="C23" s="37">
        <f>IF(C17&gt;C6,"Improving",IF(C17&lt;C6,"Declining","Stable"))</f>
        <v/>
      </c>
    </row>
    <row r="24">
      <c r="A24" s="16" t="inlineStr">
        <is>
          <t>Avg IOC Hit Rate (12mo):</t>
        </is>
      </c>
      <c r="C24" s="49">
        <f>AVERAGE(E6:E17)</f>
        <v/>
      </c>
    </row>
    <row r="25">
      <c r="A25" s="16" t="inlineStr">
        <is>
          <t>Avg Program Health (12mo):</t>
        </is>
      </c>
      <c r="C25" s="42">
        <f>AVERAGE(H6:H17)</f>
        <v/>
      </c>
    </row>
    <row r="28">
      <c r="A28" s="47" t="inlineStr">
        <is>
          <t>📈 FORECASTING &amp; TREND CHARTS</t>
        </is>
      </c>
    </row>
    <row r="29" ht="60" customHeight="1">
      <c r="A29" s="52" t="inlineStr">
        <is>
          <t>Trend charts should be created manually using the data above:
- Line chart: Intel Products over time (B6:B17)
- Line chart: Feedback Rating trend (C6:C17)
- Line chart: Program Health Score (H6:H17)
Use Excel's FORECAST.LINEAR function or trendlines for predictions.</t>
        </is>
      </c>
    </row>
    <row r="30"/>
    <row r="31"/>
  </sheetData>
  <mergeCells count="6">
    <mergeCell ref="A4:H4"/>
    <mergeCell ref="A2:H2"/>
    <mergeCell ref="A29:H31"/>
    <mergeCell ref="A28:H28"/>
    <mergeCell ref="A19:H19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4" customWidth="1" min="4" max="4"/>
    <col width="16" customWidth="1" min="5" max="5"/>
    <col width="16" customWidth="1" min="6" max="6"/>
    <col width="14" customWidth="1" min="7" max="7"/>
    <col width="35" customWidth="1" min="8" max="8"/>
    <col width="25" customWidth="1" min="9" max="9"/>
  </cols>
  <sheetData>
    <row r="1" ht="25" customHeight="1">
      <c r="A1" s="27" t="inlineStr">
        <is>
          <t>Risk Indicators &amp; Early Warnings</t>
        </is>
      </c>
    </row>
    <row r="2" ht="30" customHeight="1">
      <c r="A2" s="28" t="inlineStr">
        <is>
          <t>Monitor risk indicators for TI program health. Set thresholds to trigger early warnings.</t>
        </is>
      </c>
    </row>
    <row r="4" ht="30" customHeight="1">
      <c r="A4" s="29" t="inlineStr">
        <is>
          <t>Risk ID</t>
        </is>
      </c>
      <c r="B4" s="29" t="inlineStr">
        <is>
          <t>Risk Category</t>
        </is>
      </c>
      <c r="C4" s="29" t="inlineStr">
        <is>
          <t>Risk Indicator</t>
        </is>
      </c>
      <c r="D4" s="29" t="inlineStr">
        <is>
          <t>Current Value</t>
        </is>
      </c>
      <c r="E4" s="29" t="inlineStr">
        <is>
          <t>Warning Threshold</t>
        </is>
      </c>
      <c r="F4" s="29" t="inlineStr">
        <is>
          <t>Critical Threshold</t>
        </is>
      </c>
      <c r="G4" s="29" t="inlineStr">
        <is>
          <t>Risk Status</t>
        </is>
      </c>
      <c r="H4" s="29" t="inlineStr">
        <is>
          <t>Mitigation Action</t>
        </is>
      </c>
      <c r="I4" s="29" t="inlineStr">
        <is>
          <t>Owner</t>
        </is>
      </c>
    </row>
    <row r="5">
      <c r="A5" s="30" t="inlineStr">
        <is>
          <t>RISK-001</t>
        </is>
      </c>
      <c r="B5" s="31" t="inlineStr">
        <is>
          <t>Coverage</t>
        </is>
      </c>
      <c r="C5" s="31" t="inlineStr">
        <is>
          <t>Source Coverage Gaps</t>
        </is>
      </c>
      <c r="D5" s="30">
        <f>COUNTIF('[ISMS-IMP-A.5.7.1.xlsx]Coverage_Matrix'!Status,"Gap")</f>
        <v/>
      </c>
      <c r="E5" s="31" t="inlineStr">
        <is>
          <t>5</t>
        </is>
      </c>
      <c r="F5" s="31" t="inlineStr">
        <is>
          <t>10</t>
        </is>
      </c>
      <c r="G5" s="30">
        <f>IF(D5="","N/A",IF(D5&gt;F5,"Critical",IF(D5&gt;E5,"Warning","Normal")))</f>
        <v/>
      </c>
      <c r="H5" s="31" t="n"/>
      <c r="I5" s="31" t="n"/>
    </row>
    <row r="6">
      <c r="A6" s="30" t="inlineStr">
        <is>
          <t>RISK-002</t>
        </is>
      </c>
      <c r="B6" s="31" t="inlineStr">
        <is>
          <t>Production</t>
        </is>
      </c>
      <c r="C6" s="31" t="inlineStr">
        <is>
          <t>Intel Products Below Target</t>
        </is>
      </c>
      <c r="D6" s="30">
        <f>Program_KPIs!K5</f>
        <v/>
      </c>
      <c r="E6" s="31" t="inlineStr">
        <is>
          <t>16</t>
        </is>
      </c>
      <c r="F6" s="31" t="inlineStr">
        <is>
          <t>12</t>
        </is>
      </c>
      <c r="G6" s="30">
        <f>IF(D6="","N/A",IF(D6&gt;F6,"Critical",IF(D6&gt;E6,"Warning","Normal")))</f>
        <v/>
      </c>
      <c r="H6" s="31" t="n"/>
      <c r="I6" s="31" t="n"/>
    </row>
    <row r="7">
      <c r="A7" s="30" t="inlineStr">
        <is>
          <t>RISK-003</t>
        </is>
      </c>
      <c r="B7" s="31" t="inlineStr">
        <is>
          <t>Quality</t>
        </is>
      </c>
      <c r="C7" s="31" t="inlineStr">
        <is>
          <t>Stakeholder Satisfaction Declining</t>
        </is>
      </c>
      <c r="D7" s="30">
        <f>Program_KPIs!K7</f>
        <v/>
      </c>
      <c r="E7" s="31" t="inlineStr">
        <is>
          <t>3.5</t>
        </is>
      </c>
      <c r="F7" s="31" t="inlineStr">
        <is>
          <t>3.0</t>
        </is>
      </c>
      <c r="G7" s="30">
        <f>IF(D7="","N/A",IF(D7&gt;F7,"Critical",IF(D7&gt;E7,"Warning","Normal")))</f>
        <v/>
      </c>
      <c r="H7" s="31" t="n"/>
      <c r="I7" s="31" t="n"/>
    </row>
    <row r="8">
      <c r="A8" s="30" t="inlineStr">
        <is>
          <t>RISK-004</t>
        </is>
      </c>
      <c r="B8" s="31" t="inlineStr">
        <is>
          <t>Integration</t>
        </is>
      </c>
      <c r="C8" s="31" t="inlineStr">
        <is>
          <t>IOC Hit Rate Below Target</t>
        </is>
      </c>
      <c r="D8" s="30">
        <f>Program_KPIs!K14</f>
        <v/>
      </c>
      <c r="E8" s="31" t="inlineStr">
        <is>
          <t>10%</t>
        </is>
      </c>
      <c r="F8" s="31" t="inlineStr">
        <is>
          <t>5%</t>
        </is>
      </c>
      <c r="G8" s="30">
        <f>IF(D8="","N/A",IF(D8&gt;F8,"Critical",IF(D8&gt;E8,"Warning","Normal")))</f>
        <v/>
      </c>
      <c r="H8" s="31" t="n"/>
      <c r="I8" s="31" t="n"/>
    </row>
    <row r="9">
      <c r="A9" s="30" t="inlineStr">
        <is>
          <t>RISK-005</t>
        </is>
      </c>
      <c r="B9" s="31" t="inlineStr">
        <is>
          <t>Integration</t>
        </is>
      </c>
      <c r="C9" s="31" t="inlineStr">
        <is>
          <t>IOC False Positive Rate High</t>
        </is>
      </c>
      <c r="D9" s="30">
        <f>Program_KPIs!K15</f>
        <v/>
      </c>
      <c r="E9" s="31" t="inlineStr">
        <is>
          <t>10%</t>
        </is>
      </c>
      <c r="F9" s="31" t="inlineStr">
        <is>
          <t>15%</t>
        </is>
      </c>
      <c r="G9" s="30">
        <f>IF(D9="","N/A",IF(D9&gt;F9,"Critical",IF(D9&gt;E9,"Warning","Normal")))</f>
        <v/>
      </c>
      <c r="H9" s="31" t="n"/>
      <c r="I9" s="31" t="n"/>
    </row>
    <row r="10">
      <c r="A10" s="30" t="inlineStr">
        <is>
          <t>RISK-006</t>
        </is>
      </c>
      <c r="B10" s="31" t="inlineStr">
        <is>
          <t>Vulnerability</t>
        </is>
      </c>
      <c r="C10" s="31" t="inlineStr">
        <is>
          <t>Active Exploits Unpatched</t>
        </is>
      </c>
      <c r="D10" s="30">
        <f>COUNTIF('[ISMS-IMP-A.5.7.2.xlsx]Vulnerability_Linked_Threats'!R:R,"Open")</f>
        <v/>
      </c>
      <c r="E10" s="31" t="inlineStr">
        <is>
          <t>3</t>
        </is>
      </c>
      <c r="F10" s="31" t="inlineStr">
        <is>
          <t>5</t>
        </is>
      </c>
      <c r="G10" s="30">
        <f>IF(D10="","N/A",IF(D10&gt;F10,"Critical",IF(D10&gt;E10,"Warning","Normal")))</f>
        <v/>
      </c>
      <c r="H10" s="31" t="n"/>
      <c r="I10" s="31" t="n"/>
    </row>
    <row r="11">
      <c r="A11" s="30" t="inlineStr">
        <is>
          <t>RISK-007</t>
        </is>
      </c>
      <c r="B11" s="31" t="inlineStr">
        <is>
          <t>Team</t>
        </is>
      </c>
      <c r="C11" s="31" t="inlineStr">
        <is>
          <t>Analyst Training Incomplete</t>
        </is>
      </c>
      <c r="D11" s="30">
        <f>Program_KPIs!K10</f>
        <v/>
      </c>
      <c r="E11" s="31" t="inlineStr">
        <is>
          <t>75%</t>
        </is>
      </c>
      <c r="F11" s="31" t="inlineStr">
        <is>
          <t>60%</t>
        </is>
      </c>
      <c r="G11" s="30">
        <f>IF(D11="","N/A",IF(D11&gt;F11,"Critical",IF(D11&gt;E11,"Warning","Normal")))</f>
        <v/>
      </c>
      <c r="H11" s="31" t="n"/>
      <c r="I11" s="31" t="n"/>
    </row>
    <row r="12">
      <c r="A12" s="30" t="inlineStr">
        <is>
          <t>RISK-008</t>
        </is>
      </c>
      <c r="B12" s="31" t="inlineStr">
        <is>
          <t>Coverage</t>
        </is>
      </c>
      <c r="C12" s="31" t="inlineStr">
        <is>
          <t>MITRE Coverage Gaps</t>
        </is>
      </c>
      <c r="D12" s="30">
        <f>COUNTIF('[ISMS-IMP-A.5.7.2.xlsx]MITRE_Mapping'!F:F,"None")</f>
        <v/>
      </c>
      <c r="E12" s="31" t="inlineStr">
        <is>
          <t>20</t>
        </is>
      </c>
      <c r="F12" s="31" t="inlineStr">
        <is>
          <t>30</t>
        </is>
      </c>
      <c r="G12" s="30">
        <f>IF(D12="","N/A",IF(D12&gt;F12,"Critical",IF(D12&gt;E12,"Warning","Normal")))</f>
        <v/>
      </c>
      <c r="H12" s="31" t="n"/>
      <c r="I12" s="31" t="n"/>
    </row>
    <row r="13">
      <c r="A13" s="30" t="inlineStr">
        <is>
          <t>RISK-009</t>
        </is>
      </c>
      <c r="B13" s="31" t="inlineStr">
        <is>
          <t>Compliance</t>
        </is>
      </c>
      <c r="C13" s="31" t="inlineStr">
        <is>
          <t>Evidence Items Outdated</t>
        </is>
      </c>
      <c r="D13" s="30">
        <f>COUNTIF(Compliance_Evidence!F:F,"Outdated")</f>
        <v/>
      </c>
      <c r="E13" s="31" t="inlineStr">
        <is>
          <t>3</t>
        </is>
      </c>
      <c r="F13" s="31" t="inlineStr">
        <is>
          <t>5</t>
        </is>
      </c>
      <c r="G13" s="30">
        <f>IF(D13="","N/A",IF(D13&gt;F13,"Critical",IF(D13&gt;E13,"Warning","Normal")))</f>
        <v/>
      </c>
      <c r="H13" s="31" t="n"/>
      <c r="I13" s="31" t="n"/>
    </row>
    <row r="14">
      <c r="A14" s="30" t="inlineStr">
        <is>
          <t>RISK-010</t>
        </is>
      </c>
      <c r="B14" s="31" t="inlineStr">
        <is>
          <t>Integration</t>
        </is>
      </c>
      <c r="C14" s="31" t="inlineStr">
        <is>
          <t>Tools Not Integrated</t>
        </is>
      </c>
      <c r="D14" s="30">
        <f>COUNTIF('[ISMS-IMP-A.5.7.3.xlsx]Tool_Integration_Matrix'!D:D,"None")</f>
        <v/>
      </c>
      <c r="E14" s="31" t="inlineStr">
        <is>
          <t>5</t>
        </is>
      </c>
      <c r="F14" s="31" t="inlineStr">
        <is>
          <t>8</t>
        </is>
      </c>
      <c r="G14" s="30">
        <f>IF(D14="","N/A",IF(D14&gt;F14,"Critical",IF(D14&gt;E14,"Warning","Normal")))</f>
        <v/>
      </c>
      <c r="H14" s="31" t="n"/>
      <c r="I14" s="31" t="n"/>
    </row>
    <row r="15">
      <c r="A15" s="30" t="inlineStr">
        <is>
          <t>RISK-011</t>
        </is>
      </c>
      <c r="B15" s="31" t="n"/>
      <c r="C15" s="31" t="n"/>
      <c r="D15" s="30" t="n"/>
      <c r="E15" s="31" t="n"/>
      <c r="F15" s="31" t="n"/>
      <c r="G15" s="30">
        <f>IF(D15="","N/A",IF(D15&gt;F15,"Critical",IF(D15&gt;E15,"Warning","Normal")))</f>
        <v/>
      </c>
      <c r="H15" s="31" t="n"/>
      <c r="I15" s="31" t="n"/>
    </row>
    <row r="16">
      <c r="A16" s="30" t="inlineStr">
        <is>
          <t>RISK-012</t>
        </is>
      </c>
      <c r="B16" s="31" t="n"/>
      <c r="C16" s="31" t="n"/>
      <c r="D16" s="30" t="n"/>
      <c r="E16" s="31" t="n"/>
      <c r="F16" s="31" t="n"/>
      <c r="G16" s="30">
        <f>IF(D16="","N/A",IF(D16&gt;F16,"Critical",IF(D16&gt;E16,"Warning","Normal")))</f>
        <v/>
      </c>
      <c r="H16" s="31" t="n"/>
      <c r="I16" s="31" t="n"/>
    </row>
    <row r="17">
      <c r="A17" s="30" t="inlineStr">
        <is>
          <t>RISK-013</t>
        </is>
      </c>
      <c r="B17" s="31" t="n"/>
      <c r="C17" s="31" t="n"/>
      <c r="D17" s="30" t="n"/>
      <c r="E17" s="31" t="n"/>
      <c r="F17" s="31" t="n"/>
      <c r="G17" s="30">
        <f>IF(D17="","N/A",IF(D17&gt;F17,"Critical",IF(D17&gt;E17,"Warning","Normal")))</f>
        <v/>
      </c>
      <c r="H17" s="31" t="n"/>
      <c r="I17" s="31" t="n"/>
    </row>
    <row r="18">
      <c r="A18" s="30" t="inlineStr">
        <is>
          <t>RISK-014</t>
        </is>
      </c>
      <c r="B18" s="31" t="n"/>
      <c r="C18" s="31" t="n"/>
      <c r="D18" s="30" t="n"/>
      <c r="E18" s="31" t="n"/>
      <c r="F18" s="31" t="n"/>
      <c r="G18" s="30">
        <f>IF(D18="","N/A",IF(D18&gt;F18,"Critical",IF(D18&gt;E18,"Warning","Normal")))</f>
        <v/>
      </c>
      <c r="H18" s="31" t="n"/>
      <c r="I18" s="31" t="n"/>
    </row>
    <row r="19">
      <c r="A19" s="30" t="inlineStr">
        <is>
          <t>RISK-015</t>
        </is>
      </c>
      <c r="B19" s="31" t="n"/>
      <c r="C19" s="31" t="n"/>
      <c r="D19" s="30" t="n"/>
      <c r="E19" s="31" t="n"/>
      <c r="F19" s="31" t="n"/>
      <c r="G19" s="30">
        <f>IF(D19="","N/A",IF(D19&gt;F19,"Critical",IF(D19&gt;E19,"Warning","Normal")))</f>
        <v/>
      </c>
      <c r="H19" s="31" t="n"/>
      <c r="I19" s="31" t="n"/>
    </row>
    <row r="20">
      <c r="A20" s="30" t="inlineStr">
        <is>
          <t>RISK-016</t>
        </is>
      </c>
      <c r="B20" s="31" t="n"/>
      <c r="C20" s="31" t="n"/>
      <c r="D20" s="30" t="n"/>
      <c r="E20" s="31" t="n"/>
      <c r="F20" s="31" t="n"/>
      <c r="G20" s="30">
        <f>IF(D20="","N/A",IF(D20&gt;F20,"Critical",IF(D20&gt;E20,"Warning","Normal")))</f>
        <v/>
      </c>
      <c r="H20" s="31" t="n"/>
      <c r="I20" s="31" t="n"/>
    </row>
    <row r="22">
      <c r="A22" s="48" t="inlineStr">
        <is>
          <t>RISK SUMMARY</t>
        </is>
      </c>
    </row>
    <row r="23">
      <c r="A23" s="16" t="inlineStr">
        <is>
          <t>Total Risks Monitored:</t>
        </is>
      </c>
      <c r="B23" s="16">
        <f>COUNTA(A5:A20)</f>
        <v/>
      </c>
    </row>
    <row r="24">
      <c r="A24" s="21" t="inlineStr">
        <is>
          <t>Critical Status:</t>
        </is>
      </c>
      <c r="B24" s="21">
        <f>COUNTIF(G5:G20,"Critical")</f>
        <v/>
      </c>
    </row>
    <row r="25">
      <c r="A25" s="16" t="inlineStr">
        <is>
          <t>Warning Status:</t>
        </is>
      </c>
      <c r="B25" s="16">
        <f>COUNTIF(G5:G20,"Warning")</f>
        <v/>
      </c>
    </row>
    <row r="26">
      <c r="A26" s="16" t="inlineStr">
        <is>
          <t>Normal Status:</t>
        </is>
      </c>
      <c r="B26" s="16">
        <f>COUNTIF(G5:G20,"Normal")</f>
        <v/>
      </c>
    </row>
    <row r="30" ht="25" customHeight="1">
      <c r="A30" s="53" t="inlineStr">
        <is>
          <t>CVSS-BASED RISK QUANTIFICATION (ISO 27001 Clause 6.1)</t>
        </is>
      </c>
    </row>
    <row r="31">
      <c r="A31" s="29" t="inlineStr">
        <is>
          <t>Quarter</t>
        </is>
      </c>
      <c r="B31" s="29" t="inlineStr">
        <is>
          <t>Total Risk Updates</t>
        </is>
      </c>
      <c r="C31" s="29" t="inlineStr">
        <is>
          <t>Vulnerability-Related</t>
        </is>
      </c>
      <c r="D31" s="29" t="inlineStr">
        <is>
          <t>Risks with CVSS</t>
        </is>
      </c>
      <c r="E31" s="29" t="inlineStr">
        <is>
          <t>CVSS Quantification Rate</t>
        </is>
      </c>
      <c r="F31" s="29" t="inlineStr">
        <is>
          <t>Avg CVSS (Risks)</t>
        </is>
      </c>
      <c r="G31" s="29" t="inlineStr">
        <is>
          <t>Status</t>
        </is>
      </c>
    </row>
    <row r="32">
      <c r="A32" s="54">
        <f>TEXT(TODAY(),"YYYY-\QQ")</f>
        <v/>
      </c>
      <c r="B32" s="54">
        <f>COUNTA([ISMS-IMP-A.5.7.3.xlsx]Risk_Assessment_Updates!A:A)-3</f>
        <v/>
      </c>
      <c r="C32" s="54">
        <f>COUNTIF([ISMS-IMP-A.5.7.3.xlsx]Risk_Assessment_Updates!F:F,"Vulnerability")</f>
        <v/>
      </c>
      <c r="D32" s="54">
        <f>COUNTIFS([ISMS-IMP-A.5.7.3.xlsx]Risk_Assessment_Updates!F:F,"Vulnerability",[ISMS-IMP-A.5.7.3.xlsx]Risk_Assessment_Updates!H:H,"&lt;&gt;")</f>
        <v/>
      </c>
      <c r="E32" s="55">
        <f>IF(C32=0,"N/A",D32/C32)</f>
        <v/>
      </c>
      <c r="F32" s="56">
        <f>AVERAGEIFS([ISMS-IMP-A.5.7.3.xlsx]Risk_Assessment_Updates!H:H,[ISMS-IMP-A.5.7.3.xlsx]Risk_Assessment_Updates!H:H,"&lt;&gt;")</f>
        <v/>
      </c>
      <c r="G32" s="54">
        <f>IF(E32=1,"✅ Compliant",IF(E32&gt;=0.9,"⚠️ Needs Attention","❌ Non-Compliant"))</f>
        <v/>
      </c>
    </row>
    <row r="33">
      <c r="A33" t="inlineStr">
        <is>
          <t>[Enter Quarter]</t>
        </is>
      </c>
      <c r="B33" s="31" t="n"/>
      <c r="C33" s="31" t="n"/>
      <c r="D33" s="31" t="n"/>
      <c r="E33" s="57">
        <f>IF(C33=0,"N/A",D33/C33)</f>
        <v/>
      </c>
      <c r="F33" s="31" t="n"/>
      <c r="G33" s="31">
        <f>IF(E33=1,"✅ Compliant",IF(E33&gt;=0.9,"⚠️ Needs Attention","❌ Non-Compliant"))</f>
        <v/>
      </c>
    </row>
    <row r="34">
      <c r="A34" t="inlineStr">
        <is>
          <t>[Enter Quarter]</t>
        </is>
      </c>
      <c r="B34" s="31" t="n"/>
      <c r="C34" s="31" t="n"/>
      <c r="D34" s="31" t="n"/>
      <c r="E34" s="57">
        <f>IF(C34=0,"N/A",D34/C34)</f>
        <v/>
      </c>
      <c r="F34" s="31" t="n"/>
      <c r="G34" s="31">
        <f>IF(E34=1,"✅ Compliant",IF(E34&gt;=0.9,"⚠️ Needs Attention","❌ Non-Compliant"))</f>
        <v/>
      </c>
    </row>
    <row r="35">
      <c r="A35" t="inlineStr">
        <is>
          <t>[Enter Quarter]</t>
        </is>
      </c>
      <c r="B35" s="31" t="n"/>
      <c r="C35" s="31" t="n"/>
      <c r="D35" s="31" t="n"/>
      <c r="E35" s="57">
        <f>IF(C35=0,"N/A",D35/C35)</f>
        <v/>
      </c>
      <c r="F35" s="31" t="n"/>
      <c r="G35" s="31">
        <f>IF(E35=1,"✅ Compliant",IF(E35&gt;=0.9,"⚠️ Needs Attention","❌ Non-Compliant"))</f>
        <v/>
      </c>
    </row>
    <row r="36">
      <c r="A36" t="inlineStr">
        <is>
          <t>[Enter Quarter]</t>
        </is>
      </c>
      <c r="B36" s="31" t="n"/>
      <c r="C36" s="31" t="n"/>
      <c r="D36" s="31" t="n"/>
      <c r="E36" s="57">
        <f>IF(C36=0,"N/A",D36/C36)</f>
        <v/>
      </c>
      <c r="F36" s="31" t="n"/>
      <c r="G36" s="31">
        <f>IF(E36=1,"✅ Compliant",IF(E36&gt;=0.9,"⚠️ Needs Attention","❌ Non-Compliant"))</f>
        <v/>
      </c>
    </row>
    <row r="37">
      <c r="A37" t="inlineStr">
        <is>
          <t>[Enter Quarter]</t>
        </is>
      </c>
      <c r="B37" s="31" t="n"/>
      <c r="C37" s="31" t="n"/>
      <c r="D37" s="31" t="n"/>
      <c r="E37" s="57">
        <f>IF(C37=0,"N/A",D37/C37)</f>
        <v/>
      </c>
      <c r="F37" s="31" t="n"/>
      <c r="G37" s="31">
        <f>IF(E37=1,"✅ Compliant",IF(E37&gt;=0.9,"⚠️ Needs Attention","❌ Non-Compliant"))</f>
        <v/>
      </c>
    </row>
    <row r="38" ht="30" customHeight="1">
      <c r="A38" s="58" t="inlineStr">
        <is>
          <t>🎯 TARGET: 100% of vulnerability-related risks must have CVSS quantification for Clause 6.1 compliance</t>
        </is>
      </c>
    </row>
  </sheetData>
  <mergeCells count="5">
    <mergeCell ref="A2:I2"/>
    <mergeCell ref="A22:D22"/>
    <mergeCell ref="A1:I1"/>
    <mergeCell ref="A30:G30"/>
    <mergeCell ref="A38:G38"/>
  </mergeCells>
  <conditionalFormatting sqref="G5:G20">
    <cfRule type="cellIs" priority="1" operator="equal" dxfId="0">
      <formula>"Normal"</formula>
    </cfRule>
    <cfRule type="cellIs" priority="2" operator="equal" dxfId="1">
      <formula>"Warning"</formula>
    </cfRule>
    <cfRule type="cellIs" priority="3" operator="equal" dxfId="2">
      <formula>"Critical"</formula>
    </cfRule>
  </conditionalFormatting>
  <conditionalFormatting sqref="E32:E37">
    <cfRule type="cellIs" priority="4" operator="lessThan" dxfId="2">
      <formula>0.9</formula>
    </cfRule>
    <cfRule type="cellIs" priority="5" operator="equal" dxfId="0">
      <formula>1</formula>
    </cfRule>
  </conditionalFormatting>
  <dataValidations count="4">
    <dataValidation sqref="B5 B6 B7 B8 B9 B10 B11 B12 B13 B14 B15 B16 B17 B18 B19 B20 B21 B22 B23 B24 B25 B26 B27 B28 B29 B30" showDropDown="0" showInputMessage="0" showErrorMessage="0" allowBlank="0" type="list">
      <formula1>"Source_Management,Collection,Analysis,Production,Integration,Dissemination,Framework_Currency,Quality_Assurance,Emergency_Response,Impact_Measurement,Risk_Management,Incident_Response"</formula1>
    </dataValidation>
    <dataValidation sqref="F5 F6 F7 F8 F9 F10 F11 F12 F13 F14 F15 F16 F17 F18 F19 F20 F21 F22 F23 F24 F25 F26 F27 F28 F29 F30" showDropDown="0" showInputMessage="0" showErrorMessage="0" allowBlank="0" type="list">
      <formula1>"Daily,Weekly,Monthly,Quarterly"</formula1>
    </dataValidation>
    <dataValidation sqref="G5 G6 G7 G8 G9 G10 G11 G12 G13 G14 G15 G16 G17 G18 G19 G20" showDropDown="0" showInputMessage="0" showErrorMessage="0" allowBlank="0" type="list">
      <formula1>"Normal,Warning,Critical"</formula1>
    </dataValidation>
    <dataValidation sqref="F5 F6 F7 F8 F9 F10 F11 F12 F13 F14 F15 F16 F17 F18 F19 F20 F21 F22 F23 F24" showDropDown="0" showInputMessage="0" showErrorMessage="0" allowBlank="0" type="list">
      <formula1>"Current,Outdated,Missing"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35" customWidth="1" min="4" max="4"/>
    <col width="14" customWidth="1" min="5" max="5"/>
    <col width="14" customWidth="1" min="6" max="6"/>
    <col width="40" customWidth="1" min="7" max="7"/>
  </cols>
  <sheetData>
    <row r="1" ht="25" customHeight="1">
      <c r="A1" s="27" t="inlineStr">
        <is>
          <t>Compliance Evidence - ISO 27001:2022 Control 5.7</t>
        </is>
      </c>
    </row>
    <row r="2" ht="30" customHeight="1">
      <c r="A2" s="28" t="inlineStr">
        <is>
          <t>Audit evidence inventory for ISO 27001:2022 Control 5.7 (Threat Intelligence). Track evidence status and currency.</t>
        </is>
      </c>
    </row>
    <row r="4" ht="30" customHeight="1">
      <c r="A4" s="29" t="inlineStr">
        <is>
          <t>Evidence ID</t>
        </is>
      </c>
      <c r="B4" s="29" t="inlineStr">
        <is>
          <t>Control Requirement</t>
        </is>
      </c>
      <c r="C4" s="29" t="inlineStr">
        <is>
          <t>Evidence Type</t>
        </is>
      </c>
      <c r="D4" s="29" t="inlineStr">
        <is>
          <t>Location</t>
        </is>
      </c>
      <c r="E4" s="29" t="inlineStr">
        <is>
          <t>Last Updated</t>
        </is>
      </c>
      <c r="F4" s="29" t="inlineStr">
        <is>
          <t>Status</t>
        </is>
      </c>
      <c r="G4" s="29" t="inlineStr">
        <is>
          <t>Notes</t>
        </is>
      </c>
    </row>
    <row r="5">
      <c r="A5" s="30" t="inlineStr">
        <is>
          <t>EV-5.7-001</t>
        </is>
      </c>
      <c r="B5" s="31" t="inlineStr">
        <is>
          <t>Source inventory maintained</t>
        </is>
      </c>
      <c r="C5" s="31" t="inlineStr">
        <is>
          <t>Excel Workbook</t>
        </is>
      </c>
      <c r="D5" s="31" t="inlineStr">
        <is>
          <t>ISMS-IMP-A.5.7.1 Sheet 2</t>
        </is>
      </c>
      <c r="E5" s="33" t="n"/>
      <c r="F5" s="31" t="n"/>
      <c r="G5" s="31" t="n"/>
    </row>
    <row r="6">
      <c r="A6" s="30" t="inlineStr">
        <is>
          <t>EV-5.7-002</t>
        </is>
      </c>
      <c r="B6" s="31" t="inlineStr">
        <is>
          <t>Source quality assessed</t>
        </is>
      </c>
      <c r="C6" s="31" t="inlineStr">
        <is>
          <t>Excel Workbook</t>
        </is>
      </c>
      <c r="D6" s="31" t="inlineStr">
        <is>
          <t>ISMS-IMP-A.5.7.1 Sheet 3</t>
        </is>
      </c>
      <c r="E6" s="33" t="n"/>
      <c r="F6" s="31" t="n"/>
      <c r="G6" s="31" t="n"/>
    </row>
    <row r="7">
      <c r="A7" s="30" t="inlineStr">
        <is>
          <t>EV-5.7-003</t>
        </is>
      </c>
      <c r="B7" s="31" t="inlineStr">
        <is>
          <t>Coverage gaps identified</t>
        </is>
      </c>
      <c r="C7" s="31" t="inlineStr">
        <is>
          <t>Excel Workbook</t>
        </is>
      </c>
      <c r="D7" s="31" t="inlineStr">
        <is>
          <t>ISMS-IMP-A.5.7.1 Sheet 4</t>
        </is>
      </c>
      <c r="E7" s="33" t="n"/>
      <c r="F7" s="31" t="n"/>
      <c r="G7" s="31" t="n"/>
    </row>
    <row r="8">
      <c r="A8" s="30" t="inlineStr">
        <is>
          <t>EV-5.7-004</t>
        </is>
      </c>
      <c r="B8" s="31" t="inlineStr">
        <is>
          <t>Cost-benefit analysis performed</t>
        </is>
      </c>
      <c r="C8" s="31" t="inlineStr">
        <is>
          <t>Excel Workbook</t>
        </is>
      </c>
      <c r="D8" s="31" t="inlineStr">
        <is>
          <t>ISMS-IMP-A.5.7.1 Sheet 5</t>
        </is>
      </c>
      <c r="E8" s="33" t="n"/>
      <c r="F8" s="31" t="n"/>
      <c r="G8" s="31" t="n"/>
    </row>
    <row r="9">
      <c r="A9" s="30" t="inlineStr">
        <is>
          <t>EV-5.7-005</t>
        </is>
      </c>
      <c r="B9" s="31" t="inlineStr">
        <is>
          <t>Compliance verification documented</t>
        </is>
      </c>
      <c r="C9" s="31" t="inlineStr">
        <is>
          <t>Excel Workbook</t>
        </is>
      </c>
      <c r="D9" s="31" t="inlineStr">
        <is>
          <t>ISMS-IMP-A.5.7.1 Sheet 6</t>
        </is>
      </c>
      <c r="E9" s="33" t="n"/>
      <c r="F9" s="31" t="n"/>
      <c r="G9" s="31" t="n"/>
    </row>
    <row r="10">
      <c r="A10" s="30" t="inlineStr">
        <is>
          <t>EV-5.7-006</t>
        </is>
      </c>
      <c r="B10" s="31" t="inlineStr">
        <is>
          <t>Intelligence requirements defined</t>
        </is>
      </c>
      <c r="C10" s="31" t="inlineStr">
        <is>
          <t>Excel Workbook</t>
        </is>
      </c>
      <c r="D10" s="31" t="inlineStr">
        <is>
          <t>ISMS-IMP-A.5.7.2 Sheet 2</t>
        </is>
      </c>
      <c r="E10" s="33" t="n"/>
      <c r="F10" s="31" t="n"/>
      <c r="G10" s="31" t="n"/>
    </row>
    <row r="11">
      <c r="A11" s="30" t="inlineStr">
        <is>
          <t>EV-5.7-007</t>
        </is>
      </c>
      <c r="B11" s="31" t="inlineStr">
        <is>
          <t>Analysis frameworks documented</t>
        </is>
      </c>
      <c r="C11" s="31" t="inlineStr">
        <is>
          <t>Excel Workbook</t>
        </is>
      </c>
      <c r="D11" s="31" t="inlineStr">
        <is>
          <t>ISMS-IMP-A.5.7.2 Sheet 3</t>
        </is>
      </c>
      <c r="E11" s="33" t="n"/>
      <c r="F11" s="31" t="n"/>
      <c r="G11" s="31" t="n"/>
    </row>
    <row r="12">
      <c r="A12" s="30" t="inlineStr">
        <is>
          <t>EV-5.7-008</t>
        </is>
      </c>
      <c r="B12" s="31" t="inlineStr">
        <is>
          <t>Analyst capabilities tracked</t>
        </is>
      </c>
      <c r="C12" s="31" t="inlineStr">
        <is>
          <t>Excel Workbook</t>
        </is>
      </c>
      <c r="D12" s="31" t="inlineStr">
        <is>
          <t>ISMS-IMP-A.5.7.2 Sheet 4</t>
        </is>
      </c>
      <c r="E12" s="33" t="n"/>
      <c r="F12" s="31" t="n"/>
      <c r="G12" s="31" t="n"/>
    </row>
    <row r="13">
      <c r="A13" s="30" t="inlineStr">
        <is>
          <t>EV-5.7-009</t>
        </is>
      </c>
      <c r="B13" s="31" t="inlineStr">
        <is>
          <t>Intelligence production tracked</t>
        </is>
      </c>
      <c r="C13" s="31" t="inlineStr">
        <is>
          <t>Excel Workbook</t>
        </is>
      </c>
      <c r="D13" s="31" t="inlineStr">
        <is>
          <t>ISMS-IMP-A.5.7.2 Sheet 5</t>
        </is>
      </c>
      <c r="E13" s="33" t="n"/>
      <c r="F13" s="31" t="n"/>
      <c r="G13" s="31" t="n"/>
    </row>
    <row r="14">
      <c r="A14" s="30" t="inlineStr">
        <is>
          <t>EV-5.7-010</t>
        </is>
      </c>
      <c r="B14" s="31" t="inlineStr">
        <is>
          <t>MITRE mapping maintained</t>
        </is>
      </c>
      <c r="C14" s="31" t="inlineStr">
        <is>
          <t>Excel Workbook</t>
        </is>
      </c>
      <c r="D14" s="31" t="inlineStr">
        <is>
          <t>ISMS-IMP-A.5.7.2 Sheet 6</t>
        </is>
      </c>
      <c r="E14" s="33" t="n"/>
      <c r="F14" s="31" t="n"/>
      <c r="G14" s="31" t="n"/>
    </row>
    <row r="15">
      <c r="A15" s="30" t="inlineStr">
        <is>
          <t>EV-5.7-011</t>
        </is>
      </c>
      <c r="B15" s="31" t="inlineStr">
        <is>
          <t>Quality metrics established</t>
        </is>
      </c>
      <c r="C15" s="31" t="inlineStr">
        <is>
          <t>Excel Workbook</t>
        </is>
      </c>
      <c r="D15" s="31" t="inlineStr">
        <is>
          <t>ISMS-IMP-A.5.7.2 Sheet 7</t>
        </is>
      </c>
      <c r="E15" s="33" t="n"/>
      <c r="F15" s="31" t="n"/>
      <c r="G15" s="31" t="n"/>
    </row>
    <row r="16">
      <c r="A16" s="30" t="inlineStr">
        <is>
          <t>EV-5.7-012</t>
        </is>
      </c>
      <c r="B16" s="31" t="inlineStr">
        <is>
          <t>Vulnerability linkage (VTL schema)</t>
        </is>
      </c>
      <c r="C16" s="31" t="inlineStr">
        <is>
          <t>Excel Workbook</t>
        </is>
      </c>
      <c r="D16" s="31" t="inlineStr">
        <is>
          <t>ISMS-IMP-A.5.7.2 Sheet 8 (CRITICAL)</t>
        </is>
      </c>
      <c r="E16" s="33" t="n"/>
      <c r="F16" s="31" t="n"/>
      <c r="G16" s="31" t="n"/>
    </row>
    <row r="17">
      <c r="A17" s="30" t="inlineStr">
        <is>
          <t>EV-5.7-013</t>
        </is>
      </c>
      <c r="B17" s="31" t="inlineStr">
        <is>
          <t>Process maturity assessed</t>
        </is>
      </c>
      <c r="C17" s="31" t="inlineStr">
        <is>
          <t>Excel Workbook</t>
        </is>
      </c>
      <c r="D17" s="31" t="inlineStr">
        <is>
          <t>ISMS-IMP-A.5.7.2 Sheet 9</t>
        </is>
      </c>
      <c r="E17" s="33" t="n"/>
      <c r="F17" s="31" t="n"/>
      <c r="G17" s="31" t="n"/>
    </row>
    <row r="18">
      <c r="A18" s="30" t="inlineStr">
        <is>
          <t>EV-5.7-014</t>
        </is>
      </c>
      <c r="B18" s="31" t="inlineStr">
        <is>
          <t>Tool integration documented</t>
        </is>
      </c>
      <c r="C18" s="31" t="inlineStr">
        <is>
          <t>Excel Workbook</t>
        </is>
      </c>
      <c r="D18" s="31" t="inlineStr">
        <is>
          <t>ISMS-IMP-A.5.7.3 Sheet 2</t>
        </is>
      </c>
      <c r="E18" s="33" t="n"/>
      <c r="F18" s="31" t="n"/>
      <c r="G18" s="31" t="n"/>
    </row>
    <row r="19">
      <c r="A19" s="30" t="inlineStr">
        <is>
          <t>EV-5.7-015</t>
        </is>
      </c>
      <c r="B19" s="31" t="inlineStr">
        <is>
          <t>IOC deployment tracked</t>
        </is>
      </c>
      <c r="C19" s="31" t="inlineStr">
        <is>
          <t>Excel Workbook</t>
        </is>
      </c>
      <c r="D19" s="31" t="inlineStr">
        <is>
          <t>ISMS-IMP-A.5.7.3 Sheet 3</t>
        </is>
      </c>
      <c r="E19" s="33" t="n"/>
      <c r="F19" s="31" t="n"/>
      <c r="G19" s="31" t="n"/>
    </row>
    <row r="20">
      <c r="A20" s="30" t="inlineStr">
        <is>
          <t>EV-5.7-016</t>
        </is>
      </c>
      <c r="B20" s="31" t="inlineStr">
        <is>
          <t>Dissemination channels configured</t>
        </is>
      </c>
      <c r="C20" s="31" t="inlineStr">
        <is>
          <t>Excel Workbook</t>
        </is>
      </c>
      <c r="D20" s="31" t="inlineStr">
        <is>
          <t>ISMS-IMP-A.5.7.3 Sheet 4</t>
        </is>
      </c>
      <c r="E20" s="33" t="n"/>
      <c r="F20" s="31" t="n"/>
      <c r="G20" s="31" t="n"/>
    </row>
    <row r="21">
      <c r="A21" s="30" t="inlineStr">
        <is>
          <t>EV-5.7-017</t>
        </is>
      </c>
      <c r="B21" s="31" t="inlineStr">
        <is>
          <t>Stakeholder engagement measured</t>
        </is>
      </c>
      <c r="C21" s="31" t="inlineStr">
        <is>
          <t>Excel Workbook</t>
        </is>
      </c>
      <c r="D21" s="31" t="inlineStr">
        <is>
          <t>ISMS-IMP-A.5.7.3 Sheet 7</t>
        </is>
      </c>
      <c r="E21" s="33" t="n"/>
      <c r="F21" s="31" t="n"/>
      <c r="G21" s="31" t="n"/>
    </row>
    <row r="22">
      <c r="A22" s="30" t="inlineStr">
        <is>
          <t>EV-5.7-018</t>
        </is>
      </c>
      <c r="B22" s="31" t="inlineStr">
        <is>
          <t>Program KPIs tracked</t>
        </is>
      </c>
      <c r="C22" s="31" t="inlineStr">
        <is>
          <t>Excel Workbook</t>
        </is>
      </c>
      <c r="D22" s="31" t="inlineStr">
        <is>
          <t>ISMS-IMP-A.5.7.4 Sheet 2</t>
        </is>
      </c>
      <c r="E22" s="33" t="n"/>
      <c r="F22" s="31" t="n"/>
      <c r="G22" s="31" t="n"/>
    </row>
    <row r="23">
      <c r="A23" s="30" t="inlineStr">
        <is>
          <t>EV-5.7-019</t>
        </is>
      </c>
      <c r="B23" s="31" t="inlineStr">
        <is>
          <t>Trend analysis performed</t>
        </is>
      </c>
      <c r="C23" s="31" t="inlineStr">
        <is>
          <t>Excel Workbook</t>
        </is>
      </c>
      <c r="D23" s="31" t="inlineStr">
        <is>
          <t>ISMS-IMP-A.5.7.4 Sheet 7</t>
        </is>
      </c>
      <c r="E23" s="33" t="n"/>
      <c r="F23" s="31" t="n"/>
      <c r="G23" s="31" t="n"/>
    </row>
    <row r="24">
      <c r="A24" s="30" t="inlineStr">
        <is>
          <t>EV-5.7-020</t>
        </is>
      </c>
      <c r="B24" s="31" t="inlineStr">
        <is>
          <t>Risk indicators monitored</t>
        </is>
      </c>
      <c r="C24" s="31" t="inlineStr">
        <is>
          <t>Excel Workbook</t>
        </is>
      </c>
      <c r="D24" s="31" t="inlineStr">
        <is>
          <t>ISMS-IMP-A.5.7.4 Sheet 8</t>
        </is>
      </c>
      <c r="E24" s="33" t="n"/>
      <c r="F24" s="31" t="n"/>
      <c r="G24" s="31" t="n"/>
    </row>
    <row r="26">
      <c r="A26" s="41" t="inlineStr">
        <is>
          <t>COMPLIANCE SUMMARY</t>
        </is>
      </c>
    </row>
    <row r="27">
      <c r="A27" s="16" t="inlineStr">
        <is>
          <t>Total Evidence Items:</t>
        </is>
      </c>
      <c r="B27" s="16">
        <f>COUNTA(A5:A24)</f>
        <v/>
      </c>
    </row>
    <row r="28">
      <c r="A28" s="16" t="inlineStr">
        <is>
          <t>Current (&lt; 90 days):</t>
        </is>
      </c>
      <c r="B28" s="16">
        <f>COUNTIF(F5:F24,"Current")</f>
        <v/>
      </c>
    </row>
    <row r="29">
      <c r="A29" s="16" t="inlineStr">
        <is>
          <t>Outdated (&gt; 90 days):</t>
        </is>
      </c>
      <c r="B29" s="16">
        <f>COUNTIF(F5:F24,"Outdated")</f>
        <v/>
      </c>
    </row>
    <row r="30">
      <c r="A30" s="16" t="inlineStr">
        <is>
          <t>Missing:</t>
        </is>
      </c>
      <c r="B30" s="16">
        <f>COUNTIF(F5:F24,"Missing")</f>
        <v/>
      </c>
    </row>
    <row r="31">
      <c r="A31" s="16" t="inlineStr">
        <is>
          <t>Compliance Rate %:</t>
        </is>
      </c>
      <c r="B31" s="59">
        <f>COUNTIF(F5:F24,"Current")/COUNTA(A5:A24)</f>
        <v/>
      </c>
    </row>
  </sheetData>
  <mergeCells count="3">
    <mergeCell ref="A26:D26"/>
    <mergeCell ref="A2:G2"/>
    <mergeCell ref="A1:G1"/>
  </mergeCells>
  <conditionalFormatting sqref="F5:F24">
    <cfRule type="cellIs" priority="1" operator="equal" dxfId="0">
      <formula>"Current"</formula>
    </cfRule>
    <cfRule type="cellIs" priority="2" operator="equal" dxfId="1">
      <formula>"Outdated"</formula>
    </cfRule>
    <cfRule type="cellIs" priority="3" operator="equal" dxfId="2">
      <formula>"Missing"</formula>
    </cfRule>
  </conditionalFormatting>
  <dataValidations count="4">
    <dataValidation sqref="B5 B6 B7 B8 B9 B10 B11 B12 B13 B14 B15 B16 B17 B18 B19 B20 B21 B22 B23 B24 B25 B26 B27 B28 B29 B30" showDropDown="0" showInputMessage="0" showErrorMessage="0" allowBlank="0" type="list">
      <formula1>"Source_Management,Collection,Analysis,Production,Integration,Dissemination,Framework_Currency,Quality_Assurance,Emergency_Response,Impact_Measurement,Risk_Management,Incident_Response"</formula1>
    </dataValidation>
    <dataValidation sqref="F5 F6 F7 F8 F9 F10 F11 F12 F13 F14 F15 F16 F17 F18 F19 F20 F21 F22 F23 F24 F25 F26 F27 F28 F29 F30" showDropDown="0" showInputMessage="0" showErrorMessage="0" allowBlank="0" type="list">
      <formula1>"Daily,Weekly,Monthly,Quarterly"</formula1>
    </dataValidation>
    <dataValidation sqref="G5 G6 G7 G8 G9 G10 G11 G12 G13 G14 G15 G16 G17 G18 G19 G20" showDropDown="0" showInputMessage="0" showErrorMessage="0" allowBlank="0" type="list">
      <formula1>"Normal,Warning,Critical"</formula1>
    </dataValidation>
    <dataValidation sqref="F5 F6 F7 F8 F9 F10 F11 F12 F13 F14 F15 F16 F17 F18 F19 F20 F21 F22 F23 F24" showDropDown="0" showInputMessage="0" showErrorMessage="0" allowBlank="0" type="list">
      <formula1>"Current,Outdated,Missing"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60" t="inlineStr">
        <is>
          <t>Threat Intelligence Program - Monthly Report</t>
        </is>
      </c>
    </row>
    <row r="2">
      <c r="A2" s="61" t="inlineStr">
        <is>
          <t>Report Period: February 2026</t>
        </is>
      </c>
      <c r="D2" s="62" t="inlineStr">
        <is>
          <t>Generated: 08.02.2026</t>
        </is>
      </c>
    </row>
    <row r="4">
      <c r="A4" s="41" t="inlineStr">
        <is>
          <t>1. EXECUTIVE SUMMARY</t>
        </is>
      </c>
    </row>
    <row r="5" ht="60" customHeight="1">
      <c r="A5" s="63" t="inlineStr">
        <is>
          <t>Program Health Score: [Auto from Executive_Summary]
Key Achievements: [User completes]
Areas Requiring Attention: [From Risk_Indicators]</t>
        </is>
      </c>
    </row>
    <row r="6"/>
    <row r="7"/>
    <row r="8">
      <c r="A8" s="44" t="inlineStr">
        <is>
          <t>2. KEY PERFORMANCE METRICS</t>
        </is>
      </c>
    </row>
    <row r="9">
      <c r="A9" s="16" t="inlineStr">
        <is>
          <t>Intelligence Products Published:</t>
        </is>
      </c>
      <c r="C9" s="16">
        <f>Program_KPIs!K5</f>
        <v/>
      </c>
    </row>
    <row r="10">
      <c r="A10" s="16" t="inlineStr">
        <is>
          <t>Stakeholder Satisfaction:</t>
        </is>
      </c>
      <c r="C10" s="16">
        <f>Program_KPIs!K7</f>
        <v/>
      </c>
    </row>
    <row r="11">
      <c r="A11" s="16" t="inlineStr">
        <is>
          <t>IOCs Deployed:</t>
        </is>
      </c>
      <c r="C11" s="16">
        <f>Program_KPIs!K13</f>
        <v/>
      </c>
    </row>
    <row r="12">
      <c r="A12" s="16" t="inlineStr">
        <is>
          <t>Active Exploits Addressed:</t>
        </is>
      </c>
      <c r="C12" s="16">
        <f>COUNTIF('[ISMS-IMP-A.5.7.2.xlsx]Vulnerability_Linked_Threats'!R:R,"Patched")</f>
        <v/>
      </c>
    </row>
    <row r="14">
      <c r="A14" s="47" t="inlineStr">
        <is>
          <t>3. INTEGRATION &amp; DISTRIBUTION</t>
        </is>
      </c>
    </row>
    <row r="15" ht="60" customHeight="1">
      <c r="A15" s="63" t="inlineStr">
        <is>
          <t>Tools Integrated: [From Integration_Status]
IOC Hit Rate: [From Integration_Status]
Distribution Reach: [From Stakeholder_Engagement]</t>
        </is>
      </c>
    </row>
    <row r="16"/>
    <row r="17"/>
    <row r="18">
      <c r="A18" s="48" t="inlineStr">
        <is>
          <t>4. CRITICAL ACTION ITEMS</t>
        </is>
      </c>
    </row>
    <row r="19" ht="80" customHeight="1">
      <c r="A19" s="64" t="inlineStr">
        <is>
          <t>[User completes based on Risk_Indicators and open action items]
Critical Risks: [From Risk_Indicators Critical count]
Open High Priority Actions: [From source workbooks]
Recommendations: [User input]</t>
        </is>
      </c>
    </row>
    <row r="20"/>
    <row r="21"/>
    <row r="22"/>
  </sheetData>
  <mergeCells count="10">
    <mergeCell ref="D2:F2"/>
    <mergeCell ref="A15:F17"/>
    <mergeCell ref="A5:F7"/>
    <mergeCell ref="A14:F14"/>
    <mergeCell ref="A19:F22"/>
    <mergeCell ref="A1:F1"/>
    <mergeCell ref="A8:F8"/>
    <mergeCell ref="A18:F18"/>
    <mergeCell ref="A4:F4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60" t="inlineStr">
        <is>
          <t>Threat Intelligence Program - Quarterly Report</t>
        </is>
      </c>
    </row>
    <row r="2">
      <c r="A2" s="61" t="inlineStr">
        <is>
          <t>Report Period: Q1 2026</t>
        </is>
      </c>
      <c r="D2" s="62" t="inlineStr">
        <is>
          <t>Generated: 08.02.2026</t>
        </is>
      </c>
    </row>
    <row r="4">
      <c r="A4" s="44" t="inlineStr">
        <is>
          <t>1. QUARTERLY EXECUTIVE SUMMARY</t>
        </is>
      </c>
    </row>
    <row r="5" ht="60" customHeight="1">
      <c r="A5" s="63" t="inlineStr">
        <is>
          <t>[User completes with quarterly analysis and strategic insights]</t>
        </is>
      </c>
    </row>
    <row r="6"/>
    <row r="7"/>
    <row r="8">
      <c r="A8" s="47" t="inlineStr">
        <is>
          <t>2. STRATEGIC THREAT LANDSCAPE</t>
        </is>
      </c>
    </row>
    <row r="9" ht="60" customHeight="1">
      <c r="A9" s="63" t="inlineStr">
        <is>
          <t>[User completes with quarterly analysis and strategic insights]</t>
        </is>
      </c>
    </row>
    <row r="10"/>
    <row r="11"/>
    <row r="12">
      <c r="A12" s="41" t="inlineStr">
        <is>
          <t>3. PROGRAM MATURITY ASSESSMENT</t>
        </is>
      </c>
    </row>
    <row r="13" ht="60" customHeight="1">
      <c r="A13" s="63" t="inlineStr">
        <is>
          <t>[User completes with quarterly analysis and strategic insights]</t>
        </is>
      </c>
    </row>
    <row r="14"/>
    <row r="15"/>
    <row r="16">
      <c r="A16" s="65" t="inlineStr">
        <is>
          <t>4. QUARTERLY KPI PERFORMANCE</t>
        </is>
      </c>
    </row>
    <row r="17" ht="60" customHeight="1">
      <c r="A17" s="63" t="inlineStr">
        <is>
          <t>[User completes with quarterly analysis and strategic insights]</t>
        </is>
      </c>
    </row>
    <row r="18"/>
    <row r="19"/>
    <row r="20">
      <c r="A20" s="44" t="inlineStr">
        <is>
          <t>5. SOURCE PORTFOLIO ROI ANALYSIS</t>
        </is>
      </c>
    </row>
    <row r="21" ht="60" customHeight="1">
      <c r="A21" s="63" t="inlineStr">
        <is>
          <t>[User completes with quarterly analysis and strategic insights]</t>
        </is>
      </c>
    </row>
    <row r="22"/>
    <row r="23"/>
    <row r="24">
      <c r="A24" s="48" t="inlineStr">
        <is>
          <t>6. CONTROL 8.8 INTEGRATION REVIEW</t>
        </is>
      </c>
    </row>
    <row r="25" ht="60" customHeight="1">
      <c r="A25" s="63" t="inlineStr">
        <is>
          <t>[User completes with quarterly analysis and strategic insights]</t>
        </is>
      </c>
    </row>
    <row r="26"/>
    <row r="27"/>
    <row r="28">
      <c r="A28" s="47" t="inlineStr">
        <is>
          <t>7. STAKEHOLDER ENGAGEMENT TRENDS</t>
        </is>
      </c>
    </row>
    <row r="29" ht="60" customHeight="1">
      <c r="A29" s="63" t="inlineStr">
        <is>
          <t>[User completes with quarterly analysis and strategic insights]</t>
        </is>
      </c>
    </row>
    <row r="30"/>
    <row r="31"/>
    <row r="32">
      <c r="A32" s="41" t="inlineStr">
        <is>
          <t>8. COMPLIANCE STATUS</t>
        </is>
      </c>
    </row>
    <row r="33" ht="60" customHeight="1">
      <c r="A33" s="63" t="inlineStr">
        <is>
          <t>[User completes with quarterly analysis and strategic insights]</t>
        </is>
      </c>
    </row>
    <row r="34"/>
    <row r="35"/>
    <row r="36">
      <c r="A36" s="65" t="inlineStr">
        <is>
          <t>9. BUDGET VS. ACTUAL</t>
        </is>
      </c>
    </row>
    <row r="37" ht="60" customHeight="1">
      <c r="A37" s="63" t="inlineStr">
        <is>
          <t>[User completes with quarterly analysis and strategic insights]</t>
        </is>
      </c>
    </row>
    <row r="38"/>
    <row r="39"/>
    <row r="40">
      <c r="A40" s="48" t="inlineStr">
        <is>
          <t>10. NEXT QUARTER PRIORITIES</t>
        </is>
      </c>
    </row>
    <row r="41" ht="60" customHeight="1">
      <c r="A41" s="63" t="inlineStr">
        <is>
          <t>[User completes with quarterly analysis and strategic insights]</t>
        </is>
      </c>
    </row>
    <row r="42"/>
    <row r="43"/>
    <row r="44" ht="40" customHeight="1">
      <c r="A44" s="66" t="inlineStr">
        <is>
          <t>Note: This report requires manual completion with strategic insights.
Aggregate data from Trend_Analysis sheet for quarterly trends.
Reference Process_Maturity assessment from 5.7.2 Sheet 9.</t>
        </is>
      </c>
    </row>
    <row r="45"/>
  </sheetData>
  <mergeCells count="24">
    <mergeCell ref="D2:F2"/>
    <mergeCell ref="A16:F16"/>
    <mergeCell ref="A41:F43"/>
    <mergeCell ref="A44:F45"/>
    <mergeCell ref="A12:F12"/>
    <mergeCell ref="A25:F27"/>
    <mergeCell ref="A2:C2"/>
    <mergeCell ref="A37:F39"/>
    <mergeCell ref="A32:F32"/>
    <mergeCell ref="A8:F8"/>
    <mergeCell ref="A21:F23"/>
    <mergeCell ref="A17:F19"/>
    <mergeCell ref="A4:F4"/>
    <mergeCell ref="A20:F20"/>
    <mergeCell ref="A33:F35"/>
    <mergeCell ref="A29:F31"/>
    <mergeCell ref="A5:F7"/>
    <mergeCell ref="A28:F28"/>
    <mergeCell ref="A13:F15"/>
    <mergeCell ref="A40:F40"/>
    <mergeCell ref="A24:F24"/>
    <mergeCell ref="A36:F36"/>
    <mergeCell ref="A1:F1"/>
    <mergeCell ref="A9:F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20" customWidth="1" min="3" max="3"/>
    <col width="20" customWidth="1" min="4" max="4"/>
  </cols>
  <sheetData>
    <row r="1" ht="25" customHeight="1">
      <c r="A1" s="27" t="inlineStr">
        <is>
          <t>Dashboard Metadata</t>
        </is>
      </c>
    </row>
    <row r="3">
      <c r="A3" s="16" t="inlineStr">
        <is>
          <t>Document ID:</t>
        </is>
      </c>
      <c r="B3" s="16" t="inlineStr">
        <is>
          <t>ISMS-IMP-A.5.7.4</t>
        </is>
      </c>
    </row>
    <row r="4">
      <c r="A4" s="16" t="inlineStr">
        <is>
          <t>Document Title:</t>
        </is>
      </c>
      <c r="B4" s="16" t="inlineStr">
        <is>
          <t>Threat Intelligence Effectiveness Dashboard</t>
        </is>
      </c>
    </row>
    <row r="5">
      <c r="A5" s="19" t="inlineStr">
        <is>
          <t>ISO 27001:2022 Control:</t>
        </is>
      </c>
      <c r="B5" s="19" t="inlineStr">
        <is>
          <t>A.5.7 (Threat Intelligence)</t>
        </is>
      </c>
    </row>
    <row r="6">
      <c r="A6" s="19" t="inlineStr">
        <is>
          <t>Version:</t>
        </is>
      </c>
      <c r="B6" s="19" t="inlineStr">
        <is>
          <t>1.0</t>
        </is>
      </c>
    </row>
    <row r="7">
      <c r="A7" s="19" t="inlineStr">
        <is>
          <t>Generated Date:</t>
        </is>
      </c>
      <c r="B7" s="19" t="inlineStr">
        <is>
          <t>2026-02-08 12:25:43</t>
        </is>
      </c>
    </row>
    <row r="8">
      <c r="A8" s="19" t="inlineStr">
        <is>
          <t>Generator Script:</t>
        </is>
      </c>
      <c r="B8" s="19" t="inlineStr">
        <is>
          <t>generate_a57_4_dashboard.py</t>
        </is>
      </c>
    </row>
    <row r="9">
      <c r="A9" s="19" t="inlineStr">
        <is>
          <t>Python Version:</t>
        </is>
      </c>
      <c r="B9" s="19" t="inlineStr">
        <is>
          <t>3.x</t>
        </is>
      </c>
    </row>
    <row r="10">
      <c r="A10" s="19" t="inlineStr">
        <is>
          <t>Required Library:</t>
        </is>
      </c>
      <c r="B10" s="19" t="inlineStr">
        <is>
          <t>openpyxl</t>
        </is>
      </c>
    </row>
    <row r="11">
      <c r="A11" s="19" t="inlineStr"/>
      <c r="B11" s="19" t="inlineStr"/>
    </row>
    <row r="12">
      <c r="A12" s="19" t="inlineStr">
        <is>
          <t>Sheet Count:</t>
        </is>
      </c>
      <c r="B12" s="19" t="inlineStr">
        <is>
          <t>12</t>
        </is>
      </c>
    </row>
    <row r="13">
      <c r="A13" s="19" t="inlineStr">
        <is>
          <t>Sheet 1:</t>
        </is>
      </c>
      <c r="B13" s="19" t="inlineStr">
        <is>
          <t>Executive_Summary (C-level dashboard)</t>
        </is>
      </c>
    </row>
    <row r="14">
      <c r="A14" s="19" t="inlineStr">
        <is>
          <t>Sheet 2:</t>
        </is>
      </c>
      <c r="B14" s="19" t="inlineStr">
        <is>
          <t>Program_KPIs (20 standard KPIs with external refs)</t>
        </is>
      </c>
    </row>
    <row r="15">
      <c r="A15" s="19" t="inlineStr">
        <is>
          <t>Sheet 3:</t>
        </is>
      </c>
      <c r="B15" s="19" t="inlineStr">
        <is>
          <t>Source_Portfolio (aggregated from 5.7.1)</t>
        </is>
      </c>
    </row>
    <row r="16">
      <c r="A16" s="19" t="inlineStr">
        <is>
          <t>Sheet 4:</t>
        </is>
      </c>
      <c r="B16" s="19" t="inlineStr">
        <is>
          <t>Intelligence_Operations (aggregated from 5.7.2)</t>
        </is>
      </c>
    </row>
    <row r="17">
      <c r="A17" s="19" t="inlineStr">
        <is>
          <t>Sheet 5:</t>
        </is>
      </c>
      <c r="B17" s="19" t="inlineStr">
        <is>
          <t>Integration_Status (aggregated from 5.7.3)</t>
        </is>
      </c>
    </row>
    <row r="18">
      <c r="A18" s="19" t="inlineStr">
        <is>
          <t>Sheet 6:</t>
        </is>
      </c>
      <c r="B18" s="19" t="inlineStr">
        <is>
          <t>Stakeholder_Engagement (aggregated from 5.7.3)</t>
        </is>
      </c>
    </row>
    <row r="19">
      <c r="A19" s="19" t="inlineStr">
        <is>
          <t>Sheet 7:</t>
        </is>
      </c>
      <c r="B19" s="19" t="inlineStr">
        <is>
          <t>Trend_Analysis (12-month historical tracking)</t>
        </is>
      </c>
    </row>
    <row r="20">
      <c r="A20" s="19" t="inlineStr">
        <is>
          <t>Sheet 8:</t>
        </is>
      </c>
      <c r="B20" s="19" t="inlineStr">
        <is>
          <t>Risk_Indicators (early warning system)</t>
        </is>
      </c>
    </row>
    <row r="21">
      <c r="A21" s="19" t="inlineStr">
        <is>
          <t>Sheet 9:</t>
        </is>
      </c>
      <c r="B21" s="19" t="inlineStr">
        <is>
          <t>Compliance_Evidence (20 audit artifacts)</t>
        </is>
      </c>
    </row>
    <row r="22">
      <c r="A22" s="19" t="inlineStr">
        <is>
          <t>Sheet 10:</t>
        </is>
      </c>
      <c r="B22" s="19" t="inlineStr">
        <is>
          <t>Monthly_Report (executive summary)</t>
        </is>
      </c>
    </row>
    <row r="23">
      <c r="A23" s="19" t="inlineStr">
        <is>
          <t>Sheet 11:</t>
        </is>
      </c>
      <c r="B23" s="19" t="inlineStr">
        <is>
          <t>Quarterly_Report (strategic review)</t>
        </is>
      </c>
    </row>
    <row r="24">
      <c r="A24" s="19" t="inlineStr">
        <is>
          <t>Sheet 12:</t>
        </is>
      </c>
      <c r="B24" s="19" t="inlineStr">
        <is>
          <t>Metadata (this sheet)</t>
        </is>
      </c>
    </row>
    <row r="25">
      <c r="A25" s="19" t="inlineStr"/>
      <c r="B25" s="19" t="inlineStr"/>
    </row>
    <row r="26">
      <c r="A26" s="16" t="inlineStr">
        <is>
          <t>External References:</t>
        </is>
      </c>
      <c r="B26" s="16" t="inlineStr">
        <is>
          <t>CRITICAL - Must update file paths after generation</t>
        </is>
      </c>
    </row>
    <row r="27">
      <c r="A27" s="19" t="inlineStr">
        <is>
          <t>Source Workbooks:</t>
        </is>
      </c>
      <c r="B27" s="19" t="inlineStr">
        <is>
          <t>5.7.1 (Sources), 5.7.2 (Collection), 5.7.3 (Integration)</t>
        </is>
      </c>
    </row>
    <row r="28">
      <c r="A28" s="19" t="inlineStr">
        <is>
          <t>Integration Point:</t>
        </is>
      </c>
      <c r="B28" s="19" t="inlineStr">
        <is>
          <t>VTL metrics from 5.7.2 Sheet 8 (Control 8.8 linkage)</t>
        </is>
      </c>
    </row>
    <row r="29">
      <c r="A29" s="19" t="inlineStr"/>
      <c r="B29" s="19" t="inlineStr"/>
    </row>
    <row r="30">
      <c r="A30" s="16" t="inlineStr">
        <is>
          <t>Setup Instructions:</t>
        </is>
      </c>
      <c r="B30" s="16" t="inlineStr">
        <is>
          <t>1. Place all 5.7.x workbooks in same directory</t>
        </is>
      </c>
    </row>
    <row r="31">
      <c r="A31" s="19" t="inlineStr"/>
      <c r="B31" s="19" t="inlineStr">
        <is>
          <t>2. Open this dashboard</t>
        </is>
      </c>
    </row>
    <row r="32">
      <c r="A32" s="19" t="inlineStr"/>
      <c r="B32" s="19" t="inlineStr">
        <is>
          <t>3. Data → Edit Links → Update paths</t>
        </is>
      </c>
    </row>
    <row r="33">
      <c r="A33" s="19" t="inlineStr"/>
      <c r="B33" s="19" t="inlineStr">
        <is>
          <t>4. Click 'Update' when prompted to refresh external links</t>
        </is>
      </c>
    </row>
    <row r="34">
      <c r="A34" s="19" t="inlineStr"/>
      <c r="B34" s="19" t="inlineStr">
        <is>
          <t>5. Set target values in Program_KPIs sheet</t>
        </is>
      </c>
    </row>
    <row r="35">
      <c r="A35" s="19" t="inlineStr"/>
      <c r="B35" s="19" t="inlineStr">
        <is>
          <t>6. Configure risk thresholds in Risk_Indicators</t>
        </is>
      </c>
    </row>
    <row r="36">
      <c r="A36" s="19" t="inlineStr"/>
      <c r="B36" s="19" t="inlineStr"/>
    </row>
    <row r="37">
      <c r="A37" s="19" t="inlineStr">
        <is>
          <t>Review Cycle:</t>
        </is>
      </c>
      <c r="B37" s="19" t="inlineStr">
        <is>
          <t>Monthly refresh, Quarterly deep review</t>
        </is>
      </c>
    </row>
    <row r="38">
      <c r="A38" s="19" t="inlineStr">
        <is>
          <t>Policy Reference:</t>
        </is>
      </c>
      <c r="B38" s="19" t="inlineStr">
        <is>
          <t>ISMS-POL-A.5.7 (All Sections)</t>
        </is>
      </c>
    </row>
    <row r="39">
      <c r="A39" s="19" t="inlineStr">
        <is>
          <t>Related Workbooks:</t>
        </is>
      </c>
      <c r="B39" s="19" t="inlineStr">
        <is>
          <t>ISMS-IMP-A.5.7.1, ISMS-IMP-A.5.7.2, ISMS-IMP-A.5.7.3</t>
        </is>
      </c>
    </row>
    <row r="40">
      <c r="A40" s="19" t="inlineStr"/>
      <c r="B40" s="19" t="inlineStr"/>
    </row>
    <row r="41">
      <c r="A41" s="19" t="inlineStr">
        <is>
          <t>Notes:</t>
        </is>
      </c>
      <c r="B41" s="19" t="inlineStr">
        <is>
          <t>External references enable auto-aggregation from source workbooks</t>
        </is>
      </c>
    </row>
    <row r="42">
      <c r="A42" s="19" t="inlineStr"/>
      <c r="B42" s="19" t="inlineStr">
        <is>
          <t>Charts and visualizations require manual creation or BI tools</t>
        </is>
      </c>
    </row>
    <row r="43">
      <c r="A43" s="19" t="inlineStr"/>
      <c r="B43" s="19" t="inlineStr">
        <is>
          <t>As Feynman said: 'The first principle is that you must not fool yourself'</t>
        </is>
      </c>
    </row>
    <row r="44">
      <c r="A44" s="19" t="inlineStr"/>
      <c r="B44" s="19" t="inlineStr">
        <is>
          <t>This dashboard synthesizes evidence, not theater.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2026-02-08T11:25:43Z</dcterms:created>
  <dcterms:modified xmlns:dcterms="http://purl.org/dc/terms/" xmlns:xsi="http://www.w3.org/2001/XMLSchema-instance" xsi:type="dcterms:W3CDTF">2026-02-08T11:25:43Z</dcterms:modified>
</cp:coreProperties>
</file>