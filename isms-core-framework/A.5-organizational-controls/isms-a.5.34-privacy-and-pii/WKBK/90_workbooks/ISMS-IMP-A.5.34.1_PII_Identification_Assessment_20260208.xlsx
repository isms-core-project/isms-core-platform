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structions &amp; Legend" sheetId="1" state="visible" r:id="rId1"/>
    <sheet xmlns:r="http://schemas.openxmlformats.org/officeDocument/2006/relationships" name="2. PII System Inventory" sheetId="2" state="visible" r:id="rId2"/>
    <sheet xmlns:r="http://schemas.openxmlformats.org/officeDocument/2006/relationships" name="3. PII Data Flow Mapping" sheetId="3" state="visible" r:id="rId3"/>
    <sheet xmlns:r="http://schemas.openxmlformats.org/officeDocument/2006/relationships" name="4. ROPA (Record of Processing)" sheetId="4" state="visible" r:id="rId4"/>
    <sheet xmlns:r="http://schemas.openxmlformats.org/officeDocument/2006/relationships" name="5. PII Discovery Gaps" sheetId="5" state="visible" r:id="rId5"/>
    <sheet xmlns:r="http://schemas.openxmlformats.org/officeDocument/2006/relationships" name="6. Evidence Register" sheetId="6" state="visible" r:id="rId6"/>
    <sheet xmlns:r="http://schemas.openxmlformats.org/officeDocument/2006/relationships" name="7. Dashboard" sheetId="7" state="visible" r:id="rId7"/>
    <sheet xmlns:r="http://schemas.openxmlformats.org/officeDocument/2006/relationships" name="8. Approval &amp;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7">
    <dxf>
      <fill>
        <patternFill patternType="solid">
          <fgColor rgb="00D3D3D3"/>
          <bgColor rgb="00D3D3D3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006400"/>
          <bgColor rgb="00006400"/>
        </patternFill>
      </fill>
    </dxf>
    <dxf>
      <fill>
        <patternFill patternType="solid">
          <fgColor rgb="00FFA500"/>
          <bgColor rgb="00FFA500"/>
        </patternFill>
      </fill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ill>
        <patternFill patternType="solid">
          <fgColor rgb="0087CEEB"/>
          <bgColor rgb="0087CE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25" customWidth="1" min="1" max="1"/>
    <col width="100" customWidth="1" min="2" max="2"/>
  </cols>
  <sheetData>
    <row r="1">
      <c r="A1" s="1" t="inlineStr">
        <is>
          <t>ISMS-IMP-A.5.34.1 - PII Identification and Classification Assessment</t>
        </is>
      </c>
    </row>
    <row r="3">
      <c r="A3" s="2" t="inlineStr"/>
      <c r="B3" s="3" t="inlineStr"/>
    </row>
    <row r="4">
      <c r="A4" s="2" t="inlineStr">
        <is>
          <t>Purpose:</t>
        </is>
      </c>
      <c r="B4" s="3" t="inlineStr">
        <is>
          <t>This workbook supports systematic identification and classification of all PII processed by the organization.</t>
        </is>
      </c>
    </row>
    <row r="5">
      <c r="A5" s="2" t="inlineStr"/>
      <c r="B5" s="3" t="inlineStr"/>
    </row>
    <row r="6">
      <c r="A6" s="2" t="inlineStr">
        <is>
          <t>Regulatory Compliance:</t>
        </is>
      </c>
      <c r="B6" s="3" t="inlineStr">
        <is>
          <t>- GDPR Article 30 (Record of Processing Activities - ROPA)</t>
        </is>
      </c>
    </row>
    <row r="7">
      <c r="A7" s="2" t="inlineStr"/>
      <c r="B7" s="3" t="inlineStr">
        <is>
          <t>- Swiss FADP Articles 5, 6, 8 (Data protection principles, PII categories)</t>
        </is>
      </c>
    </row>
    <row r="8">
      <c r="A8" s="2" t="inlineStr"/>
      <c r="B8" s="3" t="inlineStr">
        <is>
          <t>- ISO/IEC 27001:2022 Control A.5.34 (Privacy and Protection of PII)</t>
        </is>
      </c>
    </row>
    <row r="9">
      <c r="A9" s="2" t="inlineStr"/>
      <c r="B9" s="3" t="inlineStr"/>
    </row>
    <row r="10">
      <c r="A10" s="2" t="inlineStr">
        <is>
          <t>Assessment Scope:</t>
        </is>
      </c>
      <c r="B10" s="3" t="inlineStr">
        <is>
          <t>All systems, processes, and activities that collect, process, store, or transmit personal data.</t>
        </is>
      </c>
    </row>
    <row r="11">
      <c r="A11" s="2" t="inlineStr"/>
      <c r="B11" s="3" t="inlineStr"/>
    </row>
    <row r="12">
      <c r="A12" s="2" t="inlineStr">
        <is>
          <t>Completion Instructions:</t>
        </is>
      </c>
      <c r="B12" s="3" t="inlineStr"/>
    </row>
    <row r="13">
      <c r="A13" s="2" t="inlineStr"/>
      <c r="B13" s="3" t="inlineStr">
        <is>
          <t>1. Complete Sheet 2 (PII System Inventory) - identify all PII-containing systems</t>
        </is>
      </c>
    </row>
    <row r="14">
      <c r="A14" s="2" t="inlineStr"/>
      <c r="B14" s="3" t="inlineStr">
        <is>
          <t>2. Complete Sheet 3 (Data Flow Mapping) - map PII flows including cross-border transfers</t>
        </is>
      </c>
    </row>
    <row r="15">
      <c r="A15" s="2" t="inlineStr"/>
      <c r="B15" s="3" t="inlineStr">
        <is>
          <t>3. Complete Sheet 4 (ROPA) - create GDPR-compliant processing activity records</t>
        </is>
      </c>
    </row>
    <row r="16">
      <c r="A16" s="2" t="inlineStr"/>
      <c r="B16" s="3" t="inlineStr">
        <is>
          <t>4. Complete Sheet 5 (Gaps) - document non-compliant processing and remediation plans</t>
        </is>
      </c>
    </row>
    <row r="17">
      <c r="A17" s="2" t="inlineStr"/>
      <c r="B17" s="3" t="inlineStr">
        <is>
          <t>5. Complete Sheet 6 (Evidence) - link supporting evidence for audit trail</t>
        </is>
      </c>
    </row>
    <row r="18">
      <c r="A18" s="2" t="inlineStr"/>
      <c r="B18" s="3" t="inlineStr">
        <is>
          <t>6. Review Sheet 7 (Dashboard) - validate compliance metrics</t>
        </is>
      </c>
    </row>
    <row r="19">
      <c r="A19" s="2" t="inlineStr"/>
      <c r="B19" s="3" t="inlineStr">
        <is>
          <t>7. Obtain approvals in Sheet 8 (Sign-Off)</t>
        </is>
      </c>
    </row>
    <row r="20">
      <c r="A20" s="2" t="inlineStr"/>
      <c r="B20" s="3" t="inlineStr"/>
    </row>
    <row r="21">
      <c r="A21" s="2" t="inlineStr">
        <is>
          <t>Key Definitions:</t>
        </is>
      </c>
      <c r="B21" s="3" t="inlineStr"/>
    </row>
    <row r="22">
      <c r="A22" s="2" t="inlineStr"/>
      <c r="B22" s="3" t="inlineStr"/>
    </row>
    <row r="23">
      <c r="A23" s="2" t="inlineStr">
        <is>
          <t>Personal Data / PII:</t>
        </is>
      </c>
      <c r="B23" s="3" t="inlineStr">
        <is>
          <t>Any information relating to an identified or identifiable natural person (GDPR Art. 4(1), FADP Art. 5(a))</t>
        </is>
      </c>
    </row>
    <row r="24">
      <c r="A24" s="2" t="inlineStr"/>
      <c r="B24" s="3" t="inlineStr"/>
    </row>
    <row r="25">
      <c r="A25" s="2" t="inlineStr">
        <is>
          <t>PII Classifications:</t>
        </is>
      </c>
      <c r="B25" s="3" t="inlineStr"/>
    </row>
    <row r="26">
      <c r="A26" s="2" t="inlineStr">
        <is>
          <t>Basic PII:</t>
        </is>
      </c>
      <c r="B26" s="3" t="inlineStr">
        <is>
          <t>Standard personal data requiring baseline protection (names, emails, addresses, financial data)</t>
        </is>
      </c>
    </row>
    <row r="27">
      <c r="A27" s="2" t="inlineStr">
        <is>
          <t>Sensitive PII:</t>
        </is>
      </c>
      <c r="B27" s="3" t="inlineStr">
        <is>
          <t>Special category data per GDPR Art. 9 / FADP Art. 5(c) requiring enhanced protection:</t>
        </is>
      </c>
    </row>
    <row r="28">
      <c r="A28" s="2" t="inlineStr"/>
      <c r="B28" s="3" t="inlineStr">
        <is>
          <t xml:space="preserve">  • Health data, genetic data, biometric data (for unique identification)</t>
        </is>
      </c>
    </row>
    <row r="29">
      <c r="A29" s="2" t="inlineStr"/>
      <c r="B29" s="3" t="inlineStr">
        <is>
          <t xml:space="preserve">  • Racial/ethnic origin, political opinions, religious/philosophical beliefs</t>
        </is>
      </c>
    </row>
    <row r="30">
      <c r="A30" s="2" t="inlineStr"/>
      <c r="B30" s="3" t="inlineStr">
        <is>
          <t xml:space="preserve">  • Trade union membership, sex life/sexual orientation, private sphere (FADP)</t>
        </is>
      </c>
    </row>
    <row r="31">
      <c r="A31" s="2" t="inlineStr">
        <is>
          <t>Criminal Offense Data:</t>
        </is>
      </c>
      <c r="B31" s="3" t="inlineStr">
        <is>
          <t>Data relating to criminal convictions, offenses, or related security measures (GDPR Art. 10)</t>
        </is>
      </c>
    </row>
    <row r="32">
      <c r="A32" s="2" t="inlineStr"/>
      <c r="B32" s="3" t="inlineStr"/>
    </row>
    <row r="33">
      <c r="A33" s="2" t="inlineStr">
        <is>
          <t>Legal Bases (GDPR Art. 6):</t>
        </is>
      </c>
      <c r="B33" s="3" t="inlineStr"/>
    </row>
    <row r="34">
      <c r="A34" s="2" t="inlineStr"/>
      <c r="B34" s="3" t="inlineStr">
        <is>
          <t>Every processing activity MUST have a valid legal basis:</t>
        </is>
      </c>
    </row>
    <row r="35">
      <c r="A35" s="2" t="inlineStr">
        <is>
          <t>Consent:</t>
        </is>
      </c>
      <c r="B35" s="3" t="inlineStr">
        <is>
          <t>Data subject gave explicit consent for specific purpose (freely given, specific, informed, unambiguous, withdrawable)</t>
        </is>
      </c>
    </row>
    <row r="36">
      <c r="A36" s="2" t="inlineStr">
        <is>
          <t>Contract:</t>
        </is>
      </c>
      <c r="B36" s="3" t="inlineStr">
        <is>
          <t>Processing necessary to perform contract with data subject</t>
        </is>
      </c>
    </row>
    <row r="37">
      <c r="A37" s="2" t="inlineStr">
        <is>
          <t>Legal Obligation:</t>
        </is>
      </c>
      <c r="B37" s="3" t="inlineStr">
        <is>
          <t>Processing required by EU/Member State law</t>
        </is>
      </c>
    </row>
    <row r="38">
      <c r="A38" s="2" t="inlineStr">
        <is>
          <t>Vital Interests:</t>
        </is>
      </c>
      <c r="B38" s="3" t="inlineStr">
        <is>
          <t>Processing necessary to protect life/physical integrity (emergency only)</t>
        </is>
      </c>
    </row>
    <row r="39">
      <c r="A39" s="2" t="inlineStr">
        <is>
          <t>Public Task:</t>
        </is>
      </c>
      <c r="B39" s="3" t="inlineStr">
        <is>
          <t>Processing for task in public interest (typically public authorities only)</t>
        </is>
      </c>
    </row>
    <row r="40">
      <c r="A40" s="2" t="inlineStr">
        <is>
          <t>Legitimate Interests:</t>
        </is>
      </c>
      <c r="B40" s="3" t="inlineStr">
        <is>
          <t>Processing necessary for legitimate interests of controller/third party (requires LIA)</t>
        </is>
      </c>
    </row>
    <row r="41">
      <c r="A41" s="2" t="inlineStr"/>
      <c r="B41" s="3" t="inlineStr"/>
    </row>
    <row r="42">
      <c r="A42" s="2" t="inlineStr">
        <is>
          <t>Cross-Border Transfers:</t>
        </is>
      </c>
      <c r="B42" s="3" t="inlineStr">
        <is>
          <t>Personal data transferred outside EU/Switzerland requires safeguards:</t>
        </is>
      </c>
    </row>
    <row r="43">
      <c r="A43" s="2" t="inlineStr">
        <is>
          <t>Adequacy Decision:</t>
        </is>
      </c>
      <c r="B43" s="3" t="inlineStr">
        <is>
          <t>EU/CH recognizes destination country as providing adequate protection</t>
        </is>
      </c>
    </row>
    <row r="44">
      <c r="A44" s="2" t="inlineStr">
        <is>
          <t>SCCs:</t>
        </is>
      </c>
      <c r="B44" s="3" t="inlineStr">
        <is>
          <t>Standard Contractual Clauses (EU Commission approved contract terms)</t>
        </is>
      </c>
    </row>
    <row r="45">
      <c r="A45" s="2" t="inlineStr">
        <is>
          <t>BCRs:</t>
        </is>
      </c>
      <c r="B45" s="3" t="inlineStr">
        <is>
          <t>Binding Corporate Rules (intra-group transfer mechanism)</t>
        </is>
      </c>
    </row>
    <row r="46">
      <c r="A46" s="2" t="inlineStr">
        <is>
          <t>Derogations:</t>
        </is>
      </c>
      <c r="B46" s="3" t="inlineStr">
        <is>
          <t>Specific exceptions per GDPR Art. 49 / FADP Art. 17 (consent, contract, legal claims)</t>
        </is>
      </c>
    </row>
    <row r="47">
      <c r="A47" s="2" t="inlineStr"/>
      <c r="B47" s="3" t="inlineStr"/>
    </row>
    <row r="48">
      <c r="A48" s="2" t="inlineStr">
        <is>
          <t>Record of Processing Activities (ROPA):</t>
        </is>
      </c>
      <c r="B48" s="3" t="inlineStr">
        <is>
          <t>GDPR Article 30 mandates controllers maintain ROPA documenting:</t>
        </is>
      </c>
    </row>
    <row r="49">
      <c r="A49" s="2" t="inlineStr"/>
      <c r="B49" s="3" t="inlineStr">
        <is>
          <t xml:space="preserve">  • Purposes of processing</t>
        </is>
      </c>
    </row>
    <row r="50">
      <c r="A50" s="2" t="inlineStr"/>
      <c r="B50" s="3" t="inlineStr">
        <is>
          <t xml:space="preserve">  • Categories of data subjects and personal data</t>
        </is>
      </c>
    </row>
    <row r="51">
      <c r="A51" s="2" t="inlineStr"/>
      <c r="B51" s="3" t="inlineStr">
        <is>
          <t xml:space="preserve">  • Categories of recipients (including international transfers)</t>
        </is>
      </c>
    </row>
    <row r="52">
      <c r="A52" s="2" t="inlineStr"/>
      <c r="B52" s="3" t="inlineStr">
        <is>
          <t xml:space="preserve">  • Retention periods</t>
        </is>
      </c>
    </row>
    <row r="53">
      <c r="A53" s="2" t="inlineStr"/>
      <c r="B53" s="3" t="inlineStr">
        <is>
          <t xml:space="preserve">  • Technical and organizational security measures</t>
        </is>
      </c>
    </row>
    <row r="54">
      <c r="A54" s="2" t="inlineStr"/>
      <c r="B54" s="3" t="inlineStr"/>
    </row>
    <row r="55">
      <c r="A55" s="2" t="inlineStr">
        <is>
          <t>Assessment Frequency:</t>
        </is>
      </c>
      <c r="B55" s="3" t="inlineStr"/>
    </row>
    <row r="56">
      <c r="A56" s="2" t="inlineStr">
        <is>
          <t>Initial:</t>
        </is>
      </c>
      <c r="B56" s="3" t="inlineStr">
        <is>
          <t>Comprehensive assessment of all systems and processing activities</t>
        </is>
      </c>
    </row>
    <row r="57">
      <c r="A57" s="2" t="inlineStr">
        <is>
          <t>Quarterly:</t>
        </is>
      </c>
      <c r="B57" s="3" t="inlineStr">
        <is>
          <t>Update for new systems, changed processing, M&amp;A activity</t>
        </is>
      </c>
    </row>
    <row r="58">
      <c r="A58" s="2" t="inlineStr">
        <is>
          <t>Annual:</t>
        </is>
      </c>
      <c r="B58" s="3" t="inlineStr">
        <is>
          <t>Complete re-validation of all entries</t>
        </is>
      </c>
    </row>
    <row r="59">
      <c r="A59" s="2" t="inlineStr">
        <is>
          <t>Triggered:</t>
        </is>
      </c>
      <c r="B59" s="3" t="inlineStr">
        <is>
          <t>Material changes (new products, major system changes, regulatory changes)</t>
        </is>
      </c>
    </row>
    <row r="60">
      <c r="A60" s="2" t="inlineStr"/>
      <c r="B60" s="3" t="inlineStr"/>
    </row>
    <row r="61">
      <c r="A61" s="2" t="inlineStr">
        <is>
          <t>Support &amp; Questions:</t>
        </is>
      </c>
      <c r="B61" s="3" t="inlineStr">
        <is>
          <t>Contact DPO/Privacy Officer: [dpo@organization.com]</t>
        </is>
      </c>
    </row>
    <row r="62">
      <c r="A62" s="2" t="inlineStr"/>
      <c r="B62" s="3" t="inlineStr"/>
    </row>
    <row r="63">
      <c r="A63" s="2" t="inlineStr">
        <is>
          <t>Document Version:</t>
        </is>
      </c>
      <c r="B63" s="3" t="inlineStr">
        <is>
          <t>1.0</t>
        </is>
      </c>
    </row>
    <row r="64">
      <c r="A64" s="2" t="inlineStr">
        <is>
          <t>Generated Date:</t>
        </is>
      </c>
      <c r="B64" s="3" t="inlineStr">
        <is>
          <t>08.02.2026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5" customWidth="1" min="4" max="4"/>
    <col width="30" customWidth="1" min="5" max="5"/>
    <col width="18" customWidth="1" min="6" max="6"/>
    <col width="20" customWidth="1" min="7" max="7"/>
    <col width="35" customWidth="1" min="8" max="8"/>
    <col width="20" customWidth="1" min="9" max="9"/>
    <col width="30" customWidth="1" min="10" max="10"/>
    <col width="18" customWidth="1" min="11" max="11"/>
    <col width="30" customWidth="1" min="12" max="12"/>
    <col width="25" customWidth="1" min="13" max="13"/>
    <col width="20" customWidth="1" min="14" max="14"/>
    <col width="15" customWidth="1" min="15" max="15"/>
    <col width="15" customWidth="1" min="16" max="16"/>
    <col width="20" customWidth="1" min="17" max="17"/>
    <col width="35" customWidth="1" min="18" max="18"/>
    <col width="20" customWidth="1" min="19" max="19"/>
    <col width="25" customWidth="1" min="20" max="20"/>
  </cols>
  <sheetData>
    <row r="1">
      <c r="A1" s="4" t="inlineStr">
        <is>
          <t>RowID</t>
        </is>
      </c>
      <c r="B1" s="4" t="inlineStr">
        <is>
          <t>Status</t>
        </is>
      </c>
      <c r="C1" s="4" t="inlineStr">
        <is>
          <t>System Name</t>
        </is>
      </c>
      <c r="D1" s="4" t="inlineStr">
        <is>
          <t>System Owner</t>
        </is>
      </c>
      <c r="E1" s="4" t="inlineStr">
        <is>
          <t>System Type</t>
        </is>
      </c>
      <c r="F1" s="4" t="inlineStr">
        <is>
          <t>PII Processing Role</t>
        </is>
      </c>
      <c r="G1" s="4" t="inlineStr">
        <is>
          <t>PII Data Subjects</t>
        </is>
      </c>
      <c r="H1" s="4" t="inlineStr">
        <is>
          <t>PII Categories</t>
        </is>
      </c>
      <c r="I1" s="4" t="inlineStr">
        <is>
          <t>PII Classification</t>
        </is>
      </c>
      <c r="J1" s="4" t="inlineStr">
        <is>
          <t>Sensitive PII Types (if applicable)</t>
        </is>
      </c>
      <c r="K1" s="4" t="inlineStr">
        <is>
          <t>Data Volume (approx. records)</t>
        </is>
      </c>
      <c r="L1" s="4" t="inlineStr">
        <is>
          <t>Hosting Location</t>
        </is>
      </c>
      <c r="M1" s="4" t="inlineStr">
        <is>
          <t>Access Level (who/how many)</t>
        </is>
      </c>
      <c r="N1" s="4" t="inlineStr">
        <is>
          <t>Discovery Method</t>
        </is>
      </c>
      <c r="O1" s="4" t="inlineStr">
        <is>
          <t>Discovery Date</t>
        </is>
      </c>
      <c r="P1" s="4" t="inlineStr">
        <is>
          <t>Last Updated</t>
        </is>
      </c>
      <c r="Q1" s="4" t="inlineStr">
        <is>
          <t>Updated By</t>
        </is>
      </c>
      <c r="R1" s="4" t="inlineStr">
        <is>
          <t>Notes</t>
        </is>
      </c>
      <c r="S1" s="4" t="inlineStr">
        <is>
          <t>Evidence Reference</t>
        </is>
      </c>
      <c r="T1" s="4" t="inlineStr">
        <is>
          <t>Review Comments</t>
        </is>
      </c>
    </row>
    <row r="2">
      <c r="A2">
        <f>TEXT(ROW()-1,"SYS-000")</f>
        <v/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>
        <f>TODAY()</f>
        <v/>
      </c>
      <c r="P2" s="5">
        <f>TODAY()</f>
        <v/>
      </c>
      <c r="Q2" s="5" t="n"/>
      <c r="R2" s="5" t="n"/>
      <c r="S2" s="5" t="n"/>
      <c r="T2" s="5" t="n"/>
    </row>
    <row r="3"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conditionalFormatting sqref="B2:B1000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3">
      <formula>"Validated"</formula>
    </cfRule>
  </conditionalFormatting>
  <conditionalFormatting sqref="I2:I1000">
    <cfRule type="cellIs" priority="5" operator="containsText" dxfId="4">
      <formula>"Sensitive"</formula>
    </cfRule>
    <cfRule type="cellIs" priority="6" operator="containsText" dxfId="5">
      <formula>"Criminal"</formula>
    </cfRule>
  </conditionalFormatting>
  <dataValidations count="5">
    <dataValidation sqref="B2:B1000" showDropDown="1" showInputMessage="0" showErrorMessage="0" allowBlank="1" errorTitle="Invalid Entry" error="Invalid value. Please select from dropdown." type="list">
      <formula1>"Not Started,In Progress,Complete,Validated"</formula1>
    </dataValidation>
    <dataValidation sqref="E2:E1000" showDropDown="1" showInputMessage="0" showErrorMessage="0" allowBlank="1" errorTitle="Invalid Entry" error="Invalid value. Please select from dropdown." type="list">
      <formula1>"Customer Relationship Management (CRM),Human Resources Information System (HRIS),Payroll System,Email System,Collaboration Tool (Slack, Teams, etc.),File Storage (Google Drive, SharePoint, etc.),Marketing Automation,Analytics Platform,E-Commerce / Shopping Cart,Payment Processing,Customer Support / Help Desk,Backup System,Database Server,Website / Web Application,Mobile Application,CCTV / Physical Security,Access Control System,Other"</formula1>
    </dataValidation>
    <dataValidation sqref="F2:F1000" showDropDown="1" showInputMessage="0" showErrorMessage="0" allowBlank="1" errorTitle="Invalid Entry" error="Invalid value. Please select from dropdown." type="list">
      <formula1>"Controller,Processor,Joint Controller"</formula1>
    </dataValidation>
    <dataValidation sqref="I2:I1000" showDropDown="1" showInputMessage="0" showErrorMessage="0" allowBlank="1" errorTitle="Invalid Entry" error="Invalid value. Please select from dropdown." type="list">
      <formula1>"Basic PII,Sensitive PII (GDPR Art. 9 / FADP Art. 5(c)),Criminal Offense Data (GDPR Art. 10 / FADP Art. 5(c)5)"</formula1>
    </dataValidation>
    <dataValidation sqref="N2:N1000" showDropDown="1" showInputMessage="0" showErrorMessage="0" allowBlank="1" errorTitle="Invalid Entry" error="Invalid value. Please select from dropdown." type="list">
      <formula1>"Automated Scan (DLP),Manual Survey,Interview (System Owner),Documentation Review,Database Schema Analysis,Other"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5" customWidth="1" min="4" max="4"/>
    <col width="30" customWidth="1" min="5" max="5"/>
    <col width="18" customWidth="1" min="6" max="6"/>
    <col width="15" customWidth="1" min="7" max="7"/>
    <col width="30" customWidth="1" min="8" max="8"/>
    <col width="25" customWidth="1" min="9" max="9"/>
    <col width="18" customWidth="1" min="10" max="10"/>
    <col width="25" customWidth="1" min="11" max="11"/>
    <col width="15" customWidth="1" min="12" max="12"/>
    <col width="20" customWidth="1" min="13" max="13"/>
    <col width="30" customWidth="1" min="14" max="14"/>
    <col width="15" customWidth="1" min="15" max="15"/>
    <col width="20" customWidth="1" min="16" max="16"/>
    <col width="35" customWidth="1" min="17" max="17"/>
    <col width="15" customWidth="1" min="18" max="18"/>
    <col width="20" customWidth="1" min="19" max="19"/>
    <col width="35" customWidth="1" min="20" max="20"/>
    <col width="20" customWidth="1" min="21" max="21"/>
    <col width="25" customWidth="1" min="22" max="22"/>
  </cols>
  <sheetData>
    <row r="1">
      <c r="A1" s="4" t="inlineStr">
        <is>
          <t>RowID</t>
        </is>
      </c>
      <c r="B1" s="4" t="inlineStr">
        <is>
          <t>Status</t>
        </is>
      </c>
      <c r="C1" s="4" t="inlineStr">
        <is>
          <t>Source System</t>
        </is>
      </c>
      <c r="D1" s="4" t="inlineStr">
        <is>
          <t>Destination System</t>
        </is>
      </c>
      <c r="E1" s="4" t="inlineStr">
        <is>
          <t>PII Categories Transferred</t>
        </is>
      </c>
      <c r="F1" s="4" t="inlineStr">
        <is>
          <t>Transfer Method</t>
        </is>
      </c>
      <c r="G1" s="4" t="inlineStr">
        <is>
          <t>Transfer Frequency</t>
        </is>
      </c>
      <c r="H1" s="4" t="inlineStr">
        <is>
          <t>Purpose of Transfer</t>
        </is>
      </c>
      <c r="I1" s="4" t="inlineStr">
        <is>
          <t>Legal Basis (Art. 6)</t>
        </is>
      </c>
      <c r="J1" s="4" t="inlineStr">
        <is>
          <t>Recipient Type</t>
        </is>
      </c>
      <c r="K1" s="4" t="inlineStr">
        <is>
          <t>Recipient Name (if external)</t>
        </is>
      </c>
      <c r="L1" s="4" t="inlineStr">
        <is>
          <t>Cross-Border Transfer?</t>
        </is>
      </c>
      <c r="M1" s="4" t="inlineStr">
        <is>
          <t>Destination Country</t>
        </is>
      </c>
      <c r="N1" s="4" t="inlineStr">
        <is>
          <t>Transfer Mechanism</t>
        </is>
      </c>
      <c r="O1" s="4" t="inlineStr">
        <is>
          <t>SCC Date (if applicable)</t>
        </is>
      </c>
      <c r="P1" s="4" t="inlineStr">
        <is>
          <t>TIA Completed? (if cross-border)</t>
        </is>
      </c>
      <c r="Q1" s="4" t="inlineStr">
        <is>
          <t>Security Measures</t>
        </is>
      </c>
      <c r="R1" s="4" t="inlineStr">
        <is>
          <t>Last Updated</t>
        </is>
      </c>
      <c r="S1" s="4" t="inlineStr">
        <is>
          <t>Updated By</t>
        </is>
      </c>
      <c r="T1" s="4" t="inlineStr">
        <is>
          <t>Notes</t>
        </is>
      </c>
      <c r="U1" s="4" t="inlineStr">
        <is>
          <t>Evidence Reference</t>
        </is>
      </c>
      <c r="V1" s="4" t="inlineStr">
        <is>
          <t>Review Comments</t>
        </is>
      </c>
    </row>
    <row r="2">
      <c r="A2">
        <f>TEXT(ROW()-1,"FLOW-000")</f>
        <v/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>
        <f>TODAY()</f>
        <v/>
      </c>
      <c r="S2" s="5" t="n"/>
      <c r="T2" s="5" t="n"/>
      <c r="U2" s="5" t="n"/>
      <c r="V2" s="5" t="n"/>
    </row>
    <row r="3"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</row>
    <row r="4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</row>
    <row r="5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conditionalFormatting sqref="B2:B1000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3">
      <formula>"Validated"</formula>
    </cfRule>
  </conditionalFormatting>
  <conditionalFormatting sqref="L2:L1000">
    <cfRule type="expression" priority="5" dxfId="5">
      <formula>AND($L2="Yes",$N2="")</formula>
    </cfRule>
  </conditionalFormatting>
  <dataValidations count="8">
    <dataValidation sqref="B2:B1000" showDropDown="1" showInputMessage="0" showErrorMessage="0" allowBlank="1" errorTitle="Invalid Entry" error="Invalid value. Please select from dropdown." type="list">
      <formula1>"Not Started,In Progress,Complete,Validated"</formula1>
    </dataValidation>
    <dataValidation sqref="F2:F1000" showDropDown="1" showInputMessage="0" showErrorMessage="0" allowBlank="1" errorTitle="Invalid Entry" error="Invalid value. Please select from dropdown." type="list">
      <formula1>"API,File Transfer,Email,Manual Entry,Database Replication,Backup,Other"</formula1>
    </dataValidation>
    <dataValidation sqref="G2:G1000" showDropDown="1" showInputMessage="0" showErrorMessage="0" allowBlank="1" errorTitle="Invalid Entry" error="Invalid value. Please select from dropdown." type="list">
      <formula1>"Real-time,Hourly,Daily,Weekly,Monthly,On-Demand,One-Time"</formula1>
    </dataValidation>
    <dataValidation sqref="I2:I1000" showDropDown="1" showInputMessage="0" showErrorMessage="0" allowBlank="1" errorTitle="Invalid Entry" error="Invalid value. Please select from dropdown." type="list">
      <formula1>"Consent (Art. 6(1)(a)),Contract (Art. 6(1)(b)),Legal Obligation (Art. 6(1)(c)),Vital Interests (Art. 6(1)(d)),Public Task (Art. 6(1)(e)),Legitimate Interests (Art. 6(1)(f))"</formula1>
    </dataValidation>
    <dataValidation sqref="J2:J1000" showDropDown="1" showInputMessage="0" showErrorMessage="0" allowBlank="1" errorTitle="Invalid Entry" error="Invalid value. Please select from dropdown." type="list">
      <formula1>"Internal (within organization),Processor (processes on our behalf per Art. 28),Third Party (separate controller),Public Authority (government, regulator)"</formula1>
    </dataValidation>
    <dataValidation sqref="L2:L1000" showDropDown="1" showInputMessage="0" showErrorMessage="0" allowBlank="1" errorTitle="Invalid Entry" error="Invalid value. Please select from dropdown." type="list">
      <formula1>"Yes,No"</formula1>
    </dataValidation>
    <dataValidation sqref="N2:N1000" showDropDown="1" showInputMessage="0" showErrorMessage="0" allowBlank="1" errorTitle="Invalid Entry" error="Invalid value. Please select from dropdown." type="list">
      <formula1>"No cross-border transfer,Adequacy Decision (EU/CH recognizes country),Standard Contractual Clauses (SCCs),Binding Corporate Rules (BCRs),EU-US Data Privacy Framework (DPF) Certification,Derogation - Explicit Consent,Derogation - Contract Necessity,Derogation - Legal Claims,Derogation - Vital Interests,Derogation - Legitimate Interests (Occasional)"</formula1>
    </dataValidation>
    <dataValidation sqref="P2:P1000" showDropDown="1" showInputMessage="0" showErrorMessage="0" allowBlank="1" errorTitle="Invalid Entry" error="Invalid value. Please select from dropdown.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0" customWidth="1" min="4" max="4"/>
    <col width="25" customWidth="1" min="5" max="5"/>
    <col width="30" customWidth="1" min="6" max="6"/>
    <col width="40" customWidth="1" min="7" max="7"/>
    <col width="25" customWidth="1" min="8" max="8"/>
    <col width="40" customWidth="1" min="9" max="9"/>
    <col width="18" customWidth="1" min="10" max="10"/>
    <col width="35" customWidth="1" min="11" max="11"/>
    <col width="30" customWidth="1" min="12" max="12"/>
    <col width="35" customWidth="1" min="13" max="13"/>
    <col width="30" customWidth="1" min="14" max="14"/>
    <col width="30" customWidth="1" min="15" max="15"/>
    <col width="15" customWidth="1" min="16" max="16"/>
    <col width="25" customWidth="1" min="17" max="17"/>
    <col width="35" customWidth="1" min="18" max="18"/>
    <col width="30" customWidth="1" min="19" max="19"/>
    <col width="35" customWidth="1" min="20" max="20"/>
    <col width="25" customWidth="1" min="21" max="21"/>
    <col width="40" customWidth="1" min="22" max="22"/>
    <col width="40" customWidth="1" min="23" max="23"/>
    <col width="30" customWidth="1" min="24" max="24"/>
    <col width="35" customWidth="1" min="25" max="25"/>
    <col width="15" customWidth="1" min="26" max="26"/>
    <col width="20" customWidth="1" min="27" max="27"/>
    <col width="18" customWidth="1" min="28" max="28"/>
    <col width="20" customWidth="1" min="29" max="29"/>
    <col width="15" customWidth="1" min="30" max="30"/>
    <col width="20" customWidth="1" min="31" max="31"/>
    <col width="40" customWidth="1" min="32" max="32"/>
    <col width="20" customWidth="1" min="33" max="33"/>
    <col width="30" customWidth="1" min="34" max="34"/>
  </cols>
  <sheetData>
    <row r="1">
      <c r="A1" s="4" t="inlineStr">
        <is>
          <t>RowID</t>
        </is>
      </c>
      <c r="B1" s="4" t="inlineStr">
        <is>
          <t>Status</t>
        </is>
      </c>
      <c r="C1" s="4" t="inlineStr">
        <is>
          <t>Processing Activity Name</t>
        </is>
      </c>
      <c r="D1" s="4" t="inlineStr">
        <is>
          <t>Purpose of Processing</t>
        </is>
      </c>
      <c r="E1" s="4" t="inlineStr">
        <is>
          <t>Legal Basis (Art. 6)</t>
        </is>
      </c>
      <c r="F1" s="4" t="inlineStr">
        <is>
          <t>Legal Basis (Art. 9 if special category)</t>
        </is>
      </c>
      <c r="G1" s="4" t="inlineStr">
        <is>
          <t>Legal Basis Justification</t>
        </is>
      </c>
      <c r="H1" s="4" t="inlineStr">
        <is>
          <t>Categories of Data Subjects</t>
        </is>
      </c>
      <c r="I1" s="4" t="inlineStr">
        <is>
          <t>Categories of Personal Data</t>
        </is>
      </c>
      <c r="J1" s="4" t="inlineStr">
        <is>
          <t>Contains Special Category Data?</t>
        </is>
      </c>
      <c r="K1" s="4" t="inlineStr">
        <is>
          <t>Specific Special Category Types</t>
        </is>
      </c>
      <c r="L1" s="4" t="inlineStr">
        <is>
          <t>Categories of Recipients (Internal)</t>
        </is>
      </c>
      <c r="M1" s="4" t="inlineStr">
        <is>
          <t>Categories of Recipients (Processors)</t>
        </is>
      </c>
      <c r="N1" s="4" t="inlineStr">
        <is>
          <t>Categories of Recipients (Third Parties)</t>
        </is>
      </c>
      <c r="O1" s="4" t="inlineStr">
        <is>
          <t>Categories of Recipients (Public Authorities)</t>
        </is>
      </c>
      <c r="P1" s="4" t="inlineStr">
        <is>
          <t>Transfers to Third Countries?</t>
        </is>
      </c>
      <c r="Q1" s="4" t="inlineStr">
        <is>
          <t>Third Countries</t>
        </is>
      </c>
      <c r="R1" s="4" t="inlineStr">
        <is>
          <t>Transfer Safeguards</t>
        </is>
      </c>
      <c r="S1" s="4" t="inlineStr">
        <is>
          <t>Retention Period</t>
        </is>
      </c>
      <c r="T1" s="4" t="inlineStr">
        <is>
          <t>Retention Justification</t>
        </is>
      </c>
      <c r="U1" s="4" t="inlineStr">
        <is>
          <t>Deletion Method</t>
        </is>
      </c>
      <c r="V1" s="4" t="inlineStr">
        <is>
          <t>Technical Security Measures</t>
        </is>
      </c>
      <c r="W1" s="4" t="inlineStr">
        <is>
          <t>Organizational Security Measures</t>
        </is>
      </c>
      <c r="X1" s="4" t="inlineStr">
        <is>
          <t>Data Sources</t>
        </is>
      </c>
      <c r="Y1" s="4" t="inlineStr">
        <is>
          <t>Data Subject Rights Supported</t>
        </is>
      </c>
      <c r="Z1" s="4" t="inlineStr">
        <is>
          <t>DPIA Completed?</t>
        </is>
      </c>
      <c r="AA1" s="4" t="inlineStr">
        <is>
          <t>DPIA Reference</t>
        </is>
      </c>
      <c r="AB1" s="4" t="inlineStr">
        <is>
          <t>LIA Completed? (if Leg. Interest)</t>
        </is>
      </c>
      <c r="AC1" s="4" t="inlineStr">
        <is>
          <t>LIA Reference</t>
        </is>
      </c>
      <c r="AD1" s="4" t="inlineStr">
        <is>
          <t>Last Updated</t>
        </is>
      </c>
      <c r="AE1" s="4" t="inlineStr">
        <is>
          <t>Updated By</t>
        </is>
      </c>
      <c r="AF1" s="4" t="inlineStr">
        <is>
          <t>Notes</t>
        </is>
      </c>
      <c r="AG1" s="4" t="inlineStr">
        <is>
          <t>Evidence Reference</t>
        </is>
      </c>
      <c r="AH1" s="4" t="inlineStr">
        <is>
          <t>Review Comments</t>
        </is>
      </c>
    </row>
    <row r="2">
      <c r="A2">
        <f>TEXT(ROW()-1,"ROPA-000")</f>
        <v/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>
        <f>TODAY()</f>
        <v/>
      </c>
      <c r="AE2" s="5" t="n"/>
      <c r="AF2" s="5" t="n"/>
      <c r="AG2" s="5" t="n"/>
      <c r="AH2" s="5" t="n"/>
    </row>
    <row r="3"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</row>
    <row r="4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</row>
    <row r="5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5" t="n"/>
      <c r="AE308" s="5" t="n"/>
      <c r="AF308" s="5" t="n"/>
      <c r="AG308" s="5" t="n"/>
      <c r="AH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5" t="n"/>
      <c r="AE310" s="5" t="n"/>
      <c r="AF310" s="5" t="n"/>
      <c r="AG310" s="5" t="n"/>
      <c r="AH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  <c r="AH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5" t="n"/>
      <c r="AE344" s="5" t="n"/>
      <c r="AF344" s="5" t="n"/>
      <c r="AG344" s="5" t="n"/>
      <c r="AH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5" t="n"/>
      <c r="AE376" s="5" t="n"/>
      <c r="AF376" s="5" t="n"/>
      <c r="AG376" s="5" t="n"/>
      <c r="AH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5" t="n"/>
      <c r="AE378" s="5" t="n"/>
      <c r="AF378" s="5" t="n"/>
      <c r="AG378" s="5" t="n"/>
      <c r="AH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5" t="n"/>
      <c r="AE410" s="5" t="n"/>
      <c r="AF410" s="5" t="n"/>
      <c r="AG410" s="5" t="n"/>
      <c r="AH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5" t="n"/>
      <c r="AE412" s="5" t="n"/>
      <c r="AF412" s="5" t="n"/>
      <c r="AG412" s="5" t="n"/>
      <c r="AH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5" t="n"/>
      <c r="AE444" s="5" t="n"/>
      <c r="AF444" s="5" t="n"/>
      <c r="AG444" s="5" t="n"/>
      <c r="AH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5" t="n"/>
      <c r="AE446" s="5" t="n"/>
      <c r="AF446" s="5" t="n"/>
      <c r="AG446" s="5" t="n"/>
      <c r="AH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5" t="n"/>
      <c r="AE478" s="5" t="n"/>
      <c r="AF478" s="5" t="n"/>
      <c r="AG478" s="5" t="n"/>
      <c r="AH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5" t="n"/>
      <c r="AE480" s="5" t="n"/>
      <c r="AF480" s="5" t="n"/>
      <c r="AG480" s="5" t="n"/>
      <c r="AH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5" t="n"/>
      <c r="AE512" s="5" t="n"/>
      <c r="AF512" s="5" t="n"/>
      <c r="AG512" s="5" t="n"/>
      <c r="AH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5" t="n"/>
      <c r="AE514" s="5" t="n"/>
      <c r="AF514" s="5" t="n"/>
      <c r="AG514" s="5" t="n"/>
      <c r="AH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5" t="n"/>
      <c r="AE546" s="5" t="n"/>
      <c r="AF546" s="5" t="n"/>
      <c r="AG546" s="5" t="n"/>
      <c r="AH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5" t="n"/>
      <c r="AE548" s="5" t="n"/>
      <c r="AF548" s="5" t="n"/>
      <c r="AG548" s="5" t="n"/>
      <c r="AH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5" t="n"/>
      <c r="AE580" s="5" t="n"/>
      <c r="AF580" s="5" t="n"/>
      <c r="AG580" s="5" t="n"/>
      <c r="AH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5" t="n"/>
      <c r="AE582" s="5" t="n"/>
      <c r="AF582" s="5" t="n"/>
      <c r="AG582" s="5" t="n"/>
      <c r="AH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5" t="n"/>
      <c r="AE614" s="5" t="n"/>
      <c r="AF614" s="5" t="n"/>
      <c r="AG614" s="5" t="n"/>
      <c r="AH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5" t="n"/>
      <c r="AE616" s="5" t="n"/>
      <c r="AF616" s="5" t="n"/>
      <c r="AG616" s="5" t="n"/>
      <c r="AH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5" t="n"/>
      <c r="AE648" s="5" t="n"/>
      <c r="AF648" s="5" t="n"/>
      <c r="AG648" s="5" t="n"/>
      <c r="AH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  <c r="AH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5" t="n"/>
      <c r="AE682" s="5" t="n"/>
      <c r="AF682" s="5" t="n"/>
      <c r="AG682" s="5" t="n"/>
      <c r="AH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5" t="n"/>
      <c r="AE684" s="5" t="n"/>
      <c r="AF684" s="5" t="n"/>
      <c r="AG684" s="5" t="n"/>
      <c r="AH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5" t="n"/>
      <c r="AE716" s="5" t="n"/>
      <c r="AF716" s="5" t="n"/>
      <c r="AG716" s="5" t="n"/>
      <c r="AH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5" t="n"/>
      <c r="AE718" s="5" t="n"/>
      <c r="AF718" s="5" t="n"/>
      <c r="AG718" s="5" t="n"/>
      <c r="AH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5" t="n"/>
      <c r="AE750" s="5" t="n"/>
      <c r="AF750" s="5" t="n"/>
      <c r="AG750" s="5" t="n"/>
      <c r="AH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5" t="n"/>
      <c r="AE752" s="5" t="n"/>
      <c r="AF752" s="5" t="n"/>
      <c r="AG752" s="5" t="n"/>
      <c r="AH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5" t="n"/>
      <c r="AE784" s="5" t="n"/>
      <c r="AF784" s="5" t="n"/>
      <c r="AG784" s="5" t="n"/>
      <c r="AH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5" t="n"/>
      <c r="AE786" s="5" t="n"/>
      <c r="AF786" s="5" t="n"/>
      <c r="AG786" s="5" t="n"/>
      <c r="AH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5" t="n"/>
      <c r="AE818" s="5" t="n"/>
      <c r="AF818" s="5" t="n"/>
      <c r="AG818" s="5" t="n"/>
      <c r="AH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5" t="n"/>
      <c r="AE820" s="5" t="n"/>
      <c r="AF820" s="5" t="n"/>
      <c r="AG820" s="5" t="n"/>
      <c r="AH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5" t="n"/>
      <c r="AE852" s="5" t="n"/>
      <c r="AF852" s="5" t="n"/>
      <c r="AG852" s="5" t="n"/>
      <c r="AH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5" t="n"/>
      <c r="AE854" s="5" t="n"/>
      <c r="AF854" s="5" t="n"/>
      <c r="AG854" s="5" t="n"/>
      <c r="AH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5" t="n"/>
      <c r="AE886" s="5" t="n"/>
      <c r="AF886" s="5" t="n"/>
      <c r="AG886" s="5" t="n"/>
      <c r="AH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5" t="n"/>
      <c r="AE888" s="5" t="n"/>
      <c r="AF888" s="5" t="n"/>
      <c r="AG888" s="5" t="n"/>
      <c r="AH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5" t="n"/>
      <c r="AE920" s="5" t="n"/>
      <c r="AF920" s="5" t="n"/>
      <c r="AG920" s="5" t="n"/>
      <c r="AH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5" t="n"/>
      <c r="AE922" s="5" t="n"/>
      <c r="AF922" s="5" t="n"/>
      <c r="AG922" s="5" t="n"/>
      <c r="AH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5" t="n"/>
      <c r="AE954" s="5" t="n"/>
      <c r="AF954" s="5" t="n"/>
      <c r="AG954" s="5" t="n"/>
      <c r="AH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5" t="n"/>
      <c r="AE956" s="5" t="n"/>
      <c r="AF956" s="5" t="n"/>
      <c r="AG956" s="5" t="n"/>
      <c r="AH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5" t="n"/>
      <c r="AE988" s="5" t="n"/>
      <c r="AF988" s="5" t="n"/>
      <c r="AG988" s="5" t="n"/>
      <c r="AH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5" t="n"/>
      <c r="AE990" s="5" t="n"/>
      <c r="AF990" s="5" t="n"/>
      <c r="AG990" s="5" t="n"/>
      <c r="AH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5" t="n"/>
      <c r="AE1000" s="5" t="n"/>
      <c r="AF1000" s="5" t="n"/>
      <c r="AG1000" s="5" t="n"/>
      <c r="AH1000" s="5" t="n"/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conditionalFormatting sqref="B2:B1000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3">
      <formula>"Validated"</formula>
    </cfRule>
  </conditionalFormatting>
  <conditionalFormatting sqref="E2:E1000">
    <cfRule type="expression" priority="5" dxfId="5">
      <formula>AND($B2&lt;&gt;"Not Started",$E2="")</formula>
    </cfRule>
  </conditionalFormatting>
  <conditionalFormatting sqref="F2:F1000">
    <cfRule type="expression" priority="6" dxfId="5">
      <formula>AND($J2="Yes",$F2="N/A (No special category data)")</formula>
    </cfRule>
  </conditionalFormatting>
  <dataValidations count="7">
    <dataValidation sqref="B2:B1000" showDropDown="1" showInputMessage="0" showErrorMessage="0" allowBlank="1" errorTitle="Invalid Entry" error="Invalid value. Please select from dropdown." type="list">
      <formula1>"Not Started,In Progress,Complete,Validated"</formula1>
    </dataValidation>
    <dataValidation sqref="E2:E1000" showDropDown="1" showInputMessage="0" showErrorMessage="0" allowBlank="1" errorTitle="Invalid Entry" error="Invalid value. Please select from dropdown." type="list">
      <formula1>"Consent (Art. 6(1)(a)),Contract (Art. 6(1)(b)),Legal Obligation (Art. 6(1)(c)),Vital Interests (Art. 6(1)(d)),Public Task (Art. 6(1)(e)),Legitimate Interests (Art. 6(1)(f))"</formula1>
    </dataValidation>
    <dataValidation sqref="F2:F1000" showDropDown="1" showInputMessage="0" showErrorMessage="0" allowBlank="1" errorTitle="Invalid Entry" error="Invalid value. Please select from dropdown." type="list">
      <formula1>"N/A (No special category data),Explicit Consent (Art. 9(2)(a)),Employment / Social Security (Art. 9(2)(b)),Vital Interests (Art. 9(2)(c)),Legitimate Activities of Foundation/Association (Art. 9(2)(d)),Made Public by Data Subject (Art. 9(2)(e)),Legal Claims (Art. 9(2)(f)),Substantial Public Interest (Art. 9(2)(g)),Health / Social Care (Art. 9(2)(h)),Public Health (Art. 9(2)(i)),Archiving / Research / Statistics (Art. 9(2)(j))"</formula1>
    </dataValidation>
    <dataValidation sqref="J2:J1000" showDropDown="1" showInputMessage="0" showErrorMessage="0" allowBlank="1" errorTitle="Invalid Entry" error="Invalid value. Please select from dropdown." type="list">
      <formula1>"Yes,No"</formula1>
    </dataValidation>
    <dataValidation sqref="P2:P1000" showDropDown="1" showInputMessage="0" showErrorMessage="0" allowBlank="1" errorTitle="Invalid Entry" error="Invalid value. Please select from dropdown." type="list">
      <formula1>"Yes,No"</formula1>
    </dataValidation>
    <dataValidation sqref="Z2:Z1000" showDropDown="1" showInputMessage="0" showErrorMessage="0" allowBlank="1" errorTitle="Invalid Entry" error="Invalid value. Please select from dropdown." type="list">
      <formula1>"Yes,No,N/A"</formula1>
    </dataValidation>
    <dataValidation sqref="AB2:AB1000" showDropDown="1" showInputMessage="0" showErrorMessage="0" allowBlank="1" errorTitle="Invalid Entry" error="Invalid value. Please select from dropdown.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45" customWidth="1" min="4" max="4"/>
    <col width="30" customWidth="1" min="5" max="5"/>
    <col width="12" customWidth="1" min="6" max="6"/>
    <col width="35" customWidth="1" min="7" max="7"/>
    <col width="45" customWidth="1" min="8" max="8"/>
    <col width="25" customWidth="1" min="9" max="9"/>
    <col width="18" customWidth="1" min="10" max="10"/>
    <col width="18" customWidth="1" min="11" max="11"/>
    <col width="15" customWidth="1" min="12" max="12"/>
    <col width="20" customWidth="1" min="13" max="13"/>
    <col width="15" customWidth="1" min="14" max="14"/>
    <col width="20" customWidth="1" min="15" max="15"/>
    <col width="40" customWidth="1" min="16" max="16"/>
    <col width="20" customWidth="1" min="17" max="17"/>
    <col width="30" customWidth="1" min="18" max="18"/>
  </cols>
  <sheetData>
    <row r="1">
      <c r="A1" s="4" t="inlineStr">
        <is>
          <t>GapID</t>
        </is>
      </c>
      <c r="B1" s="4" t="inlineStr">
        <is>
          <t>Status</t>
        </is>
      </c>
      <c r="C1" s="4" t="inlineStr">
        <is>
          <t>Gap Type</t>
        </is>
      </c>
      <c r="D1" s="4" t="inlineStr">
        <is>
          <t>Gap Description</t>
        </is>
      </c>
      <c r="E1" s="4" t="inlineStr">
        <is>
          <t>System/Activity Affected</t>
        </is>
      </c>
      <c r="F1" s="4" t="inlineStr">
        <is>
          <t>Risk Level</t>
        </is>
      </c>
      <c r="G1" s="4" t="inlineStr">
        <is>
          <t>Risk Justification</t>
        </is>
      </c>
      <c r="H1" s="4" t="inlineStr">
        <is>
          <t>Remediation Action</t>
        </is>
      </c>
      <c r="I1" s="4" t="inlineStr">
        <is>
          <t>Remediation Owner</t>
        </is>
      </c>
      <c r="J1" s="4" t="inlineStr">
        <is>
          <t>Target Completion Date</t>
        </is>
      </c>
      <c r="K1" s="4" t="inlineStr">
        <is>
          <t>Actual Completion Date</t>
        </is>
      </c>
      <c r="L1" s="4" t="inlineStr">
        <is>
          <t>Date Identified</t>
        </is>
      </c>
      <c r="M1" s="4" t="inlineStr">
        <is>
          <t>Identified By</t>
        </is>
      </c>
      <c r="N1" s="4" t="inlineStr">
        <is>
          <t>Last Updated</t>
        </is>
      </c>
      <c r="O1" s="4" t="inlineStr">
        <is>
          <t>Updated By</t>
        </is>
      </c>
      <c r="P1" s="4" t="inlineStr">
        <is>
          <t>Notes</t>
        </is>
      </c>
      <c r="Q1" s="4" t="inlineStr">
        <is>
          <t>Evidence Reference</t>
        </is>
      </c>
      <c r="R1" s="4" t="inlineStr">
        <is>
          <t>Review Comments</t>
        </is>
      </c>
    </row>
    <row r="2">
      <c r="A2">
        <f>TEXT(YEAR(TODAY()),"0000")&amp;"-GAP-"&amp;TEXT(ROW()-1,"000")</f>
        <v/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>
        <f>TODAY()</f>
        <v/>
      </c>
      <c r="M2" s="5" t="n"/>
      <c r="N2" s="5">
        <f>TODAY()</f>
        <v/>
      </c>
      <c r="O2" s="5" t="n"/>
      <c r="P2" s="5" t="n"/>
      <c r="Q2" s="5" t="n"/>
      <c r="R2" s="5" t="n"/>
    </row>
    <row r="3"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conditionalFormatting sqref="B2:B1000">
    <cfRule type="cellIs" priority="1" operator="equal" dxfId="4">
      <formula>"Open"</formula>
    </cfRule>
    <cfRule type="cellIs" priority="2" operator="equal" dxfId="1">
      <formula>"In Progress"</formula>
    </cfRule>
    <cfRule type="cellIs" priority="3" operator="equal" dxfId="2">
      <formula>"Completed"</formula>
    </cfRule>
  </conditionalFormatting>
  <conditionalFormatting sqref="F2:F1000">
    <cfRule type="cellIs" priority="4" operator="equal" dxfId="5">
      <formula>"Critical"</formula>
    </cfRule>
    <cfRule type="cellIs" priority="5" operator="equal" dxfId="4">
      <formula>"High"</formula>
    </cfRule>
    <cfRule type="cellIs" priority="6" operator="equal" dxfId="1">
      <formula>"Medium"</formula>
    </cfRule>
    <cfRule type="cellIs" priority="7" operator="equal" dxfId="6">
      <formula>"Low"</formula>
    </cfRule>
  </conditionalFormatting>
  <conditionalFormatting sqref="J2:J1000">
    <cfRule type="expression" priority="8" dxfId="5">
      <formula>AND($J2&lt;TODAY(),$B2&lt;&gt;"Completed")</formula>
    </cfRule>
  </conditionalFormatting>
  <dataValidations count="3">
    <dataValidation sqref="B2:B1000" showDropDown="1" showInputMessage="0" showErrorMessage="0" allowBlank="1" errorTitle="Invalid Entry" error="Invalid value. Please select from dropdown." type="list">
      <formula1>"Open,In Progress,Completed,Accepted"</formula1>
    </dataValidation>
    <dataValidation sqref="C2:C1000" showDropDown="1" showInputMessage="0" showErrorMessage="0" allowBlank="1" errorTitle="Invalid Entry" error="Invalid value. Please select from dropdown." type="list">
      <formula1>"Unknown System (Not in inventory),Undocumented Data Flow,Missing Legal Basis,Unclear Retention Period,Unverified Cross-Border Transfer,Missing Processor Agreement (GDPR Art. 28),Incomplete PII Categories,Missing DPIA (High-risk processing),Missing Consent Records,Shadow IT (Unknown to IT),Unlawful Processing,Inadequate Security Measures,Other"</formula1>
    </dataValidation>
    <dataValidation sqref="F2:F1000" showDropDown="1" showInputMessage="0" showErrorMessage="0" allowBlank="1" errorTitle="Invalid Entry" error="Invalid value. Please select from dropdown.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40" customWidth="1" min="3" max="3"/>
    <col width="30" customWidth="1" min="4" max="4"/>
    <col width="25" customWidth="1" min="5" max="5"/>
    <col width="15" customWidth="1" min="6" max="6"/>
    <col width="20" customWidth="1" min="7" max="7"/>
    <col width="40" customWidth="1" min="8" max="8"/>
    <col width="25" customWidth="1" min="9" max="9"/>
    <col width="15" customWidth="1" min="10" max="10"/>
    <col width="18" customWidth="1" min="11" max="11"/>
    <col width="15" customWidth="1" min="12" max="12"/>
    <col width="20" customWidth="1" min="13" max="13"/>
    <col width="40" customWidth="1" min="14" max="14"/>
    <col width="30" customWidth="1" min="15" max="15"/>
  </cols>
  <sheetData>
    <row r="1">
      <c r="A1" s="4" t="inlineStr">
        <is>
          <t>EvidenceID</t>
        </is>
      </c>
      <c r="B1" s="4" t="inlineStr">
        <is>
          <t>Evidence Type</t>
        </is>
      </c>
      <c r="C1" s="4" t="inlineStr">
        <is>
          <t>Evidence Description</t>
        </is>
      </c>
      <c r="D1" s="4" t="inlineStr">
        <is>
          <t>Related System/Activity</t>
        </is>
      </c>
      <c r="E1" s="4" t="inlineStr">
        <is>
          <t>Related Sheet Reference</t>
        </is>
      </c>
      <c r="F1" s="4" t="inlineStr">
        <is>
          <t>Date Collected</t>
        </is>
      </c>
      <c r="G1" s="4" t="inlineStr">
        <is>
          <t>Collected By</t>
        </is>
      </c>
      <c r="H1" s="4" t="inlineStr">
        <is>
          <t>File Location/URL</t>
        </is>
      </c>
      <c r="I1" s="4" t="inlineStr">
        <is>
          <t>File Name</t>
        </is>
      </c>
      <c r="J1" s="4" t="inlineStr">
        <is>
          <t>Retention Period</t>
        </is>
      </c>
      <c r="K1" s="4" t="inlineStr">
        <is>
          <t>Confidentiality Level</t>
        </is>
      </c>
      <c r="L1" s="4" t="inlineStr">
        <is>
          <t>Last Updated</t>
        </is>
      </c>
      <c r="M1" s="4" t="inlineStr">
        <is>
          <t>Updated By</t>
        </is>
      </c>
      <c r="N1" s="4" t="inlineStr">
        <is>
          <t>Notes</t>
        </is>
      </c>
      <c r="O1" s="4" t="inlineStr">
        <is>
          <t>Review Comments</t>
        </is>
      </c>
    </row>
    <row r="2">
      <c r="A2">
        <f>"EVID-A534.1-"&amp;TEXT(ROW()-1,"000")</f>
        <v/>
      </c>
      <c r="B2" s="5" t="n"/>
      <c r="C2" s="5" t="n"/>
      <c r="D2" s="5" t="n"/>
      <c r="E2" s="5" t="n"/>
      <c r="F2" s="5">
        <f>TODAY()</f>
        <v/>
      </c>
      <c r="G2" s="5" t="n"/>
      <c r="H2" s="5" t="n"/>
      <c r="I2" s="5" t="n"/>
      <c r="J2" s="5" t="n"/>
      <c r="K2" s="5" t="n"/>
      <c r="L2" s="5">
        <f>TODAY()</f>
        <v/>
      </c>
      <c r="M2" s="5" t="n"/>
      <c r="N2" s="5" t="n"/>
      <c r="O2" s="5" t="n"/>
    </row>
    <row r="3"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conditionalFormatting sqref="K2:K1000">
    <cfRule type="cellIs" priority="1" operator="equal" dxfId="5">
      <formula>"Restricted"</formula>
    </cfRule>
  </conditionalFormatting>
  <dataValidations count="3">
    <dataValidation sqref="B2:B1000" showDropDown="1" showInputMessage="0" showErrorMessage="0" allowBlank="1" errorTitle="Invalid Entry" error="Invalid value. Please select from dropdown." type="list">
      <formula1>"System Documentation,Interview Notes,DLP Scan Results,Contract (Processor Agreement, SCCs),Consent Form/Mechanism,Data Flow Diagram,Legal Basis Assessment (LIA),DPIA (Data Protection Impact Assessment),Retention Policy,Screenshot (System interface),Email Confirmation,Audit Report,Privacy Policy/Notice,Training Records,Other"</formula1>
    </dataValidation>
    <dataValidation sqref="J2:J1000" showDropDown="1" showInputMessage="0" showErrorMessage="0" allowBlank="1" errorTitle="Invalid Entry" error="Invalid value. Please select from dropdown." type="list">
      <formula1>"Permanent,3 years,5 years,7 years,10 years"</formula1>
    </dataValidation>
    <dataValidation sqref="K2:K1000" showDropDown="1" showInputMessage="0" showErrorMessage="0" allowBlank="1" errorTitle="Invalid Entry" error="Invalid value. Please select from dropdown." type="list">
      <formula1>"Public,Internal,Confidential,Restricted"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1" t="inlineStr">
        <is>
          <t>PII Identification &amp; Classification Dashboard</t>
        </is>
      </c>
    </row>
    <row r="3">
      <c r="A3" s="2" t="inlineStr"/>
    </row>
    <row r="4">
      <c r="A4" s="2" t="inlineStr">
        <is>
          <t>Assessment Date:</t>
        </is>
      </c>
      <c r="B4">
        <f>TEXT(TODAY(),"DD.MM.YYYY")</f>
        <v/>
      </c>
    </row>
    <row r="5">
      <c r="A5" s="2" t="inlineStr"/>
    </row>
    <row r="6">
      <c r="A6" s="2" t="inlineStr">
        <is>
          <t>SYSTEM INVENTORY METRICS:</t>
        </is>
      </c>
    </row>
    <row r="7">
      <c r="A7" s="2" t="inlineStr">
        <is>
          <t>Total Systems Assessed:</t>
        </is>
      </c>
      <c r="B7">
        <f>COUNTA('2. PII System Inventory'!C2:C1000)</f>
        <v/>
      </c>
    </row>
    <row r="8">
      <c r="A8" s="2" t="inlineStr">
        <is>
          <t>Systems with Basic PII:</t>
        </is>
      </c>
      <c r="B8">
        <f>COUNTIF('2. PII System Inventory'!I2:I1000,"Basic PII")</f>
        <v/>
      </c>
    </row>
    <row r="9">
      <c r="A9" s="2" t="inlineStr">
        <is>
          <t>Systems with Sensitive PII:</t>
        </is>
      </c>
      <c r="B9">
        <f>COUNTIF('2. PII System Inventory'!I2:I1000,"*Sensitive*")</f>
        <v/>
      </c>
    </row>
    <row r="10">
      <c r="A10" s="2" t="inlineStr">
        <is>
          <t>Systems with Criminal Data:</t>
        </is>
      </c>
      <c r="B10">
        <f>COUNTIF('2. PII System Inventory'!I2:I1000,"*Criminal*")</f>
        <v/>
      </c>
    </row>
    <row r="11">
      <c r="A11" s="2" t="inlineStr">
        <is>
          <t>Systems Status - Not Started:</t>
        </is>
      </c>
      <c r="B11">
        <f>COUNTIF('2. PII System Inventory'!B2:B1000,"Not Started")</f>
        <v/>
      </c>
    </row>
    <row r="12">
      <c r="A12" s="2" t="inlineStr">
        <is>
          <t>Systems Status - In Progress:</t>
        </is>
      </c>
      <c r="B12">
        <f>COUNTIF('2. PII System Inventory'!B2:B1000,"In Progress")</f>
        <v/>
      </c>
    </row>
    <row r="13">
      <c r="A13" s="2" t="inlineStr">
        <is>
          <t>Systems Status - Complete:</t>
        </is>
      </c>
      <c r="B13">
        <f>COUNTIF('2. PII System Inventory'!B2:B1000,"Complete")</f>
        <v/>
      </c>
    </row>
    <row r="14">
      <c r="A14" s="2" t="inlineStr">
        <is>
          <t>Systems Status - Validated:</t>
        </is>
      </c>
      <c r="B14">
        <f>COUNTIF('2. PII System Inventory'!B2:B1000,"Validated")</f>
        <v/>
      </c>
    </row>
    <row r="15">
      <c r="A15" s="2" t="inlineStr"/>
    </row>
    <row r="16">
      <c r="A16" s="2" t="inlineStr">
        <is>
          <t>DATA FLOW METRICS:</t>
        </is>
      </c>
    </row>
    <row r="17">
      <c r="A17" s="2" t="inlineStr">
        <is>
          <t>Total Data Flows Mapped:</t>
        </is>
      </c>
      <c r="B17">
        <f>COUNTA('3. PII Data Flow Mapping'!C2:C1000)</f>
        <v/>
      </c>
    </row>
    <row r="18">
      <c r="A18" s="2" t="inlineStr">
        <is>
          <t>Cross-Border Transfers:</t>
        </is>
      </c>
      <c r="B18">
        <f>COUNTIF('3. PII Data Flow Mapping'!L2:L1000,"Yes")</f>
        <v/>
      </c>
    </row>
    <row r="19">
      <c r="A19" s="2" t="inlineStr">
        <is>
          <t>Flows Missing Transfer Mechanism:</t>
        </is>
      </c>
      <c r="B19">
        <f>SUMPRODUCT(('3. PII Data Flow Mapping'!L2:L1000="Yes")*('3. PII Data Flow Mapping'!N2:N1000=""))</f>
        <v/>
      </c>
    </row>
    <row r="20">
      <c r="A20" s="2" t="inlineStr"/>
    </row>
    <row r="21">
      <c r="A21" s="2" t="inlineStr">
        <is>
          <t>ROPA METRICS:</t>
        </is>
      </c>
    </row>
    <row r="22">
      <c r="A22" s="2" t="inlineStr">
        <is>
          <t>Total Processing Activities:</t>
        </is>
      </c>
      <c r="B22">
        <f>COUNTA('4. ROPA (Record of Processing)'!C2:C1000)</f>
        <v/>
      </c>
    </row>
    <row r="23">
      <c r="A23" s="2" t="inlineStr">
        <is>
          <t>Activities with Special Category Data:</t>
        </is>
      </c>
      <c r="B23">
        <f>COUNTIF('4. ROPA (Record of Processing)'!J2:J1000,"Yes")</f>
        <v/>
      </c>
    </row>
    <row r="24">
      <c r="A24" s="2" t="inlineStr">
        <is>
          <t>Activities Missing Legal Basis:</t>
        </is>
      </c>
      <c r="B24">
        <f>SUMPRODUCT(('4. ROPA (Record of Processing)'!B2:B1000&lt;&gt;"Not Started")*('4. ROPA (Record of Processing)'!E2:E1000=""))</f>
        <v/>
      </c>
    </row>
    <row r="25">
      <c r="A25" s="2" t="inlineStr">
        <is>
          <t>Activities with Cross-Border Transfers:</t>
        </is>
      </c>
      <c r="B25">
        <f>COUNTIF('4. ROPA (Record of Processing)'!P2:P1000,"Yes")</f>
        <v/>
      </c>
    </row>
    <row r="26">
      <c r="A26" s="2" t="inlineStr"/>
    </row>
    <row r="27">
      <c r="A27" s="2" t="inlineStr">
        <is>
          <t>GAP ANALYSIS:</t>
        </is>
      </c>
    </row>
    <row r="28">
      <c r="A28" s="2" t="inlineStr">
        <is>
          <t>Total Gaps Identified:</t>
        </is>
      </c>
      <c r="B28">
        <f>COUNTA('5. PII Discovery Gaps'!A2:A1000)</f>
        <v/>
      </c>
    </row>
    <row r="29">
      <c r="A29" s="2" t="inlineStr">
        <is>
          <t>Gaps - Critical Risk:</t>
        </is>
      </c>
      <c r="B29">
        <f>COUNTIF('5. PII Discovery Gaps'!F2:F1000,"Critical")</f>
        <v/>
      </c>
    </row>
    <row r="30">
      <c r="A30" s="2" t="inlineStr">
        <is>
          <t>Gaps - High Risk:</t>
        </is>
      </c>
      <c r="B30">
        <f>COUNTIF('5. PII Discovery Gaps'!F2:F1000,"High")</f>
        <v/>
      </c>
    </row>
    <row r="31">
      <c r="A31" s="2" t="inlineStr">
        <is>
          <t>Gaps - Medium Risk:</t>
        </is>
      </c>
      <c r="B31">
        <f>COUNTIF('5. PII Discovery Gaps'!F2:F1000,"Medium")</f>
        <v/>
      </c>
    </row>
    <row r="32">
      <c r="A32" s="2" t="inlineStr">
        <is>
          <t>Gaps - Low Risk:</t>
        </is>
      </c>
      <c r="B32">
        <f>COUNTIF('5. PII Discovery Gaps'!F2:F1000,"Low")</f>
        <v/>
      </c>
    </row>
    <row r="33">
      <c r="A33" s="2" t="inlineStr">
        <is>
          <t>Gaps - Open:</t>
        </is>
      </c>
      <c r="B33">
        <f>COUNTIF('5. PII Discovery Gaps'!B2:B1000,"Open")</f>
        <v/>
      </c>
    </row>
    <row r="34">
      <c r="A34" s="2" t="inlineStr">
        <is>
          <t>Gaps - In Progress:</t>
        </is>
      </c>
      <c r="B34">
        <f>COUNTIF('5. PII Discovery Gaps'!B2:B1000,"In Progress")</f>
        <v/>
      </c>
    </row>
    <row r="35">
      <c r="A35" s="2" t="inlineStr">
        <is>
          <t>Gaps - Completed:</t>
        </is>
      </c>
      <c r="B35">
        <f>COUNTIF('5. PII Discovery Gaps'!B2:B1000,"Completed")</f>
        <v/>
      </c>
    </row>
    <row r="36">
      <c r="A36" s="2" t="inlineStr">
        <is>
          <t>Gaps - Overdue:</t>
        </is>
      </c>
      <c r="B36">
        <f>SUMPRODUCT(('5. PII Discovery Gaps'!J2:J1000&lt;TODAY())*('5. PII Discovery Gaps'!B2:B1000&lt;&gt;"Completed"))</f>
        <v/>
      </c>
    </row>
    <row r="37">
      <c r="A37" s="2" t="inlineStr"/>
    </row>
    <row r="38">
      <c r="A38" s="2" t="inlineStr">
        <is>
          <t>EVIDENCE METRICS:</t>
        </is>
      </c>
    </row>
    <row r="39">
      <c r="A39" s="2" t="inlineStr">
        <is>
          <t>Total Evidence Items Collected:</t>
        </is>
      </c>
      <c r="B39">
        <f>COUNTA('6. Evidence Register'!A2:A1000)</f>
        <v/>
      </c>
    </row>
    <row r="40">
      <c r="A40" s="2" t="inlineStr"/>
    </row>
    <row r="41">
      <c r="A41" s="2" t="inlineStr">
        <is>
          <t>COMPLIANCE STATUS:</t>
        </is>
      </c>
    </row>
    <row r="42">
      <c r="A42" s="2" t="inlineStr">
        <is>
          <t>Assessment Completion Rate:</t>
        </is>
      </c>
      <c r="B42">
        <f>IFERROR(TEXT(COUNTIF('2. PII System Inventory'!B2:B1000,"Validated")/COUNTA('2. PII System Inventory'!C2:C1000),"0%"),"0%")</f>
        <v/>
      </c>
    </row>
    <row r="43">
      <c r="A43" s="2" t="inlineStr">
        <is>
          <t>Critical/High Risk Gaps:</t>
        </is>
      </c>
      <c r="B43">
        <f>COUNTIF('5. PII Discovery Gaps'!F2:F1000,"Critical")+COUNTIF('5. PII Discovery Gaps'!F2:F1000,"High")</f>
        <v/>
      </c>
    </row>
    <row r="44">
      <c r="A44" s="2" t="inlineStr"/>
    </row>
    <row r="45">
      <c r="A45" s="2" t="inlineStr">
        <is>
          <t>NEXT ACTIONS:</t>
        </is>
      </c>
    </row>
    <row r="46">
      <c r="A46" s="2" t="inlineStr"/>
      <c r="B46" t="inlineStr">
        <is>
          <t>1. Review and remediate Critical/High risk gaps</t>
        </is>
      </c>
    </row>
    <row r="47">
      <c r="A47" s="2" t="inlineStr"/>
      <c r="B47" t="inlineStr">
        <is>
          <t>2. Validate all systems marked 'Complete' → 'Validated'</t>
        </is>
      </c>
    </row>
    <row r="48">
      <c r="A48" s="2" t="inlineStr"/>
      <c r="B48" t="inlineStr">
        <is>
          <t>3. Complete missing legal basis documentation</t>
        </is>
      </c>
    </row>
    <row r="49">
      <c r="A49" s="2" t="inlineStr"/>
      <c r="B49" t="inlineStr">
        <is>
          <t>4. Obtain Standard Contractual Clauses for cross-border transfers without safeguards</t>
        </is>
      </c>
    </row>
    <row r="50">
      <c r="A50" s="2" t="inlineStr"/>
      <c r="B50" t="inlineStr">
        <is>
          <t>5. Conduct DPIAs for high-risk processing activities</t>
        </is>
      </c>
    </row>
    <row r="51">
      <c r="A51" s="2" t="inlineStr"/>
      <c r="B51" t="inlineStr">
        <is>
          <t>6. Obtain executive approvals in Sheet 8 (Sign-Off)</t>
        </is>
      </c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30" customWidth="1" min="3" max="3"/>
    <col width="15" customWidth="1" min="4" max="4"/>
    <col width="40" customWidth="1" min="5" max="5"/>
    <col width="40" customWidth="1" min="6" max="6"/>
    <col width="30" customWidth="1" min="7" max="7"/>
  </cols>
  <sheetData>
    <row r="1">
      <c r="A1" s="1" t="inlineStr">
        <is>
          <t>Assessment Approval &amp; Sign-Off</t>
        </is>
      </c>
    </row>
    <row r="3">
      <c r="A3" s="4" t="inlineStr">
        <is>
          <t>Signatory Role</t>
        </is>
      </c>
      <c r="B3" s="4" t="inlineStr">
        <is>
          <t>Signatory Name</t>
        </is>
      </c>
      <c r="C3" s="4" t="inlineStr">
        <is>
          <t>Signature / Electronic Approval</t>
        </is>
      </c>
      <c r="D3" s="4" t="inlineStr">
        <is>
          <t>Signature Date</t>
        </is>
      </c>
      <c r="E3" s="4" t="inlineStr">
        <is>
          <t>Approval Scope</t>
        </is>
      </c>
      <c r="F3" s="4" t="inlineStr">
        <is>
          <t>Comments</t>
        </is>
      </c>
      <c r="G3" s="4" t="inlineStr">
        <is>
          <t>Contact Email</t>
        </is>
      </c>
    </row>
    <row r="4">
      <c r="A4" s="5" t="inlineStr">
        <is>
          <t>Assessment Lead (DPO / Privacy Officer)</t>
        </is>
      </c>
      <c r="B4" s="5" t="inlineStr"/>
      <c r="C4" s="5" t="inlineStr"/>
      <c r="D4" s="5" t="inlineStr"/>
      <c r="E4" s="5" t="inlineStr">
        <is>
          <t>Assessment methodology, completeness, ROPA compliance</t>
        </is>
      </c>
      <c r="F4" s="5" t="inlineStr"/>
      <c r="G4" s="5" t="inlineStr"/>
    </row>
    <row r="5">
      <c r="A5" s="5" t="inlineStr">
        <is>
          <t>Chief Information Security Officer (CISO)</t>
        </is>
      </c>
      <c r="B5" s="5" t="inlineStr"/>
      <c r="C5" s="5" t="inlineStr"/>
      <c r="D5" s="5" t="inlineStr"/>
      <c r="E5" s="5" t="inlineStr">
        <is>
          <t>Technical accuracy, security measures documentation</t>
        </is>
      </c>
      <c r="F5" s="5" t="inlineStr"/>
      <c r="G5" s="5" t="inlineStr"/>
    </row>
    <row r="6">
      <c r="A6" s="5" t="inlineStr">
        <is>
          <t>Legal / Compliance Officer</t>
        </is>
      </c>
      <c r="B6" s="5" t="inlineStr"/>
      <c r="C6" s="5" t="inlineStr"/>
      <c r="D6" s="5" t="inlineStr"/>
      <c r="E6" s="5" t="inlineStr">
        <is>
          <t>Legal bases validity, regulatory compliance</t>
        </is>
      </c>
      <c r="F6" s="5" t="inlineStr"/>
      <c r="G6" s="5" t="inlineStr"/>
    </row>
    <row r="7">
      <c r="A7" s="5" t="inlineStr">
        <is>
          <t>Executive Sponsor</t>
        </is>
      </c>
      <c r="B7" s="5" t="inlineStr"/>
      <c r="C7" s="5" t="inlineStr"/>
      <c r="D7" s="5" t="inlineStr"/>
      <c r="E7" s="5" t="inlineStr">
        <is>
          <t>Final approval, gap remediation support</t>
        </is>
      </c>
      <c r="F7" s="5" t="inlineStr"/>
      <c r="G7" s="5" t="inlineStr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  <row r="301">
      <c r="A301" s="5" t="n"/>
      <c r="B301" s="5" t="n"/>
      <c r="C301" s="5" t="n"/>
      <c r="D301" s="5" t="n"/>
      <c r="E301" s="5" t="n"/>
      <c r="F301" s="5" t="n"/>
      <c r="G301" s="5" t="n"/>
    </row>
    <row r="302">
      <c r="A302" s="5" t="n"/>
      <c r="B302" s="5" t="n"/>
      <c r="C302" s="5" t="n"/>
      <c r="D302" s="5" t="n"/>
      <c r="E302" s="5" t="n"/>
      <c r="F302" s="5" t="n"/>
      <c r="G302" s="5" t="n"/>
    </row>
    <row r="303">
      <c r="A303" s="5" t="n"/>
      <c r="B303" s="5" t="n"/>
      <c r="C303" s="5" t="n"/>
      <c r="D303" s="5" t="n"/>
      <c r="E303" s="5" t="n"/>
      <c r="F303" s="5" t="n"/>
      <c r="G303" s="5" t="n"/>
    </row>
    <row r="304">
      <c r="A304" s="5" t="n"/>
      <c r="B304" s="5" t="n"/>
      <c r="C304" s="5" t="n"/>
      <c r="D304" s="5" t="n"/>
      <c r="E304" s="5" t="n"/>
      <c r="F304" s="5" t="n"/>
      <c r="G304" s="5" t="n"/>
    </row>
    <row r="305">
      <c r="A305" s="5" t="n"/>
      <c r="B305" s="5" t="n"/>
      <c r="C305" s="5" t="n"/>
      <c r="D305" s="5" t="n"/>
      <c r="E305" s="5" t="n"/>
      <c r="F305" s="5" t="n"/>
      <c r="G305" s="5" t="n"/>
    </row>
    <row r="306">
      <c r="A306" s="5" t="n"/>
      <c r="B306" s="5" t="n"/>
      <c r="C306" s="5" t="n"/>
      <c r="D306" s="5" t="n"/>
      <c r="E306" s="5" t="n"/>
      <c r="F306" s="5" t="n"/>
      <c r="G306" s="5" t="n"/>
    </row>
    <row r="307">
      <c r="A307" s="5" t="n"/>
      <c r="B307" s="5" t="n"/>
      <c r="C307" s="5" t="n"/>
      <c r="D307" s="5" t="n"/>
      <c r="E307" s="5" t="n"/>
      <c r="F307" s="5" t="n"/>
      <c r="G307" s="5" t="n"/>
    </row>
    <row r="308">
      <c r="A308" s="5" t="n"/>
      <c r="B308" s="5" t="n"/>
      <c r="C308" s="5" t="n"/>
      <c r="D308" s="5" t="n"/>
      <c r="E308" s="5" t="n"/>
      <c r="F308" s="5" t="n"/>
      <c r="G308" s="5" t="n"/>
    </row>
    <row r="309">
      <c r="A309" s="5" t="n"/>
      <c r="B309" s="5" t="n"/>
      <c r="C309" s="5" t="n"/>
      <c r="D309" s="5" t="n"/>
      <c r="E309" s="5" t="n"/>
      <c r="F309" s="5" t="n"/>
      <c r="G309" s="5" t="n"/>
    </row>
    <row r="310">
      <c r="A310" s="5" t="n"/>
      <c r="B310" s="5" t="n"/>
      <c r="C310" s="5" t="n"/>
      <c r="D310" s="5" t="n"/>
      <c r="E310" s="5" t="n"/>
      <c r="F310" s="5" t="n"/>
      <c r="G310" s="5" t="n"/>
    </row>
    <row r="311">
      <c r="A311" s="5" t="n"/>
      <c r="B311" s="5" t="n"/>
      <c r="C311" s="5" t="n"/>
      <c r="D311" s="5" t="n"/>
      <c r="E311" s="5" t="n"/>
      <c r="F311" s="5" t="n"/>
      <c r="G311" s="5" t="n"/>
    </row>
    <row r="312">
      <c r="A312" s="5" t="n"/>
      <c r="B312" s="5" t="n"/>
      <c r="C312" s="5" t="n"/>
      <c r="D312" s="5" t="n"/>
      <c r="E312" s="5" t="n"/>
      <c r="F312" s="5" t="n"/>
      <c r="G312" s="5" t="n"/>
    </row>
    <row r="313">
      <c r="A313" s="5" t="n"/>
      <c r="B313" s="5" t="n"/>
      <c r="C313" s="5" t="n"/>
      <c r="D313" s="5" t="n"/>
      <c r="E313" s="5" t="n"/>
      <c r="F313" s="5" t="n"/>
      <c r="G313" s="5" t="n"/>
    </row>
    <row r="314">
      <c r="A314" s="5" t="n"/>
      <c r="B314" s="5" t="n"/>
      <c r="C314" s="5" t="n"/>
      <c r="D314" s="5" t="n"/>
      <c r="E314" s="5" t="n"/>
      <c r="F314" s="5" t="n"/>
      <c r="G314" s="5" t="n"/>
    </row>
    <row r="315">
      <c r="A315" s="5" t="n"/>
      <c r="B315" s="5" t="n"/>
      <c r="C315" s="5" t="n"/>
      <c r="D315" s="5" t="n"/>
      <c r="E315" s="5" t="n"/>
      <c r="F315" s="5" t="n"/>
      <c r="G315" s="5" t="n"/>
    </row>
    <row r="316">
      <c r="A316" s="5" t="n"/>
      <c r="B316" s="5" t="n"/>
      <c r="C316" s="5" t="n"/>
      <c r="D316" s="5" t="n"/>
      <c r="E316" s="5" t="n"/>
      <c r="F316" s="5" t="n"/>
      <c r="G316" s="5" t="n"/>
    </row>
    <row r="317">
      <c r="A317" s="5" t="n"/>
      <c r="B317" s="5" t="n"/>
      <c r="C317" s="5" t="n"/>
      <c r="D317" s="5" t="n"/>
      <c r="E317" s="5" t="n"/>
      <c r="F317" s="5" t="n"/>
      <c r="G317" s="5" t="n"/>
    </row>
    <row r="318">
      <c r="A318" s="5" t="n"/>
      <c r="B318" s="5" t="n"/>
      <c r="C318" s="5" t="n"/>
      <c r="D318" s="5" t="n"/>
      <c r="E318" s="5" t="n"/>
      <c r="F318" s="5" t="n"/>
      <c r="G318" s="5" t="n"/>
    </row>
    <row r="319">
      <c r="A319" s="5" t="n"/>
      <c r="B319" s="5" t="n"/>
      <c r="C319" s="5" t="n"/>
      <c r="D319" s="5" t="n"/>
      <c r="E319" s="5" t="n"/>
      <c r="F319" s="5" t="n"/>
      <c r="G319" s="5" t="n"/>
    </row>
    <row r="320">
      <c r="A320" s="5" t="n"/>
      <c r="B320" s="5" t="n"/>
      <c r="C320" s="5" t="n"/>
      <c r="D320" s="5" t="n"/>
      <c r="E320" s="5" t="n"/>
      <c r="F320" s="5" t="n"/>
      <c r="G320" s="5" t="n"/>
    </row>
    <row r="321">
      <c r="A321" s="5" t="n"/>
      <c r="B321" s="5" t="n"/>
      <c r="C321" s="5" t="n"/>
      <c r="D321" s="5" t="n"/>
      <c r="E321" s="5" t="n"/>
      <c r="F321" s="5" t="n"/>
      <c r="G321" s="5" t="n"/>
    </row>
    <row r="322">
      <c r="A322" s="5" t="n"/>
      <c r="B322" s="5" t="n"/>
      <c r="C322" s="5" t="n"/>
      <c r="D322" s="5" t="n"/>
      <c r="E322" s="5" t="n"/>
      <c r="F322" s="5" t="n"/>
      <c r="G322" s="5" t="n"/>
    </row>
    <row r="323">
      <c r="A323" s="5" t="n"/>
      <c r="B323" s="5" t="n"/>
      <c r="C323" s="5" t="n"/>
      <c r="D323" s="5" t="n"/>
      <c r="E323" s="5" t="n"/>
      <c r="F323" s="5" t="n"/>
      <c r="G323" s="5" t="n"/>
    </row>
    <row r="324">
      <c r="A324" s="5" t="n"/>
      <c r="B324" s="5" t="n"/>
      <c r="C324" s="5" t="n"/>
      <c r="D324" s="5" t="n"/>
      <c r="E324" s="5" t="n"/>
      <c r="F324" s="5" t="n"/>
      <c r="G324" s="5" t="n"/>
    </row>
    <row r="325">
      <c r="A325" s="5" t="n"/>
      <c r="B325" s="5" t="n"/>
      <c r="C325" s="5" t="n"/>
      <c r="D325" s="5" t="n"/>
      <c r="E325" s="5" t="n"/>
      <c r="F325" s="5" t="n"/>
      <c r="G325" s="5" t="n"/>
    </row>
    <row r="326">
      <c r="A326" s="5" t="n"/>
      <c r="B326" s="5" t="n"/>
      <c r="C326" s="5" t="n"/>
      <c r="D326" s="5" t="n"/>
      <c r="E326" s="5" t="n"/>
      <c r="F326" s="5" t="n"/>
      <c r="G326" s="5" t="n"/>
    </row>
    <row r="327">
      <c r="A327" s="5" t="n"/>
      <c r="B327" s="5" t="n"/>
      <c r="C327" s="5" t="n"/>
      <c r="D327" s="5" t="n"/>
      <c r="E327" s="5" t="n"/>
      <c r="F327" s="5" t="n"/>
      <c r="G327" s="5" t="n"/>
    </row>
    <row r="328">
      <c r="A328" s="5" t="n"/>
      <c r="B328" s="5" t="n"/>
      <c r="C328" s="5" t="n"/>
      <c r="D328" s="5" t="n"/>
      <c r="E328" s="5" t="n"/>
      <c r="F328" s="5" t="n"/>
      <c r="G328" s="5" t="n"/>
    </row>
    <row r="329">
      <c r="A329" s="5" t="n"/>
      <c r="B329" s="5" t="n"/>
      <c r="C329" s="5" t="n"/>
      <c r="D329" s="5" t="n"/>
      <c r="E329" s="5" t="n"/>
      <c r="F329" s="5" t="n"/>
      <c r="G329" s="5" t="n"/>
    </row>
    <row r="330">
      <c r="A330" s="5" t="n"/>
      <c r="B330" s="5" t="n"/>
      <c r="C330" s="5" t="n"/>
      <c r="D330" s="5" t="n"/>
      <c r="E330" s="5" t="n"/>
      <c r="F330" s="5" t="n"/>
      <c r="G330" s="5" t="n"/>
    </row>
    <row r="331">
      <c r="A331" s="5" t="n"/>
      <c r="B331" s="5" t="n"/>
      <c r="C331" s="5" t="n"/>
      <c r="D331" s="5" t="n"/>
      <c r="E331" s="5" t="n"/>
      <c r="F331" s="5" t="n"/>
      <c r="G331" s="5" t="n"/>
    </row>
    <row r="332">
      <c r="A332" s="5" t="n"/>
      <c r="B332" s="5" t="n"/>
      <c r="C332" s="5" t="n"/>
      <c r="D332" s="5" t="n"/>
      <c r="E332" s="5" t="n"/>
      <c r="F332" s="5" t="n"/>
      <c r="G332" s="5" t="n"/>
    </row>
    <row r="333">
      <c r="A333" s="5" t="n"/>
      <c r="B333" s="5" t="n"/>
      <c r="C333" s="5" t="n"/>
      <c r="D333" s="5" t="n"/>
      <c r="E333" s="5" t="n"/>
      <c r="F333" s="5" t="n"/>
      <c r="G333" s="5" t="n"/>
    </row>
    <row r="334">
      <c r="A334" s="5" t="n"/>
      <c r="B334" s="5" t="n"/>
      <c r="C334" s="5" t="n"/>
      <c r="D334" s="5" t="n"/>
      <c r="E334" s="5" t="n"/>
      <c r="F334" s="5" t="n"/>
      <c r="G334" s="5" t="n"/>
    </row>
    <row r="335">
      <c r="A335" s="5" t="n"/>
      <c r="B335" s="5" t="n"/>
      <c r="C335" s="5" t="n"/>
      <c r="D335" s="5" t="n"/>
      <c r="E335" s="5" t="n"/>
      <c r="F335" s="5" t="n"/>
      <c r="G335" s="5" t="n"/>
    </row>
    <row r="336">
      <c r="A336" s="5" t="n"/>
      <c r="B336" s="5" t="n"/>
      <c r="C336" s="5" t="n"/>
      <c r="D336" s="5" t="n"/>
      <c r="E336" s="5" t="n"/>
      <c r="F336" s="5" t="n"/>
      <c r="G336" s="5" t="n"/>
    </row>
    <row r="337">
      <c r="A337" s="5" t="n"/>
      <c r="B337" s="5" t="n"/>
      <c r="C337" s="5" t="n"/>
      <c r="D337" s="5" t="n"/>
      <c r="E337" s="5" t="n"/>
      <c r="F337" s="5" t="n"/>
      <c r="G337" s="5" t="n"/>
    </row>
    <row r="338">
      <c r="A338" s="5" t="n"/>
      <c r="B338" s="5" t="n"/>
      <c r="C338" s="5" t="n"/>
      <c r="D338" s="5" t="n"/>
      <c r="E338" s="5" t="n"/>
      <c r="F338" s="5" t="n"/>
      <c r="G338" s="5" t="n"/>
    </row>
    <row r="339">
      <c r="A339" s="5" t="n"/>
      <c r="B339" s="5" t="n"/>
      <c r="C339" s="5" t="n"/>
      <c r="D339" s="5" t="n"/>
      <c r="E339" s="5" t="n"/>
      <c r="F339" s="5" t="n"/>
      <c r="G339" s="5" t="n"/>
    </row>
    <row r="340">
      <c r="A340" s="5" t="n"/>
      <c r="B340" s="5" t="n"/>
      <c r="C340" s="5" t="n"/>
      <c r="D340" s="5" t="n"/>
      <c r="E340" s="5" t="n"/>
      <c r="F340" s="5" t="n"/>
      <c r="G340" s="5" t="n"/>
    </row>
    <row r="341">
      <c r="A341" s="5" t="n"/>
      <c r="B341" s="5" t="n"/>
      <c r="C341" s="5" t="n"/>
      <c r="D341" s="5" t="n"/>
      <c r="E341" s="5" t="n"/>
      <c r="F341" s="5" t="n"/>
      <c r="G341" s="5" t="n"/>
    </row>
    <row r="342">
      <c r="A342" s="5" t="n"/>
      <c r="B342" s="5" t="n"/>
      <c r="C342" s="5" t="n"/>
      <c r="D342" s="5" t="n"/>
      <c r="E342" s="5" t="n"/>
      <c r="F342" s="5" t="n"/>
      <c r="G342" s="5" t="n"/>
    </row>
    <row r="343">
      <c r="A343" s="5" t="n"/>
      <c r="B343" s="5" t="n"/>
      <c r="C343" s="5" t="n"/>
      <c r="D343" s="5" t="n"/>
      <c r="E343" s="5" t="n"/>
      <c r="F343" s="5" t="n"/>
      <c r="G343" s="5" t="n"/>
    </row>
    <row r="344">
      <c r="A344" s="5" t="n"/>
      <c r="B344" s="5" t="n"/>
      <c r="C344" s="5" t="n"/>
      <c r="D344" s="5" t="n"/>
      <c r="E344" s="5" t="n"/>
      <c r="F344" s="5" t="n"/>
      <c r="G344" s="5" t="n"/>
    </row>
    <row r="345">
      <c r="A345" s="5" t="n"/>
      <c r="B345" s="5" t="n"/>
      <c r="C345" s="5" t="n"/>
      <c r="D345" s="5" t="n"/>
      <c r="E345" s="5" t="n"/>
      <c r="F345" s="5" t="n"/>
      <c r="G345" s="5" t="n"/>
    </row>
    <row r="346">
      <c r="A346" s="5" t="n"/>
      <c r="B346" s="5" t="n"/>
      <c r="C346" s="5" t="n"/>
      <c r="D346" s="5" t="n"/>
      <c r="E346" s="5" t="n"/>
      <c r="F346" s="5" t="n"/>
      <c r="G346" s="5" t="n"/>
    </row>
    <row r="347">
      <c r="A347" s="5" t="n"/>
      <c r="B347" s="5" t="n"/>
      <c r="C347" s="5" t="n"/>
      <c r="D347" s="5" t="n"/>
      <c r="E347" s="5" t="n"/>
      <c r="F347" s="5" t="n"/>
      <c r="G347" s="5" t="n"/>
    </row>
    <row r="348">
      <c r="A348" s="5" t="n"/>
      <c r="B348" s="5" t="n"/>
      <c r="C348" s="5" t="n"/>
      <c r="D348" s="5" t="n"/>
      <c r="E348" s="5" t="n"/>
      <c r="F348" s="5" t="n"/>
      <c r="G348" s="5" t="n"/>
    </row>
    <row r="349">
      <c r="A349" s="5" t="n"/>
      <c r="B349" s="5" t="n"/>
      <c r="C349" s="5" t="n"/>
      <c r="D349" s="5" t="n"/>
      <c r="E349" s="5" t="n"/>
      <c r="F349" s="5" t="n"/>
      <c r="G349" s="5" t="n"/>
    </row>
    <row r="350">
      <c r="A350" s="5" t="n"/>
      <c r="B350" s="5" t="n"/>
      <c r="C350" s="5" t="n"/>
      <c r="D350" s="5" t="n"/>
      <c r="E350" s="5" t="n"/>
      <c r="F350" s="5" t="n"/>
      <c r="G350" s="5" t="n"/>
    </row>
    <row r="351">
      <c r="A351" s="5" t="n"/>
      <c r="B351" s="5" t="n"/>
      <c r="C351" s="5" t="n"/>
      <c r="D351" s="5" t="n"/>
      <c r="E351" s="5" t="n"/>
      <c r="F351" s="5" t="n"/>
      <c r="G351" s="5" t="n"/>
    </row>
    <row r="352">
      <c r="A352" s="5" t="n"/>
      <c r="B352" s="5" t="n"/>
      <c r="C352" s="5" t="n"/>
      <c r="D352" s="5" t="n"/>
      <c r="E352" s="5" t="n"/>
      <c r="F352" s="5" t="n"/>
      <c r="G352" s="5" t="n"/>
    </row>
    <row r="353">
      <c r="A353" s="5" t="n"/>
      <c r="B353" s="5" t="n"/>
      <c r="C353" s="5" t="n"/>
      <c r="D353" s="5" t="n"/>
      <c r="E353" s="5" t="n"/>
      <c r="F353" s="5" t="n"/>
      <c r="G353" s="5" t="n"/>
    </row>
    <row r="354">
      <c r="A354" s="5" t="n"/>
      <c r="B354" s="5" t="n"/>
      <c r="C354" s="5" t="n"/>
      <c r="D354" s="5" t="n"/>
      <c r="E354" s="5" t="n"/>
      <c r="F354" s="5" t="n"/>
      <c r="G354" s="5" t="n"/>
    </row>
    <row r="355">
      <c r="A355" s="5" t="n"/>
      <c r="B355" s="5" t="n"/>
      <c r="C355" s="5" t="n"/>
      <c r="D355" s="5" t="n"/>
      <c r="E355" s="5" t="n"/>
      <c r="F355" s="5" t="n"/>
      <c r="G355" s="5" t="n"/>
    </row>
    <row r="356">
      <c r="A356" s="5" t="n"/>
      <c r="B356" s="5" t="n"/>
      <c r="C356" s="5" t="n"/>
      <c r="D356" s="5" t="n"/>
      <c r="E356" s="5" t="n"/>
      <c r="F356" s="5" t="n"/>
      <c r="G356" s="5" t="n"/>
    </row>
    <row r="357">
      <c r="A357" s="5" t="n"/>
      <c r="B357" s="5" t="n"/>
      <c r="C357" s="5" t="n"/>
      <c r="D357" s="5" t="n"/>
      <c r="E357" s="5" t="n"/>
      <c r="F357" s="5" t="n"/>
      <c r="G357" s="5" t="n"/>
    </row>
    <row r="358">
      <c r="A358" s="5" t="n"/>
      <c r="B358" s="5" t="n"/>
      <c r="C358" s="5" t="n"/>
      <c r="D358" s="5" t="n"/>
      <c r="E358" s="5" t="n"/>
      <c r="F358" s="5" t="n"/>
      <c r="G358" s="5" t="n"/>
    </row>
    <row r="359">
      <c r="A359" s="5" t="n"/>
      <c r="B359" s="5" t="n"/>
      <c r="C359" s="5" t="n"/>
      <c r="D359" s="5" t="n"/>
      <c r="E359" s="5" t="n"/>
      <c r="F359" s="5" t="n"/>
      <c r="G359" s="5" t="n"/>
    </row>
    <row r="360">
      <c r="A360" s="5" t="n"/>
      <c r="B360" s="5" t="n"/>
      <c r="C360" s="5" t="n"/>
      <c r="D360" s="5" t="n"/>
      <c r="E360" s="5" t="n"/>
      <c r="F360" s="5" t="n"/>
      <c r="G360" s="5" t="n"/>
    </row>
    <row r="361">
      <c r="A361" s="5" t="n"/>
      <c r="B361" s="5" t="n"/>
      <c r="C361" s="5" t="n"/>
      <c r="D361" s="5" t="n"/>
      <c r="E361" s="5" t="n"/>
      <c r="F361" s="5" t="n"/>
      <c r="G361" s="5" t="n"/>
    </row>
    <row r="362">
      <c r="A362" s="5" t="n"/>
      <c r="B362" s="5" t="n"/>
      <c r="C362" s="5" t="n"/>
      <c r="D362" s="5" t="n"/>
      <c r="E362" s="5" t="n"/>
      <c r="F362" s="5" t="n"/>
      <c r="G362" s="5" t="n"/>
    </row>
    <row r="363">
      <c r="A363" s="5" t="n"/>
      <c r="B363" s="5" t="n"/>
      <c r="C363" s="5" t="n"/>
      <c r="D363" s="5" t="n"/>
      <c r="E363" s="5" t="n"/>
      <c r="F363" s="5" t="n"/>
      <c r="G363" s="5" t="n"/>
    </row>
    <row r="364">
      <c r="A364" s="5" t="n"/>
      <c r="B364" s="5" t="n"/>
      <c r="C364" s="5" t="n"/>
      <c r="D364" s="5" t="n"/>
      <c r="E364" s="5" t="n"/>
      <c r="F364" s="5" t="n"/>
      <c r="G364" s="5" t="n"/>
    </row>
    <row r="365">
      <c r="A365" s="5" t="n"/>
      <c r="B365" s="5" t="n"/>
      <c r="C365" s="5" t="n"/>
      <c r="D365" s="5" t="n"/>
      <c r="E365" s="5" t="n"/>
      <c r="F365" s="5" t="n"/>
      <c r="G365" s="5" t="n"/>
    </row>
    <row r="366">
      <c r="A366" s="5" t="n"/>
      <c r="B366" s="5" t="n"/>
      <c r="C366" s="5" t="n"/>
      <c r="D366" s="5" t="n"/>
      <c r="E366" s="5" t="n"/>
      <c r="F366" s="5" t="n"/>
      <c r="G366" s="5" t="n"/>
    </row>
    <row r="367">
      <c r="A367" s="5" t="n"/>
      <c r="B367" s="5" t="n"/>
      <c r="C367" s="5" t="n"/>
      <c r="D367" s="5" t="n"/>
      <c r="E367" s="5" t="n"/>
      <c r="F367" s="5" t="n"/>
      <c r="G367" s="5" t="n"/>
    </row>
    <row r="368">
      <c r="A368" s="5" t="n"/>
      <c r="B368" s="5" t="n"/>
      <c r="C368" s="5" t="n"/>
      <c r="D368" s="5" t="n"/>
      <c r="E368" s="5" t="n"/>
      <c r="F368" s="5" t="n"/>
      <c r="G368" s="5" t="n"/>
    </row>
    <row r="369">
      <c r="A369" s="5" t="n"/>
      <c r="B369" s="5" t="n"/>
      <c r="C369" s="5" t="n"/>
      <c r="D369" s="5" t="n"/>
      <c r="E369" s="5" t="n"/>
      <c r="F369" s="5" t="n"/>
      <c r="G369" s="5" t="n"/>
    </row>
    <row r="370">
      <c r="A370" s="5" t="n"/>
      <c r="B370" s="5" t="n"/>
      <c r="C370" s="5" t="n"/>
      <c r="D370" s="5" t="n"/>
      <c r="E370" s="5" t="n"/>
      <c r="F370" s="5" t="n"/>
      <c r="G370" s="5" t="n"/>
    </row>
    <row r="371">
      <c r="A371" s="5" t="n"/>
      <c r="B371" s="5" t="n"/>
      <c r="C371" s="5" t="n"/>
      <c r="D371" s="5" t="n"/>
      <c r="E371" s="5" t="n"/>
      <c r="F371" s="5" t="n"/>
      <c r="G371" s="5" t="n"/>
    </row>
    <row r="372">
      <c r="A372" s="5" t="n"/>
      <c r="B372" s="5" t="n"/>
      <c r="C372" s="5" t="n"/>
      <c r="D372" s="5" t="n"/>
      <c r="E372" s="5" t="n"/>
      <c r="F372" s="5" t="n"/>
      <c r="G372" s="5" t="n"/>
    </row>
    <row r="373">
      <c r="A373" s="5" t="n"/>
      <c r="B373" s="5" t="n"/>
      <c r="C373" s="5" t="n"/>
      <c r="D373" s="5" t="n"/>
      <c r="E373" s="5" t="n"/>
      <c r="F373" s="5" t="n"/>
      <c r="G373" s="5" t="n"/>
    </row>
    <row r="374">
      <c r="A374" s="5" t="n"/>
      <c r="B374" s="5" t="n"/>
      <c r="C374" s="5" t="n"/>
      <c r="D374" s="5" t="n"/>
      <c r="E374" s="5" t="n"/>
      <c r="F374" s="5" t="n"/>
      <c r="G374" s="5" t="n"/>
    </row>
    <row r="375">
      <c r="A375" s="5" t="n"/>
      <c r="B375" s="5" t="n"/>
      <c r="C375" s="5" t="n"/>
      <c r="D375" s="5" t="n"/>
      <c r="E375" s="5" t="n"/>
      <c r="F375" s="5" t="n"/>
      <c r="G375" s="5" t="n"/>
    </row>
    <row r="376">
      <c r="A376" s="5" t="n"/>
      <c r="B376" s="5" t="n"/>
      <c r="C376" s="5" t="n"/>
      <c r="D376" s="5" t="n"/>
      <c r="E376" s="5" t="n"/>
      <c r="F376" s="5" t="n"/>
      <c r="G376" s="5" t="n"/>
    </row>
    <row r="377">
      <c r="A377" s="5" t="n"/>
      <c r="B377" s="5" t="n"/>
      <c r="C377" s="5" t="n"/>
      <c r="D377" s="5" t="n"/>
      <c r="E377" s="5" t="n"/>
      <c r="F377" s="5" t="n"/>
      <c r="G377" s="5" t="n"/>
    </row>
    <row r="378">
      <c r="A378" s="5" t="n"/>
      <c r="B378" s="5" t="n"/>
      <c r="C378" s="5" t="n"/>
      <c r="D378" s="5" t="n"/>
      <c r="E378" s="5" t="n"/>
      <c r="F378" s="5" t="n"/>
      <c r="G378" s="5" t="n"/>
    </row>
    <row r="379">
      <c r="A379" s="5" t="n"/>
      <c r="B379" s="5" t="n"/>
      <c r="C379" s="5" t="n"/>
      <c r="D379" s="5" t="n"/>
      <c r="E379" s="5" t="n"/>
      <c r="F379" s="5" t="n"/>
      <c r="G379" s="5" t="n"/>
    </row>
    <row r="380">
      <c r="A380" s="5" t="n"/>
      <c r="B380" s="5" t="n"/>
      <c r="C380" s="5" t="n"/>
      <c r="D380" s="5" t="n"/>
      <c r="E380" s="5" t="n"/>
      <c r="F380" s="5" t="n"/>
      <c r="G380" s="5" t="n"/>
    </row>
    <row r="381">
      <c r="A381" s="5" t="n"/>
      <c r="B381" s="5" t="n"/>
      <c r="C381" s="5" t="n"/>
      <c r="D381" s="5" t="n"/>
      <c r="E381" s="5" t="n"/>
      <c r="F381" s="5" t="n"/>
      <c r="G381" s="5" t="n"/>
    </row>
    <row r="382">
      <c r="A382" s="5" t="n"/>
      <c r="B382" s="5" t="n"/>
      <c r="C382" s="5" t="n"/>
      <c r="D382" s="5" t="n"/>
      <c r="E382" s="5" t="n"/>
      <c r="F382" s="5" t="n"/>
      <c r="G382" s="5" t="n"/>
    </row>
    <row r="383">
      <c r="A383" s="5" t="n"/>
      <c r="B383" s="5" t="n"/>
      <c r="C383" s="5" t="n"/>
      <c r="D383" s="5" t="n"/>
      <c r="E383" s="5" t="n"/>
      <c r="F383" s="5" t="n"/>
      <c r="G383" s="5" t="n"/>
    </row>
    <row r="384">
      <c r="A384" s="5" t="n"/>
      <c r="B384" s="5" t="n"/>
      <c r="C384" s="5" t="n"/>
      <c r="D384" s="5" t="n"/>
      <c r="E384" s="5" t="n"/>
      <c r="F384" s="5" t="n"/>
      <c r="G384" s="5" t="n"/>
    </row>
    <row r="385">
      <c r="A385" s="5" t="n"/>
      <c r="B385" s="5" t="n"/>
      <c r="C385" s="5" t="n"/>
      <c r="D385" s="5" t="n"/>
      <c r="E385" s="5" t="n"/>
      <c r="F385" s="5" t="n"/>
      <c r="G385" s="5" t="n"/>
    </row>
    <row r="386">
      <c r="A386" s="5" t="n"/>
      <c r="B386" s="5" t="n"/>
      <c r="C386" s="5" t="n"/>
      <c r="D386" s="5" t="n"/>
      <c r="E386" s="5" t="n"/>
      <c r="F386" s="5" t="n"/>
      <c r="G386" s="5" t="n"/>
    </row>
    <row r="387">
      <c r="A387" s="5" t="n"/>
      <c r="B387" s="5" t="n"/>
      <c r="C387" s="5" t="n"/>
      <c r="D387" s="5" t="n"/>
      <c r="E387" s="5" t="n"/>
      <c r="F387" s="5" t="n"/>
      <c r="G387" s="5" t="n"/>
    </row>
    <row r="388">
      <c r="A388" s="5" t="n"/>
      <c r="B388" s="5" t="n"/>
      <c r="C388" s="5" t="n"/>
      <c r="D388" s="5" t="n"/>
      <c r="E388" s="5" t="n"/>
      <c r="F388" s="5" t="n"/>
      <c r="G388" s="5" t="n"/>
    </row>
    <row r="389">
      <c r="A389" s="5" t="n"/>
      <c r="B389" s="5" t="n"/>
      <c r="C389" s="5" t="n"/>
      <c r="D389" s="5" t="n"/>
      <c r="E389" s="5" t="n"/>
      <c r="F389" s="5" t="n"/>
      <c r="G389" s="5" t="n"/>
    </row>
    <row r="390">
      <c r="A390" s="5" t="n"/>
      <c r="B390" s="5" t="n"/>
      <c r="C390" s="5" t="n"/>
      <c r="D390" s="5" t="n"/>
      <c r="E390" s="5" t="n"/>
      <c r="F390" s="5" t="n"/>
      <c r="G390" s="5" t="n"/>
    </row>
    <row r="391">
      <c r="A391" s="5" t="n"/>
      <c r="B391" s="5" t="n"/>
      <c r="C391" s="5" t="n"/>
      <c r="D391" s="5" t="n"/>
      <c r="E391" s="5" t="n"/>
      <c r="F391" s="5" t="n"/>
      <c r="G391" s="5" t="n"/>
    </row>
    <row r="392">
      <c r="A392" s="5" t="n"/>
      <c r="B392" s="5" t="n"/>
      <c r="C392" s="5" t="n"/>
      <c r="D392" s="5" t="n"/>
      <c r="E392" s="5" t="n"/>
      <c r="F392" s="5" t="n"/>
      <c r="G392" s="5" t="n"/>
    </row>
    <row r="393">
      <c r="A393" s="5" t="n"/>
      <c r="B393" s="5" t="n"/>
      <c r="C393" s="5" t="n"/>
      <c r="D393" s="5" t="n"/>
      <c r="E393" s="5" t="n"/>
      <c r="F393" s="5" t="n"/>
      <c r="G393" s="5" t="n"/>
    </row>
    <row r="394">
      <c r="A394" s="5" t="n"/>
      <c r="B394" s="5" t="n"/>
      <c r="C394" s="5" t="n"/>
      <c r="D394" s="5" t="n"/>
      <c r="E394" s="5" t="n"/>
      <c r="F394" s="5" t="n"/>
      <c r="G394" s="5" t="n"/>
    </row>
    <row r="395">
      <c r="A395" s="5" t="n"/>
      <c r="B395" s="5" t="n"/>
      <c r="C395" s="5" t="n"/>
      <c r="D395" s="5" t="n"/>
      <c r="E395" s="5" t="n"/>
      <c r="F395" s="5" t="n"/>
      <c r="G395" s="5" t="n"/>
    </row>
    <row r="396">
      <c r="A396" s="5" t="n"/>
      <c r="B396" s="5" t="n"/>
      <c r="C396" s="5" t="n"/>
      <c r="D396" s="5" t="n"/>
      <c r="E396" s="5" t="n"/>
      <c r="F396" s="5" t="n"/>
      <c r="G396" s="5" t="n"/>
    </row>
    <row r="397">
      <c r="A397" s="5" t="n"/>
      <c r="B397" s="5" t="n"/>
      <c r="C397" s="5" t="n"/>
      <c r="D397" s="5" t="n"/>
      <c r="E397" s="5" t="n"/>
      <c r="F397" s="5" t="n"/>
      <c r="G397" s="5" t="n"/>
    </row>
    <row r="398">
      <c r="A398" s="5" t="n"/>
      <c r="B398" s="5" t="n"/>
      <c r="C398" s="5" t="n"/>
      <c r="D398" s="5" t="n"/>
      <c r="E398" s="5" t="n"/>
      <c r="F398" s="5" t="n"/>
      <c r="G398" s="5" t="n"/>
    </row>
    <row r="399">
      <c r="A399" s="5" t="n"/>
      <c r="B399" s="5" t="n"/>
      <c r="C399" s="5" t="n"/>
      <c r="D399" s="5" t="n"/>
      <c r="E399" s="5" t="n"/>
      <c r="F399" s="5" t="n"/>
      <c r="G399" s="5" t="n"/>
    </row>
    <row r="400">
      <c r="A400" s="5" t="n"/>
      <c r="B400" s="5" t="n"/>
      <c r="C400" s="5" t="n"/>
      <c r="D400" s="5" t="n"/>
      <c r="E400" s="5" t="n"/>
      <c r="F400" s="5" t="n"/>
      <c r="G400" s="5" t="n"/>
    </row>
    <row r="401">
      <c r="A401" s="5" t="n"/>
      <c r="B401" s="5" t="n"/>
      <c r="C401" s="5" t="n"/>
      <c r="D401" s="5" t="n"/>
      <c r="E401" s="5" t="n"/>
      <c r="F401" s="5" t="n"/>
      <c r="G401" s="5" t="n"/>
    </row>
    <row r="402">
      <c r="A402" s="5" t="n"/>
      <c r="B402" s="5" t="n"/>
      <c r="C402" s="5" t="n"/>
      <c r="D402" s="5" t="n"/>
      <c r="E402" s="5" t="n"/>
      <c r="F402" s="5" t="n"/>
      <c r="G402" s="5" t="n"/>
    </row>
    <row r="403">
      <c r="A403" s="5" t="n"/>
      <c r="B403" s="5" t="n"/>
      <c r="C403" s="5" t="n"/>
      <c r="D403" s="5" t="n"/>
      <c r="E403" s="5" t="n"/>
      <c r="F403" s="5" t="n"/>
      <c r="G403" s="5" t="n"/>
    </row>
    <row r="404">
      <c r="A404" s="5" t="n"/>
      <c r="B404" s="5" t="n"/>
      <c r="C404" s="5" t="n"/>
      <c r="D404" s="5" t="n"/>
      <c r="E404" s="5" t="n"/>
      <c r="F404" s="5" t="n"/>
      <c r="G404" s="5" t="n"/>
    </row>
    <row r="405">
      <c r="A405" s="5" t="n"/>
      <c r="B405" s="5" t="n"/>
      <c r="C405" s="5" t="n"/>
      <c r="D405" s="5" t="n"/>
      <c r="E405" s="5" t="n"/>
      <c r="F405" s="5" t="n"/>
      <c r="G405" s="5" t="n"/>
    </row>
    <row r="406">
      <c r="A406" s="5" t="n"/>
      <c r="B406" s="5" t="n"/>
      <c r="C406" s="5" t="n"/>
      <c r="D406" s="5" t="n"/>
      <c r="E406" s="5" t="n"/>
      <c r="F406" s="5" t="n"/>
      <c r="G406" s="5" t="n"/>
    </row>
    <row r="407">
      <c r="A407" s="5" t="n"/>
      <c r="B407" s="5" t="n"/>
      <c r="C407" s="5" t="n"/>
      <c r="D407" s="5" t="n"/>
      <c r="E407" s="5" t="n"/>
      <c r="F407" s="5" t="n"/>
      <c r="G407" s="5" t="n"/>
    </row>
    <row r="408">
      <c r="A408" s="5" t="n"/>
      <c r="B408" s="5" t="n"/>
      <c r="C408" s="5" t="n"/>
      <c r="D408" s="5" t="n"/>
      <c r="E408" s="5" t="n"/>
      <c r="F408" s="5" t="n"/>
      <c r="G408" s="5" t="n"/>
    </row>
    <row r="409">
      <c r="A409" s="5" t="n"/>
      <c r="B409" s="5" t="n"/>
      <c r="C409" s="5" t="n"/>
      <c r="D409" s="5" t="n"/>
      <c r="E409" s="5" t="n"/>
      <c r="F409" s="5" t="n"/>
      <c r="G409" s="5" t="n"/>
    </row>
    <row r="410">
      <c r="A410" s="5" t="n"/>
      <c r="B410" s="5" t="n"/>
      <c r="C410" s="5" t="n"/>
      <c r="D410" s="5" t="n"/>
      <c r="E410" s="5" t="n"/>
      <c r="F410" s="5" t="n"/>
      <c r="G410" s="5" t="n"/>
    </row>
    <row r="411">
      <c r="A411" s="5" t="n"/>
      <c r="B411" s="5" t="n"/>
      <c r="C411" s="5" t="n"/>
      <c r="D411" s="5" t="n"/>
      <c r="E411" s="5" t="n"/>
      <c r="F411" s="5" t="n"/>
      <c r="G411" s="5" t="n"/>
    </row>
    <row r="412">
      <c r="A412" s="5" t="n"/>
      <c r="B412" s="5" t="n"/>
      <c r="C412" s="5" t="n"/>
      <c r="D412" s="5" t="n"/>
      <c r="E412" s="5" t="n"/>
      <c r="F412" s="5" t="n"/>
      <c r="G412" s="5" t="n"/>
    </row>
    <row r="413">
      <c r="A413" s="5" t="n"/>
      <c r="B413" s="5" t="n"/>
      <c r="C413" s="5" t="n"/>
      <c r="D413" s="5" t="n"/>
      <c r="E413" s="5" t="n"/>
      <c r="F413" s="5" t="n"/>
      <c r="G413" s="5" t="n"/>
    </row>
    <row r="414">
      <c r="A414" s="5" t="n"/>
      <c r="B414" s="5" t="n"/>
      <c r="C414" s="5" t="n"/>
      <c r="D414" s="5" t="n"/>
      <c r="E414" s="5" t="n"/>
      <c r="F414" s="5" t="n"/>
      <c r="G414" s="5" t="n"/>
    </row>
    <row r="415">
      <c r="A415" s="5" t="n"/>
      <c r="B415" s="5" t="n"/>
      <c r="C415" s="5" t="n"/>
      <c r="D415" s="5" t="n"/>
      <c r="E415" s="5" t="n"/>
      <c r="F415" s="5" t="n"/>
      <c r="G415" s="5" t="n"/>
    </row>
    <row r="416">
      <c r="A416" s="5" t="n"/>
      <c r="B416" s="5" t="n"/>
      <c r="C416" s="5" t="n"/>
      <c r="D416" s="5" t="n"/>
      <c r="E416" s="5" t="n"/>
      <c r="F416" s="5" t="n"/>
      <c r="G416" s="5" t="n"/>
    </row>
    <row r="417">
      <c r="A417" s="5" t="n"/>
      <c r="B417" s="5" t="n"/>
      <c r="C417" s="5" t="n"/>
      <c r="D417" s="5" t="n"/>
      <c r="E417" s="5" t="n"/>
      <c r="F417" s="5" t="n"/>
      <c r="G417" s="5" t="n"/>
    </row>
    <row r="418">
      <c r="A418" s="5" t="n"/>
      <c r="B418" s="5" t="n"/>
      <c r="C418" s="5" t="n"/>
      <c r="D418" s="5" t="n"/>
      <c r="E418" s="5" t="n"/>
      <c r="F418" s="5" t="n"/>
      <c r="G418" s="5" t="n"/>
    </row>
    <row r="419">
      <c r="A419" s="5" t="n"/>
      <c r="B419" s="5" t="n"/>
      <c r="C419" s="5" t="n"/>
      <c r="D419" s="5" t="n"/>
      <c r="E419" s="5" t="n"/>
      <c r="F419" s="5" t="n"/>
      <c r="G419" s="5" t="n"/>
    </row>
    <row r="420">
      <c r="A420" s="5" t="n"/>
      <c r="B420" s="5" t="n"/>
      <c r="C420" s="5" t="n"/>
      <c r="D420" s="5" t="n"/>
      <c r="E420" s="5" t="n"/>
      <c r="F420" s="5" t="n"/>
      <c r="G420" s="5" t="n"/>
    </row>
    <row r="421">
      <c r="A421" s="5" t="n"/>
      <c r="B421" s="5" t="n"/>
      <c r="C421" s="5" t="n"/>
      <c r="D421" s="5" t="n"/>
      <c r="E421" s="5" t="n"/>
      <c r="F421" s="5" t="n"/>
      <c r="G421" s="5" t="n"/>
    </row>
    <row r="422">
      <c r="A422" s="5" t="n"/>
      <c r="B422" s="5" t="n"/>
      <c r="C422" s="5" t="n"/>
      <c r="D422" s="5" t="n"/>
      <c r="E422" s="5" t="n"/>
      <c r="F422" s="5" t="n"/>
      <c r="G422" s="5" t="n"/>
    </row>
    <row r="423">
      <c r="A423" s="5" t="n"/>
      <c r="B423" s="5" t="n"/>
      <c r="C423" s="5" t="n"/>
      <c r="D423" s="5" t="n"/>
      <c r="E423" s="5" t="n"/>
      <c r="F423" s="5" t="n"/>
      <c r="G423" s="5" t="n"/>
    </row>
    <row r="424">
      <c r="A424" s="5" t="n"/>
      <c r="B424" s="5" t="n"/>
      <c r="C424" s="5" t="n"/>
      <c r="D424" s="5" t="n"/>
      <c r="E424" s="5" t="n"/>
      <c r="F424" s="5" t="n"/>
      <c r="G424" s="5" t="n"/>
    </row>
    <row r="425">
      <c r="A425" s="5" t="n"/>
      <c r="B425" s="5" t="n"/>
      <c r="C425" s="5" t="n"/>
      <c r="D425" s="5" t="n"/>
      <c r="E425" s="5" t="n"/>
      <c r="F425" s="5" t="n"/>
      <c r="G425" s="5" t="n"/>
    </row>
    <row r="426">
      <c r="A426" s="5" t="n"/>
      <c r="B426" s="5" t="n"/>
      <c r="C426" s="5" t="n"/>
      <c r="D426" s="5" t="n"/>
      <c r="E426" s="5" t="n"/>
      <c r="F426" s="5" t="n"/>
      <c r="G426" s="5" t="n"/>
    </row>
    <row r="427">
      <c r="A427" s="5" t="n"/>
      <c r="B427" s="5" t="n"/>
      <c r="C427" s="5" t="n"/>
      <c r="D427" s="5" t="n"/>
      <c r="E427" s="5" t="n"/>
      <c r="F427" s="5" t="n"/>
      <c r="G427" s="5" t="n"/>
    </row>
    <row r="428">
      <c r="A428" s="5" t="n"/>
      <c r="B428" s="5" t="n"/>
      <c r="C428" s="5" t="n"/>
      <c r="D428" s="5" t="n"/>
      <c r="E428" s="5" t="n"/>
      <c r="F428" s="5" t="n"/>
      <c r="G428" s="5" t="n"/>
    </row>
    <row r="429">
      <c r="A429" s="5" t="n"/>
      <c r="B429" s="5" t="n"/>
      <c r="C429" s="5" t="n"/>
      <c r="D429" s="5" t="n"/>
      <c r="E429" s="5" t="n"/>
      <c r="F429" s="5" t="n"/>
      <c r="G429" s="5" t="n"/>
    </row>
    <row r="430">
      <c r="A430" s="5" t="n"/>
      <c r="B430" s="5" t="n"/>
      <c r="C430" s="5" t="n"/>
      <c r="D430" s="5" t="n"/>
      <c r="E430" s="5" t="n"/>
      <c r="F430" s="5" t="n"/>
      <c r="G430" s="5" t="n"/>
    </row>
    <row r="431">
      <c r="A431" s="5" t="n"/>
      <c r="B431" s="5" t="n"/>
      <c r="C431" s="5" t="n"/>
      <c r="D431" s="5" t="n"/>
      <c r="E431" s="5" t="n"/>
      <c r="F431" s="5" t="n"/>
      <c r="G431" s="5" t="n"/>
    </row>
    <row r="432">
      <c r="A432" s="5" t="n"/>
      <c r="B432" s="5" t="n"/>
      <c r="C432" s="5" t="n"/>
      <c r="D432" s="5" t="n"/>
      <c r="E432" s="5" t="n"/>
      <c r="F432" s="5" t="n"/>
      <c r="G432" s="5" t="n"/>
    </row>
    <row r="433">
      <c r="A433" s="5" t="n"/>
      <c r="B433" s="5" t="n"/>
      <c r="C433" s="5" t="n"/>
      <c r="D433" s="5" t="n"/>
      <c r="E433" s="5" t="n"/>
      <c r="F433" s="5" t="n"/>
      <c r="G433" s="5" t="n"/>
    </row>
    <row r="434">
      <c r="A434" s="5" t="n"/>
      <c r="B434" s="5" t="n"/>
      <c r="C434" s="5" t="n"/>
      <c r="D434" s="5" t="n"/>
      <c r="E434" s="5" t="n"/>
      <c r="F434" s="5" t="n"/>
      <c r="G434" s="5" t="n"/>
    </row>
    <row r="435">
      <c r="A435" s="5" t="n"/>
      <c r="B435" s="5" t="n"/>
      <c r="C435" s="5" t="n"/>
      <c r="D435" s="5" t="n"/>
      <c r="E435" s="5" t="n"/>
      <c r="F435" s="5" t="n"/>
      <c r="G435" s="5" t="n"/>
    </row>
    <row r="436">
      <c r="A436" s="5" t="n"/>
      <c r="B436" s="5" t="n"/>
      <c r="C436" s="5" t="n"/>
      <c r="D436" s="5" t="n"/>
      <c r="E436" s="5" t="n"/>
      <c r="F436" s="5" t="n"/>
      <c r="G436" s="5" t="n"/>
    </row>
    <row r="437">
      <c r="A437" s="5" t="n"/>
      <c r="B437" s="5" t="n"/>
      <c r="C437" s="5" t="n"/>
      <c r="D437" s="5" t="n"/>
      <c r="E437" s="5" t="n"/>
      <c r="F437" s="5" t="n"/>
      <c r="G437" s="5" t="n"/>
    </row>
    <row r="438">
      <c r="A438" s="5" t="n"/>
      <c r="B438" s="5" t="n"/>
      <c r="C438" s="5" t="n"/>
      <c r="D438" s="5" t="n"/>
      <c r="E438" s="5" t="n"/>
      <c r="F438" s="5" t="n"/>
      <c r="G438" s="5" t="n"/>
    </row>
    <row r="439">
      <c r="A439" s="5" t="n"/>
      <c r="B439" s="5" t="n"/>
      <c r="C439" s="5" t="n"/>
      <c r="D439" s="5" t="n"/>
      <c r="E439" s="5" t="n"/>
      <c r="F439" s="5" t="n"/>
      <c r="G439" s="5" t="n"/>
    </row>
    <row r="440">
      <c r="A440" s="5" t="n"/>
      <c r="B440" s="5" t="n"/>
      <c r="C440" s="5" t="n"/>
      <c r="D440" s="5" t="n"/>
      <c r="E440" s="5" t="n"/>
      <c r="F440" s="5" t="n"/>
      <c r="G440" s="5" t="n"/>
    </row>
    <row r="441">
      <c r="A441" s="5" t="n"/>
      <c r="B441" s="5" t="n"/>
      <c r="C441" s="5" t="n"/>
      <c r="D441" s="5" t="n"/>
      <c r="E441" s="5" t="n"/>
      <c r="F441" s="5" t="n"/>
      <c r="G441" s="5" t="n"/>
    </row>
    <row r="442">
      <c r="A442" s="5" t="n"/>
      <c r="B442" s="5" t="n"/>
      <c r="C442" s="5" t="n"/>
      <c r="D442" s="5" t="n"/>
      <c r="E442" s="5" t="n"/>
      <c r="F442" s="5" t="n"/>
      <c r="G442" s="5" t="n"/>
    </row>
    <row r="443">
      <c r="A443" s="5" t="n"/>
      <c r="B443" s="5" t="n"/>
      <c r="C443" s="5" t="n"/>
      <c r="D443" s="5" t="n"/>
      <c r="E443" s="5" t="n"/>
      <c r="F443" s="5" t="n"/>
      <c r="G443" s="5" t="n"/>
    </row>
    <row r="444">
      <c r="A444" s="5" t="n"/>
      <c r="B444" s="5" t="n"/>
      <c r="C444" s="5" t="n"/>
      <c r="D444" s="5" t="n"/>
      <c r="E444" s="5" t="n"/>
      <c r="F444" s="5" t="n"/>
      <c r="G444" s="5" t="n"/>
    </row>
    <row r="445">
      <c r="A445" s="5" t="n"/>
      <c r="B445" s="5" t="n"/>
      <c r="C445" s="5" t="n"/>
      <c r="D445" s="5" t="n"/>
      <c r="E445" s="5" t="n"/>
      <c r="F445" s="5" t="n"/>
      <c r="G445" s="5" t="n"/>
    </row>
    <row r="446">
      <c r="A446" s="5" t="n"/>
      <c r="B446" s="5" t="n"/>
      <c r="C446" s="5" t="n"/>
      <c r="D446" s="5" t="n"/>
      <c r="E446" s="5" t="n"/>
      <c r="F446" s="5" t="n"/>
      <c r="G446" s="5" t="n"/>
    </row>
    <row r="447">
      <c r="A447" s="5" t="n"/>
      <c r="B447" s="5" t="n"/>
      <c r="C447" s="5" t="n"/>
      <c r="D447" s="5" t="n"/>
      <c r="E447" s="5" t="n"/>
      <c r="F447" s="5" t="n"/>
      <c r="G447" s="5" t="n"/>
    </row>
    <row r="448">
      <c r="A448" s="5" t="n"/>
      <c r="B448" s="5" t="n"/>
      <c r="C448" s="5" t="n"/>
      <c r="D448" s="5" t="n"/>
      <c r="E448" s="5" t="n"/>
      <c r="F448" s="5" t="n"/>
      <c r="G448" s="5" t="n"/>
    </row>
    <row r="449">
      <c r="A449" s="5" t="n"/>
      <c r="B449" s="5" t="n"/>
      <c r="C449" s="5" t="n"/>
      <c r="D449" s="5" t="n"/>
      <c r="E449" s="5" t="n"/>
      <c r="F449" s="5" t="n"/>
      <c r="G449" s="5" t="n"/>
    </row>
    <row r="450">
      <c r="A450" s="5" t="n"/>
      <c r="B450" s="5" t="n"/>
      <c r="C450" s="5" t="n"/>
      <c r="D450" s="5" t="n"/>
      <c r="E450" s="5" t="n"/>
      <c r="F450" s="5" t="n"/>
      <c r="G450" s="5" t="n"/>
    </row>
    <row r="451">
      <c r="A451" s="5" t="n"/>
      <c r="B451" s="5" t="n"/>
      <c r="C451" s="5" t="n"/>
      <c r="D451" s="5" t="n"/>
      <c r="E451" s="5" t="n"/>
      <c r="F451" s="5" t="n"/>
      <c r="G451" s="5" t="n"/>
    </row>
    <row r="452">
      <c r="A452" s="5" t="n"/>
      <c r="B452" s="5" t="n"/>
      <c r="C452" s="5" t="n"/>
      <c r="D452" s="5" t="n"/>
      <c r="E452" s="5" t="n"/>
      <c r="F452" s="5" t="n"/>
      <c r="G452" s="5" t="n"/>
    </row>
    <row r="453">
      <c r="A453" s="5" t="n"/>
      <c r="B453" s="5" t="n"/>
      <c r="C453" s="5" t="n"/>
      <c r="D453" s="5" t="n"/>
      <c r="E453" s="5" t="n"/>
      <c r="F453" s="5" t="n"/>
      <c r="G453" s="5" t="n"/>
    </row>
    <row r="454">
      <c r="A454" s="5" t="n"/>
      <c r="B454" s="5" t="n"/>
      <c r="C454" s="5" t="n"/>
      <c r="D454" s="5" t="n"/>
      <c r="E454" s="5" t="n"/>
      <c r="F454" s="5" t="n"/>
      <c r="G454" s="5" t="n"/>
    </row>
    <row r="455">
      <c r="A455" s="5" t="n"/>
      <c r="B455" s="5" t="n"/>
      <c r="C455" s="5" t="n"/>
      <c r="D455" s="5" t="n"/>
      <c r="E455" s="5" t="n"/>
      <c r="F455" s="5" t="n"/>
      <c r="G455" s="5" t="n"/>
    </row>
    <row r="456">
      <c r="A456" s="5" t="n"/>
      <c r="B456" s="5" t="n"/>
      <c r="C456" s="5" t="n"/>
      <c r="D456" s="5" t="n"/>
      <c r="E456" s="5" t="n"/>
      <c r="F456" s="5" t="n"/>
      <c r="G456" s="5" t="n"/>
    </row>
    <row r="457">
      <c r="A457" s="5" t="n"/>
      <c r="B457" s="5" t="n"/>
      <c r="C457" s="5" t="n"/>
      <c r="D457" s="5" t="n"/>
      <c r="E457" s="5" t="n"/>
      <c r="F457" s="5" t="n"/>
      <c r="G457" s="5" t="n"/>
    </row>
    <row r="458">
      <c r="A458" s="5" t="n"/>
      <c r="B458" s="5" t="n"/>
      <c r="C458" s="5" t="n"/>
      <c r="D458" s="5" t="n"/>
      <c r="E458" s="5" t="n"/>
      <c r="F458" s="5" t="n"/>
      <c r="G458" s="5" t="n"/>
    </row>
    <row r="459">
      <c r="A459" s="5" t="n"/>
      <c r="B459" s="5" t="n"/>
      <c r="C459" s="5" t="n"/>
      <c r="D459" s="5" t="n"/>
      <c r="E459" s="5" t="n"/>
      <c r="F459" s="5" t="n"/>
      <c r="G459" s="5" t="n"/>
    </row>
    <row r="460">
      <c r="A460" s="5" t="n"/>
      <c r="B460" s="5" t="n"/>
      <c r="C460" s="5" t="n"/>
      <c r="D460" s="5" t="n"/>
      <c r="E460" s="5" t="n"/>
      <c r="F460" s="5" t="n"/>
      <c r="G460" s="5" t="n"/>
    </row>
    <row r="461">
      <c r="A461" s="5" t="n"/>
      <c r="B461" s="5" t="n"/>
      <c r="C461" s="5" t="n"/>
      <c r="D461" s="5" t="n"/>
      <c r="E461" s="5" t="n"/>
      <c r="F461" s="5" t="n"/>
      <c r="G461" s="5" t="n"/>
    </row>
    <row r="462">
      <c r="A462" s="5" t="n"/>
      <c r="B462" s="5" t="n"/>
      <c r="C462" s="5" t="n"/>
      <c r="D462" s="5" t="n"/>
      <c r="E462" s="5" t="n"/>
      <c r="F462" s="5" t="n"/>
      <c r="G462" s="5" t="n"/>
    </row>
    <row r="463">
      <c r="A463" s="5" t="n"/>
      <c r="B463" s="5" t="n"/>
      <c r="C463" s="5" t="n"/>
      <c r="D463" s="5" t="n"/>
      <c r="E463" s="5" t="n"/>
      <c r="F463" s="5" t="n"/>
      <c r="G463" s="5" t="n"/>
    </row>
    <row r="464">
      <c r="A464" s="5" t="n"/>
      <c r="B464" s="5" t="n"/>
      <c r="C464" s="5" t="n"/>
      <c r="D464" s="5" t="n"/>
      <c r="E464" s="5" t="n"/>
      <c r="F464" s="5" t="n"/>
      <c r="G464" s="5" t="n"/>
    </row>
    <row r="465">
      <c r="A465" s="5" t="n"/>
      <c r="B465" s="5" t="n"/>
      <c r="C465" s="5" t="n"/>
      <c r="D465" s="5" t="n"/>
      <c r="E465" s="5" t="n"/>
      <c r="F465" s="5" t="n"/>
      <c r="G465" s="5" t="n"/>
    </row>
    <row r="466">
      <c r="A466" s="5" t="n"/>
      <c r="B466" s="5" t="n"/>
      <c r="C466" s="5" t="n"/>
      <c r="D466" s="5" t="n"/>
      <c r="E466" s="5" t="n"/>
      <c r="F466" s="5" t="n"/>
      <c r="G466" s="5" t="n"/>
    </row>
    <row r="467">
      <c r="A467" s="5" t="n"/>
      <c r="B467" s="5" t="n"/>
      <c r="C467" s="5" t="n"/>
      <c r="D467" s="5" t="n"/>
      <c r="E467" s="5" t="n"/>
      <c r="F467" s="5" t="n"/>
      <c r="G467" s="5" t="n"/>
    </row>
    <row r="468">
      <c r="A468" s="5" t="n"/>
      <c r="B468" s="5" t="n"/>
      <c r="C468" s="5" t="n"/>
      <c r="D468" s="5" t="n"/>
      <c r="E468" s="5" t="n"/>
      <c r="F468" s="5" t="n"/>
      <c r="G468" s="5" t="n"/>
    </row>
    <row r="469">
      <c r="A469" s="5" t="n"/>
      <c r="B469" s="5" t="n"/>
      <c r="C469" s="5" t="n"/>
      <c r="D469" s="5" t="n"/>
      <c r="E469" s="5" t="n"/>
      <c r="F469" s="5" t="n"/>
      <c r="G469" s="5" t="n"/>
    </row>
    <row r="470">
      <c r="A470" s="5" t="n"/>
      <c r="B470" s="5" t="n"/>
      <c r="C470" s="5" t="n"/>
      <c r="D470" s="5" t="n"/>
      <c r="E470" s="5" t="n"/>
      <c r="F470" s="5" t="n"/>
      <c r="G470" s="5" t="n"/>
    </row>
    <row r="471">
      <c r="A471" s="5" t="n"/>
      <c r="B471" s="5" t="n"/>
      <c r="C471" s="5" t="n"/>
      <c r="D471" s="5" t="n"/>
      <c r="E471" s="5" t="n"/>
      <c r="F471" s="5" t="n"/>
      <c r="G471" s="5" t="n"/>
    </row>
    <row r="472">
      <c r="A472" s="5" t="n"/>
      <c r="B472" s="5" t="n"/>
      <c r="C472" s="5" t="n"/>
      <c r="D472" s="5" t="n"/>
      <c r="E472" s="5" t="n"/>
      <c r="F472" s="5" t="n"/>
      <c r="G472" s="5" t="n"/>
    </row>
    <row r="473">
      <c r="A473" s="5" t="n"/>
      <c r="B473" s="5" t="n"/>
      <c r="C473" s="5" t="n"/>
      <c r="D473" s="5" t="n"/>
      <c r="E473" s="5" t="n"/>
      <c r="F473" s="5" t="n"/>
      <c r="G473" s="5" t="n"/>
    </row>
    <row r="474">
      <c r="A474" s="5" t="n"/>
      <c r="B474" s="5" t="n"/>
      <c r="C474" s="5" t="n"/>
      <c r="D474" s="5" t="n"/>
      <c r="E474" s="5" t="n"/>
      <c r="F474" s="5" t="n"/>
      <c r="G474" s="5" t="n"/>
    </row>
    <row r="475">
      <c r="A475" s="5" t="n"/>
      <c r="B475" s="5" t="n"/>
      <c r="C475" s="5" t="n"/>
      <c r="D475" s="5" t="n"/>
      <c r="E475" s="5" t="n"/>
      <c r="F475" s="5" t="n"/>
      <c r="G475" s="5" t="n"/>
    </row>
    <row r="476">
      <c r="A476" s="5" t="n"/>
      <c r="B476" s="5" t="n"/>
      <c r="C476" s="5" t="n"/>
      <c r="D476" s="5" t="n"/>
      <c r="E476" s="5" t="n"/>
      <c r="F476" s="5" t="n"/>
      <c r="G476" s="5" t="n"/>
    </row>
    <row r="477">
      <c r="A477" s="5" t="n"/>
      <c r="B477" s="5" t="n"/>
      <c r="C477" s="5" t="n"/>
      <c r="D477" s="5" t="n"/>
      <c r="E477" s="5" t="n"/>
      <c r="F477" s="5" t="n"/>
      <c r="G477" s="5" t="n"/>
    </row>
    <row r="478">
      <c r="A478" s="5" t="n"/>
      <c r="B478" s="5" t="n"/>
      <c r="C478" s="5" t="n"/>
      <c r="D478" s="5" t="n"/>
      <c r="E478" s="5" t="n"/>
      <c r="F478" s="5" t="n"/>
      <c r="G478" s="5" t="n"/>
    </row>
    <row r="479">
      <c r="A479" s="5" t="n"/>
      <c r="B479" s="5" t="n"/>
      <c r="C479" s="5" t="n"/>
      <c r="D479" s="5" t="n"/>
      <c r="E479" s="5" t="n"/>
      <c r="F479" s="5" t="n"/>
      <c r="G479" s="5" t="n"/>
    </row>
    <row r="480">
      <c r="A480" s="5" t="n"/>
      <c r="B480" s="5" t="n"/>
      <c r="C480" s="5" t="n"/>
      <c r="D480" s="5" t="n"/>
      <c r="E480" s="5" t="n"/>
      <c r="F480" s="5" t="n"/>
      <c r="G480" s="5" t="n"/>
    </row>
    <row r="481">
      <c r="A481" s="5" t="n"/>
      <c r="B481" s="5" t="n"/>
      <c r="C481" s="5" t="n"/>
      <c r="D481" s="5" t="n"/>
      <c r="E481" s="5" t="n"/>
      <c r="F481" s="5" t="n"/>
      <c r="G481" s="5" t="n"/>
    </row>
    <row r="482">
      <c r="A482" s="5" t="n"/>
      <c r="B482" s="5" t="n"/>
      <c r="C482" s="5" t="n"/>
      <c r="D482" s="5" t="n"/>
      <c r="E482" s="5" t="n"/>
      <c r="F482" s="5" t="n"/>
      <c r="G482" s="5" t="n"/>
    </row>
    <row r="483">
      <c r="A483" s="5" t="n"/>
      <c r="B483" s="5" t="n"/>
      <c r="C483" s="5" t="n"/>
      <c r="D483" s="5" t="n"/>
      <c r="E483" s="5" t="n"/>
      <c r="F483" s="5" t="n"/>
      <c r="G483" s="5" t="n"/>
    </row>
    <row r="484">
      <c r="A484" s="5" t="n"/>
      <c r="B484" s="5" t="n"/>
      <c r="C484" s="5" t="n"/>
      <c r="D484" s="5" t="n"/>
      <c r="E484" s="5" t="n"/>
      <c r="F484" s="5" t="n"/>
      <c r="G484" s="5" t="n"/>
    </row>
    <row r="485">
      <c r="A485" s="5" t="n"/>
      <c r="B485" s="5" t="n"/>
      <c r="C485" s="5" t="n"/>
      <c r="D485" s="5" t="n"/>
      <c r="E485" s="5" t="n"/>
      <c r="F485" s="5" t="n"/>
      <c r="G485" s="5" t="n"/>
    </row>
    <row r="486">
      <c r="A486" s="5" t="n"/>
      <c r="B486" s="5" t="n"/>
      <c r="C486" s="5" t="n"/>
      <c r="D486" s="5" t="n"/>
      <c r="E486" s="5" t="n"/>
      <c r="F486" s="5" t="n"/>
      <c r="G486" s="5" t="n"/>
    </row>
    <row r="487">
      <c r="A487" s="5" t="n"/>
      <c r="B487" s="5" t="n"/>
      <c r="C487" s="5" t="n"/>
      <c r="D487" s="5" t="n"/>
      <c r="E487" s="5" t="n"/>
      <c r="F487" s="5" t="n"/>
      <c r="G487" s="5" t="n"/>
    </row>
    <row r="488">
      <c r="A488" s="5" t="n"/>
      <c r="B488" s="5" t="n"/>
      <c r="C488" s="5" t="n"/>
      <c r="D488" s="5" t="n"/>
      <c r="E488" s="5" t="n"/>
      <c r="F488" s="5" t="n"/>
      <c r="G488" s="5" t="n"/>
    </row>
    <row r="489">
      <c r="A489" s="5" t="n"/>
      <c r="B489" s="5" t="n"/>
      <c r="C489" s="5" t="n"/>
      <c r="D489" s="5" t="n"/>
      <c r="E489" s="5" t="n"/>
      <c r="F489" s="5" t="n"/>
      <c r="G489" s="5" t="n"/>
    </row>
    <row r="490">
      <c r="A490" s="5" t="n"/>
      <c r="B490" s="5" t="n"/>
      <c r="C490" s="5" t="n"/>
      <c r="D490" s="5" t="n"/>
      <c r="E490" s="5" t="n"/>
      <c r="F490" s="5" t="n"/>
      <c r="G490" s="5" t="n"/>
    </row>
    <row r="491">
      <c r="A491" s="5" t="n"/>
      <c r="B491" s="5" t="n"/>
      <c r="C491" s="5" t="n"/>
      <c r="D491" s="5" t="n"/>
      <c r="E491" s="5" t="n"/>
      <c r="F491" s="5" t="n"/>
      <c r="G491" s="5" t="n"/>
    </row>
    <row r="492">
      <c r="A492" s="5" t="n"/>
      <c r="B492" s="5" t="n"/>
      <c r="C492" s="5" t="n"/>
      <c r="D492" s="5" t="n"/>
      <c r="E492" s="5" t="n"/>
      <c r="F492" s="5" t="n"/>
      <c r="G492" s="5" t="n"/>
    </row>
    <row r="493">
      <c r="A493" s="5" t="n"/>
      <c r="B493" s="5" t="n"/>
      <c r="C493" s="5" t="n"/>
      <c r="D493" s="5" t="n"/>
      <c r="E493" s="5" t="n"/>
      <c r="F493" s="5" t="n"/>
      <c r="G493" s="5" t="n"/>
    </row>
    <row r="494">
      <c r="A494" s="5" t="n"/>
      <c r="B494" s="5" t="n"/>
      <c r="C494" s="5" t="n"/>
      <c r="D494" s="5" t="n"/>
      <c r="E494" s="5" t="n"/>
      <c r="F494" s="5" t="n"/>
      <c r="G494" s="5" t="n"/>
    </row>
    <row r="495">
      <c r="A495" s="5" t="n"/>
      <c r="B495" s="5" t="n"/>
      <c r="C495" s="5" t="n"/>
      <c r="D495" s="5" t="n"/>
      <c r="E495" s="5" t="n"/>
      <c r="F495" s="5" t="n"/>
      <c r="G495" s="5" t="n"/>
    </row>
    <row r="496">
      <c r="A496" s="5" t="n"/>
      <c r="B496" s="5" t="n"/>
      <c r="C496" s="5" t="n"/>
      <c r="D496" s="5" t="n"/>
      <c r="E496" s="5" t="n"/>
      <c r="F496" s="5" t="n"/>
      <c r="G496" s="5" t="n"/>
    </row>
    <row r="497">
      <c r="A497" s="5" t="n"/>
      <c r="B497" s="5" t="n"/>
      <c r="C497" s="5" t="n"/>
      <c r="D497" s="5" t="n"/>
      <c r="E497" s="5" t="n"/>
      <c r="F497" s="5" t="n"/>
      <c r="G497" s="5" t="n"/>
    </row>
    <row r="498">
      <c r="A498" s="5" t="n"/>
      <c r="B498" s="5" t="n"/>
      <c r="C498" s="5" t="n"/>
      <c r="D498" s="5" t="n"/>
      <c r="E498" s="5" t="n"/>
      <c r="F498" s="5" t="n"/>
      <c r="G498" s="5" t="n"/>
    </row>
    <row r="499">
      <c r="A499" s="5" t="n"/>
      <c r="B499" s="5" t="n"/>
      <c r="C499" s="5" t="n"/>
      <c r="D499" s="5" t="n"/>
      <c r="E499" s="5" t="n"/>
      <c r="F499" s="5" t="n"/>
      <c r="G499" s="5" t="n"/>
    </row>
    <row r="500">
      <c r="A500" s="5" t="n"/>
      <c r="B500" s="5" t="n"/>
      <c r="C500" s="5" t="n"/>
      <c r="D500" s="5" t="n"/>
      <c r="E500" s="5" t="n"/>
      <c r="F500" s="5" t="n"/>
      <c r="G500" s="5" t="n"/>
    </row>
    <row r="501">
      <c r="A501" s="5" t="n"/>
      <c r="B501" s="5" t="n"/>
      <c r="C501" s="5" t="n"/>
      <c r="D501" s="5" t="n"/>
      <c r="E501" s="5" t="n"/>
      <c r="F501" s="5" t="n"/>
      <c r="G501" s="5" t="n"/>
    </row>
    <row r="502">
      <c r="A502" s="5" t="n"/>
      <c r="B502" s="5" t="n"/>
      <c r="C502" s="5" t="n"/>
      <c r="D502" s="5" t="n"/>
      <c r="E502" s="5" t="n"/>
      <c r="F502" s="5" t="n"/>
      <c r="G502" s="5" t="n"/>
    </row>
    <row r="503">
      <c r="A503" s="5" t="n"/>
      <c r="B503" s="5" t="n"/>
      <c r="C503" s="5" t="n"/>
      <c r="D503" s="5" t="n"/>
      <c r="E503" s="5" t="n"/>
      <c r="F503" s="5" t="n"/>
      <c r="G503" s="5" t="n"/>
    </row>
    <row r="504">
      <c r="A504" s="5" t="n"/>
      <c r="B504" s="5" t="n"/>
      <c r="C504" s="5" t="n"/>
      <c r="D504" s="5" t="n"/>
      <c r="E504" s="5" t="n"/>
      <c r="F504" s="5" t="n"/>
      <c r="G504" s="5" t="n"/>
    </row>
    <row r="505">
      <c r="A505" s="5" t="n"/>
      <c r="B505" s="5" t="n"/>
      <c r="C505" s="5" t="n"/>
      <c r="D505" s="5" t="n"/>
      <c r="E505" s="5" t="n"/>
      <c r="F505" s="5" t="n"/>
      <c r="G505" s="5" t="n"/>
    </row>
    <row r="506">
      <c r="A506" s="5" t="n"/>
      <c r="B506" s="5" t="n"/>
      <c r="C506" s="5" t="n"/>
      <c r="D506" s="5" t="n"/>
      <c r="E506" s="5" t="n"/>
      <c r="F506" s="5" t="n"/>
      <c r="G506" s="5" t="n"/>
    </row>
    <row r="507">
      <c r="A507" s="5" t="n"/>
      <c r="B507" s="5" t="n"/>
      <c r="C507" s="5" t="n"/>
      <c r="D507" s="5" t="n"/>
      <c r="E507" s="5" t="n"/>
      <c r="F507" s="5" t="n"/>
      <c r="G507" s="5" t="n"/>
    </row>
    <row r="508">
      <c r="A508" s="5" t="n"/>
      <c r="B508" s="5" t="n"/>
      <c r="C508" s="5" t="n"/>
      <c r="D508" s="5" t="n"/>
      <c r="E508" s="5" t="n"/>
      <c r="F508" s="5" t="n"/>
      <c r="G508" s="5" t="n"/>
    </row>
    <row r="509">
      <c r="A509" s="5" t="n"/>
      <c r="B509" s="5" t="n"/>
      <c r="C509" s="5" t="n"/>
      <c r="D509" s="5" t="n"/>
      <c r="E509" s="5" t="n"/>
      <c r="F509" s="5" t="n"/>
      <c r="G509" s="5" t="n"/>
    </row>
    <row r="510">
      <c r="A510" s="5" t="n"/>
      <c r="B510" s="5" t="n"/>
      <c r="C510" s="5" t="n"/>
      <c r="D510" s="5" t="n"/>
      <c r="E510" s="5" t="n"/>
      <c r="F510" s="5" t="n"/>
      <c r="G510" s="5" t="n"/>
    </row>
    <row r="511">
      <c r="A511" s="5" t="n"/>
      <c r="B511" s="5" t="n"/>
      <c r="C511" s="5" t="n"/>
      <c r="D511" s="5" t="n"/>
      <c r="E511" s="5" t="n"/>
      <c r="F511" s="5" t="n"/>
      <c r="G511" s="5" t="n"/>
    </row>
    <row r="512">
      <c r="A512" s="5" t="n"/>
      <c r="B512" s="5" t="n"/>
      <c r="C512" s="5" t="n"/>
      <c r="D512" s="5" t="n"/>
      <c r="E512" s="5" t="n"/>
      <c r="F512" s="5" t="n"/>
      <c r="G512" s="5" t="n"/>
    </row>
    <row r="513">
      <c r="A513" s="5" t="n"/>
      <c r="B513" s="5" t="n"/>
      <c r="C513" s="5" t="n"/>
      <c r="D513" s="5" t="n"/>
      <c r="E513" s="5" t="n"/>
      <c r="F513" s="5" t="n"/>
      <c r="G513" s="5" t="n"/>
    </row>
    <row r="514">
      <c r="A514" s="5" t="n"/>
      <c r="B514" s="5" t="n"/>
      <c r="C514" s="5" t="n"/>
      <c r="D514" s="5" t="n"/>
      <c r="E514" s="5" t="n"/>
      <c r="F514" s="5" t="n"/>
      <c r="G514" s="5" t="n"/>
    </row>
    <row r="515">
      <c r="A515" s="5" t="n"/>
      <c r="B515" s="5" t="n"/>
      <c r="C515" s="5" t="n"/>
      <c r="D515" s="5" t="n"/>
      <c r="E515" s="5" t="n"/>
      <c r="F515" s="5" t="n"/>
      <c r="G515" s="5" t="n"/>
    </row>
    <row r="516">
      <c r="A516" s="5" t="n"/>
      <c r="B516" s="5" t="n"/>
      <c r="C516" s="5" t="n"/>
      <c r="D516" s="5" t="n"/>
      <c r="E516" s="5" t="n"/>
      <c r="F516" s="5" t="n"/>
      <c r="G516" s="5" t="n"/>
    </row>
    <row r="517">
      <c r="A517" s="5" t="n"/>
      <c r="B517" s="5" t="n"/>
      <c r="C517" s="5" t="n"/>
      <c r="D517" s="5" t="n"/>
      <c r="E517" s="5" t="n"/>
      <c r="F517" s="5" t="n"/>
      <c r="G517" s="5" t="n"/>
    </row>
    <row r="518">
      <c r="A518" s="5" t="n"/>
      <c r="B518" s="5" t="n"/>
      <c r="C518" s="5" t="n"/>
      <c r="D518" s="5" t="n"/>
      <c r="E518" s="5" t="n"/>
      <c r="F518" s="5" t="n"/>
      <c r="G518" s="5" t="n"/>
    </row>
    <row r="519">
      <c r="A519" s="5" t="n"/>
      <c r="B519" s="5" t="n"/>
      <c r="C519" s="5" t="n"/>
      <c r="D519" s="5" t="n"/>
      <c r="E519" s="5" t="n"/>
      <c r="F519" s="5" t="n"/>
      <c r="G519" s="5" t="n"/>
    </row>
    <row r="520">
      <c r="A520" s="5" t="n"/>
      <c r="B520" s="5" t="n"/>
      <c r="C520" s="5" t="n"/>
      <c r="D520" s="5" t="n"/>
      <c r="E520" s="5" t="n"/>
      <c r="F520" s="5" t="n"/>
      <c r="G520" s="5" t="n"/>
    </row>
    <row r="521">
      <c r="A521" s="5" t="n"/>
      <c r="B521" s="5" t="n"/>
      <c r="C521" s="5" t="n"/>
      <c r="D521" s="5" t="n"/>
      <c r="E521" s="5" t="n"/>
      <c r="F521" s="5" t="n"/>
      <c r="G521" s="5" t="n"/>
    </row>
    <row r="522">
      <c r="A522" s="5" t="n"/>
      <c r="B522" s="5" t="n"/>
      <c r="C522" s="5" t="n"/>
      <c r="D522" s="5" t="n"/>
      <c r="E522" s="5" t="n"/>
      <c r="F522" s="5" t="n"/>
      <c r="G522" s="5" t="n"/>
    </row>
    <row r="523">
      <c r="A523" s="5" t="n"/>
      <c r="B523" s="5" t="n"/>
      <c r="C523" s="5" t="n"/>
      <c r="D523" s="5" t="n"/>
      <c r="E523" s="5" t="n"/>
      <c r="F523" s="5" t="n"/>
      <c r="G523" s="5" t="n"/>
    </row>
    <row r="524">
      <c r="A524" s="5" t="n"/>
      <c r="B524" s="5" t="n"/>
      <c r="C524" s="5" t="n"/>
      <c r="D524" s="5" t="n"/>
      <c r="E524" s="5" t="n"/>
      <c r="F524" s="5" t="n"/>
      <c r="G524" s="5" t="n"/>
    </row>
    <row r="525">
      <c r="A525" s="5" t="n"/>
      <c r="B525" s="5" t="n"/>
      <c r="C525" s="5" t="n"/>
      <c r="D525" s="5" t="n"/>
      <c r="E525" s="5" t="n"/>
      <c r="F525" s="5" t="n"/>
      <c r="G525" s="5" t="n"/>
    </row>
    <row r="526">
      <c r="A526" s="5" t="n"/>
      <c r="B526" s="5" t="n"/>
      <c r="C526" s="5" t="n"/>
      <c r="D526" s="5" t="n"/>
      <c r="E526" s="5" t="n"/>
      <c r="F526" s="5" t="n"/>
      <c r="G526" s="5" t="n"/>
    </row>
    <row r="527">
      <c r="A527" s="5" t="n"/>
      <c r="B527" s="5" t="n"/>
      <c r="C527" s="5" t="n"/>
      <c r="D527" s="5" t="n"/>
      <c r="E527" s="5" t="n"/>
      <c r="F527" s="5" t="n"/>
      <c r="G527" s="5" t="n"/>
    </row>
    <row r="528">
      <c r="A528" s="5" t="n"/>
      <c r="B528" s="5" t="n"/>
      <c r="C528" s="5" t="n"/>
      <c r="D528" s="5" t="n"/>
      <c r="E528" s="5" t="n"/>
      <c r="F528" s="5" t="n"/>
      <c r="G528" s="5" t="n"/>
    </row>
    <row r="529">
      <c r="A529" s="5" t="n"/>
      <c r="B529" s="5" t="n"/>
      <c r="C529" s="5" t="n"/>
      <c r="D529" s="5" t="n"/>
      <c r="E529" s="5" t="n"/>
      <c r="F529" s="5" t="n"/>
      <c r="G529" s="5" t="n"/>
    </row>
    <row r="530">
      <c r="A530" s="5" t="n"/>
      <c r="B530" s="5" t="n"/>
      <c r="C530" s="5" t="n"/>
      <c r="D530" s="5" t="n"/>
      <c r="E530" s="5" t="n"/>
      <c r="F530" s="5" t="n"/>
      <c r="G530" s="5" t="n"/>
    </row>
    <row r="531">
      <c r="A531" s="5" t="n"/>
      <c r="B531" s="5" t="n"/>
      <c r="C531" s="5" t="n"/>
      <c r="D531" s="5" t="n"/>
      <c r="E531" s="5" t="n"/>
      <c r="F531" s="5" t="n"/>
      <c r="G531" s="5" t="n"/>
    </row>
    <row r="532">
      <c r="A532" s="5" t="n"/>
      <c r="B532" s="5" t="n"/>
      <c r="C532" s="5" t="n"/>
      <c r="D532" s="5" t="n"/>
      <c r="E532" s="5" t="n"/>
      <c r="F532" s="5" t="n"/>
      <c r="G532" s="5" t="n"/>
    </row>
    <row r="533">
      <c r="A533" s="5" t="n"/>
      <c r="B533" s="5" t="n"/>
      <c r="C533" s="5" t="n"/>
      <c r="D533" s="5" t="n"/>
      <c r="E533" s="5" t="n"/>
      <c r="F533" s="5" t="n"/>
      <c r="G533" s="5" t="n"/>
    </row>
    <row r="534">
      <c r="A534" s="5" t="n"/>
      <c r="B534" s="5" t="n"/>
      <c r="C534" s="5" t="n"/>
      <c r="D534" s="5" t="n"/>
      <c r="E534" s="5" t="n"/>
      <c r="F534" s="5" t="n"/>
      <c r="G534" s="5" t="n"/>
    </row>
    <row r="535">
      <c r="A535" s="5" t="n"/>
      <c r="B535" s="5" t="n"/>
      <c r="C535" s="5" t="n"/>
      <c r="D535" s="5" t="n"/>
      <c r="E535" s="5" t="n"/>
      <c r="F535" s="5" t="n"/>
      <c r="G535" s="5" t="n"/>
    </row>
    <row r="536">
      <c r="A536" s="5" t="n"/>
      <c r="B536" s="5" t="n"/>
      <c r="C536" s="5" t="n"/>
      <c r="D536" s="5" t="n"/>
      <c r="E536" s="5" t="n"/>
      <c r="F536" s="5" t="n"/>
      <c r="G536" s="5" t="n"/>
    </row>
    <row r="537">
      <c r="A537" s="5" t="n"/>
      <c r="B537" s="5" t="n"/>
      <c r="C537" s="5" t="n"/>
      <c r="D537" s="5" t="n"/>
      <c r="E537" s="5" t="n"/>
      <c r="F537" s="5" t="n"/>
      <c r="G537" s="5" t="n"/>
    </row>
    <row r="538">
      <c r="A538" s="5" t="n"/>
      <c r="B538" s="5" t="n"/>
      <c r="C538" s="5" t="n"/>
      <c r="D538" s="5" t="n"/>
      <c r="E538" s="5" t="n"/>
      <c r="F538" s="5" t="n"/>
      <c r="G538" s="5" t="n"/>
    </row>
    <row r="539">
      <c r="A539" s="5" t="n"/>
      <c r="B539" s="5" t="n"/>
      <c r="C539" s="5" t="n"/>
      <c r="D539" s="5" t="n"/>
      <c r="E539" s="5" t="n"/>
      <c r="F539" s="5" t="n"/>
      <c r="G539" s="5" t="n"/>
    </row>
    <row r="540">
      <c r="A540" s="5" t="n"/>
      <c r="B540" s="5" t="n"/>
      <c r="C540" s="5" t="n"/>
      <c r="D540" s="5" t="n"/>
      <c r="E540" s="5" t="n"/>
      <c r="F540" s="5" t="n"/>
      <c r="G540" s="5" t="n"/>
    </row>
    <row r="541">
      <c r="A541" s="5" t="n"/>
      <c r="B541" s="5" t="n"/>
      <c r="C541" s="5" t="n"/>
      <c r="D541" s="5" t="n"/>
      <c r="E541" s="5" t="n"/>
      <c r="F541" s="5" t="n"/>
      <c r="G541" s="5" t="n"/>
    </row>
    <row r="542">
      <c r="A542" s="5" t="n"/>
      <c r="B542" s="5" t="n"/>
      <c r="C542" s="5" t="n"/>
      <c r="D542" s="5" t="n"/>
      <c r="E542" s="5" t="n"/>
      <c r="F542" s="5" t="n"/>
      <c r="G542" s="5" t="n"/>
    </row>
    <row r="543">
      <c r="A543" s="5" t="n"/>
      <c r="B543" s="5" t="n"/>
      <c r="C543" s="5" t="n"/>
      <c r="D543" s="5" t="n"/>
      <c r="E543" s="5" t="n"/>
      <c r="F543" s="5" t="n"/>
      <c r="G543" s="5" t="n"/>
    </row>
    <row r="544">
      <c r="A544" s="5" t="n"/>
      <c r="B544" s="5" t="n"/>
      <c r="C544" s="5" t="n"/>
      <c r="D544" s="5" t="n"/>
      <c r="E544" s="5" t="n"/>
      <c r="F544" s="5" t="n"/>
      <c r="G544" s="5" t="n"/>
    </row>
    <row r="545">
      <c r="A545" s="5" t="n"/>
      <c r="B545" s="5" t="n"/>
      <c r="C545" s="5" t="n"/>
      <c r="D545" s="5" t="n"/>
      <c r="E545" s="5" t="n"/>
      <c r="F545" s="5" t="n"/>
      <c r="G545" s="5" t="n"/>
    </row>
    <row r="546">
      <c r="A546" s="5" t="n"/>
      <c r="B546" s="5" t="n"/>
      <c r="C546" s="5" t="n"/>
      <c r="D546" s="5" t="n"/>
      <c r="E546" s="5" t="n"/>
      <c r="F546" s="5" t="n"/>
      <c r="G546" s="5" t="n"/>
    </row>
    <row r="547">
      <c r="A547" s="5" t="n"/>
      <c r="B547" s="5" t="n"/>
      <c r="C547" s="5" t="n"/>
      <c r="D547" s="5" t="n"/>
      <c r="E547" s="5" t="n"/>
      <c r="F547" s="5" t="n"/>
      <c r="G547" s="5" t="n"/>
    </row>
    <row r="548">
      <c r="A548" s="5" t="n"/>
      <c r="B548" s="5" t="n"/>
      <c r="C548" s="5" t="n"/>
      <c r="D548" s="5" t="n"/>
      <c r="E548" s="5" t="n"/>
      <c r="F548" s="5" t="n"/>
      <c r="G548" s="5" t="n"/>
    </row>
    <row r="549">
      <c r="A549" s="5" t="n"/>
      <c r="B549" s="5" t="n"/>
      <c r="C549" s="5" t="n"/>
      <c r="D549" s="5" t="n"/>
      <c r="E549" s="5" t="n"/>
      <c r="F549" s="5" t="n"/>
      <c r="G549" s="5" t="n"/>
    </row>
    <row r="550">
      <c r="A550" s="5" t="n"/>
      <c r="B550" s="5" t="n"/>
      <c r="C550" s="5" t="n"/>
      <c r="D550" s="5" t="n"/>
      <c r="E550" s="5" t="n"/>
      <c r="F550" s="5" t="n"/>
      <c r="G550" s="5" t="n"/>
    </row>
    <row r="551">
      <c r="A551" s="5" t="n"/>
      <c r="B551" s="5" t="n"/>
      <c r="C551" s="5" t="n"/>
      <c r="D551" s="5" t="n"/>
      <c r="E551" s="5" t="n"/>
      <c r="F551" s="5" t="n"/>
      <c r="G551" s="5" t="n"/>
    </row>
    <row r="552">
      <c r="A552" s="5" t="n"/>
      <c r="B552" s="5" t="n"/>
      <c r="C552" s="5" t="n"/>
      <c r="D552" s="5" t="n"/>
      <c r="E552" s="5" t="n"/>
      <c r="F552" s="5" t="n"/>
      <c r="G552" s="5" t="n"/>
    </row>
    <row r="553">
      <c r="A553" s="5" t="n"/>
      <c r="B553" s="5" t="n"/>
      <c r="C553" s="5" t="n"/>
      <c r="D553" s="5" t="n"/>
      <c r="E553" s="5" t="n"/>
      <c r="F553" s="5" t="n"/>
      <c r="G553" s="5" t="n"/>
    </row>
    <row r="554">
      <c r="A554" s="5" t="n"/>
      <c r="B554" s="5" t="n"/>
      <c r="C554" s="5" t="n"/>
      <c r="D554" s="5" t="n"/>
      <c r="E554" s="5" t="n"/>
      <c r="F554" s="5" t="n"/>
      <c r="G554" s="5" t="n"/>
    </row>
    <row r="555">
      <c r="A555" s="5" t="n"/>
      <c r="B555" s="5" t="n"/>
      <c r="C555" s="5" t="n"/>
      <c r="D555" s="5" t="n"/>
      <c r="E555" s="5" t="n"/>
      <c r="F555" s="5" t="n"/>
      <c r="G555" s="5" t="n"/>
    </row>
    <row r="556">
      <c r="A556" s="5" t="n"/>
      <c r="B556" s="5" t="n"/>
      <c r="C556" s="5" t="n"/>
      <c r="D556" s="5" t="n"/>
      <c r="E556" s="5" t="n"/>
      <c r="F556" s="5" t="n"/>
      <c r="G556" s="5" t="n"/>
    </row>
    <row r="557">
      <c r="A557" s="5" t="n"/>
      <c r="B557" s="5" t="n"/>
      <c r="C557" s="5" t="n"/>
      <c r="D557" s="5" t="n"/>
      <c r="E557" s="5" t="n"/>
      <c r="F557" s="5" t="n"/>
      <c r="G557" s="5" t="n"/>
    </row>
    <row r="558">
      <c r="A558" s="5" t="n"/>
      <c r="B558" s="5" t="n"/>
      <c r="C558" s="5" t="n"/>
      <c r="D558" s="5" t="n"/>
      <c r="E558" s="5" t="n"/>
      <c r="F558" s="5" t="n"/>
      <c r="G558" s="5" t="n"/>
    </row>
    <row r="559">
      <c r="A559" s="5" t="n"/>
      <c r="B559" s="5" t="n"/>
      <c r="C559" s="5" t="n"/>
      <c r="D559" s="5" t="n"/>
      <c r="E559" s="5" t="n"/>
      <c r="F559" s="5" t="n"/>
      <c r="G559" s="5" t="n"/>
    </row>
    <row r="560">
      <c r="A560" s="5" t="n"/>
      <c r="B560" s="5" t="n"/>
      <c r="C560" s="5" t="n"/>
      <c r="D560" s="5" t="n"/>
      <c r="E560" s="5" t="n"/>
      <c r="F560" s="5" t="n"/>
      <c r="G560" s="5" t="n"/>
    </row>
    <row r="561">
      <c r="A561" s="5" t="n"/>
      <c r="B561" s="5" t="n"/>
      <c r="C561" s="5" t="n"/>
      <c r="D561" s="5" t="n"/>
      <c r="E561" s="5" t="n"/>
      <c r="F561" s="5" t="n"/>
      <c r="G561" s="5" t="n"/>
    </row>
    <row r="562">
      <c r="A562" s="5" t="n"/>
      <c r="B562" s="5" t="n"/>
      <c r="C562" s="5" t="n"/>
      <c r="D562" s="5" t="n"/>
      <c r="E562" s="5" t="n"/>
      <c r="F562" s="5" t="n"/>
      <c r="G562" s="5" t="n"/>
    </row>
    <row r="563">
      <c r="A563" s="5" t="n"/>
      <c r="B563" s="5" t="n"/>
      <c r="C563" s="5" t="n"/>
      <c r="D563" s="5" t="n"/>
      <c r="E563" s="5" t="n"/>
      <c r="F563" s="5" t="n"/>
      <c r="G563" s="5" t="n"/>
    </row>
    <row r="564">
      <c r="A564" s="5" t="n"/>
      <c r="B564" s="5" t="n"/>
      <c r="C564" s="5" t="n"/>
      <c r="D564" s="5" t="n"/>
      <c r="E564" s="5" t="n"/>
      <c r="F564" s="5" t="n"/>
      <c r="G564" s="5" t="n"/>
    </row>
    <row r="565">
      <c r="A565" s="5" t="n"/>
      <c r="B565" s="5" t="n"/>
      <c r="C565" s="5" t="n"/>
      <c r="D565" s="5" t="n"/>
      <c r="E565" s="5" t="n"/>
      <c r="F565" s="5" t="n"/>
      <c r="G565" s="5" t="n"/>
    </row>
    <row r="566">
      <c r="A566" s="5" t="n"/>
      <c r="B566" s="5" t="n"/>
      <c r="C566" s="5" t="n"/>
      <c r="D566" s="5" t="n"/>
      <c r="E566" s="5" t="n"/>
      <c r="F566" s="5" t="n"/>
      <c r="G566" s="5" t="n"/>
    </row>
    <row r="567">
      <c r="A567" s="5" t="n"/>
      <c r="B567" s="5" t="n"/>
      <c r="C567" s="5" t="n"/>
      <c r="D567" s="5" t="n"/>
      <c r="E567" s="5" t="n"/>
      <c r="F567" s="5" t="n"/>
      <c r="G567" s="5" t="n"/>
    </row>
    <row r="568">
      <c r="A568" s="5" t="n"/>
      <c r="B568" s="5" t="n"/>
      <c r="C568" s="5" t="n"/>
      <c r="D568" s="5" t="n"/>
      <c r="E568" s="5" t="n"/>
      <c r="F568" s="5" t="n"/>
      <c r="G568" s="5" t="n"/>
    </row>
    <row r="569">
      <c r="A569" s="5" t="n"/>
      <c r="B569" s="5" t="n"/>
      <c r="C569" s="5" t="n"/>
      <c r="D569" s="5" t="n"/>
      <c r="E569" s="5" t="n"/>
      <c r="F569" s="5" t="n"/>
      <c r="G569" s="5" t="n"/>
    </row>
    <row r="570">
      <c r="A570" s="5" t="n"/>
      <c r="B570" s="5" t="n"/>
      <c r="C570" s="5" t="n"/>
      <c r="D570" s="5" t="n"/>
      <c r="E570" s="5" t="n"/>
      <c r="F570" s="5" t="n"/>
      <c r="G570" s="5" t="n"/>
    </row>
    <row r="571">
      <c r="A571" s="5" t="n"/>
      <c r="B571" s="5" t="n"/>
      <c r="C571" s="5" t="n"/>
      <c r="D571" s="5" t="n"/>
      <c r="E571" s="5" t="n"/>
      <c r="F571" s="5" t="n"/>
      <c r="G571" s="5" t="n"/>
    </row>
    <row r="572">
      <c r="A572" s="5" t="n"/>
      <c r="B572" s="5" t="n"/>
      <c r="C572" s="5" t="n"/>
      <c r="D572" s="5" t="n"/>
      <c r="E572" s="5" t="n"/>
      <c r="F572" s="5" t="n"/>
      <c r="G572" s="5" t="n"/>
    </row>
    <row r="573">
      <c r="A573" s="5" t="n"/>
      <c r="B573" s="5" t="n"/>
      <c r="C573" s="5" t="n"/>
      <c r="D573" s="5" t="n"/>
      <c r="E573" s="5" t="n"/>
      <c r="F573" s="5" t="n"/>
      <c r="G573" s="5" t="n"/>
    </row>
    <row r="574">
      <c r="A574" s="5" t="n"/>
      <c r="B574" s="5" t="n"/>
      <c r="C574" s="5" t="n"/>
      <c r="D574" s="5" t="n"/>
      <c r="E574" s="5" t="n"/>
      <c r="F574" s="5" t="n"/>
      <c r="G574" s="5" t="n"/>
    </row>
    <row r="575">
      <c r="A575" s="5" t="n"/>
      <c r="B575" s="5" t="n"/>
      <c r="C575" s="5" t="n"/>
      <c r="D575" s="5" t="n"/>
      <c r="E575" s="5" t="n"/>
      <c r="F575" s="5" t="n"/>
      <c r="G575" s="5" t="n"/>
    </row>
    <row r="576">
      <c r="A576" s="5" t="n"/>
      <c r="B576" s="5" t="n"/>
      <c r="C576" s="5" t="n"/>
      <c r="D576" s="5" t="n"/>
      <c r="E576" s="5" t="n"/>
      <c r="F576" s="5" t="n"/>
      <c r="G576" s="5" t="n"/>
    </row>
    <row r="577">
      <c r="A577" s="5" t="n"/>
      <c r="B577" s="5" t="n"/>
      <c r="C577" s="5" t="n"/>
      <c r="D577" s="5" t="n"/>
      <c r="E577" s="5" t="n"/>
      <c r="F577" s="5" t="n"/>
      <c r="G577" s="5" t="n"/>
    </row>
    <row r="578">
      <c r="A578" s="5" t="n"/>
      <c r="B578" s="5" t="n"/>
      <c r="C578" s="5" t="n"/>
      <c r="D578" s="5" t="n"/>
      <c r="E578" s="5" t="n"/>
      <c r="F578" s="5" t="n"/>
      <c r="G578" s="5" t="n"/>
    </row>
    <row r="579">
      <c r="A579" s="5" t="n"/>
      <c r="B579" s="5" t="n"/>
      <c r="C579" s="5" t="n"/>
      <c r="D579" s="5" t="n"/>
      <c r="E579" s="5" t="n"/>
      <c r="F579" s="5" t="n"/>
      <c r="G579" s="5" t="n"/>
    </row>
    <row r="580">
      <c r="A580" s="5" t="n"/>
      <c r="B580" s="5" t="n"/>
      <c r="C580" s="5" t="n"/>
      <c r="D580" s="5" t="n"/>
      <c r="E580" s="5" t="n"/>
      <c r="F580" s="5" t="n"/>
      <c r="G580" s="5" t="n"/>
    </row>
    <row r="581">
      <c r="A581" s="5" t="n"/>
      <c r="B581" s="5" t="n"/>
      <c r="C581" s="5" t="n"/>
      <c r="D581" s="5" t="n"/>
      <c r="E581" s="5" t="n"/>
      <c r="F581" s="5" t="n"/>
      <c r="G581" s="5" t="n"/>
    </row>
    <row r="582">
      <c r="A582" s="5" t="n"/>
      <c r="B582" s="5" t="n"/>
      <c r="C582" s="5" t="n"/>
      <c r="D582" s="5" t="n"/>
      <c r="E582" s="5" t="n"/>
      <c r="F582" s="5" t="n"/>
      <c r="G582" s="5" t="n"/>
    </row>
    <row r="583">
      <c r="A583" s="5" t="n"/>
      <c r="B583" s="5" t="n"/>
      <c r="C583" s="5" t="n"/>
      <c r="D583" s="5" t="n"/>
      <c r="E583" s="5" t="n"/>
      <c r="F583" s="5" t="n"/>
      <c r="G583" s="5" t="n"/>
    </row>
    <row r="584">
      <c r="A584" s="5" t="n"/>
      <c r="B584" s="5" t="n"/>
      <c r="C584" s="5" t="n"/>
      <c r="D584" s="5" t="n"/>
      <c r="E584" s="5" t="n"/>
      <c r="F584" s="5" t="n"/>
      <c r="G584" s="5" t="n"/>
    </row>
    <row r="585">
      <c r="A585" s="5" t="n"/>
      <c r="B585" s="5" t="n"/>
      <c r="C585" s="5" t="n"/>
      <c r="D585" s="5" t="n"/>
      <c r="E585" s="5" t="n"/>
      <c r="F585" s="5" t="n"/>
      <c r="G585" s="5" t="n"/>
    </row>
    <row r="586">
      <c r="A586" s="5" t="n"/>
      <c r="B586" s="5" t="n"/>
      <c r="C586" s="5" t="n"/>
      <c r="D586" s="5" t="n"/>
      <c r="E586" s="5" t="n"/>
      <c r="F586" s="5" t="n"/>
      <c r="G586" s="5" t="n"/>
    </row>
    <row r="587">
      <c r="A587" s="5" t="n"/>
      <c r="B587" s="5" t="n"/>
      <c r="C587" s="5" t="n"/>
      <c r="D587" s="5" t="n"/>
      <c r="E587" s="5" t="n"/>
      <c r="F587" s="5" t="n"/>
      <c r="G587" s="5" t="n"/>
    </row>
    <row r="588">
      <c r="A588" s="5" t="n"/>
      <c r="B588" s="5" t="n"/>
      <c r="C588" s="5" t="n"/>
      <c r="D588" s="5" t="n"/>
      <c r="E588" s="5" t="n"/>
      <c r="F588" s="5" t="n"/>
      <c r="G588" s="5" t="n"/>
    </row>
    <row r="589">
      <c r="A589" s="5" t="n"/>
      <c r="B589" s="5" t="n"/>
      <c r="C589" s="5" t="n"/>
      <c r="D589" s="5" t="n"/>
      <c r="E589" s="5" t="n"/>
      <c r="F589" s="5" t="n"/>
      <c r="G589" s="5" t="n"/>
    </row>
    <row r="590">
      <c r="A590" s="5" t="n"/>
      <c r="B590" s="5" t="n"/>
      <c r="C590" s="5" t="n"/>
      <c r="D590" s="5" t="n"/>
      <c r="E590" s="5" t="n"/>
      <c r="F590" s="5" t="n"/>
      <c r="G590" s="5" t="n"/>
    </row>
    <row r="591">
      <c r="A591" s="5" t="n"/>
      <c r="B591" s="5" t="n"/>
      <c r="C591" s="5" t="n"/>
      <c r="D591" s="5" t="n"/>
      <c r="E591" s="5" t="n"/>
      <c r="F591" s="5" t="n"/>
      <c r="G591" s="5" t="n"/>
    </row>
    <row r="592">
      <c r="A592" s="5" t="n"/>
      <c r="B592" s="5" t="n"/>
      <c r="C592" s="5" t="n"/>
      <c r="D592" s="5" t="n"/>
      <c r="E592" s="5" t="n"/>
      <c r="F592" s="5" t="n"/>
      <c r="G592" s="5" t="n"/>
    </row>
    <row r="593">
      <c r="A593" s="5" t="n"/>
      <c r="B593" s="5" t="n"/>
      <c r="C593" s="5" t="n"/>
      <c r="D593" s="5" t="n"/>
      <c r="E593" s="5" t="n"/>
      <c r="F593" s="5" t="n"/>
      <c r="G593" s="5" t="n"/>
    </row>
    <row r="594">
      <c r="A594" s="5" t="n"/>
      <c r="B594" s="5" t="n"/>
      <c r="C594" s="5" t="n"/>
      <c r="D594" s="5" t="n"/>
      <c r="E594" s="5" t="n"/>
      <c r="F594" s="5" t="n"/>
      <c r="G594" s="5" t="n"/>
    </row>
    <row r="595">
      <c r="A595" s="5" t="n"/>
      <c r="B595" s="5" t="n"/>
      <c r="C595" s="5" t="n"/>
      <c r="D595" s="5" t="n"/>
      <c r="E595" s="5" t="n"/>
      <c r="F595" s="5" t="n"/>
      <c r="G595" s="5" t="n"/>
    </row>
    <row r="596">
      <c r="A596" s="5" t="n"/>
      <c r="B596" s="5" t="n"/>
      <c r="C596" s="5" t="n"/>
      <c r="D596" s="5" t="n"/>
      <c r="E596" s="5" t="n"/>
      <c r="F596" s="5" t="n"/>
      <c r="G596" s="5" t="n"/>
    </row>
    <row r="597">
      <c r="A597" s="5" t="n"/>
      <c r="B597" s="5" t="n"/>
      <c r="C597" s="5" t="n"/>
      <c r="D597" s="5" t="n"/>
      <c r="E597" s="5" t="n"/>
      <c r="F597" s="5" t="n"/>
      <c r="G597" s="5" t="n"/>
    </row>
    <row r="598">
      <c r="A598" s="5" t="n"/>
      <c r="B598" s="5" t="n"/>
      <c r="C598" s="5" t="n"/>
      <c r="D598" s="5" t="n"/>
      <c r="E598" s="5" t="n"/>
      <c r="F598" s="5" t="n"/>
      <c r="G598" s="5" t="n"/>
    </row>
    <row r="599">
      <c r="A599" s="5" t="n"/>
      <c r="B599" s="5" t="n"/>
      <c r="C599" s="5" t="n"/>
      <c r="D599" s="5" t="n"/>
      <c r="E599" s="5" t="n"/>
      <c r="F599" s="5" t="n"/>
      <c r="G599" s="5" t="n"/>
    </row>
    <row r="600">
      <c r="A600" s="5" t="n"/>
      <c r="B600" s="5" t="n"/>
      <c r="C600" s="5" t="n"/>
      <c r="D600" s="5" t="n"/>
      <c r="E600" s="5" t="n"/>
      <c r="F600" s="5" t="n"/>
      <c r="G600" s="5" t="n"/>
    </row>
    <row r="601">
      <c r="A601" s="5" t="n"/>
      <c r="B601" s="5" t="n"/>
      <c r="C601" s="5" t="n"/>
      <c r="D601" s="5" t="n"/>
      <c r="E601" s="5" t="n"/>
      <c r="F601" s="5" t="n"/>
      <c r="G601" s="5" t="n"/>
    </row>
    <row r="602">
      <c r="A602" s="5" t="n"/>
      <c r="B602" s="5" t="n"/>
      <c r="C602" s="5" t="n"/>
      <c r="D602" s="5" t="n"/>
      <c r="E602" s="5" t="n"/>
      <c r="F602" s="5" t="n"/>
      <c r="G602" s="5" t="n"/>
    </row>
    <row r="603">
      <c r="A603" s="5" t="n"/>
      <c r="B603" s="5" t="n"/>
      <c r="C603" s="5" t="n"/>
      <c r="D603" s="5" t="n"/>
      <c r="E603" s="5" t="n"/>
      <c r="F603" s="5" t="n"/>
      <c r="G603" s="5" t="n"/>
    </row>
    <row r="604">
      <c r="A604" s="5" t="n"/>
      <c r="B604" s="5" t="n"/>
      <c r="C604" s="5" t="n"/>
      <c r="D604" s="5" t="n"/>
      <c r="E604" s="5" t="n"/>
      <c r="F604" s="5" t="n"/>
      <c r="G604" s="5" t="n"/>
    </row>
    <row r="605">
      <c r="A605" s="5" t="n"/>
      <c r="B605" s="5" t="n"/>
      <c r="C605" s="5" t="n"/>
      <c r="D605" s="5" t="n"/>
      <c r="E605" s="5" t="n"/>
      <c r="F605" s="5" t="n"/>
      <c r="G605" s="5" t="n"/>
    </row>
    <row r="606">
      <c r="A606" s="5" t="n"/>
      <c r="B606" s="5" t="n"/>
      <c r="C606" s="5" t="n"/>
      <c r="D606" s="5" t="n"/>
      <c r="E606" s="5" t="n"/>
      <c r="F606" s="5" t="n"/>
      <c r="G606" s="5" t="n"/>
    </row>
    <row r="607">
      <c r="A607" s="5" t="n"/>
      <c r="B607" s="5" t="n"/>
      <c r="C607" s="5" t="n"/>
      <c r="D607" s="5" t="n"/>
      <c r="E607" s="5" t="n"/>
      <c r="F607" s="5" t="n"/>
      <c r="G607" s="5" t="n"/>
    </row>
    <row r="608">
      <c r="A608" s="5" t="n"/>
      <c r="B608" s="5" t="n"/>
      <c r="C608" s="5" t="n"/>
      <c r="D608" s="5" t="n"/>
      <c r="E608" s="5" t="n"/>
      <c r="F608" s="5" t="n"/>
      <c r="G608" s="5" t="n"/>
    </row>
    <row r="609">
      <c r="A609" s="5" t="n"/>
      <c r="B609" s="5" t="n"/>
      <c r="C609" s="5" t="n"/>
      <c r="D609" s="5" t="n"/>
      <c r="E609" s="5" t="n"/>
      <c r="F609" s="5" t="n"/>
      <c r="G609" s="5" t="n"/>
    </row>
    <row r="610">
      <c r="A610" s="5" t="n"/>
      <c r="B610" s="5" t="n"/>
      <c r="C610" s="5" t="n"/>
      <c r="D610" s="5" t="n"/>
      <c r="E610" s="5" t="n"/>
      <c r="F610" s="5" t="n"/>
      <c r="G610" s="5" t="n"/>
    </row>
    <row r="611">
      <c r="A611" s="5" t="n"/>
      <c r="B611" s="5" t="n"/>
      <c r="C611" s="5" t="n"/>
      <c r="D611" s="5" t="n"/>
      <c r="E611" s="5" t="n"/>
      <c r="F611" s="5" t="n"/>
      <c r="G611" s="5" t="n"/>
    </row>
    <row r="612">
      <c r="A612" s="5" t="n"/>
      <c r="B612" s="5" t="n"/>
      <c r="C612" s="5" t="n"/>
      <c r="D612" s="5" t="n"/>
      <c r="E612" s="5" t="n"/>
      <c r="F612" s="5" t="n"/>
      <c r="G612" s="5" t="n"/>
    </row>
    <row r="613">
      <c r="A613" s="5" t="n"/>
      <c r="B613" s="5" t="n"/>
      <c r="C613" s="5" t="n"/>
      <c r="D613" s="5" t="n"/>
      <c r="E613" s="5" t="n"/>
      <c r="F613" s="5" t="n"/>
      <c r="G613" s="5" t="n"/>
    </row>
    <row r="614">
      <c r="A614" s="5" t="n"/>
      <c r="B614" s="5" t="n"/>
      <c r="C614" s="5" t="n"/>
      <c r="D614" s="5" t="n"/>
      <c r="E614" s="5" t="n"/>
      <c r="F614" s="5" t="n"/>
      <c r="G614" s="5" t="n"/>
    </row>
    <row r="615">
      <c r="A615" s="5" t="n"/>
      <c r="B615" s="5" t="n"/>
      <c r="C615" s="5" t="n"/>
      <c r="D615" s="5" t="n"/>
      <c r="E615" s="5" t="n"/>
      <c r="F615" s="5" t="n"/>
      <c r="G615" s="5" t="n"/>
    </row>
    <row r="616">
      <c r="A616" s="5" t="n"/>
      <c r="B616" s="5" t="n"/>
      <c r="C616" s="5" t="n"/>
      <c r="D616" s="5" t="n"/>
      <c r="E616" s="5" t="n"/>
      <c r="F616" s="5" t="n"/>
      <c r="G616" s="5" t="n"/>
    </row>
    <row r="617">
      <c r="A617" s="5" t="n"/>
      <c r="B617" s="5" t="n"/>
      <c r="C617" s="5" t="n"/>
      <c r="D617" s="5" t="n"/>
      <c r="E617" s="5" t="n"/>
      <c r="F617" s="5" t="n"/>
      <c r="G617" s="5" t="n"/>
    </row>
    <row r="618">
      <c r="A618" s="5" t="n"/>
      <c r="B618" s="5" t="n"/>
      <c r="C618" s="5" t="n"/>
      <c r="D618" s="5" t="n"/>
      <c r="E618" s="5" t="n"/>
      <c r="F618" s="5" t="n"/>
      <c r="G618" s="5" t="n"/>
    </row>
    <row r="619">
      <c r="A619" s="5" t="n"/>
      <c r="B619" s="5" t="n"/>
      <c r="C619" s="5" t="n"/>
      <c r="D619" s="5" t="n"/>
      <c r="E619" s="5" t="n"/>
      <c r="F619" s="5" t="n"/>
      <c r="G619" s="5" t="n"/>
    </row>
    <row r="620">
      <c r="A620" s="5" t="n"/>
      <c r="B620" s="5" t="n"/>
      <c r="C620" s="5" t="n"/>
      <c r="D620" s="5" t="n"/>
      <c r="E620" s="5" t="n"/>
      <c r="F620" s="5" t="n"/>
      <c r="G620" s="5" t="n"/>
    </row>
    <row r="621">
      <c r="A621" s="5" t="n"/>
      <c r="B621" s="5" t="n"/>
      <c r="C621" s="5" t="n"/>
      <c r="D621" s="5" t="n"/>
      <c r="E621" s="5" t="n"/>
      <c r="F621" s="5" t="n"/>
      <c r="G621" s="5" t="n"/>
    </row>
    <row r="622">
      <c r="A622" s="5" t="n"/>
      <c r="B622" s="5" t="n"/>
      <c r="C622" s="5" t="n"/>
      <c r="D622" s="5" t="n"/>
      <c r="E622" s="5" t="n"/>
      <c r="F622" s="5" t="n"/>
      <c r="G622" s="5" t="n"/>
    </row>
    <row r="623">
      <c r="A623" s="5" t="n"/>
      <c r="B623" s="5" t="n"/>
      <c r="C623" s="5" t="n"/>
      <c r="D623" s="5" t="n"/>
      <c r="E623" s="5" t="n"/>
      <c r="F623" s="5" t="n"/>
      <c r="G623" s="5" t="n"/>
    </row>
    <row r="624">
      <c r="A624" s="5" t="n"/>
      <c r="B624" s="5" t="n"/>
      <c r="C624" s="5" t="n"/>
      <c r="D624" s="5" t="n"/>
      <c r="E624" s="5" t="n"/>
      <c r="F624" s="5" t="n"/>
      <c r="G624" s="5" t="n"/>
    </row>
    <row r="625">
      <c r="A625" s="5" t="n"/>
      <c r="B625" s="5" t="n"/>
      <c r="C625" s="5" t="n"/>
      <c r="D625" s="5" t="n"/>
      <c r="E625" s="5" t="n"/>
      <c r="F625" s="5" t="n"/>
      <c r="G625" s="5" t="n"/>
    </row>
    <row r="626">
      <c r="A626" s="5" t="n"/>
      <c r="B626" s="5" t="n"/>
      <c r="C626" s="5" t="n"/>
      <c r="D626" s="5" t="n"/>
      <c r="E626" s="5" t="n"/>
      <c r="F626" s="5" t="n"/>
      <c r="G626" s="5" t="n"/>
    </row>
    <row r="627">
      <c r="A627" s="5" t="n"/>
      <c r="B627" s="5" t="n"/>
      <c r="C627" s="5" t="n"/>
      <c r="D627" s="5" t="n"/>
      <c r="E627" s="5" t="n"/>
      <c r="F627" s="5" t="n"/>
      <c r="G627" s="5" t="n"/>
    </row>
    <row r="628">
      <c r="A628" s="5" t="n"/>
      <c r="B628" s="5" t="n"/>
      <c r="C628" s="5" t="n"/>
      <c r="D628" s="5" t="n"/>
      <c r="E628" s="5" t="n"/>
      <c r="F628" s="5" t="n"/>
      <c r="G628" s="5" t="n"/>
    </row>
    <row r="629">
      <c r="A629" s="5" t="n"/>
      <c r="B629" s="5" t="n"/>
      <c r="C629" s="5" t="n"/>
      <c r="D629" s="5" t="n"/>
      <c r="E629" s="5" t="n"/>
      <c r="F629" s="5" t="n"/>
      <c r="G629" s="5" t="n"/>
    </row>
    <row r="630">
      <c r="A630" s="5" t="n"/>
      <c r="B630" s="5" t="n"/>
      <c r="C630" s="5" t="n"/>
      <c r="D630" s="5" t="n"/>
      <c r="E630" s="5" t="n"/>
      <c r="F630" s="5" t="n"/>
      <c r="G630" s="5" t="n"/>
    </row>
    <row r="631">
      <c r="A631" s="5" t="n"/>
      <c r="B631" s="5" t="n"/>
      <c r="C631" s="5" t="n"/>
      <c r="D631" s="5" t="n"/>
      <c r="E631" s="5" t="n"/>
      <c r="F631" s="5" t="n"/>
      <c r="G631" s="5" t="n"/>
    </row>
    <row r="632">
      <c r="A632" s="5" t="n"/>
      <c r="B632" s="5" t="n"/>
      <c r="C632" s="5" t="n"/>
      <c r="D632" s="5" t="n"/>
      <c r="E632" s="5" t="n"/>
      <c r="F632" s="5" t="n"/>
      <c r="G632" s="5" t="n"/>
    </row>
    <row r="633">
      <c r="A633" s="5" t="n"/>
      <c r="B633" s="5" t="n"/>
      <c r="C633" s="5" t="n"/>
      <c r="D633" s="5" t="n"/>
      <c r="E633" s="5" t="n"/>
      <c r="F633" s="5" t="n"/>
      <c r="G633" s="5" t="n"/>
    </row>
    <row r="634">
      <c r="A634" s="5" t="n"/>
      <c r="B634" s="5" t="n"/>
      <c r="C634" s="5" t="n"/>
      <c r="D634" s="5" t="n"/>
      <c r="E634" s="5" t="n"/>
      <c r="F634" s="5" t="n"/>
      <c r="G634" s="5" t="n"/>
    </row>
    <row r="635">
      <c r="A635" s="5" t="n"/>
      <c r="B635" s="5" t="n"/>
      <c r="C635" s="5" t="n"/>
      <c r="D635" s="5" t="n"/>
      <c r="E635" s="5" t="n"/>
      <c r="F635" s="5" t="n"/>
      <c r="G635" s="5" t="n"/>
    </row>
    <row r="636">
      <c r="A636" s="5" t="n"/>
      <c r="B636" s="5" t="n"/>
      <c r="C636" s="5" t="n"/>
      <c r="D636" s="5" t="n"/>
      <c r="E636" s="5" t="n"/>
      <c r="F636" s="5" t="n"/>
      <c r="G636" s="5" t="n"/>
    </row>
    <row r="637">
      <c r="A637" s="5" t="n"/>
      <c r="B637" s="5" t="n"/>
      <c r="C637" s="5" t="n"/>
      <c r="D637" s="5" t="n"/>
      <c r="E637" s="5" t="n"/>
      <c r="F637" s="5" t="n"/>
      <c r="G637" s="5" t="n"/>
    </row>
    <row r="638">
      <c r="A638" s="5" t="n"/>
      <c r="B638" s="5" t="n"/>
      <c r="C638" s="5" t="n"/>
      <c r="D638" s="5" t="n"/>
      <c r="E638" s="5" t="n"/>
      <c r="F638" s="5" t="n"/>
      <c r="G638" s="5" t="n"/>
    </row>
    <row r="639">
      <c r="A639" s="5" t="n"/>
      <c r="B639" s="5" t="n"/>
      <c r="C639" s="5" t="n"/>
      <c r="D639" s="5" t="n"/>
      <c r="E639" s="5" t="n"/>
      <c r="F639" s="5" t="n"/>
      <c r="G639" s="5" t="n"/>
    </row>
    <row r="640">
      <c r="A640" s="5" t="n"/>
      <c r="B640" s="5" t="n"/>
      <c r="C640" s="5" t="n"/>
      <c r="D640" s="5" t="n"/>
      <c r="E640" s="5" t="n"/>
      <c r="F640" s="5" t="n"/>
      <c r="G640" s="5" t="n"/>
    </row>
    <row r="641">
      <c r="A641" s="5" t="n"/>
      <c r="B641" s="5" t="n"/>
      <c r="C641" s="5" t="n"/>
      <c r="D641" s="5" t="n"/>
      <c r="E641" s="5" t="n"/>
      <c r="F641" s="5" t="n"/>
      <c r="G641" s="5" t="n"/>
    </row>
    <row r="642">
      <c r="A642" s="5" t="n"/>
      <c r="B642" s="5" t="n"/>
      <c r="C642" s="5" t="n"/>
      <c r="D642" s="5" t="n"/>
      <c r="E642" s="5" t="n"/>
      <c r="F642" s="5" t="n"/>
      <c r="G642" s="5" t="n"/>
    </row>
    <row r="643">
      <c r="A643" s="5" t="n"/>
      <c r="B643" s="5" t="n"/>
      <c r="C643" s="5" t="n"/>
      <c r="D643" s="5" t="n"/>
      <c r="E643" s="5" t="n"/>
      <c r="F643" s="5" t="n"/>
      <c r="G643" s="5" t="n"/>
    </row>
    <row r="644">
      <c r="A644" s="5" t="n"/>
      <c r="B644" s="5" t="n"/>
      <c r="C644" s="5" t="n"/>
      <c r="D644" s="5" t="n"/>
      <c r="E644" s="5" t="n"/>
      <c r="F644" s="5" t="n"/>
      <c r="G644" s="5" t="n"/>
    </row>
    <row r="645">
      <c r="A645" s="5" t="n"/>
      <c r="B645" s="5" t="n"/>
      <c r="C645" s="5" t="n"/>
      <c r="D645" s="5" t="n"/>
      <c r="E645" s="5" t="n"/>
      <c r="F645" s="5" t="n"/>
      <c r="G645" s="5" t="n"/>
    </row>
    <row r="646">
      <c r="A646" s="5" t="n"/>
      <c r="B646" s="5" t="n"/>
      <c r="C646" s="5" t="n"/>
      <c r="D646" s="5" t="n"/>
      <c r="E646" s="5" t="n"/>
      <c r="F646" s="5" t="n"/>
      <c r="G646" s="5" t="n"/>
    </row>
    <row r="647">
      <c r="A647" s="5" t="n"/>
      <c r="B647" s="5" t="n"/>
      <c r="C647" s="5" t="n"/>
      <c r="D647" s="5" t="n"/>
      <c r="E647" s="5" t="n"/>
      <c r="F647" s="5" t="n"/>
      <c r="G647" s="5" t="n"/>
    </row>
    <row r="648">
      <c r="A648" s="5" t="n"/>
      <c r="B648" s="5" t="n"/>
      <c r="C648" s="5" t="n"/>
      <c r="D648" s="5" t="n"/>
      <c r="E648" s="5" t="n"/>
      <c r="F648" s="5" t="n"/>
      <c r="G648" s="5" t="n"/>
    </row>
    <row r="649">
      <c r="A649" s="5" t="n"/>
      <c r="B649" s="5" t="n"/>
      <c r="C649" s="5" t="n"/>
      <c r="D649" s="5" t="n"/>
      <c r="E649" s="5" t="n"/>
      <c r="F649" s="5" t="n"/>
      <c r="G649" s="5" t="n"/>
    </row>
    <row r="650">
      <c r="A650" s="5" t="n"/>
      <c r="B650" s="5" t="n"/>
      <c r="C650" s="5" t="n"/>
      <c r="D650" s="5" t="n"/>
      <c r="E650" s="5" t="n"/>
      <c r="F650" s="5" t="n"/>
      <c r="G650" s="5" t="n"/>
    </row>
    <row r="651">
      <c r="A651" s="5" t="n"/>
      <c r="B651" s="5" t="n"/>
      <c r="C651" s="5" t="n"/>
      <c r="D651" s="5" t="n"/>
      <c r="E651" s="5" t="n"/>
      <c r="F651" s="5" t="n"/>
      <c r="G651" s="5" t="n"/>
    </row>
    <row r="652">
      <c r="A652" s="5" t="n"/>
      <c r="B652" s="5" t="n"/>
      <c r="C652" s="5" t="n"/>
      <c r="D652" s="5" t="n"/>
      <c r="E652" s="5" t="n"/>
      <c r="F652" s="5" t="n"/>
      <c r="G652" s="5" t="n"/>
    </row>
    <row r="653">
      <c r="A653" s="5" t="n"/>
      <c r="B653" s="5" t="n"/>
      <c r="C653" s="5" t="n"/>
      <c r="D653" s="5" t="n"/>
      <c r="E653" s="5" t="n"/>
      <c r="F653" s="5" t="n"/>
      <c r="G653" s="5" t="n"/>
    </row>
    <row r="654">
      <c r="A654" s="5" t="n"/>
      <c r="B654" s="5" t="n"/>
      <c r="C654" s="5" t="n"/>
      <c r="D654" s="5" t="n"/>
      <c r="E654" s="5" t="n"/>
      <c r="F654" s="5" t="n"/>
      <c r="G654" s="5" t="n"/>
    </row>
    <row r="655">
      <c r="A655" s="5" t="n"/>
      <c r="B655" s="5" t="n"/>
      <c r="C655" s="5" t="n"/>
      <c r="D655" s="5" t="n"/>
      <c r="E655" s="5" t="n"/>
      <c r="F655" s="5" t="n"/>
      <c r="G655" s="5" t="n"/>
    </row>
    <row r="656">
      <c r="A656" s="5" t="n"/>
      <c r="B656" s="5" t="n"/>
      <c r="C656" s="5" t="n"/>
      <c r="D656" s="5" t="n"/>
      <c r="E656" s="5" t="n"/>
      <c r="F656" s="5" t="n"/>
      <c r="G656" s="5" t="n"/>
    </row>
    <row r="657">
      <c r="A657" s="5" t="n"/>
      <c r="B657" s="5" t="n"/>
      <c r="C657" s="5" t="n"/>
      <c r="D657" s="5" t="n"/>
      <c r="E657" s="5" t="n"/>
      <c r="F657" s="5" t="n"/>
      <c r="G657" s="5" t="n"/>
    </row>
    <row r="658">
      <c r="A658" s="5" t="n"/>
      <c r="B658" s="5" t="n"/>
      <c r="C658" s="5" t="n"/>
      <c r="D658" s="5" t="n"/>
      <c r="E658" s="5" t="n"/>
      <c r="F658" s="5" t="n"/>
      <c r="G658" s="5" t="n"/>
    </row>
    <row r="659">
      <c r="A659" s="5" t="n"/>
      <c r="B659" s="5" t="n"/>
      <c r="C659" s="5" t="n"/>
      <c r="D659" s="5" t="n"/>
      <c r="E659" s="5" t="n"/>
      <c r="F659" s="5" t="n"/>
      <c r="G659" s="5" t="n"/>
    </row>
    <row r="660">
      <c r="A660" s="5" t="n"/>
      <c r="B660" s="5" t="n"/>
      <c r="C660" s="5" t="n"/>
      <c r="D660" s="5" t="n"/>
      <c r="E660" s="5" t="n"/>
      <c r="F660" s="5" t="n"/>
      <c r="G660" s="5" t="n"/>
    </row>
    <row r="661">
      <c r="A661" s="5" t="n"/>
      <c r="B661" s="5" t="n"/>
      <c r="C661" s="5" t="n"/>
      <c r="D661" s="5" t="n"/>
      <c r="E661" s="5" t="n"/>
      <c r="F661" s="5" t="n"/>
      <c r="G661" s="5" t="n"/>
    </row>
    <row r="662">
      <c r="A662" s="5" t="n"/>
      <c r="B662" s="5" t="n"/>
      <c r="C662" s="5" t="n"/>
      <c r="D662" s="5" t="n"/>
      <c r="E662" s="5" t="n"/>
      <c r="F662" s="5" t="n"/>
      <c r="G662" s="5" t="n"/>
    </row>
    <row r="663">
      <c r="A663" s="5" t="n"/>
      <c r="B663" s="5" t="n"/>
      <c r="C663" s="5" t="n"/>
      <c r="D663" s="5" t="n"/>
      <c r="E663" s="5" t="n"/>
      <c r="F663" s="5" t="n"/>
      <c r="G663" s="5" t="n"/>
    </row>
    <row r="664">
      <c r="A664" s="5" t="n"/>
      <c r="B664" s="5" t="n"/>
      <c r="C664" s="5" t="n"/>
      <c r="D664" s="5" t="n"/>
      <c r="E664" s="5" t="n"/>
      <c r="F664" s="5" t="n"/>
      <c r="G664" s="5" t="n"/>
    </row>
    <row r="665">
      <c r="A665" s="5" t="n"/>
      <c r="B665" s="5" t="n"/>
      <c r="C665" s="5" t="n"/>
      <c r="D665" s="5" t="n"/>
      <c r="E665" s="5" t="n"/>
      <c r="F665" s="5" t="n"/>
      <c r="G665" s="5" t="n"/>
    </row>
    <row r="666">
      <c r="A666" s="5" t="n"/>
      <c r="B666" s="5" t="n"/>
      <c r="C666" s="5" t="n"/>
      <c r="D666" s="5" t="n"/>
      <c r="E666" s="5" t="n"/>
      <c r="F666" s="5" t="n"/>
      <c r="G666" s="5" t="n"/>
    </row>
    <row r="667">
      <c r="A667" s="5" t="n"/>
      <c r="B667" s="5" t="n"/>
      <c r="C667" s="5" t="n"/>
      <c r="D667" s="5" t="n"/>
      <c r="E667" s="5" t="n"/>
      <c r="F667" s="5" t="n"/>
      <c r="G667" s="5" t="n"/>
    </row>
    <row r="668">
      <c r="A668" s="5" t="n"/>
      <c r="B668" s="5" t="n"/>
      <c r="C668" s="5" t="n"/>
      <c r="D668" s="5" t="n"/>
      <c r="E668" s="5" t="n"/>
      <c r="F668" s="5" t="n"/>
      <c r="G668" s="5" t="n"/>
    </row>
    <row r="669">
      <c r="A669" s="5" t="n"/>
      <c r="B669" s="5" t="n"/>
      <c r="C669" s="5" t="n"/>
      <c r="D669" s="5" t="n"/>
      <c r="E669" s="5" t="n"/>
      <c r="F669" s="5" t="n"/>
      <c r="G669" s="5" t="n"/>
    </row>
    <row r="670">
      <c r="A670" s="5" t="n"/>
      <c r="B670" s="5" t="n"/>
      <c r="C670" s="5" t="n"/>
      <c r="D670" s="5" t="n"/>
      <c r="E670" s="5" t="n"/>
      <c r="F670" s="5" t="n"/>
      <c r="G670" s="5" t="n"/>
    </row>
    <row r="671">
      <c r="A671" s="5" t="n"/>
      <c r="B671" s="5" t="n"/>
      <c r="C671" s="5" t="n"/>
      <c r="D671" s="5" t="n"/>
      <c r="E671" s="5" t="n"/>
      <c r="F671" s="5" t="n"/>
      <c r="G671" s="5" t="n"/>
    </row>
    <row r="672">
      <c r="A672" s="5" t="n"/>
      <c r="B672" s="5" t="n"/>
      <c r="C672" s="5" t="n"/>
      <c r="D672" s="5" t="n"/>
      <c r="E672" s="5" t="n"/>
      <c r="F672" s="5" t="n"/>
      <c r="G672" s="5" t="n"/>
    </row>
    <row r="673">
      <c r="A673" s="5" t="n"/>
      <c r="B673" s="5" t="n"/>
      <c r="C673" s="5" t="n"/>
      <c r="D673" s="5" t="n"/>
      <c r="E673" s="5" t="n"/>
      <c r="F673" s="5" t="n"/>
      <c r="G673" s="5" t="n"/>
    </row>
    <row r="674">
      <c r="A674" s="5" t="n"/>
      <c r="B674" s="5" t="n"/>
      <c r="C674" s="5" t="n"/>
      <c r="D674" s="5" t="n"/>
      <c r="E674" s="5" t="n"/>
      <c r="F674" s="5" t="n"/>
      <c r="G674" s="5" t="n"/>
    </row>
    <row r="675">
      <c r="A675" s="5" t="n"/>
      <c r="B675" s="5" t="n"/>
      <c r="C675" s="5" t="n"/>
      <c r="D675" s="5" t="n"/>
      <c r="E675" s="5" t="n"/>
      <c r="F675" s="5" t="n"/>
      <c r="G675" s="5" t="n"/>
    </row>
    <row r="676">
      <c r="A676" s="5" t="n"/>
      <c r="B676" s="5" t="n"/>
      <c r="C676" s="5" t="n"/>
      <c r="D676" s="5" t="n"/>
      <c r="E676" s="5" t="n"/>
      <c r="F676" s="5" t="n"/>
      <c r="G676" s="5" t="n"/>
    </row>
    <row r="677">
      <c r="A677" s="5" t="n"/>
      <c r="B677" s="5" t="n"/>
      <c r="C677" s="5" t="n"/>
      <c r="D677" s="5" t="n"/>
      <c r="E677" s="5" t="n"/>
      <c r="F677" s="5" t="n"/>
      <c r="G677" s="5" t="n"/>
    </row>
    <row r="678">
      <c r="A678" s="5" t="n"/>
      <c r="B678" s="5" t="n"/>
      <c r="C678" s="5" t="n"/>
      <c r="D678" s="5" t="n"/>
      <c r="E678" s="5" t="n"/>
      <c r="F678" s="5" t="n"/>
      <c r="G678" s="5" t="n"/>
    </row>
    <row r="679">
      <c r="A679" s="5" t="n"/>
      <c r="B679" s="5" t="n"/>
      <c r="C679" s="5" t="n"/>
      <c r="D679" s="5" t="n"/>
      <c r="E679" s="5" t="n"/>
      <c r="F679" s="5" t="n"/>
      <c r="G679" s="5" t="n"/>
    </row>
    <row r="680">
      <c r="A680" s="5" t="n"/>
      <c r="B680" s="5" t="n"/>
      <c r="C680" s="5" t="n"/>
      <c r="D680" s="5" t="n"/>
      <c r="E680" s="5" t="n"/>
      <c r="F680" s="5" t="n"/>
      <c r="G680" s="5" t="n"/>
    </row>
    <row r="681">
      <c r="A681" s="5" t="n"/>
      <c r="B681" s="5" t="n"/>
      <c r="C681" s="5" t="n"/>
      <c r="D681" s="5" t="n"/>
      <c r="E681" s="5" t="n"/>
      <c r="F681" s="5" t="n"/>
      <c r="G681" s="5" t="n"/>
    </row>
    <row r="682">
      <c r="A682" s="5" t="n"/>
      <c r="B682" s="5" t="n"/>
      <c r="C682" s="5" t="n"/>
      <c r="D682" s="5" t="n"/>
      <c r="E682" s="5" t="n"/>
      <c r="F682" s="5" t="n"/>
      <c r="G682" s="5" t="n"/>
    </row>
    <row r="683">
      <c r="A683" s="5" t="n"/>
      <c r="B683" s="5" t="n"/>
      <c r="C683" s="5" t="n"/>
      <c r="D683" s="5" t="n"/>
      <c r="E683" s="5" t="n"/>
      <c r="F683" s="5" t="n"/>
      <c r="G683" s="5" t="n"/>
    </row>
    <row r="684">
      <c r="A684" s="5" t="n"/>
      <c r="B684" s="5" t="n"/>
      <c r="C684" s="5" t="n"/>
      <c r="D684" s="5" t="n"/>
      <c r="E684" s="5" t="n"/>
      <c r="F684" s="5" t="n"/>
      <c r="G684" s="5" t="n"/>
    </row>
    <row r="685">
      <c r="A685" s="5" t="n"/>
      <c r="B685" s="5" t="n"/>
      <c r="C685" s="5" t="n"/>
      <c r="D685" s="5" t="n"/>
      <c r="E685" s="5" t="n"/>
      <c r="F685" s="5" t="n"/>
      <c r="G685" s="5" t="n"/>
    </row>
    <row r="686">
      <c r="A686" s="5" t="n"/>
      <c r="B686" s="5" t="n"/>
      <c r="C686" s="5" t="n"/>
      <c r="D686" s="5" t="n"/>
      <c r="E686" s="5" t="n"/>
      <c r="F686" s="5" t="n"/>
      <c r="G686" s="5" t="n"/>
    </row>
    <row r="687">
      <c r="A687" s="5" t="n"/>
      <c r="B687" s="5" t="n"/>
      <c r="C687" s="5" t="n"/>
      <c r="D687" s="5" t="n"/>
      <c r="E687" s="5" t="n"/>
      <c r="F687" s="5" t="n"/>
      <c r="G687" s="5" t="n"/>
    </row>
    <row r="688">
      <c r="A688" s="5" t="n"/>
      <c r="B688" s="5" t="n"/>
      <c r="C688" s="5" t="n"/>
      <c r="D688" s="5" t="n"/>
      <c r="E688" s="5" t="n"/>
      <c r="F688" s="5" t="n"/>
      <c r="G688" s="5" t="n"/>
    </row>
    <row r="689">
      <c r="A689" s="5" t="n"/>
      <c r="B689" s="5" t="n"/>
      <c r="C689" s="5" t="n"/>
      <c r="D689" s="5" t="n"/>
      <c r="E689" s="5" t="n"/>
      <c r="F689" s="5" t="n"/>
      <c r="G689" s="5" t="n"/>
    </row>
    <row r="690">
      <c r="A690" s="5" t="n"/>
      <c r="B690" s="5" t="n"/>
      <c r="C690" s="5" t="n"/>
      <c r="D690" s="5" t="n"/>
      <c r="E690" s="5" t="n"/>
      <c r="F690" s="5" t="n"/>
      <c r="G690" s="5" t="n"/>
    </row>
    <row r="691">
      <c r="A691" s="5" t="n"/>
      <c r="B691" s="5" t="n"/>
      <c r="C691" s="5" t="n"/>
      <c r="D691" s="5" t="n"/>
      <c r="E691" s="5" t="n"/>
      <c r="F691" s="5" t="n"/>
      <c r="G691" s="5" t="n"/>
    </row>
    <row r="692">
      <c r="A692" s="5" t="n"/>
      <c r="B692" s="5" t="n"/>
      <c r="C692" s="5" t="n"/>
      <c r="D692" s="5" t="n"/>
      <c r="E692" s="5" t="n"/>
      <c r="F692" s="5" t="n"/>
      <c r="G692" s="5" t="n"/>
    </row>
    <row r="693">
      <c r="A693" s="5" t="n"/>
      <c r="B693" s="5" t="n"/>
      <c r="C693" s="5" t="n"/>
      <c r="D693" s="5" t="n"/>
      <c r="E693" s="5" t="n"/>
      <c r="F693" s="5" t="n"/>
      <c r="G693" s="5" t="n"/>
    </row>
    <row r="694">
      <c r="A694" s="5" t="n"/>
      <c r="B694" s="5" t="n"/>
      <c r="C694" s="5" t="n"/>
      <c r="D694" s="5" t="n"/>
      <c r="E694" s="5" t="n"/>
      <c r="F694" s="5" t="n"/>
      <c r="G694" s="5" t="n"/>
    </row>
    <row r="695">
      <c r="A695" s="5" t="n"/>
      <c r="B695" s="5" t="n"/>
      <c r="C695" s="5" t="n"/>
      <c r="D695" s="5" t="n"/>
      <c r="E695" s="5" t="n"/>
      <c r="F695" s="5" t="n"/>
      <c r="G695" s="5" t="n"/>
    </row>
    <row r="696">
      <c r="A696" s="5" t="n"/>
      <c r="B696" s="5" t="n"/>
      <c r="C696" s="5" t="n"/>
      <c r="D696" s="5" t="n"/>
      <c r="E696" s="5" t="n"/>
      <c r="F696" s="5" t="n"/>
      <c r="G696" s="5" t="n"/>
    </row>
    <row r="697">
      <c r="A697" s="5" t="n"/>
      <c r="B697" s="5" t="n"/>
      <c r="C697" s="5" t="n"/>
      <c r="D697" s="5" t="n"/>
      <c r="E697" s="5" t="n"/>
      <c r="F697" s="5" t="n"/>
      <c r="G697" s="5" t="n"/>
    </row>
    <row r="698">
      <c r="A698" s="5" t="n"/>
      <c r="B698" s="5" t="n"/>
      <c r="C698" s="5" t="n"/>
      <c r="D698" s="5" t="n"/>
      <c r="E698" s="5" t="n"/>
      <c r="F698" s="5" t="n"/>
      <c r="G698" s="5" t="n"/>
    </row>
    <row r="699">
      <c r="A699" s="5" t="n"/>
      <c r="B699" s="5" t="n"/>
      <c r="C699" s="5" t="n"/>
      <c r="D699" s="5" t="n"/>
      <c r="E699" s="5" t="n"/>
      <c r="F699" s="5" t="n"/>
      <c r="G699" s="5" t="n"/>
    </row>
    <row r="700">
      <c r="A700" s="5" t="n"/>
      <c r="B700" s="5" t="n"/>
      <c r="C700" s="5" t="n"/>
      <c r="D700" s="5" t="n"/>
      <c r="E700" s="5" t="n"/>
      <c r="F700" s="5" t="n"/>
      <c r="G700" s="5" t="n"/>
    </row>
    <row r="701">
      <c r="A701" s="5" t="n"/>
      <c r="B701" s="5" t="n"/>
      <c r="C701" s="5" t="n"/>
      <c r="D701" s="5" t="n"/>
      <c r="E701" s="5" t="n"/>
      <c r="F701" s="5" t="n"/>
      <c r="G701" s="5" t="n"/>
    </row>
    <row r="702">
      <c r="A702" s="5" t="n"/>
      <c r="B702" s="5" t="n"/>
      <c r="C702" s="5" t="n"/>
      <c r="D702" s="5" t="n"/>
      <c r="E702" s="5" t="n"/>
      <c r="F702" s="5" t="n"/>
      <c r="G702" s="5" t="n"/>
    </row>
    <row r="703">
      <c r="A703" s="5" t="n"/>
      <c r="B703" s="5" t="n"/>
      <c r="C703" s="5" t="n"/>
      <c r="D703" s="5" t="n"/>
      <c r="E703" s="5" t="n"/>
      <c r="F703" s="5" t="n"/>
      <c r="G703" s="5" t="n"/>
    </row>
    <row r="704">
      <c r="A704" s="5" t="n"/>
      <c r="B704" s="5" t="n"/>
      <c r="C704" s="5" t="n"/>
      <c r="D704" s="5" t="n"/>
      <c r="E704" s="5" t="n"/>
      <c r="F704" s="5" t="n"/>
      <c r="G704" s="5" t="n"/>
    </row>
    <row r="705">
      <c r="A705" s="5" t="n"/>
      <c r="B705" s="5" t="n"/>
      <c r="C705" s="5" t="n"/>
      <c r="D705" s="5" t="n"/>
      <c r="E705" s="5" t="n"/>
      <c r="F705" s="5" t="n"/>
      <c r="G705" s="5" t="n"/>
    </row>
    <row r="706">
      <c r="A706" s="5" t="n"/>
      <c r="B706" s="5" t="n"/>
      <c r="C706" s="5" t="n"/>
      <c r="D706" s="5" t="n"/>
      <c r="E706" s="5" t="n"/>
      <c r="F706" s="5" t="n"/>
      <c r="G706" s="5" t="n"/>
    </row>
    <row r="707">
      <c r="A707" s="5" t="n"/>
      <c r="B707" s="5" t="n"/>
      <c r="C707" s="5" t="n"/>
      <c r="D707" s="5" t="n"/>
      <c r="E707" s="5" t="n"/>
      <c r="F707" s="5" t="n"/>
      <c r="G707" s="5" t="n"/>
    </row>
    <row r="708">
      <c r="A708" s="5" t="n"/>
      <c r="B708" s="5" t="n"/>
      <c r="C708" s="5" t="n"/>
      <c r="D708" s="5" t="n"/>
      <c r="E708" s="5" t="n"/>
      <c r="F708" s="5" t="n"/>
      <c r="G708" s="5" t="n"/>
    </row>
    <row r="709">
      <c r="A709" s="5" t="n"/>
      <c r="B709" s="5" t="n"/>
      <c r="C709" s="5" t="n"/>
      <c r="D709" s="5" t="n"/>
      <c r="E709" s="5" t="n"/>
      <c r="F709" s="5" t="n"/>
      <c r="G709" s="5" t="n"/>
    </row>
    <row r="710">
      <c r="A710" s="5" t="n"/>
      <c r="B710" s="5" t="n"/>
      <c r="C710" s="5" t="n"/>
      <c r="D710" s="5" t="n"/>
      <c r="E710" s="5" t="n"/>
      <c r="F710" s="5" t="n"/>
      <c r="G710" s="5" t="n"/>
    </row>
    <row r="711">
      <c r="A711" s="5" t="n"/>
      <c r="B711" s="5" t="n"/>
      <c r="C711" s="5" t="n"/>
      <c r="D711" s="5" t="n"/>
      <c r="E711" s="5" t="n"/>
      <c r="F711" s="5" t="n"/>
      <c r="G711" s="5" t="n"/>
    </row>
    <row r="712">
      <c r="A712" s="5" t="n"/>
      <c r="B712" s="5" t="n"/>
      <c r="C712" s="5" t="n"/>
      <c r="D712" s="5" t="n"/>
      <c r="E712" s="5" t="n"/>
      <c r="F712" s="5" t="n"/>
      <c r="G712" s="5" t="n"/>
    </row>
    <row r="713">
      <c r="A713" s="5" t="n"/>
      <c r="B713" s="5" t="n"/>
      <c r="C713" s="5" t="n"/>
      <c r="D713" s="5" t="n"/>
      <c r="E713" s="5" t="n"/>
      <c r="F713" s="5" t="n"/>
      <c r="G713" s="5" t="n"/>
    </row>
    <row r="714">
      <c r="A714" s="5" t="n"/>
      <c r="B714" s="5" t="n"/>
      <c r="C714" s="5" t="n"/>
      <c r="D714" s="5" t="n"/>
      <c r="E714" s="5" t="n"/>
      <c r="F714" s="5" t="n"/>
      <c r="G714" s="5" t="n"/>
    </row>
    <row r="715">
      <c r="A715" s="5" t="n"/>
      <c r="B715" s="5" t="n"/>
      <c r="C715" s="5" t="n"/>
      <c r="D715" s="5" t="n"/>
      <c r="E715" s="5" t="n"/>
      <c r="F715" s="5" t="n"/>
      <c r="G715" s="5" t="n"/>
    </row>
    <row r="716">
      <c r="A716" s="5" t="n"/>
      <c r="B716" s="5" t="n"/>
      <c r="C716" s="5" t="n"/>
      <c r="D716" s="5" t="n"/>
      <c r="E716" s="5" t="n"/>
      <c r="F716" s="5" t="n"/>
      <c r="G716" s="5" t="n"/>
    </row>
    <row r="717">
      <c r="A717" s="5" t="n"/>
      <c r="B717" s="5" t="n"/>
      <c r="C717" s="5" t="n"/>
      <c r="D717" s="5" t="n"/>
      <c r="E717" s="5" t="n"/>
      <c r="F717" s="5" t="n"/>
      <c r="G717" s="5" t="n"/>
    </row>
    <row r="718">
      <c r="A718" s="5" t="n"/>
      <c r="B718" s="5" t="n"/>
      <c r="C718" s="5" t="n"/>
      <c r="D718" s="5" t="n"/>
      <c r="E718" s="5" t="n"/>
      <c r="F718" s="5" t="n"/>
      <c r="G718" s="5" t="n"/>
    </row>
    <row r="719">
      <c r="A719" s="5" t="n"/>
      <c r="B719" s="5" t="n"/>
      <c r="C719" s="5" t="n"/>
      <c r="D719" s="5" t="n"/>
      <c r="E719" s="5" t="n"/>
      <c r="F719" s="5" t="n"/>
      <c r="G719" s="5" t="n"/>
    </row>
    <row r="720">
      <c r="A720" s="5" t="n"/>
      <c r="B720" s="5" t="n"/>
      <c r="C720" s="5" t="n"/>
      <c r="D720" s="5" t="n"/>
      <c r="E720" s="5" t="n"/>
      <c r="F720" s="5" t="n"/>
      <c r="G720" s="5" t="n"/>
    </row>
    <row r="721">
      <c r="A721" s="5" t="n"/>
      <c r="B721" s="5" t="n"/>
      <c r="C721" s="5" t="n"/>
      <c r="D721" s="5" t="n"/>
      <c r="E721" s="5" t="n"/>
      <c r="F721" s="5" t="n"/>
      <c r="G721" s="5" t="n"/>
    </row>
    <row r="722">
      <c r="A722" s="5" t="n"/>
      <c r="B722" s="5" t="n"/>
      <c r="C722" s="5" t="n"/>
      <c r="D722" s="5" t="n"/>
      <c r="E722" s="5" t="n"/>
      <c r="F722" s="5" t="n"/>
      <c r="G722" s="5" t="n"/>
    </row>
    <row r="723">
      <c r="A723" s="5" t="n"/>
      <c r="B723" s="5" t="n"/>
      <c r="C723" s="5" t="n"/>
      <c r="D723" s="5" t="n"/>
      <c r="E723" s="5" t="n"/>
      <c r="F723" s="5" t="n"/>
      <c r="G723" s="5" t="n"/>
    </row>
    <row r="724">
      <c r="A724" s="5" t="n"/>
      <c r="B724" s="5" t="n"/>
      <c r="C724" s="5" t="n"/>
      <c r="D724" s="5" t="n"/>
      <c r="E724" s="5" t="n"/>
      <c r="F724" s="5" t="n"/>
      <c r="G724" s="5" t="n"/>
    </row>
    <row r="725">
      <c r="A725" s="5" t="n"/>
      <c r="B725" s="5" t="n"/>
      <c r="C725" s="5" t="n"/>
      <c r="D725" s="5" t="n"/>
      <c r="E725" s="5" t="n"/>
      <c r="F725" s="5" t="n"/>
      <c r="G725" s="5" t="n"/>
    </row>
    <row r="726">
      <c r="A726" s="5" t="n"/>
      <c r="B726" s="5" t="n"/>
      <c r="C726" s="5" t="n"/>
      <c r="D726" s="5" t="n"/>
      <c r="E726" s="5" t="n"/>
      <c r="F726" s="5" t="n"/>
      <c r="G726" s="5" t="n"/>
    </row>
    <row r="727">
      <c r="A727" s="5" t="n"/>
      <c r="B727" s="5" t="n"/>
      <c r="C727" s="5" t="n"/>
      <c r="D727" s="5" t="n"/>
      <c r="E727" s="5" t="n"/>
      <c r="F727" s="5" t="n"/>
      <c r="G727" s="5" t="n"/>
    </row>
    <row r="728">
      <c r="A728" s="5" t="n"/>
      <c r="B728" s="5" t="n"/>
      <c r="C728" s="5" t="n"/>
      <c r="D728" s="5" t="n"/>
      <c r="E728" s="5" t="n"/>
      <c r="F728" s="5" t="n"/>
      <c r="G728" s="5" t="n"/>
    </row>
    <row r="729">
      <c r="A729" s="5" t="n"/>
      <c r="B729" s="5" t="n"/>
      <c r="C729" s="5" t="n"/>
      <c r="D729" s="5" t="n"/>
      <c r="E729" s="5" t="n"/>
      <c r="F729" s="5" t="n"/>
      <c r="G729" s="5" t="n"/>
    </row>
    <row r="730">
      <c r="A730" s="5" t="n"/>
      <c r="B730" s="5" t="n"/>
      <c r="C730" s="5" t="n"/>
      <c r="D730" s="5" t="n"/>
      <c r="E730" s="5" t="n"/>
      <c r="F730" s="5" t="n"/>
      <c r="G730" s="5" t="n"/>
    </row>
    <row r="731">
      <c r="A731" s="5" t="n"/>
      <c r="B731" s="5" t="n"/>
      <c r="C731" s="5" t="n"/>
      <c r="D731" s="5" t="n"/>
      <c r="E731" s="5" t="n"/>
      <c r="F731" s="5" t="n"/>
      <c r="G731" s="5" t="n"/>
    </row>
    <row r="732">
      <c r="A732" s="5" t="n"/>
      <c r="B732" s="5" t="n"/>
      <c r="C732" s="5" t="n"/>
      <c r="D732" s="5" t="n"/>
      <c r="E732" s="5" t="n"/>
      <c r="F732" s="5" t="n"/>
      <c r="G732" s="5" t="n"/>
    </row>
    <row r="733">
      <c r="A733" s="5" t="n"/>
      <c r="B733" s="5" t="n"/>
      <c r="C733" s="5" t="n"/>
      <c r="D733" s="5" t="n"/>
      <c r="E733" s="5" t="n"/>
      <c r="F733" s="5" t="n"/>
      <c r="G733" s="5" t="n"/>
    </row>
    <row r="734">
      <c r="A734" s="5" t="n"/>
      <c r="B734" s="5" t="n"/>
      <c r="C734" s="5" t="n"/>
      <c r="D734" s="5" t="n"/>
      <c r="E734" s="5" t="n"/>
      <c r="F734" s="5" t="n"/>
      <c r="G734" s="5" t="n"/>
    </row>
    <row r="735">
      <c r="A735" s="5" t="n"/>
      <c r="B735" s="5" t="n"/>
      <c r="C735" s="5" t="n"/>
      <c r="D735" s="5" t="n"/>
      <c r="E735" s="5" t="n"/>
      <c r="F735" s="5" t="n"/>
      <c r="G735" s="5" t="n"/>
    </row>
    <row r="736">
      <c r="A736" s="5" t="n"/>
      <c r="B736" s="5" t="n"/>
      <c r="C736" s="5" t="n"/>
      <c r="D736" s="5" t="n"/>
      <c r="E736" s="5" t="n"/>
      <c r="F736" s="5" t="n"/>
      <c r="G736" s="5" t="n"/>
    </row>
    <row r="737">
      <c r="A737" s="5" t="n"/>
      <c r="B737" s="5" t="n"/>
      <c r="C737" s="5" t="n"/>
      <c r="D737" s="5" t="n"/>
      <c r="E737" s="5" t="n"/>
      <c r="F737" s="5" t="n"/>
      <c r="G737" s="5" t="n"/>
    </row>
    <row r="738">
      <c r="A738" s="5" t="n"/>
      <c r="B738" s="5" t="n"/>
      <c r="C738" s="5" t="n"/>
      <c r="D738" s="5" t="n"/>
      <c r="E738" s="5" t="n"/>
      <c r="F738" s="5" t="n"/>
      <c r="G738" s="5" t="n"/>
    </row>
    <row r="739">
      <c r="A739" s="5" t="n"/>
      <c r="B739" s="5" t="n"/>
      <c r="C739" s="5" t="n"/>
      <c r="D739" s="5" t="n"/>
      <c r="E739" s="5" t="n"/>
      <c r="F739" s="5" t="n"/>
      <c r="G739" s="5" t="n"/>
    </row>
    <row r="740">
      <c r="A740" s="5" t="n"/>
      <c r="B740" s="5" t="n"/>
      <c r="C740" s="5" t="n"/>
      <c r="D740" s="5" t="n"/>
      <c r="E740" s="5" t="n"/>
      <c r="F740" s="5" t="n"/>
      <c r="G740" s="5" t="n"/>
    </row>
    <row r="741">
      <c r="A741" s="5" t="n"/>
      <c r="B741" s="5" t="n"/>
      <c r="C741" s="5" t="n"/>
      <c r="D741" s="5" t="n"/>
      <c r="E741" s="5" t="n"/>
      <c r="F741" s="5" t="n"/>
      <c r="G741" s="5" t="n"/>
    </row>
    <row r="742">
      <c r="A742" s="5" t="n"/>
      <c r="B742" s="5" t="n"/>
      <c r="C742" s="5" t="n"/>
      <c r="D742" s="5" t="n"/>
      <c r="E742" s="5" t="n"/>
      <c r="F742" s="5" t="n"/>
      <c r="G742" s="5" t="n"/>
    </row>
    <row r="743">
      <c r="A743" s="5" t="n"/>
      <c r="B743" s="5" t="n"/>
      <c r="C743" s="5" t="n"/>
      <c r="D743" s="5" t="n"/>
      <c r="E743" s="5" t="n"/>
      <c r="F743" s="5" t="n"/>
      <c r="G743" s="5" t="n"/>
    </row>
    <row r="744">
      <c r="A744" s="5" t="n"/>
      <c r="B744" s="5" t="n"/>
      <c r="C744" s="5" t="n"/>
      <c r="D744" s="5" t="n"/>
      <c r="E744" s="5" t="n"/>
      <c r="F744" s="5" t="n"/>
      <c r="G744" s="5" t="n"/>
    </row>
    <row r="745">
      <c r="A745" s="5" t="n"/>
      <c r="B745" s="5" t="n"/>
      <c r="C745" s="5" t="n"/>
      <c r="D745" s="5" t="n"/>
      <c r="E745" s="5" t="n"/>
      <c r="F745" s="5" t="n"/>
      <c r="G745" s="5" t="n"/>
    </row>
    <row r="746">
      <c r="A746" s="5" t="n"/>
      <c r="B746" s="5" t="n"/>
      <c r="C746" s="5" t="n"/>
      <c r="D746" s="5" t="n"/>
      <c r="E746" s="5" t="n"/>
      <c r="F746" s="5" t="n"/>
      <c r="G746" s="5" t="n"/>
    </row>
    <row r="747">
      <c r="A747" s="5" t="n"/>
      <c r="B747" s="5" t="n"/>
      <c r="C747" s="5" t="n"/>
      <c r="D747" s="5" t="n"/>
      <c r="E747" s="5" t="n"/>
      <c r="F747" s="5" t="n"/>
      <c r="G747" s="5" t="n"/>
    </row>
    <row r="748">
      <c r="A748" s="5" t="n"/>
      <c r="B748" s="5" t="n"/>
      <c r="C748" s="5" t="n"/>
      <c r="D748" s="5" t="n"/>
      <c r="E748" s="5" t="n"/>
      <c r="F748" s="5" t="n"/>
      <c r="G748" s="5" t="n"/>
    </row>
    <row r="749">
      <c r="A749" s="5" t="n"/>
      <c r="B749" s="5" t="n"/>
      <c r="C749" s="5" t="n"/>
      <c r="D749" s="5" t="n"/>
      <c r="E749" s="5" t="n"/>
      <c r="F749" s="5" t="n"/>
      <c r="G749" s="5" t="n"/>
    </row>
    <row r="750">
      <c r="A750" s="5" t="n"/>
      <c r="B750" s="5" t="n"/>
      <c r="C750" s="5" t="n"/>
      <c r="D750" s="5" t="n"/>
      <c r="E750" s="5" t="n"/>
      <c r="F750" s="5" t="n"/>
      <c r="G750" s="5" t="n"/>
    </row>
    <row r="751">
      <c r="A751" s="5" t="n"/>
      <c r="B751" s="5" t="n"/>
      <c r="C751" s="5" t="n"/>
      <c r="D751" s="5" t="n"/>
      <c r="E751" s="5" t="n"/>
      <c r="F751" s="5" t="n"/>
      <c r="G751" s="5" t="n"/>
    </row>
    <row r="752">
      <c r="A752" s="5" t="n"/>
      <c r="B752" s="5" t="n"/>
      <c r="C752" s="5" t="n"/>
      <c r="D752" s="5" t="n"/>
      <c r="E752" s="5" t="n"/>
      <c r="F752" s="5" t="n"/>
      <c r="G752" s="5" t="n"/>
    </row>
    <row r="753">
      <c r="A753" s="5" t="n"/>
      <c r="B753" s="5" t="n"/>
      <c r="C753" s="5" t="n"/>
      <c r="D753" s="5" t="n"/>
      <c r="E753" s="5" t="n"/>
      <c r="F753" s="5" t="n"/>
      <c r="G753" s="5" t="n"/>
    </row>
    <row r="754">
      <c r="A754" s="5" t="n"/>
      <c r="B754" s="5" t="n"/>
      <c r="C754" s="5" t="n"/>
      <c r="D754" s="5" t="n"/>
      <c r="E754" s="5" t="n"/>
      <c r="F754" s="5" t="n"/>
      <c r="G754" s="5" t="n"/>
    </row>
    <row r="755">
      <c r="A755" s="5" t="n"/>
      <c r="B755" s="5" t="n"/>
      <c r="C755" s="5" t="n"/>
      <c r="D755" s="5" t="n"/>
      <c r="E755" s="5" t="n"/>
      <c r="F755" s="5" t="n"/>
      <c r="G755" s="5" t="n"/>
    </row>
    <row r="756">
      <c r="A756" s="5" t="n"/>
      <c r="B756" s="5" t="n"/>
      <c r="C756" s="5" t="n"/>
      <c r="D756" s="5" t="n"/>
      <c r="E756" s="5" t="n"/>
      <c r="F756" s="5" t="n"/>
      <c r="G756" s="5" t="n"/>
    </row>
    <row r="757">
      <c r="A757" s="5" t="n"/>
      <c r="B757" s="5" t="n"/>
      <c r="C757" s="5" t="n"/>
      <c r="D757" s="5" t="n"/>
      <c r="E757" s="5" t="n"/>
      <c r="F757" s="5" t="n"/>
      <c r="G757" s="5" t="n"/>
    </row>
    <row r="758">
      <c r="A758" s="5" t="n"/>
      <c r="B758" s="5" t="n"/>
      <c r="C758" s="5" t="n"/>
      <c r="D758" s="5" t="n"/>
      <c r="E758" s="5" t="n"/>
      <c r="F758" s="5" t="n"/>
      <c r="G758" s="5" t="n"/>
    </row>
    <row r="759">
      <c r="A759" s="5" t="n"/>
      <c r="B759" s="5" t="n"/>
      <c r="C759" s="5" t="n"/>
      <c r="D759" s="5" t="n"/>
      <c r="E759" s="5" t="n"/>
      <c r="F759" s="5" t="n"/>
      <c r="G759" s="5" t="n"/>
    </row>
    <row r="760">
      <c r="A760" s="5" t="n"/>
      <c r="B760" s="5" t="n"/>
      <c r="C760" s="5" t="n"/>
      <c r="D760" s="5" t="n"/>
      <c r="E760" s="5" t="n"/>
      <c r="F760" s="5" t="n"/>
      <c r="G760" s="5" t="n"/>
    </row>
    <row r="761">
      <c r="A761" s="5" t="n"/>
      <c r="B761" s="5" t="n"/>
      <c r="C761" s="5" t="n"/>
      <c r="D761" s="5" t="n"/>
      <c r="E761" s="5" t="n"/>
      <c r="F761" s="5" t="n"/>
      <c r="G761" s="5" t="n"/>
    </row>
    <row r="762">
      <c r="A762" s="5" t="n"/>
      <c r="B762" s="5" t="n"/>
      <c r="C762" s="5" t="n"/>
      <c r="D762" s="5" t="n"/>
      <c r="E762" s="5" t="n"/>
      <c r="F762" s="5" t="n"/>
      <c r="G762" s="5" t="n"/>
    </row>
    <row r="763">
      <c r="A763" s="5" t="n"/>
      <c r="B763" s="5" t="n"/>
      <c r="C763" s="5" t="n"/>
      <c r="D763" s="5" t="n"/>
      <c r="E763" s="5" t="n"/>
      <c r="F763" s="5" t="n"/>
      <c r="G763" s="5" t="n"/>
    </row>
    <row r="764">
      <c r="A764" s="5" t="n"/>
      <c r="B764" s="5" t="n"/>
      <c r="C764" s="5" t="n"/>
      <c r="D764" s="5" t="n"/>
      <c r="E764" s="5" t="n"/>
      <c r="F764" s="5" t="n"/>
      <c r="G764" s="5" t="n"/>
    </row>
    <row r="765">
      <c r="A765" s="5" t="n"/>
      <c r="B765" s="5" t="n"/>
      <c r="C765" s="5" t="n"/>
      <c r="D765" s="5" t="n"/>
      <c r="E765" s="5" t="n"/>
      <c r="F765" s="5" t="n"/>
      <c r="G765" s="5" t="n"/>
    </row>
    <row r="766">
      <c r="A766" s="5" t="n"/>
      <c r="B766" s="5" t="n"/>
      <c r="C766" s="5" t="n"/>
      <c r="D766" s="5" t="n"/>
      <c r="E766" s="5" t="n"/>
      <c r="F766" s="5" t="n"/>
      <c r="G766" s="5" t="n"/>
    </row>
    <row r="767">
      <c r="A767" s="5" t="n"/>
      <c r="B767" s="5" t="n"/>
      <c r="C767" s="5" t="n"/>
      <c r="D767" s="5" t="n"/>
      <c r="E767" s="5" t="n"/>
      <c r="F767" s="5" t="n"/>
      <c r="G767" s="5" t="n"/>
    </row>
    <row r="768">
      <c r="A768" s="5" t="n"/>
      <c r="B768" s="5" t="n"/>
      <c r="C768" s="5" t="n"/>
      <c r="D768" s="5" t="n"/>
      <c r="E768" s="5" t="n"/>
      <c r="F768" s="5" t="n"/>
      <c r="G768" s="5" t="n"/>
    </row>
    <row r="769">
      <c r="A769" s="5" t="n"/>
      <c r="B769" s="5" t="n"/>
      <c r="C769" s="5" t="n"/>
      <c r="D769" s="5" t="n"/>
      <c r="E769" s="5" t="n"/>
      <c r="F769" s="5" t="n"/>
      <c r="G769" s="5" t="n"/>
    </row>
    <row r="770">
      <c r="A770" s="5" t="n"/>
      <c r="B770" s="5" t="n"/>
      <c r="C770" s="5" t="n"/>
      <c r="D770" s="5" t="n"/>
      <c r="E770" s="5" t="n"/>
      <c r="F770" s="5" t="n"/>
      <c r="G770" s="5" t="n"/>
    </row>
    <row r="771">
      <c r="A771" s="5" t="n"/>
      <c r="B771" s="5" t="n"/>
      <c r="C771" s="5" t="n"/>
      <c r="D771" s="5" t="n"/>
      <c r="E771" s="5" t="n"/>
      <c r="F771" s="5" t="n"/>
      <c r="G771" s="5" t="n"/>
    </row>
    <row r="772">
      <c r="A772" s="5" t="n"/>
      <c r="B772" s="5" t="n"/>
      <c r="C772" s="5" t="n"/>
      <c r="D772" s="5" t="n"/>
      <c r="E772" s="5" t="n"/>
      <c r="F772" s="5" t="n"/>
      <c r="G772" s="5" t="n"/>
    </row>
    <row r="773">
      <c r="A773" s="5" t="n"/>
      <c r="B773" s="5" t="n"/>
      <c r="C773" s="5" t="n"/>
      <c r="D773" s="5" t="n"/>
      <c r="E773" s="5" t="n"/>
      <c r="F773" s="5" t="n"/>
      <c r="G773" s="5" t="n"/>
    </row>
    <row r="774">
      <c r="A774" s="5" t="n"/>
      <c r="B774" s="5" t="n"/>
      <c r="C774" s="5" t="n"/>
      <c r="D774" s="5" t="n"/>
      <c r="E774" s="5" t="n"/>
      <c r="F774" s="5" t="n"/>
      <c r="G774" s="5" t="n"/>
    </row>
    <row r="775">
      <c r="A775" s="5" t="n"/>
      <c r="B775" s="5" t="n"/>
      <c r="C775" s="5" t="n"/>
      <c r="D775" s="5" t="n"/>
      <c r="E775" s="5" t="n"/>
      <c r="F775" s="5" t="n"/>
      <c r="G775" s="5" t="n"/>
    </row>
    <row r="776">
      <c r="A776" s="5" t="n"/>
      <c r="B776" s="5" t="n"/>
      <c r="C776" s="5" t="n"/>
      <c r="D776" s="5" t="n"/>
      <c r="E776" s="5" t="n"/>
      <c r="F776" s="5" t="n"/>
      <c r="G776" s="5" t="n"/>
    </row>
    <row r="777">
      <c r="A777" s="5" t="n"/>
      <c r="B777" s="5" t="n"/>
      <c r="C777" s="5" t="n"/>
      <c r="D777" s="5" t="n"/>
      <c r="E777" s="5" t="n"/>
      <c r="F777" s="5" t="n"/>
      <c r="G777" s="5" t="n"/>
    </row>
    <row r="778">
      <c r="A778" s="5" t="n"/>
      <c r="B778" s="5" t="n"/>
      <c r="C778" s="5" t="n"/>
      <c r="D778" s="5" t="n"/>
      <c r="E778" s="5" t="n"/>
      <c r="F778" s="5" t="n"/>
      <c r="G778" s="5" t="n"/>
    </row>
    <row r="779">
      <c r="A779" s="5" t="n"/>
      <c r="B779" s="5" t="n"/>
      <c r="C779" s="5" t="n"/>
      <c r="D779" s="5" t="n"/>
      <c r="E779" s="5" t="n"/>
      <c r="F779" s="5" t="n"/>
      <c r="G779" s="5" t="n"/>
    </row>
    <row r="780">
      <c r="A780" s="5" t="n"/>
      <c r="B780" s="5" t="n"/>
      <c r="C780" s="5" t="n"/>
      <c r="D780" s="5" t="n"/>
      <c r="E780" s="5" t="n"/>
      <c r="F780" s="5" t="n"/>
      <c r="G780" s="5" t="n"/>
    </row>
    <row r="781">
      <c r="A781" s="5" t="n"/>
      <c r="B781" s="5" t="n"/>
      <c r="C781" s="5" t="n"/>
      <c r="D781" s="5" t="n"/>
      <c r="E781" s="5" t="n"/>
      <c r="F781" s="5" t="n"/>
      <c r="G781" s="5" t="n"/>
    </row>
    <row r="782">
      <c r="A782" s="5" t="n"/>
      <c r="B782" s="5" t="n"/>
      <c r="C782" s="5" t="n"/>
      <c r="D782" s="5" t="n"/>
      <c r="E782" s="5" t="n"/>
      <c r="F782" s="5" t="n"/>
      <c r="G782" s="5" t="n"/>
    </row>
    <row r="783">
      <c r="A783" s="5" t="n"/>
      <c r="B783" s="5" t="n"/>
      <c r="C783" s="5" t="n"/>
      <c r="D783" s="5" t="n"/>
      <c r="E783" s="5" t="n"/>
      <c r="F783" s="5" t="n"/>
      <c r="G783" s="5" t="n"/>
    </row>
    <row r="784">
      <c r="A784" s="5" t="n"/>
      <c r="B784" s="5" t="n"/>
      <c r="C784" s="5" t="n"/>
      <c r="D784" s="5" t="n"/>
      <c r="E784" s="5" t="n"/>
      <c r="F784" s="5" t="n"/>
      <c r="G784" s="5" t="n"/>
    </row>
    <row r="785">
      <c r="A785" s="5" t="n"/>
      <c r="B785" s="5" t="n"/>
      <c r="C785" s="5" t="n"/>
      <c r="D785" s="5" t="n"/>
      <c r="E785" s="5" t="n"/>
      <c r="F785" s="5" t="n"/>
      <c r="G785" s="5" t="n"/>
    </row>
    <row r="786">
      <c r="A786" s="5" t="n"/>
      <c r="B786" s="5" t="n"/>
      <c r="C786" s="5" t="n"/>
      <c r="D786" s="5" t="n"/>
      <c r="E786" s="5" t="n"/>
      <c r="F786" s="5" t="n"/>
      <c r="G786" s="5" t="n"/>
    </row>
    <row r="787">
      <c r="A787" s="5" t="n"/>
      <c r="B787" s="5" t="n"/>
      <c r="C787" s="5" t="n"/>
      <c r="D787" s="5" t="n"/>
      <c r="E787" s="5" t="n"/>
      <c r="F787" s="5" t="n"/>
      <c r="G787" s="5" t="n"/>
    </row>
    <row r="788">
      <c r="A788" s="5" t="n"/>
      <c r="B788" s="5" t="n"/>
      <c r="C788" s="5" t="n"/>
      <c r="D788" s="5" t="n"/>
      <c r="E788" s="5" t="n"/>
      <c r="F788" s="5" t="n"/>
      <c r="G788" s="5" t="n"/>
    </row>
    <row r="789">
      <c r="A789" s="5" t="n"/>
      <c r="B789" s="5" t="n"/>
      <c r="C789" s="5" t="n"/>
      <c r="D789" s="5" t="n"/>
      <c r="E789" s="5" t="n"/>
      <c r="F789" s="5" t="n"/>
      <c r="G789" s="5" t="n"/>
    </row>
    <row r="790">
      <c r="A790" s="5" t="n"/>
      <c r="B790" s="5" t="n"/>
      <c r="C790" s="5" t="n"/>
      <c r="D790" s="5" t="n"/>
      <c r="E790" s="5" t="n"/>
      <c r="F790" s="5" t="n"/>
      <c r="G790" s="5" t="n"/>
    </row>
    <row r="791">
      <c r="A791" s="5" t="n"/>
      <c r="B791" s="5" t="n"/>
      <c r="C791" s="5" t="n"/>
      <c r="D791" s="5" t="n"/>
      <c r="E791" s="5" t="n"/>
      <c r="F791" s="5" t="n"/>
      <c r="G791" s="5" t="n"/>
    </row>
    <row r="792">
      <c r="A792" s="5" t="n"/>
      <c r="B792" s="5" t="n"/>
      <c r="C792" s="5" t="n"/>
      <c r="D792" s="5" t="n"/>
      <c r="E792" s="5" t="n"/>
      <c r="F792" s="5" t="n"/>
      <c r="G792" s="5" t="n"/>
    </row>
    <row r="793">
      <c r="A793" s="5" t="n"/>
      <c r="B793" s="5" t="n"/>
      <c r="C793" s="5" t="n"/>
      <c r="D793" s="5" t="n"/>
      <c r="E793" s="5" t="n"/>
      <c r="F793" s="5" t="n"/>
      <c r="G793" s="5" t="n"/>
    </row>
    <row r="794">
      <c r="A794" s="5" t="n"/>
      <c r="B794" s="5" t="n"/>
      <c r="C794" s="5" t="n"/>
      <c r="D794" s="5" t="n"/>
      <c r="E794" s="5" t="n"/>
      <c r="F794" s="5" t="n"/>
      <c r="G794" s="5" t="n"/>
    </row>
    <row r="795">
      <c r="A795" s="5" t="n"/>
      <c r="B795" s="5" t="n"/>
      <c r="C795" s="5" t="n"/>
      <c r="D795" s="5" t="n"/>
      <c r="E795" s="5" t="n"/>
      <c r="F795" s="5" t="n"/>
      <c r="G795" s="5" t="n"/>
    </row>
    <row r="796">
      <c r="A796" s="5" t="n"/>
      <c r="B796" s="5" t="n"/>
      <c r="C796" s="5" t="n"/>
      <c r="D796" s="5" t="n"/>
      <c r="E796" s="5" t="n"/>
      <c r="F796" s="5" t="n"/>
      <c r="G796" s="5" t="n"/>
    </row>
    <row r="797">
      <c r="A797" s="5" t="n"/>
      <c r="B797" s="5" t="n"/>
      <c r="C797" s="5" t="n"/>
      <c r="D797" s="5" t="n"/>
      <c r="E797" s="5" t="n"/>
      <c r="F797" s="5" t="n"/>
      <c r="G797" s="5" t="n"/>
    </row>
    <row r="798">
      <c r="A798" s="5" t="n"/>
      <c r="B798" s="5" t="n"/>
      <c r="C798" s="5" t="n"/>
      <c r="D798" s="5" t="n"/>
      <c r="E798" s="5" t="n"/>
      <c r="F798" s="5" t="n"/>
      <c r="G798" s="5" t="n"/>
    </row>
    <row r="799">
      <c r="A799" s="5" t="n"/>
      <c r="B799" s="5" t="n"/>
      <c r="C799" s="5" t="n"/>
      <c r="D799" s="5" t="n"/>
      <c r="E799" s="5" t="n"/>
      <c r="F799" s="5" t="n"/>
      <c r="G799" s="5" t="n"/>
    </row>
    <row r="800">
      <c r="A800" s="5" t="n"/>
      <c r="B800" s="5" t="n"/>
      <c r="C800" s="5" t="n"/>
      <c r="D800" s="5" t="n"/>
      <c r="E800" s="5" t="n"/>
      <c r="F800" s="5" t="n"/>
      <c r="G800" s="5" t="n"/>
    </row>
    <row r="801">
      <c r="A801" s="5" t="n"/>
      <c r="B801" s="5" t="n"/>
      <c r="C801" s="5" t="n"/>
      <c r="D801" s="5" t="n"/>
      <c r="E801" s="5" t="n"/>
      <c r="F801" s="5" t="n"/>
      <c r="G801" s="5" t="n"/>
    </row>
    <row r="802">
      <c r="A802" s="5" t="n"/>
      <c r="B802" s="5" t="n"/>
      <c r="C802" s="5" t="n"/>
      <c r="D802" s="5" t="n"/>
      <c r="E802" s="5" t="n"/>
      <c r="F802" s="5" t="n"/>
      <c r="G802" s="5" t="n"/>
    </row>
    <row r="803">
      <c r="A803" s="5" t="n"/>
      <c r="B803" s="5" t="n"/>
      <c r="C803" s="5" t="n"/>
      <c r="D803" s="5" t="n"/>
      <c r="E803" s="5" t="n"/>
      <c r="F803" s="5" t="n"/>
      <c r="G803" s="5" t="n"/>
    </row>
    <row r="804">
      <c r="A804" s="5" t="n"/>
      <c r="B804" s="5" t="n"/>
      <c r="C804" s="5" t="n"/>
      <c r="D804" s="5" t="n"/>
      <c r="E804" s="5" t="n"/>
      <c r="F804" s="5" t="n"/>
      <c r="G804" s="5" t="n"/>
    </row>
    <row r="805">
      <c r="A805" s="5" t="n"/>
      <c r="B805" s="5" t="n"/>
      <c r="C805" s="5" t="n"/>
      <c r="D805" s="5" t="n"/>
      <c r="E805" s="5" t="n"/>
      <c r="F805" s="5" t="n"/>
      <c r="G805" s="5" t="n"/>
    </row>
    <row r="806">
      <c r="A806" s="5" t="n"/>
      <c r="B806" s="5" t="n"/>
      <c r="C806" s="5" t="n"/>
      <c r="D806" s="5" t="n"/>
      <c r="E806" s="5" t="n"/>
      <c r="F806" s="5" t="n"/>
      <c r="G806" s="5" t="n"/>
    </row>
    <row r="807">
      <c r="A807" s="5" t="n"/>
      <c r="B807" s="5" t="n"/>
      <c r="C807" s="5" t="n"/>
      <c r="D807" s="5" t="n"/>
      <c r="E807" s="5" t="n"/>
      <c r="F807" s="5" t="n"/>
      <c r="G807" s="5" t="n"/>
    </row>
    <row r="808">
      <c r="A808" s="5" t="n"/>
      <c r="B808" s="5" t="n"/>
      <c r="C808" s="5" t="n"/>
      <c r="D808" s="5" t="n"/>
      <c r="E808" s="5" t="n"/>
      <c r="F808" s="5" t="n"/>
      <c r="G808" s="5" t="n"/>
    </row>
    <row r="809">
      <c r="A809" s="5" t="n"/>
      <c r="B809" s="5" t="n"/>
      <c r="C809" s="5" t="n"/>
      <c r="D809" s="5" t="n"/>
      <c r="E809" s="5" t="n"/>
      <c r="F809" s="5" t="n"/>
      <c r="G809" s="5" t="n"/>
    </row>
    <row r="810">
      <c r="A810" s="5" t="n"/>
      <c r="B810" s="5" t="n"/>
      <c r="C810" s="5" t="n"/>
      <c r="D810" s="5" t="n"/>
      <c r="E810" s="5" t="n"/>
      <c r="F810" s="5" t="n"/>
      <c r="G810" s="5" t="n"/>
    </row>
    <row r="811">
      <c r="A811" s="5" t="n"/>
      <c r="B811" s="5" t="n"/>
      <c r="C811" s="5" t="n"/>
      <c r="D811" s="5" t="n"/>
      <c r="E811" s="5" t="n"/>
      <c r="F811" s="5" t="n"/>
      <c r="G811" s="5" t="n"/>
    </row>
    <row r="812">
      <c r="A812" s="5" t="n"/>
      <c r="B812" s="5" t="n"/>
      <c r="C812" s="5" t="n"/>
      <c r="D812" s="5" t="n"/>
      <c r="E812" s="5" t="n"/>
      <c r="F812" s="5" t="n"/>
      <c r="G812" s="5" t="n"/>
    </row>
    <row r="813">
      <c r="A813" s="5" t="n"/>
      <c r="B813" s="5" t="n"/>
      <c r="C813" s="5" t="n"/>
      <c r="D813" s="5" t="n"/>
      <c r="E813" s="5" t="n"/>
      <c r="F813" s="5" t="n"/>
      <c r="G813" s="5" t="n"/>
    </row>
    <row r="814">
      <c r="A814" s="5" t="n"/>
      <c r="B814" s="5" t="n"/>
      <c r="C814" s="5" t="n"/>
      <c r="D814" s="5" t="n"/>
      <c r="E814" s="5" t="n"/>
      <c r="F814" s="5" t="n"/>
      <c r="G814" s="5" t="n"/>
    </row>
    <row r="815">
      <c r="A815" s="5" t="n"/>
      <c r="B815" s="5" t="n"/>
      <c r="C815" s="5" t="n"/>
      <c r="D815" s="5" t="n"/>
      <c r="E815" s="5" t="n"/>
      <c r="F815" s="5" t="n"/>
      <c r="G815" s="5" t="n"/>
    </row>
    <row r="816">
      <c r="A816" s="5" t="n"/>
      <c r="B816" s="5" t="n"/>
      <c r="C816" s="5" t="n"/>
      <c r="D816" s="5" t="n"/>
      <c r="E816" s="5" t="n"/>
      <c r="F816" s="5" t="n"/>
      <c r="G816" s="5" t="n"/>
    </row>
    <row r="817">
      <c r="A817" s="5" t="n"/>
      <c r="B817" s="5" t="n"/>
      <c r="C817" s="5" t="n"/>
      <c r="D817" s="5" t="n"/>
      <c r="E817" s="5" t="n"/>
      <c r="F817" s="5" t="n"/>
      <c r="G817" s="5" t="n"/>
    </row>
    <row r="818">
      <c r="A818" s="5" t="n"/>
      <c r="B818" s="5" t="n"/>
      <c r="C818" s="5" t="n"/>
      <c r="D818" s="5" t="n"/>
      <c r="E818" s="5" t="n"/>
      <c r="F818" s="5" t="n"/>
      <c r="G818" s="5" t="n"/>
    </row>
    <row r="819">
      <c r="A819" s="5" t="n"/>
      <c r="B819" s="5" t="n"/>
      <c r="C819" s="5" t="n"/>
      <c r="D819" s="5" t="n"/>
      <c r="E819" s="5" t="n"/>
      <c r="F819" s="5" t="n"/>
      <c r="G819" s="5" t="n"/>
    </row>
    <row r="820">
      <c r="A820" s="5" t="n"/>
      <c r="B820" s="5" t="n"/>
      <c r="C820" s="5" t="n"/>
      <c r="D820" s="5" t="n"/>
      <c r="E820" s="5" t="n"/>
      <c r="F820" s="5" t="n"/>
      <c r="G820" s="5" t="n"/>
    </row>
    <row r="821">
      <c r="A821" s="5" t="n"/>
      <c r="B821" s="5" t="n"/>
      <c r="C821" s="5" t="n"/>
      <c r="D821" s="5" t="n"/>
      <c r="E821" s="5" t="n"/>
      <c r="F821" s="5" t="n"/>
      <c r="G821" s="5" t="n"/>
    </row>
    <row r="822">
      <c r="A822" s="5" t="n"/>
      <c r="B822" s="5" t="n"/>
      <c r="C822" s="5" t="n"/>
      <c r="D822" s="5" t="n"/>
      <c r="E822" s="5" t="n"/>
      <c r="F822" s="5" t="n"/>
      <c r="G822" s="5" t="n"/>
    </row>
    <row r="823">
      <c r="A823" s="5" t="n"/>
      <c r="B823" s="5" t="n"/>
      <c r="C823" s="5" t="n"/>
      <c r="D823" s="5" t="n"/>
      <c r="E823" s="5" t="n"/>
      <c r="F823" s="5" t="n"/>
      <c r="G823" s="5" t="n"/>
    </row>
    <row r="824">
      <c r="A824" s="5" t="n"/>
      <c r="B824" s="5" t="n"/>
      <c r="C824" s="5" t="n"/>
      <c r="D824" s="5" t="n"/>
      <c r="E824" s="5" t="n"/>
      <c r="F824" s="5" t="n"/>
      <c r="G824" s="5" t="n"/>
    </row>
    <row r="825">
      <c r="A825" s="5" t="n"/>
      <c r="B825" s="5" t="n"/>
      <c r="C825" s="5" t="n"/>
      <c r="D825" s="5" t="n"/>
      <c r="E825" s="5" t="n"/>
      <c r="F825" s="5" t="n"/>
      <c r="G825" s="5" t="n"/>
    </row>
    <row r="826">
      <c r="A826" s="5" t="n"/>
      <c r="B826" s="5" t="n"/>
      <c r="C826" s="5" t="n"/>
      <c r="D826" s="5" t="n"/>
      <c r="E826" s="5" t="n"/>
      <c r="F826" s="5" t="n"/>
      <c r="G826" s="5" t="n"/>
    </row>
    <row r="827">
      <c r="A827" s="5" t="n"/>
      <c r="B827" s="5" t="n"/>
      <c r="C827" s="5" t="n"/>
      <c r="D827" s="5" t="n"/>
      <c r="E827" s="5" t="n"/>
      <c r="F827" s="5" t="n"/>
      <c r="G827" s="5" t="n"/>
    </row>
    <row r="828">
      <c r="A828" s="5" t="n"/>
      <c r="B828" s="5" t="n"/>
      <c r="C828" s="5" t="n"/>
      <c r="D828" s="5" t="n"/>
      <c r="E828" s="5" t="n"/>
      <c r="F828" s="5" t="n"/>
      <c r="G828" s="5" t="n"/>
    </row>
    <row r="829">
      <c r="A829" s="5" t="n"/>
      <c r="B829" s="5" t="n"/>
      <c r="C829" s="5" t="n"/>
      <c r="D829" s="5" t="n"/>
      <c r="E829" s="5" t="n"/>
      <c r="F829" s="5" t="n"/>
      <c r="G829" s="5" t="n"/>
    </row>
    <row r="830">
      <c r="A830" s="5" t="n"/>
      <c r="B830" s="5" t="n"/>
      <c r="C830" s="5" t="n"/>
      <c r="D830" s="5" t="n"/>
      <c r="E830" s="5" t="n"/>
      <c r="F830" s="5" t="n"/>
      <c r="G830" s="5" t="n"/>
    </row>
    <row r="831">
      <c r="A831" s="5" t="n"/>
      <c r="B831" s="5" t="n"/>
      <c r="C831" s="5" t="n"/>
      <c r="D831" s="5" t="n"/>
      <c r="E831" s="5" t="n"/>
      <c r="F831" s="5" t="n"/>
      <c r="G831" s="5" t="n"/>
    </row>
    <row r="832">
      <c r="A832" s="5" t="n"/>
      <c r="B832" s="5" t="n"/>
      <c r="C832" s="5" t="n"/>
      <c r="D832" s="5" t="n"/>
      <c r="E832" s="5" t="n"/>
      <c r="F832" s="5" t="n"/>
      <c r="G832" s="5" t="n"/>
    </row>
    <row r="833">
      <c r="A833" s="5" t="n"/>
      <c r="B833" s="5" t="n"/>
      <c r="C833" s="5" t="n"/>
      <c r="D833" s="5" t="n"/>
      <c r="E833" s="5" t="n"/>
      <c r="F833" s="5" t="n"/>
      <c r="G833" s="5" t="n"/>
    </row>
    <row r="834">
      <c r="A834" s="5" t="n"/>
      <c r="B834" s="5" t="n"/>
      <c r="C834" s="5" t="n"/>
      <c r="D834" s="5" t="n"/>
      <c r="E834" s="5" t="n"/>
      <c r="F834" s="5" t="n"/>
      <c r="G834" s="5" t="n"/>
    </row>
    <row r="835">
      <c r="A835" s="5" t="n"/>
      <c r="B835" s="5" t="n"/>
      <c r="C835" s="5" t="n"/>
      <c r="D835" s="5" t="n"/>
      <c r="E835" s="5" t="n"/>
      <c r="F835" s="5" t="n"/>
      <c r="G835" s="5" t="n"/>
    </row>
    <row r="836">
      <c r="A836" s="5" t="n"/>
      <c r="B836" s="5" t="n"/>
      <c r="C836" s="5" t="n"/>
      <c r="D836" s="5" t="n"/>
      <c r="E836" s="5" t="n"/>
      <c r="F836" s="5" t="n"/>
      <c r="G836" s="5" t="n"/>
    </row>
    <row r="837">
      <c r="A837" s="5" t="n"/>
      <c r="B837" s="5" t="n"/>
      <c r="C837" s="5" t="n"/>
      <c r="D837" s="5" t="n"/>
      <c r="E837" s="5" t="n"/>
      <c r="F837" s="5" t="n"/>
      <c r="G837" s="5" t="n"/>
    </row>
    <row r="838">
      <c r="A838" s="5" t="n"/>
      <c r="B838" s="5" t="n"/>
      <c r="C838" s="5" t="n"/>
      <c r="D838" s="5" t="n"/>
      <c r="E838" s="5" t="n"/>
      <c r="F838" s="5" t="n"/>
      <c r="G838" s="5" t="n"/>
    </row>
    <row r="839">
      <c r="A839" s="5" t="n"/>
      <c r="B839" s="5" t="n"/>
      <c r="C839" s="5" t="n"/>
      <c r="D839" s="5" t="n"/>
      <c r="E839" s="5" t="n"/>
      <c r="F839" s="5" t="n"/>
      <c r="G839" s="5" t="n"/>
    </row>
    <row r="840">
      <c r="A840" s="5" t="n"/>
      <c r="B840" s="5" t="n"/>
      <c r="C840" s="5" t="n"/>
      <c r="D840" s="5" t="n"/>
      <c r="E840" s="5" t="n"/>
      <c r="F840" s="5" t="n"/>
      <c r="G840" s="5" t="n"/>
    </row>
    <row r="841">
      <c r="A841" s="5" t="n"/>
      <c r="B841" s="5" t="n"/>
      <c r="C841" s="5" t="n"/>
      <c r="D841" s="5" t="n"/>
      <c r="E841" s="5" t="n"/>
      <c r="F841" s="5" t="n"/>
      <c r="G841" s="5" t="n"/>
    </row>
    <row r="842">
      <c r="A842" s="5" t="n"/>
      <c r="B842" s="5" t="n"/>
      <c r="C842" s="5" t="n"/>
      <c r="D842" s="5" t="n"/>
      <c r="E842" s="5" t="n"/>
      <c r="F842" s="5" t="n"/>
      <c r="G842" s="5" t="n"/>
    </row>
    <row r="843">
      <c r="A843" s="5" t="n"/>
      <c r="B843" s="5" t="n"/>
      <c r="C843" s="5" t="n"/>
      <c r="D843" s="5" t="n"/>
      <c r="E843" s="5" t="n"/>
      <c r="F843" s="5" t="n"/>
      <c r="G843" s="5" t="n"/>
    </row>
    <row r="844">
      <c r="A844" s="5" t="n"/>
      <c r="B844" s="5" t="n"/>
      <c r="C844" s="5" t="n"/>
      <c r="D844" s="5" t="n"/>
      <c r="E844" s="5" t="n"/>
      <c r="F844" s="5" t="n"/>
      <c r="G844" s="5" t="n"/>
    </row>
    <row r="845">
      <c r="A845" s="5" t="n"/>
      <c r="B845" s="5" t="n"/>
      <c r="C845" s="5" t="n"/>
      <c r="D845" s="5" t="n"/>
      <c r="E845" s="5" t="n"/>
      <c r="F845" s="5" t="n"/>
      <c r="G845" s="5" t="n"/>
    </row>
    <row r="846">
      <c r="A846" s="5" t="n"/>
      <c r="B846" s="5" t="n"/>
      <c r="C846" s="5" t="n"/>
      <c r="D846" s="5" t="n"/>
      <c r="E846" s="5" t="n"/>
      <c r="F846" s="5" t="n"/>
      <c r="G846" s="5" t="n"/>
    </row>
    <row r="847">
      <c r="A847" s="5" t="n"/>
      <c r="B847" s="5" t="n"/>
      <c r="C847" s="5" t="n"/>
      <c r="D847" s="5" t="n"/>
      <c r="E847" s="5" t="n"/>
      <c r="F847" s="5" t="n"/>
      <c r="G847" s="5" t="n"/>
    </row>
    <row r="848">
      <c r="A848" s="5" t="n"/>
      <c r="B848" s="5" t="n"/>
      <c r="C848" s="5" t="n"/>
      <c r="D848" s="5" t="n"/>
      <c r="E848" s="5" t="n"/>
      <c r="F848" s="5" t="n"/>
      <c r="G848" s="5" t="n"/>
    </row>
    <row r="849">
      <c r="A849" s="5" t="n"/>
      <c r="B849" s="5" t="n"/>
      <c r="C849" s="5" t="n"/>
      <c r="D849" s="5" t="n"/>
      <c r="E849" s="5" t="n"/>
      <c r="F849" s="5" t="n"/>
      <c r="G849" s="5" t="n"/>
    </row>
    <row r="850">
      <c r="A850" s="5" t="n"/>
      <c r="B850" s="5" t="n"/>
      <c r="C850" s="5" t="n"/>
      <c r="D850" s="5" t="n"/>
      <c r="E850" s="5" t="n"/>
      <c r="F850" s="5" t="n"/>
      <c r="G850" s="5" t="n"/>
    </row>
    <row r="851">
      <c r="A851" s="5" t="n"/>
      <c r="B851" s="5" t="n"/>
      <c r="C851" s="5" t="n"/>
      <c r="D851" s="5" t="n"/>
      <c r="E851" s="5" t="n"/>
      <c r="F851" s="5" t="n"/>
      <c r="G851" s="5" t="n"/>
    </row>
    <row r="852">
      <c r="A852" s="5" t="n"/>
      <c r="B852" s="5" t="n"/>
      <c r="C852" s="5" t="n"/>
      <c r="D852" s="5" t="n"/>
      <c r="E852" s="5" t="n"/>
      <c r="F852" s="5" t="n"/>
      <c r="G852" s="5" t="n"/>
    </row>
    <row r="853">
      <c r="A853" s="5" t="n"/>
      <c r="B853" s="5" t="n"/>
      <c r="C853" s="5" t="n"/>
      <c r="D853" s="5" t="n"/>
      <c r="E853" s="5" t="n"/>
      <c r="F853" s="5" t="n"/>
      <c r="G853" s="5" t="n"/>
    </row>
    <row r="854">
      <c r="A854" s="5" t="n"/>
      <c r="B854" s="5" t="n"/>
      <c r="C854" s="5" t="n"/>
      <c r="D854" s="5" t="n"/>
      <c r="E854" s="5" t="n"/>
      <c r="F854" s="5" t="n"/>
      <c r="G854" s="5" t="n"/>
    </row>
    <row r="855">
      <c r="A855" s="5" t="n"/>
      <c r="B855" s="5" t="n"/>
      <c r="C855" s="5" t="n"/>
      <c r="D855" s="5" t="n"/>
      <c r="E855" s="5" t="n"/>
      <c r="F855" s="5" t="n"/>
      <c r="G855" s="5" t="n"/>
    </row>
    <row r="856">
      <c r="A856" s="5" t="n"/>
      <c r="B856" s="5" t="n"/>
      <c r="C856" s="5" t="n"/>
      <c r="D856" s="5" t="n"/>
      <c r="E856" s="5" t="n"/>
      <c r="F856" s="5" t="n"/>
      <c r="G856" s="5" t="n"/>
    </row>
    <row r="857">
      <c r="A857" s="5" t="n"/>
      <c r="B857" s="5" t="n"/>
      <c r="C857" s="5" t="n"/>
      <c r="D857" s="5" t="n"/>
      <c r="E857" s="5" t="n"/>
      <c r="F857" s="5" t="n"/>
      <c r="G857" s="5" t="n"/>
    </row>
    <row r="858">
      <c r="A858" s="5" t="n"/>
      <c r="B858" s="5" t="n"/>
      <c r="C858" s="5" t="n"/>
      <c r="D858" s="5" t="n"/>
      <c r="E858" s="5" t="n"/>
      <c r="F858" s="5" t="n"/>
      <c r="G858" s="5" t="n"/>
    </row>
    <row r="859">
      <c r="A859" s="5" t="n"/>
      <c r="B859" s="5" t="n"/>
      <c r="C859" s="5" t="n"/>
      <c r="D859" s="5" t="n"/>
      <c r="E859" s="5" t="n"/>
      <c r="F859" s="5" t="n"/>
      <c r="G859" s="5" t="n"/>
    </row>
    <row r="860">
      <c r="A860" s="5" t="n"/>
      <c r="B860" s="5" t="n"/>
      <c r="C860" s="5" t="n"/>
      <c r="D860" s="5" t="n"/>
      <c r="E860" s="5" t="n"/>
      <c r="F860" s="5" t="n"/>
      <c r="G860" s="5" t="n"/>
    </row>
    <row r="861">
      <c r="A861" s="5" t="n"/>
      <c r="B861" s="5" t="n"/>
      <c r="C861" s="5" t="n"/>
      <c r="D861" s="5" t="n"/>
      <c r="E861" s="5" t="n"/>
      <c r="F861" s="5" t="n"/>
      <c r="G861" s="5" t="n"/>
    </row>
    <row r="862">
      <c r="A862" s="5" t="n"/>
      <c r="B862" s="5" t="n"/>
      <c r="C862" s="5" t="n"/>
      <c r="D862" s="5" t="n"/>
      <c r="E862" s="5" t="n"/>
      <c r="F862" s="5" t="n"/>
      <c r="G862" s="5" t="n"/>
    </row>
    <row r="863">
      <c r="A863" s="5" t="n"/>
      <c r="B863" s="5" t="n"/>
      <c r="C863" s="5" t="n"/>
      <c r="D863" s="5" t="n"/>
      <c r="E863" s="5" t="n"/>
      <c r="F863" s="5" t="n"/>
      <c r="G863" s="5" t="n"/>
    </row>
    <row r="864">
      <c r="A864" s="5" t="n"/>
      <c r="B864" s="5" t="n"/>
      <c r="C864" s="5" t="n"/>
      <c r="D864" s="5" t="n"/>
      <c r="E864" s="5" t="n"/>
      <c r="F864" s="5" t="n"/>
      <c r="G864" s="5" t="n"/>
    </row>
    <row r="865">
      <c r="A865" s="5" t="n"/>
      <c r="B865" s="5" t="n"/>
      <c r="C865" s="5" t="n"/>
      <c r="D865" s="5" t="n"/>
      <c r="E865" s="5" t="n"/>
      <c r="F865" s="5" t="n"/>
      <c r="G865" s="5" t="n"/>
    </row>
    <row r="866">
      <c r="A866" s="5" t="n"/>
      <c r="B866" s="5" t="n"/>
      <c r="C866" s="5" t="n"/>
      <c r="D866" s="5" t="n"/>
      <c r="E866" s="5" t="n"/>
      <c r="F866" s="5" t="n"/>
      <c r="G866" s="5" t="n"/>
    </row>
    <row r="867">
      <c r="A867" s="5" t="n"/>
      <c r="B867" s="5" t="n"/>
      <c r="C867" s="5" t="n"/>
      <c r="D867" s="5" t="n"/>
      <c r="E867" s="5" t="n"/>
      <c r="F867" s="5" t="n"/>
      <c r="G867" s="5" t="n"/>
    </row>
    <row r="868">
      <c r="A868" s="5" t="n"/>
      <c r="B868" s="5" t="n"/>
      <c r="C868" s="5" t="n"/>
      <c r="D868" s="5" t="n"/>
      <c r="E868" s="5" t="n"/>
      <c r="F868" s="5" t="n"/>
      <c r="G868" s="5" t="n"/>
    </row>
    <row r="869">
      <c r="A869" s="5" t="n"/>
      <c r="B869" s="5" t="n"/>
      <c r="C869" s="5" t="n"/>
      <c r="D869" s="5" t="n"/>
      <c r="E869" s="5" t="n"/>
      <c r="F869" s="5" t="n"/>
      <c r="G869" s="5" t="n"/>
    </row>
    <row r="870">
      <c r="A870" s="5" t="n"/>
      <c r="B870" s="5" t="n"/>
      <c r="C870" s="5" t="n"/>
      <c r="D870" s="5" t="n"/>
      <c r="E870" s="5" t="n"/>
      <c r="F870" s="5" t="n"/>
      <c r="G870" s="5" t="n"/>
    </row>
    <row r="871">
      <c r="A871" s="5" t="n"/>
      <c r="B871" s="5" t="n"/>
      <c r="C871" s="5" t="n"/>
      <c r="D871" s="5" t="n"/>
      <c r="E871" s="5" t="n"/>
      <c r="F871" s="5" t="n"/>
      <c r="G871" s="5" t="n"/>
    </row>
    <row r="872">
      <c r="A872" s="5" t="n"/>
      <c r="B872" s="5" t="n"/>
      <c r="C872" s="5" t="n"/>
      <c r="D872" s="5" t="n"/>
      <c r="E872" s="5" t="n"/>
      <c r="F872" s="5" t="n"/>
      <c r="G872" s="5" t="n"/>
    </row>
    <row r="873">
      <c r="A873" s="5" t="n"/>
      <c r="B873" s="5" t="n"/>
      <c r="C873" s="5" t="n"/>
      <c r="D873" s="5" t="n"/>
      <c r="E873" s="5" t="n"/>
      <c r="F873" s="5" t="n"/>
      <c r="G873" s="5" t="n"/>
    </row>
    <row r="874">
      <c r="A874" s="5" t="n"/>
      <c r="B874" s="5" t="n"/>
      <c r="C874" s="5" t="n"/>
      <c r="D874" s="5" t="n"/>
      <c r="E874" s="5" t="n"/>
      <c r="F874" s="5" t="n"/>
      <c r="G874" s="5" t="n"/>
    </row>
    <row r="875">
      <c r="A875" s="5" t="n"/>
      <c r="B875" s="5" t="n"/>
      <c r="C875" s="5" t="n"/>
      <c r="D875" s="5" t="n"/>
      <c r="E875" s="5" t="n"/>
      <c r="F875" s="5" t="n"/>
      <c r="G875" s="5" t="n"/>
    </row>
    <row r="876">
      <c r="A876" s="5" t="n"/>
      <c r="B876" s="5" t="n"/>
      <c r="C876" s="5" t="n"/>
      <c r="D876" s="5" t="n"/>
      <c r="E876" s="5" t="n"/>
      <c r="F876" s="5" t="n"/>
      <c r="G876" s="5" t="n"/>
    </row>
    <row r="877">
      <c r="A877" s="5" t="n"/>
      <c r="B877" s="5" t="n"/>
      <c r="C877" s="5" t="n"/>
      <c r="D877" s="5" t="n"/>
      <c r="E877" s="5" t="n"/>
      <c r="F877" s="5" t="n"/>
      <c r="G877" s="5" t="n"/>
    </row>
    <row r="878">
      <c r="A878" s="5" t="n"/>
      <c r="B878" s="5" t="n"/>
      <c r="C878" s="5" t="n"/>
      <c r="D878" s="5" t="n"/>
      <c r="E878" s="5" t="n"/>
      <c r="F878" s="5" t="n"/>
      <c r="G878" s="5" t="n"/>
    </row>
    <row r="879">
      <c r="A879" s="5" t="n"/>
      <c r="B879" s="5" t="n"/>
      <c r="C879" s="5" t="n"/>
      <c r="D879" s="5" t="n"/>
      <c r="E879" s="5" t="n"/>
      <c r="F879" s="5" t="n"/>
      <c r="G879" s="5" t="n"/>
    </row>
    <row r="880">
      <c r="A880" s="5" t="n"/>
      <c r="B880" s="5" t="n"/>
      <c r="C880" s="5" t="n"/>
      <c r="D880" s="5" t="n"/>
      <c r="E880" s="5" t="n"/>
      <c r="F880" s="5" t="n"/>
      <c r="G880" s="5" t="n"/>
    </row>
    <row r="881">
      <c r="A881" s="5" t="n"/>
      <c r="B881" s="5" t="n"/>
      <c r="C881" s="5" t="n"/>
      <c r="D881" s="5" t="n"/>
      <c r="E881" s="5" t="n"/>
      <c r="F881" s="5" t="n"/>
      <c r="G881" s="5" t="n"/>
    </row>
    <row r="882">
      <c r="A882" s="5" t="n"/>
      <c r="B882" s="5" t="n"/>
      <c r="C882" s="5" t="n"/>
      <c r="D882" s="5" t="n"/>
      <c r="E882" s="5" t="n"/>
      <c r="F882" s="5" t="n"/>
      <c r="G882" s="5" t="n"/>
    </row>
    <row r="883">
      <c r="A883" s="5" t="n"/>
      <c r="B883" s="5" t="n"/>
      <c r="C883" s="5" t="n"/>
      <c r="D883" s="5" t="n"/>
      <c r="E883" s="5" t="n"/>
      <c r="F883" s="5" t="n"/>
      <c r="G883" s="5" t="n"/>
    </row>
    <row r="884">
      <c r="A884" s="5" t="n"/>
      <c r="B884" s="5" t="n"/>
      <c r="C884" s="5" t="n"/>
      <c r="D884" s="5" t="n"/>
      <c r="E884" s="5" t="n"/>
      <c r="F884" s="5" t="n"/>
      <c r="G884" s="5" t="n"/>
    </row>
    <row r="885">
      <c r="A885" s="5" t="n"/>
      <c r="B885" s="5" t="n"/>
      <c r="C885" s="5" t="n"/>
      <c r="D885" s="5" t="n"/>
      <c r="E885" s="5" t="n"/>
      <c r="F885" s="5" t="n"/>
      <c r="G885" s="5" t="n"/>
    </row>
    <row r="886">
      <c r="A886" s="5" t="n"/>
      <c r="B886" s="5" t="n"/>
      <c r="C886" s="5" t="n"/>
      <c r="D886" s="5" t="n"/>
      <c r="E886" s="5" t="n"/>
      <c r="F886" s="5" t="n"/>
      <c r="G886" s="5" t="n"/>
    </row>
    <row r="887">
      <c r="A887" s="5" t="n"/>
      <c r="B887" s="5" t="n"/>
      <c r="C887" s="5" t="n"/>
      <c r="D887" s="5" t="n"/>
      <c r="E887" s="5" t="n"/>
      <c r="F887" s="5" t="n"/>
      <c r="G887" s="5" t="n"/>
    </row>
    <row r="888">
      <c r="A888" s="5" t="n"/>
      <c r="B888" s="5" t="n"/>
      <c r="C888" s="5" t="n"/>
      <c r="D888" s="5" t="n"/>
      <c r="E888" s="5" t="n"/>
      <c r="F888" s="5" t="n"/>
      <c r="G888" s="5" t="n"/>
    </row>
    <row r="889">
      <c r="A889" s="5" t="n"/>
      <c r="B889" s="5" t="n"/>
      <c r="C889" s="5" t="n"/>
      <c r="D889" s="5" t="n"/>
      <c r="E889" s="5" t="n"/>
      <c r="F889" s="5" t="n"/>
      <c r="G889" s="5" t="n"/>
    </row>
    <row r="890">
      <c r="A890" s="5" t="n"/>
      <c r="B890" s="5" t="n"/>
      <c r="C890" s="5" t="n"/>
      <c r="D890" s="5" t="n"/>
      <c r="E890" s="5" t="n"/>
      <c r="F890" s="5" t="n"/>
      <c r="G890" s="5" t="n"/>
    </row>
    <row r="891">
      <c r="A891" s="5" t="n"/>
      <c r="B891" s="5" t="n"/>
      <c r="C891" s="5" t="n"/>
      <c r="D891" s="5" t="n"/>
      <c r="E891" s="5" t="n"/>
      <c r="F891" s="5" t="n"/>
      <c r="G891" s="5" t="n"/>
    </row>
    <row r="892">
      <c r="A892" s="5" t="n"/>
      <c r="B892" s="5" t="n"/>
      <c r="C892" s="5" t="n"/>
      <c r="D892" s="5" t="n"/>
      <c r="E892" s="5" t="n"/>
      <c r="F892" s="5" t="n"/>
      <c r="G892" s="5" t="n"/>
    </row>
    <row r="893">
      <c r="A893" s="5" t="n"/>
      <c r="B893" s="5" t="n"/>
      <c r="C893" s="5" t="n"/>
      <c r="D893" s="5" t="n"/>
      <c r="E893" s="5" t="n"/>
      <c r="F893" s="5" t="n"/>
      <c r="G893" s="5" t="n"/>
    </row>
    <row r="894">
      <c r="A894" s="5" t="n"/>
      <c r="B894" s="5" t="n"/>
      <c r="C894" s="5" t="n"/>
      <c r="D894" s="5" t="n"/>
      <c r="E894" s="5" t="n"/>
      <c r="F894" s="5" t="n"/>
      <c r="G894" s="5" t="n"/>
    </row>
    <row r="895">
      <c r="A895" s="5" t="n"/>
      <c r="B895" s="5" t="n"/>
      <c r="C895" s="5" t="n"/>
      <c r="D895" s="5" t="n"/>
      <c r="E895" s="5" t="n"/>
      <c r="F895" s="5" t="n"/>
      <c r="G895" s="5" t="n"/>
    </row>
    <row r="896">
      <c r="A896" s="5" t="n"/>
      <c r="B896" s="5" t="n"/>
      <c r="C896" s="5" t="n"/>
      <c r="D896" s="5" t="n"/>
      <c r="E896" s="5" t="n"/>
      <c r="F896" s="5" t="n"/>
      <c r="G896" s="5" t="n"/>
    </row>
    <row r="897">
      <c r="A897" s="5" t="n"/>
      <c r="B897" s="5" t="n"/>
      <c r="C897" s="5" t="n"/>
      <c r="D897" s="5" t="n"/>
      <c r="E897" s="5" t="n"/>
      <c r="F897" s="5" t="n"/>
      <c r="G897" s="5" t="n"/>
    </row>
    <row r="898">
      <c r="A898" s="5" t="n"/>
      <c r="B898" s="5" t="n"/>
      <c r="C898" s="5" t="n"/>
      <c r="D898" s="5" t="n"/>
      <c r="E898" s="5" t="n"/>
      <c r="F898" s="5" t="n"/>
      <c r="G898" s="5" t="n"/>
    </row>
    <row r="899">
      <c r="A899" s="5" t="n"/>
      <c r="B899" s="5" t="n"/>
      <c r="C899" s="5" t="n"/>
      <c r="D899" s="5" t="n"/>
      <c r="E899" s="5" t="n"/>
      <c r="F899" s="5" t="n"/>
      <c r="G899" s="5" t="n"/>
    </row>
    <row r="900">
      <c r="A900" s="5" t="n"/>
      <c r="B900" s="5" t="n"/>
      <c r="C900" s="5" t="n"/>
      <c r="D900" s="5" t="n"/>
      <c r="E900" s="5" t="n"/>
      <c r="F900" s="5" t="n"/>
      <c r="G900" s="5" t="n"/>
    </row>
    <row r="901">
      <c r="A901" s="5" t="n"/>
      <c r="B901" s="5" t="n"/>
      <c r="C901" s="5" t="n"/>
      <c r="D901" s="5" t="n"/>
      <c r="E901" s="5" t="n"/>
      <c r="F901" s="5" t="n"/>
      <c r="G901" s="5" t="n"/>
    </row>
    <row r="902">
      <c r="A902" s="5" t="n"/>
      <c r="B902" s="5" t="n"/>
      <c r="C902" s="5" t="n"/>
      <c r="D902" s="5" t="n"/>
      <c r="E902" s="5" t="n"/>
      <c r="F902" s="5" t="n"/>
      <c r="G902" s="5" t="n"/>
    </row>
    <row r="903">
      <c r="A903" s="5" t="n"/>
      <c r="B903" s="5" t="n"/>
      <c r="C903" s="5" t="n"/>
      <c r="D903" s="5" t="n"/>
      <c r="E903" s="5" t="n"/>
      <c r="F903" s="5" t="n"/>
      <c r="G903" s="5" t="n"/>
    </row>
    <row r="904">
      <c r="A904" s="5" t="n"/>
      <c r="B904" s="5" t="n"/>
      <c r="C904" s="5" t="n"/>
      <c r="D904" s="5" t="n"/>
      <c r="E904" s="5" t="n"/>
      <c r="F904" s="5" t="n"/>
      <c r="G904" s="5" t="n"/>
    </row>
    <row r="905">
      <c r="A905" s="5" t="n"/>
      <c r="B905" s="5" t="n"/>
      <c r="C905" s="5" t="n"/>
      <c r="D905" s="5" t="n"/>
      <c r="E905" s="5" t="n"/>
      <c r="F905" s="5" t="n"/>
      <c r="G905" s="5" t="n"/>
    </row>
    <row r="906">
      <c r="A906" s="5" t="n"/>
      <c r="B906" s="5" t="n"/>
      <c r="C906" s="5" t="n"/>
      <c r="D906" s="5" t="n"/>
      <c r="E906" s="5" t="n"/>
      <c r="F906" s="5" t="n"/>
      <c r="G906" s="5" t="n"/>
    </row>
    <row r="907">
      <c r="A907" s="5" t="n"/>
      <c r="B907" s="5" t="n"/>
      <c r="C907" s="5" t="n"/>
      <c r="D907" s="5" t="n"/>
      <c r="E907" s="5" t="n"/>
      <c r="F907" s="5" t="n"/>
      <c r="G907" s="5" t="n"/>
    </row>
    <row r="908">
      <c r="A908" s="5" t="n"/>
      <c r="B908" s="5" t="n"/>
      <c r="C908" s="5" t="n"/>
      <c r="D908" s="5" t="n"/>
      <c r="E908" s="5" t="n"/>
      <c r="F908" s="5" t="n"/>
      <c r="G908" s="5" t="n"/>
    </row>
    <row r="909">
      <c r="A909" s="5" t="n"/>
      <c r="B909" s="5" t="n"/>
      <c r="C909" s="5" t="n"/>
      <c r="D909" s="5" t="n"/>
      <c r="E909" s="5" t="n"/>
      <c r="F909" s="5" t="n"/>
      <c r="G909" s="5" t="n"/>
    </row>
    <row r="910">
      <c r="A910" s="5" t="n"/>
      <c r="B910" s="5" t="n"/>
      <c r="C910" s="5" t="n"/>
      <c r="D910" s="5" t="n"/>
      <c r="E910" s="5" t="n"/>
      <c r="F910" s="5" t="n"/>
      <c r="G910" s="5" t="n"/>
    </row>
    <row r="911">
      <c r="A911" s="5" t="n"/>
      <c r="B911" s="5" t="n"/>
      <c r="C911" s="5" t="n"/>
      <c r="D911" s="5" t="n"/>
      <c r="E911" s="5" t="n"/>
      <c r="F911" s="5" t="n"/>
      <c r="G911" s="5" t="n"/>
    </row>
    <row r="912">
      <c r="A912" s="5" t="n"/>
      <c r="B912" s="5" t="n"/>
      <c r="C912" s="5" t="n"/>
      <c r="D912" s="5" t="n"/>
      <c r="E912" s="5" t="n"/>
      <c r="F912" s="5" t="n"/>
      <c r="G912" s="5" t="n"/>
    </row>
    <row r="913">
      <c r="A913" s="5" t="n"/>
      <c r="B913" s="5" t="n"/>
      <c r="C913" s="5" t="n"/>
      <c r="D913" s="5" t="n"/>
      <c r="E913" s="5" t="n"/>
      <c r="F913" s="5" t="n"/>
      <c r="G913" s="5" t="n"/>
    </row>
    <row r="914">
      <c r="A914" s="5" t="n"/>
      <c r="B914" s="5" t="n"/>
      <c r="C914" s="5" t="n"/>
      <c r="D914" s="5" t="n"/>
      <c r="E914" s="5" t="n"/>
      <c r="F914" s="5" t="n"/>
      <c r="G914" s="5" t="n"/>
    </row>
    <row r="915">
      <c r="A915" s="5" t="n"/>
      <c r="B915" s="5" t="n"/>
      <c r="C915" s="5" t="n"/>
      <c r="D915" s="5" t="n"/>
      <c r="E915" s="5" t="n"/>
      <c r="F915" s="5" t="n"/>
      <c r="G915" s="5" t="n"/>
    </row>
    <row r="916">
      <c r="A916" s="5" t="n"/>
      <c r="B916" s="5" t="n"/>
      <c r="C916" s="5" t="n"/>
      <c r="D916" s="5" t="n"/>
      <c r="E916" s="5" t="n"/>
      <c r="F916" s="5" t="n"/>
      <c r="G916" s="5" t="n"/>
    </row>
    <row r="917">
      <c r="A917" s="5" t="n"/>
      <c r="B917" s="5" t="n"/>
      <c r="C917" s="5" t="n"/>
      <c r="D917" s="5" t="n"/>
      <c r="E917" s="5" t="n"/>
      <c r="F917" s="5" t="n"/>
      <c r="G917" s="5" t="n"/>
    </row>
    <row r="918">
      <c r="A918" s="5" t="n"/>
      <c r="B918" s="5" t="n"/>
      <c r="C918" s="5" t="n"/>
      <c r="D918" s="5" t="n"/>
      <c r="E918" s="5" t="n"/>
      <c r="F918" s="5" t="n"/>
      <c r="G918" s="5" t="n"/>
    </row>
    <row r="919">
      <c r="A919" s="5" t="n"/>
      <c r="B919" s="5" t="n"/>
      <c r="C919" s="5" t="n"/>
      <c r="D919" s="5" t="n"/>
      <c r="E919" s="5" t="n"/>
      <c r="F919" s="5" t="n"/>
      <c r="G919" s="5" t="n"/>
    </row>
    <row r="920">
      <c r="A920" s="5" t="n"/>
      <c r="B920" s="5" t="n"/>
      <c r="C920" s="5" t="n"/>
      <c r="D920" s="5" t="n"/>
      <c r="E920" s="5" t="n"/>
      <c r="F920" s="5" t="n"/>
      <c r="G920" s="5" t="n"/>
    </row>
    <row r="921">
      <c r="A921" s="5" t="n"/>
      <c r="B921" s="5" t="n"/>
      <c r="C921" s="5" t="n"/>
      <c r="D921" s="5" t="n"/>
      <c r="E921" s="5" t="n"/>
      <c r="F921" s="5" t="n"/>
      <c r="G921" s="5" t="n"/>
    </row>
    <row r="922">
      <c r="A922" s="5" t="n"/>
      <c r="B922" s="5" t="n"/>
      <c r="C922" s="5" t="n"/>
      <c r="D922" s="5" t="n"/>
      <c r="E922" s="5" t="n"/>
      <c r="F922" s="5" t="n"/>
      <c r="G922" s="5" t="n"/>
    </row>
    <row r="923">
      <c r="A923" s="5" t="n"/>
      <c r="B923" s="5" t="n"/>
      <c r="C923" s="5" t="n"/>
      <c r="D923" s="5" t="n"/>
      <c r="E923" s="5" t="n"/>
      <c r="F923" s="5" t="n"/>
      <c r="G923" s="5" t="n"/>
    </row>
    <row r="924">
      <c r="A924" s="5" t="n"/>
      <c r="B924" s="5" t="n"/>
      <c r="C924" s="5" t="n"/>
      <c r="D924" s="5" t="n"/>
      <c r="E924" s="5" t="n"/>
      <c r="F924" s="5" t="n"/>
      <c r="G924" s="5" t="n"/>
    </row>
    <row r="925">
      <c r="A925" s="5" t="n"/>
      <c r="B925" s="5" t="n"/>
      <c r="C925" s="5" t="n"/>
      <c r="D925" s="5" t="n"/>
      <c r="E925" s="5" t="n"/>
      <c r="F925" s="5" t="n"/>
      <c r="G925" s="5" t="n"/>
    </row>
    <row r="926">
      <c r="A926" s="5" t="n"/>
      <c r="B926" s="5" t="n"/>
      <c r="C926" s="5" t="n"/>
      <c r="D926" s="5" t="n"/>
      <c r="E926" s="5" t="n"/>
      <c r="F926" s="5" t="n"/>
      <c r="G926" s="5" t="n"/>
    </row>
    <row r="927">
      <c r="A927" s="5" t="n"/>
      <c r="B927" s="5" t="n"/>
      <c r="C927" s="5" t="n"/>
      <c r="D927" s="5" t="n"/>
      <c r="E927" s="5" t="n"/>
      <c r="F927" s="5" t="n"/>
      <c r="G927" s="5" t="n"/>
    </row>
    <row r="928">
      <c r="A928" s="5" t="n"/>
      <c r="B928" s="5" t="n"/>
      <c r="C928" s="5" t="n"/>
      <c r="D928" s="5" t="n"/>
      <c r="E928" s="5" t="n"/>
      <c r="F928" s="5" t="n"/>
      <c r="G928" s="5" t="n"/>
    </row>
    <row r="929">
      <c r="A929" s="5" t="n"/>
      <c r="B929" s="5" t="n"/>
      <c r="C929" s="5" t="n"/>
      <c r="D929" s="5" t="n"/>
      <c r="E929" s="5" t="n"/>
      <c r="F929" s="5" t="n"/>
      <c r="G929" s="5" t="n"/>
    </row>
    <row r="930">
      <c r="A930" s="5" t="n"/>
      <c r="B930" s="5" t="n"/>
      <c r="C930" s="5" t="n"/>
      <c r="D930" s="5" t="n"/>
      <c r="E930" s="5" t="n"/>
      <c r="F930" s="5" t="n"/>
      <c r="G930" s="5" t="n"/>
    </row>
    <row r="931">
      <c r="A931" s="5" t="n"/>
      <c r="B931" s="5" t="n"/>
      <c r="C931" s="5" t="n"/>
      <c r="D931" s="5" t="n"/>
      <c r="E931" s="5" t="n"/>
      <c r="F931" s="5" t="n"/>
      <c r="G931" s="5" t="n"/>
    </row>
    <row r="932">
      <c r="A932" s="5" t="n"/>
      <c r="B932" s="5" t="n"/>
      <c r="C932" s="5" t="n"/>
      <c r="D932" s="5" t="n"/>
      <c r="E932" s="5" t="n"/>
      <c r="F932" s="5" t="n"/>
      <c r="G932" s="5" t="n"/>
    </row>
    <row r="933">
      <c r="A933" s="5" t="n"/>
      <c r="B933" s="5" t="n"/>
      <c r="C933" s="5" t="n"/>
      <c r="D933" s="5" t="n"/>
      <c r="E933" s="5" t="n"/>
      <c r="F933" s="5" t="n"/>
      <c r="G933" s="5" t="n"/>
    </row>
    <row r="934">
      <c r="A934" s="5" t="n"/>
      <c r="B934" s="5" t="n"/>
      <c r="C934" s="5" t="n"/>
      <c r="D934" s="5" t="n"/>
      <c r="E934" s="5" t="n"/>
      <c r="F934" s="5" t="n"/>
      <c r="G934" s="5" t="n"/>
    </row>
    <row r="935">
      <c r="A935" s="5" t="n"/>
      <c r="B935" s="5" t="n"/>
      <c r="C935" s="5" t="n"/>
      <c r="D935" s="5" t="n"/>
      <c r="E935" s="5" t="n"/>
      <c r="F935" s="5" t="n"/>
      <c r="G935" s="5" t="n"/>
    </row>
    <row r="936">
      <c r="A936" s="5" t="n"/>
      <c r="B936" s="5" t="n"/>
      <c r="C936" s="5" t="n"/>
      <c r="D936" s="5" t="n"/>
      <c r="E936" s="5" t="n"/>
      <c r="F936" s="5" t="n"/>
      <c r="G936" s="5" t="n"/>
    </row>
    <row r="937">
      <c r="A937" s="5" t="n"/>
      <c r="B937" s="5" t="n"/>
      <c r="C937" s="5" t="n"/>
      <c r="D937" s="5" t="n"/>
      <c r="E937" s="5" t="n"/>
      <c r="F937" s="5" t="n"/>
      <c r="G937" s="5" t="n"/>
    </row>
    <row r="938">
      <c r="A938" s="5" t="n"/>
      <c r="B938" s="5" t="n"/>
      <c r="C938" s="5" t="n"/>
      <c r="D938" s="5" t="n"/>
      <c r="E938" s="5" t="n"/>
      <c r="F938" s="5" t="n"/>
      <c r="G938" s="5" t="n"/>
    </row>
    <row r="939">
      <c r="A939" s="5" t="n"/>
      <c r="B939" s="5" t="n"/>
      <c r="C939" s="5" t="n"/>
      <c r="D939" s="5" t="n"/>
      <c r="E939" s="5" t="n"/>
      <c r="F939" s="5" t="n"/>
      <c r="G939" s="5" t="n"/>
    </row>
    <row r="940">
      <c r="A940" s="5" t="n"/>
      <c r="B940" s="5" t="n"/>
      <c r="C940" s="5" t="n"/>
      <c r="D940" s="5" t="n"/>
      <c r="E940" s="5" t="n"/>
      <c r="F940" s="5" t="n"/>
      <c r="G940" s="5" t="n"/>
    </row>
    <row r="941">
      <c r="A941" s="5" t="n"/>
      <c r="B941" s="5" t="n"/>
      <c r="C941" s="5" t="n"/>
      <c r="D941" s="5" t="n"/>
      <c r="E941" s="5" t="n"/>
      <c r="F941" s="5" t="n"/>
      <c r="G941" s="5" t="n"/>
    </row>
    <row r="942">
      <c r="A942" s="5" t="n"/>
      <c r="B942" s="5" t="n"/>
      <c r="C942" s="5" t="n"/>
      <c r="D942" s="5" t="n"/>
      <c r="E942" s="5" t="n"/>
      <c r="F942" s="5" t="n"/>
      <c r="G942" s="5" t="n"/>
    </row>
    <row r="943">
      <c r="A943" s="5" t="n"/>
      <c r="B943" s="5" t="n"/>
      <c r="C943" s="5" t="n"/>
      <c r="D943" s="5" t="n"/>
      <c r="E943" s="5" t="n"/>
      <c r="F943" s="5" t="n"/>
      <c r="G943" s="5" t="n"/>
    </row>
    <row r="944">
      <c r="A944" s="5" t="n"/>
      <c r="B944" s="5" t="n"/>
      <c r="C944" s="5" t="n"/>
      <c r="D944" s="5" t="n"/>
      <c r="E944" s="5" t="n"/>
      <c r="F944" s="5" t="n"/>
      <c r="G944" s="5" t="n"/>
    </row>
    <row r="945">
      <c r="A945" s="5" t="n"/>
      <c r="B945" s="5" t="n"/>
      <c r="C945" s="5" t="n"/>
      <c r="D945" s="5" t="n"/>
      <c r="E945" s="5" t="n"/>
      <c r="F945" s="5" t="n"/>
      <c r="G945" s="5" t="n"/>
    </row>
    <row r="946">
      <c r="A946" s="5" t="n"/>
      <c r="B946" s="5" t="n"/>
      <c r="C946" s="5" t="n"/>
      <c r="D946" s="5" t="n"/>
      <c r="E946" s="5" t="n"/>
      <c r="F946" s="5" t="n"/>
      <c r="G946" s="5" t="n"/>
    </row>
    <row r="947">
      <c r="A947" s="5" t="n"/>
      <c r="B947" s="5" t="n"/>
      <c r="C947" s="5" t="n"/>
      <c r="D947" s="5" t="n"/>
      <c r="E947" s="5" t="n"/>
      <c r="F947" s="5" t="n"/>
      <c r="G947" s="5" t="n"/>
    </row>
    <row r="948">
      <c r="A948" s="5" t="n"/>
      <c r="B948" s="5" t="n"/>
      <c r="C948" s="5" t="n"/>
      <c r="D948" s="5" t="n"/>
      <c r="E948" s="5" t="n"/>
      <c r="F948" s="5" t="n"/>
      <c r="G948" s="5" t="n"/>
    </row>
    <row r="949">
      <c r="A949" s="5" t="n"/>
      <c r="B949" s="5" t="n"/>
      <c r="C949" s="5" t="n"/>
      <c r="D949" s="5" t="n"/>
      <c r="E949" s="5" t="n"/>
      <c r="F949" s="5" t="n"/>
      <c r="G949" s="5" t="n"/>
    </row>
    <row r="950">
      <c r="A950" s="5" t="n"/>
      <c r="B950" s="5" t="n"/>
      <c r="C950" s="5" t="n"/>
      <c r="D950" s="5" t="n"/>
      <c r="E950" s="5" t="n"/>
      <c r="F950" s="5" t="n"/>
      <c r="G950" s="5" t="n"/>
    </row>
    <row r="951">
      <c r="A951" s="5" t="n"/>
      <c r="B951" s="5" t="n"/>
      <c r="C951" s="5" t="n"/>
      <c r="D951" s="5" t="n"/>
      <c r="E951" s="5" t="n"/>
      <c r="F951" s="5" t="n"/>
      <c r="G951" s="5" t="n"/>
    </row>
    <row r="952">
      <c r="A952" s="5" t="n"/>
      <c r="B952" s="5" t="n"/>
      <c r="C952" s="5" t="n"/>
      <c r="D952" s="5" t="n"/>
      <c r="E952" s="5" t="n"/>
      <c r="F952" s="5" t="n"/>
      <c r="G952" s="5" t="n"/>
    </row>
    <row r="953">
      <c r="A953" s="5" t="n"/>
      <c r="B953" s="5" t="n"/>
      <c r="C953" s="5" t="n"/>
      <c r="D953" s="5" t="n"/>
      <c r="E953" s="5" t="n"/>
      <c r="F953" s="5" t="n"/>
      <c r="G953" s="5" t="n"/>
    </row>
    <row r="954">
      <c r="A954" s="5" t="n"/>
      <c r="B954" s="5" t="n"/>
      <c r="C954" s="5" t="n"/>
      <c r="D954" s="5" t="n"/>
      <c r="E954" s="5" t="n"/>
      <c r="F954" s="5" t="n"/>
      <c r="G954" s="5" t="n"/>
    </row>
    <row r="955">
      <c r="A955" s="5" t="n"/>
      <c r="B955" s="5" t="n"/>
      <c r="C955" s="5" t="n"/>
      <c r="D955" s="5" t="n"/>
      <c r="E955" s="5" t="n"/>
      <c r="F955" s="5" t="n"/>
      <c r="G955" s="5" t="n"/>
    </row>
    <row r="956">
      <c r="A956" s="5" t="n"/>
      <c r="B956" s="5" t="n"/>
      <c r="C956" s="5" t="n"/>
      <c r="D956" s="5" t="n"/>
      <c r="E956" s="5" t="n"/>
      <c r="F956" s="5" t="n"/>
      <c r="G956" s="5" t="n"/>
    </row>
    <row r="957">
      <c r="A957" s="5" t="n"/>
      <c r="B957" s="5" t="n"/>
      <c r="C957" s="5" t="n"/>
      <c r="D957" s="5" t="n"/>
      <c r="E957" s="5" t="n"/>
      <c r="F957" s="5" t="n"/>
      <c r="G957" s="5" t="n"/>
    </row>
    <row r="958">
      <c r="A958" s="5" t="n"/>
      <c r="B958" s="5" t="n"/>
      <c r="C958" s="5" t="n"/>
      <c r="D958" s="5" t="n"/>
      <c r="E958" s="5" t="n"/>
      <c r="F958" s="5" t="n"/>
      <c r="G958" s="5" t="n"/>
    </row>
    <row r="959">
      <c r="A959" s="5" t="n"/>
      <c r="B959" s="5" t="n"/>
      <c r="C959" s="5" t="n"/>
      <c r="D959" s="5" t="n"/>
      <c r="E959" s="5" t="n"/>
      <c r="F959" s="5" t="n"/>
      <c r="G959" s="5" t="n"/>
    </row>
    <row r="960">
      <c r="A960" s="5" t="n"/>
      <c r="B960" s="5" t="n"/>
      <c r="C960" s="5" t="n"/>
      <c r="D960" s="5" t="n"/>
      <c r="E960" s="5" t="n"/>
      <c r="F960" s="5" t="n"/>
      <c r="G960" s="5" t="n"/>
    </row>
    <row r="961">
      <c r="A961" s="5" t="n"/>
      <c r="B961" s="5" t="n"/>
      <c r="C961" s="5" t="n"/>
      <c r="D961" s="5" t="n"/>
      <c r="E961" s="5" t="n"/>
      <c r="F961" s="5" t="n"/>
      <c r="G961" s="5" t="n"/>
    </row>
    <row r="962">
      <c r="A962" s="5" t="n"/>
      <c r="B962" s="5" t="n"/>
      <c r="C962" s="5" t="n"/>
      <c r="D962" s="5" t="n"/>
      <c r="E962" s="5" t="n"/>
      <c r="F962" s="5" t="n"/>
      <c r="G962" s="5" t="n"/>
    </row>
    <row r="963">
      <c r="A963" s="5" t="n"/>
      <c r="B963" s="5" t="n"/>
      <c r="C963" s="5" t="n"/>
      <c r="D963" s="5" t="n"/>
      <c r="E963" s="5" t="n"/>
      <c r="F963" s="5" t="n"/>
      <c r="G963" s="5" t="n"/>
    </row>
    <row r="964">
      <c r="A964" s="5" t="n"/>
      <c r="B964" s="5" t="n"/>
      <c r="C964" s="5" t="n"/>
      <c r="D964" s="5" t="n"/>
      <c r="E964" s="5" t="n"/>
      <c r="F964" s="5" t="n"/>
      <c r="G964" s="5" t="n"/>
    </row>
    <row r="965">
      <c r="A965" s="5" t="n"/>
      <c r="B965" s="5" t="n"/>
      <c r="C965" s="5" t="n"/>
      <c r="D965" s="5" t="n"/>
      <c r="E965" s="5" t="n"/>
      <c r="F965" s="5" t="n"/>
      <c r="G965" s="5" t="n"/>
    </row>
    <row r="966">
      <c r="A966" s="5" t="n"/>
      <c r="B966" s="5" t="n"/>
      <c r="C966" s="5" t="n"/>
      <c r="D966" s="5" t="n"/>
      <c r="E966" s="5" t="n"/>
      <c r="F966" s="5" t="n"/>
      <c r="G966" s="5" t="n"/>
    </row>
    <row r="967">
      <c r="A967" s="5" t="n"/>
      <c r="B967" s="5" t="n"/>
      <c r="C967" s="5" t="n"/>
      <c r="D967" s="5" t="n"/>
      <c r="E967" s="5" t="n"/>
      <c r="F967" s="5" t="n"/>
      <c r="G967" s="5" t="n"/>
    </row>
    <row r="968">
      <c r="A968" s="5" t="n"/>
      <c r="B968" s="5" t="n"/>
      <c r="C968" s="5" t="n"/>
      <c r="D968" s="5" t="n"/>
      <c r="E968" s="5" t="n"/>
      <c r="F968" s="5" t="n"/>
      <c r="G968" s="5" t="n"/>
    </row>
    <row r="969">
      <c r="A969" s="5" t="n"/>
      <c r="B969" s="5" t="n"/>
      <c r="C969" s="5" t="n"/>
      <c r="D969" s="5" t="n"/>
      <c r="E969" s="5" t="n"/>
      <c r="F969" s="5" t="n"/>
      <c r="G969" s="5" t="n"/>
    </row>
    <row r="970">
      <c r="A970" s="5" t="n"/>
      <c r="B970" s="5" t="n"/>
      <c r="C970" s="5" t="n"/>
      <c r="D970" s="5" t="n"/>
      <c r="E970" s="5" t="n"/>
      <c r="F970" s="5" t="n"/>
      <c r="G970" s="5" t="n"/>
    </row>
    <row r="971">
      <c r="A971" s="5" t="n"/>
      <c r="B971" s="5" t="n"/>
      <c r="C971" s="5" t="n"/>
      <c r="D971" s="5" t="n"/>
      <c r="E971" s="5" t="n"/>
      <c r="F971" s="5" t="n"/>
      <c r="G971" s="5" t="n"/>
    </row>
    <row r="972">
      <c r="A972" s="5" t="n"/>
      <c r="B972" s="5" t="n"/>
      <c r="C972" s="5" t="n"/>
      <c r="D972" s="5" t="n"/>
      <c r="E972" s="5" t="n"/>
      <c r="F972" s="5" t="n"/>
      <c r="G972" s="5" t="n"/>
    </row>
    <row r="973">
      <c r="A973" s="5" t="n"/>
      <c r="B973" s="5" t="n"/>
      <c r="C973" s="5" t="n"/>
      <c r="D973" s="5" t="n"/>
      <c r="E973" s="5" t="n"/>
      <c r="F973" s="5" t="n"/>
      <c r="G973" s="5" t="n"/>
    </row>
    <row r="974">
      <c r="A974" s="5" t="n"/>
      <c r="B974" s="5" t="n"/>
      <c r="C974" s="5" t="n"/>
      <c r="D974" s="5" t="n"/>
      <c r="E974" s="5" t="n"/>
      <c r="F974" s="5" t="n"/>
      <c r="G974" s="5" t="n"/>
    </row>
    <row r="975">
      <c r="A975" s="5" t="n"/>
      <c r="B975" s="5" t="n"/>
      <c r="C975" s="5" t="n"/>
      <c r="D975" s="5" t="n"/>
      <c r="E975" s="5" t="n"/>
      <c r="F975" s="5" t="n"/>
      <c r="G975" s="5" t="n"/>
    </row>
    <row r="976">
      <c r="A976" s="5" t="n"/>
      <c r="B976" s="5" t="n"/>
      <c r="C976" s="5" t="n"/>
      <c r="D976" s="5" t="n"/>
      <c r="E976" s="5" t="n"/>
      <c r="F976" s="5" t="n"/>
      <c r="G976" s="5" t="n"/>
    </row>
    <row r="977">
      <c r="A977" s="5" t="n"/>
      <c r="B977" s="5" t="n"/>
      <c r="C977" s="5" t="n"/>
      <c r="D977" s="5" t="n"/>
      <c r="E977" s="5" t="n"/>
      <c r="F977" s="5" t="n"/>
      <c r="G977" s="5" t="n"/>
    </row>
    <row r="978">
      <c r="A978" s="5" t="n"/>
      <c r="B978" s="5" t="n"/>
      <c r="C978" s="5" t="n"/>
      <c r="D978" s="5" t="n"/>
      <c r="E978" s="5" t="n"/>
      <c r="F978" s="5" t="n"/>
      <c r="G978" s="5" t="n"/>
    </row>
    <row r="979">
      <c r="A979" s="5" t="n"/>
      <c r="B979" s="5" t="n"/>
      <c r="C979" s="5" t="n"/>
      <c r="D979" s="5" t="n"/>
      <c r="E979" s="5" t="n"/>
      <c r="F979" s="5" t="n"/>
      <c r="G979" s="5" t="n"/>
    </row>
    <row r="980">
      <c r="A980" s="5" t="n"/>
      <c r="B980" s="5" t="n"/>
      <c r="C980" s="5" t="n"/>
      <c r="D980" s="5" t="n"/>
      <c r="E980" s="5" t="n"/>
      <c r="F980" s="5" t="n"/>
      <c r="G980" s="5" t="n"/>
    </row>
    <row r="981">
      <c r="A981" s="5" t="n"/>
      <c r="B981" s="5" t="n"/>
      <c r="C981" s="5" t="n"/>
      <c r="D981" s="5" t="n"/>
      <c r="E981" s="5" t="n"/>
      <c r="F981" s="5" t="n"/>
      <c r="G981" s="5" t="n"/>
    </row>
    <row r="982">
      <c r="A982" s="5" t="n"/>
      <c r="B982" s="5" t="n"/>
      <c r="C982" s="5" t="n"/>
      <c r="D982" s="5" t="n"/>
      <c r="E982" s="5" t="n"/>
      <c r="F982" s="5" t="n"/>
      <c r="G982" s="5" t="n"/>
    </row>
    <row r="983">
      <c r="A983" s="5" t="n"/>
      <c r="B983" s="5" t="n"/>
      <c r="C983" s="5" t="n"/>
      <c r="D983" s="5" t="n"/>
      <c r="E983" s="5" t="n"/>
      <c r="F983" s="5" t="n"/>
      <c r="G983" s="5" t="n"/>
    </row>
    <row r="984">
      <c r="A984" s="5" t="n"/>
      <c r="B984" s="5" t="n"/>
      <c r="C984" s="5" t="n"/>
      <c r="D984" s="5" t="n"/>
      <c r="E984" s="5" t="n"/>
      <c r="F984" s="5" t="n"/>
      <c r="G984" s="5" t="n"/>
    </row>
    <row r="985">
      <c r="A985" s="5" t="n"/>
      <c r="B985" s="5" t="n"/>
      <c r="C985" s="5" t="n"/>
      <c r="D985" s="5" t="n"/>
      <c r="E985" s="5" t="n"/>
      <c r="F985" s="5" t="n"/>
      <c r="G985" s="5" t="n"/>
    </row>
    <row r="986">
      <c r="A986" s="5" t="n"/>
      <c r="B986" s="5" t="n"/>
      <c r="C986" s="5" t="n"/>
      <c r="D986" s="5" t="n"/>
      <c r="E986" s="5" t="n"/>
      <c r="F986" s="5" t="n"/>
      <c r="G986" s="5" t="n"/>
    </row>
    <row r="987">
      <c r="A987" s="5" t="n"/>
      <c r="B987" s="5" t="n"/>
      <c r="C987" s="5" t="n"/>
      <c r="D987" s="5" t="n"/>
      <c r="E987" s="5" t="n"/>
      <c r="F987" s="5" t="n"/>
      <c r="G987" s="5" t="n"/>
    </row>
    <row r="988">
      <c r="A988" s="5" t="n"/>
      <c r="B988" s="5" t="n"/>
      <c r="C988" s="5" t="n"/>
      <c r="D988" s="5" t="n"/>
      <c r="E988" s="5" t="n"/>
      <c r="F988" s="5" t="n"/>
      <c r="G988" s="5" t="n"/>
    </row>
    <row r="989">
      <c r="A989" s="5" t="n"/>
      <c r="B989" s="5" t="n"/>
      <c r="C989" s="5" t="n"/>
      <c r="D989" s="5" t="n"/>
      <c r="E989" s="5" t="n"/>
      <c r="F989" s="5" t="n"/>
      <c r="G989" s="5" t="n"/>
    </row>
    <row r="990">
      <c r="A990" s="5" t="n"/>
      <c r="B990" s="5" t="n"/>
      <c r="C990" s="5" t="n"/>
      <c r="D990" s="5" t="n"/>
      <c r="E990" s="5" t="n"/>
      <c r="F990" s="5" t="n"/>
      <c r="G990" s="5" t="n"/>
    </row>
    <row r="991">
      <c r="A991" s="5" t="n"/>
      <c r="B991" s="5" t="n"/>
      <c r="C991" s="5" t="n"/>
      <c r="D991" s="5" t="n"/>
      <c r="E991" s="5" t="n"/>
      <c r="F991" s="5" t="n"/>
      <c r="G991" s="5" t="n"/>
    </row>
    <row r="992">
      <c r="A992" s="5" t="n"/>
      <c r="B992" s="5" t="n"/>
      <c r="C992" s="5" t="n"/>
      <c r="D992" s="5" t="n"/>
      <c r="E992" s="5" t="n"/>
      <c r="F992" s="5" t="n"/>
      <c r="G992" s="5" t="n"/>
    </row>
    <row r="993">
      <c r="A993" s="5" t="n"/>
      <c r="B993" s="5" t="n"/>
      <c r="C993" s="5" t="n"/>
      <c r="D993" s="5" t="n"/>
      <c r="E993" s="5" t="n"/>
      <c r="F993" s="5" t="n"/>
      <c r="G993" s="5" t="n"/>
    </row>
    <row r="994">
      <c r="A994" s="5" t="n"/>
      <c r="B994" s="5" t="n"/>
      <c r="C994" s="5" t="n"/>
      <c r="D994" s="5" t="n"/>
      <c r="E994" s="5" t="n"/>
      <c r="F994" s="5" t="n"/>
      <c r="G994" s="5" t="n"/>
    </row>
    <row r="995">
      <c r="A995" s="5" t="n"/>
      <c r="B995" s="5" t="n"/>
      <c r="C995" s="5" t="n"/>
      <c r="D995" s="5" t="n"/>
      <c r="E995" s="5" t="n"/>
      <c r="F995" s="5" t="n"/>
      <c r="G995" s="5" t="n"/>
    </row>
    <row r="996">
      <c r="A996" s="5" t="n"/>
      <c r="B996" s="5" t="n"/>
      <c r="C996" s="5" t="n"/>
      <c r="D996" s="5" t="n"/>
      <c r="E996" s="5" t="n"/>
      <c r="F996" s="5" t="n"/>
      <c r="G996" s="5" t="n"/>
    </row>
    <row r="997">
      <c r="A997" s="5" t="n"/>
      <c r="B997" s="5" t="n"/>
      <c r="C997" s="5" t="n"/>
      <c r="D997" s="5" t="n"/>
      <c r="E997" s="5" t="n"/>
      <c r="F997" s="5" t="n"/>
      <c r="G997" s="5" t="n"/>
    </row>
    <row r="998">
      <c r="A998" s="5" t="n"/>
      <c r="B998" s="5" t="n"/>
      <c r="C998" s="5" t="n"/>
      <c r="D998" s="5" t="n"/>
      <c r="E998" s="5" t="n"/>
      <c r="F998" s="5" t="n"/>
      <c r="G998" s="5" t="n"/>
    </row>
    <row r="999">
      <c r="A999" s="5" t="n"/>
      <c r="B999" s="5" t="n"/>
      <c r="C999" s="5" t="n"/>
      <c r="D999" s="5" t="n"/>
      <c r="E999" s="5" t="n"/>
      <c r="F999" s="5" t="n"/>
      <c r="G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</row>
  </sheetData>
  <sheetProtection selectLockedCells="1" selectUnlockedCells="1" sheet="1" objects="1" insertRows="0" insertHyperlinks="1" autoFilter="0" scenarios="1" formatColumns="0" deleteColumns="0" insertColumns="0" pivotTables="0" deleteRows="0" formatCells="0" formatRows="0" sort="0" password="D922"/>
  <mergeCells count="1">
    <mergeCell ref="A1:G1"/>
  </mergeCells>
  <conditionalFormatting sqref="D4:D1000">
    <cfRule type="expression" priority="1" dxfId="4">
      <formula>$D4=""</formula>
    </cfRule>
  </conditionalFormatting>
  <dataValidations count="1">
    <dataValidation sqref="A4:A1000" showDropDown="1" showInputMessage="0" showErrorMessage="0" allowBlank="1" errorTitle="Invalid Entry" error="Invalid value. Please select from dropdown." type="list">
      <formula1>"Assessment Lead (DPO / Privacy Officer),Chief Information Security Officer (CISO),Legal / Compliance Officer,Data Owner - HR,Data Owner - Sales/Marketing,Data Owner - Finance,Data Owner - IT,Executive Sponsor"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2026-02-08T11:25:28Z</dcterms:created>
  <dcterms:modified xmlns:dcterms="http://purl.org/dc/terms/" xmlns:xsi="http://www.w3.org/2001/XMLSchema-instance" xsi:type="dcterms:W3CDTF">2026-02-08T11:25:29Z</dcterms:modified>
</cp:coreProperties>
</file>