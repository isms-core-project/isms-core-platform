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igger_Assessment" sheetId="2" state="visible" r:id="rId2"/>
    <sheet xmlns:r="http://schemas.openxmlformats.org/officeDocument/2006/relationships" name="DPIA_Register" sheetId="3" state="visible" r:id="rId3"/>
    <sheet xmlns:r="http://schemas.openxmlformats.org/officeDocument/2006/relationships" name="Risk_Assessment" sheetId="4" state="visible" r:id="rId4"/>
    <sheet xmlns:r="http://schemas.openxmlformats.org/officeDocument/2006/relationships" name="Mitigation_Measures" sheetId="5" state="visible" r:id="rId5"/>
    <sheet xmlns:r="http://schemas.openxmlformats.org/officeDocument/2006/relationships" name="Stakeholder_Consultation" sheetId="6" state="visible" r:id="rId6"/>
    <sheet xmlns:r="http://schemas.openxmlformats.org/officeDocument/2006/relationships" name="Gap_Analysis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b val="1"/>
    </font>
    <font>
      <name val="Calibri"/>
      <b val="1"/>
      <color rgb="FFFFFFFF"/>
      <sz val="11"/>
    </font>
    <font>
      <name val="Calibri"/>
      <b val="1"/>
      <sz val="14"/>
    </font>
  </fonts>
  <fills count="10">
    <fill>
      <patternFill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6EFCE"/>
        <bgColor rgb="FFC6EFCE"/>
      </patternFill>
    </fill>
    <fill>
      <patternFill patternType="solid">
        <fgColor rgb="FFFFD966"/>
        <bgColor rgb="FFFFD966"/>
      </patternFill>
    </fill>
    <fill>
      <patternFill patternType="solid">
        <fgColor rgb="FFFFA500"/>
        <bgColor rgb="FFFFA500"/>
      </patternFill>
    </fill>
    <fill>
      <patternFill patternType="solid">
        <fgColor rgb="FFFF6666"/>
        <bgColor rgb="FFFF6666"/>
      </patternFill>
    </fill>
    <fill>
      <patternFill patternType="solid">
        <fgColor rgb="FFEB9C00"/>
        <bgColor rgb="FFEB9C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" fontId="0" fillId="0" borderId="0" pivotButton="0" quotePrefix="0" xfId="0"/>
    <xf numFmtId="2" fontId="0" fillId="0" borderId="0" pivotButton="0" quotePrefix="0" xfId="0"/>
    <xf numFmtId="0" fontId="5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2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6666"/>
          <bgColor rgb="FFFF6666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D966"/>
          <bgColor rgb="FFFFD966"/>
        </patternFill>
      </fill>
    </dxf>
    <dxf>
      <font>
        <color rgb="FF9C0006"/>
      </font>
      <fill>
        <patternFill patternType="solid">
          <fgColor rgb="FFFF6666"/>
          <bgColor rgb="FFFF6666"/>
        </patternFill>
      </fill>
    </dxf>
    <dxf>
      <fill>
        <patternFill patternType="solid">
          <fgColor rgb="FFFFE6E6"/>
          <bgColor rgb="FFFFE6E6"/>
        </patternFill>
      </fill>
    </dxf>
    <dxf>
      <fill>
        <patternFill patternType="solid">
          <fgColor rgb="FFFFF3CD"/>
          <bgColor rgb="FFFFF3CD"/>
        </patternFill>
      </fill>
    </dxf>
    <dxf>
      <font>
        <color rgb="FF002060"/>
      </font>
      <fill>
        <patternFill patternType="solid">
          <fgColor rgb="FFB4C6E7"/>
          <bgColor rgb="FFB4C6E7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9C0006"/>
      </font>
      <fill>
        <patternFill patternType="solid">
          <fgColor rgb="FFFFA500"/>
          <bgColor rgb="FFFFA500"/>
        </patternFill>
      </fill>
    </dxf>
    <dxf>
      <font>
        <b val="1"/>
        <color rgb="FF9C0006"/>
      </font>
      <fill>
        <patternFill patternType="solid">
          <fgColor rgb="FFFF6666"/>
          <bgColor rgb="FFFF6666"/>
        </patternFill>
      </fill>
    </dxf>
    <dxf>
      <font>
        <b val="1"/>
      </font>
      <fill>
        <patternFill patternType="solid">
          <fgColor rgb="FFFFE6E6"/>
          <bgColor rgb="FFFFE6E6"/>
        </patternFill>
      </fill>
    </dxf>
    <dxf>
      <fill>
        <patternFill patternType="solid">
          <fgColor rgb="FFEBF8E9"/>
          <bgColor rgb="FFEBF8E9"/>
        </patternFill>
      </fill>
    </dxf>
    <dxf>
      <fill>
        <patternFill patternType="solid">
          <fgColor rgb="FFFFF2CC"/>
          <bgColor rgb="FFFFF2CC"/>
        </patternFill>
      </fill>
      <border>
        <left style="thick">
          <color rgb="FFFF6666"/>
        </left>
      </border>
    </dxf>
    <dxf>
      <fill>
        <patternFill patternType="solid">
          <fgColor rgb="FFFFE6E6"/>
          <bgColor rgb="FFFFE6E6"/>
        </patternFill>
      </fill>
      <border>
        <left style="thick">
          <color rgb="FFEB9C00"/>
        </left>
      </border>
    </dxf>
    <dxf>
      <fill>
        <patternFill patternType="solid">
          <fgColor rgb="FFFFF2CC"/>
          <bgColor rgb="FFFFF2CC"/>
        </patternFill>
      </fill>
      <border>
        <right style="thick">
          <color rgb="FFFF6666"/>
        </right>
      </border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5700"/>
      </font>
      <fill>
        <patternFill patternType="solid">
          <fgColor rgb="FFFFD966"/>
          <bgColor rgb="FFFFD966"/>
        </patternFill>
      </fill>
    </dxf>
    <dxf>
      <font>
        <b val="1"/>
        <color rgb="FF006100"/>
        <sz val="12"/>
      </font>
      <fill>
        <patternFill patternType="solid">
          <fgColor rgb="FFC6EFCE"/>
          <bgColor rgb="FFC6EFCE"/>
        </patternFill>
      </fill>
    </dxf>
    <dxf>
      <font>
        <b val="1"/>
        <color rgb="FF9C5700"/>
        <sz val="12"/>
      </font>
      <fill>
        <patternFill patternType="solid">
          <fgColor rgb="FFFFD966"/>
          <bgColor rgb="FFFFD966"/>
        </patternFill>
      </fill>
    </dxf>
    <dxf>
      <font>
        <b val="1"/>
        <color rgb="FF9C0006"/>
        <sz val="12"/>
      </font>
      <fill>
        <patternFill patternType="solid">
          <fgColor rgb="FFFF6666"/>
          <bgColor rgb="FF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DPIA Assessment - Instructions &amp; Legend</t>
        </is>
      </c>
    </row>
    <row r="2"/>
    <row r="3"/>
    <row r="4"/>
    <row r="5">
      <c r="A5" s="2" t="inlineStr">
        <is>
          <t>WORKBOOK OVERVIEW</t>
        </is>
      </c>
    </row>
    <row r="6">
      <c r="A6" s="3" t="inlineStr">
        <is>
          <t>This workbook implements GDPR Article 35 Data Protection Impact Assessments (DPIAs).</t>
        </is>
      </c>
    </row>
    <row r="7">
      <c r="A7" s="3" t="inlineStr">
        <is>
          <t>A DPIA is required when processing is likely to result in HIGH RISK to individuals' rights and freedoms.</t>
        </is>
      </c>
    </row>
    <row r="8">
      <c r="A8" s="3" t="inlineStr"/>
    </row>
    <row r="9">
      <c r="A9" s="3" t="inlineStr">
        <is>
          <t>Complete sheets in order:</t>
        </is>
      </c>
    </row>
    <row r="10">
      <c r="A10" s="3" t="inlineStr">
        <is>
          <t xml:space="preserve">  1. Instructions (this sheet) - Read first</t>
        </is>
      </c>
    </row>
    <row r="11">
      <c r="A11" s="3" t="inlineStr">
        <is>
          <t xml:space="preserve">  2. Trigger Assessment - Determine which processing activities need DPIA</t>
        </is>
      </c>
    </row>
    <row r="12">
      <c r="A12" s="3" t="inlineStr">
        <is>
          <t xml:space="preserve">  3. DPIA Register - Track all DPIAs from initiation to completion</t>
        </is>
      </c>
    </row>
    <row r="13">
      <c r="A13" s="3" t="inlineStr">
        <is>
          <t xml:space="preserve">  4. Risk Assessment - Evaluate risks to data subjects (necessity, proportionality, impact)</t>
        </is>
      </c>
    </row>
    <row r="14">
      <c r="A14" s="3" t="inlineStr">
        <is>
          <t xml:space="preserve">  5. Mitigation Measures - Document controls to reduce risks</t>
        </is>
      </c>
    </row>
    <row r="15">
      <c r="A15" s="3" t="inlineStr">
        <is>
          <t xml:space="preserve">  6. Stakeholder Consultation - Record DPO and data subject consultations (Art. 35(9))</t>
        </is>
      </c>
    </row>
    <row r="16">
      <c r="A16" s="3" t="inlineStr">
        <is>
          <t xml:space="preserve">  7. Gap Analysis - Calculate residual risk after mitigation</t>
        </is>
      </c>
    </row>
    <row r="17">
      <c r="A17" s="3" t="inlineStr">
        <is>
          <t xml:space="preserve">  8. Dashboard - View auto-calculated compliance metrics</t>
        </is>
      </c>
    </row>
    <row r="18">
      <c r="A18" s="3" t="inlineStr"/>
    </row>
    <row r="19">
      <c r="A19" s="3" t="inlineStr">
        <is>
          <t>CRITICAL TIMING: GDPR Art. 35(1) requires DPIAs 'prior to processing' - complete BEFORE data processing begins!</t>
        </is>
      </c>
    </row>
    <row r="20"/>
    <row r="21"/>
    <row r="22">
      <c r="A22" s="2" t="inlineStr">
        <is>
          <t>GDPR ARTICLE 35(3) - MANDATORY DPIA TRIGGERS</t>
        </is>
      </c>
    </row>
    <row r="23">
      <c r="A23" s="3" t="inlineStr">
        <is>
          <t>(a) Systematic and extensive evaluation of personal aspects including profiling with legal/significant effects</t>
        </is>
      </c>
    </row>
    <row r="24">
      <c r="A24" s="3" t="inlineStr">
        <is>
          <t>(b) Large-scale processing of special category data (Art. 9) or criminal convictions (Art. 10)</t>
        </is>
      </c>
    </row>
    <row r="25">
      <c r="A25" s="3" t="inlineStr">
        <is>
          <t>(c) Systematic monitoring of publicly accessible areas on a large scale (e.g., CCTV surveillance)</t>
        </is>
      </c>
    </row>
    <row r="26">
      <c r="A26" s="3" t="inlineStr"/>
    </row>
    <row r="27">
      <c r="A27" s="3" t="inlineStr">
        <is>
          <t>ADDITIONAL WP248 TRIGGERS (Article 29 Working Party Guidelines):</t>
        </is>
      </c>
    </row>
    <row r="28">
      <c r="A28" s="3" t="inlineStr">
        <is>
          <t>• Innovative technologies or novel applications</t>
        </is>
      </c>
    </row>
    <row r="29">
      <c r="A29" s="3" t="inlineStr">
        <is>
          <t>• Processing that prevents data subjects from exercising rights or using services</t>
        </is>
      </c>
    </row>
    <row r="30">
      <c r="A30" s="3" t="inlineStr">
        <is>
          <t>• Large-scale processing (&gt;5,000 data subjects or substantial proportion of population)</t>
        </is>
      </c>
    </row>
    <row r="31">
      <c r="A31" s="3" t="inlineStr">
        <is>
          <t>• Matching/combining datasets from different sources beyond original purpose</t>
        </is>
      </c>
    </row>
    <row r="32">
      <c r="A32" s="3" t="inlineStr">
        <is>
          <t>• Processing vulnerable data subjects (children, employees, asylum seekers, mentally ill)</t>
        </is>
      </c>
    </row>
    <row r="33">
      <c r="A33" s="3" t="inlineStr">
        <is>
          <t>• Cross-border data transfers outside EEA without adequacy decision</t>
        </is>
      </c>
    </row>
    <row r="34">
      <c r="A34" s="3" t="inlineStr">
        <is>
          <t>• Automated decision-making with potential for significant harm</t>
        </is>
      </c>
    </row>
    <row r="35"/>
    <row r="36"/>
    <row r="37">
      <c r="A37" s="2" t="inlineStr">
        <is>
          <t>RISK ASSESSMENT METHODOLOGY</t>
        </is>
      </c>
    </row>
    <row r="38">
      <c r="A38" s="4" t="inlineStr">
        <is>
          <t>Likelihood Scale (1-5):</t>
        </is>
      </c>
    </row>
    <row r="39">
      <c r="A39" t="inlineStr">
        <is>
          <t>1 - Rare: &lt;5% probability, multiple unlikely failures required</t>
        </is>
      </c>
    </row>
    <row r="40">
      <c r="A40" t="inlineStr">
        <is>
          <t>2 - Unlikely: 5-25% probability, specific vulnerabilities must be exploited</t>
        </is>
      </c>
    </row>
    <row r="41">
      <c r="A41" t="inlineStr">
        <is>
          <t>3 - Possible: 25-50% probability, known vulnerabilities not actively exploited</t>
        </is>
      </c>
    </row>
    <row r="42">
      <c r="A42" t="inlineStr">
        <is>
          <t>4 - Likely: 50-75% probability, common attack vectors with known exploits</t>
        </is>
      </c>
    </row>
    <row r="43">
      <c r="A43" t="inlineStr">
        <is>
          <t>5 - Almost Certain: &gt;75% probability, inevitable without controls</t>
        </is>
      </c>
    </row>
    <row r="44"/>
    <row r="45">
      <c r="A45" s="4" t="inlineStr">
        <is>
          <t>Impact Scale (1-5):</t>
        </is>
      </c>
    </row>
    <row r="46">
      <c r="A46" t="inlineStr">
        <is>
          <t>1 - Negligible: No material harm, minor inconvenience</t>
        </is>
      </c>
    </row>
    <row r="47">
      <c r="A47" t="inlineStr">
        <is>
          <t>2 - Minor: Limited, reversible harm (password reset, temporary disruption)</t>
        </is>
      </c>
    </row>
    <row r="48">
      <c r="A48" t="inlineStr">
        <is>
          <t>3 - Moderate: Significant but manageable harm (financial loss &lt;€1,000, reputational damage)</t>
        </is>
      </c>
    </row>
    <row r="49">
      <c r="A49" t="inlineStr">
        <is>
          <t>4 - Major: Severe harm with lasting consequences (identity theft, job loss, significant financial damage)</t>
        </is>
      </c>
    </row>
    <row r="50">
      <c r="A50" t="inlineStr">
        <is>
          <t>5 - Severe: Catastrophic, potentially irreversible (physical harm, life-altering discrimination, severe trauma)</t>
        </is>
      </c>
    </row>
    <row r="51"/>
    <row r="52">
      <c r="A52" s="4" t="inlineStr">
        <is>
          <t>Risk Score = Likelihood × Impact (range: 1-25)</t>
        </is>
      </c>
    </row>
    <row r="53">
      <c r="A53" t="inlineStr">
        <is>
          <t>• Low (1-6): Standard controls adequate, no special approvals required</t>
        </is>
      </c>
    </row>
    <row r="54">
      <c r="A54" t="inlineStr">
        <is>
          <t>• Medium (8-12): Enhanced controls required, regular monitoring</t>
        </is>
      </c>
    </row>
    <row r="55">
      <c r="A55" t="inlineStr">
        <is>
          <t>• High (15-16): Comprehensive mitigation + senior management approval required</t>
        </is>
      </c>
    </row>
    <row r="56">
      <c r="A56" t="inlineStr">
        <is>
          <t>• Critical (20-25): Supervisory authority consultation required (Art. 36), fundamental redesign needed</t>
        </is>
      </c>
    </row>
    <row r="57"/>
    <row r="58"/>
    <row r="59">
      <c r="A59" s="2" t="inlineStr">
        <is>
          <t>COLOR CODING LEGEND</t>
        </is>
      </c>
    </row>
    <row r="60">
      <c r="A60" s="5" t="inlineStr">
        <is>
          <t>Green</t>
        </is>
      </c>
      <c r="B60" s="3" t="inlineStr">
        <is>
          <t>Low risk, DPIA not required, controls adequate, compliant</t>
        </is>
      </c>
    </row>
    <row r="61">
      <c r="A61" s="6" t="inlineStr">
        <is>
          <t>Yellow</t>
        </is>
      </c>
      <c r="B61" s="3" t="inlineStr">
        <is>
          <t>Medium risk, DPIA uncertain (DPO consultation), monitoring required</t>
        </is>
      </c>
    </row>
    <row r="62">
      <c r="A62" s="7" t="inlineStr">
        <is>
          <t>Orange</t>
        </is>
      </c>
      <c r="B62" s="3" t="inlineStr">
        <is>
          <t>High risk, enhanced controls required, management approval needed</t>
        </is>
      </c>
    </row>
    <row r="63">
      <c r="A63" s="8" t="inlineStr">
        <is>
          <t>Red</t>
        </is>
      </c>
      <c r="B63" s="3" t="inlineStr">
        <is>
          <t>Critical risk, DPIA mandatory, supervisory authority consultation, immediate action</t>
        </is>
      </c>
    </row>
    <row r="64"/>
    <row r="65"/>
    <row r="66">
      <c r="A66" s="2" t="inlineStr">
        <is>
          <t>EVIDENCE REQUIREMENTS</t>
        </is>
      </c>
    </row>
    <row r="67">
      <c r="A67" t="inlineStr">
        <is>
          <t>• System architecture diagrams (data flow diagrams showing PII processing paths)</t>
        </is>
      </c>
    </row>
    <row r="68">
      <c r="A68" t="inlineStr">
        <is>
          <t>• Data processing agreements (DPAs) with processors, joint controller agreements</t>
        </is>
      </c>
    </row>
    <row r="69">
      <c r="A69" t="inlineStr">
        <is>
          <t>• Privacy notices provided to data subjects (demonstrate transparency)</t>
        </is>
      </c>
    </row>
    <row r="70">
      <c r="A70" t="inlineStr">
        <is>
          <t>• Security control implementation documentation (encryption, access controls, monitoring)</t>
        </is>
      </c>
    </row>
    <row r="71">
      <c r="A71" t="inlineStr">
        <is>
          <t>• DPO consultation records (emails, meeting minutes, formal opinions)</t>
        </is>
      </c>
    </row>
    <row r="72">
      <c r="A72" t="inlineStr">
        <is>
          <t>• Supervisory authority correspondence (if Art. 36 consultation required)</t>
        </is>
      </c>
    </row>
    <row r="73">
      <c r="A73" t="inlineStr">
        <is>
          <t>• Legal basis justifications (consent records, contract necessity, legitimate interests balancing test)</t>
        </is>
      </c>
    </row>
    <row r="74">
      <c r="A74" t="inlineStr">
        <is>
          <t>• Data subject consultation evidence (surveys, focus groups, public consultations)</t>
        </is>
      </c>
    </row>
    <row r="75"/>
    <row r="76"/>
    <row r="77">
      <c r="A77" s="2" t="inlineStr">
        <is>
          <t>⚠️ COMMON PITFALLS TO AVOID</t>
        </is>
      </c>
    </row>
    <row r="78">
      <c r="A78" t="inlineStr">
        <is>
          <t>❌ Starting DPIA too late (after processing already began) → GDPR violation</t>
        </is>
      </c>
    </row>
    <row r="79">
      <c r="A79" t="inlineStr">
        <is>
          <t>❌ Conducting DPIA in isolation without stakeholder input → Incomplete risk assessment</t>
        </is>
      </c>
    </row>
    <row r="80">
      <c r="A80" t="inlineStr">
        <is>
          <t>❌ Generic risk descriptions ('data breach could occur') → Useless for mitigation planning</t>
        </is>
      </c>
    </row>
    <row r="81">
      <c r="A81" t="inlineStr">
        <is>
          <t>❌ Failing to update DPIA when processing changes materially → Non-compliance</t>
        </is>
      </c>
    </row>
    <row r="82">
      <c r="A82" t="inlineStr">
        <is>
          <t>❌ Not consulting DPO or supervisory authority when required → Art. 35(2) and Art. 36 violations</t>
        </is>
      </c>
    </row>
    <row r="83">
      <c r="A83" t="inlineStr">
        <is>
          <t>❌ Skipping DPIA because 'we've always done it this way' → Not a valid exemption</t>
        </is>
      </c>
    </row>
    <row r="84">
      <c r="A84" t="inlineStr">
        <is>
          <t>❌ Underestimating likelihood/impact to avoid mitigation work → Audit finding, potential fine</t>
        </is>
      </c>
    </row>
    <row r="85">
      <c r="A85" t="inlineStr">
        <is>
          <t>❌ Confusing 'necessary' with 'convenient' → Proportionality failure</t>
        </is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68">
    <mergeCell ref="A47:P47"/>
    <mergeCell ref="A5:P5"/>
    <mergeCell ref="A42:P42"/>
    <mergeCell ref="A32:P32"/>
    <mergeCell ref="A85:P85"/>
    <mergeCell ref="A14:P14"/>
    <mergeCell ref="A17:P17"/>
    <mergeCell ref="A23:P23"/>
    <mergeCell ref="A8:P8"/>
    <mergeCell ref="B60:P60"/>
    <mergeCell ref="A22:P22"/>
    <mergeCell ref="A53:P53"/>
    <mergeCell ref="B61:P61"/>
    <mergeCell ref="A72:P72"/>
    <mergeCell ref="A29:P29"/>
    <mergeCell ref="A52:P52"/>
    <mergeCell ref="A43:P43"/>
    <mergeCell ref="A81:P81"/>
    <mergeCell ref="A19:P19"/>
    <mergeCell ref="A68:P68"/>
    <mergeCell ref="A10:P10"/>
    <mergeCell ref="A28:P28"/>
    <mergeCell ref="A13:P13"/>
    <mergeCell ref="A40:P40"/>
    <mergeCell ref="A9:P9"/>
    <mergeCell ref="A67:P67"/>
    <mergeCell ref="A31:P31"/>
    <mergeCell ref="A39:P39"/>
    <mergeCell ref="A34:P34"/>
    <mergeCell ref="A77:P77"/>
    <mergeCell ref="A83:P83"/>
    <mergeCell ref="A48:P48"/>
    <mergeCell ref="A30:P30"/>
    <mergeCell ref="A15:P15"/>
    <mergeCell ref="A59:P59"/>
    <mergeCell ref="A82:P82"/>
    <mergeCell ref="A24:P24"/>
    <mergeCell ref="A73:P73"/>
    <mergeCell ref="A11:P11"/>
    <mergeCell ref="A49:P49"/>
    <mergeCell ref="A70:P70"/>
    <mergeCell ref="A79:P79"/>
    <mergeCell ref="A1:P3"/>
    <mergeCell ref="A6:P6"/>
    <mergeCell ref="B63:P63"/>
    <mergeCell ref="A69:P69"/>
    <mergeCell ref="A71:P71"/>
    <mergeCell ref="A78:P78"/>
    <mergeCell ref="A16:P16"/>
    <mergeCell ref="A54:P54"/>
    <mergeCell ref="A7:P7"/>
    <mergeCell ref="A25:P25"/>
    <mergeCell ref="A41:P41"/>
    <mergeCell ref="B62:P62"/>
    <mergeCell ref="A46:P46"/>
    <mergeCell ref="A84:P84"/>
    <mergeCell ref="A66:P66"/>
    <mergeCell ref="A80:P80"/>
    <mergeCell ref="A37:P37"/>
    <mergeCell ref="A18:P18"/>
    <mergeCell ref="A27:P27"/>
    <mergeCell ref="A56:P56"/>
    <mergeCell ref="A74:P74"/>
    <mergeCell ref="A55:P55"/>
    <mergeCell ref="A12:P12"/>
    <mergeCell ref="A50:P50"/>
    <mergeCell ref="A26:P26"/>
    <mergeCell ref="A33:P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B9C00"/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5" customWidth="1" min="14" max="14"/>
    <col width="40" customWidth="1" min="15" max="15"/>
  </cols>
  <sheetData>
    <row r="1">
      <c r="A1" s="9" t="inlineStr">
        <is>
          <t>Processing Activity ID</t>
        </is>
      </c>
      <c r="B1" s="9" t="inlineStr">
        <is>
          <t>Processing Activity Name</t>
        </is>
      </c>
      <c r="C1" s="9" t="inlineStr">
        <is>
          <t>System/Application</t>
        </is>
      </c>
      <c r="D1" s="9" t="inlineStr">
        <is>
          <t>Trigger 1: Systematic Profiling</t>
        </is>
      </c>
      <c r="E1" s="9" t="inlineStr">
        <is>
          <t>Trigger 2: Large-Scale Special Categories</t>
        </is>
      </c>
      <c r="F1" s="9" t="inlineStr">
        <is>
          <t>Trigger 3: Systematic Monitoring</t>
        </is>
      </c>
      <c r="G1" s="9" t="inlineStr">
        <is>
          <t>Trigger 4: Innovative Technology</t>
        </is>
      </c>
      <c r="H1" s="9" t="inlineStr">
        <is>
          <t>Trigger 5: Denial of Service</t>
        </is>
      </c>
      <c r="I1" s="9" t="inlineStr">
        <is>
          <t>Trigger 6: Large Scale</t>
        </is>
      </c>
      <c r="J1" s="9" t="inlineStr">
        <is>
          <t>Trigger 7: Matching Datasets</t>
        </is>
      </c>
      <c r="K1" s="9" t="inlineStr">
        <is>
          <t>Trigger 8: Vulnerable Subjects</t>
        </is>
      </c>
      <c r="L1" s="9" t="inlineStr">
        <is>
          <t>Trigger 9: Cross-Border Transfer</t>
        </is>
      </c>
      <c r="M1" s="9" t="inlineStr">
        <is>
          <t>Total Triggers</t>
        </is>
      </c>
      <c r="N1" s="9" t="inlineStr">
        <is>
          <t>DPIA Required?</t>
        </is>
      </c>
      <c r="O1" s="9" t="inlineStr">
        <is>
          <t>Notes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1">
        <f>COUNTIF(D2:L2,"Yes")</f>
        <v/>
      </c>
      <c r="N2" s="12">
        <f>IF(M2&gt;=2,"Yes",IF(M2=1,"Uncertain","No"))</f>
        <v/>
      </c>
      <c r="O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1">
        <f>COUNTIF(D3:L3,"Yes")</f>
        <v/>
      </c>
      <c r="N3" s="12">
        <f>IF(M3&gt;=2,"Yes",IF(M3=1,"Uncertain","No"))</f>
        <v/>
      </c>
      <c r="O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1">
        <f>COUNTIF(D4:L4,"Yes")</f>
        <v/>
      </c>
      <c r="N4" s="12">
        <f>IF(M4&gt;=2,"Yes",IF(M4=1,"Uncertain","No"))</f>
        <v/>
      </c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1">
        <f>COUNTIF(D5:L5,"Yes")</f>
        <v/>
      </c>
      <c r="N5" s="12">
        <f>IF(M5&gt;=2,"Yes",IF(M5=1,"Uncertain","No"))</f>
        <v/>
      </c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1">
        <f>COUNTIF(D6:L6,"Yes")</f>
        <v/>
      </c>
      <c r="N6" s="12">
        <f>IF(M6&gt;=2,"Yes",IF(M6=1,"Uncertain","No"))</f>
        <v/>
      </c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1">
        <f>COUNTIF(D7:L7,"Yes")</f>
        <v/>
      </c>
      <c r="N7" s="12">
        <f>IF(M7&gt;=2,"Yes",IF(M7=1,"Uncertain","No"))</f>
        <v/>
      </c>
      <c r="O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>
        <f>COUNTIF(D8:L8,"Yes")</f>
        <v/>
      </c>
      <c r="N8" s="12">
        <f>IF(M8&gt;=2,"Yes",IF(M8=1,"Uncertain","No"))</f>
        <v/>
      </c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1">
        <f>COUNTIF(D9:L9,"Yes")</f>
        <v/>
      </c>
      <c r="N9" s="12">
        <f>IF(M9&gt;=2,"Yes",IF(M9=1,"Uncertain","No"))</f>
        <v/>
      </c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1">
        <f>COUNTIF(D10:L10,"Yes")</f>
        <v/>
      </c>
      <c r="N10" s="12">
        <f>IF(M10&gt;=2,"Yes",IF(M10=1,"Uncertain","No"))</f>
        <v/>
      </c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1">
        <f>COUNTIF(D11:L11,"Yes")</f>
        <v/>
      </c>
      <c r="N11" s="12">
        <f>IF(M11&gt;=2,"Yes",IF(M11=1,"Uncertain","No"))</f>
        <v/>
      </c>
      <c r="O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1">
        <f>COUNTIF(D12:L12,"Yes")</f>
        <v/>
      </c>
      <c r="N12" s="12">
        <f>IF(M12&gt;=2,"Yes",IF(M12=1,"Uncertain","No"))</f>
        <v/>
      </c>
      <c r="O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1">
        <f>COUNTIF(D13:L13,"Yes")</f>
        <v/>
      </c>
      <c r="N13" s="12">
        <f>IF(M13&gt;=2,"Yes",IF(M13=1,"Uncertain","No"))</f>
        <v/>
      </c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1">
        <f>COUNTIF(D14:L14,"Yes")</f>
        <v/>
      </c>
      <c r="N14" s="12">
        <f>IF(M14&gt;=2,"Yes",IF(M14=1,"Uncertain","No"))</f>
        <v/>
      </c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1">
        <f>COUNTIF(D15:L15,"Yes")</f>
        <v/>
      </c>
      <c r="N15" s="12">
        <f>IF(M15&gt;=2,"Yes",IF(M15=1,"Uncertain","No"))</f>
        <v/>
      </c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1">
        <f>COUNTIF(D16:L16,"Yes")</f>
        <v/>
      </c>
      <c r="N16" s="12">
        <f>IF(M16&gt;=2,"Yes",IF(M16=1,"Uncertain","No"))</f>
        <v/>
      </c>
      <c r="O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1">
        <f>COUNTIF(D17:L17,"Yes")</f>
        <v/>
      </c>
      <c r="N17" s="12">
        <f>IF(M17&gt;=2,"Yes",IF(M17=1,"Uncertain","No"))</f>
        <v/>
      </c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1">
        <f>COUNTIF(D18:L18,"Yes")</f>
        <v/>
      </c>
      <c r="N18" s="12">
        <f>IF(M18&gt;=2,"Yes",IF(M18=1,"Uncertain","No"))</f>
        <v/>
      </c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1">
        <f>COUNTIF(D19:L19,"Yes")</f>
        <v/>
      </c>
      <c r="N19" s="12">
        <f>IF(M19&gt;=2,"Yes",IF(M19=1,"Uncertain","No"))</f>
        <v/>
      </c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1">
        <f>COUNTIF(D20:L20,"Yes")</f>
        <v/>
      </c>
      <c r="N20" s="12">
        <f>IF(M20&gt;=2,"Yes",IF(M20=1,"Uncertain","No"))</f>
        <v/>
      </c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1">
        <f>COUNTIF(D21:L21,"Yes")</f>
        <v/>
      </c>
      <c r="N21" s="12">
        <f>IF(M21&gt;=2,"Yes",IF(M21=1,"Uncertain","No"))</f>
        <v/>
      </c>
      <c r="O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1">
        <f>COUNTIF(D22:L22,"Yes")</f>
        <v/>
      </c>
      <c r="N22" s="12">
        <f>IF(M22&gt;=2,"Yes",IF(M22=1,"Uncertain","No"))</f>
        <v/>
      </c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1">
        <f>COUNTIF(D23:L23,"Yes")</f>
        <v/>
      </c>
      <c r="N23" s="12">
        <f>IF(M23&gt;=2,"Yes",IF(M23=1,"Uncertain","No"))</f>
        <v/>
      </c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1">
        <f>COUNTIF(D24:L24,"Yes")</f>
        <v/>
      </c>
      <c r="N24" s="12">
        <f>IF(M24&gt;=2,"Yes",IF(M24=1,"Uncertain","No"))</f>
        <v/>
      </c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1">
        <f>COUNTIF(D25:L25,"Yes")</f>
        <v/>
      </c>
      <c r="N25" s="12">
        <f>IF(M25&gt;=2,"Yes",IF(M25=1,"Uncertain","No"))</f>
        <v/>
      </c>
      <c r="O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1">
        <f>COUNTIF(D26:L26,"Yes")</f>
        <v/>
      </c>
      <c r="N26" s="12">
        <f>IF(M26&gt;=2,"Yes",IF(M26=1,"Uncertain","No"))</f>
        <v/>
      </c>
      <c r="O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1">
        <f>COUNTIF(D27:L27,"Yes")</f>
        <v/>
      </c>
      <c r="N27" s="12">
        <f>IF(M27&gt;=2,"Yes",IF(M27=1,"Uncertain","No"))</f>
        <v/>
      </c>
      <c r="O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1">
        <f>COUNTIF(D28:L28,"Yes")</f>
        <v/>
      </c>
      <c r="N28" s="12">
        <f>IF(M28&gt;=2,"Yes",IF(M28=1,"Uncertain","No"))</f>
        <v/>
      </c>
      <c r="O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1">
        <f>COUNTIF(D29:L29,"Yes")</f>
        <v/>
      </c>
      <c r="N29" s="12">
        <f>IF(M29&gt;=2,"Yes",IF(M29=1,"Uncertain","No"))</f>
        <v/>
      </c>
      <c r="O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1">
        <f>COUNTIF(D30:L30,"Yes")</f>
        <v/>
      </c>
      <c r="N30" s="12">
        <f>IF(M30&gt;=2,"Yes",IF(M30=1,"Uncertain","No"))</f>
        <v/>
      </c>
      <c r="O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1">
        <f>COUNTIF(D31:L31,"Yes")</f>
        <v/>
      </c>
      <c r="N31" s="12">
        <f>IF(M31&gt;=2,"Yes",IF(M31=1,"Uncertain","No"))</f>
        <v/>
      </c>
      <c r="O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1">
        <f>COUNTIF(D32:L32,"Yes")</f>
        <v/>
      </c>
      <c r="N32" s="12">
        <f>IF(M32&gt;=2,"Yes",IF(M32=1,"Uncertain","No"))</f>
        <v/>
      </c>
      <c r="O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1">
        <f>COUNTIF(D33:L33,"Yes")</f>
        <v/>
      </c>
      <c r="N33" s="12">
        <f>IF(M33&gt;=2,"Yes",IF(M33=1,"Uncertain","No"))</f>
        <v/>
      </c>
      <c r="O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1">
        <f>COUNTIF(D34:L34,"Yes")</f>
        <v/>
      </c>
      <c r="N34" s="12">
        <f>IF(M34&gt;=2,"Yes",IF(M34=1,"Uncertain","No"))</f>
        <v/>
      </c>
      <c r="O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1">
        <f>COUNTIF(D35:L35,"Yes")</f>
        <v/>
      </c>
      <c r="N35" s="12">
        <f>IF(M35&gt;=2,"Yes",IF(M35=1,"Uncertain","No"))</f>
        <v/>
      </c>
      <c r="O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1">
        <f>COUNTIF(D36:L36,"Yes")</f>
        <v/>
      </c>
      <c r="N36" s="12">
        <f>IF(M36&gt;=2,"Yes",IF(M36=1,"Uncertain","No"))</f>
        <v/>
      </c>
      <c r="O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1">
        <f>COUNTIF(D37:L37,"Yes")</f>
        <v/>
      </c>
      <c r="N37" s="12">
        <f>IF(M37&gt;=2,"Yes",IF(M37=1,"Uncertain","No"))</f>
        <v/>
      </c>
      <c r="O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1">
        <f>COUNTIF(D38:L38,"Yes")</f>
        <v/>
      </c>
      <c r="N38" s="12">
        <f>IF(M38&gt;=2,"Yes",IF(M38=1,"Uncertain","No"))</f>
        <v/>
      </c>
      <c r="O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1">
        <f>COUNTIF(D39:L39,"Yes")</f>
        <v/>
      </c>
      <c r="N39" s="12">
        <f>IF(M39&gt;=2,"Yes",IF(M39=1,"Uncertain","No"))</f>
        <v/>
      </c>
      <c r="O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1">
        <f>COUNTIF(D40:L40,"Yes")</f>
        <v/>
      </c>
      <c r="N40" s="12">
        <f>IF(M40&gt;=2,"Yes",IF(M40=1,"Uncertain","No"))</f>
        <v/>
      </c>
      <c r="O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1">
        <f>COUNTIF(D41:L41,"Yes")</f>
        <v/>
      </c>
      <c r="N41" s="12">
        <f>IF(M41&gt;=2,"Yes",IF(M41=1,"Uncertain","No"))</f>
        <v/>
      </c>
      <c r="O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1">
        <f>COUNTIF(D42:L42,"Yes")</f>
        <v/>
      </c>
      <c r="N42" s="12">
        <f>IF(M42&gt;=2,"Yes",IF(M42=1,"Uncertain","No"))</f>
        <v/>
      </c>
      <c r="O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1">
        <f>COUNTIF(D43:L43,"Yes")</f>
        <v/>
      </c>
      <c r="N43" s="12">
        <f>IF(M43&gt;=2,"Yes",IF(M43=1,"Uncertain","No"))</f>
        <v/>
      </c>
      <c r="O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1">
        <f>COUNTIF(D44:L44,"Yes")</f>
        <v/>
      </c>
      <c r="N44" s="12">
        <f>IF(M44&gt;=2,"Yes",IF(M44=1,"Uncertain","No"))</f>
        <v/>
      </c>
      <c r="O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1">
        <f>COUNTIF(D45:L45,"Yes")</f>
        <v/>
      </c>
      <c r="N45" s="12">
        <f>IF(M45&gt;=2,"Yes",IF(M45=1,"Uncertain","No"))</f>
        <v/>
      </c>
      <c r="O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1">
        <f>COUNTIF(D46:L46,"Yes")</f>
        <v/>
      </c>
      <c r="N46" s="12">
        <f>IF(M46&gt;=2,"Yes",IF(M46=1,"Uncertain","No"))</f>
        <v/>
      </c>
      <c r="O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1">
        <f>COUNTIF(D47:L47,"Yes")</f>
        <v/>
      </c>
      <c r="N47" s="12">
        <f>IF(M47&gt;=2,"Yes",IF(M47=1,"Uncertain","No"))</f>
        <v/>
      </c>
      <c r="O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1">
        <f>COUNTIF(D48:L48,"Yes")</f>
        <v/>
      </c>
      <c r="N48" s="12">
        <f>IF(M48&gt;=2,"Yes",IF(M48=1,"Uncertain","No"))</f>
        <v/>
      </c>
      <c r="O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1">
        <f>COUNTIF(D49:L49,"Yes")</f>
        <v/>
      </c>
      <c r="N49" s="12">
        <f>IF(M49&gt;=2,"Yes",IF(M49=1,"Uncertain","No"))</f>
        <v/>
      </c>
      <c r="O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1">
        <f>COUNTIF(D50:L50,"Yes")</f>
        <v/>
      </c>
      <c r="N50" s="12">
        <f>IF(M50&gt;=2,"Yes",IF(M50=1,"Uncertain","No"))</f>
        <v/>
      </c>
      <c r="O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1">
        <f>COUNTIF(D51:L51,"Yes")</f>
        <v/>
      </c>
      <c r="N51" s="12">
        <f>IF(M51&gt;=2,"Yes",IF(M51=1,"Uncertain","No"))</f>
        <v/>
      </c>
      <c r="O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1">
        <f>COUNTIF(D52:L52,"Yes")</f>
        <v/>
      </c>
      <c r="N52" s="12">
        <f>IF(M52&gt;=2,"Yes",IF(M52=1,"Uncertain","No"))</f>
        <v/>
      </c>
      <c r="O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1">
        <f>COUNTIF(D53:L53,"Yes")</f>
        <v/>
      </c>
      <c r="N53" s="12">
        <f>IF(M53&gt;=2,"Yes",IF(M53=1,"Uncertain","No"))</f>
        <v/>
      </c>
      <c r="O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1">
        <f>COUNTIF(D54:L54,"Yes")</f>
        <v/>
      </c>
      <c r="N54" s="12">
        <f>IF(M54&gt;=2,"Yes",IF(M54=1,"Uncertain","No"))</f>
        <v/>
      </c>
      <c r="O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1">
        <f>COUNTIF(D55:L55,"Yes")</f>
        <v/>
      </c>
      <c r="N55" s="12">
        <f>IF(M55&gt;=2,"Yes",IF(M55=1,"Uncertain","No"))</f>
        <v/>
      </c>
      <c r="O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1">
        <f>COUNTIF(D56:L56,"Yes")</f>
        <v/>
      </c>
      <c r="N56" s="12">
        <f>IF(M56&gt;=2,"Yes",IF(M56=1,"Uncertain","No"))</f>
        <v/>
      </c>
      <c r="O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1">
        <f>COUNTIF(D57:L57,"Yes")</f>
        <v/>
      </c>
      <c r="N57" s="12">
        <f>IF(M57&gt;=2,"Yes",IF(M57=1,"Uncertain","No"))</f>
        <v/>
      </c>
      <c r="O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1">
        <f>COUNTIF(D58:L58,"Yes")</f>
        <v/>
      </c>
      <c r="N58" s="12">
        <f>IF(M58&gt;=2,"Yes",IF(M58=1,"Uncertain","No"))</f>
        <v/>
      </c>
      <c r="O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1">
        <f>COUNTIF(D59:L59,"Yes")</f>
        <v/>
      </c>
      <c r="N59" s="12">
        <f>IF(M59&gt;=2,"Yes",IF(M59=1,"Uncertain","No"))</f>
        <v/>
      </c>
      <c r="O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1">
        <f>COUNTIF(D60:L60,"Yes")</f>
        <v/>
      </c>
      <c r="N60" s="12">
        <f>IF(M60&gt;=2,"Yes",IF(M60=1,"Uncertain","No"))</f>
        <v/>
      </c>
      <c r="O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1">
        <f>COUNTIF(D61:L61,"Yes")</f>
        <v/>
      </c>
      <c r="N61" s="12">
        <f>IF(M61&gt;=2,"Yes",IF(M61=1,"Uncertain","No"))</f>
        <v/>
      </c>
      <c r="O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1">
        <f>COUNTIF(D62:L62,"Yes")</f>
        <v/>
      </c>
      <c r="N62" s="12">
        <f>IF(M62&gt;=2,"Yes",IF(M62=1,"Uncertain","No"))</f>
        <v/>
      </c>
      <c r="O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1">
        <f>COUNTIF(D63:L63,"Yes")</f>
        <v/>
      </c>
      <c r="N63" s="12">
        <f>IF(M63&gt;=2,"Yes",IF(M63=1,"Uncertain","No"))</f>
        <v/>
      </c>
      <c r="O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1">
        <f>COUNTIF(D64:L64,"Yes")</f>
        <v/>
      </c>
      <c r="N64" s="12">
        <f>IF(M64&gt;=2,"Yes",IF(M64=1,"Uncertain","No"))</f>
        <v/>
      </c>
      <c r="O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1">
        <f>COUNTIF(D65:L65,"Yes")</f>
        <v/>
      </c>
      <c r="N65" s="12">
        <f>IF(M65&gt;=2,"Yes",IF(M65=1,"Uncertain","No"))</f>
        <v/>
      </c>
      <c r="O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1">
        <f>COUNTIF(D66:L66,"Yes")</f>
        <v/>
      </c>
      <c r="N66" s="12">
        <f>IF(M66&gt;=2,"Yes",IF(M66=1,"Uncertain","No"))</f>
        <v/>
      </c>
      <c r="O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1">
        <f>COUNTIF(D67:L67,"Yes")</f>
        <v/>
      </c>
      <c r="N67" s="12">
        <f>IF(M67&gt;=2,"Yes",IF(M67=1,"Uncertain","No"))</f>
        <v/>
      </c>
      <c r="O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1">
        <f>COUNTIF(D68:L68,"Yes")</f>
        <v/>
      </c>
      <c r="N68" s="12">
        <f>IF(M68&gt;=2,"Yes",IF(M68=1,"Uncertain","No"))</f>
        <v/>
      </c>
      <c r="O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1">
        <f>COUNTIF(D69:L69,"Yes")</f>
        <v/>
      </c>
      <c r="N69" s="12">
        <f>IF(M69&gt;=2,"Yes",IF(M69=1,"Uncertain","No"))</f>
        <v/>
      </c>
      <c r="O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1">
        <f>COUNTIF(D70:L70,"Yes")</f>
        <v/>
      </c>
      <c r="N70" s="12">
        <f>IF(M70&gt;=2,"Yes",IF(M70=1,"Uncertain","No"))</f>
        <v/>
      </c>
      <c r="O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1">
        <f>COUNTIF(D71:L71,"Yes")</f>
        <v/>
      </c>
      <c r="N71" s="12">
        <f>IF(M71&gt;=2,"Yes",IF(M71=1,"Uncertain","No"))</f>
        <v/>
      </c>
      <c r="O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1">
        <f>COUNTIF(D72:L72,"Yes")</f>
        <v/>
      </c>
      <c r="N72" s="12">
        <f>IF(M72&gt;=2,"Yes",IF(M72=1,"Uncertain","No"))</f>
        <v/>
      </c>
      <c r="O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1">
        <f>COUNTIF(D73:L73,"Yes")</f>
        <v/>
      </c>
      <c r="N73" s="12">
        <f>IF(M73&gt;=2,"Yes",IF(M73=1,"Uncertain","No"))</f>
        <v/>
      </c>
      <c r="O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1">
        <f>COUNTIF(D74:L74,"Yes")</f>
        <v/>
      </c>
      <c r="N74" s="12">
        <f>IF(M74&gt;=2,"Yes",IF(M74=1,"Uncertain","No"))</f>
        <v/>
      </c>
      <c r="O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1">
        <f>COUNTIF(D75:L75,"Yes")</f>
        <v/>
      </c>
      <c r="N75" s="12">
        <f>IF(M75&gt;=2,"Yes",IF(M75=1,"Uncertain","No"))</f>
        <v/>
      </c>
      <c r="O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1">
        <f>COUNTIF(D76:L76,"Yes")</f>
        <v/>
      </c>
      <c r="N76" s="12">
        <f>IF(M76&gt;=2,"Yes",IF(M76=1,"Uncertain","No"))</f>
        <v/>
      </c>
      <c r="O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1">
        <f>COUNTIF(D77:L77,"Yes")</f>
        <v/>
      </c>
      <c r="N77" s="12">
        <f>IF(M77&gt;=2,"Yes",IF(M77=1,"Uncertain","No"))</f>
        <v/>
      </c>
      <c r="O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1">
        <f>COUNTIF(D78:L78,"Yes")</f>
        <v/>
      </c>
      <c r="N78" s="12">
        <f>IF(M78&gt;=2,"Yes",IF(M78=1,"Uncertain","No"))</f>
        <v/>
      </c>
      <c r="O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1">
        <f>COUNTIF(D79:L79,"Yes")</f>
        <v/>
      </c>
      <c r="N79" s="12">
        <f>IF(M79&gt;=2,"Yes",IF(M79=1,"Uncertain","No"))</f>
        <v/>
      </c>
      <c r="O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1">
        <f>COUNTIF(D80:L80,"Yes")</f>
        <v/>
      </c>
      <c r="N80" s="12">
        <f>IF(M80&gt;=2,"Yes",IF(M80=1,"Uncertain","No"))</f>
        <v/>
      </c>
      <c r="O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1">
        <f>COUNTIF(D81:L81,"Yes")</f>
        <v/>
      </c>
      <c r="N81" s="12">
        <f>IF(M81&gt;=2,"Yes",IF(M81=1,"Uncertain","No"))</f>
        <v/>
      </c>
      <c r="O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1">
        <f>COUNTIF(D82:L82,"Yes")</f>
        <v/>
      </c>
      <c r="N82" s="12">
        <f>IF(M82&gt;=2,"Yes",IF(M82=1,"Uncertain","No"))</f>
        <v/>
      </c>
      <c r="O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1">
        <f>COUNTIF(D83:L83,"Yes")</f>
        <v/>
      </c>
      <c r="N83" s="12">
        <f>IF(M83&gt;=2,"Yes",IF(M83=1,"Uncertain","No"))</f>
        <v/>
      </c>
      <c r="O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1">
        <f>COUNTIF(D84:L84,"Yes")</f>
        <v/>
      </c>
      <c r="N84" s="12">
        <f>IF(M84&gt;=2,"Yes",IF(M84=1,"Uncertain","No"))</f>
        <v/>
      </c>
      <c r="O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1">
        <f>COUNTIF(D85:L85,"Yes")</f>
        <v/>
      </c>
      <c r="N85" s="12">
        <f>IF(M85&gt;=2,"Yes",IF(M85=1,"Uncertain","No"))</f>
        <v/>
      </c>
      <c r="O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1">
        <f>COUNTIF(D86:L86,"Yes")</f>
        <v/>
      </c>
      <c r="N86" s="12">
        <f>IF(M86&gt;=2,"Yes",IF(M86=1,"Uncertain","No"))</f>
        <v/>
      </c>
      <c r="O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1">
        <f>COUNTIF(D87:L87,"Yes")</f>
        <v/>
      </c>
      <c r="N87" s="12">
        <f>IF(M87&gt;=2,"Yes",IF(M87=1,"Uncertain","No"))</f>
        <v/>
      </c>
      <c r="O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1">
        <f>COUNTIF(D88:L88,"Yes")</f>
        <v/>
      </c>
      <c r="N88" s="12">
        <f>IF(M88&gt;=2,"Yes",IF(M88=1,"Uncertain","No"))</f>
        <v/>
      </c>
      <c r="O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1">
        <f>COUNTIF(D89:L89,"Yes")</f>
        <v/>
      </c>
      <c r="N89" s="12">
        <f>IF(M89&gt;=2,"Yes",IF(M89=1,"Uncertain","No"))</f>
        <v/>
      </c>
      <c r="O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1">
        <f>COUNTIF(D90:L90,"Yes")</f>
        <v/>
      </c>
      <c r="N90" s="12">
        <f>IF(M90&gt;=2,"Yes",IF(M90=1,"Uncertain","No"))</f>
        <v/>
      </c>
      <c r="O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1">
        <f>COUNTIF(D91:L91,"Yes")</f>
        <v/>
      </c>
      <c r="N91" s="12">
        <f>IF(M91&gt;=2,"Yes",IF(M91=1,"Uncertain","No"))</f>
        <v/>
      </c>
      <c r="O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1">
        <f>COUNTIF(D92:L92,"Yes")</f>
        <v/>
      </c>
      <c r="N92" s="12">
        <f>IF(M92&gt;=2,"Yes",IF(M92=1,"Uncertain","No"))</f>
        <v/>
      </c>
      <c r="O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1">
        <f>COUNTIF(D93:L93,"Yes")</f>
        <v/>
      </c>
      <c r="N93" s="12">
        <f>IF(M93&gt;=2,"Yes",IF(M93=1,"Uncertain","No"))</f>
        <v/>
      </c>
      <c r="O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1">
        <f>COUNTIF(D94:L94,"Yes")</f>
        <v/>
      </c>
      <c r="N94" s="12">
        <f>IF(M94&gt;=2,"Yes",IF(M94=1,"Uncertain","No"))</f>
        <v/>
      </c>
      <c r="O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1">
        <f>COUNTIF(D95:L95,"Yes")</f>
        <v/>
      </c>
      <c r="N95" s="12">
        <f>IF(M95&gt;=2,"Yes",IF(M95=1,"Uncertain","No"))</f>
        <v/>
      </c>
      <c r="O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1">
        <f>COUNTIF(D96:L96,"Yes")</f>
        <v/>
      </c>
      <c r="N96" s="12">
        <f>IF(M96&gt;=2,"Yes",IF(M96=1,"Uncertain","No"))</f>
        <v/>
      </c>
      <c r="O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1">
        <f>COUNTIF(D97:L97,"Yes")</f>
        <v/>
      </c>
      <c r="N97" s="12">
        <f>IF(M97&gt;=2,"Yes",IF(M97=1,"Uncertain","No"))</f>
        <v/>
      </c>
      <c r="O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1">
        <f>COUNTIF(D98:L98,"Yes")</f>
        <v/>
      </c>
      <c r="N98" s="12">
        <f>IF(M98&gt;=2,"Yes",IF(M98=1,"Uncertain","No"))</f>
        <v/>
      </c>
      <c r="O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1">
        <f>COUNTIF(D99:L99,"Yes")</f>
        <v/>
      </c>
      <c r="N99" s="12">
        <f>IF(M99&gt;=2,"Yes",IF(M99=1,"Uncertain","No"))</f>
        <v/>
      </c>
      <c r="O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1">
        <f>COUNTIF(D100:L100,"Yes")</f>
        <v/>
      </c>
      <c r="N100" s="12">
        <f>IF(M100&gt;=2,"Yes",IF(M100=1,"Uncertain","No"))</f>
        <v/>
      </c>
      <c r="O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1">
        <f>COUNTIF(D101:L101,"Yes")</f>
        <v/>
      </c>
      <c r="N101" s="12">
        <f>IF(M101&gt;=2,"Yes",IF(M101=1,"Uncertain","No"))</f>
        <v/>
      </c>
      <c r="O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1">
        <f>COUNTIF(D102:L102,"Yes")</f>
        <v/>
      </c>
      <c r="N102" s="12">
        <f>IF(M102&gt;=2,"Yes",IF(M102=1,"Uncertain","No"))</f>
        <v/>
      </c>
      <c r="O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1">
        <f>COUNTIF(D103:L103,"Yes")</f>
        <v/>
      </c>
      <c r="N103" s="12">
        <f>IF(M103&gt;=2,"Yes",IF(M103=1,"Uncertain","No"))</f>
        <v/>
      </c>
      <c r="O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1">
        <f>COUNTIF(D104:L104,"Yes")</f>
        <v/>
      </c>
      <c r="N104" s="12">
        <f>IF(M104&gt;=2,"Yes",IF(M104=1,"Uncertain","No"))</f>
        <v/>
      </c>
      <c r="O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1">
        <f>COUNTIF(D105:L105,"Yes")</f>
        <v/>
      </c>
      <c r="N105" s="12">
        <f>IF(M105&gt;=2,"Yes",IF(M105=1,"Uncertain","No"))</f>
        <v/>
      </c>
      <c r="O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1">
        <f>COUNTIF(D106:L106,"Yes")</f>
        <v/>
      </c>
      <c r="N106" s="12">
        <f>IF(M106&gt;=2,"Yes",IF(M106=1,"Uncertain","No"))</f>
        <v/>
      </c>
      <c r="O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1">
        <f>COUNTIF(D107:L107,"Yes")</f>
        <v/>
      </c>
      <c r="N107" s="12">
        <f>IF(M107&gt;=2,"Yes",IF(M107=1,"Uncertain","No"))</f>
        <v/>
      </c>
      <c r="O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1">
        <f>COUNTIF(D108:L108,"Yes")</f>
        <v/>
      </c>
      <c r="N108" s="12">
        <f>IF(M108&gt;=2,"Yes",IF(M108=1,"Uncertain","No"))</f>
        <v/>
      </c>
      <c r="O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1">
        <f>COUNTIF(D109:L109,"Yes")</f>
        <v/>
      </c>
      <c r="N109" s="12">
        <f>IF(M109&gt;=2,"Yes",IF(M109=1,"Uncertain","No"))</f>
        <v/>
      </c>
      <c r="O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1">
        <f>COUNTIF(D110:L110,"Yes")</f>
        <v/>
      </c>
      <c r="N110" s="12">
        <f>IF(M110&gt;=2,"Yes",IF(M110=1,"Uncertain","No"))</f>
        <v/>
      </c>
      <c r="O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1">
        <f>COUNTIF(D111:L111,"Yes")</f>
        <v/>
      </c>
      <c r="N111" s="12">
        <f>IF(M111&gt;=2,"Yes",IF(M111=1,"Uncertain","No"))</f>
        <v/>
      </c>
      <c r="O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1">
        <f>COUNTIF(D112:L112,"Yes")</f>
        <v/>
      </c>
      <c r="N112" s="12">
        <f>IF(M112&gt;=2,"Yes",IF(M112=1,"Uncertain","No"))</f>
        <v/>
      </c>
      <c r="O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1">
        <f>COUNTIF(D113:L113,"Yes")</f>
        <v/>
      </c>
      <c r="N113" s="12">
        <f>IF(M113&gt;=2,"Yes",IF(M113=1,"Uncertain","No"))</f>
        <v/>
      </c>
      <c r="O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1">
        <f>COUNTIF(D114:L114,"Yes")</f>
        <v/>
      </c>
      <c r="N114" s="12">
        <f>IF(M114&gt;=2,"Yes",IF(M114=1,"Uncertain","No"))</f>
        <v/>
      </c>
      <c r="O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1">
        <f>COUNTIF(D115:L115,"Yes")</f>
        <v/>
      </c>
      <c r="N115" s="12">
        <f>IF(M115&gt;=2,"Yes",IF(M115=1,"Uncertain","No"))</f>
        <v/>
      </c>
      <c r="O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1">
        <f>COUNTIF(D116:L116,"Yes")</f>
        <v/>
      </c>
      <c r="N116" s="12">
        <f>IF(M116&gt;=2,"Yes",IF(M116=1,"Uncertain","No"))</f>
        <v/>
      </c>
      <c r="O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1">
        <f>COUNTIF(D117:L117,"Yes")</f>
        <v/>
      </c>
      <c r="N117" s="12">
        <f>IF(M117&gt;=2,"Yes",IF(M117=1,"Uncertain","No"))</f>
        <v/>
      </c>
      <c r="O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1">
        <f>COUNTIF(D118:L118,"Yes")</f>
        <v/>
      </c>
      <c r="N118" s="12">
        <f>IF(M118&gt;=2,"Yes",IF(M118=1,"Uncertain","No"))</f>
        <v/>
      </c>
      <c r="O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1">
        <f>COUNTIF(D119:L119,"Yes")</f>
        <v/>
      </c>
      <c r="N119" s="12">
        <f>IF(M119&gt;=2,"Yes",IF(M119=1,"Uncertain","No"))</f>
        <v/>
      </c>
      <c r="O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1">
        <f>COUNTIF(D120:L120,"Yes")</f>
        <v/>
      </c>
      <c r="N120" s="12">
        <f>IF(M120&gt;=2,"Yes",IF(M120=1,"Uncertain","No"))</f>
        <v/>
      </c>
      <c r="O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1">
        <f>COUNTIF(D121:L121,"Yes")</f>
        <v/>
      </c>
      <c r="N121" s="12">
        <f>IF(M121&gt;=2,"Yes",IF(M121=1,"Uncertain","No"))</f>
        <v/>
      </c>
      <c r="O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1">
        <f>COUNTIF(D122:L122,"Yes")</f>
        <v/>
      </c>
      <c r="N122" s="12">
        <f>IF(M122&gt;=2,"Yes",IF(M122=1,"Uncertain","No"))</f>
        <v/>
      </c>
      <c r="O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1">
        <f>COUNTIF(D123:L123,"Yes")</f>
        <v/>
      </c>
      <c r="N123" s="12">
        <f>IF(M123&gt;=2,"Yes",IF(M123=1,"Uncertain","No"))</f>
        <v/>
      </c>
      <c r="O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1">
        <f>COUNTIF(D124:L124,"Yes")</f>
        <v/>
      </c>
      <c r="N124" s="12">
        <f>IF(M124&gt;=2,"Yes",IF(M124=1,"Uncertain","No"))</f>
        <v/>
      </c>
      <c r="O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1">
        <f>COUNTIF(D125:L125,"Yes")</f>
        <v/>
      </c>
      <c r="N125" s="12">
        <f>IF(M125&gt;=2,"Yes",IF(M125=1,"Uncertain","No"))</f>
        <v/>
      </c>
      <c r="O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1">
        <f>COUNTIF(D126:L126,"Yes")</f>
        <v/>
      </c>
      <c r="N126" s="12">
        <f>IF(M126&gt;=2,"Yes",IF(M126=1,"Uncertain","No"))</f>
        <v/>
      </c>
      <c r="O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1">
        <f>COUNTIF(D127:L127,"Yes")</f>
        <v/>
      </c>
      <c r="N127" s="12">
        <f>IF(M127&gt;=2,"Yes",IF(M127=1,"Uncertain","No"))</f>
        <v/>
      </c>
      <c r="O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1">
        <f>COUNTIF(D128:L128,"Yes")</f>
        <v/>
      </c>
      <c r="N128" s="12">
        <f>IF(M128&gt;=2,"Yes",IF(M128=1,"Uncertain","No"))</f>
        <v/>
      </c>
      <c r="O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1">
        <f>COUNTIF(D129:L129,"Yes")</f>
        <v/>
      </c>
      <c r="N129" s="12">
        <f>IF(M129&gt;=2,"Yes",IF(M129=1,"Uncertain","No"))</f>
        <v/>
      </c>
      <c r="O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1">
        <f>COUNTIF(D130:L130,"Yes")</f>
        <v/>
      </c>
      <c r="N130" s="12">
        <f>IF(M130&gt;=2,"Yes",IF(M130=1,"Uncertain","No"))</f>
        <v/>
      </c>
      <c r="O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1">
        <f>COUNTIF(D131:L131,"Yes")</f>
        <v/>
      </c>
      <c r="N131" s="12">
        <f>IF(M131&gt;=2,"Yes",IF(M131=1,"Uncertain","No"))</f>
        <v/>
      </c>
      <c r="O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1">
        <f>COUNTIF(D132:L132,"Yes")</f>
        <v/>
      </c>
      <c r="N132" s="12">
        <f>IF(M132&gt;=2,"Yes",IF(M132=1,"Uncertain","No"))</f>
        <v/>
      </c>
      <c r="O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1">
        <f>COUNTIF(D133:L133,"Yes")</f>
        <v/>
      </c>
      <c r="N133" s="12">
        <f>IF(M133&gt;=2,"Yes",IF(M133=1,"Uncertain","No"))</f>
        <v/>
      </c>
      <c r="O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1">
        <f>COUNTIF(D134:L134,"Yes")</f>
        <v/>
      </c>
      <c r="N134" s="12">
        <f>IF(M134&gt;=2,"Yes",IF(M134=1,"Uncertain","No"))</f>
        <v/>
      </c>
      <c r="O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1">
        <f>COUNTIF(D135:L135,"Yes")</f>
        <v/>
      </c>
      <c r="N135" s="12">
        <f>IF(M135&gt;=2,"Yes",IF(M135=1,"Uncertain","No"))</f>
        <v/>
      </c>
      <c r="O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1">
        <f>COUNTIF(D136:L136,"Yes")</f>
        <v/>
      </c>
      <c r="N136" s="12">
        <f>IF(M136&gt;=2,"Yes",IF(M136=1,"Uncertain","No"))</f>
        <v/>
      </c>
      <c r="O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1">
        <f>COUNTIF(D137:L137,"Yes")</f>
        <v/>
      </c>
      <c r="N137" s="12">
        <f>IF(M137&gt;=2,"Yes",IF(M137=1,"Uncertain","No"))</f>
        <v/>
      </c>
      <c r="O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1">
        <f>COUNTIF(D138:L138,"Yes")</f>
        <v/>
      </c>
      <c r="N138" s="12">
        <f>IF(M138&gt;=2,"Yes",IF(M138=1,"Uncertain","No"))</f>
        <v/>
      </c>
      <c r="O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1">
        <f>COUNTIF(D139:L139,"Yes")</f>
        <v/>
      </c>
      <c r="N139" s="12">
        <f>IF(M139&gt;=2,"Yes",IF(M139=1,"Uncertain","No"))</f>
        <v/>
      </c>
      <c r="O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1">
        <f>COUNTIF(D140:L140,"Yes")</f>
        <v/>
      </c>
      <c r="N140" s="12">
        <f>IF(M140&gt;=2,"Yes",IF(M140=1,"Uncertain","No"))</f>
        <v/>
      </c>
      <c r="O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1">
        <f>COUNTIF(D141:L141,"Yes")</f>
        <v/>
      </c>
      <c r="N141" s="12">
        <f>IF(M141&gt;=2,"Yes",IF(M141=1,"Uncertain","No"))</f>
        <v/>
      </c>
      <c r="O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1">
        <f>COUNTIF(D142:L142,"Yes")</f>
        <v/>
      </c>
      <c r="N142" s="12">
        <f>IF(M142&gt;=2,"Yes",IF(M142=1,"Uncertain","No"))</f>
        <v/>
      </c>
      <c r="O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1">
        <f>COUNTIF(D143:L143,"Yes")</f>
        <v/>
      </c>
      <c r="N143" s="12">
        <f>IF(M143&gt;=2,"Yes",IF(M143=1,"Uncertain","No"))</f>
        <v/>
      </c>
      <c r="O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1">
        <f>COUNTIF(D144:L144,"Yes")</f>
        <v/>
      </c>
      <c r="N144" s="12">
        <f>IF(M144&gt;=2,"Yes",IF(M144=1,"Uncertain","No"))</f>
        <v/>
      </c>
      <c r="O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1">
        <f>COUNTIF(D145:L145,"Yes")</f>
        <v/>
      </c>
      <c r="N145" s="12">
        <f>IF(M145&gt;=2,"Yes",IF(M145=1,"Uncertain","No"))</f>
        <v/>
      </c>
      <c r="O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1">
        <f>COUNTIF(D146:L146,"Yes")</f>
        <v/>
      </c>
      <c r="N146" s="12">
        <f>IF(M146&gt;=2,"Yes",IF(M146=1,"Uncertain","No"))</f>
        <v/>
      </c>
      <c r="O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1">
        <f>COUNTIF(D147:L147,"Yes")</f>
        <v/>
      </c>
      <c r="N147" s="12">
        <f>IF(M147&gt;=2,"Yes",IF(M147=1,"Uncertain","No"))</f>
        <v/>
      </c>
      <c r="O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1">
        <f>COUNTIF(D148:L148,"Yes")</f>
        <v/>
      </c>
      <c r="N148" s="12">
        <f>IF(M148&gt;=2,"Yes",IF(M148=1,"Uncertain","No"))</f>
        <v/>
      </c>
      <c r="O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1">
        <f>COUNTIF(D149:L149,"Yes")</f>
        <v/>
      </c>
      <c r="N149" s="12">
        <f>IF(M149&gt;=2,"Yes",IF(M149=1,"Uncertain","No"))</f>
        <v/>
      </c>
      <c r="O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1">
        <f>COUNTIF(D150:L150,"Yes")</f>
        <v/>
      </c>
      <c r="N150" s="12">
        <f>IF(M150&gt;=2,"Yes",IF(M150=1,"Uncertain","No"))</f>
        <v/>
      </c>
      <c r="O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1">
        <f>COUNTIF(D151:L151,"Yes")</f>
        <v/>
      </c>
      <c r="N151" s="12">
        <f>IF(M151&gt;=2,"Yes",IF(M151=1,"Uncertain","No"))</f>
        <v/>
      </c>
      <c r="O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1">
        <f>COUNTIF(D152:L152,"Yes")</f>
        <v/>
      </c>
      <c r="N152" s="12">
        <f>IF(M152&gt;=2,"Yes",IF(M152=1,"Uncertain","No"))</f>
        <v/>
      </c>
      <c r="O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1">
        <f>COUNTIF(D153:L153,"Yes")</f>
        <v/>
      </c>
      <c r="N153" s="12">
        <f>IF(M153&gt;=2,"Yes",IF(M153=1,"Uncertain","No"))</f>
        <v/>
      </c>
      <c r="O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1">
        <f>COUNTIF(D154:L154,"Yes")</f>
        <v/>
      </c>
      <c r="N154" s="12">
        <f>IF(M154&gt;=2,"Yes",IF(M154=1,"Uncertain","No"))</f>
        <v/>
      </c>
      <c r="O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1">
        <f>COUNTIF(D155:L155,"Yes")</f>
        <v/>
      </c>
      <c r="N155" s="12">
        <f>IF(M155&gt;=2,"Yes",IF(M155=1,"Uncertain","No"))</f>
        <v/>
      </c>
      <c r="O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1">
        <f>COUNTIF(D156:L156,"Yes")</f>
        <v/>
      </c>
      <c r="N156" s="12">
        <f>IF(M156&gt;=2,"Yes",IF(M156=1,"Uncertain","No"))</f>
        <v/>
      </c>
      <c r="O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1">
        <f>COUNTIF(D157:L157,"Yes")</f>
        <v/>
      </c>
      <c r="N157" s="12">
        <f>IF(M157&gt;=2,"Yes",IF(M157=1,"Uncertain","No"))</f>
        <v/>
      </c>
      <c r="O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1">
        <f>COUNTIF(D158:L158,"Yes")</f>
        <v/>
      </c>
      <c r="N158" s="12">
        <f>IF(M158&gt;=2,"Yes",IF(M158=1,"Uncertain","No"))</f>
        <v/>
      </c>
      <c r="O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1">
        <f>COUNTIF(D159:L159,"Yes")</f>
        <v/>
      </c>
      <c r="N159" s="12">
        <f>IF(M159&gt;=2,"Yes",IF(M159=1,"Uncertain","No"))</f>
        <v/>
      </c>
      <c r="O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1">
        <f>COUNTIF(D160:L160,"Yes")</f>
        <v/>
      </c>
      <c r="N160" s="12">
        <f>IF(M160&gt;=2,"Yes",IF(M160=1,"Uncertain","No"))</f>
        <v/>
      </c>
      <c r="O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1">
        <f>COUNTIF(D161:L161,"Yes")</f>
        <v/>
      </c>
      <c r="N161" s="12">
        <f>IF(M161&gt;=2,"Yes",IF(M161=1,"Uncertain","No"))</f>
        <v/>
      </c>
      <c r="O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1">
        <f>COUNTIF(D162:L162,"Yes")</f>
        <v/>
      </c>
      <c r="N162" s="12">
        <f>IF(M162&gt;=2,"Yes",IF(M162=1,"Uncertain","No"))</f>
        <v/>
      </c>
      <c r="O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1">
        <f>COUNTIF(D163:L163,"Yes")</f>
        <v/>
      </c>
      <c r="N163" s="12">
        <f>IF(M163&gt;=2,"Yes",IF(M163=1,"Uncertain","No"))</f>
        <v/>
      </c>
      <c r="O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1">
        <f>COUNTIF(D164:L164,"Yes")</f>
        <v/>
      </c>
      <c r="N164" s="12">
        <f>IF(M164&gt;=2,"Yes",IF(M164=1,"Uncertain","No"))</f>
        <v/>
      </c>
      <c r="O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1">
        <f>COUNTIF(D165:L165,"Yes")</f>
        <v/>
      </c>
      <c r="N165" s="12">
        <f>IF(M165&gt;=2,"Yes",IF(M165=1,"Uncertain","No"))</f>
        <v/>
      </c>
      <c r="O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1">
        <f>COUNTIF(D166:L166,"Yes")</f>
        <v/>
      </c>
      <c r="N166" s="12">
        <f>IF(M166&gt;=2,"Yes",IF(M166=1,"Uncertain","No"))</f>
        <v/>
      </c>
      <c r="O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1">
        <f>COUNTIF(D167:L167,"Yes")</f>
        <v/>
      </c>
      <c r="N167" s="12">
        <f>IF(M167&gt;=2,"Yes",IF(M167=1,"Uncertain","No"))</f>
        <v/>
      </c>
      <c r="O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1">
        <f>COUNTIF(D168:L168,"Yes")</f>
        <v/>
      </c>
      <c r="N168" s="12">
        <f>IF(M168&gt;=2,"Yes",IF(M168=1,"Uncertain","No"))</f>
        <v/>
      </c>
      <c r="O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1">
        <f>COUNTIF(D169:L169,"Yes")</f>
        <v/>
      </c>
      <c r="N169" s="12">
        <f>IF(M169&gt;=2,"Yes",IF(M169=1,"Uncertain","No"))</f>
        <v/>
      </c>
      <c r="O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1">
        <f>COUNTIF(D170:L170,"Yes")</f>
        <v/>
      </c>
      <c r="N170" s="12">
        <f>IF(M170&gt;=2,"Yes",IF(M170=1,"Uncertain","No"))</f>
        <v/>
      </c>
      <c r="O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1">
        <f>COUNTIF(D171:L171,"Yes")</f>
        <v/>
      </c>
      <c r="N171" s="12">
        <f>IF(M171&gt;=2,"Yes",IF(M171=1,"Uncertain","No"))</f>
        <v/>
      </c>
      <c r="O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1">
        <f>COUNTIF(D172:L172,"Yes")</f>
        <v/>
      </c>
      <c r="N172" s="12">
        <f>IF(M172&gt;=2,"Yes",IF(M172=1,"Uncertain","No"))</f>
        <v/>
      </c>
      <c r="O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1">
        <f>COUNTIF(D173:L173,"Yes")</f>
        <v/>
      </c>
      <c r="N173" s="12">
        <f>IF(M173&gt;=2,"Yes",IF(M173=1,"Uncertain","No"))</f>
        <v/>
      </c>
      <c r="O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1">
        <f>COUNTIF(D174:L174,"Yes")</f>
        <v/>
      </c>
      <c r="N174" s="12">
        <f>IF(M174&gt;=2,"Yes",IF(M174=1,"Uncertain","No"))</f>
        <v/>
      </c>
      <c r="O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1">
        <f>COUNTIF(D175:L175,"Yes")</f>
        <v/>
      </c>
      <c r="N175" s="12">
        <f>IF(M175&gt;=2,"Yes",IF(M175=1,"Uncertain","No"))</f>
        <v/>
      </c>
      <c r="O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1">
        <f>COUNTIF(D176:L176,"Yes")</f>
        <v/>
      </c>
      <c r="N176" s="12">
        <f>IF(M176&gt;=2,"Yes",IF(M176=1,"Uncertain","No"))</f>
        <v/>
      </c>
      <c r="O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1">
        <f>COUNTIF(D177:L177,"Yes")</f>
        <v/>
      </c>
      <c r="N177" s="12">
        <f>IF(M177&gt;=2,"Yes",IF(M177=1,"Uncertain","No"))</f>
        <v/>
      </c>
      <c r="O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1">
        <f>COUNTIF(D178:L178,"Yes")</f>
        <v/>
      </c>
      <c r="N178" s="12">
        <f>IF(M178&gt;=2,"Yes",IF(M178=1,"Uncertain","No"))</f>
        <v/>
      </c>
      <c r="O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1">
        <f>COUNTIF(D179:L179,"Yes")</f>
        <v/>
      </c>
      <c r="N179" s="12">
        <f>IF(M179&gt;=2,"Yes",IF(M179=1,"Uncertain","No"))</f>
        <v/>
      </c>
      <c r="O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1">
        <f>COUNTIF(D180:L180,"Yes")</f>
        <v/>
      </c>
      <c r="N180" s="12">
        <f>IF(M180&gt;=2,"Yes",IF(M180=1,"Uncertain","No"))</f>
        <v/>
      </c>
      <c r="O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1">
        <f>COUNTIF(D181:L181,"Yes")</f>
        <v/>
      </c>
      <c r="N181" s="12">
        <f>IF(M181&gt;=2,"Yes",IF(M181=1,"Uncertain","No"))</f>
        <v/>
      </c>
      <c r="O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1">
        <f>COUNTIF(D182:L182,"Yes")</f>
        <v/>
      </c>
      <c r="N182" s="12">
        <f>IF(M182&gt;=2,"Yes",IF(M182=1,"Uncertain","No"))</f>
        <v/>
      </c>
      <c r="O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1">
        <f>COUNTIF(D183:L183,"Yes")</f>
        <v/>
      </c>
      <c r="N183" s="12">
        <f>IF(M183&gt;=2,"Yes",IF(M183=1,"Uncertain","No"))</f>
        <v/>
      </c>
      <c r="O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1">
        <f>COUNTIF(D184:L184,"Yes")</f>
        <v/>
      </c>
      <c r="N184" s="12">
        <f>IF(M184&gt;=2,"Yes",IF(M184=1,"Uncertain","No"))</f>
        <v/>
      </c>
      <c r="O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1">
        <f>COUNTIF(D185:L185,"Yes")</f>
        <v/>
      </c>
      <c r="N185" s="12">
        <f>IF(M185&gt;=2,"Yes",IF(M185=1,"Uncertain","No"))</f>
        <v/>
      </c>
      <c r="O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1">
        <f>COUNTIF(D186:L186,"Yes")</f>
        <v/>
      </c>
      <c r="N186" s="12">
        <f>IF(M186&gt;=2,"Yes",IF(M186=1,"Uncertain","No"))</f>
        <v/>
      </c>
      <c r="O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1">
        <f>COUNTIF(D187:L187,"Yes")</f>
        <v/>
      </c>
      <c r="N187" s="12">
        <f>IF(M187&gt;=2,"Yes",IF(M187=1,"Uncertain","No"))</f>
        <v/>
      </c>
      <c r="O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1">
        <f>COUNTIF(D188:L188,"Yes")</f>
        <v/>
      </c>
      <c r="N188" s="12">
        <f>IF(M188&gt;=2,"Yes",IF(M188=1,"Uncertain","No"))</f>
        <v/>
      </c>
      <c r="O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1">
        <f>COUNTIF(D189:L189,"Yes")</f>
        <v/>
      </c>
      <c r="N189" s="12">
        <f>IF(M189&gt;=2,"Yes",IF(M189=1,"Uncertain","No"))</f>
        <v/>
      </c>
      <c r="O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1">
        <f>COUNTIF(D190:L190,"Yes")</f>
        <v/>
      </c>
      <c r="N190" s="12">
        <f>IF(M190&gt;=2,"Yes",IF(M190=1,"Uncertain","No"))</f>
        <v/>
      </c>
      <c r="O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1">
        <f>COUNTIF(D191:L191,"Yes")</f>
        <v/>
      </c>
      <c r="N191" s="12">
        <f>IF(M191&gt;=2,"Yes",IF(M191=1,"Uncertain","No"))</f>
        <v/>
      </c>
      <c r="O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1">
        <f>COUNTIF(D192:L192,"Yes")</f>
        <v/>
      </c>
      <c r="N192" s="12">
        <f>IF(M192&gt;=2,"Yes",IF(M192=1,"Uncertain","No"))</f>
        <v/>
      </c>
      <c r="O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1">
        <f>COUNTIF(D193:L193,"Yes")</f>
        <v/>
      </c>
      <c r="N193" s="12">
        <f>IF(M193&gt;=2,"Yes",IF(M193=1,"Uncertain","No"))</f>
        <v/>
      </c>
      <c r="O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1">
        <f>COUNTIF(D194:L194,"Yes")</f>
        <v/>
      </c>
      <c r="N194" s="12">
        <f>IF(M194&gt;=2,"Yes",IF(M194=1,"Uncertain","No"))</f>
        <v/>
      </c>
      <c r="O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1">
        <f>COUNTIF(D195:L195,"Yes")</f>
        <v/>
      </c>
      <c r="N195" s="12">
        <f>IF(M195&gt;=2,"Yes",IF(M195=1,"Uncertain","No"))</f>
        <v/>
      </c>
      <c r="O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1">
        <f>COUNTIF(D196:L196,"Yes")</f>
        <v/>
      </c>
      <c r="N196" s="12">
        <f>IF(M196&gt;=2,"Yes",IF(M196=1,"Uncertain","No"))</f>
        <v/>
      </c>
      <c r="O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1">
        <f>COUNTIF(D197:L197,"Yes")</f>
        <v/>
      </c>
      <c r="N197" s="12">
        <f>IF(M197&gt;=2,"Yes",IF(M197=1,"Uncertain","No"))</f>
        <v/>
      </c>
      <c r="O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1">
        <f>COUNTIF(D198:L198,"Yes")</f>
        <v/>
      </c>
      <c r="N198" s="12">
        <f>IF(M198&gt;=2,"Yes",IF(M198=1,"Uncertain","No"))</f>
        <v/>
      </c>
      <c r="O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1">
        <f>COUNTIF(D199:L199,"Yes")</f>
        <v/>
      </c>
      <c r="N199" s="12">
        <f>IF(M199&gt;=2,"Yes",IF(M199=1,"Uncertain","No"))</f>
        <v/>
      </c>
      <c r="O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1">
        <f>COUNTIF(D200:L200,"Yes")</f>
        <v/>
      </c>
      <c r="N200" s="12">
        <f>IF(M200&gt;=2,"Yes",IF(M200=1,"Uncertain","No"))</f>
        <v/>
      </c>
      <c r="O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1">
        <f>COUNTIF(D201:L201,"Yes")</f>
        <v/>
      </c>
      <c r="N201" s="12">
        <f>IF(M201&gt;=2,"Yes",IF(M201=1,"Uncertain","No"))</f>
        <v/>
      </c>
      <c r="O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1">
        <f>COUNTIF(D202:L202,"Yes")</f>
        <v/>
      </c>
      <c r="N202" s="12">
        <f>IF(M202&gt;=2,"Yes",IF(M202=1,"Uncertain","No"))</f>
        <v/>
      </c>
      <c r="O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1">
        <f>COUNTIF(D203:L203,"Yes")</f>
        <v/>
      </c>
      <c r="N203" s="12">
        <f>IF(M203&gt;=2,"Yes",IF(M203=1,"Uncertain","No"))</f>
        <v/>
      </c>
      <c r="O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1">
        <f>COUNTIF(D204:L204,"Yes")</f>
        <v/>
      </c>
      <c r="N204" s="12">
        <f>IF(M204&gt;=2,"Yes",IF(M204=1,"Uncertain","No"))</f>
        <v/>
      </c>
      <c r="O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1">
        <f>COUNTIF(D205:L205,"Yes")</f>
        <v/>
      </c>
      <c r="N205" s="12">
        <f>IF(M205&gt;=2,"Yes",IF(M205=1,"Uncertain","No"))</f>
        <v/>
      </c>
      <c r="O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1">
        <f>COUNTIF(D206:L206,"Yes")</f>
        <v/>
      </c>
      <c r="N206" s="12">
        <f>IF(M206&gt;=2,"Yes",IF(M206=1,"Uncertain","No"))</f>
        <v/>
      </c>
      <c r="O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1">
        <f>COUNTIF(D207:L207,"Yes")</f>
        <v/>
      </c>
      <c r="N207" s="12">
        <f>IF(M207&gt;=2,"Yes",IF(M207=1,"Uncertain","No"))</f>
        <v/>
      </c>
      <c r="O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1">
        <f>COUNTIF(D208:L208,"Yes")</f>
        <v/>
      </c>
      <c r="N208" s="12">
        <f>IF(M208&gt;=2,"Yes",IF(M208=1,"Uncertain","No"))</f>
        <v/>
      </c>
      <c r="O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1">
        <f>COUNTIF(D209:L209,"Yes")</f>
        <v/>
      </c>
      <c r="N209" s="12">
        <f>IF(M209&gt;=2,"Yes",IF(M209=1,"Uncertain","No"))</f>
        <v/>
      </c>
      <c r="O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1">
        <f>COUNTIF(D210:L210,"Yes")</f>
        <v/>
      </c>
      <c r="N210" s="12">
        <f>IF(M210&gt;=2,"Yes",IF(M210=1,"Uncertain","No"))</f>
        <v/>
      </c>
      <c r="O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1">
        <f>COUNTIF(D211:L211,"Yes")</f>
        <v/>
      </c>
      <c r="N211" s="12">
        <f>IF(M211&gt;=2,"Yes",IF(M211=1,"Uncertain","No"))</f>
        <v/>
      </c>
      <c r="O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1">
        <f>COUNTIF(D212:L212,"Yes")</f>
        <v/>
      </c>
      <c r="N212" s="12">
        <f>IF(M212&gt;=2,"Yes",IF(M212=1,"Uncertain","No"))</f>
        <v/>
      </c>
      <c r="O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1">
        <f>COUNTIF(D213:L213,"Yes")</f>
        <v/>
      </c>
      <c r="N213" s="12">
        <f>IF(M213&gt;=2,"Yes",IF(M213=1,"Uncertain","No"))</f>
        <v/>
      </c>
      <c r="O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1">
        <f>COUNTIF(D214:L214,"Yes")</f>
        <v/>
      </c>
      <c r="N214" s="12">
        <f>IF(M214&gt;=2,"Yes",IF(M214=1,"Uncertain","No"))</f>
        <v/>
      </c>
      <c r="O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1">
        <f>COUNTIF(D215:L215,"Yes")</f>
        <v/>
      </c>
      <c r="N215" s="12">
        <f>IF(M215&gt;=2,"Yes",IF(M215=1,"Uncertain","No"))</f>
        <v/>
      </c>
      <c r="O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1">
        <f>COUNTIF(D216:L216,"Yes")</f>
        <v/>
      </c>
      <c r="N216" s="12">
        <f>IF(M216&gt;=2,"Yes",IF(M216=1,"Uncertain","No"))</f>
        <v/>
      </c>
      <c r="O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1">
        <f>COUNTIF(D217:L217,"Yes")</f>
        <v/>
      </c>
      <c r="N217" s="12">
        <f>IF(M217&gt;=2,"Yes",IF(M217=1,"Uncertain","No"))</f>
        <v/>
      </c>
      <c r="O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1">
        <f>COUNTIF(D218:L218,"Yes")</f>
        <v/>
      </c>
      <c r="N218" s="12">
        <f>IF(M218&gt;=2,"Yes",IF(M218=1,"Uncertain","No"))</f>
        <v/>
      </c>
      <c r="O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1">
        <f>COUNTIF(D219:L219,"Yes")</f>
        <v/>
      </c>
      <c r="N219" s="12">
        <f>IF(M219&gt;=2,"Yes",IF(M219=1,"Uncertain","No"))</f>
        <v/>
      </c>
      <c r="O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1">
        <f>COUNTIF(D220:L220,"Yes")</f>
        <v/>
      </c>
      <c r="N220" s="12">
        <f>IF(M220&gt;=2,"Yes",IF(M220=1,"Uncertain","No"))</f>
        <v/>
      </c>
      <c r="O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1">
        <f>COUNTIF(D221:L221,"Yes")</f>
        <v/>
      </c>
      <c r="N221" s="12">
        <f>IF(M221&gt;=2,"Yes",IF(M221=1,"Uncertain","No"))</f>
        <v/>
      </c>
      <c r="O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1">
        <f>COUNTIF(D222:L222,"Yes")</f>
        <v/>
      </c>
      <c r="N222" s="12">
        <f>IF(M222&gt;=2,"Yes",IF(M222=1,"Uncertain","No"))</f>
        <v/>
      </c>
      <c r="O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1">
        <f>COUNTIF(D223:L223,"Yes")</f>
        <v/>
      </c>
      <c r="N223" s="12">
        <f>IF(M223&gt;=2,"Yes",IF(M223=1,"Uncertain","No"))</f>
        <v/>
      </c>
      <c r="O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1">
        <f>COUNTIF(D224:L224,"Yes")</f>
        <v/>
      </c>
      <c r="N224" s="12">
        <f>IF(M224&gt;=2,"Yes",IF(M224=1,"Uncertain","No"))</f>
        <v/>
      </c>
      <c r="O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1">
        <f>COUNTIF(D225:L225,"Yes")</f>
        <v/>
      </c>
      <c r="N225" s="12">
        <f>IF(M225&gt;=2,"Yes",IF(M225=1,"Uncertain","No"))</f>
        <v/>
      </c>
      <c r="O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1">
        <f>COUNTIF(D226:L226,"Yes")</f>
        <v/>
      </c>
      <c r="N226" s="12">
        <f>IF(M226&gt;=2,"Yes",IF(M226=1,"Uncertain","No"))</f>
        <v/>
      </c>
      <c r="O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1">
        <f>COUNTIF(D227:L227,"Yes")</f>
        <v/>
      </c>
      <c r="N227" s="12">
        <f>IF(M227&gt;=2,"Yes",IF(M227=1,"Uncertain","No"))</f>
        <v/>
      </c>
      <c r="O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1">
        <f>COUNTIF(D228:L228,"Yes")</f>
        <v/>
      </c>
      <c r="N228" s="12">
        <f>IF(M228&gt;=2,"Yes",IF(M228=1,"Uncertain","No"))</f>
        <v/>
      </c>
      <c r="O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1">
        <f>COUNTIF(D229:L229,"Yes")</f>
        <v/>
      </c>
      <c r="N229" s="12">
        <f>IF(M229&gt;=2,"Yes",IF(M229=1,"Uncertain","No"))</f>
        <v/>
      </c>
      <c r="O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1">
        <f>COUNTIF(D230:L230,"Yes")</f>
        <v/>
      </c>
      <c r="N230" s="12">
        <f>IF(M230&gt;=2,"Yes",IF(M230=1,"Uncertain","No"))</f>
        <v/>
      </c>
      <c r="O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1">
        <f>COUNTIF(D231:L231,"Yes")</f>
        <v/>
      </c>
      <c r="N231" s="12">
        <f>IF(M231&gt;=2,"Yes",IF(M231=1,"Uncertain","No"))</f>
        <v/>
      </c>
      <c r="O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1">
        <f>COUNTIF(D232:L232,"Yes")</f>
        <v/>
      </c>
      <c r="N232" s="12">
        <f>IF(M232&gt;=2,"Yes",IF(M232=1,"Uncertain","No"))</f>
        <v/>
      </c>
      <c r="O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1">
        <f>COUNTIF(D233:L233,"Yes")</f>
        <v/>
      </c>
      <c r="N233" s="12">
        <f>IF(M233&gt;=2,"Yes",IF(M233=1,"Uncertain","No"))</f>
        <v/>
      </c>
      <c r="O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1">
        <f>COUNTIF(D234:L234,"Yes")</f>
        <v/>
      </c>
      <c r="N234" s="12">
        <f>IF(M234&gt;=2,"Yes",IF(M234=1,"Uncertain","No"))</f>
        <v/>
      </c>
      <c r="O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1">
        <f>COUNTIF(D235:L235,"Yes")</f>
        <v/>
      </c>
      <c r="N235" s="12">
        <f>IF(M235&gt;=2,"Yes",IF(M235=1,"Uncertain","No"))</f>
        <v/>
      </c>
      <c r="O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1">
        <f>COUNTIF(D236:L236,"Yes")</f>
        <v/>
      </c>
      <c r="N236" s="12">
        <f>IF(M236&gt;=2,"Yes",IF(M236=1,"Uncertain","No"))</f>
        <v/>
      </c>
      <c r="O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1">
        <f>COUNTIF(D237:L237,"Yes")</f>
        <v/>
      </c>
      <c r="N237" s="12">
        <f>IF(M237&gt;=2,"Yes",IF(M237=1,"Uncertain","No"))</f>
        <v/>
      </c>
      <c r="O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1">
        <f>COUNTIF(D238:L238,"Yes")</f>
        <v/>
      </c>
      <c r="N238" s="12">
        <f>IF(M238&gt;=2,"Yes",IF(M238=1,"Uncertain","No"))</f>
        <v/>
      </c>
      <c r="O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1">
        <f>COUNTIF(D239:L239,"Yes")</f>
        <v/>
      </c>
      <c r="N239" s="12">
        <f>IF(M239&gt;=2,"Yes",IF(M239=1,"Uncertain","No"))</f>
        <v/>
      </c>
      <c r="O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1">
        <f>COUNTIF(D240:L240,"Yes")</f>
        <v/>
      </c>
      <c r="N240" s="12">
        <f>IF(M240&gt;=2,"Yes",IF(M240=1,"Uncertain","No"))</f>
        <v/>
      </c>
      <c r="O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1">
        <f>COUNTIF(D241:L241,"Yes")</f>
        <v/>
      </c>
      <c r="N241" s="12">
        <f>IF(M241&gt;=2,"Yes",IF(M241=1,"Uncertain","No"))</f>
        <v/>
      </c>
      <c r="O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1">
        <f>COUNTIF(D242:L242,"Yes")</f>
        <v/>
      </c>
      <c r="N242" s="12">
        <f>IF(M242&gt;=2,"Yes",IF(M242=1,"Uncertain","No"))</f>
        <v/>
      </c>
      <c r="O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1">
        <f>COUNTIF(D243:L243,"Yes")</f>
        <v/>
      </c>
      <c r="N243" s="12">
        <f>IF(M243&gt;=2,"Yes",IF(M243=1,"Uncertain","No"))</f>
        <v/>
      </c>
      <c r="O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1">
        <f>COUNTIF(D244:L244,"Yes")</f>
        <v/>
      </c>
      <c r="N244" s="12">
        <f>IF(M244&gt;=2,"Yes",IF(M244=1,"Uncertain","No"))</f>
        <v/>
      </c>
      <c r="O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1">
        <f>COUNTIF(D245:L245,"Yes")</f>
        <v/>
      </c>
      <c r="N245" s="12">
        <f>IF(M245&gt;=2,"Yes",IF(M245=1,"Uncertain","No"))</f>
        <v/>
      </c>
      <c r="O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1">
        <f>COUNTIF(D246:L246,"Yes")</f>
        <v/>
      </c>
      <c r="N246" s="12">
        <f>IF(M246&gt;=2,"Yes",IF(M246=1,"Uncertain","No"))</f>
        <v/>
      </c>
      <c r="O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1">
        <f>COUNTIF(D247:L247,"Yes")</f>
        <v/>
      </c>
      <c r="N247" s="12">
        <f>IF(M247&gt;=2,"Yes",IF(M247=1,"Uncertain","No"))</f>
        <v/>
      </c>
      <c r="O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1">
        <f>COUNTIF(D248:L248,"Yes")</f>
        <v/>
      </c>
      <c r="N248" s="12">
        <f>IF(M248&gt;=2,"Yes",IF(M248=1,"Uncertain","No"))</f>
        <v/>
      </c>
      <c r="O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1">
        <f>COUNTIF(D249:L249,"Yes")</f>
        <v/>
      </c>
      <c r="N249" s="12">
        <f>IF(M249&gt;=2,"Yes",IF(M249=1,"Uncertain","No"))</f>
        <v/>
      </c>
      <c r="O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1">
        <f>COUNTIF(D250:L250,"Yes")</f>
        <v/>
      </c>
      <c r="N250" s="12">
        <f>IF(M250&gt;=2,"Yes",IF(M250=1,"Uncertain","No"))</f>
        <v/>
      </c>
      <c r="O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1">
        <f>COUNTIF(D251:L251,"Yes")</f>
        <v/>
      </c>
      <c r="N251" s="12">
        <f>IF(M251&gt;=2,"Yes",IF(M251=1,"Uncertain","No"))</f>
        <v/>
      </c>
      <c r="O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1">
        <f>COUNTIF(D252:L252,"Yes")</f>
        <v/>
      </c>
      <c r="N252" s="12">
        <f>IF(M252&gt;=2,"Yes",IF(M252=1,"Uncertain","No"))</f>
        <v/>
      </c>
      <c r="O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1">
        <f>COUNTIF(D253:L253,"Yes")</f>
        <v/>
      </c>
      <c r="N253" s="12">
        <f>IF(M253&gt;=2,"Yes",IF(M253=1,"Uncertain","No"))</f>
        <v/>
      </c>
      <c r="O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1">
        <f>COUNTIF(D254:L254,"Yes")</f>
        <v/>
      </c>
      <c r="N254" s="12">
        <f>IF(M254&gt;=2,"Yes",IF(M254=1,"Uncertain","No"))</f>
        <v/>
      </c>
      <c r="O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1">
        <f>COUNTIF(D255:L255,"Yes")</f>
        <v/>
      </c>
      <c r="N255" s="12">
        <f>IF(M255&gt;=2,"Yes",IF(M255=1,"Uncertain","No"))</f>
        <v/>
      </c>
      <c r="O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1">
        <f>COUNTIF(D256:L256,"Yes")</f>
        <v/>
      </c>
      <c r="N256" s="12">
        <f>IF(M256&gt;=2,"Yes",IF(M256=1,"Uncertain","No"))</f>
        <v/>
      </c>
      <c r="O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1">
        <f>COUNTIF(D257:L257,"Yes")</f>
        <v/>
      </c>
      <c r="N257" s="12">
        <f>IF(M257&gt;=2,"Yes",IF(M257=1,"Uncertain","No"))</f>
        <v/>
      </c>
      <c r="O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1">
        <f>COUNTIF(D258:L258,"Yes")</f>
        <v/>
      </c>
      <c r="N258" s="12">
        <f>IF(M258&gt;=2,"Yes",IF(M258=1,"Uncertain","No"))</f>
        <v/>
      </c>
      <c r="O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1">
        <f>COUNTIF(D259:L259,"Yes")</f>
        <v/>
      </c>
      <c r="N259" s="12">
        <f>IF(M259&gt;=2,"Yes",IF(M259=1,"Uncertain","No"))</f>
        <v/>
      </c>
      <c r="O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1">
        <f>COUNTIF(D260:L260,"Yes")</f>
        <v/>
      </c>
      <c r="N260" s="12">
        <f>IF(M260&gt;=2,"Yes",IF(M260=1,"Uncertain","No"))</f>
        <v/>
      </c>
      <c r="O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1">
        <f>COUNTIF(D261:L261,"Yes")</f>
        <v/>
      </c>
      <c r="N261" s="12">
        <f>IF(M261&gt;=2,"Yes",IF(M261=1,"Uncertain","No"))</f>
        <v/>
      </c>
      <c r="O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1">
        <f>COUNTIF(D262:L262,"Yes")</f>
        <v/>
      </c>
      <c r="N262" s="12">
        <f>IF(M262&gt;=2,"Yes",IF(M262=1,"Uncertain","No"))</f>
        <v/>
      </c>
      <c r="O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1">
        <f>COUNTIF(D263:L263,"Yes")</f>
        <v/>
      </c>
      <c r="N263" s="12">
        <f>IF(M263&gt;=2,"Yes",IF(M263=1,"Uncertain","No"))</f>
        <v/>
      </c>
      <c r="O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1">
        <f>COUNTIF(D264:L264,"Yes")</f>
        <v/>
      </c>
      <c r="N264" s="12">
        <f>IF(M264&gt;=2,"Yes",IF(M264=1,"Uncertain","No"))</f>
        <v/>
      </c>
      <c r="O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1">
        <f>COUNTIF(D265:L265,"Yes")</f>
        <v/>
      </c>
      <c r="N265" s="12">
        <f>IF(M265&gt;=2,"Yes",IF(M265=1,"Uncertain","No"))</f>
        <v/>
      </c>
      <c r="O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1">
        <f>COUNTIF(D266:L266,"Yes")</f>
        <v/>
      </c>
      <c r="N266" s="12">
        <f>IF(M266&gt;=2,"Yes",IF(M266=1,"Uncertain","No"))</f>
        <v/>
      </c>
      <c r="O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1">
        <f>COUNTIF(D267:L267,"Yes")</f>
        <v/>
      </c>
      <c r="N267" s="12">
        <f>IF(M267&gt;=2,"Yes",IF(M267=1,"Uncertain","No"))</f>
        <v/>
      </c>
      <c r="O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1">
        <f>COUNTIF(D268:L268,"Yes")</f>
        <v/>
      </c>
      <c r="N268" s="12">
        <f>IF(M268&gt;=2,"Yes",IF(M268=1,"Uncertain","No"))</f>
        <v/>
      </c>
      <c r="O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1">
        <f>COUNTIF(D269:L269,"Yes")</f>
        <v/>
      </c>
      <c r="N269" s="12">
        <f>IF(M269&gt;=2,"Yes",IF(M269=1,"Uncertain","No"))</f>
        <v/>
      </c>
      <c r="O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1">
        <f>COUNTIF(D270:L270,"Yes")</f>
        <v/>
      </c>
      <c r="N270" s="12">
        <f>IF(M270&gt;=2,"Yes",IF(M270=1,"Uncertain","No"))</f>
        <v/>
      </c>
      <c r="O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1">
        <f>COUNTIF(D271:L271,"Yes")</f>
        <v/>
      </c>
      <c r="N271" s="12">
        <f>IF(M271&gt;=2,"Yes",IF(M271=1,"Uncertain","No"))</f>
        <v/>
      </c>
      <c r="O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1">
        <f>COUNTIF(D272:L272,"Yes")</f>
        <v/>
      </c>
      <c r="N272" s="12">
        <f>IF(M272&gt;=2,"Yes",IF(M272=1,"Uncertain","No"))</f>
        <v/>
      </c>
      <c r="O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1">
        <f>COUNTIF(D273:L273,"Yes")</f>
        <v/>
      </c>
      <c r="N273" s="12">
        <f>IF(M273&gt;=2,"Yes",IF(M273=1,"Uncertain","No"))</f>
        <v/>
      </c>
      <c r="O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1">
        <f>COUNTIF(D274:L274,"Yes")</f>
        <v/>
      </c>
      <c r="N274" s="12">
        <f>IF(M274&gt;=2,"Yes",IF(M274=1,"Uncertain","No"))</f>
        <v/>
      </c>
      <c r="O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1">
        <f>COUNTIF(D275:L275,"Yes")</f>
        <v/>
      </c>
      <c r="N275" s="12">
        <f>IF(M275&gt;=2,"Yes",IF(M275=1,"Uncertain","No"))</f>
        <v/>
      </c>
      <c r="O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1">
        <f>COUNTIF(D276:L276,"Yes")</f>
        <v/>
      </c>
      <c r="N276" s="12">
        <f>IF(M276&gt;=2,"Yes",IF(M276=1,"Uncertain","No"))</f>
        <v/>
      </c>
      <c r="O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1">
        <f>COUNTIF(D277:L277,"Yes")</f>
        <v/>
      </c>
      <c r="N277" s="12">
        <f>IF(M277&gt;=2,"Yes",IF(M277=1,"Uncertain","No"))</f>
        <v/>
      </c>
      <c r="O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1">
        <f>COUNTIF(D278:L278,"Yes")</f>
        <v/>
      </c>
      <c r="N278" s="12">
        <f>IF(M278&gt;=2,"Yes",IF(M278=1,"Uncertain","No"))</f>
        <v/>
      </c>
      <c r="O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1">
        <f>COUNTIF(D279:L279,"Yes")</f>
        <v/>
      </c>
      <c r="N279" s="12">
        <f>IF(M279&gt;=2,"Yes",IF(M279=1,"Uncertain","No"))</f>
        <v/>
      </c>
      <c r="O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1">
        <f>COUNTIF(D280:L280,"Yes")</f>
        <v/>
      </c>
      <c r="N280" s="12">
        <f>IF(M280&gt;=2,"Yes",IF(M280=1,"Uncertain","No"))</f>
        <v/>
      </c>
      <c r="O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1">
        <f>COUNTIF(D281:L281,"Yes")</f>
        <v/>
      </c>
      <c r="N281" s="12">
        <f>IF(M281&gt;=2,"Yes",IF(M281=1,"Uncertain","No"))</f>
        <v/>
      </c>
      <c r="O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1">
        <f>COUNTIF(D282:L282,"Yes")</f>
        <v/>
      </c>
      <c r="N282" s="12">
        <f>IF(M282&gt;=2,"Yes",IF(M282=1,"Uncertain","No"))</f>
        <v/>
      </c>
      <c r="O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1">
        <f>COUNTIF(D283:L283,"Yes")</f>
        <v/>
      </c>
      <c r="N283" s="12">
        <f>IF(M283&gt;=2,"Yes",IF(M283=1,"Uncertain","No"))</f>
        <v/>
      </c>
      <c r="O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1">
        <f>COUNTIF(D284:L284,"Yes")</f>
        <v/>
      </c>
      <c r="N284" s="12">
        <f>IF(M284&gt;=2,"Yes",IF(M284=1,"Uncertain","No"))</f>
        <v/>
      </c>
      <c r="O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1">
        <f>COUNTIF(D285:L285,"Yes")</f>
        <v/>
      </c>
      <c r="N285" s="12">
        <f>IF(M285&gt;=2,"Yes",IF(M285=1,"Uncertain","No"))</f>
        <v/>
      </c>
      <c r="O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1">
        <f>COUNTIF(D286:L286,"Yes")</f>
        <v/>
      </c>
      <c r="N286" s="12">
        <f>IF(M286&gt;=2,"Yes",IF(M286=1,"Uncertain","No"))</f>
        <v/>
      </c>
      <c r="O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1">
        <f>COUNTIF(D287:L287,"Yes")</f>
        <v/>
      </c>
      <c r="N287" s="12">
        <f>IF(M287&gt;=2,"Yes",IF(M287=1,"Uncertain","No"))</f>
        <v/>
      </c>
      <c r="O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1">
        <f>COUNTIF(D288:L288,"Yes")</f>
        <v/>
      </c>
      <c r="N288" s="12">
        <f>IF(M288&gt;=2,"Yes",IF(M288=1,"Uncertain","No"))</f>
        <v/>
      </c>
      <c r="O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1">
        <f>COUNTIF(D289:L289,"Yes")</f>
        <v/>
      </c>
      <c r="N289" s="12">
        <f>IF(M289&gt;=2,"Yes",IF(M289=1,"Uncertain","No"))</f>
        <v/>
      </c>
      <c r="O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1">
        <f>COUNTIF(D290:L290,"Yes")</f>
        <v/>
      </c>
      <c r="N290" s="12">
        <f>IF(M290&gt;=2,"Yes",IF(M290=1,"Uncertain","No"))</f>
        <v/>
      </c>
      <c r="O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1">
        <f>COUNTIF(D291:L291,"Yes")</f>
        <v/>
      </c>
      <c r="N291" s="12">
        <f>IF(M291&gt;=2,"Yes",IF(M291=1,"Uncertain","No"))</f>
        <v/>
      </c>
      <c r="O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1">
        <f>COUNTIF(D292:L292,"Yes")</f>
        <v/>
      </c>
      <c r="N292" s="12">
        <f>IF(M292&gt;=2,"Yes",IF(M292=1,"Uncertain","No"))</f>
        <v/>
      </c>
      <c r="O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1">
        <f>COUNTIF(D293:L293,"Yes")</f>
        <v/>
      </c>
      <c r="N293" s="12">
        <f>IF(M293&gt;=2,"Yes",IF(M293=1,"Uncertain","No"))</f>
        <v/>
      </c>
      <c r="O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1">
        <f>COUNTIF(D294:L294,"Yes")</f>
        <v/>
      </c>
      <c r="N294" s="12">
        <f>IF(M294&gt;=2,"Yes",IF(M294=1,"Uncertain","No"))</f>
        <v/>
      </c>
      <c r="O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1">
        <f>COUNTIF(D295:L295,"Yes")</f>
        <v/>
      </c>
      <c r="N295" s="12">
        <f>IF(M295&gt;=2,"Yes",IF(M295=1,"Uncertain","No"))</f>
        <v/>
      </c>
      <c r="O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1">
        <f>COUNTIF(D296:L296,"Yes")</f>
        <v/>
      </c>
      <c r="N296" s="12">
        <f>IF(M296&gt;=2,"Yes",IF(M296=1,"Uncertain","No"))</f>
        <v/>
      </c>
      <c r="O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1">
        <f>COUNTIF(D297:L297,"Yes")</f>
        <v/>
      </c>
      <c r="N297" s="12">
        <f>IF(M297&gt;=2,"Yes",IF(M297=1,"Uncertain","No"))</f>
        <v/>
      </c>
      <c r="O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1">
        <f>COUNTIF(D298:L298,"Yes")</f>
        <v/>
      </c>
      <c r="N298" s="12">
        <f>IF(M298&gt;=2,"Yes",IF(M298=1,"Uncertain","No"))</f>
        <v/>
      </c>
      <c r="O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1">
        <f>COUNTIF(D299:L299,"Yes")</f>
        <v/>
      </c>
      <c r="N299" s="12">
        <f>IF(M299&gt;=2,"Yes",IF(M299=1,"Uncertain","No"))</f>
        <v/>
      </c>
      <c r="O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1">
        <f>COUNTIF(D300:L300,"Yes")</f>
        <v/>
      </c>
      <c r="N300" s="12">
        <f>IF(M300&gt;=2,"Yes",IF(M300=1,"Uncertain","No"))</f>
        <v/>
      </c>
      <c r="O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1">
        <f>COUNTIF(D301:L301,"Yes")</f>
        <v/>
      </c>
      <c r="N301" s="12">
        <f>IF(M301&gt;=2,"Yes",IF(M301=1,"Uncertain","No"))</f>
        <v/>
      </c>
      <c r="O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1">
        <f>COUNTIF(D302:L302,"Yes")</f>
        <v/>
      </c>
      <c r="N302" s="12">
        <f>IF(M302&gt;=2,"Yes",IF(M302=1,"Uncertain","No"))</f>
        <v/>
      </c>
      <c r="O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1">
        <f>COUNTIF(D303:L303,"Yes")</f>
        <v/>
      </c>
      <c r="N303" s="12">
        <f>IF(M303&gt;=2,"Yes",IF(M303=1,"Uncertain","No"))</f>
        <v/>
      </c>
      <c r="O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1">
        <f>COUNTIF(D304:L304,"Yes")</f>
        <v/>
      </c>
      <c r="N304" s="12">
        <f>IF(M304&gt;=2,"Yes",IF(M304=1,"Uncertain","No"))</f>
        <v/>
      </c>
      <c r="O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1">
        <f>COUNTIF(D305:L305,"Yes")</f>
        <v/>
      </c>
      <c r="N305" s="12">
        <f>IF(M305&gt;=2,"Yes",IF(M305=1,"Uncertain","No"))</f>
        <v/>
      </c>
      <c r="O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1">
        <f>COUNTIF(D306:L306,"Yes")</f>
        <v/>
      </c>
      <c r="N306" s="12">
        <f>IF(M306&gt;=2,"Yes",IF(M306=1,"Uncertain","No"))</f>
        <v/>
      </c>
      <c r="O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1">
        <f>COUNTIF(D307:L307,"Yes")</f>
        <v/>
      </c>
      <c r="N307" s="12">
        <f>IF(M307&gt;=2,"Yes",IF(M307=1,"Uncertain","No"))</f>
        <v/>
      </c>
      <c r="O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1">
        <f>COUNTIF(D308:L308,"Yes")</f>
        <v/>
      </c>
      <c r="N308" s="12">
        <f>IF(M308&gt;=2,"Yes",IF(M308=1,"Uncertain","No"))</f>
        <v/>
      </c>
      <c r="O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1">
        <f>COUNTIF(D309:L309,"Yes")</f>
        <v/>
      </c>
      <c r="N309" s="12">
        <f>IF(M309&gt;=2,"Yes",IF(M309=1,"Uncertain","No"))</f>
        <v/>
      </c>
      <c r="O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1">
        <f>COUNTIF(D310:L310,"Yes")</f>
        <v/>
      </c>
      <c r="N310" s="12">
        <f>IF(M310&gt;=2,"Yes",IF(M310=1,"Uncertain","No"))</f>
        <v/>
      </c>
      <c r="O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1">
        <f>COUNTIF(D311:L311,"Yes")</f>
        <v/>
      </c>
      <c r="N311" s="12">
        <f>IF(M311&gt;=2,"Yes",IF(M311=1,"Uncertain","No"))</f>
        <v/>
      </c>
      <c r="O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1">
        <f>COUNTIF(D312:L312,"Yes")</f>
        <v/>
      </c>
      <c r="N312" s="12">
        <f>IF(M312&gt;=2,"Yes",IF(M312=1,"Uncertain","No"))</f>
        <v/>
      </c>
      <c r="O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1">
        <f>COUNTIF(D313:L313,"Yes")</f>
        <v/>
      </c>
      <c r="N313" s="12">
        <f>IF(M313&gt;=2,"Yes",IF(M313=1,"Uncertain","No"))</f>
        <v/>
      </c>
      <c r="O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1">
        <f>COUNTIF(D314:L314,"Yes")</f>
        <v/>
      </c>
      <c r="N314" s="12">
        <f>IF(M314&gt;=2,"Yes",IF(M314=1,"Uncertain","No"))</f>
        <v/>
      </c>
      <c r="O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1">
        <f>COUNTIF(D315:L315,"Yes")</f>
        <v/>
      </c>
      <c r="N315" s="12">
        <f>IF(M315&gt;=2,"Yes",IF(M315=1,"Uncertain","No"))</f>
        <v/>
      </c>
      <c r="O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1">
        <f>COUNTIF(D316:L316,"Yes")</f>
        <v/>
      </c>
      <c r="N316" s="12">
        <f>IF(M316&gt;=2,"Yes",IF(M316=1,"Uncertain","No"))</f>
        <v/>
      </c>
      <c r="O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1">
        <f>COUNTIF(D317:L317,"Yes")</f>
        <v/>
      </c>
      <c r="N317" s="12">
        <f>IF(M317&gt;=2,"Yes",IF(M317=1,"Uncertain","No"))</f>
        <v/>
      </c>
      <c r="O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1">
        <f>COUNTIF(D318:L318,"Yes")</f>
        <v/>
      </c>
      <c r="N318" s="12">
        <f>IF(M318&gt;=2,"Yes",IF(M318=1,"Uncertain","No"))</f>
        <v/>
      </c>
      <c r="O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1">
        <f>COUNTIF(D319:L319,"Yes")</f>
        <v/>
      </c>
      <c r="N319" s="12">
        <f>IF(M319&gt;=2,"Yes",IF(M319=1,"Uncertain","No"))</f>
        <v/>
      </c>
      <c r="O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1">
        <f>COUNTIF(D320:L320,"Yes")</f>
        <v/>
      </c>
      <c r="N320" s="12">
        <f>IF(M320&gt;=2,"Yes",IF(M320=1,"Uncertain","No"))</f>
        <v/>
      </c>
      <c r="O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1">
        <f>COUNTIF(D321:L321,"Yes")</f>
        <v/>
      </c>
      <c r="N321" s="12">
        <f>IF(M321&gt;=2,"Yes",IF(M321=1,"Uncertain","No"))</f>
        <v/>
      </c>
      <c r="O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1">
        <f>COUNTIF(D322:L322,"Yes")</f>
        <v/>
      </c>
      <c r="N322" s="12">
        <f>IF(M322&gt;=2,"Yes",IF(M322=1,"Uncertain","No"))</f>
        <v/>
      </c>
      <c r="O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1">
        <f>COUNTIF(D323:L323,"Yes")</f>
        <v/>
      </c>
      <c r="N323" s="12">
        <f>IF(M323&gt;=2,"Yes",IF(M323=1,"Uncertain","No"))</f>
        <v/>
      </c>
      <c r="O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1">
        <f>COUNTIF(D324:L324,"Yes")</f>
        <v/>
      </c>
      <c r="N324" s="12">
        <f>IF(M324&gt;=2,"Yes",IF(M324=1,"Uncertain","No"))</f>
        <v/>
      </c>
      <c r="O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1">
        <f>COUNTIF(D325:L325,"Yes")</f>
        <v/>
      </c>
      <c r="N325" s="12">
        <f>IF(M325&gt;=2,"Yes",IF(M325=1,"Uncertain","No"))</f>
        <v/>
      </c>
      <c r="O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1">
        <f>COUNTIF(D326:L326,"Yes")</f>
        <v/>
      </c>
      <c r="N326" s="12">
        <f>IF(M326&gt;=2,"Yes",IF(M326=1,"Uncertain","No"))</f>
        <v/>
      </c>
      <c r="O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1">
        <f>COUNTIF(D327:L327,"Yes")</f>
        <v/>
      </c>
      <c r="N327" s="12">
        <f>IF(M327&gt;=2,"Yes",IF(M327=1,"Uncertain","No"))</f>
        <v/>
      </c>
      <c r="O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1">
        <f>COUNTIF(D328:L328,"Yes")</f>
        <v/>
      </c>
      <c r="N328" s="12">
        <f>IF(M328&gt;=2,"Yes",IF(M328=1,"Uncertain","No"))</f>
        <v/>
      </c>
      <c r="O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1">
        <f>COUNTIF(D329:L329,"Yes")</f>
        <v/>
      </c>
      <c r="N329" s="12">
        <f>IF(M329&gt;=2,"Yes",IF(M329=1,"Uncertain","No"))</f>
        <v/>
      </c>
      <c r="O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1">
        <f>COUNTIF(D330:L330,"Yes")</f>
        <v/>
      </c>
      <c r="N330" s="12">
        <f>IF(M330&gt;=2,"Yes",IF(M330=1,"Uncertain","No"))</f>
        <v/>
      </c>
      <c r="O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1">
        <f>COUNTIF(D331:L331,"Yes")</f>
        <v/>
      </c>
      <c r="N331" s="12">
        <f>IF(M331&gt;=2,"Yes",IF(M331=1,"Uncertain","No"))</f>
        <v/>
      </c>
      <c r="O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1">
        <f>COUNTIF(D332:L332,"Yes")</f>
        <v/>
      </c>
      <c r="N332" s="12">
        <f>IF(M332&gt;=2,"Yes",IF(M332=1,"Uncertain","No"))</f>
        <v/>
      </c>
      <c r="O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1">
        <f>COUNTIF(D333:L333,"Yes")</f>
        <v/>
      </c>
      <c r="N333" s="12">
        <f>IF(M333&gt;=2,"Yes",IF(M333=1,"Uncertain","No"))</f>
        <v/>
      </c>
      <c r="O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1">
        <f>COUNTIF(D334:L334,"Yes")</f>
        <v/>
      </c>
      <c r="N334" s="12">
        <f>IF(M334&gt;=2,"Yes",IF(M334=1,"Uncertain","No"))</f>
        <v/>
      </c>
      <c r="O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1">
        <f>COUNTIF(D335:L335,"Yes")</f>
        <v/>
      </c>
      <c r="N335" s="12">
        <f>IF(M335&gt;=2,"Yes",IF(M335=1,"Uncertain","No"))</f>
        <v/>
      </c>
      <c r="O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1">
        <f>COUNTIF(D336:L336,"Yes")</f>
        <v/>
      </c>
      <c r="N336" s="12">
        <f>IF(M336&gt;=2,"Yes",IF(M336=1,"Uncertain","No"))</f>
        <v/>
      </c>
      <c r="O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1">
        <f>COUNTIF(D337:L337,"Yes")</f>
        <v/>
      </c>
      <c r="N337" s="12">
        <f>IF(M337&gt;=2,"Yes",IF(M337=1,"Uncertain","No"))</f>
        <v/>
      </c>
      <c r="O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1">
        <f>COUNTIF(D338:L338,"Yes")</f>
        <v/>
      </c>
      <c r="N338" s="12">
        <f>IF(M338&gt;=2,"Yes",IF(M338=1,"Uncertain","No"))</f>
        <v/>
      </c>
      <c r="O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1">
        <f>COUNTIF(D339:L339,"Yes")</f>
        <v/>
      </c>
      <c r="N339" s="12">
        <f>IF(M339&gt;=2,"Yes",IF(M339=1,"Uncertain","No"))</f>
        <v/>
      </c>
      <c r="O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1">
        <f>COUNTIF(D340:L340,"Yes")</f>
        <v/>
      </c>
      <c r="N340" s="12">
        <f>IF(M340&gt;=2,"Yes",IF(M340=1,"Uncertain","No"))</f>
        <v/>
      </c>
      <c r="O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1">
        <f>COUNTIF(D341:L341,"Yes")</f>
        <v/>
      </c>
      <c r="N341" s="12">
        <f>IF(M341&gt;=2,"Yes",IF(M341=1,"Uncertain","No"))</f>
        <v/>
      </c>
      <c r="O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1">
        <f>COUNTIF(D342:L342,"Yes")</f>
        <v/>
      </c>
      <c r="N342" s="12">
        <f>IF(M342&gt;=2,"Yes",IF(M342=1,"Uncertain","No"))</f>
        <v/>
      </c>
      <c r="O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1">
        <f>COUNTIF(D343:L343,"Yes")</f>
        <v/>
      </c>
      <c r="N343" s="12">
        <f>IF(M343&gt;=2,"Yes",IF(M343=1,"Uncertain","No"))</f>
        <v/>
      </c>
      <c r="O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1">
        <f>COUNTIF(D344:L344,"Yes")</f>
        <v/>
      </c>
      <c r="N344" s="12">
        <f>IF(M344&gt;=2,"Yes",IF(M344=1,"Uncertain","No"))</f>
        <v/>
      </c>
      <c r="O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1">
        <f>COUNTIF(D345:L345,"Yes")</f>
        <v/>
      </c>
      <c r="N345" s="12">
        <f>IF(M345&gt;=2,"Yes",IF(M345=1,"Uncertain","No"))</f>
        <v/>
      </c>
      <c r="O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1">
        <f>COUNTIF(D346:L346,"Yes")</f>
        <v/>
      </c>
      <c r="N346" s="12">
        <f>IF(M346&gt;=2,"Yes",IF(M346=1,"Uncertain","No"))</f>
        <v/>
      </c>
      <c r="O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1">
        <f>COUNTIF(D347:L347,"Yes")</f>
        <v/>
      </c>
      <c r="N347" s="12">
        <f>IF(M347&gt;=2,"Yes",IF(M347=1,"Uncertain","No"))</f>
        <v/>
      </c>
      <c r="O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1">
        <f>COUNTIF(D348:L348,"Yes")</f>
        <v/>
      </c>
      <c r="N348" s="12">
        <f>IF(M348&gt;=2,"Yes",IF(M348=1,"Uncertain","No"))</f>
        <v/>
      </c>
      <c r="O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1">
        <f>COUNTIF(D349:L349,"Yes")</f>
        <v/>
      </c>
      <c r="N349" s="12">
        <f>IF(M349&gt;=2,"Yes",IF(M349=1,"Uncertain","No"))</f>
        <v/>
      </c>
      <c r="O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1">
        <f>COUNTIF(D350:L350,"Yes")</f>
        <v/>
      </c>
      <c r="N350" s="12">
        <f>IF(M350&gt;=2,"Yes",IF(M350=1,"Uncertain","No"))</f>
        <v/>
      </c>
      <c r="O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1">
        <f>COUNTIF(D351:L351,"Yes")</f>
        <v/>
      </c>
      <c r="N351" s="12">
        <f>IF(M351&gt;=2,"Yes",IF(M351=1,"Uncertain","No"))</f>
        <v/>
      </c>
      <c r="O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1">
        <f>COUNTIF(D352:L352,"Yes")</f>
        <v/>
      </c>
      <c r="N352" s="12">
        <f>IF(M352&gt;=2,"Yes",IF(M352=1,"Uncertain","No"))</f>
        <v/>
      </c>
      <c r="O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1">
        <f>COUNTIF(D353:L353,"Yes")</f>
        <v/>
      </c>
      <c r="N353" s="12">
        <f>IF(M353&gt;=2,"Yes",IF(M353=1,"Uncertain","No"))</f>
        <v/>
      </c>
      <c r="O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1">
        <f>COUNTIF(D354:L354,"Yes")</f>
        <v/>
      </c>
      <c r="N354" s="12">
        <f>IF(M354&gt;=2,"Yes",IF(M354=1,"Uncertain","No"))</f>
        <v/>
      </c>
      <c r="O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1">
        <f>COUNTIF(D355:L355,"Yes")</f>
        <v/>
      </c>
      <c r="N355" s="12">
        <f>IF(M355&gt;=2,"Yes",IF(M355=1,"Uncertain","No"))</f>
        <v/>
      </c>
      <c r="O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1">
        <f>COUNTIF(D356:L356,"Yes")</f>
        <v/>
      </c>
      <c r="N356" s="12">
        <f>IF(M356&gt;=2,"Yes",IF(M356=1,"Uncertain","No"))</f>
        <v/>
      </c>
      <c r="O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1">
        <f>COUNTIF(D357:L357,"Yes")</f>
        <v/>
      </c>
      <c r="N357" s="12">
        <f>IF(M357&gt;=2,"Yes",IF(M357=1,"Uncertain","No"))</f>
        <v/>
      </c>
      <c r="O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1">
        <f>COUNTIF(D358:L358,"Yes")</f>
        <v/>
      </c>
      <c r="N358" s="12">
        <f>IF(M358&gt;=2,"Yes",IF(M358=1,"Uncertain","No"))</f>
        <v/>
      </c>
      <c r="O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1">
        <f>COUNTIF(D359:L359,"Yes")</f>
        <v/>
      </c>
      <c r="N359" s="12">
        <f>IF(M359&gt;=2,"Yes",IF(M359=1,"Uncertain","No"))</f>
        <v/>
      </c>
      <c r="O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1">
        <f>COUNTIF(D360:L360,"Yes")</f>
        <v/>
      </c>
      <c r="N360" s="12">
        <f>IF(M360&gt;=2,"Yes",IF(M360=1,"Uncertain","No"))</f>
        <v/>
      </c>
      <c r="O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1">
        <f>COUNTIF(D361:L361,"Yes")</f>
        <v/>
      </c>
      <c r="N361" s="12">
        <f>IF(M361&gt;=2,"Yes",IF(M361=1,"Uncertain","No"))</f>
        <v/>
      </c>
      <c r="O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1">
        <f>COUNTIF(D362:L362,"Yes")</f>
        <v/>
      </c>
      <c r="N362" s="12">
        <f>IF(M362&gt;=2,"Yes",IF(M362=1,"Uncertain","No"))</f>
        <v/>
      </c>
      <c r="O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1">
        <f>COUNTIF(D363:L363,"Yes")</f>
        <v/>
      </c>
      <c r="N363" s="12">
        <f>IF(M363&gt;=2,"Yes",IF(M363=1,"Uncertain","No"))</f>
        <v/>
      </c>
      <c r="O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1">
        <f>COUNTIF(D364:L364,"Yes")</f>
        <v/>
      </c>
      <c r="N364" s="12">
        <f>IF(M364&gt;=2,"Yes",IF(M364=1,"Uncertain","No"))</f>
        <v/>
      </c>
      <c r="O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1">
        <f>COUNTIF(D365:L365,"Yes")</f>
        <v/>
      </c>
      <c r="N365" s="12">
        <f>IF(M365&gt;=2,"Yes",IF(M365=1,"Uncertain","No"))</f>
        <v/>
      </c>
      <c r="O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1">
        <f>COUNTIF(D366:L366,"Yes")</f>
        <v/>
      </c>
      <c r="N366" s="12">
        <f>IF(M366&gt;=2,"Yes",IF(M366=1,"Uncertain","No"))</f>
        <v/>
      </c>
      <c r="O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1">
        <f>COUNTIF(D367:L367,"Yes")</f>
        <v/>
      </c>
      <c r="N367" s="12">
        <f>IF(M367&gt;=2,"Yes",IF(M367=1,"Uncertain","No"))</f>
        <v/>
      </c>
      <c r="O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1">
        <f>COUNTIF(D368:L368,"Yes")</f>
        <v/>
      </c>
      <c r="N368" s="12">
        <f>IF(M368&gt;=2,"Yes",IF(M368=1,"Uncertain","No"))</f>
        <v/>
      </c>
      <c r="O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1">
        <f>COUNTIF(D369:L369,"Yes")</f>
        <v/>
      </c>
      <c r="N369" s="12">
        <f>IF(M369&gt;=2,"Yes",IF(M369=1,"Uncertain","No"))</f>
        <v/>
      </c>
      <c r="O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1">
        <f>COUNTIF(D370:L370,"Yes")</f>
        <v/>
      </c>
      <c r="N370" s="12">
        <f>IF(M370&gt;=2,"Yes",IF(M370=1,"Uncertain","No"))</f>
        <v/>
      </c>
      <c r="O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1">
        <f>COUNTIF(D371:L371,"Yes")</f>
        <v/>
      </c>
      <c r="N371" s="12">
        <f>IF(M371&gt;=2,"Yes",IF(M371=1,"Uncertain","No"))</f>
        <v/>
      </c>
      <c r="O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1">
        <f>COUNTIF(D372:L372,"Yes")</f>
        <v/>
      </c>
      <c r="N372" s="12">
        <f>IF(M372&gt;=2,"Yes",IF(M372=1,"Uncertain","No"))</f>
        <v/>
      </c>
      <c r="O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1">
        <f>COUNTIF(D373:L373,"Yes")</f>
        <v/>
      </c>
      <c r="N373" s="12">
        <f>IF(M373&gt;=2,"Yes",IF(M373=1,"Uncertain","No"))</f>
        <v/>
      </c>
      <c r="O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1">
        <f>COUNTIF(D374:L374,"Yes")</f>
        <v/>
      </c>
      <c r="N374" s="12">
        <f>IF(M374&gt;=2,"Yes",IF(M374=1,"Uncertain","No"))</f>
        <v/>
      </c>
      <c r="O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1">
        <f>COUNTIF(D375:L375,"Yes")</f>
        <v/>
      </c>
      <c r="N375" s="12">
        <f>IF(M375&gt;=2,"Yes",IF(M375=1,"Uncertain","No"))</f>
        <v/>
      </c>
      <c r="O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1">
        <f>COUNTIF(D376:L376,"Yes")</f>
        <v/>
      </c>
      <c r="N376" s="12">
        <f>IF(M376&gt;=2,"Yes",IF(M376=1,"Uncertain","No"))</f>
        <v/>
      </c>
      <c r="O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1">
        <f>COUNTIF(D377:L377,"Yes")</f>
        <v/>
      </c>
      <c r="N377" s="12">
        <f>IF(M377&gt;=2,"Yes",IF(M377=1,"Uncertain","No"))</f>
        <v/>
      </c>
      <c r="O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1">
        <f>COUNTIF(D378:L378,"Yes")</f>
        <v/>
      </c>
      <c r="N378" s="12">
        <f>IF(M378&gt;=2,"Yes",IF(M378=1,"Uncertain","No"))</f>
        <v/>
      </c>
      <c r="O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1">
        <f>COUNTIF(D379:L379,"Yes")</f>
        <v/>
      </c>
      <c r="N379" s="12">
        <f>IF(M379&gt;=2,"Yes",IF(M379=1,"Uncertain","No"))</f>
        <v/>
      </c>
      <c r="O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1">
        <f>COUNTIF(D380:L380,"Yes")</f>
        <v/>
      </c>
      <c r="N380" s="12">
        <f>IF(M380&gt;=2,"Yes",IF(M380=1,"Uncertain","No"))</f>
        <v/>
      </c>
      <c r="O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1">
        <f>COUNTIF(D381:L381,"Yes")</f>
        <v/>
      </c>
      <c r="N381" s="12">
        <f>IF(M381&gt;=2,"Yes",IF(M381=1,"Uncertain","No"))</f>
        <v/>
      </c>
      <c r="O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1">
        <f>COUNTIF(D382:L382,"Yes")</f>
        <v/>
      </c>
      <c r="N382" s="12">
        <f>IF(M382&gt;=2,"Yes",IF(M382=1,"Uncertain","No"))</f>
        <v/>
      </c>
      <c r="O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1">
        <f>COUNTIF(D383:L383,"Yes")</f>
        <v/>
      </c>
      <c r="N383" s="12">
        <f>IF(M383&gt;=2,"Yes",IF(M383=1,"Uncertain","No"))</f>
        <v/>
      </c>
      <c r="O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1">
        <f>COUNTIF(D384:L384,"Yes")</f>
        <v/>
      </c>
      <c r="N384" s="12">
        <f>IF(M384&gt;=2,"Yes",IF(M384=1,"Uncertain","No"))</f>
        <v/>
      </c>
      <c r="O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1">
        <f>COUNTIF(D385:L385,"Yes")</f>
        <v/>
      </c>
      <c r="N385" s="12">
        <f>IF(M385&gt;=2,"Yes",IF(M385=1,"Uncertain","No"))</f>
        <v/>
      </c>
      <c r="O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1">
        <f>COUNTIF(D386:L386,"Yes")</f>
        <v/>
      </c>
      <c r="N386" s="12">
        <f>IF(M386&gt;=2,"Yes",IF(M386=1,"Uncertain","No"))</f>
        <v/>
      </c>
      <c r="O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1">
        <f>COUNTIF(D387:L387,"Yes")</f>
        <v/>
      </c>
      <c r="N387" s="12">
        <f>IF(M387&gt;=2,"Yes",IF(M387=1,"Uncertain","No"))</f>
        <v/>
      </c>
      <c r="O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1">
        <f>COUNTIF(D388:L388,"Yes")</f>
        <v/>
      </c>
      <c r="N388" s="12">
        <f>IF(M388&gt;=2,"Yes",IF(M388=1,"Uncertain","No"))</f>
        <v/>
      </c>
      <c r="O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1">
        <f>COUNTIF(D389:L389,"Yes")</f>
        <v/>
      </c>
      <c r="N389" s="12">
        <f>IF(M389&gt;=2,"Yes",IF(M389=1,"Uncertain","No"))</f>
        <v/>
      </c>
      <c r="O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1">
        <f>COUNTIF(D390:L390,"Yes")</f>
        <v/>
      </c>
      <c r="N390" s="12">
        <f>IF(M390&gt;=2,"Yes",IF(M390=1,"Uncertain","No"))</f>
        <v/>
      </c>
      <c r="O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1">
        <f>COUNTIF(D391:L391,"Yes")</f>
        <v/>
      </c>
      <c r="N391" s="12">
        <f>IF(M391&gt;=2,"Yes",IF(M391=1,"Uncertain","No"))</f>
        <v/>
      </c>
      <c r="O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1">
        <f>COUNTIF(D392:L392,"Yes")</f>
        <v/>
      </c>
      <c r="N392" s="12">
        <f>IF(M392&gt;=2,"Yes",IF(M392=1,"Uncertain","No"))</f>
        <v/>
      </c>
      <c r="O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1">
        <f>COUNTIF(D393:L393,"Yes")</f>
        <v/>
      </c>
      <c r="N393" s="12">
        <f>IF(M393&gt;=2,"Yes",IF(M393=1,"Uncertain","No"))</f>
        <v/>
      </c>
      <c r="O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1">
        <f>COUNTIF(D394:L394,"Yes")</f>
        <v/>
      </c>
      <c r="N394" s="12">
        <f>IF(M394&gt;=2,"Yes",IF(M394=1,"Uncertain","No"))</f>
        <v/>
      </c>
      <c r="O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1">
        <f>COUNTIF(D395:L395,"Yes")</f>
        <v/>
      </c>
      <c r="N395" s="12">
        <f>IF(M395&gt;=2,"Yes",IF(M395=1,"Uncertain","No"))</f>
        <v/>
      </c>
      <c r="O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1">
        <f>COUNTIF(D396:L396,"Yes")</f>
        <v/>
      </c>
      <c r="N396" s="12">
        <f>IF(M396&gt;=2,"Yes",IF(M396=1,"Uncertain","No"))</f>
        <v/>
      </c>
      <c r="O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1">
        <f>COUNTIF(D397:L397,"Yes")</f>
        <v/>
      </c>
      <c r="N397" s="12">
        <f>IF(M397&gt;=2,"Yes",IF(M397=1,"Uncertain","No"))</f>
        <v/>
      </c>
      <c r="O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1">
        <f>COUNTIF(D398:L398,"Yes")</f>
        <v/>
      </c>
      <c r="N398" s="12">
        <f>IF(M398&gt;=2,"Yes",IF(M398=1,"Uncertain","No"))</f>
        <v/>
      </c>
      <c r="O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1">
        <f>COUNTIF(D399:L399,"Yes")</f>
        <v/>
      </c>
      <c r="N399" s="12">
        <f>IF(M399&gt;=2,"Yes",IF(M399=1,"Uncertain","No"))</f>
        <v/>
      </c>
      <c r="O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1">
        <f>COUNTIF(D400:L400,"Yes")</f>
        <v/>
      </c>
      <c r="N400" s="12">
        <f>IF(M400&gt;=2,"Yes",IF(M400=1,"Uncertain","No"))</f>
        <v/>
      </c>
      <c r="O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1">
        <f>COUNTIF(D401:L401,"Yes")</f>
        <v/>
      </c>
      <c r="N401" s="12">
        <f>IF(M401&gt;=2,"Yes",IF(M401=1,"Uncertain","No"))</f>
        <v/>
      </c>
      <c r="O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1">
        <f>COUNTIF(D402:L402,"Yes")</f>
        <v/>
      </c>
      <c r="N402" s="12">
        <f>IF(M402&gt;=2,"Yes",IF(M402=1,"Uncertain","No"))</f>
        <v/>
      </c>
      <c r="O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1">
        <f>COUNTIF(D403:L403,"Yes")</f>
        <v/>
      </c>
      <c r="N403" s="12">
        <f>IF(M403&gt;=2,"Yes",IF(M403=1,"Uncertain","No"))</f>
        <v/>
      </c>
      <c r="O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1">
        <f>COUNTIF(D404:L404,"Yes")</f>
        <v/>
      </c>
      <c r="N404" s="12">
        <f>IF(M404&gt;=2,"Yes",IF(M404=1,"Uncertain","No"))</f>
        <v/>
      </c>
      <c r="O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1">
        <f>COUNTIF(D405:L405,"Yes")</f>
        <v/>
      </c>
      <c r="N405" s="12">
        <f>IF(M405&gt;=2,"Yes",IF(M405=1,"Uncertain","No"))</f>
        <v/>
      </c>
      <c r="O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1">
        <f>COUNTIF(D406:L406,"Yes")</f>
        <v/>
      </c>
      <c r="N406" s="12">
        <f>IF(M406&gt;=2,"Yes",IF(M406=1,"Uncertain","No"))</f>
        <v/>
      </c>
      <c r="O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1">
        <f>COUNTIF(D407:L407,"Yes")</f>
        <v/>
      </c>
      <c r="N407" s="12">
        <f>IF(M407&gt;=2,"Yes",IF(M407=1,"Uncertain","No"))</f>
        <v/>
      </c>
      <c r="O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1">
        <f>COUNTIF(D408:L408,"Yes")</f>
        <v/>
      </c>
      <c r="N408" s="12">
        <f>IF(M408&gt;=2,"Yes",IF(M408=1,"Uncertain","No"))</f>
        <v/>
      </c>
      <c r="O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1">
        <f>COUNTIF(D409:L409,"Yes")</f>
        <v/>
      </c>
      <c r="N409" s="12">
        <f>IF(M409&gt;=2,"Yes",IF(M409=1,"Uncertain","No"))</f>
        <v/>
      </c>
      <c r="O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1">
        <f>COUNTIF(D410:L410,"Yes")</f>
        <v/>
      </c>
      <c r="N410" s="12">
        <f>IF(M410&gt;=2,"Yes",IF(M410=1,"Uncertain","No"))</f>
        <v/>
      </c>
      <c r="O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1">
        <f>COUNTIF(D411:L411,"Yes")</f>
        <v/>
      </c>
      <c r="N411" s="12">
        <f>IF(M411&gt;=2,"Yes",IF(M411=1,"Uncertain","No"))</f>
        <v/>
      </c>
      <c r="O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1">
        <f>COUNTIF(D412:L412,"Yes")</f>
        <v/>
      </c>
      <c r="N412" s="12">
        <f>IF(M412&gt;=2,"Yes",IF(M412=1,"Uncertain","No"))</f>
        <v/>
      </c>
      <c r="O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1">
        <f>COUNTIF(D413:L413,"Yes")</f>
        <v/>
      </c>
      <c r="N413" s="12">
        <f>IF(M413&gt;=2,"Yes",IF(M413=1,"Uncertain","No"))</f>
        <v/>
      </c>
      <c r="O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1">
        <f>COUNTIF(D414:L414,"Yes")</f>
        <v/>
      </c>
      <c r="N414" s="12">
        <f>IF(M414&gt;=2,"Yes",IF(M414=1,"Uncertain","No"))</f>
        <v/>
      </c>
      <c r="O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1">
        <f>COUNTIF(D415:L415,"Yes")</f>
        <v/>
      </c>
      <c r="N415" s="12">
        <f>IF(M415&gt;=2,"Yes",IF(M415=1,"Uncertain","No"))</f>
        <v/>
      </c>
      <c r="O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1">
        <f>COUNTIF(D416:L416,"Yes")</f>
        <v/>
      </c>
      <c r="N416" s="12">
        <f>IF(M416&gt;=2,"Yes",IF(M416=1,"Uncertain","No"))</f>
        <v/>
      </c>
      <c r="O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1">
        <f>COUNTIF(D417:L417,"Yes")</f>
        <v/>
      </c>
      <c r="N417" s="12">
        <f>IF(M417&gt;=2,"Yes",IF(M417=1,"Uncertain","No"))</f>
        <v/>
      </c>
      <c r="O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1">
        <f>COUNTIF(D418:L418,"Yes")</f>
        <v/>
      </c>
      <c r="N418" s="12">
        <f>IF(M418&gt;=2,"Yes",IF(M418=1,"Uncertain","No"))</f>
        <v/>
      </c>
      <c r="O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1">
        <f>COUNTIF(D419:L419,"Yes")</f>
        <v/>
      </c>
      <c r="N419" s="12">
        <f>IF(M419&gt;=2,"Yes",IF(M419=1,"Uncertain","No"))</f>
        <v/>
      </c>
      <c r="O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1">
        <f>COUNTIF(D420:L420,"Yes")</f>
        <v/>
      </c>
      <c r="N420" s="12">
        <f>IF(M420&gt;=2,"Yes",IF(M420=1,"Uncertain","No"))</f>
        <v/>
      </c>
      <c r="O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1">
        <f>COUNTIF(D421:L421,"Yes")</f>
        <v/>
      </c>
      <c r="N421" s="12">
        <f>IF(M421&gt;=2,"Yes",IF(M421=1,"Uncertain","No"))</f>
        <v/>
      </c>
      <c r="O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1">
        <f>COUNTIF(D422:L422,"Yes")</f>
        <v/>
      </c>
      <c r="N422" s="12">
        <f>IF(M422&gt;=2,"Yes",IF(M422=1,"Uncertain","No"))</f>
        <v/>
      </c>
      <c r="O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1">
        <f>COUNTIF(D423:L423,"Yes")</f>
        <v/>
      </c>
      <c r="N423" s="12">
        <f>IF(M423&gt;=2,"Yes",IF(M423=1,"Uncertain","No"))</f>
        <v/>
      </c>
      <c r="O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1">
        <f>COUNTIF(D424:L424,"Yes")</f>
        <v/>
      </c>
      <c r="N424" s="12">
        <f>IF(M424&gt;=2,"Yes",IF(M424=1,"Uncertain","No"))</f>
        <v/>
      </c>
      <c r="O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1">
        <f>COUNTIF(D425:L425,"Yes")</f>
        <v/>
      </c>
      <c r="N425" s="12">
        <f>IF(M425&gt;=2,"Yes",IF(M425=1,"Uncertain","No"))</f>
        <v/>
      </c>
      <c r="O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1">
        <f>COUNTIF(D426:L426,"Yes")</f>
        <v/>
      </c>
      <c r="N426" s="12">
        <f>IF(M426&gt;=2,"Yes",IF(M426=1,"Uncertain","No"))</f>
        <v/>
      </c>
      <c r="O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1">
        <f>COUNTIF(D427:L427,"Yes")</f>
        <v/>
      </c>
      <c r="N427" s="12">
        <f>IF(M427&gt;=2,"Yes",IF(M427=1,"Uncertain","No"))</f>
        <v/>
      </c>
      <c r="O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1">
        <f>COUNTIF(D428:L428,"Yes")</f>
        <v/>
      </c>
      <c r="N428" s="12">
        <f>IF(M428&gt;=2,"Yes",IF(M428=1,"Uncertain","No"))</f>
        <v/>
      </c>
      <c r="O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1">
        <f>COUNTIF(D429:L429,"Yes")</f>
        <v/>
      </c>
      <c r="N429" s="12">
        <f>IF(M429&gt;=2,"Yes",IF(M429=1,"Uncertain","No"))</f>
        <v/>
      </c>
      <c r="O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1">
        <f>COUNTIF(D430:L430,"Yes")</f>
        <v/>
      </c>
      <c r="N430" s="12">
        <f>IF(M430&gt;=2,"Yes",IF(M430=1,"Uncertain","No"))</f>
        <v/>
      </c>
      <c r="O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1">
        <f>COUNTIF(D431:L431,"Yes")</f>
        <v/>
      </c>
      <c r="N431" s="12">
        <f>IF(M431&gt;=2,"Yes",IF(M431=1,"Uncertain","No"))</f>
        <v/>
      </c>
      <c r="O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1">
        <f>COUNTIF(D432:L432,"Yes")</f>
        <v/>
      </c>
      <c r="N432" s="12">
        <f>IF(M432&gt;=2,"Yes",IF(M432=1,"Uncertain","No"))</f>
        <v/>
      </c>
      <c r="O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1">
        <f>COUNTIF(D433:L433,"Yes")</f>
        <v/>
      </c>
      <c r="N433" s="12">
        <f>IF(M433&gt;=2,"Yes",IF(M433=1,"Uncertain","No"))</f>
        <v/>
      </c>
      <c r="O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1">
        <f>COUNTIF(D434:L434,"Yes")</f>
        <v/>
      </c>
      <c r="N434" s="12">
        <f>IF(M434&gt;=2,"Yes",IF(M434=1,"Uncertain","No"))</f>
        <v/>
      </c>
      <c r="O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1">
        <f>COUNTIF(D435:L435,"Yes")</f>
        <v/>
      </c>
      <c r="N435" s="12">
        <f>IF(M435&gt;=2,"Yes",IF(M435=1,"Uncertain","No"))</f>
        <v/>
      </c>
      <c r="O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1">
        <f>COUNTIF(D436:L436,"Yes")</f>
        <v/>
      </c>
      <c r="N436" s="12">
        <f>IF(M436&gt;=2,"Yes",IF(M436=1,"Uncertain","No"))</f>
        <v/>
      </c>
      <c r="O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1">
        <f>COUNTIF(D437:L437,"Yes")</f>
        <v/>
      </c>
      <c r="N437" s="12">
        <f>IF(M437&gt;=2,"Yes",IF(M437=1,"Uncertain","No"))</f>
        <v/>
      </c>
      <c r="O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1">
        <f>COUNTIF(D438:L438,"Yes")</f>
        <v/>
      </c>
      <c r="N438" s="12">
        <f>IF(M438&gt;=2,"Yes",IF(M438=1,"Uncertain","No"))</f>
        <v/>
      </c>
      <c r="O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1">
        <f>COUNTIF(D439:L439,"Yes")</f>
        <v/>
      </c>
      <c r="N439" s="12">
        <f>IF(M439&gt;=2,"Yes",IF(M439=1,"Uncertain","No"))</f>
        <v/>
      </c>
      <c r="O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1">
        <f>COUNTIF(D440:L440,"Yes")</f>
        <v/>
      </c>
      <c r="N440" s="12">
        <f>IF(M440&gt;=2,"Yes",IF(M440=1,"Uncertain","No"))</f>
        <v/>
      </c>
      <c r="O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1">
        <f>COUNTIF(D441:L441,"Yes")</f>
        <v/>
      </c>
      <c r="N441" s="12">
        <f>IF(M441&gt;=2,"Yes",IF(M441=1,"Uncertain","No"))</f>
        <v/>
      </c>
      <c r="O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1">
        <f>COUNTIF(D442:L442,"Yes")</f>
        <v/>
      </c>
      <c r="N442" s="12">
        <f>IF(M442&gt;=2,"Yes",IF(M442=1,"Uncertain","No"))</f>
        <v/>
      </c>
      <c r="O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1">
        <f>COUNTIF(D443:L443,"Yes")</f>
        <v/>
      </c>
      <c r="N443" s="12">
        <f>IF(M443&gt;=2,"Yes",IF(M443=1,"Uncertain","No"))</f>
        <v/>
      </c>
      <c r="O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1">
        <f>COUNTIF(D444:L444,"Yes")</f>
        <v/>
      </c>
      <c r="N444" s="12">
        <f>IF(M444&gt;=2,"Yes",IF(M444=1,"Uncertain","No"))</f>
        <v/>
      </c>
      <c r="O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1">
        <f>COUNTIF(D445:L445,"Yes")</f>
        <v/>
      </c>
      <c r="N445" s="12">
        <f>IF(M445&gt;=2,"Yes",IF(M445=1,"Uncertain","No"))</f>
        <v/>
      </c>
      <c r="O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1">
        <f>COUNTIF(D446:L446,"Yes")</f>
        <v/>
      </c>
      <c r="N446" s="12">
        <f>IF(M446&gt;=2,"Yes",IF(M446=1,"Uncertain","No"))</f>
        <v/>
      </c>
      <c r="O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1">
        <f>COUNTIF(D447:L447,"Yes")</f>
        <v/>
      </c>
      <c r="N447" s="12">
        <f>IF(M447&gt;=2,"Yes",IF(M447=1,"Uncertain","No"))</f>
        <v/>
      </c>
      <c r="O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1">
        <f>COUNTIF(D448:L448,"Yes")</f>
        <v/>
      </c>
      <c r="N448" s="12">
        <f>IF(M448&gt;=2,"Yes",IF(M448=1,"Uncertain","No"))</f>
        <v/>
      </c>
      <c r="O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1">
        <f>COUNTIF(D449:L449,"Yes")</f>
        <v/>
      </c>
      <c r="N449" s="12">
        <f>IF(M449&gt;=2,"Yes",IF(M449=1,"Uncertain","No"))</f>
        <v/>
      </c>
      <c r="O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1">
        <f>COUNTIF(D450:L450,"Yes")</f>
        <v/>
      </c>
      <c r="N450" s="12">
        <f>IF(M450&gt;=2,"Yes",IF(M450=1,"Uncertain","No"))</f>
        <v/>
      </c>
      <c r="O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1">
        <f>COUNTIF(D451:L451,"Yes")</f>
        <v/>
      </c>
      <c r="N451" s="12">
        <f>IF(M451&gt;=2,"Yes",IF(M451=1,"Uncertain","No"))</f>
        <v/>
      </c>
      <c r="O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1">
        <f>COUNTIF(D452:L452,"Yes")</f>
        <v/>
      </c>
      <c r="N452" s="12">
        <f>IF(M452&gt;=2,"Yes",IF(M452=1,"Uncertain","No"))</f>
        <v/>
      </c>
      <c r="O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1">
        <f>COUNTIF(D453:L453,"Yes")</f>
        <v/>
      </c>
      <c r="N453" s="12">
        <f>IF(M453&gt;=2,"Yes",IF(M453=1,"Uncertain","No"))</f>
        <v/>
      </c>
      <c r="O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1">
        <f>COUNTIF(D454:L454,"Yes")</f>
        <v/>
      </c>
      <c r="N454" s="12">
        <f>IF(M454&gt;=2,"Yes",IF(M454=1,"Uncertain","No"))</f>
        <v/>
      </c>
      <c r="O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1">
        <f>COUNTIF(D455:L455,"Yes")</f>
        <v/>
      </c>
      <c r="N455" s="12">
        <f>IF(M455&gt;=2,"Yes",IF(M455=1,"Uncertain","No"))</f>
        <v/>
      </c>
      <c r="O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1">
        <f>COUNTIF(D456:L456,"Yes")</f>
        <v/>
      </c>
      <c r="N456" s="12">
        <f>IF(M456&gt;=2,"Yes",IF(M456=1,"Uncertain","No"))</f>
        <v/>
      </c>
      <c r="O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1">
        <f>COUNTIF(D457:L457,"Yes")</f>
        <v/>
      </c>
      <c r="N457" s="12">
        <f>IF(M457&gt;=2,"Yes",IF(M457=1,"Uncertain","No"))</f>
        <v/>
      </c>
      <c r="O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1">
        <f>COUNTIF(D458:L458,"Yes")</f>
        <v/>
      </c>
      <c r="N458" s="12">
        <f>IF(M458&gt;=2,"Yes",IF(M458=1,"Uncertain","No"))</f>
        <v/>
      </c>
      <c r="O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1">
        <f>COUNTIF(D459:L459,"Yes")</f>
        <v/>
      </c>
      <c r="N459" s="12">
        <f>IF(M459&gt;=2,"Yes",IF(M459=1,"Uncertain","No"))</f>
        <v/>
      </c>
      <c r="O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1">
        <f>COUNTIF(D460:L460,"Yes")</f>
        <v/>
      </c>
      <c r="N460" s="12">
        <f>IF(M460&gt;=2,"Yes",IF(M460=1,"Uncertain","No"))</f>
        <v/>
      </c>
      <c r="O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1">
        <f>COUNTIF(D461:L461,"Yes")</f>
        <v/>
      </c>
      <c r="N461" s="12">
        <f>IF(M461&gt;=2,"Yes",IF(M461=1,"Uncertain","No"))</f>
        <v/>
      </c>
      <c r="O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1">
        <f>COUNTIF(D462:L462,"Yes")</f>
        <v/>
      </c>
      <c r="N462" s="12">
        <f>IF(M462&gt;=2,"Yes",IF(M462=1,"Uncertain","No"))</f>
        <v/>
      </c>
      <c r="O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1">
        <f>COUNTIF(D463:L463,"Yes")</f>
        <v/>
      </c>
      <c r="N463" s="12">
        <f>IF(M463&gt;=2,"Yes",IF(M463=1,"Uncertain","No"))</f>
        <v/>
      </c>
      <c r="O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1">
        <f>COUNTIF(D464:L464,"Yes")</f>
        <v/>
      </c>
      <c r="N464" s="12">
        <f>IF(M464&gt;=2,"Yes",IF(M464=1,"Uncertain","No"))</f>
        <v/>
      </c>
      <c r="O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1">
        <f>COUNTIF(D465:L465,"Yes")</f>
        <v/>
      </c>
      <c r="N465" s="12">
        <f>IF(M465&gt;=2,"Yes",IF(M465=1,"Uncertain","No"))</f>
        <v/>
      </c>
      <c r="O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1">
        <f>COUNTIF(D466:L466,"Yes")</f>
        <v/>
      </c>
      <c r="N466" s="12">
        <f>IF(M466&gt;=2,"Yes",IF(M466=1,"Uncertain","No"))</f>
        <v/>
      </c>
      <c r="O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1">
        <f>COUNTIF(D467:L467,"Yes")</f>
        <v/>
      </c>
      <c r="N467" s="12">
        <f>IF(M467&gt;=2,"Yes",IF(M467=1,"Uncertain","No"))</f>
        <v/>
      </c>
      <c r="O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1">
        <f>COUNTIF(D468:L468,"Yes")</f>
        <v/>
      </c>
      <c r="N468" s="12">
        <f>IF(M468&gt;=2,"Yes",IF(M468=1,"Uncertain","No"))</f>
        <v/>
      </c>
      <c r="O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1">
        <f>COUNTIF(D469:L469,"Yes")</f>
        <v/>
      </c>
      <c r="N469" s="12">
        <f>IF(M469&gt;=2,"Yes",IF(M469=1,"Uncertain","No"))</f>
        <v/>
      </c>
      <c r="O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1">
        <f>COUNTIF(D470:L470,"Yes")</f>
        <v/>
      </c>
      <c r="N470" s="12">
        <f>IF(M470&gt;=2,"Yes",IF(M470=1,"Uncertain","No"))</f>
        <v/>
      </c>
      <c r="O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1">
        <f>COUNTIF(D471:L471,"Yes")</f>
        <v/>
      </c>
      <c r="N471" s="12">
        <f>IF(M471&gt;=2,"Yes",IF(M471=1,"Uncertain","No"))</f>
        <v/>
      </c>
      <c r="O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1">
        <f>COUNTIF(D472:L472,"Yes")</f>
        <v/>
      </c>
      <c r="N472" s="12">
        <f>IF(M472&gt;=2,"Yes",IF(M472=1,"Uncertain","No"))</f>
        <v/>
      </c>
      <c r="O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1">
        <f>COUNTIF(D473:L473,"Yes")</f>
        <v/>
      </c>
      <c r="N473" s="12">
        <f>IF(M473&gt;=2,"Yes",IF(M473=1,"Uncertain","No"))</f>
        <v/>
      </c>
      <c r="O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1">
        <f>COUNTIF(D474:L474,"Yes")</f>
        <v/>
      </c>
      <c r="N474" s="12">
        <f>IF(M474&gt;=2,"Yes",IF(M474=1,"Uncertain","No"))</f>
        <v/>
      </c>
      <c r="O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1">
        <f>COUNTIF(D475:L475,"Yes")</f>
        <v/>
      </c>
      <c r="N475" s="12">
        <f>IF(M475&gt;=2,"Yes",IF(M475=1,"Uncertain","No"))</f>
        <v/>
      </c>
      <c r="O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1">
        <f>COUNTIF(D476:L476,"Yes")</f>
        <v/>
      </c>
      <c r="N476" s="12">
        <f>IF(M476&gt;=2,"Yes",IF(M476=1,"Uncertain","No"))</f>
        <v/>
      </c>
      <c r="O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1">
        <f>COUNTIF(D477:L477,"Yes")</f>
        <v/>
      </c>
      <c r="N477" s="12">
        <f>IF(M477&gt;=2,"Yes",IF(M477=1,"Uncertain","No"))</f>
        <v/>
      </c>
      <c r="O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1">
        <f>COUNTIF(D478:L478,"Yes")</f>
        <v/>
      </c>
      <c r="N478" s="12">
        <f>IF(M478&gt;=2,"Yes",IF(M478=1,"Uncertain","No"))</f>
        <v/>
      </c>
      <c r="O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1">
        <f>COUNTIF(D479:L479,"Yes")</f>
        <v/>
      </c>
      <c r="N479" s="12">
        <f>IF(M479&gt;=2,"Yes",IF(M479=1,"Uncertain","No"))</f>
        <v/>
      </c>
      <c r="O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1">
        <f>COUNTIF(D480:L480,"Yes")</f>
        <v/>
      </c>
      <c r="N480" s="12">
        <f>IF(M480&gt;=2,"Yes",IF(M480=1,"Uncertain","No"))</f>
        <v/>
      </c>
      <c r="O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1">
        <f>COUNTIF(D481:L481,"Yes")</f>
        <v/>
      </c>
      <c r="N481" s="12">
        <f>IF(M481&gt;=2,"Yes",IF(M481=1,"Uncertain","No"))</f>
        <v/>
      </c>
      <c r="O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1">
        <f>COUNTIF(D482:L482,"Yes")</f>
        <v/>
      </c>
      <c r="N482" s="12">
        <f>IF(M482&gt;=2,"Yes",IF(M482=1,"Uncertain","No"))</f>
        <v/>
      </c>
      <c r="O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1">
        <f>COUNTIF(D483:L483,"Yes")</f>
        <v/>
      </c>
      <c r="N483" s="12">
        <f>IF(M483&gt;=2,"Yes",IF(M483=1,"Uncertain","No"))</f>
        <v/>
      </c>
      <c r="O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1">
        <f>COUNTIF(D484:L484,"Yes")</f>
        <v/>
      </c>
      <c r="N484" s="12">
        <f>IF(M484&gt;=2,"Yes",IF(M484=1,"Uncertain","No"))</f>
        <v/>
      </c>
      <c r="O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1">
        <f>COUNTIF(D485:L485,"Yes")</f>
        <v/>
      </c>
      <c r="N485" s="12">
        <f>IF(M485&gt;=2,"Yes",IF(M485=1,"Uncertain","No"))</f>
        <v/>
      </c>
      <c r="O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1">
        <f>COUNTIF(D486:L486,"Yes")</f>
        <v/>
      </c>
      <c r="N486" s="12">
        <f>IF(M486&gt;=2,"Yes",IF(M486=1,"Uncertain","No"))</f>
        <v/>
      </c>
      <c r="O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1">
        <f>COUNTIF(D487:L487,"Yes")</f>
        <v/>
      </c>
      <c r="N487" s="12">
        <f>IF(M487&gt;=2,"Yes",IF(M487=1,"Uncertain","No"))</f>
        <v/>
      </c>
      <c r="O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1">
        <f>COUNTIF(D488:L488,"Yes")</f>
        <v/>
      </c>
      <c r="N488" s="12">
        <f>IF(M488&gt;=2,"Yes",IF(M488=1,"Uncertain","No"))</f>
        <v/>
      </c>
      <c r="O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1">
        <f>COUNTIF(D489:L489,"Yes")</f>
        <v/>
      </c>
      <c r="N489" s="12">
        <f>IF(M489&gt;=2,"Yes",IF(M489=1,"Uncertain","No"))</f>
        <v/>
      </c>
      <c r="O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1">
        <f>COUNTIF(D490:L490,"Yes")</f>
        <v/>
      </c>
      <c r="N490" s="12">
        <f>IF(M490&gt;=2,"Yes",IF(M490=1,"Uncertain","No"))</f>
        <v/>
      </c>
      <c r="O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1">
        <f>COUNTIF(D491:L491,"Yes")</f>
        <v/>
      </c>
      <c r="N491" s="12">
        <f>IF(M491&gt;=2,"Yes",IF(M491=1,"Uncertain","No"))</f>
        <v/>
      </c>
      <c r="O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1">
        <f>COUNTIF(D492:L492,"Yes")</f>
        <v/>
      </c>
      <c r="N492" s="12">
        <f>IF(M492&gt;=2,"Yes",IF(M492=1,"Uncertain","No"))</f>
        <v/>
      </c>
      <c r="O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1">
        <f>COUNTIF(D493:L493,"Yes")</f>
        <v/>
      </c>
      <c r="N493" s="12">
        <f>IF(M493&gt;=2,"Yes",IF(M493=1,"Uncertain","No"))</f>
        <v/>
      </c>
      <c r="O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1">
        <f>COUNTIF(D494:L494,"Yes")</f>
        <v/>
      </c>
      <c r="N494" s="12">
        <f>IF(M494&gt;=2,"Yes",IF(M494=1,"Uncertain","No"))</f>
        <v/>
      </c>
      <c r="O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1">
        <f>COUNTIF(D495:L495,"Yes")</f>
        <v/>
      </c>
      <c r="N495" s="12">
        <f>IF(M495&gt;=2,"Yes",IF(M495=1,"Uncertain","No"))</f>
        <v/>
      </c>
      <c r="O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1">
        <f>COUNTIF(D496:L496,"Yes")</f>
        <v/>
      </c>
      <c r="N496" s="12">
        <f>IF(M496&gt;=2,"Yes",IF(M496=1,"Uncertain","No"))</f>
        <v/>
      </c>
      <c r="O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1">
        <f>COUNTIF(D497:L497,"Yes")</f>
        <v/>
      </c>
      <c r="N497" s="12">
        <f>IF(M497&gt;=2,"Yes",IF(M497=1,"Uncertain","No"))</f>
        <v/>
      </c>
      <c r="O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1">
        <f>COUNTIF(D498:L498,"Yes")</f>
        <v/>
      </c>
      <c r="N498" s="12">
        <f>IF(M498&gt;=2,"Yes",IF(M498=1,"Uncertain","No"))</f>
        <v/>
      </c>
      <c r="O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1">
        <f>COUNTIF(D499:L499,"Yes")</f>
        <v/>
      </c>
      <c r="N499" s="12">
        <f>IF(M499&gt;=2,"Yes",IF(M499=1,"Uncertain","No"))</f>
        <v/>
      </c>
      <c r="O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1">
        <f>COUNTIF(D500:L500,"Yes")</f>
        <v/>
      </c>
      <c r="N500" s="12">
        <f>IF(M500&gt;=2,"Yes",IF(M500=1,"Uncertain","No"))</f>
        <v/>
      </c>
      <c r="O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1">
        <f>COUNTIF(D501:L501,"Yes")</f>
        <v/>
      </c>
      <c r="N501" s="12">
        <f>IF(M501&gt;=2,"Yes",IF(M501=1,"Uncertain","No"))</f>
        <v/>
      </c>
      <c r="O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1">
        <f>COUNTIF(D502:L502,"Yes")</f>
        <v/>
      </c>
      <c r="N502" s="12">
        <f>IF(M502&gt;=2,"Yes",IF(M502=1,"Uncertain","No"))</f>
        <v/>
      </c>
      <c r="O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1">
        <f>COUNTIF(D503:L503,"Yes")</f>
        <v/>
      </c>
      <c r="N503" s="12">
        <f>IF(M503&gt;=2,"Yes",IF(M503=1,"Uncertain","No"))</f>
        <v/>
      </c>
      <c r="O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1">
        <f>COUNTIF(D504:L504,"Yes")</f>
        <v/>
      </c>
      <c r="N504" s="12">
        <f>IF(M504&gt;=2,"Yes",IF(M504=1,"Uncertain","No"))</f>
        <v/>
      </c>
      <c r="O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1">
        <f>COUNTIF(D505:L505,"Yes")</f>
        <v/>
      </c>
      <c r="N505" s="12">
        <f>IF(M505&gt;=2,"Yes",IF(M505=1,"Uncertain","No"))</f>
        <v/>
      </c>
      <c r="O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1">
        <f>COUNTIF(D506:L506,"Yes")</f>
        <v/>
      </c>
      <c r="N506" s="12">
        <f>IF(M506&gt;=2,"Yes",IF(M506=1,"Uncertain","No"))</f>
        <v/>
      </c>
      <c r="O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1">
        <f>COUNTIF(D507:L507,"Yes")</f>
        <v/>
      </c>
      <c r="N507" s="12">
        <f>IF(M507&gt;=2,"Yes",IF(M507=1,"Uncertain","No"))</f>
        <v/>
      </c>
      <c r="O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1">
        <f>COUNTIF(D508:L508,"Yes")</f>
        <v/>
      </c>
      <c r="N508" s="12">
        <f>IF(M508&gt;=2,"Yes",IF(M508=1,"Uncertain","No"))</f>
        <v/>
      </c>
      <c r="O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1">
        <f>COUNTIF(D509:L509,"Yes")</f>
        <v/>
      </c>
      <c r="N509" s="12">
        <f>IF(M509&gt;=2,"Yes",IF(M509=1,"Uncertain","No"))</f>
        <v/>
      </c>
      <c r="O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1">
        <f>COUNTIF(D510:L510,"Yes")</f>
        <v/>
      </c>
      <c r="N510" s="12">
        <f>IF(M510&gt;=2,"Yes",IF(M510=1,"Uncertain","No"))</f>
        <v/>
      </c>
      <c r="O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1">
        <f>COUNTIF(D511:L511,"Yes")</f>
        <v/>
      </c>
      <c r="N511" s="12">
        <f>IF(M511&gt;=2,"Yes",IF(M511=1,"Uncertain","No"))</f>
        <v/>
      </c>
      <c r="O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1">
        <f>COUNTIF(D512:L512,"Yes")</f>
        <v/>
      </c>
      <c r="N512" s="12">
        <f>IF(M512&gt;=2,"Yes",IF(M512=1,"Uncertain","No"))</f>
        <v/>
      </c>
      <c r="O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1">
        <f>COUNTIF(D513:L513,"Yes")</f>
        <v/>
      </c>
      <c r="N513" s="12">
        <f>IF(M513&gt;=2,"Yes",IF(M513=1,"Uncertain","No"))</f>
        <v/>
      </c>
      <c r="O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1">
        <f>COUNTIF(D514:L514,"Yes")</f>
        <v/>
      </c>
      <c r="N514" s="12">
        <f>IF(M514&gt;=2,"Yes",IF(M514=1,"Uncertain","No"))</f>
        <v/>
      </c>
      <c r="O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1">
        <f>COUNTIF(D515:L515,"Yes")</f>
        <v/>
      </c>
      <c r="N515" s="12">
        <f>IF(M515&gt;=2,"Yes",IF(M515=1,"Uncertain","No"))</f>
        <v/>
      </c>
      <c r="O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1">
        <f>COUNTIF(D516:L516,"Yes")</f>
        <v/>
      </c>
      <c r="N516" s="12">
        <f>IF(M516&gt;=2,"Yes",IF(M516=1,"Uncertain","No"))</f>
        <v/>
      </c>
      <c r="O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1">
        <f>COUNTIF(D517:L517,"Yes")</f>
        <v/>
      </c>
      <c r="N517" s="12">
        <f>IF(M517&gt;=2,"Yes",IF(M517=1,"Uncertain","No"))</f>
        <v/>
      </c>
      <c r="O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1">
        <f>COUNTIF(D518:L518,"Yes")</f>
        <v/>
      </c>
      <c r="N518" s="12">
        <f>IF(M518&gt;=2,"Yes",IF(M518=1,"Uncertain","No"))</f>
        <v/>
      </c>
      <c r="O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1">
        <f>COUNTIF(D519:L519,"Yes")</f>
        <v/>
      </c>
      <c r="N519" s="12">
        <f>IF(M519&gt;=2,"Yes",IF(M519=1,"Uncertain","No"))</f>
        <v/>
      </c>
      <c r="O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1">
        <f>COUNTIF(D520:L520,"Yes")</f>
        <v/>
      </c>
      <c r="N520" s="12">
        <f>IF(M520&gt;=2,"Yes",IF(M520=1,"Uncertain","No"))</f>
        <v/>
      </c>
      <c r="O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1">
        <f>COUNTIF(D521:L521,"Yes")</f>
        <v/>
      </c>
      <c r="N521" s="12">
        <f>IF(M521&gt;=2,"Yes",IF(M521=1,"Uncertain","No"))</f>
        <v/>
      </c>
      <c r="O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1">
        <f>COUNTIF(D522:L522,"Yes")</f>
        <v/>
      </c>
      <c r="N522" s="12">
        <f>IF(M522&gt;=2,"Yes",IF(M522=1,"Uncertain","No"))</f>
        <v/>
      </c>
      <c r="O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1">
        <f>COUNTIF(D523:L523,"Yes")</f>
        <v/>
      </c>
      <c r="N523" s="12">
        <f>IF(M523&gt;=2,"Yes",IF(M523=1,"Uncertain","No"))</f>
        <v/>
      </c>
      <c r="O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1">
        <f>COUNTIF(D524:L524,"Yes")</f>
        <v/>
      </c>
      <c r="N524" s="12">
        <f>IF(M524&gt;=2,"Yes",IF(M524=1,"Uncertain","No"))</f>
        <v/>
      </c>
      <c r="O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1">
        <f>COUNTIF(D525:L525,"Yes")</f>
        <v/>
      </c>
      <c r="N525" s="12">
        <f>IF(M525&gt;=2,"Yes",IF(M525=1,"Uncertain","No"))</f>
        <v/>
      </c>
      <c r="O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1">
        <f>COUNTIF(D526:L526,"Yes")</f>
        <v/>
      </c>
      <c r="N526" s="12">
        <f>IF(M526&gt;=2,"Yes",IF(M526=1,"Uncertain","No"))</f>
        <v/>
      </c>
      <c r="O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1">
        <f>COUNTIF(D527:L527,"Yes")</f>
        <v/>
      </c>
      <c r="N527" s="12">
        <f>IF(M527&gt;=2,"Yes",IF(M527=1,"Uncertain","No"))</f>
        <v/>
      </c>
      <c r="O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1">
        <f>COUNTIF(D528:L528,"Yes")</f>
        <v/>
      </c>
      <c r="N528" s="12">
        <f>IF(M528&gt;=2,"Yes",IF(M528=1,"Uncertain","No"))</f>
        <v/>
      </c>
      <c r="O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1">
        <f>COUNTIF(D529:L529,"Yes")</f>
        <v/>
      </c>
      <c r="N529" s="12">
        <f>IF(M529&gt;=2,"Yes",IF(M529=1,"Uncertain","No"))</f>
        <v/>
      </c>
      <c r="O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1">
        <f>COUNTIF(D530:L530,"Yes")</f>
        <v/>
      </c>
      <c r="N530" s="12">
        <f>IF(M530&gt;=2,"Yes",IF(M530=1,"Uncertain","No"))</f>
        <v/>
      </c>
      <c r="O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1">
        <f>COUNTIF(D531:L531,"Yes")</f>
        <v/>
      </c>
      <c r="N531" s="12">
        <f>IF(M531&gt;=2,"Yes",IF(M531=1,"Uncertain","No"))</f>
        <v/>
      </c>
      <c r="O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1">
        <f>COUNTIF(D532:L532,"Yes")</f>
        <v/>
      </c>
      <c r="N532" s="12">
        <f>IF(M532&gt;=2,"Yes",IF(M532=1,"Uncertain","No"))</f>
        <v/>
      </c>
      <c r="O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1">
        <f>COUNTIF(D533:L533,"Yes")</f>
        <v/>
      </c>
      <c r="N533" s="12">
        <f>IF(M533&gt;=2,"Yes",IF(M533=1,"Uncertain","No"))</f>
        <v/>
      </c>
      <c r="O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1">
        <f>COUNTIF(D534:L534,"Yes")</f>
        <v/>
      </c>
      <c r="N534" s="12">
        <f>IF(M534&gt;=2,"Yes",IF(M534=1,"Uncertain","No"))</f>
        <v/>
      </c>
      <c r="O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1">
        <f>COUNTIF(D535:L535,"Yes")</f>
        <v/>
      </c>
      <c r="N535" s="12">
        <f>IF(M535&gt;=2,"Yes",IF(M535=1,"Uncertain","No"))</f>
        <v/>
      </c>
      <c r="O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1">
        <f>COUNTIF(D536:L536,"Yes")</f>
        <v/>
      </c>
      <c r="N536" s="12">
        <f>IF(M536&gt;=2,"Yes",IF(M536=1,"Uncertain","No"))</f>
        <v/>
      </c>
      <c r="O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1">
        <f>COUNTIF(D537:L537,"Yes")</f>
        <v/>
      </c>
      <c r="N537" s="12">
        <f>IF(M537&gt;=2,"Yes",IF(M537=1,"Uncertain","No"))</f>
        <v/>
      </c>
      <c r="O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1">
        <f>COUNTIF(D538:L538,"Yes")</f>
        <v/>
      </c>
      <c r="N538" s="12">
        <f>IF(M538&gt;=2,"Yes",IF(M538=1,"Uncertain","No"))</f>
        <v/>
      </c>
      <c r="O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1">
        <f>COUNTIF(D539:L539,"Yes")</f>
        <v/>
      </c>
      <c r="N539" s="12">
        <f>IF(M539&gt;=2,"Yes",IF(M539=1,"Uncertain","No"))</f>
        <v/>
      </c>
      <c r="O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1">
        <f>COUNTIF(D540:L540,"Yes")</f>
        <v/>
      </c>
      <c r="N540" s="12">
        <f>IF(M540&gt;=2,"Yes",IF(M540=1,"Uncertain","No"))</f>
        <v/>
      </c>
      <c r="O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1">
        <f>COUNTIF(D541:L541,"Yes")</f>
        <v/>
      </c>
      <c r="N541" s="12">
        <f>IF(M541&gt;=2,"Yes",IF(M541=1,"Uncertain","No"))</f>
        <v/>
      </c>
      <c r="O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1">
        <f>COUNTIF(D542:L542,"Yes")</f>
        <v/>
      </c>
      <c r="N542" s="12">
        <f>IF(M542&gt;=2,"Yes",IF(M542=1,"Uncertain","No"))</f>
        <v/>
      </c>
      <c r="O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1">
        <f>COUNTIF(D543:L543,"Yes")</f>
        <v/>
      </c>
      <c r="N543" s="12">
        <f>IF(M543&gt;=2,"Yes",IF(M543=1,"Uncertain","No"))</f>
        <v/>
      </c>
      <c r="O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1">
        <f>COUNTIF(D544:L544,"Yes")</f>
        <v/>
      </c>
      <c r="N544" s="12">
        <f>IF(M544&gt;=2,"Yes",IF(M544=1,"Uncertain","No"))</f>
        <v/>
      </c>
      <c r="O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1">
        <f>COUNTIF(D545:L545,"Yes")</f>
        <v/>
      </c>
      <c r="N545" s="12">
        <f>IF(M545&gt;=2,"Yes",IF(M545=1,"Uncertain","No"))</f>
        <v/>
      </c>
      <c r="O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1">
        <f>COUNTIF(D546:L546,"Yes")</f>
        <v/>
      </c>
      <c r="N546" s="12">
        <f>IF(M546&gt;=2,"Yes",IF(M546=1,"Uncertain","No"))</f>
        <v/>
      </c>
      <c r="O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1">
        <f>COUNTIF(D547:L547,"Yes")</f>
        <v/>
      </c>
      <c r="N547" s="12">
        <f>IF(M547&gt;=2,"Yes",IF(M547=1,"Uncertain","No"))</f>
        <v/>
      </c>
      <c r="O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1">
        <f>COUNTIF(D548:L548,"Yes")</f>
        <v/>
      </c>
      <c r="N548" s="12">
        <f>IF(M548&gt;=2,"Yes",IF(M548=1,"Uncertain","No"))</f>
        <v/>
      </c>
      <c r="O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1">
        <f>COUNTIF(D549:L549,"Yes")</f>
        <v/>
      </c>
      <c r="N549" s="12">
        <f>IF(M549&gt;=2,"Yes",IF(M549=1,"Uncertain","No"))</f>
        <v/>
      </c>
      <c r="O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1">
        <f>COUNTIF(D550:L550,"Yes")</f>
        <v/>
      </c>
      <c r="N550" s="12">
        <f>IF(M550&gt;=2,"Yes",IF(M550=1,"Uncertain","No"))</f>
        <v/>
      </c>
      <c r="O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1">
        <f>COUNTIF(D551:L551,"Yes")</f>
        <v/>
      </c>
      <c r="N551" s="12">
        <f>IF(M551&gt;=2,"Yes",IF(M551=1,"Uncertain","No"))</f>
        <v/>
      </c>
      <c r="O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1">
        <f>COUNTIF(D552:L552,"Yes")</f>
        <v/>
      </c>
      <c r="N552" s="12">
        <f>IF(M552&gt;=2,"Yes",IF(M552=1,"Uncertain","No"))</f>
        <v/>
      </c>
      <c r="O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1">
        <f>COUNTIF(D553:L553,"Yes")</f>
        <v/>
      </c>
      <c r="N553" s="12">
        <f>IF(M553&gt;=2,"Yes",IF(M553=1,"Uncertain","No"))</f>
        <v/>
      </c>
      <c r="O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1">
        <f>COUNTIF(D554:L554,"Yes")</f>
        <v/>
      </c>
      <c r="N554" s="12">
        <f>IF(M554&gt;=2,"Yes",IF(M554=1,"Uncertain","No"))</f>
        <v/>
      </c>
      <c r="O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1">
        <f>COUNTIF(D555:L555,"Yes")</f>
        <v/>
      </c>
      <c r="N555" s="12">
        <f>IF(M555&gt;=2,"Yes",IF(M555=1,"Uncertain","No"))</f>
        <v/>
      </c>
      <c r="O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1">
        <f>COUNTIF(D556:L556,"Yes")</f>
        <v/>
      </c>
      <c r="N556" s="12">
        <f>IF(M556&gt;=2,"Yes",IF(M556=1,"Uncertain","No"))</f>
        <v/>
      </c>
      <c r="O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1">
        <f>COUNTIF(D557:L557,"Yes")</f>
        <v/>
      </c>
      <c r="N557" s="12">
        <f>IF(M557&gt;=2,"Yes",IF(M557=1,"Uncertain","No"))</f>
        <v/>
      </c>
      <c r="O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1">
        <f>COUNTIF(D558:L558,"Yes")</f>
        <v/>
      </c>
      <c r="N558" s="12">
        <f>IF(M558&gt;=2,"Yes",IF(M558=1,"Uncertain","No"))</f>
        <v/>
      </c>
      <c r="O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1">
        <f>COUNTIF(D559:L559,"Yes")</f>
        <v/>
      </c>
      <c r="N559" s="12">
        <f>IF(M559&gt;=2,"Yes",IF(M559=1,"Uncertain","No"))</f>
        <v/>
      </c>
      <c r="O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1">
        <f>COUNTIF(D560:L560,"Yes")</f>
        <v/>
      </c>
      <c r="N560" s="12">
        <f>IF(M560&gt;=2,"Yes",IF(M560=1,"Uncertain","No"))</f>
        <v/>
      </c>
      <c r="O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1">
        <f>COUNTIF(D561:L561,"Yes")</f>
        <v/>
      </c>
      <c r="N561" s="12">
        <f>IF(M561&gt;=2,"Yes",IF(M561=1,"Uncertain","No"))</f>
        <v/>
      </c>
      <c r="O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1">
        <f>COUNTIF(D562:L562,"Yes")</f>
        <v/>
      </c>
      <c r="N562" s="12">
        <f>IF(M562&gt;=2,"Yes",IF(M562=1,"Uncertain","No"))</f>
        <v/>
      </c>
      <c r="O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1">
        <f>COUNTIF(D563:L563,"Yes")</f>
        <v/>
      </c>
      <c r="N563" s="12">
        <f>IF(M563&gt;=2,"Yes",IF(M563=1,"Uncertain","No"))</f>
        <v/>
      </c>
      <c r="O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1">
        <f>COUNTIF(D564:L564,"Yes")</f>
        <v/>
      </c>
      <c r="N564" s="12">
        <f>IF(M564&gt;=2,"Yes",IF(M564=1,"Uncertain","No"))</f>
        <v/>
      </c>
      <c r="O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1">
        <f>COUNTIF(D565:L565,"Yes")</f>
        <v/>
      </c>
      <c r="N565" s="12">
        <f>IF(M565&gt;=2,"Yes",IF(M565=1,"Uncertain","No"))</f>
        <v/>
      </c>
      <c r="O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1">
        <f>COUNTIF(D566:L566,"Yes")</f>
        <v/>
      </c>
      <c r="N566" s="12">
        <f>IF(M566&gt;=2,"Yes",IF(M566=1,"Uncertain","No"))</f>
        <v/>
      </c>
      <c r="O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1">
        <f>COUNTIF(D567:L567,"Yes")</f>
        <v/>
      </c>
      <c r="N567" s="12">
        <f>IF(M567&gt;=2,"Yes",IF(M567=1,"Uncertain","No"))</f>
        <v/>
      </c>
      <c r="O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1">
        <f>COUNTIF(D568:L568,"Yes")</f>
        <v/>
      </c>
      <c r="N568" s="12">
        <f>IF(M568&gt;=2,"Yes",IF(M568=1,"Uncertain","No"))</f>
        <v/>
      </c>
      <c r="O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1">
        <f>COUNTIF(D569:L569,"Yes")</f>
        <v/>
      </c>
      <c r="N569" s="12">
        <f>IF(M569&gt;=2,"Yes",IF(M569=1,"Uncertain","No"))</f>
        <v/>
      </c>
      <c r="O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1">
        <f>COUNTIF(D570:L570,"Yes")</f>
        <v/>
      </c>
      <c r="N570" s="12">
        <f>IF(M570&gt;=2,"Yes",IF(M570=1,"Uncertain","No"))</f>
        <v/>
      </c>
      <c r="O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1">
        <f>COUNTIF(D571:L571,"Yes")</f>
        <v/>
      </c>
      <c r="N571" s="12">
        <f>IF(M571&gt;=2,"Yes",IF(M571=1,"Uncertain","No"))</f>
        <v/>
      </c>
      <c r="O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1">
        <f>COUNTIF(D572:L572,"Yes")</f>
        <v/>
      </c>
      <c r="N572" s="12">
        <f>IF(M572&gt;=2,"Yes",IF(M572=1,"Uncertain","No"))</f>
        <v/>
      </c>
      <c r="O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1">
        <f>COUNTIF(D573:L573,"Yes")</f>
        <v/>
      </c>
      <c r="N573" s="12">
        <f>IF(M573&gt;=2,"Yes",IF(M573=1,"Uncertain","No"))</f>
        <v/>
      </c>
      <c r="O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1">
        <f>COUNTIF(D574:L574,"Yes")</f>
        <v/>
      </c>
      <c r="N574" s="12">
        <f>IF(M574&gt;=2,"Yes",IF(M574=1,"Uncertain","No"))</f>
        <v/>
      </c>
      <c r="O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1">
        <f>COUNTIF(D575:L575,"Yes")</f>
        <v/>
      </c>
      <c r="N575" s="12">
        <f>IF(M575&gt;=2,"Yes",IF(M575=1,"Uncertain","No"))</f>
        <v/>
      </c>
      <c r="O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1">
        <f>COUNTIF(D576:L576,"Yes")</f>
        <v/>
      </c>
      <c r="N576" s="12">
        <f>IF(M576&gt;=2,"Yes",IF(M576=1,"Uncertain","No"))</f>
        <v/>
      </c>
      <c r="O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1">
        <f>COUNTIF(D577:L577,"Yes")</f>
        <v/>
      </c>
      <c r="N577" s="12">
        <f>IF(M577&gt;=2,"Yes",IF(M577=1,"Uncertain","No"))</f>
        <v/>
      </c>
      <c r="O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1">
        <f>COUNTIF(D578:L578,"Yes")</f>
        <v/>
      </c>
      <c r="N578" s="12">
        <f>IF(M578&gt;=2,"Yes",IF(M578=1,"Uncertain","No"))</f>
        <v/>
      </c>
      <c r="O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1">
        <f>COUNTIF(D579:L579,"Yes")</f>
        <v/>
      </c>
      <c r="N579" s="12">
        <f>IF(M579&gt;=2,"Yes",IF(M579=1,"Uncertain","No"))</f>
        <v/>
      </c>
      <c r="O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1">
        <f>COUNTIF(D580:L580,"Yes")</f>
        <v/>
      </c>
      <c r="N580" s="12">
        <f>IF(M580&gt;=2,"Yes",IF(M580=1,"Uncertain","No"))</f>
        <v/>
      </c>
      <c r="O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1">
        <f>COUNTIF(D581:L581,"Yes")</f>
        <v/>
      </c>
      <c r="N581" s="12">
        <f>IF(M581&gt;=2,"Yes",IF(M581=1,"Uncertain","No"))</f>
        <v/>
      </c>
      <c r="O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1">
        <f>COUNTIF(D582:L582,"Yes")</f>
        <v/>
      </c>
      <c r="N582" s="12">
        <f>IF(M582&gt;=2,"Yes",IF(M582=1,"Uncertain","No"))</f>
        <v/>
      </c>
      <c r="O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1">
        <f>COUNTIF(D583:L583,"Yes")</f>
        <v/>
      </c>
      <c r="N583" s="12">
        <f>IF(M583&gt;=2,"Yes",IF(M583=1,"Uncertain","No"))</f>
        <v/>
      </c>
      <c r="O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1">
        <f>COUNTIF(D584:L584,"Yes")</f>
        <v/>
      </c>
      <c r="N584" s="12">
        <f>IF(M584&gt;=2,"Yes",IF(M584=1,"Uncertain","No"))</f>
        <v/>
      </c>
      <c r="O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1">
        <f>COUNTIF(D585:L585,"Yes")</f>
        <v/>
      </c>
      <c r="N585" s="12">
        <f>IF(M585&gt;=2,"Yes",IF(M585=1,"Uncertain","No"))</f>
        <v/>
      </c>
      <c r="O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1">
        <f>COUNTIF(D586:L586,"Yes")</f>
        <v/>
      </c>
      <c r="N586" s="12">
        <f>IF(M586&gt;=2,"Yes",IF(M586=1,"Uncertain","No"))</f>
        <v/>
      </c>
      <c r="O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1">
        <f>COUNTIF(D587:L587,"Yes")</f>
        <v/>
      </c>
      <c r="N587" s="12">
        <f>IF(M587&gt;=2,"Yes",IF(M587=1,"Uncertain","No"))</f>
        <v/>
      </c>
      <c r="O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1">
        <f>COUNTIF(D588:L588,"Yes")</f>
        <v/>
      </c>
      <c r="N588" s="12">
        <f>IF(M588&gt;=2,"Yes",IF(M588=1,"Uncertain","No"))</f>
        <v/>
      </c>
      <c r="O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1">
        <f>COUNTIF(D589:L589,"Yes")</f>
        <v/>
      </c>
      <c r="N589" s="12">
        <f>IF(M589&gt;=2,"Yes",IF(M589=1,"Uncertain","No"))</f>
        <v/>
      </c>
      <c r="O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1">
        <f>COUNTIF(D590:L590,"Yes")</f>
        <v/>
      </c>
      <c r="N590" s="12">
        <f>IF(M590&gt;=2,"Yes",IF(M590=1,"Uncertain","No"))</f>
        <v/>
      </c>
      <c r="O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1">
        <f>COUNTIF(D591:L591,"Yes")</f>
        <v/>
      </c>
      <c r="N591" s="12">
        <f>IF(M591&gt;=2,"Yes",IF(M591=1,"Uncertain","No"))</f>
        <v/>
      </c>
      <c r="O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1">
        <f>COUNTIF(D592:L592,"Yes")</f>
        <v/>
      </c>
      <c r="N592" s="12">
        <f>IF(M592&gt;=2,"Yes",IF(M592=1,"Uncertain","No"))</f>
        <v/>
      </c>
      <c r="O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1">
        <f>COUNTIF(D593:L593,"Yes")</f>
        <v/>
      </c>
      <c r="N593" s="12">
        <f>IF(M593&gt;=2,"Yes",IF(M593=1,"Uncertain","No"))</f>
        <v/>
      </c>
      <c r="O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1">
        <f>COUNTIF(D594:L594,"Yes")</f>
        <v/>
      </c>
      <c r="N594" s="12">
        <f>IF(M594&gt;=2,"Yes",IF(M594=1,"Uncertain","No"))</f>
        <v/>
      </c>
      <c r="O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1">
        <f>COUNTIF(D595:L595,"Yes")</f>
        <v/>
      </c>
      <c r="N595" s="12">
        <f>IF(M595&gt;=2,"Yes",IF(M595=1,"Uncertain","No"))</f>
        <v/>
      </c>
      <c r="O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1">
        <f>COUNTIF(D596:L596,"Yes")</f>
        <v/>
      </c>
      <c r="N596" s="12">
        <f>IF(M596&gt;=2,"Yes",IF(M596=1,"Uncertain","No"))</f>
        <v/>
      </c>
      <c r="O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1">
        <f>COUNTIF(D597:L597,"Yes")</f>
        <v/>
      </c>
      <c r="N597" s="12">
        <f>IF(M597&gt;=2,"Yes",IF(M597=1,"Uncertain","No"))</f>
        <v/>
      </c>
      <c r="O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1">
        <f>COUNTIF(D598:L598,"Yes")</f>
        <v/>
      </c>
      <c r="N598" s="12">
        <f>IF(M598&gt;=2,"Yes",IF(M598=1,"Uncertain","No"))</f>
        <v/>
      </c>
      <c r="O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1">
        <f>COUNTIF(D599:L599,"Yes")</f>
        <v/>
      </c>
      <c r="N599" s="12">
        <f>IF(M599&gt;=2,"Yes",IF(M599=1,"Uncertain","No"))</f>
        <v/>
      </c>
      <c r="O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1">
        <f>COUNTIF(D600:L600,"Yes")</f>
        <v/>
      </c>
      <c r="N600" s="12">
        <f>IF(M600&gt;=2,"Yes",IF(M600=1,"Uncertain","No"))</f>
        <v/>
      </c>
      <c r="O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1">
        <f>COUNTIF(D601:L601,"Yes")</f>
        <v/>
      </c>
      <c r="N601" s="12">
        <f>IF(M601&gt;=2,"Yes",IF(M601=1,"Uncertain","No"))</f>
        <v/>
      </c>
      <c r="O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1">
        <f>COUNTIF(D602:L602,"Yes")</f>
        <v/>
      </c>
      <c r="N602" s="12">
        <f>IF(M602&gt;=2,"Yes",IF(M602=1,"Uncertain","No"))</f>
        <v/>
      </c>
      <c r="O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1">
        <f>COUNTIF(D603:L603,"Yes")</f>
        <v/>
      </c>
      <c r="N603" s="12">
        <f>IF(M603&gt;=2,"Yes",IF(M603=1,"Uncertain","No"))</f>
        <v/>
      </c>
      <c r="O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1">
        <f>COUNTIF(D604:L604,"Yes")</f>
        <v/>
      </c>
      <c r="N604" s="12">
        <f>IF(M604&gt;=2,"Yes",IF(M604=1,"Uncertain","No"))</f>
        <v/>
      </c>
      <c r="O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1">
        <f>COUNTIF(D605:L605,"Yes")</f>
        <v/>
      </c>
      <c r="N605" s="12">
        <f>IF(M605&gt;=2,"Yes",IF(M605=1,"Uncertain","No"))</f>
        <v/>
      </c>
      <c r="O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1">
        <f>COUNTIF(D606:L606,"Yes")</f>
        <v/>
      </c>
      <c r="N606" s="12">
        <f>IF(M606&gt;=2,"Yes",IF(M606=1,"Uncertain","No"))</f>
        <v/>
      </c>
      <c r="O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1">
        <f>COUNTIF(D607:L607,"Yes")</f>
        <v/>
      </c>
      <c r="N607" s="12">
        <f>IF(M607&gt;=2,"Yes",IF(M607=1,"Uncertain","No"))</f>
        <v/>
      </c>
      <c r="O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1">
        <f>COUNTIF(D608:L608,"Yes")</f>
        <v/>
      </c>
      <c r="N608" s="12">
        <f>IF(M608&gt;=2,"Yes",IF(M608=1,"Uncertain","No"))</f>
        <v/>
      </c>
      <c r="O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1">
        <f>COUNTIF(D609:L609,"Yes")</f>
        <v/>
      </c>
      <c r="N609" s="12">
        <f>IF(M609&gt;=2,"Yes",IF(M609=1,"Uncertain","No"))</f>
        <v/>
      </c>
      <c r="O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1">
        <f>COUNTIF(D610:L610,"Yes")</f>
        <v/>
      </c>
      <c r="N610" s="12">
        <f>IF(M610&gt;=2,"Yes",IF(M610=1,"Uncertain","No"))</f>
        <v/>
      </c>
      <c r="O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1">
        <f>COUNTIF(D611:L611,"Yes")</f>
        <v/>
      </c>
      <c r="N611" s="12">
        <f>IF(M611&gt;=2,"Yes",IF(M611=1,"Uncertain","No"))</f>
        <v/>
      </c>
      <c r="O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1">
        <f>COUNTIF(D612:L612,"Yes")</f>
        <v/>
      </c>
      <c r="N612" s="12">
        <f>IF(M612&gt;=2,"Yes",IF(M612=1,"Uncertain","No"))</f>
        <v/>
      </c>
      <c r="O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1">
        <f>COUNTIF(D613:L613,"Yes")</f>
        <v/>
      </c>
      <c r="N613" s="12">
        <f>IF(M613&gt;=2,"Yes",IF(M613=1,"Uncertain","No"))</f>
        <v/>
      </c>
      <c r="O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1">
        <f>COUNTIF(D614:L614,"Yes")</f>
        <v/>
      </c>
      <c r="N614" s="12">
        <f>IF(M614&gt;=2,"Yes",IF(M614=1,"Uncertain","No"))</f>
        <v/>
      </c>
      <c r="O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1">
        <f>COUNTIF(D615:L615,"Yes")</f>
        <v/>
      </c>
      <c r="N615" s="12">
        <f>IF(M615&gt;=2,"Yes",IF(M615=1,"Uncertain","No"))</f>
        <v/>
      </c>
      <c r="O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1">
        <f>COUNTIF(D616:L616,"Yes")</f>
        <v/>
      </c>
      <c r="N616" s="12">
        <f>IF(M616&gt;=2,"Yes",IF(M616=1,"Uncertain","No"))</f>
        <v/>
      </c>
      <c r="O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1">
        <f>COUNTIF(D617:L617,"Yes")</f>
        <v/>
      </c>
      <c r="N617" s="12">
        <f>IF(M617&gt;=2,"Yes",IF(M617=1,"Uncertain","No"))</f>
        <v/>
      </c>
      <c r="O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1">
        <f>COUNTIF(D618:L618,"Yes")</f>
        <v/>
      </c>
      <c r="N618" s="12">
        <f>IF(M618&gt;=2,"Yes",IF(M618=1,"Uncertain","No"))</f>
        <v/>
      </c>
      <c r="O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1">
        <f>COUNTIF(D619:L619,"Yes")</f>
        <v/>
      </c>
      <c r="N619" s="12">
        <f>IF(M619&gt;=2,"Yes",IF(M619=1,"Uncertain","No"))</f>
        <v/>
      </c>
      <c r="O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1">
        <f>COUNTIF(D620:L620,"Yes")</f>
        <v/>
      </c>
      <c r="N620" s="12">
        <f>IF(M620&gt;=2,"Yes",IF(M620=1,"Uncertain","No"))</f>
        <v/>
      </c>
      <c r="O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1">
        <f>COUNTIF(D621:L621,"Yes")</f>
        <v/>
      </c>
      <c r="N621" s="12">
        <f>IF(M621&gt;=2,"Yes",IF(M621=1,"Uncertain","No"))</f>
        <v/>
      </c>
      <c r="O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1">
        <f>COUNTIF(D622:L622,"Yes")</f>
        <v/>
      </c>
      <c r="N622" s="12">
        <f>IF(M622&gt;=2,"Yes",IF(M622=1,"Uncertain","No"))</f>
        <v/>
      </c>
      <c r="O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1">
        <f>COUNTIF(D623:L623,"Yes")</f>
        <v/>
      </c>
      <c r="N623" s="12">
        <f>IF(M623&gt;=2,"Yes",IF(M623=1,"Uncertain","No"))</f>
        <v/>
      </c>
      <c r="O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1">
        <f>COUNTIF(D624:L624,"Yes")</f>
        <v/>
      </c>
      <c r="N624" s="12">
        <f>IF(M624&gt;=2,"Yes",IF(M624=1,"Uncertain","No"))</f>
        <v/>
      </c>
      <c r="O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1">
        <f>COUNTIF(D625:L625,"Yes")</f>
        <v/>
      </c>
      <c r="N625" s="12">
        <f>IF(M625&gt;=2,"Yes",IF(M625=1,"Uncertain","No"))</f>
        <v/>
      </c>
      <c r="O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1">
        <f>COUNTIF(D626:L626,"Yes")</f>
        <v/>
      </c>
      <c r="N626" s="12">
        <f>IF(M626&gt;=2,"Yes",IF(M626=1,"Uncertain","No"))</f>
        <v/>
      </c>
      <c r="O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1">
        <f>COUNTIF(D627:L627,"Yes")</f>
        <v/>
      </c>
      <c r="N627" s="12">
        <f>IF(M627&gt;=2,"Yes",IF(M627=1,"Uncertain","No"))</f>
        <v/>
      </c>
      <c r="O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1">
        <f>COUNTIF(D628:L628,"Yes")</f>
        <v/>
      </c>
      <c r="N628" s="12">
        <f>IF(M628&gt;=2,"Yes",IF(M628=1,"Uncertain","No"))</f>
        <v/>
      </c>
      <c r="O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1">
        <f>COUNTIF(D629:L629,"Yes")</f>
        <v/>
      </c>
      <c r="N629" s="12">
        <f>IF(M629&gt;=2,"Yes",IF(M629=1,"Uncertain","No"))</f>
        <v/>
      </c>
      <c r="O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1">
        <f>COUNTIF(D630:L630,"Yes")</f>
        <v/>
      </c>
      <c r="N630" s="12">
        <f>IF(M630&gt;=2,"Yes",IF(M630=1,"Uncertain","No"))</f>
        <v/>
      </c>
      <c r="O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1">
        <f>COUNTIF(D631:L631,"Yes")</f>
        <v/>
      </c>
      <c r="N631" s="12">
        <f>IF(M631&gt;=2,"Yes",IF(M631=1,"Uncertain","No"))</f>
        <v/>
      </c>
      <c r="O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1">
        <f>COUNTIF(D632:L632,"Yes")</f>
        <v/>
      </c>
      <c r="N632" s="12">
        <f>IF(M632&gt;=2,"Yes",IF(M632=1,"Uncertain","No"))</f>
        <v/>
      </c>
      <c r="O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1">
        <f>COUNTIF(D633:L633,"Yes")</f>
        <v/>
      </c>
      <c r="N633" s="12">
        <f>IF(M633&gt;=2,"Yes",IF(M633=1,"Uncertain","No"))</f>
        <v/>
      </c>
      <c r="O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1">
        <f>COUNTIF(D634:L634,"Yes")</f>
        <v/>
      </c>
      <c r="N634" s="12">
        <f>IF(M634&gt;=2,"Yes",IF(M634=1,"Uncertain","No"))</f>
        <v/>
      </c>
      <c r="O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1">
        <f>COUNTIF(D635:L635,"Yes")</f>
        <v/>
      </c>
      <c r="N635" s="12">
        <f>IF(M635&gt;=2,"Yes",IF(M635=1,"Uncertain","No"))</f>
        <v/>
      </c>
      <c r="O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1">
        <f>COUNTIF(D636:L636,"Yes")</f>
        <v/>
      </c>
      <c r="N636" s="12">
        <f>IF(M636&gt;=2,"Yes",IF(M636=1,"Uncertain","No"))</f>
        <v/>
      </c>
      <c r="O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1">
        <f>COUNTIF(D637:L637,"Yes")</f>
        <v/>
      </c>
      <c r="N637" s="12">
        <f>IF(M637&gt;=2,"Yes",IF(M637=1,"Uncertain","No"))</f>
        <v/>
      </c>
      <c r="O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1">
        <f>COUNTIF(D638:L638,"Yes")</f>
        <v/>
      </c>
      <c r="N638" s="12">
        <f>IF(M638&gt;=2,"Yes",IF(M638=1,"Uncertain","No"))</f>
        <v/>
      </c>
      <c r="O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1">
        <f>COUNTIF(D639:L639,"Yes")</f>
        <v/>
      </c>
      <c r="N639" s="12">
        <f>IF(M639&gt;=2,"Yes",IF(M639=1,"Uncertain","No"))</f>
        <v/>
      </c>
      <c r="O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1">
        <f>COUNTIF(D640:L640,"Yes")</f>
        <v/>
      </c>
      <c r="N640" s="12">
        <f>IF(M640&gt;=2,"Yes",IF(M640=1,"Uncertain","No"))</f>
        <v/>
      </c>
      <c r="O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1">
        <f>COUNTIF(D641:L641,"Yes")</f>
        <v/>
      </c>
      <c r="N641" s="12">
        <f>IF(M641&gt;=2,"Yes",IF(M641=1,"Uncertain","No"))</f>
        <v/>
      </c>
      <c r="O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1">
        <f>COUNTIF(D642:L642,"Yes")</f>
        <v/>
      </c>
      <c r="N642" s="12">
        <f>IF(M642&gt;=2,"Yes",IF(M642=1,"Uncertain","No"))</f>
        <v/>
      </c>
      <c r="O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1">
        <f>COUNTIF(D643:L643,"Yes")</f>
        <v/>
      </c>
      <c r="N643" s="12">
        <f>IF(M643&gt;=2,"Yes",IF(M643=1,"Uncertain","No"))</f>
        <v/>
      </c>
      <c r="O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1">
        <f>COUNTIF(D644:L644,"Yes")</f>
        <v/>
      </c>
      <c r="N644" s="12">
        <f>IF(M644&gt;=2,"Yes",IF(M644=1,"Uncertain","No"))</f>
        <v/>
      </c>
      <c r="O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1">
        <f>COUNTIF(D645:L645,"Yes")</f>
        <v/>
      </c>
      <c r="N645" s="12">
        <f>IF(M645&gt;=2,"Yes",IF(M645=1,"Uncertain","No"))</f>
        <v/>
      </c>
      <c r="O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1">
        <f>COUNTIF(D646:L646,"Yes")</f>
        <v/>
      </c>
      <c r="N646" s="12">
        <f>IF(M646&gt;=2,"Yes",IF(M646=1,"Uncertain","No"))</f>
        <v/>
      </c>
      <c r="O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1">
        <f>COUNTIF(D647:L647,"Yes")</f>
        <v/>
      </c>
      <c r="N647" s="12">
        <f>IF(M647&gt;=2,"Yes",IF(M647=1,"Uncertain","No"))</f>
        <v/>
      </c>
      <c r="O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1">
        <f>COUNTIF(D648:L648,"Yes")</f>
        <v/>
      </c>
      <c r="N648" s="12">
        <f>IF(M648&gt;=2,"Yes",IF(M648=1,"Uncertain","No"))</f>
        <v/>
      </c>
      <c r="O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1">
        <f>COUNTIF(D649:L649,"Yes")</f>
        <v/>
      </c>
      <c r="N649" s="12">
        <f>IF(M649&gt;=2,"Yes",IF(M649=1,"Uncertain","No"))</f>
        <v/>
      </c>
      <c r="O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1">
        <f>COUNTIF(D650:L650,"Yes")</f>
        <v/>
      </c>
      <c r="N650" s="12">
        <f>IF(M650&gt;=2,"Yes",IF(M650=1,"Uncertain","No"))</f>
        <v/>
      </c>
      <c r="O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1">
        <f>COUNTIF(D651:L651,"Yes")</f>
        <v/>
      </c>
      <c r="N651" s="12">
        <f>IF(M651&gt;=2,"Yes",IF(M651=1,"Uncertain","No"))</f>
        <v/>
      </c>
      <c r="O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1">
        <f>COUNTIF(D652:L652,"Yes")</f>
        <v/>
      </c>
      <c r="N652" s="12">
        <f>IF(M652&gt;=2,"Yes",IF(M652=1,"Uncertain","No"))</f>
        <v/>
      </c>
      <c r="O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1">
        <f>COUNTIF(D653:L653,"Yes")</f>
        <v/>
      </c>
      <c r="N653" s="12">
        <f>IF(M653&gt;=2,"Yes",IF(M653=1,"Uncertain","No"))</f>
        <v/>
      </c>
      <c r="O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1">
        <f>COUNTIF(D654:L654,"Yes")</f>
        <v/>
      </c>
      <c r="N654" s="12">
        <f>IF(M654&gt;=2,"Yes",IF(M654=1,"Uncertain","No"))</f>
        <v/>
      </c>
      <c r="O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1">
        <f>COUNTIF(D655:L655,"Yes")</f>
        <v/>
      </c>
      <c r="N655" s="12">
        <f>IF(M655&gt;=2,"Yes",IF(M655=1,"Uncertain","No"))</f>
        <v/>
      </c>
      <c r="O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1">
        <f>COUNTIF(D656:L656,"Yes")</f>
        <v/>
      </c>
      <c r="N656" s="12">
        <f>IF(M656&gt;=2,"Yes",IF(M656=1,"Uncertain","No"))</f>
        <v/>
      </c>
      <c r="O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1">
        <f>COUNTIF(D657:L657,"Yes")</f>
        <v/>
      </c>
      <c r="N657" s="12">
        <f>IF(M657&gt;=2,"Yes",IF(M657=1,"Uncertain","No"))</f>
        <v/>
      </c>
      <c r="O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1">
        <f>COUNTIF(D658:L658,"Yes")</f>
        <v/>
      </c>
      <c r="N658" s="12">
        <f>IF(M658&gt;=2,"Yes",IF(M658=1,"Uncertain","No"))</f>
        <v/>
      </c>
      <c r="O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1">
        <f>COUNTIF(D659:L659,"Yes")</f>
        <v/>
      </c>
      <c r="N659" s="12">
        <f>IF(M659&gt;=2,"Yes",IF(M659=1,"Uncertain","No"))</f>
        <v/>
      </c>
      <c r="O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1">
        <f>COUNTIF(D660:L660,"Yes")</f>
        <v/>
      </c>
      <c r="N660" s="12">
        <f>IF(M660&gt;=2,"Yes",IF(M660=1,"Uncertain","No"))</f>
        <v/>
      </c>
      <c r="O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1">
        <f>COUNTIF(D661:L661,"Yes")</f>
        <v/>
      </c>
      <c r="N661" s="12">
        <f>IF(M661&gt;=2,"Yes",IF(M661=1,"Uncertain","No"))</f>
        <v/>
      </c>
      <c r="O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1">
        <f>COUNTIF(D662:L662,"Yes")</f>
        <v/>
      </c>
      <c r="N662" s="12">
        <f>IF(M662&gt;=2,"Yes",IF(M662=1,"Uncertain","No"))</f>
        <v/>
      </c>
      <c r="O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1">
        <f>COUNTIF(D663:L663,"Yes")</f>
        <v/>
      </c>
      <c r="N663" s="12">
        <f>IF(M663&gt;=2,"Yes",IF(M663=1,"Uncertain","No"))</f>
        <v/>
      </c>
      <c r="O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1">
        <f>COUNTIF(D664:L664,"Yes")</f>
        <v/>
      </c>
      <c r="N664" s="12">
        <f>IF(M664&gt;=2,"Yes",IF(M664=1,"Uncertain","No"))</f>
        <v/>
      </c>
      <c r="O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1">
        <f>COUNTIF(D665:L665,"Yes")</f>
        <v/>
      </c>
      <c r="N665" s="12">
        <f>IF(M665&gt;=2,"Yes",IF(M665=1,"Uncertain","No"))</f>
        <v/>
      </c>
      <c r="O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1">
        <f>COUNTIF(D666:L666,"Yes")</f>
        <v/>
      </c>
      <c r="N666" s="12">
        <f>IF(M666&gt;=2,"Yes",IF(M666=1,"Uncertain","No"))</f>
        <v/>
      </c>
      <c r="O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1">
        <f>COUNTIF(D667:L667,"Yes")</f>
        <v/>
      </c>
      <c r="N667" s="12">
        <f>IF(M667&gt;=2,"Yes",IF(M667=1,"Uncertain","No"))</f>
        <v/>
      </c>
      <c r="O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1">
        <f>COUNTIF(D668:L668,"Yes")</f>
        <v/>
      </c>
      <c r="N668" s="12">
        <f>IF(M668&gt;=2,"Yes",IF(M668=1,"Uncertain","No"))</f>
        <v/>
      </c>
      <c r="O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1">
        <f>COUNTIF(D669:L669,"Yes")</f>
        <v/>
      </c>
      <c r="N669" s="12">
        <f>IF(M669&gt;=2,"Yes",IF(M669=1,"Uncertain","No"))</f>
        <v/>
      </c>
      <c r="O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1">
        <f>COUNTIF(D670:L670,"Yes")</f>
        <v/>
      </c>
      <c r="N670" s="12">
        <f>IF(M670&gt;=2,"Yes",IF(M670=1,"Uncertain","No"))</f>
        <v/>
      </c>
      <c r="O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1">
        <f>COUNTIF(D671:L671,"Yes")</f>
        <v/>
      </c>
      <c r="N671" s="12">
        <f>IF(M671&gt;=2,"Yes",IF(M671=1,"Uncertain","No"))</f>
        <v/>
      </c>
      <c r="O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1">
        <f>COUNTIF(D672:L672,"Yes")</f>
        <v/>
      </c>
      <c r="N672" s="12">
        <f>IF(M672&gt;=2,"Yes",IF(M672=1,"Uncertain","No"))</f>
        <v/>
      </c>
      <c r="O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1">
        <f>COUNTIF(D673:L673,"Yes")</f>
        <v/>
      </c>
      <c r="N673" s="12">
        <f>IF(M673&gt;=2,"Yes",IF(M673=1,"Uncertain","No"))</f>
        <v/>
      </c>
      <c r="O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1">
        <f>COUNTIF(D674:L674,"Yes")</f>
        <v/>
      </c>
      <c r="N674" s="12">
        <f>IF(M674&gt;=2,"Yes",IF(M674=1,"Uncertain","No"))</f>
        <v/>
      </c>
      <c r="O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1">
        <f>COUNTIF(D675:L675,"Yes")</f>
        <v/>
      </c>
      <c r="N675" s="12">
        <f>IF(M675&gt;=2,"Yes",IF(M675=1,"Uncertain","No"))</f>
        <v/>
      </c>
      <c r="O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1">
        <f>COUNTIF(D676:L676,"Yes")</f>
        <v/>
      </c>
      <c r="N676" s="12">
        <f>IF(M676&gt;=2,"Yes",IF(M676=1,"Uncertain","No"))</f>
        <v/>
      </c>
      <c r="O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1">
        <f>COUNTIF(D677:L677,"Yes")</f>
        <v/>
      </c>
      <c r="N677" s="12">
        <f>IF(M677&gt;=2,"Yes",IF(M677=1,"Uncertain","No"))</f>
        <v/>
      </c>
      <c r="O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1">
        <f>COUNTIF(D678:L678,"Yes")</f>
        <v/>
      </c>
      <c r="N678" s="12">
        <f>IF(M678&gt;=2,"Yes",IF(M678=1,"Uncertain","No"))</f>
        <v/>
      </c>
      <c r="O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1">
        <f>COUNTIF(D679:L679,"Yes")</f>
        <v/>
      </c>
      <c r="N679" s="12">
        <f>IF(M679&gt;=2,"Yes",IF(M679=1,"Uncertain","No"))</f>
        <v/>
      </c>
      <c r="O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1">
        <f>COUNTIF(D680:L680,"Yes")</f>
        <v/>
      </c>
      <c r="N680" s="12">
        <f>IF(M680&gt;=2,"Yes",IF(M680=1,"Uncertain","No"))</f>
        <v/>
      </c>
      <c r="O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1">
        <f>COUNTIF(D681:L681,"Yes")</f>
        <v/>
      </c>
      <c r="N681" s="12">
        <f>IF(M681&gt;=2,"Yes",IF(M681=1,"Uncertain","No"))</f>
        <v/>
      </c>
      <c r="O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1">
        <f>COUNTIF(D682:L682,"Yes")</f>
        <v/>
      </c>
      <c r="N682" s="12">
        <f>IF(M682&gt;=2,"Yes",IF(M682=1,"Uncertain","No"))</f>
        <v/>
      </c>
      <c r="O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1">
        <f>COUNTIF(D683:L683,"Yes")</f>
        <v/>
      </c>
      <c r="N683" s="12">
        <f>IF(M683&gt;=2,"Yes",IF(M683=1,"Uncertain","No"))</f>
        <v/>
      </c>
      <c r="O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1">
        <f>COUNTIF(D684:L684,"Yes")</f>
        <v/>
      </c>
      <c r="N684" s="12">
        <f>IF(M684&gt;=2,"Yes",IF(M684=1,"Uncertain","No"))</f>
        <v/>
      </c>
      <c r="O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1">
        <f>COUNTIF(D685:L685,"Yes")</f>
        <v/>
      </c>
      <c r="N685" s="12">
        <f>IF(M685&gt;=2,"Yes",IF(M685=1,"Uncertain","No"))</f>
        <v/>
      </c>
      <c r="O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1">
        <f>COUNTIF(D686:L686,"Yes")</f>
        <v/>
      </c>
      <c r="N686" s="12">
        <f>IF(M686&gt;=2,"Yes",IF(M686=1,"Uncertain","No"))</f>
        <v/>
      </c>
      <c r="O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1">
        <f>COUNTIF(D687:L687,"Yes")</f>
        <v/>
      </c>
      <c r="N687" s="12">
        <f>IF(M687&gt;=2,"Yes",IF(M687=1,"Uncertain","No"))</f>
        <v/>
      </c>
      <c r="O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1">
        <f>COUNTIF(D688:L688,"Yes")</f>
        <v/>
      </c>
      <c r="N688" s="12">
        <f>IF(M688&gt;=2,"Yes",IF(M688=1,"Uncertain","No"))</f>
        <v/>
      </c>
      <c r="O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1">
        <f>COUNTIF(D689:L689,"Yes")</f>
        <v/>
      </c>
      <c r="N689" s="12">
        <f>IF(M689&gt;=2,"Yes",IF(M689=1,"Uncertain","No"))</f>
        <v/>
      </c>
      <c r="O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1">
        <f>COUNTIF(D690:L690,"Yes")</f>
        <v/>
      </c>
      <c r="N690" s="12">
        <f>IF(M690&gt;=2,"Yes",IF(M690=1,"Uncertain","No"))</f>
        <v/>
      </c>
      <c r="O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1">
        <f>COUNTIF(D691:L691,"Yes")</f>
        <v/>
      </c>
      <c r="N691" s="12">
        <f>IF(M691&gt;=2,"Yes",IF(M691=1,"Uncertain","No"))</f>
        <v/>
      </c>
      <c r="O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1">
        <f>COUNTIF(D692:L692,"Yes")</f>
        <v/>
      </c>
      <c r="N692" s="12">
        <f>IF(M692&gt;=2,"Yes",IF(M692=1,"Uncertain","No"))</f>
        <v/>
      </c>
      <c r="O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1">
        <f>COUNTIF(D693:L693,"Yes")</f>
        <v/>
      </c>
      <c r="N693" s="12">
        <f>IF(M693&gt;=2,"Yes",IF(M693=1,"Uncertain","No"))</f>
        <v/>
      </c>
      <c r="O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1">
        <f>COUNTIF(D694:L694,"Yes")</f>
        <v/>
      </c>
      <c r="N694" s="12">
        <f>IF(M694&gt;=2,"Yes",IF(M694=1,"Uncertain","No"))</f>
        <v/>
      </c>
      <c r="O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1">
        <f>COUNTIF(D695:L695,"Yes")</f>
        <v/>
      </c>
      <c r="N695" s="12">
        <f>IF(M695&gt;=2,"Yes",IF(M695=1,"Uncertain","No"))</f>
        <v/>
      </c>
      <c r="O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1">
        <f>COUNTIF(D696:L696,"Yes")</f>
        <v/>
      </c>
      <c r="N696" s="12">
        <f>IF(M696&gt;=2,"Yes",IF(M696=1,"Uncertain","No"))</f>
        <v/>
      </c>
      <c r="O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1">
        <f>COUNTIF(D697:L697,"Yes")</f>
        <v/>
      </c>
      <c r="N697" s="12">
        <f>IF(M697&gt;=2,"Yes",IF(M697=1,"Uncertain","No"))</f>
        <v/>
      </c>
      <c r="O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1">
        <f>COUNTIF(D698:L698,"Yes")</f>
        <v/>
      </c>
      <c r="N698" s="12">
        <f>IF(M698&gt;=2,"Yes",IF(M698=1,"Uncertain","No"))</f>
        <v/>
      </c>
      <c r="O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1">
        <f>COUNTIF(D699:L699,"Yes")</f>
        <v/>
      </c>
      <c r="N699" s="12">
        <f>IF(M699&gt;=2,"Yes",IF(M699=1,"Uncertain","No"))</f>
        <v/>
      </c>
      <c r="O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1">
        <f>COUNTIF(D700:L700,"Yes")</f>
        <v/>
      </c>
      <c r="N700" s="12">
        <f>IF(M700&gt;=2,"Yes",IF(M700=1,"Uncertain","No"))</f>
        <v/>
      </c>
      <c r="O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1">
        <f>COUNTIF(D701:L701,"Yes")</f>
        <v/>
      </c>
      <c r="N701" s="12">
        <f>IF(M701&gt;=2,"Yes",IF(M701=1,"Uncertain","No"))</f>
        <v/>
      </c>
      <c r="O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1">
        <f>COUNTIF(D702:L702,"Yes")</f>
        <v/>
      </c>
      <c r="N702" s="12">
        <f>IF(M702&gt;=2,"Yes",IF(M702=1,"Uncertain","No"))</f>
        <v/>
      </c>
      <c r="O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1">
        <f>COUNTIF(D703:L703,"Yes")</f>
        <v/>
      </c>
      <c r="N703" s="12">
        <f>IF(M703&gt;=2,"Yes",IF(M703=1,"Uncertain","No"))</f>
        <v/>
      </c>
      <c r="O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1">
        <f>COUNTIF(D704:L704,"Yes")</f>
        <v/>
      </c>
      <c r="N704" s="12">
        <f>IF(M704&gt;=2,"Yes",IF(M704=1,"Uncertain","No"))</f>
        <v/>
      </c>
      <c r="O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1">
        <f>COUNTIF(D705:L705,"Yes")</f>
        <v/>
      </c>
      <c r="N705" s="12">
        <f>IF(M705&gt;=2,"Yes",IF(M705=1,"Uncertain","No"))</f>
        <v/>
      </c>
      <c r="O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1">
        <f>COUNTIF(D706:L706,"Yes")</f>
        <v/>
      </c>
      <c r="N706" s="12">
        <f>IF(M706&gt;=2,"Yes",IF(M706=1,"Uncertain","No"))</f>
        <v/>
      </c>
      <c r="O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1">
        <f>COUNTIF(D707:L707,"Yes")</f>
        <v/>
      </c>
      <c r="N707" s="12">
        <f>IF(M707&gt;=2,"Yes",IF(M707=1,"Uncertain","No"))</f>
        <v/>
      </c>
      <c r="O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1">
        <f>COUNTIF(D708:L708,"Yes")</f>
        <v/>
      </c>
      <c r="N708" s="12">
        <f>IF(M708&gt;=2,"Yes",IF(M708=1,"Uncertain","No"))</f>
        <v/>
      </c>
      <c r="O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1">
        <f>COUNTIF(D709:L709,"Yes")</f>
        <v/>
      </c>
      <c r="N709" s="12">
        <f>IF(M709&gt;=2,"Yes",IF(M709=1,"Uncertain","No"))</f>
        <v/>
      </c>
      <c r="O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1">
        <f>COUNTIF(D710:L710,"Yes")</f>
        <v/>
      </c>
      <c r="N710" s="12">
        <f>IF(M710&gt;=2,"Yes",IF(M710=1,"Uncertain","No"))</f>
        <v/>
      </c>
      <c r="O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1">
        <f>COUNTIF(D711:L711,"Yes")</f>
        <v/>
      </c>
      <c r="N711" s="12">
        <f>IF(M711&gt;=2,"Yes",IF(M711=1,"Uncertain","No"))</f>
        <v/>
      </c>
      <c r="O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1">
        <f>COUNTIF(D712:L712,"Yes")</f>
        <v/>
      </c>
      <c r="N712" s="12">
        <f>IF(M712&gt;=2,"Yes",IF(M712=1,"Uncertain","No"))</f>
        <v/>
      </c>
      <c r="O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1">
        <f>COUNTIF(D713:L713,"Yes")</f>
        <v/>
      </c>
      <c r="N713" s="12">
        <f>IF(M713&gt;=2,"Yes",IF(M713=1,"Uncertain","No"))</f>
        <v/>
      </c>
      <c r="O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1">
        <f>COUNTIF(D714:L714,"Yes")</f>
        <v/>
      </c>
      <c r="N714" s="12">
        <f>IF(M714&gt;=2,"Yes",IF(M714=1,"Uncertain","No"))</f>
        <v/>
      </c>
      <c r="O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1">
        <f>COUNTIF(D715:L715,"Yes")</f>
        <v/>
      </c>
      <c r="N715" s="12">
        <f>IF(M715&gt;=2,"Yes",IF(M715=1,"Uncertain","No"))</f>
        <v/>
      </c>
      <c r="O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1">
        <f>COUNTIF(D716:L716,"Yes")</f>
        <v/>
      </c>
      <c r="N716" s="12">
        <f>IF(M716&gt;=2,"Yes",IF(M716=1,"Uncertain","No"))</f>
        <v/>
      </c>
      <c r="O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1">
        <f>COUNTIF(D717:L717,"Yes")</f>
        <v/>
      </c>
      <c r="N717" s="12">
        <f>IF(M717&gt;=2,"Yes",IF(M717=1,"Uncertain","No"))</f>
        <v/>
      </c>
      <c r="O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1">
        <f>COUNTIF(D718:L718,"Yes")</f>
        <v/>
      </c>
      <c r="N718" s="12">
        <f>IF(M718&gt;=2,"Yes",IF(M718=1,"Uncertain","No"))</f>
        <v/>
      </c>
      <c r="O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1">
        <f>COUNTIF(D719:L719,"Yes")</f>
        <v/>
      </c>
      <c r="N719" s="12">
        <f>IF(M719&gt;=2,"Yes",IF(M719=1,"Uncertain","No"))</f>
        <v/>
      </c>
      <c r="O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1">
        <f>COUNTIF(D720:L720,"Yes")</f>
        <v/>
      </c>
      <c r="N720" s="12">
        <f>IF(M720&gt;=2,"Yes",IF(M720=1,"Uncertain","No"))</f>
        <v/>
      </c>
      <c r="O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1">
        <f>COUNTIF(D721:L721,"Yes")</f>
        <v/>
      </c>
      <c r="N721" s="12">
        <f>IF(M721&gt;=2,"Yes",IF(M721=1,"Uncertain","No"))</f>
        <v/>
      </c>
      <c r="O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1">
        <f>COUNTIF(D722:L722,"Yes")</f>
        <v/>
      </c>
      <c r="N722" s="12">
        <f>IF(M722&gt;=2,"Yes",IF(M722=1,"Uncertain","No"))</f>
        <v/>
      </c>
      <c r="O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1">
        <f>COUNTIF(D723:L723,"Yes")</f>
        <v/>
      </c>
      <c r="N723" s="12">
        <f>IF(M723&gt;=2,"Yes",IF(M723=1,"Uncertain","No"))</f>
        <v/>
      </c>
      <c r="O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1">
        <f>COUNTIF(D724:L724,"Yes")</f>
        <v/>
      </c>
      <c r="N724" s="12">
        <f>IF(M724&gt;=2,"Yes",IF(M724=1,"Uncertain","No"))</f>
        <v/>
      </c>
      <c r="O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1">
        <f>COUNTIF(D725:L725,"Yes")</f>
        <v/>
      </c>
      <c r="N725" s="12">
        <f>IF(M725&gt;=2,"Yes",IF(M725=1,"Uncertain","No"))</f>
        <v/>
      </c>
      <c r="O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1">
        <f>COUNTIF(D726:L726,"Yes")</f>
        <v/>
      </c>
      <c r="N726" s="12">
        <f>IF(M726&gt;=2,"Yes",IF(M726=1,"Uncertain","No"))</f>
        <v/>
      </c>
      <c r="O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1">
        <f>COUNTIF(D727:L727,"Yes")</f>
        <v/>
      </c>
      <c r="N727" s="12">
        <f>IF(M727&gt;=2,"Yes",IF(M727=1,"Uncertain","No"))</f>
        <v/>
      </c>
      <c r="O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1">
        <f>COUNTIF(D728:L728,"Yes")</f>
        <v/>
      </c>
      <c r="N728" s="12">
        <f>IF(M728&gt;=2,"Yes",IF(M728=1,"Uncertain","No"))</f>
        <v/>
      </c>
      <c r="O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1">
        <f>COUNTIF(D729:L729,"Yes")</f>
        <v/>
      </c>
      <c r="N729" s="12">
        <f>IF(M729&gt;=2,"Yes",IF(M729=1,"Uncertain","No"))</f>
        <v/>
      </c>
      <c r="O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1">
        <f>COUNTIF(D730:L730,"Yes")</f>
        <v/>
      </c>
      <c r="N730" s="12">
        <f>IF(M730&gt;=2,"Yes",IF(M730=1,"Uncertain","No"))</f>
        <v/>
      </c>
      <c r="O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1">
        <f>COUNTIF(D731:L731,"Yes")</f>
        <v/>
      </c>
      <c r="N731" s="12">
        <f>IF(M731&gt;=2,"Yes",IF(M731=1,"Uncertain","No"))</f>
        <v/>
      </c>
      <c r="O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1">
        <f>COUNTIF(D732:L732,"Yes")</f>
        <v/>
      </c>
      <c r="N732" s="12">
        <f>IF(M732&gt;=2,"Yes",IF(M732=1,"Uncertain","No"))</f>
        <v/>
      </c>
      <c r="O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1">
        <f>COUNTIF(D733:L733,"Yes")</f>
        <v/>
      </c>
      <c r="N733" s="12">
        <f>IF(M733&gt;=2,"Yes",IF(M733=1,"Uncertain","No"))</f>
        <v/>
      </c>
      <c r="O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1">
        <f>COUNTIF(D734:L734,"Yes")</f>
        <v/>
      </c>
      <c r="N734" s="12">
        <f>IF(M734&gt;=2,"Yes",IF(M734=1,"Uncertain","No"))</f>
        <v/>
      </c>
      <c r="O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1">
        <f>COUNTIF(D735:L735,"Yes")</f>
        <v/>
      </c>
      <c r="N735" s="12">
        <f>IF(M735&gt;=2,"Yes",IF(M735=1,"Uncertain","No"))</f>
        <v/>
      </c>
      <c r="O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1">
        <f>COUNTIF(D736:L736,"Yes")</f>
        <v/>
      </c>
      <c r="N736" s="12">
        <f>IF(M736&gt;=2,"Yes",IF(M736=1,"Uncertain","No"))</f>
        <v/>
      </c>
      <c r="O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1">
        <f>COUNTIF(D737:L737,"Yes")</f>
        <v/>
      </c>
      <c r="N737" s="12">
        <f>IF(M737&gt;=2,"Yes",IF(M737=1,"Uncertain","No"))</f>
        <v/>
      </c>
      <c r="O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1">
        <f>COUNTIF(D738:L738,"Yes")</f>
        <v/>
      </c>
      <c r="N738" s="12">
        <f>IF(M738&gt;=2,"Yes",IF(M738=1,"Uncertain","No"))</f>
        <v/>
      </c>
      <c r="O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1">
        <f>COUNTIF(D739:L739,"Yes")</f>
        <v/>
      </c>
      <c r="N739" s="12">
        <f>IF(M739&gt;=2,"Yes",IF(M739=1,"Uncertain","No"))</f>
        <v/>
      </c>
      <c r="O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1">
        <f>COUNTIF(D740:L740,"Yes")</f>
        <v/>
      </c>
      <c r="N740" s="12">
        <f>IF(M740&gt;=2,"Yes",IF(M740=1,"Uncertain","No"))</f>
        <v/>
      </c>
      <c r="O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1">
        <f>COUNTIF(D741:L741,"Yes")</f>
        <v/>
      </c>
      <c r="N741" s="12">
        <f>IF(M741&gt;=2,"Yes",IF(M741=1,"Uncertain","No"))</f>
        <v/>
      </c>
      <c r="O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1">
        <f>COUNTIF(D742:L742,"Yes")</f>
        <v/>
      </c>
      <c r="N742" s="12">
        <f>IF(M742&gt;=2,"Yes",IF(M742=1,"Uncertain","No"))</f>
        <v/>
      </c>
      <c r="O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1">
        <f>COUNTIF(D743:L743,"Yes")</f>
        <v/>
      </c>
      <c r="N743" s="12">
        <f>IF(M743&gt;=2,"Yes",IF(M743=1,"Uncertain","No"))</f>
        <v/>
      </c>
      <c r="O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1">
        <f>COUNTIF(D744:L744,"Yes")</f>
        <v/>
      </c>
      <c r="N744" s="12">
        <f>IF(M744&gt;=2,"Yes",IF(M744=1,"Uncertain","No"))</f>
        <v/>
      </c>
      <c r="O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1">
        <f>COUNTIF(D745:L745,"Yes")</f>
        <v/>
      </c>
      <c r="N745" s="12">
        <f>IF(M745&gt;=2,"Yes",IF(M745=1,"Uncertain","No"))</f>
        <v/>
      </c>
      <c r="O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1">
        <f>COUNTIF(D746:L746,"Yes")</f>
        <v/>
      </c>
      <c r="N746" s="12">
        <f>IF(M746&gt;=2,"Yes",IF(M746=1,"Uncertain","No"))</f>
        <v/>
      </c>
      <c r="O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1">
        <f>COUNTIF(D747:L747,"Yes")</f>
        <v/>
      </c>
      <c r="N747" s="12">
        <f>IF(M747&gt;=2,"Yes",IF(M747=1,"Uncertain","No"))</f>
        <v/>
      </c>
      <c r="O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1">
        <f>COUNTIF(D748:L748,"Yes")</f>
        <v/>
      </c>
      <c r="N748" s="12">
        <f>IF(M748&gt;=2,"Yes",IF(M748=1,"Uncertain","No"))</f>
        <v/>
      </c>
      <c r="O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1">
        <f>COUNTIF(D749:L749,"Yes")</f>
        <v/>
      </c>
      <c r="N749" s="12">
        <f>IF(M749&gt;=2,"Yes",IF(M749=1,"Uncertain","No"))</f>
        <v/>
      </c>
      <c r="O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1">
        <f>COUNTIF(D750:L750,"Yes")</f>
        <v/>
      </c>
      <c r="N750" s="12">
        <f>IF(M750&gt;=2,"Yes",IF(M750=1,"Uncertain","No"))</f>
        <v/>
      </c>
      <c r="O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1">
        <f>COUNTIF(D751:L751,"Yes")</f>
        <v/>
      </c>
      <c r="N751" s="12">
        <f>IF(M751&gt;=2,"Yes",IF(M751=1,"Uncertain","No"))</f>
        <v/>
      </c>
      <c r="O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1">
        <f>COUNTIF(D752:L752,"Yes")</f>
        <v/>
      </c>
      <c r="N752" s="12">
        <f>IF(M752&gt;=2,"Yes",IF(M752=1,"Uncertain","No"))</f>
        <v/>
      </c>
      <c r="O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1">
        <f>COUNTIF(D753:L753,"Yes")</f>
        <v/>
      </c>
      <c r="N753" s="12">
        <f>IF(M753&gt;=2,"Yes",IF(M753=1,"Uncertain","No"))</f>
        <v/>
      </c>
      <c r="O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1">
        <f>COUNTIF(D754:L754,"Yes")</f>
        <v/>
      </c>
      <c r="N754" s="12">
        <f>IF(M754&gt;=2,"Yes",IF(M754=1,"Uncertain","No"))</f>
        <v/>
      </c>
      <c r="O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1">
        <f>COUNTIF(D755:L755,"Yes")</f>
        <v/>
      </c>
      <c r="N755" s="12">
        <f>IF(M755&gt;=2,"Yes",IF(M755=1,"Uncertain","No"))</f>
        <v/>
      </c>
      <c r="O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1">
        <f>COUNTIF(D756:L756,"Yes")</f>
        <v/>
      </c>
      <c r="N756" s="12">
        <f>IF(M756&gt;=2,"Yes",IF(M756=1,"Uncertain","No"))</f>
        <v/>
      </c>
      <c r="O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1">
        <f>COUNTIF(D757:L757,"Yes")</f>
        <v/>
      </c>
      <c r="N757" s="12">
        <f>IF(M757&gt;=2,"Yes",IF(M757=1,"Uncertain","No"))</f>
        <v/>
      </c>
      <c r="O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1">
        <f>COUNTIF(D758:L758,"Yes")</f>
        <v/>
      </c>
      <c r="N758" s="12">
        <f>IF(M758&gt;=2,"Yes",IF(M758=1,"Uncertain","No"))</f>
        <v/>
      </c>
      <c r="O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1">
        <f>COUNTIF(D759:L759,"Yes")</f>
        <v/>
      </c>
      <c r="N759" s="12">
        <f>IF(M759&gt;=2,"Yes",IF(M759=1,"Uncertain","No"))</f>
        <v/>
      </c>
      <c r="O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1">
        <f>COUNTIF(D760:L760,"Yes")</f>
        <v/>
      </c>
      <c r="N760" s="12">
        <f>IF(M760&gt;=2,"Yes",IF(M760=1,"Uncertain","No"))</f>
        <v/>
      </c>
      <c r="O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1">
        <f>COUNTIF(D761:L761,"Yes")</f>
        <v/>
      </c>
      <c r="N761" s="12">
        <f>IF(M761&gt;=2,"Yes",IF(M761=1,"Uncertain","No"))</f>
        <v/>
      </c>
      <c r="O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1">
        <f>COUNTIF(D762:L762,"Yes")</f>
        <v/>
      </c>
      <c r="N762" s="12">
        <f>IF(M762&gt;=2,"Yes",IF(M762=1,"Uncertain","No"))</f>
        <v/>
      </c>
      <c r="O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1">
        <f>COUNTIF(D763:L763,"Yes")</f>
        <v/>
      </c>
      <c r="N763" s="12">
        <f>IF(M763&gt;=2,"Yes",IF(M763=1,"Uncertain","No"))</f>
        <v/>
      </c>
      <c r="O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1">
        <f>COUNTIF(D764:L764,"Yes")</f>
        <v/>
      </c>
      <c r="N764" s="12">
        <f>IF(M764&gt;=2,"Yes",IF(M764=1,"Uncertain","No"))</f>
        <v/>
      </c>
      <c r="O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1">
        <f>COUNTIF(D765:L765,"Yes")</f>
        <v/>
      </c>
      <c r="N765" s="12">
        <f>IF(M765&gt;=2,"Yes",IF(M765=1,"Uncertain","No"))</f>
        <v/>
      </c>
      <c r="O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1">
        <f>COUNTIF(D766:L766,"Yes")</f>
        <v/>
      </c>
      <c r="N766" s="12">
        <f>IF(M766&gt;=2,"Yes",IF(M766=1,"Uncertain","No"))</f>
        <v/>
      </c>
      <c r="O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1">
        <f>COUNTIF(D767:L767,"Yes")</f>
        <v/>
      </c>
      <c r="N767" s="12">
        <f>IF(M767&gt;=2,"Yes",IF(M767=1,"Uncertain","No"))</f>
        <v/>
      </c>
      <c r="O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1">
        <f>COUNTIF(D768:L768,"Yes")</f>
        <v/>
      </c>
      <c r="N768" s="12">
        <f>IF(M768&gt;=2,"Yes",IF(M768=1,"Uncertain","No"))</f>
        <v/>
      </c>
      <c r="O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1">
        <f>COUNTIF(D769:L769,"Yes")</f>
        <v/>
      </c>
      <c r="N769" s="12">
        <f>IF(M769&gt;=2,"Yes",IF(M769=1,"Uncertain","No"))</f>
        <v/>
      </c>
      <c r="O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1">
        <f>COUNTIF(D770:L770,"Yes")</f>
        <v/>
      </c>
      <c r="N770" s="12">
        <f>IF(M770&gt;=2,"Yes",IF(M770=1,"Uncertain","No"))</f>
        <v/>
      </c>
      <c r="O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1">
        <f>COUNTIF(D771:L771,"Yes")</f>
        <v/>
      </c>
      <c r="N771" s="12">
        <f>IF(M771&gt;=2,"Yes",IF(M771=1,"Uncertain","No"))</f>
        <v/>
      </c>
      <c r="O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1">
        <f>COUNTIF(D772:L772,"Yes")</f>
        <v/>
      </c>
      <c r="N772" s="12">
        <f>IF(M772&gt;=2,"Yes",IF(M772=1,"Uncertain","No"))</f>
        <v/>
      </c>
      <c r="O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1">
        <f>COUNTIF(D773:L773,"Yes")</f>
        <v/>
      </c>
      <c r="N773" s="12">
        <f>IF(M773&gt;=2,"Yes",IF(M773=1,"Uncertain","No"))</f>
        <v/>
      </c>
      <c r="O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1">
        <f>COUNTIF(D774:L774,"Yes")</f>
        <v/>
      </c>
      <c r="N774" s="12">
        <f>IF(M774&gt;=2,"Yes",IF(M774=1,"Uncertain","No"))</f>
        <v/>
      </c>
      <c r="O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1">
        <f>COUNTIF(D775:L775,"Yes")</f>
        <v/>
      </c>
      <c r="N775" s="12">
        <f>IF(M775&gt;=2,"Yes",IF(M775=1,"Uncertain","No"))</f>
        <v/>
      </c>
      <c r="O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1">
        <f>COUNTIF(D776:L776,"Yes")</f>
        <v/>
      </c>
      <c r="N776" s="12">
        <f>IF(M776&gt;=2,"Yes",IF(M776=1,"Uncertain","No"))</f>
        <v/>
      </c>
      <c r="O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1">
        <f>COUNTIF(D777:L777,"Yes")</f>
        <v/>
      </c>
      <c r="N777" s="12">
        <f>IF(M777&gt;=2,"Yes",IF(M777=1,"Uncertain","No"))</f>
        <v/>
      </c>
      <c r="O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1">
        <f>COUNTIF(D778:L778,"Yes")</f>
        <v/>
      </c>
      <c r="N778" s="12">
        <f>IF(M778&gt;=2,"Yes",IF(M778=1,"Uncertain","No"))</f>
        <v/>
      </c>
      <c r="O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1">
        <f>COUNTIF(D779:L779,"Yes")</f>
        <v/>
      </c>
      <c r="N779" s="12">
        <f>IF(M779&gt;=2,"Yes",IF(M779=1,"Uncertain","No"))</f>
        <v/>
      </c>
      <c r="O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1">
        <f>COUNTIF(D780:L780,"Yes")</f>
        <v/>
      </c>
      <c r="N780" s="12">
        <f>IF(M780&gt;=2,"Yes",IF(M780=1,"Uncertain","No"))</f>
        <v/>
      </c>
      <c r="O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1">
        <f>COUNTIF(D781:L781,"Yes")</f>
        <v/>
      </c>
      <c r="N781" s="12">
        <f>IF(M781&gt;=2,"Yes",IF(M781=1,"Uncertain","No"))</f>
        <v/>
      </c>
      <c r="O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1">
        <f>COUNTIF(D782:L782,"Yes")</f>
        <v/>
      </c>
      <c r="N782" s="12">
        <f>IF(M782&gt;=2,"Yes",IF(M782=1,"Uncertain","No"))</f>
        <v/>
      </c>
      <c r="O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1">
        <f>COUNTIF(D783:L783,"Yes")</f>
        <v/>
      </c>
      <c r="N783" s="12">
        <f>IF(M783&gt;=2,"Yes",IF(M783=1,"Uncertain","No"))</f>
        <v/>
      </c>
      <c r="O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1">
        <f>COUNTIF(D784:L784,"Yes")</f>
        <v/>
      </c>
      <c r="N784" s="12">
        <f>IF(M784&gt;=2,"Yes",IF(M784=1,"Uncertain","No"))</f>
        <v/>
      </c>
      <c r="O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1">
        <f>COUNTIF(D785:L785,"Yes")</f>
        <v/>
      </c>
      <c r="N785" s="12">
        <f>IF(M785&gt;=2,"Yes",IF(M785=1,"Uncertain","No"))</f>
        <v/>
      </c>
      <c r="O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1">
        <f>COUNTIF(D786:L786,"Yes")</f>
        <v/>
      </c>
      <c r="N786" s="12">
        <f>IF(M786&gt;=2,"Yes",IF(M786=1,"Uncertain","No"))</f>
        <v/>
      </c>
      <c r="O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1">
        <f>COUNTIF(D787:L787,"Yes")</f>
        <v/>
      </c>
      <c r="N787" s="12">
        <f>IF(M787&gt;=2,"Yes",IF(M787=1,"Uncertain","No"))</f>
        <v/>
      </c>
      <c r="O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1">
        <f>COUNTIF(D788:L788,"Yes")</f>
        <v/>
      </c>
      <c r="N788" s="12">
        <f>IF(M788&gt;=2,"Yes",IF(M788=1,"Uncertain","No"))</f>
        <v/>
      </c>
      <c r="O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1">
        <f>COUNTIF(D789:L789,"Yes")</f>
        <v/>
      </c>
      <c r="N789" s="12">
        <f>IF(M789&gt;=2,"Yes",IF(M789=1,"Uncertain","No"))</f>
        <v/>
      </c>
      <c r="O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1">
        <f>COUNTIF(D790:L790,"Yes")</f>
        <v/>
      </c>
      <c r="N790" s="12">
        <f>IF(M790&gt;=2,"Yes",IF(M790=1,"Uncertain","No"))</f>
        <v/>
      </c>
      <c r="O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1">
        <f>COUNTIF(D791:L791,"Yes")</f>
        <v/>
      </c>
      <c r="N791" s="12">
        <f>IF(M791&gt;=2,"Yes",IF(M791=1,"Uncertain","No"))</f>
        <v/>
      </c>
      <c r="O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1">
        <f>COUNTIF(D792:L792,"Yes")</f>
        <v/>
      </c>
      <c r="N792" s="12">
        <f>IF(M792&gt;=2,"Yes",IF(M792=1,"Uncertain","No"))</f>
        <v/>
      </c>
      <c r="O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1">
        <f>COUNTIF(D793:L793,"Yes")</f>
        <v/>
      </c>
      <c r="N793" s="12">
        <f>IF(M793&gt;=2,"Yes",IF(M793=1,"Uncertain","No"))</f>
        <v/>
      </c>
      <c r="O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1">
        <f>COUNTIF(D794:L794,"Yes")</f>
        <v/>
      </c>
      <c r="N794" s="12">
        <f>IF(M794&gt;=2,"Yes",IF(M794=1,"Uncertain","No"))</f>
        <v/>
      </c>
      <c r="O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1">
        <f>COUNTIF(D795:L795,"Yes")</f>
        <v/>
      </c>
      <c r="N795" s="12">
        <f>IF(M795&gt;=2,"Yes",IF(M795=1,"Uncertain","No"))</f>
        <v/>
      </c>
      <c r="O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1">
        <f>COUNTIF(D796:L796,"Yes")</f>
        <v/>
      </c>
      <c r="N796" s="12">
        <f>IF(M796&gt;=2,"Yes",IF(M796=1,"Uncertain","No"))</f>
        <v/>
      </c>
      <c r="O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1">
        <f>COUNTIF(D797:L797,"Yes")</f>
        <v/>
      </c>
      <c r="N797" s="12">
        <f>IF(M797&gt;=2,"Yes",IF(M797=1,"Uncertain","No"))</f>
        <v/>
      </c>
      <c r="O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1">
        <f>COUNTIF(D798:L798,"Yes")</f>
        <v/>
      </c>
      <c r="N798" s="12">
        <f>IF(M798&gt;=2,"Yes",IF(M798=1,"Uncertain","No"))</f>
        <v/>
      </c>
      <c r="O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1">
        <f>COUNTIF(D799:L799,"Yes")</f>
        <v/>
      </c>
      <c r="N799" s="12">
        <f>IF(M799&gt;=2,"Yes",IF(M799=1,"Uncertain","No"))</f>
        <v/>
      </c>
      <c r="O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1">
        <f>COUNTIF(D800:L800,"Yes")</f>
        <v/>
      </c>
      <c r="N800" s="12">
        <f>IF(M800&gt;=2,"Yes",IF(M800=1,"Uncertain","No"))</f>
        <v/>
      </c>
      <c r="O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1">
        <f>COUNTIF(D801:L801,"Yes")</f>
        <v/>
      </c>
      <c r="N801" s="12">
        <f>IF(M801&gt;=2,"Yes",IF(M801=1,"Uncertain","No"))</f>
        <v/>
      </c>
      <c r="O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1">
        <f>COUNTIF(D802:L802,"Yes")</f>
        <v/>
      </c>
      <c r="N802" s="12">
        <f>IF(M802&gt;=2,"Yes",IF(M802=1,"Uncertain","No"))</f>
        <v/>
      </c>
      <c r="O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1">
        <f>COUNTIF(D803:L803,"Yes")</f>
        <v/>
      </c>
      <c r="N803" s="12">
        <f>IF(M803&gt;=2,"Yes",IF(M803=1,"Uncertain","No"))</f>
        <v/>
      </c>
      <c r="O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1">
        <f>COUNTIF(D804:L804,"Yes")</f>
        <v/>
      </c>
      <c r="N804" s="12">
        <f>IF(M804&gt;=2,"Yes",IF(M804=1,"Uncertain","No"))</f>
        <v/>
      </c>
      <c r="O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1">
        <f>COUNTIF(D805:L805,"Yes")</f>
        <v/>
      </c>
      <c r="N805" s="12">
        <f>IF(M805&gt;=2,"Yes",IF(M805=1,"Uncertain","No"))</f>
        <v/>
      </c>
      <c r="O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1">
        <f>COUNTIF(D806:L806,"Yes")</f>
        <v/>
      </c>
      <c r="N806" s="12">
        <f>IF(M806&gt;=2,"Yes",IF(M806=1,"Uncertain","No"))</f>
        <v/>
      </c>
      <c r="O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1">
        <f>COUNTIF(D807:L807,"Yes")</f>
        <v/>
      </c>
      <c r="N807" s="12">
        <f>IF(M807&gt;=2,"Yes",IF(M807=1,"Uncertain","No"))</f>
        <v/>
      </c>
      <c r="O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1">
        <f>COUNTIF(D808:L808,"Yes")</f>
        <v/>
      </c>
      <c r="N808" s="12">
        <f>IF(M808&gt;=2,"Yes",IF(M808=1,"Uncertain","No"))</f>
        <v/>
      </c>
      <c r="O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1">
        <f>COUNTIF(D809:L809,"Yes")</f>
        <v/>
      </c>
      <c r="N809" s="12">
        <f>IF(M809&gt;=2,"Yes",IF(M809=1,"Uncertain","No"))</f>
        <v/>
      </c>
      <c r="O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1">
        <f>COUNTIF(D810:L810,"Yes")</f>
        <v/>
      </c>
      <c r="N810" s="12">
        <f>IF(M810&gt;=2,"Yes",IF(M810=1,"Uncertain","No"))</f>
        <v/>
      </c>
      <c r="O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1">
        <f>COUNTIF(D811:L811,"Yes")</f>
        <v/>
      </c>
      <c r="N811" s="12">
        <f>IF(M811&gt;=2,"Yes",IF(M811=1,"Uncertain","No"))</f>
        <v/>
      </c>
      <c r="O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1">
        <f>COUNTIF(D812:L812,"Yes")</f>
        <v/>
      </c>
      <c r="N812" s="12">
        <f>IF(M812&gt;=2,"Yes",IF(M812=1,"Uncertain","No"))</f>
        <v/>
      </c>
      <c r="O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1">
        <f>COUNTIF(D813:L813,"Yes")</f>
        <v/>
      </c>
      <c r="N813" s="12">
        <f>IF(M813&gt;=2,"Yes",IF(M813=1,"Uncertain","No"))</f>
        <v/>
      </c>
      <c r="O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1">
        <f>COUNTIF(D814:L814,"Yes")</f>
        <v/>
      </c>
      <c r="N814" s="12">
        <f>IF(M814&gt;=2,"Yes",IF(M814=1,"Uncertain","No"))</f>
        <v/>
      </c>
      <c r="O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1">
        <f>COUNTIF(D815:L815,"Yes")</f>
        <v/>
      </c>
      <c r="N815" s="12">
        <f>IF(M815&gt;=2,"Yes",IF(M815=1,"Uncertain","No"))</f>
        <v/>
      </c>
      <c r="O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1">
        <f>COUNTIF(D816:L816,"Yes")</f>
        <v/>
      </c>
      <c r="N816" s="12">
        <f>IF(M816&gt;=2,"Yes",IF(M816=1,"Uncertain","No"))</f>
        <v/>
      </c>
      <c r="O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1">
        <f>COUNTIF(D817:L817,"Yes")</f>
        <v/>
      </c>
      <c r="N817" s="12">
        <f>IF(M817&gt;=2,"Yes",IF(M817=1,"Uncertain","No"))</f>
        <v/>
      </c>
      <c r="O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1">
        <f>COUNTIF(D818:L818,"Yes")</f>
        <v/>
      </c>
      <c r="N818" s="12">
        <f>IF(M818&gt;=2,"Yes",IF(M818=1,"Uncertain","No"))</f>
        <v/>
      </c>
      <c r="O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1">
        <f>COUNTIF(D819:L819,"Yes")</f>
        <v/>
      </c>
      <c r="N819" s="12">
        <f>IF(M819&gt;=2,"Yes",IF(M819=1,"Uncertain","No"))</f>
        <v/>
      </c>
      <c r="O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1">
        <f>COUNTIF(D820:L820,"Yes")</f>
        <v/>
      </c>
      <c r="N820" s="12">
        <f>IF(M820&gt;=2,"Yes",IF(M820=1,"Uncertain","No"))</f>
        <v/>
      </c>
      <c r="O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1">
        <f>COUNTIF(D821:L821,"Yes")</f>
        <v/>
      </c>
      <c r="N821" s="12">
        <f>IF(M821&gt;=2,"Yes",IF(M821=1,"Uncertain","No"))</f>
        <v/>
      </c>
      <c r="O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1">
        <f>COUNTIF(D822:L822,"Yes")</f>
        <v/>
      </c>
      <c r="N822" s="12">
        <f>IF(M822&gt;=2,"Yes",IF(M822=1,"Uncertain","No"))</f>
        <v/>
      </c>
      <c r="O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1">
        <f>COUNTIF(D823:L823,"Yes")</f>
        <v/>
      </c>
      <c r="N823" s="12">
        <f>IF(M823&gt;=2,"Yes",IF(M823=1,"Uncertain","No"))</f>
        <v/>
      </c>
      <c r="O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1">
        <f>COUNTIF(D824:L824,"Yes")</f>
        <v/>
      </c>
      <c r="N824" s="12">
        <f>IF(M824&gt;=2,"Yes",IF(M824=1,"Uncertain","No"))</f>
        <v/>
      </c>
      <c r="O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1">
        <f>COUNTIF(D825:L825,"Yes")</f>
        <v/>
      </c>
      <c r="N825" s="12">
        <f>IF(M825&gt;=2,"Yes",IF(M825=1,"Uncertain","No"))</f>
        <v/>
      </c>
      <c r="O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1">
        <f>COUNTIF(D826:L826,"Yes")</f>
        <v/>
      </c>
      <c r="N826" s="12">
        <f>IF(M826&gt;=2,"Yes",IF(M826=1,"Uncertain","No"))</f>
        <v/>
      </c>
      <c r="O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1">
        <f>COUNTIF(D827:L827,"Yes")</f>
        <v/>
      </c>
      <c r="N827" s="12">
        <f>IF(M827&gt;=2,"Yes",IF(M827=1,"Uncertain","No"))</f>
        <v/>
      </c>
      <c r="O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1">
        <f>COUNTIF(D828:L828,"Yes")</f>
        <v/>
      </c>
      <c r="N828" s="12">
        <f>IF(M828&gt;=2,"Yes",IF(M828=1,"Uncertain","No"))</f>
        <v/>
      </c>
      <c r="O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1">
        <f>COUNTIF(D829:L829,"Yes")</f>
        <v/>
      </c>
      <c r="N829" s="12">
        <f>IF(M829&gt;=2,"Yes",IF(M829=1,"Uncertain","No"))</f>
        <v/>
      </c>
      <c r="O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1">
        <f>COUNTIF(D830:L830,"Yes")</f>
        <v/>
      </c>
      <c r="N830" s="12">
        <f>IF(M830&gt;=2,"Yes",IF(M830=1,"Uncertain","No"))</f>
        <v/>
      </c>
      <c r="O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1">
        <f>COUNTIF(D831:L831,"Yes")</f>
        <v/>
      </c>
      <c r="N831" s="12">
        <f>IF(M831&gt;=2,"Yes",IF(M831=1,"Uncertain","No"))</f>
        <v/>
      </c>
      <c r="O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1">
        <f>COUNTIF(D832:L832,"Yes")</f>
        <v/>
      </c>
      <c r="N832" s="12">
        <f>IF(M832&gt;=2,"Yes",IF(M832=1,"Uncertain","No"))</f>
        <v/>
      </c>
      <c r="O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1">
        <f>COUNTIF(D833:L833,"Yes")</f>
        <v/>
      </c>
      <c r="N833" s="12">
        <f>IF(M833&gt;=2,"Yes",IF(M833=1,"Uncertain","No"))</f>
        <v/>
      </c>
      <c r="O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1">
        <f>COUNTIF(D834:L834,"Yes")</f>
        <v/>
      </c>
      <c r="N834" s="12">
        <f>IF(M834&gt;=2,"Yes",IF(M834=1,"Uncertain","No"))</f>
        <v/>
      </c>
      <c r="O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1">
        <f>COUNTIF(D835:L835,"Yes")</f>
        <v/>
      </c>
      <c r="N835" s="12">
        <f>IF(M835&gt;=2,"Yes",IF(M835=1,"Uncertain","No"))</f>
        <v/>
      </c>
      <c r="O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1">
        <f>COUNTIF(D836:L836,"Yes")</f>
        <v/>
      </c>
      <c r="N836" s="12">
        <f>IF(M836&gt;=2,"Yes",IF(M836=1,"Uncertain","No"))</f>
        <v/>
      </c>
      <c r="O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1">
        <f>COUNTIF(D837:L837,"Yes")</f>
        <v/>
      </c>
      <c r="N837" s="12">
        <f>IF(M837&gt;=2,"Yes",IF(M837=1,"Uncertain","No"))</f>
        <v/>
      </c>
      <c r="O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1">
        <f>COUNTIF(D838:L838,"Yes")</f>
        <v/>
      </c>
      <c r="N838" s="12">
        <f>IF(M838&gt;=2,"Yes",IF(M838=1,"Uncertain","No"))</f>
        <v/>
      </c>
      <c r="O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1">
        <f>COUNTIF(D839:L839,"Yes")</f>
        <v/>
      </c>
      <c r="N839" s="12">
        <f>IF(M839&gt;=2,"Yes",IF(M839=1,"Uncertain","No"))</f>
        <v/>
      </c>
      <c r="O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1">
        <f>COUNTIF(D840:L840,"Yes")</f>
        <v/>
      </c>
      <c r="N840" s="12">
        <f>IF(M840&gt;=2,"Yes",IF(M840=1,"Uncertain","No"))</f>
        <v/>
      </c>
      <c r="O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1">
        <f>COUNTIF(D841:L841,"Yes")</f>
        <v/>
      </c>
      <c r="N841" s="12">
        <f>IF(M841&gt;=2,"Yes",IF(M841=1,"Uncertain","No"))</f>
        <v/>
      </c>
      <c r="O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1">
        <f>COUNTIF(D842:L842,"Yes")</f>
        <v/>
      </c>
      <c r="N842" s="12">
        <f>IF(M842&gt;=2,"Yes",IF(M842=1,"Uncertain","No"))</f>
        <v/>
      </c>
      <c r="O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1">
        <f>COUNTIF(D843:L843,"Yes")</f>
        <v/>
      </c>
      <c r="N843" s="12">
        <f>IF(M843&gt;=2,"Yes",IF(M843=1,"Uncertain","No"))</f>
        <v/>
      </c>
      <c r="O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1">
        <f>COUNTIF(D844:L844,"Yes")</f>
        <v/>
      </c>
      <c r="N844" s="12">
        <f>IF(M844&gt;=2,"Yes",IF(M844=1,"Uncertain","No"))</f>
        <v/>
      </c>
      <c r="O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1">
        <f>COUNTIF(D845:L845,"Yes")</f>
        <v/>
      </c>
      <c r="N845" s="12">
        <f>IF(M845&gt;=2,"Yes",IF(M845=1,"Uncertain","No"))</f>
        <v/>
      </c>
      <c r="O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1">
        <f>COUNTIF(D846:L846,"Yes")</f>
        <v/>
      </c>
      <c r="N846" s="12">
        <f>IF(M846&gt;=2,"Yes",IF(M846=1,"Uncertain","No"))</f>
        <v/>
      </c>
      <c r="O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1">
        <f>COUNTIF(D847:L847,"Yes")</f>
        <v/>
      </c>
      <c r="N847" s="12">
        <f>IF(M847&gt;=2,"Yes",IF(M847=1,"Uncertain","No"))</f>
        <v/>
      </c>
      <c r="O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1">
        <f>COUNTIF(D848:L848,"Yes")</f>
        <v/>
      </c>
      <c r="N848" s="12">
        <f>IF(M848&gt;=2,"Yes",IF(M848=1,"Uncertain","No"))</f>
        <v/>
      </c>
      <c r="O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1">
        <f>COUNTIF(D849:L849,"Yes")</f>
        <v/>
      </c>
      <c r="N849" s="12">
        <f>IF(M849&gt;=2,"Yes",IF(M849=1,"Uncertain","No"))</f>
        <v/>
      </c>
      <c r="O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1">
        <f>COUNTIF(D850:L850,"Yes")</f>
        <v/>
      </c>
      <c r="N850" s="12">
        <f>IF(M850&gt;=2,"Yes",IF(M850=1,"Uncertain","No"))</f>
        <v/>
      </c>
      <c r="O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1">
        <f>COUNTIF(D851:L851,"Yes")</f>
        <v/>
      </c>
      <c r="N851" s="12">
        <f>IF(M851&gt;=2,"Yes",IF(M851=1,"Uncertain","No"))</f>
        <v/>
      </c>
      <c r="O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1">
        <f>COUNTIF(D852:L852,"Yes")</f>
        <v/>
      </c>
      <c r="N852" s="12">
        <f>IF(M852&gt;=2,"Yes",IF(M852=1,"Uncertain","No"))</f>
        <v/>
      </c>
      <c r="O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1">
        <f>COUNTIF(D853:L853,"Yes")</f>
        <v/>
      </c>
      <c r="N853" s="12">
        <f>IF(M853&gt;=2,"Yes",IF(M853=1,"Uncertain","No"))</f>
        <v/>
      </c>
      <c r="O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1">
        <f>COUNTIF(D854:L854,"Yes")</f>
        <v/>
      </c>
      <c r="N854" s="12">
        <f>IF(M854&gt;=2,"Yes",IF(M854=1,"Uncertain","No"))</f>
        <v/>
      </c>
      <c r="O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1">
        <f>COUNTIF(D855:L855,"Yes")</f>
        <v/>
      </c>
      <c r="N855" s="12">
        <f>IF(M855&gt;=2,"Yes",IF(M855=1,"Uncertain","No"))</f>
        <v/>
      </c>
      <c r="O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1">
        <f>COUNTIF(D856:L856,"Yes")</f>
        <v/>
      </c>
      <c r="N856" s="12">
        <f>IF(M856&gt;=2,"Yes",IF(M856=1,"Uncertain","No"))</f>
        <v/>
      </c>
      <c r="O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1">
        <f>COUNTIF(D857:L857,"Yes")</f>
        <v/>
      </c>
      <c r="N857" s="12">
        <f>IF(M857&gt;=2,"Yes",IF(M857=1,"Uncertain","No"))</f>
        <v/>
      </c>
      <c r="O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1">
        <f>COUNTIF(D858:L858,"Yes")</f>
        <v/>
      </c>
      <c r="N858" s="12">
        <f>IF(M858&gt;=2,"Yes",IF(M858=1,"Uncertain","No"))</f>
        <v/>
      </c>
      <c r="O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1">
        <f>COUNTIF(D859:L859,"Yes")</f>
        <v/>
      </c>
      <c r="N859" s="12">
        <f>IF(M859&gt;=2,"Yes",IF(M859=1,"Uncertain","No"))</f>
        <v/>
      </c>
      <c r="O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1">
        <f>COUNTIF(D860:L860,"Yes")</f>
        <v/>
      </c>
      <c r="N860" s="12">
        <f>IF(M860&gt;=2,"Yes",IF(M860=1,"Uncertain","No"))</f>
        <v/>
      </c>
      <c r="O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1">
        <f>COUNTIF(D861:L861,"Yes")</f>
        <v/>
      </c>
      <c r="N861" s="12">
        <f>IF(M861&gt;=2,"Yes",IF(M861=1,"Uncertain","No"))</f>
        <v/>
      </c>
      <c r="O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1">
        <f>COUNTIF(D862:L862,"Yes")</f>
        <v/>
      </c>
      <c r="N862" s="12">
        <f>IF(M862&gt;=2,"Yes",IF(M862=1,"Uncertain","No"))</f>
        <v/>
      </c>
      <c r="O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1">
        <f>COUNTIF(D863:L863,"Yes")</f>
        <v/>
      </c>
      <c r="N863" s="12">
        <f>IF(M863&gt;=2,"Yes",IF(M863=1,"Uncertain","No"))</f>
        <v/>
      </c>
      <c r="O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1">
        <f>COUNTIF(D864:L864,"Yes")</f>
        <v/>
      </c>
      <c r="N864" s="12">
        <f>IF(M864&gt;=2,"Yes",IF(M864=1,"Uncertain","No"))</f>
        <v/>
      </c>
      <c r="O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1">
        <f>COUNTIF(D865:L865,"Yes")</f>
        <v/>
      </c>
      <c r="N865" s="12">
        <f>IF(M865&gt;=2,"Yes",IF(M865=1,"Uncertain","No"))</f>
        <v/>
      </c>
      <c r="O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1">
        <f>COUNTIF(D866:L866,"Yes")</f>
        <v/>
      </c>
      <c r="N866" s="12">
        <f>IF(M866&gt;=2,"Yes",IF(M866=1,"Uncertain","No"))</f>
        <v/>
      </c>
      <c r="O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1">
        <f>COUNTIF(D867:L867,"Yes")</f>
        <v/>
      </c>
      <c r="N867" s="12">
        <f>IF(M867&gt;=2,"Yes",IF(M867=1,"Uncertain","No"))</f>
        <v/>
      </c>
      <c r="O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1">
        <f>COUNTIF(D868:L868,"Yes")</f>
        <v/>
      </c>
      <c r="N868" s="12">
        <f>IF(M868&gt;=2,"Yes",IF(M868=1,"Uncertain","No"))</f>
        <v/>
      </c>
      <c r="O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1">
        <f>COUNTIF(D869:L869,"Yes")</f>
        <v/>
      </c>
      <c r="N869" s="12">
        <f>IF(M869&gt;=2,"Yes",IF(M869=1,"Uncertain","No"))</f>
        <v/>
      </c>
      <c r="O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1">
        <f>COUNTIF(D870:L870,"Yes")</f>
        <v/>
      </c>
      <c r="N870" s="12">
        <f>IF(M870&gt;=2,"Yes",IF(M870=1,"Uncertain","No"))</f>
        <v/>
      </c>
      <c r="O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1">
        <f>COUNTIF(D871:L871,"Yes")</f>
        <v/>
      </c>
      <c r="N871" s="12">
        <f>IF(M871&gt;=2,"Yes",IF(M871=1,"Uncertain","No"))</f>
        <v/>
      </c>
      <c r="O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1">
        <f>COUNTIF(D872:L872,"Yes")</f>
        <v/>
      </c>
      <c r="N872" s="12">
        <f>IF(M872&gt;=2,"Yes",IF(M872=1,"Uncertain","No"))</f>
        <v/>
      </c>
      <c r="O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1">
        <f>COUNTIF(D873:L873,"Yes")</f>
        <v/>
      </c>
      <c r="N873" s="12">
        <f>IF(M873&gt;=2,"Yes",IF(M873=1,"Uncertain","No"))</f>
        <v/>
      </c>
      <c r="O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1">
        <f>COUNTIF(D874:L874,"Yes")</f>
        <v/>
      </c>
      <c r="N874" s="12">
        <f>IF(M874&gt;=2,"Yes",IF(M874=1,"Uncertain","No"))</f>
        <v/>
      </c>
      <c r="O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1">
        <f>COUNTIF(D875:L875,"Yes")</f>
        <v/>
      </c>
      <c r="N875" s="12">
        <f>IF(M875&gt;=2,"Yes",IF(M875=1,"Uncertain","No"))</f>
        <v/>
      </c>
      <c r="O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1">
        <f>COUNTIF(D876:L876,"Yes")</f>
        <v/>
      </c>
      <c r="N876" s="12">
        <f>IF(M876&gt;=2,"Yes",IF(M876=1,"Uncertain","No"))</f>
        <v/>
      </c>
      <c r="O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1">
        <f>COUNTIF(D877:L877,"Yes")</f>
        <v/>
      </c>
      <c r="N877" s="12">
        <f>IF(M877&gt;=2,"Yes",IF(M877=1,"Uncertain","No"))</f>
        <v/>
      </c>
      <c r="O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1">
        <f>COUNTIF(D878:L878,"Yes")</f>
        <v/>
      </c>
      <c r="N878" s="12">
        <f>IF(M878&gt;=2,"Yes",IF(M878=1,"Uncertain","No"))</f>
        <v/>
      </c>
      <c r="O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1">
        <f>COUNTIF(D879:L879,"Yes")</f>
        <v/>
      </c>
      <c r="N879" s="12">
        <f>IF(M879&gt;=2,"Yes",IF(M879=1,"Uncertain","No"))</f>
        <v/>
      </c>
      <c r="O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1">
        <f>COUNTIF(D880:L880,"Yes")</f>
        <v/>
      </c>
      <c r="N880" s="12">
        <f>IF(M880&gt;=2,"Yes",IF(M880=1,"Uncertain","No"))</f>
        <v/>
      </c>
      <c r="O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1">
        <f>COUNTIF(D881:L881,"Yes")</f>
        <v/>
      </c>
      <c r="N881" s="12">
        <f>IF(M881&gt;=2,"Yes",IF(M881=1,"Uncertain","No"))</f>
        <v/>
      </c>
      <c r="O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1">
        <f>COUNTIF(D882:L882,"Yes")</f>
        <v/>
      </c>
      <c r="N882" s="12">
        <f>IF(M882&gt;=2,"Yes",IF(M882=1,"Uncertain","No"))</f>
        <v/>
      </c>
      <c r="O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1">
        <f>COUNTIF(D883:L883,"Yes")</f>
        <v/>
      </c>
      <c r="N883" s="12">
        <f>IF(M883&gt;=2,"Yes",IF(M883=1,"Uncertain","No"))</f>
        <v/>
      </c>
      <c r="O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1">
        <f>COUNTIF(D884:L884,"Yes")</f>
        <v/>
      </c>
      <c r="N884" s="12">
        <f>IF(M884&gt;=2,"Yes",IF(M884=1,"Uncertain","No"))</f>
        <v/>
      </c>
      <c r="O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1">
        <f>COUNTIF(D885:L885,"Yes")</f>
        <v/>
      </c>
      <c r="N885" s="12">
        <f>IF(M885&gt;=2,"Yes",IF(M885=1,"Uncertain","No"))</f>
        <v/>
      </c>
      <c r="O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1">
        <f>COUNTIF(D886:L886,"Yes")</f>
        <v/>
      </c>
      <c r="N886" s="12">
        <f>IF(M886&gt;=2,"Yes",IF(M886=1,"Uncertain","No"))</f>
        <v/>
      </c>
      <c r="O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1">
        <f>COUNTIF(D887:L887,"Yes")</f>
        <v/>
      </c>
      <c r="N887" s="12">
        <f>IF(M887&gt;=2,"Yes",IF(M887=1,"Uncertain","No"))</f>
        <v/>
      </c>
      <c r="O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1">
        <f>COUNTIF(D888:L888,"Yes")</f>
        <v/>
      </c>
      <c r="N888" s="12">
        <f>IF(M888&gt;=2,"Yes",IF(M888=1,"Uncertain","No"))</f>
        <v/>
      </c>
      <c r="O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1">
        <f>COUNTIF(D889:L889,"Yes")</f>
        <v/>
      </c>
      <c r="N889" s="12">
        <f>IF(M889&gt;=2,"Yes",IF(M889=1,"Uncertain","No"))</f>
        <v/>
      </c>
      <c r="O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1">
        <f>COUNTIF(D890:L890,"Yes")</f>
        <v/>
      </c>
      <c r="N890" s="12">
        <f>IF(M890&gt;=2,"Yes",IF(M890=1,"Uncertain","No"))</f>
        <v/>
      </c>
      <c r="O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1">
        <f>COUNTIF(D891:L891,"Yes")</f>
        <v/>
      </c>
      <c r="N891" s="12">
        <f>IF(M891&gt;=2,"Yes",IF(M891=1,"Uncertain","No"))</f>
        <v/>
      </c>
      <c r="O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1">
        <f>COUNTIF(D892:L892,"Yes")</f>
        <v/>
      </c>
      <c r="N892" s="12">
        <f>IF(M892&gt;=2,"Yes",IF(M892=1,"Uncertain","No"))</f>
        <v/>
      </c>
      <c r="O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1">
        <f>COUNTIF(D893:L893,"Yes")</f>
        <v/>
      </c>
      <c r="N893" s="12">
        <f>IF(M893&gt;=2,"Yes",IF(M893=1,"Uncertain","No"))</f>
        <v/>
      </c>
      <c r="O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1">
        <f>COUNTIF(D894:L894,"Yes")</f>
        <v/>
      </c>
      <c r="N894" s="12">
        <f>IF(M894&gt;=2,"Yes",IF(M894=1,"Uncertain","No"))</f>
        <v/>
      </c>
      <c r="O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1">
        <f>COUNTIF(D895:L895,"Yes")</f>
        <v/>
      </c>
      <c r="N895" s="12">
        <f>IF(M895&gt;=2,"Yes",IF(M895=1,"Uncertain","No"))</f>
        <v/>
      </c>
      <c r="O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1">
        <f>COUNTIF(D896:L896,"Yes")</f>
        <v/>
      </c>
      <c r="N896" s="12">
        <f>IF(M896&gt;=2,"Yes",IF(M896=1,"Uncertain","No"))</f>
        <v/>
      </c>
      <c r="O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1">
        <f>COUNTIF(D897:L897,"Yes")</f>
        <v/>
      </c>
      <c r="N897" s="12">
        <f>IF(M897&gt;=2,"Yes",IF(M897=1,"Uncertain","No"))</f>
        <v/>
      </c>
      <c r="O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1">
        <f>COUNTIF(D898:L898,"Yes")</f>
        <v/>
      </c>
      <c r="N898" s="12">
        <f>IF(M898&gt;=2,"Yes",IF(M898=1,"Uncertain","No"))</f>
        <v/>
      </c>
      <c r="O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1">
        <f>COUNTIF(D899:L899,"Yes")</f>
        <v/>
      </c>
      <c r="N899" s="12">
        <f>IF(M899&gt;=2,"Yes",IF(M899=1,"Uncertain","No"))</f>
        <v/>
      </c>
      <c r="O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1">
        <f>COUNTIF(D900:L900,"Yes")</f>
        <v/>
      </c>
      <c r="N900" s="12">
        <f>IF(M900&gt;=2,"Yes",IF(M900=1,"Uncertain","No"))</f>
        <v/>
      </c>
      <c r="O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1">
        <f>COUNTIF(D901:L901,"Yes")</f>
        <v/>
      </c>
      <c r="N901" s="12">
        <f>IF(M901&gt;=2,"Yes",IF(M901=1,"Uncertain","No"))</f>
        <v/>
      </c>
      <c r="O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1">
        <f>COUNTIF(D902:L902,"Yes")</f>
        <v/>
      </c>
      <c r="N902" s="12">
        <f>IF(M902&gt;=2,"Yes",IF(M902=1,"Uncertain","No"))</f>
        <v/>
      </c>
      <c r="O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1">
        <f>COUNTIF(D903:L903,"Yes")</f>
        <v/>
      </c>
      <c r="N903" s="12">
        <f>IF(M903&gt;=2,"Yes",IF(M903=1,"Uncertain","No"))</f>
        <v/>
      </c>
      <c r="O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1">
        <f>COUNTIF(D904:L904,"Yes")</f>
        <v/>
      </c>
      <c r="N904" s="12">
        <f>IF(M904&gt;=2,"Yes",IF(M904=1,"Uncertain","No"))</f>
        <v/>
      </c>
      <c r="O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1">
        <f>COUNTIF(D905:L905,"Yes")</f>
        <v/>
      </c>
      <c r="N905" s="12">
        <f>IF(M905&gt;=2,"Yes",IF(M905=1,"Uncertain","No"))</f>
        <v/>
      </c>
      <c r="O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1">
        <f>COUNTIF(D906:L906,"Yes")</f>
        <v/>
      </c>
      <c r="N906" s="12">
        <f>IF(M906&gt;=2,"Yes",IF(M906=1,"Uncertain","No"))</f>
        <v/>
      </c>
      <c r="O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1">
        <f>COUNTIF(D907:L907,"Yes")</f>
        <v/>
      </c>
      <c r="N907" s="12">
        <f>IF(M907&gt;=2,"Yes",IF(M907=1,"Uncertain","No"))</f>
        <v/>
      </c>
      <c r="O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1">
        <f>COUNTIF(D908:L908,"Yes")</f>
        <v/>
      </c>
      <c r="N908" s="12">
        <f>IF(M908&gt;=2,"Yes",IF(M908=1,"Uncertain","No"))</f>
        <v/>
      </c>
      <c r="O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1">
        <f>COUNTIF(D909:L909,"Yes")</f>
        <v/>
      </c>
      <c r="N909" s="12">
        <f>IF(M909&gt;=2,"Yes",IF(M909=1,"Uncertain","No"))</f>
        <v/>
      </c>
      <c r="O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1">
        <f>COUNTIF(D910:L910,"Yes")</f>
        <v/>
      </c>
      <c r="N910" s="12">
        <f>IF(M910&gt;=2,"Yes",IF(M910=1,"Uncertain","No"))</f>
        <v/>
      </c>
      <c r="O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1">
        <f>COUNTIF(D911:L911,"Yes")</f>
        <v/>
      </c>
      <c r="N911" s="12">
        <f>IF(M911&gt;=2,"Yes",IF(M911=1,"Uncertain","No"))</f>
        <v/>
      </c>
      <c r="O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1">
        <f>COUNTIF(D912:L912,"Yes")</f>
        <v/>
      </c>
      <c r="N912" s="12">
        <f>IF(M912&gt;=2,"Yes",IF(M912=1,"Uncertain","No"))</f>
        <v/>
      </c>
      <c r="O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1">
        <f>COUNTIF(D913:L913,"Yes")</f>
        <v/>
      </c>
      <c r="N913" s="12">
        <f>IF(M913&gt;=2,"Yes",IF(M913=1,"Uncertain","No"))</f>
        <v/>
      </c>
      <c r="O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1">
        <f>COUNTIF(D914:L914,"Yes")</f>
        <v/>
      </c>
      <c r="N914" s="12">
        <f>IF(M914&gt;=2,"Yes",IF(M914=1,"Uncertain","No"))</f>
        <v/>
      </c>
      <c r="O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1">
        <f>COUNTIF(D915:L915,"Yes")</f>
        <v/>
      </c>
      <c r="N915" s="12">
        <f>IF(M915&gt;=2,"Yes",IF(M915=1,"Uncertain","No"))</f>
        <v/>
      </c>
      <c r="O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1">
        <f>COUNTIF(D916:L916,"Yes")</f>
        <v/>
      </c>
      <c r="N916" s="12">
        <f>IF(M916&gt;=2,"Yes",IF(M916=1,"Uncertain","No"))</f>
        <v/>
      </c>
      <c r="O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1">
        <f>COUNTIF(D917:L917,"Yes")</f>
        <v/>
      </c>
      <c r="N917" s="12">
        <f>IF(M917&gt;=2,"Yes",IF(M917=1,"Uncertain","No"))</f>
        <v/>
      </c>
      <c r="O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1">
        <f>COUNTIF(D918:L918,"Yes")</f>
        <v/>
      </c>
      <c r="N918" s="12">
        <f>IF(M918&gt;=2,"Yes",IF(M918=1,"Uncertain","No"))</f>
        <v/>
      </c>
      <c r="O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1">
        <f>COUNTIF(D919:L919,"Yes")</f>
        <v/>
      </c>
      <c r="N919" s="12">
        <f>IF(M919&gt;=2,"Yes",IF(M919=1,"Uncertain","No"))</f>
        <v/>
      </c>
      <c r="O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1">
        <f>COUNTIF(D920:L920,"Yes")</f>
        <v/>
      </c>
      <c r="N920" s="12">
        <f>IF(M920&gt;=2,"Yes",IF(M920=1,"Uncertain","No"))</f>
        <v/>
      </c>
      <c r="O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1">
        <f>COUNTIF(D921:L921,"Yes")</f>
        <v/>
      </c>
      <c r="N921" s="12">
        <f>IF(M921&gt;=2,"Yes",IF(M921=1,"Uncertain","No"))</f>
        <v/>
      </c>
      <c r="O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1">
        <f>COUNTIF(D922:L922,"Yes")</f>
        <v/>
      </c>
      <c r="N922" s="12">
        <f>IF(M922&gt;=2,"Yes",IF(M922=1,"Uncertain","No"))</f>
        <v/>
      </c>
      <c r="O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1">
        <f>COUNTIF(D923:L923,"Yes")</f>
        <v/>
      </c>
      <c r="N923" s="12">
        <f>IF(M923&gt;=2,"Yes",IF(M923=1,"Uncertain","No"))</f>
        <v/>
      </c>
      <c r="O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1">
        <f>COUNTIF(D924:L924,"Yes")</f>
        <v/>
      </c>
      <c r="N924" s="12">
        <f>IF(M924&gt;=2,"Yes",IF(M924=1,"Uncertain","No"))</f>
        <v/>
      </c>
      <c r="O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1">
        <f>COUNTIF(D925:L925,"Yes")</f>
        <v/>
      </c>
      <c r="N925" s="12">
        <f>IF(M925&gt;=2,"Yes",IF(M925=1,"Uncertain","No"))</f>
        <v/>
      </c>
      <c r="O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1">
        <f>COUNTIF(D926:L926,"Yes")</f>
        <v/>
      </c>
      <c r="N926" s="12">
        <f>IF(M926&gt;=2,"Yes",IF(M926=1,"Uncertain","No"))</f>
        <v/>
      </c>
      <c r="O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1">
        <f>COUNTIF(D927:L927,"Yes")</f>
        <v/>
      </c>
      <c r="N927" s="12">
        <f>IF(M927&gt;=2,"Yes",IF(M927=1,"Uncertain","No"))</f>
        <v/>
      </c>
      <c r="O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1">
        <f>COUNTIF(D928:L928,"Yes")</f>
        <v/>
      </c>
      <c r="N928" s="12">
        <f>IF(M928&gt;=2,"Yes",IF(M928=1,"Uncertain","No"))</f>
        <v/>
      </c>
      <c r="O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1">
        <f>COUNTIF(D929:L929,"Yes")</f>
        <v/>
      </c>
      <c r="N929" s="12">
        <f>IF(M929&gt;=2,"Yes",IF(M929=1,"Uncertain","No"))</f>
        <v/>
      </c>
      <c r="O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1">
        <f>COUNTIF(D930:L930,"Yes")</f>
        <v/>
      </c>
      <c r="N930" s="12">
        <f>IF(M930&gt;=2,"Yes",IF(M930=1,"Uncertain","No"))</f>
        <v/>
      </c>
      <c r="O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1">
        <f>COUNTIF(D931:L931,"Yes")</f>
        <v/>
      </c>
      <c r="N931" s="12">
        <f>IF(M931&gt;=2,"Yes",IF(M931=1,"Uncertain","No"))</f>
        <v/>
      </c>
      <c r="O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1">
        <f>COUNTIF(D932:L932,"Yes")</f>
        <v/>
      </c>
      <c r="N932" s="12">
        <f>IF(M932&gt;=2,"Yes",IF(M932=1,"Uncertain","No"))</f>
        <v/>
      </c>
      <c r="O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1">
        <f>COUNTIF(D933:L933,"Yes")</f>
        <v/>
      </c>
      <c r="N933" s="12">
        <f>IF(M933&gt;=2,"Yes",IF(M933=1,"Uncertain","No"))</f>
        <v/>
      </c>
      <c r="O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1">
        <f>COUNTIF(D934:L934,"Yes")</f>
        <v/>
      </c>
      <c r="N934" s="12">
        <f>IF(M934&gt;=2,"Yes",IF(M934=1,"Uncertain","No"))</f>
        <v/>
      </c>
      <c r="O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1">
        <f>COUNTIF(D935:L935,"Yes")</f>
        <v/>
      </c>
      <c r="N935" s="12">
        <f>IF(M935&gt;=2,"Yes",IF(M935=1,"Uncertain","No"))</f>
        <v/>
      </c>
      <c r="O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1">
        <f>COUNTIF(D936:L936,"Yes")</f>
        <v/>
      </c>
      <c r="N936" s="12">
        <f>IF(M936&gt;=2,"Yes",IF(M936=1,"Uncertain","No"))</f>
        <v/>
      </c>
      <c r="O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1">
        <f>COUNTIF(D937:L937,"Yes")</f>
        <v/>
      </c>
      <c r="N937" s="12">
        <f>IF(M937&gt;=2,"Yes",IF(M937=1,"Uncertain","No"))</f>
        <v/>
      </c>
      <c r="O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1">
        <f>COUNTIF(D938:L938,"Yes")</f>
        <v/>
      </c>
      <c r="N938" s="12">
        <f>IF(M938&gt;=2,"Yes",IF(M938=1,"Uncertain","No"))</f>
        <v/>
      </c>
      <c r="O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1">
        <f>COUNTIF(D939:L939,"Yes")</f>
        <v/>
      </c>
      <c r="N939" s="12">
        <f>IF(M939&gt;=2,"Yes",IF(M939=1,"Uncertain","No"))</f>
        <v/>
      </c>
      <c r="O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1">
        <f>COUNTIF(D940:L940,"Yes")</f>
        <v/>
      </c>
      <c r="N940" s="12">
        <f>IF(M940&gt;=2,"Yes",IF(M940=1,"Uncertain","No"))</f>
        <v/>
      </c>
      <c r="O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1">
        <f>COUNTIF(D941:L941,"Yes")</f>
        <v/>
      </c>
      <c r="N941" s="12">
        <f>IF(M941&gt;=2,"Yes",IF(M941=1,"Uncertain","No"))</f>
        <v/>
      </c>
      <c r="O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1">
        <f>COUNTIF(D942:L942,"Yes")</f>
        <v/>
      </c>
      <c r="N942" s="12">
        <f>IF(M942&gt;=2,"Yes",IF(M942=1,"Uncertain","No"))</f>
        <v/>
      </c>
      <c r="O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1">
        <f>COUNTIF(D943:L943,"Yes")</f>
        <v/>
      </c>
      <c r="N943" s="12">
        <f>IF(M943&gt;=2,"Yes",IF(M943=1,"Uncertain","No"))</f>
        <v/>
      </c>
      <c r="O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1">
        <f>COUNTIF(D944:L944,"Yes")</f>
        <v/>
      </c>
      <c r="N944" s="12">
        <f>IF(M944&gt;=2,"Yes",IF(M944=1,"Uncertain","No"))</f>
        <v/>
      </c>
      <c r="O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1">
        <f>COUNTIF(D945:L945,"Yes")</f>
        <v/>
      </c>
      <c r="N945" s="12">
        <f>IF(M945&gt;=2,"Yes",IF(M945=1,"Uncertain","No"))</f>
        <v/>
      </c>
      <c r="O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1">
        <f>COUNTIF(D946:L946,"Yes")</f>
        <v/>
      </c>
      <c r="N946" s="12">
        <f>IF(M946&gt;=2,"Yes",IF(M946=1,"Uncertain","No"))</f>
        <v/>
      </c>
      <c r="O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1">
        <f>COUNTIF(D947:L947,"Yes")</f>
        <v/>
      </c>
      <c r="N947" s="12">
        <f>IF(M947&gt;=2,"Yes",IF(M947=1,"Uncertain","No"))</f>
        <v/>
      </c>
      <c r="O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1">
        <f>COUNTIF(D948:L948,"Yes")</f>
        <v/>
      </c>
      <c r="N948" s="12">
        <f>IF(M948&gt;=2,"Yes",IF(M948=1,"Uncertain","No"))</f>
        <v/>
      </c>
      <c r="O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1">
        <f>COUNTIF(D949:L949,"Yes")</f>
        <v/>
      </c>
      <c r="N949" s="12">
        <f>IF(M949&gt;=2,"Yes",IF(M949=1,"Uncertain","No"))</f>
        <v/>
      </c>
      <c r="O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1">
        <f>COUNTIF(D950:L950,"Yes")</f>
        <v/>
      </c>
      <c r="N950" s="12">
        <f>IF(M950&gt;=2,"Yes",IF(M950=1,"Uncertain","No"))</f>
        <v/>
      </c>
      <c r="O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1">
        <f>COUNTIF(D951:L951,"Yes")</f>
        <v/>
      </c>
      <c r="N951" s="12">
        <f>IF(M951&gt;=2,"Yes",IF(M951=1,"Uncertain","No"))</f>
        <v/>
      </c>
      <c r="O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1">
        <f>COUNTIF(D952:L952,"Yes")</f>
        <v/>
      </c>
      <c r="N952" s="12">
        <f>IF(M952&gt;=2,"Yes",IF(M952=1,"Uncertain","No"))</f>
        <v/>
      </c>
      <c r="O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1">
        <f>COUNTIF(D953:L953,"Yes")</f>
        <v/>
      </c>
      <c r="N953" s="12">
        <f>IF(M953&gt;=2,"Yes",IF(M953=1,"Uncertain","No"))</f>
        <v/>
      </c>
      <c r="O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1">
        <f>COUNTIF(D954:L954,"Yes")</f>
        <v/>
      </c>
      <c r="N954" s="12">
        <f>IF(M954&gt;=2,"Yes",IF(M954=1,"Uncertain","No"))</f>
        <v/>
      </c>
      <c r="O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1">
        <f>COUNTIF(D955:L955,"Yes")</f>
        <v/>
      </c>
      <c r="N955" s="12">
        <f>IF(M955&gt;=2,"Yes",IF(M955=1,"Uncertain","No"))</f>
        <v/>
      </c>
      <c r="O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1">
        <f>COUNTIF(D956:L956,"Yes")</f>
        <v/>
      </c>
      <c r="N956" s="12">
        <f>IF(M956&gt;=2,"Yes",IF(M956=1,"Uncertain","No"))</f>
        <v/>
      </c>
      <c r="O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1">
        <f>COUNTIF(D957:L957,"Yes")</f>
        <v/>
      </c>
      <c r="N957" s="12">
        <f>IF(M957&gt;=2,"Yes",IF(M957=1,"Uncertain","No"))</f>
        <v/>
      </c>
      <c r="O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1">
        <f>COUNTIF(D958:L958,"Yes")</f>
        <v/>
      </c>
      <c r="N958" s="12">
        <f>IF(M958&gt;=2,"Yes",IF(M958=1,"Uncertain","No"))</f>
        <v/>
      </c>
      <c r="O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1">
        <f>COUNTIF(D959:L959,"Yes")</f>
        <v/>
      </c>
      <c r="N959" s="12">
        <f>IF(M959&gt;=2,"Yes",IF(M959=1,"Uncertain","No"))</f>
        <v/>
      </c>
      <c r="O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1">
        <f>COUNTIF(D960:L960,"Yes")</f>
        <v/>
      </c>
      <c r="N960" s="12">
        <f>IF(M960&gt;=2,"Yes",IF(M960=1,"Uncertain","No"))</f>
        <v/>
      </c>
      <c r="O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1">
        <f>COUNTIF(D961:L961,"Yes")</f>
        <v/>
      </c>
      <c r="N961" s="12">
        <f>IF(M961&gt;=2,"Yes",IF(M961=1,"Uncertain","No"))</f>
        <v/>
      </c>
      <c r="O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1">
        <f>COUNTIF(D962:L962,"Yes")</f>
        <v/>
      </c>
      <c r="N962" s="12">
        <f>IF(M962&gt;=2,"Yes",IF(M962=1,"Uncertain","No"))</f>
        <v/>
      </c>
      <c r="O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1">
        <f>COUNTIF(D963:L963,"Yes")</f>
        <v/>
      </c>
      <c r="N963" s="12">
        <f>IF(M963&gt;=2,"Yes",IF(M963=1,"Uncertain","No"))</f>
        <v/>
      </c>
      <c r="O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1">
        <f>COUNTIF(D964:L964,"Yes")</f>
        <v/>
      </c>
      <c r="N964" s="12">
        <f>IF(M964&gt;=2,"Yes",IF(M964=1,"Uncertain","No"))</f>
        <v/>
      </c>
      <c r="O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1">
        <f>COUNTIF(D965:L965,"Yes")</f>
        <v/>
      </c>
      <c r="N965" s="12">
        <f>IF(M965&gt;=2,"Yes",IF(M965=1,"Uncertain","No"))</f>
        <v/>
      </c>
      <c r="O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1">
        <f>COUNTIF(D966:L966,"Yes")</f>
        <v/>
      </c>
      <c r="N966" s="12">
        <f>IF(M966&gt;=2,"Yes",IF(M966=1,"Uncertain","No"))</f>
        <v/>
      </c>
      <c r="O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1">
        <f>COUNTIF(D967:L967,"Yes")</f>
        <v/>
      </c>
      <c r="N967" s="12">
        <f>IF(M967&gt;=2,"Yes",IF(M967=1,"Uncertain","No"))</f>
        <v/>
      </c>
      <c r="O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1">
        <f>COUNTIF(D968:L968,"Yes")</f>
        <v/>
      </c>
      <c r="N968" s="12">
        <f>IF(M968&gt;=2,"Yes",IF(M968=1,"Uncertain","No"))</f>
        <v/>
      </c>
      <c r="O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1">
        <f>COUNTIF(D969:L969,"Yes")</f>
        <v/>
      </c>
      <c r="N969" s="12">
        <f>IF(M969&gt;=2,"Yes",IF(M969=1,"Uncertain","No"))</f>
        <v/>
      </c>
      <c r="O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1">
        <f>COUNTIF(D970:L970,"Yes")</f>
        <v/>
      </c>
      <c r="N970" s="12">
        <f>IF(M970&gt;=2,"Yes",IF(M970=1,"Uncertain","No"))</f>
        <v/>
      </c>
      <c r="O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1">
        <f>COUNTIF(D971:L971,"Yes")</f>
        <v/>
      </c>
      <c r="N971" s="12">
        <f>IF(M971&gt;=2,"Yes",IF(M971=1,"Uncertain","No"))</f>
        <v/>
      </c>
      <c r="O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1">
        <f>COUNTIF(D972:L972,"Yes")</f>
        <v/>
      </c>
      <c r="N972" s="12">
        <f>IF(M972&gt;=2,"Yes",IF(M972=1,"Uncertain","No"))</f>
        <v/>
      </c>
      <c r="O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1">
        <f>COUNTIF(D973:L973,"Yes")</f>
        <v/>
      </c>
      <c r="N973" s="12">
        <f>IF(M973&gt;=2,"Yes",IF(M973=1,"Uncertain","No"))</f>
        <v/>
      </c>
      <c r="O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1">
        <f>COUNTIF(D974:L974,"Yes")</f>
        <v/>
      </c>
      <c r="N974" s="12">
        <f>IF(M974&gt;=2,"Yes",IF(M974=1,"Uncertain","No"))</f>
        <v/>
      </c>
      <c r="O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1">
        <f>COUNTIF(D975:L975,"Yes")</f>
        <v/>
      </c>
      <c r="N975" s="12">
        <f>IF(M975&gt;=2,"Yes",IF(M975=1,"Uncertain","No"))</f>
        <v/>
      </c>
      <c r="O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1">
        <f>COUNTIF(D976:L976,"Yes")</f>
        <v/>
      </c>
      <c r="N976" s="12">
        <f>IF(M976&gt;=2,"Yes",IF(M976=1,"Uncertain","No"))</f>
        <v/>
      </c>
      <c r="O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1">
        <f>COUNTIF(D977:L977,"Yes")</f>
        <v/>
      </c>
      <c r="N977" s="12">
        <f>IF(M977&gt;=2,"Yes",IF(M977=1,"Uncertain","No"))</f>
        <v/>
      </c>
      <c r="O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1">
        <f>COUNTIF(D978:L978,"Yes")</f>
        <v/>
      </c>
      <c r="N978" s="12">
        <f>IF(M978&gt;=2,"Yes",IF(M978=1,"Uncertain","No"))</f>
        <v/>
      </c>
      <c r="O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1">
        <f>COUNTIF(D979:L979,"Yes")</f>
        <v/>
      </c>
      <c r="N979" s="12">
        <f>IF(M979&gt;=2,"Yes",IF(M979=1,"Uncertain","No"))</f>
        <v/>
      </c>
      <c r="O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1">
        <f>COUNTIF(D980:L980,"Yes")</f>
        <v/>
      </c>
      <c r="N980" s="12">
        <f>IF(M980&gt;=2,"Yes",IF(M980=1,"Uncertain","No"))</f>
        <v/>
      </c>
      <c r="O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1">
        <f>COUNTIF(D981:L981,"Yes")</f>
        <v/>
      </c>
      <c r="N981" s="12">
        <f>IF(M981&gt;=2,"Yes",IF(M981=1,"Uncertain","No"))</f>
        <v/>
      </c>
      <c r="O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1">
        <f>COUNTIF(D982:L982,"Yes")</f>
        <v/>
      </c>
      <c r="N982" s="12">
        <f>IF(M982&gt;=2,"Yes",IF(M982=1,"Uncertain","No"))</f>
        <v/>
      </c>
      <c r="O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1">
        <f>COUNTIF(D983:L983,"Yes")</f>
        <v/>
      </c>
      <c r="N983" s="12">
        <f>IF(M983&gt;=2,"Yes",IF(M983=1,"Uncertain","No"))</f>
        <v/>
      </c>
      <c r="O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1">
        <f>COUNTIF(D984:L984,"Yes")</f>
        <v/>
      </c>
      <c r="N984" s="12">
        <f>IF(M984&gt;=2,"Yes",IF(M984=1,"Uncertain","No"))</f>
        <v/>
      </c>
      <c r="O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1">
        <f>COUNTIF(D985:L985,"Yes")</f>
        <v/>
      </c>
      <c r="N985" s="12">
        <f>IF(M985&gt;=2,"Yes",IF(M985=1,"Uncertain","No"))</f>
        <v/>
      </c>
      <c r="O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1">
        <f>COUNTIF(D986:L986,"Yes")</f>
        <v/>
      </c>
      <c r="N986" s="12">
        <f>IF(M986&gt;=2,"Yes",IF(M986=1,"Uncertain","No"))</f>
        <v/>
      </c>
      <c r="O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1">
        <f>COUNTIF(D987:L987,"Yes")</f>
        <v/>
      </c>
      <c r="N987" s="12">
        <f>IF(M987&gt;=2,"Yes",IF(M987=1,"Uncertain","No"))</f>
        <v/>
      </c>
      <c r="O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1">
        <f>COUNTIF(D988:L988,"Yes")</f>
        <v/>
      </c>
      <c r="N988" s="12">
        <f>IF(M988&gt;=2,"Yes",IF(M988=1,"Uncertain","No"))</f>
        <v/>
      </c>
      <c r="O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1">
        <f>COUNTIF(D989:L989,"Yes")</f>
        <v/>
      </c>
      <c r="N989" s="12">
        <f>IF(M989&gt;=2,"Yes",IF(M989=1,"Uncertain","No"))</f>
        <v/>
      </c>
      <c r="O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1">
        <f>COUNTIF(D990:L990,"Yes")</f>
        <v/>
      </c>
      <c r="N990" s="12">
        <f>IF(M990&gt;=2,"Yes",IF(M990=1,"Uncertain","No"))</f>
        <v/>
      </c>
      <c r="O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1">
        <f>COUNTIF(D991:L991,"Yes")</f>
        <v/>
      </c>
      <c r="N991" s="12">
        <f>IF(M991&gt;=2,"Yes",IF(M991=1,"Uncertain","No"))</f>
        <v/>
      </c>
      <c r="O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1">
        <f>COUNTIF(D992:L992,"Yes")</f>
        <v/>
      </c>
      <c r="N992" s="12">
        <f>IF(M992&gt;=2,"Yes",IF(M992=1,"Uncertain","No"))</f>
        <v/>
      </c>
      <c r="O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1">
        <f>COUNTIF(D993:L993,"Yes")</f>
        <v/>
      </c>
      <c r="N993" s="12">
        <f>IF(M993&gt;=2,"Yes",IF(M993=1,"Uncertain","No"))</f>
        <v/>
      </c>
      <c r="O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1">
        <f>COUNTIF(D994:L994,"Yes")</f>
        <v/>
      </c>
      <c r="N994" s="12">
        <f>IF(M994&gt;=2,"Yes",IF(M994=1,"Uncertain","No"))</f>
        <v/>
      </c>
      <c r="O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1">
        <f>COUNTIF(D995:L995,"Yes")</f>
        <v/>
      </c>
      <c r="N995" s="12">
        <f>IF(M995&gt;=2,"Yes",IF(M995=1,"Uncertain","No"))</f>
        <v/>
      </c>
      <c r="O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1">
        <f>COUNTIF(D996:L996,"Yes")</f>
        <v/>
      </c>
      <c r="N996" s="12">
        <f>IF(M996&gt;=2,"Yes",IF(M996=1,"Uncertain","No"))</f>
        <v/>
      </c>
      <c r="O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1">
        <f>COUNTIF(D997:L997,"Yes")</f>
        <v/>
      </c>
      <c r="N997" s="12">
        <f>IF(M997&gt;=2,"Yes",IF(M997=1,"Uncertain","No"))</f>
        <v/>
      </c>
      <c r="O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1">
        <f>COUNTIF(D998:L998,"Yes")</f>
        <v/>
      </c>
      <c r="N998" s="12">
        <f>IF(M998&gt;=2,"Yes",IF(M998=1,"Uncertain","No"))</f>
        <v/>
      </c>
      <c r="O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1">
        <f>COUNTIF(D999:L999,"Yes")</f>
        <v/>
      </c>
      <c r="N999" s="12">
        <f>IF(M999&gt;=2,"Yes",IF(M999=1,"Uncertain","No"))</f>
        <v/>
      </c>
      <c r="O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1">
        <f>COUNTIF(D1000:L1000,"Yes")</f>
        <v/>
      </c>
      <c r="N1000" s="12">
        <f>IF(M1000&gt;=2,"Yes",IF(M1000=1,"Uncertain","No"))</f>
        <v/>
      </c>
      <c r="O1000" s="10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conditionalFormatting sqref="M2:M1000">
    <cfRule type="cellIs" priority="1" operator="equal" dxfId="0">
      <formula>0</formula>
    </cfRule>
    <cfRule type="cellIs" priority="2" operator="equal" dxfId="1">
      <formula>1</formula>
    </cfRule>
    <cfRule type="cellIs" priority="3" operator="greaterThanOrEqual" dxfId="2">
      <formula>2</formula>
    </cfRule>
  </conditionalFormatting>
  <conditionalFormatting sqref="N2:N1000">
    <cfRule type="cellIs" priority="4" operator="equal" dxfId="3">
      <formula>"No"</formula>
    </cfRule>
    <cfRule type="cellIs" priority="5" operator="equal" dxfId="4">
      <formula>"Uncertain"</formula>
    </cfRule>
    <cfRule type="cellIs" priority="6" operator="equal" dxfId="5">
      <formula>"Yes"</formula>
    </cfRule>
  </conditionalFormatting>
  <conditionalFormatting sqref="A2:O1000">
    <cfRule type="expression" priority="7" dxfId="6">
      <formula>$N2="Yes"</formula>
    </cfRule>
    <cfRule type="expression" priority="8" dxfId="7">
      <formula>$N2="Uncertain"</formula>
    </cfRule>
  </conditionalFormatting>
  <dataValidations count="11">
    <dataValidation sqref="D2:D1000" showDropDown="0" showInputMessage="0" showErrorMessage="0" allowBlank="0" error="Select Yes or No" type="list" errorStyle="stop">
      <formula1>"Yes,No"</formula1>
    </dataValidation>
    <dataValidation sqref="E2:E1000" showDropDown="0" showInputMessage="0" showErrorMessage="0" allowBlank="0" error="Select Yes or No" type="list" errorStyle="stop">
      <formula1>"Yes,No"</formula1>
    </dataValidation>
    <dataValidation sqref="F2:F1000" showDropDown="0" showInputMessage="0" showErrorMessage="0" allowBlank="0" error="Select Yes or No" type="list" errorStyle="stop">
      <formula1>"Yes,No"</formula1>
    </dataValidation>
    <dataValidation sqref="G2:G1000" showDropDown="0" showInputMessage="0" showErrorMessage="0" allowBlank="0" error="Select Yes or No" type="list" errorStyle="stop">
      <formula1>"Yes,No"</formula1>
    </dataValidation>
    <dataValidation sqref="H2:H1000" showDropDown="0" showInputMessage="0" showErrorMessage="0" allowBlank="0" error="Select Yes or No" type="list" errorStyle="stop">
      <formula1>"Yes,No"</formula1>
    </dataValidation>
    <dataValidation sqref="I2:I1000" showDropDown="0" showInputMessage="0" showErrorMessage="0" allowBlank="0" error="Select Yes or No" type="list" errorStyle="stop">
      <formula1>"Yes,No"</formula1>
    </dataValidation>
    <dataValidation sqref="J2:J1000" showDropDown="0" showInputMessage="0" showErrorMessage="0" allowBlank="0" error="Select Yes or No" type="list" errorStyle="stop">
      <formula1>"Yes,No"</formula1>
    </dataValidation>
    <dataValidation sqref="K2:K1000" showDropDown="0" showInputMessage="0" showErrorMessage="0" allowBlank="0" error="Select Yes or No" type="list" errorStyle="stop">
      <formula1>"Yes,No"</formula1>
    </dataValidation>
    <dataValidation sqref="L2:L1000" showDropDown="0" showInputMessage="0" showErrorMessage="0" allowBlank="0" error="Select Yes or No" type="list" errorStyle="stop">
      <formula1>"Yes,No"</formula1>
    </dataValidation>
    <dataValidation sqref="B2:B1000" showDropDown="0" showInputMessage="0" showErrorMessage="0" allowBlank="1" error="Processing name required" type="list" errorStyle="stop">
      <formula1>""</formula1>
    </dataValidation>
    <dataValidation sqref="C2:C1000" showDropDown="0" showInputMessage="0" showErrorMessage="0" allowBlank="1" error="System name required" type="list" errorStyle="stop">
      <formula1>""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25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5" customWidth="1" min="14" max="14"/>
    <col width="20" customWidth="1" min="15" max="15"/>
    <col width="15" customWidth="1" min="16" max="16"/>
    <col width="40" customWidth="1" min="17" max="17"/>
    <col width="40" customWidth="1" min="18" max="18"/>
  </cols>
  <sheetData>
    <row r="1">
      <c r="A1" s="13" t="inlineStr">
        <is>
          <t>DPIA ID</t>
        </is>
      </c>
      <c r="B1" s="13" t="inlineStr">
        <is>
          <t>Processing Activity ID</t>
        </is>
      </c>
      <c r="C1" s="13" t="inlineStr">
        <is>
          <t>Processing Activity Name</t>
        </is>
      </c>
      <c r="D1" s="13" t="inlineStr">
        <is>
          <t>System/Application</t>
        </is>
      </c>
      <c r="E1" s="13" t="inlineStr">
        <is>
          <t>Business Owner</t>
        </is>
      </c>
      <c r="F1" s="13" t="inlineStr">
        <is>
          <t>DPO Assigned</t>
        </is>
      </c>
      <c r="G1" s="13" t="inlineStr">
        <is>
          <t>DPIA Start Date</t>
        </is>
      </c>
      <c r="H1" s="13" t="inlineStr">
        <is>
          <t>Target Completion Date</t>
        </is>
      </c>
      <c r="I1" s="13" t="inlineStr">
        <is>
          <t>Actual Completion Date</t>
        </is>
      </c>
      <c r="J1" s="13" t="inlineStr">
        <is>
          <t>DPIA Status</t>
        </is>
      </c>
      <c r="K1" s="13" t="inlineStr">
        <is>
          <t>Initial Risk Rating</t>
        </is>
      </c>
      <c r="L1" s="13" t="inlineStr">
        <is>
          <t>Residual Risk Rating</t>
        </is>
      </c>
      <c r="M1" s="13" t="inlineStr">
        <is>
          <t>Supervisory Authority Consulted?</t>
        </is>
      </c>
      <c r="N1" s="13" t="inlineStr">
        <is>
          <t>Authority Consultation Date</t>
        </is>
      </c>
      <c r="O1" s="13" t="inlineStr">
        <is>
          <t>Authority Reference Number</t>
        </is>
      </c>
      <c r="P1" s="13" t="inlineStr">
        <is>
          <t>Next Review Date</t>
        </is>
      </c>
      <c r="Q1" s="13" t="inlineStr">
        <is>
          <t>DPIA Document Location</t>
        </is>
      </c>
      <c r="R1" s="13" t="inlineStr">
        <is>
          <t>Notes</t>
        </is>
      </c>
    </row>
    <row r="2">
      <c r="C2">
        <f>IFERROR(VLOOKUP(B2,Trigger_Assessment!$A$2:$B$1000,2,FALSE),"")</f>
        <v/>
      </c>
      <c r="D2">
        <f>IFERROR(VLOOKUP(B2,Trigger_Assessment!$A$2:$C$1000,3,FALSE),"")</f>
        <v/>
      </c>
      <c r="G2" s="14" t="n"/>
      <c r="H2" s="14" t="n"/>
      <c r="I2" s="14" t="n"/>
      <c r="N2" s="14" t="n"/>
      <c r="P2" s="14">
        <f>IF(ISBLANK(I2),"",DATE(YEAR(I2)+1,MONTH(I2),DAY(I2)))</f>
        <v/>
      </c>
    </row>
    <row r="3">
      <c r="C3">
        <f>IFERROR(VLOOKUP(B3,Trigger_Assessment!$A$2:$B$1000,2,FALSE),"")</f>
        <v/>
      </c>
      <c r="D3">
        <f>IFERROR(VLOOKUP(B3,Trigger_Assessment!$A$2:$C$1000,3,FALSE),"")</f>
        <v/>
      </c>
      <c r="G3" s="14" t="n"/>
      <c r="H3" s="14" t="n"/>
      <c r="I3" s="14" t="n"/>
      <c r="N3" s="14" t="n"/>
      <c r="P3" s="14">
        <f>IF(ISBLANK(I3),"",DATE(YEAR(I3)+1,MONTH(I3),DAY(I3)))</f>
        <v/>
      </c>
    </row>
    <row r="4">
      <c r="C4">
        <f>IFERROR(VLOOKUP(B4,Trigger_Assessment!$A$2:$B$1000,2,FALSE),"")</f>
        <v/>
      </c>
      <c r="D4">
        <f>IFERROR(VLOOKUP(B4,Trigger_Assessment!$A$2:$C$1000,3,FALSE),"")</f>
        <v/>
      </c>
      <c r="G4" s="14" t="n"/>
      <c r="H4" s="14" t="n"/>
      <c r="I4" s="14" t="n"/>
      <c r="N4" s="14" t="n"/>
      <c r="P4" s="14">
        <f>IF(ISBLANK(I4),"",DATE(YEAR(I4)+1,MONTH(I4),DAY(I4)))</f>
        <v/>
      </c>
    </row>
    <row r="5">
      <c r="C5">
        <f>IFERROR(VLOOKUP(B5,Trigger_Assessment!$A$2:$B$1000,2,FALSE),"")</f>
        <v/>
      </c>
      <c r="D5">
        <f>IFERROR(VLOOKUP(B5,Trigger_Assessment!$A$2:$C$1000,3,FALSE),"")</f>
        <v/>
      </c>
      <c r="G5" s="14" t="n"/>
      <c r="H5" s="14" t="n"/>
      <c r="I5" s="14" t="n"/>
      <c r="N5" s="14" t="n"/>
      <c r="P5" s="14">
        <f>IF(ISBLANK(I5),"",DATE(YEAR(I5)+1,MONTH(I5),DAY(I5)))</f>
        <v/>
      </c>
    </row>
    <row r="6">
      <c r="C6">
        <f>IFERROR(VLOOKUP(B6,Trigger_Assessment!$A$2:$B$1000,2,FALSE),"")</f>
        <v/>
      </c>
      <c r="D6">
        <f>IFERROR(VLOOKUP(B6,Trigger_Assessment!$A$2:$C$1000,3,FALSE),"")</f>
        <v/>
      </c>
      <c r="G6" s="14" t="n"/>
      <c r="H6" s="14" t="n"/>
      <c r="I6" s="14" t="n"/>
      <c r="N6" s="14" t="n"/>
      <c r="P6" s="14">
        <f>IF(ISBLANK(I6),"",DATE(YEAR(I6)+1,MONTH(I6),DAY(I6)))</f>
        <v/>
      </c>
    </row>
    <row r="7">
      <c r="C7">
        <f>IFERROR(VLOOKUP(B7,Trigger_Assessment!$A$2:$B$1000,2,FALSE),"")</f>
        <v/>
      </c>
      <c r="D7">
        <f>IFERROR(VLOOKUP(B7,Trigger_Assessment!$A$2:$C$1000,3,FALSE),"")</f>
        <v/>
      </c>
      <c r="G7" s="14" t="n"/>
      <c r="H7" s="14" t="n"/>
      <c r="I7" s="14" t="n"/>
      <c r="N7" s="14" t="n"/>
      <c r="P7" s="14">
        <f>IF(ISBLANK(I7),"",DATE(YEAR(I7)+1,MONTH(I7),DAY(I7)))</f>
        <v/>
      </c>
    </row>
    <row r="8">
      <c r="C8">
        <f>IFERROR(VLOOKUP(B8,Trigger_Assessment!$A$2:$B$1000,2,FALSE),"")</f>
        <v/>
      </c>
      <c r="D8">
        <f>IFERROR(VLOOKUP(B8,Trigger_Assessment!$A$2:$C$1000,3,FALSE),"")</f>
        <v/>
      </c>
      <c r="G8" s="14" t="n"/>
      <c r="H8" s="14" t="n"/>
      <c r="I8" s="14" t="n"/>
      <c r="N8" s="14" t="n"/>
      <c r="P8" s="14">
        <f>IF(ISBLANK(I8),"",DATE(YEAR(I8)+1,MONTH(I8),DAY(I8)))</f>
        <v/>
      </c>
    </row>
    <row r="9">
      <c r="C9">
        <f>IFERROR(VLOOKUP(B9,Trigger_Assessment!$A$2:$B$1000,2,FALSE),"")</f>
        <v/>
      </c>
      <c r="D9">
        <f>IFERROR(VLOOKUP(B9,Trigger_Assessment!$A$2:$C$1000,3,FALSE),"")</f>
        <v/>
      </c>
      <c r="G9" s="14" t="n"/>
      <c r="H9" s="14" t="n"/>
      <c r="I9" s="14" t="n"/>
      <c r="N9" s="14" t="n"/>
      <c r="P9" s="14">
        <f>IF(ISBLANK(I9),"",DATE(YEAR(I9)+1,MONTH(I9),DAY(I9)))</f>
        <v/>
      </c>
    </row>
    <row r="10">
      <c r="C10">
        <f>IFERROR(VLOOKUP(B10,Trigger_Assessment!$A$2:$B$1000,2,FALSE),"")</f>
        <v/>
      </c>
      <c r="D10">
        <f>IFERROR(VLOOKUP(B10,Trigger_Assessment!$A$2:$C$1000,3,FALSE),"")</f>
        <v/>
      </c>
      <c r="G10" s="14" t="n"/>
      <c r="H10" s="14" t="n"/>
      <c r="I10" s="14" t="n"/>
      <c r="N10" s="14" t="n"/>
      <c r="P10" s="14">
        <f>IF(ISBLANK(I10),"",DATE(YEAR(I10)+1,MONTH(I10),DAY(I10)))</f>
        <v/>
      </c>
    </row>
    <row r="11">
      <c r="C11">
        <f>IFERROR(VLOOKUP(B11,Trigger_Assessment!$A$2:$B$1000,2,FALSE),"")</f>
        <v/>
      </c>
      <c r="D11">
        <f>IFERROR(VLOOKUP(B11,Trigger_Assessment!$A$2:$C$1000,3,FALSE),"")</f>
        <v/>
      </c>
      <c r="G11" s="14" t="n"/>
      <c r="H11" s="14" t="n"/>
      <c r="I11" s="14" t="n"/>
      <c r="N11" s="14" t="n"/>
      <c r="P11" s="14">
        <f>IF(ISBLANK(I11),"",DATE(YEAR(I11)+1,MONTH(I11),DAY(I11)))</f>
        <v/>
      </c>
    </row>
    <row r="12">
      <c r="C12">
        <f>IFERROR(VLOOKUP(B12,Trigger_Assessment!$A$2:$B$1000,2,FALSE),"")</f>
        <v/>
      </c>
      <c r="D12">
        <f>IFERROR(VLOOKUP(B12,Trigger_Assessment!$A$2:$C$1000,3,FALSE),"")</f>
        <v/>
      </c>
      <c r="G12" s="14" t="n"/>
      <c r="H12" s="14" t="n"/>
      <c r="I12" s="14" t="n"/>
      <c r="N12" s="14" t="n"/>
      <c r="P12" s="14">
        <f>IF(ISBLANK(I12),"",DATE(YEAR(I12)+1,MONTH(I12),DAY(I12)))</f>
        <v/>
      </c>
    </row>
    <row r="13">
      <c r="C13">
        <f>IFERROR(VLOOKUP(B13,Trigger_Assessment!$A$2:$B$1000,2,FALSE),"")</f>
        <v/>
      </c>
      <c r="D13">
        <f>IFERROR(VLOOKUP(B13,Trigger_Assessment!$A$2:$C$1000,3,FALSE),"")</f>
        <v/>
      </c>
      <c r="G13" s="14" t="n"/>
      <c r="H13" s="14" t="n"/>
      <c r="I13" s="14" t="n"/>
      <c r="N13" s="14" t="n"/>
      <c r="P13" s="14">
        <f>IF(ISBLANK(I13),"",DATE(YEAR(I13)+1,MONTH(I13),DAY(I13)))</f>
        <v/>
      </c>
    </row>
    <row r="14">
      <c r="C14">
        <f>IFERROR(VLOOKUP(B14,Trigger_Assessment!$A$2:$B$1000,2,FALSE),"")</f>
        <v/>
      </c>
      <c r="D14">
        <f>IFERROR(VLOOKUP(B14,Trigger_Assessment!$A$2:$C$1000,3,FALSE),"")</f>
        <v/>
      </c>
      <c r="G14" s="14" t="n"/>
      <c r="H14" s="14" t="n"/>
      <c r="I14" s="14" t="n"/>
      <c r="N14" s="14" t="n"/>
      <c r="P14" s="14">
        <f>IF(ISBLANK(I14),"",DATE(YEAR(I14)+1,MONTH(I14),DAY(I14)))</f>
        <v/>
      </c>
    </row>
    <row r="15">
      <c r="C15">
        <f>IFERROR(VLOOKUP(B15,Trigger_Assessment!$A$2:$B$1000,2,FALSE),"")</f>
        <v/>
      </c>
      <c r="D15">
        <f>IFERROR(VLOOKUP(B15,Trigger_Assessment!$A$2:$C$1000,3,FALSE),"")</f>
        <v/>
      </c>
      <c r="G15" s="14" t="n"/>
      <c r="H15" s="14" t="n"/>
      <c r="I15" s="14" t="n"/>
      <c r="N15" s="14" t="n"/>
      <c r="P15" s="14">
        <f>IF(ISBLANK(I15),"",DATE(YEAR(I15)+1,MONTH(I15),DAY(I15)))</f>
        <v/>
      </c>
    </row>
    <row r="16">
      <c r="C16">
        <f>IFERROR(VLOOKUP(B16,Trigger_Assessment!$A$2:$B$1000,2,FALSE),"")</f>
        <v/>
      </c>
      <c r="D16">
        <f>IFERROR(VLOOKUP(B16,Trigger_Assessment!$A$2:$C$1000,3,FALSE),"")</f>
        <v/>
      </c>
      <c r="G16" s="14" t="n"/>
      <c r="H16" s="14" t="n"/>
      <c r="I16" s="14" t="n"/>
      <c r="N16" s="14" t="n"/>
      <c r="P16" s="14">
        <f>IF(ISBLANK(I16),"",DATE(YEAR(I16)+1,MONTH(I16),DAY(I16)))</f>
        <v/>
      </c>
    </row>
    <row r="17">
      <c r="C17">
        <f>IFERROR(VLOOKUP(B17,Trigger_Assessment!$A$2:$B$1000,2,FALSE),"")</f>
        <v/>
      </c>
      <c r="D17">
        <f>IFERROR(VLOOKUP(B17,Trigger_Assessment!$A$2:$C$1000,3,FALSE),"")</f>
        <v/>
      </c>
      <c r="G17" s="14" t="n"/>
      <c r="H17" s="14" t="n"/>
      <c r="I17" s="14" t="n"/>
      <c r="N17" s="14" t="n"/>
      <c r="P17" s="14">
        <f>IF(ISBLANK(I17),"",DATE(YEAR(I17)+1,MONTH(I17),DAY(I17)))</f>
        <v/>
      </c>
    </row>
    <row r="18">
      <c r="C18">
        <f>IFERROR(VLOOKUP(B18,Trigger_Assessment!$A$2:$B$1000,2,FALSE),"")</f>
        <v/>
      </c>
      <c r="D18">
        <f>IFERROR(VLOOKUP(B18,Trigger_Assessment!$A$2:$C$1000,3,FALSE),"")</f>
        <v/>
      </c>
      <c r="G18" s="14" t="n"/>
      <c r="H18" s="14" t="n"/>
      <c r="I18" s="14" t="n"/>
      <c r="N18" s="14" t="n"/>
      <c r="P18" s="14">
        <f>IF(ISBLANK(I18),"",DATE(YEAR(I18)+1,MONTH(I18),DAY(I18)))</f>
        <v/>
      </c>
    </row>
    <row r="19">
      <c r="C19">
        <f>IFERROR(VLOOKUP(B19,Trigger_Assessment!$A$2:$B$1000,2,FALSE),"")</f>
        <v/>
      </c>
      <c r="D19">
        <f>IFERROR(VLOOKUP(B19,Trigger_Assessment!$A$2:$C$1000,3,FALSE),"")</f>
        <v/>
      </c>
      <c r="G19" s="14" t="n"/>
      <c r="H19" s="14" t="n"/>
      <c r="I19" s="14" t="n"/>
      <c r="N19" s="14" t="n"/>
      <c r="P19" s="14">
        <f>IF(ISBLANK(I19),"",DATE(YEAR(I19)+1,MONTH(I19),DAY(I19)))</f>
        <v/>
      </c>
    </row>
    <row r="20">
      <c r="C20">
        <f>IFERROR(VLOOKUP(B20,Trigger_Assessment!$A$2:$B$1000,2,FALSE),"")</f>
        <v/>
      </c>
      <c r="D20">
        <f>IFERROR(VLOOKUP(B20,Trigger_Assessment!$A$2:$C$1000,3,FALSE),"")</f>
        <v/>
      </c>
      <c r="G20" s="14" t="n"/>
      <c r="H20" s="14" t="n"/>
      <c r="I20" s="14" t="n"/>
      <c r="N20" s="14" t="n"/>
      <c r="P20" s="14">
        <f>IF(ISBLANK(I20),"",DATE(YEAR(I20)+1,MONTH(I20),DAY(I20)))</f>
        <v/>
      </c>
    </row>
    <row r="21">
      <c r="C21">
        <f>IFERROR(VLOOKUP(B21,Trigger_Assessment!$A$2:$B$1000,2,FALSE),"")</f>
        <v/>
      </c>
      <c r="D21">
        <f>IFERROR(VLOOKUP(B21,Trigger_Assessment!$A$2:$C$1000,3,FALSE),"")</f>
        <v/>
      </c>
      <c r="G21" s="14" t="n"/>
      <c r="H21" s="14" t="n"/>
      <c r="I21" s="14" t="n"/>
      <c r="N21" s="14" t="n"/>
      <c r="P21" s="14">
        <f>IF(ISBLANK(I21),"",DATE(YEAR(I21)+1,MONTH(I21),DAY(I21)))</f>
        <v/>
      </c>
    </row>
    <row r="22">
      <c r="C22">
        <f>IFERROR(VLOOKUP(B22,Trigger_Assessment!$A$2:$B$1000,2,FALSE),"")</f>
        <v/>
      </c>
      <c r="D22">
        <f>IFERROR(VLOOKUP(B22,Trigger_Assessment!$A$2:$C$1000,3,FALSE),"")</f>
        <v/>
      </c>
      <c r="G22" s="14" t="n"/>
      <c r="H22" s="14" t="n"/>
      <c r="I22" s="14" t="n"/>
      <c r="N22" s="14" t="n"/>
      <c r="P22" s="14">
        <f>IF(ISBLANK(I22),"",DATE(YEAR(I22)+1,MONTH(I22),DAY(I22)))</f>
        <v/>
      </c>
    </row>
    <row r="23">
      <c r="C23">
        <f>IFERROR(VLOOKUP(B23,Trigger_Assessment!$A$2:$B$1000,2,FALSE),"")</f>
        <v/>
      </c>
      <c r="D23">
        <f>IFERROR(VLOOKUP(B23,Trigger_Assessment!$A$2:$C$1000,3,FALSE),"")</f>
        <v/>
      </c>
      <c r="G23" s="14" t="n"/>
      <c r="H23" s="14" t="n"/>
      <c r="I23" s="14" t="n"/>
      <c r="N23" s="14" t="n"/>
      <c r="P23" s="14">
        <f>IF(ISBLANK(I23),"",DATE(YEAR(I23)+1,MONTH(I23),DAY(I23)))</f>
        <v/>
      </c>
    </row>
    <row r="24">
      <c r="C24">
        <f>IFERROR(VLOOKUP(B24,Trigger_Assessment!$A$2:$B$1000,2,FALSE),"")</f>
        <v/>
      </c>
      <c r="D24">
        <f>IFERROR(VLOOKUP(B24,Trigger_Assessment!$A$2:$C$1000,3,FALSE),"")</f>
        <v/>
      </c>
      <c r="G24" s="14" t="n"/>
      <c r="H24" s="14" t="n"/>
      <c r="I24" s="14" t="n"/>
      <c r="N24" s="14" t="n"/>
      <c r="P24" s="14">
        <f>IF(ISBLANK(I24),"",DATE(YEAR(I24)+1,MONTH(I24),DAY(I24)))</f>
        <v/>
      </c>
    </row>
    <row r="25">
      <c r="C25">
        <f>IFERROR(VLOOKUP(B25,Trigger_Assessment!$A$2:$B$1000,2,FALSE),"")</f>
        <v/>
      </c>
      <c r="D25">
        <f>IFERROR(VLOOKUP(B25,Trigger_Assessment!$A$2:$C$1000,3,FALSE),"")</f>
        <v/>
      </c>
      <c r="G25" s="14" t="n"/>
      <c r="H25" s="14" t="n"/>
      <c r="I25" s="14" t="n"/>
      <c r="N25" s="14" t="n"/>
      <c r="P25" s="14">
        <f>IF(ISBLANK(I25),"",DATE(YEAR(I25)+1,MONTH(I25),DAY(I25)))</f>
        <v/>
      </c>
    </row>
    <row r="26">
      <c r="C26">
        <f>IFERROR(VLOOKUP(B26,Trigger_Assessment!$A$2:$B$1000,2,FALSE),"")</f>
        <v/>
      </c>
      <c r="D26">
        <f>IFERROR(VLOOKUP(B26,Trigger_Assessment!$A$2:$C$1000,3,FALSE),"")</f>
        <v/>
      </c>
      <c r="G26" s="14" t="n"/>
      <c r="H26" s="14" t="n"/>
      <c r="I26" s="14" t="n"/>
      <c r="N26" s="14" t="n"/>
      <c r="P26" s="14">
        <f>IF(ISBLANK(I26),"",DATE(YEAR(I26)+1,MONTH(I26),DAY(I26)))</f>
        <v/>
      </c>
    </row>
    <row r="27">
      <c r="C27">
        <f>IFERROR(VLOOKUP(B27,Trigger_Assessment!$A$2:$B$1000,2,FALSE),"")</f>
        <v/>
      </c>
      <c r="D27">
        <f>IFERROR(VLOOKUP(B27,Trigger_Assessment!$A$2:$C$1000,3,FALSE),"")</f>
        <v/>
      </c>
      <c r="G27" s="14" t="n"/>
      <c r="H27" s="14" t="n"/>
      <c r="I27" s="14" t="n"/>
      <c r="N27" s="14" t="n"/>
      <c r="P27" s="14">
        <f>IF(ISBLANK(I27),"",DATE(YEAR(I27)+1,MONTH(I27),DAY(I27)))</f>
        <v/>
      </c>
    </row>
    <row r="28">
      <c r="C28">
        <f>IFERROR(VLOOKUP(B28,Trigger_Assessment!$A$2:$B$1000,2,FALSE),"")</f>
        <v/>
      </c>
      <c r="D28">
        <f>IFERROR(VLOOKUP(B28,Trigger_Assessment!$A$2:$C$1000,3,FALSE),"")</f>
        <v/>
      </c>
      <c r="G28" s="14" t="n"/>
      <c r="H28" s="14" t="n"/>
      <c r="I28" s="14" t="n"/>
      <c r="N28" s="14" t="n"/>
      <c r="P28" s="14">
        <f>IF(ISBLANK(I28),"",DATE(YEAR(I28)+1,MONTH(I28),DAY(I28)))</f>
        <v/>
      </c>
    </row>
    <row r="29">
      <c r="C29">
        <f>IFERROR(VLOOKUP(B29,Trigger_Assessment!$A$2:$B$1000,2,FALSE),"")</f>
        <v/>
      </c>
      <c r="D29">
        <f>IFERROR(VLOOKUP(B29,Trigger_Assessment!$A$2:$C$1000,3,FALSE),"")</f>
        <v/>
      </c>
      <c r="G29" s="14" t="n"/>
      <c r="H29" s="14" t="n"/>
      <c r="I29" s="14" t="n"/>
      <c r="N29" s="14" t="n"/>
      <c r="P29" s="14">
        <f>IF(ISBLANK(I29),"",DATE(YEAR(I29)+1,MONTH(I29),DAY(I29)))</f>
        <v/>
      </c>
    </row>
    <row r="30">
      <c r="C30">
        <f>IFERROR(VLOOKUP(B30,Trigger_Assessment!$A$2:$B$1000,2,FALSE),"")</f>
        <v/>
      </c>
      <c r="D30">
        <f>IFERROR(VLOOKUP(B30,Trigger_Assessment!$A$2:$C$1000,3,FALSE),"")</f>
        <v/>
      </c>
      <c r="G30" s="14" t="n"/>
      <c r="H30" s="14" t="n"/>
      <c r="I30" s="14" t="n"/>
      <c r="N30" s="14" t="n"/>
      <c r="P30" s="14">
        <f>IF(ISBLANK(I30),"",DATE(YEAR(I30)+1,MONTH(I30),DAY(I30)))</f>
        <v/>
      </c>
    </row>
    <row r="31">
      <c r="C31">
        <f>IFERROR(VLOOKUP(B31,Trigger_Assessment!$A$2:$B$1000,2,FALSE),"")</f>
        <v/>
      </c>
      <c r="D31">
        <f>IFERROR(VLOOKUP(B31,Trigger_Assessment!$A$2:$C$1000,3,FALSE),"")</f>
        <v/>
      </c>
      <c r="G31" s="14" t="n"/>
      <c r="H31" s="14" t="n"/>
      <c r="I31" s="14" t="n"/>
      <c r="N31" s="14" t="n"/>
      <c r="P31" s="14">
        <f>IF(ISBLANK(I31),"",DATE(YEAR(I31)+1,MONTH(I31),DAY(I31)))</f>
        <v/>
      </c>
    </row>
    <row r="32">
      <c r="C32">
        <f>IFERROR(VLOOKUP(B32,Trigger_Assessment!$A$2:$B$1000,2,FALSE),"")</f>
        <v/>
      </c>
      <c r="D32">
        <f>IFERROR(VLOOKUP(B32,Trigger_Assessment!$A$2:$C$1000,3,FALSE),"")</f>
        <v/>
      </c>
      <c r="G32" s="14" t="n"/>
      <c r="H32" s="14" t="n"/>
      <c r="I32" s="14" t="n"/>
      <c r="N32" s="14" t="n"/>
      <c r="P32" s="14">
        <f>IF(ISBLANK(I32),"",DATE(YEAR(I32)+1,MONTH(I32),DAY(I32)))</f>
        <v/>
      </c>
    </row>
    <row r="33">
      <c r="C33">
        <f>IFERROR(VLOOKUP(B33,Trigger_Assessment!$A$2:$B$1000,2,FALSE),"")</f>
        <v/>
      </c>
      <c r="D33">
        <f>IFERROR(VLOOKUP(B33,Trigger_Assessment!$A$2:$C$1000,3,FALSE),"")</f>
        <v/>
      </c>
      <c r="G33" s="14" t="n"/>
      <c r="H33" s="14" t="n"/>
      <c r="I33" s="14" t="n"/>
      <c r="N33" s="14" t="n"/>
      <c r="P33" s="14">
        <f>IF(ISBLANK(I33),"",DATE(YEAR(I33)+1,MONTH(I33),DAY(I33)))</f>
        <v/>
      </c>
    </row>
    <row r="34">
      <c r="C34">
        <f>IFERROR(VLOOKUP(B34,Trigger_Assessment!$A$2:$B$1000,2,FALSE),"")</f>
        <v/>
      </c>
      <c r="D34">
        <f>IFERROR(VLOOKUP(B34,Trigger_Assessment!$A$2:$C$1000,3,FALSE),"")</f>
        <v/>
      </c>
      <c r="G34" s="14" t="n"/>
      <c r="H34" s="14" t="n"/>
      <c r="I34" s="14" t="n"/>
      <c r="N34" s="14" t="n"/>
      <c r="P34" s="14">
        <f>IF(ISBLANK(I34),"",DATE(YEAR(I34)+1,MONTH(I34),DAY(I34)))</f>
        <v/>
      </c>
    </row>
    <row r="35">
      <c r="C35">
        <f>IFERROR(VLOOKUP(B35,Trigger_Assessment!$A$2:$B$1000,2,FALSE),"")</f>
        <v/>
      </c>
      <c r="D35">
        <f>IFERROR(VLOOKUP(B35,Trigger_Assessment!$A$2:$C$1000,3,FALSE),"")</f>
        <v/>
      </c>
      <c r="G35" s="14" t="n"/>
      <c r="H35" s="14" t="n"/>
      <c r="I35" s="14" t="n"/>
      <c r="N35" s="14" t="n"/>
      <c r="P35" s="14">
        <f>IF(ISBLANK(I35),"",DATE(YEAR(I35)+1,MONTH(I35),DAY(I35)))</f>
        <v/>
      </c>
    </row>
    <row r="36">
      <c r="C36">
        <f>IFERROR(VLOOKUP(B36,Trigger_Assessment!$A$2:$B$1000,2,FALSE),"")</f>
        <v/>
      </c>
      <c r="D36">
        <f>IFERROR(VLOOKUP(B36,Trigger_Assessment!$A$2:$C$1000,3,FALSE),"")</f>
        <v/>
      </c>
      <c r="G36" s="14" t="n"/>
      <c r="H36" s="14" t="n"/>
      <c r="I36" s="14" t="n"/>
      <c r="N36" s="14" t="n"/>
      <c r="P36" s="14">
        <f>IF(ISBLANK(I36),"",DATE(YEAR(I36)+1,MONTH(I36),DAY(I36)))</f>
        <v/>
      </c>
    </row>
    <row r="37">
      <c r="C37">
        <f>IFERROR(VLOOKUP(B37,Trigger_Assessment!$A$2:$B$1000,2,FALSE),"")</f>
        <v/>
      </c>
      <c r="D37">
        <f>IFERROR(VLOOKUP(B37,Trigger_Assessment!$A$2:$C$1000,3,FALSE),"")</f>
        <v/>
      </c>
      <c r="G37" s="14" t="n"/>
      <c r="H37" s="14" t="n"/>
      <c r="I37" s="14" t="n"/>
      <c r="N37" s="14" t="n"/>
      <c r="P37" s="14">
        <f>IF(ISBLANK(I37),"",DATE(YEAR(I37)+1,MONTH(I37),DAY(I37)))</f>
        <v/>
      </c>
    </row>
    <row r="38">
      <c r="C38">
        <f>IFERROR(VLOOKUP(B38,Trigger_Assessment!$A$2:$B$1000,2,FALSE),"")</f>
        <v/>
      </c>
      <c r="D38">
        <f>IFERROR(VLOOKUP(B38,Trigger_Assessment!$A$2:$C$1000,3,FALSE),"")</f>
        <v/>
      </c>
      <c r="G38" s="14" t="n"/>
      <c r="H38" s="14" t="n"/>
      <c r="I38" s="14" t="n"/>
      <c r="N38" s="14" t="n"/>
      <c r="P38" s="14">
        <f>IF(ISBLANK(I38),"",DATE(YEAR(I38)+1,MONTH(I38),DAY(I38)))</f>
        <v/>
      </c>
    </row>
    <row r="39">
      <c r="C39">
        <f>IFERROR(VLOOKUP(B39,Trigger_Assessment!$A$2:$B$1000,2,FALSE),"")</f>
        <v/>
      </c>
      <c r="D39">
        <f>IFERROR(VLOOKUP(B39,Trigger_Assessment!$A$2:$C$1000,3,FALSE),"")</f>
        <v/>
      </c>
      <c r="G39" s="14" t="n"/>
      <c r="H39" s="14" t="n"/>
      <c r="I39" s="14" t="n"/>
      <c r="N39" s="14" t="n"/>
      <c r="P39" s="14">
        <f>IF(ISBLANK(I39),"",DATE(YEAR(I39)+1,MONTH(I39),DAY(I39)))</f>
        <v/>
      </c>
    </row>
    <row r="40">
      <c r="C40">
        <f>IFERROR(VLOOKUP(B40,Trigger_Assessment!$A$2:$B$1000,2,FALSE),"")</f>
        <v/>
      </c>
      <c r="D40">
        <f>IFERROR(VLOOKUP(B40,Trigger_Assessment!$A$2:$C$1000,3,FALSE),"")</f>
        <v/>
      </c>
      <c r="G40" s="14" t="n"/>
      <c r="H40" s="14" t="n"/>
      <c r="I40" s="14" t="n"/>
      <c r="N40" s="14" t="n"/>
      <c r="P40" s="14">
        <f>IF(ISBLANK(I40),"",DATE(YEAR(I40)+1,MONTH(I40),DAY(I40)))</f>
        <v/>
      </c>
    </row>
    <row r="41">
      <c r="C41">
        <f>IFERROR(VLOOKUP(B41,Trigger_Assessment!$A$2:$B$1000,2,FALSE),"")</f>
        <v/>
      </c>
      <c r="D41">
        <f>IFERROR(VLOOKUP(B41,Trigger_Assessment!$A$2:$C$1000,3,FALSE),"")</f>
        <v/>
      </c>
      <c r="G41" s="14" t="n"/>
      <c r="H41" s="14" t="n"/>
      <c r="I41" s="14" t="n"/>
      <c r="N41" s="14" t="n"/>
      <c r="P41" s="14">
        <f>IF(ISBLANK(I41),"",DATE(YEAR(I41)+1,MONTH(I41),DAY(I41)))</f>
        <v/>
      </c>
    </row>
    <row r="42">
      <c r="C42">
        <f>IFERROR(VLOOKUP(B42,Trigger_Assessment!$A$2:$B$1000,2,FALSE),"")</f>
        <v/>
      </c>
      <c r="D42">
        <f>IFERROR(VLOOKUP(B42,Trigger_Assessment!$A$2:$C$1000,3,FALSE),"")</f>
        <v/>
      </c>
      <c r="G42" s="14" t="n"/>
      <c r="H42" s="14" t="n"/>
      <c r="I42" s="14" t="n"/>
      <c r="N42" s="14" t="n"/>
      <c r="P42" s="14">
        <f>IF(ISBLANK(I42),"",DATE(YEAR(I42)+1,MONTH(I42),DAY(I42)))</f>
        <v/>
      </c>
    </row>
    <row r="43">
      <c r="C43">
        <f>IFERROR(VLOOKUP(B43,Trigger_Assessment!$A$2:$B$1000,2,FALSE),"")</f>
        <v/>
      </c>
      <c r="D43">
        <f>IFERROR(VLOOKUP(B43,Trigger_Assessment!$A$2:$C$1000,3,FALSE),"")</f>
        <v/>
      </c>
      <c r="G43" s="14" t="n"/>
      <c r="H43" s="14" t="n"/>
      <c r="I43" s="14" t="n"/>
      <c r="N43" s="14" t="n"/>
      <c r="P43" s="14">
        <f>IF(ISBLANK(I43),"",DATE(YEAR(I43)+1,MONTH(I43),DAY(I43)))</f>
        <v/>
      </c>
    </row>
    <row r="44">
      <c r="C44">
        <f>IFERROR(VLOOKUP(B44,Trigger_Assessment!$A$2:$B$1000,2,FALSE),"")</f>
        <v/>
      </c>
      <c r="D44">
        <f>IFERROR(VLOOKUP(B44,Trigger_Assessment!$A$2:$C$1000,3,FALSE),"")</f>
        <v/>
      </c>
      <c r="G44" s="14" t="n"/>
      <c r="H44" s="14" t="n"/>
      <c r="I44" s="14" t="n"/>
      <c r="N44" s="14" t="n"/>
      <c r="P44" s="14">
        <f>IF(ISBLANK(I44),"",DATE(YEAR(I44)+1,MONTH(I44),DAY(I44)))</f>
        <v/>
      </c>
    </row>
    <row r="45">
      <c r="C45">
        <f>IFERROR(VLOOKUP(B45,Trigger_Assessment!$A$2:$B$1000,2,FALSE),"")</f>
        <v/>
      </c>
      <c r="D45">
        <f>IFERROR(VLOOKUP(B45,Trigger_Assessment!$A$2:$C$1000,3,FALSE),"")</f>
        <v/>
      </c>
      <c r="G45" s="14" t="n"/>
      <c r="H45" s="14" t="n"/>
      <c r="I45" s="14" t="n"/>
      <c r="N45" s="14" t="n"/>
      <c r="P45" s="14">
        <f>IF(ISBLANK(I45),"",DATE(YEAR(I45)+1,MONTH(I45),DAY(I45)))</f>
        <v/>
      </c>
    </row>
    <row r="46">
      <c r="C46">
        <f>IFERROR(VLOOKUP(B46,Trigger_Assessment!$A$2:$B$1000,2,FALSE),"")</f>
        <v/>
      </c>
      <c r="D46">
        <f>IFERROR(VLOOKUP(B46,Trigger_Assessment!$A$2:$C$1000,3,FALSE),"")</f>
        <v/>
      </c>
      <c r="G46" s="14" t="n"/>
      <c r="H46" s="14" t="n"/>
      <c r="I46" s="14" t="n"/>
      <c r="N46" s="14" t="n"/>
      <c r="P46" s="14">
        <f>IF(ISBLANK(I46),"",DATE(YEAR(I46)+1,MONTH(I46),DAY(I46)))</f>
        <v/>
      </c>
    </row>
    <row r="47">
      <c r="C47">
        <f>IFERROR(VLOOKUP(B47,Trigger_Assessment!$A$2:$B$1000,2,FALSE),"")</f>
        <v/>
      </c>
      <c r="D47">
        <f>IFERROR(VLOOKUP(B47,Trigger_Assessment!$A$2:$C$1000,3,FALSE),"")</f>
        <v/>
      </c>
      <c r="G47" s="14" t="n"/>
      <c r="H47" s="14" t="n"/>
      <c r="I47" s="14" t="n"/>
      <c r="N47" s="14" t="n"/>
      <c r="P47" s="14">
        <f>IF(ISBLANK(I47),"",DATE(YEAR(I47)+1,MONTH(I47),DAY(I47)))</f>
        <v/>
      </c>
    </row>
    <row r="48">
      <c r="C48">
        <f>IFERROR(VLOOKUP(B48,Trigger_Assessment!$A$2:$B$1000,2,FALSE),"")</f>
        <v/>
      </c>
      <c r="D48">
        <f>IFERROR(VLOOKUP(B48,Trigger_Assessment!$A$2:$C$1000,3,FALSE),"")</f>
        <v/>
      </c>
      <c r="G48" s="14" t="n"/>
      <c r="H48" s="14" t="n"/>
      <c r="I48" s="14" t="n"/>
      <c r="N48" s="14" t="n"/>
      <c r="P48" s="14">
        <f>IF(ISBLANK(I48),"",DATE(YEAR(I48)+1,MONTH(I48),DAY(I48)))</f>
        <v/>
      </c>
    </row>
    <row r="49">
      <c r="C49">
        <f>IFERROR(VLOOKUP(B49,Trigger_Assessment!$A$2:$B$1000,2,FALSE),"")</f>
        <v/>
      </c>
      <c r="D49">
        <f>IFERROR(VLOOKUP(B49,Trigger_Assessment!$A$2:$C$1000,3,FALSE),"")</f>
        <v/>
      </c>
      <c r="G49" s="14" t="n"/>
      <c r="H49" s="14" t="n"/>
      <c r="I49" s="14" t="n"/>
      <c r="N49" s="14" t="n"/>
      <c r="P49" s="14">
        <f>IF(ISBLANK(I49),"",DATE(YEAR(I49)+1,MONTH(I49),DAY(I49)))</f>
        <v/>
      </c>
    </row>
    <row r="50">
      <c r="C50">
        <f>IFERROR(VLOOKUP(B50,Trigger_Assessment!$A$2:$B$1000,2,FALSE),"")</f>
        <v/>
      </c>
      <c r="D50">
        <f>IFERROR(VLOOKUP(B50,Trigger_Assessment!$A$2:$C$1000,3,FALSE),"")</f>
        <v/>
      </c>
      <c r="G50" s="14" t="n"/>
      <c r="H50" s="14" t="n"/>
      <c r="I50" s="14" t="n"/>
      <c r="N50" s="14" t="n"/>
      <c r="P50" s="14">
        <f>IF(ISBLANK(I50),"",DATE(YEAR(I50)+1,MONTH(I50),DAY(I50)))</f>
        <v/>
      </c>
    </row>
    <row r="51">
      <c r="C51">
        <f>IFERROR(VLOOKUP(B51,Trigger_Assessment!$A$2:$B$1000,2,FALSE),"")</f>
        <v/>
      </c>
      <c r="D51">
        <f>IFERROR(VLOOKUP(B51,Trigger_Assessment!$A$2:$C$1000,3,FALSE),"")</f>
        <v/>
      </c>
      <c r="G51" s="14" t="n"/>
      <c r="H51" s="14" t="n"/>
      <c r="I51" s="14" t="n"/>
      <c r="N51" s="14" t="n"/>
      <c r="P51" s="14">
        <f>IF(ISBLANK(I51),"",DATE(YEAR(I51)+1,MONTH(I51),DAY(I51)))</f>
        <v/>
      </c>
    </row>
    <row r="52">
      <c r="C52">
        <f>IFERROR(VLOOKUP(B52,Trigger_Assessment!$A$2:$B$1000,2,FALSE),"")</f>
        <v/>
      </c>
      <c r="D52">
        <f>IFERROR(VLOOKUP(B52,Trigger_Assessment!$A$2:$C$1000,3,FALSE),"")</f>
        <v/>
      </c>
      <c r="G52" s="14" t="n"/>
      <c r="H52" s="14" t="n"/>
      <c r="I52" s="14" t="n"/>
      <c r="N52" s="14" t="n"/>
      <c r="P52" s="14">
        <f>IF(ISBLANK(I52),"",DATE(YEAR(I52)+1,MONTH(I52),DAY(I52)))</f>
        <v/>
      </c>
    </row>
    <row r="53">
      <c r="C53">
        <f>IFERROR(VLOOKUP(B53,Trigger_Assessment!$A$2:$B$1000,2,FALSE),"")</f>
        <v/>
      </c>
      <c r="D53">
        <f>IFERROR(VLOOKUP(B53,Trigger_Assessment!$A$2:$C$1000,3,FALSE),"")</f>
        <v/>
      </c>
      <c r="G53" s="14" t="n"/>
      <c r="H53" s="14" t="n"/>
      <c r="I53" s="14" t="n"/>
      <c r="N53" s="14" t="n"/>
      <c r="P53" s="14">
        <f>IF(ISBLANK(I53),"",DATE(YEAR(I53)+1,MONTH(I53),DAY(I53)))</f>
        <v/>
      </c>
    </row>
    <row r="54">
      <c r="C54">
        <f>IFERROR(VLOOKUP(B54,Trigger_Assessment!$A$2:$B$1000,2,FALSE),"")</f>
        <v/>
      </c>
      <c r="D54">
        <f>IFERROR(VLOOKUP(B54,Trigger_Assessment!$A$2:$C$1000,3,FALSE),"")</f>
        <v/>
      </c>
      <c r="G54" s="14" t="n"/>
      <c r="H54" s="14" t="n"/>
      <c r="I54" s="14" t="n"/>
      <c r="N54" s="14" t="n"/>
      <c r="P54" s="14">
        <f>IF(ISBLANK(I54),"",DATE(YEAR(I54)+1,MONTH(I54),DAY(I54)))</f>
        <v/>
      </c>
    </row>
    <row r="55">
      <c r="C55">
        <f>IFERROR(VLOOKUP(B55,Trigger_Assessment!$A$2:$B$1000,2,FALSE),"")</f>
        <v/>
      </c>
      <c r="D55">
        <f>IFERROR(VLOOKUP(B55,Trigger_Assessment!$A$2:$C$1000,3,FALSE),"")</f>
        <v/>
      </c>
      <c r="G55" s="14" t="n"/>
      <c r="H55" s="14" t="n"/>
      <c r="I55" s="14" t="n"/>
      <c r="N55" s="14" t="n"/>
      <c r="P55" s="14">
        <f>IF(ISBLANK(I55),"",DATE(YEAR(I55)+1,MONTH(I55),DAY(I55)))</f>
        <v/>
      </c>
    </row>
    <row r="56">
      <c r="C56">
        <f>IFERROR(VLOOKUP(B56,Trigger_Assessment!$A$2:$B$1000,2,FALSE),"")</f>
        <v/>
      </c>
      <c r="D56">
        <f>IFERROR(VLOOKUP(B56,Trigger_Assessment!$A$2:$C$1000,3,FALSE),"")</f>
        <v/>
      </c>
      <c r="G56" s="14" t="n"/>
      <c r="H56" s="14" t="n"/>
      <c r="I56" s="14" t="n"/>
      <c r="N56" s="14" t="n"/>
      <c r="P56" s="14">
        <f>IF(ISBLANK(I56),"",DATE(YEAR(I56)+1,MONTH(I56),DAY(I56)))</f>
        <v/>
      </c>
    </row>
    <row r="57">
      <c r="C57">
        <f>IFERROR(VLOOKUP(B57,Trigger_Assessment!$A$2:$B$1000,2,FALSE),"")</f>
        <v/>
      </c>
      <c r="D57">
        <f>IFERROR(VLOOKUP(B57,Trigger_Assessment!$A$2:$C$1000,3,FALSE),"")</f>
        <v/>
      </c>
      <c r="G57" s="14" t="n"/>
      <c r="H57" s="14" t="n"/>
      <c r="I57" s="14" t="n"/>
      <c r="N57" s="14" t="n"/>
      <c r="P57" s="14">
        <f>IF(ISBLANK(I57),"",DATE(YEAR(I57)+1,MONTH(I57),DAY(I57)))</f>
        <v/>
      </c>
    </row>
    <row r="58">
      <c r="C58">
        <f>IFERROR(VLOOKUP(B58,Trigger_Assessment!$A$2:$B$1000,2,FALSE),"")</f>
        <v/>
      </c>
      <c r="D58">
        <f>IFERROR(VLOOKUP(B58,Trigger_Assessment!$A$2:$C$1000,3,FALSE),"")</f>
        <v/>
      </c>
      <c r="G58" s="14" t="n"/>
      <c r="H58" s="14" t="n"/>
      <c r="I58" s="14" t="n"/>
      <c r="N58" s="14" t="n"/>
      <c r="P58" s="14">
        <f>IF(ISBLANK(I58),"",DATE(YEAR(I58)+1,MONTH(I58),DAY(I58)))</f>
        <v/>
      </c>
    </row>
    <row r="59">
      <c r="C59">
        <f>IFERROR(VLOOKUP(B59,Trigger_Assessment!$A$2:$B$1000,2,FALSE),"")</f>
        <v/>
      </c>
      <c r="D59">
        <f>IFERROR(VLOOKUP(B59,Trigger_Assessment!$A$2:$C$1000,3,FALSE),"")</f>
        <v/>
      </c>
      <c r="G59" s="14" t="n"/>
      <c r="H59" s="14" t="n"/>
      <c r="I59" s="14" t="n"/>
      <c r="N59" s="14" t="n"/>
      <c r="P59" s="14">
        <f>IF(ISBLANK(I59),"",DATE(YEAR(I59)+1,MONTH(I59),DAY(I59)))</f>
        <v/>
      </c>
    </row>
    <row r="60">
      <c r="C60">
        <f>IFERROR(VLOOKUP(B60,Trigger_Assessment!$A$2:$B$1000,2,FALSE),"")</f>
        <v/>
      </c>
      <c r="D60">
        <f>IFERROR(VLOOKUP(B60,Trigger_Assessment!$A$2:$C$1000,3,FALSE),"")</f>
        <v/>
      </c>
      <c r="G60" s="14" t="n"/>
      <c r="H60" s="14" t="n"/>
      <c r="I60" s="14" t="n"/>
      <c r="N60" s="14" t="n"/>
      <c r="P60" s="14">
        <f>IF(ISBLANK(I60),"",DATE(YEAR(I60)+1,MONTH(I60),DAY(I60)))</f>
        <v/>
      </c>
    </row>
    <row r="61">
      <c r="C61">
        <f>IFERROR(VLOOKUP(B61,Trigger_Assessment!$A$2:$B$1000,2,FALSE),"")</f>
        <v/>
      </c>
      <c r="D61">
        <f>IFERROR(VLOOKUP(B61,Trigger_Assessment!$A$2:$C$1000,3,FALSE),"")</f>
        <v/>
      </c>
      <c r="G61" s="14" t="n"/>
      <c r="H61" s="14" t="n"/>
      <c r="I61" s="14" t="n"/>
      <c r="N61" s="14" t="n"/>
      <c r="P61" s="14">
        <f>IF(ISBLANK(I61),"",DATE(YEAR(I61)+1,MONTH(I61),DAY(I61)))</f>
        <v/>
      </c>
    </row>
    <row r="62">
      <c r="C62">
        <f>IFERROR(VLOOKUP(B62,Trigger_Assessment!$A$2:$B$1000,2,FALSE),"")</f>
        <v/>
      </c>
      <c r="D62">
        <f>IFERROR(VLOOKUP(B62,Trigger_Assessment!$A$2:$C$1000,3,FALSE),"")</f>
        <v/>
      </c>
      <c r="G62" s="14" t="n"/>
      <c r="H62" s="14" t="n"/>
      <c r="I62" s="14" t="n"/>
      <c r="N62" s="14" t="n"/>
      <c r="P62" s="14">
        <f>IF(ISBLANK(I62),"",DATE(YEAR(I62)+1,MONTH(I62),DAY(I62)))</f>
        <v/>
      </c>
    </row>
    <row r="63">
      <c r="C63">
        <f>IFERROR(VLOOKUP(B63,Trigger_Assessment!$A$2:$B$1000,2,FALSE),"")</f>
        <v/>
      </c>
      <c r="D63">
        <f>IFERROR(VLOOKUP(B63,Trigger_Assessment!$A$2:$C$1000,3,FALSE),"")</f>
        <v/>
      </c>
      <c r="G63" s="14" t="n"/>
      <c r="H63" s="14" t="n"/>
      <c r="I63" s="14" t="n"/>
      <c r="N63" s="14" t="n"/>
      <c r="P63" s="14">
        <f>IF(ISBLANK(I63),"",DATE(YEAR(I63)+1,MONTH(I63),DAY(I63)))</f>
        <v/>
      </c>
    </row>
    <row r="64">
      <c r="C64">
        <f>IFERROR(VLOOKUP(B64,Trigger_Assessment!$A$2:$B$1000,2,FALSE),"")</f>
        <v/>
      </c>
      <c r="D64">
        <f>IFERROR(VLOOKUP(B64,Trigger_Assessment!$A$2:$C$1000,3,FALSE),"")</f>
        <v/>
      </c>
      <c r="G64" s="14" t="n"/>
      <c r="H64" s="14" t="n"/>
      <c r="I64" s="14" t="n"/>
      <c r="N64" s="14" t="n"/>
      <c r="P64" s="14">
        <f>IF(ISBLANK(I64),"",DATE(YEAR(I64)+1,MONTH(I64),DAY(I64)))</f>
        <v/>
      </c>
    </row>
    <row r="65">
      <c r="C65">
        <f>IFERROR(VLOOKUP(B65,Trigger_Assessment!$A$2:$B$1000,2,FALSE),"")</f>
        <v/>
      </c>
      <c r="D65">
        <f>IFERROR(VLOOKUP(B65,Trigger_Assessment!$A$2:$C$1000,3,FALSE),"")</f>
        <v/>
      </c>
      <c r="G65" s="14" t="n"/>
      <c r="H65" s="14" t="n"/>
      <c r="I65" s="14" t="n"/>
      <c r="N65" s="14" t="n"/>
      <c r="P65" s="14">
        <f>IF(ISBLANK(I65),"",DATE(YEAR(I65)+1,MONTH(I65),DAY(I65)))</f>
        <v/>
      </c>
    </row>
    <row r="66">
      <c r="C66">
        <f>IFERROR(VLOOKUP(B66,Trigger_Assessment!$A$2:$B$1000,2,FALSE),"")</f>
        <v/>
      </c>
      <c r="D66">
        <f>IFERROR(VLOOKUP(B66,Trigger_Assessment!$A$2:$C$1000,3,FALSE),"")</f>
        <v/>
      </c>
      <c r="G66" s="14" t="n"/>
      <c r="H66" s="14" t="n"/>
      <c r="I66" s="14" t="n"/>
      <c r="N66" s="14" t="n"/>
      <c r="P66" s="14">
        <f>IF(ISBLANK(I66),"",DATE(YEAR(I66)+1,MONTH(I66),DAY(I66)))</f>
        <v/>
      </c>
    </row>
    <row r="67">
      <c r="C67">
        <f>IFERROR(VLOOKUP(B67,Trigger_Assessment!$A$2:$B$1000,2,FALSE),"")</f>
        <v/>
      </c>
      <c r="D67">
        <f>IFERROR(VLOOKUP(B67,Trigger_Assessment!$A$2:$C$1000,3,FALSE),"")</f>
        <v/>
      </c>
      <c r="G67" s="14" t="n"/>
      <c r="H67" s="14" t="n"/>
      <c r="I67" s="14" t="n"/>
      <c r="N67" s="14" t="n"/>
      <c r="P67" s="14">
        <f>IF(ISBLANK(I67),"",DATE(YEAR(I67)+1,MONTH(I67),DAY(I67)))</f>
        <v/>
      </c>
    </row>
    <row r="68">
      <c r="C68">
        <f>IFERROR(VLOOKUP(B68,Trigger_Assessment!$A$2:$B$1000,2,FALSE),"")</f>
        <v/>
      </c>
      <c r="D68">
        <f>IFERROR(VLOOKUP(B68,Trigger_Assessment!$A$2:$C$1000,3,FALSE),"")</f>
        <v/>
      </c>
      <c r="G68" s="14" t="n"/>
      <c r="H68" s="14" t="n"/>
      <c r="I68" s="14" t="n"/>
      <c r="N68" s="14" t="n"/>
      <c r="P68" s="14">
        <f>IF(ISBLANK(I68),"",DATE(YEAR(I68)+1,MONTH(I68),DAY(I68)))</f>
        <v/>
      </c>
    </row>
    <row r="69">
      <c r="C69">
        <f>IFERROR(VLOOKUP(B69,Trigger_Assessment!$A$2:$B$1000,2,FALSE),"")</f>
        <v/>
      </c>
      <c r="D69">
        <f>IFERROR(VLOOKUP(B69,Trigger_Assessment!$A$2:$C$1000,3,FALSE),"")</f>
        <v/>
      </c>
      <c r="G69" s="14" t="n"/>
      <c r="H69" s="14" t="n"/>
      <c r="I69" s="14" t="n"/>
      <c r="N69" s="14" t="n"/>
      <c r="P69" s="14">
        <f>IF(ISBLANK(I69),"",DATE(YEAR(I69)+1,MONTH(I69),DAY(I69)))</f>
        <v/>
      </c>
    </row>
    <row r="70">
      <c r="C70">
        <f>IFERROR(VLOOKUP(B70,Trigger_Assessment!$A$2:$B$1000,2,FALSE),"")</f>
        <v/>
      </c>
      <c r="D70">
        <f>IFERROR(VLOOKUP(B70,Trigger_Assessment!$A$2:$C$1000,3,FALSE),"")</f>
        <v/>
      </c>
      <c r="G70" s="14" t="n"/>
      <c r="H70" s="14" t="n"/>
      <c r="I70" s="14" t="n"/>
      <c r="N70" s="14" t="n"/>
      <c r="P70" s="14">
        <f>IF(ISBLANK(I70),"",DATE(YEAR(I70)+1,MONTH(I70),DAY(I70)))</f>
        <v/>
      </c>
    </row>
    <row r="71">
      <c r="C71">
        <f>IFERROR(VLOOKUP(B71,Trigger_Assessment!$A$2:$B$1000,2,FALSE),"")</f>
        <v/>
      </c>
      <c r="D71">
        <f>IFERROR(VLOOKUP(B71,Trigger_Assessment!$A$2:$C$1000,3,FALSE),"")</f>
        <v/>
      </c>
      <c r="G71" s="14" t="n"/>
      <c r="H71" s="14" t="n"/>
      <c r="I71" s="14" t="n"/>
      <c r="N71" s="14" t="n"/>
      <c r="P71" s="14">
        <f>IF(ISBLANK(I71),"",DATE(YEAR(I71)+1,MONTH(I71),DAY(I71)))</f>
        <v/>
      </c>
    </row>
    <row r="72">
      <c r="C72">
        <f>IFERROR(VLOOKUP(B72,Trigger_Assessment!$A$2:$B$1000,2,FALSE),"")</f>
        <v/>
      </c>
      <c r="D72">
        <f>IFERROR(VLOOKUP(B72,Trigger_Assessment!$A$2:$C$1000,3,FALSE),"")</f>
        <v/>
      </c>
      <c r="G72" s="14" t="n"/>
      <c r="H72" s="14" t="n"/>
      <c r="I72" s="14" t="n"/>
      <c r="N72" s="14" t="n"/>
      <c r="P72" s="14">
        <f>IF(ISBLANK(I72),"",DATE(YEAR(I72)+1,MONTH(I72),DAY(I72)))</f>
        <v/>
      </c>
    </row>
    <row r="73">
      <c r="C73">
        <f>IFERROR(VLOOKUP(B73,Trigger_Assessment!$A$2:$B$1000,2,FALSE),"")</f>
        <v/>
      </c>
      <c r="D73">
        <f>IFERROR(VLOOKUP(B73,Trigger_Assessment!$A$2:$C$1000,3,FALSE),"")</f>
        <v/>
      </c>
      <c r="G73" s="14" t="n"/>
      <c r="H73" s="14" t="n"/>
      <c r="I73" s="14" t="n"/>
      <c r="N73" s="14" t="n"/>
      <c r="P73" s="14">
        <f>IF(ISBLANK(I73),"",DATE(YEAR(I73)+1,MONTH(I73),DAY(I73)))</f>
        <v/>
      </c>
    </row>
    <row r="74">
      <c r="C74">
        <f>IFERROR(VLOOKUP(B74,Trigger_Assessment!$A$2:$B$1000,2,FALSE),"")</f>
        <v/>
      </c>
      <c r="D74">
        <f>IFERROR(VLOOKUP(B74,Trigger_Assessment!$A$2:$C$1000,3,FALSE),"")</f>
        <v/>
      </c>
      <c r="G74" s="14" t="n"/>
      <c r="H74" s="14" t="n"/>
      <c r="I74" s="14" t="n"/>
      <c r="N74" s="14" t="n"/>
      <c r="P74" s="14">
        <f>IF(ISBLANK(I74),"",DATE(YEAR(I74)+1,MONTH(I74),DAY(I74)))</f>
        <v/>
      </c>
    </row>
    <row r="75">
      <c r="C75">
        <f>IFERROR(VLOOKUP(B75,Trigger_Assessment!$A$2:$B$1000,2,FALSE),"")</f>
        <v/>
      </c>
      <c r="D75">
        <f>IFERROR(VLOOKUP(B75,Trigger_Assessment!$A$2:$C$1000,3,FALSE),"")</f>
        <v/>
      </c>
      <c r="G75" s="14" t="n"/>
      <c r="H75" s="14" t="n"/>
      <c r="I75" s="14" t="n"/>
      <c r="N75" s="14" t="n"/>
      <c r="P75" s="14">
        <f>IF(ISBLANK(I75),"",DATE(YEAR(I75)+1,MONTH(I75),DAY(I75)))</f>
        <v/>
      </c>
    </row>
    <row r="76">
      <c r="C76">
        <f>IFERROR(VLOOKUP(B76,Trigger_Assessment!$A$2:$B$1000,2,FALSE),"")</f>
        <v/>
      </c>
      <c r="D76">
        <f>IFERROR(VLOOKUP(B76,Trigger_Assessment!$A$2:$C$1000,3,FALSE),"")</f>
        <v/>
      </c>
      <c r="G76" s="14" t="n"/>
      <c r="H76" s="14" t="n"/>
      <c r="I76" s="14" t="n"/>
      <c r="N76" s="14" t="n"/>
      <c r="P76" s="14">
        <f>IF(ISBLANK(I76),"",DATE(YEAR(I76)+1,MONTH(I76),DAY(I76)))</f>
        <v/>
      </c>
    </row>
    <row r="77">
      <c r="C77">
        <f>IFERROR(VLOOKUP(B77,Trigger_Assessment!$A$2:$B$1000,2,FALSE),"")</f>
        <v/>
      </c>
      <c r="D77">
        <f>IFERROR(VLOOKUP(B77,Trigger_Assessment!$A$2:$C$1000,3,FALSE),"")</f>
        <v/>
      </c>
      <c r="G77" s="14" t="n"/>
      <c r="H77" s="14" t="n"/>
      <c r="I77" s="14" t="n"/>
      <c r="N77" s="14" t="n"/>
      <c r="P77" s="14">
        <f>IF(ISBLANK(I77),"",DATE(YEAR(I77)+1,MONTH(I77),DAY(I77)))</f>
        <v/>
      </c>
    </row>
    <row r="78">
      <c r="C78">
        <f>IFERROR(VLOOKUP(B78,Trigger_Assessment!$A$2:$B$1000,2,FALSE),"")</f>
        <v/>
      </c>
      <c r="D78">
        <f>IFERROR(VLOOKUP(B78,Trigger_Assessment!$A$2:$C$1000,3,FALSE),"")</f>
        <v/>
      </c>
      <c r="G78" s="14" t="n"/>
      <c r="H78" s="14" t="n"/>
      <c r="I78" s="14" t="n"/>
      <c r="N78" s="14" t="n"/>
      <c r="P78" s="14">
        <f>IF(ISBLANK(I78),"",DATE(YEAR(I78)+1,MONTH(I78),DAY(I78)))</f>
        <v/>
      </c>
    </row>
    <row r="79">
      <c r="C79">
        <f>IFERROR(VLOOKUP(B79,Trigger_Assessment!$A$2:$B$1000,2,FALSE),"")</f>
        <v/>
      </c>
      <c r="D79">
        <f>IFERROR(VLOOKUP(B79,Trigger_Assessment!$A$2:$C$1000,3,FALSE),"")</f>
        <v/>
      </c>
      <c r="G79" s="14" t="n"/>
      <c r="H79" s="14" t="n"/>
      <c r="I79" s="14" t="n"/>
      <c r="N79" s="14" t="n"/>
      <c r="P79" s="14">
        <f>IF(ISBLANK(I79),"",DATE(YEAR(I79)+1,MONTH(I79),DAY(I79)))</f>
        <v/>
      </c>
    </row>
    <row r="80">
      <c r="C80">
        <f>IFERROR(VLOOKUP(B80,Trigger_Assessment!$A$2:$B$1000,2,FALSE),"")</f>
        <v/>
      </c>
      <c r="D80">
        <f>IFERROR(VLOOKUP(B80,Trigger_Assessment!$A$2:$C$1000,3,FALSE),"")</f>
        <v/>
      </c>
      <c r="G80" s="14" t="n"/>
      <c r="H80" s="14" t="n"/>
      <c r="I80" s="14" t="n"/>
      <c r="N80" s="14" t="n"/>
      <c r="P80" s="14">
        <f>IF(ISBLANK(I80),"",DATE(YEAR(I80)+1,MONTH(I80),DAY(I80)))</f>
        <v/>
      </c>
    </row>
    <row r="81">
      <c r="C81">
        <f>IFERROR(VLOOKUP(B81,Trigger_Assessment!$A$2:$B$1000,2,FALSE),"")</f>
        <v/>
      </c>
      <c r="D81">
        <f>IFERROR(VLOOKUP(B81,Trigger_Assessment!$A$2:$C$1000,3,FALSE),"")</f>
        <v/>
      </c>
      <c r="G81" s="14" t="n"/>
      <c r="H81" s="14" t="n"/>
      <c r="I81" s="14" t="n"/>
      <c r="N81" s="14" t="n"/>
      <c r="P81" s="14">
        <f>IF(ISBLANK(I81),"",DATE(YEAR(I81)+1,MONTH(I81),DAY(I81)))</f>
        <v/>
      </c>
    </row>
    <row r="82">
      <c r="C82">
        <f>IFERROR(VLOOKUP(B82,Trigger_Assessment!$A$2:$B$1000,2,FALSE),"")</f>
        <v/>
      </c>
      <c r="D82">
        <f>IFERROR(VLOOKUP(B82,Trigger_Assessment!$A$2:$C$1000,3,FALSE),"")</f>
        <v/>
      </c>
      <c r="G82" s="14" t="n"/>
      <c r="H82" s="14" t="n"/>
      <c r="I82" s="14" t="n"/>
      <c r="N82" s="14" t="n"/>
      <c r="P82" s="14">
        <f>IF(ISBLANK(I82),"",DATE(YEAR(I82)+1,MONTH(I82),DAY(I82)))</f>
        <v/>
      </c>
    </row>
    <row r="83">
      <c r="C83">
        <f>IFERROR(VLOOKUP(B83,Trigger_Assessment!$A$2:$B$1000,2,FALSE),"")</f>
        <v/>
      </c>
      <c r="D83">
        <f>IFERROR(VLOOKUP(B83,Trigger_Assessment!$A$2:$C$1000,3,FALSE),"")</f>
        <v/>
      </c>
      <c r="G83" s="14" t="n"/>
      <c r="H83" s="14" t="n"/>
      <c r="I83" s="14" t="n"/>
      <c r="N83" s="14" t="n"/>
      <c r="P83" s="14">
        <f>IF(ISBLANK(I83),"",DATE(YEAR(I83)+1,MONTH(I83),DAY(I83)))</f>
        <v/>
      </c>
    </row>
    <row r="84">
      <c r="C84">
        <f>IFERROR(VLOOKUP(B84,Trigger_Assessment!$A$2:$B$1000,2,FALSE),"")</f>
        <v/>
      </c>
      <c r="D84">
        <f>IFERROR(VLOOKUP(B84,Trigger_Assessment!$A$2:$C$1000,3,FALSE),"")</f>
        <v/>
      </c>
      <c r="G84" s="14" t="n"/>
      <c r="H84" s="14" t="n"/>
      <c r="I84" s="14" t="n"/>
      <c r="N84" s="14" t="n"/>
      <c r="P84" s="14">
        <f>IF(ISBLANK(I84),"",DATE(YEAR(I84)+1,MONTH(I84),DAY(I84)))</f>
        <v/>
      </c>
    </row>
    <row r="85">
      <c r="C85">
        <f>IFERROR(VLOOKUP(B85,Trigger_Assessment!$A$2:$B$1000,2,FALSE),"")</f>
        <v/>
      </c>
      <c r="D85">
        <f>IFERROR(VLOOKUP(B85,Trigger_Assessment!$A$2:$C$1000,3,FALSE),"")</f>
        <v/>
      </c>
      <c r="G85" s="14" t="n"/>
      <c r="H85" s="14" t="n"/>
      <c r="I85" s="14" t="n"/>
      <c r="N85" s="14" t="n"/>
      <c r="P85" s="14">
        <f>IF(ISBLANK(I85),"",DATE(YEAR(I85)+1,MONTH(I85),DAY(I85)))</f>
        <v/>
      </c>
    </row>
    <row r="86">
      <c r="C86">
        <f>IFERROR(VLOOKUP(B86,Trigger_Assessment!$A$2:$B$1000,2,FALSE),"")</f>
        <v/>
      </c>
      <c r="D86">
        <f>IFERROR(VLOOKUP(B86,Trigger_Assessment!$A$2:$C$1000,3,FALSE),"")</f>
        <v/>
      </c>
      <c r="G86" s="14" t="n"/>
      <c r="H86" s="14" t="n"/>
      <c r="I86" s="14" t="n"/>
      <c r="N86" s="14" t="n"/>
      <c r="P86" s="14">
        <f>IF(ISBLANK(I86),"",DATE(YEAR(I86)+1,MONTH(I86),DAY(I86)))</f>
        <v/>
      </c>
    </row>
    <row r="87">
      <c r="C87">
        <f>IFERROR(VLOOKUP(B87,Trigger_Assessment!$A$2:$B$1000,2,FALSE),"")</f>
        <v/>
      </c>
      <c r="D87">
        <f>IFERROR(VLOOKUP(B87,Trigger_Assessment!$A$2:$C$1000,3,FALSE),"")</f>
        <v/>
      </c>
      <c r="G87" s="14" t="n"/>
      <c r="H87" s="14" t="n"/>
      <c r="I87" s="14" t="n"/>
      <c r="N87" s="14" t="n"/>
      <c r="P87" s="14">
        <f>IF(ISBLANK(I87),"",DATE(YEAR(I87)+1,MONTH(I87),DAY(I87)))</f>
        <v/>
      </c>
    </row>
    <row r="88">
      <c r="C88">
        <f>IFERROR(VLOOKUP(B88,Trigger_Assessment!$A$2:$B$1000,2,FALSE),"")</f>
        <v/>
      </c>
      <c r="D88">
        <f>IFERROR(VLOOKUP(B88,Trigger_Assessment!$A$2:$C$1000,3,FALSE),"")</f>
        <v/>
      </c>
      <c r="G88" s="14" t="n"/>
      <c r="H88" s="14" t="n"/>
      <c r="I88" s="14" t="n"/>
      <c r="N88" s="14" t="n"/>
      <c r="P88" s="14">
        <f>IF(ISBLANK(I88),"",DATE(YEAR(I88)+1,MONTH(I88),DAY(I88)))</f>
        <v/>
      </c>
    </row>
    <row r="89">
      <c r="C89">
        <f>IFERROR(VLOOKUP(B89,Trigger_Assessment!$A$2:$B$1000,2,FALSE),"")</f>
        <v/>
      </c>
      <c r="D89">
        <f>IFERROR(VLOOKUP(B89,Trigger_Assessment!$A$2:$C$1000,3,FALSE),"")</f>
        <v/>
      </c>
      <c r="G89" s="14" t="n"/>
      <c r="H89" s="14" t="n"/>
      <c r="I89" s="14" t="n"/>
      <c r="N89" s="14" t="n"/>
      <c r="P89" s="14">
        <f>IF(ISBLANK(I89),"",DATE(YEAR(I89)+1,MONTH(I89),DAY(I89)))</f>
        <v/>
      </c>
    </row>
    <row r="90">
      <c r="C90">
        <f>IFERROR(VLOOKUP(B90,Trigger_Assessment!$A$2:$B$1000,2,FALSE),"")</f>
        <v/>
      </c>
      <c r="D90">
        <f>IFERROR(VLOOKUP(B90,Trigger_Assessment!$A$2:$C$1000,3,FALSE),"")</f>
        <v/>
      </c>
      <c r="G90" s="14" t="n"/>
      <c r="H90" s="14" t="n"/>
      <c r="I90" s="14" t="n"/>
      <c r="N90" s="14" t="n"/>
      <c r="P90" s="14">
        <f>IF(ISBLANK(I90),"",DATE(YEAR(I90)+1,MONTH(I90),DAY(I90)))</f>
        <v/>
      </c>
    </row>
    <row r="91">
      <c r="C91">
        <f>IFERROR(VLOOKUP(B91,Trigger_Assessment!$A$2:$B$1000,2,FALSE),"")</f>
        <v/>
      </c>
      <c r="D91">
        <f>IFERROR(VLOOKUP(B91,Trigger_Assessment!$A$2:$C$1000,3,FALSE),"")</f>
        <v/>
      </c>
      <c r="G91" s="14" t="n"/>
      <c r="H91" s="14" t="n"/>
      <c r="I91" s="14" t="n"/>
      <c r="N91" s="14" t="n"/>
      <c r="P91" s="14">
        <f>IF(ISBLANK(I91),"",DATE(YEAR(I91)+1,MONTH(I91),DAY(I91)))</f>
        <v/>
      </c>
    </row>
    <row r="92">
      <c r="C92">
        <f>IFERROR(VLOOKUP(B92,Trigger_Assessment!$A$2:$B$1000,2,FALSE),"")</f>
        <v/>
      </c>
      <c r="D92">
        <f>IFERROR(VLOOKUP(B92,Trigger_Assessment!$A$2:$C$1000,3,FALSE),"")</f>
        <v/>
      </c>
      <c r="G92" s="14" t="n"/>
      <c r="H92" s="14" t="n"/>
      <c r="I92" s="14" t="n"/>
      <c r="N92" s="14" t="n"/>
      <c r="P92" s="14">
        <f>IF(ISBLANK(I92),"",DATE(YEAR(I92)+1,MONTH(I92),DAY(I92)))</f>
        <v/>
      </c>
    </row>
    <row r="93">
      <c r="C93">
        <f>IFERROR(VLOOKUP(B93,Trigger_Assessment!$A$2:$B$1000,2,FALSE),"")</f>
        <v/>
      </c>
      <c r="D93">
        <f>IFERROR(VLOOKUP(B93,Trigger_Assessment!$A$2:$C$1000,3,FALSE),"")</f>
        <v/>
      </c>
      <c r="G93" s="14" t="n"/>
      <c r="H93" s="14" t="n"/>
      <c r="I93" s="14" t="n"/>
      <c r="N93" s="14" t="n"/>
      <c r="P93" s="14">
        <f>IF(ISBLANK(I93),"",DATE(YEAR(I93)+1,MONTH(I93),DAY(I93)))</f>
        <v/>
      </c>
    </row>
    <row r="94">
      <c r="C94">
        <f>IFERROR(VLOOKUP(B94,Trigger_Assessment!$A$2:$B$1000,2,FALSE),"")</f>
        <v/>
      </c>
      <c r="D94">
        <f>IFERROR(VLOOKUP(B94,Trigger_Assessment!$A$2:$C$1000,3,FALSE),"")</f>
        <v/>
      </c>
      <c r="G94" s="14" t="n"/>
      <c r="H94" s="14" t="n"/>
      <c r="I94" s="14" t="n"/>
      <c r="N94" s="14" t="n"/>
      <c r="P94" s="14">
        <f>IF(ISBLANK(I94),"",DATE(YEAR(I94)+1,MONTH(I94),DAY(I94)))</f>
        <v/>
      </c>
    </row>
    <row r="95">
      <c r="C95">
        <f>IFERROR(VLOOKUP(B95,Trigger_Assessment!$A$2:$B$1000,2,FALSE),"")</f>
        <v/>
      </c>
      <c r="D95">
        <f>IFERROR(VLOOKUP(B95,Trigger_Assessment!$A$2:$C$1000,3,FALSE),"")</f>
        <v/>
      </c>
      <c r="G95" s="14" t="n"/>
      <c r="H95" s="14" t="n"/>
      <c r="I95" s="14" t="n"/>
      <c r="N95" s="14" t="n"/>
      <c r="P95" s="14">
        <f>IF(ISBLANK(I95),"",DATE(YEAR(I95)+1,MONTH(I95),DAY(I95)))</f>
        <v/>
      </c>
    </row>
    <row r="96">
      <c r="C96">
        <f>IFERROR(VLOOKUP(B96,Trigger_Assessment!$A$2:$B$1000,2,FALSE),"")</f>
        <v/>
      </c>
      <c r="D96">
        <f>IFERROR(VLOOKUP(B96,Trigger_Assessment!$A$2:$C$1000,3,FALSE),"")</f>
        <v/>
      </c>
      <c r="G96" s="14" t="n"/>
      <c r="H96" s="14" t="n"/>
      <c r="I96" s="14" t="n"/>
      <c r="N96" s="14" t="n"/>
      <c r="P96" s="14">
        <f>IF(ISBLANK(I96),"",DATE(YEAR(I96)+1,MONTH(I96),DAY(I96)))</f>
        <v/>
      </c>
    </row>
    <row r="97">
      <c r="C97">
        <f>IFERROR(VLOOKUP(B97,Trigger_Assessment!$A$2:$B$1000,2,FALSE),"")</f>
        <v/>
      </c>
      <c r="D97">
        <f>IFERROR(VLOOKUP(B97,Trigger_Assessment!$A$2:$C$1000,3,FALSE),"")</f>
        <v/>
      </c>
      <c r="G97" s="14" t="n"/>
      <c r="H97" s="14" t="n"/>
      <c r="I97" s="14" t="n"/>
      <c r="N97" s="14" t="n"/>
      <c r="P97" s="14">
        <f>IF(ISBLANK(I97),"",DATE(YEAR(I97)+1,MONTH(I97),DAY(I97)))</f>
        <v/>
      </c>
    </row>
    <row r="98">
      <c r="C98">
        <f>IFERROR(VLOOKUP(B98,Trigger_Assessment!$A$2:$B$1000,2,FALSE),"")</f>
        <v/>
      </c>
      <c r="D98">
        <f>IFERROR(VLOOKUP(B98,Trigger_Assessment!$A$2:$C$1000,3,FALSE),"")</f>
        <v/>
      </c>
      <c r="G98" s="14" t="n"/>
      <c r="H98" s="14" t="n"/>
      <c r="I98" s="14" t="n"/>
      <c r="N98" s="14" t="n"/>
      <c r="P98" s="14">
        <f>IF(ISBLANK(I98),"",DATE(YEAR(I98)+1,MONTH(I98),DAY(I98)))</f>
        <v/>
      </c>
    </row>
    <row r="99">
      <c r="C99">
        <f>IFERROR(VLOOKUP(B99,Trigger_Assessment!$A$2:$B$1000,2,FALSE),"")</f>
        <v/>
      </c>
      <c r="D99">
        <f>IFERROR(VLOOKUP(B99,Trigger_Assessment!$A$2:$C$1000,3,FALSE),"")</f>
        <v/>
      </c>
      <c r="G99" s="14" t="n"/>
      <c r="H99" s="14" t="n"/>
      <c r="I99" s="14" t="n"/>
      <c r="N99" s="14" t="n"/>
      <c r="P99" s="14">
        <f>IF(ISBLANK(I99),"",DATE(YEAR(I99)+1,MONTH(I99),DAY(I99)))</f>
        <v/>
      </c>
    </row>
    <row r="100">
      <c r="C100">
        <f>IFERROR(VLOOKUP(B100,Trigger_Assessment!$A$2:$B$1000,2,FALSE),"")</f>
        <v/>
      </c>
      <c r="D100">
        <f>IFERROR(VLOOKUP(B100,Trigger_Assessment!$A$2:$C$1000,3,FALSE),"")</f>
        <v/>
      </c>
      <c r="G100" s="14" t="n"/>
      <c r="H100" s="14" t="n"/>
      <c r="I100" s="14" t="n"/>
      <c r="N100" s="14" t="n"/>
      <c r="P100" s="14">
        <f>IF(ISBLANK(I100),"",DATE(YEAR(I100)+1,MONTH(I100),DAY(I100)))</f>
        <v/>
      </c>
    </row>
    <row r="101">
      <c r="C101">
        <f>IFERROR(VLOOKUP(B101,Trigger_Assessment!$A$2:$B$1000,2,FALSE),"")</f>
        <v/>
      </c>
      <c r="D101">
        <f>IFERROR(VLOOKUP(B101,Trigger_Assessment!$A$2:$C$1000,3,FALSE),"")</f>
        <v/>
      </c>
      <c r="G101" s="14" t="n"/>
      <c r="H101" s="14" t="n"/>
      <c r="I101" s="14" t="n"/>
      <c r="N101" s="14" t="n"/>
      <c r="P101" s="14">
        <f>IF(ISBLANK(I101),"",DATE(YEAR(I101)+1,MONTH(I101),DAY(I101)))</f>
        <v/>
      </c>
    </row>
    <row r="102">
      <c r="C102">
        <f>IFERROR(VLOOKUP(B102,Trigger_Assessment!$A$2:$B$1000,2,FALSE),"")</f>
        <v/>
      </c>
      <c r="D102">
        <f>IFERROR(VLOOKUP(B102,Trigger_Assessment!$A$2:$C$1000,3,FALSE),"")</f>
        <v/>
      </c>
      <c r="G102" s="14" t="n"/>
      <c r="H102" s="14" t="n"/>
      <c r="I102" s="14" t="n"/>
      <c r="N102" s="14" t="n"/>
      <c r="P102" s="14">
        <f>IF(ISBLANK(I102),"",DATE(YEAR(I102)+1,MONTH(I102),DAY(I102)))</f>
        <v/>
      </c>
    </row>
    <row r="103">
      <c r="C103">
        <f>IFERROR(VLOOKUP(B103,Trigger_Assessment!$A$2:$B$1000,2,FALSE),"")</f>
        <v/>
      </c>
      <c r="D103">
        <f>IFERROR(VLOOKUP(B103,Trigger_Assessment!$A$2:$C$1000,3,FALSE),"")</f>
        <v/>
      </c>
      <c r="G103" s="14" t="n"/>
      <c r="H103" s="14" t="n"/>
      <c r="I103" s="14" t="n"/>
      <c r="N103" s="14" t="n"/>
      <c r="P103" s="14">
        <f>IF(ISBLANK(I103),"",DATE(YEAR(I103)+1,MONTH(I103),DAY(I103)))</f>
        <v/>
      </c>
    </row>
    <row r="104">
      <c r="C104">
        <f>IFERROR(VLOOKUP(B104,Trigger_Assessment!$A$2:$B$1000,2,FALSE),"")</f>
        <v/>
      </c>
      <c r="D104">
        <f>IFERROR(VLOOKUP(B104,Trigger_Assessment!$A$2:$C$1000,3,FALSE),"")</f>
        <v/>
      </c>
      <c r="G104" s="14" t="n"/>
      <c r="H104" s="14" t="n"/>
      <c r="I104" s="14" t="n"/>
      <c r="N104" s="14" t="n"/>
      <c r="P104" s="14">
        <f>IF(ISBLANK(I104),"",DATE(YEAR(I104)+1,MONTH(I104),DAY(I104)))</f>
        <v/>
      </c>
    </row>
    <row r="105">
      <c r="C105">
        <f>IFERROR(VLOOKUP(B105,Trigger_Assessment!$A$2:$B$1000,2,FALSE),"")</f>
        <v/>
      </c>
      <c r="D105">
        <f>IFERROR(VLOOKUP(B105,Trigger_Assessment!$A$2:$C$1000,3,FALSE),"")</f>
        <v/>
      </c>
      <c r="G105" s="14" t="n"/>
      <c r="H105" s="14" t="n"/>
      <c r="I105" s="14" t="n"/>
      <c r="N105" s="14" t="n"/>
      <c r="P105" s="14">
        <f>IF(ISBLANK(I105),"",DATE(YEAR(I105)+1,MONTH(I105),DAY(I105)))</f>
        <v/>
      </c>
    </row>
    <row r="106">
      <c r="C106">
        <f>IFERROR(VLOOKUP(B106,Trigger_Assessment!$A$2:$B$1000,2,FALSE),"")</f>
        <v/>
      </c>
      <c r="D106">
        <f>IFERROR(VLOOKUP(B106,Trigger_Assessment!$A$2:$C$1000,3,FALSE),"")</f>
        <v/>
      </c>
      <c r="G106" s="14" t="n"/>
      <c r="H106" s="14" t="n"/>
      <c r="I106" s="14" t="n"/>
      <c r="N106" s="14" t="n"/>
      <c r="P106" s="14">
        <f>IF(ISBLANK(I106),"",DATE(YEAR(I106)+1,MONTH(I106),DAY(I106)))</f>
        <v/>
      </c>
    </row>
    <row r="107">
      <c r="C107">
        <f>IFERROR(VLOOKUP(B107,Trigger_Assessment!$A$2:$B$1000,2,FALSE),"")</f>
        <v/>
      </c>
      <c r="D107">
        <f>IFERROR(VLOOKUP(B107,Trigger_Assessment!$A$2:$C$1000,3,FALSE),"")</f>
        <v/>
      </c>
      <c r="G107" s="14" t="n"/>
      <c r="H107" s="14" t="n"/>
      <c r="I107" s="14" t="n"/>
      <c r="N107" s="14" t="n"/>
      <c r="P107" s="14">
        <f>IF(ISBLANK(I107),"",DATE(YEAR(I107)+1,MONTH(I107),DAY(I107)))</f>
        <v/>
      </c>
    </row>
    <row r="108">
      <c r="C108">
        <f>IFERROR(VLOOKUP(B108,Trigger_Assessment!$A$2:$B$1000,2,FALSE),"")</f>
        <v/>
      </c>
      <c r="D108">
        <f>IFERROR(VLOOKUP(B108,Trigger_Assessment!$A$2:$C$1000,3,FALSE),"")</f>
        <v/>
      </c>
      <c r="G108" s="14" t="n"/>
      <c r="H108" s="14" t="n"/>
      <c r="I108" s="14" t="n"/>
      <c r="N108" s="14" t="n"/>
      <c r="P108" s="14">
        <f>IF(ISBLANK(I108),"",DATE(YEAR(I108)+1,MONTH(I108),DAY(I108)))</f>
        <v/>
      </c>
    </row>
    <row r="109">
      <c r="C109">
        <f>IFERROR(VLOOKUP(B109,Trigger_Assessment!$A$2:$B$1000,2,FALSE),"")</f>
        <v/>
      </c>
      <c r="D109">
        <f>IFERROR(VLOOKUP(B109,Trigger_Assessment!$A$2:$C$1000,3,FALSE),"")</f>
        <v/>
      </c>
      <c r="G109" s="14" t="n"/>
      <c r="H109" s="14" t="n"/>
      <c r="I109" s="14" t="n"/>
      <c r="N109" s="14" t="n"/>
      <c r="P109" s="14">
        <f>IF(ISBLANK(I109),"",DATE(YEAR(I109)+1,MONTH(I109),DAY(I109)))</f>
        <v/>
      </c>
    </row>
    <row r="110">
      <c r="C110">
        <f>IFERROR(VLOOKUP(B110,Trigger_Assessment!$A$2:$B$1000,2,FALSE),"")</f>
        <v/>
      </c>
      <c r="D110">
        <f>IFERROR(VLOOKUP(B110,Trigger_Assessment!$A$2:$C$1000,3,FALSE),"")</f>
        <v/>
      </c>
      <c r="G110" s="14" t="n"/>
      <c r="H110" s="14" t="n"/>
      <c r="I110" s="14" t="n"/>
      <c r="N110" s="14" t="n"/>
      <c r="P110" s="14">
        <f>IF(ISBLANK(I110),"",DATE(YEAR(I110)+1,MONTH(I110),DAY(I110)))</f>
        <v/>
      </c>
    </row>
    <row r="111">
      <c r="C111">
        <f>IFERROR(VLOOKUP(B111,Trigger_Assessment!$A$2:$B$1000,2,FALSE),"")</f>
        <v/>
      </c>
      <c r="D111">
        <f>IFERROR(VLOOKUP(B111,Trigger_Assessment!$A$2:$C$1000,3,FALSE),"")</f>
        <v/>
      </c>
      <c r="G111" s="14" t="n"/>
      <c r="H111" s="14" t="n"/>
      <c r="I111" s="14" t="n"/>
      <c r="N111" s="14" t="n"/>
      <c r="P111" s="14">
        <f>IF(ISBLANK(I111),"",DATE(YEAR(I111)+1,MONTH(I111),DAY(I111)))</f>
        <v/>
      </c>
    </row>
    <row r="112">
      <c r="C112">
        <f>IFERROR(VLOOKUP(B112,Trigger_Assessment!$A$2:$B$1000,2,FALSE),"")</f>
        <v/>
      </c>
      <c r="D112">
        <f>IFERROR(VLOOKUP(B112,Trigger_Assessment!$A$2:$C$1000,3,FALSE),"")</f>
        <v/>
      </c>
      <c r="G112" s="14" t="n"/>
      <c r="H112" s="14" t="n"/>
      <c r="I112" s="14" t="n"/>
      <c r="N112" s="14" t="n"/>
      <c r="P112" s="14">
        <f>IF(ISBLANK(I112),"",DATE(YEAR(I112)+1,MONTH(I112),DAY(I112)))</f>
        <v/>
      </c>
    </row>
    <row r="113">
      <c r="C113">
        <f>IFERROR(VLOOKUP(B113,Trigger_Assessment!$A$2:$B$1000,2,FALSE),"")</f>
        <v/>
      </c>
      <c r="D113">
        <f>IFERROR(VLOOKUP(B113,Trigger_Assessment!$A$2:$C$1000,3,FALSE),"")</f>
        <v/>
      </c>
      <c r="G113" s="14" t="n"/>
      <c r="H113" s="14" t="n"/>
      <c r="I113" s="14" t="n"/>
      <c r="N113" s="14" t="n"/>
      <c r="P113" s="14">
        <f>IF(ISBLANK(I113),"",DATE(YEAR(I113)+1,MONTH(I113),DAY(I113)))</f>
        <v/>
      </c>
    </row>
    <row r="114">
      <c r="C114">
        <f>IFERROR(VLOOKUP(B114,Trigger_Assessment!$A$2:$B$1000,2,FALSE),"")</f>
        <v/>
      </c>
      <c r="D114">
        <f>IFERROR(VLOOKUP(B114,Trigger_Assessment!$A$2:$C$1000,3,FALSE),"")</f>
        <v/>
      </c>
      <c r="G114" s="14" t="n"/>
      <c r="H114" s="14" t="n"/>
      <c r="I114" s="14" t="n"/>
      <c r="N114" s="14" t="n"/>
      <c r="P114" s="14">
        <f>IF(ISBLANK(I114),"",DATE(YEAR(I114)+1,MONTH(I114),DAY(I114)))</f>
        <v/>
      </c>
    </row>
    <row r="115">
      <c r="C115">
        <f>IFERROR(VLOOKUP(B115,Trigger_Assessment!$A$2:$B$1000,2,FALSE),"")</f>
        <v/>
      </c>
      <c r="D115">
        <f>IFERROR(VLOOKUP(B115,Trigger_Assessment!$A$2:$C$1000,3,FALSE),"")</f>
        <v/>
      </c>
      <c r="G115" s="14" t="n"/>
      <c r="H115" s="14" t="n"/>
      <c r="I115" s="14" t="n"/>
      <c r="N115" s="14" t="n"/>
      <c r="P115" s="14">
        <f>IF(ISBLANK(I115),"",DATE(YEAR(I115)+1,MONTH(I115),DAY(I115)))</f>
        <v/>
      </c>
    </row>
    <row r="116">
      <c r="C116">
        <f>IFERROR(VLOOKUP(B116,Trigger_Assessment!$A$2:$B$1000,2,FALSE),"")</f>
        <v/>
      </c>
      <c r="D116">
        <f>IFERROR(VLOOKUP(B116,Trigger_Assessment!$A$2:$C$1000,3,FALSE),"")</f>
        <v/>
      </c>
      <c r="G116" s="14" t="n"/>
      <c r="H116" s="14" t="n"/>
      <c r="I116" s="14" t="n"/>
      <c r="N116" s="14" t="n"/>
      <c r="P116" s="14">
        <f>IF(ISBLANK(I116),"",DATE(YEAR(I116)+1,MONTH(I116),DAY(I116)))</f>
        <v/>
      </c>
    </row>
    <row r="117">
      <c r="C117">
        <f>IFERROR(VLOOKUP(B117,Trigger_Assessment!$A$2:$B$1000,2,FALSE),"")</f>
        <v/>
      </c>
      <c r="D117">
        <f>IFERROR(VLOOKUP(B117,Trigger_Assessment!$A$2:$C$1000,3,FALSE),"")</f>
        <v/>
      </c>
      <c r="G117" s="14" t="n"/>
      <c r="H117" s="14" t="n"/>
      <c r="I117" s="14" t="n"/>
      <c r="N117" s="14" t="n"/>
      <c r="P117" s="14">
        <f>IF(ISBLANK(I117),"",DATE(YEAR(I117)+1,MONTH(I117),DAY(I117)))</f>
        <v/>
      </c>
    </row>
    <row r="118">
      <c r="C118">
        <f>IFERROR(VLOOKUP(B118,Trigger_Assessment!$A$2:$B$1000,2,FALSE),"")</f>
        <v/>
      </c>
      <c r="D118">
        <f>IFERROR(VLOOKUP(B118,Trigger_Assessment!$A$2:$C$1000,3,FALSE),"")</f>
        <v/>
      </c>
      <c r="G118" s="14" t="n"/>
      <c r="H118" s="14" t="n"/>
      <c r="I118" s="14" t="n"/>
      <c r="N118" s="14" t="n"/>
      <c r="P118" s="14">
        <f>IF(ISBLANK(I118),"",DATE(YEAR(I118)+1,MONTH(I118),DAY(I118)))</f>
        <v/>
      </c>
    </row>
    <row r="119">
      <c r="C119">
        <f>IFERROR(VLOOKUP(B119,Trigger_Assessment!$A$2:$B$1000,2,FALSE),"")</f>
        <v/>
      </c>
      <c r="D119">
        <f>IFERROR(VLOOKUP(B119,Trigger_Assessment!$A$2:$C$1000,3,FALSE),"")</f>
        <v/>
      </c>
      <c r="G119" s="14" t="n"/>
      <c r="H119" s="14" t="n"/>
      <c r="I119" s="14" t="n"/>
      <c r="N119" s="14" t="n"/>
      <c r="P119" s="14">
        <f>IF(ISBLANK(I119),"",DATE(YEAR(I119)+1,MONTH(I119),DAY(I119)))</f>
        <v/>
      </c>
    </row>
    <row r="120">
      <c r="C120">
        <f>IFERROR(VLOOKUP(B120,Trigger_Assessment!$A$2:$B$1000,2,FALSE),"")</f>
        <v/>
      </c>
      <c r="D120">
        <f>IFERROR(VLOOKUP(B120,Trigger_Assessment!$A$2:$C$1000,3,FALSE),"")</f>
        <v/>
      </c>
      <c r="G120" s="14" t="n"/>
      <c r="H120" s="14" t="n"/>
      <c r="I120" s="14" t="n"/>
      <c r="N120" s="14" t="n"/>
      <c r="P120" s="14">
        <f>IF(ISBLANK(I120),"",DATE(YEAR(I120)+1,MONTH(I120),DAY(I120)))</f>
        <v/>
      </c>
    </row>
    <row r="121">
      <c r="C121">
        <f>IFERROR(VLOOKUP(B121,Trigger_Assessment!$A$2:$B$1000,2,FALSE),"")</f>
        <v/>
      </c>
      <c r="D121">
        <f>IFERROR(VLOOKUP(B121,Trigger_Assessment!$A$2:$C$1000,3,FALSE),"")</f>
        <v/>
      </c>
      <c r="G121" s="14" t="n"/>
      <c r="H121" s="14" t="n"/>
      <c r="I121" s="14" t="n"/>
      <c r="N121" s="14" t="n"/>
      <c r="P121" s="14">
        <f>IF(ISBLANK(I121),"",DATE(YEAR(I121)+1,MONTH(I121),DAY(I121)))</f>
        <v/>
      </c>
    </row>
    <row r="122">
      <c r="C122">
        <f>IFERROR(VLOOKUP(B122,Trigger_Assessment!$A$2:$B$1000,2,FALSE),"")</f>
        <v/>
      </c>
      <c r="D122">
        <f>IFERROR(VLOOKUP(B122,Trigger_Assessment!$A$2:$C$1000,3,FALSE),"")</f>
        <v/>
      </c>
      <c r="G122" s="14" t="n"/>
      <c r="H122" s="14" t="n"/>
      <c r="I122" s="14" t="n"/>
      <c r="N122" s="14" t="n"/>
      <c r="P122" s="14">
        <f>IF(ISBLANK(I122),"",DATE(YEAR(I122)+1,MONTH(I122),DAY(I122)))</f>
        <v/>
      </c>
    </row>
    <row r="123">
      <c r="C123">
        <f>IFERROR(VLOOKUP(B123,Trigger_Assessment!$A$2:$B$1000,2,FALSE),"")</f>
        <v/>
      </c>
      <c r="D123">
        <f>IFERROR(VLOOKUP(B123,Trigger_Assessment!$A$2:$C$1000,3,FALSE),"")</f>
        <v/>
      </c>
      <c r="G123" s="14" t="n"/>
      <c r="H123" s="14" t="n"/>
      <c r="I123" s="14" t="n"/>
      <c r="N123" s="14" t="n"/>
      <c r="P123" s="14">
        <f>IF(ISBLANK(I123),"",DATE(YEAR(I123)+1,MONTH(I123),DAY(I123)))</f>
        <v/>
      </c>
    </row>
    <row r="124">
      <c r="C124">
        <f>IFERROR(VLOOKUP(B124,Trigger_Assessment!$A$2:$B$1000,2,FALSE),"")</f>
        <v/>
      </c>
      <c r="D124">
        <f>IFERROR(VLOOKUP(B124,Trigger_Assessment!$A$2:$C$1000,3,FALSE),"")</f>
        <v/>
      </c>
      <c r="G124" s="14" t="n"/>
      <c r="H124" s="14" t="n"/>
      <c r="I124" s="14" t="n"/>
      <c r="N124" s="14" t="n"/>
      <c r="P124" s="14">
        <f>IF(ISBLANK(I124),"",DATE(YEAR(I124)+1,MONTH(I124),DAY(I124)))</f>
        <v/>
      </c>
    </row>
    <row r="125">
      <c r="C125">
        <f>IFERROR(VLOOKUP(B125,Trigger_Assessment!$A$2:$B$1000,2,FALSE),"")</f>
        <v/>
      </c>
      <c r="D125">
        <f>IFERROR(VLOOKUP(B125,Trigger_Assessment!$A$2:$C$1000,3,FALSE),"")</f>
        <v/>
      </c>
      <c r="G125" s="14" t="n"/>
      <c r="H125" s="14" t="n"/>
      <c r="I125" s="14" t="n"/>
      <c r="N125" s="14" t="n"/>
      <c r="P125" s="14">
        <f>IF(ISBLANK(I125),"",DATE(YEAR(I125)+1,MONTH(I125),DAY(I125)))</f>
        <v/>
      </c>
    </row>
    <row r="126">
      <c r="C126">
        <f>IFERROR(VLOOKUP(B126,Trigger_Assessment!$A$2:$B$1000,2,FALSE),"")</f>
        <v/>
      </c>
      <c r="D126">
        <f>IFERROR(VLOOKUP(B126,Trigger_Assessment!$A$2:$C$1000,3,FALSE),"")</f>
        <v/>
      </c>
      <c r="G126" s="14" t="n"/>
      <c r="H126" s="14" t="n"/>
      <c r="I126" s="14" t="n"/>
      <c r="N126" s="14" t="n"/>
      <c r="P126" s="14">
        <f>IF(ISBLANK(I126),"",DATE(YEAR(I126)+1,MONTH(I126),DAY(I126)))</f>
        <v/>
      </c>
    </row>
    <row r="127">
      <c r="C127">
        <f>IFERROR(VLOOKUP(B127,Trigger_Assessment!$A$2:$B$1000,2,FALSE),"")</f>
        <v/>
      </c>
      <c r="D127">
        <f>IFERROR(VLOOKUP(B127,Trigger_Assessment!$A$2:$C$1000,3,FALSE),"")</f>
        <v/>
      </c>
      <c r="G127" s="14" t="n"/>
      <c r="H127" s="14" t="n"/>
      <c r="I127" s="14" t="n"/>
      <c r="N127" s="14" t="n"/>
      <c r="P127" s="14">
        <f>IF(ISBLANK(I127),"",DATE(YEAR(I127)+1,MONTH(I127),DAY(I127)))</f>
        <v/>
      </c>
    </row>
    <row r="128">
      <c r="C128">
        <f>IFERROR(VLOOKUP(B128,Trigger_Assessment!$A$2:$B$1000,2,FALSE),"")</f>
        <v/>
      </c>
      <c r="D128">
        <f>IFERROR(VLOOKUP(B128,Trigger_Assessment!$A$2:$C$1000,3,FALSE),"")</f>
        <v/>
      </c>
      <c r="G128" s="14" t="n"/>
      <c r="H128" s="14" t="n"/>
      <c r="I128" s="14" t="n"/>
      <c r="N128" s="14" t="n"/>
      <c r="P128" s="14">
        <f>IF(ISBLANK(I128),"",DATE(YEAR(I128)+1,MONTH(I128),DAY(I128)))</f>
        <v/>
      </c>
    </row>
    <row r="129">
      <c r="C129">
        <f>IFERROR(VLOOKUP(B129,Trigger_Assessment!$A$2:$B$1000,2,FALSE),"")</f>
        <v/>
      </c>
      <c r="D129">
        <f>IFERROR(VLOOKUP(B129,Trigger_Assessment!$A$2:$C$1000,3,FALSE),"")</f>
        <v/>
      </c>
      <c r="G129" s="14" t="n"/>
      <c r="H129" s="14" t="n"/>
      <c r="I129" s="14" t="n"/>
      <c r="N129" s="14" t="n"/>
      <c r="P129" s="14">
        <f>IF(ISBLANK(I129),"",DATE(YEAR(I129)+1,MONTH(I129),DAY(I129)))</f>
        <v/>
      </c>
    </row>
    <row r="130">
      <c r="C130">
        <f>IFERROR(VLOOKUP(B130,Trigger_Assessment!$A$2:$B$1000,2,FALSE),"")</f>
        <v/>
      </c>
      <c r="D130">
        <f>IFERROR(VLOOKUP(B130,Trigger_Assessment!$A$2:$C$1000,3,FALSE),"")</f>
        <v/>
      </c>
      <c r="G130" s="14" t="n"/>
      <c r="H130" s="14" t="n"/>
      <c r="I130" s="14" t="n"/>
      <c r="N130" s="14" t="n"/>
      <c r="P130" s="14">
        <f>IF(ISBLANK(I130),"",DATE(YEAR(I130)+1,MONTH(I130),DAY(I130)))</f>
        <v/>
      </c>
    </row>
    <row r="131">
      <c r="C131">
        <f>IFERROR(VLOOKUP(B131,Trigger_Assessment!$A$2:$B$1000,2,FALSE),"")</f>
        <v/>
      </c>
      <c r="D131">
        <f>IFERROR(VLOOKUP(B131,Trigger_Assessment!$A$2:$C$1000,3,FALSE),"")</f>
        <v/>
      </c>
      <c r="G131" s="14" t="n"/>
      <c r="H131" s="14" t="n"/>
      <c r="I131" s="14" t="n"/>
      <c r="N131" s="14" t="n"/>
      <c r="P131" s="14">
        <f>IF(ISBLANK(I131),"",DATE(YEAR(I131)+1,MONTH(I131),DAY(I131)))</f>
        <v/>
      </c>
    </row>
    <row r="132">
      <c r="C132">
        <f>IFERROR(VLOOKUP(B132,Trigger_Assessment!$A$2:$B$1000,2,FALSE),"")</f>
        <v/>
      </c>
      <c r="D132">
        <f>IFERROR(VLOOKUP(B132,Trigger_Assessment!$A$2:$C$1000,3,FALSE),"")</f>
        <v/>
      </c>
      <c r="G132" s="14" t="n"/>
      <c r="H132" s="14" t="n"/>
      <c r="I132" s="14" t="n"/>
      <c r="N132" s="14" t="n"/>
      <c r="P132" s="14">
        <f>IF(ISBLANK(I132),"",DATE(YEAR(I132)+1,MONTH(I132),DAY(I132)))</f>
        <v/>
      </c>
    </row>
    <row r="133">
      <c r="C133">
        <f>IFERROR(VLOOKUP(B133,Trigger_Assessment!$A$2:$B$1000,2,FALSE),"")</f>
        <v/>
      </c>
      <c r="D133">
        <f>IFERROR(VLOOKUP(B133,Trigger_Assessment!$A$2:$C$1000,3,FALSE),"")</f>
        <v/>
      </c>
      <c r="G133" s="14" t="n"/>
      <c r="H133" s="14" t="n"/>
      <c r="I133" s="14" t="n"/>
      <c r="N133" s="14" t="n"/>
      <c r="P133" s="14">
        <f>IF(ISBLANK(I133),"",DATE(YEAR(I133)+1,MONTH(I133),DAY(I133)))</f>
        <v/>
      </c>
    </row>
    <row r="134">
      <c r="C134">
        <f>IFERROR(VLOOKUP(B134,Trigger_Assessment!$A$2:$B$1000,2,FALSE),"")</f>
        <v/>
      </c>
      <c r="D134">
        <f>IFERROR(VLOOKUP(B134,Trigger_Assessment!$A$2:$C$1000,3,FALSE),"")</f>
        <v/>
      </c>
      <c r="G134" s="14" t="n"/>
      <c r="H134" s="14" t="n"/>
      <c r="I134" s="14" t="n"/>
      <c r="N134" s="14" t="n"/>
      <c r="P134" s="14">
        <f>IF(ISBLANK(I134),"",DATE(YEAR(I134)+1,MONTH(I134),DAY(I134)))</f>
        <v/>
      </c>
    </row>
    <row r="135">
      <c r="C135">
        <f>IFERROR(VLOOKUP(B135,Trigger_Assessment!$A$2:$B$1000,2,FALSE),"")</f>
        <v/>
      </c>
      <c r="D135">
        <f>IFERROR(VLOOKUP(B135,Trigger_Assessment!$A$2:$C$1000,3,FALSE),"")</f>
        <v/>
      </c>
      <c r="G135" s="14" t="n"/>
      <c r="H135" s="14" t="n"/>
      <c r="I135" s="14" t="n"/>
      <c r="N135" s="14" t="n"/>
      <c r="P135" s="14">
        <f>IF(ISBLANK(I135),"",DATE(YEAR(I135)+1,MONTH(I135),DAY(I135)))</f>
        <v/>
      </c>
    </row>
    <row r="136">
      <c r="C136">
        <f>IFERROR(VLOOKUP(B136,Trigger_Assessment!$A$2:$B$1000,2,FALSE),"")</f>
        <v/>
      </c>
      <c r="D136">
        <f>IFERROR(VLOOKUP(B136,Trigger_Assessment!$A$2:$C$1000,3,FALSE),"")</f>
        <v/>
      </c>
      <c r="G136" s="14" t="n"/>
      <c r="H136" s="14" t="n"/>
      <c r="I136" s="14" t="n"/>
      <c r="N136" s="14" t="n"/>
      <c r="P136" s="14">
        <f>IF(ISBLANK(I136),"",DATE(YEAR(I136)+1,MONTH(I136),DAY(I136)))</f>
        <v/>
      </c>
    </row>
    <row r="137">
      <c r="C137">
        <f>IFERROR(VLOOKUP(B137,Trigger_Assessment!$A$2:$B$1000,2,FALSE),"")</f>
        <v/>
      </c>
      <c r="D137">
        <f>IFERROR(VLOOKUP(B137,Trigger_Assessment!$A$2:$C$1000,3,FALSE),"")</f>
        <v/>
      </c>
      <c r="G137" s="14" t="n"/>
      <c r="H137" s="14" t="n"/>
      <c r="I137" s="14" t="n"/>
      <c r="N137" s="14" t="n"/>
      <c r="P137" s="14">
        <f>IF(ISBLANK(I137),"",DATE(YEAR(I137)+1,MONTH(I137),DAY(I137)))</f>
        <v/>
      </c>
    </row>
    <row r="138">
      <c r="C138">
        <f>IFERROR(VLOOKUP(B138,Trigger_Assessment!$A$2:$B$1000,2,FALSE),"")</f>
        <v/>
      </c>
      <c r="D138">
        <f>IFERROR(VLOOKUP(B138,Trigger_Assessment!$A$2:$C$1000,3,FALSE),"")</f>
        <v/>
      </c>
      <c r="G138" s="14" t="n"/>
      <c r="H138" s="14" t="n"/>
      <c r="I138" s="14" t="n"/>
      <c r="N138" s="14" t="n"/>
      <c r="P138" s="14">
        <f>IF(ISBLANK(I138),"",DATE(YEAR(I138)+1,MONTH(I138),DAY(I138)))</f>
        <v/>
      </c>
    </row>
    <row r="139">
      <c r="C139">
        <f>IFERROR(VLOOKUP(B139,Trigger_Assessment!$A$2:$B$1000,2,FALSE),"")</f>
        <v/>
      </c>
      <c r="D139">
        <f>IFERROR(VLOOKUP(B139,Trigger_Assessment!$A$2:$C$1000,3,FALSE),"")</f>
        <v/>
      </c>
      <c r="G139" s="14" t="n"/>
      <c r="H139" s="14" t="n"/>
      <c r="I139" s="14" t="n"/>
      <c r="N139" s="14" t="n"/>
      <c r="P139" s="14">
        <f>IF(ISBLANK(I139),"",DATE(YEAR(I139)+1,MONTH(I139),DAY(I139)))</f>
        <v/>
      </c>
    </row>
    <row r="140">
      <c r="C140">
        <f>IFERROR(VLOOKUP(B140,Trigger_Assessment!$A$2:$B$1000,2,FALSE),"")</f>
        <v/>
      </c>
      <c r="D140">
        <f>IFERROR(VLOOKUP(B140,Trigger_Assessment!$A$2:$C$1000,3,FALSE),"")</f>
        <v/>
      </c>
      <c r="G140" s="14" t="n"/>
      <c r="H140" s="14" t="n"/>
      <c r="I140" s="14" t="n"/>
      <c r="N140" s="14" t="n"/>
      <c r="P140" s="14">
        <f>IF(ISBLANK(I140),"",DATE(YEAR(I140)+1,MONTH(I140),DAY(I140)))</f>
        <v/>
      </c>
    </row>
    <row r="141">
      <c r="C141">
        <f>IFERROR(VLOOKUP(B141,Trigger_Assessment!$A$2:$B$1000,2,FALSE),"")</f>
        <v/>
      </c>
      <c r="D141">
        <f>IFERROR(VLOOKUP(B141,Trigger_Assessment!$A$2:$C$1000,3,FALSE),"")</f>
        <v/>
      </c>
      <c r="G141" s="14" t="n"/>
      <c r="H141" s="14" t="n"/>
      <c r="I141" s="14" t="n"/>
      <c r="N141" s="14" t="n"/>
      <c r="P141" s="14">
        <f>IF(ISBLANK(I141),"",DATE(YEAR(I141)+1,MONTH(I141),DAY(I141)))</f>
        <v/>
      </c>
    </row>
    <row r="142">
      <c r="C142">
        <f>IFERROR(VLOOKUP(B142,Trigger_Assessment!$A$2:$B$1000,2,FALSE),"")</f>
        <v/>
      </c>
      <c r="D142">
        <f>IFERROR(VLOOKUP(B142,Trigger_Assessment!$A$2:$C$1000,3,FALSE),"")</f>
        <v/>
      </c>
      <c r="G142" s="14" t="n"/>
      <c r="H142" s="14" t="n"/>
      <c r="I142" s="14" t="n"/>
      <c r="N142" s="14" t="n"/>
      <c r="P142" s="14">
        <f>IF(ISBLANK(I142),"",DATE(YEAR(I142)+1,MONTH(I142),DAY(I142)))</f>
        <v/>
      </c>
    </row>
    <row r="143">
      <c r="C143">
        <f>IFERROR(VLOOKUP(B143,Trigger_Assessment!$A$2:$B$1000,2,FALSE),"")</f>
        <v/>
      </c>
      <c r="D143">
        <f>IFERROR(VLOOKUP(B143,Trigger_Assessment!$A$2:$C$1000,3,FALSE),"")</f>
        <v/>
      </c>
      <c r="G143" s="14" t="n"/>
      <c r="H143" s="14" t="n"/>
      <c r="I143" s="14" t="n"/>
      <c r="N143" s="14" t="n"/>
      <c r="P143" s="14">
        <f>IF(ISBLANK(I143),"",DATE(YEAR(I143)+1,MONTH(I143),DAY(I143)))</f>
        <v/>
      </c>
    </row>
    <row r="144">
      <c r="C144">
        <f>IFERROR(VLOOKUP(B144,Trigger_Assessment!$A$2:$B$1000,2,FALSE),"")</f>
        <v/>
      </c>
      <c r="D144">
        <f>IFERROR(VLOOKUP(B144,Trigger_Assessment!$A$2:$C$1000,3,FALSE),"")</f>
        <v/>
      </c>
      <c r="G144" s="14" t="n"/>
      <c r="H144" s="14" t="n"/>
      <c r="I144" s="14" t="n"/>
      <c r="N144" s="14" t="n"/>
      <c r="P144" s="14">
        <f>IF(ISBLANK(I144),"",DATE(YEAR(I144)+1,MONTH(I144),DAY(I144)))</f>
        <v/>
      </c>
    </row>
    <row r="145">
      <c r="C145">
        <f>IFERROR(VLOOKUP(B145,Trigger_Assessment!$A$2:$B$1000,2,FALSE),"")</f>
        <v/>
      </c>
      <c r="D145">
        <f>IFERROR(VLOOKUP(B145,Trigger_Assessment!$A$2:$C$1000,3,FALSE),"")</f>
        <v/>
      </c>
      <c r="G145" s="14" t="n"/>
      <c r="H145" s="14" t="n"/>
      <c r="I145" s="14" t="n"/>
      <c r="N145" s="14" t="n"/>
      <c r="P145" s="14">
        <f>IF(ISBLANK(I145),"",DATE(YEAR(I145)+1,MONTH(I145),DAY(I145)))</f>
        <v/>
      </c>
    </row>
    <row r="146">
      <c r="C146">
        <f>IFERROR(VLOOKUP(B146,Trigger_Assessment!$A$2:$B$1000,2,FALSE),"")</f>
        <v/>
      </c>
      <c r="D146">
        <f>IFERROR(VLOOKUP(B146,Trigger_Assessment!$A$2:$C$1000,3,FALSE),"")</f>
        <v/>
      </c>
      <c r="G146" s="14" t="n"/>
      <c r="H146" s="14" t="n"/>
      <c r="I146" s="14" t="n"/>
      <c r="N146" s="14" t="n"/>
      <c r="P146" s="14">
        <f>IF(ISBLANK(I146),"",DATE(YEAR(I146)+1,MONTH(I146),DAY(I146)))</f>
        <v/>
      </c>
    </row>
    <row r="147">
      <c r="C147">
        <f>IFERROR(VLOOKUP(B147,Trigger_Assessment!$A$2:$B$1000,2,FALSE),"")</f>
        <v/>
      </c>
      <c r="D147">
        <f>IFERROR(VLOOKUP(B147,Trigger_Assessment!$A$2:$C$1000,3,FALSE),"")</f>
        <v/>
      </c>
      <c r="G147" s="14" t="n"/>
      <c r="H147" s="14" t="n"/>
      <c r="I147" s="14" t="n"/>
      <c r="N147" s="14" t="n"/>
      <c r="P147" s="14">
        <f>IF(ISBLANK(I147),"",DATE(YEAR(I147)+1,MONTH(I147),DAY(I147)))</f>
        <v/>
      </c>
    </row>
    <row r="148">
      <c r="C148">
        <f>IFERROR(VLOOKUP(B148,Trigger_Assessment!$A$2:$B$1000,2,FALSE),"")</f>
        <v/>
      </c>
      <c r="D148">
        <f>IFERROR(VLOOKUP(B148,Trigger_Assessment!$A$2:$C$1000,3,FALSE),"")</f>
        <v/>
      </c>
      <c r="G148" s="14" t="n"/>
      <c r="H148" s="14" t="n"/>
      <c r="I148" s="14" t="n"/>
      <c r="N148" s="14" t="n"/>
      <c r="P148" s="14">
        <f>IF(ISBLANK(I148),"",DATE(YEAR(I148)+1,MONTH(I148),DAY(I148)))</f>
        <v/>
      </c>
    </row>
    <row r="149">
      <c r="C149">
        <f>IFERROR(VLOOKUP(B149,Trigger_Assessment!$A$2:$B$1000,2,FALSE),"")</f>
        <v/>
      </c>
      <c r="D149">
        <f>IFERROR(VLOOKUP(B149,Trigger_Assessment!$A$2:$C$1000,3,FALSE),"")</f>
        <v/>
      </c>
      <c r="G149" s="14" t="n"/>
      <c r="H149" s="14" t="n"/>
      <c r="I149" s="14" t="n"/>
      <c r="N149" s="14" t="n"/>
      <c r="P149" s="14">
        <f>IF(ISBLANK(I149),"",DATE(YEAR(I149)+1,MONTH(I149),DAY(I149)))</f>
        <v/>
      </c>
    </row>
    <row r="150">
      <c r="C150">
        <f>IFERROR(VLOOKUP(B150,Trigger_Assessment!$A$2:$B$1000,2,FALSE),"")</f>
        <v/>
      </c>
      <c r="D150">
        <f>IFERROR(VLOOKUP(B150,Trigger_Assessment!$A$2:$C$1000,3,FALSE),"")</f>
        <v/>
      </c>
      <c r="G150" s="14" t="n"/>
      <c r="H150" s="14" t="n"/>
      <c r="I150" s="14" t="n"/>
      <c r="N150" s="14" t="n"/>
      <c r="P150" s="14">
        <f>IF(ISBLANK(I150),"",DATE(YEAR(I150)+1,MONTH(I150),DAY(I150)))</f>
        <v/>
      </c>
    </row>
    <row r="151">
      <c r="C151">
        <f>IFERROR(VLOOKUP(B151,Trigger_Assessment!$A$2:$B$1000,2,FALSE),"")</f>
        <v/>
      </c>
      <c r="D151">
        <f>IFERROR(VLOOKUP(B151,Trigger_Assessment!$A$2:$C$1000,3,FALSE),"")</f>
        <v/>
      </c>
      <c r="G151" s="14" t="n"/>
      <c r="H151" s="14" t="n"/>
      <c r="I151" s="14" t="n"/>
      <c r="N151" s="14" t="n"/>
      <c r="P151" s="14">
        <f>IF(ISBLANK(I151),"",DATE(YEAR(I151)+1,MONTH(I151),DAY(I151)))</f>
        <v/>
      </c>
    </row>
    <row r="152">
      <c r="C152">
        <f>IFERROR(VLOOKUP(B152,Trigger_Assessment!$A$2:$B$1000,2,FALSE),"")</f>
        <v/>
      </c>
      <c r="D152">
        <f>IFERROR(VLOOKUP(B152,Trigger_Assessment!$A$2:$C$1000,3,FALSE),"")</f>
        <v/>
      </c>
      <c r="G152" s="14" t="n"/>
      <c r="H152" s="14" t="n"/>
      <c r="I152" s="14" t="n"/>
      <c r="N152" s="14" t="n"/>
      <c r="P152" s="14">
        <f>IF(ISBLANK(I152),"",DATE(YEAR(I152)+1,MONTH(I152),DAY(I152)))</f>
        <v/>
      </c>
    </row>
    <row r="153">
      <c r="C153">
        <f>IFERROR(VLOOKUP(B153,Trigger_Assessment!$A$2:$B$1000,2,FALSE),"")</f>
        <v/>
      </c>
      <c r="D153">
        <f>IFERROR(VLOOKUP(B153,Trigger_Assessment!$A$2:$C$1000,3,FALSE),"")</f>
        <v/>
      </c>
      <c r="G153" s="14" t="n"/>
      <c r="H153" s="14" t="n"/>
      <c r="I153" s="14" t="n"/>
      <c r="N153" s="14" t="n"/>
      <c r="P153" s="14">
        <f>IF(ISBLANK(I153),"",DATE(YEAR(I153)+1,MONTH(I153),DAY(I153)))</f>
        <v/>
      </c>
    </row>
    <row r="154">
      <c r="C154">
        <f>IFERROR(VLOOKUP(B154,Trigger_Assessment!$A$2:$B$1000,2,FALSE),"")</f>
        <v/>
      </c>
      <c r="D154">
        <f>IFERROR(VLOOKUP(B154,Trigger_Assessment!$A$2:$C$1000,3,FALSE),"")</f>
        <v/>
      </c>
      <c r="G154" s="14" t="n"/>
      <c r="H154" s="14" t="n"/>
      <c r="I154" s="14" t="n"/>
      <c r="N154" s="14" t="n"/>
      <c r="P154" s="14">
        <f>IF(ISBLANK(I154),"",DATE(YEAR(I154)+1,MONTH(I154),DAY(I154)))</f>
        <v/>
      </c>
    </row>
    <row r="155">
      <c r="C155">
        <f>IFERROR(VLOOKUP(B155,Trigger_Assessment!$A$2:$B$1000,2,FALSE),"")</f>
        <v/>
      </c>
      <c r="D155">
        <f>IFERROR(VLOOKUP(B155,Trigger_Assessment!$A$2:$C$1000,3,FALSE),"")</f>
        <v/>
      </c>
      <c r="G155" s="14" t="n"/>
      <c r="H155" s="14" t="n"/>
      <c r="I155" s="14" t="n"/>
      <c r="N155" s="14" t="n"/>
      <c r="P155" s="14">
        <f>IF(ISBLANK(I155),"",DATE(YEAR(I155)+1,MONTH(I155),DAY(I155)))</f>
        <v/>
      </c>
    </row>
    <row r="156">
      <c r="C156">
        <f>IFERROR(VLOOKUP(B156,Trigger_Assessment!$A$2:$B$1000,2,FALSE),"")</f>
        <v/>
      </c>
      <c r="D156">
        <f>IFERROR(VLOOKUP(B156,Trigger_Assessment!$A$2:$C$1000,3,FALSE),"")</f>
        <v/>
      </c>
      <c r="G156" s="14" t="n"/>
      <c r="H156" s="14" t="n"/>
      <c r="I156" s="14" t="n"/>
      <c r="N156" s="14" t="n"/>
      <c r="P156" s="14">
        <f>IF(ISBLANK(I156),"",DATE(YEAR(I156)+1,MONTH(I156),DAY(I156)))</f>
        <v/>
      </c>
    </row>
    <row r="157">
      <c r="C157">
        <f>IFERROR(VLOOKUP(B157,Trigger_Assessment!$A$2:$B$1000,2,FALSE),"")</f>
        <v/>
      </c>
      <c r="D157">
        <f>IFERROR(VLOOKUP(B157,Trigger_Assessment!$A$2:$C$1000,3,FALSE),"")</f>
        <v/>
      </c>
      <c r="G157" s="14" t="n"/>
      <c r="H157" s="14" t="n"/>
      <c r="I157" s="14" t="n"/>
      <c r="N157" s="14" t="n"/>
      <c r="P157" s="14">
        <f>IF(ISBLANK(I157),"",DATE(YEAR(I157)+1,MONTH(I157),DAY(I157)))</f>
        <v/>
      </c>
    </row>
    <row r="158">
      <c r="C158">
        <f>IFERROR(VLOOKUP(B158,Trigger_Assessment!$A$2:$B$1000,2,FALSE),"")</f>
        <v/>
      </c>
      <c r="D158">
        <f>IFERROR(VLOOKUP(B158,Trigger_Assessment!$A$2:$C$1000,3,FALSE),"")</f>
        <v/>
      </c>
      <c r="G158" s="14" t="n"/>
      <c r="H158" s="14" t="n"/>
      <c r="I158" s="14" t="n"/>
      <c r="N158" s="14" t="n"/>
      <c r="P158" s="14">
        <f>IF(ISBLANK(I158),"",DATE(YEAR(I158)+1,MONTH(I158),DAY(I158)))</f>
        <v/>
      </c>
    </row>
    <row r="159">
      <c r="C159">
        <f>IFERROR(VLOOKUP(B159,Trigger_Assessment!$A$2:$B$1000,2,FALSE),"")</f>
        <v/>
      </c>
      <c r="D159">
        <f>IFERROR(VLOOKUP(B159,Trigger_Assessment!$A$2:$C$1000,3,FALSE),"")</f>
        <v/>
      </c>
      <c r="G159" s="14" t="n"/>
      <c r="H159" s="14" t="n"/>
      <c r="I159" s="14" t="n"/>
      <c r="N159" s="14" t="n"/>
      <c r="P159" s="14">
        <f>IF(ISBLANK(I159),"",DATE(YEAR(I159)+1,MONTH(I159),DAY(I159)))</f>
        <v/>
      </c>
    </row>
    <row r="160">
      <c r="C160">
        <f>IFERROR(VLOOKUP(B160,Trigger_Assessment!$A$2:$B$1000,2,FALSE),"")</f>
        <v/>
      </c>
      <c r="D160">
        <f>IFERROR(VLOOKUP(B160,Trigger_Assessment!$A$2:$C$1000,3,FALSE),"")</f>
        <v/>
      </c>
      <c r="G160" s="14" t="n"/>
      <c r="H160" s="14" t="n"/>
      <c r="I160" s="14" t="n"/>
      <c r="N160" s="14" t="n"/>
      <c r="P160" s="14">
        <f>IF(ISBLANK(I160),"",DATE(YEAR(I160)+1,MONTH(I160),DAY(I160)))</f>
        <v/>
      </c>
    </row>
    <row r="161">
      <c r="C161">
        <f>IFERROR(VLOOKUP(B161,Trigger_Assessment!$A$2:$B$1000,2,FALSE),"")</f>
        <v/>
      </c>
      <c r="D161">
        <f>IFERROR(VLOOKUP(B161,Trigger_Assessment!$A$2:$C$1000,3,FALSE),"")</f>
        <v/>
      </c>
      <c r="G161" s="14" t="n"/>
      <c r="H161" s="14" t="n"/>
      <c r="I161" s="14" t="n"/>
      <c r="N161" s="14" t="n"/>
      <c r="P161" s="14">
        <f>IF(ISBLANK(I161),"",DATE(YEAR(I161)+1,MONTH(I161),DAY(I161)))</f>
        <v/>
      </c>
    </row>
    <row r="162">
      <c r="C162">
        <f>IFERROR(VLOOKUP(B162,Trigger_Assessment!$A$2:$B$1000,2,FALSE),"")</f>
        <v/>
      </c>
      <c r="D162">
        <f>IFERROR(VLOOKUP(B162,Trigger_Assessment!$A$2:$C$1000,3,FALSE),"")</f>
        <v/>
      </c>
      <c r="G162" s="14" t="n"/>
      <c r="H162" s="14" t="n"/>
      <c r="I162" s="14" t="n"/>
      <c r="N162" s="14" t="n"/>
      <c r="P162" s="14">
        <f>IF(ISBLANK(I162),"",DATE(YEAR(I162)+1,MONTH(I162),DAY(I162)))</f>
        <v/>
      </c>
    </row>
    <row r="163">
      <c r="C163">
        <f>IFERROR(VLOOKUP(B163,Trigger_Assessment!$A$2:$B$1000,2,FALSE),"")</f>
        <v/>
      </c>
      <c r="D163">
        <f>IFERROR(VLOOKUP(B163,Trigger_Assessment!$A$2:$C$1000,3,FALSE),"")</f>
        <v/>
      </c>
      <c r="G163" s="14" t="n"/>
      <c r="H163" s="14" t="n"/>
      <c r="I163" s="14" t="n"/>
      <c r="N163" s="14" t="n"/>
      <c r="P163" s="14">
        <f>IF(ISBLANK(I163),"",DATE(YEAR(I163)+1,MONTH(I163),DAY(I163)))</f>
        <v/>
      </c>
    </row>
    <row r="164">
      <c r="C164">
        <f>IFERROR(VLOOKUP(B164,Trigger_Assessment!$A$2:$B$1000,2,FALSE),"")</f>
        <v/>
      </c>
      <c r="D164">
        <f>IFERROR(VLOOKUP(B164,Trigger_Assessment!$A$2:$C$1000,3,FALSE),"")</f>
        <v/>
      </c>
      <c r="G164" s="14" t="n"/>
      <c r="H164" s="14" t="n"/>
      <c r="I164" s="14" t="n"/>
      <c r="N164" s="14" t="n"/>
      <c r="P164" s="14">
        <f>IF(ISBLANK(I164),"",DATE(YEAR(I164)+1,MONTH(I164),DAY(I164)))</f>
        <v/>
      </c>
    </row>
    <row r="165">
      <c r="C165">
        <f>IFERROR(VLOOKUP(B165,Trigger_Assessment!$A$2:$B$1000,2,FALSE),"")</f>
        <v/>
      </c>
      <c r="D165">
        <f>IFERROR(VLOOKUP(B165,Trigger_Assessment!$A$2:$C$1000,3,FALSE),"")</f>
        <v/>
      </c>
      <c r="G165" s="14" t="n"/>
      <c r="H165" s="14" t="n"/>
      <c r="I165" s="14" t="n"/>
      <c r="N165" s="14" t="n"/>
      <c r="P165" s="14">
        <f>IF(ISBLANK(I165),"",DATE(YEAR(I165)+1,MONTH(I165),DAY(I165)))</f>
        <v/>
      </c>
    </row>
    <row r="166">
      <c r="C166">
        <f>IFERROR(VLOOKUP(B166,Trigger_Assessment!$A$2:$B$1000,2,FALSE),"")</f>
        <v/>
      </c>
      <c r="D166">
        <f>IFERROR(VLOOKUP(B166,Trigger_Assessment!$A$2:$C$1000,3,FALSE),"")</f>
        <v/>
      </c>
      <c r="G166" s="14" t="n"/>
      <c r="H166" s="14" t="n"/>
      <c r="I166" s="14" t="n"/>
      <c r="N166" s="14" t="n"/>
      <c r="P166" s="14">
        <f>IF(ISBLANK(I166),"",DATE(YEAR(I166)+1,MONTH(I166),DAY(I166)))</f>
        <v/>
      </c>
    </row>
    <row r="167">
      <c r="C167">
        <f>IFERROR(VLOOKUP(B167,Trigger_Assessment!$A$2:$B$1000,2,FALSE),"")</f>
        <v/>
      </c>
      <c r="D167">
        <f>IFERROR(VLOOKUP(B167,Trigger_Assessment!$A$2:$C$1000,3,FALSE),"")</f>
        <v/>
      </c>
      <c r="G167" s="14" t="n"/>
      <c r="H167" s="14" t="n"/>
      <c r="I167" s="14" t="n"/>
      <c r="N167" s="14" t="n"/>
      <c r="P167" s="14">
        <f>IF(ISBLANK(I167),"",DATE(YEAR(I167)+1,MONTH(I167),DAY(I167)))</f>
        <v/>
      </c>
    </row>
    <row r="168">
      <c r="C168">
        <f>IFERROR(VLOOKUP(B168,Trigger_Assessment!$A$2:$B$1000,2,FALSE),"")</f>
        <v/>
      </c>
      <c r="D168">
        <f>IFERROR(VLOOKUP(B168,Trigger_Assessment!$A$2:$C$1000,3,FALSE),"")</f>
        <v/>
      </c>
      <c r="G168" s="14" t="n"/>
      <c r="H168" s="14" t="n"/>
      <c r="I168" s="14" t="n"/>
      <c r="N168" s="14" t="n"/>
      <c r="P168" s="14">
        <f>IF(ISBLANK(I168),"",DATE(YEAR(I168)+1,MONTH(I168),DAY(I168)))</f>
        <v/>
      </c>
    </row>
    <row r="169">
      <c r="C169">
        <f>IFERROR(VLOOKUP(B169,Trigger_Assessment!$A$2:$B$1000,2,FALSE),"")</f>
        <v/>
      </c>
      <c r="D169">
        <f>IFERROR(VLOOKUP(B169,Trigger_Assessment!$A$2:$C$1000,3,FALSE),"")</f>
        <v/>
      </c>
      <c r="G169" s="14" t="n"/>
      <c r="H169" s="14" t="n"/>
      <c r="I169" s="14" t="n"/>
      <c r="N169" s="14" t="n"/>
      <c r="P169" s="14">
        <f>IF(ISBLANK(I169),"",DATE(YEAR(I169)+1,MONTH(I169),DAY(I169)))</f>
        <v/>
      </c>
    </row>
    <row r="170">
      <c r="C170">
        <f>IFERROR(VLOOKUP(B170,Trigger_Assessment!$A$2:$B$1000,2,FALSE),"")</f>
        <v/>
      </c>
      <c r="D170">
        <f>IFERROR(VLOOKUP(B170,Trigger_Assessment!$A$2:$C$1000,3,FALSE),"")</f>
        <v/>
      </c>
      <c r="G170" s="14" t="n"/>
      <c r="H170" s="14" t="n"/>
      <c r="I170" s="14" t="n"/>
      <c r="N170" s="14" t="n"/>
      <c r="P170" s="14">
        <f>IF(ISBLANK(I170),"",DATE(YEAR(I170)+1,MONTH(I170),DAY(I170)))</f>
        <v/>
      </c>
    </row>
    <row r="171">
      <c r="C171">
        <f>IFERROR(VLOOKUP(B171,Trigger_Assessment!$A$2:$B$1000,2,FALSE),"")</f>
        <v/>
      </c>
      <c r="D171">
        <f>IFERROR(VLOOKUP(B171,Trigger_Assessment!$A$2:$C$1000,3,FALSE),"")</f>
        <v/>
      </c>
      <c r="G171" s="14" t="n"/>
      <c r="H171" s="14" t="n"/>
      <c r="I171" s="14" t="n"/>
      <c r="N171" s="14" t="n"/>
      <c r="P171" s="14">
        <f>IF(ISBLANK(I171),"",DATE(YEAR(I171)+1,MONTH(I171),DAY(I171)))</f>
        <v/>
      </c>
    </row>
    <row r="172">
      <c r="C172">
        <f>IFERROR(VLOOKUP(B172,Trigger_Assessment!$A$2:$B$1000,2,FALSE),"")</f>
        <v/>
      </c>
      <c r="D172">
        <f>IFERROR(VLOOKUP(B172,Trigger_Assessment!$A$2:$C$1000,3,FALSE),"")</f>
        <v/>
      </c>
      <c r="G172" s="14" t="n"/>
      <c r="H172" s="14" t="n"/>
      <c r="I172" s="14" t="n"/>
      <c r="N172" s="14" t="n"/>
      <c r="P172" s="14">
        <f>IF(ISBLANK(I172),"",DATE(YEAR(I172)+1,MONTH(I172),DAY(I172)))</f>
        <v/>
      </c>
    </row>
    <row r="173">
      <c r="C173">
        <f>IFERROR(VLOOKUP(B173,Trigger_Assessment!$A$2:$B$1000,2,FALSE),"")</f>
        <v/>
      </c>
      <c r="D173">
        <f>IFERROR(VLOOKUP(B173,Trigger_Assessment!$A$2:$C$1000,3,FALSE),"")</f>
        <v/>
      </c>
      <c r="G173" s="14" t="n"/>
      <c r="H173" s="14" t="n"/>
      <c r="I173" s="14" t="n"/>
      <c r="N173" s="14" t="n"/>
      <c r="P173" s="14">
        <f>IF(ISBLANK(I173),"",DATE(YEAR(I173)+1,MONTH(I173),DAY(I173)))</f>
        <v/>
      </c>
    </row>
    <row r="174">
      <c r="C174">
        <f>IFERROR(VLOOKUP(B174,Trigger_Assessment!$A$2:$B$1000,2,FALSE),"")</f>
        <v/>
      </c>
      <c r="D174">
        <f>IFERROR(VLOOKUP(B174,Trigger_Assessment!$A$2:$C$1000,3,FALSE),"")</f>
        <v/>
      </c>
      <c r="G174" s="14" t="n"/>
      <c r="H174" s="14" t="n"/>
      <c r="I174" s="14" t="n"/>
      <c r="N174" s="14" t="n"/>
      <c r="P174" s="14">
        <f>IF(ISBLANK(I174),"",DATE(YEAR(I174)+1,MONTH(I174),DAY(I174)))</f>
        <v/>
      </c>
    </row>
    <row r="175">
      <c r="C175">
        <f>IFERROR(VLOOKUP(B175,Trigger_Assessment!$A$2:$B$1000,2,FALSE),"")</f>
        <v/>
      </c>
      <c r="D175">
        <f>IFERROR(VLOOKUP(B175,Trigger_Assessment!$A$2:$C$1000,3,FALSE),"")</f>
        <v/>
      </c>
      <c r="G175" s="14" t="n"/>
      <c r="H175" s="14" t="n"/>
      <c r="I175" s="14" t="n"/>
      <c r="N175" s="14" t="n"/>
      <c r="P175" s="14">
        <f>IF(ISBLANK(I175),"",DATE(YEAR(I175)+1,MONTH(I175),DAY(I175)))</f>
        <v/>
      </c>
    </row>
    <row r="176">
      <c r="C176">
        <f>IFERROR(VLOOKUP(B176,Trigger_Assessment!$A$2:$B$1000,2,FALSE),"")</f>
        <v/>
      </c>
      <c r="D176">
        <f>IFERROR(VLOOKUP(B176,Trigger_Assessment!$A$2:$C$1000,3,FALSE),"")</f>
        <v/>
      </c>
      <c r="G176" s="14" t="n"/>
      <c r="H176" s="14" t="n"/>
      <c r="I176" s="14" t="n"/>
      <c r="N176" s="14" t="n"/>
      <c r="P176" s="14">
        <f>IF(ISBLANK(I176),"",DATE(YEAR(I176)+1,MONTH(I176),DAY(I176)))</f>
        <v/>
      </c>
    </row>
    <row r="177">
      <c r="C177">
        <f>IFERROR(VLOOKUP(B177,Trigger_Assessment!$A$2:$B$1000,2,FALSE),"")</f>
        <v/>
      </c>
      <c r="D177">
        <f>IFERROR(VLOOKUP(B177,Trigger_Assessment!$A$2:$C$1000,3,FALSE),"")</f>
        <v/>
      </c>
      <c r="G177" s="14" t="n"/>
      <c r="H177" s="14" t="n"/>
      <c r="I177" s="14" t="n"/>
      <c r="N177" s="14" t="n"/>
      <c r="P177" s="14">
        <f>IF(ISBLANK(I177),"",DATE(YEAR(I177)+1,MONTH(I177),DAY(I177)))</f>
        <v/>
      </c>
    </row>
    <row r="178">
      <c r="C178">
        <f>IFERROR(VLOOKUP(B178,Trigger_Assessment!$A$2:$B$1000,2,FALSE),"")</f>
        <v/>
      </c>
      <c r="D178">
        <f>IFERROR(VLOOKUP(B178,Trigger_Assessment!$A$2:$C$1000,3,FALSE),"")</f>
        <v/>
      </c>
      <c r="G178" s="14" t="n"/>
      <c r="H178" s="14" t="n"/>
      <c r="I178" s="14" t="n"/>
      <c r="N178" s="14" t="n"/>
      <c r="P178" s="14">
        <f>IF(ISBLANK(I178),"",DATE(YEAR(I178)+1,MONTH(I178),DAY(I178)))</f>
        <v/>
      </c>
    </row>
    <row r="179">
      <c r="C179">
        <f>IFERROR(VLOOKUP(B179,Trigger_Assessment!$A$2:$B$1000,2,FALSE),"")</f>
        <v/>
      </c>
      <c r="D179">
        <f>IFERROR(VLOOKUP(B179,Trigger_Assessment!$A$2:$C$1000,3,FALSE),"")</f>
        <v/>
      </c>
      <c r="G179" s="14" t="n"/>
      <c r="H179" s="14" t="n"/>
      <c r="I179" s="14" t="n"/>
      <c r="N179" s="14" t="n"/>
      <c r="P179" s="14">
        <f>IF(ISBLANK(I179),"",DATE(YEAR(I179)+1,MONTH(I179),DAY(I179)))</f>
        <v/>
      </c>
    </row>
    <row r="180">
      <c r="C180">
        <f>IFERROR(VLOOKUP(B180,Trigger_Assessment!$A$2:$B$1000,2,FALSE),"")</f>
        <v/>
      </c>
      <c r="D180">
        <f>IFERROR(VLOOKUP(B180,Trigger_Assessment!$A$2:$C$1000,3,FALSE),"")</f>
        <v/>
      </c>
      <c r="G180" s="14" t="n"/>
      <c r="H180" s="14" t="n"/>
      <c r="I180" s="14" t="n"/>
      <c r="N180" s="14" t="n"/>
      <c r="P180" s="14">
        <f>IF(ISBLANK(I180),"",DATE(YEAR(I180)+1,MONTH(I180),DAY(I180)))</f>
        <v/>
      </c>
    </row>
    <row r="181">
      <c r="C181">
        <f>IFERROR(VLOOKUP(B181,Trigger_Assessment!$A$2:$B$1000,2,FALSE),"")</f>
        <v/>
      </c>
      <c r="D181">
        <f>IFERROR(VLOOKUP(B181,Trigger_Assessment!$A$2:$C$1000,3,FALSE),"")</f>
        <v/>
      </c>
      <c r="G181" s="14" t="n"/>
      <c r="H181" s="14" t="n"/>
      <c r="I181" s="14" t="n"/>
      <c r="N181" s="14" t="n"/>
      <c r="P181" s="14">
        <f>IF(ISBLANK(I181),"",DATE(YEAR(I181)+1,MONTH(I181),DAY(I181)))</f>
        <v/>
      </c>
    </row>
    <row r="182">
      <c r="C182">
        <f>IFERROR(VLOOKUP(B182,Trigger_Assessment!$A$2:$B$1000,2,FALSE),"")</f>
        <v/>
      </c>
      <c r="D182">
        <f>IFERROR(VLOOKUP(B182,Trigger_Assessment!$A$2:$C$1000,3,FALSE),"")</f>
        <v/>
      </c>
      <c r="G182" s="14" t="n"/>
      <c r="H182" s="14" t="n"/>
      <c r="I182" s="14" t="n"/>
      <c r="N182" s="14" t="n"/>
      <c r="P182" s="14">
        <f>IF(ISBLANK(I182),"",DATE(YEAR(I182)+1,MONTH(I182),DAY(I182)))</f>
        <v/>
      </c>
    </row>
    <row r="183">
      <c r="C183">
        <f>IFERROR(VLOOKUP(B183,Trigger_Assessment!$A$2:$B$1000,2,FALSE),"")</f>
        <v/>
      </c>
      <c r="D183">
        <f>IFERROR(VLOOKUP(B183,Trigger_Assessment!$A$2:$C$1000,3,FALSE),"")</f>
        <v/>
      </c>
      <c r="G183" s="14" t="n"/>
      <c r="H183" s="14" t="n"/>
      <c r="I183" s="14" t="n"/>
      <c r="N183" s="14" t="n"/>
      <c r="P183" s="14">
        <f>IF(ISBLANK(I183),"",DATE(YEAR(I183)+1,MONTH(I183),DAY(I183)))</f>
        <v/>
      </c>
    </row>
    <row r="184">
      <c r="C184">
        <f>IFERROR(VLOOKUP(B184,Trigger_Assessment!$A$2:$B$1000,2,FALSE),"")</f>
        <v/>
      </c>
      <c r="D184">
        <f>IFERROR(VLOOKUP(B184,Trigger_Assessment!$A$2:$C$1000,3,FALSE),"")</f>
        <v/>
      </c>
      <c r="G184" s="14" t="n"/>
      <c r="H184" s="14" t="n"/>
      <c r="I184" s="14" t="n"/>
      <c r="N184" s="14" t="n"/>
      <c r="P184" s="14">
        <f>IF(ISBLANK(I184),"",DATE(YEAR(I184)+1,MONTH(I184),DAY(I184)))</f>
        <v/>
      </c>
    </row>
    <row r="185">
      <c r="C185">
        <f>IFERROR(VLOOKUP(B185,Trigger_Assessment!$A$2:$B$1000,2,FALSE),"")</f>
        <v/>
      </c>
      <c r="D185">
        <f>IFERROR(VLOOKUP(B185,Trigger_Assessment!$A$2:$C$1000,3,FALSE),"")</f>
        <v/>
      </c>
      <c r="G185" s="14" t="n"/>
      <c r="H185" s="14" t="n"/>
      <c r="I185" s="14" t="n"/>
      <c r="N185" s="14" t="n"/>
      <c r="P185" s="14">
        <f>IF(ISBLANK(I185),"",DATE(YEAR(I185)+1,MONTH(I185),DAY(I185)))</f>
        <v/>
      </c>
    </row>
    <row r="186">
      <c r="C186">
        <f>IFERROR(VLOOKUP(B186,Trigger_Assessment!$A$2:$B$1000,2,FALSE),"")</f>
        <v/>
      </c>
      <c r="D186">
        <f>IFERROR(VLOOKUP(B186,Trigger_Assessment!$A$2:$C$1000,3,FALSE),"")</f>
        <v/>
      </c>
      <c r="G186" s="14" t="n"/>
      <c r="H186" s="14" t="n"/>
      <c r="I186" s="14" t="n"/>
      <c r="N186" s="14" t="n"/>
      <c r="P186" s="14">
        <f>IF(ISBLANK(I186),"",DATE(YEAR(I186)+1,MONTH(I186),DAY(I186)))</f>
        <v/>
      </c>
    </row>
    <row r="187">
      <c r="C187">
        <f>IFERROR(VLOOKUP(B187,Trigger_Assessment!$A$2:$B$1000,2,FALSE),"")</f>
        <v/>
      </c>
      <c r="D187">
        <f>IFERROR(VLOOKUP(B187,Trigger_Assessment!$A$2:$C$1000,3,FALSE),"")</f>
        <v/>
      </c>
      <c r="G187" s="14" t="n"/>
      <c r="H187" s="14" t="n"/>
      <c r="I187" s="14" t="n"/>
      <c r="N187" s="14" t="n"/>
      <c r="P187" s="14">
        <f>IF(ISBLANK(I187),"",DATE(YEAR(I187)+1,MONTH(I187),DAY(I187)))</f>
        <v/>
      </c>
    </row>
    <row r="188">
      <c r="C188">
        <f>IFERROR(VLOOKUP(B188,Trigger_Assessment!$A$2:$B$1000,2,FALSE),"")</f>
        <v/>
      </c>
      <c r="D188">
        <f>IFERROR(VLOOKUP(B188,Trigger_Assessment!$A$2:$C$1000,3,FALSE),"")</f>
        <v/>
      </c>
      <c r="G188" s="14" t="n"/>
      <c r="H188" s="14" t="n"/>
      <c r="I188" s="14" t="n"/>
      <c r="N188" s="14" t="n"/>
      <c r="P188" s="14">
        <f>IF(ISBLANK(I188),"",DATE(YEAR(I188)+1,MONTH(I188),DAY(I188)))</f>
        <v/>
      </c>
    </row>
    <row r="189">
      <c r="C189">
        <f>IFERROR(VLOOKUP(B189,Trigger_Assessment!$A$2:$B$1000,2,FALSE),"")</f>
        <v/>
      </c>
      <c r="D189">
        <f>IFERROR(VLOOKUP(B189,Trigger_Assessment!$A$2:$C$1000,3,FALSE),"")</f>
        <v/>
      </c>
      <c r="G189" s="14" t="n"/>
      <c r="H189" s="14" t="n"/>
      <c r="I189" s="14" t="n"/>
      <c r="N189" s="14" t="n"/>
      <c r="P189" s="14">
        <f>IF(ISBLANK(I189),"",DATE(YEAR(I189)+1,MONTH(I189),DAY(I189)))</f>
        <v/>
      </c>
    </row>
    <row r="190">
      <c r="C190">
        <f>IFERROR(VLOOKUP(B190,Trigger_Assessment!$A$2:$B$1000,2,FALSE),"")</f>
        <v/>
      </c>
      <c r="D190">
        <f>IFERROR(VLOOKUP(B190,Trigger_Assessment!$A$2:$C$1000,3,FALSE),"")</f>
        <v/>
      </c>
      <c r="G190" s="14" t="n"/>
      <c r="H190" s="14" t="n"/>
      <c r="I190" s="14" t="n"/>
      <c r="N190" s="14" t="n"/>
      <c r="P190" s="14">
        <f>IF(ISBLANK(I190),"",DATE(YEAR(I190)+1,MONTH(I190),DAY(I190)))</f>
        <v/>
      </c>
    </row>
    <row r="191">
      <c r="C191">
        <f>IFERROR(VLOOKUP(B191,Trigger_Assessment!$A$2:$B$1000,2,FALSE),"")</f>
        <v/>
      </c>
      <c r="D191">
        <f>IFERROR(VLOOKUP(B191,Trigger_Assessment!$A$2:$C$1000,3,FALSE),"")</f>
        <v/>
      </c>
      <c r="G191" s="14" t="n"/>
      <c r="H191" s="14" t="n"/>
      <c r="I191" s="14" t="n"/>
      <c r="N191" s="14" t="n"/>
      <c r="P191" s="14">
        <f>IF(ISBLANK(I191),"",DATE(YEAR(I191)+1,MONTH(I191),DAY(I191)))</f>
        <v/>
      </c>
    </row>
    <row r="192">
      <c r="C192">
        <f>IFERROR(VLOOKUP(B192,Trigger_Assessment!$A$2:$B$1000,2,FALSE),"")</f>
        <v/>
      </c>
      <c r="D192">
        <f>IFERROR(VLOOKUP(B192,Trigger_Assessment!$A$2:$C$1000,3,FALSE),"")</f>
        <v/>
      </c>
      <c r="G192" s="14" t="n"/>
      <c r="H192" s="14" t="n"/>
      <c r="I192" s="14" t="n"/>
      <c r="N192" s="14" t="n"/>
      <c r="P192" s="14">
        <f>IF(ISBLANK(I192),"",DATE(YEAR(I192)+1,MONTH(I192),DAY(I192)))</f>
        <v/>
      </c>
    </row>
    <row r="193">
      <c r="C193">
        <f>IFERROR(VLOOKUP(B193,Trigger_Assessment!$A$2:$B$1000,2,FALSE),"")</f>
        <v/>
      </c>
      <c r="D193">
        <f>IFERROR(VLOOKUP(B193,Trigger_Assessment!$A$2:$C$1000,3,FALSE),"")</f>
        <v/>
      </c>
      <c r="G193" s="14" t="n"/>
      <c r="H193" s="14" t="n"/>
      <c r="I193" s="14" t="n"/>
      <c r="N193" s="14" t="n"/>
      <c r="P193" s="14">
        <f>IF(ISBLANK(I193),"",DATE(YEAR(I193)+1,MONTH(I193),DAY(I193)))</f>
        <v/>
      </c>
    </row>
    <row r="194">
      <c r="C194">
        <f>IFERROR(VLOOKUP(B194,Trigger_Assessment!$A$2:$B$1000,2,FALSE),"")</f>
        <v/>
      </c>
      <c r="D194">
        <f>IFERROR(VLOOKUP(B194,Trigger_Assessment!$A$2:$C$1000,3,FALSE),"")</f>
        <v/>
      </c>
      <c r="G194" s="14" t="n"/>
      <c r="H194" s="14" t="n"/>
      <c r="I194" s="14" t="n"/>
      <c r="N194" s="14" t="n"/>
      <c r="P194" s="14">
        <f>IF(ISBLANK(I194),"",DATE(YEAR(I194)+1,MONTH(I194),DAY(I194)))</f>
        <v/>
      </c>
    </row>
    <row r="195">
      <c r="C195">
        <f>IFERROR(VLOOKUP(B195,Trigger_Assessment!$A$2:$B$1000,2,FALSE),"")</f>
        <v/>
      </c>
      <c r="D195">
        <f>IFERROR(VLOOKUP(B195,Trigger_Assessment!$A$2:$C$1000,3,FALSE),"")</f>
        <v/>
      </c>
      <c r="G195" s="14" t="n"/>
      <c r="H195" s="14" t="n"/>
      <c r="I195" s="14" t="n"/>
      <c r="N195" s="14" t="n"/>
      <c r="P195" s="14">
        <f>IF(ISBLANK(I195),"",DATE(YEAR(I195)+1,MONTH(I195),DAY(I195)))</f>
        <v/>
      </c>
    </row>
    <row r="196">
      <c r="C196">
        <f>IFERROR(VLOOKUP(B196,Trigger_Assessment!$A$2:$B$1000,2,FALSE),"")</f>
        <v/>
      </c>
      <c r="D196">
        <f>IFERROR(VLOOKUP(B196,Trigger_Assessment!$A$2:$C$1000,3,FALSE),"")</f>
        <v/>
      </c>
      <c r="G196" s="14" t="n"/>
      <c r="H196" s="14" t="n"/>
      <c r="I196" s="14" t="n"/>
      <c r="N196" s="14" t="n"/>
      <c r="P196" s="14">
        <f>IF(ISBLANK(I196),"",DATE(YEAR(I196)+1,MONTH(I196),DAY(I196)))</f>
        <v/>
      </c>
    </row>
    <row r="197">
      <c r="C197">
        <f>IFERROR(VLOOKUP(B197,Trigger_Assessment!$A$2:$B$1000,2,FALSE),"")</f>
        <v/>
      </c>
      <c r="D197">
        <f>IFERROR(VLOOKUP(B197,Trigger_Assessment!$A$2:$C$1000,3,FALSE),"")</f>
        <v/>
      </c>
      <c r="G197" s="14" t="n"/>
      <c r="H197" s="14" t="n"/>
      <c r="I197" s="14" t="n"/>
      <c r="N197" s="14" t="n"/>
      <c r="P197" s="14">
        <f>IF(ISBLANK(I197),"",DATE(YEAR(I197)+1,MONTH(I197),DAY(I197)))</f>
        <v/>
      </c>
    </row>
    <row r="198">
      <c r="C198">
        <f>IFERROR(VLOOKUP(B198,Trigger_Assessment!$A$2:$B$1000,2,FALSE),"")</f>
        <v/>
      </c>
      <c r="D198">
        <f>IFERROR(VLOOKUP(B198,Trigger_Assessment!$A$2:$C$1000,3,FALSE),"")</f>
        <v/>
      </c>
      <c r="G198" s="14" t="n"/>
      <c r="H198" s="14" t="n"/>
      <c r="I198" s="14" t="n"/>
      <c r="N198" s="14" t="n"/>
      <c r="P198" s="14">
        <f>IF(ISBLANK(I198),"",DATE(YEAR(I198)+1,MONTH(I198),DAY(I198)))</f>
        <v/>
      </c>
    </row>
    <row r="199">
      <c r="C199">
        <f>IFERROR(VLOOKUP(B199,Trigger_Assessment!$A$2:$B$1000,2,FALSE),"")</f>
        <v/>
      </c>
      <c r="D199">
        <f>IFERROR(VLOOKUP(B199,Trigger_Assessment!$A$2:$C$1000,3,FALSE),"")</f>
        <v/>
      </c>
      <c r="G199" s="14" t="n"/>
      <c r="H199" s="14" t="n"/>
      <c r="I199" s="14" t="n"/>
      <c r="N199" s="14" t="n"/>
      <c r="P199" s="14">
        <f>IF(ISBLANK(I199),"",DATE(YEAR(I199)+1,MONTH(I199),DAY(I199)))</f>
        <v/>
      </c>
    </row>
    <row r="200">
      <c r="C200">
        <f>IFERROR(VLOOKUP(B200,Trigger_Assessment!$A$2:$B$1000,2,FALSE),"")</f>
        <v/>
      </c>
      <c r="D200">
        <f>IFERROR(VLOOKUP(B200,Trigger_Assessment!$A$2:$C$1000,3,FALSE),"")</f>
        <v/>
      </c>
      <c r="G200" s="14" t="n"/>
      <c r="H200" s="14" t="n"/>
      <c r="I200" s="14" t="n"/>
      <c r="N200" s="14" t="n"/>
      <c r="P200" s="14">
        <f>IF(ISBLANK(I200),"",DATE(YEAR(I200)+1,MONTH(I200),DAY(I200)))</f>
        <v/>
      </c>
    </row>
    <row r="201">
      <c r="C201">
        <f>IFERROR(VLOOKUP(B201,Trigger_Assessment!$A$2:$B$1000,2,FALSE),"")</f>
        <v/>
      </c>
      <c r="D201">
        <f>IFERROR(VLOOKUP(B201,Trigger_Assessment!$A$2:$C$1000,3,FALSE),"")</f>
        <v/>
      </c>
      <c r="G201" s="14" t="n"/>
      <c r="H201" s="14" t="n"/>
      <c r="I201" s="14" t="n"/>
      <c r="N201" s="14" t="n"/>
      <c r="P201" s="14">
        <f>IF(ISBLANK(I201),"",DATE(YEAR(I201)+1,MONTH(I201),DAY(I201)))</f>
        <v/>
      </c>
    </row>
    <row r="202">
      <c r="C202">
        <f>IFERROR(VLOOKUP(B202,Trigger_Assessment!$A$2:$B$1000,2,FALSE),"")</f>
        <v/>
      </c>
      <c r="D202">
        <f>IFERROR(VLOOKUP(B202,Trigger_Assessment!$A$2:$C$1000,3,FALSE),"")</f>
        <v/>
      </c>
      <c r="G202" s="14" t="n"/>
      <c r="H202" s="14" t="n"/>
      <c r="I202" s="14" t="n"/>
      <c r="N202" s="14" t="n"/>
      <c r="P202" s="14">
        <f>IF(ISBLANK(I202),"",DATE(YEAR(I202)+1,MONTH(I202),DAY(I202)))</f>
        <v/>
      </c>
    </row>
    <row r="203">
      <c r="C203">
        <f>IFERROR(VLOOKUP(B203,Trigger_Assessment!$A$2:$B$1000,2,FALSE),"")</f>
        <v/>
      </c>
      <c r="D203">
        <f>IFERROR(VLOOKUP(B203,Trigger_Assessment!$A$2:$C$1000,3,FALSE),"")</f>
        <v/>
      </c>
      <c r="G203" s="14" t="n"/>
      <c r="H203" s="14" t="n"/>
      <c r="I203" s="14" t="n"/>
      <c r="N203" s="14" t="n"/>
      <c r="P203" s="14">
        <f>IF(ISBLANK(I203),"",DATE(YEAR(I203)+1,MONTH(I203),DAY(I203)))</f>
        <v/>
      </c>
    </row>
    <row r="204">
      <c r="C204">
        <f>IFERROR(VLOOKUP(B204,Trigger_Assessment!$A$2:$B$1000,2,FALSE),"")</f>
        <v/>
      </c>
      <c r="D204">
        <f>IFERROR(VLOOKUP(B204,Trigger_Assessment!$A$2:$C$1000,3,FALSE),"")</f>
        <v/>
      </c>
      <c r="G204" s="14" t="n"/>
      <c r="H204" s="14" t="n"/>
      <c r="I204" s="14" t="n"/>
      <c r="N204" s="14" t="n"/>
      <c r="P204" s="14">
        <f>IF(ISBLANK(I204),"",DATE(YEAR(I204)+1,MONTH(I204),DAY(I204)))</f>
        <v/>
      </c>
    </row>
    <row r="205">
      <c r="C205">
        <f>IFERROR(VLOOKUP(B205,Trigger_Assessment!$A$2:$B$1000,2,FALSE),"")</f>
        <v/>
      </c>
      <c r="D205">
        <f>IFERROR(VLOOKUP(B205,Trigger_Assessment!$A$2:$C$1000,3,FALSE),"")</f>
        <v/>
      </c>
      <c r="G205" s="14" t="n"/>
      <c r="H205" s="14" t="n"/>
      <c r="I205" s="14" t="n"/>
      <c r="N205" s="14" t="n"/>
      <c r="P205" s="14">
        <f>IF(ISBLANK(I205),"",DATE(YEAR(I205)+1,MONTH(I205),DAY(I205)))</f>
        <v/>
      </c>
    </row>
    <row r="206">
      <c r="C206">
        <f>IFERROR(VLOOKUP(B206,Trigger_Assessment!$A$2:$B$1000,2,FALSE),"")</f>
        <v/>
      </c>
      <c r="D206">
        <f>IFERROR(VLOOKUP(B206,Trigger_Assessment!$A$2:$C$1000,3,FALSE),"")</f>
        <v/>
      </c>
      <c r="G206" s="14" t="n"/>
      <c r="H206" s="14" t="n"/>
      <c r="I206" s="14" t="n"/>
      <c r="N206" s="14" t="n"/>
      <c r="P206" s="14">
        <f>IF(ISBLANK(I206),"",DATE(YEAR(I206)+1,MONTH(I206),DAY(I206)))</f>
        <v/>
      </c>
    </row>
    <row r="207">
      <c r="C207">
        <f>IFERROR(VLOOKUP(B207,Trigger_Assessment!$A$2:$B$1000,2,FALSE),"")</f>
        <v/>
      </c>
      <c r="D207">
        <f>IFERROR(VLOOKUP(B207,Trigger_Assessment!$A$2:$C$1000,3,FALSE),"")</f>
        <v/>
      </c>
      <c r="G207" s="14" t="n"/>
      <c r="H207" s="14" t="n"/>
      <c r="I207" s="14" t="n"/>
      <c r="N207" s="14" t="n"/>
      <c r="P207" s="14">
        <f>IF(ISBLANK(I207),"",DATE(YEAR(I207)+1,MONTH(I207),DAY(I207)))</f>
        <v/>
      </c>
    </row>
    <row r="208">
      <c r="C208">
        <f>IFERROR(VLOOKUP(B208,Trigger_Assessment!$A$2:$B$1000,2,FALSE),"")</f>
        <v/>
      </c>
      <c r="D208">
        <f>IFERROR(VLOOKUP(B208,Trigger_Assessment!$A$2:$C$1000,3,FALSE),"")</f>
        <v/>
      </c>
      <c r="G208" s="14" t="n"/>
      <c r="H208" s="14" t="n"/>
      <c r="I208" s="14" t="n"/>
      <c r="N208" s="14" t="n"/>
      <c r="P208" s="14">
        <f>IF(ISBLANK(I208),"",DATE(YEAR(I208)+1,MONTH(I208),DAY(I208)))</f>
        <v/>
      </c>
    </row>
    <row r="209">
      <c r="C209">
        <f>IFERROR(VLOOKUP(B209,Trigger_Assessment!$A$2:$B$1000,2,FALSE),"")</f>
        <v/>
      </c>
      <c r="D209">
        <f>IFERROR(VLOOKUP(B209,Trigger_Assessment!$A$2:$C$1000,3,FALSE),"")</f>
        <v/>
      </c>
      <c r="G209" s="14" t="n"/>
      <c r="H209" s="14" t="n"/>
      <c r="I209" s="14" t="n"/>
      <c r="N209" s="14" t="n"/>
      <c r="P209" s="14">
        <f>IF(ISBLANK(I209),"",DATE(YEAR(I209)+1,MONTH(I209),DAY(I209)))</f>
        <v/>
      </c>
    </row>
    <row r="210">
      <c r="C210">
        <f>IFERROR(VLOOKUP(B210,Trigger_Assessment!$A$2:$B$1000,2,FALSE),"")</f>
        <v/>
      </c>
      <c r="D210">
        <f>IFERROR(VLOOKUP(B210,Trigger_Assessment!$A$2:$C$1000,3,FALSE),"")</f>
        <v/>
      </c>
      <c r="G210" s="14" t="n"/>
      <c r="H210" s="14" t="n"/>
      <c r="I210" s="14" t="n"/>
      <c r="N210" s="14" t="n"/>
      <c r="P210" s="14">
        <f>IF(ISBLANK(I210),"",DATE(YEAR(I210)+1,MONTH(I210),DAY(I210)))</f>
        <v/>
      </c>
    </row>
    <row r="211">
      <c r="C211">
        <f>IFERROR(VLOOKUP(B211,Trigger_Assessment!$A$2:$B$1000,2,FALSE),"")</f>
        <v/>
      </c>
      <c r="D211">
        <f>IFERROR(VLOOKUP(B211,Trigger_Assessment!$A$2:$C$1000,3,FALSE),"")</f>
        <v/>
      </c>
      <c r="G211" s="14" t="n"/>
      <c r="H211" s="14" t="n"/>
      <c r="I211" s="14" t="n"/>
      <c r="N211" s="14" t="n"/>
      <c r="P211" s="14">
        <f>IF(ISBLANK(I211),"",DATE(YEAR(I211)+1,MONTH(I211),DAY(I211)))</f>
        <v/>
      </c>
    </row>
    <row r="212">
      <c r="C212">
        <f>IFERROR(VLOOKUP(B212,Trigger_Assessment!$A$2:$B$1000,2,FALSE),"")</f>
        <v/>
      </c>
      <c r="D212">
        <f>IFERROR(VLOOKUP(B212,Trigger_Assessment!$A$2:$C$1000,3,FALSE),"")</f>
        <v/>
      </c>
      <c r="G212" s="14" t="n"/>
      <c r="H212" s="14" t="n"/>
      <c r="I212" s="14" t="n"/>
      <c r="N212" s="14" t="n"/>
      <c r="P212" s="14">
        <f>IF(ISBLANK(I212),"",DATE(YEAR(I212)+1,MONTH(I212),DAY(I212)))</f>
        <v/>
      </c>
    </row>
    <row r="213">
      <c r="C213">
        <f>IFERROR(VLOOKUP(B213,Trigger_Assessment!$A$2:$B$1000,2,FALSE),"")</f>
        <v/>
      </c>
      <c r="D213">
        <f>IFERROR(VLOOKUP(B213,Trigger_Assessment!$A$2:$C$1000,3,FALSE),"")</f>
        <v/>
      </c>
      <c r="G213" s="14" t="n"/>
      <c r="H213" s="14" t="n"/>
      <c r="I213" s="14" t="n"/>
      <c r="N213" s="14" t="n"/>
      <c r="P213" s="14">
        <f>IF(ISBLANK(I213),"",DATE(YEAR(I213)+1,MONTH(I213),DAY(I213)))</f>
        <v/>
      </c>
    </row>
    <row r="214">
      <c r="C214">
        <f>IFERROR(VLOOKUP(B214,Trigger_Assessment!$A$2:$B$1000,2,FALSE),"")</f>
        <v/>
      </c>
      <c r="D214">
        <f>IFERROR(VLOOKUP(B214,Trigger_Assessment!$A$2:$C$1000,3,FALSE),"")</f>
        <v/>
      </c>
      <c r="G214" s="14" t="n"/>
      <c r="H214" s="14" t="n"/>
      <c r="I214" s="14" t="n"/>
      <c r="N214" s="14" t="n"/>
      <c r="P214" s="14">
        <f>IF(ISBLANK(I214),"",DATE(YEAR(I214)+1,MONTH(I214),DAY(I214)))</f>
        <v/>
      </c>
    </row>
    <row r="215">
      <c r="C215">
        <f>IFERROR(VLOOKUP(B215,Trigger_Assessment!$A$2:$B$1000,2,FALSE),"")</f>
        <v/>
      </c>
      <c r="D215">
        <f>IFERROR(VLOOKUP(B215,Trigger_Assessment!$A$2:$C$1000,3,FALSE),"")</f>
        <v/>
      </c>
      <c r="G215" s="14" t="n"/>
      <c r="H215" s="14" t="n"/>
      <c r="I215" s="14" t="n"/>
      <c r="N215" s="14" t="n"/>
      <c r="P215" s="14">
        <f>IF(ISBLANK(I215),"",DATE(YEAR(I215)+1,MONTH(I215),DAY(I215)))</f>
        <v/>
      </c>
    </row>
    <row r="216">
      <c r="C216">
        <f>IFERROR(VLOOKUP(B216,Trigger_Assessment!$A$2:$B$1000,2,FALSE),"")</f>
        <v/>
      </c>
      <c r="D216">
        <f>IFERROR(VLOOKUP(B216,Trigger_Assessment!$A$2:$C$1000,3,FALSE),"")</f>
        <v/>
      </c>
      <c r="G216" s="14" t="n"/>
      <c r="H216" s="14" t="n"/>
      <c r="I216" s="14" t="n"/>
      <c r="N216" s="14" t="n"/>
      <c r="P216" s="14">
        <f>IF(ISBLANK(I216),"",DATE(YEAR(I216)+1,MONTH(I216),DAY(I216)))</f>
        <v/>
      </c>
    </row>
    <row r="217">
      <c r="C217">
        <f>IFERROR(VLOOKUP(B217,Trigger_Assessment!$A$2:$B$1000,2,FALSE),"")</f>
        <v/>
      </c>
      <c r="D217">
        <f>IFERROR(VLOOKUP(B217,Trigger_Assessment!$A$2:$C$1000,3,FALSE),"")</f>
        <v/>
      </c>
      <c r="G217" s="14" t="n"/>
      <c r="H217" s="14" t="n"/>
      <c r="I217" s="14" t="n"/>
      <c r="N217" s="14" t="n"/>
      <c r="P217" s="14">
        <f>IF(ISBLANK(I217),"",DATE(YEAR(I217)+1,MONTH(I217),DAY(I217)))</f>
        <v/>
      </c>
    </row>
    <row r="218">
      <c r="C218">
        <f>IFERROR(VLOOKUP(B218,Trigger_Assessment!$A$2:$B$1000,2,FALSE),"")</f>
        <v/>
      </c>
      <c r="D218">
        <f>IFERROR(VLOOKUP(B218,Trigger_Assessment!$A$2:$C$1000,3,FALSE),"")</f>
        <v/>
      </c>
      <c r="G218" s="14" t="n"/>
      <c r="H218" s="14" t="n"/>
      <c r="I218" s="14" t="n"/>
      <c r="N218" s="14" t="n"/>
      <c r="P218" s="14">
        <f>IF(ISBLANK(I218),"",DATE(YEAR(I218)+1,MONTH(I218),DAY(I218)))</f>
        <v/>
      </c>
    </row>
    <row r="219">
      <c r="C219">
        <f>IFERROR(VLOOKUP(B219,Trigger_Assessment!$A$2:$B$1000,2,FALSE),"")</f>
        <v/>
      </c>
      <c r="D219">
        <f>IFERROR(VLOOKUP(B219,Trigger_Assessment!$A$2:$C$1000,3,FALSE),"")</f>
        <v/>
      </c>
      <c r="G219" s="14" t="n"/>
      <c r="H219" s="14" t="n"/>
      <c r="I219" s="14" t="n"/>
      <c r="N219" s="14" t="n"/>
      <c r="P219" s="14">
        <f>IF(ISBLANK(I219),"",DATE(YEAR(I219)+1,MONTH(I219),DAY(I219)))</f>
        <v/>
      </c>
    </row>
    <row r="220">
      <c r="C220">
        <f>IFERROR(VLOOKUP(B220,Trigger_Assessment!$A$2:$B$1000,2,FALSE),"")</f>
        <v/>
      </c>
      <c r="D220">
        <f>IFERROR(VLOOKUP(B220,Trigger_Assessment!$A$2:$C$1000,3,FALSE),"")</f>
        <v/>
      </c>
      <c r="G220" s="14" t="n"/>
      <c r="H220" s="14" t="n"/>
      <c r="I220" s="14" t="n"/>
      <c r="N220" s="14" t="n"/>
      <c r="P220" s="14">
        <f>IF(ISBLANK(I220),"",DATE(YEAR(I220)+1,MONTH(I220),DAY(I220)))</f>
        <v/>
      </c>
    </row>
    <row r="221">
      <c r="C221">
        <f>IFERROR(VLOOKUP(B221,Trigger_Assessment!$A$2:$B$1000,2,FALSE),"")</f>
        <v/>
      </c>
      <c r="D221">
        <f>IFERROR(VLOOKUP(B221,Trigger_Assessment!$A$2:$C$1000,3,FALSE),"")</f>
        <v/>
      </c>
      <c r="G221" s="14" t="n"/>
      <c r="H221" s="14" t="n"/>
      <c r="I221" s="14" t="n"/>
      <c r="N221" s="14" t="n"/>
      <c r="P221" s="14">
        <f>IF(ISBLANK(I221),"",DATE(YEAR(I221)+1,MONTH(I221),DAY(I221)))</f>
        <v/>
      </c>
    </row>
    <row r="222">
      <c r="C222">
        <f>IFERROR(VLOOKUP(B222,Trigger_Assessment!$A$2:$B$1000,2,FALSE),"")</f>
        <v/>
      </c>
      <c r="D222">
        <f>IFERROR(VLOOKUP(B222,Trigger_Assessment!$A$2:$C$1000,3,FALSE),"")</f>
        <v/>
      </c>
      <c r="G222" s="14" t="n"/>
      <c r="H222" s="14" t="n"/>
      <c r="I222" s="14" t="n"/>
      <c r="N222" s="14" t="n"/>
      <c r="P222" s="14">
        <f>IF(ISBLANK(I222),"",DATE(YEAR(I222)+1,MONTH(I222),DAY(I222)))</f>
        <v/>
      </c>
    </row>
    <row r="223">
      <c r="C223">
        <f>IFERROR(VLOOKUP(B223,Trigger_Assessment!$A$2:$B$1000,2,FALSE),"")</f>
        <v/>
      </c>
      <c r="D223">
        <f>IFERROR(VLOOKUP(B223,Trigger_Assessment!$A$2:$C$1000,3,FALSE),"")</f>
        <v/>
      </c>
      <c r="G223" s="14" t="n"/>
      <c r="H223" s="14" t="n"/>
      <c r="I223" s="14" t="n"/>
      <c r="N223" s="14" t="n"/>
      <c r="P223" s="14">
        <f>IF(ISBLANK(I223),"",DATE(YEAR(I223)+1,MONTH(I223),DAY(I223)))</f>
        <v/>
      </c>
    </row>
    <row r="224">
      <c r="C224">
        <f>IFERROR(VLOOKUP(B224,Trigger_Assessment!$A$2:$B$1000,2,FALSE),"")</f>
        <v/>
      </c>
      <c r="D224">
        <f>IFERROR(VLOOKUP(B224,Trigger_Assessment!$A$2:$C$1000,3,FALSE),"")</f>
        <v/>
      </c>
      <c r="G224" s="14" t="n"/>
      <c r="H224" s="14" t="n"/>
      <c r="I224" s="14" t="n"/>
      <c r="N224" s="14" t="n"/>
      <c r="P224" s="14">
        <f>IF(ISBLANK(I224),"",DATE(YEAR(I224)+1,MONTH(I224),DAY(I224)))</f>
        <v/>
      </c>
    </row>
    <row r="225">
      <c r="C225">
        <f>IFERROR(VLOOKUP(B225,Trigger_Assessment!$A$2:$B$1000,2,FALSE),"")</f>
        <v/>
      </c>
      <c r="D225">
        <f>IFERROR(VLOOKUP(B225,Trigger_Assessment!$A$2:$C$1000,3,FALSE),"")</f>
        <v/>
      </c>
      <c r="G225" s="14" t="n"/>
      <c r="H225" s="14" t="n"/>
      <c r="I225" s="14" t="n"/>
      <c r="N225" s="14" t="n"/>
      <c r="P225" s="14">
        <f>IF(ISBLANK(I225),"",DATE(YEAR(I225)+1,MONTH(I225),DAY(I225)))</f>
        <v/>
      </c>
    </row>
    <row r="226">
      <c r="C226">
        <f>IFERROR(VLOOKUP(B226,Trigger_Assessment!$A$2:$B$1000,2,FALSE),"")</f>
        <v/>
      </c>
      <c r="D226">
        <f>IFERROR(VLOOKUP(B226,Trigger_Assessment!$A$2:$C$1000,3,FALSE),"")</f>
        <v/>
      </c>
      <c r="G226" s="14" t="n"/>
      <c r="H226" s="14" t="n"/>
      <c r="I226" s="14" t="n"/>
      <c r="N226" s="14" t="n"/>
      <c r="P226" s="14">
        <f>IF(ISBLANK(I226),"",DATE(YEAR(I226)+1,MONTH(I226),DAY(I226)))</f>
        <v/>
      </c>
    </row>
    <row r="227">
      <c r="C227">
        <f>IFERROR(VLOOKUP(B227,Trigger_Assessment!$A$2:$B$1000,2,FALSE),"")</f>
        <v/>
      </c>
      <c r="D227">
        <f>IFERROR(VLOOKUP(B227,Trigger_Assessment!$A$2:$C$1000,3,FALSE),"")</f>
        <v/>
      </c>
      <c r="G227" s="14" t="n"/>
      <c r="H227" s="14" t="n"/>
      <c r="I227" s="14" t="n"/>
      <c r="N227" s="14" t="n"/>
      <c r="P227" s="14">
        <f>IF(ISBLANK(I227),"",DATE(YEAR(I227)+1,MONTH(I227),DAY(I227)))</f>
        <v/>
      </c>
    </row>
    <row r="228">
      <c r="C228">
        <f>IFERROR(VLOOKUP(B228,Trigger_Assessment!$A$2:$B$1000,2,FALSE),"")</f>
        <v/>
      </c>
      <c r="D228">
        <f>IFERROR(VLOOKUP(B228,Trigger_Assessment!$A$2:$C$1000,3,FALSE),"")</f>
        <v/>
      </c>
      <c r="G228" s="14" t="n"/>
      <c r="H228" s="14" t="n"/>
      <c r="I228" s="14" t="n"/>
      <c r="N228" s="14" t="n"/>
      <c r="P228" s="14">
        <f>IF(ISBLANK(I228),"",DATE(YEAR(I228)+1,MONTH(I228),DAY(I228)))</f>
        <v/>
      </c>
    </row>
    <row r="229">
      <c r="C229">
        <f>IFERROR(VLOOKUP(B229,Trigger_Assessment!$A$2:$B$1000,2,FALSE),"")</f>
        <v/>
      </c>
      <c r="D229">
        <f>IFERROR(VLOOKUP(B229,Trigger_Assessment!$A$2:$C$1000,3,FALSE),"")</f>
        <v/>
      </c>
      <c r="G229" s="14" t="n"/>
      <c r="H229" s="14" t="n"/>
      <c r="I229" s="14" t="n"/>
      <c r="N229" s="14" t="n"/>
      <c r="P229" s="14">
        <f>IF(ISBLANK(I229),"",DATE(YEAR(I229)+1,MONTH(I229),DAY(I229)))</f>
        <v/>
      </c>
    </row>
    <row r="230">
      <c r="C230">
        <f>IFERROR(VLOOKUP(B230,Trigger_Assessment!$A$2:$B$1000,2,FALSE),"")</f>
        <v/>
      </c>
      <c r="D230">
        <f>IFERROR(VLOOKUP(B230,Trigger_Assessment!$A$2:$C$1000,3,FALSE),"")</f>
        <v/>
      </c>
      <c r="G230" s="14" t="n"/>
      <c r="H230" s="14" t="n"/>
      <c r="I230" s="14" t="n"/>
      <c r="N230" s="14" t="n"/>
      <c r="P230" s="14">
        <f>IF(ISBLANK(I230),"",DATE(YEAR(I230)+1,MONTH(I230),DAY(I230)))</f>
        <v/>
      </c>
    </row>
    <row r="231">
      <c r="C231">
        <f>IFERROR(VLOOKUP(B231,Trigger_Assessment!$A$2:$B$1000,2,FALSE),"")</f>
        <v/>
      </c>
      <c r="D231">
        <f>IFERROR(VLOOKUP(B231,Trigger_Assessment!$A$2:$C$1000,3,FALSE),"")</f>
        <v/>
      </c>
      <c r="G231" s="14" t="n"/>
      <c r="H231" s="14" t="n"/>
      <c r="I231" s="14" t="n"/>
      <c r="N231" s="14" t="n"/>
      <c r="P231" s="14">
        <f>IF(ISBLANK(I231),"",DATE(YEAR(I231)+1,MONTH(I231),DAY(I231)))</f>
        <v/>
      </c>
    </row>
    <row r="232">
      <c r="C232">
        <f>IFERROR(VLOOKUP(B232,Trigger_Assessment!$A$2:$B$1000,2,FALSE),"")</f>
        <v/>
      </c>
      <c r="D232">
        <f>IFERROR(VLOOKUP(B232,Trigger_Assessment!$A$2:$C$1000,3,FALSE),"")</f>
        <v/>
      </c>
      <c r="G232" s="14" t="n"/>
      <c r="H232" s="14" t="n"/>
      <c r="I232" s="14" t="n"/>
      <c r="N232" s="14" t="n"/>
      <c r="P232" s="14">
        <f>IF(ISBLANK(I232),"",DATE(YEAR(I232)+1,MONTH(I232),DAY(I232)))</f>
        <v/>
      </c>
    </row>
    <row r="233">
      <c r="C233">
        <f>IFERROR(VLOOKUP(B233,Trigger_Assessment!$A$2:$B$1000,2,FALSE),"")</f>
        <v/>
      </c>
      <c r="D233">
        <f>IFERROR(VLOOKUP(B233,Trigger_Assessment!$A$2:$C$1000,3,FALSE),"")</f>
        <v/>
      </c>
      <c r="G233" s="14" t="n"/>
      <c r="H233" s="14" t="n"/>
      <c r="I233" s="14" t="n"/>
      <c r="N233" s="14" t="n"/>
      <c r="P233" s="14">
        <f>IF(ISBLANK(I233),"",DATE(YEAR(I233)+1,MONTH(I233),DAY(I233)))</f>
        <v/>
      </c>
    </row>
    <row r="234">
      <c r="C234">
        <f>IFERROR(VLOOKUP(B234,Trigger_Assessment!$A$2:$B$1000,2,FALSE),"")</f>
        <v/>
      </c>
      <c r="D234">
        <f>IFERROR(VLOOKUP(B234,Trigger_Assessment!$A$2:$C$1000,3,FALSE),"")</f>
        <v/>
      </c>
      <c r="G234" s="14" t="n"/>
      <c r="H234" s="14" t="n"/>
      <c r="I234" s="14" t="n"/>
      <c r="N234" s="14" t="n"/>
      <c r="P234" s="14">
        <f>IF(ISBLANK(I234),"",DATE(YEAR(I234)+1,MONTH(I234),DAY(I234)))</f>
        <v/>
      </c>
    </row>
    <row r="235">
      <c r="C235">
        <f>IFERROR(VLOOKUP(B235,Trigger_Assessment!$A$2:$B$1000,2,FALSE),"")</f>
        <v/>
      </c>
      <c r="D235">
        <f>IFERROR(VLOOKUP(B235,Trigger_Assessment!$A$2:$C$1000,3,FALSE),"")</f>
        <v/>
      </c>
      <c r="G235" s="14" t="n"/>
      <c r="H235" s="14" t="n"/>
      <c r="I235" s="14" t="n"/>
      <c r="N235" s="14" t="n"/>
      <c r="P235" s="14">
        <f>IF(ISBLANK(I235),"",DATE(YEAR(I235)+1,MONTH(I235),DAY(I235)))</f>
        <v/>
      </c>
    </row>
    <row r="236">
      <c r="C236">
        <f>IFERROR(VLOOKUP(B236,Trigger_Assessment!$A$2:$B$1000,2,FALSE),"")</f>
        <v/>
      </c>
      <c r="D236">
        <f>IFERROR(VLOOKUP(B236,Trigger_Assessment!$A$2:$C$1000,3,FALSE),"")</f>
        <v/>
      </c>
      <c r="G236" s="14" t="n"/>
      <c r="H236" s="14" t="n"/>
      <c r="I236" s="14" t="n"/>
      <c r="N236" s="14" t="n"/>
      <c r="P236" s="14">
        <f>IF(ISBLANK(I236),"",DATE(YEAR(I236)+1,MONTH(I236),DAY(I236)))</f>
        <v/>
      </c>
    </row>
    <row r="237">
      <c r="C237">
        <f>IFERROR(VLOOKUP(B237,Trigger_Assessment!$A$2:$B$1000,2,FALSE),"")</f>
        <v/>
      </c>
      <c r="D237">
        <f>IFERROR(VLOOKUP(B237,Trigger_Assessment!$A$2:$C$1000,3,FALSE),"")</f>
        <v/>
      </c>
      <c r="G237" s="14" t="n"/>
      <c r="H237" s="14" t="n"/>
      <c r="I237" s="14" t="n"/>
      <c r="N237" s="14" t="n"/>
      <c r="P237" s="14">
        <f>IF(ISBLANK(I237),"",DATE(YEAR(I237)+1,MONTH(I237),DAY(I237)))</f>
        <v/>
      </c>
    </row>
    <row r="238">
      <c r="C238">
        <f>IFERROR(VLOOKUP(B238,Trigger_Assessment!$A$2:$B$1000,2,FALSE),"")</f>
        <v/>
      </c>
      <c r="D238">
        <f>IFERROR(VLOOKUP(B238,Trigger_Assessment!$A$2:$C$1000,3,FALSE),"")</f>
        <v/>
      </c>
      <c r="G238" s="14" t="n"/>
      <c r="H238" s="14" t="n"/>
      <c r="I238" s="14" t="n"/>
      <c r="N238" s="14" t="n"/>
      <c r="P238" s="14">
        <f>IF(ISBLANK(I238),"",DATE(YEAR(I238)+1,MONTH(I238),DAY(I238)))</f>
        <v/>
      </c>
    </row>
    <row r="239">
      <c r="C239">
        <f>IFERROR(VLOOKUP(B239,Trigger_Assessment!$A$2:$B$1000,2,FALSE),"")</f>
        <v/>
      </c>
      <c r="D239">
        <f>IFERROR(VLOOKUP(B239,Trigger_Assessment!$A$2:$C$1000,3,FALSE),"")</f>
        <v/>
      </c>
      <c r="G239" s="14" t="n"/>
      <c r="H239" s="14" t="n"/>
      <c r="I239" s="14" t="n"/>
      <c r="N239" s="14" t="n"/>
      <c r="P239" s="14">
        <f>IF(ISBLANK(I239),"",DATE(YEAR(I239)+1,MONTH(I239),DAY(I239)))</f>
        <v/>
      </c>
    </row>
    <row r="240">
      <c r="C240">
        <f>IFERROR(VLOOKUP(B240,Trigger_Assessment!$A$2:$B$1000,2,FALSE),"")</f>
        <v/>
      </c>
      <c r="D240">
        <f>IFERROR(VLOOKUP(B240,Trigger_Assessment!$A$2:$C$1000,3,FALSE),"")</f>
        <v/>
      </c>
      <c r="G240" s="14" t="n"/>
      <c r="H240" s="14" t="n"/>
      <c r="I240" s="14" t="n"/>
      <c r="N240" s="14" t="n"/>
      <c r="P240" s="14">
        <f>IF(ISBLANK(I240),"",DATE(YEAR(I240)+1,MONTH(I240),DAY(I240)))</f>
        <v/>
      </c>
    </row>
    <row r="241">
      <c r="C241">
        <f>IFERROR(VLOOKUP(B241,Trigger_Assessment!$A$2:$B$1000,2,FALSE),"")</f>
        <v/>
      </c>
      <c r="D241">
        <f>IFERROR(VLOOKUP(B241,Trigger_Assessment!$A$2:$C$1000,3,FALSE),"")</f>
        <v/>
      </c>
      <c r="G241" s="14" t="n"/>
      <c r="H241" s="14" t="n"/>
      <c r="I241" s="14" t="n"/>
      <c r="N241" s="14" t="n"/>
      <c r="P241" s="14">
        <f>IF(ISBLANK(I241),"",DATE(YEAR(I241)+1,MONTH(I241),DAY(I241)))</f>
        <v/>
      </c>
    </row>
    <row r="242">
      <c r="C242">
        <f>IFERROR(VLOOKUP(B242,Trigger_Assessment!$A$2:$B$1000,2,FALSE),"")</f>
        <v/>
      </c>
      <c r="D242">
        <f>IFERROR(VLOOKUP(B242,Trigger_Assessment!$A$2:$C$1000,3,FALSE),"")</f>
        <v/>
      </c>
      <c r="G242" s="14" t="n"/>
      <c r="H242" s="14" t="n"/>
      <c r="I242" s="14" t="n"/>
      <c r="N242" s="14" t="n"/>
      <c r="P242" s="14">
        <f>IF(ISBLANK(I242),"",DATE(YEAR(I242)+1,MONTH(I242),DAY(I242)))</f>
        <v/>
      </c>
    </row>
    <row r="243">
      <c r="C243">
        <f>IFERROR(VLOOKUP(B243,Trigger_Assessment!$A$2:$B$1000,2,FALSE),"")</f>
        <v/>
      </c>
      <c r="D243">
        <f>IFERROR(VLOOKUP(B243,Trigger_Assessment!$A$2:$C$1000,3,FALSE),"")</f>
        <v/>
      </c>
      <c r="G243" s="14" t="n"/>
      <c r="H243" s="14" t="n"/>
      <c r="I243" s="14" t="n"/>
      <c r="N243" s="14" t="n"/>
      <c r="P243" s="14">
        <f>IF(ISBLANK(I243),"",DATE(YEAR(I243)+1,MONTH(I243),DAY(I243)))</f>
        <v/>
      </c>
    </row>
    <row r="244">
      <c r="C244">
        <f>IFERROR(VLOOKUP(B244,Trigger_Assessment!$A$2:$B$1000,2,FALSE),"")</f>
        <v/>
      </c>
      <c r="D244">
        <f>IFERROR(VLOOKUP(B244,Trigger_Assessment!$A$2:$C$1000,3,FALSE),"")</f>
        <v/>
      </c>
      <c r="G244" s="14" t="n"/>
      <c r="H244" s="14" t="n"/>
      <c r="I244" s="14" t="n"/>
      <c r="N244" s="14" t="n"/>
      <c r="P244" s="14">
        <f>IF(ISBLANK(I244),"",DATE(YEAR(I244)+1,MONTH(I244),DAY(I244)))</f>
        <v/>
      </c>
    </row>
    <row r="245">
      <c r="C245">
        <f>IFERROR(VLOOKUP(B245,Trigger_Assessment!$A$2:$B$1000,2,FALSE),"")</f>
        <v/>
      </c>
      <c r="D245">
        <f>IFERROR(VLOOKUP(B245,Trigger_Assessment!$A$2:$C$1000,3,FALSE),"")</f>
        <v/>
      </c>
      <c r="G245" s="14" t="n"/>
      <c r="H245" s="14" t="n"/>
      <c r="I245" s="14" t="n"/>
      <c r="N245" s="14" t="n"/>
      <c r="P245" s="14">
        <f>IF(ISBLANK(I245),"",DATE(YEAR(I245)+1,MONTH(I245),DAY(I245)))</f>
        <v/>
      </c>
    </row>
    <row r="246">
      <c r="C246">
        <f>IFERROR(VLOOKUP(B246,Trigger_Assessment!$A$2:$B$1000,2,FALSE),"")</f>
        <v/>
      </c>
      <c r="D246">
        <f>IFERROR(VLOOKUP(B246,Trigger_Assessment!$A$2:$C$1000,3,FALSE),"")</f>
        <v/>
      </c>
      <c r="G246" s="14" t="n"/>
      <c r="H246" s="14" t="n"/>
      <c r="I246" s="14" t="n"/>
      <c r="N246" s="14" t="n"/>
      <c r="P246" s="14">
        <f>IF(ISBLANK(I246),"",DATE(YEAR(I246)+1,MONTH(I246),DAY(I246)))</f>
        <v/>
      </c>
    </row>
    <row r="247">
      <c r="C247">
        <f>IFERROR(VLOOKUP(B247,Trigger_Assessment!$A$2:$B$1000,2,FALSE),"")</f>
        <v/>
      </c>
      <c r="D247">
        <f>IFERROR(VLOOKUP(B247,Trigger_Assessment!$A$2:$C$1000,3,FALSE),"")</f>
        <v/>
      </c>
      <c r="G247" s="14" t="n"/>
      <c r="H247" s="14" t="n"/>
      <c r="I247" s="14" t="n"/>
      <c r="N247" s="14" t="n"/>
      <c r="P247" s="14">
        <f>IF(ISBLANK(I247),"",DATE(YEAR(I247)+1,MONTH(I247),DAY(I247)))</f>
        <v/>
      </c>
    </row>
    <row r="248">
      <c r="C248">
        <f>IFERROR(VLOOKUP(B248,Trigger_Assessment!$A$2:$B$1000,2,FALSE),"")</f>
        <v/>
      </c>
      <c r="D248">
        <f>IFERROR(VLOOKUP(B248,Trigger_Assessment!$A$2:$C$1000,3,FALSE),"")</f>
        <v/>
      </c>
      <c r="G248" s="14" t="n"/>
      <c r="H248" s="14" t="n"/>
      <c r="I248" s="14" t="n"/>
      <c r="N248" s="14" t="n"/>
      <c r="P248" s="14">
        <f>IF(ISBLANK(I248),"",DATE(YEAR(I248)+1,MONTH(I248),DAY(I248)))</f>
        <v/>
      </c>
    </row>
    <row r="249">
      <c r="C249">
        <f>IFERROR(VLOOKUP(B249,Trigger_Assessment!$A$2:$B$1000,2,FALSE),"")</f>
        <v/>
      </c>
      <c r="D249">
        <f>IFERROR(VLOOKUP(B249,Trigger_Assessment!$A$2:$C$1000,3,FALSE),"")</f>
        <v/>
      </c>
      <c r="G249" s="14" t="n"/>
      <c r="H249" s="14" t="n"/>
      <c r="I249" s="14" t="n"/>
      <c r="N249" s="14" t="n"/>
      <c r="P249" s="14">
        <f>IF(ISBLANK(I249),"",DATE(YEAR(I249)+1,MONTH(I249),DAY(I249)))</f>
        <v/>
      </c>
    </row>
    <row r="250">
      <c r="C250">
        <f>IFERROR(VLOOKUP(B250,Trigger_Assessment!$A$2:$B$1000,2,FALSE),"")</f>
        <v/>
      </c>
      <c r="D250">
        <f>IFERROR(VLOOKUP(B250,Trigger_Assessment!$A$2:$C$1000,3,FALSE),"")</f>
        <v/>
      </c>
      <c r="G250" s="14" t="n"/>
      <c r="H250" s="14" t="n"/>
      <c r="I250" s="14" t="n"/>
      <c r="N250" s="14" t="n"/>
      <c r="P250" s="14">
        <f>IF(ISBLANK(I250),"",DATE(YEAR(I250)+1,MONTH(I250),DAY(I250)))</f>
        <v/>
      </c>
    </row>
    <row r="251">
      <c r="C251">
        <f>IFERROR(VLOOKUP(B251,Trigger_Assessment!$A$2:$B$1000,2,FALSE),"")</f>
        <v/>
      </c>
      <c r="D251">
        <f>IFERROR(VLOOKUP(B251,Trigger_Assessment!$A$2:$C$1000,3,FALSE),"")</f>
        <v/>
      </c>
      <c r="G251" s="14" t="n"/>
      <c r="H251" s="14" t="n"/>
      <c r="I251" s="14" t="n"/>
      <c r="N251" s="14" t="n"/>
      <c r="P251" s="14">
        <f>IF(ISBLANK(I251),"",DATE(YEAR(I251)+1,MONTH(I251),DAY(I251)))</f>
        <v/>
      </c>
    </row>
    <row r="252">
      <c r="C252">
        <f>IFERROR(VLOOKUP(B252,Trigger_Assessment!$A$2:$B$1000,2,FALSE),"")</f>
        <v/>
      </c>
      <c r="D252">
        <f>IFERROR(VLOOKUP(B252,Trigger_Assessment!$A$2:$C$1000,3,FALSE),"")</f>
        <v/>
      </c>
      <c r="G252" s="14" t="n"/>
      <c r="H252" s="14" t="n"/>
      <c r="I252" s="14" t="n"/>
      <c r="N252" s="14" t="n"/>
      <c r="P252" s="14">
        <f>IF(ISBLANK(I252),"",DATE(YEAR(I252)+1,MONTH(I252),DAY(I252)))</f>
        <v/>
      </c>
    </row>
    <row r="253">
      <c r="C253">
        <f>IFERROR(VLOOKUP(B253,Trigger_Assessment!$A$2:$B$1000,2,FALSE),"")</f>
        <v/>
      </c>
      <c r="D253">
        <f>IFERROR(VLOOKUP(B253,Trigger_Assessment!$A$2:$C$1000,3,FALSE),"")</f>
        <v/>
      </c>
      <c r="G253" s="14" t="n"/>
      <c r="H253" s="14" t="n"/>
      <c r="I253" s="14" t="n"/>
      <c r="N253" s="14" t="n"/>
      <c r="P253" s="14">
        <f>IF(ISBLANK(I253),"",DATE(YEAR(I253)+1,MONTH(I253),DAY(I253)))</f>
        <v/>
      </c>
    </row>
    <row r="254">
      <c r="C254">
        <f>IFERROR(VLOOKUP(B254,Trigger_Assessment!$A$2:$B$1000,2,FALSE),"")</f>
        <v/>
      </c>
      <c r="D254">
        <f>IFERROR(VLOOKUP(B254,Trigger_Assessment!$A$2:$C$1000,3,FALSE),"")</f>
        <v/>
      </c>
      <c r="G254" s="14" t="n"/>
      <c r="H254" s="14" t="n"/>
      <c r="I254" s="14" t="n"/>
      <c r="N254" s="14" t="n"/>
      <c r="P254" s="14">
        <f>IF(ISBLANK(I254),"",DATE(YEAR(I254)+1,MONTH(I254),DAY(I254)))</f>
        <v/>
      </c>
    </row>
    <row r="255">
      <c r="C255">
        <f>IFERROR(VLOOKUP(B255,Trigger_Assessment!$A$2:$B$1000,2,FALSE),"")</f>
        <v/>
      </c>
      <c r="D255">
        <f>IFERROR(VLOOKUP(B255,Trigger_Assessment!$A$2:$C$1000,3,FALSE),"")</f>
        <v/>
      </c>
      <c r="G255" s="14" t="n"/>
      <c r="H255" s="14" t="n"/>
      <c r="I255" s="14" t="n"/>
      <c r="N255" s="14" t="n"/>
      <c r="P255" s="14">
        <f>IF(ISBLANK(I255),"",DATE(YEAR(I255)+1,MONTH(I255),DAY(I255)))</f>
        <v/>
      </c>
    </row>
    <row r="256">
      <c r="C256">
        <f>IFERROR(VLOOKUP(B256,Trigger_Assessment!$A$2:$B$1000,2,FALSE),"")</f>
        <v/>
      </c>
      <c r="D256">
        <f>IFERROR(VLOOKUP(B256,Trigger_Assessment!$A$2:$C$1000,3,FALSE),"")</f>
        <v/>
      </c>
      <c r="G256" s="14" t="n"/>
      <c r="H256" s="14" t="n"/>
      <c r="I256" s="14" t="n"/>
      <c r="N256" s="14" t="n"/>
      <c r="P256" s="14">
        <f>IF(ISBLANK(I256),"",DATE(YEAR(I256)+1,MONTH(I256),DAY(I256)))</f>
        <v/>
      </c>
    </row>
    <row r="257">
      <c r="C257">
        <f>IFERROR(VLOOKUP(B257,Trigger_Assessment!$A$2:$B$1000,2,FALSE),"")</f>
        <v/>
      </c>
      <c r="D257">
        <f>IFERROR(VLOOKUP(B257,Trigger_Assessment!$A$2:$C$1000,3,FALSE),"")</f>
        <v/>
      </c>
      <c r="G257" s="14" t="n"/>
      <c r="H257" s="14" t="n"/>
      <c r="I257" s="14" t="n"/>
      <c r="N257" s="14" t="n"/>
      <c r="P257" s="14">
        <f>IF(ISBLANK(I257),"",DATE(YEAR(I257)+1,MONTH(I257),DAY(I257)))</f>
        <v/>
      </c>
    </row>
    <row r="258">
      <c r="C258">
        <f>IFERROR(VLOOKUP(B258,Trigger_Assessment!$A$2:$B$1000,2,FALSE),"")</f>
        <v/>
      </c>
      <c r="D258">
        <f>IFERROR(VLOOKUP(B258,Trigger_Assessment!$A$2:$C$1000,3,FALSE),"")</f>
        <v/>
      </c>
      <c r="G258" s="14" t="n"/>
      <c r="H258" s="14" t="n"/>
      <c r="I258" s="14" t="n"/>
      <c r="N258" s="14" t="n"/>
      <c r="P258" s="14">
        <f>IF(ISBLANK(I258),"",DATE(YEAR(I258)+1,MONTH(I258),DAY(I258)))</f>
        <v/>
      </c>
    </row>
    <row r="259">
      <c r="C259">
        <f>IFERROR(VLOOKUP(B259,Trigger_Assessment!$A$2:$B$1000,2,FALSE),"")</f>
        <v/>
      </c>
      <c r="D259">
        <f>IFERROR(VLOOKUP(B259,Trigger_Assessment!$A$2:$C$1000,3,FALSE),"")</f>
        <v/>
      </c>
      <c r="G259" s="14" t="n"/>
      <c r="H259" s="14" t="n"/>
      <c r="I259" s="14" t="n"/>
      <c r="N259" s="14" t="n"/>
      <c r="P259" s="14">
        <f>IF(ISBLANK(I259),"",DATE(YEAR(I259)+1,MONTH(I259),DAY(I259)))</f>
        <v/>
      </c>
    </row>
    <row r="260">
      <c r="C260">
        <f>IFERROR(VLOOKUP(B260,Trigger_Assessment!$A$2:$B$1000,2,FALSE),"")</f>
        <v/>
      </c>
      <c r="D260">
        <f>IFERROR(VLOOKUP(B260,Trigger_Assessment!$A$2:$C$1000,3,FALSE),"")</f>
        <v/>
      </c>
      <c r="G260" s="14" t="n"/>
      <c r="H260" s="14" t="n"/>
      <c r="I260" s="14" t="n"/>
      <c r="N260" s="14" t="n"/>
      <c r="P260" s="14">
        <f>IF(ISBLANK(I260),"",DATE(YEAR(I260)+1,MONTH(I260),DAY(I260)))</f>
        <v/>
      </c>
    </row>
    <row r="261">
      <c r="C261">
        <f>IFERROR(VLOOKUP(B261,Trigger_Assessment!$A$2:$B$1000,2,FALSE),"")</f>
        <v/>
      </c>
      <c r="D261">
        <f>IFERROR(VLOOKUP(B261,Trigger_Assessment!$A$2:$C$1000,3,FALSE),"")</f>
        <v/>
      </c>
      <c r="G261" s="14" t="n"/>
      <c r="H261" s="14" t="n"/>
      <c r="I261" s="14" t="n"/>
      <c r="N261" s="14" t="n"/>
      <c r="P261" s="14">
        <f>IF(ISBLANK(I261),"",DATE(YEAR(I261)+1,MONTH(I261),DAY(I261)))</f>
        <v/>
      </c>
    </row>
    <row r="262">
      <c r="C262">
        <f>IFERROR(VLOOKUP(B262,Trigger_Assessment!$A$2:$B$1000,2,FALSE),"")</f>
        <v/>
      </c>
      <c r="D262">
        <f>IFERROR(VLOOKUP(B262,Trigger_Assessment!$A$2:$C$1000,3,FALSE),"")</f>
        <v/>
      </c>
      <c r="G262" s="14" t="n"/>
      <c r="H262" s="14" t="n"/>
      <c r="I262" s="14" t="n"/>
      <c r="N262" s="14" t="n"/>
      <c r="P262" s="14">
        <f>IF(ISBLANK(I262),"",DATE(YEAR(I262)+1,MONTH(I262),DAY(I262)))</f>
        <v/>
      </c>
    </row>
    <row r="263">
      <c r="C263">
        <f>IFERROR(VLOOKUP(B263,Trigger_Assessment!$A$2:$B$1000,2,FALSE),"")</f>
        <v/>
      </c>
      <c r="D263">
        <f>IFERROR(VLOOKUP(B263,Trigger_Assessment!$A$2:$C$1000,3,FALSE),"")</f>
        <v/>
      </c>
      <c r="G263" s="14" t="n"/>
      <c r="H263" s="14" t="n"/>
      <c r="I263" s="14" t="n"/>
      <c r="N263" s="14" t="n"/>
      <c r="P263" s="14">
        <f>IF(ISBLANK(I263),"",DATE(YEAR(I263)+1,MONTH(I263),DAY(I263)))</f>
        <v/>
      </c>
    </row>
    <row r="264">
      <c r="C264">
        <f>IFERROR(VLOOKUP(B264,Trigger_Assessment!$A$2:$B$1000,2,FALSE),"")</f>
        <v/>
      </c>
      <c r="D264">
        <f>IFERROR(VLOOKUP(B264,Trigger_Assessment!$A$2:$C$1000,3,FALSE),"")</f>
        <v/>
      </c>
      <c r="G264" s="14" t="n"/>
      <c r="H264" s="14" t="n"/>
      <c r="I264" s="14" t="n"/>
      <c r="N264" s="14" t="n"/>
      <c r="P264" s="14">
        <f>IF(ISBLANK(I264),"",DATE(YEAR(I264)+1,MONTH(I264),DAY(I264)))</f>
        <v/>
      </c>
    </row>
    <row r="265">
      <c r="C265">
        <f>IFERROR(VLOOKUP(B265,Trigger_Assessment!$A$2:$B$1000,2,FALSE),"")</f>
        <v/>
      </c>
      <c r="D265">
        <f>IFERROR(VLOOKUP(B265,Trigger_Assessment!$A$2:$C$1000,3,FALSE),"")</f>
        <v/>
      </c>
      <c r="G265" s="14" t="n"/>
      <c r="H265" s="14" t="n"/>
      <c r="I265" s="14" t="n"/>
      <c r="N265" s="14" t="n"/>
      <c r="P265" s="14">
        <f>IF(ISBLANK(I265),"",DATE(YEAR(I265)+1,MONTH(I265),DAY(I265)))</f>
        <v/>
      </c>
    </row>
    <row r="266">
      <c r="C266">
        <f>IFERROR(VLOOKUP(B266,Trigger_Assessment!$A$2:$B$1000,2,FALSE),"")</f>
        <v/>
      </c>
      <c r="D266">
        <f>IFERROR(VLOOKUP(B266,Trigger_Assessment!$A$2:$C$1000,3,FALSE),"")</f>
        <v/>
      </c>
      <c r="G266" s="14" t="n"/>
      <c r="H266" s="14" t="n"/>
      <c r="I266" s="14" t="n"/>
      <c r="N266" s="14" t="n"/>
      <c r="P266" s="14">
        <f>IF(ISBLANK(I266),"",DATE(YEAR(I266)+1,MONTH(I266),DAY(I266)))</f>
        <v/>
      </c>
    </row>
    <row r="267">
      <c r="C267">
        <f>IFERROR(VLOOKUP(B267,Trigger_Assessment!$A$2:$B$1000,2,FALSE),"")</f>
        <v/>
      </c>
      <c r="D267">
        <f>IFERROR(VLOOKUP(B267,Trigger_Assessment!$A$2:$C$1000,3,FALSE),"")</f>
        <v/>
      </c>
      <c r="G267" s="14" t="n"/>
      <c r="H267" s="14" t="n"/>
      <c r="I267" s="14" t="n"/>
      <c r="N267" s="14" t="n"/>
      <c r="P267" s="14">
        <f>IF(ISBLANK(I267),"",DATE(YEAR(I267)+1,MONTH(I267),DAY(I267)))</f>
        <v/>
      </c>
    </row>
    <row r="268">
      <c r="C268">
        <f>IFERROR(VLOOKUP(B268,Trigger_Assessment!$A$2:$B$1000,2,FALSE),"")</f>
        <v/>
      </c>
      <c r="D268">
        <f>IFERROR(VLOOKUP(B268,Trigger_Assessment!$A$2:$C$1000,3,FALSE),"")</f>
        <v/>
      </c>
      <c r="G268" s="14" t="n"/>
      <c r="H268" s="14" t="n"/>
      <c r="I268" s="14" t="n"/>
      <c r="N268" s="14" t="n"/>
      <c r="P268" s="14">
        <f>IF(ISBLANK(I268),"",DATE(YEAR(I268)+1,MONTH(I268),DAY(I268)))</f>
        <v/>
      </c>
    </row>
    <row r="269">
      <c r="C269">
        <f>IFERROR(VLOOKUP(B269,Trigger_Assessment!$A$2:$B$1000,2,FALSE),"")</f>
        <v/>
      </c>
      <c r="D269">
        <f>IFERROR(VLOOKUP(B269,Trigger_Assessment!$A$2:$C$1000,3,FALSE),"")</f>
        <v/>
      </c>
      <c r="G269" s="14" t="n"/>
      <c r="H269" s="14" t="n"/>
      <c r="I269" s="14" t="n"/>
      <c r="N269" s="14" t="n"/>
      <c r="P269" s="14">
        <f>IF(ISBLANK(I269),"",DATE(YEAR(I269)+1,MONTH(I269),DAY(I269)))</f>
        <v/>
      </c>
    </row>
    <row r="270">
      <c r="C270">
        <f>IFERROR(VLOOKUP(B270,Trigger_Assessment!$A$2:$B$1000,2,FALSE),"")</f>
        <v/>
      </c>
      <c r="D270">
        <f>IFERROR(VLOOKUP(B270,Trigger_Assessment!$A$2:$C$1000,3,FALSE),"")</f>
        <v/>
      </c>
      <c r="G270" s="14" t="n"/>
      <c r="H270" s="14" t="n"/>
      <c r="I270" s="14" t="n"/>
      <c r="N270" s="14" t="n"/>
      <c r="P270" s="14">
        <f>IF(ISBLANK(I270),"",DATE(YEAR(I270)+1,MONTH(I270),DAY(I270)))</f>
        <v/>
      </c>
    </row>
    <row r="271">
      <c r="C271">
        <f>IFERROR(VLOOKUP(B271,Trigger_Assessment!$A$2:$B$1000,2,FALSE),"")</f>
        <v/>
      </c>
      <c r="D271">
        <f>IFERROR(VLOOKUP(B271,Trigger_Assessment!$A$2:$C$1000,3,FALSE),"")</f>
        <v/>
      </c>
      <c r="G271" s="14" t="n"/>
      <c r="H271" s="14" t="n"/>
      <c r="I271" s="14" t="n"/>
      <c r="N271" s="14" t="n"/>
      <c r="P271" s="14">
        <f>IF(ISBLANK(I271),"",DATE(YEAR(I271)+1,MONTH(I271),DAY(I271)))</f>
        <v/>
      </c>
    </row>
    <row r="272">
      <c r="C272">
        <f>IFERROR(VLOOKUP(B272,Trigger_Assessment!$A$2:$B$1000,2,FALSE),"")</f>
        <v/>
      </c>
      <c r="D272">
        <f>IFERROR(VLOOKUP(B272,Trigger_Assessment!$A$2:$C$1000,3,FALSE),"")</f>
        <v/>
      </c>
      <c r="G272" s="14" t="n"/>
      <c r="H272" s="14" t="n"/>
      <c r="I272" s="14" t="n"/>
      <c r="N272" s="14" t="n"/>
      <c r="P272" s="14">
        <f>IF(ISBLANK(I272),"",DATE(YEAR(I272)+1,MONTH(I272),DAY(I272)))</f>
        <v/>
      </c>
    </row>
    <row r="273">
      <c r="C273">
        <f>IFERROR(VLOOKUP(B273,Trigger_Assessment!$A$2:$B$1000,2,FALSE),"")</f>
        <v/>
      </c>
      <c r="D273">
        <f>IFERROR(VLOOKUP(B273,Trigger_Assessment!$A$2:$C$1000,3,FALSE),"")</f>
        <v/>
      </c>
      <c r="G273" s="14" t="n"/>
      <c r="H273" s="14" t="n"/>
      <c r="I273" s="14" t="n"/>
      <c r="N273" s="14" t="n"/>
      <c r="P273" s="14">
        <f>IF(ISBLANK(I273),"",DATE(YEAR(I273)+1,MONTH(I273),DAY(I273)))</f>
        <v/>
      </c>
    </row>
    <row r="274">
      <c r="C274">
        <f>IFERROR(VLOOKUP(B274,Trigger_Assessment!$A$2:$B$1000,2,FALSE),"")</f>
        <v/>
      </c>
      <c r="D274">
        <f>IFERROR(VLOOKUP(B274,Trigger_Assessment!$A$2:$C$1000,3,FALSE),"")</f>
        <v/>
      </c>
      <c r="G274" s="14" t="n"/>
      <c r="H274" s="14" t="n"/>
      <c r="I274" s="14" t="n"/>
      <c r="N274" s="14" t="n"/>
      <c r="P274" s="14">
        <f>IF(ISBLANK(I274),"",DATE(YEAR(I274)+1,MONTH(I274),DAY(I274)))</f>
        <v/>
      </c>
    </row>
    <row r="275">
      <c r="C275">
        <f>IFERROR(VLOOKUP(B275,Trigger_Assessment!$A$2:$B$1000,2,FALSE),"")</f>
        <v/>
      </c>
      <c r="D275">
        <f>IFERROR(VLOOKUP(B275,Trigger_Assessment!$A$2:$C$1000,3,FALSE),"")</f>
        <v/>
      </c>
      <c r="G275" s="14" t="n"/>
      <c r="H275" s="14" t="n"/>
      <c r="I275" s="14" t="n"/>
      <c r="N275" s="14" t="n"/>
      <c r="P275" s="14">
        <f>IF(ISBLANK(I275),"",DATE(YEAR(I275)+1,MONTH(I275),DAY(I275)))</f>
        <v/>
      </c>
    </row>
    <row r="276">
      <c r="C276">
        <f>IFERROR(VLOOKUP(B276,Trigger_Assessment!$A$2:$B$1000,2,FALSE),"")</f>
        <v/>
      </c>
      <c r="D276">
        <f>IFERROR(VLOOKUP(B276,Trigger_Assessment!$A$2:$C$1000,3,FALSE),"")</f>
        <v/>
      </c>
      <c r="G276" s="14" t="n"/>
      <c r="H276" s="14" t="n"/>
      <c r="I276" s="14" t="n"/>
      <c r="N276" s="14" t="n"/>
      <c r="P276" s="14">
        <f>IF(ISBLANK(I276),"",DATE(YEAR(I276)+1,MONTH(I276),DAY(I276)))</f>
        <v/>
      </c>
    </row>
    <row r="277">
      <c r="C277">
        <f>IFERROR(VLOOKUP(B277,Trigger_Assessment!$A$2:$B$1000,2,FALSE),"")</f>
        <v/>
      </c>
      <c r="D277">
        <f>IFERROR(VLOOKUP(B277,Trigger_Assessment!$A$2:$C$1000,3,FALSE),"")</f>
        <v/>
      </c>
      <c r="G277" s="14" t="n"/>
      <c r="H277" s="14" t="n"/>
      <c r="I277" s="14" t="n"/>
      <c r="N277" s="14" t="n"/>
      <c r="P277" s="14">
        <f>IF(ISBLANK(I277),"",DATE(YEAR(I277)+1,MONTH(I277),DAY(I277)))</f>
        <v/>
      </c>
    </row>
    <row r="278">
      <c r="C278">
        <f>IFERROR(VLOOKUP(B278,Trigger_Assessment!$A$2:$B$1000,2,FALSE),"")</f>
        <v/>
      </c>
      <c r="D278">
        <f>IFERROR(VLOOKUP(B278,Trigger_Assessment!$A$2:$C$1000,3,FALSE),"")</f>
        <v/>
      </c>
      <c r="G278" s="14" t="n"/>
      <c r="H278" s="14" t="n"/>
      <c r="I278" s="14" t="n"/>
      <c r="N278" s="14" t="n"/>
      <c r="P278" s="14">
        <f>IF(ISBLANK(I278),"",DATE(YEAR(I278)+1,MONTH(I278),DAY(I278)))</f>
        <v/>
      </c>
    </row>
    <row r="279">
      <c r="C279">
        <f>IFERROR(VLOOKUP(B279,Trigger_Assessment!$A$2:$B$1000,2,FALSE),"")</f>
        <v/>
      </c>
      <c r="D279">
        <f>IFERROR(VLOOKUP(B279,Trigger_Assessment!$A$2:$C$1000,3,FALSE),"")</f>
        <v/>
      </c>
      <c r="G279" s="14" t="n"/>
      <c r="H279" s="14" t="n"/>
      <c r="I279" s="14" t="n"/>
      <c r="N279" s="14" t="n"/>
      <c r="P279" s="14">
        <f>IF(ISBLANK(I279),"",DATE(YEAR(I279)+1,MONTH(I279),DAY(I279)))</f>
        <v/>
      </c>
    </row>
    <row r="280">
      <c r="C280">
        <f>IFERROR(VLOOKUP(B280,Trigger_Assessment!$A$2:$B$1000,2,FALSE),"")</f>
        <v/>
      </c>
      <c r="D280">
        <f>IFERROR(VLOOKUP(B280,Trigger_Assessment!$A$2:$C$1000,3,FALSE),"")</f>
        <v/>
      </c>
      <c r="G280" s="14" t="n"/>
      <c r="H280" s="14" t="n"/>
      <c r="I280" s="14" t="n"/>
      <c r="N280" s="14" t="n"/>
      <c r="P280" s="14">
        <f>IF(ISBLANK(I280),"",DATE(YEAR(I280)+1,MONTH(I280),DAY(I280)))</f>
        <v/>
      </c>
    </row>
    <row r="281">
      <c r="C281">
        <f>IFERROR(VLOOKUP(B281,Trigger_Assessment!$A$2:$B$1000,2,FALSE),"")</f>
        <v/>
      </c>
      <c r="D281">
        <f>IFERROR(VLOOKUP(B281,Trigger_Assessment!$A$2:$C$1000,3,FALSE),"")</f>
        <v/>
      </c>
      <c r="G281" s="14" t="n"/>
      <c r="H281" s="14" t="n"/>
      <c r="I281" s="14" t="n"/>
      <c r="N281" s="14" t="n"/>
      <c r="P281" s="14">
        <f>IF(ISBLANK(I281),"",DATE(YEAR(I281)+1,MONTH(I281),DAY(I281)))</f>
        <v/>
      </c>
    </row>
    <row r="282">
      <c r="C282">
        <f>IFERROR(VLOOKUP(B282,Trigger_Assessment!$A$2:$B$1000,2,FALSE),"")</f>
        <v/>
      </c>
      <c r="D282">
        <f>IFERROR(VLOOKUP(B282,Trigger_Assessment!$A$2:$C$1000,3,FALSE),"")</f>
        <v/>
      </c>
      <c r="G282" s="14" t="n"/>
      <c r="H282" s="14" t="n"/>
      <c r="I282" s="14" t="n"/>
      <c r="N282" s="14" t="n"/>
      <c r="P282" s="14">
        <f>IF(ISBLANK(I282),"",DATE(YEAR(I282)+1,MONTH(I282),DAY(I282)))</f>
        <v/>
      </c>
    </row>
    <row r="283">
      <c r="C283">
        <f>IFERROR(VLOOKUP(B283,Trigger_Assessment!$A$2:$B$1000,2,FALSE),"")</f>
        <v/>
      </c>
      <c r="D283">
        <f>IFERROR(VLOOKUP(B283,Trigger_Assessment!$A$2:$C$1000,3,FALSE),"")</f>
        <v/>
      </c>
      <c r="G283" s="14" t="n"/>
      <c r="H283" s="14" t="n"/>
      <c r="I283" s="14" t="n"/>
      <c r="N283" s="14" t="n"/>
      <c r="P283" s="14">
        <f>IF(ISBLANK(I283),"",DATE(YEAR(I283)+1,MONTH(I283),DAY(I283)))</f>
        <v/>
      </c>
    </row>
    <row r="284">
      <c r="C284">
        <f>IFERROR(VLOOKUP(B284,Trigger_Assessment!$A$2:$B$1000,2,FALSE),"")</f>
        <v/>
      </c>
      <c r="D284">
        <f>IFERROR(VLOOKUP(B284,Trigger_Assessment!$A$2:$C$1000,3,FALSE),"")</f>
        <v/>
      </c>
      <c r="G284" s="14" t="n"/>
      <c r="H284" s="14" t="n"/>
      <c r="I284" s="14" t="n"/>
      <c r="N284" s="14" t="n"/>
      <c r="P284" s="14">
        <f>IF(ISBLANK(I284),"",DATE(YEAR(I284)+1,MONTH(I284),DAY(I284)))</f>
        <v/>
      </c>
    </row>
    <row r="285">
      <c r="C285">
        <f>IFERROR(VLOOKUP(B285,Trigger_Assessment!$A$2:$B$1000,2,FALSE),"")</f>
        <v/>
      </c>
      <c r="D285">
        <f>IFERROR(VLOOKUP(B285,Trigger_Assessment!$A$2:$C$1000,3,FALSE),"")</f>
        <v/>
      </c>
      <c r="G285" s="14" t="n"/>
      <c r="H285" s="14" t="n"/>
      <c r="I285" s="14" t="n"/>
      <c r="N285" s="14" t="n"/>
      <c r="P285" s="14">
        <f>IF(ISBLANK(I285),"",DATE(YEAR(I285)+1,MONTH(I285),DAY(I285)))</f>
        <v/>
      </c>
    </row>
    <row r="286">
      <c r="C286">
        <f>IFERROR(VLOOKUP(B286,Trigger_Assessment!$A$2:$B$1000,2,FALSE),"")</f>
        <v/>
      </c>
      <c r="D286">
        <f>IFERROR(VLOOKUP(B286,Trigger_Assessment!$A$2:$C$1000,3,FALSE),"")</f>
        <v/>
      </c>
      <c r="G286" s="14" t="n"/>
      <c r="H286" s="14" t="n"/>
      <c r="I286" s="14" t="n"/>
      <c r="N286" s="14" t="n"/>
      <c r="P286" s="14">
        <f>IF(ISBLANK(I286),"",DATE(YEAR(I286)+1,MONTH(I286),DAY(I286)))</f>
        <v/>
      </c>
    </row>
    <row r="287">
      <c r="C287">
        <f>IFERROR(VLOOKUP(B287,Trigger_Assessment!$A$2:$B$1000,2,FALSE),"")</f>
        <v/>
      </c>
      <c r="D287">
        <f>IFERROR(VLOOKUP(B287,Trigger_Assessment!$A$2:$C$1000,3,FALSE),"")</f>
        <v/>
      </c>
      <c r="G287" s="14" t="n"/>
      <c r="H287" s="14" t="n"/>
      <c r="I287" s="14" t="n"/>
      <c r="N287" s="14" t="n"/>
      <c r="P287" s="14">
        <f>IF(ISBLANK(I287),"",DATE(YEAR(I287)+1,MONTH(I287),DAY(I287)))</f>
        <v/>
      </c>
    </row>
    <row r="288">
      <c r="C288">
        <f>IFERROR(VLOOKUP(B288,Trigger_Assessment!$A$2:$B$1000,2,FALSE),"")</f>
        <v/>
      </c>
      <c r="D288">
        <f>IFERROR(VLOOKUP(B288,Trigger_Assessment!$A$2:$C$1000,3,FALSE),"")</f>
        <v/>
      </c>
      <c r="G288" s="14" t="n"/>
      <c r="H288" s="14" t="n"/>
      <c r="I288" s="14" t="n"/>
      <c r="N288" s="14" t="n"/>
      <c r="P288" s="14">
        <f>IF(ISBLANK(I288),"",DATE(YEAR(I288)+1,MONTH(I288),DAY(I288)))</f>
        <v/>
      </c>
    </row>
    <row r="289">
      <c r="C289">
        <f>IFERROR(VLOOKUP(B289,Trigger_Assessment!$A$2:$B$1000,2,FALSE),"")</f>
        <v/>
      </c>
      <c r="D289">
        <f>IFERROR(VLOOKUP(B289,Trigger_Assessment!$A$2:$C$1000,3,FALSE),"")</f>
        <v/>
      </c>
      <c r="G289" s="14" t="n"/>
      <c r="H289" s="14" t="n"/>
      <c r="I289" s="14" t="n"/>
      <c r="N289" s="14" t="n"/>
      <c r="P289" s="14">
        <f>IF(ISBLANK(I289),"",DATE(YEAR(I289)+1,MONTH(I289),DAY(I289)))</f>
        <v/>
      </c>
    </row>
    <row r="290">
      <c r="C290">
        <f>IFERROR(VLOOKUP(B290,Trigger_Assessment!$A$2:$B$1000,2,FALSE),"")</f>
        <v/>
      </c>
      <c r="D290">
        <f>IFERROR(VLOOKUP(B290,Trigger_Assessment!$A$2:$C$1000,3,FALSE),"")</f>
        <v/>
      </c>
      <c r="G290" s="14" t="n"/>
      <c r="H290" s="14" t="n"/>
      <c r="I290" s="14" t="n"/>
      <c r="N290" s="14" t="n"/>
      <c r="P290" s="14">
        <f>IF(ISBLANK(I290),"",DATE(YEAR(I290)+1,MONTH(I290),DAY(I290)))</f>
        <v/>
      </c>
    </row>
    <row r="291">
      <c r="C291">
        <f>IFERROR(VLOOKUP(B291,Trigger_Assessment!$A$2:$B$1000,2,FALSE),"")</f>
        <v/>
      </c>
      <c r="D291">
        <f>IFERROR(VLOOKUP(B291,Trigger_Assessment!$A$2:$C$1000,3,FALSE),"")</f>
        <v/>
      </c>
      <c r="G291" s="14" t="n"/>
      <c r="H291" s="14" t="n"/>
      <c r="I291" s="14" t="n"/>
      <c r="N291" s="14" t="n"/>
      <c r="P291" s="14">
        <f>IF(ISBLANK(I291),"",DATE(YEAR(I291)+1,MONTH(I291),DAY(I291)))</f>
        <v/>
      </c>
    </row>
    <row r="292">
      <c r="C292">
        <f>IFERROR(VLOOKUP(B292,Trigger_Assessment!$A$2:$B$1000,2,FALSE),"")</f>
        <v/>
      </c>
      <c r="D292">
        <f>IFERROR(VLOOKUP(B292,Trigger_Assessment!$A$2:$C$1000,3,FALSE),"")</f>
        <v/>
      </c>
      <c r="G292" s="14" t="n"/>
      <c r="H292" s="14" t="n"/>
      <c r="I292" s="14" t="n"/>
      <c r="N292" s="14" t="n"/>
      <c r="P292" s="14">
        <f>IF(ISBLANK(I292),"",DATE(YEAR(I292)+1,MONTH(I292),DAY(I292)))</f>
        <v/>
      </c>
    </row>
    <row r="293">
      <c r="C293">
        <f>IFERROR(VLOOKUP(B293,Trigger_Assessment!$A$2:$B$1000,2,FALSE),"")</f>
        <v/>
      </c>
      <c r="D293">
        <f>IFERROR(VLOOKUP(B293,Trigger_Assessment!$A$2:$C$1000,3,FALSE),"")</f>
        <v/>
      </c>
      <c r="G293" s="14" t="n"/>
      <c r="H293" s="14" t="n"/>
      <c r="I293" s="14" t="n"/>
      <c r="N293" s="14" t="n"/>
      <c r="P293" s="14">
        <f>IF(ISBLANK(I293),"",DATE(YEAR(I293)+1,MONTH(I293),DAY(I293)))</f>
        <v/>
      </c>
    </row>
    <row r="294">
      <c r="C294">
        <f>IFERROR(VLOOKUP(B294,Trigger_Assessment!$A$2:$B$1000,2,FALSE),"")</f>
        <v/>
      </c>
      <c r="D294">
        <f>IFERROR(VLOOKUP(B294,Trigger_Assessment!$A$2:$C$1000,3,FALSE),"")</f>
        <v/>
      </c>
      <c r="G294" s="14" t="n"/>
      <c r="H294" s="14" t="n"/>
      <c r="I294" s="14" t="n"/>
      <c r="N294" s="14" t="n"/>
      <c r="P294" s="14">
        <f>IF(ISBLANK(I294),"",DATE(YEAR(I294)+1,MONTH(I294),DAY(I294)))</f>
        <v/>
      </c>
    </row>
    <row r="295">
      <c r="C295">
        <f>IFERROR(VLOOKUP(B295,Trigger_Assessment!$A$2:$B$1000,2,FALSE),"")</f>
        <v/>
      </c>
      <c r="D295">
        <f>IFERROR(VLOOKUP(B295,Trigger_Assessment!$A$2:$C$1000,3,FALSE),"")</f>
        <v/>
      </c>
      <c r="G295" s="14" t="n"/>
      <c r="H295" s="14" t="n"/>
      <c r="I295" s="14" t="n"/>
      <c r="N295" s="14" t="n"/>
      <c r="P295" s="14">
        <f>IF(ISBLANK(I295),"",DATE(YEAR(I295)+1,MONTH(I295),DAY(I295)))</f>
        <v/>
      </c>
    </row>
    <row r="296">
      <c r="C296">
        <f>IFERROR(VLOOKUP(B296,Trigger_Assessment!$A$2:$B$1000,2,FALSE),"")</f>
        <v/>
      </c>
      <c r="D296">
        <f>IFERROR(VLOOKUP(B296,Trigger_Assessment!$A$2:$C$1000,3,FALSE),"")</f>
        <v/>
      </c>
      <c r="G296" s="14" t="n"/>
      <c r="H296" s="14" t="n"/>
      <c r="I296" s="14" t="n"/>
      <c r="N296" s="14" t="n"/>
      <c r="P296" s="14">
        <f>IF(ISBLANK(I296),"",DATE(YEAR(I296)+1,MONTH(I296),DAY(I296)))</f>
        <v/>
      </c>
    </row>
    <row r="297">
      <c r="C297">
        <f>IFERROR(VLOOKUP(B297,Trigger_Assessment!$A$2:$B$1000,2,FALSE),"")</f>
        <v/>
      </c>
      <c r="D297">
        <f>IFERROR(VLOOKUP(B297,Trigger_Assessment!$A$2:$C$1000,3,FALSE),"")</f>
        <v/>
      </c>
      <c r="G297" s="14" t="n"/>
      <c r="H297" s="14" t="n"/>
      <c r="I297" s="14" t="n"/>
      <c r="N297" s="14" t="n"/>
      <c r="P297" s="14">
        <f>IF(ISBLANK(I297),"",DATE(YEAR(I297)+1,MONTH(I297),DAY(I297)))</f>
        <v/>
      </c>
    </row>
    <row r="298">
      <c r="C298">
        <f>IFERROR(VLOOKUP(B298,Trigger_Assessment!$A$2:$B$1000,2,FALSE),"")</f>
        <v/>
      </c>
      <c r="D298">
        <f>IFERROR(VLOOKUP(B298,Trigger_Assessment!$A$2:$C$1000,3,FALSE),"")</f>
        <v/>
      </c>
      <c r="G298" s="14" t="n"/>
      <c r="H298" s="14" t="n"/>
      <c r="I298" s="14" t="n"/>
      <c r="N298" s="14" t="n"/>
      <c r="P298" s="14">
        <f>IF(ISBLANK(I298),"",DATE(YEAR(I298)+1,MONTH(I298),DAY(I298)))</f>
        <v/>
      </c>
    </row>
    <row r="299">
      <c r="C299">
        <f>IFERROR(VLOOKUP(B299,Trigger_Assessment!$A$2:$B$1000,2,FALSE),"")</f>
        <v/>
      </c>
      <c r="D299">
        <f>IFERROR(VLOOKUP(B299,Trigger_Assessment!$A$2:$C$1000,3,FALSE),"")</f>
        <v/>
      </c>
      <c r="G299" s="14" t="n"/>
      <c r="H299" s="14" t="n"/>
      <c r="I299" s="14" t="n"/>
      <c r="N299" s="14" t="n"/>
      <c r="P299" s="14">
        <f>IF(ISBLANK(I299),"",DATE(YEAR(I299)+1,MONTH(I299),DAY(I299)))</f>
        <v/>
      </c>
    </row>
    <row r="300">
      <c r="C300">
        <f>IFERROR(VLOOKUP(B300,Trigger_Assessment!$A$2:$B$1000,2,FALSE),"")</f>
        <v/>
      </c>
      <c r="D300">
        <f>IFERROR(VLOOKUP(B300,Trigger_Assessment!$A$2:$C$1000,3,FALSE),"")</f>
        <v/>
      </c>
      <c r="G300" s="14" t="n"/>
      <c r="H300" s="14" t="n"/>
      <c r="I300" s="14" t="n"/>
      <c r="N300" s="14" t="n"/>
      <c r="P300" s="14">
        <f>IF(ISBLANK(I300),"",DATE(YEAR(I300)+1,MONTH(I300),DAY(I300)))</f>
        <v/>
      </c>
    </row>
    <row r="301">
      <c r="C301">
        <f>IFERROR(VLOOKUP(B301,Trigger_Assessment!$A$2:$B$1000,2,FALSE),"")</f>
        <v/>
      </c>
      <c r="D301">
        <f>IFERROR(VLOOKUP(B301,Trigger_Assessment!$A$2:$C$1000,3,FALSE),"")</f>
        <v/>
      </c>
      <c r="G301" s="14" t="n"/>
      <c r="H301" s="14" t="n"/>
      <c r="I301" s="14" t="n"/>
      <c r="N301" s="14" t="n"/>
      <c r="P301" s="14">
        <f>IF(ISBLANK(I301),"",DATE(YEAR(I301)+1,MONTH(I301),DAY(I301)))</f>
        <v/>
      </c>
    </row>
    <row r="302">
      <c r="C302">
        <f>IFERROR(VLOOKUP(B302,Trigger_Assessment!$A$2:$B$1000,2,FALSE),"")</f>
        <v/>
      </c>
      <c r="D302">
        <f>IFERROR(VLOOKUP(B302,Trigger_Assessment!$A$2:$C$1000,3,FALSE),"")</f>
        <v/>
      </c>
      <c r="G302" s="14" t="n"/>
      <c r="H302" s="14" t="n"/>
      <c r="I302" s="14" t="n"/>
      <c r="N302" s="14" t="n"/>
      <c r="P302" s="14">
        <f>IF(ISBLANK(I302),"",DATE(YEAR(I302)+1,MONTH(I302),DAY(I302)))</f>
        <v/>
      </c>
    </row>
    <row r="303">
      <c r="C303">
        <f>IFERROR(VLOOKUP(B303,Trigger_Assessment!$A$2:$B$1000,2,FALSE),"")</f>
        <v/>
      </c>
      <c r="D303">
        <f>IFERROR(VLOOKUP(B303,Trigger_Assessment!$A$2:$C$1000,3,FALSE),"")</f>
        <v/>
      </c>
      <c r="G303" s="14" t="n"/>
      <c r="H303" s="14" t="n"/>
      <c r="I303" s="14" t="n"/>
      <c r="N303" s="14" t="n"/>
      <c r="P303" s="14">
        <f>IF(ISBLANK(I303),"",DATE(YEAR(I303)+1,MONTH(I303),DAY(I303)))</f>
        <v/>
      </c>
    </row>
    <row r="304">
      <c r="C304">
        <f>IFERROR(VLOOKUP(B304,Trigger_Assessment!$A$2:$B$1000,2,FALSE),"")</f>
        <v/>
      </c>
      <c r="D304">
        <f>IFERROR(VLOOKUP(B304,Trigger_Assessment!$A$2:$C$1000,3,FALSE),"")</f>
        <v/>
      </c>
      <c r="G304" s="14" t="n"/>
      <c r="H304" s="14" t="n"/>
      <c r="I304" s="14" t="n"/>
      <c r="N304" s="14" t="n"/>
      <c r="P304" s="14">
        <f>IF(ISBLANK(I304),"",DATE(YEAR(I304)+1,MONTH(I304),DAY(I304)))</f>
        <v/>
      </c>
    </row>
    <row r="305">
      <c r="C305">
        <f>IFERROR(VLOOKUP(B305,Trigger_Assessment!$A$2:$B$1000,2,FALSE),"")</f>
        <v/>
      </c>
      <c r="D305">
        <f>IFERROR(VLOOKUP(B305,Trigger_Assessment!$A$2:$C$1000,3,FALSE),"")</f>
        <v/>
      </c>
      <c r="G305" s="14" t="n"/>
      <c r="H305" s="14" t="n"/>
      <c r="I305" s="14" t="n"/>
      <c r="N305" s="14" t="n"/>
      <c r="P305" s="14">
        <f>IF(ISBLANK(I305),"",DATE(YEAR(I305)+1,MONTH(I305),DAY(I305)))</f>
        <v/>
      </c>
    </row>
    <row r="306">
      <c r="C306">
        <f>IFERROR(VLOOKUP(B306,Trigger_Assessment!$A$2:$B$1000,2,FALSE),"")</f>
        <v/>
      </c>
      <c r="D306">
        <f>IFERROR(VLOOKUP(B306,Trigger_Assessment!$A$2:$C$1000,3,FALSE),"")</f>
        <v/>
      </c>
      <c r="G306" s="14" t="n"/>
      <c r="H306" s="14" t="n"/>
      <c r="I306" s="14" t="n"/>
      <c r="N306" s="14" t="n"/>
      <c r="P306" s="14">
        <f>IF(ISBLANK(I306),"",DATE(YEAR(I306)+1,MONTH(I306),DAY(I306)))</f>
        <v/>
      </c>
    </row>
    <row r="307">
      <c r="C307">
        <f>IFERROR(VLOOKUP(B307,Trigger_Assessment!$A$2:$B$1000,2,FALSE),"")</f>
        <v/>
      </c>
      <c r="D307">
        <f>IFERROR(VLOOKUP(B307,Trigger_Assessment!$A$2:$C$1000,3,FALSE),"")</f>
        <v/>
      </c>
      <c r="G307" s="14" t="n"/>
      <c r="H307" s="14" t="n"/>
      <c r="I307" s="14" t="n"/>
      <c r="N307" s="14" t="n"/>
      <c r="P307" s="14">
        <f>IF(ISBLANK(I307),"",DATE(YEAR(I307)+1,MONTH(I307),DAY(I307)))</f>
        <v/>
      </c>
    </row>
    <row r="308">
      <c r="C308">
        <f>IFERROR(VLOOKUP(B308,Trigger_Assessment!$A$2:$B$1000,2,FALSE),"")</f>
        <v/>
      </c>
      <c r="D308">
        <f>IFERROR(VLOOKUP(B308,Trigger_Assessment!$A$2:$C$1000,3,FALSE),"")</f>
        <v/>
      </c>
      <c r="G308" s="14" t="n"/>
      <c r="H308" s="14" t="n"/>
      <c r="I308" s="14" t="n"/>
      <c r="N308" s="14" t="n"/>
      <c r="P308" s="14">
        <f>IF(ISBLANK(I308),"",DATE(YEAR(I308)+1,MONTH(I308),DAY(I308)))</f>
        <v/>
      </c>
    </row>
    <row r="309">
      <c r="C309">
        <f>IFERROR(VLOOKUP(B309,Trigger_Assessment!$A$2:$B$1000,2,FALSE),"")</f>
        <v/>
      </c>
      <c r="D309">
        <f>IFERROR(VLOOKUP(B309,Trigger_Assessment!$A$2:$C$1000,3,FALSE),"")</f>
        <v/>
      </c>
      <c r="G309" s="14" t="n"/>
      <c r="H309" s="14" t="n"/>
      <c r="I309" s="14" t="n"/>
      <c r="N309" s="14" t="n"/>
      <c r="P309" s="14">
        <f>IF(ISBLANK(I309),"",DATE(YEAR(I309)+1,MONTH(I309),DAY(I309)))</f>
        <v/>
      </c>
    </row>
    <row r="310">
      <c r="C310">
        <f>IFERROR(VLOOKUP(B310,Trigger_Assessment!$A$2:$B$1000,2,FALSE),"")</f>
        <v/>
      </c>
      <c r="D310">
        <f>IFERROR(VLOOKUP(B310,Trigger_Assessment!$A$2:$C$1000,3,FALSE),"")</f>
        <v/>
      </c>
      <c r="G310" s="14" t="n"/>
      <c r="H310" s="14" t="n"/>
      <c r="I310" s="14" t="n"/>
      <c r="N310" s="14" t="n"/>
      <c r="P310" s="14">
        <f>IF(ISBLANK(I310),"",DATE(YEAR(I310)+1,MONTH(I310),DAY(I310)))</f>
        <v/>
      </c>
    </row>
    <row r="311">
      <c r="C311">
        <f>IFERROR(VLOOKUP(B311,Trigger_Assessment!$A$2:$B$1000,2,FALSE),"")</f>
        <v/>
      </c>
      <c r="D311">
        <f>IFERROR(VLOOKUP(B311,Trigger_Assessment!$A$2:$C$1000,3,FALSE),"")</f>
        <v/>
      </c>
      <c r="G311" s="14" t="n"/>
      <c r="H311" s="14" t="n"/>
      <c r="I311" s="14" t="n"/>
      <c r="N311" s="14" t="n"/>
      <c r="P311" s="14">
        <f>IF(ISBLANK(I311),"",DATE(YEAR(I311)+1,MONTH(I311),DAY(I311)))</f>
        <v/>
      </c>
    </row>
    <row r="312">
      <c r="C312">
        <f>IFERROR(VLOOKUP(B312,Trigger_Assessment!$A$2:$B$1000,2,FALSE),"")</f>
        <v/>
      </c>
      <c r="D312">
        <f>IFERROR(VLOOKUP(B312,Trigger_Assessment!$A$2:$C$1000,3,FALSE),"")</f>
        <v/>
      </c>
      <c r="G312" s="14" t="n"/>
      <c r="H312" s="14" t="n"/>
      <c r="I312" s="14" t="n"/>
      <c r="N312" s="14" t="n"/>
      <c r="P312" s="14">
        <f>IF(ISBLANK(I312),"",DATE(YEAR(I312)+1,MONTH(I312),DAY(I312)))</f>
        <v/>
      </c>
    </row>
    <row r="313">
      <c r="C313">
        <f>IFERROR(VLOOKUP(B313,Trigger_Assessment!$A$2:$B$1000,2,FALSE),"")</f>
        <v/>
      </c>
      <c r="D313">
        <f>IFERROR(VLOOKUP(B313,Trigger_Assessment!$A$2:$C$1000,3,FALSE),"")</f>
        <v/>
      </c>
      <c r="G313" s="14" t="n"/>
      <c r="H313" s="14" t="n"/>
      <c r="I313" s="14" t="n"/>
      <c r="N313" s="14" t="n"/>
      <c r="P313" s="14">
        <f>IF(ISBLANK(I313),"",DATE(YEAR(I313)+1,MONTH(I313),DAY(I313)))</f>
        <v/>
      </c>
    </row>
    <row r="314">
      <c r="C314">
        <f>IFERROR(VLOOKUP(B314,Trigger_Assessment!$A$2:$B$1000,2,FALSE),"")</f>
        <v/>
      </c>
      <c r="D314">
        <f>IFERROR(VLOOKUP(B314,Trigger_Assessment!$A$2:$C$1000,3,FALSE),"")</f>
        <v/>
      </c>
      <c r="G314" s="14" t="n"/>
      <c r="H314" s="14" t="n"/>
      <c r="I314" s="14" t="n"/>
      <c r="N314" s="14" t="n"/>
      <c r="P314" s="14">
        <f>IF(ISBLANK(I314),"",DATE(YEAR(I314)+1,MONTH(I314),DAY(I314)))</f>
        <v/>
      </c>
    </row>
    <row r="315">
      <c r="C315">
        <f>IFERROR(VLOOKUP(B315,Trigger_Assessment!$A$2:$B$1000,2,FALSE),"")</f>
        <v/>
      </c>
      <c r="D315">
        <f>IFERROR(VLOOKUP(B315,Trigger_Assessment!$A$2:$C$1000,3,FALSE),"")</f>
        <v/>
      </c>
      <c r="G315" s="14" t="n"/>
      <c r="H315" s="14" t="n"/>
      <c r="I315" s="14" t="n"/>
      <c r="N315" s="14" t="n"/>
      <c r="P315" s="14">
        <f>IF(ISBLANK(I315),"",DATE(YEAR(I315)+1,MONTH(I315),DAY(I315)))</f>
        <v/>
      </c>
    </row>
    <row r="316">
      <c r="C316">
        <f>IFERROR(VLOOKUP(B316,Trigger_Assessment!$A$2:$B$1000,2,FALSE),"")</f>
        <v/>
      </c>
      <c r="D316">
        <f>IFERROR(VLOOKUP(B316,Trigger_Assessment!$A$2:$C$1000,3,FALSE),"")</f>
        <v/>
      </c>
      <c r="G316" s="14" t="n"/>
      <c r="H316" s="14" t="n"/>
      <c r="I316" s="14" t="n"/>
      <c r="N316" s="14" t="n"/>
      <c r="P316" s="14">
        <f>IF(ISBLANK(I316),"",DATE(YEAR(I316)+1,MONTH(I316),DAY(I316)))</f>
        <v/>
      </c>
    </row>
    <row r="317">
      <c r="C317">
        <f>IFERROR(VLOOKUP(B317,Trigger_Assessment!$A$2:$B$1000,2,FALSE),"")</f>
        <v/>
      </c>
      <c r="D317">
        <f>IFERROR(VLOOKUP(B317,Trigger_Assessment!$A$2:$C$1000,3,FALSE),"")</f>
        <v/>
      </c>
      <c r="G317" s="14" t="n"/>
      <c r="H317" s="14" t="n"/>
      <c r="I317" s="14" t="n"/>
      <c r="N317" s="14" t="n"/>
      <c r="P317" s="14">
        <f>IF(ISBLANK(I317),"",DATE(YEAR(I317)+1,MONTH(I317),DAY(I317)))</f>
        <v/>
      </c>
    </row>
    <row r="318">
      <c r="C318">
        <f>IFERROR(VLOOKUP(B318,Trigger_Assessment!$A$2:$B$1000,2,FALSE),"")</f>
        <v/>
      </c>
      <c r="D318">
        <f>IFERROR(VLOOKUP(B318,Trigger_Assessment!$A$2:$C$1000,3,FALSE),"")</f>
        <v/>
      </c>
      <c r="G318" s="14" t="n"/>
      <c r="H318" s="14" t="n"/>
      <c r="I318" s="14" t="n"/>
      <c r="N318" s="14" t="n"/>
      <c r="P318" s="14">
        <f>IF(ISBLANK(I318),"",DATE(YEAR(I318)+1,MONTH(I318),DAY(I318)))</f>
        <v/>
      </c>
    </row>
    <row r="319">
      <c r="C319">
        <f>IFERROR(VLOOKUP(B319,Trigger_Assessment!$A$2:$B$1000,2,FALSE),"")</f>
        <v/>
      </c>
      <c r="D319">
        <f>IFERROR(VLOOKUP(B319,Trigger_Assessment!$A$2:$C$1000,3,FALSE),"")</f>
        <v/>
      </c>
      <c r="G319" s="14" t="n"/>
      <c r="H319" s="14" t="n"/>
      <c r="I319" s="14" t="n"/>
      <c r="N319" s="14" t="n"/>
      <c r="P319" s="14">
        <f>IF(ISBLANK(I319),"",DATE(YEAR(I319)+1,MONTH(I319),DAY(I319)))</f>
        <v/>
      </c>
    </row>
    <row r="320">
      <c r="C320">
        <f>IFERROR(VLOOKUP(B320,Trigger_Assessment!$A$2:$B$1000,2,FALSE),"")</f>
        <v/>
      </c>
      <c r="D320">
        <f>IFERROR(VLOOKUP(B320,Trigger_Assessment!$A$2:$C$1000,3,FALSE),"")</f>
        <v/>
      </c>
      <c r="G320" s="14" t="n"/>
      <c r="H320" s="14" t="n"/>
      <c r="I320" s="14" t="n"/>
      <c r="N320" s="14" t="n"/>
      <c r="P320" s="14">
        <f>IF(ISBLANK(I320),"",DATE(YEAR(I320)+1,MONTH(I320),DAY(I320)))</f>
        <v/>
      </c>
    </row>
    <row r="321">
      <c r="C321">
        <f>IFERROR(VLOOKUP(B321,Trigger_Assessment!$A$2:$B$1000,2,FALSE),"")</f>
        <v/>
      </c>
      <c r="D321">
        <f>IFERROR(VLOOKUP(B321,Trigger_Assessment!$A$2:$C$1000,3,FALSE),"")</f>
        <v/>
      </c>
      <c r="G321" s="14" t="n"/>
      <c r="H321" s="14" t="n"/>
      <c r="I321" s="14" t="n"/>
      <c r="N321" s="14" t="n"/>
      <c r="P321" s="14">
        <f>IF(ISBLANK(I321),"",DATE(YEAR(I321)+1,MONTH(I321),DAY(I321)))</f>
        <v/>
      </c>
    </row>
    <row r="322">
      <c r="C322">
        <f>IFERROR(VLOOKUP(B322,Trigger_Assessment!$A$2:$B$1000,2,FALSE),"")</f>
        <v/>
      </c>
      <c r="D322">
        <f>IFERROR(VLOOKUP(B322,Trigger_Assessment!$A$2:$C$1000,3,FALSE),"")</f>
        <v/>
      </c>
      <c r="G322" s="14" t="n"/>
      <c r="H322" s="14" t="n"/>
      <c r="I322" s="14" t="n"/>
      <c r="N322" s="14" t="n"/>
      <c r="P322" s="14">
        <f>IF(ISBLANK(I322),"",DATE(YEAR(I322)+1,MONTH(I322),DAY(I322)))</f>
        <v/>
      </c>
    </row>
    <row r="323">
      <c r="C323">
        <f>IFERROR(VLOOKUP(B323,Trigger_Assessment!$A$2:$B$1000,2,FALSE),"")</f>
        <v/>
      </c>
      <c r="D323">
        <f>IFERROR(VLOOKUP(B323,Trigger_Assessment!$A$2:$C$1000,3,FALSE),"")</f>
        <v/>
      </c>
      <c r="G323" s="14" t="n"/>
      <c r="H323" s="14" t="n"/>
      <c r="I323" s="14" t="n"/>
      <c r="N323" s="14" t="n"/>
      <c r="P323" s="14">
        <f>IF(ISBLANK(I323),"",DATE(YEAR(I323)+1,MONTH(I323),DAY(I323)))</f>
        <v/>
      </c>
    </row>
    <row r="324">
      <c r="C324">
        <f>IFERROR(VLOOKUP(B324,Trigger_Assessment!$A$2:$B$1000,2,FALSE),"")</f>
        <v/>
      </c>
      <c r="D324">
        <f>IFERROR(VLOOKUP(B324,Trigger_Assessment!$A$2:$C$1000,3,FALSE),"")</f>
        <v/>
      </c>
      <c r="G324" s="14" t="n"/>
      <c r="H324" s="14" t="n"/>
      <c r="I324" s="14" t="n"/>
      <c r="N324" s="14" t="n"/>
      <c r="P324" s="14">
        <f>IF(ISBLANK(I324),"",DATE(YEAR(I324)+1,MONTH(I324),DAY(I324)))</f>
        <v/>
      </c>
    </row>
    <row r="325">
      <c r="C325">
        <f>IFERROR(VLOOKUP(B325,Trigger_Assessment!$A$2:$B$1000,2,FALSE),"")</f>
        <v/>
      </c>
      <c r="D325">
        <f>IFERROR(VLOOKUP(B325,Trigger_Assessment!$A$2:$C$1000,3,FALSE),"")</f>
        <v/>
      </c>
      <c r="G325" s="14" t="n"/>
      <c r="H325" s="14" t="n"/>
      <c r="I325" s="14" t="n"/>
      <c r="N325" s="14" t="n"/>
      <c r="P325" s="14">
        <f>IF(ISBLANK(I325),"",DATE(YEAR(I325)+1,MONTH(I325),DAY(I325)))</f>
        <v/>
      </c>
    </row>
    <row r="326">
      <c r="C326">
        <f>IFERROR(VLOOKUP(B326,Trigger_Assessment!$A$2:$B$1000,2,FALSE),"")</f>
        <v/>
      </c>
      <c r="D326">
        <f>IFERROR(VLOOKUP(B326,Trigger_Assessment!$A$2:$C$1000,3,FALSE),"")</f>
        <v/>
      </c>
      <c r="G326" s="14" t="n"/>
      <c r="H326" s="14" t="n"/>
      <c r="I326" s="14" t="n"/>
      <c r="N326" s="14" t="n"/>
      <c r="P326" s="14">
        <f>IF(ISBLANK(I326),"",DATE(YEAR(I326)+1,MONTH(I326),DAY(I326)))</f>
        <v/>
      </c>
    </row>
    <row r="327">
      <c r="C327">
        <f>IFERROR(VLOOKUP(B327,Trigger_Assessment!$A$2:$B$1000,2,FALSE),"")</f>
        <v/>
      </c>
      <c r="D327">
        <f>IFERROR(VLOOKUP(B327,Trigger_Assessment!$A$2:$C$1000,3,FALSE),"")</f>
        <v/>
      </c>
      <c r="G327" s="14" t="n"/>
      <c r="H327" s="14" t="n"/>
      <c r="I327" s="14" t="n"/>
      <c r="N327" s="14" t="n"/>
      <c r="P327" s="14">
        <f>IF(ISBLANK(I327),"",DATE(YEAR(I327)+1,MONTH(I327),DAY(I327)))</f>
        <v/>
      </c>
    </row>
    <row r="328">
      <c r="C328">
        <f>IFERROR(VLOOKUP(B328,Trigger_Assessment!$A$2:$B$1000,2,FALSE),"")</f>
        <v/>
      </c>
      <c r="D328">
        <f>IFERROR(VLOOKUP(B328,Trigger_Assessment!$A$2:$C$1000,3,FALSE),"")</f>
        <v/>
      </c>
      <c r="G328" s="14" t="n"/>
      <c r="H328" s="14" t="n"/>
      <c r="I328" s="14" t="n"/>
      <c r="N328" s="14" t="n"/>
      <c r="P328" s="14">
        <f>IF(ISBLANK(I328),"",DATE(YEAR(I328)+1,MONTH(I328),DAY(I328)))</f>
        <v/>
      </c>
    </row>
    <row r="329">
      <c r="C329">
        <f>IFERROR(VLOOKUP(B329,Trigger_Assessment!$A$2:$B$1000,2,FALSE),"")</f>
        <v/>
      </c>
      <c r="D329">
        <f>IFERROR(VLOOKUP(B329,Trigger_Assessment!$A$2:$C$1000,3,FALSE),"")</f>
        <v/>
      </c>
      <c r="G329" s="14" t="n"/>
      <c r="H329" s="14" t="n"/>
      <c r="I329" s="14" t="n"/>
      <c r="N329" s="14" t="n"/>
      <c r="P329" s="14">
        <f>IF(ISBLANK(I329),"",DATE(YEAR(I329)+1,MONTH(I329),DAY(I329)))</f>
        <v/>
      </c>
    </row>
    <row r="330">
      <c r="C330">
        <f>IFERROR(VLOOKUP(B330,Trigger_Assessment!$A$2:$B$1000,2,FALSE),"")</f>
        <v/>
      </c>
      <c r="D330">
        <f>IFERROR(VLOOKUP(B330,Trigger_Assessment!$A$2:$C$1000,3,FALSE),"")</f>
        <v/>
      </c>
      <c r="G330" s="14" t="n"/>
      <c r="H330" s="14" t="n"/>
      <c r="I330" s="14" t="n"/>
      <c r="N330" s="14" t="n"/>
      <c r="P330" s="14">
        <f>IF(ISBLANK(I330),"",DATE(YEAR(I330)+1,MONTH(I330),DAY(I330)))</f>
        <v/>
      </c>
    </row>
    <row r="331">
      <c r="C331">
        <f>IFERROR(VLOOKUP(B331,Trigger_Assessment!$A$2:$B$1000,2,FALSE),"")</f>
        <v/>
      </c>
      <c r="D331">
        <f>IFERROR(VLOOKUP(B331,Trigger_Assessment!$A$2:$C$1000,3,FALSE),"")</f>
        <v/>
      </c>
      <c r="G331" s="14" t="n"/>
      <c r="H331" s="14" t="n"/>
      <c r="I331" s="14" t="n"/>
      <c r="N331" s="14" t="n"/>
      <c r="P331" s="14">
        <f>IF(ISBLANK(I331),"",DATE(YEAR(I331)+1,MONTH(I331),DAY(I331)))</f>
        <v/>
      </c>
    </row>
    <row r="332">
      <c r="C332">
        <f>IFERROR(VLOOKUP(B332,Trigger_Assessment!$A$2:$B$1000,2,FALSE),"")</f>
        <v/>
      </c>
      <c r="D332">
        <f>IFERROR(VLOOKUP(B332,Trigger_Assessment!$A$2:$C$1000,3,FALSE),"")</f>
        <v/>
      </c>
      <c r="G332" s="14" t="n"/>
      <c r="H332" s="14" t="n"/>
      <c r="I332" s="14" t="n"/>
      <c r="N332" s="14" t="n"/>
      <c r="P332" s="14">
        <f>IF(ISBLANK(I332),"",DATE(YEAR(I332)+1,MONTH(I332),DAY(I332)))</f>
        <v/>
      </c>
    </row>
    <row r="333">
      <c r="C333">
        <f>IFERROR(VLOOKUP(B333,Trigger_Assessment!$A$2:$B$1000,2,FALSE),"")</f>
        <v/>
      </c>
      <c r="D333">
        <f>IFERROR(VLOOKUP(B333,Trigger_Assessment!$A$2:$C$1000,3,FALSE),"")</f>
        <v/>
      </c>
      <c r="G333" s="14" t="n"/>
      <c r="H333" s="14" t="n"/>
      <c r="I333" s="14" t="n"/>
      <c r="N333" s="14" t="n"/>
      <c r="P333" s="14">
        <f>IF(ISBLANK(I333),"",DATE(YEAR(I333)+1,MONTH(I333),DAY(I333)))</f>
        <v/>
      </c>
    </row>
    <row r="334">
      <c r="C334">
        <f>IFERROR(VLOOKUP(B334,Trigger_Assessment!$A$2:$B$1000,2,FALSE),"")</f>
        <v/>
      </c>
      <c r="D334">
        <f>IFERROR(VLOOKUP(B334,Trigger_Assessment!$A$2:$C$1000,3,FALSE),"")</f>
        <v/>
      </c>
      <c r="G334" s="14" t="n"/>
      <c r="H334" s="14" t="n"/>
      <c r="I334" s="14" t="n"/>
      <c r="N334" s="14" t="n"/>
      <c r="P334" s="14">
        <f>IF(ISBLANK(I334),"",DATE(YEAR(I334)+1,MONTH(I334),DAY(I334)))</f>
        <v/>
      </c>
    </row>
    <row r="335">
      <c r="C335">
        <f>IFERROR(VLOOKUP(B335,Trigger_Assessment!$A$2:$B$1000,2,FALSE),"")</f>
        <v/>
      </c>
      <c r="D335">
        <f>IFERROR(VLOOKUP(B335,Trigger_Assessment!$A$2:$C$1000,3,FALSE),"")</f>
        <v/>
      </c>
      <c r="G335" s="14" t="n"/>
      <c r="H335" s="14" t="n"/>
      <c r="I335" s="14" t="n"/>
      <c r="N335" s="14" t="n"/>
      <c r="P335" s="14">
        <f>IF(ISBLANK(I335),"",DATE(YEAR(I335)+1,MONTH(I335),DAY(I335)))</f>
        <v/>
      </c>
    </row>
    <row r="336">
      <c r="C336">
        <f>IFERROR(VLOOKUP(B336,Trigger_Assessment!$A$2:$B$1000,2,FALSE),"")</f>
        <v/>
      </c>
      <c r="D336">
        <f>IFERROR(VLOOKUP(B336,Trigger_Assessment!$A$2:$C$1000,3,FALSE),"")</f>
        <v/>
      </c>
      <c r="G336" s="14" t="n"/>
      <c r="H336" s="14" t="n"/>
      <c r="I336" s="14" t="n"/>
      <c r="N336" s="14" t="n"/>
      <c r="P336" s="14">
        <f>IF(ISBLANK(I336),"",DATE(YEAR(I336)+1,MONTH(I336),DAY(I336)))</f>
        <v/>
      </c>
    </row>
    <row r="337">
      <c r="C337">
        <f>IFERROR(VLOOKUP(B337,Trigger_Assessment!$A$2:$B$1000,2,FALSE),"")</f>
        <v/>
      </c>
      <c r="D337">
        <f>IFERROR(VLOOKUP(B337,Trigger_Assessment!$A$2:$C$1000,3,FALSE),"")</f>
        <v/>
      </c>
      <c r="G337" s="14" t="n"/>
      <c r="H337" s="14" t="n"/>
      <c r="I337" s="14" t="n"/>
      <c r="N337" s="14" t="n"/>
      <c r="P337" s="14">
        <f>IF(ISBLANK(I337),"",DATE(YEAR(I337)+1,MONTH(I337),DAY(I337)))</f>
        <v/>
      </c>
    </row>
    <row r="338">
      <c r="C338">
        <f>IFERROR(VLOOKUP(B338,Trigger_Assessment!$A$2:$B$1000,2,FALSE),"")</f>
        <v/>
      </c>
      <c r="D338">
        <f>IFERROR(VLOOKUP(B338,Trigger_Assessment!$A$2:$C$1000,3,FALSE),"")</f>
        <v/>
      </c>
      <c r="G338" s="14" t="n"/>
      <c r="H338" s="14" t="n"/>
      <c r="I338" s="14" t="n"/>
      <c r="N338" s="14" t="n"/>
      <c r="P338" s="14">
        <f>IF(ISBLANK(I338),"",DATE(YEAR(I338)+1,MONTH(I338),DAY(I338)))</f>
        <v/>
      </c>
    </row>
    <row r="339">
      <c r="C339">
        <f>IFERROR(VLOOKUP(B339,Trigger_Assessment!$A$2:$B$1000,2,FALSE),"")</f>
        <v/>
      </c>
      <c r="D339">
        <f>IFERROR(VLOOKUP(B339,Trigger_Assessment!$A$2:$C$1000,3,FALSE),"")</f>
        <v/>
      </c>
      <c r="G339" s="14" t="n"/>
      <c r="H339" s="14" t="n"/>
      <c r="I339" s="14" t="n"/>
      <c r="N339" s="14" t="n"/>
      <c r="P339" s="14">
        <f>IF(ISBLANK(I339),"",DATE(YEAR(I339)+1,MONTH(I339),DAY(I339)))</f>
        <v/>
      </c>
    </row>
    <row r="340">
      <c r="C340">
        <f>IFERROR(VLOOKUP(B340,Trigger_Assessment!$A$2:$B$1000,2,FALSE),"")</f>
        <v/>
      </c>
      <c r="D340">
        <f>IFERROR(VLOOKUP(B340,Trigger_Assessment!$A$2:$C$1000,3,FALSE),"")</f>
        <v/>
      </c>
      <c r="G340" s="14" t="n"/>
      <c r="H340" s="14" t="n"/>
      <c r="I340" s="14" t="n"/>
      <c r="N340" s="14" t="n"/>
      <c r="P340" s="14">
        <f>IF(ISBLANK(I340),"",DATE(YEAR(I340)+1,MONTH(I340),DAY(I340)))</f>
        <v/>
      </c>
    </row>
    <row r="341">
      <c r="C341">
        <f>IFERROR(VLOOKUP(B341,Trigger_Assessment!$A$2:$B$1000,2,FALSE),"")</f>
        <v/>
      </c>
      <c r="D341">
        <f>IFERROR(VLOOKUP(B341,Trigger_Assessment!$A$2:$C$1000,3,FALSE),"")</f>
        <v/>
      </c>
      <c r="G341" s="14" t="n"/>
      <c r="H341" s="14" t="n"/>
      <c r="I341" s="14" t="n"/>
      <c r="N341" s="14" t="n"/>
      <c r="P341" s="14">
        <f>IF(ISBLANK(I341),"",DATE(YEAR(I341)+1,MONTH(I341),DAY(I341)))</f>
        <v/>
      </c>
    </row>
    <row r="342">
      <c r="C342">
        <f>IFERROR(VLOOKUP(B342,Trigger_Assessment!$A$2:$B$1000,2,FALSE),"")</f>
        <v/>
      </c>
      <c r="D342">
        <f>IFERROR(VLOOKUP(B342,Trigger_Assessment!$A$2:$C$1000,3,FALSE),"")</f>
        <v/>
      </c>
      <c r="G342" s="14" t="n"/>
      <c r="H342" s="14" t="n"/>
      <c r="I342" s="14" t="n"/>
      <c r="N342" s="14" t="n"/>
      <c r="P342" s="14">
        <f>IF(ISBLANK(I342),"",DATE(YEAR(I342)+1,MONTH(I342),DAY(I342)))</f>
        <v/>
      </c>
    </row>
    <row r="343">
      <c r="C343">
        <f>IFERROR(VLOOKUP(B343,Trigger_Assessment!$A$2:$B$1000,2,FALSE),"")</f>
        <v/>
      </c>
      <c r="D343">
        <f>IFERROR(VLOOKUP(B343,Trigger_Assessment!$A$2:$C$1000,3,FALSE),"")</f>
        <v/>
      </c>
      <c r="G343" s="14" t="n"/>
      <c r="H343" s="14" t="n"/>
      <c r="I343" s="14" t="n"/>
      <c r="N343" s="14" t="n"/>
      <c r="P343" s="14">
        <f>IF(ISBLANK(I343),"",DATE(YEAR(I343)+1,MONTH(I343),DAY(I343)))</f>
        <v/>
      </c>
    </row>
    <row r="344">
      <c r="C344">
        <f>IFERROR(VLOOKUP(B344,Trigger_Assessment!$A$2:$B$1000,2,FALSE),"")</f>
        <v/>
      </c>
      <c r="D344">
        <f>IFERROR(VLOOKUP(B344,Trigger_Assessment!$A$2:$C$1000,3,FALSE),"")</f>
        <v/>
      </c>
      <c r="G344" s="14" t="n"/>
      <c r="H344" s="14" t="n"/>
      <c r="I344" s="14" t="n"/>
      <c r="N344" s="14" t="n"/>
      <c r="P344" s="14">
        <f>IF(ISBLANK(I344),"",DATE(YEAR(I344)+1,MONTH(I344),DAY(I344)))</f>
        <v/>
      </c>
    </row>
    <row r="345">
      <c r="C345">
        <f>IFERROR(VLOOKUP(B345,Trigger_Assessment!$A$2:$B$1000,2,FALSE),"")</f>
        <v/>
      </c>
      <c r="D345">
        <f>IFERROR(VLOOKUP(B345,Trigger_Assessment!$A$2:$C$1000,3,FALSE),"")</f>
        <v/>
      </c>
      <c r="G345" s="14" t="n"/>
      <c r="H345" s="14" t="n"/>
      <c r="I345" s="14" t="n"/>
      <c r="N345" s="14" t="n"/>
      <c r="P345" s="14">
        <f>IF(ISBLANK(I345),"",DATE(YEAR(I345)+1,MONTH(I345),DAY(I345)))</f>
        <v/>
      </c>
    </row>
    <row r="346">
      <c r="C346">
        <f>IFERROR(VLOOKUP(B346,Trigger_Assessment!$A$2:$B$1000,2,FALSE),"")</f>
        <v/>
      </c>
      <c r="D346">
        <f>IFERROR(VLOOKUP(B346,Trigger_Assessment!$A$2:$C$1000,3,FALSE),"")</f>
        <v/>
      </c>
      <c r="G346" s="14" t="n"/>
      <c r="H346" s="14" t="n"/>
      <c r="I346" s="14" t="n"/>
      <c r="N346" s="14" t="n"/>
      <c r="P346" s="14">
        <f>IF(ISBLANK(I346),"",DATE(YEAR(I346)+1,MONTH(I346),DAY(I346)))</f>
        <v/>
      </c>
    </row>
    <row r="347">
      <c r="C347">
        <f>IFERROR(VLOOKUP(B347,Trigger_Assessment!$A$2:$B$1000,2,FALSE),"")</f>
        <v/>
      </c>
      <c r="D347">
        <f>IFERROR(VLOOKUP(B347,Trigger_Assessment!$A$2:$C$1000,3,FALSE),"")</f>
        <v/>
      </c>
      <c r="G347" s="14" t="n"/>
      <c r="H347" s="14" t="n"/>
      <c r="I347" s="14" t="n"/>
      <c r="N347" s="14" t="n"/>
      <c r="P347" s="14">
        <f>IF(ISBLANK(I347),"",DATE(YEAR(I347)+1,MONTH(I347),DAY(I347)))</f>
        <v/>
      </c>
    </row>
    <row r="348">
      <c r="C348">
        <f>IFERROR(VLOOKUP(B348,Trigger_Assessment!$A$2:$B$1000,2,FALSE),"")</f>
        <v/>
      </c>
      <c r="D348">
        <f>IFERROR(VLOOKUP(B348,Trigger_Assessment!$A$2:$C$1000,3,FALSE),"")</f>
        <v/>
      </c>
      <c r="G348" s="14" t="n"/>
      <c r="H348" s="14" t="n"/>
      <c r="I348" s="14" t="n"/>
      <c r="N348" s="14" t="n"/>
      <c r="P348" s="14">
        <f>IF(ISBLANK(I348),"",DATE(YEAR(I348)+1,MONTH(I348),DAY(I348)))</f>
        <v/>
      </c>
    </row>
    <row r="349">
      <c r="C349">
        <f>IFERROR(VLOOKUP(B349,Trigger_Assessment!$A$2:$B$1000,2,FALSE),"")</f>
        <v/>
      </c>
      <c r="D349">
        <f>IFERROR(VLOOKUP(B349,Trigger_Assessment!$A$2:$C$1000,3,FALSE),"")</f>
        <v/>
      </c>
      <c r="G349" s="14" t="n"/>
      <c r="H349" s="14" t="n"/>
      <c r="I349" s="14" t="n"/>
      <c r="N349" s="14" t="n"/>
      <c r="P349" s="14">
        <f>IF(ISBLANK(I349),"",DATE(YEAR(I349)+1,MONTH(I349),DAY(I349)))</f>
        <v/>
      </c>
    </row>
    <row r="350">
      <c r="C350">
        <f>IFERROR(VLOOKUP(B350,Trigger_Assessment!$A$2:$B$1000,2,FALSE),"")</f>
        <v/>
      </c>
      <c r="D350">
        <f>IFERROR(VLOOKUP(B350,Trigger_Assessment!$A$2:$C$1000,3,FALSE),"")</f>
        <v/>
      </c>
      <c r="G350" s="14" t="n"/>
      <c r="H350" s="14" t="n"/>
      <c r="I350" s="14" t="n"/>
      <c r="N350" s="14" t="n"/>
      <c r="P350" s="14">
        <f>IF(ISBLANK(I350),"",DATE(YEAR(I350)+1,MONTH(I350),DAY(I350)))</f>
        <v/>
      </c>
    </row>
    <row r="351">
      <c r="C351">
        <f>IFERROR(VLOOKUP(B351,Trigger_Assessment!$A$2:$B$1000,2,FALSE),"")</f>
        <v/>
      </c>
      <c r="D351">
        <f>IFERROR(VLOOKUP(B351,Trigger_Assessment!$A$2:$C$1000,3,FALSE),"")</f>
        <v/>
      </c>
      <c r="G351" s="14" t="n"/>
      <c r="H351" s="14" t="n"/>
      <c r="I351" s="14" t="n"/>
      <c r="N351" s="14" t="n"/>
      <c r="P351" s="14">
        <f>IF(ISBLANK(I351),"",DATE(YEAR(I351)+1,MONTH(I351),DAY(I351)))</f>
        <v/>
      </c>
    </row>
    <row r="352">
      <c r="C352">
        <f>IFERROR(VLOOKUP(B352,Trigger_Assessment!$A$2:$B$1000,2,FALSE),"")</f>
        <v/>
      </c>
      <c r="D352">
        <f>IFERROR(VLOOKUP(B352,Trigger_Assessment!$A$2:$C$1000,3,FALSE),"")</f>
        <v/>
      </c>
      <c r="G352" s="14" t="n"/>
      <c r="H352" s="14" t="n"/>
      <c r="I352" s="14" t="n"/>
      <c r="N352" s="14" t="n"/>
      <c r="P352" s="14">
        <f>IF(ISBLANK(I352),"",DATE(YEAR(I352)+1,MONTH(I352),DAY(I352)))</f>
        <v/>
      </c>
    </row>
    <row r="353">
      <c r="C353">
        <f>IFERROR(VLOOKUP(B353,Trigger_Assessment!$A$2:$B$1000,2,FALSE),"")</f>
        <v/>
      </c>
      <c r="D353">
        <f>IFERROR(VLOOKUP(B353,Trigger_Assessment!$A$2:$C$1000,3,FALSE),"")</f>
        <v/>
      </c>
      <c r="G353" s="14" t="n"/>
      <c r="H353" s="14" t="n"/>
      <c r="I353" s="14" t="n"/>
      <c r="N353" s="14" t="n"/>
      <c r="P353" s="14">
        <f>IF(ISBLANK(I353),"",DATE(YEAR(I353)+1,MONTH(I353),DAY(I353)))</f>
        <v/>
      </c>
    </row>
    <row r="354">
      <c r="C354">
        <f>IFERROR(VLOOKUP(B354,Trigger_Assessment!$A$2:$B$1000,2,FALSE),"")</f>
        <v/>
      </c>
      <c r="D354">
        <f>IFERROR(VLOOKUP(B354,Trigger_Assessment!$A$2:$C$1000,3,FALSE),"")</f>
        <v/>
      </c>
      <c r="G354" s="14" t="n"/>
      <c r="H354" s="14" t="n"/>
      <c r="I354" s="14" t="n"/>
      <c r="N354" s="14" t="n"/>
      <c r="P354" s="14">
        <f>IF(ISBLANK(I354),"",DATE(YEAR(I354)+1,MONTH(I354),DAY(I354)))</f>
        <v/>
      </c>
    </row>
    <row r="355">
      <c r="C355">
        <f>IFERROR(VLOOKUP(B355,Trigger_Assessment!$A$2:$B$1000,2,FALSE),"")</f>
        <v/>
      </c>
      <c r="D355">
        <f>IFERROR(VLOOKUP(B355,Trigger_Assessment!$A$2:$C$1000,3,FALSE),"")</f>
        <v/>
      </c>
      <c r="G355" s="14" t="n"/>
      <c r="H355" s="14" t="n"/>
      <c r="I355" s="14" t="n"/>
      <c r="N355" s="14" t="n"/>
      <c r="P355" s="14">
        <f>IF(ISBLANK(I355),"",DATE(YEAR(I355)+1,MONTH(I355),DAY(I355)))</f>
        <v/>
      </c>
    </row>
    <row r="356">
      <c r="C356">
        <f>IFERROR(VLOOKUP(B356,Trigger_Assessment!$A$2:$B$1000,2,FALSE),"")</f>
        <v/>
      </c>
      <c r="D356">
        <f>IFERROR(VLOOKUP(B356,Trigger_Assessment!$A$2:$C$1000,3,FALSE),"")</f>
        <v/>
      </c>
      <c r="G356" s="14" t="n"/>
      <c r="H356" s="14" t="n"/>
      <c r="I356" s="14" t="n"/>
      <c r="N356" s="14" t="n"/>
      <c r="P356" s="14">
        <f>IF(ISBLANK(I356),"",DATE(YEAR(I356)+1,MONTH(I356),DAY(I356)))</f>
        <v/>
      </c>
    </row>
    <row r="357">
      <c r="C357">
        <f>IFERROR(VLOOKUP(B357,Trigger_Assessment!$A$2:$B$1000,2,FALSE),"")</f>
        <v/>
      </c>
      <c r="D357">
        <f>IFERROR(VLOOKUP(B357,Trigger_Assessment!$A$2:$C$1000,3,FALSE),"")</f>
        <v/>
      </c>
      <c r="G357" s="14" t="n"/>
      <c r="H357" s="14" t="n"/>
      <c r="I357" s="14" t="n"/>
      <c r="N357" s="14" t="n"/>
      <c r="P357" s="14">
        <f>IF(ISBLANK(I357),"",DATE(YEAR(I357)+1,MONTH(I357),DAY(I357)))</f>
        <v/>
      </c>
    </row>
    <row r="358">
      <c r="C358">
        <f>IFERROR(VLOOKUP(B358,Trigger_Assessment!$A$2:$B$1000,2,FALSE),"")</f>
        <v/>
      </c>
      <c r="D358">
        <f>IFERROR(VLOOKUP(B358,Trigger_Assessment!$A$2:$C$1000,3,FALSE),"")</f>
        <v/>
      </c>
      <c r="G358" s="14" t="n"/>
      <c r="H358" s="14" t="n"/>
      <c r="I358" s="14" t="n"/>
      <c r="N358" s="14" t="n"/>
      <c r="P358" s="14">
        <f>IF(ISBLANK(I358),"",DATE(YEAR(I358)+1,MONTH(I358),DAY(I358)))</f>
        <v/>
      </c>
    </row>
    <row r="359">
      <c r="C359">
        <f>IFERROR(VLOOKUP(B359,Trigger_Assessment!$A$2:$B$1000,2,FALSE),"")</f>
        <v/>
      </c>
      <c r="D359">
        <f>IFERROR(VLOOKUP(B359,Trigger_Assessment!$A$2:$C$1000,3,FALSE),"")</f>
        <v/>
      </c>
      <c r="G359" s="14" t="n"/>
      <c r="H359" s="14" t="n"/>
      <c r="I359" s="14" t="n"/>
      <c r="N359" s="14" t="n"/>
      <c r="P359" s="14">
        <f>IF(ISBLANK(I359),"",DATE(YEAR(I359)+1,MONTH(I359),DAY(I359)))</f>
        <v/>
      </c>
    </row>
    <row r="360">
      <c r="C360">
        <f>IFERROR(VLOOKUP(B360,Trigger_Assessment!$A$2:$B$1000,2,FALSE),"")</f>
        <v/>
      </c>
      <c r="D360">
        <f>IFERROR(VLOOKUP(B360,Trigger_Assessment!$A$2:$C$1000,3,FALSE),"")</f>
        <v/>
      </c>
      <c r="G360" s="14" t="n"/>
      <c r="H360" s="14" t="n"/>
      <c r="I360" s="14" t="n"/>
      <c r="N360" s="14" t="n"/>
      <c r="P360" s="14">
        <f>IF(ISBLANK(I360),"",DATE(YEAR(I360)+1,MONTH(I360),DAY(I360)))</f>
        <v/>
      </c>
    </row>
    <row r="361">
      <c r="C361">
        <f>IFERROR(VLOOKUP(B361,Trigger_Assessment!$A$2:$B$1000,2,FALSE),"")</f>
        <v/>
      </c>
      <c r="D361">
        <f>IFERROR(VLOOKUP(B361,Trigger_Assessment!$A$2:$C$1000,3,FALSE),"")</f>
        <v/>
      </c>
      <c r="G361" s="14" t="n"/>
      <c r="H361" s="14" t="n"/>
      <c r="I361" s="14" t="n"/>
      <c r="N361" s="14" t="n"/>
      <c r="P361" s="14">
        <f>IF(ISBLANK(I361),"",DATE(YEAR(I361)+1,MONTH(I361),DAY(I361)))</f>
        <v/>
      </c>
    </row>
    <row r="362">
      <c r="C362">
        <f>IFERROR(VLOOKUP(B362,Trigger_Assessment!$A$2:$B$1000,2,FALSE),"")</f>
        <v/>
      </c>
      <c r="D362">
        <f>IFERROR(VLOOKUP(B362,Trigger_Assessment!$A$2:$C$1000,3,FALSE),"")</f>
        <v/>
      </c>
      <c r="G362" s="14" t="n"/>
      <c r="H362" s="14" t="n"/>
      <c r="I362" s="14" t="n"/>
      <c r="N362" s="14" t="n"/>
      <c r="P362" s="14">
        <f>IF(ISBLANK(I362),"",DATE(YEAR(I362)+1,MONTH(I362),DAY(I362)))</f>
        <v/>
      </c>
    </row>
    <row r="363">
      <c r="C363">
        <f>IFERROR(VLOOKUP(B363,Trigger_Assessment!$A$2:$B$1000,2,FALSE),"")</f>
        <v/>
      </c>
      <c r="D363">
        <f>IFERROR(VLOOKUP(B363,Trigger_Assessment!$A$2:$C$1000,3,FALSE),"")</f>
        <v/>
      </c>
      <c r="G363" s="14" t="n"/>
      <c r="H363" s="14" t="n"/>
      <c r="I363" s="14" t="n"/>
      <c r="N363" s="14" t="n"/>
      <c r="P363" s="14">
        <f>IF(ISBLANK(I363),"",DATE(YEAR(I363)+1,MONTH(I363),DAY(I363)))</f>
        <v/>
      </c>
    </row>
    <row r="364">
      <c r="C364">
        <f>IFERROR(VLOOKUP(B364,Trigger_Assessment!$A$2:$B$1000,2,FALSE),"")</f>
        <v/>
      </c>
      <c r="D364">
        <f>IFERROR(VLOOKUP(B364,Trigger_Assessment!$A$2:$C$1000,3,FALSE),"")</f>
        <v/>
      </c>
      <c r="G364" s="14" t="n"/>
      <c r="H364" s="14" t="n"/>
      <c r="I364" s="14" t="n"/>
      <c r="N364" s="14" t="n"/>
      <c r="P364" s="14">
        <f>IF(ISBLANK(I364),"",DATE(YEAR(I364)+1,MONTH(I364),DAY(I364)))</f>
        <v/>
      </c>
    </row>
    <row r="365">
      <c r="C365">
        <f>IFERROR(VLOOKUP(B365,Trigger_Assessment!$A$2:$B$1000,2,FALSE),"")</f>
        <v/>
      </c>
      <c r="D365">
        <f>IFERROR(VLOOKUP(B365,Trigger_Assessment!$A$2:$C$1000,3,FALSE),"")</f>
        <v/>
      </c>
      <c r="G365" s="14" t="n"/>
      <c r="H365" s="14" t="n"/>
      <c r="I365" s="14" t="n"/>
      <c r="N365" s="14" t="n"/>
      <c r="P365" s="14">
        <f>IF(ISBLANK(I365),"",DATE(YEAR(I365)+1,MONTH(I365),DAY(I365)))</f>
        <v/>
      </c>
    </row>
    <row r="366">
      <c r="C366">
        <f>IFERROR(VLOOKUP(B366,Trigger_Assessment!$A$2:$B$1000,2,FALSE),"")</f>
        <v/>
      </c>
      <c r="D366">
        <f>IFERROR(VLOOKUP(B366,Trigger_Assessment!$A$2:$C$1000,3,FALSE),"")</f>
        <v/>
      </c>
      <c r="G366" s="14" t="n"/>
      <c r="H366" s="14" t="n"/>
      <c r="I366" s="14" t="n"/>
      <c r="N366" s="14" t="n"/>
      <c r="P366" s="14">
        <f>IF(ISBLANK(I366),"",DATE(YEAR(I366)+1,MONTH(I366),DAY(I366)))</f>
        <v/>
      </c>
    </row>
    <row r="367">
      <c r="C367">
        <f>IFERROR(VLOOKUP(B367,Trigger_Assessment!$A$2:$B$1000,2,FALSE),"")</f>
        <v/>
      </c>
      <c r="D367">
        <f>IFERROR(VLOOKUP(B367,Trigger_Assessment!$A$2:$C$1000,3,FALSE),"")</f>
        <v/>
      </c>
      <c r="G367" s="14" t="n"/>
      <c r="H367" s="14" t="n"/>
      <c r="I367" s="14" t="n"/>
      <c r="N367" s="14" t="n"/>
      <c r="P367" s="14">
        <f>IF(ISBLANK(I367),"",DATE(YEAR(I367)+1,MONTH(I367),DAY(I367)))</f>
        <v/>
      </c>
    </row>
    <row r="368">
      <c r="C368">
        <f>IFERROR(VLOOKUP(B368,Trigger_Assessment!$A$2:$B$1000,2,FALSE),"")</f>
        <v/>
      </c>
      <c r="D368">
        <f>IFERROR(VLOOKUP(B368,Trigger_Assessment!$A$2:$C$1000,3,FALSE),"")</f>
        <v/>
      </c>
      <c r="G368" s="14" t="n"/>
      <c r="H368" s="14" t="n"/>
      <c r="I368" s="14" t="n"/>
      <c r="N368" s="14" t="n"/>
      <c r="P368" s="14">
        <f>IF(ISBLANK(I368),"",DATE(YEAR(I368)+1,MONTH(I368),DAY(I368)))</f>
        <v/>
      </c>
    </row>
    <row r="369">
      <c r="C369">
        <f>IFERROR(VLOOKUP(B369,Trigger_Assessment!$A$2:$B$1000,2,FALSE),"")</f>
        <v/>
      </c>
      <c r="D369">
        <f>IFERROR(VLOOKUP(B369,Trigger_Assessment!$A$2:$C$1000,3,FALSE),"")</f>
        <v/>
      </c>
      <c r="G369" s="14" t="n"/>
      <c r="H369" s="14" t="n"/>
      <c r="I369" s="14" t="n"/>
      <c r="N369" s="14" t="n"/>
      <c r="P369" s="14">
        <f>IF(ISBLANK(I369),"",DATE(YEAR(I369)+1,MONTH(I369),DAY(I369)))</f>
        <v/>
      </c>
    </row>
    <row r="370">
      <c r="C370">
        <f>IFERROR(VLOOKUP(B370,Trigger_Assessment!$A$2:$B$1000,2,FALSE),"")</f>
        <v/>
      </c>
      <c r="D370">
        <f>IFERROR(VLOOKUP(B370,Trigger_Assessment!$A$2:$C$1000,3,FALSE),"")</f>
        <v/>
      </c>
      <c r="G370" s="14" t="n"/>
      <c r="H370" s="14" t="n"/>
      <c r="I370" s="14" t="n"/>
      <c r="N370" s="14" t="n"/>
      <c r="P370" s="14">
        <f>IF(ISBLANK(I370),"",DATE(YEAR(I370)+1,MONTH(I370),DAY(I370)))</f>
        <v/>
      </c>
    </row>
    <row r="371">
      <c r="C371">
        <f>IFERROR(VLOOKUP(B371,Trigger_Assessment!$A$2:$B$1000,2,FALSE),"")</f>
        <v/>
      </c>
      <c r="D371">
        <f>IFERROR(VLOOKUP(B371,Trigger_Assessment!$A$2:$C$1000,3,FALSE),"")</f>
        <v/>
      </c>
      <c r="G371" s="14" t="n"/>
      <c r="H371" s="14" t="n"/>
      <c r="I371" s="14" t="n"/>
      <c r="N371" s="14" t="n"/>
      <c r="P371" s="14">
        <f>IF(ISBLANK(I371),"",DATE(YEAR(I371)+1,MONTH(I371),DAY(I371)))</f>
        <v/>
      </c>
    </row>
    <row r="372">
      <c r="C372">
        <f>IFERROR(VLOOKUP(B372,Trigger_Assessment!$A$2:$B$1000,2,FALSE),"")</f>
        <v/>
      </c>
      <c r="D372">
        <f>IFERROR(VLOOKUP(B372,Trigger_Assessment!$A$2:$C$1000,3,FALSE),"")</f>
        <v/>
      </c>
      <c r="G372" s="14" t="n"/>
      <c r="H372" s="14" t="n"/>
      <c r="I372" s="14" t="n"/>
      <c r="N372" s="14" t="n"/>
      <c r="P372" s="14">
        <f>IF(ISBLANK(I372),"",DATE(YEAR(I372)+1,MONTH(I372),DAY(I372)))</f>
        <v/>
      </c>
    </row>
    <row r="373">
      <c r="C373">
        <f>IFERROR(VLOOKUP(B373,Trigger_Assessment!$A$2:$B$1000,2,FALSE),"")</f>
        <v/>
      </c>
      <c r="D373">
        <f>IFERROR(VLOOKUP(B373,Trigger_Assessment!$A$2:$C$1000,3,FALSE),"")</f>
        <v/>
      </c>
      <c r="G373" s="14" t="n"/>
      <c r="H373" s="14" t="n"/>
      <c r="I373" s="14" t="n"/>
      <c r="N373" s="14" t="n"/>
      <c r="P373" s="14">
        <f>IF(ISBLANK(I373),"",DATE(YEAR(I373)+1,MONTH(I373),DAY(I373)))</f>
        <v/>
      </c>
    </row>
    <row r="374">
      <c r="C374">
        <f>IFERROR(VLOOKUP(B374,Trigger_Assessment!$A$2:$B$1000,2,FALSE),"")</f>
        <v/>
      </c>
      <c r="D374">
        <f>IFERROR(VLOOKUP(B374,Trigger_Assessment!$A$2:$C$1000,3,FALSE),"")</f>
        <v/>
      </c>
      <c r="G374" s="14" t="n"/>
      <c r="H374" s="14" t="n"/>
      <c r="I374" s="14" t="n"/>
      <c r="N374" s="14" t="n"/>
      <c r="P374" s="14">
        <f>IF(ISBLANK(I374),"",DATE(YEAR(I374)+1,MONTH(I374),DAY(I374)))</f>
        <v/>
      </c>
    </row>
    <row r="375">
      <c r="C375">
        <f>IFERROR(VLOOKUP(B375,Trigger_Assessment!$A$2:$B$1000,2,FALSE),"")</f>
        <v/>
      </c>
      <c r="D375">
        <f>IFERROR(VLOOKUP(B375,Trigger_Assessment!$A$2:$C$1000,3,FALSE),"")</f>
        <v/>
      </c>
      <c r="G375" s="14" t="n"/>
      <c r="H375" s="14" t="n"/>
      <c r="I375" s="14" t="n"/>
      <c r="N375" s="14" t="n"/>
      <c r="P375" s="14">
        <f>IF(ISBLANK(I375),"",DATE(YEAR(I375)+1,MONTH(I375),DAY(I375)))</f>
        <v/>
      </c>
    </row>
    <row r="376">
      <c r="C376">
        <f>IFERROR(VLOOKUP(B376,Trigger_Assessment!$A$2:$B$1000,2,FALSE),"")</f>
        <v/>
      </c>
      <c r="D376">
        <f>IFERROR(VLOOKUP(B376,Trigger_Assessment!$A$2:$C$1000,3,FALSE),"")</f>
        <v/>
      </c>
      <c r="G376" s="14" t="n"/>
      <c r="H376" s="14" t="n"/>
      <c r="I376" s="14" t="n"/>
      <c r="N376" s="14" t="n"/>
      <c r="P376" s="14">
        <f>IF(ISBLANK(I376),"",DATE(YEAR(I376)+1,MONTH(I376),DAY(I376)))</f>
        <v/>
      </c>
    </row>
    <row r="377">
      <c r="C377">
        <f>IFERROR(VLOOKUP(B377,Trigger_Assessment!$A$2:$B$1000,2,FALSE),"")</f>
        <v/>
      </c>
      <c r="D377">
        <f>IFERROR(VLOOKUP(B377,Trigger_Assessment!$A$2:$C$1000,3,FALSE),"")</f>
        <v/>
      </c>
      <c r="G377" s="14" t="n"/>
      <c r="H377" s="14" t="n"/>
      <c r="I377" s="14" t="n"/>
      <c r="N377" s="14" t="n"/>
      <c r="P377" s="14">
        <f>IF(ISBLANK(I377),"",DATE(YEAR(I377)+1,MONTH(I377),DAY(I377)))</f>
        <v/>
      </c>
    </row>
    <row r="378">
      <c r="C378">
        <f>IFERROR(VLOOKUP(B378,Trigger_Assessment!$A$2:$B$1000,2,FALSE),"")</f>
        <v/>
      </c>
      <c r="D378">
        <f>IFERROR(VLOOKUP(B378,Trigger_Assessment!$A$2:$C$1000,3,FALSE),"")</f>
        <v/>
      </c>
      <c r="G378" s="14" t="n"/>
      <c r="H378" s="14" t="n"/>
      <c r="I378" s="14" t="n"/>
      <c r="N378" s="14" t="n"/>
      <c r="P378" s="14">
        <f>IF(ISBLANK(I378),"",DATE(YEAR(I378)+1,MONTH(I378),DAY(I378)))</f>
        <v/>
      </c>
    </row>
    <row r="379">
      <c r="C379">
        <f>IFERROR(VLOOKUP(B379,Trigger_Assessment!$A$2:$B$1000,2,FALSE),"")</f>
        <v/>
      </c>
      <c r="D379">
        <f>IFERROR(VLOOKUP(B379,Trigger_Assessment!$A$2:$C$1000,3,FALSE),"")</f>
        <v/>
      </c>
      <c r="G379" s="14" t="n"/>
      <c r="H379" s="14" t="n"/>
      <c r="I379" s="14" t="n"/>
      <c r="N379" s="14" t="n"/>
      <c r="P379" s="14">
        <f>IF(ISBLANK(I379),"",DATE(YEAR(I379)+1,MONTH(I379),DAY(I379)))</f>
        <v/>
      </c>
    </row>
    <row r="380">
      <c r="C380">
        <f>IFERROR(VLOOKUP(B380,Trigger_Assessment!$A$2:$B$1000,2,FALSE),"")</f>
        <v/>
      </c>
      <c r="D380">
        <f>IFERROR(VLOOKUP(B380,Trigger_Assessment!$A$2:$C$1000,3,FALSE),"")</f>
        <v/>
      </c>
      <c r="G380" s="14" t="n"/>
      <c r="H380" s="14" t="n"/>
      <c r="I380" s="14" t="n"/>
      <c r="N380" s="14" t="n"/>
      <c r="P380" s="14">
        <f>IF(ISBLANK(I380),"",DATE(YEAR(I380)+1,MONTH(I380),DAY(I380)))</f>
        <v/>
      </c>
    </row>
    <row r="381">
      <c r="C381">
        <f>IFERROR(VLOOKUP(B381,Trigger_Assessment!$A$2:$B$1000,2,FALSE),"")</f>
        <v/>
      </c>
      <c r="D381">
        <f>IFERROR(VLOOKUP(B381,Trigger_Assessment!$A$2:$C$1000,3,FALSE),"")</f>
        <v/>
      </c>
      <c r="G381" s="14" t="n"/>
      <c r="H381" s="14" t="n"/>
      <c r="I381" s="14" t="n"/>
      <c r="N381" s="14" t="n"/>
      <c r="P381" s="14">
        <f>IF(ISBLANK(I381),"",DATE(YEAR(I381)+1,MONTH(I381),DAY(I381)))</f>
        <v/>
      </c>
    </row>
    <row r="382">
      <c r="C382">
        <f>IFERROR(VLOOKUP(B382,Trigger_Assessment!$A$2:$B$1000,2,FALSE),"")</f>
        <v/>
      </c>
      <c r="D382">
        <f>IFERROR(VLOOKUP(B382,Trigger_Assessment!$A$2:$C$1000,3,FALSE),"")</f>
        <v/>
      </c>
      <c r="G382" s="14" t="n"/>
      <c r="H382" s="14" t="n"/>
      <c r="I382" s="14" t="n"/>
      <c r="N382" s="14" t="n"/>
      <c r="P382" s="14">
        <f>IF(ISBLANK(I382),"",DATE(YEAR(I382)+1,MONTH(I382),DAY(I382)))</f>
        <v/>
      </c>
    </row>
    <row r="383">
      <c r="C383">
        <f>IFERROR(VLOOKUP(B383,Trigger_Assessment!$A$2:$B$1000,2,FALSE),"")</f>
        <v/>
      </c>
      <c r="D383">
        <f>IFERROR(VLOOKUP(B383,Trigger_Assessment!$A$2:$C$1000,3,FALSE),"")</f>
        <v/>
      </c>
      <c r="G383" s="14" t="n"/>
      <c r="H383" s="14" t="n"/>
      <c r="I383" s="14" t="n"/>
      <c r="N383" s="14" t="n"/>
      <c r="P383" s="14">
        <f>IF(ISBLANK(I383),"",DATE(YEAR(I383)+1,MONTH(I383),DAY(I383)))</f>
        <v/>
      </c>
    </row>
    <row r="384">
      <c r="C384">
        <f>IFERROR(VLOOKUP(B384,Trigger_Assessment!$A$2:$B$1000,2,FALSE),"")</f>
        <v/>
      </c>
      <c r="D384">
        <f>IFERROR(VLOOKUP(B384,Trigger_Assessment!$A$2:$C$1000,3,FALSE),"")</f>
        <v/>
      </c>
      <c r="G384" s="14" t="n"/>
      <c r="H384" s="14" t="n"/>
      <c r="I384" s="14" t="n"/>
      <c r="N384" s="14" t="n"/>
      <c r="P384" s="14">
        <f>IF(ISBLANK(I384),"",DATE(YEAR(I384)+1,MONTH(I384),DAY(I384)))</f>
        <v/>
      </c>
    </row>
    <row r="385">
      <c r="C385">
        <f>IFERROR(VLOOKUP(B385,Trigger_Assessment!$A$2:$B$1000,2,FALSE),"")</f>
        <v/>
      </c>
      <c r="D385">
        <f>IFERROR(VLOOKUP(B385,Trigger_Assessment!$A$2:$C$1000,3,FALSE),"")</f>
        <v/>
      </c>
      <c r="G385" s="14" t="n"/>
      <c r="H385" s="14" t="n"/>
      <c r="I385" s="14" t="n"/>
      <c r="N385" s="14" t="n"/>
      <c r="P385" s="14">
        <f>IF(ISBLANK(I385),"",DATE(YEAR(I385)+1,MONTH(I385),DAY(I385)))</f>
        <v/>
      </c>
    </row>
    <row r="386">
      <c r="C386">
        <f>IFERROR(VLOOKUP(B386,Trigger_Assessment!$A$2:$B$1000,2,FALSE),"")</f>
        <v/>
      </c>
      <c r="D386">
        <f>IFERROR(VLOOKUP(B386,Trigger_Assessment!$A$2:$C$1000,3,FALSE),"")</f>
        <v/>
      </c>
      <c r="G386" s="14" t="n"/>
      <c r="H386" s="14" t="n"/>
      <c r="I386" s="14" t="n"/>
      <c r="N386" s="14" t="n"/>
      <c r="P386" s="14">
        <f>IF(ISBLANK(I386),"",DATE(YEAR(I386)+1,MONTH(I386),DAY(I386)))</f>
        <v/>
      </c>
    </row>
    <row r="387">
      <c r="C387">
        <f>IFERROR(VLOOKUP(B387,Trigger_Assessment!$A$2:$B$1000,2,FALSE),"")</f>
        <v/>
      </c>
      <c r="D387">
        <f>IFERROR(VLOOKUP(B387,Trigger_Assessment!$A$2:$C$1000,3,FALSE),"")</f>
        <v/>
      </c>
      <c r="G387" s="14" t="n"/>
      <c r="H387" s="14" t="n"/>
      <c r="I387" s="14" t="n"/>
      <c r="N387" s="14" t="n"/>
      <c r="P387" s="14">
        <f>IF(ISBLANK(I387),"",DATE(YEAR(I387)+1,MONTH(I387),DAY(I387)))</f>
        <v/>
      </c>
    </row>
    <row r="388">
      <c r="C388">
        <f>IFERROR(VLOOKUP(B388,Trigger_Assessment!$A$2:$B$1000,2,FALSE),"")</f>
        <v/>
      </c>
      <c r="D388">
        <f>IFERROR(VLOOKUP(B388,Trigger_Assessment!$A$2:$C$1000,3,FALSE),"")</f>
        <v/>
      </c>
      <c r="G388" s="14" t="n"/>
      <c r="H388" s="14" t="n"/>
      <c r="I388" s="14" t="n"/>
      <c r="N388" s="14" t="n"/>
      <c r="P388" s="14">
        <f>IF(ISBLANK(I388),"",DATE(YEAR(I388)+1,MONTH(I388),DAY(I388)))</f>
        <v/>
      </c>
    </row>
    <row r="389">
      <c r="C389">
        <f>IFERROR(VLOOKUP(B389,Trigger_Assessment!$A$2:$B$1000,2,FALSE),"")</f>
        <v/>
      </c>
      <c r="D389">
        <f>IFERROR(VLOOKUP(B389,Trigger_Assessment!$A$2:$C$1000,3,FALSE),"")</f>
        <v/>
      </c>
      <c r="G389" s="14" t="n"/>
      <c r="H389" s="14" t="n"/>
      <c r="I389" s="14" t="n"/>
      <c r="N389" s="14" t="n"/>
      <c r="P389" s="14">
        <f>IF(ISBLANK(I389),"",DATE(YEAR(I389)+1,MONTH(I389),DAY(I389)))</f>
        <v/>
      </c>
    </row>
    <row r="390">
      <c r="C390">
        <f>IFERROR(VLOOKUP(B390,Trigger_Assessment!$A$2:$B$1000,2,FALSE),"")</f>
        <v/>
      </c>
      <c r="D390">
        <f>IFERROR(VLOOKUP(B390,Trigger_Assessment!$A$2:$C$1000,3,FALSE),"")</f>
        <v/>
      </c>
      <c r="G390" s="14" t="n"/>
      <c r="H390" s="14" t="n"/>
      <c r="I390" s="14" t="n"/>
      <c r="N390" s="14" t="n"/>
      <c r="P390" s="14">
        <f>IF(ISBLANK(I390),"",DATE(YEAR(I390)+1,MONTH(I390),DAY(I390)))</f>
        <v/>
      </c>
    </row>
    <row r="391">
      <c r="C391">
        <f>IFERROR(VLOOKUP(B391,Trigger_Assessment!$A$2:$B$1000,2,FALSE),"")</f>
        <v/>
      </c>
      <c r="D391">
        <f>IFERROR(VLOOKUP(B391,Trigger_Assessment!$A$2:$C$1000,3,FALSE),"")</f>
        <v/>
      </c>
      <c r="G391" s="14" t="n"/>
      <c r="H391" s="14" t="n"/>
      <c r="I391" s="14" t="n"/>
      <c r="N391" s="14" t="n"/>
      <c r="P391" s="14">
        <f>IF(ISBLANK(I391),"",DATE(YEAR(I391)+1,MONTH(I391),DAY(I391)))</f>
        <v/>
      </c>
    </row>
    <row r="392">
      <c r="C392">
        <f>IFERROR(VLOOKUP(B392,Trigger_Assessment!$A$2:$B$1000,2,FALSE),"")</f>
        <v/>
      </c>
      <c r="D392">
        <f>IFERROR(VLOOKUP(B392,Trigger_Assessment!$A$2:$C$1000,3,FALSE),"")</f>
        <v/>
      </c>
      <c r="G392" s="14" t="n"/>
      <c r="H392" s="14" t="n"/>
      <c r="I392" s="14" t="n"/>
      <c r="N392" s="14" t="n"/>
      <c r="P392" s="14">
        <f>IF(ISBLANK(I392),"",DATE(YEAR(I392)+1,MONTH(I392),DAY(I392)))</f>
        <v/>
      </c>
    </row>
    <row r="393">
      <c r="C393">
        <f>IFERROR(VLOOKUP(B393,Trigger_Assessment!$A$2:$B$1000,2,FALSE),"")</f>
        <v/>
      </c>
      <c r="D393">
        <f>IFERROR(VLOOKUP(B393,Trigger_Assessment!$A$2:$C$1000,3,FALSE),"")</f>
        <v/>
      </c>
      <c r="G393" s="14" t="n"/>
      <c r="H393" s="14" t="n"/>
      <c r="I393" s="14" t="n"/>
      <c r="N393" s="14" t="n"/>
      <c r="P393" s="14">
        <f>IF(ISBLANK(I393),"",DATE(YEAR(I393)+1,MONTH(I393),DAY(I393)))</f>
        <v/>
      </c>
    </row>
    <row r="394">
      <c r="C394">
        <f>IFERROR(VLOOKUP(B394,Trigger_Assessment!$A$2:$B$1000,2,FALSE),"")</f>
        <v/>
      </c>
      <c r="D394">
        <f>IFERROR(VLOOKUP(B394,Trigger_Assessment!$A$2:$C$1000,3,FALSE),"")</f>
        <v/>
      </c>
      <c r="G394" s="14" t="n"/>
      <c r="H394" s="14" t="n"/>
      <c r="I394" s="14" t="n"/>
      <c r="N394" s="14" t="n"/>
      <c r="P394" s="14">
        <f>IF(ISBLANK(I394),"",DATE(YEAR(I394)+1,MONTH(I394),DAY(I394)))</f>
        <v/>
      </c>
    </row>
    <row r="395">
      <c r="C395">
        <f>IFERROR(VLOOKUP(B395,Trigger_Assessment!$A$2:$B$1000,2,FALSE),"")</f>
        <v/>
      </c>
      <c r="D395">
        <f>IFERROR(VLOOKUP(B395,Trigger_Assessment!$A$2:$C$1000,3,FALSE),"")</f>
        <v/>
      </c>
      <c r="G395" s="14" t="n"/>
      <c r="H395" s="14" t="n"/>
      <c r="I395" s="14" t="n"/>
      <c r="N395" s="14" t="n"/>
      <c r="P395" s="14">
        <f>IF(ISBLANK(I395),"",DATE(YEAR(I395)+1,MONTH(I395),DAY(I395)))</f>
        <v/>
      </c>
    </row>
    <row r="396">
      <c r="C396">
        <f>IFERROR(VLOOKUP(B396,Trigger_Assessment!$A$2:$B$1000,2,FALSE),"")</f>
        <v/>
      </c>
      <c r="D396">
        <f>IFERROR(VLOOKUP(B396,Trigger_Assessment!$A$2:$C$1000,3,FALSE),"")</f>
        <v/>
      </c>
      <c r="G396" s="14" t="n"/>
      <c r="H396" s="14" t="n"/>
      <c r="I396" s="14" t="n"/>
      <c r="N396" s="14" t="n"/>
      <c r="P396" s="14">
        <f>IF(ISBLANK(I396),"",DATE(YEAR(I396)+1,MONTH(I396),DAY(I396)))</f>
        <v/>
      </c>
    </row>
    <row r="397">
      <c r="C397">
        <f>IFERROR(VLOOKUP(B397,Trigger_Assessment!$A$2:$B$1000,2,FALSE),"")</f>
        <v/>
      </c>
      <c r="D397">
        <f>IFERROR(VLOOKUP(B397,Trigger_Assessment!$A$2:$C$1000,3,FALSE),"")</f>
        <v/>
      </c>
      <c r="G397" s="14" t="n"/>
      <c r="H397" s="14" t="n"/>
      <c r="I397" s="14" t="n"/>
      <c r="N397" s="14" t="n"/>
      <c r="P397" s="14">
        <f>IF(ISBLANK(I397),"",DATE(YEAR(I397)+1,MONTH(I397),DAY(I397)))</f>
        <v/>
      </c>
    </row>
    <row r="398">
      <c r="C398">
        <f>IFERROR(VLOOKUP(B398,Trigger_Assessment!$A$2:$B$1000,2,FALSE),"")</f>
        <v/>
      </c>
      <c r="D398">
        <f>IFERROR(VLOOKUP(B398,Trigger_Assessment!$A$2:$C$1000,3,FALSE),"")</f>
        <v/>
      </c>
      <c r="G398" s="14" t="n"/>
      <c r="H398" s="14" t="n"/>
      <c r="I398" s="14" t="n"/>
      <c r="N398" s="14" t="n"/>
      <c r="P398" s="14">
        <f>IF(ISBLANK(I398),"",DATE(YEAR(I398)+1,MONTH(I398),DAY(I398)))</f>
        <v/>
      </c>
    </row>
    <row r="399">
      <c r="C399">
        <f>IFERROR(VLOOKUP(B399,Trigger_Assessment!$A$2:$B$1000,2,FALSE),"")</f>
        <v/>
      </c>
      <c r="D399">
        <f>IFERROR(VLOOKUP(B399,Trigger_Assessment!$A$2:$C$1000,3,FALSE),"")</f>
        <v/>
      </c>
      <c r="G399" s="14" t="n"/>
      <c r="H399" s="14" t="n"/>
      <c r="I399" s="14" t="n"/>
      <c r="N399" s="14" t="n"/>
      <c r="P399" s="14">
        <f>IF(ISBLANK(I399),"",DATE(YEAR(I399)+1,MONTH(I399),DAY(I399)))</f>
        <v/>
      </c>
    </row>
    <row r="400">
      <c r="C400">
        <f>IFERROR(VLOOKUP(B400,Trigger_Assessment!$A$2:$B$1000,2,FALSE),"")</f>
        <v/>
      </c>
      <c r="D400">
        <f>IFERROR(VLOOKUP(B400,Trigger_Assessment!$A$2:$C$1000,3,FALSE),"")</f>
        <v/>
      </c>
      <c r="G400" s="14" t="n"/>
      <c r="H400" s="14" t="n"/>
      <c r="I400" s="14" t="n"/>
      <c r="N400" s="14" t="n"/>
      <c r="P400" s="14">
        <f>IF(ISBLANK(I400),"",DATE(YEAR(I400)+1,MONTH(I400),DAY(I400)))</f>
        <v/>
      </c>
    </row>
    <row r="401">
      <c r="C401">
        <f>IFERROR(VLOOKUP(B401,Trigger_Assessment!$A$2:$B$1000,2,FALSE),"")</f>
        <v/>
      </c>
      <c r="D401">
        <f>IFERROR(VLOOKUP(B401,Trigger_Assessment!$A$2:$C$1000,3,FALSE),"")</f>
        <v/>
      </c>
      <c r="G401" s="14" t="n"/>
      <c r="H401" s="14" t="n"/>
      <c r="I401" s="14" t="n"/>
      <c r="N401" s="14" t="n"/>
      <c r="P401" s="14">
        <f>IF(ISBLANK(I401),"",DATE(YEAR(I401)+1,MONTH(I401),DAY(I401)))</f>
        <v/>
      </c>
    </row>
    <row r="402">
      <c r="C402">
        <f>IFERROR(VLOOKUP(B402,Trigger_Assessment!$A$2:$B$1000,2,FALSE),"")</f>
        <v/>
      </c>
      <c r="D402">
        <f>IFERROR(VLOOKUP(B402,Trigger_Assessment!$A$2:$C$1000,3,FALSE),"")</f>
        <v/>
      </c>
      <c r="G402" s="14" t="n"/>
      <c r="H402" s="14" t="n"/>
      <c r="I402" s="14" t="n"/>
      <c r="N402" s="14" t="n"/>
      <c r="P402" s="14">
        <f>IF(ISBLANK(I402),"",DATE(YEAR(I402)+1,MONTH(I402),DAY(I402)))</f>
        <v/>
      </c>
    </row>
    <row r="403">
      <c r="C403">
        <f>IFERROR(VLOOKUP(B403,Trigger_Assessment!$A$2:$B$1000,2,FALSE),"")</f>
        <v/>
      </c>
      <c r="D403">
        <f>IFERROR(VLOOKUP(B403,Trigger_Assessment!$A$2:$C$1000,3,FALSE),"")</f>
        <v/>
      </c>
      <c r="G403" s="14" t="n"/>
      <c r="H403" s="14" t="n"/>
      <c r="I403" s="14" t="n"/>
      <c r="N403" s="14" t="n"/>
      <c r="P403" s="14">
        <f>IF(ISBLANK(I403),"",DATE(YEAR(I403)+1,MONTH(I403),DAY(I403)))</f>
        <v/>
      </c>
    </row>
    <row r="404">
      <c r="C404">
        <f>IFERROR(VLOOKUP(B404,Trigger_Assessment!$A$2:$B$1000,2,FALSE),"")</f>
        <v/>
      </c>
      <c r="D404">
        <f>IFERROR(VLOOKUP(B404,Trigger_Assessment!$A$2:$C$1000,3,FALSE),"")</f>
        <v/>
      </c>
      <c r="G404" s="14" t="n"/>
      <c r="H404" s="14" t="n"/>
      <c r="I404" s="14" t="n"/>
      <c r="N404" s="14" t="n"/>
      <c r="P404" s="14">
        <f>IF(ISBLANK(I404),"",DATE(YEAR(I404)+1,MONTH(I404),DAY(I404)))</f>
        <v/>
      </c>
    </row>
    <row r="405">
      <c r="C405">
        <f>IFERROR(VLOOKUP(B405,Trigger_Assessment!$A$2:$B$1000,2,FALSE),"")</f>
        <v/>
      </c>
      <c r="D405">
        <f>IFERROR(VLOOKUP(B405,Trigger_Assessment!$A$2:$C$1000,3,FALSE),"")</f>
        <v/>
      </c>
      <c r="G405" s="14" t="n"/>
      <c r="H405" s="14" t="n"/>
      <c r="I405" s="14" t="n"/>
      <c r="N405" s="14" t="n"/>
      <c r="P405" s="14">
        <f>IF(ISBLANK(I405),"",DATE(YEAR(I405)+1,MONTH(I405),DAY(I405)))</f>
        <v/>
      </c>
    </row>
    <row r="406">
      <c r="C406">
        <f>IFERROR(VLOOKUP(B406,Trigger_Assessment!$A$2:$B$1000,2,FALSE),"")</f>
        <v/>
      </c>
      <c r="D406">
        <f>IFERROR(VLOOKUP(B406,Trigger_Assessment!$A$2:$C$1000,3,FALSE),"")</f>
        <v/>
      </c>
      <c r="G406" s="14" t="n"/>
      <c r="H406" s="14" t="n"/>
      <c r="I406" s="14" t="n"/>
      <c r="N406" s="14" t="n"/>
      <c r="P406" s="14">
        <f>IF(ISBLANK(I406),"",DATE(YEAR(I406)+1,MONTH(I406),DAY(I406)))</f>
        <v/>
      </c>
    </row>
    <row r="407">
      <c r="C407">
        <f>IFERROR(VLOOKUP(B407,Trigger_Assessment!$A$2:$B$1000,2,FALSE),"")</f>
        <v/>
      </c>
      <c r="D407">
        <f>IFERROR(VLOOKUP(B407,Trigger_Assessment!$A$2:$C$1000,3,FALSE),"")</f>
        <v/>
      </c>
      <c r="G407" s="14" t="n"/>
      <c r="H407" s="14" t="n"/>
      <c r="I407" s="14" t="n"/>
      <c r="N407" s="14" t="n"/>
      <c r="P407" s="14">
        <f>IF(ISBLANK(I407),"",DATE(YEAR(I407)+1,MONTH(I407),DAY(I407)))</f>
        <v/>
      </c>
    </row>
    <row r="408">
      <c r="C408">
        <f>IFERROR(VLOOKUP(B408,Trigger_Assessment!$A$2:$B$1000,2,FALSE),"")</f>
        <v/>
      </c>
      <c r="D408">
        <f>IFERROR(VLOOKUP(B408,Trigger_Assessment!$A$2:$C$1000,3,FALSE),"")</f>
        <v/>
      </c>
      <c r="G408" s="14" t="n"/>
      <c r="H408" s="14" t="n"/>
      <c r="I408" s="14" t="n"/>
      <c r="N408" s="14" t="n"/>
      <c r="P408" s="14">
        <f>IF(ISBLANK(I408),"",DATE(YEAR(I408)+1,MONTH(I408),DAY(I408)))</f>
        <v/>
      </c>
    </row>
    <row r="409">
      <c r="C409">
        <f>IFERROR(VLOOKUP(B409,Trigger_Assessment!$A$2:$B$1000,2,FALSE),"")</f>
        <v/>
      </c>
      <c r="D409">
        <f>IFERROR(VLOOKUP(B409,Trigger_Assessment!$A$2:$C$1000,3,FALSE),"")</f>
        <v/>
      </c>
      <c r="G409" s="14" t="n"/>
      <c r="H409" s="14" t="n"/>
      <c r="I409" s="14" t="n"/>
      <c r="N409" s="14" t="n"/>
      <c r="P409" s="14">
        <f>IF(ISBLANK(I409),"",DATE(YEAR(I409)+1,MONTH(I409),DAY(I409)))</f>
        <v/>
      </c>
    </row>
    <row r="410">
      <c r="C410">
        <f>IFERROR(VLOOKUP(B410,Trigger_Assessment!$A$2:$B$1000,2,FALSE),"")</f>
        <v/>
      </c>
      <c r="D410">
        <f>IFERROR(VLOOKUP(B410,Trigger_Assessment!$A$2:$C$1000,3,FALSE),"")</f>
        <v/>
      </c>
      <c r="G410" s="14" t="n"/>
      <c r="H410" s="14" t="n"/>
      <c r="I410" s="14" t="n"/>
      <c r="N410" s="14" t="n"/>
      <c r="P410" s="14">
        <f>IF(ISBLANK(I410),"",DATE(YEAR(I410)+1,MONTH(I410),DAY(I410)))</f>
        <v/>
      </c>
    </row>
    <row r="411">
      <c r="C411">
        <f>IFERROR(VLOOKUP(B411,Trigger_Assessment!$A$2:$B$1000,2,FALSE),"")</f>
        <v/>
      </c>
      <c r="D411">
        <f>IFERROR(VLOOKUP(B411,Trigger_Assessment!$A$2:$C$1000,3,FALSE),"")</f>
        <v/>
      </c>
      <c r="G411" s="14" t="n"/>
      <c r="H411" s="14" t="n"/>
      <c r="I411" s="14" t="n"/>
      <c r="N411" s="14" t="n"/>
      <c r="P411" s="14">
        <f>IF(ISBLANK(I411),"",DATE(YEAR(I411)+1,MONTH(I411),DAY(I411)))</f>
        <v/>
      </c>
    </row>
    <row r="412">
      <c r="C412">
        <f>IFERROR(VLOOKUP(B412,Trigger_Assessment!$A$2:$B$1000,2,FALSE),"")</f>
        <v/>
      </c>
      <c r="D412">
        <f>IFERROR(VLOOKUP(B412,Trigger_Assessment!$A$2:$C$1000,3,FALSE),"")</f>
        <v/>
      </c>
      <c r="G412" s="14" t="n"/>
      <c r="H412" s="14" t="n"/>
      <c r="I412" s="14" t="n"/>
      <c r="N412" s="14" t="n"/>
      <c r="P412" s="14">
        <f>IF(ISBLANK(I412),"",DATE(YEAR(I412)+1,MONTH(I412),DAY(I412)))</f>
        <v/>
      </c>
    </row>
    <row r="413">
      <c r="C413">
        <f>IFERROR(VLOOKUP(B413,Trigger_Assessment!$A$2:$B$1000,2,FALSE),"")</f>
        <v/>
      </c>
      <c r="D413">
        <f>IFERROR(VLOOKUP(B413,Trigger_Assessment!$A$2:$C$1000,3,FALSE),"")</f>
        <v/>
      </c>
      <c r="G413" s="14" t="n"/>
      <c r="H413" s="14" t="n"/>
      <c r="I413" s="14" t="n"/>
      <c r="N413" s="14" t="n"/>
      <c r="P413" s="14">
        <f>IF(ISBLANK(I413),"",DATE(YEAR(I413)+1,MONTH(I413),DAY(I413)))</f>
        <v/>
      </c>
    </row>
    <row r="414">
      <c r="C414">
        <f>IFERROR(VLOOKUP(B414,Trigger_Assessment!$A$2:$B$1000,2,FALSE),"")</f>
        <v/>
      </c>
      <c r="D414">
        <f>IFERROR(VLOOKUP(B414,Trigger_Assessment!$A$2:$C$1000,3,FALSE),"")</f>
        <v/>
      </c>
      <c r="G414" s="14" t="n"/>
      <c r="H414" s="14" t="n"/>
      <c r="I414" s="14" t="n"/>
      <c r="N414" s="14" t="n"/>
      <c r="P414" s="14">
        <f>IF(ISBLANK(I414),"",DATE(YEAR(I414)+1,MONTH(I414),DAY(I414)))</f>
        <v/>
      </c>
    </row>
    <row r="415">
      <c r="C415">
        <f>IFERROR(VLOOKUP(B415,Trigger_Assessment!$A$2:$B$1000,2,FALSE),"")</f>
        <v/>
      </c>
      <c r="D415">
        <f>IFERROR(VLOOKUP(B415,Trigger_Assessment!$A$2:$C$1000,3,FALSE),"")</f>
        <v/>
      </c>
      <c r="G415" s="14" t="n"/>
      <c r="H415" s="14" t="n"/>
      <c r="I415" s="14" t="n"/>
      <c r="N415" s="14" t="n"/>
      <c r="P415" s="14">
        <f>IF(ISBLANK(I415),"",DATE(YEAR(I415)+1,MONTH(I415),DAY(I415)))</f>
        <v/>
      </c>
    </row>
    <row r="416">
      <c r="C416">
        <f>IFERROR(VLOOKUP(B416,Trigger_Assessment!$A$2:$B$1000,2,FALSE),"")</f>
        <v/>
      </c>
      <c r="D416">
        <f>IFERROR(VLOOKUP(B416,Trigger_Assessment!$A$2:$C$1000,3,FALSE),"")</f>
        <v/>
      </c>
      <c r="G416" s="14" t="n"/>
      <c r="H416" s="14" t="n"/>
      <c r="I416" s="14" t="n"/>
      <c r="N416" s="14" t="n"/>
      <c r="P416" s="14">
        <f>IF(ISBLANK(I416),"",DATE(YEAR(I416)+1,MONTH(I416),DAY(I416)))</f>
        <v/>
      </c>
    </row>
    <row r="417">
      <c r="C417">
        <f>IFERROR(VLOOKUP(B417,Trigger_Assessment!$A$2:$B$1000,2,FALSE),"")</f>
        <v/>
      </c>
      <c r="D417">
        <f>IFERROR(VLOOKUP(B417,Trigger_Assessment!$A$2:$C$1000,3,FALSE),"")</f>
        <v/>
      </c>
      <c r="G417" s="14" t="n"/>
      <c r="H417" s="14" t="n"/>
      <c r="I417" s="14" t="n"/>
      <c r="N417" s="14" t="n"/>
      <c r="P417" s="14">
        <f>IF(ISBLANK(I417),"",DATE(YEAR(I417)+1,MONTH(I417),DAY(I417)))</f>
        <v/>
      </c>
    </row>
    <row r="418">
      <c r="C418">
        <f>IFERROR(VLOOKUP(B418,Trigger_Assessment!$A$2:$B$1000,2,FALSE),"")</f>
        <v/>
      </c>
      <c r="D418">
        <f>IFERROR(VLOOKUP(B418,Trigger_Assessment!$A$2:$C$1000,3,FALSE),"")</f>
        <v/>
      </c>
      <c r="G418" s="14" t="n"/>
      <c r="H418" s="14" t="n"/>
      <c r="I418" s="14" t="n"/>
      <c r="N418" s="14" t="n"/>
      <c r="P418" s="14">
        <f>IF(ISBLANK(I418),"",DATE(YEAR(I418)+1,MONTH(I418),DAY(I418)))</f>
        <v/>
      </c>
    </row>
    <row r="419">
      <c r="C419">
        <f>IFERROR(VLOOKUP(B419,Trigger_Assessment!$A$2:$B$1000,2,FALSE),"")</f>
        <v/>
      </c>
      <c r="D419">
        <f>IFERROR(VLOOKUP(B419,Trigger_Assessment!$A$2:$C$1000,3,FALSE),"")</f>
        <v/>
      </c>
      <c r="G419" s="14" t="n"/>
      <c r="H419" s="14" t="n"/>
      <c r="I419" s="14" t="n"/>
      <c r="N419" s="14" t="n"/>
      <c r="P419" s="14">
        <f>IF(ISBLANK(I419),"",DATE(YEAR(I419)+1,MONTH(I419),DAY(I419)))</f>
        <v/>
      </c>
    </row>
    <row r="420">
      <c r="C420">
        <f>IFERROR(VLOOKUP(B420,Trigger_Assessment!$A$2:$B$1000,2,FALSE),"")</f>
        <v/>
      </c>
      <c r="D420">
        <f>IFERROR(VLOOKUP(B420,Trigger_Assessment!$A$2:$C$1000,3,FALSE),"")</f>
        <v/>
      </c>
      <c r="G420" s="14" t="n"/>
      <c r="H420" s="14" t="n"/>
      <c r="I420" s="14" t="n"/>
      <c r="N420" s="14" t="n"/>
      <c r="P420" s="14">
        <f>IF(ISBLANK(I420),"",DATE(YEAR(I420)+1,MONTH(I420),DAY(I420)))</f>
        <v/>
      </c>
    </row>
    <row r="421">
      <c r="C421">
        <f>IFERROR(VLOOKUP(B421,Trigger_Assessment!$A$2:$B$1000,2,FALSE),"")</f>
        <v/>
      </c>
      <c r="D421">
        <f>IFERROR(VLOOKUP(B421,Trigger_Assessment!$A$2:$C$1000,3,FALSE),"")</f>
        <v/>
      </c>
      <c r="G421" s="14" t="n"/>
      <c r="H421" s="14" t="n"/>
      <c r="I421" s="14" t="n"/>
      <c r="N421" s="14" t="n"/>
      <c r="P421" s="14">
        <f>IF(ISBLANK(I421),"",DATE(YEAR(I421)+1,MONTH(I421),DAY(I421)))</f>
        <v/>
      </c>
    </row>
    <row r="422">
      <c r="C422">
        <f>IFERROR(VLOOKUP(B422,Trigger_Assessment!$A$2:$B$1000,2,FALSE),"")</f>
        <v/>
      </c>
      <c r="D422">
        <f>IFERROR(VLOOKUP(B422,Trigger_Assessment!$A$2:$C$1000,3,FALSE),"")</f>
        <v/>
      </c>
      <c r="G422" s="14" t="n"/>
      <c r="H422" s="14" t="n"/>
      <c r="I422" s="14" t="n"/>
      <c r="N422" s="14" t="n"/>
      <c r="P422" s="14">
        <f>IF(ISBLANK(I422),"",DATE(YEAR(I422)+1,MONTH(I422),DAY(I422)))</f>
        <v/>
      </c>
    </row>
    <row r="423">
      <c r="C423">
        <f>IFERROR(VLOOKUP(B423,Trigger_Assessment!$A$2:$B$1000,2,FALSE),"")</f>
        <v/>
      </c>
      <c r="D423">
        <f>IFERROR(VLOOKUP(B423,Trigger_Assessment!$A$2:$C$1000,3,FALSE),"")</f>
        <v/>
      </c>
      <c r="G423" s="14" t="n"/>
      <c r="H423" s="14" t="n"/>
      <c r="I423" s="14" t="n"/>
      <c r="N423" s="14" t="n"/>
      <c r="P423" s="14">
        <f>IF(ISBLANK(I423),"",DATE(YEAR(I423)+1,MONTH(I423),DAY(I423)))</f>
        <v/>
      </c>
    </row>
    <row r="424">
      <c r="C424">
        <f>IFERROR(VLOOKUP(B424,Trigger_Assessment!$A$2:$B$1000,2,FALSE),"")</f>
        <v/>
      </c>
      <c r="D424">
        <f>IFERROR(VLOOKUP(B424,Trigger_Assessment!$A$2:$C$1000,3,FALSE),"")</f>
        <v/>
      </c>
      <c r="G424" s="14" t="n"/>
      <c r="H424" s="14" t="n"/>
      <c r="I424" s="14" t="n"/>
      <c r="N424" s="14" t="n"/>
      <c r="P424" s="14">
        <f>IF(ISBLANK(I424),"",DATE(YEAR(I424)+1,MONTH(I424),DAY(I424)))</f>
        <v/>
      </c>
    </row>
    <row r="425">
      <c r="C425">
        <f>IFERROR(VLOOKUP(B425,Trigger_Assessment!$A$2:$B$1000,2,FALSE),"")</f>
        <v/>
      </c>
      <c r="D425">
        <f>IFERROR(VLOOKUP(B425,Trigger_Assessment!$A$2:$C$1000,3,FALSE),"")</f>
        <v/>
      </c>
      <c r="G425" s="14" t="n"/>
      <c r="H425" s="14" t="n"/>
      <c r="I425" s="14" t="n"/>
      <c r="N425" s="14" t="n"/>
      <c r="P425" s="14">
        <f>IF(ISBLANK(I425),"",DATE(YEAR(I425)+1,MONTH(I425),DAY(I425)))</f>
        <v/>
      </c>
    </row>
    <row r="426">
      <c r="C426">
        <f>IFERROR(VLOOKUP(B426,Trigger_Assessment!$A$2:$B$1000,2,FALSE),"")</f>
        <v/>
      </c>
      <c r="D426">
        <f>IFERROR(VLOOKUP(B426,Trigger_Assessment!$A$2:$C$1000,3,FALSE),"")</f>
        <v/>
      </c>
      <c r="G426" s="14" t="n"/>
      <c r="H426" s="14" t="n"/>
      <c r="I426" s="14" t="n"/>
      <c r="N426" s="14" t="n"/>
      <c r="P426" s="14">
        <f>IF(ISBLANK(I426),"",DATE(YEAR(I426)+1,MONTH(I426),DAY(I426)))</f>
        <v/>
      </c>
    </row>
    <row r="427">
      <c r="C427">
        <f>IFERROR(VLOOKUP(B427,Trigger_Assessment!$A$2:$B$1000,2,FALSE),"")</f>
        <v/>
      </c>
      <c r="D427">
        <f>IFERROR(VLOOKUP(B427,Trigger_Assessment!$A$2:$C$1000,3,FALSE),"")</f>
        <v/>
      </c>
      <c r="G427" s="14" t="n"/>
      <c r="H427" s="14" t="n"/>
      <c r="I427" s="14" t="n"/>
      <c r="N427" s="14" t="n"/>
      <c r="P427" s="14">
        <f>IF(ISBLANK(I427),"",DATE(YEAR(I427)+1,MONTH(I427),DAY(I427)))</f>
        <v/>
      </c>
    </row>
    <row r="428">
      <c r="C428">
        <f>IFERROR(VLOOKUP(B428,Trigger_Assessment!$A$2:$B$1000,2,FALSE),"")</f>
        <v/>
      </c>
      <c r="D428">
        <f>IFERROR(VLOOKUP(B428,Trigger_Assessment!$A$2:$C$1000,3,FALSE),"")</f>
        <v/>
      </c>
      <c r="G428" s="14" t="n"/>
      <c r="H428" s="14" t="n"/>
      <c r="I428" s="14" t="n"/>
      <c r="N428" s="14" t="n"/>
      <c r="P428" s="14">
        <f>IF(ISBLANK(I428),"",DATE(YEAR(I428)+1,MONTH(I428),DAY(I428)))</f>
        <v/>
      </c>
    </row>
    <row r="429">
      <c r="C429">
        <f>IFERROR(VLOOKUP(B429,Trigger_Assessment!$A$2:$B$1000,2,FALSE),"")</f>
        <v/>
      </c>
      <c r="D429">
        <f>IFERROR(VLOOKUP(B429,Trigger_Assessment!$A$2:$C$1000,3,FALSE),"")</f>
        <v/>
      </c>
      <c r="G429" s="14" t="n"/>
      <c r="H429" s="14" t="n"/>
      <c r="I429" s="14" t="n"/>
      <c r="N429" s="14" t="n"/>
      <c r="P429" s="14">
        <f>IF(ISBLANK(I429),"",DATE(YEAR(I429)+1,MONTH(I429),DAY(I429)))</f>
        <v/>
      </c>
    </row>
    <row r="430">
      <c r="C430">
        <f>IFERROR(VLOOKUP(B430,Trigger_Assessment!$A$2:$B$1000,2,FALSE),"")</f>
        <v/>
      </c>
      <c r="D430">
        <f>IFERROR(VLOOKUP(B430,Trigger_Assessment!$A$2:$C$1000,3,FALSE),"")</f>
        <v/>
      </c>
      <c r="G430" s="14" t="n"/>
      <c r="H430" s="14" t="n"/>
      <c r="I430" s="14" t="n"/>
      <c r="N430" s="14" t="n"/>
      <c r="P430" s="14">
        <f>IF(ISBLANK(I430),"",DATE(YEAR(I430)+1,MONTH(I430),DAY(I430)))</f>
        <v/>
      </c>
    </row>
    <row r="431">
      <c r="C431">
        <f>IFERROR(VLOOKUP(B431,Trigger_Assessment!$A$2:$B$1000,2,FALSE),"")</f>
        <v/>
      </c>
      <c r="D431">
        <f>IFERROR(VLOOKUP(B431,Trigger_Assessment!$A$2:$C$1000,3,FALSE),"")</f>
        <v/>
      </c>
      <c r="G431" s="14" t="n"/>
      <c r="H431" s="14" t="n"/>
      <c r="I431" s="14" t="n"/>
      <c r="N431" s="14" t="n"/>
      <c r="P431" s="14">
        <f>IF(ISBLANK(I431),"",DATE(YEAR(I431)+1,MONTH(I431),DAY(I431)))</f>
        <v/>
      </c>
    </row>
    <row r="432">
      <c r="C432">
        <f>IFERROR(VLOOKUP(B432,Trigger_Assessment!$A$2:$B$1000,2,FALSE),"")</f>
        <v/>
      </c>
      <c r="D432">
        <f>IFERROR(VLOOKUP(B432,Trigger_Assessment!$A$2:$C$1000,3,FALSE),"")</f>
        <v/>
      </c>
      <c r="G432" s="14" t="n"/>
      <c r="H432" s="14" t="n"/>
      <c r="I432" s="14" t="n"/>
      <c r="N432" s="14" t="n"/>
      <c r="P432" s="14">
        <f>IF(ISBLANK(I432),"",DATE(YEAR(I432)+1,MONTH(I432),DAY(I432)))</f>
        <v/>
      </c>
    </row>
    <row r="433">
      <c r="C433">
        <f>IFERROR(VLOOKUP(B433,Trigger_Assessment!$A$2:$B$1000,2,FALSE),"")</f>
        <v/>
      </c>
      <c r="D433">
        <f>IFERROR(VLOOKUP(B433,Trigger_Assessment!$A$2:$C$1000,3,FALSE),"")</f>
        <v/>
      </c>
      <c r="G433" s="14" t="n"/>
      <c r="H433" s="14" t="n"/>
      <c r="I433" s="14" t="n"/>
      <c r="N433" s="14" t="n"/>
      <c r="P433" s="14">
        <f>IF(ISBLANK(I433),"",DATE(YEAR(I433)+1,MONTH(I433),DAY(I433)))</f>
        <v/>
      </c>
    </row>
    <row r="434">
      <c r="C434">
        <f>IFERROR(VLOOKUP(B434,Trigger_Assessment!$A$2:$B$1000,2,FALSE),"")</f>
        <v/>
      </c>
      <c r="D434">
        <f>IFERROR(VLOOKUP(B434,Trigger_Assessment!$A$2:$C$1000,3,FALSE),"")</f>
        <v/>
      </c>
      <c r="G434" s="14" t="n"/>
      <c r="H434" s="14" t="n"/>
      <c r="I434" s="14" t="n"/>
      <c r="N434" s="14" t="n"/>
      <c r="P434" s="14">
        <f>IF(ISBLANK(I434),"",DATE(YEAR(I434)+1,MONTH(I434),DAY(I434)))</f>
        <v/>
      </c>
    </row>
    <row r="435">
      <c r="C435">
        <f>IFERROR(VLOOKUP(B435,Trigger_Assessment!$A$2:$B$1000,2,FALSE),"")</f>
        <v/>
      </c>
      <c r="D435">
        <f>IFERROR(VLOOKUP(B435,Trigger_Assessment!$A$2:$C$1000,3,FALSE),"")</f>
        <v/>
      </c>
      <c r="G435" s="14" t="n"/>
      <c r="H435" s="14" t="n"/>
      <c r="I435" s="14" t="n"/>
      <c r="N435" s="14" t="n"/>
      <c r="P435" s="14">
        <f>IF(ISBLANK(I435),"",DATE(YEAR(I435)+1,MONTH(I435),DAY(I435)))</f>
        <v/>
      </c>
    </row>
    <row r="436">
      <c r="C436">
        <f>IFERROR(VLOOKUP(B436,Trigger_Assessment!$A$2:$B$1000,2,FALSE),"")</f>
        <v/>
      </c>
      <c r="D436">
        <f>IFERROR(VLOOKUP(B436,Trigger_Assessment!$A$2:$C$1000,3,FALSE),"")</f>
        <v/>
      </c>
      <c r="G436" s="14" t="n"/>
      <c r="H436" s="14" t="n"/>
      <c r="I436" s="14" t="n"/>
      <c r="N436" s="14" t="n"/>
      <c r="P436" s="14">
        <f>IF(ISBLANK(I436),"",DATE(YEAR(I436)+1,MONTH(I436),DAY(I436)))</f>
        <v/>
      </c>
    </row>
    <row r="437">
      <c r="C437">
        <f>IFERROR(VLOOKUP(B437,Trigger_Assessment!$A$2:$B$1000,2,FALSE),"")</f>
        <v/>
      </c>
      <c r="D437">
        <f>IFERROR(VLOOKUP(B437,Trigger_Assessment!$A$2:$C$1000,3,FALSE),"")</f>
        <v/>
      </c>
      <c r="G437" s="14" t="n"/>
      <c r="H437" s="14" t="n"/>
      <c r="I437" s="14" t="n"/>
      <c r="N437" s="14" t="n"/>
      <c r="P437" s="14">
        <f>IF(ISBLANK(I437),"",DATE(YEAR(I437)+1,MONTH(I437),DAY(I437)))</f>
        <v/>
      </c>
    </row>
    <row r="438">
      <c r="C438">
        <f>IFERROR(VLOOKUP(B438,Trigger_Assessment!$A$2:$B$1000,2,FALSE),"")</f>
        <v/>
      </c>
      <c r="D438">
        <f>IFERROR(VLOOKUP(B438,Trigger_Assessment!$A$2:$C$1000,3,FALSE),"")</f>
        <v/>
      </c>
      <c r="G438" s="14" t="n"/>
      <c r="H438" s="14" t="n"/>
      <c r="I438" s="14" t="n"/>
      <c r="N438" s="14" t="n"/>
      <c r="P438" s="14">
        <f>IF(ISBLANK(I438),"",DATE(YEAR(I438)+1,MONTH(I438),DAY(I438)))</f>
        <v/>
      </c>
    </row>
    <row r="439">
      <c r="C439">
        <f>IFERROR(VLOOKUP(B439,Trigger_Assessment!$A$2:$B$1000,2,FALSE),"")</f>
        <v/>
      </c>
      <c r="D439">
        <f>IFERROR(VLOOKUP(B439,Trigger_Assessment!$A$2:$C$1000,3,FALSE),"")</f>
        <v/>
      </c>
      <c r="G439" s="14" t="n"/>
      <c r="H439" s="14" t="n"/>
      <c r="I439" s="14" t="n"/>
      <c r="N439" s="14" t="n"/>
      <c r="P439" s="14">
        <f>IF(ISBLANK(I439),"",DATE(YEAR(I439)+1,MONTH(I439),DAY(I439)))</f>
        <v/>
      </c>
    </row>
    <row r="440">
      <c r="C440">
        <f>IFERROR(VLOOKUP(B440,Trigger_Assessment!$A$2:$B$1000,2,FALSE),"")</f>
        <v/>
      </c>
      <c r="D440">
        <f>IFERROR(VLOOKUP(B440,Trigger_Assessment!$A$2:$C$1000,3,FALSE),"")</f>
        <v/>
      </c>
      <c r="G440" s="14" t="n"/>
      <c r="H440" s="14" t="n"/>
      <c r="I440" s="14" t="n"/>
      <c r="N440" s="14" t="n"/>
      <c r="P440" s="14">
        <f>IF(ISBLANK(I440),"",DATE(YEAR(I440)+1,MONTH(I440),DAY(I440)))</f>
        <v/>
      </c>
    </row>
    <row r="441">
      <c r="C441">
        <f>IFERROR(VLOOKUP(B441,Trigger_Assessment!$A$2:$B$1000,2,FALSE),"")</f>
        <v/>
      </c>
      <c r="D441">
        <f>IFERROR(VLOOKUP(B441,Trigger_Assessment!$A$2:$C$1000,3,FALSE),"")</f>
        <v/>
      </c>
      <c r="G441" s="14" t="n"/>
      <c r="H441" s="14" t="n"/>
      <c r="I441" s="14" t="n"/>
      <c r="N441" s="14" t="n"/>
      <c r="P441" s="14">
        <f>IF(ISBLANK(I441),"",DATE(YEAR(I441)+1,MONTH(I441),DAY(I441)))</f>
        <v/>
      </c>
    </row>
    <row r="442">
      <c r="C442">
        <f>IFERROR(VLOOKUP(B442,Trigger_Assessment!$A$2:$B$1000,2,FALSE),"")</f>
        <v/>
      </c>
      <c r="D442">
        <f>IFERROR(VLOOKUP(B442,Trigger_Assessment!$A$2:$C$1000,3,FALSE),"")</f>
        <v/>
      </c>
      <c r="G442" s="14" t="n"/>
      <c r="H442" s="14" t="n"/>
      <c r="I442" s="14" t="n"/>
      <c r="N442" s="14" t="n"/>
      <c r="P442" s="14">
        <f>IF(ISBLANK(I442),"",DATE(YEAR(I442)+1,MONTH(I442),DAY(I442)))</f>
        <v/>
      </c>
    </row>
    <row r="443">
      <c r="C443">
        <f>IFERROR(VLOOKUP(B443,Trigger_Assessment!$A$2:$B$1000,2,FALSE),"")</f>
        <v/>
      </c>
      <c r="D443">
        <f>IFERROR(VLOOKUP(B443,Trigger_Assessment!$A$2:$C$1000,3,FALSE),"")</f>
        <v/>
      </c>
      <c r="G443" s="14" t="n"/>
      <c r="H443" s="14" t="n"/>
      <c r="I443" s="14" t="n"/>
      <c r="N443" s="14" t="n"/>
      <c r="P443" s="14">
        <f>IF(ISBLANK(I443),"",DATE(YEAR(I443)+1,MONTH(I443),DAY(I443)))</f>
        <v/>
      </c>
    </row>
    <row r="444">
      <c r="C444">
        <f>IFERROR(VLOOKUP(B444,Trigger_Assessment!$A$2:$B$1000,2,FALSE),"")</f>
        <v/>
      </c>
      <c r="D444">
        <f>IFERROR(VLOOKUP(B444,Trigger_Assessment!$A$2:$C$1000,3,FALSE),"")</f>
        <v/>
      </c>
      <c r="G444" s="14" t="n"/>
      <c r="H444" s="14" t="n"/>
      <c r="I444" s="14" t="n"/>
      <c r="N444" s="14" t="n"/>
      <c r="P444" s="14">
        <f>IF(ISBLANK(I444),"",DATE(YEAR(I444)+1,MONTH(I444),DAY(I444)))</f>
        <v/>
      </c>
    </row>
    <row r="445">
      <c r="C445">
        <f>IFERROR(VLOOKUP(B445,Trigger_Assessment!$A$2:$B$1000,2,FALSE),"")</f>
        <v/>
      </c>
      <c r="D445">
        <f>IFERROR(VLOOKUP(B445,Trigger_Assessment!$A$2:$C$1000,3,FALSE),"")</f>
        <v/>
      </c>
      <c r="G445" s="14" t="n"/>
      <c r="H445" s="14" t="n"/>
      <c r="I445" s="14" t="n"/>
      <c r="N445" s="14" t="n"/>
      <c r="P445" s="14">
        <f>IF(ISBLANK(I445),"",DATE(YEAR(I445)+1,MONTH(I445),DAY(I445)))</f>
        <v/>
      </c>
    </row>
    <row r="446">
      <c r="C446">
        <f>IFERROR(VLOOKUP(B446,Trigger_Assessment!$A$2:$B$1000,2,FALSE),"")</f>
        <v/>
      </c>
      <c r="D446">
        <f>IFERROR(VLOOKUP(B446,Trigger_Assessment!$A$2:$C$1000,3,FALSE),"")</f>
        <v/>
      </c>
      <c r="G446" s="14" t="n"/>
      <c r="H446" s="14" t="n"/>
      <c r="I446" s="14" t="n"/>
      <c r="N446" s="14" t="n"/>
      <c r="P446" s="14">
        <f>IF(ISBLANK(I446),"",DATE(YEAR(I446)+1,MONTH(I446),DAY(I446)))</f>
        <v/>
      </c>
    </row>
    <row r="447">
      <c r="C447">
        <f>IFERROR(VLOOKUP(B447,Trigger_Assessment!$A$2:$B$1000,2,FALSE),"")</f>
        <v/>
      </c>
      <c r="D447">
        <f>IFERROR(VLOOKUP(B447,Trigger_Assessment!$A$2:$C$1000,3,FALSE),"")</f>
        <v/>
      </c>
      <c r="G447" s="14" t="n"/>
      <c r="H447" s="14" t="n"/>
      <c r="I447" s="14" t="n"/>
      <c r="N447" s="14" t="n"/>
      <c r="P447" s="14">
        <f>IF(ISBLANK(I447),"",DATE(YEAR(I447)+1,MONTH(I447),DAY(I447)))</f>
        <v/>
      </c>
    </row>
    <row r="448">
      <c r="C448">
        <f>IFERROR(VLOOKUP(B448,Trigger_Assessment!$A$2:$B$1000,2,FALSE),"")</f>
        <v/>
      </c>
      <c r="D448">
        <f>IFERROR(VLOOKUP(B448,Trigger_Assessment!$A$2:$C$1000,3,FALSE),"")</f>
        <v/>
      </c>
      <c r="G448" s="14" t="n"/>
      <c r="H448" s="14" t="n"/>
      <c r="I448" s="14" t="n"/>
      <c r="N448" s="14" t="n"/>
      <c r="P448" s="14">
        <f>IF(ISBLANK(I448),"",DATE(YEAR(I448)+1,MONTH(I448),DAY(I448)))</f>
        <v/>
      </c>
    </row>
    <row r="449">
      <c r="C449">
        <f>IFERROR(VLOOKUP(B449,Trigger_Assessment!$A$2:$B$1000,2,FALSE),"")</f>
        <v/>
      </c>
      <c r="D449">
        <f>IFERROR(VLOOKUP(B449,Trigger_Assessment!$A$2:$C$1000,3,FALSE),"")</f>
        <v/>
      </c>
      <c r="G449" s="14" t="n"/>
      <c r="H449" s="14" t="n"/>
      <c r="I449" s="14" t="n"/>
      <c r="N449" s="14" t="n"/>
      <c r="P449" s="14">
        <f>IF(ISBLANK(I449),"",DATE(YEAR(I449)+1,MONTH(I449),DAY(I449)))</f>
        <v/>
      </c>
    </row>
    <row r="450">
      <c r="C450">
        <f>IFERROR(VLOOKUP(B450,Trigger_Assessment!$A$2:$B$1000,2,FALSE),"")</f>
        <v/>
      </c>
      <c r="D450">
        <f>IFERROR(VLOOKUP(B450,Trigger_Assessment!$A$2:$C$1000,3,FALSE),"")</f>
        <v/>
      </c>
      <c r="G450" s="14" t="n"/>
      <c r="H450" s="14" t="n"/>
      <c r="I450" s="14" t="n"/>
      <c r="N450" s="14" t="n"/>
      <c r="P450" s="14">
        <f>IF(ISBLANK(I450),"",DATE(YEAR(I450)+1,MONTH(I450),DAY(I450)))</f>
        <v/>
      </c>
    </row>
    <row r="451">
      <c r="C451">
        <f>IFERROR(VLOOKUP(B451,Trigger_Assessment!$A$2:$B$1000,2,FALSE),"")</f>
        <v/>
      </c>
      <c r="D451">
        <f>IFERROR(VLOOKUP(B451,Trigger_Assessment!$A$2:$C$1000,3,FALSE),"")</f>
        <v/>
      </c>
      <c r="G451" s="14" t="n"/>
      <c r="H451" s="14" t="n"/>
      <c r="I451" s="14" t="n"/>
      <c r="N451" s="14" t="n"/>
      <c r="P451" s="14">
        <f>IF(ISBLANK(I451),"",DATE(YEAR(I451)+1,MONTH(I451),DAY(I451)))</f>
        <v/>
      </c>
    </row>
    <row r="452">
      <c r="C452">
        <f>IFERROR(VLOOKUP(B452,Trigger_Assessment!$A$2:$B$1000,2,FALSE),"")</f>
        <v/>
      </c>
      <c r="D452">
        <f>IFERROR(VLOOKUP(B452,Trigger_Assessment!$A$2:$C$1000,3,FALSE),"")</f>
        <v/>
      </c>
      <c r="G452" s="14" t="n"/>
      <c r="H452" s="14" t="n"/>
      <c r="I452" s="14" t="n"/>
      <c r="N452" s="14" t="n"/>
      <c r="P452" s="14">
        <f>IF(ISBLANK(I452),"",DATE(YEAR(I452)+1,MONTH(I452),DAY(I452)))</f>
        <v/>
      </c>
    </row>
    <row r="453">
      <c r="C453">
        <f>IFERROR(VLOOKUP(B453,Trigger_Assessment!$A$2:$B$1000,2,FALSE),"")</f>
        <v/>
      </c>
      <c r="D453">
        <f>IFERROR(VLOOKUP(B453,Trigger_Assessment!$A$2:$C$1000,3,FALSE),"")</f>
        <v/>
      </c>
      <c r="G453" s="14" t="n"/>
      <c r="H453" s="14" t="n"/>
      <c r="I453" s="14" t="n"/>
      <c r="N453" s="14" t="n"/>
      <c r="P453" s="14">
        <f>IF(ISBLANK(I453),"",DATE(YEAR(I453)+1,MONTH(I453),DAY(I453)))</f>
        <v/>
      </c>
    </row>
    <row r="454">
      <c r="C454">
        <f>IFERROR(VLOOKUP(B454,Trigger_Assessment!$A$2:$B$1000,2,FALSE),"")</f>
        <v/>
      </c>
      <c r="D454">
        <f>IFERROR(VLOOKUP(B454,Trigger_Assessment!$A$2:$C$1000,3,FALSE),"")</f>
        <v/>
      </c>
      <c r="G454" s="14" t="n"/>
      <c r="H454" s="14" t="n"/>
      <c r="I454" s="14" t="n"/>
      <c r="N454" s="14" t="n"/>
      <c r="P454" s="14">
        <f>IF(ISBLANK(I454),"",DATE(YEAR(I454)+1,MONTH(I454),DAY(I454)))</f>
        <v/>
      </c>
    </row>
    <row r="455">
      <c r="C455">
        <f>IFERROR(VLOOKUP(B455,Trigger_Assessment!$A$2:$B$1000,2,FALSE),"")</f>
        <v/>
      </c>
      <c r="D455">
        <f>IFERROR(VLOOKUP(B455,Trigger_Assessment!$A$2:$C$1000,3,FALSE),"")</f>
        <v/>
      </c>
      <c r="G455" s="14" t="n"/>
      <c r="H455" s="14" t="n"/>
      <c r="I455" s="14" t="n"/>
      <c r="N455" s="14" t="n"/>
      <c r="P455" s="14">
        <f>IF(ISBLANK(I455),"",DATE(YEAR(I455)+1,MONTH(I455),DAY(I455)))</f>
        <v/>
      </c>
    </row>
    <row r="456">
      <c r="C456">
        <f>IFERROR(VLOOKUP(B456,Trigger_Assessment!$A$2:$B$1000,2,FALSE),"")</f>
        <v/>
      </c>
      <c r="D456">
        <f>IFERROR(VLOOKUP(B456,Trigger_Assessment!$A$2:$C$1000,3,FALSE),"")</f>
        <v/>
      </c>
      <c r="G456" s="14" t="n"/>
      <c r="H456" s="14" t="n"/>
      <c r="I456" s="14" t="n"/>
      <c r="N456" s="14" t="n"/>
      <c r="P456" s="14">
        <f>IF(ISBLANK(I456),"",DATE(YEAR(I456)+1,MONTH(I456),DAY(I456)))</f>
        <v/>
      </c>
    </row>
    <row r="457">
      <c r="C457">
        <f>IFERROR(VLOOKUP(B457,Trigger_Assessment!$A$2:$B$1000,2,FALSE),"")</f>
        <v/>
      </c>
      <c r="D457">
        <f>IFERROR(VLOOKUP(B457,Trigger_Assessment!$A$2:$C$1000,3,FALSE),"")</f>
        <v/>
      </c>
      <c r="G457" s="14" t="n"/>
      <c r="H457" s="14" t="n"/>
      <c r="I457" s="14" t="n"/>
      <c r="N457" s="14" t="n"/>
      <c r="P457" s="14">
        <f>IF(ISBLANK(I457),"",DATE(YEAR(I457)+1,MONTH(I457),DAY(I457)))</f>
        <v/>
      </c>
    </row>
    <row r="458">
      <c r="C458">
        <f>IFERROR(VLOOKUP(B458,Trigger_Assessment!$A$2:$B$1000,2,FALSE),"")</f>
        <v/>
      </c>
      <c r="D458">
        <f>IFERROR(VLOOKUP(B458,Trigger_Assessment!$A$2:$C$1000,3,FALSE),"")</f>
        <v/>
      </c>
      <c r="G458" s="14" t="n"/>
      <c r="H458" s="14" t="n"/>
      <c r="I458" s="14" t="n"/>
      <c r="N458" s="14" t="n"/>
      <c r="P458" s="14">
        <f>IF(ISBLANK(I458),"",DATE(YEAR(I458)+1,MONTH(I458),DAY(I458)))</f>
        <v/>
      </c>
    </row>
    <row r="459">
      <c r="C459">
        <f>IFERROR(VLOOKUP(B459,Trigger_Assessment!$A$2:$B$1000,2,FALSE),"")</f>
        <v/>
      </c>
      <c r="D459">
        <f>IFERROR(VLOOKUP(B459,Trigger_Assessment!$A$2:$C$1000,3,FALSE),"")</f>
        <v/>
      </c>
      <c r="G459" s="14" t="n"/>
      <c r="H459" s="14" t="n"/>
      <c r="I459" s="14" t="n"/>
      <c r="N459" s="14" t="n"/>
      <c r="P459" s="14">
        <f>IF(ISBLANK(I459),"",DATE(YEAR(I459)+1,MONTH(I459),DAY(I459)))</f>
        <v/>
      </c>
    </row>
    <row r="460">
      <c r="C460">
        <f>IFERROR(VLOOKUP(B460,Trigger_Assessment!$A$2:$B$1000,2,FALSE),"")</f>
        <v/>
      </c>
      <c r="D460">
        <f>IFERROR(VLOOKUP(B460,Trigger_Assessment!$A$2:$C$1000,3,FALSE),"")</f>
        <v/>
      </c>
      <c r="G460" s="14" t="n"/>
      <c r="H460" s="14" t="n"/>
      <c r="I460" s="14" t="n"/>
      <c r="N460" s="14" t="n"/>
      <c r="P460" s="14">
        <f>IF(ISBLANK(I460),"",DATE(YEAR(I460)+1,MONTH(I460),DAY(I460)))</f>
        <v/>
      </c>
    </row>
    <row r="461">
      <c r="C461">
        <f>IFERROR(VLOOKUP(B461,Trigger_Assessment!$A$2:$B$1000,2,FALSE),"")</f>
        <v/>
      </c>
      <c r="D461">
        <f>IFERROR(VLOOKUP(B461,Trigger_Assessment!$A$2:$C$1000,3,FALSE),"")</f>
        <v/>
      </c>
      <c r="G461" s="14" t="n"/>
      <c r="H461" s="14" t="n"/>
      <c r="I461" s="14" t="n"/>
      <c r="N461" s="14" t="n"/>
      <c r="P461" s="14">
        <f>IF(ISBLANK(I461),"",DATE(YEAR(I461)+1,MONTH(I461),DAY(I461)))</f>
        <v/>
      </c>
    </row>
    <row r="462">
      <c r="C462">
        <f>IFERROR(VLOOKUP(B462,Trigger_Assessment!$A$2:$B$1000,2,FALSE),"")</f>
        <v/>
      </c>
      <c r="D462">
        <f>IFERROR(VLOOKUP(B462,Trigger_Assessment!$A$2:$C$1000,3,FALSE),"")</f>
        <v/>
      </c>
      <c r="G462" s="14" t="n"/>
      <c r="H462" s="14" t="n"/>
      <c r="I462" s="14" t="n"/>
      <c r="N462" s="14" t="n"/>
      <c r="P462" s="14">
        <f>IF(ISBLANK(I462),"",DATE(YEAR(I462)+1,MONTH(I462),DAY(I462)))</f>
        <v/>
      </c>
    </row>
    <row r="463">
      <c r="C463">
        <f>IFERROR(VLOOKUP(B463,Trigger_Assessment!$A$2:$B$1000,2,FALSE),"")</f>
        <v/>
      </c>
      <c r="D463">
        <f>IFERROR(VLOOKUP(B463,Trigger_Assessment!$A$2:$C$1000,3,FALSE),"")</f>
        <v/>
      </c>
      <c r="G463" s="14" t="n"/>
      <c r="H463" s="14" t="n"/>
      <c r="I463" s="14" t="n"/>
      <c r="N463" s="14" t="n"/>
      <c r="P463" s="14">
        <f>IF(ISBLANK(I463),"",DATE(YEAR(I463)+1,MONTH(I463),DAY(I463)))</f>
        <v/>
      </c>
    </row>
    <row r="464">
      <c r="C464">
        <f>IFERROR(VLOOKUP(B464,Trigger_Assessment!$A$2:$B$1000,2,FALSE),"")</f>
        <v/>
      </c>
      <c r="D464">
        <f>IFERROR(VLOOKUP(B464,Trigger_Assessment!$A$2:$C$1000,3,FALSE),"")</f>
        <v/>
      </c>
      <c r="G464" s="14" t="n"/>
      <c r="H464" s="14" t="n"/>
      <c r="I464" s="14" t="n"/>
      <c r="N464" s="14" t="n"/>
      <c r="P464" s="14">
        <f>IF(ISBLANK(I464),"",DATE(YEAR(I464)+1,MONTH(I464),DAY(I464)))</f>
        <v/>
      </c>
    </row>
    <row r="465">
      <c r="C465">
        <f>IFERROR(VLOOKUP(B465,Trigger_Assessment!$A$2:$B$1000,2,FALSE),"")</f>
        <v/>
      </c>
      <c r="D465">
        <f>IFERROR(VLOOKUP(B465,Trigger_Assessment!$A$2:$C$1000,3,FALSE),"")</f>
        <v/>
      </c>
      <c r="G465" s="14" t="n"/>
      <c r="H465" s="14" t="n"/>
      <c r="I465" s="14" t="n"/>
      <c r="N465" s="14" t="n"/>
      <c r="P465" s="14">
        <f>IF(ISBLANK(I465),"",DATE(YEAR(I465)+1,MONTH(I465),DAY(I465)))</f>
        <v/>
      </c>
    </row>
    <row r="466">
      <c r="C466">
        <f>IFERROR(VLOOKUP(B466,Trigger_Assessment!$A$2:$B$1000,2,FALSE),"")</f>
        <v/>
      </c>
      <c r="D466">
        <f>IFERROR(VLOOKUP(B466,Trigger_Assessment!$A$2:$C$1000,3,FALSE),"")</f>
        <v/>
      </c>
      <c r="G466" s="14" t="n"/>
      <c r="H466" s="14" t="n"/>
      <c r="I466" s="14" t="n"/>
      <c r="N466" s="14" t="n"/>
      <c r="P466" s="14">
        <f>IF(ISBLANK(I466),"",DATE(YEAR(I466)+1,MONTH(I466),DAY(I466)))</f>
        <v/>
      </c>
    </row>
    <row r="467">
      <c r="C467">
        <f>IFERROR(VLOOKUP(B467,Trigger_Assessment!$A$2:$B$1000,2,FALSE),"")</f>
        <v/>
      </c>
      <c r="D467">
        <f>IFERROR(VLOOKUP(B467,Trigger_Assessment!$A$2:$C$1000,3,FALSE),"")</f>
        <v/>
      </c>
      <c r="G467" s="14" t="n"/>
      <c r="H467" s="14" t="n"/>
      <c r="I467" s="14" t="n"/>
      <c r="N467" s="14" t="n"/>
      <c r="P467" s="14">
        <f>IF(ISBLANK(I467),"",DATE(YEAR(I467)+1,MONTH(I467),DAY(I467)))</f>
        <v/>
      </c>
    </row>
    <row r="468">
      <c r="C468">
        <f>IFERROR(VLOOKUP(B468,Trigger_Assessment!$A$2:$B$1000,2,FALSE),"")</f>
        <v/>
      </c>
      <c r="D468">
        <f>IFERROR(VLOOKUP(B468,Trigger_Assessment!$A$2:$C$1000,3,FALSE),"")</f>
        <v/>
      </c>
      <c r="G468" s="14" t="n"/>
      <c r="H468" s="14" t="n"/>
      <c r="I468" s="14" t="n"/>
      <c r="N468" s="14" t="n"/>
      <c r="P468" s="14">
        <f>IF(ISBLANK(I468),"",DATE(YEAR(I468)+1,MONTH(I468),DAY(I468)))</f>
        <v/>
      </c>
    </row>
    <row r="469">
      <c r="C469">
        <f>IFERROR(VLOOKUP(B469,Trigger_Assessment!$A$2:$B$1000,2,FALSE),"")</f>
        <v/>
      </c>
      <c r="D469">
        <f>IFERROR(VLOOKUP(B469,Trigger_Assessment!$A$2:$C$1000,3,FALSE),"")</f>
        <v/>
      </c>
      <c r="G469" s="14" t="n"/>
      <c r="H469" s="14" t="n"/>
      <c r="I469" s="14" t="n"/>
      <c r="N469" s="14" t="n"/>
      <c r="P469" s="14">
        <f>IF(ISBLANK(I469),"",DATE(YEAR(I469)+1,MONTH(I469),DAY(I469)))</f>
        <v/>
      </c>
    </row>
    <row r="470">
      <c r="C470">
        <f>IFERROR(VLOOKUP(B470,Trigger_Assessment!$A$2:$B$1000,2,FALSE),"")</f>
        <v/>
      </c>
      <c r="D470">
        <f>IFERROR(VLOOKUP(B470,Trigger_Assessment!$A$2:$C$1000,3,FALSE),"")</f>
        <v/>
      </c>
      <c r="G470" s="14" t="n"/>
      <c r="H470" s="14" t="n"/>
      <c r="I470" s="14" t="n"/>
      <c r="N470" s="14" t="n"/>
      <c r="P470" s="14">
        <f>IF(ISBLANK(I470),"",DATE(YEAR(I470)+1,MONTH(I470),DAY(I470)))</f>
        <v/>
      </c>
    </row>
    <row r="471">
      <c r="C471">
        <f>IFERROR(VLOOKUP(B471,Trigger_Assessment!$A$2:$B$1000,2,FALSE),"")</f>
        <v/>
      </c>
      <c r="D471">
        <f>IFERROR(VLOOKUP(B471,Trigger_Assessment!$A$2:$C$1000,3,FALSE),"")</f>
        <v/>
      </c>
      <c r="G471" s="14" t="n"/>
      <c r="H471" s="14" t="n"/>
      <c r="I471" s="14" t="n"/>
      <c r="N471" s="14" t="n"/>
      <c r="P471" s="14">
        <f>IF(ISBLANK(I471),"",DATE(YEAR(I471)+1,MONTH(I471),DAY(I471)))</f>
        <v/>
      </c>
    </row>
    <row r="472">
      <c r="C472">
        <f>IFERROR(VLOOKUP(B472,Trigger_Assessment!$A$2:$B$1000,2,FALSE),"")</f>
        <v/>
      </c>
      <c r="D472">
        <f>IFERROR(VLOOKUP(B472,Trigger_Assessment!$A$2:$C$1000,3,FALSE),"")</f>
        <v/>
      </c>
      <c r="G472" s="14" t="n"/>
      <c r="H472" s="14" t="n"/>
      <c r="I472" s="14" t="n"/>
      <c r="N472" s="14" t="n"/>
      <c r="P472" s="14">
        <f>IF(ISBLANK(I472),"",DATE(YEAR(I472)+1,MONTH(I472),DAY(I472)))</f>
        <v/>
      </c>
    </row>
    <row r="473">
      <c r="C473">
        <f>IFERROR(VLOOKUP(B473,Trigger_Assessment!$A$2:$B$1000,2,FALSE),"")</f>
        <v/>
      </c>
      <c r="D473">
        <f>IFERROR(VLOOKUP(B473,Trigger_Assessment!$A$2:$C$1000,3,FALSE),"")</f>
        <v/>
      </c>
      <c r="G473" s="14" t="n"/>
      <c r="H473" s="14" t="n"/>
      <c r="I473" s="14" t="n"/>
      <c r="N473" s="14" t="n"/>
      <c r="P473" s="14">
        <f>IF(ISBLANK(I473),"",DATE(YEAR(I473)+1,MONTH(I473),DAY(I473)))</f>
        <v/>
      </c>
    </row>
    <row r="474">
      <c r="C474">
        <f>IFERROR(VLOOKUP(B474,Trigger_Assessment!$A$2:$B$1000,2,FALSE),"")</f>
        <v/>
      </c>
      <c r="D474">
        <f>IFERROR(VLOOKUP(B474,Trigger_Assessment!$A$2:$C$1000,3,FALSE),"")</f>
        <v/>
      </c>
      <c r="G474" s="14" t="n"/>
      <c r="H474" s="14" t="n"/>
      <c r="I474" s="14" t="n"/>
      <c r="N474" s="14" t="n"/>
      <c r="P474" s="14">
        <f>IF(ISBLANK(I474),"",DATE(YEAR(I474)+1,MONTH(I474),DAY(I474)))</f>
        <v/>
      </c>
    </row>
    <row r="475">
      <c r="C475">
        <f>IFERROR(VLOOKUP(B475,Trigger_Assessment!$A$2:$B$1000,2,FALSE),"")</f>
        <v/>
      </c>
      <c r="D475">
        <f>IFERROR(VLOOKUP(B475,Trigger_Assessment!$A$2:$C$1000,3,FALSE),"")</f>
        <v/>
      </c>
      <c r="G475" s="14" t="n"/>
      <c r="H475" s="14" t="n"/>
      <c r="I475" s="14" t="n"/>
      <c r="N475" s="14" t="n"/>
      <c r="P475" s="14">
        <f>IF(ISBLANK(I475),"",DATE(YEAR(I475)+1,MONTH(I475),DAY(I475)))</f>
        <v/>
      </c>
    </row>
    <row r="476">
      <c r="C476">
        <f>IFERROR(VLOOKUP(B476,Trigger_Assessment!$A$2:$B$1000,2,FALSE),"")</f>
        <v/>
      </c>
      <c r="D476">
        <f>IFERROR(VLOOKUP(B476,Trigger_Assessment!$A$2:$C$1000,3,FALSE),"")</f>
        <v/>
      </c>
      <c r="G476" s="14" t="n"/>
      <c r="H476" s="14" t="n"/>
      <c r="I476" s="14" t="n"/>
      <c r="N476" s="14" t="n"/>
      <c r="P476" s="14">
        <f>IF(ISBLANK(I476),"",DATE(YEAR(I476)+1,MONTH(I476),DAY(I476)))</f>
        <v/>
      </c>
    </row>
    <row r="477">
      <c r="C477">
        <f>IFERROR(VLOOKUP(B477,Trigger_Assessment!$A$2:$B$1000,2,FALSE),"")</f>
        <v/>
      </c>
      <c r="D477">
        <f>IFERROR(VLOOKUP(B477,Trigger_Assessment!$A$2:$C$1000,3,FALSE),"")</f>
        <v/>
      </c>
      <c r="G477" s="14" t="n"/>
      <c r="H477" s="14" t="n"/>
      <c r="I477" s="14" t="n"/>
      <c r="N477" s="14" t="n"/>
      <c r="P477" s="14">
        <f>IF(ISBLANK(I477),"",DATE(YEAR(I477)+1,MONTH(I477),DAY(I477)))</f>
        <v/>
      </c>
    </row>
    <row r="478">
      <c r="C478">
        <f>IFERROR(VLOOKUP(B478,Trigger_Assessment!$A$2:$B$1000,2,FALSE),"")</f>
        <v/>
      </c>
      <c r="D478">
        <f>IFERROR(VLOOKUP(B478,Trigger_Assessment!$A$2:$C$1000,3,FALSE),"")</f>
        <v/>
      </c>
      <c r="G478" s="14" t="n"/>
      <c r="H478" s="14" t="n"/>
      <c r="I478" s="14" t="n"/>
      <c r="N478" s="14" t="n"/>
      <c r="P478" s="14">
        <f>IF(ISBLANK(I478),"",DATE(YEAR(I478)+1,MONTH(I478),DAY(I478)))</f>
        <v/>
      </c>
    </row>
    <row r="479">
      <c r="C479">
        <f>IFERROR(VLOOKUP(B479,Trigger_Assessment!$A$2:$B$1000,2,FALSE),"")</f>
        <v/>
      </c>
      <c r="D479">
        <f>IFERROR(VLOOKUP(B479,Trigger_Assessment!$A$2:$C$1000,3,FALSE),"")</f>
        <v/>
      </c>
      <c r="G479" s="14" t="n"/>
      <c r="H479" s="14" t="n"/>
      <c r="I479" s="14" t="n"/>
      <c r="N479" s="14" t="n"/>
      <c r="P479" s="14">
        <f>IF(ISBLANK(I479),"",DATE(YEAR(I479)+1,MONTH(I479),DAY(I479)))</f>
        <v/>
      </c>
    </row>
    <row r="480">
      <c r="C480">
        <f>IFERROR(VLOOKUP(B480,Trigger_Assessment!$A$2:$B$1000,2,FALSE),"")</f>
        <v/>
      </c>
      <c r="D480">
        <f>IFERROR(VLOOKUP(B480,Trigger_Assessment!$A$2:$C$1000,3,FALSE),"")</f>
        <v/>
      </c>
      <c r="G480" s="14" t="n"/>
      <c r="H480" s="14" t="n"/>
      <c r="I480" s="14" t="n"/>
      <c r="N480" s="14" t="n"/>
      <c r="P480" s="14">
        <f>IF(ISBLANK(I480),"",DATE(YEAR(I480)+1,MONTH(I480),DAY(I480)))</f>
        <v/>
      </c>
    </row>
    <row r="481">
      <c r="C481">
        <f>IFERROR(VLOOKUP(B481,Trigger_Assessment!$A$2:$B$1000,2,FALSE),"")</f>
        <v/>
      </c>
      <c r="D481">
        <f>IFERROR(VLOOKUP(B481,Trigger_Assessment!$A$2:$C$1000,3,FALSE),"")</f>
        <v/>
      </c>
      <c r="G481" s="14" t="n"/>
      <c r="H481" s="14" t="n"/>
      <c r="I481" s="14" t="n"/>
      <c r="N481" s="14" t="n"/>
      <c r="P481" s="14">
        <f>IF(ISBLANK(I481),"",DATE(YEAR(I481)+1,MONTH(I481),DAY(I481)))</f>
        <v/>
      </c>
    </row>
    <row r="482">
      <c r="C482">
        <f>IFERROR(VLOOKUP(B482,Trigger_Assessment!$A$2:$B$1000,2,FALSE),"")</f>
        <v/>
      </c>
      <c r="D482">
        <f>IFERROR(VLOOKUP(B482,Trigger_Assessment!$A$2:$C$1000,3,FALSE),"")</f>
        <v/>
      </c>
      <c r="G482" s="14" t="n"/>
      <c r="H482" s="14" t="n"/>
      <c r="I482" s="14" t="n"/>
      <c r="N482" s="14" t="n"/>
      <c r="P482" s="14">
        <f>IF(ISBLANK(I482),"",DATE(YEAR(I482)+1,MONTH(I482),DAY(I482)))</f>
        <v/>
      </c>
    </row>
    <row r="483">
      <c r="C483">
        <f>IFERROR(VLOOKUP(B483,Trigger_Assessment!$A$2:$B$1000,2,FALSE),"")</f>
        <v/>
      </c>
      <c r="D483">
        <f>IFERROR(VLOOKUP(B483,Trigger_Assessment!$A$2:$C$1000,3,FALSE),"")</f>
        <v/>
      </c>
      <c r="G483" s="14" t="n"/>
      <c r="H483" s="14" t="n"/>
      <c r="I483" s="14" t="n"/>
      <c r="N483" s="14" t="n"/>
      <c r="P483" s="14">
        <f>IF(ISBLANK(I483),"",DATE(YEAR(I483)+1,MONTH(I483),DAY(I483)))</f>
        <v/>
      </c>
    </row>
    <row r="484">
      <c r="C484">
        <f>IFERROR(VLOOKUP(B484,Trigger_Assessment!$A$2:$B$1000,2,FALSE),"")</f>
        <v/>
      </c>
      <c r="D484">
        <f>IFERROR(VLOOKUP(B484,Trigger_Assessment!$A$2:$C$1000,3,FALSE),"")</f>
        <v/>
      </c>
      <c r="G484" s="14" t="n"/>
      <c r="H484" s="14" t="n"/>
      <c r="I484" s="14" t="n"/>
      <c r="N484" s="14" t="n"/>
      <c r="P484" s="14">
        <f>IF(ISBLANK(I484),"",DATE(YEAR(I484)+1,MONTH(I484),DAY(I484)))</f>
        <v/>
      </c>
    </row>
    <row r="485">
      <c r="C485">
        <f>IFERROR(VLOOKUP(B485,Trigger_Assessment!$A$2:$B$1000,2,FALSE),"")</f>
        <v/>
      </c>
      <c r="D485">
        <f>IFERROR(VLOOKUP(B485,Trigger_Assessment!$A$2:$C$1000,3,FALSE),"")</f>
        <v/>
      </c>
      <c r="G485" s="14" t="n"/>
      <c r="H485" s="14" t="n"/>
      <c r="I485" s="14" t="n"/>
      <c r="N485" s="14" t="n"/>
      <c r="P485" s="14">
        <f>IF(ISBLANK(I485),"",DATE(YEAR(I485)+1,MONTH(I485),DAY(I485)))</f>
        <v/>
      </c>
    </row>
    <row r="486">
      <c r="C486">
        <f>IFERROR(VLOOKUP(B486,Trigger_Assessment!$A$2:$B$1000,2,FALSE),"")</f>
        <v/>
      </c>
      <c r="D486">
        <f>IFERROR(VLOOKUP(B486,Trigger_Assessment!$A$2:$C$1000,3,FALSE),"")</f>
        <v/>
      </c>
      <c r="G486" s="14" t="n"/>
      <c r="H486" s="14" t="n"/>
      <c r="I486" s="14" t="n"/>
      <c r="N486" s="14" t="n"/>
      <c r="P486" s="14">
        <f>IF(ISBLANK(I486),"",DATE(YEAR(I486)+1,MONTH(I486),DAY(I486)))</f>
        <v/>
      </c>
    </row>
    <row r="487">
      <c r="C487">
        <f>IFERROR(VLOOKUP(B487,Trigger_Assessment!$A$2:$B$1000,2,FALSE),"")</f>
        <v/>
      </c>
      <c r="D487">
        <f>IFERROR(VLOOKUP(B487,Trigger_Assessment!$A$2:$C$1000,3,FALSE),"")</f>
        <v/>
      </c>
      <c r="G487" s="14" t="n"/>
      <c r="H487" s="14" t="n"/>
      <c r="I487" s="14" t="n"/>
      <c r="N487" s="14" t="n"/>
      <c r="P487" s="14">
        <f>IF(ISBLANK(I487),"",DATE(YEAR(I487)+1,MONTH(I487),DAY(I487)))</f>
        <v/>
      </c>
    </row>
    <row r="488">
      <c r="C488">
        <f>IFERROR(VLOOKUP(B488,Trigger_Assessment!$A$2:$B$1000,2,FALSE),"")</f>
        <v/>
      </c>
      <c r="D488">
        <f>IFERROR(VLOOKUP(B488,Trigger_Assessment!$A$2:$C$1000,3,FALSE),"")</f>
        <v/>
      </c>
      <c r="G488" s="14" t="n"/>
      <c r="H488" s="14" t="n"/>
      <c r="I488" s="14" t="n"/>
      <c r="N488" s="14" t="n"/>
      <c r="P488" s="14">
        <f>IF(ISBLANK(I488),"",DATE(YEAR(I488)+1,MONTH(I488),DAY(I488)))</f>
        <v/>
      </c>
    </row>
    <row r="489">
      <c r="C489">
        <f>IFERROR(VLOOKUP(B489,Trigger_Assessment!$A$2:$B$1000,2,FALSE),"")</f>
        <v/>
      </c>
      <c r="D489">
        <f>IFERROR(VLOOKUP(B489,Trigger_Assessment!$A$2:$C$1000,3,FALSE),"")</f>
        <v/>
      </c>
      <c r="G489" s="14" t="n"/>
      <c r="H489" s="14" t="n"/>
      <c r="I489" s="14" t="n"/>
      <c r="N489" s="14" t="n"/>
      <c r="P489" s="14">
        <f>IF(ISBLANK(I489),"",DATE(YEAR(I489)+1,MONTH(I489),DAY(I489)))</f>
        <v/>
      </c>
    </row>
    <row r="490">
      <c r="C490">
        <f>IFERROR(VLOOKUP(B490,Trigger_Assessment!$A$2:$B$1000,2,FALSE),"")</f>
        <v/>
      </c>
      <c r="D490">
        <f>IFERROR(VLOOKUP(B490,Trigger_Assessment!$A$2:$C$1000,3,FALSE),"")</f>
        <v/>
      </c>
      <c r="G490" s="14" t="n"/>
      <c r="H490" s="14" t="n"/>
      <c r="I490" s="14" t="n"/>
      <c r="N490" s="14" t="n"/>
      <c r="P490" s="14">
        <f>IF(ISBLANK(I490),"",DATE(YEAR(I490)+1,MONTH(I490),DAY(I490)))</f>
        <v/>
      </c>
    </row>
    <row r="491">
      <c r="C491">
        <f>IFERROR(VLOOKUP(B491,Trigger_Assessment!$A$2:$B$1000,2,FALSE),"")</f>
        <v/>
      </c>
      <c r="D491">
        <f>IFERROR(VLOOKUP(B491,Trigger_Assessment!$A$2:$C$1000,3,FALSE),"")</f>
        <v/>
      </c>
      <c r="G491" s="14" t="n"/>
      <c r="H491" s="14" t="n"/>
      <c r="I491" s="14" t="n"/>
      <c r="N491" s="14" t="n"/>
      <c r="P491" s="14">
        <f>IF(ISBLANK(I491),"",DATE(YEAR(I491)+1,MONTH(I491),DAY(I491)))</f>
        <v/>
      </c>
    </row>
    <row r="492">
      <c r="C492">
        <f>IFERROR(VLOOKUP(B492,Trigger_Assessment!$A$2:$B$1000,2,FALSE),"")</f>
        <v/>
      </c>
      <c r="D492">
        <f>IFERROR(VLOOKUP(B492,Trigger_Assessment!$A$2:$C$1000,3,FALSE),"")</f>
        <v/>
      </c>
      <c r="G492" s="14" t="n"/>
      <c r="H492" s="14" t="n"/>
      <c r="I492" s="14" t="n"/>
      <c r="N492" s="14" t="n"/>
      <c r="P492" s="14">
        <f>IF(ISBLANK(I492),"",DATE(YEAR(I492)+1,MONTH(I492),DAY(I492)))</f>
        <v/>
      </c>
    </row>
    <row r="493">
      <c r="C493">
        <f>IFERROR(VLOOKUP(B493,Trigger_Assessment!$A$2:$B$1000,2,FALSE),"")</f>
        <v/>
      </c>
      <c r="D493">
        <f>IFERROR(VLOOKUP(B493,Trigger_Assessment!$A$2:$C$1000,3,FALSE),"")</f>
        <v/>
      </c>
      <c r="G493" s="14" t="n"/>
      <c r="H493" s="14" t="n"/>
      <c r="I493" s="14" t="n"/>
      <c r="N493" s="14" t="n"/>
      <c r="P493" s="14">
        <f>IF(ISBLANK(I493),"",DATE(YEAR(I493)+1,MONTH(I493),DAY(I493)))</f>
        <v/>
      </c>
    </row>
    <row r="494">
      <c r="C494">
        <f>IFERROR(VLOOKUP(B494,Trigger_Assessment!$A$2:$B$1000,2,FALSE),"")</f>
        <v/>
      </c>
      <c r="D494">
        <f>IFERROR(VLOOKUP(B494,Trigger_Assessment!$A$2:$C$1000,3,FALSE),"")</f>
        <v/>
      </c>
      <c r="G494" s="14" t="n"/>
      <c r="H494" s="14" t="n"/>
      <c r="I494" s="14" t="n"/>
      <c r="N494" s="14" t="n"/>
      <c r="P494" s="14">
        <f>IF(ISBLANK(I494),"",DATE(YEAR(I494)+1,MONTH(I494),DAY(I494)))</f>
        <v/>
      </c>
    </row>
    <row r="495">
      <c r="C495">
        <f>IFERROR(VLOOKUP(B495,Trigger_Assessment!$A$2:$B$1000,2,FALSE),"")</f>
        <v/>
      </c>
      <c r="D495">
        <f>IFERROR(VLOOKUP(B495,Trigger_Assessment!$A$2:$C$1000,3,FALSE),"")</f>
        <v/>
      </c>
      <c r="G495" s="14" t="n"/>
      <c r="H495" s="14" t="n"/>
      <c r="I495" s="14" t="n"/>
      <c r="N495" s="14" t="n"/>
      <c r="P495" s="14">
        <f>IF(ISBLANK(I495),"",DATE(YEAR(I495)+1,MONTH(I495),DAY(I495)))</f>
        <v/>
      </c>
    </row>
    <row r="496">
      <c r="C496">
        <f>IFERROR(VLOOKUP(B496,Trigger_Assessment!$A$2:$B$1000,2,FALSE),"")</f>
        <v/>
      </c>
      <c r="D496">
        <f>IFERROR(VLOOKUP(B496,Trigger_Assessment!$A$2:$C$1000,3,FALSE),"")</f>
        <v/>
      </c>
      <c r="G496" s="14" t="n"/>
      <c r="H496" s="14" t="n"/>
      <c r="I496" s="14" t="n"/>
      <c r="N496" s="14" t="n"/>
      <c r="P496" s="14">
        <f>IF(ISBLANK(I496),"",DATE(YEAR(I496)+1,MONTH(I496),DAY(I496)))</f>
        <v/>
      </c>
    </row>
    <row r="497">
      <c r="C497">
        <f>IFERROR(VLOOKUP(B497,Trigger_Assessment!$A$2:$B$1000,2,FALSE),"")</f>
        <v/>
      </c>
      <c r="D497">
        <f>IFERROR(VLOOKUP(B497,Trigger_Assessment!$A$2:$C$1000,3,FALSE),"")</f>
        <v/>
      </c>
      <c r="G497" s="14" t="n"/>
      <c r="H497" s="14" t="n"/>
      <c r="I497" s="14" t="n"/>
      <c r="N497" s="14" t="n"/>
      <c r="P497" s="14">
        <f>IF(ISBLANK(I497),"",DATE(YEAR(I497)+1,MONTH(I497),DAY(I497)))</f>
        <v/>
      </c>
    </row>
    <row r="498">
      <c r="C498">
        <f>IFERROR(VLOOKUP(B498,Trigger_Assessment!$A$2:$B$1000,2,FALSE),"")</f>
        <v/>
      </c>
      <c r="D498">
        <f>IFERROR(VLOOKUP(B498,Trigger_Assessment!$A$2:$C$1000,3,FALSE),"")</f>
        <v/>
      </c>
      <c r="G498" s="14" t="n"/>
      <c r="H498" s="14" t="n"/>
      <c r="I498" s="14" t="n"/>
      <c r="N498" s="14" t="n"/>
      <c r="P498" s="14">
        <f>IF(ISBLANK(I498),"",DATE(YEAR(I498)+1,MONTH(I498),DAY(I498)))</f>
        <v/>
      </c>
    </row>
    <row r="499">
      <c r="C499">
        <f>IFERROR(VLOOKUP(B499,Trigger_Assessment!$A$2:$B$1000,2,FALSE),"")</f>
        <v/>
      </c>
      <c r="D499">
        <f>IFERROR(VLOOKUP(B499,Trigger_Assessment!$A$2:$C$1000,3,FALSE),"")</f>
        <v/>
      </c>
      <c r="G499" s="14" t="n"/>
      <c r="H499" s="14" t="n"/>
      <c r="I499" s="14" t="n"/>
      <c r="N499" s="14" t="n"/>
      <c r="P499" s="14">
        <f>IF(ISBLANK(I499),"",DATE(YEAR(I499)+1,MONTH(I499),DAY(I499)))</f>
        <v/>
      </c>
    </row>
    <row r="500">
      <c r="C500">
        <f>IFERROR(VLOOKUP(B500,Trigger_Assessment!$A$2:$B$1000,2,FALSE),"")</f>
        <v/>
      </c>
      <c r="D500">
        <f>IFERROR(VLOOKUP(B500,Trigger_Assessment!$A$2:$C$1000,3,FALSE),"")</f>
        <v/>
      </c>
      <c r="G500" s="14" t="n"/>
      <c r="H500" s="14" t="n"/>
      <c r="I500" s="14" t="n"/>
      <c r="N500" s="14" t="n"/>
      <c r="P500" s="14">
        <f>IF(ISBLANK(I500),"",DATE(YEAR(I500)+1,MONTH(I500),DAY(I500)))</f>
        <v/>
      </c>
    </row>
    <row r="501">
      <c r="C501">
        <f>IFERROR(VLOOKUP(B501,Trigger_Assessment!$A$2:$B$1000,2,FALSE),"")</f>
        <v/>
      </c>
      <c r="D501">
        <f>IFERROR(VLOOKUP(B501,Trigger_Assessment!$A$2:$C$1000,3,FALSE),"")</f>
        <v/>
      </c>
      <c r="G501" s="14" t="n"/>
      <c r="H501" s="14" t="n"/>
      <c r="I501" s="14" t="n"/>
      <c r="N501" s="14" t="n"/>
      <c r="P501" s="14">
        <f>IF(ISBLANK(I501),"",DATE(YEAR(I501)+1,MONTH(I501),DAY(I501)))</f>
        <v/>
      </c>
    </row>
    <row r="502">
      <c r="C502">
        <f>IFERROR(VLOOKUP(B502,Trigger_Assessment!$A$2:$B$1000,2,FALSE),"")</f>
        <v/>
      </c>
      <c r="D502">
        <f>IFERROR(VLOOKUP(B502,Trigger_Assessment!$A$2:$C$1000,3,FALSE),"")</f>
        <v/>
      </c>
      <c r="G502" s="14" t="n"/>
      <c r="H502" s="14" t="n"/>
      <c r="I502" s="14" t="n"/>
      <c r="N502" s="14" t="n"/>
      <c r="P502" s="14">
        <f>IF(ISBLANK(I502),"",DATE(YEAR(I502)+1,MONTH(I502),DAY(I502)))</f>
        <v/>
      </c>
    </row>
    <row r="503">
      <c r="C503">
        <f>IFERROR(VLOOKUP(B503,Trigger_Assessment!$A$2:$B$1000,2,FALSE),"")</f>
        <v/>
      </c>
      <c r="D503">
        <f>IFERROR(VLOOKUP(B503,Trigger_Assessment!$A$2:$C$1000,3,FALSE),"")</f>
        <v/>
      </c>
      <c r="G503" s="14" t="n"/>
      <c r="H503" s="14" t="n"/>
      <c r="I503" s="14" t="n"/>
      <c r="N503" s="14" t="n"/>
      <c r="P503" s="14">
        <f>IF(ISBLANK(I503),"",DATE(YEAR(I503)+1,MONTH(I503),DAY(I503)))</f>
        <v/>
      </c>
    </row>
    <row r="504">
      <c r="C504">
        <f>IFERROR(VLOOKUP(B504,Trigger_Assessment!$A$2:$B$1000,2,FALSE),"")</f>
        <v/>
      </c>
      <c r="D504">
        <f>IFERROR(VLOOKUP(B504,Trigger_Assessment!$A$2:$C$1000,3,FALSE),"")</f>
        <v/>
      </c>
      <c r="G504" s="14" t="n"/>
      <c r="H504" s="14" t="n"/>
      <c r="I504" s="14" t="n"/>
      <c r="N504" s="14" t="n"/>
      <c r="P504" s="14">
        <f>IF(ISBLANK(I504),"",DATE(YEAR(I504)+1,MONTH(I504),DAY(I504)))</f>
        <v/>
      </c>
    </row>
    <row r="505">
      <c r="C505">
        <f>IFERROR(VLOOKUP(B505,Trigger_Assessment!$A$2:$B$1000,2,FALSE),"")</f>
        <v/>
      </c>
      <c r="D505">
        <f>IFERROR(VLOOKUP(B505,Trigger_Assessment!$A$2:$C$1000,3,FALSE),"")</f>
        <v/>
      </c>
      <c r="G505" s="14" t="n"/>
      <c r="H505" s="14" t="n"/>
      <c r="I505" s="14" t="n"/>
      <c r="N505" s="14" t="n"/>
      <c r="P505" s="14">
        <f>IF(ISBLANK(I505),"",DATE(YEAR(I505)+1,MONTH(I505),DAY(I505)))</f>
        <v/>
      </c>
    </row>
    <row r="506">
      <c r="C506">
        <f>IFERROR(VLOOKUP(B506,Trigger_Assessment!$A$2:$B$1000,2,FALSE),"")</f>
        <v/>
      </c>
      <c r="D506">
        <f>IFERROR(VLOOKUP(B506,Trigger_Assessment!$A$2:$C$1000,3,FALSE),"")</f>
        <v/>
      </c>
      <c r="G506" s="14" t="n"/>
      <c r="H506" s="14" t="n"/>
      <c r="I506" s="14" t="n"/>
      <c r="N506" s="14" t="n"/>
      <c r="P506" s="14">
        <f>IF(ISBLANK(I506),"",DATE(YEAR(I506)+1,MONTH(I506),DAY(I506)))</f>
        <v/>
      </c>
    </row>
    <row r="507">
      <c r="C507">
        <f>IFERROR(VLOOKUP(B507,Trigger_Assessment!$A$2:$B$1000,2,FALSE),"")</f>
        <v/>
      </c>
      <c r="D507">
        <f>IFERROR(VLOOKUP(B507,Trigger_Assessment!$A$2:$C$1000,3,FALSE),"")</f>
        <v/>
      </c>
      <c r="G507" s="14" t="n"/>
      <c r="H507" s="14" t="n"/>
      <c r="I507" s="14" t="n"/>
      <c r="N507" s="14" t="n"/>
      <c r="P507" s="14">
        <f>IF(ISBLANK(I507),"",DATE(YEAR(I507)+1,MONTH(I507),DAY(I507)))</f>
        <v/>
      </c>
    </row>
    <row r="508">
      <c r="C508">
        <f>IFERROR(VLOOKUP(B508,Trigger_Assessment!$A$2:$B$1000,2,FALSE),"")</f>
        <v/>
      </c>
      <c r="D508">
        <f>IFERROR(VLOOKUP(B508,Trigger_Assessment!$A$2:$C$1000,3,FALSE),"")</f>
        <v/>
      </c>
      <c r="G508" s="14" t="n"/>
      <c r="H508" s="14" t="n"/>
      <c r="I508" s="14" t="n"/>
      <c r="N508" s="14" t="n"/>
      <c r="P508" s="14">
        <f>IF(ISBLANK(I508),"",DATE(YEAR(I508)+1,MONTH(I508),DAY(I508)))</f>
        <v/>
      </c>
    </row>
    <row r="509">
      <c r="C509">
        <f>IFERROR(VLOOKUP(B509,Trigger_Assessment!$A$2:$B$1000,2,FALSE),"")</f>
        <v/>
      </c>
      <c r="D509">
        <f>IFERROR(VLOOKUP(B509,Trigger_Assessment!$A$2:$C$1000,3,FALSE),"")</f>
        <v/>
      </c>
      <c r="G509" s="14" t="n"/>
      <c r="H509" s="14" t="n"/>
      <c r="I509" s="14" t="n"/>
      <c r="N509" s="14" t="n"/>
      <c r="P509" s="14">
        <f>IF(ISBLANK(I509),"",DATE(YEAR(I509)+1,MONTH(I509),DAY(I509)))</f>
        <v/>
      </c>
    </row>
    <row r="510">
      <c r="C510">
        <f>IFERROR(VLOOKUP(B510,Trigger_Assessment!$A$2:$B$1000,2,FALSE),"")</f>
        <v/>
      </c>
      <c r="D510">
        <f>IFERROR(VLOOKUP(B510,Trigger_Assessment!$A$2:$C$1000,3,FALSE),"")</f>
        <v/>
      </c>
      <c r="G510" s="14" t="n"/>
      <c r="H510" s="14" t="n"/>
      <c r="I510" s="14" t="n"/>
      <c r="N510" s="14" t="n"/>
      <c r="P510" s="14">
        <f>IF(ISBLANK(I510),"",DATE(YEAR(I510)+1,MONTH(I510),DAY(I510)))</f>
        <v/>
      </c>
    </row>
    <row r="511">
      <c r="C511">
        <f>IFERROR(VLOOKUP(B511,Trigger_Assessment!$A$2:$B$1000,2,FALSE),"")</f>
        <v/>
      </c>
      <c r="D511">
        <f>IFERROR(VLOOKUP(B511,Trigger_Assessment!$A$2:$C$1000,3,FALSE),"")</f>
        <v/>
      </c>
      <c r="G511" s="14" t="n"/>
      <c r="H511" s="14" t="n"/>
      <c r="I511" s="14" t="n"/>
      <c r="N511" s="14" t="n"/>
      <c r="P511" s="14">
        <f>IF(ISBLANK(I511),"",DATE(YEAR(I511)+1,MONTH(I511),DAY(I511)))</f>
        <v/>
      </c>
    </row>
    <row r="512">
      <c r="C512">
        <f>IFERROR(VLOOKUP(B512,Trigger_Assessment!$A$2:$B$1000,2,FALSE),"")</f>
        <v/>
      </c>
      <c r="D512">
        <f>IFERROR(VLOOKUP(B512,Trigger_Assessment!$A$2:$C$1000,3,FALSE),"")</f>
        <v/>
      </c>
      <c r="G512" s="14" t="n"/>
      <c r="H512" s="14" t="n"/>
      <c r="I512" s="14" t="n"/>
      <c r="N512" s="14" t="n"/>
      <c r="P512" s="14">
        <f>IF(ISBLANK(I512),"",DATE(YEAR(I512)+1,MONTH(I512),DAY(I512)))</f>
        <v/>
      </c>
    </row>
    <row r="513">
      <c r="C513">
        <f>IFERROR(VLOOKUP(B513,Trigger_Assessment!$A$2:$B$1000,2,FALSE),"")</f>
        <v/>
      </c>
      <c r="D513">
        <f>IFERROR(VLOOKUP(B513,Trigger_Assessment!$A$2:$C$1000,3,FALSE),"")</f>
        <v/>
      </c>
      <c r="G513" s="14" t="n"/>
      <c r="H513" s="14" t="n"/>
      <c r="I513" s="14" t="n"/>
      <c r="N513" s="14" t="n"/>
      <c r="P513" s="14">
        <f>IF(ISBLANK(I513),"",DATE(YEAR(I513)+1,MONTH(I513),DAY(I513)))</f>
        <v/>
      </c>
    </row>
    <row r="514">
      <c r="C514">
        <f>IFERROR(VLOOKUP(B514,Trigger_Assessment!$A$2:$B$1000,2,FALSE),"")</f>
        <v/>
      </c>
      <c r="D514">
        <f>IFERROR(VLOOKUP(B514,Trigger_Assessment!$A$2:$C$1000,3,FALSE),"")</f>
        <v/>
      </c>
      <c r="G514" s="14" t="n"/>
      <c r="H514" s="14" t="n"/>
      <c r="I514" s="14" t="n"/>
      <c r="N514" s="14" t="n"/>
      <c r="P514" s="14">
        <f>IF(ISBLANK(I514),"",DATE(YEAR(I514)+1,MONTH(I514),DAY(I514)))</f>
        <v/>
      </c>
    </row>
    <row r="515">
      <c r="C515">
        <f>IFERROR(VLOOKUP(B515,Trigger_Assessment!$A$2:$B$1000,2,FALSE),"")</f>
        <v/>
      </c>
      <c r="D515">
        <f>IFERROR(VLOOKUP(B515,Trigger_Assessment!$A$2:$C$1000,3,FALSE),"")</f>
        <v/>
      </c>
      <c r="G515" s="14" t="n"/>
      <c r="H515" s="14" t="n"/>
      <c r="I515" s="14" t="n"/>
      <c r="N515" s="14" t="n"/>
      <c r="P515" s="14">
        <f>IF(ISBLANK(I515),"",DATE(YEAR(I515)+1,MONTH(I515),DAY(I515)))</f>
        <v/>
      </c>
    </row>
    <row r="516">
      <c r="C516">
        <f>IFERROR(VLOOKUP(B516,Trigger_Assessment!$A$2:$B$1000,2,FALSE),"")</f>
        <v/>
      </c>
      <c r="D516">
        <f>IFERROR(VLOOKUP(B516,Trigger_Assessment!$A$2:$C$1000,3,FALSE),"")</f>
        <v/>
      </c>
      <c r="G516" s="14" t="n"/>
      <c r="H516" s="14" t="n"/>
      <c r="I516" s="14" t="n"/>
      <c r="N516" s="14" t="n"/>
      <c r="P516" s="14">
        <f>IF(ISBLANK(I516),"",DATE(YEAR(I516)+1,MONTH(I516),DAY(I516)))</f>
        <v/>
      </c>
    </row>
    <row r="517">
      <c r="C517">
        <f>IFERROR(VLOOKUP(B517,Trigger_Assessment!$A$2:$B$1000,2,FALSE),"")</f>
        <v/>
      </c>
      <c r="D517">
        <f>IFERROR(VLOOKUP(B517,Trigger_Assessment!$A$2:$C$1000,3,FALSE),"")</f>
        <v/>
      </c>
      <c r="G517" s="14" t="n"/>
      <c r="H517" s="14" t="n"/>
      <c r="I517" s="14" t="n"/>
      <c r="N517" s="14" t="n"/>
      <c r="P517" s="14">
        <f>IF(ISBLANK(I517),"",DATE(YEAR(I517)+1,MONTH(I517),DAY(I517)))</f>
        <v/>
      </c>
    </row>
    <row r="518">
      <c r="C518">
        <f>IFERROR(VLOOKUP(B518,Trigger_Assessment!$A$2:$B$1000,2,FALSE),"")</f>
        <v/>
      </c>
      <c r="D518">
        <f>IFERROR(VLOOKUP(B518,Trigger_Assessment!$A$2:$C$1000,3,FALSE),"")</f>
        <v/>
      </c>
      <c r="G518" s="14" t="n"/>
      <c r="H518" s="14" t="n"/>
      <c r="I518" s="14" t="n"/>
      <c r="N518" s="14" t="n"/>
      <c r="P518" s="14">
        <f>IF(ISBLANK(I518),"",DATE(YEAR(I518)+1,MONTH(I518),DAY(I518)))</f>
        <v/>
      </c>
    </row>
    <row r="519">
      <c r="C519">
        <f>IFERROR(VLOOKUP(B519,Trigger_Assessment!$A$2:$B$1000,2,FALSE),"")</f>
        <v/>
      </c>
      <c r="D519">
        <f>IFERROR(VLOOKUP(B519,Trigger_Assessment!$A$2:$C$1000,3,FALSE),"")</f>
        <v/>
      </c>
      <c r="G519" s="14" t="n"/>
      <c r="H519" s="14" t="n"/>
      <c r="I519" s="14" t="n"/>
      <c r="N519" s="14" t="n"/>
      <c r="P519" s="14">
        <f>IF(ISBLANK(I519),"",DATE(YEAR(I519)+1,MONTH(I519),DAY(I519)))</f>
        <v/>
      </c>
    </row>
    <row r="520">
      <c r="C520">
        <f>IFERROR(VLOOKUP(B520,Trigger_Assessment!$A$2:$B$1000,2,FALSE),"")</f>
        <v/>
      </c>
      <c r="D520">
        <f>IFERROR(VLOOKUP(B520,Trigger_Assessment!$A$2:$C$1000,3,FALSE),"")</f>
        <v/>
      </c>
      <c r="G520" s="14" t="n"/>
      <c r="H520" s="14" t="n"/>
      <c r="I520" s="14" t="n"/>
      <c r="N520" s="14" t="n"/>
      <c r="P520" s="14">
        <f>IF(ISBLANK(I520),"",DATE(YEAR(I520)+1,MONTH(I520),DAY(I520)))</f>
        <v/>
      </c>
    </row>
    <row r="521">
      <c r="C521">
        <f>IFERROR(VLOOKUP(B521,Trigger_Assessment!$A$2:$B$1000,2,FALSE),"")</f>
        <v/>
      </c>
      <c r="D521">
        <f>IFERROR(VLOOKUP(B521,Trigger_Assessment!$A$2:$C$1000,3,FALSE),"")</f>
        <v/>
      </c>
      <c r="G521" s="14" t="n"/>
      <c r="H521" s="14" t="n"/>
      <c r="I521" s="14" t="n"/>
      <c r="N521" s="14" t="n"/>
      <c r="P521" s="14">
        <f>IF(ISBLANK(I521),"",DATE(YEAR(I521)+1,MONTH(I521),DAY(I521)))</f>
        <v/>
      </c>
    </row>
    <row r="522">
      <c r="C522">
        <f>IFERROR(VLOOKUP(B522,Trigger_Assessment!$A$2:$B$1000,2,FALSE),"")</f>
        <v/>
      </c>
      <c r="D522">
        <f>IFERROR(VLOOKUP(B522,Trigger_Assessment!$A$2:$C$1000,3,FALSE),"")</f>
        <v/>
      </c>
      <c r="G522" s="14" t="n"/>
      <c r="H522" s="14" t="n"/>
      <c r="I522" s="14" t="n"/>
      <c r="N522" s="14" t="n"/>
      <c r="P522" s="14">
        <f>IF(ISBLANK(I522),"",DATE(YEAR(I522)+1,MONTH(I522),DAY(I522)))</f>
        <v/>
      </c>
    </row>
    <row r="523">
      <c r="C523">
        <f>IFERROR(VLOOKUP(B523,Trigger_Assessment!$A$2:$B$1000,2,FALSE),"")</f>
        <v/>
      </c>
      <c r="D523">
        <f>IFERROR(VLOOKUP(B523,Trigger_Assessment!$A$2:$C$1000,3,FALSE),"")</f>
        <v/>
      </c>
      <c r="G523" s="14" t="n"/>
      <c r="H523" s="14" t="n"/>
      <c r="I523" s="14" t="n"/>
      <c r="N523" s="14" t="n"/>
      <c r="P523" s="14">
        <f>IF(ISBLANK(I523),"",DATE(YEAR(I523)+1,MONTH(I523),DAY(I523)))</f>
        <v/>
      </c>
    </row>
    <row r="524">
      <c r="C524">
        <f>IFERROR(VLOOKUP(B524,Trigger_Assessment!$A$2:$B$1000,2,FALSE),"")</f>
        <v/>
      </c>
      <c r="D524">
        <f>IFERROR(VLOOKUP(B524,Trigger_Assessment!$A$2:$C$1000,3,FALSE),"")</f>
        <v/>
      </c>
      <c r="G524" s="14" t="n"/>
      <c r="H524" s="14" t="n"/>
      <c r="I524" s="14" t="n"/>
      <c r="N524" s="14" t="n"/>
      <c r="P524" s="14">
        <f>IF(ISBLANK(I524),"",DATE(YEAR(I524)+1,MONTH(I524),DAY(I524)))</f>
        <v/>
      </c>
    </row>
    <row r="525">
      <c r="C525">
        <f>IFERROR(VLOOKUP(B525,Trigger_Assessment!$A$2:$B$1000,2,FALSE),"")</f>
        <v/>
      </c>
      <c r="D525">
        <f>IFERROR(VLOOKUP(B525,Trigger_Assessment!$A$2:$C$1000,3,FALSE),"")</f>
        <v/>
      </c>
      <c r="G525" s="14" t="n"/>
      <c r="H525" s="14" t="n"/>
      <c r="I525" s="14" t="n"/>
      <c r="N525" s="14" t="n"/>
      <c r="P525" s="14">
        <f>IF(ISBLANK(I525),"",DATE(YEAR(I525)+1,MONTH(I525),DAY(I525)))</f>
        <v/>
      </c>
    </row>
    <row r="526">
      <c r="C526">
        <f>IFERROR(VLOOKUP(B526,Trigger_Assessment!$A$2:$B$1000,2,FALSE),"")</f>
        <v/>
      </c>
      <c r="D526">
        <f>IFERROR(VLOOKUP(B526,Trigger_Assessment!$A$2:$C$1000,3,FALSE),"")</f>
        <v/>
      </c>
      <c r="G526" s="14" t="n"/>
      <c r="H526" s="14" t="n"/>
      <c r="I526" s="14" t="n"/>
      <c r="N526" s="14" t="n"/>
      <c r="P526" s="14">
        <f>IF(ISBLANK(I526),"",DATE(YEAR(I526)+1,MONTH(I526),DAY(I526)))</f>
        <v/>
      </c>
    </row>
    <row r="527">
      <c r="C527">
        <f>IFERROR(VLOOKUP(B527,Trigger_Assessment!$A$2:$B$1000,2,FALSE),"")</f>
        <v/>
      </c>
      <c r="D527">
        <f>IFERROR(VLOOKUP(B527,Trigger_Assessment!$A$2:$C$1000,3,FALSE),"")</f>
        <v/>
      </c>
      <c r="G527" s="14" t="n"/>
      <c r="H527" s="14" t="n"/>
      <c r="I527" s="14" t="n"/>
      <c r="N527" s="14" t="n"/>
      <c r="P527" s="14">
        <f>IF(ISBLANK(I527),"",DATE(YEAR(I527)+1,MONTH(I527),DAY(I527)))</f>
        <v/>
      </c>
    </row>
    <row r="528">
      <c r="C528">
        <f>IFERROR(VLOOKUP(B528,Trigger_Assessment!$A$2:$B$1000,2,FALSE),"")</f>
        <v/>
      </c>
      <c r="D528">
        <f>IFERROR(VLOOKUP(B528,Trigger_Assessment!$A$2:$C$1000,3,FALSE),"")</f>
        <v/>
      </c>
      <c r="G528" s="14" t="n"/>
      <c r="H528" s="14" t="n"/>
      <c r="I528" s="14" t="n"/>
      <c r="N528" s="14" t="n"/>
      <c r="P528" s="14">
        <f>IF(ISBLANK(I528),"",DATE(YEAR(I528)+1,MONTH(I528),DAY(I528)))</f>
        <v/>
      </c>
    </row>
    <row r="529">
      <c r="C529">
        <f>IFERROR(VLOOKUP(B529,Trigger_Assessment!$A$2:$B$1000,2,FALSE),"")</f>
        <v/>
      </c>
      <c r="D529">
        <f>IFERROR(VLOOKUP(B529,Trigger_Assessment!$A$2:$C$1000,3,FALSE),"")</f>
        <v/>
      </c>
      <c r="G529" s="14" t="n"/>
      <c r="H529" s="14" t="n"/>
      <c r="I529" s="14" t="n"/>
      <c r="N529" s="14" t="n"/>
      <c r="P529" s="14">
        <f>IF(ISBLANK(I529),"",DATE(YEAR(I529)+1,MONTH(I529),DAY(I529)))</f>
        <v/>
      </c>
    </row>
    <row r="530">
      <c r="C530">
        <f>IFERROR(VLOOKUP(B530,Trigger_Assessment!$A$2:$B$1000,2,FALSE),"")</f>
        <v/>
      </c>
      <c r="D530">
        <f>IFERROR(VLOOKUP(B530,Trigger_Assessment!$A$2:$C$1000,3,FALSE),"")</f>
        <v/>
      </c>
      <c r="G530" s="14" t="n"/>
      <c r="H530" s="14" t="n"/>
      <c r="I530" s="14" t="n"/>
      <c r="N530" s="14" t="n"/>
      <c r="P530" s="14">
        <f>IF(ISBLANK(I530),"",DATE(YEAR(I530)+1,MONTH(I530),DAY(I530)))</f>
        <v/>
      </c>
    </row>
    <row r="531">
      <c r="C531">
        <f>IFERROR(VLOOKUP(B531,Trigger_Assessment!$A$2:$B$1000,2,FALSE),"")</f>
        <v/>
      </c>
      <c r="D531">
        <f>IFERROR(VLOOKUP(B531,Trigger_Assessment!$A$2:$C$1000,3,FALSE),"")</f>
        <v/>
      </c>
      <c r="G531" s="14" t="n"/>
      <c r="H531" s="14" t="n"/>
      <c r="I531" s="14" t="n"/>
      <c r="N531" s="14" t="n"/>
      <c r="P531" s="14">
        <f>IF(ISBLANK(I531),"",DATE(YEAR(I531)+1,MONTH(I531),DAY(I531)))</f>
        <v/>
      </c>
    </row>
    <row r="532">
      <c r="C532">
        <f>IFERROR(VLOOKUP(B532,Trigger_Assessment!$A$2:$B$1000,2,FALSE),"")</f>
        <v/>
      </c>
      <c r="D532">
        <f>IFERROR(VLOOKUP(B532,Trigger_Assessment!$A$2:$C$1000,3,FALSE),"")</f>
        <v/>
      </c>
      <c r="G532" s="14" t="n"/>
      <c r="H532" s="14" t="n"/>
      <c r="I532" s="14" t="n"/>
      <c r="N532" s="14" t="n"/>
      <c r="P532" s="14">
        <f>IF(ISBLANK(I532),"",DATE(YEAR(I532)+1,MONTH(I532),DAY(I532)))</f>
        <v/>
      </c>
    </row>
    <row r="533">
      <c r="C533">
        <f>IFERROR(VLOOKUP(B533,Trigger_Assessment!$A$2:$B$1000,2,FALSE),"")</f>
        <v/>
      </c>
      <c r="D533">
        <f>IFERROR(VLOOKUP(B533,Trigger_Assessment!$A$2:$C$1000,3,FALSE),"")</f>
        <v/>
      </c>
      <c r="G533" s="14" t="n"/>
      <c r="H533" s="14" t="n"/>
      <c r="I533" s="14" t="n"/>
      <c r="N533" s="14" t="n"/>
      <c r="P533" s="14">
        <f>IF(ISBLANK(I533),"",DATE(YEAR(I533)+1,MONTH(I533),DAY(I533)))</f>
        <v/>
      </c>
    </row>
    <row r="534">
      <c r="C534">
        <f>IFERROR(VLOOKUP(B534,Trigger_Assessment!$A$2:$B$1000,2,FALSE),"")</f>
        <v/>
      </c>
      <c r="D534">
        <f>IFERROR(VLOOKUP(B534,Trigger_Assessment!$A$2:$C$1000,3,FALSE),"")</f>
        <v/>
      </c>
      <c r="G534" s="14" t="n"/>
      <c r="H534" s="14" t="n"/>
      <c r="I534" s="14" t="n"/>
      <c r="N534" s="14" t="n"/>
      <c r="P534" s="14">
        <f>IF(ISBLANK(I534),"",DATE(YEAR(I534)+1,MONTH(I534),DAY(I534)))</f>
        <v/>
      </c>
    </row>
    <row r="535">
      <c r="C535">
        <f>IFERROR(VLOOKUP(B535,Trigger_Assessment!$A$2:$B$1000,2,FALSE),"")</f>
        <v/>
      </c>
      <c r="D535">
        <f>IFERROR(VLOOKUP(B535,Trigger_Assessment!$A$2:$C$1000,3,FALSE),"")</f>
        <v/>
      </c>
      <c r="G535" s="14" t="n"/>
      <c r="H535" s="14" t="n"/>
      <c r="I535" s="14" t="n"/>
      <c r="N535" s="14" t="n"/>
      <c r="P535" s="14">
        <f>IF(ISBLANK(I535),"",DATE(YEAR(I535)+1,MONTH(I535),DAY(I535)))</f>
        <v/>
      </c>
    </row>
    <row r="536">
      <c r="C536">
        <f>IFERROR(VLOOKUP(B536,Trigger_Assessment!$A$2:$B$1000,2,FALSE),"")</f>
        <v/>
      </c>
      <c r="D536">
        <f>IFERROR(VLOOKUP(B536,Trigger_Assessment!$A$2:$C$1000,3,FALSE),"")</f>
        <v/>
      </c>
      <c r="G536" s="14" t="n"/>
      <c r="H536" s="14" t="n"/>
      <c r="I536" s="14" t="n"/>
      <c r="N536" s="14" t="n"/>
      <c r="P536" s="14">
        <f>IF(ISBLANK(I536),"",DATE(YEAR(I536)+1,MONTH(I536),DAY(I536)))</f>
        <v/>
      </c>
    </row>
    <row r="537">
      <c r="C537">
        <f>IFERROR(VLOOKUP(B537,Trigger_Assessment!$A$2:$B$1000,2,FALSE),"")</f>
        <v/>
      </c>
      <c r="D537">
        <f>IFERROR(VLOOKUP(B537,Trigger_Assessment!$A$2:$C$1000,3,FALSE),"")</f>
        <v/>
      </c>
      <c r="G537" s="14" t="n"/>
      <c r="H537" s="14" t="n"/>
      <c r="I537" s="14" t="n"/>
      <c r="N537" s="14" t="n"/>
      <c r="P537" s="14">
        <f>IF(ISBLANK(I537),"",DATE(YEAR(I537)+1,MONTH(I537),DAY(I537)))</f>
        <v/>
      </c>
    </row>
    <row r="538">
      <c r="C538">
        <f>IFERROR(VLOOKUP(B538,Trigger_Assessment!$A$2:$B$1000,2,FALSE),"")</f>
        <v/>
      </c>
      <c r="D538">
        <f>IFERROR(VLOOKUP(B538,Trigger_Assessment!$A$2:$C$1000,3,FALSE),"")</f>
        <v/>
      </c>
      <c r="G538" s="14" t="n"/>
      <c r="H538" s="14" t="n"/>
      <c r="I538" s="14" t="n"/>
      <c r="N538" s="14" t="n"/>
      <c r="P538" s="14">
        <f>IF(ISBLANK(I538),"",DATE(YEAR(I538)+1,MONTH(I538),DAY(I538)))</f>
        <v/>
      </c>
    </row>
    <row r="539">
      <c r="C539">
        <f>IFERROR(VLOOKUP(B539,Trigger_Assessment!$A$2:$B$1000,2,FALSE),"")</f>
        <v/>
      </c>
      <c r="D539">
        <f>IFERROR(VLOOKUP(B539,Trigger_Assessment!$A$2:$C$1000,3,FALSE),"")</f>
        <v/>
      </c>
      <c r="G539" s="14" t="n"/>
      <c r="H539" s="14" t="n"/>
      <c r="I539" s="14" t="n"/>
      <c r="N539" s="14" t="n"/>
      <c r="P539" s="14">
        <f>IF(ISBLANK(I539),"",DATE(YEAR(I539)+1,MONTH(I539),DAY(I539)))</f>
        <v/>
      </c>
    </row>
    <row r="540">
      <c r="C540">
        <f>IFERROR(VLOOKUP(B540,Trigger_Assessment!$A$2:$B$1000,2,FALSE),"")</f>
        <v/>
      </c>
      <c r="D540">
        <f>IFERROR(VLOOKUP(B540,Trigger_Assessment!$A$2:$C$1000,3,FALSE),"")</f>
        <v/>
      </c>
      <c r="G540" s="14" t="n"/>
      <c r="H540" s="14" t="n"/>
      <c r="I540" s="14" t="n"/>
      <c r="N540" s="14" t="n"/>
      <c r="P540" s="14">
        <f>IF(ISBLANK(I540),"",DATE(YEAR(I540)+1,MONTH(I540),DAY(I540)))</f>
        <v/>
      </c>
    </row>
    <row r="541">
      <c r="C541">
        <f>IFERROR(VLOOKUP(B541,Trigger_Assessment!$A$2:$B$1000,2,FALSE),"")</f>
        <v/>
      </c>
      <c r="D541">
        <f>IFERROR(VLOOKUP(B541,Trigger_Assessment!$A$2:$C$1000,3,FALSE),"")</f>
        <v/>
      </c>
      <c r="G541" s="14" t="n"/>
      <c r="H541" s="14" t="n"/>
      <c r="I541" s="14" t="n"/>
      <c r="N541" s="14" t="n"/>
      <c r="P541" s="14">
        <f>IF(ISBLANK(I541),"",DATE(YEAR(I541)+1,MONTH(I541),DAY(I541)))</f>
        <v/>
      </c>
    </row>
    <row r="542">
      <c r="C542">
        <f>IFERROR(VLOOKUP(B542,Trigger_Assessment!$A$2:$B$1000,2,FALSE),"")</f>
        <v/>
      </c>
      <c r="D542">
        <f>IFERROR(VLOOKUP(B542,Trigger_Assessment!$A$2:$C$1000,3,FALSE),"")</f>
        <v/>
      </c>
      <c r="G542" s="14" t="n"/>
      <c r="H542" s="14" t="n"/>
      <c r="I542" s="14" t="n"/>
      <c r="N542" s="14" t="n"/>
      <c r="P542" s="14">
        <f>IF(ISBLANK(I542),"",DATE(YEAR(I542)+1,MONTH(I542),DAY(I542)))</f>
        <v/>
      </c>
    </row>
    <row r="543">
      <c r="C543">
        <f>IFERROR(VLOOKUP(B543,Trigger_Assessment!$A$2:$B$1000,2,FALSE),"")</f>
        <v/>
      </c>
      <c r="D543">
        <f>IFERROR(VLOOKUP(B543,Trigger_Assessment!$A$2:$C$1000,3,FALSE),"")</f>
        <v/>
      </c>
      <c r="G543" s="14" t="n"/>
      <c r="H543" s="14" t="n"/>
      <c r="I543" s="14" t="n"/>
      <c r="N543" s="14" t="n"/>
      <c r="P543" s="14">
        <f>IF(ISBLANK(I543),"",DATE(YEAR(I543)+1,MONTH(I543),DAY(I543)))</f>
        <v/>
      </c>
    </row>
    <row r="544">
      <c r="C544">
        <f>IFERROR(VLOOKUP(B544,Trigger_Assessment!$A$2:$B$1000,2,FALSE),"")</f>
        <v/>
      </c>
      <c r="D544">
        <f>IFERROR(VLOOKUP(B544,Trigger_Assessment!$A$2:$C$1000,3,FALSE),"")</f>
        <v/>
      </c>
      <c r="G544" s="14" t="n"/>
      <c r="H544" s="14" t="n"/>
      <c r="I544" s="14" t="n"/>
      <c r="N544" s="14" t="n"/>
      <c r="P544" s="14">
        <f>IF(ISBLANK(I544),"",DATE(YEAR(I544)+1,MONTH(I544),DAY(I544)))</f>
        <v/>
      </c>
    </row>
    <row r="545">
      <c r="C545">
        <f>IFERROR(VLOOKUP(B545,Trigger_Assessment!$A$2:$B$1000,2,FALSE),"")</f>
        <v/>
      </c>
      <c r="D545">
        <f>IFERROR(VLOOKUP(B545,Trigger_Assessment!$A$2:$C$1000,3,FALSE),"")</f>
        <v/>
      </c>
      <c r="G545" s="14" t="n"/>
      <c r="H545" s="14" t="n"/>
      <c r="I545" s="14" t="n"/>
      <c r="N545" s="14" t="n"/>
      <c r="P545" s="14">
        <f>IF(ISBLANK(I545),"",DATE(YEAR(I545)+1,MONTH(I545),DAY(I545)))</f>
        <v/>
      </c>
    </row>
    <row r="546">
      <c r="C546">
        <f>IFERROR(VLOOKUP(B546,Trigger_Assessment!$A$2:$B$1000,2,FALSE),"")</f>
        <v/>
      </c>
      <c r="D546">
        <f>IFERROR(VLOOKUP(B546,Trigger_Assessment!$A$2:$C$1000,3,FALSE),"")</f>
        <v/>
      </c>
      <c r="G546" s="14" t="n"/>
      <c r="H546" s="14" t="n"/>
      <c r="I546" s="14" t="n"/>
      <c r="N546" s="14" t="n"/>
      <c r="P546" s="14">
        <f>IF(ISBLANK(I546),"",DATE(YEAR(I546)+1,MONTH(I546),DAY(I546)))</f>
        <v/>
      </c>
    </row>
    <row r="547">
      <c r="C547">
        <f>IFERROR(VLOOKUP(B547,Trigger_Assessment!$A$2:$B$1000,2,FALSE),"")</f>
        <v/>
      </c>
      <c r="D547">
        <f>IFERROR(VLOOKUP(B547,Trigger_Assessment!$A$2:$C$1000,3,FALSE),"")</f>
        <v/>
      </c>
      <c r="G547" s="14" t="n"/>
      <c r="H547" s="14" t="n"/>
      <c r="I547" s="14" t="n"/>
      <c r="N547" s="14" t="n"/>
      <c r="P547" s="14">
        <f>IF(ISBLANK(I547),"",DATE(YEAR(I547)+1,MONTH(I547),DAY(I547)))</f>
        <v/>
      </c>
    </row>
    <row r="548">
      <c r="C548">
        <f>IFERROR(VLOOKUP(B548,Trigger_Assessment!$A$2:$B$1000,2,FALSE),"")</f>
        <v/>
      </c>
      <c r="D548">
        <f>IFERROR(VLOOKUP(B548,Trigger_Assessment!$A$2:$C$1000,3,FALSE),"")</f>
        <v/>
      </c>
      <c r="G548" s="14" t="n"/>
      <c r="H548" s="14" t="n"/>
      <c r="I548" s="14" t="n"/>
      <c r="N548" s="14" t="n"/>
      <c r="P548" s="14">
        <f>IF(ISBLANK(I548),"",DATE(YEAR(I548)+1,MONTH(I548),DAY(I548)))</f>
        <v/>
      </c>
    </row>
    <row r="549">
      <c r="C549">
        <f>IFERROR(VLOOKUP(B549,Trigger_Assessment!$A$2:$B$1000,2,FALSE),"")</f>
        <v/>
      </c>
      <c r="D549">
        <f>IFERROR(VLOOKUP(B549,Trigger_Assessment!$A$2:$C$1000,3,FALSE),"")</f>
        <v/>
      </c>
      <c r="G549" s="14" t="n"/>
      <c r="H549" s="14" t="n"/>
      <c r="I549" s="14" t="n"/>
      <c r="N549" s="14" t="n"/>
      <c r="P549" s="14">
        <f>IF(ISBLANK(I549),"",DATE(YEAR(I549)+1,MONTH(I549),DAY(I549)))</f>
        <v/>
      </c>
    </row>
    <row r="550">
      <c r="C550">
        <f>IFERROR(VLOOKUP(B550,Trigger_Assessment!$A$2:$B$1000,2,FALSE),"")</f>
        <v/>
      </c>
      <c r="D550">
        <f>IFERROR(VLOOKUP(B550,Trigger_Assessment!$A$2:$C$1000,3,FALSE),"")</f>
        <v/>
      </c>
      <c r="G550" s="14" t="n"/>
      <c r="H550" s="14" t="n"/>
      <c r="I550" s="14" t="n"/>
      <c r="N550" s="14" t="n"/>
      <c r="P550" s="14">
        <f>IF(ISBLANK(I550),"",DATE(YEAR(I550)+1,MONTH(I550),DAY(I550)))</f>
        <v/>
      </c>
    </row>
    <row r="551">
      <c r="C551">
        <f>IFERROR(VLOOKUP(B551,Trigger_Assessment!$A$2:$B$1000,2,FALSE),"")</f>
        <v/>
      </c>
      <c r="D551">
        <f>IFERROR(VLOOKUP(B551,Trigger_Assessment!$A$2:$C$1000,3,FALSE),"")</f>
        <v/>
      </c>
      <c r="G551" s="14" t="n"/>
      <c r="H551" s="14" t="n"/>
      <c r="I551" s="14" t="n"/>
      <c r="N551" s="14" t="n"/>
      <c r="P551" s="14">
        <f>IF(ISBLANK(I551),"",DATE(YEAR(I551)+1,MONTH(I551),DAY(I551)))</f>
        <v/>
      </c>
    </row>
    <row r="552">
      <c r="C552">
        <f>IFERROR(VLOOKUP(B552,Trigger_Assessment!$A$2:$B$1000,2,FALSE),"")</f>
        <v/>
      </c>
      <c r="D552">
        <f>IFERROR(VLOOKUP(B552,Trigger_Assessment!$A$2:$C$1000,3,FALSE),"")</f>
        <v/>
      </c>
      <c r="G552" s="14" t="n"/>
      <c r="H552" s="14" t="n"/>
      <c r="I552" s="14" t="n"/>
      <c r="N552" s="14" t="n"/>
      <c r="P552" s="14">
        <f>IF(ISBLANK(I552),"",DATE(YEAR(I552)+1,MONTH(I552),DAY(I552)))</f>
        <v/>
      </c>
    </row>
    <row r="553">
      <c r="C553">
        <f>IFERROR(VLOOKUP(B553,Trigger_Assessment!$A$2:$B$1000,2,FALSE),"")</f>
        <v/>
      </c>
      <c r="D553">
        <f>IFERROR(VLOOKUP(B553,Trigger_Assessment!$A$2:$C$1000,3,FALSE),"")</f>
        <v/>
      </c>
      <c r="G553" s="14" t="n"/>
      <c r="H553" s="14" t="n"/>
      <c r="I553" s="14" t="n"/>
      <c r="N553" s="14" t="n"/>
      <c r="P553" s="14">
        <f>IF(ISBLANK(I553),"",DATE(YEAR(I553)+1,MONTH(I553),DAY(I553)))</f>
        <v/>
      </c>
    </row>
    <row r="554">
      <c r="C554">
        <f>IFERROR(VLOOKUP(B554,Trigger_Assessment!$A$2:$B$1000,2,FALSE),"")</f>
        <v/>
      </c>
      <c r="D554">
        <f>IFERROR(VLOOKUP(B554,Trigger_Assessment!$A$2:$C$1000,3,FALSE),"")</f>
        <v/>
      </c>
      <c r="G554" s="14" t="n"/>
      <c r="H554" s="14" t="n"/>
      <c r="I554" s="14" t="n"/>
      <c r="N554" s="14" t="n"/>
      <c r="P554" s="14">
        <f>IF(ISBLANK(I554),"",DATE(YEAR(I554)+1,MONTH(I554),DAY(I554)))</f>
        <v/>
      </c>
    </row>
    <row r="555">
      <c r="C555">
        <f>IFERROR(VLOOKUP(B555,Trigger_Assessment!$A$2:$B$1000,2,FALSE),"")</f>
        <v/>
      </c>
      <c r="D555">
        <f>IFERROR(VLOOKUP(B555,Trigger_Assessment!$A$2:$C$1000,3,FALSE),"")</f>
        <v/>
      </c>
      <c r="G555" s="14" t="n"/>
      <c r="H555" s="14" t="n"/>
      <c r="I555" s="14" t="n"/>
      <c r="N555" s="14" t="n"/>
      <c r="P555" s="14">
        <f>IF(ISBLANK(I555),"",DATE(YEAR(I555)+1,MONTH(I555),DAY(I555)))</f>
        <v/>
      </c>
    </row>
    <row r="556">
      <c r="C556">
        <f>IFERROR(VLOOKUP(B556,Trigger_Assessment!$A$2:$B$1000,2,FALSE),"")</f>
        <v/>
      </c>
      <c r="D556">
        <f>IFERROR(VLOOKUP(B556,Trigger_Assessment!$A$2:$C$1000,3,FALSE),"")</f>
        <v/>
      </c>
      <c r="G556" s="14" t="n"/>
      <c r="H556" s="14" t="n"/>
      <c r="I556" s="14" t="n"/>
      <c r="N556" s="14" t="n"/>
      <c r="P556" s="14">
        <f>IF(ISBLANK(I556),"",DATE(YEAR(I556)+1,MONTH(I556),DAY(I556)))</f>
        <v/>
      </c>
    </row>
    <row r="557">
      <c r="C557">
        <f>IFERROR(VLOOKUP(B557,Trigger_Assessment!$A$2:$B$1000,2,FALSE),"")</f>
        <v/>
      </c>
      <c r="D557">
        <f>IFERROR(VLOOKUP(B557,Trigger_Assessment!$A$2:$C$1000,3,FALSE),"")</f>
        <v/>
      </c>
      <c r="G557" s="14" t="n"/>
      <c r="H557" s="14" t="n"/>
      <c r="I557" s="14" t="n"/>
      <c r="N557" s="14" t="n"/>
      <c r="P557" s="14">
        <f>IF(ISBLANK(I557),"",DATE(YEAR(I557)+1,MONTH(I557),DAY(I557)))</f>
        <v/>
      </c>
    </row>
    <row r="558">
      <c r="C558">
        <f>IFERROR(VLOOKUP(B558,Trigger_Assessment!$A$2:$B$1000,2,FALSE),"")</f>
        <v/>
      </c>
      <c r="D558">
        <f>IFERROR(VLOOKUP(B558,Trigger_Assessment!$A$2:$C$1000,3,FALSE),"")</f>
        <v/>
      </c>
      <c r="G558" s="14" t="n"/>
      <c r="H558" s="14" t="n"/>
      <c r="I558" s="14" t="n"/>
      <c r="N558" s="14" t="n"/>
      <c r="P558" s="14">
        <f>IF(ISBLANK(I558),"",DATE(YEAR(I558)+1,MONTH(I558),DAY(I558)))</f>
        <v/>
      </c>
    </row>
    <row r="559">
      <c r="C559">
        <f>IFERROR(VLOOKUP(B559,Trigger_Assessment!$A$2:$B$1000,2,FALSE),"")</f>
        <v/>
      </c>
      <c r="D559">
        <f>IFERROR(VLOOKUP(B559,Trigger_Assessment!$A$2:$C$1000,3,FALSE),"")</f>
        <v/>
      </c>
      <c r="G559" s="14" t="n"/>
      <c r="H559" s="14" t="n"/>
      <c r="I559" s="14" t="n"/>
      <c r="N559" s="14" t="n"/>
      <c r="P559" s="14">
        <f>IF(ISBLANK(I559),"",DATE(YEAR(I559)+1,MONTH(I559),DAY(I559)))</f>
        <v/>
      </c>
    </row>
    <row r="560">
      <c r="C560">
        <f>IFERROR(VLOOKUP(B560,Trigger_Assessment!$A$2:$B$1000,2,FALSE),"")</f>
        <v/>
      </c>
      <c r="D560">
        <f>IFERROR(VLOOKUP(B560,Trigger_Assessment!$A$2:$C$1000,3,FALSE),"")</f>
        <v/>
      </c>
      <c r="G560" s="14" t="n"/>
      <c r="H560" s="14" t="n"/>
      <c r="I560" s="14" t="n"/>
      <c r="N560" s="14" t="n"/>
      <c r="P560" s="14">
        <f>IF(ISBLANK(I560),"",DATE(YEAR(I560)+1,MONTH(I560),DAY(I560)))</f>
        <v/>
      </c>
    </row>
    <row r="561">
      <c r="C561">
        <f>IFERROR(VLOOKUP(B561,Trigger_Assessment!$A$2:$B$1000,2,FALSE),"")</f>
        <v/>
      </c>
      <c r="D561">
        <f>IFERROR(VLOOKUP(B561,Trigger_Assessment!$A$2:$C$1000,3,FALSE),"")</f>
        <v/>
      </c>
      <c r="G561" s="14" t="n"/>
      <c r="H561" s="14" t="n"/>
      <c r="I561" s="14" t="n"/>
      <c r="N561" s="14" t="n"/>
      <c r="P561" s="14">
        <f>IF(ISBLANK(I561),"",DATE(YEAR(I561)+1,MONTH(I561),DAY(I561)))</f>
        <v/>
      </c>
    </row>
    <row r="562">
      <c r="C562">
        <f>IFERROR(VLOOKUP(B562,Trigger_Assessment!$A$2:$B$1000,2,FALSE),"")</f>
        <v/>
      </c>
      <c r="D562">
        <f>IFERROR(VLOOKUP(B562,Trigger_Assessment!$A$2:$C$1000,3,FALSE),"")</f>
        <v/>
      </c>
      <c r="G562" s="14" t="n"/>
      <c r="H562" s="14" t="n"/>
      <c r="I562" s="14" t="n"/>
      <c r="N562" s="14" t="n"/>
      <c r="P562" s="14">
        <f>IF(ISBLANK(I562),"",DATE(YEAR(I562)+1,MONTH(I562),DAY(I562)))</f>
        <v/>
      </c>
    </row>
    <row r="563">
      <c r="C563">
        <f>IFERROR(VLOOKUP(B563,Trigger_Assessment!$A$2:$B$1000,2,FALSE),"")</f>
        <v/>
      </c>
      <c r="D563">
        <f>IFERROR(VLOOKUP(B563,Trigger_Assessment!$A$2:$C$1000,3,FALSE),"")</f>
        <v/>
      </c>
      <c r="G563" s="14" t="n"/>
      <c r="H563" s="14" t="n"/>
      <c r="I563" s="14" t="n"/>
      <c r="N563" s="14" t="n"/>
      <c r="P563" s="14">
        <f>IF(ISBLANK(I563),"",DATE(YEAR(I563)+1,MONTH(I563),DAY(I563)))</f>
        <v/>
      </c>
    </row>
    <row r="564">
      <c r="C564">
        <f>IFERROR(VLOOKUP(B564,Trigger_Assessment!$A$2:$B$1000,2,FALSE),"")</f>
        <v/>
      </c>
      <c r="D564">
        <f>IFERROR(VLOOKUP(B564,Trigger_Assessment!$A$2:$C$1000,3,FALSE),"")</f>
        <v/>
      </c>
      <c r="G564" s="14" t="n"/>
      <c r="H564" s="14" t="n"/>
      <c r="I564" s="14" t="n"/>
      <c r="N564" s="14" t="n"/>
      <c r="P564" s="14">
        <f>IF(ISBLANK(I564),"",DATE(YEAR(I564)+1,MONTH(I564),DAY(I564)))</f>
        <v/>
      </c>
    </row>
    <row r="565">
      <c r="C565">
        <f>IFERROR(VLOOKUP(B565,Trigger_Assessment!$A$2:$B$1000,2,FALSE),"")</f>
        <v/>
      </c>
      <c r="D565">
        <f>IFERROR(VLOOKUP(B565,Trigger_Assessment!$A$2:$C$1000,3,FALSE),"")</f>
        <v/>
      </c>
      <c r="G565" s="14" t="n"/>
      <c r="H565" s="14" t="n"/>
      <c r="I565" s="14" t="n"/>
      <c r="N565" s="14" t="n"/>
      <c r="P565" s="14">
        <f>IF(ISBLANK(I565),"",DATE(YEAR(I565)+1,MONTH(I565),DAY(I565)))</f>
        <v/>
      </c>
    </row>
    <row r="566">
      <c r="C566">
        <f>IFERROR(VLOOKUP(B566,Trigger_Assessment!$A$2:$B$1000,2,FALSE),"")</f>
        <v/>
      </c>
      <c r="D566">
        <f>IFERROR(VLOOKUP(B566,Trigger_Assessment!$A$2:$C$1000,3,FALSE),"")</f>
        <v/>
      </c>
      <c r="G566" s="14" t="n"/>
      <c r="H566" s="14" t="n"/>
      <c r="I566" s="14" t="n"/>
      <c r="N566" s="14" t="n"/>
      <c r="P566" s="14">
        <f>IF(ISBLANK(I566),"",DATE(YEAR(I566)+1,MONTH(I566),DAY(I566)))</f>
        <v/>
      </c>
    </row>
    <row r="567">
      <c r="C567">
        <f>IFERROR(VLOOKUP(B567,Trigger_Assessment!$A$2:$B$1000,2,FALSE),"")</f>
        <v/>
      </c>
      <c r="D567">
        <f>IFERROR(VLOOKUP(B567,Trigger_Assessment!$A$2:$C$1000,3,FALSE),"")</f>
        <v/>
      </c>
      <c r="G567" s="14" t="n"/>
      <c r="H567" s="14" t="n"/>
      <c r="I567" s="14" t="n"/>
      <c r="N567" s="14" t="n"/>
      <c r="P567" s="14">
        <f>IF(ISBLANK(I567),"",DATE(YEAR(I567)+1,MONTH(I567),DAY(I567)))</f>
        <v/>
      </c>
    </row>
    <row r="568">
      <c r="C568">
        <f>IFERROR(VLOOKUP(B568,Trigger_Assessment!$A$2:$B$1000,2,FALSE),"")</f>
        <v/>
      </c>
      <c r="D568">
        <f>IFERROR(VLOOKUP(B568,Trigger_Assessment!$A$2:$C$1000,3,FALSE),"")</f>
        <v/>
      </c>
      <c r="G568" s="14" t="n"/>
      <c r="H568" s="14" t="n"/>
      <c r="I568" s="14" t="n"/>
      <c r="N568" s="14" t="n"/>
      <c r="P568" s="14">
        <f>IF(ISBLANK(I568),"",DATE(YEAR(I568)+1,MONTH(I568),DAY(I568)))</f>
        <v/>
      </c>
    </row>
    <row r="569">
      <c r="C569">
        <f>IFERROR(VLOOKUP(B569,Trigger_Assessment!$A$2:$B$1000,2,FALSE),"")</f>
        <v/>
      </c>
      <c r="D569">
        <f>IFERROR(VLOOKUP(B569,Trigger_Assessment!$A$2:$C$1000,3,FALSE),"")</f>
        <v/>
      </c>
      <c r="G569" s="14" t="n"/>
      <c r="H569" s="14" t="n"/>
      <c r="I569" s="14" t="n"/>
      <c r="N569" s="14" t="n"/>
      <c r="P569" s="14">
        <f>IF(ISBLANK(I569),"",DATE(YEAR(I569)+1,MONTH(I569),DAY(I569)))</f>
        <v/>
      </c>
    </row>
    <row r="570">
      <c r="C570">
        <f>IFERROR(VLOOKUP(B570,Trigger_Assessment!$A$2:$B$1000,2,FALSE),"")</f>
        <v/>
      </c>
      <c r="D570">
        <f>IFERROR(VLOOKUP(B570,Trigger_Assessment!$A$2:$C$1000,3,FALSE),"")</f>
        <v/>
      </c>
      <c r="G570" s="14" t="n"/>
      <c r="H570" s="14" t="n"/>
      <c r="I570" s="14" t="n"/>
      <c r="N570" s="14" t="n"/>
      <c r="P570" s="14">
        <f>IF(ISBLANK(I570),"",DATE(YEAR(I570)+1,MONTH(I570),DAY(I570)))</f>
        <v/>
      </c>
    </row>
    <row r="571">
      <c r="C571">
        <f>IFERROR(VLOOKUP(B571,Trigger_Assessment!$A$2:$B$1000,2,FALSE),"")</f>
        <v/>
      </c>
      <c r="D571">
        <f>IFERROR(VLOOKUP(B571,Trigger_Assessment!$A$2:$C$1000,3,FALSE),"")</f>
        <v/>
      </c>
      <c r="G571" s="14" t="n"/>
      <c r="H571" s="14" t="n"/>
      <c r="I571" s="14" t="n"/>
      <c r="N571" s="14" t="n"/>
      <c r="P571" s="14">
        <f>IF(ISBLANK(I571),"",DATE(YEAR(I571)+1,MONTH(I571),DAY(I571)))</f>
        <v/>
      </c>
    </row>
    <row r="572">
      <c r="C572">
        <f>IFERROR(VLOOKUP(B572,Trigger_Assessment!$A$2:$B$1000,2,FALSE),"")</f>
        <v/>
      </c>
      <c r="D572">
        <f>IFERROR(VLOOKUP(B572,Trigger_Assessment!$A$2:$C$1000,3,FALSE),"")</f>
        <v/>
      </c>
      <c r="G572" s="14" t="n"/>
      <c r="H572" s="14" t="n"/>
      <c r="I572" s="14" t="n"/>
      <c r="N572" s="14" t="n"/>
      <c r="P572" s="14">
        <f>IF(ISBLANK(I572),"",DATE(YEAR(I572)+1,MONTH(I572),DAY(I572)))</f>
        <v/>
      </c>
    </row>
    <row r="573">
      <c r="C573">
        <f>IFERROR(VLOOKUP(B573,Trigger_Assessment!$A$2:$B$1000,2,FALSE),"")</f>
        <v/>
      </c>
      <c r="D573">
        <f>IFERROR(VLOOKUP(B573,Trigger_Assessment!$A$2:$C$1000,3,FALSE),"")</f>
        <v/>
      </c>
      <c r="G573" s="14" t="n"/>
      <c r="H573" s="14" t="n"/>
      <c r="I573" s="14" t="n"/>
      <c r="N573" s="14" t="n"/>
      <c r="P573" s="14">
        <f>IF(ISBLANK(I573),"",DATE(YEAR(I573)+1,MONTH(I573),DAY(I573)))</f>
        <v/>
      </c>
    </row>
    <row r="574">
      <c r="C574">
        <f>IFERROR(VLOOKUP(B574,Trigger_Assessment!$A$2:$B$1000,2,FALSE),"")</f>
        <v/>
      </c>
      <c r="D574">
        <f>IFERROR(VLOOKUP(B574,Trigger_Assessment!$A$2:$C$1000,3,FALSE),"")</f>
        <v/>
      </c>
      <c r="G574" s="14" t="n"/>
      <c r="H574" s="14" t="n"/>
      <c r="I574" s="14" t="n"/>
      <c r="N574" s="14" t="n"/>
      <c r="P574" s="14">
        <f>IF(ISBLANK(I574),"",DATE(YEAR(I574)+1,MONTH(I574),DAY(I574)))</f>
        <v/>
      </c>
    </row>
    <row r="575">
      <c r="C575">
        <f>IFERROR(VLOOKUP(B575,Trigger_Assessment!$A$2:$B$1000,2,FALSE),"")</f>
        <v/>
      </c>
      <c r="D575">
        <f>IFERROR(VLOOKUP(B575,Trigger_Assessment!$A$2:$C$1000,3,FALSE),"")</f>
        <v/>
      </c>
      <c r="G575" s="14" t="n"/>
      <c r="H575" s="14" t="n"/>
      <c r="I575" s="14" t="n"/>
      <c r="N575" s="14" t="n"/>
      <c r="P575" s="14">
        <f>IF(ISBLANK(I575),"",DATE(YEAR(I575)+1,MONTH(I575),DAY(I575)))</f>
        <v/>
      </c>
    </row>
    <row r="576">
      <c r="C576">
        <f>IFERROR(VLOOKUP(B576,Trigger_Assessment!$A$2:$B$1000,2,FALSE),"")</f>
        <v/>
      </c>
      <c r="D576">
        <f>IFERROR(VLOOKUP(B576,Trigger_Assessment!$A$2:$C$1000,3,FALSE),"")</f>
        <v/>
      </c>
      <c r="G576" s="14" t="n"/>
      <c r="H576" s="14" t="n"/>
      <c r="I576" s="14" t="n"/>
      <c r="N576" s="14" t="n"/>
      <c r="P576" s="14">
        <f>IF(ISBLANK(I576),"",DATE(YEAR(I576)+1,MONTH(I576),DAY(I576)))</f>
        <v/>
      </c>
    </row>
    <row r="577">
      <c r="C577">
        <f>IFERROR(VLOOKUP(B577,Trigger_Assessment!$A$2:$B$1000,2,FALSE),"")</f>
        <v/>
      </c>
      <c r="D577">
        <f>IFERROR(VLOOKUP(B577,Trigger_Assessment!$A$2:$C$1000,3,FALSE),"")</f>
        <v/>
      </c>
      <c r="G577" s="14" t="n"/>
      <c r="H577" s="14" t="n"/>
      <c r="I577" s="14" t="n"/>
      <c r="N577" s="14" t="n"/>
      <c r="P577" s="14">
        <f>IF(ISBLANK(I577),"",DATE(YEAR(I577)+1,MONTH(I577),DAY(I577)))</f>
        <v/>
      </c>
    </row>
    <row r="578">
      <c r="C578">
        <f>IFERROR(VLOOKUP(B578,Trigger_Assessment!$A$2:$B$1000,2,FALSE),"")</f>
        <v/>
      </c>
      <c r="D578">
        <f>IFERROR(VLOOKUP(B578,Trigger_Assessment!$A$2:$C$1000,3,FALSE),"")</f>
        <v/>
      </c>
      <c r="G578" s="14" t="n"/>
      <c r="H578" s="14" t="n"/>
      <c r="I578" s="14" t="n"/>
      <c r="N578" s="14" t="n"/>
      <c r="P578" s="14">
        <f>IF(ISBLANK(I578),"",DATE(YEAR(I578)+1,MONTH(I578),DAY(I578)))</f>
        <v/>
      </c>
    </row>
    <row r="579">
      <c r="C579">
        <f>IFERROR(VLOOKUP(B579,Trigger_Assessment!$A$2:$B$1000,2,FALSE),"")</f>
        <v/>
      </c>
      <c r="D579">
        <f>IFERROR(VLOOKUP(B579,Trigger_Assessment!$A$2:$C$1000,3,FALSE),"")</f>
        <v/>
      </c>
      <c r="G579" s="14" t="n"/>
      <c r="H579" s="14" t="n"/>
      <c r="I579" s="14" t="n"/>
      <c r="N579" s="14" t="n"/>
      <c r="P579" s="14">
        <f>IF(ISBLANK(I579),"",DATE(YEAR(I579)+1,MONTH(I579),DAY(I579)))</f>
        <v/>
      </c>
    </row>
    <row r="580">
      <c r="C580">
        <f>IFERROR(VLOOKUP(B580,Trigger_Assessment!$A$2:$B$1000,2,FALSE),"")</f>
        <v/>
      </c>
      <c r="D580">
        <f>IFERROR(VLOOKUP(B580,Trigger_Assessment!$A$2:$C$1000,3,FALSE),"")</f>
        <v/>
      </c>
      <c r="G580" s="14" t="n"/>
      <c r="H580" s="14" t="n"/>
      <c r="I580" s="14" t="n"/>
      <c r="N580" s="14" t="n"/>
      <c r="P580" s="14">
        <f>IF(ISBLANK(I580),"",DATE(YEAR(I580)+1,MONTH(I580),DAY(I580)))</f>
        <v/>
      </c>
    </row>
    <row r="581">
      <c r="C581">
        <f>IFERROR(VLOOKUP(B581,Trigger_Assessment!$A$2:$B$1000,2,FALSE),"")</f>
        <v/>
      </c>
      <c r="D581">
        <f>IFERROR(VLOOKUP(B581,Trigger_Assessment!$A$2:$C$1000,3,FALSE),"")</f>
        <v/>
      </c>
      <c r="G581" s="14" t="n"/>
      <c r="H581" s="14" t="n"/>
      <c r="I581" s="14" t="n"/>
      <c r="N581" s="14" t="n"/>
      <c r="P581" s="14">
        <f>IF(ISBLANK(I581),"",DATE(YEAR(I581)+1,MONTH(I581),DAY(I581)))</f>
        <v/>
      </c>
    </row>
    <row r="582">
      <c r="C582">
        <f>IFERROR(VLOOKUP(B582,Trigger_Assessment!$A$2:$B$1000,2,FALSE),"")</f>
        <v/>
      </c>
      <c r="D582">
        <f>IFERROR(VLOOKUP(B582,Trigger_Assessment!$A$2:$C$1000,3,FALSE),"")</f>
        <v/>
      </c>
      <c r="G582" s="14" t="n"/>
      <c r="H582" s="14" t="n"/>
      <c r="I582" s="14" t="n"/>
      <c r="N582" s="14" t="n"/>
      <c r="P582" s="14">
        <f>IF(ISBLANK(I582),"",DATE(YEAR(I582)+1,MONTH(I582),DAY(I582)))</f>
        <v/>
      </c>
    </row>
    <row r="583">
      <c r="C583">
        <f>IFERROR(VLOOKUP(B583,Trigger_Assessment!$A$2:$B$1000,2,FALSE),"")</f>
        <v/>
      </c>
      <c r="D583">
        <f>IFERROR(VLOOKUP(B583,Trigger_Assessment!$A$2:$C$1000,3,FALSE),"")</f>
        <v/>
      </c>
      <c r="G583" s="14" t="n"/>
      <c r="H583" s="14" t="n"/>
      <c r="I583" s="14" t="n"/>
      <c r="N583" s="14" t="n"/>
      <c r="P583" s="14">
        <f>IF(ISBLANK(I583),"",DATE(YEAR(I583)+1,MONTH(I583),DAY(I583)))</f>
        <v/>
      </c>
    </row>
    <row r="584">
      <c r="C584">
        <f>IFERROR(VLOOKUP(B584,Trigger_Assessment!$A$2:$B$1000,2,FALSE),"")</f>
        <v/>
      </c>
      <c r="D584">
        <f>IFERROR(VLOOKUP(B584,Trigger_Assessment!$A$2:$C$1000,3,FALSE),"")</f>
        <v/>
      </c>
      <c r="G584" s="14" t="n"/>
      <c r="H584" s="14" t="n"/>
      <c r="I584" s="14" t="n"/>
      <c r="N584" s="14" t="n"/>
      <c r="P584" s="14">
        <f>IF(ISBLANK(I584),"",DATE(YEAR(I584)+1,MONTH(I584),DAY(I584)))</f>
        <v/>
      </c>
    </row>
    <row r="585">
      <c r="C585">
        <f>IFERROR(VLOOKUP(B585,Trigger_Assessment!$A$2:$B$1000,2,FALSE),"")</f>
        <v/>
      </c>
      <c r="D585">
        <f>IFERROR(VLOOKUP(B585,Trigger_Assessment!$A$2:$C$1000,3,FALSE),"")</f>
        <v/>
      </c>
      <c r="G585" s="14" t="n"/>
      <c r="H585" s="14" t="n"/>
      <c r="I585" s="14" t="n"/>
      <c r="N585" s="14" t="n"/>
      <c r="P585" s="14">
        <f>IF(ISBLANK(I585),"",DATE(YEAR(I585)+1,MONTH(I585),DAY(I585)))</f>
        <v/>
      </c>
    </row>
    <row r="586">
      <c r="C586">
        <f>IFERROR(VLOOKUP(B586,Trigger_Assessment!$A$2:$B$1000,2,FALSE),"")</f>
        <v/>
      </c>
      <c r="D586">
        <f>IFERROR(VLOOKUP(B586,Trigger_Assessment!$A$2:$C$1000,3,FALSE),"")</f>
        <v/>
      </c>
      <c r="G586" s="14" t="n"/>
      <c r="H586" s="14" t="n"/>
      <c r="I586" s="14" t="n"/>
      <c r="N586" s="14" t="n"/>
      <c r="P586" s="14">
        <f>IF(ISBLANK(I586),"",DATE(YEAR(I586)+1,MONTH(I586),DAY(I586)))</f>
        <v/>
      </c>
    </row>
    <row r="587">
      <c r="C587">
        <f>IFERROR(VLOOKUP(B587,Trigger_Assessment!$A$2:$B$1000,2,FALSE),"")</f>
        <v/>
      </c>
      <c r="D587">
        <f>IFERROR(VLOOKUP(B587,Trigger_Assessment!$A$2:$C$1000,3,FALSE),"")</f>
        <v/>
      </c>
      <c r="G587" s="14" t="n"/>
      <c r="H587" s="14" t="n"/>
      <c r="I587" s="14" t="n"/>
      <c r="N587" s="14" t="n"/>
      <c r="P587" s="14">
        <f>IF(ISBLANK(I587),"",DATE(YEAR(I587)+1,MONTH(I587),DAY(I587)))</f>
        <v/>
      </c>
    </row>
    <row r="588">
      <c r="C588">
        <f>IFERROR(VLOOKUP(B588,Trigger_Assessment!$A$2:$B$1000,2,FALSE),"")</f>
        <v/>
      </c>
      <c r="D588">
        <f>IFERROR(VLOOKUP(B588,Trigger_Assessment!$A$2:$C$1000,3,FALSE),"")</f>
        <v/>
      </c>
      <c r="G588" s="14" t="n"/>
      <c r="H588" s="14" t="n"/>
      <c r="I588" s="14" t="n"/>
      <c r="N588" s="14" t="n"/>
      <c r="P588" s="14">
        <f>IF(ISBLANK(I588),"",DATE(YEAR(I588)+1,MONTH(I588),DAY(I588)))</f>
        <v/>
      </c>
    </row>
    <row r="589">
      <c r="C589">
        <f>IFERROR(VLOOKUP(B589,Trigger_Assessment!$A$2:$B$1000,2,FALSE),"")</f>
        <v/>
      </c>
      <c r="D589">
        <f>IFERROR(VLOOKUP(B589,Trigger_Assessment!$A$2:$C$1000,3,FALSE),"")</f>
        <v/>
      </c>
      <c r="G589" s="14" t="n"/>
      <c r="H589" s="14" t="n"/>
      <c r="I589" s="14" t="n"/>
      <c r="N589" s="14" t="n"/>
      <c r="P589" s="14">
        <f>IF(ISBLANK(I589),"",DATE(YEAR(I589)+1,MONTH(I589),DAY(I589)))</f>
        <v/>
      </c>
    </row>
    <row r="590">
      <c r="C590">
        <f>IFERROR(VLOOKUP(B590,Trigger_Assessment!$A$2:$B$1000,2,FALSE),"")</f>
        <v/>
      </c>
      <c r="D590">
        <f>IFERROR(VLOOKUP(B590,Trigger_Assessment!$A$2:$C$1000,3,FALSE),"")</f>
        <v/>
      </c>
      <c r="G590" s="14" t="n"/>
      <c r="H590" s="14" t="n"/>
      <c r="I590" s="14" t="n"/>
      <c r="N590" s="14" t="n"/>
      <c r="P590" s="14">
        <f>IF(ISBLANK(I590),"",DATE(YEAR(I590)+1,MONTH(I590),DAY(I590)))</f>
        <v/>
      </c>
    </row>
    <row r="591">
      <c r="C591">
        <f>IFERROR(VLOOKUP(B591,Trigger_Assessment!$A$2:$B$1000,2,FALSE),"")</f>
        <v/>
      </c>
      <c r="D591">
        <f>IFERROR(VLOOKUP(B591,Trigger_Assessment!$A$2:$C$1000,3,FALSE),"")</f>
        <v/>
      </c>
      <c r="G591" s="14" t="n"/>
      <c r="H591" s="14" t="n"/>
      <c r="I591" s="14" t="n"/>
      <c r="N591" s="14" t="n"/>
      <c r="P591" s="14">
        <f>IF(ISBLANK(I591),"",DATE(YEAR(I591)+1,MONTH(I591),DAY(I591)))</f>
        <v/>
      </c>
    </row>
    <row r="592">
      <c r="C592">
        <f>IFERROR(VLOOKUP(B592,Trigger_Assessment!$A$2:$B$1000,2,FALSE),"")</f>
        <v/>
      </c>
      <c r="D592">
        <f>IFERROR(VLOOKUP(B592,Trigger_Assessment!$A$2:$C$1000,3,FALSE),"")</f>
        <v/>
      </c>
      <c r="G592" s="14" t="n"/>
      <c r="H592" s="14" t="n"/>
      <c r="I592" s="14" t="n"/>
      <c r="N592" s="14" t="n"/>
      <c r="P592" s="14">
        <f>IF(ISBLANK(I592),"",DATE(YEAR(I592)+1,MONTH(I592),DAY(I592)))</f>
        <v/>
      </c>
    </row>
    <row r="593">
      <c r="C593">
        <f>IFERROR(VLOOKUP(B593,Trigger_Assessment!$A$2:$B$1000,2,FALSE),"")</f>
        <v/>
      </c>
      <c r="D593">
        <f>IFERROR(VLOOKUP(B593,Trigger_Assessment!$A$2:$C$1000,3,FALSE),"")</f>
        <v/>
      </c>
      <c r="G593" s="14" t="n"/>
      <c r="H593" s="14" t="n"/>
      <c r="I593" s="14" t="n"/>
      <c r="N593" s="14" t="n"/>
      <c r="P593" s="14">
        <f>IF(ISBLANK(I593),"",DATE(YEAR(I593)+1,MONTH(I593),DAY(I593)))</f>
        <v/>
      </c>
    </row>
    <row r="594">
      <c r="C594">
        <f>IFERROR(VLOOKUP(B594,Trigger_Assessment!$A$2:$B$1000,2,FALSE),"")</f>
        <v/>
      </c>
      <c r="D594">
        <f>IFERROR(VLOOKUP(B594,Trigger_Assessment!$A$2:$C$1000,3,FALSE),"")</f>
        <v/>
      </c>
      <c r="G594" s="14" t="n"/>
      <c r="H594" s="14" t="n"/>
      <c r="I594" s="14" t="n"/>
      <c r="N594" s="14" t="n"/>
      <c r="P594" s="14">
        <f>IF(ISBLANK(I594),"",DATE(YEAR(I594)+1,MONTH(I594),DAY(I594)))</f>
        <v/>
      </c>
    </row>
    <row r="595">
      <c r="C595">
        <f>IFERROR(VLOOKUP(B595,Trigger_Assessment!$A$2:$B$1000,2,FALSE),"")</f>
        <v/>
      </c>
      <c r="D595">
        <f>IFERROR(VLOOKUP(B595,Trigger_Assessment!$A$2:$C$1000,3,FALSE),"")</f>
        <v/>
      </c>
      <c r="G595" s="14" t="n"/>
      <c r="H595" s="14" t="n"/>
      <c r="I595" s="14" t="n"/>
      <c r="N595" s="14" t="n"/>
      <c r="P595" s="14">
        <f>IF(ISBLANK(I595),"",DATE(YEAR(I595)+1,MONTH(I595),DAY(I595)))</f>
        <v/>
      </c>
    </row>
    <row r="596">
      <c r="C596">
        <f>IFERROR(VLOOKUP(B596,Trigger_Assessment!$A$2:$B$1000,2,FALSE),"")</f>
        <v/>
      </c>
      <c r="D596">
        <f>IFERROR(VLOOKUP(B596,Trigger_Assessment!$A$2:$C$1000,3,FALSE),"")</f>
        <v/>
      </c>
      <c r="G596" s="14" t="n"/>
      <c r="H596" s="14" t="n"/>
      <c r="I596" s="14" t="n"/>
      <c r="N596" s="14" t="n"/>
      <c r="P596" s="14">
        <f>IF(ISBLANK(I596),"",DATE(YEAR(I596)+1,MONTH(I596),DAY(I596)))</f>
        <v/>
      </c>
    </row>
    <row r="597">
      <c r="C597">
        <f>IFERROR(VLOOKUP(B597,Trigger_Assessment!$A$2:$B$1000,2,FALSE),"")</f>
        <v/>
      </c>
      <c r="D597">
        <f>IFERROR(VLOOKUP(B597,Trigger_Assessment!$A$2:$C$1000,3,FALSE),"")</f>
        <v/>
      </c>
      <c r="G597" s="14" t="n"/>
      <c r="H597" s="14" t="n"/>
      <c r="I597" s="14" t="n"/>
      <c r="N597" s="14" t="n"/>
      <c r="P597" s="14">
        <f>IF(ISBLANK(I597),"",DATE(YEAR(I597)+1,MONTH(I597),DAY(I597)))</f>
        <v/>
      </c>
    </row>
    <row r="598">
      <c r="C598">
        <f>IFERROR(VLOOKUP(B598,Trigger_Assessment!$A$2:$B$1000,2,FALSE),"")</f>
        <v/>
      </c>
      <c r="D598">
        <f>IFERROR(VLOOKUP(B598,Trigger_Assessment!$A$2:$C$1000,3,FALSE),"")</f>
        <v/>
      </c>
      <c r="G598" s="14" t="n"/>
      <c r="H598" s="14" t="n"/>
      <c r="I598" s="14" t="n"/>
      <c r="N598" s="14" t="n"/>
      <c r="P598" s="14">
        <f>IF(ISBLANK(I598),"",DATE(YEAR(I598)+1,MONTH(I598),DAY(I598)))</f>
        <v/>
      </c>
    </row>
    <row r="599">
      <c r="C599">
        <f>IFERROR(VLOOKUP(B599,Trigger_Assessment!$A$2:$B$1000,2,FALSE),"")</f>
        <v/>
      </c>
      <c r="D599">
        <f>IFERROR(VLOOKUP(B599,Trigger_Assessment!$A$2:$C$1000,3,FALSE),"")</f>
        <v/>
      </c>
      <c r="G599" s="14" t="n"/>
      <c r="H599" s="14" t="n"/>
      <c r="I599" s="14" t="n"/>
      <c r="N599" s="14" t="n"/>
      <c r="P599" s="14">
        <f>IF(ISBLANK(I599),"",DATE(YEAR(I599)+1,MONTH(I599),DAY(I599)))</f>
        <v/>
      </c>
    </row>
    <row r="600">
      <c r="C600">
        <f>IFERROR(VLOOKUP(B600,Trigger_Assessment!$A$2:$B$1000,2,FALSE),"")</f>
        <v/>
      </c>
      <c r="D600">
        <f>IFERROR(VLOOKUP(B600,Trigger_Assessment!$A$2:$C$1000,3,FALSE),"")</f>
        <v/>
      </c>
      <c r="G600" s="14" t="n"/>
      <c r="H600" s="14" t="n"/>
      <c r="I600" s="14" t="n"/>
      <c r="N600" s="14" t="n"/>
      <c r="P600" s="14">
        <f>IF(ISBLANK(I600),"",DATE(YEAR(I600)+1,MONTH(I600),DAY(I600)))</f>
        <v/>
      </c>
    </row>
    <row r="601">
      <c r="C601">
        <f>IFERROR(VLOOKUP(B601,Trigger_Assessment!$A$2:$B$1000,2,FALSE),"")</f>
        <v/>
      </c>
      <c r="D601">
        <f>IFERROR(VLOOKUP(B601,Trigger_Assessment!$A$2:$C$1000,3,FALSE),"")</f>
        <v/>
      </c>
      <c r="G601" s="14" t="n"/>
      <c r="H601" s="14" t="n"/>
      <c r="I601" s="14" t="n"/>
      <c r="N601" s="14" t="n"/>
      <c r="P601" s="14">
        <f>IF(ISBLANK(I601),"",DATE(YEAR(I601)+1,MONTH(I601),DAY(I601)))</f>
        <v/>
      </c>
    </row>
    <row r="602">
      <c r="C602">
        <f>IFERROR(VLOOKUP(B602,Trigger_Assessment!$A$2:$B$1000,2,FALSE),"")</f>
        <v/>
      </c>
      <c r="D602">
        <f>IFERROR(VLOOKUP(B602,Trigger_Assessment!$A$2:$C$1000,3,FALSE),"")</f>
        <v/>
      </c>
      <c r="G602" s="14" t="n"/>
      <c r="H602" s="14" t="n"/>
      <c r="I602" s="14" t="n"/>
      <c r="N602" s="14" t="n"/>
      <c r="P602" s="14">
        <f>IF(ISBLANK(I602),"",DATE(YEAR(I602)+1,MONTH(I602),DAY(I602)))</f>
        <v/>
      </c>
    </row>
    <row r="603">
      <c r="C603">
        <f>IFERROR(VLOOKUP(B603,Trigger_Assessment!$A$2:$B$1000,2,FALSE),"")</f>
        <v/>
      </c>
      <c r="D603">
        <f>IFERROR(VLOOKUP(B603,Trigger_Assessment!$A$2:$C$1000,3,FALSE),"")</f>
        <v/>
      </c>
      <c r="G603" s="14" t="n"/>
      <c r="H603" s="14" t="n"/>
      <c r="I603" s="14" t="n"/>
      <c r="N603" s="14" t="n"/>
      <c r="P603" s="14">
        <f>IF(ISBLANK(I603),"",DATE(YEAR(I603)+1,MONTH(I603),DAY(I603)))</f>
        <v/>
      </c>
    </row>
    <row r="604">
      <c r="C604">
        <f>IFERROR(VLOOKUP(B604,Trigger_Assessment!$A$2:$B$1000,2,FALSE),"")</f>
        <v/>
      </c>
      <c r="D604">
        <f>IFERROR(VLOOKUP(B604,Trigger_Assessment!$A$2:$C$1000,3,FALSE),"")</f>
        <v/>
      </c>
      <c r="G604" s="14" t="n"/>
      <c r="H604" s="14" t="n"/>
      <c r="I604" s="14" t="n"/>
      <c r="N604" s="14" t="n"/>
      <c r="P604" s="14">
        <f>IF(ISBLANK(I604),"",DATE(YEAR(I604)+1,MONTH(I604),DAY(I604)))</f>
        <v/>
      </c>
    </row>
    <row r="605">
      <c r="C605">
        <f>IFERROR(VLOOKUP(B605,Trigger_Assessment!$A$2:$B$1000,2,FALSE),"")</f>
        <v/>
      </c>
      <c r="D605">
        <f>IFERROR(VLOOKUP(B605,Trigger_Assessment!$A$2:$C$1000,3,FALSE),"")</f>
        <v/>
      </c>
      <c r="G605" s="14" t="n"/>
      <c r="H605" s="14" t="n"/>
      <c r="I605" s="14" t="n"/>
      <c r="N605" s="14" t="n"/>
      <c r="P605" s="14">
        <f>IF(ISBLANK(I605),"",DATE(YEAR(I605)+1,MONTH(I605),DAY(I605)))</f>
        <v/>
      </c>
    </row>
    <row r="606">
      <c r="C606">
        <f>IFERROR(VLOOKUP(B606,Trigger_Assessment!$A$2:$B$1000,2,FALSE),"")</f>
        <v/>
      </c>
      <c r="D606">
        <f>IFERROR(VLOOKUP(B606,Trigger_Assessment!$A$2:$C$1000,3,FALSE),"")</f>
        <v/>
      </c>
      <c r="G606" s="14" t="n"/>
      <c r="H606" s="14" t="n"/>
      <c r="I606" s="14" t="n"/>
      <c r="N606" s="14" t="n"/>
      <c r="P606" s="14">
        <f>IF(ISBLANK(I606),"",DATE(YEAR(I606)+1,MONTH(I606),DAY(I606)))</f>
        <v/>
      </c>
    </row>
    <row r="607">
      <c r="C607">
        <f>IFERROR(VLOOKUP(B607,Trigger_Assessment!$A$2:$B$1000,2,FALSE),"")</f>
        <v/>
      </c>
      <c r="D607">
        <f>IFERROR(VLOOKUP(B607,Trigger_Assessment!$A$2:$C$1000,3,FALSE),"")</f>
        <v/>
      </c>
      <c r="G607" s="14" t="n"/>
      <c r="H607" s="14" t="n"/>
      <c r="I607" s="14" t="n"/>
      <c r="N607" s="14" t="n"/>
      <c r="P607" s="14">
        <f>IF(ISBLANK(I607),"",DATE(YEAR(I607)+1,MONTH(I607),DAY(I607)))</f>
        <v/>
      </c>
    </row>
    <row r="608">
      <c r="C608">
        <f>IFERROR(VLOOKUP(B608,Trigger_Assessment!$A$2:$B$1000,2,FALSE),"")</f>
        <v/>
      </c>
      <c r="D608">
        <f>IFERROR(VLOOKUP(B608,Trigger_Assessment!$A$2:$C$1000,3,FALSE),"")</f>
        <v/>
      </c>
      <c r="G608" s="14" t="n"/>
      <c r="H608" s="14" t="n"/>
      <c r="I608" s="14" t="n"/>
      <c r="N608" s="14" t="n"/>
      <c r="P608" s="14">
        <f>IF(ISBLANK(I608),"",DATE(YEAR(I608)+1,MONTH(I608),DAY(I608)))</f>
        <v/>
      </c>
    </row>
    <row r="609">
      <c r="C609">
        <f>IFERROR(VLOOKUP(B609,Trigger_Assessment!$A$2:$B$1000,2,FALSE),"")</f>
        <v/>
      </c>
      <c r="D609">
        <f>IFERROR(VLOOKUP(B609,Trigger_Assessment!$A$2:$C$1000,3,FALSE),"")</f>
        <v/>
      </c>
      <c r="G609" s="14" t="n"/>
      <c r="H609" s="14" t="n"/>
      <c r="I609" s="14" t="n"/>
      <c r="N609" s="14" t="n"/>
      <c r="P609" s="14">
        <f>IF(ISBLANK(I609),"",DATE(YEAR(I609)+1,MONTH(I609),DAY(I609)))</f>
        <v/>
      </c>
    </row>
    <row r="610">
      <c r="C610">
        <f>IFERROR(VLOOKUP(B610,Trigger_Assessment!$A$2:$B$1000,2,FALSE),"")</f>
        <v/>
      </c>
      <c r="D610">
        <f>IFERROR(VLOOKUP(B610,Trigger_Assessment!$A$2:$C$1000,3,FALSE),"")</f>
        <v/>
      </c>
      <c r="G610" s="14" t="n"/>
      <c r="H610" s="14" t="n"/>
      <c r="I610" s="14" t="n"/>
      <c r="N610" s="14" t="n"/>
      <c r="P610" s="14">
        <f>IF(ISBLANK(I610),"",DATE(YEAR(I610)+1,MONTH(I610),DAY(I610)))</f>
        <v/>
      </c>
    </row>
    <row r="611">
      <c r="C611">
        <f>IFERROR(VLOOKUP(B611,Trigger_Assessment!$A$2:$B$1000,2,FALSE),"")</f>
        <v/>
      </c>
      <c r="D611">
        <f>IFERROR(VLOOKUP(B611,Trigger_Assessment!$A$2:$C$1000,3,FALSE),"")</f>
        <v/>
      </c>
      <c r="G611" s="14" t="n"/>
      <c r="H611" s="14" t="n"/>
      <c r="I611" s="14" t="n"/>
      <c r="N611" s="14" t="n"/>
      <c r="P611" s="14">
        <f>IF(ISBLANK(I611),"",DATE(YEAR(I611)+1,MONTH(I611),DAY(I611)))</f>
        <v/>
      </c>
    </row>
    <row r="612">
      <c r="C612">
        <f>IFERROR(VLOOKUP(B612,Trigger_Assessment!$A$2:$B$1000,2,FALSE),"")</f>
        <v/>
      </c>
      <c r="D612">
        <f>IFERROR(VLOOKUP(B612,Trigger_Assessment!$A$2:$C$1000,3,FALSE),"")</f>
        <v/>
      </c>
      <c r="G612" s="14" t="n"/>
      <c r="H612" s="14" t="n"/>
      <c r="I612" s="14" t="n"/>
      <c r="N612" s="14" t="n"/>
      <c r="P612" s="14">
        <f>IF(ISBLANK(I612),"",DATE(YEAR(I612)+1,MONTH(I612),DAY(I612)))</f>
        <v/>
      </c>
    </row>
    <row r="613">
      <c r="C613">
        <f>IFERROR(VLOOKUP(B613,Trigger_Assessment!$A$2:$B$1000,2,FALSE),"")</f>
        <v/>
      </c>
      <c r="D613">
        <f>IFERROR(VLOOKUP(B613,Trigger_Assessment!$A$2:$C$1000,3,FALSE),"")</f>
        <v/>
      </c>
      <c r="G613" s="14" t="n"/>
      <c r="H613" s="14" t="n"/>
      <c r="I613" s="14" t="n"/>
      <c r="N613" s="14" t="n"/>
      <c r="P613" s="14">
        <f>IF(ISBLANK(I613),"",DATE(YEAR(I613)+1,MONTH(I613),DAY(I613)))</f>
        <v/>
      </c>
    </row>
    <row r="614">
      <c r="C614">
        <f>IFERROR(VLOOKUP(B614,Trigger_Assessment!$A$2:$B$1000,2,FALSE),"")</f>
        <v/>
      </c>
      <c r="D614">
        <f>IFERROR(VLOOKUP(B614,Trigger_Assessment!$A$2:$C$1000,3,FALSE),"")</f>
        <v/>
      </c>
      <c r="G614" s="14" t="n"/>
      <c r="H614" s="14" t="n"/>
      <c r="I614" s="14" t="n"/>
      <c r="N614" s="14" t="n"/>
      <c r="P614" s="14">
        <f>IF(ISBLANK(I614),"",DATE(YEAR(I614)+1,MONTH(I614),DAY(I614)))</f>
        <v/>
      </c>
    </row>
    <row r="615">
      <c r="C615">
        <f>IFERROR(VLOOKUP(B615,Trigger_Assessment!$A$2:$B$1000,2,FALSE),"")</f>
        <v/>
      </c>
      <c r="D615">
        <f>IFERROR(VLOOKUP(B615,Trigger_Assessment!$A$2:$C$1000,3,FALSE),"")</f>
        <v/>
      </c>
      <c r="G615" s="14" t="n"/>
      <c r="H615" s="14" t="n"/>
      <c r="I615" s="14" t="n"/>
      <c r="N615" s="14" t="n"/>
      <c r="P615" s="14">
        <f>IF(ISBLANK(I615),"",DATE(YEAR(I615)+1,MONTH(I615),DAY(I615)))</f>
        <v/>
      </c>
    </row>
    <row r="616">
      <c r="C616">
        <f>IFERROR(VLOOKUP(B616,Trigger_Assessment!$A$2:$B$1000,2,FALSE),"")</f>
        <v/>
      </c>
      <c r="D616">
        <f>IFERROR(VLOOKUP(B616,Trigger_Assessment!$A$2:$C$1000,3,FALSE),"")</f>
        <v/>
      </c>
      <c r="G616" s="14" t="n"/>
      <c r="H616" s="14" t="n"/>
      <c r="I616" s="14" t="n"/>
      <c r="N616" s="14" t="n"/>
      <c r="P616" s="14">
        <f>IF(ISBLANK(I616),"",DATE(YEAR(I616)+1,MONTH(I616),DAY(I616)))</f>
        <v/>
      </c>
    </row>
    <row r="617">
      <c r="C617">
        <f>IFERROR(VLOOKUP(B617,Trigger_Assessment!$A$2:$B$1000,2,FALSE),"")</f>
        <v/>
      </c>
      <c r="D617">
        <f>IFERROR(VLOOKUP(B617,Trigger_Assessment!$A$2:$C$1000,3,FALSE),"")</f>
        <v/>
      </c>
      <c r="G617" s="14" t="n"/>
      <c r="H617" s="14" t="n"/>
      <c r="I617" s="14" t="n"/>
      <c r="N617" s="14" t="n"/>
      <c r="P617" s="14">
        <f>IF(ISBLANK(I617),"",DATE(YEAR(I617)+1,MONTH(I617),DAY(I617)))</f>
        <v/>
      </c>
    </row>
    <row r="618">
      <c r="C618">
        <f>IFERROR(VLOOKUP(B618,Trigger_Assessment!$A$2:$B$1000,2,FALSE),"")</f>
        <v/>
      </c>
      <c r="D618">
        <f>IFERROR(VLOOKUP(B618,Trigger_Assessment!$A$2:$C$1000,3,FALSE),"")</f>
        <v/>
      </c>
      <c r="G618" s="14" t="n"/>
      <c r="H618" s="14" t="n"/>
      <c r="I618" s="14" t="n"/>
      <c r="N618" s="14" t="n"/>
      <c r="P618" s="14">
        <f>IF(ISBLANK(I618),"",DATE(YEAR(I618)+1,MONTH(I618),DAY(I618)))</f>
        <v/>
      </c>
    </row>
    <row r="619">
      <c r="C619">
        <f>IFERROR(VLOOKUP(B619,Trigger_Assessment!$A$2:$B$1000,2,FALSE),"")</f>
        <v/>
      </c>
      <c r="D619">
        <f>IFERROR(VLOOKUP(B619,Trigger_Assessment!$A$2:$C$1000,3,FALSE),"")</f>
        <v/>
      </c>
      <c r="G619" s="14" t="n"/>
      <c r="H619" s="14" t="n"/>
      <c r="I619" s="14" t="n"/>
      <c r="N619" s="14" t="n"/>
      <c r="P619" s="14">
        <f>IF(ISBLANK(I619),"",DATE(YEAR(I619)+1,MONTH(I619),DAY(I619)))</f>
        <v/>
      </c>
    </row>
    <row r="620">
      <c r="C620">
        <f>IFERROR(VLOOKUP(B620,Trigger_Assessment!$A$2:$B$1000,2,FALSE),"")</f>
        <v/>
      </c>
      <c r="D620">
        <f>IFERROR(VLOOKUP(B620,Trigger_Assessment!$A$2:$C$1000,3,FALSE),"")</f>
        <v/>
      </c>
      <c r="G620" s="14" t="n"/>
      <c r="H620" s="14" t="n"/>
      <c r="I620" s="14" t="n"/>
      <c r="N620" s="14" t="n"/>
      <c r="P620" s="14">
        <f>IF(ISBLANK(I620),"",DATE(YEAR(I620)+1,MONTH(I620),DAY(I620)))</f>
        <v/>
      </c>
    </row>
    <row r="621">
      <c r="C621">
        <f>IFERROR(VLOOKUP(B621,Trigger_Assessment!$A$2:$B$1000,2,FALSE),"")</f>
        <v/>
      </c>
      <c r="D621">
        <f>IFERROR(VLOOKUP(B621,Trigger_Assessment!$A$2:$C$1000,3,FALSE),"")</f>
        <v/>
      </c>
      <c r="G621" s="14" t="n"/>
      <c r="H621" s="14" t="n"/>
      <c r="I621" s="14" t="n"/>
      <c r="N621" s="14" t="n"/>
      <c r="P621" s="14">
        <f>IF(ISBLANK(I621),"",DATE(YEAR(I621)+1,MONTH(I621),DAY(I621)))</f>
        <v/>
      </c>
    </row>
    <row r="622">
      <c r="C622">
        <f>IFERROR(VLOOKUP(B622,Trigger_Assessment!$A$2:$B$1000,2,FALSE),"")</f>
        <v/>
      </c>
      <c r="D622">
        <f>IFERROR(VLOOKUP(B622,Trigger_Assessment!$A$2:$C$1000,3,FALSE),"")</f>
        <v/>
      </c>
      <c r="G622" s="14" t="n"/>
      <c r="H622" s="14" t="n"/>
      <c r="I622" s="14" t="n"/>
      <c r="N622" s="14" t="n"/>
      <c r="P622" s="14">
        <f>IF(ISBLANK(I622),"",DATE(YEAR(I622)+1,MONTH(I622),DAY(I622)))</f>
        <v/>
      </c>
    </row>
    <row r="623">
      <c r="C623">
        <f>IFERROR(VLOOKUP(B623,Trigger_Assessment!$A$2:$B$1000,2,FALSE),"")</f>
        <v/>
      </c>
      <c r="D623">
        <f>IFERROR(VLOOKUP(B623,Trigger_Assessment!$A$2:$C$1000,3,FALSE),"")</f>
        <v/>
      </c>
      <c r="G623" s="14" t="n"/>
      <c r="H623" s="14" t="n"/>
      <c r="I623" s="14" t="n"/>
      <c r="N623" s="14" t="n"/>
      <c r="P623" s="14">
        <f>IF(ISBLANK(I623),"",DATE(YEAR(I623)+1,MONTH(I623),DAY(I623)))</f>
        <v/>
      </c>
    </row>
    <row r="624">
      <c r="C624">
        <f>IFERROR(VLOOKUP(B624,Trigger_Assessment!$A$2:$B$1000,2,FALSE),"")</f>
        <v/>
      </c>
      <c r="D624">
        <f>IFERROR(VLOOKUP(B624,Trigger_Assessment!$A$2:$C$1000,3,FALSE),"")</f>
        <v/>
      </c>
      <c r="G624" s="14" t="n"/>
      <c r="H624" s="14" t="n"/>
      <c r="I624" s="14" t="n"/>
      <c r="N624" s="14" t="n"/>
      <c r="P624" s="14">
        <f>IF(ISBLANK(I624),"",DATE(YEAR(I624)+1,MONTH(I624),DAY(I624)))</f>
        <v/>
      </c>
    </row>
    <row r="625">
      <c r="C625">
        <f>IFERROR(VLOOKUP(B625,Trigger_Assessment!$A$2:$B$1000,2,FALSE),"")</f>
        <v/>
      </c>
      <c r="D625">
        <f>IFERROR(VLOOKUP(B625,Trigger_Assessment!$A$2:$C$1000,3,FALSE),"")</f>
        <v/>
      </c>
      <c r="G625" s="14" t="n"/>
      <c r="H625" s="14" t="n"/>
      <c r="I625" s="14" t="n"/>
      <c r="N625" s="14" t="n"/>
      <c r="P625" s="14">
        <f>IF(ISBLANK(I625),"",DATE(YEAR(I625)+1,MONTH(I625),DAY(I625)))</f>
        <v/>
      </c>
    </row>
    <row r="626">
      <c r="C626">
        <f>IFERROR(VLOOKUP(B626,Trigger_Assessment!$A$2:$B$1000,2,FALSE),"")</f>
        <v/>
      </c>
      <c r="D626">
        <f>IFERROR(VLOOKUP(B626,Trigger_Assessment!$A$2:$C$1000,3,FALSE),"")</f>
        <v/>
      </c>
      <c r="G626" s="14" t="n"/>
      <c r="H626" s="14" t="n"/>
      <c r="I626" s="14" t="n"/>
      <c r="N626" s="14" t="n"/>
      <c r="P626" s="14">
        <f>IF(ISBLANK(I626),"",DATE(YEAR(I626)+1,MONTH(I626),DAY(I626)))</f>
        <v/>
      </c>
    </row>
    <row r="627">
      <c r="C627">
        <f>IFERROR(VLOOKUP(B627,Trigger_Assessment!$A$2:$B$1000,2,FALSE),"")</f>
        <v/>
      </c>
      <c r="D627">
        <f>IFERROR(VLOOKUP(B627,Trigger_Assessment!$A$2:$C$1000,3,FALSE),"")</f>
        <v/>
      </c>
      <c r="G627" s="14" t="n"/>
      <c r="H627" s="14" t="n"/>
      <c r="I627" s="14" t="n"/>
      <c r="N627" s="14" t="n"/>
      <c r="P627" s="14">
        <f>IF(ISBLANK(I627),"",DATE(YEAR(I627)+1,MONTH(I627),DAY(I627)))</f>
        <v/>
      </c>
    </row>
    <row r="628">
      <c r="C628">
        <f>IFERROR(VLOOKUP(B628,Trigger_Assessment!$A$2:$B$1000,2,FALSE),"")</f>
        <v/>
      </c>
      <c r="D628">
        <f>IFERROR(VLOOKUP(B628,Trigger_Assessment!$A$2:$C$1000,3,FALSE),"")</f>
        <v/>
      </c>
      <c r="G628" s="14" t="n"/>
      <c r="H628" s="14" t="n"/>
      <c r="I628" s="14" t="n"/>
      <c r="N628" s="14" t="n"/>
      <c r="P628" s="14">
        <f>IF(ISBLANK(I628),"",DATE(YEAR(I628)+1,MONTH(I628),DAY(I628)))</f>
        <v/>
      </c>
    </row>
    <row r="629">
      <c r="C629">
        <f>IFERROR(VLOOKUP(B629,Trigger_Assessment!$A$2:$B$1000,2,FALSE),"")</f>
        <v/>
      </c>
      <c r="D629">
        <f>IFERROR(VLOOKUP(B629,Trigger_Assessment!$A$2:$C$1000,3,FALSE),"")</f>
        <v/>
      </c>
      <c r="G629" s="14" t="n"/>
      <c r="H629" s="14" t="n"/>
      <c r="I629" s="14" t="n"/>
      <c r="N629" s="14" t="n"/>
      <c r="P629" s="14">
        <f>IF(ISBLANK(I629),"",DATE(YEAR(I629)+1,MONTH(I629),DAY(I629)))</f>
        <v/>
      </c>
    </row>
    <row r="630">
      <c r="C630">
        <f>IFERROR(VLOOKUP(B630,Trigger_Assessment!$A$2:$B$1000,2,FALSE),"")</f>
        <v/>
      </c>
      <c r="D630">
        <f>IFERROR(VLOOKUP(B630,Trigger_Assessment!$A$2:$C$1000,3,FALSE),"")</f>
        <v/>
      </c>
      <c r="G630" s="14" t="n"/>
      <c r="H630" s="14" t="n"/>
      <c r="I630" s="14" t="n"/>
      <c r="N630" s="14" t="n"/>
      <c r="P630" s="14">
        <f>IF(ISBLANK(I630),"",DATE(YEAR(I630)+1,MONTH(I630),DAY(I630)))</f>
        <v/>
      </c>
    </row>
    <row r="631">
      <c r="C631">
        <f>IFERROR(VLOOKUP(B631,Trigger_Assessment!$A$2:$B$1000,2,FALSE),"")</f>
        <v/>
      </c>
      <c r="D631">
        <f>IFERROR(VLOOKUP(B631,Trigger_Assessment!$A$2:$C$1000,3,FALSE),"")</f>
        <v/>
      </c>
      <c r="G631" s="14" t="n"/>
      <c r="H631" s="14" t="n"/>
      <c r="I631" s="14" t="n"/>
      <c r="N631" s="14" t="n"/>
      <c r="P631" s="14">
        <f>IF(ISBLANK(I631),"",DATE(YEAR(I631)+1,MONTH(I631),DAY(I631)))</f>
        <v/>
      </c>
    </row>
    <row r="632">
      <c r="C632">
        <f>IFERROR(VLOOKUP(B632,Trigger_Assessment!$A$2:$B$1000,2,FALSE),"")</f>
        <v/>
      </c>
      <c r="D632">
        <f>IFERROR(VLOOKUP(B632,Trigger_Assessment!$A$2:$C$1000,3,FALSE),"")</f>
        <v/>
      </c>
      <c r="G632" s="14" t="n"/>
      <c r="H632" s="14" t="n"/>
      <c r="I632" s="14" t="n"/>
      <c r="N632" s="14" t="n"/>
      <c r="P632" s="14">
        <f>IF(ISBLANK(I632),"",DATE(YEAR(I632)+1,MONTH(I632),DAY(I632)))</f>
        <v/>
      </c>
    </row>
    <row r="633">
      <c r="C633">
        <f>IFERROR(VLOOKUP(B633,Trigger_Assessment!$A$2:$B$1000,2,FALSE),"")</f>
        <v/>
      </c>
      <c r="D633">
        <f>IFERROR(VLOOKUP(B633,Trigger_Assessment!$A$2:$C$1000,3,FALSE),"")</f>
        <v/>
      </c>
      <c r="G633" s="14" t="n"/>
      <c r="H633" s="14" t="n"/>
      <c r="I633" s="14" t="n"/>
      <c r="N633" s="14" t="n"/>
      <c r="P633" s="14">
        <f>IF(ISBLANK(I633),"",DATE(YEAR(I633)+1,MONTH(I633),DAY(I633)))</f>
        <v/>
      </c>
    </row>
    <row r="634">
      <c r="C634">
        <f>IFERROR(VLOOKUP(B634,Trigger_Assessment!$A$2:$B$1000,2,FALSE),"")</f>
        <v/>
      </c>
      <c r="D634">
        <f>IFERROR(VLOOKUP(B634,Trigger_Assessment!$A$2:$C$1000,3,FALSE),"")</f>
        <v/>
      </c>
      <c r="G634" s="14" t="n"/>
      <c r="H634" s="14" t="n"/>
      <c r="I634" s="14" t="n"/>
      <c r="N634" s="14" t="n"/>
      <c r="P634" s="14">
        <f>IF(ISBLANK(I634),"",DATE(YEAR(I634)+1,MONTH(I634),DAY(I634)))</f>
        <v/>
      </c>
    </row>
    <row r="635">
      <c r="C635">
        <f>IFERROR(VLOOKUP(B635,Trigger_Assessment!$A$2:$B$1000,2,FALSE),"")</f>
        <v/>
      </c>
      <c r="D635">
        <f>IFERROR(VLOOKUP(B635,Trigger_Assessment!$A$2:$C$1000,3,FALSE),"")</f>
        <v/>
      </c>
      <c r="G635" s="14" t="n"/>
      <c r="H635" s="14" t="n"/>
      <c r="I635" s="14" t="n"/>
      <c r="N635" s="14" t="n"/>
      <c r="P635" s="14">
        <f>IF(ISBLANK(I635),"",DATE(YEAR(I635)+1,MONTH(I635),DAY(I635)))</f>
        <v/>
      </c>
    </row>
    <row r="636">
      <c r="C636">
        <f>IFERROR(VLOOKUP(B636,Trigger_Assessment!$A$2:$B$1000,2,FALSE),"")</f>
        <v/>
      </c>
      <c r="D636">
        <f>IFERROR(VLOOKUP(B636,Trigger_Assessment!$A$2:$C$1000,3,FALSE),"")</f>
        <v/>
      </c>
      <c r="G636" s="14" t="n"/>
      <c r="H636" s="14" t="n"/>
      <c r="I636" s="14" t="n"/>
      <c r="N636" s="14" t="n"/>
      <c r="P636" s="14">
        <f>IF(ISBLANK(I636),"",DATE(YEAR(I636)+1,MONTH(I636),DAY(I636)))</f>
        <v/>
      </c>
    </row>
    <row r="637">
      <c r="C637">
        <f>IFERROR(VLOOKUP(B637,Trigger_Assessment!$A$2:$B$1000,2,FALSE),"")</f>
        <v/>
      </c>
      <c r="D637">
        <f>IFERROR(VLOOKUP(B637,Trigger_Assessment!$A$2:$C$1000,3,FALSE),"")</f>
        <v/>
      </c>
      <c r="G637" s="14" t="n"/>
      <c r="H637" s="14" t="n"/>
      <c r="I637" s="14" t="n"/>
      <c r="N637" s="14" t="n"/>
      <c r="P637" s="14">
        <f>IF(ISBLANK(I637),"",DATE(YEAR(I637)+1,MONTH(I637),DAY(I637)))</f>
        <v/>
      </c>
    </row>
    <row r="638">
      <c r="C638">
        <f>IFERROR(VLOOKUP(B638,Trigger_Assessment!$A$2:$B$1000,2,FALSE),"")</f>
        <v/>
      </c>
      <c r="D638">
        <f>IFERROR(VLOOKUP(B638,Trigger_Assessment!$A$2:$C$1000,3,FALSE),"")</f>
        <v/>
      </c>
      <c r="G638" s="14" t="n"/>
      <c r="H638" s="14" t="n"/>
      <c r="I638" s="14" t="n"/>
      <c r="N638" s="14" t="n"/>
      <c r="P638" s="14">
        <f>IF(ISBLANK(I638),"",DATE(YEAR(I638)+1,MONTH(I638),DAY(I638)))</f>
        <v/>
      </c>
    </row>
    <row r="639">
      <c r="C639">
        <f>IFERROR(VLOOKUP(B639,Trigger_Assessment!$A$2:$B$1000,2,FALSE),"")</f>
        <v/>
      </c>
      <c r="D639">
        <f>IFERROR(VLOOKUP(B639,Trigger_Assessment!$A$2:$C$1000,3,FALSE),"")</f>
        <v/>
      </c>
      <c r="G639" s="14" t="n"/>
      <c r="H639" s="14" t="n"/>
      <c r="I639" s="14" t="n"/>
      <c r="N639" s="14" t="n"/>
      <c r="P639" s="14">
        <f>IF(ISBLANK(I639),"",DATE(YEAR(I639)+1,MONTH(I639),DAY(I639)))</f>
        <v/>
      </c>
    </row>
    <row r="640">
      <c r="C640">
        <f>IFERROR(VLOOKUP(B640,Trigger_Assessment!$A$2:$B$1000,2,FALSE),"")</f>
        <v/>
      </c>
      <c r="D640">
        <f>IFERROR(VLOOKUP(B640,Trigger_Assessment!$A$2:$C$1000,3,FALSE),"")</f>
        <v/>
      </c>
      <c r="G640" s="14" t="n"/>
      <c r="H640" s="14" t="n"/>
      <c r="I640" s="14" t="n"/>
      <c r="N640" s="14" t="n"/>
      <c r="P640" s="14">
        <f>IF(ISBLANK(I640),"",DATE(YEAR(I640)+1,MONTH(I640),DAY(I640)))</f>
        <v/>
      </c>
    </row>
    <row r="641">
      <c r="C641">
        <f>IFERROR(VLOOKUP(B641,Trigger_Assessment!$A$2:$B$1000,2,FALSE),"")</f>
        <v/>
      </c>
      <c r="D641">
        <f>IFERROR(VLOOKUP(B641,Trigger_Assessment!$A$2:$C$1000,3,FALSE),"")</f>
        <v/>
      </c>
      <c r="G641" s="14" t="n"/>
      <c r="H641" s="14" t="n"/>
      <c r="I641" s="14" t="n"/>
      <c r="N641" s="14" t="n"/>
      <c r="P641" s="14">
        <f>IF(ISBLANK(I641),"",DATE(YEAR(I641)+1,MONTH(I641),DAY(I641)))</f>
        <v/>
      </c>
    </row>
    <row r="642">
      <c r="C642">
        <f>IFERROR(VLOOKUP(B642,Trigger_Assessment!$A$2:$B$1000,2,FALSE),"")</f>
        <v/>
      </c>
      <c r="D642">
        <f>IFERROR(VLOOKUP(B642,Trigger_Assessment!$A$2:$C$1000,3,FALSE),"")</f>
        <v/>
      </c>
      <c r="G642" s="14" t="n"/>
      <c r="H642" s="14" t="n"/>
      <c r="I642" s="14" t="n"/>
      <c r="N642" s="14" t="n"/>
      <c r="P642" s="14">
        <f>IF(ISBLANK(I642),"",DATE(YEAR(I642)+1,MONTH(I642),DAY(I642)))</f>
        <v/>
      </c>
    </row>
    <row r="643">
      <c r="C643">
        <f>IFERROR(VLOOKUP(B643,Trigger_Assessment!$A$2:$B$1000,2,FALSE),"")</f>
        <v/>
      </c>
      <c r="D643">
        <f>IFERROR(VLOOKUP(B643,Trigger_Assessment!$A$2:$C$1000,3,FALSE),"")</f>
        <v/>
      </c>
      <c r="G643" s="14" t="n"/>
      <c r="H643" s="14" t="n"/>
      <c r="I643" s="14" t="n"/>
      <c r="N643" s="14" t="n"/>
      <c r="P643" s="14">
        <f>IF(ISBLANK(I643),"",DATE(YEAR(I643)+1,MONTH(I643),DAY(I643)))</f>
        <v/>
      </c>
    </row>
    <row r="644">
      <c r="C644">
        <f>IFERROR(VLOOKUP(B644,Trigger_Assessment!$A$2:$B$1000,2,FALSE),"")</f>
        <v/>
      </c>
      <c r="D644">
        <f>IFERROR(VLOOKUP(B644,Trigger_Assessment!$A$2:$C$1000,3,FALSE),"")</f>
        <v/>
      </c>
      <c r="G644" s="14" t="n"/>
      <c r="H644" s="14" t="n"/>
      <c r="I644" s="14" t="n"/>
      <c r="N644" s="14" t="n"/>
      <c r="P644" s="14">
        <f>IF(ISBLANK(I644),"",DATE(YEAR(I644)+1,MONTH(I644),DAY(I644)))</f>
        <v/>
      </c>
    </row>
    <row r="645">
      <c r="C645">
        <f>IFERROR(VLOOKUP(B645,Trigger_Assessment!$A$2:$B$1000,2,FALSE),"")</f>
        <v/>
      </c>
      <c r="D645">
        <f>IFERROR(VLOOKUP(B645,Trigger_Assessment!$A$2:$C$1000,3,FALSE),"")</f>
        <v/>
      </c>
      <c r="G645" s="14" t="n"/>
      <c r="H645" s="14" t="n"/>
      <c r="I645" s="14" t="n"/>
      <c r="N645" s="14" t="n"/>
      <c r="P645" s="14">
        <f>IF(ISBLANK(I645),"",DATE(YEAR(I645)+1,MONTH(I645),DAY(I645)))</f>
        <v/>
      </c>
    </row>
    <row r="646">
      <c r="C646">
        <f>IFERROR(VLOOKUP(B646,Trigger_Assessment!$A$2:$B$1000,2,FALSE),"")</f>
        <v/>
      </c>
      <c r="D646">
        <f>IFERROR(VLOOKUP(B646,Trigger_Assessment!$A$2:$C$1000,3,FALSE),"")</f>
        <v/>
      </c>
      <c r="G646" s="14" t="n"/>
      <c r="H646" s="14" t="n"/>
      <c r="I646" s="14" t="n"/>
      <c r="N646" s="14" t="n"/>
      <c r="P646" s="14">
        <f>IF(ISBLANK(I646),"",DATE(YEAR(I646)+1,MONTH(I646),DAY(I646)))</f>
        <v/>
      </c>
    </row>
    <row r="647">
      <c r="C647">
        <f>IFERROR(VLOOKUP(B647,Trigger_Assessment!$A$2:$B$1000,2,FALSE),"")</f>
        <v/>
      </c>
      <c r="D647">
        <f>IFERROR(VLOOKUP(B647,Trigger_Assessment!$A$2:$C$1000,3,FALSE),"")</f>
        <v/>
      </c>
      <c r="G647" s="14" t="n"/>
      <c r="H647" s="14" t="n"/>
      <c r="I647" s="14" t="n"/>
      <c r="N647" s="14" t="n"/>
      <c r="P647" s="14">
        <f>IF(ISBLANK(I647),"",DATE(YEAR(I647)+1,MONTH(I647),DAY(I647)))</f>
        <v/>
      </c>
    </row>
    <row r="648">
      <c r="C648">
        <f>IFERROR(VLOOKUP(B648,Trigger_Assessment!$A$2:$B$1000,2,FALSE),"")</f>
        <v/>
      </c>
      <c r="D648">
        <f>IFERROR(VLOOKUP(B648,Trigger_Assessment!$A$2:$C$1000,3,FALSE),"")</f>
        <v/>
      </c>
      <c r="G648" s="14" t="n"/>
      <c r="H648" s="14" t="n"/>
      <c r="I648" s="14" t="n"/>
      <c r="N648" s="14" t="n"/>
      <c r="P648" s="14">
        <f>IF(ISBLANK(I648),"",DATE(YEAR(I648)+1,MONTH(I648),DAY(I648)))</f>
        <v/>
      </c>
    </row>
    <row r="649">
      <c r="C649">
        <f>IFERROR(VLOOKUP(B649,Trigger_Assessment!$A$2:$B$1000,2,FALSE),"")</f>
        <v/>
      </c>
      <c r="D649">
        <f>IFERROR(VLOOKUP(B649,Trigger_Assessment!$A$2:$C$1000,3,FALSE),"")</f>
        <v/>
      </c>
      <c r="G649" s="14" t="n"/>
      <c r="H649" s="14" t="n"/>
      <c r="I649" s="14" t="n"/>
      <c r="N649" s="14" t="n"/>
      <c r="P649" s="14">
        <f>IF(ISBLANK(I649),"",DATE(YEAR(I649)+1,MONTH(I649),DAY(I649)))</f>
        <v/>
      </c>
    </row>
    <row r="650">
      <c r="C650">
        <f>IFERROR(VLOOKUP(B650,Trigger_Assessment!$A$2:$B$1000,2,FALSE),"")</f>
        <v/>
      </c>
      <c r="D650">
        <f>IFERROR(VLOOKUP(B650,Trigger_Assessment!$A$2:$C$1000,3,FALSE),"")</f>
        <v/>
      </c>
      <c r="G650" s="14" t="n"/>
      <c r="H650" s="14" t="n"/>
      <c r="I650" s="14" t="n"/>
      <c r="N650" s="14" t="n"/>
      <c r="P650" s="14">
        <f>IF(ISBLANK(I650),"",DATE(YEAR(I650)+1,MONTH(I650),DAY(I650)))</f>
        <v/>
      </c>
    </row>
    <row r="651">
      <c r="C651">
        <f>IFERROR(VLOOKUP(B651,Trigger_Assessment!$A$2:$B$1000,2,FALSE),"")</f>
        <v/>
      </c>
      <c r="D651">
        <f>IFERROR(VLOOKUP(B651,Trigger_Assessment!$A$2:$C$1000,3,FALSE),"")</f>
        <v/>
      </c>
      <c r="G651" s="14" t="n"/>
      <c r="H651" s="14" t="n"/>
      <c r="I651" s="14" t="n"/>
      <c r="N651" s="14" t="n"/>
      <c r="P651" s="14">
        <f>IF(ISBLANK(I651),"",DATE(YEAR(I651)+1,MONTH(I651),DAY(I651)))</f>
        <v/>
      </c>
    </row>
    <row r="652">
      <c r="C652">
        <f>IFERROR(VLOOKUP(B652,Trigger_Assessment!$A$2:$B$1000,2,FALSE),"")</f>
        <v/>
      </c>
      <c r="D652">
        <f>IFERROR(VLOOKUP(B652,Trigger_Assessment!$A$2:$C$1000,3,FALSE),"")</f>
        <v/>
      </c>
      <c r="G652" s="14" t="n"/>
      <c r="H652" s="14" t="n"/>
      <c r="I652" s="14" t="n"/>
      <c r="N652" s="14" t="n"/>
      <c r="P652" s="14">
        <f>IF(ISBLANK(I652),"",DATE(YEAR(I652)+1,MONTH(I652),DAY(I652)))</f>
        <v/>
      </c>
    </row>
    <row r="653">
      <c r="C653">
        <f>IFERROR(VLOOKUP(B653,Trigger_Assessment!$A$2:$B$1000,2,FALSE),"")</f>
        <v/>
      </c>
      <c r="D653">
        <f>IFERROR(VLOOKUP(B653,Trigger_Assessment!$A$2:$C$1000,3,FALSE),"")</f>
        <v/>
      </c>
      <c r="G653" s="14" t="n"/>
      <c r="H653" s="14" t="n"/>
      <c r="I653" s="14" t="n"/>
      <c r="N653" s="14" t="n"/>
      <c r="P653" s="14">
        <f>IF(ISBLANK(I653),"",DATE(YEAR(I653)+1,MONTH(I653),DAY(I653)))</f>
        <v/>
      </c>
    </row>
    <row r="654">
      <c r="C654">
        <f>IFERROR(VLOOKUP(B654,Trigger_Assessment!$A$2:$B$1000,2,FALSE),"")</f>
        <v/>
      </c>
      <c r="D654">
        <f>IFERROR(VLOOKUP(B654,Trigger_Assessment!$A$2:$C$1000,3,FALSE),"")</f>
        <v/>
      </c>
      <c r="G654" s="14" t="n"/>
      <c r="H654" s="14" t="n"/>
      <c r="I654" s="14" t="n"/>
      <c r="N654" s="14" t="n"/>
      <c r="P654" s="14">
        <f>IF(ISBLANK(I654),"",DATE(YEAR(I654)+1,MONTH(I654),DAY(I654)))</f>
        <v/>
      </c>
    </row>
    <row r="655">
      <c r="C655">
        <f>IFERROR(VLOOKUP(B655,Trigger_Assessment!$A$2:$B$1000,2,FALSE),"")</f>
        <v/>
      </c>
      <c r="D655">
        <f>IFERROR(VLOOKUP(B655,Trigger_Assessment!$A$2:$C$1000,3,FALSE),"")</f>
        <v/>
      </c>
      <c r="G655" s="14" t="n"/>
      <c r="H655" s="14" t="n"/>
      <c r="I655" s="14" t="n"/>
      <c r="N655" s="14" t="n"/>
      <c r="P655" s="14">
        <f>IF(ISBLANK(I655),"",DATE(YEAR(I655)+1,MONTH(I655),DAY(I655)))</f>
        <v/>
      </c>
    </row>
    <row r="656">
      <c r="C656">
        <f>IFERROR(VLOOKUP(B656,Trigger_Assessment!$A$2:$B$1000,2,FALSE),"")</f>
        <v/>
      </c>
      <c r="D656">
        <f>IFERROR(VLOOKUP(B656,Trigger_Assessment!$A$2:$C$1000,3,FALSE),"")</f>
        <v/>
      </c>
      <c r="G656" s="14" t="n"/>
      <c r="H656" s="14" t="n"/>
      <c r="I656" s="14" t="n"/>
      <c r="N656" s="14" t="n"/>
      <c r="P656" s="14">
        <f>IF(ISBLANK(I656),"",DATE(YEAR(I656)+1,MONTH(I656),DAY(I656)))</f>
        <v/>
      </c>
    </row>
    <row r="657">
      <c r="C657">
        <f>IFERROR(VLOOKUP(B657,Trigger_Assessment!$A$2:$B$1000,2,FALSE),"")</f>
        <v/>
      </c>
      <c r="D657">
        <f>IFERROR(VLOOKUP(B657,Trigger_Assessment!$A$2:$C$1000,3,FALSE),"")</f>
        <v/>
      </c>
      <c r="G657" s="14" t="n"/>
      <c r="H657" s="14" t="n"/>
      <c r="I657" s="14" t="n"/>
      <c r="N657" s="14" t="n"/>
      <c r="P657" s="14">
        <f>IF(ISBLANK(I657),"",DATE(YEAR(I657)+1,MONTH(I657),DAY(I657)))</f>
        <v/>
      </c>
    </row>
    <row r="658">
      <c r="C658">
        <f>IFERROR(VLOOKUP(B658,Trigger_Assessment!$A$2:$B$1000,2,FALSE),"")</f>
        <v/>
      </c>
      <c r="D658">
        <f>IFERROR(VLOOKUP(B658,Trigger_Assessment!$A$2:$C$1000,3,FALSE),"")</f>
        <v/>
      </c>
      <c r="G658" s="14" t="n"/>
      <c r="H658" s="14" t="n"/>
      <c r="I658" s="14" t="n"/>
      <c r="N658" s="14" t="n"/>
      <c r="P658" s="14">
        <f>IF(ISBLANK(I658),"",DATE(YEAR(I658)+1,MONTH(I658),DAY(I658)))</f>
        <v/>
      </c>
    </row>
    <row r="659">
      <c r="C659">
        <f>IFERROR(VLOOKUP(B659,Trigger_Assessment!$A$2:$B$1000,2,FALSE),"")</f>
        <v/>
      </c>
      <c r="D659">
        <f>IFERROR(VLOOKUP(B659,Trigger_Assessment!$A$2:$C$1000,3,FALSE),"")</f>
        <v/>
      </c>
      <c r="G659" s="14" t="n"/>
      <c r="H659" s="14" t="n"/>
      <c r="I659" s="14" t="n"/>
      <c r="N659" s="14" t="n"/>
      <c r="P659" s="14">
        <f>IF(ISBLANK(I659),"",DATE(YEAR(I659)+1,MONTH(I659),DAY(I659)))</f>
        <v/>
      </c>
    </row>
    <row r="660">
      <c r="C660">
        <f>IFERROR(VLOOKUP(B660,Trigger_Assessment!$A$2:$B$1000,2,FALSE),"")</f>
        <v/>
      </c>
      <c r="D660">
        <f>IFERROR(VLOOKUP(B660,Trigger_Assessment!$A$2:$C$1000,3,FALSE),"")</f>
        <v/>
      </c>
      <c r="G660" s="14" t="n"/>
      <c r="H660" s="14" t="n"/>
      <c r="I660" s="14" t="n"/>
      <c r="N660" s="14" t="n"/>
      <c r="P660" s="14">
        <f>IF(ISBLANK(I660),"",DATE(YEAR(I660)+1,MONTH(I660),DAY(I660)))</f>
        <v/>
      </c>
    </row>
    <row r="661">
      <c r="C661">
        <f>IFERROR(VLOOKUP(B661,Trigger_Assessment!$A$2:$B$1000,2,FALSE),"")</f>
        <v/>
      </c>
      <c r="D661">
        <f>IFERROR(VLOOKUP(B661,Trigger_Assessment!$A$2:$C$1000,3,FALSE),"")</f>
        <v/>
      </c>
      <c r="G661" s="14" t="n"/>
      <c r="H661" s="14" t="n"/>
      <c r="I661" s="14" t="n"/>
      <c r="N661" s="14" t="n"/>
      <c r="P661" s="14">
        <f>IF(ISBLANK(I661),"",DATE(YEAR(I661)+1,MONTH(I661),DAY(I661)))</f>
        <v/>
      </c>
    </row>
    <row r="662">
      <c r="C662">
        <f>IFERROR(VLOOKUP(B662,Trigger_Assessment!$A$2:$B$1000,2,FALSE),"")</f>
        <v/>
      </c>
      <c r="D662">
        <f>IFERROR(VLOOKUP(B662,Trigger_Assessment!$A$2:$C$1000,3,FALSE),"")</f>
        <v/>
      </c>
      <c r="G662" s="14" t="n"/>
      <c r="H662" s="14" t="n"/>
      <c r="I662" s="14" t="n"/>
      <c r="N662" s="14" t="n"/>
      <c r="P662" s="14">
        <f>IF(ISBLANK(I662),"",DATE(YEAR(I662)+1,MONTH(I662),DAY(I662)))</f>
        <v/>
      </c>
    </row>
    <row r="663">
      <c r="C663">
        <f>IFERROR(VLOOKUP(B663,Trigger_Assessment!$A$2:$B$1000,2,FALSE),"")</f>
        <v/>
      </c>
      <c r="D663">
        <f>IFERROR(VLOOKUP(B663,Trigger_Assessment!$A$2:$C$1000,3,FALSE),"")</f>
        <v/>
      </c>
      <c r="G663" s="14" t="n"/>
      <c r="H663" s="14" t="n"/>
      <c r="I663" s="14" t="n"/>
      <c r="N663" s="14" t="n"/>
      <c r="P663" s="14">
        <f>IF(ISBLANK(I663),"",DATE(YEAR(I663)+1,MONTH(I663),DAY(I663)))</f>
        <v/>
      </c>
    </row>
    <row r="664">
      <c r="C664">
        <f>IFERROR(VLOOKUP(B664,Trigger_Assessment!$A$2:$B$1000,2,FALSE),"")</f>
        <v/>
      </c>
      <c r="D664">
        <f>IFERROR(VLOOKUP(B664,Trigger_Assessment!$A$2:$C$1000,3,FALSE),"")</f>
        <v/>
      </c>
      <c r="G664" s="14" t="n"/>
      <c r="H664" s="14" t="n"/>
      <c r="I664" s="14" t="n"/>
      <c r="N664" s="14" t="n"/>
      <c r="P664" s="14">
        <f>IF(ISBLANK(I664),"",DATE(YEAR(I664)+1,MONTH(I664),DAY(I664)))</f>
        <v/>
      </c>
    </row>
    <row r="665">
      <c r="C665">
        <f>IFERROR(VLOOKUP(B665,Trigger_Assessment!$A$2:$B$1000,2,FALSE),"")</f>
        <v/>
      </c>
      <c r="D665">
        <f>IFERROR(VLOOKUP(B665,Trigger_Assessment!$A$2:$C$1000,3,FALSE),"")</f>
        <v/>
      </c>
      <c r="G665" s="14" t="n"/>
      <c r="H665" s="14" t="n"/>
      <c r="I665" s="14" t="n"/>
      <c r="N665" s="14" t="n"/>
      <c r="P665" s="14">
        <f>IF(ISBLANK(I665),"",DATE(YEAR(I665)+1,MONTH(I665),DAY(I665)))</f>
        <v/>
      </c>
    </row>
    <row r="666">
      <c r="C666">
        <f>IFERROR(VLOOKUP(B666,Trigger_Assessment!$A$2:$B$1000,2,FALSE),"")</f>
        <v/>
      </c>
      <c r="D666">
        <f>IFERROR(VLOOKUP(B666,Trigger_Assessment!$A$2:$C$1000,3,FALSE),"")</f>
        <v/>
      </c>
      <c r="G666" s="14" t="n"/>
      <c r="H666" s="14" t="n"/>
      <c r="I666" s="14" t="n"/>
      <c r="N666" s="14" t="n"/>
      <c r="P666" s="14">
        <f>IF(ISBLANK(I666),"",DATE(YEAR(I666)+1,MONTH(I666),DAY(I666)))</f>
        <v/>
      </c>
    </row>
    <row r="667">
      <c r="C667">
        <f>IFERROR(VLOOKUP(B667,Trigger_Assessment!$A$2:$B$1000,2,FALSE),"")</f>
        <v/>
      </c>
      <c r="D667">
        <f>IFERROR(VLOOKUP(B667,Trigger_Assessment!$A$2:$C$1000,3,FALSE),"")</f>
        <v/>
      </c>
      <c r="G667" s="14" t="n"/>
      <c r="H667" s="14" t="n"/>
      <c r="I667" s="14" t="n"/>
      <c r="N667" s="14" t="n"/>
      <c r="P667" s="14">
        <f>IF(ISBLANK(I667),"",DATE(YEAR(I667)+1,MONTH(I667),DAY(I667)))</f>
        <v/>
      </c>
    </row>
    <row r="668">
      <c r="C668">
        <f>IFERROR(VLOOKUP(B668,Trigger_Assessment!$A$2:$B$1000,2,FALSE),"")</f>
        <v/>
      </c>
      <c r="D668">
        <f>IFERROR(VLOOKUP(B668,Trigger_Assessment!$A$2:$C$1000,3,FALSE),"")</f>
        <v/>
      </c>
      <c r="G668" s="14" t="n"/>
      <c r="H668" s="14" t="n"/>
      <c r="I668" s="14" t="n"/>
      <c r="N668" s="14" t="n"/>
      <c r="P668" s="14">
        <f>IF(ISBLANK(I668),"",DATE(YEAR(I668)+1,MONTH(I668),DAY(I668)))</f>
        <v/>
      </c>
    </row>
    <row r="669">
      <c r="C669">
        <f>IFERROR(VLOOKUP(B669,Trigger_Assessment!$A$2:$B$1000,2,FALSE),"")</f>
        <v/>
      </c>
      <c r="D669">
        <f>IFERROR(VLOOKUP(B669,Trigger_Assessment!$A$2:$C$1000,3,FALSE),"")</f>
        <v/>
      </c>
      <c r="G669" s="14" t="n"/>
      <c r="H669" s="14" t="n"/>
      <c r="I669" s="14" t="n"/>
      <c r="N669" s="14" t="n"/>
      <c r="P669" s="14">
        <f>IF(ISBLANK(I669),"",DATE(YEAR(I669)+1,MONTH(I669),DAY(I669)))</f>
        <v/>
      </c>
    </row>
    <row r="670">
      <c r="C670">
        <f>IFERROR(VLOOKUP(B670,Trigger_Assessment!$A$2:$B$1000,2,FALSE),"")</f>
        <v/>
      </c>
      <c r="D670">
        <f>IFERROR(VLOOKUP(B670,Trigger_Assessment!$A$2:$C$1000,3,FALSE),"")</f>
        <v/>
      </c>
      <c r="G670" s="14" t="n"/>
      <c r="H670" s="14" t="n"/>
      <c r="I670" s="14" t="n"/>
      <c r="N670" s="14" t="n"/>
      <c r="P670" s="14">
        <f>IF(ISBLANK(I670),"",DATE(YEAR(I670)+1,MONTH(I670),DAY(I670)))</f>
        <v/>
      </c>
    </row>
    <row r="671">
      <c r="C671">
        <f>IFERROR(VLOOKUP(B671,Trigger_Assessment!$A$2:$B$1000,2,FALSE),"")</f>
        <v/>
      </c>
      <c r="D671">
        <f>IFERROR(VLOOKUP(B671,Trigger_Assessment!$A$2:$C$1000,3,FALSE),"")</f>
        <v/>
      </c>
      <c r="G671" s="14" t="n"/>
      <c r="H671" s="14" t="n"/>
      <c r="I671" s="14" t="n"/>
      <c r="N671" s="14" t="n"/>
      <c r="P671" s="14">
        <f>IF(ISBLANK(I671),"",DATE(YEAR(I671)+1,MONTH(I671),DAY(I671)))</f>
        <v/>
      </c>
    </row>
    <row r="672">
      <c r="C672">
        <f>IFERROR(VLOOKUP(B672,Trigger_Assessment!$A$2:$B$1000,2,FALSE),"")</f>
        <v/>
      </c>
      <c r="D672">
        <f>IFERROR(VLOOKUP(B672,Trigger_Assessment!$A$2:$C$1000,3,FALSE),"")</f>
        <v/>
      </c>
      <c r="G672" s="14" t="n"/>
      <c r="H672" s="14" t="n"/>
      <c r="I672" s="14" t="n"/>
      <c r="N672" s="14" t="n"/>
      <c r="P672" s="14">
        <f>IF(ISBLANK(I672),"",DATE(YEAR(I672)+1,MONTH(I672),DAY(I672)))</f>
        <v/>
      </c>
    </row>
    <row r="673">
      <c r="C673">
        <f>IFERROR(VLOOKUP(B673,Trigger_Assessment!$A$2:$B$1000,2,FALSE),"")</f>
        <v/>
      </c>
      <c r="D673">
        <f>IFERROR(VLOOKUP(B673,Trigger_Assessment!$A$2:$C$1000,3,FALSE),"")</f>
        <v/>
      </c>
      <c r="G673" s="14" t="n"/>
      <c r="H673" s="14" t="n"/>
      <c r="I673" s="14" t="n"/>
      <c r="N673" s="14" t="n"/>
      <c r="P673" s="14">
        <f>IF(ISBLANK(I673),"",DATE(YEAR(I673)+1,MONTH(I673),DAY(I673)))</f>
        <v/>
      </c>
    </row>
    <row r="674">
      <c r="C674">
        <f>IFERROR(VLOOKUP(B674,Trigger_Assessment!$A$2:$B$1000,2,FALSE),"")</f>
        <v/>
      </c>
      <c r="D674">
        <f>IFERROR(VLOOKUP(B674,Trigger_Assessment!$A$2:$C$1000,3,FALSE),"")</f>
        <v/>
      </c>
      <c r="G674" s="14" t="n"/>
      <c r="H674" s="14" t="n"/>
      <c r="I674" s="14" t="n"/>
      <c r="N674" s="14" t="n"/>
      <c r="P674" s="14">
        <f>IF(ISBLANK(I674),"",DATE(YEAR(I674)+1,MONTH(I674),DAY(I674)))</f>
        <v/>
      </c>
    </row>
    <row r="675">
      <c r="C675">
        <f>IFERROR(VLOOKUP(B675,Trigger_Assessment!$A$2:$B$1000,2,FALSE),"")</f>
        <v/>
      </c>
      <c r="D675">
        <f>IFERROR(VLOOKUP(B675,Trigger_Assessment!$A$2:$C$1000,3,FALSE),"")</f>
        <v/>
      </c>
      <c r="G675" s="14" t="n"/>
      <c r="H675" s="14" t="n"/>
      <c r="I675" s="14" t="n"/>
      <c r="N675" s="14" t="n"/>
      <c r="P675" s="14">
        <f>IF(ISBLANK(I675),"",DATE(YEAR(I675)+1,MONTH(I675),DAY(I675)))</f>
        <v/>
      </c>
    </row>
    <row r="676">
      <c r="C676">
        <f>IFERROR(VLOOKUP(B676,Trigger_Assessment!$A$2:$B$1000,2,FALSE),"")</f>
        <v/>
      </c>
      <c r="D676">
        <f>IFERROR(VLOOKUP(B676,Trigger_Assessment!$A$2:$C$1000,3,FALSE),"")</f>
        <v/>
      </c>
      <c r="G676" s="14" t="n"/>
      <c r="H676" s="14" t="n"/>
      <c r="I676" s="14" t="n"/>
      <c r="N676" s="14" t="n"/>
      <c r="P676" s="14">
        <f>IF(ISBLANK(I676),"",DATE(YEAR(I676)+1,MONTH(I676),DAY(I676)))</f>
        <v/>
      </c>
    </row>
    <row r="677">
      <c r="C677">
        <f>IFERROR(VLOOKUP(B677,Trigger_Assessment!$A$2:$B$1000,2,FALSE),"")</f>
        <v/>
      </c>
      <c r="D677">
        <f>IFERROR(VLOOKUP(B677,Trigger_Assessment!$A$2:$C$1000,3,FALSE),"")</f>
        <v/>
      </c>
      <c r="G677" s="14" t="n"/>
      <c r="H677" s="14" t="n"/>
      <c r="I677" s="14" t="n"/>
      <c r="N677" s="14" t="n"/>
      <c r="P677" s="14">
        <f>IF(ISBLANK(I677),"",DATE(YEAR(I677)+1,MONTH(I677),DAY(I677)))</f>
        <v/>
      </c>
    </row>
    <row r="678">
      <c r="C678">
        <f>IFERROR(VLOOKUP(B678,Trigger_Assessment!$A$2:$B$1000,2,FALSE),"")</f>
        <v/>
      </c>
      <c r="D678">
        <f>IFERROR(VLOOKUP(B678,Trigger_Assessment!$A$2:$C$1000,3,FALSE),"")</f>
        <v/>
      </c>
      <c r="G678" s="14" t="n"/>
      <c r="H678" s="14" t="n"/>
      <c r="I678" s="14" t="n"/>
      <c r="N678" s="14" t="n"/>
      <c r="P678" s="14">
        <f>IF(ISBLANK(I678),"",DATE(YEAR(I678)+1,MONTH(I678),DAY(I678)))</f>
        <v/>
      </c>
    </row>
    <row r="679">
      <c r="C679">
        <f>IFERROR(VLOOKUP(B679,Trigger_Assessment!$A$2:$B$1000,2,FALSE),"")</f>
        <v/>
      </c>
      <c r="D679">
        <f>IFERROR(VLOOKUP(B679,Trigger_Assessment!$A$2:$C$1000,3,FALSE),"")</f>
        <v/>
      </c>
      <c r="G679" s="14" t="n"/>
      <c r="H679" s="14" t="n"/>
      <c r="I679" s="14" t="n"/>
      <c r="N679" s="14" t="n"/>
      <c r="P679" s="14">
        <f>IF(ISBLANK(I679),"",DATE(YEAR(I679)+1,MONTH(I679),DAY(I679)))</f>
        <v/>
      </c>
    </row>
    <row r="680">
      <c r="C680">
        <f>IFERROR(VLOOKUP(B680,Trigger_Assessment!$A$2:$B$1000,2,FALSE),"")</f>
        <v/>
      </c>
      <c r="D680">
        <f>IFERROR(VLOOKUP(B680,Trigger_Assessment!$A$2:$C$1000,3,FALSE),"")</f>
        <v/>
      </c>
      <c r="G680" s="14" t="n"/>
      <c r="H680" s="14" t="n"/>
      <c r="I680" s="14" t="n"/>
      <c r="N680" s="14" t="n"/>
      <c r="P680" s="14">
        <f>IF(ISBLANK(I680),"",DATE(YEAR(I680)+1,MONTH(I680),DAY(I680)))</f>
        <v/>
      </c>
    </row>
    <row r="681">
      <c r="C681">
        <f>IFERROR(VLOOKUP(B681,Trigger_Assessment!$A$2:$B$1000,2,FALSE),"")</f>
        <v/>
      </c>
      <c r="D681">
        <f>IFERROR(VLOOKUP(B681,Trigger_Assessment!$A$2:$C$1000,3,FALSE),"")</f>
        <v/>
      </c>
      <c r="G681" s="14" t="n"/>
      <c r="H681" s="14" t="n"/>
      <c r="I681" s="14" t="n"/>
      <c r="N681" s="14" t="n"/>
      <c r="P681" s="14">
        <f>IF(ISBLANK(I681),"",DATE(YEAR(I681)+1,MONTH(I681),DAY(I681)))</f>
        <v/>
      </c>
    </row>
    <row r="682">
      <c r="C682">
        <f>IFERROR(VLOOKUP(B682,Trigger_Assessment!$A$2:$B$1000,2,FALSE),"")</f>
        <v/>
      </c>
      <c r="D682">
        <f>IFERROR(VLOOKUP(B682,Trigger_Assessment!$A$2:$C$1000,3,FALSE),"")</f>
        <v/>
      </c>
      <c r="G682" s="14" t="n"/>
      <c r="H682" s="14" t="n"/>
      <c r="I682" s="14" t="n"/>
      <c r="N682" s="14" t="n"/>
      <c r="P682" s="14">
        <f>IF(ISBLANK(I682),"",DATE(YEAR(I682)+1,MONTH(I682),DAY(I682)))</f>
        <v/>
      </c>
    </row>
    <row r="683">
      <c r="C683">
        <f>IFERROR(VLOOKUP(B683,Trigger_Assessment!$A$2:$B$1000,2,FALSE),"")</f>
        <v/>
      </c>
      <c r="D683">
        <f>IFERROR(VLOOKUP(B683,Trigger_Assessment!$A$2:$C$1000,3,FALSE),"")</f>
        <v/>
      </c>
      <c r="G683" s="14" t="n"/>
      <c r="H683" s="14" t="n"/>
      <c r="I683" s="14" t="n"/>
      <c r="N683" s="14" t="n"/>
      <c r="P683" s="14">
        <f>IF(ISBLANK(I683),"",DATE(YEAR(I683)+1,MONTH(I683),DAY(I683)))</f>
        <v/>
      </c>
    </row>
    <row r="684">
      <c r="C684">
        <f>IFERROR(VLOOKUP(B684,Trigger_Assessment!$A$2:$B$1000,2,FALSE),"")</f>
        <v/>
      </c>
      <c r="D684">
        <f>IFERROR(VLOOKUP(B684,Trigger_Assessment!$A$2:$C$1000,3,FALSE),"")</f>
        <v/>
      </c>
      <c r="G684" s="14" t="n"/>
      <c r="H684" s="14" t="n"/>
      <c r="I684" s="14" t="n"/>
      <c r="N684" s="14" t="n"/>
      <c r="P684" s="14">
        <f>IF(ISBLANK(I684),"",DATE(YEAR(I684)+1,MONTH(I684),DAY(I684)))</f>
        <v/>
      </c>
    </row>
    <row r="685">
      <c r="C685">
        <f>IFERROR(VLOOKUP(B685,Trigger_Assessment!$A$2:$B$1000,2,FALSE),"")</f>
        <v/>
      </c>
      <c r="D685">
        <f>IFERROR(VLOOKUP(B685,Trigger_Assessment!$A$2:$C$1000,3,FALSE),"")</f>
        <v/>
      </c>
      <c r="G685" s="14" t="n"/>
      <c r="H685" s="14" t="n"/>
      <c r="I685" s="14" t="n"/>
      <c r="N685" s="14" t="n"/>
      <c r="P685" s="14">
        <f>IF(ISBLANK(I685),"",DATE(YEAR(I685)+1,MONTH(I685),DAY(I685)))</f>
        <v/>
      </c>
    </row>
    <row r="686">
      <c r="C686">
        <f>IFERROR(VLOOKUP(B686,Trigger_Assessment!$A$2:$B$1000,2,FALSE),"")</f>
        <v/>
      </c>
      <c r="D686">
        <f>IFERROR(VLOOKUP(B686,Trigger_Assessment!$A$2:$C$1000,3,FALSE),"")</f>
        <v/>
      </c>
      <c r="G686" s="14" t="n"/>
      <c r="H686" s="14" t="n"/>
      <c r="I686" s="14" t="n"/>
      <c r="N686" s="14" t="n"/>
      <c r="P686" s="14">
        <f>IF(ISBLANK(I686),"",DATE(YEAR(I686)+1,MONTH(I686),DAY(I686)))</f>
        <v/>
      </c>
    </row>
    <row r="687">
      <c r="C687">
        <f>IFERROR(VLOOKUP(B687,Trigger_Assessment!$A$2:$B$1000,2,FALSE),"")</f>
        <v/>
      </c>
      <c r="D687">
        <f>IFERROR(VLOOKUP(B687,Trigger_Assessment!$A$2:$C$1000,3,FALSE),"")</f>
        <v/>
      </c>
      <c r="G687" s="14" t="n"/>
      <c r="H687" s="14" t="n"/>
      <c r="I687" s="14" t="n"/>
      <c r="N687" s="14" t="n"/>
      <c r="P687" s="14">
        <f>IF(ISBLANK(I687),"",DATE(YEAR(I687)+1,MONTH(I687),DAY(I687)))</f>
        <v/>
      </c>
    </row>
    <row r="688">
      <c r="C688">
        <f>IFERROR(VLOOKUP(B688,Trigger_Assessment!$A$2:$B$1000,2,FALSE),"")</f>
        <v/>
      </c>
      <c r="D688">
        <f>IFERROR(VLOOKUP(B688,Trigger_Assessment!$A$2:$C$1000,3,FALSE),"")</f>
        <v/>
      </c>
      <c r="G688" s="14" t="n"/>
      <c r="H688" s="14" t="n"/>
      <c r="I688" s="14" t="n"/>
      <c r="N688" s="14" t="n"/>
      <c r="P688" s="14">
        <f>IF(ISBLANK(I688),"",DATE(YEAR(I688)+1,MONTH(I688),DAY(I688)))</f>
        <v/>
      </c>
    </row>
    <row r="689">
      <c r="C689">
        <f>IFERROR(VLOOKUP(B689,Trigger_Assessment!$A$2:$B$1000,2,FALSE),"")</f>
        <v/>
      </c>
      <c r="D689">
        <f>IFERROR(VLOOKUP(B689,Trigger_Assessment!$A$2:$C$1000,3,FALSE),"")</f>
        <v/>
      </c>
      <c r="G689" s="14" t="n"/>
      <c r="H689" s="14" t="n"/>
      <c r="I689" s="14" t="n"/>
      <c r="N689" s="14" t="n"/>
      <c r="P689" s="14">
        <f>IF(ISBLANK(I689),"",DATE(YEAR(I689)+1,MONTH(I689),DAY(I689)))</f>
        <v/>
      </c>
    </row>
    <row r="690">
      <c r="C690">
        <f>IFERROR(VLOOKUP(B690,Trigger_Assessment!$A$2:$B$1000,2,FALSE),"")</f>
        <v/>
      </c>
      <c r="D690">
        <f>IFERROR(VLOOKUP(B690,Trigger_Assessment!$A$2:$C$1000,3,FALSE),"")</f>
        <v/>
      </c>
      <c r="G690" s="14" t="n"/>
      <c r="H690" s="14" t="n"/>
      <c r="I690" s="14" t="n"/>
      <c r="N690" s="14" t="n"/>
      <c r="P690" s="14">
        <f>IF(ISBLANK(I690),"",DATE(YEAR(I690)+1,MONTH(I690),DAY(I690)))</f>
        <v/>
      </c>
    </row>
    <row r="691">
      <c r="C691">
        <f>IFERROR(VLOOKUP(B691,Trigger_Assessment!$A$2:$B$1000,2,FALSE),"")</f>
        <v/>
      </c>
      <c r="D691">
        <f>IFERROR(VLOOKUP(B691,Trigger_Assessment!$A$2:$C$1000,3,FALSE),"")</f>
        <v/>
      </c>
      <c r="G691" s="14" t="n"/>
      <c r="H691" s="14" t="n"/>
      <c r="I691" s="14" t="n"/>
      <c r="N691" s="14" t="n"/>
      <c r="P691" s="14">
        <f>IF(ISBLANK(I691),"",DATE(YEAR(I691)+1,MONTH(I691),DAY(I691)))</f>
        <v/>
      </c>
    </row>
    <row r="692">
      <c r="C692">
        <f>IFERROR(VLOOKUP(B692,Trigger_Assessment!$A$2:$B$1000,2,FALSE),"")</f>
        <v/>
      </c>
      <c r="D692">
        <f>IFERROR(VLOOKUP(B692,Trigger_Assessment!$A$2:$C$1000,3,FALSE),"")</f>
        <v/>
      </c>
      <c r="G692" s="14" t="n"/>
      <c r="H692" s="14" t="n"/>
      <c r="I692" s="14" t="n"/>
      <c r="N692" s="14" t="n"/>
      <c r="P692" s="14">
        <f>IF(ISBLANK(I692),"",DATE(YEAR(I692)+1,MONTH(I692),DAY(I692)))</f>
        <v/>
      </c>
    </row>
    <row r="693">
      <c r="C693">
        <f>IFERROR(VLOOKUP(B693,Trigger_Assessment!$A$2:$B$1000,2,FALSE),"")</f>
        <v/>
      </c>
      <c r="D693">
        <f>IFERROR(VLOOKUP(B693,Trigger_Assessment!$A$2:$C$1000,3,FALSE),"")</f>
        <v/>
      </c>
      <c r="G693" s="14" t="n"/>
      <c r="H693" s="14" t="n"/>
      <c r="I693" s="14" t="n"/>
      <c r="N693" s="14" t="n"/>
      <c r="P693" s="14">
        <f>IF(ISBLANK(I693),"",DATE(YEAR(I693)+1,MONTH(I693),DAY(I693)))</f>
        <v/>
      </c>
    </row>
    <row r="694">
      <c r="C694">
        <f>IFERROR(VLOOKUP(B694,Trigger_Assessment!$A$2:$B$1000,2,FALSE),"")</f>
        <v/>
      </c>
      <c r="D694">
        <f>IFERROR(VLOOKUP(B694,Trigger_Assessment!$A$2:$C$1000,3,FALSE),"")</f>
        <v/>
      </c>
      <c r="G694" s="14" t="n"/>
      <c r="H694" s="14" t="n"/>
      <c r="I694" s="14" t="n"/>
      <c r="N694" s="14" t="n"/>
      <c r="P694" s="14">
        <f>IF(ISBLANK(I694),"",DATE(YEAR(I694)+1,MONTH(I694),DAY(I694)))</f>
        <v/>
      </c>
    </row>
    <row r="695">
      <c r="C695">
        <f>IFERROR(VLOOKUP(B695,Trigger_Assessment!$A$2:$B$1000,2,FALSE),"")</f>
        <v/>
      </c>
      <c r="D695">
        <f>IFERROR(VLOOKUP(B695,Trigger_Assessment!$A$2:$C$1000,3,FALSE),"")</f>
        <v/>
      </c>
      <c r="G695" s="14" t="n"/>
      <c r="H695" s="14" t="n"/>
      <c r="I695" s="14" t="n"/>
      <c r="N695" s="14" t="n"/>
      <c r="P695" s="14">
        <f>IF(ISBLANK(I695),"",DATE(YEAR(I695)+1,MONTH(I695),DAY(I695)))</f>
        <v/>
      </c>
    </row>
    <row r="696">
      <c r="C696">
        <f>IFERROR(VLOOKUP(B696,Trigger_Assessment!$A$2:$B$1000,2,FALSE),"")</f>
        <v/>
      </c>
      <c r="D696">
        <f>IFERROR(VLOOKUP(B696,Trigger_Assessment!$A$2:$C$1000,3,FALSE),"")</f>
        <v/>
      </c>
      <c r="G696" s="14" t="n"/>
      <c r="H696" s="14" t="n"/>
      <c r="I696" s="14" t="n"/>
      <c r="N696" s="14" t="n"/>
      <c r="P696" s="14">
        <f>IF(ISBLANK(I696),"",DATE(YEAR(I696)+1,MONTH(I696),DAY(I696)))</f>
        <v/>
      </c>
    </row>
    <row r="697">
      <c r="C697">
        <f>IFERROR(VLOOKUP(B697,Trigger_Assessment!$A$2:$B$1000,2,FALSE),"")</f>
        <v/>
      </c>
      <c r="D697">
        <f>IFERROR(VLOOKUP(B697,Trigger_Assessment!$A$2:$C$1000,3,FALSE),"")</f>
        <v/>
      </c>
      <c r="G697" s="14" t="n"/>
      <c r="H697" s="14" t="n"/>
      <c r="I697" s="14" t="n"/>
      <c r="N697" s="14" t="n"/>
      <c r="P697" s="14">
        <f>IF(ISBLANK(I697),"",DATE(YEAR(I697)+1,MONTH(I697),DAY(I697)))</f>
        <v/>
      </c>
    </row>
    <row r="698">
      <c r="C698">
        <f>IFERROR(VLOOKUP(B698,Trigger_Assessment!$A$2:$B$1000,2,FALSE),"")</f>
        <v/>
      </c>
      <c r="D698">
        <f>IFERROR(VLOOKUP(B698,Trigger_Assessment!$A$2:$C$1000,3,FALSE),"")</f>
        <v/>
      </c>
      <c r="G698" s="14" t="n"/>
      <c r="H698" s="14" t="n"/>
      <c r="I698" s="14" t="n"/>
      <c r="N698" s="14" t="n"/>
      <c r="P698" s="14">
        <f>IF(ISBLANK(I698),"",DATE(YEAR(I698)+1,MONTH(I698),DAY(I698)))</f>
        <v/>
      </c>
    </row>
    <row r="699">
      <c r="C699">
        <f>IFERROR(VLOOKUP(B699,Trigger_Assessment!$A$2:$B$1000,2,FALSE),"")</f>
        <v/>
      </c>
      <c r="D699">
        <f>IFERROR(VLOOKUP(B699,Trigger_Assessment!$A$2:$C$1000,3,FALSE),"")</f>
        <v/>
      </c>
      <c r="G699" s="14" t="n"/>
      <c r="H699" s="14" t="n"/>
      <c r="I699" s="14" t="n"/>
      <c r="N699" s="14" t="n"/>
      <c r="P699" s="14">
        <f>IF(ISBLANK(I699),"",DATE(YEAR(I699)+1,MONTH(I699),DAY(I699)))</f>
        <v/>
      </c>
    </row>
    <row r="700">
      <c r="C700">
        <f>IFERROR(VLOOKUP(B700,Trigger_Assessment!$A$2:$B$1000,2,FALSE),"")</f>
        <v/>
      </c>
      <c r="D700">
        <f>IFERROR(VLOOKUP(B700,Trigger_Assessment!$A$2:$C$1000,3,FALSE),"")</f>
        <v/>
      </c>
      <c r="G700" s="14" t="n"/>
      <c r="H700" s="14" t="n"/>
      <c r="I700" s="14" t="n"/>
      <c r="N700" s="14" t="n"/>
      <c r="P700" s="14">
        <f>IF(ISBLANK(I700),"",DATE(YEAR(I700)+1,MONTH(I700),DAY(I700)))</f>
        <v/>
      </c>
    </row>
    <row r="701">
      <c r="C701">
        <f>IFERROR(VLOOKUP(B701,Trigger_Assessment!$A$2:$B$1000,2,FALSE),"")</f>
        <v/>
      </c>
      <c r="D701">
        <f>IFERROR(VLOOKUP(B701,Trigger_Assessment!$A$2:$C$1000,3,FALSE),"")</f>
        <v/>
      </c>
      <c r="G701" s="14" t="n"/>
      <c r="H701" s="14" t="n"/>
      <c r="I701" s="14" t="n"/>
      <c r="N701" s="14" t="n"/>
      <c r="P701" s="14">
        <f>IF(ISBLANK(I701),"",DATE(YEAR(I701)+1,MONTH(I701),DAY(I701)))</f>
        <v/>
      </c>
    </row>
    <row r="702">
      <c r="C702">
        <f>IFERROR(VLOOKUP(B702,Trigger_Assessment!$A$2:$B$1000,2,FALSE),"")</f>
        <v/>
      </c>
      <c r="D702">
        <f>IFERROR(VLOOKUP(B702,Trigger_Assessment!$A$2:$C$1000,3,FALSE),"")</f>
        <v/>
      </c>
      <c r="G702" s="14" t="n"/>
      <c r="H702" s="14" t="n"/>
      <c r="I702" s="14" t="n"/>
      <c r="N702" s="14" t="n"/>
      <c r="P702" s="14">
        <f>IF(ISBLANK(I702),"",DATE(YEAR(I702)+1,MONTH(I702),DAY(I702)))</f>
        <v/>
      </c>
    </row>
    <row r="703">
      <c r="C703">
        <f>IFERROR(VLOOKUP(B703,Trigger_Assessment!$A$2:$B$1000,2,FALSE),"")</f>
        <v/>
      </c>
      <c r="D703">
        <f>IFERROR(VLOOKUP(B703,Trigger_Assessment!$A$2:$C$1000,3,FALSE),"")</f>
        <v/>
      </c>
      <c r="G703" s="14" t="n"/>
      <c r="H703" s="14" t="n"/>
      <c r="I703" s="14" t="n"/>
      <c r="N703" s="14" t="n"/>
      <c r="P703" s="14">
        <f>IF(ISBLANK(I703),"",DATE(YEAR(I703)+1,MONTH(I703),DAY(I703)))</f>
        <v/>
      </c>
    </row>
    <row r="704">
      <c r="C704">
        <f>IFERROR(VLOOKUP(B704,Trigger_Assessment!$A$2:$B$1000,2,FALSE),"")</f>
        <v/>
      </c>
      <c r="D704">
        <f>IFERROR(VLOOKUP(B704,Trigger_Assessment!$A$2:$C$1000,3,FALSE),"")</f>
        <v/>
      </c>
      <c r="G704" s="14" t="n"/>
      <c r="H704" s="14" t="n"/>
      <c r="I704" s="14" t="n"/>
      <c r="N704" s="14" t="n"/>
      <c r="P704" s="14">
        <f>IF(ISBLANK(I704),"",DATE(YEAR(I704)+1,MONTH(I704),DAY(I704)))</f>
        <v/>
      </c>
    </row>
    <row r="705">
      <c r="C705">
        <f>IFERROR(VLOOKUP(B705,Trigger_Assessment!$A$2:$B$1000,2,FALSE),"")</f>
        <v/>
      </c>
      <c r="D705">
        <f>IFERROR(VLOOKUP(B705,Trigger_Assessment!$A$2:$C$1000,3,FALSE),"")</f>
        <v/>
      </c>
      <c r="G705" s="14" t="n"/>
      <c r="H705" s="14" t="n"/>
      <c r="I705" s="14" t="n"/>
      <c r="N705" s="14" t="n"/>
      <c r="P705" s="14">
        <f>IF(ISBLANK(I705),"",DATE(YEAR(I705)+1,MONTH(I705),DAY(I705)))</f>
        <v/>
      </c>
    </row>
    <row r="706">
      <c r="C706">
        <f>IFERROR(VLOOKUP(B706,Trigger_Assessment!$A$2:$B$1000,2,FALSE),"")</f>
        <v/>
      </c>
      <c r="D706">
        <f>IFERROR(VLOOKUP(B706,Trigger_Assessment!$A$2:$C$1000,3,FALSE),"")</f>
        <v/>
      </c>
      <c r="G706" s="14" t="n"/>
      <c r="H706" s="14" t="n"/>
      <c r="I706" s="14" t="n"/>
      <c r="N706" s="14" t="n"/>
      <c r="P706" s="14">
        <f>IF(ISBLANK(I706),"",DATE(YEAR(I706)+1,MONTH(I706),DAY(I706)))</f>
        <v/>
      </c>
    </row>
    <row r="707">
      <c r="C707">
        <f>IFERROR(VLOOKUP(B707,Trigger_Assessment!$A$2:$B$1000,2,FALSE),"")</f>
        <v/>
      </c>
      <c r="D707">
        <f>IFERROR(VLOOKUP(B707,Trigger_Assessment!$A$2:$C$1000,3,FALSE),"")</f>
        <v/>
      </c>
      <c r="G707" s="14" t="n"/>
      <c r="H707" s="14" t="n"/>
      <c r="I707" s="14" t="n"/>
      <c r="N707" s="14" t="n"/>
      <c r="P707" s="14">
        <f>IF(ISBLANK(I707),"",DATE(YEAR(I707)+1,MONTH(I707),DAY(I707)))</f>
        <v/>
      </c>
    </row>
    <row r="708">
      <c r="C708">
        <f>IFERROR(VLOOKUP(B708,Trigger_Assessment!$A$2:$B$1000,2,FALSE),"")</f>
        <v/>
      </c>
      <c r="D708">
        <f>IFERROR(VLOOKUP(B708,Trigger_Assessment!$A$2:$C$1000,3,FALSE),"")</f>
        <v/>
      </c>
      <c r="G708" s="14" t="n"/>
      <c r="H708" s="14" t="n"/>
      <c r="I708" s="14" t="n"/>
      <c r="N708" s="14" t="n"/>
      <c r="P708" s="14">
        <f>IF(ISBLANK(I708),"",DATE(YEAR(I708)+1,MONTH(I708),DAY(I708)))</f>
        <v/>
      </c>
    </row>
    <row r="709">
      <c r="C709">
        <f>IFERROR(VLOOKUP(B709,Trigger_Assessment!$A$2:$B$1000,2,FALSE),"")</f>
        <v/>
      </c>
      <c r="D709">
        <f>IFERROR(VLOOKUP(B709,Trigger_Assessment!$A$2:$C$1000,3,FALSE),"")</f>
        <v/>
      </c>
      <c r="G709" s="14" t="n"/>
      <c r="H709" s="14" t="n"/>
      <c r="I709" s="14" t="n"/>
      <c r="N709" s="14" t="n"/>
      <c r="P709" s="14">
        <f>IF(ISBLANK(I709),"",DATE(YEAR(I709)+1,MONTH(I709),DAY(I709)))</f>
        <v/>
      </c>
    </row>
    <row r="710">
      <c r="C710">
        <f>IFERROR(VLOOKUP(B710,Trigger_Assessment!$A$2:$B$1000,2,FALSE),"")</f>
        <v/>
      </c>
      <c r="D710">
        <f>IFERROR(VLOOKUP(B710,Trigger_Assessment!$A$2:$C$1000,3,FALSE),"")</f>
        <v/>
      </c>
      <c r="G710" s="14" t="n"/>
      <c r="H710" s="14" t="n"/>
      <c r="I710" s="14" t="n"/>
      <c r="N710" s="14" t="n"/>
      <c r="P710" s="14">
        <f>IF(ISBLANK(I710),"",DATE(YEAR(I710)+1,MONTH(I710),DAY(I710)))</f>
        <v/>
      </c>
    </row>
    <row r="711">
      <c r="C711">
        <f>IFERROR(VLOOKUP(B711,Trigger_Assessment!$A$2:$B$1000,2,FALSE),"")</f>
        <v/>
      </c>
      <c r="D711">
        <f>IFERROR(VLOOKUP(B711,Trigger_Assessment!$A$2:$C$1000,3,FALSE),"")</f>
        <v/>
      </c>
      <c r="G711" s="14" t="n"/>
      <c r="H711" s="14" t="n"/>
      <c r="I711" s="14" t="n"/>
      <c r="N711" s="14" t="n"/>
      <c r="P711" s="14">
        <f>IF(ISBLANK(I711),"",DATE(YEAR(I711)+1,MONTH(I711),DAY(I711)))</f>
        <v/>
      </c>
    </row>
    <row r="712">
      <c r="C712">
        <f>IFERROR(VLOOKUP(B712,Trigger_Assessment!$A$2:$B$1000,2,FALSE),"")</f>
        <v/>
      </c>
      <c r="D712">
        <f>IFERROR(VLOOKUP(B712,Trigger_Assessment!$A$2:$C$1000,3,FALSE),"")</f>
        <v/>
      </c>
      <c r="G712" s="14" t="n"/>
      <c r="H712" s="14" t="n"/>
      <c r="I712" s="14" t="n"/>
      <c r="N712" s="14" t="n"/>
      <c r="P712" s="14">
        <f>IF(ISBLANK(I712),"",DATE(YEAR(I712)+1,MONTH(I712),DAY(I712)))</f>
        <v/>
      </c>
    </row>
    <row r="713">
      <c r="C713">
        <f>IFERROR(VLOOKUP(B713,Trigger_Assessment!$A$2:$B$1000,2,FALSE),"")</f>
        <v/>
      </c>
      <c r="D713">
        <f>IFERROR(VLOOKUP(B713,Trigger_Assessment!$A$2:$C$1000,3,FALSE),"")</f>
        <v/>
      </c>
      <c r="G713" s="14" t="n"/>
      <c r="H713" s="14" t="n"/>
      <c r="I713" s="14" t="n"/>
      <c r="N713" s="14" t="n"/>
      <c r="P713" s="14">
        <f>IF(ISBLANK(I713),"",DATE(YEAR(I713)+1,MONTH(I713),DAY(I713)))</f>
        <v/>
      </c>
    </row>
    <row r="714">
      <c r="C714">
        <f>IFERROR(VLOOKUP(B714,Trigger_Assessment!$A$2:$B$1000,2,FALSE),"")</f>
        <v/>
      </c>
      <c r="D714">
        <f>IFERROR(VLOOKUP(B714,Trigger_Assessment!$A$2:$C$1000,3,FALSE),"")</f>
        <v/>
      </c>
      <c r="G714" s="14" t="n"/>
      <c r="H714" s="14" t="n"/>
      <c r="I714" s="14" t="n"/>
      <c r="N714" s="14" t="n"/>
      <c r="P714" s="14">
        <f>IF(ISBLANK(I714),"",DATE(YEAR(I714)+1,MONTH(I714),DAY(I714)))</f>
        <v/>
      </c>
    </row>
    <row r="715">
      <c r="C715">
        <f>IFERROR(VLOOKUP(B715,Trigger_Assessment!$A$2:$B$1000,2,FALSE),"")</f>
        <v/>
      </c>
      <c r="D715">
        <f>IFERROR(VLOOKUP(B715,Trigger_Assessment!$A$2:$C$1000,3,FALSE),"")</f>
        <v/>
      </c>
      <c r="G715" s="14" t="n"/>
      <c r="H715" s="14" t="n"/>
      <c r="I715" s="14" t="n"/>
      <c r="N715" s="14" t="n"/>
      <c r="P715" s="14">
        <f>IF(ISBLANK(I715),"",DATE(YEAR(I715)+1,MONTH(I715),DAY(I715)))</f>
        <v/>
      </c>
    </row>
    <row r="716">
      <c r="C716">
        <f>IFERROR(VLOOKUP(B716,Trigger_Assessment!$A$2:$B$1000,2,FALSE),"")</f>
        <v/>
      </c>
      <c r="D716">
        <f>IFERROR(VLOOKUP(B716,Trigger_Assessment!$A$2:$C$1000,3,FALSE),"")</f>
        <v/>
      </c>
      <c r="G716" s="14" t="n"/>
      <c r="H716" s="14" t="n"/>
      <c r="I716" s="14" t="n"/>
      <c r="N716" s="14" t="n"/>
      <c r="P716" s="14">
        <f>IF(ISBLANK(I716),"",DATE(YEAR(I716)+1,MONTH(I716),DAY(I716)))</f>
        <v/>
      </c>
    </row>
    <row r="717">
      <c r="C717">
        <f>IFERROR(VLOOKUP(B717,Trigger_Assessment!$A$2:$B$1000,2,FALSE),"")</f>
        <v/>
      </c>
      <c r="D717">
        <f>IFERROR(VLOOKUP(B717,Trigger_Assessment!$A$2:$C$1000,3,FALSE),"")</f>
        <v/>
      </c>
      <c r="G717" s="14" t="n"/>
      <c r="H717" s="14" t="n"/>
      <c r="I717" s="14" t="n"/>
      <c r="N717" s="14" t="n"/>
      <c r="P717" s="14">
        <f>IF(ISBLANK(I717),"",DATE(YEAR(I717)+1,MONTH(I717),DAY(I717)))</f>
        <v/>
      </c>
    </row>
    <row r="718">
      <c r="C718">
        <f>IFERROR(VLOOKUP(B718,Trigger_Assessment!$A$2:$B$1000,2,FALSE),"")</f>
        <v/>
      </c>
      <c r="D718">
        <f>IFERROR(VLOOKUP(B718,Trigger_Assessment!$A$2:$C$1000,3,FALSE),"")</f>
        <v/>
      </c>
      <c r="G718" s="14" t="n"/>
      <c r="H718" s="14" t="n"/>
      <c r="I718" s="14" t="n"/>
      <c r="N718" s="14" t="n"/>
      <c r="P718" s="14">
        <f>IF(ISBLANK(I718),"",DATE(YEAR(I718)+1,MONTH(I718),DAY(I718)))</f>
        <v/>
      </c>
    </row>
    <row r="719">
      <c r="C719">
        <f>IFERROR(VLOOKUP(B719,Trigger_Assessment!$A$2:$B$1000,2,FALSE),"")</f>
        <v/>
      </c>
      <c r="D719">
        <f>IFERROR(VLOOKUP(B719,Trigger_Assessment!$A$2:$C$1000,3,FALSE),"")</f>
        <v/>
      </c>
      <c r="G719" s="14" t="n"/>
      <c r="H719" s="14" t="n"/>
      <c r="I719" s="14" t="n"/>
      <c r="N719" s="14" t="n"/>
      <c r="P719" s="14">
        <f>IF(ISBLANK(I719),"",DATE(YEAR(I719)+1,MONTH(I719),DAY(I719)))</f>
        <v/>
      </c>
    </row>
    <row r="720">
      <c r="C720">
        <f>IFERROR(VLOOKUP(B720,Trigger_Assessment!$A$2:$B$1000,2,FALSE),"")</f>
        <v/>
      </c>
      <c r="D720">
        <f>IFERROR(VLOOKUP(B720,Trigger_Assessment!$A$2:$C$1000,3,FALSE),"")</f>
        <v/>
      </c>
      <c r="G720" s="14" t="n"/>
      <c r="H720" s="14" t="n"/>
      <c r="I720" s="14" t="n"/>
      <c r="N720" s="14" t="n"/>
      <c r="P720" s="14">
        <f>IF(ISBLANK(I720),"",DATE(YEAR(I720)+1,MONTH(I720),DAY(I720)))</f>
        <v/>
      </c>
    </row>
    <row r="721">
      <c r="C721">
        <f>IFERROR(VLOOKUP(B721,Trigger_Assessment!$A$2:$B$1000,2,FALSE),"")</f>
        <v/>
      </c>
      <c r="D721">
        <f>IFERROR(VLOOKUP(B721,Trigger_Assessment!$A$2:$C$1000,3,FALSE),"")</f>
        <v/>
      </c>
      <c r="G721" s="14" t="n"/>
      <c r="H721" s="14" t="n"/>
      <c r="I721" s="14" t="n"/>
      <c r="N721" s="14" t="n"/>
      <c r="P721" s="14">
        <f>IF(ISBLANK(I721),"",DATE(YEAR(I721)+1,MONTH(I721),DAY(I721)))</f>
        <v/>
      </c>
    </row>
    <row r="722">
      <c r="C722">
        <f>IFERROR(VLOOKUP(B722,Trigger_Assessment!$A$2:$B$1000,2,FALSE),"")</f>
        <v/>
      </c>
      <c r="D722">
        <f>IFERROR(VLOOKUP(B722,Trigger_Assessment!$A$2:$C$1000,3,FALSE),"")</f>
        <v/>
      </c>
      <c r="G722" s="14" t="n"/>
      <c r="H722" s="14" t="n"/>
      <c r="I722" s="14" t="n"/>
      <c r="N722" s="14" t="n"/>
      <c r="P722" s="14">
        <f>IF(ISBLANK(I722),"",DATE(YEAR(I722)+1,MONTH(I722),DAY(I722)))</f>
        <v/>
      </c>
    </row>
    <row r="723">
      <c r="C723">
        <f>IFERROR(VLOOKUP(B723,Trigger_Assessment!$A$2:$B$1000,2,FALSE),"")</f>
        <v/>
      </c>
      <c r="D723">
        <f>IFERROR(VLOOKUP(B723,Trigger_Assessment!$A$2:$C$1000,3,FALSE),"")</f>
        <v/>
      </c>
      <c r="G723" s="14" t="n"/>
      <c r="H723" s="14" t="n"/>
      <c r="I723" s="14" t="n"/>
      <c r="N723" s="14" t="n"/>
      <c r="P723" s="14">
        <f>IF(ISBLANK(I723),"",DATE(YEAR(I723)+1,MONTH(I723),DAY(I723)))</f>
        <v/>
      </c>
    </row>
    <row r="724">
      <c r="C724">
        <f>IFERROR(VLOOKUP(B724,Trigger_Assessment!$A$2:$B$1000,2,FALSE),"")</f>
        <v/>
      </c>
      <c r="D724">
        <f>IFERROR(VLOOKUP(B724,Trigger_Assessment!$A$2:$C$1000,3,FALSE),"")</f>
        <v/>
      </c>
      <c r="G724" s="14" t="n"/>
      <c r="H724" s="14" t="n"/>
      <c r="I724" s="14" t="n"/>
      <c r="N724" s="14" t="n"/>
      <c r="P724" s="14">
        <f>IF(ISBLANK(I724),"",DATE(YEAR(I724)+1,MONTH(I724),DAY(I724)))</f>
        <v/>
      </c>
    </row>
    <row r="725">
      <c r="C725">
        <f>IFERROR(VLOOKUP(B725,Trigger_Assessment!$A$2:$B$1000,2,FALSE),"")</f>
        <v/>
      </c>
      <c r="D725">
        <f>IFERROR(VLOOKUP(B725,Trigger_Assessment!$A$2:$C$1000,3,FALSE),"")</f>
        <v/>
      </c>
      <c r="G725" s="14" t="n"/>
      <c r="H725" s="14" t="n"/>
      <c r="I725" s="14" t="n"/>
      <c r="N725" s="14" t="n"/>
      <c r="P725" s="14">
        <f>IF(ISBLANK(I725),"",DATE(YEAR(I725)+1,MONTH(I725),DAY(I725)))</f>
        <v/>
      </c>
    </row>
    <row r="726">
      <c r="C726">
        <f>IFERROR(VLOOKUP(B726,Trigger_Assessment!$A$2:$B$1000,2,FALSE),"")</f>
        <v/>
      </c>
      <c r="D726">
        <f>IFERROR(VLOOKUP(B726,Trigger_Assessment!$A$2:$C$1000,3,FALSE),"")</f>
        <v/>
      </c>
      <c r="G726" s="14" t="n"/>
      <c r="H726" s="14" t="n"/>
      <c r="I726" s="14" t="n"/>
      <c r="N726" s="14" t="n"/>
      <c r="P726" s="14">
        <f>IF(ISBLANK(I726),"",DATE(YEAR(I726)+1,MONTH(I726),DAY(I726)))</f>
        <v/>
      </c>
    </row>
    <row r="727">
      <c r="C727">
        <f>IFERROR(VLOOKUP(B727,Trigger_Assessment!$A$2:$B$1000,2,FALSE),"")</f>
        <v/>
      </c>
      <c r="D727">
        <f>IFERROR(VLOOKUP(B727,Trigger_Assessment!$A$2:$C$1000,3,FALSE),"")</f>
        <v/>
      </c>
      <c r="G727" s="14" t="n"/>
      <c r="H727" s="14" t="n"/>
      <c r="I727" s="14" t="n"/>
      <c r="N727" s="14" t="n"/>
      <c r="P727" s="14">
        <f>IF(ISBLANK(I727),"",DATE(YEAR(I727)+1,MONTH(I727),DAY(I727)))</f>
        <v/>
      </c>
    </row>
    <row r="728">
      <c r="C728">
        <f>IFERROR(VLOOKUP(B728,Trigger_Assessment!$A$2:$B$1000,2,FALSE),"")</f>
        <v/>
      </c>
      <c r="D728">
        <f>IFERROR(VLOOKUP(B728,Trigger_Assessment!$A$2:$C$1000,3,FALSE),"")</f>
        <v/>
      </c>
      <c r="G728" s="14" t="n"/>
      <c r="H728" s="14" t="n"/>
      <c r="I728" s="14" t="n"/>
      <c r="N728" s="14" t="n"/>
      <c r="P728" s="14">
        <f>IF(ISBLANK(I728),"",DATE(YEAR(I728)+1,MONTH(I728),DAY(I728)))</f>
        <v/>
      </c>
    </row>
    <row r="729">
      <c r="C729">
        <f>IFERROR(VLOOKUP(B729,Trigger_Assessment!$A$2:$B$1000,2,FALSE),"")</f>
        <v/>
      </c>
      <c r="D729">
        <f>IFERROR(VLOOKUP(B729,Trigger_Assessment!$A$2:$C$1000,3,FALSE),"")</f>
        <v/>
      </c>
      <c r="G729" s="14" t="n"/>
      <c r="H729" s="14" t="n"/>
      <c r="I729" s="14" t="n"/>
      <c r="N729" s="14" t="n"/>
      <c r="P729" s="14">
        <f>IF(ISBLANK(I729),"",DATE(YEAR(I729)+1,MONTH(I729),DAY(I729)))</f>
        <v/>
      </c>
    </row>
    <row r="730">
      <c r="C730">
        <f>IFERROR(VLOOKUP(B730,Trigger_Assessment!$A$2:$B$1000,2,FALSE),"")</f>
        <v/>
      </c>
      <c r="D730">
        <f>IFERROR(VLOOKUP(B730,Trigger_Assessment!$A$2:$C$1000,3,FALSE),"")</f>
        <v/>
      </c>
      <c r="G730" s="14" t="n"/>
      <c r="H730" s="14" t="n"/>
      <c r="I730" s="14" t="n"/>
      <c r="N730" s="14" t="n"/>
      <c r="P730" s="14">
        <f>IF(ISBLANK(I730),"",DATE(YEAR(I730)+1,MONTH(I730),DAY(I730)))</f>
        <v/>
      </c>
    </row>
    <row r="731">
      <c r="C731">
        <f>IFERROR(VLOOKUP(B731,Trigger_Assessment!$A$2:$B$1000,2,FALSE),"")</f>
        <v/>
      </c>
      <c r="D731">
        <f>IFERROR(VLOOKUP(B731,Trigger_Assessment!$A$2:$C$1000,3,FALSE),"")</f>
        <v/>
      </c>
      <c r="G731" s="14" t="n"/>
      <c r="H731" s="14" t="n"/>
      <c r="I731" s="14" t="n"/>
      <c r="N731" s="14" t="n"/>
      <c r="P731" s="14">
        <f>IF(ISBLANK(I731),"",DATE(YEAR(I731)+1,MONTH(I731),DAY(I731)))</f>
        <v/>
      </c>
    </row>
    <row r="732">
      <c r="C732">
        <f>IFERROR(VLOOKUP(B732,Trigger_Assessment!$A$2:$B$1000,2,FALSE),"")</f>
        <v/>
      </c>
      <c r="D732">
        <f>IFERROR(VLOOKUP(B732,Trigger_Assessment!$A$2:$C$1000,3,FALSE),"")</f>
        <v/>
      </c>
      <c r="G732" s="14" t="n"/>
      <c r="H732" s="14" t="n"/>
      <c r="I732" s="14" t="n"/>
      <c r="N732" s="14" t="n"/>
      <c r="P732" s="14">
        <f>IF(ISBLANK(I732),"",DATE(YEAR(I732)+1,MONTH(I732),DAY(I732)))</f>
        <v/>
      </c>
    </row>
    <row r="733">
      <c r="C733">
        <f>IFERROR(VLOOKUP(B733,Trigger_Assessment!$A$2:$B$1000,2,FALSE),"")</f>
        <v/>
      </c>
      <c r="D733">
        <f>IFERROR(VLOOKUP(B733,Trigger_Assessment!$A$2:$C$1000,3,FALSE),"")</f>
        <v/>
      </c>
      <c r="G733" s="14" t="n"/>
      <c r="H733" s="14" t="n"/>
      <c r="I733" s="14" t="n"/>
      <c r="N733" s="14" t="n"/>
      <c r="P733" s="14">
        <f>IF(ISBLANK(I733),"",DATE(YEAR(I733)+1,MONTH(I733),DAY(I733)))</f>
        <v/>
      </c>
    </row>
    <row r="734">
      <c r="C734">
        <f>IFERROR(VLOOKUP(B734,Trigger_Assessment!$A$2:$B$1000,2,FALSE),"")</f>
        <v/>
      </c>
      <c r="D734">
        <f>IFERROR(VLOOKUP(B734,Trigger_Assessment!$A$2:$C$1000,3,FALSE),"")</f>
        <v/>
      </c>
      <c r="G734" s="14" t="n"/>
      <c r="H734" s="14" t="n"/>
      <c r="I734" s="14" t="n"/>
      <c r="N734" s="14" t="n"/>
      <c r="P734" s="14">
        <f>IF(ISBLANK(I734),"",DATE(YEAR(I734)+1,MONTH(I734),DAY(I734)))</f>
        <v/>
      </c>
    </row>
    <row r="735">
      <c r="C735">
        <f>IFERROR(VLOOKUP(B735,Trigger_Assessment!$A$2:$B$1000,2,FALSE),"")</f>
        <v/>
      </c>
      <c r="D735">
        <f>IFERROR(VLOOKUP(B735,Trigger_Assessment!$A$2:$C$1000,3,FALSE),"")</f>
        <v/>
      </c>
      <c r="G735" s="14" t="n"/>
      <c r="H735" s="14" t="n"/>
      <c r="I735" s="14" t="n"/>
      <c r="N735" s="14" t="n"/>
      <c r="P735" s="14">
        <f>IF(ISBLANK(I735),"",DATE(YEAR(I735)+1,MONTH(I735),DAY(I735)))</f>
        <v/>
      </c>
    </row>
    <row r="736">
      <c r="C736">
        <f>IFERROR(VLOOKUP(B736,Trigger_Assessment!$A$2:$B$1000,2,FALSE),"")</f>
        <v/>
      </c>
      <c r="D736">
        <f>IFERROR(VLOOKUP(B736,Trigger_Assessment!$A$2:$C$1000,3,FALSE),"")</f>
        <v/>
      </c>
      <c r="G736" s="14" t="n"/>
      <c r="H736" s="14" t="n"/>
      <c r="I736" s="14" t="n"/>
      <c r="N736" s="14" t="n"/>
      <c r="P736" s="14">
        <f>IF(ISBLANK(I736),"",DATE(YEAR(I736)+1,MONTH(I736),DAY(I736)))</f>
        <v/>
      </c>
    </row>
    <row r="737">
      <c r="C737">
        <f>IFERROR(VLOOKUP(B737,Trigger_Assessment!$A$2:$B$1000,2,FALSE),"")</f>
        <v/>
      </c>
      <c r="D737">
        <f>IFERROR(VLOOKUP(B737,Trigger_Assessment!$A$2:$C$1000,3,FALSE),"")</f>
        <v/>
      </c>
      <c r="G737" s="14" t="n"/>
      <c r="H737" s="14" t="n"/>
      <c r="I737" s="14" t="n"/>
      <c r="N737" s="14" t="n"/>
      <c r="P737" s="14">
        <f>IF(ISBLANK(I737),"",DATE(YEAR(I737)+1,MONTH(I737),DAY(I737)))</f>
        <v/>
      </c>
    </row>
    <row r="738">
      <c r="C738">
        <f>IFERROR(VLOOKUP(B738,Trigger_Assessment!$A$2:$B$1000,2,FALSE),"")</f>
        <v/>
      </c>
      <c r="D738">
        <f>IFERROR(VLOOKUP(B738,Trigger_Assessment!$A$2:$C$1000,3,FALSE),"")</f>
        <v/>
      </c>
      <c r="G738" s="14" t="n"/>
      <c r="H738" s="14" t="n"/>
      <c r="I738" s="14" t="n"/>
      <c r="N738" s="14" t="n"/>
      <c r="P738" s="14">
        <f>IF(ISBLANK(I738),"",DATE(YEAR(I738)+1,MONTH(I738),DAY(I738)))</f>
        <v/>
      </c>
    </row>
    <row r="739">
      <c r="C739">
        <f>IFERROR(VLOOKUP(B739,Trigger_Assessment!$A$2:$B$1000,2,FALSE),"")</f>
        <v/>
      </c>
      <c r="D739">
        <f>IFERROR(VLOOKUP(B739,Trigger_Assessment!$A$2:$C$1000,3,FALSE),"")</f>
        <v/>
      </c>
      <c r="G739" s="14" t="n"/>
      <c r="H739" s="14" t="n"/>
      <c r="I739" s="14" t="n"/>
      <c r="N739" s="14" t="n"/>
      <c r="P739" s="14">
        <f>IF(ISBLANK(I739),"",DATE(YEAR(I739)+1,MONTH(I739),DAY(I739)))</f>
        <v/>
      </c>
    </row>
    <row r="740">
      <c r="C740">
        <f>IFERROR(VLOOKUP(B740,Trigger_Assessment!$A$2:$B$1000,2,FALSE),"")</f>
        <v/>
      </c>
      <c r="D740">
        <f>IFERROR(VLOOKUP(B740,Trigger_Assessment!$A$2:$C$1000,3,FALSE),"")</f>
        <v/>
      </c>
      <c r="G740" s="14" t="n"/>
      <c r="H740" s="14" t="n"/>
      <c r="I740" s="14" t="n"/>
      <c r="N740" s="14" t="n"/>
      <c r="P740" s="14">
        <f>IF(ISBLANK(I740),"",DATE(YEAR(I740)+1,MONTH(I740),DAY(I740)))</f>
        <v/>
      </c>
    </row>
    <row r="741">
      <c r="C741">
        <f>IFERROR(VLOOKUP(B741,Trigger_Assessment!$A$2:$B$1000,2,FALSE),"")</f>
        <v/>
      </c>
      <c r="D741">
        <f>IFERROR(VLOOKUP(B741,Trigger_Assessment!$A$2:$C$1000,3,FALSE),"")</f>
        <v/>
      </c>
      <c r="G741" s="14" t="n"/>
      <c r="H741" s="14" t="n"/>
      <c r="I741" s="14" t="n"/>
      <c r="N741" s="14" t="n"/>
      <c r="P741" s="14">
        <f>IF(ISBLANK(I741),"",DATE(YEAR(I741)+1,MONTH(I741),DAY(I741)))</f>
        <v/>
      </c>
    </row>
    <row r="742">
      <c r="C742">
        <f>IFERROR(VLOOKUP(B742,Trigger_Assessment!$A$2:$B$1000,2,FALSE),"")</f>
        <v/>
      </c>
      <c r="D742">
        <f>IFERROR(VLOOKUP(B742,Trigger_Assessment!$A$2:$C$1000,3,FALSE),"")</f>
        <v/>
      </c>
      <c r="G742" s="14" t="n"/>
      <c r="H742" s="14" t="n"/>
      <c r="I742" s="14" t="n"/>
      <c r="N742" s="14" t="n"/>
      <c r="P742" s="14">
        <f>IF(ISBLANK(I742),"",DATE(YEAR(I742)+1,MONTH(I742),DAY(I742)))</f>
        <v/>
      </c>
    </row>
    <row r="743">
      <c r="C743">
        <f>IFERROR(VLOOKUP(B743,Trigger_Assessment!$A$2:$B$1000,2,FALSE),"")</f>
        <v/>
      </c>
      <c r="D743">
        <f>IFERROR(VLOOKUP(B743,Trigger_Assessment!$A$2:$C$1000,3,FALSE),"")</f>
        <v/>
      </c>
      <c r="G743" s="14" t="n"/>
      <c r="H743" s="14" t="n"/>
      <c r="I743" s="14" t="n"/>
      <c r="N743" s="14" t="n"/>
      <c r="P743" s="14">
        <f>IF(ISBLANK(I743),"",DATE(YEAR(I743)+1,MONTH(I743),DAY(I743)))</f>
        <v/>
      </c>
    </row>
    <row r="744">
      <c r="C744">
        <f>IFERROR(VLOOKUP(B744,Trigger_Assessment!$A$2:$B$1000,2,FALSE),"")</f>
        <v/>
      </c>
      <c r="D744">
        <f>IFERROR(VLOOKUP(B744,Trigger_Assessment!$A$2:$C$1000,3,FALSE),"")</f>
        <v/>
      </c>
      <c r="G744" s="14" t="n"/>
      <c r="H744" s="14" t="n"/>
      <c r="I744" s="14" t="n"/>
      <c r="N744" s="14" t="n"/>
      <c r="P744" s="14">
        <f>IF(ISBLANK(I744),"",DATE(YEAR(I744)+1,MONTH(I744),DAY(I744)))</f>
        <v/>
      </c>
    </row>
    <row r="745">
      <c r="C745">
        <f>IFERROR(VLOOKUP(B745,Trigger_Assessment!$A$2:$B$1000,2,FALSE),"")</f>
        <v/>
      </c>
      <c r="D745">
        <f>IFERROR(VLOOKUP(B745,Trigger_Assessment!$A$2:$C$1000,3,FALSE),"")</f>
        <v/>
      </c>
      <c r="G745" s="14" t="n"/>
      <c r="H745" s="14" t="n"/>
      <c r="I745" s="14" t="n"/>
      <c r="N745" s="14" t="n"/>
      <c r="P745" s="14">
        <f>IF(ISBLANK(I745),"",DATE(YEAR(I745)+1,MONTH(I745),DAY(I745)))</f>
        <v/>
      </c>
    </row>
    <row r="746">
      <c r="C746">
        <f>IFERROR(VLOOKUP(B746,Trigger_Assessment!$A$2:$B$1000,2,FALSE),"")</f>
        <v/>
      </c>
      <c r="D746">
        <f>IFERROR(VLOOKUP(B746,Trigger_Assessment!$A$2:$C$1000,3,FALSE),"")</f>
        <v/>
      </c>
      <c r="G746" s="14" t="n"/>
      <c r="H746" s="14" t="n"/>
      <c r="I746" s="14" t="n"/>
      <c r="N746" s="14" t="n"/>
      <c r="P746" s="14">
        <f>IF(ISBLANK(I746),"",DATE(YEAR(I746)+1,MONTH(I746),DAY(I746)))</f>
        <v/>
      </c>
    </row>
    <row r="747">
      <c r="C747">
        <f>IFERROR(VLOOKUP(B747,Trigger_Assessment!$A$2:$B$1000,2,FALSE),"")</f>
        <v/>
      </c>
      <c r="D747">
        <f>IFERROR(VLOOKUP(B747,Trigger_Assessment!$A$2:$C$1000,3,FALSE),"")</f>
        <v/>
      </c>
      <c r="G747" s="14" t="n"/>
      <c r="H747" s="14" t="n"/>
      <c r="I747" s="14" t="n"/>
      <c r="N747" s="14" t="n"/>
      <c r="P747" s="14">
        <f>IF(ISBLANK(I747),"",DATE(YEAR(I747)+1,MONTH(I747),DAY(I747)))</f>
        <v/>
      </c>
    </row>
    <row r="748">
      <c r="C748">
        <f>IFERROR(VLOOKUP(B748,Trigger_Assessment!$A$2:$B$1000,2,FALSE),"")</f>
        <v/>
      </c>
      <c r="D748">
        <f>IFERROR(VLOOKUP(B748,Trigger_Assessment!$A$2:$C$1000,3,FALSE),"")</f>
        <v/>
      </c>
      <c r="G748" s="14" t="n"/>
      <c r="H748" s="14" t="n"/>
      <c r="I748" s="14" t="n"/>
      <c r="N748" s="14" t="n"/>
      <c r="P748" s="14">
        <f>IF(ISBLANK(I748),"",DATE(YEAR(I748)+1,MONTH(I748),DAY(I748)))</f>
        <v/>
      </c>
    </row>
    <row r="749">
      <c r="C749">
        <f>IFERROR(VLOOKUP(B749,Trigger_Assessment!$A$2:$B$1000,2,FALSE),"")</f>
        <v/>
      </c>
      <c r="D749">
        <f>IFERROR(VLOOKUP(B749,Trigger_Assessment!$A$2:$C$1000,3,FALSE),"")</f>
        <v/>
      </c>
      <c r="G749" s="14" t="n"/>
      <c r="H749" s="14" t="n"/>
      <c r="I749" s="14" t="n"/>
      <c r="N749" s="14" t="n"/>
      <c r="P749" s="14">
        <f>IF(ISBLANK(I749),"",DATE(YEAR(I749)+1,MONTH(I749),DAY(I749)))</f>
        <v/>
      </c>
    </row>
    <row r="750">
      <c r="C750">
        <f>IFERROR(VLOOKUP(B750,Trigger_Assessment!$A$2:$B$1000,2,FALSE),"")</f>
        <v/>
      </c>
      <c r="D750">
        <f>IFERROR(VLOOKUP(B750,Trigger_Assessment!$A$2:$C$1000,3,FALSE),"")</f>
        <v/>
      </c>
      <c r="G750" s="14" t="n"/>
      <c r="H750" s="14" t="n"/>
      <c r="I750" s="14" t="n"/>
      <c r="N750" s="14" t="n"/>
      <c r="P750" s="14">
        <f>IF(ISBLANK(I750),"",DATE(YEAR(I750)+1,MONTH(I750),DAY(I750)))</f>
        <v/>
      </c>
    </row>
    <row r="751">
      <c r="C751">
        <f>IFERROR(VLOOKUP(B751,Trigger_Assessment!$A$2:$B$1000,2,FALSE),"")</f>
        <v/>
      </c>
      <c r="D751">
        <f>IFERROR(VLOOKUP(B751,Trigger_Assessment!$A$2:$C$1000,3,FALSE),"")</f>
        <v/>
      </c>
      <c r="G751" s="14" t="n"/>
      <c r="H751" s="14" t="n"/>
      <c r="I751" s="14" t="n"/>
      <c r="N751" s="14" t="n"/>
      <c r="P751" s="14">
        <f>IF(ISBLANK(I751),"",DATE(YEAR(I751)+1,MONTH(I751),DAY(I751)))</f>
        <v/>
      </c>
    </row>
    <row r="752">
      <c r="C752">
        <f>IFERROR(VLOOKUP(B752,Trigger_Assessment!$A$2:$B$1000,2,FALSE),"")</f>
        <v/>
      </c>
      <c r="D752">
        <f>IFERROR(VLOOKUP(B752,Trigger_Assessment!$A$2:$C$1000,3,FALSE),"")</f>
        <v/>
      </c>
      <c r="G752" s="14" t="n"/>
      <c r="H752" s="14" t="n"/>
      <c r="I752" s="14" t="n"/>
      <c r="N752" s="14" t="n"/>
      <c r="P752" s="14">
        <f>IF(ISBLANK(I752),"",DATE(YEAR(I752)+1,MONTH(I752),DAY(I752)))</f>
        <v/>
      </c>
    </row>
    <row r="753">
      <c r="C753">
        <f>IFERROR(VLOOKUP(B753,Trigger_Assessment!$A$2:$B$1000,2,FALSE),"")</f>
        <v/>
      </c>
      <c r="D753">
        <f>IFERROR(VLOOKUP(B753,Trigger_Assessment!$A$2:$C$1000,3,FALSE),"")</f>
        <v/>
      </c>
      <c r="G753" s="14" t="n"/>
      <c r="H753" s="14" t="n"/>
      <c r="I753" s="14" t="n"/>
      <c r="N753" s="14" t="n"/>
      <c r="P753" s="14">
        <f>IF(ISBLANK(I753),"",DATE(YEAR(I753)+1,MONTH(I753),DAY(I753)))</f>
        <v/>
      </c>
    </row>
    <row r="754">
      <c r="C754">
        <f>IFERROR(VLOOKUP(B754,Trigger_Assessment!$A$2:$B$1000,2,FALSE),"")</f>
        <v/>
      </c>
      <c r="D754">
        <f>IFERROR(VLOOKUP(B754,Trigger_Assessment!$A$2:$C$1000,3,FALSE),"")</f>
        <v/>
      </c>
      <c r="G754" s="14" t="n"/>
      <c r="H754" s="14" t="n"/>
      <c r="I754" s="14" t="n"/>
      <c r="N754" s="14" t="n"/>
      <c r="P754" s="14">
        <f>IF(ISBLANK(I754),"",DATE(YEAR(I754)+1,MONTH(I754),DAY(I754)))</f>
        <v/>
      </c>
    </row>
    <row r="755">
      <c r="C755">
        <f>IFERROR(VLOOKUP(B755,Trigger_Assessment!$A$2:$B$1000,2,FALSE),"")</f>
        <v/>
      </c>
      <c r="D755">
        <f>IFERROR(VLOOKUP(B755,Trigger_Assessment!$A$2:$C$1000,3,FALSE),"")</f>
        <v/>
      </c>
      <c r="G755" s="14" t="n"/>
      <c r="H755" s="14" t="n"/>
      <c r="I755" s="14" t="n"/>
      <c r="N755" s="14" t="n"/>
      <c r="P755" s="14">
        <f>IF(ISBLANK(I755),"",DATE(YEAR(I755)+1,MONTH(I755),DAY(I755)))</f>
        <v/>
      </c>
    </row>
    <row r="756">
      <c r="C756">
        <f>IFERROR(VLOOKUP(B756,Trigger_Assessment!$A$2:$B$1000,2,FALSE),"")</f>
        <v/>
      </c>
      <c r="D756">
        <f>IFERROR(VLOOKUP(B756,Trigger_Assessment!$A$2:$C$1000,3,FALSE),"")</f>
        <v/>
      </c>
      <c r="G756" s="14" t="n"/>
      <c r="H756" s="14" t="n"/>
      <c r="I756" s="14" t="n"/>
      <c r="N756" s="14" t="n"/>
      <c r="P756" s="14">
        <f>IF(ISBLANK(I756),"",DATE(YEAR(I756)+1,MONTH(I756),DAY(I756)))</f>
        <v/>
      </c>
    </row>
    <row r="757">
      <c r="C757">
        <f>IFERROR(VLOOKUP(B757,Trigger_Assessment!$A$2:$B$1000,2,FALSE),"")</f>
        <v/>
      </c>
      <c r="D757">
        <f>IFERROR(VLOOKUP(B757,Trigger_Assessment!$A$2:$C$1000,3,FALSE),"")</f>
        <v/>
      </c>
      <c r="G757" s="14" t="n"/>
      <c r="H757" s="14" t="n"/>
      <c r="I757" s="14" t="n"/>
      <c r="N757" s="14" t="n"/>
      <c r="P757" s="14">
        <f>IF(ISBLANK(I757),"",DATE(YEAR(I757)+1,MONTH(I757),DAY(I757)))</f>
        <v/>
      </c>
    </row>
    <row r="758">
      <c r="C758">
        <f>IFERROR(VLOOKUP(B758,Trigger_Assessment!$A$2:$B$1000,2,FALSE),"")</f>
        <v/>
      </c>
      <c r="D758">
        <f>IFERROR(VLOOKUP(B758,Trigger_Assessment!$A$2:$C$1000,3,FALSE),"")</f>
        <v/>
      </c>
      <c r="G758" s="14" t="n"/>
      <c r="H758" s="14" t="n"/>
      <c r="I758" s="14" t="n"/>
      <c r="N758" s="14" t="n"/>
      <c r="P758" s="14">
        <f>IF(ISBLANK(I758),"",DATE(YEAR(I758)+1,MONTH(I758),DAY(I758)))</f>
        <v/>
      </c>
    </row>
    <row r="759">
      <c r="C759">
        <f>IFERROR(VLOOKUP(B759,Trigger_Assessment!$A$2:$B$1000,2,FALSE),"")</f>
        <v/>
      </c>
      <c r="D759">
        <f>IFERROR(VLOOKUP(B759,Trigger_Assessment!$A$2:$C$1000,3,FALSE),"")</f>
        <v/>
      </c>
      <c r="G759" s="14" t="n"/>
      <c r="H759" s="14" t="n"/>
      <c r="I759" s="14" t="n"/>
      <c r="N759" s="14" t="n"/>
      <c r="P759" s="14">
        <f>IF(ISBLANK(I759),"",DATE(YEAR(I759)+1,MONTH(I759),DAY(I759)))</f>
        <v/>
      </c>
    </row>
    <row r="760">
      <c r="C760">
        <f>IFERROR(VLOOKUP(B760,Trigger_Assessment!$A$2:$B$1000,2,FALSE),"")</f>
        <v/>
      </c>
      <c r="D760">
        <f>IFERROR(VLOOKUP(B760,Trigger_Assessment!$A$2:$C$1000,3,FALSE),"")</f>
        <v/>
      </c>
      <c r="G760" s="14" t="n"/>
      <c r="H760" s="14" t="n"/>
      <c r="I760" s="14" t="n"/>
      <c r="N760" s="14" t="n"/>
      <c r="P760" s="14">
        <f>IF(ISBLANK(I760),"",DATE(YEAR(I760)+1,MONTH(I760),DAY(I760)))</f>
        <v/>
      </c>
    </row>
    <row r="761">
      <c r="C761">
        <f>IFERROR(VLOOKUP(B761,Trigger_Assessment!$A$2:$B$1000,2,FALSE),"")</f>
        <v/>
      </c>
      <c r="D761">
        <f>IFERROR(VLOOKUP(B761,Trigger_Assessment!$A$2:$C$1000,3,FALSE),"")</f>
        <v/>
      </c>
      <c r="G761" s="14" t="n"/>
      <c r="H761" s="14" t="n"/>
      <c r="I761" s="14" t="n"/>
      <c r="N761" s="14" t="n"/>
      <c r="P761" s="14">
        <f>IF(ISBLANK(I761),"",DATE(YEAR(I761)+1,MONTH(I761),DAY(I761)))</f>
        <v/>
      </c>
    </row>
    <row r="762">
      <c r="C762">
        <f>IFERROR(VLOOKUP(B762,Trigger_Assessment!$A$2:$B$1000,2,FALSE),"")</f>
        <v/>
      </c>
      <c r="D762">
        <f>IFERROR(VLOOKUP(B762,Trigger_Assessment!$A$2:$C$1000,3,FALSE),"")</f>
        <v/>
      </c>
      <c r="G762" s="14" t="n"/>
      <c r="H762" s="14" t="n"/>
      <c r="I762" s="14" t="n"/>
      <c r="N762" s="14" t="n"/>
      <c r="P762" s="14">
        <f>IF(ISBLANK(I762),"",DATE(YEAR(I762)+1,MONTH(I762),DAY(I762)))</f>
        <v/>
      </c>
    </row>
    <row r="763">
      <c r="C763">
        <f>IFERROR(VLOOKUP(B763,Trigger_Assessment!$A$2:$B$1000,2,FALSE),"")</f>
        <v/>
      </c>
      <c r="D763">
        <f>IFERROR(VLOOKUP(B763,Trigger_Assessment!$A$2:$C$1000,3,FALSE),"")</f>
        <v/>
      </c>
      <c r="G763" s="14" t="n"/>
      <c r="H763" s="14" t="n"/>
      <c r="I763" s="14" t="n"/>
      <c r="N763" s="14" t="n"/>
      <c r="P763" s="14">
        <f>IF(ISBLANK(I763),"",DATE(YEAR(I763)+1,MONTH(I763),DAY(I763)))</f>
        <v/>
      </c>
    </row>
    <row r="764">
      <c r="C764">
        <f>IFERROR(VLOOKUP(B764,Trigger_Assessment!$A$2:$B$1000,2,FALSE),"")</f>
        <v/>
      </c>
      <c r="D764">
        <f>IFERROR(VLOOKUP(B764,Trigger_Assessment!$A$2:$C$1000,3,FALSE),"")</f>
        <v/>
      </c>
      <c r="G764" s="14" t="n"/>
      <c r="H764" s="14" t="n"/>
      <c r="I764" s="14" t="n"/>
      <c r="N764" s="14" t="n"/>
      <c r="P764" s="14">
        <f>IF(ISBLANK(I764),"",DATE(YEAR(I764)+1,MONTH(I764),DAY(I764)))</f>
        <v/>
      </c>
    </row>
    <row r="765">
      <c r="C765">
        <f>IFERROR(VLOOKUP(B765,Trigger_Assessment!$A$2:$B$1000,2,FALSE),"")</f>
        <v/>
      </c>
      <c r="D765">
        <f>IFERROR(VLOOKUP(B765,Trigger_Assessment!$A$2:$C$1000,3,FALSE),"")</f>
        <v/>
      </c>
      <c r="G765" s="14" t="n"/>
      <c r="H765" s="14" t="n"/>
      <c r="I765" s="14" t="n"/>
      <c r="N765" s="14" t="n"/>
      <c r="P765" s="14">
        <f>IF(ISBLANK(I765),"",DATE(YEAR(I765)+1,MONTH(I765),DAY(I765)))</f>
        <v/>
      </c>
    </row>
    <row r="766">
      <c r="C766">
        <f>IFERROR(VLOOKUP(B766,Trigger_Assessment!$A$2:$B$1000,2,FALSE),"")</f>
        <v/>
      </c>
      <c r="D766">
        <f>IFERROR(VLOOKUP(B766,Trigger_Assessment!$A$2:$C$1000,3,FALSE),"")</f>
        <v/>
      </c>
      <c r="G766" s="14" t="n"/>
      <c r="H766" s="14" t="n"/>
      <c r="I766" s="14" t="n"/>
      <c r="N766" s="14" t="n"/>
      <c r="P766" s="14">
        <f>IF(ISBLANK(I766),"",DATE(YEAR(I766)+1,MONTH(I766),DAY(I766)))</f>
        <v/>
      </c>
    </row>
    <row r="767">
      <c r="C767">
        <f>IFERROR(VLOOKUP(B767,Trigger_Assessment!$A$2:$B$1000,2,FALSE),"")</f>
        <v/>
      </c>
      <c r="D767">
        <f>IFERROR(VLOOKUP(B767,Trigger_Assessment!$A$2:$C$1000,3,FALSE),"")</f>
        <v/>
      </c>
      <c r="G767" s="14" t="n"/>
      <c r="H767" s="14" t="n"/>
      <c r="I767" s="14" t="n"/>
      <c r="N767" s="14" t="n"/>
      <c r="P767" s="14">
        <f>IF(ISBLANK(I767),"",DATE(YEAR(I767)+1,MONTH(I767),DAY(I767)))</f>
        <v/>
      </c>
    </row>
    <row r="768">
      <c r="C768">
        <f>IFERROR(VLOOKUP(B768,Trigger_Assessment!$A$2:$B$1000,2,FALSE),"")</f>
        <v/>
      </c>
      <c r="D768">
        <f>IFERROR(VLOOKUP(B768,Trigger_Assessment!$A$2:$C$1000,3,FALSE),"")</f>
        <v/>
      </c>
      <c r="G768" s="14" t="n"/>
      <c r="H768" s="14" t="n"/>
      <c r="I768" s="14" t="n"/>
      <c r="N768" s="14" t="n"/>
      <c r="P768" s="14">
        <f>IF(ISBLANK(I768),"",DATE(YEAR(I768)+1,MONTH(I768),DAY(I768)))</f>
        <v/>
      </c>
    </row>
    <row r="769">
      <c r="C769">
        <f>IFERROR(VLOOKUP(B769,Trigger_Assessment!$A$2:$B$1000,2,FALSE),"")</f>
        <v/>
      </c>
      <c r="D769">
        <f>IFERROR(VLOOKUP(B769,Trigger_Assessment!$A$2:$C$1000,3,FALSE),"")</f>
        <v/>
      </c>
      <c r="G769" s="14" t="n"/>
      <c r="H769" s="14" t="n"/>
      <c r="I769" s="14" t="n"/>
      <c r="N769" s="14" t="n"/>
      <c r="P769" s="14">
        <f>IF(ISBLANK(I769),"",DATE(YEAR(I769)+1,MONTH(I769),DAY(I769)))</f>
        <v/>
      </c>
    </row>
    <row r="770">
      <c r="C770">
        <f>IFERROR(VLOOKUP(B770,Trigger_Assessment!$A$2:$B$1000,2,FALSE),"")</f>
        <v/>
      </c>
      <c r="D770">
        <f>IFERROR(VLOOKUP(B770,Trigger_Assessment!$A$2:$C$1000,3,FALSE),"")</f>
        <v/>
      </c>
      <c r="G770" s="14" t="n"/>
      <c r="H770" s="14" t="n"/>
      <c r="I770" s="14" t="n"/>
      <c r="N770" s="14" t="n"/>
      <c r="P770" s="14">
        <f>IF(ISBLANK(I770),"",DATE(YEAR(I770)+1,MONTH(I770),DAY(I770)))</f>
        <v/>
      </c>
    </row>
    <row r="771">
      <c r="C771">
        <f>IFERROR(VLOOKUP(B771,Trigger_Assessment!$A$2:$B$1000,2,FALSE),"")</f>
        <v/>
      </c>
      <c r="D771">
        <f>IFERROR(VLOOKUP(B771,Trigger_Assessment!$A$2:$C$1000,3,FALSE),"")</f>
        <v/>
      </c>
      <c r="G771" s="14" t="n"/>
      <c r="H771" s="14" t="n"/>
      <c r="I771" s="14" t="n"/>
      <c r="N771" s="14" t="n"/>
      <c r="P771" s="14">
        <f>IF(ISBLANK(I771),"",DATE(YEAR(I771)+1,MONTH(I771),DAY(I771)))</f>
        <v/>
      </c>
    </row>
    <row r="772">
      <c r="C772">
        <f>IFERROR(VLOOKUP(B772,Trigger_Assessment!$A$2:$B$1000,2,FALSE),"")</f>
        <v/>
      </c>
      <c r="D772">
        <f>IFERROR(VLOOKUP(B772,Trigger_Assessment!$A$2:$C$1000,3,FALSE),"")</f>
        <v/>
      </c>
      <c r="G772" s="14" t="n"/>
      <c r="H772" s="14" t="n"/>
      <c r="I772" s="14" t="n"/>
      <c r="N772" s="14" t="n"/>
      <c r="P772" s="14">
        <f>IF(ISBLANK(I772),"",DATE(YEAR(I772)+1,MONTH(I772),DAY(I772)))</f>
        <v/>
      </c>
    </row>
    <row r="773">
      <c r="C773">
        <f>IFERROR(VLOOKUP(B773,Trigger_Assessment!$A$2:$B$1000,2,FALSE),"")</f>
        <v/>
      </c>
      <c r="D773">
        <f>IFERROR(VLOOKUP(B773,Trigger_Assessment!$A$2:$C$1000,3,FALSE),"")</f>
        <v/>
      </c>
      <c r="G773" s="14" t="n"/>
      <c r="H773" s="14" t="n"/>
      <c r="I773" s="14" t="n"/>
      <c r="N773" s="14" t="n"/>
      <c r="P773" s="14">
        <f>IF(ISBLANK(I773),"",DATE(YEAR(I773)+1,MONTH(I773),DAY(I773)))</f>
        <v/>
      </c>
    </row>
    <row r="774">
      <c r="C774">
        <f>IFERROR(VLOOKUP(B774,Trigger_Assessment!$A$2:$B$1000,2,FALSE),"")</f>
        <v/>
      </c>
      <c r="D774">
        <f>IFERROR(VLOOKUP(B774,Trigger_Assessment!$A$2:$C$1000,3,FALSE),"")</f>
        <v/>
      </c>
      <c r="G774" s="14" t="n"/>
      <c r="H774" s="14" t="n"/>
      <c r="I774" s="14" t="n"/>
      <c r="N774" s="14" t="n"/>
      <c r="P774" s="14">
        <f>IF(ISBLANK(I774),"",DATE(YEAR(I774)+1,MONTH(I774),DAY(I774)))</f>
        <v/>
      </c>
    </row>
    <row r="775">
      <c r="C775">
        <f>IFERROR(VLOOKUP(B775,Trigger_Assessment!$A$2:$B$1000,2,FALSE),"")</f>
        <v/>
      </c>
      <c r="D775">
        <f>IFERROR(VLOOKUP(B775,Trigger_Assessment!$A$2:$C$1000,3,FALSE),"")</f>
        <v/>
      </c>
      <c r="G775" s="14" t="n"/>
      <c r="H775" s="14" t="n"/>
      <c r="I775" s="14" t="n"/>
      <c r="N775" s="14" t="n"/>
      <c r="P775" s="14">
        <f>IF(ISBLANK(I775),"",DATE(YEAR(I775)+1,MONTH(I775),DAY(I775)))</f>
        <v/>
      </c>
    </row>
    <row r="776">
      <c r="C776">
        <f>IFERROR(VLOOKUP(B776,Trigger_Assessment!$A$2:$B$1000,2,FALSE),"")</f>
        <v/>
      </c>
      <c r="D776">
        <f>IFERROR(VLOOKUP(B776,Trigger_Assessment!$A$2:$C$1000,3,FALSE),"")</f>
        <v/>
      </c>
      <c r="G776" s="14" t="n"/>
      <c r="H776" s="14" t="n"/>
      <c r="I776" s="14" t="n"/>
      <c r="N776" s="14" t="n"/>
      <c r="P776" s="14">
        <f>IF(ISBLANK(I776),"",DATE(YEAR(I776)+1,MONTH(I776),DAY(I776)))</f>
        <v/>
      </c>
    </row>
    <row r="777">
      <c r="C777">
        <f>IFERROR(VLOOKUP(B777,Trigger_Assessment!$A$2:$B$1000,2,FALSE),"")</f>
        <v/>
      </c>
      <c r="D777">
        <f>IFERROR(VLOOKUP(B777,Trigger_Assessment!$A$2:$C$1000,3,FALSE),"")</f>
        <v/>
      </c>
      <c r="G777" s="14" t="n"/>
      <c r="H777" s="14" t="n"/>
      <c r="I777" s="14" t="n"/>
      <c r="N777" s="14" t="n"/>
      <c r="P777" s="14">
        <f>IF(ISBLANK(I777),"",DATE(YEAR(I777)+1,MONTH(I777),DAY(I777)))</f>
        <v/>
      </c>
    </row>
    <row r="778">
      <c r="C778">
        <f>IFERROR(VLOOKUP(B778,Trigger_Assessment!$A$2:$B$1000,2,FALSE),"")</f>
        <v/>
      </c>
      <c r="D778">
        <f>IFERROR(VLOOKUP(B778,Trigger_Assessment!$A$2:$C$1000,3,FALSE),"")</f>
        <v/>
      </c>
      <c r="G778" s="14" t="n"/>
      <c r="H778" s="14" t="n"/>
      <c r="I778" s="14" t="n"/>
      <c r="N778" s="14" t="n"/>
      <c r="P778" s="14">
        <f>IF(ISBLANK(I778),"",DATE(YEAR(I778)+1,MONTH(I778),DAY(I778)))</f>
        <v/>
      </c>
    </row>
    <row r="779">
      <c r="C779">
        <f>IFERROR(VLOOKUP(B779,Trigger_Assessment!$A$2:$B$1000,2,FALSE),"")</f>
        <v/>
      </c>
      <c r="D779">
        <f>IFERROR(VLOOKUP(B779,Trigger_Assessment!$A$2:$C$1000,3,FALSE),"")</f>
        <v/>
      </c>
      <c r="G779" s="14" t="n"/>
      <c r="H779" s="14" t="n"/>
      <c r="I779" s="14" t="n"/>
      <c r="N779" s="14" t="n"/>
      <c r="P779" s="14">
        <f>IF(ISBLANK(I779),"",DATE(YEAR(I779)+1,MONTH(I779),DAY(I779)))</f>
        <v/>
      </c>
    </row>
    <row r="780">
      <c r="C780">
        <f>IFERROR(VLOOKUP(B780,Trigger_Assessment!$A$2:$B$1000,2,FALSE),"")</f>
        <v/>
      </c>
      <c r="D780">
        <f>IFERROR(VLOOKUP(B780,Trigger_Assessment!$A$2:$C$1000,3,FALSE),"")</f>
        <v/>
      </c>
      <c r="G780" s="14" t="n"/>
      <c r="H780" s="14" t="n"/>
      <c r="I780" s="14" t="n"/>
      <c r="N780" s="14" t="n"/>
      <c r="P780" s="14">
        <f>IF(ISBLANK(I780),"",DATE(YEAR(I780)+1,MONTH(I780),DAY(I780)))</f>
        <v/>
      </c>
    </row>
    <row r="781">
      <c r="C781">
        <f>IFERROR(VLOOKUP(B781,Trigger_Assessment!$A$2:$B$1000,2,FALSE),"")</f>
        <v/>
      </c>
      <c r="D781">
        <f>IFERROR(VLOOKUP(B781,Trigger_Assessment!$A$2:$C$1000,3,FALSE),"")</f>
        <v/>
      </c>
      <c r="G781" s="14" t="n"/>
      <c r="H781" s="14" t="n"/>
      <c r="I781" s="14" t="n"/>
      <c r="N781" s="14" t="n"/>
      <c r="P781" s="14">
        <f>IF(ISBLANK(I781),"",DATE(YEAR(I781)+1,MONTH(I781),DAY(I781)))</f>
        <v/>
      </c>
    </row>
    <row r="782">
      <c r="C782">
        <f>IFERROR(VLOOKUP(B782,Trigger_Assessment!$A$2:$B$1000,2,FALSE),"")</f>
        <v/>
      </c>
      <c r="D782">
        <f>IFERROR(VLOOKUP(B782,Trigger_Assessment!$A$2:$C$1000,3,FALSE),"")</f>
        <v/>
      </c>
      <c r="G782" s="14" t="n"/>
      <c r="H782" s="14" t="n"/>
      <c r="I782" s="14" t="n"/>
      <c r="N782" s="14" t="n"/>
      <c r="P782" s="14">
        <f>IF(ISBLANK(I782),"",DATE(YEAR(I782)+1,MONTH(I782),DAY(I782)))</f>
        <v/>
      </c>
    </row>
    <row r="783">
      <c r="C783">
        <f>IFERROR(VLOOKUP(B783,Trigger_Assessment!$A$2:$B$1000,2,FALSE),"")</f>
        <v/>
      </c>
      <c r="D783">
        <f>IFERROR(VLOOKUP(B783,Trigger_Assessment!$A$2:$C$1000,3,FALSE),"")</f>
        <v/>
      </c>
      <c r="G783" s="14" t="n"/>
      <c r="H783" s="14" t="n"/>
      <c r="I783" s="14" t="n"/>
      <c r="N783" s="14" t="n"/>
      <c r="P783" s="14">
        <f>IF(ISBLANK(I783),"",DATE(YEAR(I783)+1,MONTH(I783),DAY(I783)))</f>
        <v/>
      </c>
    </row>
    <row r="784">
      <c r="C784">
        <f>IFERROR(VLOOKUP(B784,Trigger_Assessment!$A$2:$B$1000,2,FALSE),"")</f>
        <v/>
      </c>
      <c r="D784">
        <f>IFERROR(VLOOKUP(B784,Trigger_Assessment!$A$2:$C$1000,3,FALSE),"")</f>
        <v/>
      </c>
      <c r="G784" s="14" t="n"/>
      <c r="H784" s="14" t="n"/>
      <c r="I784" s="14" t="n"/>
      <c r="N784" s="14" t="n"/>
      <c r="P784" s="14">
        <f>IF(ISBLANK(I784),"",DATE(YEAR(I784)+1,MONTH(I784),DAY(I784)))</f>
        <v/>
      </c>
    </row>
    <row r="785">
      <c r="C785">
        <f>IFERROR(VLOOKUP(B785,Trigger_Assessment!$A$2:$B$1000,2,FALSE),"")</f>
        <v/>
      </c>
      <c r="D785">
        <f>IFERROR(VLOOKUP(B785,Trigger_Assessment!$A$2:$C$1000,3,FALSE),"")</f>
        <v/>
      </c>
      <c r="G785" s="14" t="n"/>
      <c r="H785" s="14" t="n"/>
      <c r="I785" s="14" t="n"/>
      <c r="N785" s="14" t="n"/>
      <c r="P785" s="14">
        <f>IF(ISBLANK(I785),"",DATE(YEAR(I785)+1,MONTH(I785),DAY(I785)))</f>
        <v/>
      </c>
    </row>
    <row r="786">
      <c r="C786">
        <f>IFERROR(VLOOKUP(B786,Trigger_Assessment!$A$2:$B$1000,2,FALSE),"")</f>
        <v/>
      </c>
      <c r="D786">
        <f>IFERROR(VLOOKUP(B786,Trigger_Assessment!$A$2:$C$1000,3,FALSE),"")</f>
        <v/>
      </c>
      <c r="G786" s="14" t="n"/>
      <c r="H786" s="14" t="n"/>
      <c r="I786" s="14" t="n"/>
      <c r="N786" s="14" t="n"/>
      <c r="P786" s="14">
        <f>IF(ISBLANK(I786),"",DATE(YEAR(I786)+1,MONTH(I786),DAY(I786)))</f>
        <v/>
      </c>
    </row>
    <row r="787">
      <c r="C787">
        <f>IFERROR(VLOOKUP(B787,Trigger_Assessment!$A$2:$B$1000,2,FALSE),"")</f>
        <v/>
      </c>
      <c r="D787">
        <f>IFERROR(VLOOKUP(B787,Trigger_Assessment!$A$2:$C$1000,3,FALSE),"")</f>
        <v/>
      </c>
      <c r="G787" s="14" t="n"/>
      <c r="H787" s="14" t="n"/>
      <c r="I787" s="14" t="n"/>
      <c r="N787" s="14" t="n"/>
      <c r="P787" s="14">
        <f>IF(ISBLANK(I787),"",DATE(YEAR(I787)+1,MONTH(I787),DAY(I787)))</f>
        <v/>
      </c>
    </row>
    <row r="788">
      <c r="C788">
        <f>IFERROR(VLOOKUP(B788,Trigger_Assessment!$A$2:$B$1000,2,FALSE),"")</f>
        <v/>
      </c>
      <c r="D788">
        <f>IFERROR(VLOOKUP(B788,Trigger_Assessment!$A$2:$C$1000,3,FALSE),"")</f>
        <v/>
      </c>
      <c r="G788" s="14" t="n"/>
      <c r="H788" s="14" t="n"/>
      <c r="I788" s="14" t="n"/>
      <c r="N788" s="14" t="n"/>
      <c r="P788" s="14">
        <f>IF(ISBLANK(I788),"",DATE(YEAR(I788)+1,MONTH(I788),DAY(I788)))</f>
        <v/>
      </c>
    </row>
    <row r="789">
      <c r="C789">
        <f>IFERROR(VLOOKUP(B789,Trigger_Assessment!$A$2:$B$1000,2,FALSE),"")</f>
        <v/>
      </c>
      <c r="D789">
        <f>IFERROR(VLOOKUP(B789,Trigger_Assessment!$A$2:$C$1000,3,FALSE),"")</f>
        <v/>
      </c>
      <c r="G789" s="14" t="n"/>
      <c r="H789" s="14" t="n"/>
      <c r="I789" s="14" t="n"/>
      <c r="N789" s="14" t="n"/>
      <c r="P789" s="14">
        <f>IF(ISBLANK(I789),"",DATE(YEAR(I789)+1,MONTH(I789),DAY(I789)))</f>
        <v/>
      </c>
    </row>
    <row r="790">
      <c r="C790">
        <f>IFERROR(VLOOKUP(B790,Trigger_Assessment!$A$2:$B$1000,2,FALSE),"")</f>
        <v/>
      </c>
      <c r="D790">
        <f>IFERROR(VLOOKUP(B790,Trigger_Assessment!$A$2:$C$1000,3,FALSE),"")</f>
        <v/>
      </c>
      <c r="G790" s="14" t="n"/>
      <c r="H790" s="14" t="n"/>
      <c r="I790" s="14" t="n"/>
      <c r="N790" s="14" t="n"/>
      <c r="P790" s="14">
        <f>IF(ISBLANK(I790),"",DATE(YEAR(I790)+1,MONTH(I790),DAY(I790)))</f>
        <v/>
      </c>
    </row>
    <row r="791">
      <c r="C791">
        <f>IFERROR(VLOOKUP(B791,Trigger_Assessment!$A$2:$B$1000,2,FALSE),"")</f>
        <v/>
      </c>
      <c r="D791">
        <f>IFERROR(VLOOKUP(B791,Trigger_Assessment!$A$2:$C$1000,3,FALSE),"")</f>
        <v/>
      </c>
      <c r="G791" s="14" t="n"/>
      <c r="H791" s="14" t="n"/>
      <c r="I791" s="14" t="n"/>
      <c r="N791" s="14" t="n"/>
      <c r="P791" s="14">
        <f>IF(ISBLANK(I791),"",DATE(YEAR(I791)+1,MONTH(I791),DAY(I791)))</f>
        <v/>
      </c>
    </row>
    <row r="792">
      <c r="C792">
        <f>IFERROR(VLOOKUP(B792,Trigger_Assessment!$A$2:$B$1000,2,FALSE),"")</f>
        <v/>
      </c>
      <c r="D792">
        <f>IFERROR(VLOOKUP(B792,Trigger_Assessment!$A$2:$C$1000,3,FALSE),"")</f>
        <v/>
      </c>
      <c r="G792" s="14" t="n"/>
      <c r="H792" s="14" t="n"/>
      <c r="I792" s="14" t="n"/>
      <c r="N792" s="14" t="n"/>
      <c r="P792" s="14">
        <f>IF(ISBLANK(I792),"",DATE(YEAR(I792)+1,MONTH(I792),DAY(I792)))</f>
        <v/>
      </c>
    </row>
    <row r="793">
      <c r="C793">
        <f>IFERROR(VLOOKUP(B793,Trigger_Assessment!$A$2:$B$1000,2,FALSE),"")</f>
        <v/>
      </c>
      <c r="D793">
        <f>IFERROR(VLOOKUP(B793,Trigger_Assessment!$A$2:$C$1000,3,FALSE),"")</f>
        <v/>
      </c>
      <c r="G793" s="14" t="n"/>
      <c r="H793" s="14" t="n"/>
      <c r="I793" s="14" t="n"/>
      <c r="N793" s="14" t="n"/>
      <c r="P793" s="14">
        <f>IF(ISBLANK(I793),"",DATE(YEAR(I793)+1,MONTH(I793),DAY(I793)))</f>
        <v/>
      </c>
    </row>
    <row r="794">
      <c r="C794">
        <f>IFERROR(VLOOKUP(B794,Trigger_Assessment!$A$2:$B$1000,2,FALSE),"")</f>
        <v/>
      </c>
      <c r="D794">
        <f>IFERROR(VLOOKUP(B794,Trigger_Assessment!$A$2:$C$1000,3,FALSE),"")</f>
        <v/>
      </c>
      <c r="G794" s="14" t="n"/>
      <c r="H794" s="14" t="n"/>
      <c r="I794" s="14" t="n"/>
      <c r="N794" s="14" t="n"/>
      <c r="P794" s="14">
        <f>IF(ISBLANK(I794),"",DATE(YEAR(I794)+1,MONTH(I794),DAY(I794)))</f>
        <v/>
      </c>
    </row>
    <row r="795">
      <c r="C795">
        <f>IFERROR(VLOOKUP(B795,Trigger_Assessment!$A$2:$B$1000,2,FALSE),"")</f>
        <v/>
      </c>
      <c r="D795">
        <f>IFERROR(VLOOKUP(B795,Trigger_Assessment!$A$2:$C$1000,3,FALSE),"")</f>
        <v/>
      </c>
      <c r="G795" s="14" t="n"/>
      <c r="H795" s="14" t="n"/>
      <c r="I795" s="14" t="n"/>
      <c r="N795" s="14" t="n"/>
      <c r="P795" s="14">
        <f>IF(ISBLANK(I795),"",DATE(YEAR(I795)+1,MONTH(I795),DAY(I795)))</f>
        <v/>
      </c>
    </row>
    <row r="796">
      <c r="C796">
        <f>IFERROR(VLOOKUP(B796,Trigger_Assessment!$A$2:$B$1000,2,FALSE),"")</f>
        <v/>
      </c>
      <c r="D796">
        <f>IFERROR(VLOOKUP(B796,Trigger_Assessment!$A$2:$C$1000,3,FALSE),"")</f>
        <v/>
      </c>
      <c r="G796" s="14" t="n"/>
      <c r="H796" s="14" t="n"/>
      <c r="I796" s="14" t="n"/>
      <c r="N796" s="14" t="n"/>
      <c r="P796" s="14">
        <f>IF(ISBLANK(I796),"",DATE(YEAR(I796)+1,MONTH(I796),DAY(I796)))</f>
        <v/>
      </c>
    </row>
    <row r="797">
      <c r="C797">
        <f>IFERROR(VLOOKUP(B797,Trigger_Assessment!$A$2:$B$1000,2,FALSE),"")</f>
        <v/>
      </c>
      <c r="D797">
        <f>IFERROR(VLOOKUP(B797,Trigger_Assessment!$A$2:$C$1000,3,FALSE),"")</f>
        <v/>
      </c>
      <c r="G797" s="14" t="n"/>
      <c r="H797" s="14" t="n"/>
      <c r="I797" s="14" t="n"/>
      <c r="N797" s="14" t="n"/>
      <c r="P797" s="14">
        <f>IF(ISBLANK(I797),"",DATE(YEAR(I797)+1,MONTH(I797),DAY(I797)))</f>
        <v/>
      </c>
    </row>
    <row r="798">
      <c r="C798">
        <f>IFERROR(VLOOKUP(B798,Trigger_Assessment!$A$2:$B$1000,2,FALSE),"")</f>
        <v/>
      </c>
      <c r="D798">
        <f>IFERROR(VLOOKUP(B798,Trigger_Assessment!$A$2:$C$1000,3,FALSE),"")</f>
        <v/>
      </c>
      <c r="G798" s="14" t="n"/>
      <c r="H798" s="14" t="n"/>
      <c r="I798" s="14" t="n"/>
      <c r="N798" s="14" t="n"/>
      <c r="P798" s="14">
        <f>IF(ISBLANK(I798),"",DATE(YEAR(I798)+1,MONTH(I798),DAY(I798)))</f>
        <v/>
      </c>
    </row>
    <row r="799">
      <c r="C799">
        <f>IFERROR(VLOOKUP(B799,Trigger_Assessment!$A$2:$B$1000,2,FALSE),"")</f>
        <v/>
      </c>
      <c r="D799">
        <f>IFERROR(VLOOKUP(B799,Trigger_Assessment!$A$2:$C$1000,3,FALSE),"")</f>
        <v/>
      </c>
      <c r="G799" s="14" t="n"/>
      <c r="H799" s="14" t="n"/>
      <c r="I799" s="14" t="n"/>
      <c r="N799" s="14" t="n"/>
      <c r="P799" s="14">
        <f>IF(ISBLANK(I799),"",DATE(YEAR(I799)+1,MONTH(I799),DAY(I799)))</f>
        <v/>
      </c>
    </row>
    <row r="800">
      <c r="C800">
        <f>IFERROR(VLOOKUP(B800,Trigger_Assessment!$A$2:$B$1000,2,FALSE),"")</f>
        <v/>
      </c>
      <c r="D800">
        <f>IFERROR(VLOOKUP(B800,Trigger_Assessment!$A$2:$C$1000,3,FALSE),"")</f>
        <v/>
      </c>
      <c r="G800" s="14" t="n"/>
      <c r="H800" s="14" t="n"/>
      <c r="I800" s="14" t="n"/>
      <c r="N800" s="14" t="n"/>
      <c r="P800" s="14">
        <f>IF(ISBLANK(I800),"",DATE(YEAR(I800)+1,MONTH(I800),DAY(I800)))</f>
        <v/>
      </c>
    </row>
    <row r="801">
      <c r="C801">
        <f>IFERROR(VLOOKUP(B801,Trigger_Assessment!$A$2:$B$1000,2,FALSE),"")</f>
        <v/>
      </c>
      <c r="D801">
        <f>IFERROR(VLOOKUP(B801,Trigger_Assessment!$A$2:$C$1000,3,FALSE),"")</f>
        <v/>
      </c>
      <c r="G801" s="14" t="n"/>
      <c r="H801" s="14" t="n"/>
      <c r="I801" s="14" t="n"/>
      <c r="N801" s="14" t="n"/>
      <c r="P801" s="14">
        <f>IF(ISBLANK(I801),"",DATE(YEAR(I801)+1,MONTH(I801),DAY(I801)))</f>
        <v/>
      </c>
    </row>
    <row r="802">
      <c r="C802">
        <f>IFERROR(VLOOKUP(B802,Trigger_Assessment!$A$2:$B$1000,2,FALSE),"")</f>
        <v/>
      </c>
      <c r="D802">
        <f>IFERROR(VLOOKUP(B802,Trigger_Assessment!$A$2:$C$1000,3,FALSE),"")</f>
        <v/>
      </c>
      <c r="G802" s="14" t="n"/>
      <c r="H802" s="14" t="n"/>
      <c r="I802" s="14" t="n"/>
      <c r="N802" s="14" t="n"/>
      <c r="P802" s="14">
        <f>IF(ISBLANK(I802),"",DATE(YEAR(I802)+1,MONTH(I802),DAY(I802)))</f>
        <v/>
      </c>
    </row>
    <row r="803">
      <c r="C803">
        <f>IFERROR(VLOOKUP(B803,Trigger_Assessment!$A$2:$B$1000,2,FALSE),"")</f>
        <v/>
      </c>
      <c r="D803">
        <f>IFERROR(VLOOKUP(B803,Trigger_Assessment!$A$2:$C$1000,3,FALSE),"")</f>
        <v/>
      </c>
      <c r="G803" s="14" t="n"/>
      <c r="H803" s="14" t="n"/>
      <c r="I803" s="14" t="n"/>
      <c r="N803" s="14" t="n"/>
      <c r="P803" s="14">
        <f>IF(ISBLANK(I803),"",DATE(YEAR(I803)+1,MONTH(I803),DAY(I803)))</f>
        <v/>
      </c>
    </row>
    <row r="804">
      <c r="C804">
        <f>IFERROR(VLOOKUP(B804,Trigger_Assessment!$A$2:$B$1000,2,FALSE),"")</f>
        <v/>
      </c>
      <c r="D804">
        <f>IFERROR(VLOOKUP(B804,Trigger_Assessment!$A$2:$C$1000,3,FALSE),"")</f>
        <v/>
      </c>
      <c r="G804" s="14" t="n"/>
      <c r="H804" s="14" t="n"/>
      <c r="I804" s="14" t="n"/>
      <c r="N804" s="14" t="n"/>
      <c r="P804" s="14">
        <f>IF(ISBLANK(I804),"",DATE(YEAR(I804)+1,MONTH(I804),DAY(I804)))</f>
        <v/>
      </c>
    </row>
    <row r="805">
      <c r="C805">
        <f>IFERROR(VLOOKUP(B805,Trigger_Assessment!$A$2:$B$1000,2,FALSE),"")</f>
        <v/>
      </c>
      <c r="D805">
        <f>IFERROR(VLOOKUP(B805,Trigger_Assessment!$A$2:$C$1000,3,FALSE),"")</f>
        <v/>
      </c>
      <c r="G805" s="14" t="n"/>
      <c r="H805" s="14" t="n"/>
      <c r="I805" s="14" t="n"/>
      <c r="N805" s="14" t="n"/>
      <c r="P805" s="14">
        <f>IF(ISBLANK(I805),"",DATE(YEAR(I805)+1,MONTH(I805),DAY(I805)))</f>
        <v/>
      </c>
    </row>
    <row r="806">
      <c r="C806">
        <f>IFERROR(VLOOKUP(B806,Trigger_Assessment!$A$2:$B$1000,2,FALSE),"")</f>
        <v/>
      </c>
      <c r="D806">
        <f>IFERROR(VLOOKUP(B806,Trigger_Assessment!$A$2:$C$1000,3,FALSE),"")</f>
        <v/>
      </c>
      <c r="G806" s="14" t="n"/>
      <c r="H806" s="14" t="n"/>
      <c r="I806" s="14" t="n"/>
      <c r="N806" s="14" t="n"/>
      <c r="P806" s="14">
        <f>IF(ISBLANK(I806),"",DATE(YEAR(I806)+1,MONTH(I806),DAY(I806)))</f>
        <v/>
      </c>
    </row>
    <row r="807">
      <c r="C807">
        <f>IFERROR(VLOOKUP(B807,Trigger_Assessment!$A$2:$B$1000,2,FALSE),"")</f>
        <v/>
      </c>
      <c r="D807">
        <f>IFERROR(VLOOKUP(B807,Trigger_Assessment!$A$2:$C$1000,3,FALSE),"")</f>
        <v/>
      </c>
      <c r="G807" s="14" t="n"/>
      <c r="H807" s="14" t="n"/>
      <c r="I807" s="14" t="n"/>
      <c r="N807" s="14" t="n"/>
      <c r="P807" s="14">
        <f>IF(ISBLANK(I807),"",DATE(YEAR(I807)+1,MONTH(I807),DAY(I807)))</f>
        <v/>
      </c>
    </row>
    <row r="808">
      <c r="C808">
        <f>IFERROR(VLOOKUP(B808,Trigger_Assessment!$A$2:$B$1000,2,FALSE),"")</f>
        <v/>
      </c>
      <c r="D808">
        <f>IFERROR(VLOOKUP(B808,Trigger_Assessment!$A$2:$C$1000,3,FALSE),"")</f>
        <v/>
      </c>
      <c r="G808" s="14" t="n"/>
      <c r="H808" s="14" t="n"/>
      <c r="I808" s="14" t="n"/>
      <c r="N808" s="14" t="n"/>
      <c r="P808" s="14">
        <f>IF(ISBLANK(I808),"",DATE(YEAR(I808)+1,MONTH(I808),DAY(I808)))</f>
        <v/>
      </c>
    </row>
    <row r="809">
      <c r="C809">
        <f>IFERROR(VLOOKUP(B809,Trigger_Assessment!$A$2:$B$1000,2,FALSE),"")</f>
        <v/>
      </c>
      <c r="D809">
        <f>IFERROR(VLOOKUP(B809,Trigger_Assessment!$A$2:$C$1000,3,FALSE),"")</f>
        <v/>
      </c>
      <c r="G809" s="14" t="n"/>
      <c r="H809" s="14" t="n"/>
      <c r="I809" s="14" t="n"/>
      <c r="N809" s="14" t="n"/>
      <c r="P809" s="14">
        <f>IF(ISBLANK(I809),"",DATE(YEAR(I809)+1,MONTH(I809),DAY(I809)))</f>
        <v/>
      </c>
    </row>
    <row r="810">
      <c r="C810">
        <f>IFERROR(VLOOKUP(B810,Trigger_Assessment!$A$2:$B$1000,2,FALSE),"")</f>
        <v/>
      </c>
      <c r="D810">
        <f>IFERROR(VLOOKUP(B810,Trigger_Assessment!$A$2:$C$1000,3,FALSE),"")</f>
        <v/>
      </c>
      <c r="G810" s="14" t="n"/>
      <c r="H810" s="14" t="n"/>
      <c r="I810" s="14" t="n"/>
      <c r="N810" s="14" t="n"/>
      <c r="P810" s="14">
        <f>IF(ISBLANK(I810),"",DATE(YEAR(I810)+1,MONTH(I810),DAY(I810)))</f>
        <v/>
      </c>
    </row>
    <row r="811">
      <c r="C811">
        <f>IFERROR(VLOOKUP(B811,Trigger_Assessment!$A$2:$B$1000,2,FALSE),"")</f>
        <v/>
      </c>
      <c r="D811">
        <f>IFERROR(VLOOKUP(B811,Trigger_Assessment!$A$2:$C$1000,3,FALSE),"")</f>
        <v/>
      </c>
      <c r="G811" s="14" t="n"/>
      <c r="H811" s="14" t="n"/>
      <c r="I811" s="14" t="n"/>
      <c r="N811" s="14" t="n"/>
      <c r="P811" s="14">
        <f>IF(ISBLANK(I811),"",DATE(YEAR(I811)+1,MONTH(I811),DAY(I811)))</f>
        <v/>
      </c>
    </row>
    <row r="812">
      <c r="C812">
        <f>IFERROR(VLOOKUP(B812,Trigger_Assessment!$A$2:$B$1000,2,FALSE),"")</f>
        <v/>
      </c>
      <c r="D812">
        <f>IFERROR(VLOOKUP(B812,Trigger_Assessment!$A$2:$C$1000,3,FALSE),"")</f>
        <v/>
      </c>
      <c r="G812" s="14" t="n"/>
      <c r="H812" s="14" t="n"/>
      <c r="I812" s="14" t="n"/>
      <c r="N812" s="14" t="n"/>
      <c r="P812" s="14">
        <f>IF(ISBLANK(I812),"",DATE(YEAR(I812)+1,MONTH(I812),DAY(I812)))</f>
        <v/>
      </c>
    </row>
    <row r="813">
      <c r="C813">
        <f>IFERROR(VLOOKUP(B813,Trigger_Assessment!$A$2:$B$1000,2,FALSE),"")</f>
        <v/>
      </c>
      <c r="D813">
        <f>IFERROR(VLOOKUP(B813,Trigger_Assessment!$A$2:$C$1000,3,FALSE),"")</f>
        <v/>
      </c>
      <c r="G813" s="14" t="n"/>
      <c r="H813" s="14" t="n"/>
      <c r="I813" s="14" t="n"/>
      <c r="N813" s="14" t="n"/>
      <c r="P813" s="14">
        <f>IF(ISBLANK(I813),"",DATE(YEAR(I813)+1,MONTH(I813),DAY(I813)))</f>
        <v/>
      </c>
    </row>
    <row r="814">
      <c r="C814">
        <f>IFERROR(VLOOKUP(B814,Trigger_Assessment!$A$2:$B$1000,2,FALSE),"")</f>
        <v/>
      </c>
      <c r="D814">
        <f>IFERROR(VLOOKUP(B814,Trigger_Assessment!$A$2:$C$1000,3,FALSE),"")</f>
        <v/>
      </c>
      <c r="G814" s="14" t="n"/>
      <c r="H814" s="14" t="n"/>
      <c r="I814" s="14" t="n"/>
      <c r="N814" s="14" t="n"/>
      <c r="P814" s="14">
        <f>IF(ISBLANK(I814),"",DATE(YEAR(I814)+1,MONTH(I814),DAY(I814)))</f>
        <v/>
      </c>
    </row>
    <row r="815">
      <c r="C815">
        <f>IFERROR(VLOOKUP(B815,Trigger_Assessment!$A$2:$B$1000,2,FALSE),"")</f>
        <v/>
      </c>
      <c r="D815">
        <f>IFERROR(VLOOKUP(B815,Trigger_Assessment!$A$2:$C$1000,3,FALSE),"")</f>
        <v/>
      </c>
      <c r="G815" s="14" t="n"/>
      <c r="H815" s="14" t="n"/>
      <c r="I815" s="14" t="n"/>
      <c r="N815" s="14" t="n"/>
      <c r="P815" s="14">
        <f>IF(ISBLANK(I815),"",DATE(YEAR(I815)+1,MONTH(I815),DAY(I815)))</f>
        <v/>
      </c>
    </row>
    <row r="816">
      <c r="C816">
        <f>IFERROR(VLOOKUP(B816,Trigger_Assessment!$A$2:$B$1000,2,FALSE),"")</f>
        <v/>
      </c>
      <c r="D816">
        <f>IFERROR(VLOOKUP(B816,Trigger_Assessment!$A$2:$C$1000,3,FALSE),"")</f>
        <v/>
      </c>
      <c r="G816" s="14" t="n"/>
      <c r="H816" s="14" t="n"/>
      <c r="I816" s="14" t="n"/>
      <c r="N816" s="14" t="n"/>
      <c r="P816" s="14">
        <f>IF(ISBLANK(I816),"",DATE(YEAR(I816)+1,MONTH(I816),DAY(I816)))</f>
        <v/>
      </c>
    </row>
    <row r="817">
      <c r="C817">
        <f>IFERROR(VLOOKUP(B817,Trigger_Assessment!$A$2:$B$1000,2,FALSE),"")</f>
        <v/>
      </c>
      <c r="D817">
        <f>IFERROR(VLOOKUP(B817,Trigger_Assessment!$A$2:$C$1000,3,FALSE),"")</f>
        <v/>
      </c>
      <c r="G817" s="14" t="n"/>
      <c r="H817" s="14" t="n"/>
      <c r="I817" s="14" t="n"/>
      <c r="N817" s="14" t="n"/>
      <c r="P817" s="14">
        <f>IF(ISBLANK(I817),"",DATE(YEAR(I817)+1,MONTH(I817),DAY(I817)))</f>
        <v/>
      </c>
    </row>
    <row r="818">
      <c r="C818">
        <f>IFERROR(VLOOKUP(B818,Trigger_Assessment!$A$2:$B$1000,2,FALSE),"")</f>
        <v/>
      </c>
      <c r="D818">
        <f>IFERROR(VLOOKUP(B818,Trigger_Assessment!$A$2:$C$1000,3,FALSE),"")</f>
        <v/>
      </c>
      <c r="G818" s="14" t="n"/>
      <c r="H818" s="14" t="n"/>
      <c r="I818" s="14" t="n"/>
      <c r="N818" s="14" t="n"/>
      <c r="P818" s="14">
        <f>IF(ISBLANK(I818),"",DATE(YEAR(I818)+1,MONTH(I818),DAY(I818)))</f>
        <v/>
      </c>
    </row>
    <row r="819">
      <c r="C819">
        <f>IFERROR(VLOOKUP(B819,Trigger_Assessment!$A$2:$B$1000,2,FALSE),"")</f>
        <v/>
      </c>
      <c r="D819">
        <f>IFERROR(VLOOKUP(B819,Trigger_Assessment!$A$2:$C$1000,3,FALSE),"")</f>
        <v/>
      </c>
      <c r="G819" s="14" t="n"/>
      <c r="H819" s="14" t="n"/>
      <c r="I819" s="14" t="n"/>
      <c r="N819" s="14" t="n"/>
      <c r="P819" s="14">
        <f>IF(ISBLANK(I819),"",DATE(YEAR(I819)+1,MONTH(I819),DAY(I819)))</f>
        <v/>
      </c>
    </row>
    <row r="820">
      <c r="C820">
        <f>IFERROR(VLOOKUP(B820,Trigger_Assessment!$A$2:$B$1000,2,FALSE),"")</f>
        <v/>
      </c>
      <c r="D820">
        <f>IFERROR(VLOOKUP(B820,Trigger_Assessment!$A$2:$C$1000,3,FALSE),"")</f>
        <v/>
      </c>
      <c r="G820" s="14" t="n"/>
      <c r="H820" s="14" t="n"/>
      <c r="I820" s="14" t="n"/>
      <c r="N820" s="14" t="n"/>
      <c r="P820" s="14">
        <f>IF(ISBLANK(I820),"",DATE(YEAR(I820)+1,MONTH(I820),DAY(I820)))</f>
        <v/>
      </c>
    </row>
    <row r="821">
      <c r="C821">
        <f>IFERROR(VLOOKUP(B821,Trigger_Assessment!$A$2:$B$1000,2,FALSE),"")</f>
        <v/>
      </c>
      <c r="D821">
        <f>IFERROR(VLOOKUP(B821,Trigger_Assessment!$A$2:$C$1000,3,FALSE),"")</f>
        <v/>
      </c>
      <c r="G821" s="14" t="n"/>
      <c r="H821" s="14" t="n"/>
      <c r="I821" s="14" t="n"/>
      <c r="N821" s="14" t="n"/>
      <c r="P821" s="14">
        <f>IF(ISBLANK(I821),"",DATE(YEAR(I821)+1,MONTH(I821),DAY(I821)))</f>
        <v/>
      </c>
    </row>
    <row r="822">
      <c r="C822">
        <f>IFERROR(VLOOKUP(B822,Trigger_Assessment!$A$2:$B$1000,2,FALSE),"")</f>
        <v/>
      </c>
      <c r="D822">
        <f>IFERROR(VLOOKUP(B822,Trigger_Assessment!$A$2:$C$1000,3,FALSE),"")</f>
        <v/>
      </c>
      <c r="G822" s="14" t="n"/>
      <c r="H822" s="14" t="n"/>
      <c r="I822" s="14" t="n"/>
      <c r="N822" s="14" t="n"/>
      <c r="P822" s="14">
        <f>IF(ISBLANK(I822),"",DATE(YEAR(I822)+1,MONTH(I822),DAY(I822)))</f>
        <v/>
      </c>
    </row>
    <row r="823">
      <c r="C823">
        <f>IFERROR(VLOOKUP(B823,Trigger_Assessment!$A$2:$B$1000,2,FALSE),"")</f>
        <v/>
      </c>
      <c r="D823">
        <f>IFERROR(VLOOKUP(B823,Trigger_Assessment!$A$2:$C$1000,3,FALSE),"")</f>
        <v/>
      </c>
      <c r="G823" s="14" t="n"/>
      <c r="H823" s="14" t="n"/>
      <c r="I823" s="14" t="n"/>
      <c r="N823" s="14" t="n"/>
      <c r="P823" s="14">
        <f>IF(ISBLANK(I823),"",DATE(YEAR(I823)+1,MONTH(I823),DAY(I823)))</f>
        <v/>
      </c>
    </row>
    <row r="824">
      <c r="C824">
        <f>IFERROR(VLOOKUP(B824,Trigger_Assessment!$A$2:$B$1000,2,FALSE),"")</f>
        <v/>
      </c>
      <c r="D824">
        <f>IFERROR(VLOOKUP(B824,Trigger_Assessment!$A$2:$C$1000,3,FALSE),"")</f>
        <v/>
      </c>
      <c r="G824" s="14" t="n"/>
      <c r="H824" s="14" t="n"/>
      <c r="I824" s="14" t="n"/>
      <c r="N824" s="14" t="n"/>
      <c r="P824" s="14">
        <f>IF(ISBLANK(I824),"",DATE(YEAR(I824)+1,MONTH(I824),DAY(I824)))</f>
        <v/>
      </c>
    </row>
    <row r="825">
      <c r="C825">
        <f>IFERROR(VLOOKUP(B825,Trigger_Assessment!$A$2:$B$1000,2,FALSE),"")</f>
        <v/>
      </c>
      <c r="D825">
        <f>IFERROR(VLOOKUP(B825,Trigger_Assessment!$A$2:$C$1000,3,FALSE),"")</f>
        <v/>
      </c>
      <c r="G825" s="14" t="n"/>
      <c r="H825" s="14" t="n"/>
      <c r="I825" s="14" t="n"/>
      <c r="N825" s="14" t="n"/>
      <c r="P825" s="14">
        <f>IF(ISBLANK(I825),"",DATE(YEAR(I825)+1,MONTH(I825),DAY(I825)))</f>
        <v/>
      </c>
    </row>
    <row r="826">
      <c r="C826">
        <f>IFERROR(VLOOKUP(B826,Trigger_Assessment!$A$2:$B$1000,2,FALSE),"")</f>
        <v/>
      </c>
      <c r="D826">
        <f>IFERROR(VLOOKUP(B826,Trigger_Assessment!$A$2:$C$1000,3,FALSE),"")</f>
        <v/>
      </c>
      <c r="G826" s="14" t="n"/>
      <c r="H826" s="14" t="n"/>
      <c r="I826" s="14" t="n"/>
      <c r="N826" s="14" t="n"/>
      <c r="P826" s="14">
        <f>IF(ISBLANK(I826),"",DATE(YEAR(I826)+1,MONTH(I826),DAY(I826)))</f>
        <v/>
      </c>
    </row>
    <row r="827">
      <c r="C827">
        <f>IFERROR(VLOOKUP(B827,Trigger_Assessment!$A$2:$B$1000,2,FALSE),"")</f>
        <v/>
      </c>
      <c r="D827">
        <f>IFERROR(VLOOKUP(B827,Trigger_Assessment!$A$2:$C$1000,3,FALSE),"")</f>
        <v/>
      </c>
      <c r="G827" s="14" t="n"/>
      <c r="H827" s="14" t="n"/>
      <c r="I827" s="14" t="n"/>
      <c r="N827" s="14" t="n"/>
      <c r="P827" s="14">
        <f>IF(ISBLANK(I827),"",DATE(YEAR(I827)+1,MONTH(I827),DAY(I827)))</f>
        <v/>
      </c>
    </row>
    <row r="828">
      <c r="C828">
        <f>IFERROR(VLOOKUP(B828,Trigger_Assessment!$A$2:$B$1000,2,FALSE),"")</f>
        <v/>
      </c>
      <c r="D828">
        <f>IFERROR(VLOOKUP(B828,Trigger_Assessment!$A$2:$C$1000,3,FALSE),"")</f>
        <v/>
      </c>
      <c r="G828" s="14" t="n"/>
      <c r="H828" s="14" t="n"/>
      <c r="I828" s="14" t="n"/>
      <c r="N828" s="14" t="n"/>
      <c r="P828" s="14">
        <f>IF(ISBLANK(I828),"",DATE(YEAR(I828)+1,MONTH(I828),DAY(I828)))</f>
        <v/>
      </c>
    </row>
    <row r="829">
      <c r="C829">
        <f>IFERROR(VLOOKUP(B829,Trigger_Assessment!$A$2:$B$1000,2,FALSE),"")</f>
        <v/>
      </c>
      <c r="D829">
        <f>IFERROR(VLOOKUP(B829,Trigger_Assessment!$A$2:$C$1000,3,FALSE),"")</f>
        <v/>
      </c>
      <c r="G829" s="14" t="n"/>
      <c r="H829" s="14" t="n"/>
      <c r="I829" s="14" t="n"/>
      <c r="N829" s="14" t="n"/>
      <c r="P829" s="14">
        <f>IF(ISBLANK(I829),"",DATE(YEAR(I829)+1,MONTH(I829),DAY(I829)))</f>
        <v/>
      </c>
    </row>
    <row r="830">
      <c r="C830">
        <f>IFERROR(VLOOKUP(B830,Trigger_Assessment!$A$2:$B$1000,2,FALSE),"")</f>
        <v/>
      </c>
      <c r="D830">
        <f>IFERROR(VLOOKUP(B830,Trigger_Assessment!$A$2:$C$1000,3,FALSE),"")</f>
        <v/>
      </c>
      <c r="G830" s="14" t="n"/>
      <c r="H830" s="14" t="n"/>
      <c r="I830" s="14" t="n"/>
      <c r="N830" s="14" t="n"/>
      <c r="P830" s="14">
        <f>IF(ISBLANK(I830),"",DATE(YEAR(I830)+1,MONTH(I830),DAY(I830)))</f>
        <v/>
      </c>
    </row>
    <row r="831">
      <c r="C831">
        <f>IFERROR(VLOOKUP(B831,Trigger_Assessment!$A$2:$B$1000,2,FALSE),"")</f>
        <v/>
      </c>
      <c r="D831">
        <f>IFERROR(VLOOKUP(B831,Trigger_Assessment!$A$2:$C$1000,3,FALSE),"")</f>
        <v/>
      </c>
      <c r="G831" s="14" t="n"/>
      <c r="H831" s="14" t="n"/>
      <c r="I831" s="14" t="n"/>
      <c r="N831" s="14" t="n"/>
      <c r="P831" s="14">
        <f>IF(ISBLANK(I831),"",DATE(YEAR(I831)+1,MONTH(I831),DAY(I831)))</f>
        <v/>
      </c>
    </row>
    <row r="832">
      <c r="C832">
        <f>IFERROR(VLOOKUP(B832,Trigger_Assessment!$A$2:$B$1000,2,FALSE),"")</f>
        <v/>
      </c>
      <c r="D832">
        <f>IFERROR(VLOOKUP(B832,Trigger_Assessment!$A$2:$C$1000,3,FALSE),"")</f>
        <v/>
      </c>
      <c r="G832" s="14" t="n"/>
      <c r="H832" s="14" t="n"/>
      <c r="I832" s="14" t="n"/>
      <c r="N832" s="14" t="n"/>
      <c r="P832" s="14">
        <f>IF(ISBLANK(I832),"",DATE(YEAR(I832)+1,MONTH(I832),DAY(I832)))</f>
        <v/>
      </c>
    </row>
    <row r="833">
      <c r="C833">
        <f>IFERROR(VLOOKUP(B833,Trigger_Assessment!$A$2:$B$1000,2,FALSE),"")</f>
        <v/>
      </c>
      <c r="D833">
        <f>IFERROR(VLOOKUP(B833,Trigger_Assessment!$A$2:$C$1000,3,FALSE),"")</f>
        <v/>
      </c>
      <c r="G833" s="14" t="n"/>
      <c r="H833" s="14" t="n"/>
      <c r="I833" s="14" t="n"/>
      <c r="N833" s="14" t="n"/>
      <c r="P833" s="14">
        <f>IF(ISBLANK(I833),"",DATE(YEAR(I833)+1,MONTH(I833),DAY(I833)))</f>
        <v/>
      </c>
    </row>
    <row r="834">
      <c r="C834">
        <f>IFERROR(VLOOKUP(B834,Trigger_Assessment!$A$2:$B$1000,2,FALSE),"")</f>
        <v/>
      </c>
      <c r="D834">
        <f>IFERROR(VLOOKUP(B834,Trigger_Assessment!$A$2:$C$1000,3,FALSE),"")</f>
        <v/>
      </c>
      <c r="G834" s="14" t="n"/>
      <c r="H834" s="14" t="n"/>
      <c r="I834" s="14" t="n"/>
      <c r="N834" s="14" t="n"/>
      <c r="P834" s="14">
        <f>IF(ISBLANK(I834),"",DATE(YEAR(I834)+1,MONTH(I834),DAY(I834)))</f>
        <v/>
      </c>
    </row>
    <row r="835">
      <c r="C835">
        <f>IFERROR(VLOOKUP(B835,Trigger_Assessment!$A$2:$B$1000,2,FALSE),"")</f>
        <v/>
      </c>
      <c r="D835">
        <f>IFERROR(VLOOKUP(B835,Trigger_Assessment!$A$2:$C$1000,3,FALSE),"")</f>
        <v/>
      </c>
      <c r="G835" s="14" t="n"/>
      <c r="H835" s="14" t="n"/>
      <c r="I835" s="14" t="n"/>
      <c r="N835" s="14" t="n"/>
      <c r="P835" s="14">
        <f>IF(ISBLANK(I835),"",DATE(YEAR(I835)+1,MONTH(I835),DAY(I835)))</f>
        <v/>
      </c>
    </row>
    <row r="836">
      <c r="C836">
        <f>IFERROR(VLOOKUP(B836,Trigger_Assessment!$A$2:$B$1000,2,FALSE),"")</f>
        <v/>
      </c>
      <c r="D836">
        <f>IFERROR(VLOOKUP(B836,Trigger_Assessment!$A$2:$C$1000,3,FALSE),"")</f>
        <v/>
      </c>
      <c r="G836" s="14" t="n"/>
      <c r="H836" s="14" t="n"/>
      <c r="I836" s="14" t="n"/>
      <c r="N836" s="14" t="n"/>
      <c r="P836" s="14">
        <f>IF(ISBLANK(I836),"",DATE(YEAR(I836)+1,MONTH(I836),DAY(I836)))</f>
        <v/>
      </c>
    </row>
    <row r="837">
      <c r="C837">
        <f>IFERROR(VLOOKUP(B837,Trigger_Assessment!$A$2:$B$1000,2,FALSE),"")</f>
        <v/>
      </c>
      <c r="D837">
        <f>IFERROR(VLOOKUP(B837,Trigger_Assessment!$A$2:$C$1000,3,FALSE),"")</f>
        <v/>
      </c>
      <c r="G837" s="14" t="n"/>
      <c r="H837" s="14" t="n"/>
      <c r="I837" s="14" t="n"/>
      <c r="N837" s="14" t="n"/>
      <c r="P837" s="14">
        <f>IF(ISBLANK(I837),"",DATE(YEAR(I837)+1,MONTH(I837),DAY(I837)))</f>
        <v/>
      </c>
    </row>
    <row r="838">
      <c r="C838">
        <f>IFERROR(VLOOKUP(B838,Trigger_Assessment!$A$2:$B$1000,2,FALSE),"")</f>
        <v/>
      </c>
      <c r="D838">
        <f>IFERROR(VLOOKUP(B838,Trigger_Assessment!$A$2:$C$1000,3,FALSE),"")</f>
        <v/>
      </c>
      <c r="G838" s="14" t="n"/>
      <c r="H838" s="14" t="n"/>
      <c r="I838" s="14" t="n"/>
      <c r="N838" s="14" t="n"/>
      <c r="P838" s="14">
        <f>IF(ISBLANK(I838),"",DATE(YEAR(I838)+1,MONTH(I838),DAY(I838)))</f>
        <v/>
      </c>
    </row>
    <row r="839">
      <c r="C839">
        <f>IFERROR(VLOOKUP(B839,Trigger_Assessment!$A$2:$B$1000,2,FALSE),"")</f>
        <v/>
      </c>
      <c r="D839">
        <f>IFERROR(VLOOKUP(B839,Trigger_Assessment!$A$2:$C$1000,3,FALSE),"")</f>
        <v/>
      </c>
      <c r="G839" s="14" t="n"/>
      <c r="H839" s="14" t="n"/>
      <c r="I839" s="14" t="n"/>
      <c r="N839" s="14" t="n"/>
      <c r="P839" s="14">
        <f>IF(ISBLANK(I839),"",DATE(YEAR(I839)+1,MONTH(I839),DAY(I839)))</f>
        <v/>
      </c>
    </row>
    <row r="840">
      <c r="C840">
        <f>IFERROR(VLOOKUP(B840,Trigger_Assessment!$A$2:$B$1000,2,FALSE),"")</f>
        <v/>
      </c>
      <c r="D840">
        <f>IFERROR(VLOOKUP(B840,Trigger_Assessment!$A$2:$C$1000,3,FALSE),"")</f>
        <v/>
      </c>
      <c r="G840" s="14" t="n"/>
      <c r="H840" s="14" t="n"/>
      <c r="I840" s="14" t="n"/>
      <c r="N840" s="14" t="n"/>
      <c r="P840" s="14">
        <f>IF(ISBLANK(I840),"",DATE(YEAR(I840)+1,MONTH(I840),DAY(I840)))</f>
        <v/>
      </c>
    </row>
    <row r="841">
      <c r="C841">
        <f>IFERROR(VLOOKUP(B841,Trigger_Assessment!$A$2:$B$1000,2,FALSE),"")</f>
        <v/>
      </c>
      <c r="D841">
        <f>IFERROR(VLOOKUP(B841,Trigger_Assessment!$A$2:$C$1000,3,FALSE),"")</f>
        <v/>
      </c>
      <c r="G841" s="14" t="n"/>
      <c r="H841" s="14" t="n"/>
      <c r="I841" s="14" t="n"/>
      <c r="N841" s="14" t="n"/>
      <c r="P841" s="14">
        <f>IF(ISBLANK(I841),"",DATE(YEAR(I841)+1,MONTH(I841),DAY(I841)))</f>
        <v/>
      </c>
    </row>
    <row r="842">
      <c r="C842">
        <f>IFERROR(VLOOKUP(B842,Trigger_Assessment!$A$2:$B$1000,2,FALSE),"")</f>
        <v/>
      </c>
      <c r="D842">
        <f>IFERROR(VLOOKUP(B842,Trigger_Assessment!$A$2:$C$1000,3,FALSE),"")</f>
        <v/>
      </c>
      <c r="G842" s="14" t="n"/>
      <c r="H842" s="14" t="n"/>
      <c r="I842" s="14" t="n"/>
      <c r="N842" s="14" t="n"/>
      <c r="P842" s="14">
        <f>IF(ISBLANK(I842),"",DATE(YEAR(I842)+1,MONTH(I842),DAY(I842)))</f>
        <v/>
      </c>
    </row>
    <row r="843">
      <c r="C843">
        <f>IFERROR(VLOOKUP(B843,Trigger_Assessment!$A$2:$B$1000,2,FALSE),"")</f>
        <v/>
      </c>
      <c r="D843">
        <f>IFERROR(VLOOKUP(B843,Trigger_Assessment!$A$2:$C$1000,3,FALSE),"")</f>
        <v/>
      </c>
      <c r="G843" s="14" t="n"/>
      <c r="H843" s="14" t="n"/>
      <c r="I843" s="14" t="n"/>
      <c r="N843" s="14" t="n"/>
      <c r="P843" s="14">
        <f>IF(ISBLANK(I843),"",DATE(YEAR(I843)+1,MONTH(I843),DAY(I843)))</f>
        <v/>
      </c>
    </row>
    <row r="844">
      <c r="C844">
        <f>IFERROR(VLOOKUP(B844,Trigger_Assessment!$A$2:$B$1000,2,FALSE),"")</f>
        <v/>
      </c>
      <c r="D844">
        <f>IFERROR(VLOOKUP(B844,Trigger_Assessment!$A$2:$C$1000,3,FALSE),"")</f>
        <v/>
      </c>
      <c r="G844" s="14" t="n"/>
      <c r="H844" s="14" t="n"/>
      <c r="I844" s="14" t="n"/>
      <c r="N844" s="14" t="n"/>
      <c r="P844" s="14">
        <f>IF(ISBLANK(I844),"",DATE(YEAR(I844)+1,MONTH(I844),DAY(I844)))</f>
        <v/>
      </c>
    </row>
    <row r="845">
      <c r="C845">
        <f>IFERROR(VLOOKUP(B845,Trigger_Assessment!$A$2:$B$1000,2,FALSE),"")</f>
        <v/>
      </c>
      <c r="D845">
        <f>IFERROR(VLOOKUP(B845,Trigger_Assessment!$A$2:$C$1000,3,FALSE),"")</f>
        <v/>
      </c>
      <c r="G845" s="14" t="n"/>
      <c r="H845" s="14" t="n"/>
      <c r="I845" s="14" t="n"/>
      <c r="N845" s="14" t="n"/>
      <c r="P845" s="14">
        <f>IF(ISBLANK(I845),"",DATE(YEAR(I845)+1,MONTH(I845),DAY(I845)))</f>
        <v/>
      </c>
    </row>
    <row r="846">
      <c r="C846">
        <f>IFERROR(VLOOKUP(B846,Trigger_Assessment!$A$2:$B$1000,2,FALSE),"")</f>
        <v/>
      </c>
      <c r="D846">
        <f>IFERROR(VLOOKUP(B846,Trigger_Assessment!$A$2:$C$1000,3,FALSE),"")</f>
        <v/>
      </c>
      <c r="G846" s="14" t="n"/>
      <c r="H846" s="14" t="n"/>
      <c r="I846" s="14" t="n"/>
      <c r="N846" s="14" t="n"/>
      <c r="P846" s="14">
        <f>IF(ISBLANK(I846),"",DATE(YEAR(I846)+1,MONTH(I846),DAY(I846)))</f>
        <v/>
      </c>
    </row>
    <row r="847">
      <c r="C847">
        <f>IFERROR(VLOOKUP(B847,Trigger_Assessment!$A$2:$B$1000,2,FALSE),"")</f>
        <v/>
      </c>
      <c r="D847">
        <f>IFERROR(VLOOKUP(B847,Trigger_Assessment!$A$2:$C$1000,3,FALSE),"")</f>
        <v/>
      </c>
      <c r="G847" s="14" t="n"/>
      <c r="H847" s="14" t="n"/>
      <c r="I847" s="14" t="n"/>
      <c r="N847" s="14" t="n"/>
      <c r="P847" s="14">
        <f>IF(ISBLANK(I847),"",DATE(YEAR(I847)+1,MONTH(I847),DAY(I847)))</f>
        <v/>
      </c>
    </row>
    <row r="848">
      <c r="C848">
        <f>IFERROR(VLOOKUP(B848,Trigger_Assessment!$A$2:$B$1000,2,FALSE),"")</f>
        <v/>
      </c>
      <c r="D848">
        <f>IFERROR(VLOOKUP(B848,Trigger_Assessment!$A$2:$C$1000,3,FALSE),"")</f>
        <v/>
      </c>
      <c r="G848" s="14" t="n"/>
      <c r="H848" s="14" t="n"/>
      <c r="I848" s="14" t="n"/>
      <c r="N848" s="14" t="n"/>
      <c r="P848" s="14">
        <f>IF(ISBLANK(I848),"",DATE(YEAR(I848)+1,MONTH(I848),DAY(I848)))</f>
        <v/>
      </c>
    </row>
    <row r="849">
      <c r="C849">
        <f>IFERROR(VLOOKUP(B849,Trigger_Assessment!$A$2:$B$1000,2,FALSE),"")</f>
        <v/>
      </c>
      <c r="D849">
        <f>IFERROR(VLOOKUP(B849,Trigger_Assessment!$A$2:$C$1000,3,FALSE),"")</f>
        <v/>
      </c>
      <c r="G849" s="14" t="n"/>
      <c r="H849" s="14" t="n"/>
      <c r="I849" s="14" t="n"/>
      <c r="N849" s="14" t="n"/>
      <c r="P849" s="14">
        <f>IF(ISBLANK(I849),"",DATE(YEAR(I849)+1,MONTH(I849),DAY(I849)))</f>
        <v/>
      </c>
    </row>
    <row r="850">
      <c r="C850">
        <f>IFERROR(VLOOKUP(B850,Trigger_Assessment!$A$2:$B$1000,2,FALSE),"")</f>
        <v/>
      </c>
      <c r="D850">
        <f>IFERROR(VLOOKUP(B850,Trigger_Assessment!$A$2:$C$1000,3,FALSE),"")</f>
        <v/>
      </c>
      <c r="G850" s="14" t="n"/>
      <c r="H850" s="14" t="n"/>
      <c r="I850" s="14" t="n"/>
      <c r="N850" s="14" t="n"/>
      <c r="P850" s="14">
        <f>IF(ISBLANK(I850),"",DATE(YEAR(I850)+1,MONTH(I850),DAY(I850)))</f>
        <v/>
      </c>
    </row>
    <row r="851">
      <c r="C851">
        <f>IFERROR(VLOOKUP(B851,Trigger_Assessment!$A$2:$B$1000,2,FALSE),"")</f>
        <v/>
      </c>
      <c r="D851">
        <f>IFERROR(VLOOKUP(B851,Trigger_Assessment!$A$2:$C$1000,3,FALSE),"")</f>
        <v/>
      </c>
      <c r="G851" s="14" t="n"/>
      <c r="H851" s="14" t="n"/>
      <c r="I851" s="14" t="n"/>
      <c r="N851" s="14" t="n"/>
      <c r="P851" s="14">
        <f>IF(ISBLANK(I851),"",DATE(YEAR(I851)+1,MONTH(I851),DAY(I851)))</f>
        <v/>
      </c>
    </row>
    <row r="852">
      <c r="C852">
        <f>IFERROR(VLOOKUP(B852,Trigger_Assessment!$A$2:$B$1000,2,FALSE),"")</f>
        <v/>
      </c>
      <c r="D852">
        <f>IFERROR(VLOOKUP(B852,Trigger_Assessment!$A$2:$C$1000,3,FALSE),"")</f>
        <v/>
      </c>
      <c r="G852" s="14" t="n"/>
      <c r="H852" s="14" t="n"/>
      <c r="I852" s="14" t="n"/>
      <c r="N852" s="14" t="n"/>
      <c r="P852" s="14">
        <f>IF(ISBLANK(I852),"",DATE(YEAR(I852)+1,MONTH(I852),DAY(I852)))</f>
        <v/>
      </c>
    </row>
    <row r="853">
      <c r="C853">
        <f>IFERROR(VLOOKUP(B853,Trigger_Assessment!$A$2:$B$1000,2,FALSE),"")</f>
        <v/>
      </c>
      <c r="D853">
        <f>IFERROR(VLOOKUP(B853,Trigger_Assessment!$A$2:$C$1000,3,FALSE),"")</f>
        <v/>
      </c>
      <c r="G853" s="14" t="n"/>
      <c r="H853" s="14" t="n"/>
      <c r="I853" s="14" t="n"/>
      <c r="N853" s="14" t="n"/>
      <c r="P853" s="14">
        <f>IF(ISBLANK(I853),"",DATE(YEAR(I853)+1,MONTH(I853),DAY(I853)))</f>
        <v/>
      </c>
    </row>
    <row r="854">
      <c r="C854">
        <f>IFERROR(VLOOKUP(B854,Trigger_Assessment!$A$2:$B$1000,2,FALSE),"")</f>
        <v/>
      </c>
      <c r="D854">
        <f>IFERROR(VLOOKUP(B854,Trigger_Assessment!$A$2:$C$1000,3,FALSE),"")</f>
        <v/>
      </c>
      <c r="G854" s="14" t="n"/>
      <c r="H854" s="14" t="n"/>
      <c r="I854" s="14" t="n"/>
      <c r="N854" s="14" t="n"/>
      <c r="P854" s="14">
        <f>IF(ISBLANK(I854),"",DATE(YEAR(I854)+1,MONTH(I854),DAY(I854)))</f>
        <v/>
      </c>
    </row>
    <row r="855">
      <c r="C855">
        <f>IFERROR(VLOOKUP(B855,Trigger_Assessment!$A$2:$B$1000,2,FALSE),"")</f>
        <v/>
      </c>
      <c r="D855">
        <f>IFERROR(VLOOKUP(B855,Trigger_Assessment!$A$2:$C$1000,3,FALSE),"")</f>
        <v/>
      </c>
      <c r="G855" s="14" t="n"/>
      <c r="H855" s="14" t="n"/>
      <c r="I855" s="14" t="n"/>
      <c r="N855" s="14" t="n"/>
      <c r="P855" s="14">
        <f>IF(ISBLANK(I855),"",DATE(YEAR(I855)+1,MONTH(I855),DAY(I855)))</f>
        <v/>
      </c>
    </row>
    <row r="856">
      <c r="C856">
        <f>IFERROR(VLOOKUP(B856,Trigger_Assessment!$A$2:$B$1000,2,FALSE),"")</f>
        <v/>
      </c>
      <c r="D856">
        <f>IFERROR(VLOOKUP(B856,Trigger_Assessment!$A$2:$C$1000,3,FALSE),"")</f>
        <v/>
      </c>
      <c r="G856" s="14" t="n"/>
      <c r="H856" s="14" t="n"/>
      <c r="I856" s="14" t="n"/>
      <c r="N856" s="14" t="n"/>
      <c r="P856" s="14">
        <f>IF(ISBLANK(I856),"",DATE(YEAR(I856)+1,MONTH(I856),DAY(I856)))</f>
        <v/>
      </c>
    </row>
    <row r="857">
      <c r="C857">
        <f>IFERROR(VLOOKUP(B857,Trigger_Assessment!$A$2:$B$1000,2,FALSE),"")</f>
        <v/>
      </c>
      <c r="D857">
        <f>IFERROR(VLOOKUP(B857,Trigger_Assessment!$A$2:$C$1000,3,FALSE),"")</f>
        <v/>
      </c>
      <c r="G857" s="14" t="n"/>
      <c r="H857" s="14" t="n"/>
      <c r="I857" s="14" t="n"/>
      <c r="N857" s="14" t="n"/>
      <c r="P857" s="14">
        <f>IF(ISBLANK(I857),"",DATE(YEAR(I857)+1,MONTH(I857),DAY(I857)))</f>
        <v/>
      </c>
    </row>
    <row r="858">
      <c r="C858">
        <f>IFERROR(VLOOKUP(B858,Trigger_Assessment!$A$2:$B$1000,2,FALSE),"")</f>
        <v/>
      </c>
      <c r="D858">
        <f>IFERROR(VLOOKUP(B858,Trigger_Assessment!$A$2:$C$1000,3,FALSE),"")</f>
        <v/>
      </c>
      <c r="G858" s="14" t="n"/>
      <c r="H858" s="14" t="n"/>
      <c r="I858" s="14" t="n"/>
      <c r="N858" s="14" t="n"/>
      <c r="P858" s="14">
        <f>IF(ISBLANK(I858),"",DATE(YEAR(I858)+1,MONTH(I858),DAY(I858)))</f>
        <v/>
      </c>
    </row>
    <row r="859">
      <c r="C859">
        <f>IFERROR(VLOOKUP(B859,Trigger_Assessment!$A$2:$B$1000,2,FALSE),"")</f>
        <v/>
      </c>
      <c r="D859">
        <f>IFERROR(VLOOKUP(B859,Trigger_Assessment!$A$2:$C$1000,3,FALSE),"")</f>
        <v/>
      </c>
      <c r="G859" s="14" t="n"/>
      <c r="H859" s="14" t="n"/>
      <c r="I859" s="14" t="n"/>
      <c r="N859" s="14" t="n"/>
      <c r="P859" s="14">
        <f>IF(ISBLANK(I859),"",DATE(YEAR(I859)+1,MONTH(I859),DAY(I859)))</f>
        <v/>
      </c>
    </row>
    <row r="860">
      <c r="C860">
        <f>IFERROR(VLOOKUP(B860,Trigger_Assessment!$A$2:$B$1000,2,FALSE),"")</f>
        <v/>
      </c>
      <c r="D860">
        <f>IFERROR(VLOOKUP(B860,Trigger_Assessment!$A$2:$C$1000,3,FALSE),"")</f>
        <v/>
      </c>
      <c r="G860" s="14" t="n"/>
      <c r="H860" s="14" t="n"/>
      <c r="I860" s="14" t="n"/>
      <c r="N860" s="14" t="n"/>
      <c r="P860" s="14">
        <f>IF(ISBLANK(I860),"",DATE(YEAR(I860)+1,MONTH(I860),DAY(I860)))</f>
        <v/>
      </c>
    </row>
    <row r="861">
      <c r="C861">
        <f>IFERROR(VLOOKUP(B861,Trigger_Assessment!$A$2:$B$1000,2,FALSE),"")</f>
        <v/>
      </c>
      <c r="D861">
        <f>IFERROR(VLOOKUP(B861,Trigger_Assessment!$A$2:$C$1000,3,FALSE),"")</f>
        <v/>
      </c>
      <c r="G861" s="14" t="n"/>
      <c r="H861" s="14" t="n"/>
      <c r="I861" s="14" t="n"/>
      <c r="N861" s="14" t="n"/>
      <c r="P861" s="14">
        <f>IF(ISBLANK(I861),"",DATE(YEAR(I861)+1,MONTH(I861),DAY(I861)))</f>
        <v/>
      </c>
    </row>
    <row r="862">
      <c r="C862">
        <f>IFERROR(VLOOKUP(B862,Trigger_Assessment!$A$2:$B$1000,2,FALSE),"")</f>
        <v/>
      </c>
      <c r="D862">
        <f>IFERROR(VLOOKUP(B862,Trigger_Assessment!$A$2:$C$1000,3,FALSE),"")</f>
        <v/>
      </c>
      <c r="G862" s="14" t="n"/>
      <c r="H862" s="14" t="n"/>
      <c r="I862" s="14" t="n"/>
      <c r="N862" s="14" t="n"/>
      <c r="P862" s="14">
        <f>IF(ISBLANK(I862),"",DATE(YEAR(I862)+1,MONTH(I862),DAY(I862)))</f>
        <v/>
      </c>
    </row>
    <row r="863">
      <c r="C863">
        <f>IFERROR(VLOOKUP(B863,Trigger_Assessment!$A$2:$B$1000,2,FALSE),"")</f>
        <v/>
      </c>
      <c r="D863">
        <f>IFERROR(VLOOKUP(B863,Trigger_Assessment!$A$2:$C$1000,3,FALSE),"")</f>
        <v/>
      </c>
      <c r="G863" s="14" t="n"/>
      <c r="H863" s="14" t="n"/>
      <c r="I863" s="14" t="n"/>
      <c r="N863" s="14" t="n"/>
      <c r="P863" s="14">
        <f>IF(ISBLANK(I863),"",DATE(YEAR(I863)+1,MONTH(I863),DAY(I863)))</f>
        <v/>
      </c>
    </row>
    <row r="864">
      <c r="C864">
        <f>IFERROR(VLOOKUP(B864,Trigger_Assessment!$A$2:$B$1000,2,FALSE),"")</f>
        <v/>
      </c>
      <c r="D864">
        <f>IFERROR(VLOOKUP(B864,Trigger_Assessment!$A$2:$C$1000,3,FALSE),"")</f>
        <v/>
      </c>
      <c r="G864" s="14" t="n"/>
      <c r="H864" s="14" t="n"/>
      <c r="I864" s="14" t="n"/>
      <c r="N864" s="14" t="n"/>
      <c r="P864" s="14">
        <f>IF(ISBLANK(I864),"",DATE(YEAR(I864)+1,MONTH(I864),DAY(I864)))</f>
        <v/>
      </c>
    </row>
    <row r="865">
      <c r="C865">
        <f>IFERROR(VLOOKUP(B865,Trigger_Assessment!$A$2:$B$1000,2,FALSE),"")</f>
        <v/>
      </c>
      <c r="D865">
        <f>IFERROR(VLOOKUP(B865,Trigger_Assessment!$A$2:$C$1000,3,FALSE),"")</f>
        <v/>
      </c>
      <c r="G865" s="14" t="n"/>
      <c r="H865" s="14" t="n"/>
      <c r="I865" s="14" t="n"/>
      <c r="N865" s="14" t="n"/>
      <c r="P865" s="14">
        <f>IF(ISBLANK(I865),"",DATE(YEAR(I865)+1,MONTH(I865),DAY(I865)))</f>
        <v/>
      </c>
    </row>
    <row r="866">
      <c r="C866">
        <f>IFERROR(VLOOKUP(B866,Trigger_Assessment!$A$2:$B$1000,2,FALSE),"")</f>
        <v/>
      </c>
      <c r="D866">
        <f>IFERROR(VLOOKUP(B866,Trigger_Assessment!$A$2:$C$1000,3,FALSE),"")</f>
        <v/>
      </c>
      <c r="G866" s="14" t="n"/>
      <c r="H866" s="14" t="n"/>
      <c r="I866" s="14" t="n"/>
      <c r="N866" s="14" t="n"/>
      <c r="P866" s="14">
        <f>IF(ISBLANK(I866),"",DATE(YEAR(I866)+1,MONTH(I866),DAY(I866)))</f>
        <v/>
      </c>
    </row>
    <row r="867">
      <c r="C867">
        <f>IFERROR(VLOOKUP(B867,Trigger_Assessment!$A$2:$B$1000,2,FALSE),"")</f>
        <v/>
      </c>
      <c r="D867">
        <f>IFERROR(VLOOKUP(B867,Trigger_Assessment!$A$2:$C$1000,3,FALSE),"")</f>
        <v/>
      </c>
      <c r="G867" s="14" t="n"/>
      <c r="H867" s="14" t="n"/>
      <c r="I867" s="14" t="n"/>
      <c r="N867" s="14" t="n"/>
      <c r="P867" s="14">
        <f>IF(ISBLANK(I867),"",DATE(YEAR(I867)+1,MONTH(I867),DAY(I867)))</f>
        <v/>
      </c>
    </row>
    <row r="868">
      <c r="C868">
        <f>IFERROR(VLOOKUP(B868,Trigger_Assessment!$A$2:$B$1000,2,FALSE),"")</f>
        <v/>
      </c>
      <c r="D868">
        <f>IFERROR(VLOOKUP(B868,Trigger_Assessment!$A$2:$C$1000,3,FALSE),"")</f>
        <v/>
      </c>
      <c r="G868" s="14" t="n"/>
      <c r="H868" s="14" t="n"/>
      <c r="I868" s="14" t="n"/>
      <c r="N868" s="14" t="n"/>
      <c r="P868" s="14">
        <f>IF(ISBLANK(I868),"",DATE(YEAR(I868)+1,MONTH(I868),DAY(I868)))</f>
        <v/>
      </c>
    </row>
    <row r="869">
      <c r="C869">
        <f>IFERROR(VLOOKUP(B869,Trigger_Assessment!$A$2:$B$1000,2,FALSE),"")</f>
        <v/>
      </c>
      <c r="D869">
        <f>IFERROR(VLOOKUP(B869,Trigger_Assessment!$A$2:$C$1000,3,FALSE),"")</f>
        <v/>
      </c>
      <c r="G869" s="14" t="n"/>
      <c r="H869" s="14" t="n"/>
      <c r="I869" s="14" t="n"/>
      <c r="N869" s="14" t="n"/>
      <c r="P869" s="14">
        <f>IF(ISBLANK(I869),"",DATE(YEAR(I869)+1,MONTH(I869),DAY(I869)))</f>
        <v/>
      </c>
    </row>
    <row r="870">
      <c r="C870">
        <f>IFERROR(VLOOKUP(B870,Trigger_Assessment!$A$2:$B$1000,2,FALSE),"")</f>
        <v/>
      </c>
      <c r="D870">
        <f>IFERROR(VLOOKUP(B870,Trigger_Assessment!$A$2:$C$1000,3,FALSE),"")</f>
        <v/>
      </c>
      <c r="G870" s="14" t="n"/>
      <c r="H870" s="14" t="n"/>
      <c r="I870" s="14" t="n"/>
      <c r="N870" s="14" t="n"/>
      <c r="P870" s="14">
        <f>IF(ISBLANK(I870),"",DATE(YEAR(I870)+1,MONTH(I870),DAY(I870)))</f>
        <v/>
      </c>
    </row>
    <row r="871">
      <c r="C871">
        <f>IFERROR(VLOOKUP(B871,Trigger_Assessment!$A$2:$B$1000,2,FALSE),"")</f>
        <v/>
      </c>
      <c r="D871">
        <f>IFERROR(VLOOKUP(B871,Trigger_Assessment!$A$2:$C$1000,3,FALSE),"")</f>
        <v/>
      </c>
      <c r="G871" s="14" t="n"/>
      <c r="H871" s="14" t="n"/>
      <c r="I871" s="14" t="n"/>
      <c r="N871" s="14" t="n"/>
      <c r="P871" s="14">
        <f>IF(ISBLANK(I871),"",DATE(YEAR(I871)+1,MONTH(I871),DAY(I871)))</f>
        <v/>
      </c>
    </row>
    <row r="872">
      <c r="C872">
        <f>IFERROR(VLOOKUP(B872,Trigger_Assessment!$A$2:$B$1000,2,FALSE),"")</f>
        <v/>
      </c>
      <c r="D872">
        <f>IFERROR(VLOOKUP(B872,Trigger_Assessment!$A$2:$C$1000,3,FALSE),"")</f>
        <v/>
      </c>
      <c r="G872" s="14" t="n"/>
      <c r="H872" s="14" t="n"/>
      <c r="I872" s="14" t="n"/>
      <c r="N872" s="14" t="n"/>
      <c r="P872" s="14">
        <f>IF(ISBLANK(I872),"",DATE(YEAR(I872)+1,MONTH(I872),DAY(I872)))</f>
        <v/>
      </c>
    </row>
    <row r="873">
      <c r="C873">
        <f>IFERROR(VLOOKUP(B873,Trigger_Assessment!$A$2:$B$1000,2,FALSE),"")</f>
        <v/>
      </c>
      <c r="D873">
        <f>IFERROR(VLOOKUP(B873,Trigger_Assessment!$A$2:$C$1000,3,FALSE),"")</f>
        <v/>
      </c>
      <c r="G873" s="14" t="n"/>
      <c r="H873" s="14" t="n"/>
      <c r="I873" s="14" t="n"/>
      <c r="N873" s="14" t="n"/>
      <c r="P873" s="14">
        <f>IF(ISBLANK(I873),"",DATE(YEAR(I873)+1,MONTH(I873),DAY(I873)))</f>
        <v/>
      </c>
    </row>
    <row r="874">
      <c r="C874">
        <f>IFERROR(VLOOKUP(B874,Trigger_Assessment!$A$2:$B$1000,2,FALSE),"")</f>
        <v/>
      </c>
      <c r="D874">
        <f>IFERROR(VLOOKUP(B874,Trigger_Assessment!$A$2:$C$1000,3,FALSE),"")</f>
        <v/>
      </c>
      <c r="G874" s="14" t="n"/>
      <c r="H874" s="14" t="n"/>
      <c r="I874" s="14" t="n"/>
      <c r="N874" s="14" t="n"/>
      <c r="P874" s="14">
        <f>IF(ISBLANK(I874),"",DATE(YEAR(I874)+1,MONTH(I874),DAY(I874)))</f>
        <v/>
      </c>
    </row>
    <row r="875">
      <c r="C875">
        <f>IFERROR(VLOOKUP(B875,Trigger_Assessment!$A$2:$B$1000,2,FALSE),"")</f>
        <v/>
      </c>
      <c r="D875">
        <f>IFERROR(VLOOKUP(B875,Trigger_Assessment!$A$2:$C$1000,3,FALSE),"")</f>
        <v/>
      </c>
      <c r="G875" s="14" t="n"/>
      <c r="H875" s="14" t="n"/>
      <c r="I875" s="14" t="n"/>
      <c r="N875" s="14" t="n"/>
      <c r="P875" s="14">
        <f>IF(ISBLANK(I875),"",DATE(YEAR(I875)+1,MONTH(I875),DAY(I875)))</f>
        <v/>
      </c>
    </row>
    <row r="876">
      <c r="C876">
        <f>IFERROR(VLOOKUP(B876,Trigger_Assessment!$A$2:$B$1000,2,FALSE),"")</f>
        <v/>
      </c>
      <c r="D876">
        <f>IFERROR(VLOOKUP(B876,Trigger_Assessment!$A$2:$C$1000,3,FALSE),"")</f>
        <v/>
      </c>
      <c r="G876" s="14" t="n"/>
      <c r="H876" s="14" t="n"/>
      <c r="I876" s="14" t="n"/>
      <c r="N876" s="14" t="n"/>
      <c r="P876" s="14">
        <f>IF(ISBLANK(I876),"",DATE(YEAR(I876)+1,MONTH(I876),DAY(I876)))</f>
        <v/>
      </c>
    </row>
    <row r="877">
      <c r="C877">
        <f>IFERROR(VLOOKUP(B877,Trigger_Assessment!$A$2:$B$1000,2,FALSE),"")</f>
        <v/>
      </c>
      <c r="D877">
        <f>IFERROR(VLOOKUP(B877,Trigger_Assessment!$A$2:$C$1000,3,FALSE),"")</f>
        <v/>
      </c>
      <c r="G877" s="14" t="n"/>
      <c r="H877" s="14" t="n"/>
      <c r="I877" s="14" t="n"/>
      <c r="N877" s="14" t="n"/>
      <c r="P877" s="14">
        <f>IF(ISBLANK(I877),"",DATE(YEAR(I877)+1,MONTH(I877),DAY(I877)))</f>
        <v/>
      </c>
    </row>
    <row r="878">
      <c r="C878">
        <f>IFERROR(VLOOKUP(B878,Trigger_Assessment!$A$2:$B$1000,2,FALSE),"")</f>
        <v/>
      </c>
      <c r="D878">
        <f>IFERROR(VLOOKUP(B878,Trigger_Assessment!$A$2:$C$1000,3,FALSE),"")</f>
        <v/>
      </c>
      <c r="G878" s="14" t="n"/>
      <c r="H878" s="14" t="n"/>
      <c r="I878" s="14" t="n"/>
      <c r="N878" s="14" t="n"/>
      <c r="P878" s="14">
        <f>IF(ISBLANK(I878),"",DATE(YEAR(I878)+1,MONTH(I878),DAY(I878)))</f>
        <v/>
      </c>
    </row>
    <row r="879">
      <c r="C879">
        <f>IFERROR(VLOOKUP(B879,Trigger_Assessment!$A$2:$B$1000,2,FALSE),"")</f>
        <v/>
      </c>
      <c r="D879">
        <f>IFERROR(VLOOKUP(B879,Trigger_Assessment!$A$2:$C$1000,3,FALSE),"")</f>
        <v/>
      </c>
      <c r="G879" s="14" t="n"/>
      <c r="H879" s="14" t="n"/>
      <c r="I879" s="14" t="n"/>
      <c r="N879" s="14" t="n"/>
      <c r="P879" s="14">
        <f>IF(ISBLANK(I879),"",DATE(YEAR(I879)+1,MONTH(I879),DAY(I879)))</f>
        <v/>
      </c>
    </row>
    <row r="880">
      <c r="C880">
        <f>IFERROR(VLOOKUP(B880,Trigger_Assessment!$A$2:$B$1000,2,FALSE),"")</f>
        <v/>
      </c>
      <c r="D880">
        <f>IFERROR(VLOOKUP(B880,Trigger_Assessment!$A$2:$C$1000,3,FALSE),"")</f>
        <v/>
      </c>
      <c r="G880" s="14" t="n"/>
      <c r="H880" s="14" t="n"/>
      <c r="I880" s="14" t="n"/>
      <c r="N880" s="14" t="n"/>
      <c r="P880" s="14">
        <f>IF(ISBLANK(I880),"",DATE(YEAR(I880)+1,MONTH(I880),DAY(I880)))</f>
        <v/>
      </c>
    </row>
    <row r="881">
      <c r="C881">
        <f>IFERROR(VLOOKUP(B881,Trigger_Assessment!$A$2:$B$1000,2,FALSE),"")</f>
        <v/>
      </c>
      <c r="D881">
        <f>IFERROR(VLOOKUP(B881,Trigger_Assessment!$A$2:$C$1000,3,FALSE),"")</f>
        <v/>
      </c>
      <c r="G881" s="14" t="n"/>
      <c r="H881" s="14" t="n"/>
      <c r="I881" s="14" t="n"/>
      <c r="N881" s="14" t="n"/>
      <c r="P881" s="14">
        <f>IF(ISBLANK(I881),"",DATE(YEAR(I881)+1,MONTH(I881),DAY(I881)))</f>
        <v/>
      </c>
    </row>
    <row r="882">
      <c r="C882">
        <f>IFERROR(VLOOKUP(B882,Trigger_Assessment!$A$2:$B$1000,2,FALSE),"")</f>
        <v/>
      </c>
      <c r="D882">
        <f>IFERROR(VLOOKUP(B882,Trigger_Assessment!$A$2:$C$1000,3,FALSE),"")</f>
        <v/>
      </c>
      <c r="G882" s="14" t="n"/>
      <c r="H882" s="14" t="n"/>
      <c r="I882" s="14" t="n"/>
      <c r="N882" s="14" t="n"/>
      <c r="P882" s="14">
        <f>IF(ISBLANK(I882),"",DATE(YEAR(I882)+1,MONTH(I882),DAY(I882)))</f>
        <v/>
      </c>
    </row>
    <row r="883">
      <c r="C883">
        <f>IFERROR(VLOOKUP(B883,Trigger_Assessment!$A$2:$B$1000,2,FALSE),"")</f>
        <v/>
      </c>
      <c r="D883">
        <f>IFERROR(VLOOKUP(B883,Trigger_Assessment!$A$2:$C$1000,3,FALSE),"")</f>
        <v/>
      </c>
      <c r="G883" s="14" t="n"/>
      <c r="H883" s="14" t="n"/>
      <c r="I883" s="14" t="n"/>
      <c r="N883" s="14" t="n"/>
      <c r="P883" s="14">
        <f>IF(ISBLANK(I883),"",DATE(YEAR(I883)+1,MONTH(I883),DAY(I883)))</f>
        <v/>
      </c>
    </row>
    <row r="884">
      <c r="C884">
        <f>IFERROR(VLOOKUP(B884,Trigger_Assessment!$A$2:$B$1000,2,FALSE),"")</f>
        <v/>
      </c>
      <c r="D884">
        <f>IFERROR(VLOOKUP(B884,Trigger_Assessment!$A$2:$C$1000,3,FALSE),"")</f>
        <v/>
      </c>
      <c r="G884" s="14" t="n"/>
      <c r="H884" s="14" t="n"/>
      <c r="I884" s="14" t="n"/>
      <c r="N884" s="14" t="n"/>
      <c r="P884" s="14">
        <f>IF(ISBLANK(I884),"",DATE(YEAR(I884)+1,MONTH(I884),DAY(I884)))</f>
        <v/>
      </c>
    </row>
    <row r="885">
      <c r="C885">
        <f>IFERROR(VLOOKUP(B885,Trigger_Assessment!$A$2:$B$1000,2,FALSE),"")</f>
        <v/>
      </c>
      <c r="D885">
        <f>IFERROR(VLOOKUP(B885,Trigger_Assessment!$A$2:$C$1000,3,FALSE),"")</f>
        <v/>
      </c>
      <c r="G885" s="14" t="n"/>
      <c r="H885" s="14" t="n"/>
      <c r="I885" s="14" t="n"/>
      <c r="N885" s="14" t="n"/>
      <c r="P885" s="14">
        <f>IF(ISBLANK(I885),"",DATE(YEAR(I885)+1,MONTH(I885),DAY(I885)))</f>
        <v/>
      </c>
    </row>
    <row r="886">
      <c r="C886">
        <f>IFERROR(VLOOKUP(B886,Trigger_Assessment!$A$2:$B$1000,2,FALSE),"")</f>
        <v/>
      </c>
      <c r="D886">
        <f>IFERROR(VLOOKUP(B886,Trigger_Assessment!$A$2:$C$1000,3,FALSE),"")</f>
        <v/>
      </c>
      <c r="G886" s="14" t="n"/>
      <c r="H886" s="14" t="n"/>
      <c r="I886" s="14" t="n"/>
      <c r="N886" s="14" t="n"/>
      <c r="P886" s="14">
        <f>IF(ISBLANK(I886),"",DATE(YEAR(I886)+1,MONTH(I886),DAY(I886)))</f>
        <v/>
      </c>
    </row>
    <row r="887">
      <c r="C887">
        <f>IFERROR(VLOOKUP(B887,Trigger_Assessment!$A$2:$B$1000,2,FALSE),"")</f>
        <v/>
      </c>
      <c r="D887">
        <f>IFERROR(VLOOKUP(B887,Trigger_Assessment!$A$2:$C$1000,3,FALSE),"")</f>
        <v/>
      </c>
      <c r="G887" s="14" t="n"/>
      <c r="H887" s="14" t="n"/>
      <c r="I887" s="14" t="n"/>
      <c r="N887" s="14" t="n"/>
      <c r="P887" s="14">
        <f>IF(ISBLANK(I887),"",DATE(YEAR(I887)+1,MONTH(I887),DAY(I887)))</f>
        <v/>
      </c>
    </row>
    <row r="888">
      <c r="C888">
        <f>IFERROR(VLOOKUP(B888,Trigger_Assessment!$A$2:$B$1000,2,FALSE),"")</f>
        <v/>
      </c>
      <c r="D888">
        <f>IFERROR(VLOOKUP(B888,Trigger_Assessment!$A$2:$C$1000,3,FALSE),"")</f>
        <v/>
      </c>
      <c r="G888" s="14" t="n"/>
      <c r="H888" s="14" t="n"/>
      <c r="I888" s="14" t="n"/>
      <c r="N888" s="14" t="n"/>
      <c r="P888" s="14">
        <f>IF(ISBLANK(I888),"",DATE(YEAR(I888)+1,MONTH(I888),DAY(I888)))</f>
        <v/>
      </c>
    </row>
    <row r="889">
      <c r="C889">
        <f>IFERROR(VLOOKUP(B889,Trigger_Assessment!$A$2:$B$1000,2,FALSE),"")</f>
        <v/>
      </c>
      <c r="D889">
        <f>IFERROR(VLOOKUP(B889,Trigger_Assessment!$A$2:$C$1000,3,FALSE),"")</f>
        <v/>
      </c>
      <c r="G889" s="14" t="n"/>
      <c r="H889" s="14" t="n"/>
      <c r="I889" s="14" t="n"/>
      <c r="N889" s="14" t="n"/>
      <c r="P889" s="14">
        <f>IF(ISBLANK(I889),"",DATE(YEAR(I889)+1,MONTH(I889),DAY(I889)))</f>
        <v/>
      </c>
    </row>
    <row r="890">
      <c r="C890">
        <f>IFERROR(VLOOKUP(B890,Trigger_Assessment!$A$2:$B$1000,2,FALSE),"")</f>
        <v/>
      </c>
      <c r="D890">
        <f>IFERROR(VLOOKUP(B890,Trigger_Assessment!$A$2:$C$1000,3,FALSE),"")</f>
        <v/>
      </c>
      <c r="G890" s="14" t="n"/>
      <c r="H890" s="14" t="n"/>
      <c r="I890" s="14" t="n"/>
      <c r="N890" s="14" t="n"/>
      <c r="P890" s="14">
        <f>IF(ISBLANK(I890),"",DATE(YEAR(I890)+1,MONTH(I890),DAY(I890)))</f>
        <v/>
      </c>
    </row>
    <row r="891">
      <c r="C891">
        <f>IFERROR(VLOOKUP(B891,Trigger_Assessment!$A$2:$B$1000,2,FALSE),"")</f>
        <v/>
      </c>
      <c r="D891">
        <f>IFERROR(VLOOKUP(B891,Trigger_Assessment!$A$2:$C$1000,3,FALSE),"")</f>
        <v/>
      </c>
      <c r="G891" s="14" t="n"/>
      <c r="H891" s="14" t="n"/>
      <c r="I891" s="14" t="n"/>
      <c r="N891" s="14" t="n"/>
      <c r="P891" s="14">
        <f>IF(ISBLANK(I891),"",DATE(YEAR(I891)+1,MONTH(I891),DAY(I891)))</f>
        <v/>
      </c>
    </row>
    <row r="892">
      <c r="C892">
        <f>IFERROR(VLOOKUP(B892,Trigger_Assessment!$A$2:$B$1000,2,FALSE),"")</f>
        <v/>
      </c>
      <c r="D892">
        <f>IFERROR(VLOOKUP(B892,Trigger_Assessment!$A$2:$C$1000,3,FALSE),"")</f>
        <v/>
      </c>
      <c r="G892" s="14" t="n"/>
      <c r="H892" s="14" t="n"/>
      <c r="I892" s="14" t="n"/>
      <c r="N892" s="14" t="n"/>
      <c r="P892" s="14">
        <f>IF(ISBLANK(I892),"",DATE(YEAR(I892)+1,MONTH(I892),DAY(I892)))</f>
        <v/>
      </c>
    </row>
    <row r="893">
      <c r="C893">
        <f>IFERROR(VLOOKUP(B893,Trigger_Assessment!$A$2:$B$1000,2,FALSE),"")</f>
        <v/>
      </c>
      <c r="D893">
        <f>IFERROR(VLOOKUP(B893,Trigger_Assessment!$A$2:$C$1000,3,FALSE),"")</f>
        <v/>
      </c>
      <c r="G893" s="14" t="n"/>
      <c r="H893" s="14" t="n"/>
      <c r="I893" s="14" t="n"/>
      <c r="N893" s="14" t="n"/>
      <c r="P893" s="14">
        <f>IF(ISBLANK(I893),"",DATE(YEAR(I893)+1,MONTH(I893),DAY(I893)))</f>
        <v/>
      </c>
    </row>
    <row r="894">
      <c r="C894">
        <f>IFERROR(VLOOKUP(B894,Trigger_Assessment!$A$2:$B$1000,2,FALSE),"")</f>
        <v/>
      </c>
      <c r="D894">
        <f>IFERROR(VLOOKUP(B894,Trigger_Assessment!$A$2:$C$1000,3,FALSE),"")</f>
        <v/>
      </c>
      <c r="G894" s="14" t="n"/>
      <c r="H894" s="14" t="n"/>
      <c r="I894" s="14" t="n"/>
      <c r="N894" s="14" t="n"/>
      <c r="P894" s="14">
        <f>IF(ISBLANK(I894),"",DATE(YEAR(I894)+1,MONTH(I894),DAY(I894)))</f>
        <v/>
      </c>
    </row>
    <row r="895">
      <c r="C895">
        <f>IFERROR(VLOOKUP(B895,Trigger_Assessment!$A$2:$B$1000,2,FALSE),"")</f>
        <v/>
      </c>
      <c r="D895">
        <f>IFERROR(VLOOKUP(B895,Trigger_Assessment!$A$2:$C$1000,3,FALSE),"")</f>
        <v/>
      </c>
      <c r="G895" s="14" t="n"/>
      <c r="H895" s="14" t="n"/>
      <c r="I895" s="14" t="n"/>
      <c r="N895" s="14" t="n"/>
      <c r="P895" s="14">
        <f>IF(ISBLANK(I895),"",DATE(YEAR(I895)+1,MONTH(I895),DAY(I895)))</f>
        <v/>
      </c>
    </row>
    <row r="896">
      <c r="C896">
        <f>IFERROR(VLOOKUP(B896,Trigger_Assessment!$A$2:$B$1000,2,FALSE),"")</f>
        <v/>
      </c>
      <c r="D896">
        <f>IFERROR(VLOOKUP(B896,Trigger_Assessment!$A$2:$C$1000,3,FALSE),"")</f>
        <v/>
      </c>
      <c r="G896" s="14" t="n"/>
      <c r="H896" s="14" t="n"/>
      <c r="I896" s="14" t="n"/>
      <c r="N896" s="14" t="n"/>
      <c r="P896" s="14">
        <f>IF(ISBLANK(I896),"",DATE(YEAR(I896)+1,MONTH(I896),DAY(I896)))</f>
        <v/>
      </c>
    </row>
    <row r="897">
      <c r="C897">
        <f>IFERROR(VLOOKUP(B897,Trigger_Assessment!$A$2:$B$1000,2,FALSE),"")</f>
        <v/>
      </c>
      <c r="D897">
        <f>IFERROR(VLOOKUP(B897,Trigger_Assessment!$A$2:$C$1000,3,FALSE),"")</f>
        <v/>
      </c>
      <c r="G897" s="14" t="n"/>
      <c r="H897" s="14" t="n"/>
      <c r="I897" s="14" t="n"/>
      <c r="N897" s="14" t="n"/>
      <c r="P897" s="14">
        <f>IF(ISBLANK(I897),"",DATE(YEAR(I897)+1,MONTH(I897),DAY(I897)))</f>
        <v/>
      </c>
    </row>
    <row r="898">
      <c r="C898">
        <f>IFERROR(VLOOKUP(B898,Trigger_Assessment!$A$2:$B$1000,2,FALSE),"")</f>
        <v/>
      </c>
      <c r="D898">
        <f>IFERROR(VLOOKUP(B898,Trigger_Assessment!$A$2:$C$1000,3,FALSE),"")</f>
        <v/>
      </c>
      <c r="G898" s="14" t="n"/>
      <c r="H898" s="14" t="n"/>
      <c r="I898" s="14" t="n"/>
      <c r="N898" s="14" t="n"/>
      <c r="P898" s="14">
        <f>IF(ISBLANK(I898),"",DATE(YEAR(I898)+1,MONTH(I898),DAY(I898)))</f>
        <v/>
      </c>
    </row>
    <row r="899">
      <c r="C899">
        <f>IFERROR(VLOOKUP(B899,Trigger_Assessment!$A$2:$B$1000,2,FALSE),"")</f>
        <v/>
      </c>
      <c r="D899">
        <f>IFERROR(VLOOKUP(B899,Trigger_Assessment!$A$2:$C$1000,3,FALSE),"")</f>
        <v/>
      </c>
      <c r="G899" s="14" t="n"/>
      <c r="H899" s="14" t="n"/>
      <c r="I899" s="14" t="n"/>
      <c r="N899" s="14" t="n"/>
      <c r="P899" s="14">
        <f>IF(ISBLANK(I899),"",DATE(YEAR(I899)+1,MONTH(I899),DAY(I899)))</f>
        <v/>
      </c>
    </row>
    <row r="900">
      <c r="C900">
        <f>IFERROR(VLOOKUP(B900,Trigger_Assessment!$A$2:$B$1000,2,FALSE),"")</f>
        <v/>
      </c>
      <c r="D900">
        <f>IFERROR(VLOOKUP(B900,Trigger_Assessment!$A$2:$C$1000,3,FALSE),"")</f>
        <v/>
      </c>
      <c r="G900" s="14" t="n"/>
      <c r="H900" s="14" t="n"/>
      <c r="I900" s="14" t="n"/>
      <c r="N900" s="14" t="n"/>
      <c r="P900" s="14">
        <f>IF(ISBLANK(I900),"",DATE(YEAR(I900)+1,MONTH(I900),DAY(I900)))</f>
        <v/>
      </c>
    </row>
    <row r="901">
      <c r="C901">
        <f>IFERROR(VLOOKUP(B901,Trigger_Assessment!$A$2:$B$1000,2,FALSE),"")</f>
        <v/>
      </c>
      <c r="D901">
        <f>IFERROR(VLOOKUP(B901,Trigger_Assessment!$A$2:$C$1000,3,FALSE),"")</f>
        <v/>
      </c>
      <c r="G901" s="14" t="n"/>
      <c r="H901" s="14" t="n"/>
      <c r="I901" s="14" t="n"/>
      <c r="N901" s="14" t="n"/>
      <c r="P901" s="14">
        <f>IF(ISBLANK(I901),"",DATE(YEAR(I901)+1,MONTH(I901),DAY(I901)))</f>
        <v/>
      </c>
    </row>
    <row r="902">
      <c r="C902">
        <f>IFERROR(VLOOKUP(B902,Trigger_Assessment!$A$2:$B$1000,2,FALSE),"")</f>
        <v/>
      </c>
      <c r="D902">
        <f>IFERROR(VLOOKUP(B902,Trigger_Assessment!$A$2:$C$1000,3,FALSE),"")</f>
        <v/>
      </c>
      <c r="G902" s="14" t="n"/>
      <c r="H902" s="14" t="n"/>
      <c r="I902" s="14" t="n"/>
      <c r="N902" s="14" t="n"/>
      <c r="P902" s="14">
        <f>IF(ISBLANK(I902),"",DATE(YEAR(I902)+1,MONTH(I902),DAY(I902)))</f>
        <v/>
      </c>
    </row>
    <row r="903">
      <c r="C903">
        <f>IFERROR(VLOOKUP(B903,Trigger_Assessment!$A$2:$B$1000,2,FALSE),"")</f>
        <v/>
      </c>
      <c r="D903">
        <f>IFERROR(VLOOKUP(B903,Trigger_Assessment!$A$2:$C$1000,3,FALSE),"")</f>
        <v/>
      </c>
      <c r="G903" s="14" t="n"/>
      <c r="H903" s="14" t="n"/>
      <c r="I903" s="14" t="n"/>
      <c r="N903" s="14" t="n"/>
      <c r="P903" s="14">
        <f>IF(ISBLANK(I903),"",DATE(YEAR(I903)+1,MONTH(I903),DAY(I903)))</f>
        <v/>
      </c>
    </row>
    <row r="904">
      <c r="C904">
        <f>IFERROR(VLOOKUP(B904,Trigger_Assessment!$A$2:$B$1000,2,FALSE),"")</f>
        <v/>
      </c>
      <c r="D904">
        <f>IFERROR(VLOOKUP(B904,Trigger_Assessment!$A$2:$C$1000,3,FALSE),"")</f>
        <v/>
      </c>
      <c r="G904" s="14" t="n"/>
      <c r="H904" s="14" t="n"/>
      <c r="I904" s="14" t="n"/>
      <c r="N904" s="14" t="n"/>
      <c r="P904" s="14">
        <f>IF(ISBLANK(I904),"",DATE(YEAR(I904)+1,MONTH(I904),DAY(I904)))</f>
        <v/>
      </c>
    </row>
    <row r="905">
      <c r="C905">
        <f>IFERROR(VLOOKUP(B905,Trigger_Assessment!$A$2:$B$1000,2,FALSE),"")</f>
        <v/>
      </c>
      <c r="D905">
        <f>IFERROR(VLOOKUP(B905,Trigger_Assessment!$A$2:$C$1000,3,FALSE),"")</f>
        <v/>
      </c>
      <c r="G905" s="14" t="n"/>
      <c r="H905" s="14" t="n"/>
      <c r="I905" s="14" t="n"/>
      <c r="N905" s="14" t="n"/>
      <c r="P905" s="14">
        <f>IF(ISBLANK(I905),"",DATE(YEAR(I905)+1,MONTH(I905),DAY(I905)))</f>
        <v/>
      </c>
    </row>
    <row r="906">
      <c r="C906">
        <f>IFERROR(VLOOKUP(B906,Trigger_Assessment!$A$2:$B$1000,2,FALSE),"")</f>
        <v/>
      </c>
      <c r="D906">
        <f>IFERROR(VLOOKUP(B906,Trigger_Assessment!$A$2:$C$1000,3,FALSE),"")</f>
        <v/>
      </c>
      <c r="G906" s="14" t="n"/>
      <c r="H906" s="14" t="n"/>
      <c r="I906" s="14" t="n"/>
      <c r="N906" s="14" t="n"/>
      <c r="P906" s="14">
        <f>IF(ISBLANK(I906),"",DATE(YEAR(I906)+1,MONTH(I906),DAY(I906)))</f>
        <v/>
      </c>
    </row>
    <row r="907">
      <c r="C907">
        <f>IFERROR(VLOOKUP(B907,Trigger_Assessment!$A$2:$B$1000,2,FALSE),"")</f>
        <v/>
      </c>
      <c r="D907">
        <f>IFERROR(VLOOKUP(B907,Trigger_Assessment!$A$2:$C$1000,3,FALSE),"")</f>
        <v/>
      </c>
      <c r="G907" s="14" t="n"/>
      <c r="H907" s="14" t="n"/>
      <c r="I907" s="14" t="n"/>
      <c r="N907" s="14" t="n"/>
      <c r="P907" s="14">
        <f>IF(ISBLANK(I907),"",DATE(YEAR(I907)+1,MONTH(I907),DAY(I907)))</f>
        <v/>
      </c>
    </row>
    <row r="908">
      <c r="C908">
        <f>IFERROR(VLOOKUP(B908,Trigger_Assessment!$A$2:$B$1000,2,FALSE),"")</f>
        <v/>
      </c>
      <c r="D908">
        <f>IFERROR(VLOOKUP(B908,Trigger_Assessment!$A$2:$C$1000,3,FALSE),"")</f>
        <v/>
      </c>
      <c r="G908" s="14" t="n"/>
      <c r="H908" s="14" t="n"/>
      <c r="I908" s="14" t="n"/>
      <c r="N908" s="14" t="n"/>
      <c r="P908" s="14">
        <f>IF(ISBLANK(I908),"",DATE(YEAR(I908)+1,MONTH(I908),DAY(I908)))</f>
        <v/>
      </c>
    </row>
    <row r="909">
      <c r="C909">
        <f>IFERROR(VLOOKUP(B909,Trigger_Assessment!$A$2:$B$1000,2,FALSE),"")</f>
        <v/>
      </c>
      <c r="D909">
        <f>IFERROR(VLOOKUP(B909,Trigger_Assessment!$A$2:$C$1000,3,FALSE),"")</f>
        <v/>
      </c>
      <c r="G909" s="14" t="n"/>
      <c r="H909" s="14" t="n"/>
      <c r="I909" s="14" t="n"/>
      <c r="N909" s="14" t="n"/>
      <c r="P909" s="14">
        <f>IF(ISBLANK(I909),"",DATE(YEAR(I909)+1,MONTH(I909),DAY(I909)))</f>
        <v/>
      </c>
    </row>
    <row r="910">
      <c r="C910">
        <f>IFERROR(VLOOKUP(B910,Trigger_Assessment!$A$2:$B$1000,2,FALSE),"")</f>
        <v/>
      </c>
      <c r="D910">
        <f>IFERROR(VLOOKUP(B910,Trigger_Assessment!$A$2:$C$1000,3,FALSE),"")</f>
        <v/>
      </c>
      <c r="G910" s="14" t="n"/>
      <c r="H910" s="14" t="n"/>
      <c r="I910" s="14" t="n"/>
      <c r="N910" s="14" t="n"/>
      <c r="P910" s="14">
        <f>IF(ISBLANK(I910),"",DATE(YEAR(I910)+1,MONTH(I910),DAY(I910)))</f>
        <v/>
      </c>
    </row>
    <row r="911">
      <c r="C911">
        <f>IFERROR(VLOOKUP(B911,Trigger_Assessment!$A$2:$B$1000,2,FALSE),"")</f>
        <v/>
      </c>
      <c r="D911">
        <f>IFERROR(VLOOKUP(B911,Trigger_Assessment!$A$2:$C$1000,3,FALSE),"")</f>
        <v/>
      </c>
      <c r="G911" s="14" t="n"/>
      <c r="H911" s="14" t="n"/>
      <c r="I911" s="14" t="n"/>
      <c r="N911" s="14" t="n"/>
      <c r="P911" s="14">
        <f>IF(ISBLANK(I911),"",DATE(YEAR(I911)+1,MONTH(I911),DAY(I911)))</f>
        <v/>
      </c>
    </row>
    <row r="912">
      <c r="C912">
        <f>IFERROR(VLOOKUP(B912,Trigger_Assessment!$A$2:$B$1000,2,FALSE),"")</f>
        <v/>
      </c>
      <c r="D912">
        <f>IFERROR(VLOOKUP(B912,Trigger_Assessment!$A$2:$C$1000,3,FALSE),"")</f>
        <v/>
      </c>
      <c r="G912" s="14" t="n"/>
      <c r="H912" s="14" t="n"/>
      <c r="I912" s="14" t="n"/>
      <c r="N912" s="14" t="n"/>
      <c r="P912" s="14">
        <f>IF(ISBLANK(I912),"",DATE(YEAR(I912)+1,MONTH(I912),DAY(I912)))</f>
        <v/>
      </c>
    </row>
    <row r="913">
      <c r="C913">
        <f>IFERROR(VLOOKUP(B913,Trigger_Assessment!$A$2:$B$1000,2,FALSE),"")</f>
        <v/>
      </c>
      <c r="D913">
        <f>IFERROR(VLOOKUP(B913,Trigger_Assessment!$A$2:$C$1000,3,FALSE),"")</f>
        <v/>
      </c>
      <c r="G913" s="14" t="n"/>
      <c r="H913" s="14" t="n"/>
      <c r="I913" s="14" t="n"/>
      <c r="N913" s="14" t="n"/>
      <c r="P913" s="14">
        <f>IF(ISBLANK(I913),"",DATE(YEAR(I913)+1,MONTH(I913),DAY(I913)))</f>
        <v/>
      </c>
    </row>
    <row r="914">
      <c r="C914">
        <f>IFERROR(VLOOKUP(B914,Trigger_Assessment!$A$2:$B$1000,2,FALSE),"")</f>
        <v/>
      </c>
      <c r="D914">
        <f>IFERROR(VLOOKUP(B914,Trigger_Assessment!$A$2:$C$1000,3,FALSE),"")</f>
        <v/>
      </c>
      <c r="G914" s="14" t="n"/>
      <c r="H914" s="14" t="n"/>
      <c r="I914" s="14" t="n"/>
      <c r="N914" s="14" t="n"/>
      <c r="P914" s="14">
        <f>IF(ISBLANK(I914),"",DATE(YEAR(I914)+1,MONTH(I914),DAY(I914)))</f>
        <v/>
      </c>
    </row>
    <row r="915">
      <c r="C915">
        <f>IFERROR(VLOOKUP(B915,Trigger_Assessment!$A$2:$B$1000,2,FALSE),"")</f>
        <v/>
      </c>
      <c r="D915">
        <f>IFERROR(VLOOKUP(B915,Trigger_Assessment!$A$2:$C$1000,3,FALSE),"")</f>
        <v/>
      </c>
      <c r="G915" s="14" t="n"/>
      <c r="H915" s="14" t="n"/>
      <c r="I915" s="14" t="n"/>
      <c r="N915" s="14" t="n"/>
      <c r="P915" s="14">
        <f>IF(ISBLANK(I915),"",DATE(YEAR(I915)+1,MONTH(I915),DAY(I915)))</f>
        <v/>
      </c>
    </row>
    <row r="916">
      <c r="C916">
        <f>IFERROR(VLOOKUP(B916,Trigger_Assessment!$A$2:$B$1000,2,FALSE),"")</f>
        <v/>
      </c>
      <c r="D916">
        <f>IFERROR(VLOOKUP(B916,Trigger_Assessment!$A$2:$C$1000,3,FALSE),"")</f>
        <v/>
      </c>
      <c r="G916" s="14" t="n"/>
      <c r="H916" s="14" t="n"/>
      <c r="I916" s="14" t="n"/>
      <c r="N916" s="14" t="n"/>
      <c r="P916" s="14">
        <f>IF(ISBLANK(I916),"",DATE(YEAR(I916)+1,MONTH(I916),DAY(I916)))</f>
        <v/>
      </c>
    </row>
    <row r="917">
      <c r="C917">
        <f>IFERROR(VLOOKUP(B917,Trigger_Assessment!$A$2:$B$1000,2,FALSE),"")</f>
        <v/>
      </c>
      <c r="D917">
        <f>IFERROR(VLOOKUP(B917,Trigger_Assessment!$A$2:$C$1000,3,FALSE),"")</f>
        <v/>
      </c>
      <c r="G917" s="14" t="n"/>
      <c r="H917" s="14" t="n"/>
      <c r="I917" s="14" t="n"/>
      <c r="N917" s="14" t="n"/>
      <c r="P917" s="14">
        <f>IF(ISBLANK(I917),"",DATE(YEAR(I917)+1,MONTH(I917),DAY(I917)))</f>
        <v/>
      </c>
    </row>
    <row r="918">
      <c r="C918">
        <f>IFERROR(VLOOKUP(B918,Trigger_Assessment!$A$2:$B$1000,2,FALSE),"")</f>
        <v/>
      </c>
      <c r="D918">
        <f>IFERROR(VLOOKUP(B918,Trigger_Assessment!$A$2:$C$1000,3,FALSE),"")</f>
        <v/>
      </c>
      <c r="G918" s="14" t="n"/>
      <c r="H918" s="14" t="n"/>
      <c r="I918" s="14" t="n"/>
      <c r="N918" s="14" t="n"/>
      <c r="P918" s="14">
        <f>IF(ISBLANK(I918),"",DATE(YEAR(I918)+1,MONTH(I918),DAY(I918)))</f>
        <v/>
      </c>
    </row>
    <row r="919">
      <c r="C919">
        <f>IFERROR(VLOOKUP(B919,Trigger_Assessment!$A$2:$B$1000,2,FALSE),"")</f>
        <v/>
      </c>
      <c r="D919">
        <f>IFERROR(VLOOKUP(B919,Trigger_Assessment!$A$2:$C$1000,3,FALSE),"")</f>
        <v/>
      </c>
      <c r="G919" s="14" t="n"/>
      <c r="H919" s="14" t="n"/>
      <c r="I919" s="14" t="n"/>
      <c r="N919" s="14" t="n"/>
      <c r="P919" s="14">
        <f>IF(ISBLANK(I919),"",DATE(YEAR(I919)+1,MONTH(I919),DAY(I919)))</f>
        <v/>
      </c>
    </row>
    <row r="920">
      <c r="C920">
        <f>IFERROR(VLOOKUP(B920,Trigger_Assessment!$A$2:$B$1000,2,FALSE),"")</f>
        <v/>
      </c>
      <c r="D920">
        <f>IFERROR(VLOOKUP(B920,Trigger_Assessment!$A$2:$C$1000,3,FALSE),"")</f>
        <v/>
      </c>
      <c r="G920" s="14" t="n"/>
      <c r="H920" s="14" t="n"/>
      <c r="I920" s="14" t="n"/>
      <c r="N920" s="14" t="n"/>
      <c r="P920" s="14">
        <f>IF(ISBLANK(I920),"",DATE(YEAR(I920)+1,MONTH(I920),DAY(I920)))</f>
        <v/>
      </c>
    </row>
    <row r="921">
      <c r="C921">
        <f>IFERROR(VLOOKUP(B921,Trigger_Assessment!$A$2:$B$1000,2,FALSE),"")</f>
        <v/>
      </c>
      <c r="D921">
        <f>IFERROR(VLOOKUP(B921,Trigger_Assessment!$A$2:$C$1000,3,FALSE),"")</f>
        <v/>
      </c>
      <c r="G921" s="14" t="n"/>
      <c r="H921" s="14" t="n"/>
      <c r="I921" s="14" t="n"/>
      <c r="N921" s="14" t="n"/>
      <c r="P921" s="14">
        <f>IF(ISBLANK(I921),"",DATE(YEAR(I921)+1,MONTH(I921),DAY(I921)))</f>
        <v/>
      </c>
    </row>
    <row r="922">
      <c r="C922">
        <f>IFERROR(VLOOKUP(B922,Trigger_Assessment!$A$2:$B$1000,2,FALSE),"")</f>
        <v/>
      </c>
      <c r="D922">
        <f>IFERROR(VLOOKUP(B922,Trigger_Assessment!$A$2:$C$1000,3,FALSE),"")</f>
        <v/>
      </c>
      <c r="G922" s="14" t="n"/>
      <c r="H922" s="14" t="n"/>
      <c r="I922" s="14" t="n"/>
      <c r="N922" s="14" t="n"/>
      <c r="P922" s="14">
        <f>IF(ISBLANK(I922),"",DATE(YEAR(I922)+1,MONTH(I922),DAY(I922)))</f>
        <v/>
      </c>
    </row>
    <row r="923">
      <c r="C923">
        <f>IFERROR(VLOOKUP(B923,Trigger_Assessment!$A$2:$B$1000,2,FALSE),"")</f>
        <v/>
      </c>
      <c r="D923">
        <f>IFERROR(VLOOKUP(B923,Trigger_Assessment!$A$2:$C$1000,3,FALSE),"")</f>
        <v/>
      </c>
      <c r="G923" s="14" t="n"/>
      <c r="H923" s="14" t="n"/>
      <c r="I923" s="14" t="n"/>
      <c r="N923" s="14" t="n"/>
      <c r="P923" s="14">
        <f>IF(ISBLANK(I923),"",DATE(YEAR(I923)+1,MONTH(I923),DAY(I923)))</f>
        <v/>
      </c>
    </row>
    <row r="924">
      <c r="C924">
        <f>IFERROR(VLOOKUP(B924,Trigger_Assessment!$A$2:$B$1000,2,FALSE),"")</f>
        <v/>
      </c>
      <c r="D924">
        <f>IFERROR(VLOOKUP(B924,Trigger_Assessment!$A$2:$C$1000,3,FALSE),"")</f>
        <v/>
      </c>
      <c r="G924" s="14" t="n"/>
      <c r="H924" s="14" t="n"/>
      <c r="I924" s="14" t="n"/>
      <c r="N924" s="14" t="n"/>
      <c r="P924" s="14">
        <f>IF(ISBLANK(I924),"",DATE(YEAR(I924)+1,MONTH(I924),DAY(I924)))</f>
        <v/>
      </c>
    </row>
    <row r="925">
      <c r="C925">
        <f>IFERROR(VLOOKUP(B925,Trigger_Assessment!$A$2:$B$1000,2,FALSE),"")</f>
        <v/>
      </c>
      <c r="D925">
        <f>IFERROR(VLOOKUP(B925,Trigger_Assessment!$A$2:$C$1000,3,FALSE),"")</f>
        <v/>
      </c>
      <c r="G925" s="14" t="n"/>
      <c r="H925" s="14" t="n"/>
      <c r="I925" s="14" t="n"/>
      <c r="N925" s="14" t="n"/>
      <c r="P925" s="14">
        <f>IF(ISBLANK(I925),"",DATE(YEAR(I925)+1,MONTH(I925),DAY(I925)))</f>
        <v/>
      </c>
    </row>
    <row r="926">
      <c r="C926">
        <f>IFERROR(VLOOKUP(B926,Trigger_Assessment!$A$2:$B$1000,2,FALSE),"")</f>
        <v/>
      </c>
      <c r="D926">
        <f>IFERROR(VLOOKUP(B926,Trigger_Assessment!$A$2:$C$1000,3,FALSE),"")</f>
        <v/>
      </c>
      <c r="G926" s="14" t="n"/>
      <c r="H926" s="14" t="n"/>
      <c r="I926" s="14" t="n"/>
      <c r="N926" s="14" t="n"/>
      <c r="P926" s="14">
        <f>IF(ISBLANK(I926),"",DATE(YEAR(I926)+1,MONTH(I926),DAY(I926)))</f>
        <v/>
      </c>
    </row>
    <row r="927">
      <c r="C927">
        <f>IFERROR(VLOOKUP(B927,Trigger_Assessment!$A$2:$B$1000,2,FALSE),"")</f>
        <v/>
      </c>
      <c r="D927">
        <f>IFERROR(VLOOKUP(B927,Trigger_Assessment!$A$2:$C$1000,3,FALSE),"")</f>
        <v/>
      </c>
      <c r="G927" s="14" t="n"/>
      <c r="H927" s="14" t="n"/>
      <c r="I927" s="14" t="n"/>
      <c r="N927" s="14" t="n"/>
      <c r="P927" s="14">
        <f>IF(ISBLANK(I927),"",DATE(YEAR(I927)+1,MONTH(I927),DAY(I927)))</f>
        <v/>
      </c>
    </row>
    <row r="928">
      <c r="C928">
        <f>IFERROR(VLOOKUP(B928,Trigger_Assessment!$A$2:$B$1000,2,FALSE),"")</f>
        <v/>
      </c>
      <c r="D928">
        <f>IFERROR(VLOOKUP(B928,Trigger_Assessment!$A$2:$C$1000,3,FALSE),"")</f>
        <v/>
      </c>
      <c r="G928" s="14" t="n"/>
      <c r="H928" s="14" t="n"/>
      <c r="I928" s="14" t="n"/>
      <c r="N928" s="14" t="n"/>
      <c r="P928" s="14">
        <f>IF(ISBLANK(I928),"",DATE(YEAR(I928)+1,MONTH(I928),DAY(I928)))</f>
        <v/>
      </c>
    </row>
    <row r="929">
      <c r="C929">
        <f>IFERROR(VLOOKUP(B929,Trigger_Assessment!$A$2:$B$1000,2,FALSE),"")</f>
        <v/>
      </c>
      <c r="D929">
        <f>IFERROR(VLOOKUP(B929,Trigger_Assessment!$A$2:$C$1000,3,FALSE),"")</f>
        <v/>
      </c>
      <c r="G929" s="14" t="n"/>
      <c r="H929" s="14" t="n"/>
      <c r="I929" s="14" t="n"/>
      <c r="N929" s="14" t="n"/>
      <c r="P929" s="14">
        <f>IF(ISBLANK(I929),"",DATE(YEAR(I929)+1,MONTH(I929),DAY(I929)))</f>
        <v/>
      </c>
    </row>
    <row r="930">
      <c r="C930">
        <f>IFERROR(VLOOKUP(B930,Trigger_Assessment!$A$2:$B$1000,2,FALSE),"")</f>
        <v/>
      </c>
      <c r="D930">
        <f>IFERROR(VLOOKUP(B930,Trigger_Assessment!$A$2:$C$1000,3,FALSE),"")</f>
        <v/>
      </c>
      <c r="G930" s="14" t="n"/>
      <c r="H930" s="14" t="n"/>
      <c r="I930" s="14" t="n"/>
      <c r="N930" s="14" t="n"/>
      <c r="P930" s="14">
        <f>IF(ISBLANK(I930),"",DATE(YEAR(I930)+1,MONTH(I930),DAY(I930)))</f>
        <v/>
      </c>
    </row>
    <row r="931">
      <c r="C931">
        <f>IFERROR(VLOOKUP(B931,Trigger_Assessment!$A$2:$B$1000,2,FALSE),"")</f>
        <v/>
      </c>
      <c r="D931">
        <f>IFERROR(VLOOKUP(B931,Trigger_Assessment!$A$2:$C$1000,3,FALSE),"")</f>
        <v/>
      </c>
      <c r="G931" s="14" t="n"/>
      <c r="H931" s="14" t="n"/>
      <c r="I931" s="14" t="n"/>
      <c r="N931" s="14" t="n"/>
      <c r="P931" s="14">
        <f>IF(ISBLANK(I931),"",DATE(YEAR(I931)+1,MONTH(I931),DAY(I931)))</f>
        <v/>
      </c>
    </row>
    <row r="932">
      <c r="C932">
        <f>IFERROR(VLOOKUP(B932,Trigger_Assessment!$A$2:$B$1000,2,FALSE),"")</f>
        <v/>
      </c>
      <c r="D932">
        <f>IFERROR(VLOOKUP(B932,Trigger_Assessment!$A$2:$C$1000,3,FALSE),"")</f>
        <v/>
      </c>
      <c r="G932" s="14" t="n"/>
      <c r="H932" s="14" t="n"/>
      <c r="I932" s="14" t="n"/>
      <c r="N932" s="14" t="n"/>
      <c r="P932" s="14">
        <f>IF(ISBLANK(I932),"",DATE(YEAR(I932)+1,MONTH(I932),DAY(I932)))</f>
        <v/>
      </c>
    </row>
    <row r="933">
      <c r="C933">
        <f>IFERROR(VLOOKUP(B933,Trigger_Assessment!$A$2:$B$1000,2,FALSE),"")</f>
        <v/>
      </c>
      <c r="D933">
        <f>IFERROR(VLOOKUP(B933,Trigger_Assessment!$A$2:$C$1000,3,FALSE),"")</f>
        <v/>
      </c>
      <c r="G933" s="14" t="n"/>
      <c r="H933" s="14" t="n"/>
      <c r="I933" s="14" t="n"/>
      <c r="N933" s="14" t="n"/>
      <c r="P933" s="14">
        <f>IF(ISBLANK(I933),"",DATE(YEAR(I933)+1,MONTH(I933),DAY(I933)))</f>
        <v/>
      </c>
    </row>
    <row r="934">
      <c r="C934">
        <f>IFERROR(VLOOKUP(B934,Trigger_Assessment!$A$2:$B$1000,2,FALSE),"")</f>
        <v/>
      </c>
      <c r="D934">
        <f>IFERROR(VLOOKUP(B934,Trigger_Assessment!$A$2:$C$1000,3,FALSE),"")</f>
        <v/>
      </c>
      <c r="G934" s="14" t="n"/>
      <c r="H934" s="14" t="n"/>
      <c r="I934" s="14" t="n"/>
      <c r="N934" s="14" t="n"/>
      <c r="P934" s="14">
        <f>IF(ISBLANK(I934),"",DATE(YEAR(I934)+1,MONTH(I934),DAY(I934)))</f>
        <v/>
      </c>
    </row>
    <row r="935">
      <c r="C935">
        <f>IFERROR(VLOOKUP(B935,Trigger_Assessment!$A$2:$B$1000,2,FALSE),"")</f>
        <v/>
      </c>
      <c r="D935">
        <f>IFERROR(VLOOKUP(B935,Trigger_Assessment!$A$2:$C$1000,3,FALSE),"")</f>
        <v/>
      </c>
      <c r="G935" s="14" t="n"/>
      <c r="H935" s="14" t="n"/>
      <c r="I935" s="14" t="n"/>
      <c r="N935" s="14" t="n"/>
      <c r="P935" s="14">
        <f>IF(ISBLANK(I935),"",DATE(YEAR(I935)+1,MONTH(I935),DAY(I935)))</f>
        <v/>
      </c>
    </row>
    <row r="936">
      <c r="C936">
        <f>IFERROR(VLOOKUP(B936,Trigger_Assessment!$A$2:$B$1000,2,FALSE),"")</f>
        <v/>
      </c>
      <c r="D936">
        <f>IFERROR(VLOOKUP(B936,Trigger_Assessment!$A$2:$C$1000,3,FALSE),"")</f>
        <v/>
      </c>
      <c r="G936" s="14" t="n"/>
      <c r="H936" s="14" t="n"/>
      <c r="I936" s="14" t="n"/>
      <c r="N936" s="14" t="n"/>
      <c r="P936" s="14">
        <f>IF(ISBLANK(I936),"",DATE(YEAR(I936)+1,MONTH(I936),DAY(I936)))</f>
        <v/>
      </c>
    </row>
    <row r="937">
      <c r="C937">
        <f>IFERROR(VLOOKUP(B937,Trigger_Assessment!$A$2:$B$1000,2,FALSE),"")</f>
        <v/>
      </c>
      <c r="D937">
        <f>IFERROR(VLOOKUP(B937,Trigger_Assessment!$A$2:$C$1000,3,FALSE),"")</f>
        <v/>
      </c>
      <c r="G937" s="14" t="n"/>
      <c r="H937" s="14" t="n"/>
      <c r="I937" s="14" t="n"/>
      <c r="N937" s="14" t="n"/>
      <c r="P937" s="14">
        <f>IF(ISBLANK(I937),"",DATE(YEAR(I937)+1,MONTH(I937),DAY(I937)))</f>
        <v/>
      </c>
    </row>
    <row r="938">
      <c r="C938">
        <f>IFERROR(VLOOKUP(B938,Trigger_Assessment!$A$2:$B$1000,2,FALSE),"")</f>
        <v/>
      </c>
      <c r="D938">
        <f>IFERROR(VLOOKUP(B938,Trigger_Assessment!$A$2:$C$1000,3,FALSE),"")</f>
        <v/>
      </c>
      <c r="G938" s="14" t="n"/>
      <c r="H938" s="14" t="n"/>
      <c r="I938" s="14" t="n"/>
      <c r="N938" s="14" t="n"/>
      <c r="P938" s="14">
        <f>IF(ISBLANK(I938),"",DATE(YEAR(I938)+1,MONTH(I938),DAY(I938)))</f>
        <v/>
      </c>
    </row>
    <row r="939">
      <c r="C939">
        <f>IFERROR(VLOOKUP(B939,Trigger_Assessment!$A$2:$B$1000,2,FALSE),"")</f>
        <v/>
      </c>
      <c r="D939">
        <f>IFERROR(VLOOKUP(B939,Trigger_Assessment!$A$2:$C$1000,3,FALSE),"")</f>
        <v/>
      </c>
      <c r="G939" s="14" t="n"/>
      <c r="H939" s="14" t="n"/>
      <c r="I939" s="14" t="n"/>
      <c r="N939" s="14" t="n"/>
      <c r="P939" s="14">
        <f>IF(ISBLANK(I939),"",DATE(YEAR(I939)+1,MONTH(I939),DAY(I939)))</f>
        <v/>
      </c>
    </row>
    <row r="940">
      <c r="C940">
        <f>IFERROR(VLOOKUP(B940,Trigger_Assessment!$A$2:$B$1000,2,FALSE),"")</f>
        <v/>
      </c>
      <c r="D940">
        <f>IFERROR(VLOOKUP(B940,Trigger_Assessment!$A$2:$C$1000,3,FALSE),"")</f>
        <v/>
      </c>
      <c r="G940" s="14" t="n"/>
      <c r="H940" s="14" t="n"/>
      <c r="I940" s="14" t="n"/>
      <c r="N940" s="14" t="n"/>
      <c r="P940" s="14">
        <f>IF(ISBLANK(I940),"",DATE(YEAR(I940)+1,MONTH(I940),DAY(I940)))</f>
        <v/>
      </c>
    </row>
    <row r="941">
      <c r="C941">
        <f>IFERROR(VLOOKUP(B941,Trigger_Assessment!$A$2:$B$1000,2,FALSE),"")</f>
        <v/>
      </c>
      <c r="D941">
        <f>IFERROR(VLOOKUP(B941,Trigger_Assessment!$A$2:$C$1000,3,FALSE),"")</f>
        <v/>
      </c>
      <c r="G941" s="14" t="n"/>
      <c r="H941" s="14" t="n"/>
      <c r="I941" s="14" t="n"/>
      <c r="N941" s="14" t="n"/>
      <c r="P941" s="14">
        <f>IF(ISBLANK(I941),"",DATE(YEAR(I941)+1,MONTH(I941),DAY(I941)))</f>
        <v/>
      </c>
    </row>
    <row r="942">
      <c r="C942">
        <f>IFERROR(VLOOKUP(B942,Trigger_Assessment!$A$2:$B$1000,2,FALSE),"")</f>
        <v/>
      </c>
      <c r="D942">
        <f>IFERROR(VLOOKUP(B942,Trigger_Assessment!$A$2:$C$1000,3,FALSE),"")</f>
        <v/>
      </c>
      <c r="G942" s="14" t="n"/>
      <c r="H942" s="14" t="n"/>
      <c r="I942" s="14" t="n"/>
      <c r="N942" s="14" t="n"/>
      <c r="P942" s="14">
        <f>IF(ISBLANK(I942),"",DATE(YEAR(I942)+1,MONTH(I942),DAY(I942)))</f>
        <v/>
      </c>
    </row>
    <row r="943">
      <c r="C943">
        <f>IFERROR(VLOOKUP(B943,Trigger_Assessment!$A$2:$B$1000,2,FALSE),"")</f>
        <v/>
      </c>
      <c r="D943">
        <f>IFERROR(VLOOKUP(B943,Trigger_Assessment!$A$2:$C$1000,3,FALSE),"")</f>
        <v/>
      </c>
      <c r="G943" s="14" t="n"/>
      <c r="H943" s="14" t="n"/>
      <c r="I943" s="14" t="n"/>
      <c r="N943" s="14" t="n"/>
      <c r="P943" s="14">
        <f>IF(ISBLANK(I943),"",DATE(YEAR(I943)+1,MONTH(I943),DAY(I943)))</f>
        <v/>
      </c>
    </row>
    <row r="944">
      <c r="C944">
        <f>IFERROR(VLOOKUP(B944,Trigger_Assessment!$A$2:$B$1000,2,FALSE),"")</f>
        <v/>
      </c>
      <c r="D944">
        <f>IFERROR(VLOOKUP(B944,Trigger_Assessment!$A$2:$C$1000,3,FALSE),"")</f>
        <v/>
      </c>
      <c r="G944" s="14" t="n"/>
      <c r="H944" s="14" t="n"/>
      <c r="I944" s="14" t="n"/>
      <c r="N944" s="14" t="n"/>
      <c r="P944" s="14">
        <f>IF(ISBLANK(I944),"",DATE(YEAR(I944)+1,MONTH(I944),DAY(I944)))</f>
        <v/>
      </c>
    </row>
    <row r="945">
      <c r="C945">
        <f>IFERROR(VLOOKUP(B945,Trigger_Assessment!$A$2:$B$1000,2,FALSE),"")</f>
        <v/>
      </c>
      <c r="D945">
        <f>IFERROR(VLOOKUP(B945,Trigger_Assessment!$A$2:$C$1000,3,FALSE),"")</f>
        <v/>
      </c>
      <c r="G945" s="14" t="n"/>
      <c r="H945" s="14" t="n"/>
      <c r="I945" s="14" t="n"/>
      <c r="N945" s="14" t="n"/>
      <c r="P945" s="14">
        <f>IF(ISBLANK(I945),"",DATE(YEAR(I945)+1,MONTH(I945),DAY(I945)))</f>
        <v/>
      </c>
    </row>
    <row r="946">
      <c r="C946">
        <f>IFERROR(VLOOKUP(B946,Trigger_Assessment!$A$2:$B$1000,2,FALSE),"")</f>
        <v/>
      </c>
      <c r="D946">
        <f>IFERROR(VLOOKUP(B946,Trigger_Assessment!$A$2:$C$1000,3,FALSE),"")</f>
        <v/>
      </c>
      <c r="G946" s="14" t="n"/>
      <c r="H946" s="14" t="n"/>
      <c r="I946" s="14" t="n"/>
      <c r="N946" s="14" t="n"/>
      <c r="P946" s="14">
        <f>IF(ISBLANK(I946),"",DATE(YEAR(I946)+1,MONTH(I946),DAY(I946)))</f>
        <v/>
      </c>
    </row>
    <row r="947">
      <c r="C947">
        <f>IFERROR(VLOOKUP(B947,Trigger_Assessment!$A$2:$B$1000,2,FALSE),"")</f>
        <v/>
      </c>
      <c r="D947">
        <f>IFERROR(VLOOKUP(B947,Trigger_Assessment!$A$2:$C$1000,3,FALSE),"")</f>
        <v/>
      </c>
      <c r="G947" s="14" t="n"/>
      <c r="H947" s="14" t="n"/>
      <c r="I947" s="14" t="n"/>
      <c r="N947" s="14" t="n"/>
      <c r="P947" s="14">
        <f>IF(ISBLANK(I947),"",DATE(YEAR(I947)+1,MONTH(I947),DAY(I947)))</f>
        <v/>
      </c>
    </row>
    <row r="948">
      <c r="C948">
        <f>IFERROR(VLOOKUP(B948,Trigger_Assessment!$A$2:$B$1000,2,FALSE),"")</f>
        <v/>
      </c>
      <c r="D948">
        <f>IFERROR(VLOOKUP(B948,Trigger_Assessment!$A$2:$C$1000,3,FALSE),"")</f>
        <v/>
      </c>
      <c r="G948" s="14" t="n"/>
      <c r="H948" s="14" t="n"/>
      <c r="I948" s="14" t="n"/>
      <c r="N948" s="14" t="n"/>
      <c r="P948" s="14">
        <f>IF(ISBLANK(I948),"",DATE(YEAR(I948)+1,MONTH(I948),DAY(I948)))</f>
        <v/>
      </c>
    </row>
    <row r="949">
      <c r="C949">
        <f>IFERROR(VLOOKUP(B949,Trigger_Assessment!$A$2:$B$1000,2,FALSE),"")</f>
        <v/>
      </c>
      <c r="D949">
        <f>IFERROR(VLOOKUP(B949,Trigger_Assessment!$A$2:$C$1000,3,FALSE),"")</f>
        <v/>
      </c>
      <c r="G949" s="14" t="n"/>
      <c r="H949" s="14" t="n"/>
      <c r="I949" s="14" t="n"/>
      <c r="N949" s="14" t="n"/>
      <c r="P949" s="14">
        <f>IF(ISBLANK(I949),"",DATE(YEAR(I949)+1,MONTH(I949),DAY(I949)))</f>
        <v/>
      </c>
    </row>
    <row r="950">
      <c r="C950">
        <f>IFERROR(VLOOKUP(B950,Trigger_Assessment!$A$2:$B$1000,2,FALSE),"")</f>
        <v/>
      </c>
      <c r="D950">
        <f>IFERROR(VLOOKUP(B950,Trigger_Assessment!$A$2:$C$1000,3,FALSE),"")</f>
        <v/>
      </c>
      <c r="G950" s="14" t="n"/>
      <c r="H950" s="14" t="n"/>
      <c r="I950" s="14" t="n"/>
      <c r="N950" s="14" t="n"/>
      <c r="P950" s="14">
        <f>IF(ISBLANK(I950),"",DATE(YEAR(I950)+1,MONTH(I950),DAY(I950)))</f>
        <v/>
      </c>
    </row>
    <row r="951">
      <c r="C951">
        <f>IFERROR(VLOOKUP(B951,Trigger_Assessment!$A$2:$B$1000,2,FALSE),"")</f>
        <v/>
      </c>
      <c r="D951">
        <f>IFERROR(VLOOKUP(B951,Trigger_Assessment!$A$2:$C$1000,3,FALSE),"")</f>
        <v/>
      </c>
      <c r="G951" s="14" t="n"/>
      <c r="H951" s="14" t="n"/>
      <c r="I951" s="14" t="n"/>
      <c r="N951" s="14" t="n"/>
      <c r="P951" s="14">
        <f>IF(ISBLANK(I951),"",DATE(YEAR(I951)+1,MONTH(I951),DAY(I951)))</f>
        <v/>
      </c>
    </row>
    <row r="952">
      <c r="C952">
        <f>IFERROR(VLOOKUP(B952,Trigger_Assessment!$A$2:$B$1000,2,FALSE),"")</f>
        <v/>
      </c>
      <c r="D952">
        <f>IFERROR(VLOOKUP(B952,Trigger_Assessment!$A$2:$C$1000,3,FALSE),"")</f>
        <v/>
      </c>
      <c r="G952" s="14" t="n"/>
      <c r="H952" s="14" t="n"/>
      <c r="I952" s="14" t="n"/>
      <c r="N952" s="14" t="n"/>
      <c r="P952" s="14">
        <f>IF(ISBLANK(I952),"",DATE(YEAR(I952)+1,MONTH(I952),DAY(I952)))</f>
        <v/>
      </c>
    </row>
    <row r="953">
      <c r="C953">
        <f>IFERROR(VLOOKUP(B953,Trigger_Assessment!$A$2:$B$1000,2,FALSE),"")</f>
        <v/>
      </c>
      <c r="D953">
        <f>IFERROR(VLOOKUP(B953,Trigger_Assessment!$A$2:$C$1000,3,FALSE),"")</f>
        <v/>
      </c>
      <c r="G953" s="14" t="n"/>
      <c r="H953" s="14" t="n"/>
      <c r="I953" s="14" t="n"/>
      <c r="N953" s="14" t="n"/>
      <c r="P953" s="14">
        <f>IF(ISBLANK(I953),"",DATE(YEAR(I953)+1,MONTH(I953),DAY(I953)))</f>
        <v/>
      </c>
    </row>
    <row r="954">
      <c r="C954">
        <f>IFERROR(VLOOKUP(B954,Trigger_Assessment!$A$2:$B$1000,2,FALSE),"")</f>
        <v/>
      </c>
      <c r="D954">
        <f>IFERROR(VLOOKUP(B954,Trigger_Assessment!$A$2:$C$1000,3,FALSE),"")</f>
        <v/>
      </c>
      <c r="G954" s="14" t="n"/>
      <c r="H954" s="14" t="n"/>
      <c r="I954" s="14" t="n"/>
      <c r="N954" s="14" t="n"/>
      <c r="P954" s="14">
        <f>IF(ISBLANK(I954),"",DATE(YEAR(I954)+1,MONTH(I954),DAY(I954)))</f>
        <v/>
      </c>
    </row>
    <row r="955">
      <c r="C955">
        <f>IFERROR(VLOOKUP(B955,Trigger_Assessment!$A$2:$B$1000,2,FALSE),"")</f>
        <v/>
      </c>
      <c r="D955">
        <f>IFERROR(VLOOKUP(B955,Trigger_Assessment!$A$2:$C$1000,3,FALSE),"")</f>
        <v/>
      </c>
      <c r="G955" s="14" t="n"/>
      <c r="H955" s="14" t="n"/>
      <c r="I955" s="14" t="n"/>
      <c r="N955" s="14" t="n"/>
      <c r="P955" s="14">
        <f>IF(ISBLANK(I955),"",DATE(YEAR(I955)+1,MONTH(I955),DAY(I955)))</f>
        <v/>
      </c>
    </row>
    <row r="956">
      <c r="C956">
        <f>IFERROR(VLOOKUP(B956,Trigger_Assessment!$A$2:$B$1000,2,FALSE),"")</f>
        <v/>
      </c>
      <c r="D956">
        <f>IFERROR(VLOOKUP(B956,Trigger_Assessment!$A$2:$C$1000,3,FALSE),"")</f>
        <v/>
      </c>
      <c r="G956" s="14" t="n"/>
      <c r="H956" s="14" t="n"/>
      <c r="I956" s="14" t="n"/>
      <c r="N956" s="14" t="n"/>
      <c r="P956" s="14">
        <f>IF(ISBLANK(I956),"",DATE(YEAR(I956)+1,MONTH(I956),DAY(I956)))</f>
        <v/>
      </c>
    </row>
    <row r="957">
      <c r="C957">
        <f>IFERROR(VLOOKUP(B957,Trigger_Assessment!$A$2:$B$1000,2,FALSE),"")</f>
        <v/>
      </c>
      <c r="D957">
        <f>IFERROR(VLOOKUP(B957,Trigger_Assessment!$A$2:$C$1000,3,FALSE),"")</f>
        <v/>
      </c>
      <c r="G957" s="14" t="n"/>
      <c r="H957" s="14" t="n"/>
      <c r="I957" s="14" t="n"/>
      <c r="N957" s="14" t="n"/>
      <c r="P957" s="14">
        <f>IF(ISBLANK(I957),"",DATE(YEAR(I957)+1,MONTH(I957),DAY(I957)))</f>
        <v/>
      </c>
    </row>
    <row r="958">
      <c r="C958">
        <f>IFERROR(VLOOKUP(B958,Trigger_Assessment!$A$2:$B$1000,2,FALSE),"")</f>
        <v/>
      </c>
      <c r="D958">
        <f>IFERROR(VLOOKUP(B958,Trigger_Assessment!$A$2:$C$1000,3,FALSE),"")</f>
        <v/>
      </c>
      <c r="G958" s="14" t="n"/>
      <c r="H958" s="14" t="n"/>
      <c r="I958" s="14" t="n"/>
      <c r="N958" s="14" t="n"/>
      <c r="P958" s="14">
        <f>IF(ISBLANK(I958),"",DATE(YEAR(I958)+1,MONTH(I958),DAY(I958)))</f>
        <v/>
      </c>
    </row>
    <row r="959">
      <c r="C959">
        <f>IFERROR(VLOOKUP(B959,Trigger_Assessment!$A$2:$B$1000,2,FALSE),"")</f>
        <v/>
      </c>
      <c r="D959">
        <f>IFERROR(VLOOKUP(B959,Trigger_Assessment!$A$2:$C$1000,3,FALSE),"")</f>
        <v/>
      </c>
      <c r="G959" s="14" t="n"/>
      <c r="H959" s="14" t="n"/>
      <c r="I959" s="14" t="n"/>
      <c r="N959" s="14" t="n"/>
      <c r="P959" s="14">
        <f>IF(ISBLANK(I959),"",DATE(YEAR(I959)+1,MONTH(I959),DAY(I959)))</f>
        <v/>
      </c>
    </row>
    <row r="960">
      <c r="C960">
        <f>IFERROR(VLOOKUP(B960,Trigger_Assessment!$A$2:$B$1000,2,FALSE),"")</f>
        <v/>
      </c>
      <c r="D960">
        <f>IFERROR(VLOOKUP(B960,Trigger_Assessment!$A$2:$C$1000,3,FALSE),"")</f>
        <v/>
      </c>
      <c r="G960" s="14" t="n"/>
      <c r="H960" s="14" t="n"/>
      <c r="I960" s="14" t="n"/>
      <c r="N960" s="14" t="n"/>
      <c r="P960" s="14">
        <f>IF(ISBLANK(I960),"",DATE(YEAR(I960)+1,MONTH(I960),DAY(I960)))</f>
        <v/>
      </c>
    </row>
    <row r="961">
      <c r="C961">
        <f>IFERROR(VLOOKUP(B961,Trigger_Assessment!$A$2:$B$1000,2,FALSE),"")</f>
        <v/>
      </c>
      <c r="D961">
        <f>IFERROR(VLOOKUP(B961,Trigger_Assessment!$A$2:$C$1000,3,FALSE),"")</f>
        <v/>
      </c>
      <c r="G961" s="14" t="n"/>
      <c r="H961" s="14" t="n"/>
      <c r="I961" s="14" t="n"/>
      <c r="N961" s="14" t="n"/>
      <c r="P961" s="14">
        <f>IF(ISBLANK(I961),"",DATE(YEAR(I961)+1,MONTH(I961),DAY(I961)))</f>
        <v/>
      </c>
    </row>
    <row r="962">
      <c r="C962">
        <f>IFERROR(VLOOKUP(B962,Trigger_Assessment!$A$2:$B$1000,2,FALSE),"")</f>
        <v/>
      </c>
      <c r="D962">
        <f>IFERROR(VLOOKUP(B962,Trigger_Assessment!$A$2:$C$1000,3,FALSE),"")</f>
        <v/>
      </c>
      <c r="G962" s="14" t="n"/>
      <c r="H962" s="14" t="n"/>
      <c r="I962" s="14" t="n"/>
      <c r="N962" s="14" t="n"/>
      <c r="P962" s="14">
        <f>IF(ISBLANK(I962),"",DATE(YEAR(I962)+1,MONTH(I962),DAY(I962)))</f>
        <v/>
      </c>
    </row>
    <row r="963">
      <c r="C963">
        <f>IFERROR(VLOOKUP(B963,Trigger_Assessment!$A$2:$B$1000,2,FALSE),"")</f>
        <v/>
      </c>
      <c r="D963">
        <f>IFERROR(VLOOKUP(B963,Trigger_Assessment!$A$2:$C$1000,3,FALSE),"")</f>
        <v/>
      </c>
      <c r="G963" s="14" t="n"/>
      <c r="H963" s="14" t="n"/>
      <c r="I963" s="14" t="n"/>
      <c r="N963" s="14" t="n"/>
      <c r="P963" s="14">
        <f>IF(ISBLANK(I963),"",DATE(YEAR(I963)+1,MONTH(I963),DAY(I963)))</f>
        <v/>
      </c>
    </row>
    <row r="964">
      <c r="C964">
        <f>IFERROR(VLOOKUP(B964,Trigger_Assessment!$A$2:$B$1000,2,FALSE),"")</f>
        <v/>
      </c>
      <c r="D964">
        <f>IFERROR(VLOOKUP(B964,Trigger_Assessment!$A$2:$C$1000,3,FALSE),"")</f>
        <v/>
      </c>
      <c r="G964" s="14" t="n"/>
      <c r="H964" s="14" t="n"/>
      <c r="I964" s="14" t="n"/>
      <c r="N964" s="14" t="n"/>
      <c r="P964" s="14">
        <f>IF(ISBLANK(I964),"",DATE(YEAR(I964)+1,MONTH(I964),DAY(I964)))</f>
        <v/>
      </c>
    </row>
    <row r="965">
      <c r="C965">
        <f>IFERROR(VLOOKUP(B965,Trigger_Assessment!$A$2:$B$1000,2,FALSE),"")</f>
        <v/>
      </c>
      <c r="D965">
        <f>IFERROR(VLOOKUP(B965,Trigger_Assessment!$A$2:$C$1000,3,FALSE),"")</f>
        <v/>
      </c>
      <c r="G965" s="14" t="n"/>
      <c r="H965" s="14" t="n"/>
      <c r="I965" s="14" t="n"/>
      <c r="N965" s="14" t="n"/>
      <c r="P965" s="14">
        <f>IF(ISBLANK(I965),"",DATE(YEAR(I965)+1,MONTH(I965),DAY(I965)))</f>
        <v/>
      </c>
    </row>
    <row r="966">
      <c r="C966">
        <f>IFERROR(VLOOKUP(B966,Trigger_Assessment!$A$2:$B$1000,2,FALSE),"")</f>
        <v/>
      </c>
      <c r="D966">
        <f>IFERROR(VLOOKUP(B966,Trigger_Assessment!$A$2:$C$1000,3,FALSE),"")</f>
        <v/>
      </c>
      <c r="G966" s="14" t="n"/>
      <c r="H966" s="14" t="n"/>
      <c r="I966" s="14" t="n"/>
      <c r="N966" s="14" t="n"/>
      <c r="P966" s="14">
        <f>IF(ISBLANK(I966),"",DATE(YEAR(I966)+1,MONTH(I966),DAY(I966)))</f>
        <v/>
      </c>
    </row>
    <row r="967">
      <c r="C967">
        <f>IFERROR(VLOOKUP(B967,Trigger_Assessment!$A$2:$B$1000,2,FALSE),"")</f>
        <v/>
      </c>
      <c r="D967">
        <f>IFERROR(VLOOKUP(B967,Trigger_Assessment!$A$2:$C$1000,3,FALSE),"")</f>
        <v/>
      </c>
      <c r="G967" s="14" t="n"/>
      <c r="H967" s="14" t="n"/>
      <c r="I967" s="14" t="n"/>
      <c r="N967" s="14" t="n"/>
      <c r="P967" s="14">
        <f>IF(ISBLANK(I967),"",DATE(YEAR(I967)+1,MONTH(I967),DAY(I967)))</f>
        <v/>
      </c>
    </row>
    <row r="968">
      <c r="C968">
        <f>IFERROR(VLOOKUP(B968,Trigger_Assessment!$A$2:$B$1000,2,FALSE),"")</f>
        <v/>
      </c>
      <c r="D968">
        <f>IFERROR(VLOOKUP(B968,Trigger_Assessment!$A$2:$C$1000,3,FALSE),"")</f>
        <v/>
      </c>
      <c r="G968" s="14" t="n"/>
      <c r="H968" s="14" t="n"/>
      <c r="I968" s="14" t="n"/>
      <c r="N968" s="14" t="n"/>
      <c r="P968" s="14">
        <f>IF(ISBLANK(I968),"",DATE(YEAR(I968)+1,MONTH(I968),DAY(I968)))</f>
        <v/>
      </c>
    </row>
    <row r="969">
      <c r="C969">
        <f>IFERROR(VLOOKUP(B969,Trigger_Assessment!$A$2:$B$1000,2,FALSE),"")</f>
        <v/>
      </c>
      <c r="D969">
        <f>IFERROR(VLOOKUP(B969,Trigger_Assessment!$A$2:$C$1000,3,FALSE),"")</f>
        <v/>
      </c>
      <c r="G969" s="14" t="n"/>
      <c r="H969" s="14" t="n"/>
      <c r="I969" s="14" t="n"/>
      <c r="N969" s="14" t="n"/>
      <c r="P969" s="14">
        <f>IF(ISBLANK(I969),"",DATE(YEAR(I969)+1,MONTH(I969),DAY(I969)))</f>
        <v/>
      </c>
    </row>
    <row r="970">
      <c r="C970">
        <f>IFERROR(VLOOKUP(B970,Trigger_Assessment!$A$2:$B$1000,2,FALSE),"")</f>
        <v/>
      </c>
      <c r="D970">
        <f>IFERROR(VLOOKUP(B970,Trigger_Assessment!$A$2:$C$1000,3,FALSE),"")</f>
        <v/>
      </c>
      <c r="G970" s="14" t="n"/>
      <c r="H970" s="14" t="n"/>
      <c r="I970" s="14" t="n"/>
      <c r="N970" s="14" t="n"/>
      <c r="P970" s="14">
        <f>IF(ISBLANK(I970),"",DATE(YEAR(I970)+1,MONTH(I970),DAY(I970)))</f>
        <v/>
      </c>
    </row>
    <row r="971">
      <c r="C971">
        <f>IFERROR(VLOOKUP(B971,Trigger_Assessment!$A$2:$B$1000,2,FALSE),"")</f>
        <v/>
      </c>
      <c r="D971">
        <f>IFERROR(VLOOKUP(B971,Trigger_Assessment!$A$2:$C$1000,3,FALSE),"")</f>
        <v/>
      </c>
      <c r="G971" s="14" t="n"/>
      <c r="H971" s="14" t="n"/>
      <c r="I971" s="14" t="n"/>
      <c r="N971" s="14" t="n"/>
      <c r="P971" s="14">
        <f>IF(ISBLANK(I971),"",DATE(YEAR(I971)+1,MONTH(I971),DAY(I971)))</f>
        <v/>
      </c>
    </row>
    <row r="972">
      <c r="C972">
        <f>IFERROR(VLOOKUP(B972,Trigger_Assessment!$A$2:$B$1000,2,FALSE),"")</f>
        <v/>
      </c>
      <c r="D972">
        <f>IFERROR(VLOOKUP(B972,Trigger_Assessment!$A$2:$C$1000,3,FALSE),"")</f>
        <v/>
      </c>
      <c r="G972" s="14" t="n"/>
      <c r="H972" s="14" t="n"/>
      <c r="I972" s="14" t="n"/>
      <c r="N972" s="14" t="n"/>
      <c r="P972" s="14">
        <f>IF(ISBLANK(I972),"",DATE(YEAR(I972)+1,MONTH(I972),DAY(I972)))</f>
        <v/>
      </c>
    </row>
    <row r="973">
      <c r="C973">
        <f>IFERROR(VLOOKUP(B973,Trigger_Assessment!$A$2:$B$1000,2,FALSE),"")</f>
        <v/>
      </c>
      <c r="D973">
        <f>IFERROR(VLOOKUP(B973,Trigger_Assessment!$A$2:$C$1000,3,FALSE),"")</f>
        <v/>
      </c>
      <c r="G973" s="14" t="n"/>
      <c r="H973" s="14" t="n"/>
      <c r="I973" s="14" t="n"/>
      <c r="N973" s="14" t="n"/>
      <c r="P973" s="14">
        <f>IF(ISBLANK(I973),"",DATE(YEAR(I973)+1,MONTH(I973),DAY(I973)))</f>
        <v/>
      </c>
    </row>
    <row r="974">
      <c r="C974">
        <f>IFERROR(VLOOKUP(B974,Trigger_Assessment!$A$2:$B$1000,2,FALSE),"")</f>
        <v/>
      </c>
      <c r="D974">
        <f>IFERROR(VLOOKUP(B974,Trigger_Assessment!$A$2:$C$1000,3,FALSE),"")</f>
        <v/>
      </c>
      <c r="G974" s="14" t="n"/>
      <c r="H974" s="14" t="n"/>
      <c r="I974" s="14" t="n"/>
      <c r="N974" s="14" t="n"/>
      <c r="P974" s="14">
        <f>IF(ISBLANK(I974),"",DATE(YEAR(I974)+1,MONTH(I974),DAY(I974)))</f>
        <v/>
      </c>
    </row>
    <row r="975">
      <c r="C975">
        <f>IFERROR(VLOOKUP(B975,Trigger_Assessment!$A$2:$B$1000,2,FALSE),"")</f>
        <v/>
      </c>
      <c r="D975">
        <f>IFERROR(VLOOKUP(B975,Trigger_Assessment!$A$2:$C$1000,3,FALSE),"")</f>
        <v/>
      </c>
      <c r="G975" s="14" t="n"/>
      <c r="H975" s="14" t="n"/>
      <c r="I975" s="14" t="n"/>
      <c r="N975" s="14" t="n"/>
      <c r="P975" s="14">
        <f>IF(ISBLANK(I975),"",DATE(YEAR(I975)+1,MONTH(I975),DAY(I975)))</f>
        <v/>
      </c>
    </row>
    <row r="976">
      <c r="C976">
        <f>IFERROR(VLOOKUP(B976,Trigger_Assessment!$A$2:$B$1000,2,FALSE),"")</f>
        <v/>
      </c>
      <c r="D976">
        <f>IFERROR(VLOOKUP(B976,Trigger_Assessment!$A$2:$C$1000,3,FALSE),"")</f>
        <v/>
      </c>
      <c r="G976" s="14" t="n"/>
      <c r="H976" s="14" t="n"/>
      <c r="I976" s="14" t="n"/>
      <c r="N976" s="14" t="n"/>
      <c r="P976" s="14">
        <f>IF(ISBLANK(I976),"",DATE(YEAR(I976)+1,MONTH(I976),DAY(I976)))</f>
        <v/>
      </c>
    </row>
    <row r="977">
      <c r="C977">
        <f>IFERROR(VLOOKUP(B977,Trigger_Assessment!$A$2:$B$1000,2,FALSE),"")</f>
        <v/>
      </c>
      <c r="D977">
        <f>IFERROR(VLOOKUP(B977,Trigger_Assessment!$A$2:$C$1000,3,FALSE),"")</f>
        <v/>
      </c>
      <c r="G977" s="14" t="n"/>
      <c r="H977" s="14" t="n"/>
      <c r="I977" s="14" t="n"/>
      <c r="N977" s="14" t="n"/>
      <c r="P977" s="14">
        <f>IF(ISBLANK(I977),"",DATE(YEAR(I977)+1,MONTH(I977),DAY(I977)))</f>
        <v/>
      </c>
    </row>
    <row r="978">
      <c r="C978">
        <f>IFERROR(VLOOKUP(B978,Trigger_Assessment!$A$2:$B$1000,2,FALSE),"")</f>
        <v/>
      </c>
      <c r="D978">
        <f>IFERROR(VLOOKUP(B978,Trigger_Assessment!$A$2:$C$1000,3,FALSE),"")</f>
        <v/>
      </c>
      <c r="G978" s="14" t="n"/>
      <c r="H978" s="14" t="n"/>
      <c r="I978" s="14" t="n"/>
      <c r="N978" s="14" t="n"/>
      <c r="P978" s="14">
        <f>IF(ISBLANK(I978),"",DATE(YEAR(I978)+1,MONTH(I978),DAY(I978)))</f>
        <v/>
      </c>
    </row>
    <row r="979">
      <c r="C979">
        <f>IFERROR(VLOOKUP(B979,Trigger_Assessment!$A$2:$B$1000,2,FALSE),"")</f>
        <v/>
      </c>
      <c r="D979">
        <f>IFERROR(VLOOKUP(B979,Trigger_Assessment!$A$2:$C$1000,3,FALSE),"")</f>
        <v/>
      </c>
      <c r="G979" s="14" t="n"/>
      <c r="H979" s="14" t="n"/>
      <c r="I979" s="14" t="n"/>
      <c r="N979" s="14" t="n"/>
      <c r="P979" s="14">
        <f>IF(ISBLANK(I979),"",DATE(YEAR(I979)+1,MONTH(I979),DAY(I979)))</f>
        <v/>
      </c>
    </row>
    <row r="980">
      <c r="C980">
        <f>IFERROR(VLOOKUP(B980,Trigger_Assessment!$A$2:$B$1000,2,FALSE),"")</f>
        <v/>
      </c>
      <c r="D980">
        <f>IFERROR(VLOOKUP(B980,Trigger_Assessment!$A$2:$C$1000,3,FALSE),"")</f>
        <v/>
      </c>
      <c r="G980" s="14" t="n"/>
      <c r="H980" s="14" t="n"/>
      <c r="I980" s="14" t="n"/>
      <c r="N980" s="14" t="n"/>
      <c r="P980" s="14">
        <f>IF(ISBLANK(I980),"",DATE(YEAR(I980)+1,MONTH(I980),DAY(I980)))</f>
        <v/>
      </c>
    </row>
    <row r="981">
      <c r="C981">
        <f>IFERROR(VLOOKUP(B981,Trigger_Assessment!$A$2:$B$1000,2,FALSE),"")</f>
        <v/>
      </c>
      <c r="D981">
        <f>IFERROR(VLOOKUP(B981,Trigger_Assessment!$A$2:$C$1000,3,FALSE),"")</f>
        <v/>
      </c>
      <c r="G981" s="14" t="n"/>
      <c r="H981" s="14" t="n"/>
      <c r="I981" s="14" t="n"/>
      <c r="N981" s="14" t="n"/>
      <c r="P981" s="14">
        <f>IF(ISBLANK(I981),"",DATE(YEAR(I981)+1,MONTH(I981),DAY(I981)))</f>
        <v/>
      </c>
    </row>
    <row r="982">
      <c r="C982">
        <f>IFERROR(VLOOKUP(B982,Trigger_Assessment!$A$2:$B$1000,2,FALSE),"")</f>
        <v/>
      </c>
      <c r="D982">
        <f>IFERROR(VLOOKUP(B982,Trigger_Assessment!$A$2:$C$1000,3,FALSE),"")</f>
        <v/>
      </c>
      <c r="G982" s="14" t="n"/>
      <c r="H982" s="14" t="n"/>
      <c r="I982" s="14" t="n"/>
      <c r="N982" s="14" t="n"/>
      <c r="P982" s="14">
        <f>IF(ISBLANK(I982),"",DATE(YEAR(I982)+1,MONTH(I982),DAY(I982)))</f>
        <v/>
      </c>
    </row>
    <row r="983">
      <c r="C983">
        <f>IFERROR(VLOOKUP(B983,Trigger_Assessment!$A$2:$B$1000,2,FALSE),"")</f>
        <v/>
      </c>
      <c r="D983">
        <f>IFERROR(VLOOKUP(B983,Trigger_Assessment!$A$2:$C$1000,3,FALSE),"")</f>
        <v/>
      </c>
      <c r="G983" s="14" t="n"/>
      <c r="H983" s="14" t="n"/>
      <c r="I983" s="14" t="n"/>
      <c r="N983" s="14" t="n"/>
      <c r="P983" s="14">
        <f>IF(ISBLANK(I983),"",DATE(YEAR(I983)+1,MONTH(I983),DAY(I983)))</f>
        <v/>
      </c>
    </row>
    <row r="984">
      <c r="C984">
        <f>IFERROR(VLOOKUP(B984,Trigger_Assessment!$A$2:$B$1000,2,FALSE),"")</f>
        <v/>
      </c>
      <c r="D984">
        <f>IFERROR(VLOOKUP(B984,Trigger_Assessment!$A$2:$C$1000,3,FALSE),"")</f>
        <v/>
      </c>
      <c r="G984" s="14" t="n"/>
      <c r="H984" s="14" t="n"/>
      <c r="I984" s="14" t="n"/>
      <c r="N984" s="14" t="n"/>
      <c r="P984" s="14">
        <f>IF(ISBLANK(I984),"",DATE(YEAR(I984)+1,MONTH(I984),DAY(I984)))</f>
        <v/>
      </c>
    </row>
    <row r="985">
      <c r="C985">
        <f>IFERROR(VLOOKUP(B985,Trigger_Assessment!$A$2:$B$1000,2,FALSE),"")</f>
        <v/>
      </c>
      <c r="D985">
        <f>IFERROR(VLOOKUP(B985,Trigger_Assessment!$A$2:$C$1000,3,FALSE),"")</f>
        <v/>
      </c>
      <c r="G985" s="14" t="n"/>
      <c r="H985" s="14" t="n"/>
      <c r="I985" s="14" t="n"/>
      <c r="N985" s="14" t="n"/>
      <c r="P985" s="14">
        <f>IF(ISBLANK(I985),"",DATE(YEAR(I985)+1,MONTH(I985),DAY(I985)))</f>
        <v/>
      </c>
    </row>
    <row r="986">
      <c r="C986">
        <f>IFERROR(VLOOKUP(B986,Trigger_Assessment!$A$2:$B$1000,2,FALSE),"")</f>
        <v/>
      </c>
      <c r="D986">
        <f>IFERROR(VLOOKUP(B986,Trigger_Assessment!$A$2:$C$1000,3,FALSE),"")</f>
        <v/>
      </c>
      <c r="G986" s="14" t="n"/>
      <c r="H986" s="14" t="n"/>
      <c r="I986" s="14" t="n"/>
      <c r="N986" s="14" t="n"/>
      <c r="P986" s="14">
        <f>IF(ISBLANK(I986),"",DATE(YEAR(I986)+1,MONTH(I986),DAY(I986)))</f>
        <v/>
      </c>
    </row>
    <row r="987">
      <c r="C987">
        <f>IFERROR(VLOOKUP(B987,Trigger_Assessment!$A$2:$B$1000,2,FALSE),"")</f>
        <v/>
      </c>
      <c r="D987">
        <f>IFERROR(VLOOKUP(B987,Trigger_Assessment!$A$2:$C$1000,3,FALSE),"")</f>
        <v/>
      </c>
      <c r="G987" s="14" t="n"/>
      <c r="H987" s="14" t="n"/>
      <c r="I987" s="14" t="n"/>
      <c r="N987" s="14" t="n"/>
      <c r="P987" s="14">
        <f>IF(ISBLANK(I987),"",DATE(YEAR(I987)+1,MONTH(I987),DAY(I987)))</f>
        <v/>
      </c>
    </row>
    <row r="988">
      <c r="C988">
        <f>IFERROR(VLOOKUP(B988,Trigger_Assessment!$A$2:$B$1000,2,FALSE),"")</f>
        <v/>
      </c>
      <c r="D988">
        <f>IFERROR(VLOOKUP(B988,Trigger_Assessment!$A$2:$C$1000,3,FALSE),"")</f>
        <v/>
      </c>
      <c r="G988" s="14" t="n"/>
      <c r="H988" s="14" t="n"/>
      <c r="I988" s="14" t="n"/>
      <c r="N988" s="14" t="n"/>
      <c r="P988" s="14">
        <f>IF(ISBLANK(I988),"",DATE(YEAR(I988)+1,MONTH(I988),DAY(I988)))</f>
        <v/>
      </c>
    </row>
    <row r="989">
      <c r="C989">
        <f>IFERROR(VLOOKUP(B989,Trigger_Assessment!$A$2:$B$1000,2,FALSE),"")</f>
        <v/>
      </c>
      <c r="D989">
        <f>IFERROR(VLOOKUP(B989,Trigger_Assessment!$A$2:$C$1000,3,FALSE),"")</f>
        <v/>
      </c>
      <c r="G989" s="14" t="n"/>
      <c r="H989" s="14" t="n"/>
      <c r="I989" s="14" t="n"/>
      <c r="N989" s="14" t="n"/>
      <c r="P989" s="14">
        <f>IF(ISBLANK(I989),"",DATE(YEAR(I989)+1,MONTH(I989),DAY(I989)))</f>
        <v/>
      </c>
    </row>
    <row r="990">
      <c r="C990">
        <f>IFERROR(VLOOKUP(B990,Trigger_Assessment!$A$2:$B$1000,2,FALSE),"")</f>
        <v/>
      </c>
      <c r="D990">
        <f>IFERROR(VLOOKUP(B990,Trigger_Assessment!$A$2:$C$1000,3,FALSE),"")</f>
        <v/>
      </c>
      <c r="G990" s="14" t="n"/>
      <c r="H990" s="14" t="n"/>
      <c r="I990" s="14" t="n"/>
      <c r="N990" s="14" t="n"/>
      <c r="P990" s="14">
        <f>IF(ISBLANK(I990),"",DATE(YEAR(I990)+1,MONTH(I990),DAY(I990)))</f>
        <v/>
      </c>
    </row>
    <row r="991">
      <c r="C991">
        <f>IFERROR(VLOOKUP(B991,Trigger_Assessment!$A$2:$B$1000,2,FALSE),"")</f>
        <v/>
      </c>
      <c r="D991">
        <f>IFERROR(VLOOKUP(B991,Trigger_Assessment!$A$2:$C$1000,3,FALSE),"")</f>
        <v/>
      </c>
      <c r="G991" s="14" t="n"/>
      <c r="H991" s="14" t="n"/>
      <c r="I991" s="14" t="n"/>
      <c r="N991" s="14" t="n"/>
      <c r="P991" s="14">
        <f>IF(ISBLANK(I991),"",DATE(YEAR(I991)+1,MONTH(I991),DAY(I991)))</f>
        <v/>
      </c>
    </row>
    <row r="992">
      <c r="C992">
        <f>IFERROR(VLOOKUP(B992,Trigger_Assessment!$A$2:$B$1000,2,FALSE),"")</f>
        <v/>
      </c>
      <c r="D992">
        <f>IFERROR(VLOOKUP(B992,Trigger_Assessment!$A$2:$C$1000,3,FALSE),"")</f>
        <v/>
      </c>
      <c r="G992" s="14" t="n"/>
      <c r="H992" s="14" t="n"/>
      <c r="I992" s="14" t="n"/>
      <c r="N992" s="14" t="n"/>
      <c r="P992" s="14">
        <f>IF(ISBLANK(I992),"",DATE(YEAR(I992)+1,MONTH(I992),DAY(I992)))</f>
        <v/>
      </c>
    </row>
    <row r="993">
      <c r="C993">
        <f>IFERROR(VLOOKUP(B993,Trigger_Assessment!$A$2:$B$1000,2,FALSE),"")</f>
        <v/>
      </c>
      <c r="D993">
        <f>IFERROR(VLOOKUP(B993,Trigger_Assessment!$A$2:$C$1000,3,FALSE),"")</f>
        <v/>
      </c>
      <c r="G993" s="14" t="n"/>
      <c r="H993" s="14" t="n"/>
      <c r="I993" s="14" t="n"/>
      <c r="N993" s="14" t="n"/>
      <c r="P993" s="14">
        <f>IF(ISBLANK(I993),"",DATE(YEAR(I993)+1,MONTH(I993),DAY(I993)))</f>
        <v/>
      </c>
    </row>
    <row r="994">
      <c r="C994">
        <f>IFERROR(VLOOKUP(B994,Trigger_Assessment!$A$2:$B$1000,2,FALSE),"")</f>
        <v/>
      </c>
      <c r="D994">
        <f>IFERROR(VLOOKUP(B994,Trigger_Assessment!$A$2:$C$1000,3,FALSE),"")</f>
        <v/>
      </c>
      <c r="G994" s="14" t="n"/>
      <c r="H994" s="14" t="n"/>
      <c r="I994" s="14" t="n"/>
      <c r="N994" s="14" t="n"/>
      <c r="P994" s="14">
        <f>IF(ISBLANK(I994),"",DATE(YEAR(I994)+1,MONTH(I994),DAY(I994)))</f>
        <v/>
      </c>
    </row>
    <row r="995">
      <c r="C995">
        <f>IFERROR(VLOOKUP(B995,Trigger_Assessment!$A$2:$B$1000,2,FALSE),"")</f>
        <v/>
      </c>
      <c r="D995">
        <f>IFERROR(VLOOKUP(B995,Trigger_Assessment!$A$2:$C$1000,3,FALSE),"")</f>
        <v/>
      </c>
      <c r="G995" s="14" t="n"/>
      <c r="H995" s="14" t="n"/>
      <c r="I995" s="14" t="n"/>
      <c r="N995" s="14" t="n"/>
      <c r="P995" s="14">
        <f>IF(ISBLANK(I995),"",DATE(YEAR(I995)+1,MONTH(I995),DAY(I995)))</f>
        <v/>
      </c>
    </row>
    <row r="996">
      <c r="C996">
        <f>IFERROR(VLOOKUP(B996,Trigger_Assessment!$A$2:$B$1000,2,FALSE),"")</f>
        <v/>
      </c>
      <c r="D996">
        <f>IFERROR(VLOOKUP(B996,Trigger_Assessment!$A$2:$C$1000,3,FALSE),"")</f>
        <v/>
      </c>
      <c r="G996" s="14" t="n"/>
      <c r="H996" s="14" t="n"/>
      <c r="I996" s="14" t="n"/>
      <c r="N996" s="14" t="n"/>
      <c r="P996" s="14">
        <f>IF(ISBLANK(I996),"",DATE(YEAR(I996)+1,MONTH(I996),DAY(I996)))</f>
        <v/>
      </c>
    </row>
    <row r="997">
      <c r="C997">
        <f>IFERROR(VLOOKUP(B997,Trigger_Assessment!$A$2:$B$1000,2,FALSE),"")</f>
        <v/>
      </c>
      <c r="D997">
        <f>IFERROR(VLOOKUP(B997,Trigger_Assessment!$A$2:$C$1000,3,FALSE),"")</f>
        <v/>
      </c>
      <c r="G997" s="14" t="n"/>
      <c r="H997" s="14" t="n"/>
      <c r="I997" s="14" t="n"/>
      <c r="N997" s="14" t="n"/>
      <c r="P997" s="14">
        <f>IF(ISBLANK(I997),"",DATE(YEAR(I997)+1,MONTH(I997),DAY(I997)))</f>
        <v/>
      </c>
    </row>
    <row r="998">
      <c r="C998">
        <f>IFERROR(VLOOKUP(B998,Trigger_Assessment!$A$2:$B$1000,2,FALSE),"")</f>
        <v/>
      </c>
      <c r="D998">
        <f>IFERROR(VLOOKUP(B998,Trigger_Assessment!$A$2:$C$1000,3,FALSE),"")</f>
        <v/>
      </c>
      <c r="G998" s="14" t="n"/>
      <c r="H998" s="14" t="n"/>
      <c r="I998" s="14" t="n"/>
      <c r="N998" s="14" t="n"/>
      <c r="P998" s="14">
        <f>IF(ISBLANK(I998),"",DATE(YEAR(I998)+1,MONTH(I998),DAY(I998)))</f>
        <v/>
      </c>
    </row>
    <row r="999">
      <c r="C999">
        <f>IFERROR(VLOOKUP(B999,Trigger_Assessment!$A$2:$B$1000,2,FALSE),"")</f>
        <v/>
      </c>
      <c r="D999">
        <f>IFERROR(VLOOKUP(B999,Trigger_Assessment!$A$2:$C$1000,3,FALSE),"")</f>
        <v/>
      </c>
      <c r="G999" s="14" t="n"/>
      <c r="H999" s="14" t="n"/>
      <c r="I999" s="14" t="n"/>
      <c r="N999" s="14" t="n"/>
      <c r="P999" s="14">
        <f>IF(ISBLANK(I999),"",DATE(YEAR(I999)+1,MONTH(I999),DAY(I999)))</f>
        <v/>
      </c>
    </row>
    <row r="1000">
      <c r="C1000">
        <f>IFERROR(VLOOKUP(B1000,Trigger_Assessment!$A$2:$B$1000,2,FALSE),"")</f>
        <v/>
      </c>
      <c r="D1000">
        <f>IFERROR(VLOOKUP(B1000,Trigger_Assessment!$A$2:$C$1000,3,FALSE),"")</f>
        <v/>
      </c>
      <c r="G1000" s="14" t="n"/>
      <c r="H1000" s="14" t="n"/>
      <c r="I1000" s="14" t="n"/>
      <c r="N1000" s="14" t="n"/>
      <c r="P1000" s="14">
        <f>IF(ISBLANK(I1000),"",DATE(YEAR(I1000)+1,MONTH(I1000),DAY(I1000)))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conditionalFormatting sqref="J2:J1000">
    <cfRule type="cellIs" priority="1" operator="equal" dxfId="3">
      <formula>"Complete"</formula>
    </cfRule>
    <cfRule type="cellIs" priority="2" operator="equal" dxfId="4">
      <formula>"In Progress"</formula>
    </cfRule>
    <cfRule type="cellIs" priority="3" operator="equal" dxfId="5">
      <formula>"Overdue"</formula>
    </cfRule>
    <cfRule type="cellIs" priority="4" operator="equal" dxfId="8">
      <formula>"Under Review"</formula>
    </cfRule>
    <cfRule type="cellIs" priority="5" operator="equal" dxfId="9">
      <formula>"Planned"</formula>
    </cfRule>
  </conditionalFormatting>
  <conditionalFormatting sqref="K2:K1000">
    <cfRule type="cellIs" priority="6" operator="equal" dxfId="3">
      <formula>"Low"</formula>
    </cfRule>
    <cfRule type="cellIs" priority="7" operator="equal" dxfId="4">
      <formula>"Medium"</formula>
    </cfRule>
    <cfRule type="cellIs" priority="8" operator="equal" dxfId="10">
      <formula>"High"</formula>
    </cfRule>
    <cfRule type="cellIs" priority="9" operator="equal" dxfId="11">
      <formula>"Critical"</formula>
    </cfRule>
  </conditionalFormatting>
  <conditionalFormatting sqref="L2:L1000">
    <cfRule type="cellIs" priority="10" operator="equal" dxfId="3">
      <formula>"Low"</formula>
    </cfRule>
    <cfRule type="cellIs" priority="11" operator="equal" dxfId="4">
      <formula>"Medium"</formula>
    </cfRule>
    <cfRule type="cellIs" priority="12" operator="equal" dxfId="10">
      <formula>"High"</formula>
    </cfRule>
    <cfRule type="cellIs" priority="13" operator="equal" dxfId="11">
      <formula>"Critical"</formula>
    </cfRule>
  </conditionalFormatting>
  <conditionalFormatting sqref="P2:P1000">
    <cfRule type="expression" priority="14" dxfId="2">
      <formula>AND(NOT(ISBLANK(P2)),P2&lt;=TODAY()+30)</formula>
    </cfRule>
    <cfRule type="expression" priority="15" dxfId="1">
      <formula>AND(NOT(ISBLANK(P2)),P2&lt;=TODAY()+90,P2&gt;TODAY()+30)</formula>
    </cfRule>
  </conditionalFormatting>
  <conditionalFormatting sqref="A2:R1000">
    <cfRule type="expression" priority="16" dxfId="12">
      <formula>AND($J2="Overdue",OR(NOT(ISBLANK($A2)),NOT(ISBLANK($B2))))</formula>
    </cfRule>
    <cfRule type="expression" priority="17" dxfId="13">
      <formula>$J2="Complete"</formula>
    </cfRule>
    <cfRule type="expression" priority="18" dxfId="14">
      <formula>OR($L2="High",$L2="Critical")</formula>
    </cfRule>
  </conditionalFormatting>
  <dataValidations count="5">
    <dataValidation sqref="E2:E1000" showDropDown="0" showInputMessage="0" showErrorMessage="0" allowBlank="0" error="Select department" type="list" errorStyle="stop">
      <formula1>"HR,IT,Marketing,Sales,Finance,Legal,Operations,Product,Engineering,Other"</formula1>
    </dataValidation>
    <dataValidation sqref="J2:J1000" showDropDown="0" showInputMessage="0" showErrorMessage="0" allowBlank="0" error="Select status" type="list" errorStyle="stop">
      <formula1>"Planned,In Progress,Under Review,Complete,Overdue"</formula1>
    </dataValidation>
    <dataValidation sqref="K2:K1000" showDropDown="0" showInputMessage="0" showErrorMessage="0" allowBlank="0" error="Select risk level" type="list" errorStyle="stop">
      <formula1>"Low,Medium,High,Critical"</formula1>
    </dataValidation>
    <dataValidation sqref="L2:L1000" showDropDown="0" showInputMessage="0" showErrorMessage="0" allowBlank="0" error="Select risk level" type="list" errorStyle="stop">
      <formula1>"Low,Medium,High,Critical"</formula1>
    </dataValidation>
    <dataValidation sqref="M2:M1000" showDropDown="0" showInputMessage="0" showErrorMessage="0" allowBlank="0" error="Select from list" type="list" errorStyle="stop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B9C00"/>
    <outlinePr summaryBelow="1" summaryRight="1"/>
    <pageSetUpPr/>
  </sheetPr>
  <dimension ref="A1:T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50" customWidth="1" min="4" max="4"/>
    <col width="40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  <col width="40" customWidth="1" min="11" max="11"/>
    <col width="15" customWidth="1" min="12" max="12"/>
    <col width="40" customWidth="1" min="13" max="13"/>
    <col width="20" customWidth="1" min="14" max="14"/>
    <col width="20" customWidth="1" min="15" max="15"/>
    <col width="15" customWidth="1" min="16" max="16"/>
    <col width="40" customWidth="1" min="17" max="17"/>
    <col width="30" customWidth="1" min="18" max="18"/>
    <col width="15" customWidth="1" min="19" max="19"/>
    <col width="30" customWidth="1" min="20" max="20"/>
  </cols>
  <sheetData>
    <row r="1">
      <c r="A1" s="9" t="inlineStr">
        <is>
          <t>DPIA ID</t>
        </is>
      </c>
      <c r="B1" s="9" t="inlineStr">
        <is>
          <t>Risk ID</t>
        </is>
      </c>
      <c r="C1" s="9" t="inlineStr">
        <is>
          <t>Risk Category</t>
        </is>
      </c>
      <c r="D1" s="9" t="inlineStr">
        <is>
          <t>Risk Description</t>
        </is>
      </c>
      <c r="E1" s="9" t="inlineStr">
        <is>
          <t>Data Subject Impact</t>
        </is>
      </c>
      <c r="F1" s="9" t="inlineStr">
        <is>
          <t>Likelihood (Before Mitigation)</t>
        </is>
      </c>
      <c r="G1" s="9" t="inlineStr">
        <is>
          <t>Impact (Before Mitigation)</t>
        </is>
      </c>
      <c r="H1" s="9" t="inlineStr">
        <is>
          <t>Inherent Risk Score</t>
        </is>
      </c>
      <c r="I1" s="9" t="inlineStr">
        <is>
          <t>Inherent Risk Level</t>
        </is>
      </c>
      <c r="J1" s="9" t="inlineStr">
        <is>
          <t>Necessity Justified?</t>
        </is>
      </c>
      <c r="K1" s="9" t="inlineStr">
        <is>
          <t>Necessity Justification</t>
        </is>
      </c>
      <c r="L1" s="9" t="inlineStr">
        <is>
          <t>Proportionality Justified?</t>
        </is>
      </c>
      <c r="M1" s="9" t="inlineStr">
        <is>
          <t>Proportionality Justification</t>
        </is>
      </c>
      <c r="N1" s="9" t="inlineStr">
        <is>
          <t>Legal Basis</t>
        </is>
      </c>
      <c r="O1" s="9" t="inlineStr">
        <is>
          <t>Special Category Legal Basis</t>
        </is>
      </c>
      <c r="P1" s="9" t="inlineStr">
        <is>
          <t>Data Subject Rights Respected?</t>
        </is>
      </c>
      <c r="Q1" s="9" t="inlineStr">
        <is>
          <t>Rights Restrictions Documented</t>
        </is>
      </c>
      <c r="R1" s="9" t="inlineStr">
        <is>
          <t>Third-Party Recipients</t>
        </is>
      </c>
      <c r="S1" s="9" t="inlineStr">
        <is>
          <t>Cross-Border Transfers</t>
        </is>
      </c>
      <c r="T1" s="9" t="inlineStr">
        <is>
          <t>Transfer Safeguards</t>
        </is>
      </c>
    </row>
    <row r="2">
      <c r="B2">
        <f>IF(ISBLANK(A2),"",A2&amp;"-R"&amp;TEXT(COUNTIF($A$2:A2,A2),"00"))</f>
        <v/>
      </c>
      <c r="H2" s="15">
        <f>IF(OR(ISBLANK(F2),ISBLANK(G2)),"",VALUE(LEFT(F2,1))*VALUE(LEFT(G2,1)))</f>
        <v/>
      </c>
      <c r="I2" s="12">
        <f>IF(ISBLANK(H2),"",IF(H2&gt;=20,"Critical",IF(H2&gt;=15,"High",IF(H2&gt;=8,"Medium","Low"))))</f>
        <v/>
      </c>
    </row>
    <row r="3">
      <c r="B3">
        <f>IF(ISBLANK(A3),"",A3&amp;"-R"&amp;TEXT(COUNTIF($A$2:A3,A3),"00"))</f>
        <v/>
      </c>
      <c r="H3" s="15">
        <f>IF(OR(ISBLANK(F3),ISBLANK(G3)),"",VALUE(LEFT(F3,1))*VALUE(LEFT(G3,1)))</f>
        <v/>
      </c>
      <c r="I3" s="12">
        <f>IF(ISBLANK(H3),"",IF(H3&gt;=20,"Critical",IF(H3&gt;=15,"High",IF(H3&gt;=8,"Medium","Low"))))</f>
        <v/>
      </c>
    </row>
    <row r="4">
      <c r="B4">
        <f>IF(ISBLANK(A4),"",A4&amp;"-R"&amp;TEXT(COUNTIF($A$2:A4,A4),"00"))</f>
        <v/>
      </c>
      <c r="H4" s="15">
        <f>IF(OR(ISBLANK(F4),ISBLANK(G4)),"",VALUE(LEFT(F4,1))*VALUE(LEFT(G4,1)))</f>
        <v/>
      </c>
      <c r="I4" s="12">
        <f>IF(ISBLANK(H4),"",IF(H4&gt;=20,"Critical",IF(H4&gt;=15,"High",IF(H4&gt;=8,"Medium","Low"))))</f>
        <v/>
      </c>
    </row>
    <row r="5">
      <c r="B5">
        <f>IF(ISBLANK(A5),"",A5&amp;"-R"&amp;TEXT(COUNTIF($A$2:A5,A5),"00"))</f>
        <v/>
      </c>
      <c r="H5" s="15">
        <f>IF(OR(ISBLANK(F5),ISBLANK(G5)),"",VALUE(LEFT(F5,1))*VALUE(LEFT(G5,1)))</f>
        <v/>
      </c>
      <c r="I5" s="12">
        <f>IF(ISBLANK(H5),"",IF(H5&gt;=20,"Critical",IF(H5&gt;=15,"High",IF(H5&gt;=8,"Medium","Low"))))</f>
        <v/>
      </c>
    </row>
    <row r="6">
      <c r="B6">
        <f>IF(ISBLANK(A6),"",A6&amp;"-R"&amp;TEXT(COUNTIF($A$2:A6,A6),"00"))</f>
        <v/>
      </c>
      <c r="H6" s="15">
        <f>IF(OR(ISBLANK(F6),ISBLANK(G6)),"",VALUE(LEFT(F6,1))*VALUE(LEFT(G6,1)))</f>
        <v/>
      </c>
      <c r="I6" s="12">
        <f>IF(ISBLANK(H6),"",IF(H6&gt;=20,"Critical",IF(H6&gt;=15,"High",IF(H6&gt;=8,"Medium","Low"))))</f>
        <v/>
      </c>
    </row>
    <row r="7">
      <c r="B7">
        <f>IF(ISBLANK(A7),"",A7&amp;"-R"&amp;TEXT(COUNTIF($A$2:A7,A7),"00"))</f>
        <v/>
      </c>
      <c r="H7" s="15">
        <f>IF(OR(ISBLANK(F7),ISBLANK(G7)),"",VALUE(LEFT(F7,1))*VALUE(LEFT(G7,1)))</f>
        <v/>
      </c>
      <c r="I7" s="12">
        <f>IF(ISBLANK(H7),"",IF(H7&gt;=20,"Critical",IF(H7&gt;=15,"High",IF(H7&gt;=8,"Medium","Low"))))</f>
        <v/>
      </c>
    </row>
    <row r="8">
      <c r="B8">
        <f>IF(ISBLANK(A8),"",A8&amp;"-R"&amp;TEXT(COUNTIF($A$2:A8,A8),"00"))</f>
        <v/>
      </c>
      <c r="H8" s="15">
        <f>IF(OR(ISBLANK(F8),ISBLANK(G8)),"",VALUE(LEFT(F8,1))*VALUE(LEFT(G8,1)))</f>
        <v/>
      </c>
      <c r="I8" s="12">
        <f>IF(ISBLANK(H8),"",IF(H8&gt;=20,"Critical",IF(H8&gt;=15,"High",IF(H8&gt;=8,"Medium","Low"))))</f>
        <v/>
      </c>
    </row>
    <row r="9">
      <c r="B9">
        <f>IF(ISBLANK(A9),"",A9&amp;"-R"&amp;TEXT(COUNTIF($A$2:A9,A9),"00"))</f>
        <v/>
      </c>
      <c r="H9" s="15">
        <f>IF(OR(ISBLANK(F9),ISBLANK(G9)),"",VALUE(LEFT(F9,1))*VALUE(LEFT(G9,1)))</f>
        <v/>
      </c>
      <c r="I9" s="12">
        <f>IF(ISBLANK(H9),"",IF(H9&gt;=20,"Critical",IF(H9&gt;=15,"High",IF(H9&gt;=8,"Medium","Low"))))</f>
        <v/>
      </c>
    </row>
    <row r="10">
      <c r="B10">
        <f>IF(ISBLANK(A10),"",A10&amp;"-R"&amp;TEXT(COUNTIF($A$2:A10,A10),"00"))</f>
        <v/>
      </c>
      <c r="H10" s="15">
        <f>IF(OR(ISBLANK(F10),ISBLANK(G10)),"",VALUE(LEFT(F10,1))*VALUE(LEFT(G10,1)))</f>
        <v/>
      </c>
      <c r="I10" s="12">
        <f>IF(ISBLANK(H10),"",IF(H10&gt;=20,"Critical",IF(H10&gt;=15,"High",IF(H10&gt;=8,"Medium","Low"))))</f>
        <v/>
      </c>
    </row>
    <row r="11">
      <c r="B11">
        <f>IF(ISBLANK(A11),"",A11&amp;"-R"&amp;TEXT(COUNTIF($A$2:A11,A11),"00"))</f>
        <v/>
      </c>
      <c r="H11" s="15">
        <f>IF(OR(ISBLANK(F11),ISBLANK(G11)),"",VALUE(LEFT(F11,1))*VALUE(LEFT(G11,1)))</f>
        <v/>
      </c>
      <c r="I11" s="12">
        <f>IF(ISBLANK(H11),"",IF(H11&gt;=20,"Critical",IF(H11&gt;=15,"High",IF(H11&gt;=8,"Medium","Low"))))</f>
        <v/>
      </c>
    </row>
    <row r="12">
      <c r="B12">
        <f>IF(ISBLANK(A12),"",A12&amp;"-R"&amp;TEXT(COUNTIF($A$2:A12,A12),"00"))</f>
        <v/>
      </c>
      <c r="H12" s="15">
        <f>IF(OR(ISBLANK(F12),ISBLANK(G12)),"",VALUE(LEFT(F12,1))*VALUE(LEFT(G12,1)))</f>
        <v/>
      </c>
      <c r="I12" s="12">
        <f>IF(ISBLANK(H12),"",IF(H12&gt;=20,"Critical",IF(H12&gt;=15,"High",IF(H12&gt;=8,"Medium","Low"))))</f>
        <v/>
      </c>
    </row>
    <row r="13">
      <c r="B13">
        <f>IF(ISBLANK(A13),"",A13&amp;"-R"&amp;TEXT(COUNTIF($A$2:A13,A13),"00"))</f>
        <v/>
      </c>
      <c r="H13" s="15">
        <f>IF(OR(ISBLANK(F13),ISBLANK(G13)),"",VALUE(LEFT(F13,1))*VALUE(LEFT(G13,1)))</f>
        <v/>
      </c>
      <c r="I13" s="12">
        <f>IF(ISBLANK(H13),"",IF(H13&gt;=20,"Critical",IF(H13&gt;=15,"High",IF(H13&gt;=8,"Medium","Low"))))</f>
        <v/>
      </c>
    </row>
    <row r="14">
      <c r="B14">
        <f>IF(ISBLANK(A14),"",A14&amp;"-R"&amp;TEXT(COUNTIF($A$2:A14,A14),"00"))</f>
        <v/>
      </c>
      <c r="H14" s="15">
        <f>IF(OR(ISBLANK(F14),ISBLANK(G14)),"",VALUE(LEFT(F14,1))*VALUE(LEFT(G14,1)))</f>
        <v/>
      </c>
      <c r="I14" s="12">
        <f>IF(ISBLANK(H14),"",IF(H14&gt;=20,"Critical",IF(H14&gt;=15,"High",IF(H14&gt;=8,"Medium","Low"))))</f>
        <v/>
      </c>
    </row>
    <row r="15">
      <c r="B15">
        <f>IF(ISBLANK(A15),"",A15&amp;"-R"&amp;TEXT(COUNTIF($A$2:A15,A15),"00"))</f>
        <v/>
      </c>
      <c r="H15" s="15">
        <f>IF(OR(ISBLANK(F15),ISBLANK(G15)),"",VALUE(LEFT(F15,1))*VALUE(LEFT(G15,1)))</f>
        <v/>
      </c>
      <c r="I15" s="12">
        <f>IF(ISBLANK(H15),"",IF(H15&gt;=20,"Critical",IF(H15&gt;=15,"High",IF(H15&gt;=8,"Medium","Low"))))</f>
        <v/>
      </c>
    </row>
    <row r="16">
      <c r="B16">
        <f>IF(ISBLANK(A16),"",A16&amp;"-R"&amp;TEXT(COUNTIF($A$2:A16,A16),"00"))</f>
        <v/>
      </c>
      <c r="H16" s="15">
        <f>IF(OR(ISBLANK(F16),ISBLANK(G16)),"",VALUE(LEFT(F16,1))*VALUE(LEFT(G16,1)))</f>
        <v/>
      </c>
      <c r="I16" s="12">
        <f>IF(ISBLANK(H16),"",IF(H16&gt;=20,"Critical",IF(H16&gt;=15,"High",IF(H16&gt;=8,"Medium","Low"))))</f>
        <v/>
      </c>
    </row>
    <row r="17">
      <c r="B17">
        <f>IF(ISBLANK(A17),"",A17&amp;"-R"&amp;TEXT(COUNTIF($A$2:A17,A17),"00"))</f>
        <v/>
      </c>
      <c r="H17" s="15">
        <f>IF(OR(ISBLANK(F17),ISBLANK(G17)),"",VALUE(LEFT(F17,1))*VALUE(LEFT(G17,1)))</f>
        <v/>
      </c>
      <c r="I17" s="12">
        <f>IF(ISBLANK(H17),"",IF(H17&gt;=20,"Critical",IF(H17&gt;=15,"High",IF(H17&gt;=8,"Medium","Low"))))</f>
        <v/>
      </c>
    </row>
    <row r="18">
      <c r="B18">
        <f>IF(ISBLANK(A18),"",A18&amp;"-R"&amp;TEXT(COUNTIF($A$2:A18,A18),"00"))</f>
        <v/>
      </c>
      <c r="H18" s="15">
        <f>IF(OR(ISBLANK(F18),ISBLANK(G18)),"",VALUE(LEFT(F18,1))*VALUE(LEFT(G18,1)))</f>
        <v/>
      </c>
      <c r="I18" s="12">
        <f>IF(ISBLANK(H18),"",IF(H18&gt;=20,"Critical",IF(H18&gt;=15,"High",IF(H18&gt;=8,"Medium","Low"))))</f>
        <v/>
      </c>
    </row>
    <row r="19">
      <c r="B19">
        <f>IF(ISBLANK(A19),"",A19&amp;"-R"&amp;TEXT(COUNTIF($A$2:A19,A19),"00"))</f>
        <v/>
      </c>
      <c r="H19" s="15">
        <f>IF(OR(ISBLANK(F19),ISBLANK(G19)),"",VALUE(LEFT(F19,1))*VALUE(LEFT(G19,1)))</f>
        <v/>
      </c>
      <c r="I19" s="12">
        <f>IF(ISBLANK(H19),"",IF(H19&gt;=20,"Critical",IF(H19&gt;=15,"High",IF(H19&gt;=8,"Medium","Low"))))</f>
        <v/>
      </c>
    </row>
    <row r="20">
      <c r="B20">
        <f>IF(ISBLANK(A20),"",A20&amp;"-R"&amp;TEXT(COUNTIF($A$2:A20,A20),"00"))</f>
        <v/>
      </c>
      <c r="H20" s="15">
        <f>IF(OR(ISBLANK(F20),ISBLANK(G20)),"",VALUE(LEFT(F20,1))*VALUE(LEFT(G20,1)))</f>
        <v/>
      </c>
      <c r="I20" s="12">
        <f>IF(ISBLANK(H20),"",IF(H20&gt;=20,"Critical",IF(H20&gt;=15,"High",IF(H20&gt;=8,"Medium","Low"))))</f>
        <v/>
      </c>
    </row>
    <row r="21">
      <c r="B21">
        <f>IF(ISBLANK(A21),"",A21&amp;"-R"&amp;TEXT(COUNTIF($A$2:A21,A21),"00"))</f>
        <v/>
      </c>
      <c r="H21" s="15">
        <f>IF(OR(ISBLANK(F21),ISBLANK(G21)),"",VALUE(LEFT(F21,1))*VALUE(LEFT(G21,1)))</f>
        <v/>
      </c>
      <c r="I21" s="12">
        <f>IF(ISBLANK(H21),"",IF(H21&gt;=20,"Critical",IF(H21&gt;=15,"High",IF(H21&gt;=8,"Medium","Low"))))</f>
        <v/>
      </c>
    </row>
    <row r="22">
      <c r="B22">
        <f>IF(ISBLANK(A22),"",A22&amp;"-R"&amp;TEXT(COUNTIF($A$2:A22,A22),"00"))</f>
        <v/>
      </c>
      <c r="H22" s="15">
        <f>IF(OR(ISBLANK(F22),ISBLANK(G22)),"",VALUE(LEFT(F22,1))*VALUE(LEFT(G22,1)))</f>
        <v/>
      </c>
      <c r="I22" s="12">
        <f>IF(ISBLANK(H22),"",IF(H22&gt;=20,"Critical",IF(H22&gt;=15,"High",IF(H22&gt;=8,"Medium","Low"))))</f>
        <v/>
      </c>
    </row>
    <row r="23">
      <c r="B23">
        <f>IF(ISBLANK(A23),"",A23&amp;"-R"&amp;TEXT(COUNTIF($A$2:A23,A23),"00"))</f>
        <v/>
      </c>
      <c r="H23" s="15">
        <f>IF(OR(ISBLANK(F23),ISBLANK(G23)),"",VALUE(LEFT(F23,1))*VALUE(LEFT(G23,1)))</f>
        <v/>
      </c>
      <c r="I23" s="12">
        <f>IF(ISBLANK(H23),"",IF(H23&gt;=20,"Critical",IF(H23&gt;=15,"High",IF(H23&gt;=8,"Medium","Low"))))</f>
        <v/>
      </c>
    </row>
    <row r="24">
      <c r="B24">
        <f>IF(ISBLANK(A24),"",A24&amp;"-R"&amp;TEXT(COUNTIF($A$2:A24,A24),"00"))</f>
        <v/>
      </c>
      <c r="H24" s="15">
        <f>IF(OR(ISBLANK(F24),ISBLANK(G24)),"",VALUE(LEFT(F24,1))*VALUE(LEFT(G24,1)))</f>
        <v/>
      </c>
      <c r="I24" s="12">
        <f>IF(ISBLANK(H24),"",IF(H24&gt;=20,"Critical",IF(H24&gt;=15,"High",IF(H24&gt;=8,"Medium","Low"))))</f>
        <v/>
      </c>
    </row>
    <row r="25">
      <c r="B25">
        <f>IF(ISBLANK(A25),"",A25&amp;"-R"&amp;TEXT(COUNTIF($A$2:A25,A25),"00"))</f>
        <v/>
      </c>
      <c r="H25" s="15">
        <f>IF(OR(ISBLANK(F25),ISBLANK(G25)),"",VALUE(LEFT(F25,1))*VALUE(LEFT(G25,1)))</f>
        <v/>
      </c>
      <c r="I25" s="12">
        <f>IF(ISBLANK(H25),"",IF(H25&gt;=20,"Critical",IF(H25&gt;=15,"High",IF(H25&gt;=8,"Medium","Low"))))</f>
        <v/>
      </c>
    </row>
    <row r="26">
      <c r="B26">
        <f>IF(ISBLANK(A26),"",A26&amp;"-R"&amp;TEXT(COUNTIF($A$2:A26,A26),"00"))</f>
        <v/>
      </c>
      <c r="H26" s="15">
        <f>IF(OR(ISBLANK(F26),ISBLANK(G26)),"",VALUE(LEFT(F26,1))*VALUE(LEFT(G26,1)))</f>
        <v/>
      </c>
      <c r="I26" s="12">
        <f>IF(ISBLANK(H26),"",IF(H26&gt;=20,"Critical",IF(H26&gt;=15,"High",IF(H26&gt;=8,"Medium","Low"))))</f>
        <v/>
      </c>
    </row>
    <row r="27">
      <c r="B27">
        <f>IF(ISBLANK(A27),"",A27&amp;"-R"&amp;TEXT(COUNTIF($A$2:A27,A27),"00"))</f>
        <v/>
      </c>
      <c r="H27" s="15">
        <f>IF(OR(ISBLANK(F27),ISBLANK(G27)),"",VALUE(LEFT(F27,1))*VALUE(LEFT(G27,1)))</f>
        <v/>
      </c>
      <c r="I27" s="12">
        <f>IF(ISBLANK(H27),"",IF(H27&gt;=20,"Critical",IF(H27&gt;=15,"High",IF(H27&gt;=8,"Medium","Low"))))</f>
        <v/>
      </c>
    </row>
    <row r="28">
      <c r="B28">
        <f>IF(ISBLANK(A28),"",A28&amp;"-R"&amp;TEXT(COUNTIF($A$2:A28,A28),"00"))</f>
        <v/>
      </c>
      <c r="H28" s="15">
        <f>IF(OR(ISBLANK(F28),ISBLANK(G28)),"",VALUE(LEFT(F28,1))*VALUE(LEFT(G28,1)))</f>
        <v/>
      </c>
      <c r="I28" s="12">
        <f>IF(ISBLANK(H28),"",IF(H28&gt;=20,"Critical",IF(H28&gt;=15,"High",IF(H28&gt;=8,"Medium","Low"))))</f>
        <v/>
      </c>
    </row>
    <row r="29">
      <c r="B29">
        <f>IF(ISBLANK(A29),"",A29&amp;"-R"&amp;TEXT(COUNTIF($A$2:A29,A29),"00"))</f>
        <v/>
      </c>
      <c r="H29" s="15">
        <f>IF(OR(ISBLANK(F29),ISBLANK(G29)),"",VALUE(LEFT(F29,1))*VALUE(LEFT(G29,1)))</f>
        <v/>
      </c>
      <c r="I29" s="12">
        <f>IF(ISBLANK(H29),"",IF(H29&gt;=20,"Critical",IF(H29&gt;=15,"High",IF(H29&gt;=8,"Medium","Low"))))</f>
        <v/>
      </c>
    </row>
    <row r="30">
      <c r="B30">
        <f>IF(ISBLANK(A30),"",A30&amp;"-R"&amp;TEXT(COUNTIF($A$2:A30,A30),"00"))</f>
        <v/>
      </c>
      <c r="H30" s="15">
        <f>IF(OR(ISBLANK(F30),ISBLANK(G30)),"",VALUE(LEFT(F30,1))*VALUE(LEFT(G30,1)))</f>
        <v/>
      </c>
      <c r="I30" s="12">
        <f>IF(ISBLANK(H30),"",IF(H30&gt;=20,"Critical",IF(H30&gt;=15,"High",IF(H30&gt;=8,"Medium","Low"))))</f>
        <v/>
      </c>
    </row>
    <row r="31">
      <c r="B31">
        <f>IF(ISBLANK(A31),"",A31&amp;"-R"&amp;TEXT(COUNTIF($A$2:A31,A31),"00"))</f>
        <v/>
      </c>
      <c r="H31" s="15">
        <f>IF(OR(ISBLANK(F31),ISBLANK(G31)),"",VALUE(LEFT(F31,1))*VALUE(LEFT(G31,1)))</f>
        <v/>
      </c>
      <c r="I31" s="12">
        <f>IF(ISBLANK(H31),"",IF(H31&gt;=20,"Critical",IF(H31&gt;=15,"High",IF(H31&gt;=8,"Medium","Low"))))</f>
        <v/>
      </c>
    </row>
    <row r="32">
      <c r="B32">
        <f>IF(ISBLANK(A32),"",A32&amp;"-R"&amp;TEXT(COUNTIF($A$2:A32,A32),"00"))</f>
        <v/>
      </c>
      <c r="H32" s="15">
        <f>IF(OR(ISBLANK(F32),ISBLANK(G32)),"",VALUE(LEFT(F32,1))*VALUE(LEFT(G32,1)))</f>
        <v/>
      </c>
      <c r="I32" s="12">
        <f>IF(ISBLANK(H32),"",IF(H32&gt;=20,"Critical",IF(H32&gt;=15,"High",IF(H32&gt;=8,"Medium","Low"))))</f>
        <v/>
      </c>
    </row>
    <row r="33">
      <c r="B33">
        <f>IF(ISBLANK(A33),"",A33&amp;"-R"&amp;TEXT(COUNTIF($A$2:A33,A33),"00"))</f>
        <v/>
      </c>
      <c r="H33" s="15">
        <f>IF(OR(ISBLANK(F33),ISBLANK(G33)),"",VALUE(LEFT(F33,1))*VALUE(LEFT(G33,1)))</f>
        <v/>
      </c>
      <c r="I33" s="12">
        <f>IF(ISBLANK(H33),"",IF(H33&gt;=20,"Critical",IF(H33&gt;=15,"High",IF(H33&gt;=8,"Medium","Low"))))</f>
        <v/>
      </c>
    </row>
    <row r="34">
      <c r="B34">
        <f>IF(ISBLANK(A34),"",A34&amp;"-R"&amp;TEXT(COUNTIF($A$2:A34,A34),"00"))</f>
        <v/>
      </c>
      <c r="H34" s="15">
        <f>IF(OR(ISBLANK(F34),ISBLANK(G34)),"",VALUE(LEFT(F34,1))*VALUE(LEFT(G34,1)))</f>
        <v/>
      </c>
      <c r="I34" s="12">
        <f>IF(ISBLANK(H34),"",IF(H34&gt;=20,"Critical",IF(H34&gt;=15,"High",IF(H34&gt;=8,"Medium","Low"))))</f>
        <v/>
      </c>
    </row>
    <row r="35">
      <c r="B35">
        <f>IF(ISBLANK(A35),"",A35&amp;"-R"&amp;TEXT(COUNTIF($A$2:A35,A35),"00"))</f>
        <v/>
      </c>
      <c r="H35" s="15">
        <f>IF(OR(ISBLANK(F35),ISBLANK(G35)),"",VALUE(LEFT(F35,1))*VALUE(LEFT(G35,1)))</f>
        <v/>
      </c>
      <c r="I35" s="12">
        <f>IF(ISBLANK(H35),"",IF(H35&gt;=20,"Critical",IF(H35&gt;=15,"High",IF(H35&gt;=8,"Medium","Low"))))</f>
        <v/>
      </c>
    </row>
    <row r="36">
      <c r="B36">
        <f>IF(ISBLANK(A36),"",A36&amp;"-R"&amp;TEXT(COUNTIF($A$2:A36,A36),"00"))</f>
        <v/>
      </c>
      <c r="H36" s="15">
        <f>IF(OR(ISBLANK(F36),ISBLANK(G36)),"",VALUE(LEFT(F36,1))*VALUE(LEFT(G36,1)))</f>
        <v/>
      </c>
      <c r="I36" s="12">
        <f>IF(ISBLANK(H36),"",IF(H36&gt;=20,"Critical",IF(H36&gt;=15,"High",IF(H36&gt;=8,"Medium","Low"))))</f>
        <v/>
      </c>
    </row>
    <row r="37">
      <c r="B37">
        <f>IF(ISBLANK(A37),"",A37&amp;"-R"&amp;TEXT(COUNTIF($A$2:A37,A37),"00"))</f>
        <v/>
      </c>
      <c r="H37" s="15">
        <f>IF(OR(ISBLANK(F37),ISBLANK(G37)),"",VALUE(LEFT(F37,1))*VALUE(LEFT(G37,1)))</f>
        <v/>
      </c>
      <c r="I37" s="12">
        <f>IF(ISBLANK(H37),"",IF(H37&gt;=20,"Critical",IF(H37&gt;=15,"High",IF(H37&gt;=8,"Medium","Low"))))</f>
        <v/>
      </c>
    </row>
    <row r="38">
      <c r="B38">
        <f>IF(ISBLANK(A38),"",A38&amp;"-R"&amp;TEXT(COUNTIF($A$2:A38,A38),"00"))</f>
        <v/>
      </c>
      <c r="H38" s="15">
        <f>IF(OR(ISBLANK(F38),ISBLANK(G38)),"",VALUE(LEFT(F38,1))*VALUE(LEFT(G38,1)))</f>
        <v/>
      </c>
      <c r="I38" s="12">
        <f>IF(ISBLANK(H38),"",IF(H38&gt;=20,"Critical",IF(H38&gt;=15,"High",IF(H38&gt;=8,"Medium","Low"))))</f>
        <v/>
      </c>
    </row>
    <row r="39">
      <c r="B39">
        <f>IF(ISBLANK(A39),"",A39&amp;"-R"&amp;TEXT(COUNTIF($A$2:A39,A39),"00"))</f>
        <v/>
      </c>
      <c r="H39" s="15">
        <f>IF(OR(ISBLANK(F39),ISBLANK(G39)),"",VALUE(LEFT(F39,1))*VALUE(LEFT(G39,1)))</f>
        <v/>
      </c>
      <c r="I39" s="12">
        <f>IF(ISBLANK(H39),"",IF(H39&gt;=20,"Critical",IF(H39&gt;=15,"High",IF(H39&gt;=8,"Medium","Low"))))</f>
        <v/>
      </c>
    </row>
    <row r="40">
      <c r="B40">
        <f>IF(ISBLANK(A40),"",A40&amp;"-R"&amp;TEXT(COUNTIF($A$2:A40,A40),"00"))</f>
        <v/>
      </c>
      <c r="H40" s="15">
        <f>IF(OR(ISBLANK(F40),ISBLANK(G40)),"",VALUE(LEFT(F40,1))*VALUE(LEFT(G40,1)))</f>
        <v/>
      </c>
      <c r="I40" s="12">
        <f>IF(ISBLANK(H40),"",IF(H40&gt;=20,"Critical",IF(H40&gt;=15,"High",IF(H40&gt;=8,"Medium","Low"))))</f>
        <v/>
      </c>
    </row>
    <row r="41">
      <c r="B41">
        <f>IF(ISBLANK(A41),"",A41&amp;"-R"&amp;TEXT(COUNTIF($A$2:A41,A41),"00"))</f>
        <v/>
      </c>
      <c r="H41" s="15">
        <f>IF(OR(ISBLANK(F41),ISBLANK(G41)),"",VALUE(LEFT(F41,1))*VALUE(LEFT(G41,1)))</f>
        <v/>
      </c>
      <c r="I41" s="12">
        <f>IF(ISBLANK(H41),"",IF(H41&gt;=20,"Critical",IF(H41&gt;=15,"High",IF(H41&gt;=8,"Medium","Low"))))</f>
        <v/>
      </c>
    </row>
    <row r="42">
      <c r="B42">
        <f>IF(ISBLANK(A42),"",A42&amp;"-R"&amp;TEXT(COUNTIF($A$2:A42,A42),"00"))</f>
        <v/>
      </c>
      <c r="H42" s="15">
        <f>IF(OR(ISBLANK(F42),ISBLANK(G42)),"",VALUE(LEFT(F42,1))*VALUE(LEFT(G42,1)))</f>
        <v/>
      </c>
      <c r="I42" s="12">
        <f>IF(ISBLANK(H42),"",IF(H42&gt;=20,"Critical",IF(H42&gt;=15,"High",IF(H42&gt;=8,"Medium","Low"))))</f>
        <v/>
      </c>
    </row>
    <row r="43">
      <c r="B43">
        <f>IF(ISBLANK(A43),"",A43&amp;"-R"&amp;TEXT(COUNTIF($A$2:A43,A43),"00"))</f>
        <v/>
      </c>
      <c r="H43" s="15">
        <f>IF(OR(ISBLANK(F43),ISBLANK(G43)),"",VALUE(LEFT(F43,1))*VALUE(LEFT(G43,1)))</f>
        <v/>
      </c>
      <c r="I43" s="12">
        <f>IF(ISBLANK(H43),"",IF(H43&gt;=20,"Critical",IF(H43&gt;=15,"High",IF(H43&gt;=8,"Medium","Low"))))</f>
        <v/>
      </c>
    </row>
    <row r="44">
      <c r="B44">
        <f>IF(ISBLANK(A44),"",A44&amp;"-R"&amp;TEXT(COUNTIF($A$2:A44,A44),"00"))</f>
        <v/>
      </c>
      <c r="H44" s="15">
        <f>IF(OR(ISBLANK(F44),ISBLANK(G44)),"",VALUE(LEFT(F44,1))*VALUE(LEFT(G44,1)))</f>
        <v/>
      </c>
      <c r="I44" s="12">
        <f>IF(ISBLANK(H44),"",IF(H44&gt;=20,"Critical",IF(H44&gt;=15,"High",IF(H44&gt;=8,"Medium","Low"))))</f>
        <v/>
      </c>
    </row>
    <row r="45">
      <c r="B45">
        <f>IF(ISBLANK(A45),"",A45&amp;"-R"&amp;TEXT(COUNTIF($A$2:A45,A45),"00"))</f>
        <v/>
      </c>
      <c r="H45" s="15">
        <f>IF(OR(ISBLANK(F45),ISBLANK(G45)),"",VALUE(LEFT(F45,1))*VALUE(LEFT(G45,1)))</f>
        <v/>
      </c>
      <c r="I45" s="12">
        <f>IF(ISBLANK(H45),"",IF(H45&gt;=20,"Critical",IF(H45&gt;=15,"High",IF(H45&gt;=8,"Medium","Low"))))</f>
        <v/>
      </c>
    </row>
    <row r="46">
      <c r="B46">
        <f>IF(ISBLANK(A46),"",A46&amp;"-R"&amp;TEXT(COUNTIF($A$2:A46,A46),"00"))</f>
        <v/>
      </c>
      <c r="H46" s="15">
        <f>IF(OR(ISBLANK(F46),ISBLANK(G46)),"",VALUE(LEFT(F46,1))*VALUE(LEFT(G46,1)))</f>
        <v/>
      </c>
      <c r="I46" s="12">
        <f>IF(ISBLANK(H46),"",IF(H46&gt;=20,"Critical",IF(H46&gt;=15,"High",IF(H46&gt;=8,"Medium","Low"))))</f>
        <v/>
      </c>
    </row>
    <row r="47">
      <c r="B47">
        <f>IF(ISBLANK(A47),"",A47&amp;"-R"&amp;TEXT(COUNTIF($A$2:A47,A47),"00"))</f>
        <v/>
      </c>
      <c r="H47" s="15">
        <f>IF(OR(ISBLANK(F47),ISBLANK(G47)),"",VALUE(LEFT(F47,1))*VALUE(LEFT(G47,1)))</f>
        <v/>
      </c>
      <c r="I47" s="12">
        <f>IF(ISBLANK(H47),"",IF(H47&gt;=20,"Critical",IF(H47&gt;=15,"High",IF(H47&gt;=8,"Medium","Low"))))</f>
        <v/>
      </c>
    </row>
    <row r="48">
      <c r="B48">
        <f>IF(ISBLANK(A48),"",A48&amp;"-R"&amp;TEXT(COUNTIF($A$2:A48,A48),"00"))</f>
        <v/>
      </c>
      <c r="H48" s="15">
        <f>IF(OR(ISBLANK(F48),ISBLANK(G48)),"",VALUE(LEFT(F48,1))*VALUE(LEFT(G48,1)))</f>
        <v/>
      </c>
      <c r="I48" s="12">
        <f>IF(ISBLANK(H48),"",IF(H48&gt;=20,"Critical",IF(H48&gt;=15,"High",IF(H48&gt;=8,"Medium","Low"))))</f>
        <v/>
      </c>
    </row>
    <row r="49">
      <c r="B49">
        <f>IF(ISBLANK(A49),"",A49&amp;"-R"&amp;TEXT(COUNTIF($A$2:A49,A49),"00"))</f>
        <v/>
      </c>
      <c r="H49" s="15">
        <f>IF(OR(ISBLANK(F49),ISBLANK(G49)),"",VALUE(LEFT(F49,1))*VALUE(LEFT(G49,1)))</f>
        <v/>
      </c>
      <c r="I49" s="12">
        <f>IF(ISBLANK(H49),"",IF(H49&gt;=20,"Critical",IF(H49&gt;=15,"High",IF(H49&gt;=8,"Medium","Low"))))</f>
        <v/>
      </c>
    </row>
    <row r="50">
      <c r="B50">
        <f>IF(ISBLANK(A50),"",A50&amp;"-R"&amp;TEXT(COUNTIF($A$2:A50,A50),"00"))</f>
        <v/>
      </c>
      <c r="H50" s="15">
        <f>IF(OR(ISBLANK(F50),ISBLANK(G50)),"",VALUE(LEFT(F50,1))*VALUE(LEFT(G50,1)))</f>
        <v/>
      </c>
      <c r="I50" s="12">
        <f>IF(ISBLANK(H50),"",IF(H50&gt;=20,"Critical",IF(H50&gt;=15,"High",IF(H50&gt;=8,"Medium","Low"))))</f>
        <v/>
      </c>
    </row>
    <row r="51">
      <c r="B51">
        <f>IF(ISBLANK(A51),"",A51&amp;"-R"&amp;TEXT(COUNTIF($A$2:A51,A51),"00"))</f>
        <v/>
      </c>
      <c r="H51" s="15">
        <f>IF(OR(ISBLANK(F51),ISBLANK(G51)),"",VALUE(LEFT(F51,1))*VALUE(LEFT(G51,1)))</f>
        <v/>
      </c>
      <c r="I51" s="12">
        <f>IF(ISBLANK(H51),"",IF(H51&gt;=20,"Critical",IF(H51&gt;=15,"High",IF(H51&gt;=8,"Medium","Low"))))</f>
        <v/>
      </c>
    </row>
    <row r="52">
      <c r="B52">
        <f>IF(ISBLANK(A52),"",A52&amp;"-R"&amp;TEXT(COUNTIF($A$2:A52,A52),"00"))</f>
        <v/>
      </c>
      <c r="H52" s="15">
        <f>IF(OR(ISBLANK(F52),ISBLANK(G52)),"",VALUE(LEFT(F52,1))*VALUE(LEFT(G52,1)))</f>
        <v/>
      </c>
      <c r="I52" s="12">
        <f>IF(ISBLANK(H52),"",IF(H52&gt;=20,"Critical",IF(H52&gt;=15,"High",IF(H52&gt;=8,"Medium","Low"))))</f>
        <v/>
      </c>
    </row>
    <row r="53">
      <c r="B53">
        <f>IF(ISBLANK(A53),"",A53&amp;"-R"&amp;TEXT(COUNTIF($A$2:A53,A53),"00"))</f>
        <v/>
      </c>
      <c r="H53" s="15">
        <f>IF(OR(ISBLANK(F53),ISBLANK(G53)),"",VALUE(LEFT(F53,1))*VALUE(LEFT(G53,1)))</f>
        <v/>
      </c>
      <c r="I53" s="12">
        <f>IF(ISBLANK(H53),"",IF(H53&gt;=20,"Critical",IF(H53&gt;=15,"High",IF(H53&gt;=8,"Medium","Low"))))</f>
        <v/>
      </c>
    </row>
    <row r="54">
      <c r="B54">
        <f>IF(ISBLANK(A54),"",A54&amp;"-R"&amp;TEXT(COUNTIF($A$2:A54,A54),"00"))</f>
        <v/>
      </c>
      <c r="H54" s="15">
        <f>IF(OR(ISBLANK(F54),ISBLANK(G54)),"",VALUE(LEFT(F54,1))*VALUE(LEFT(G54,1)))</f>
        <v/>
      </c>
      <c r="I54" s="12">
        <f>IF(ISBLANK(H54),"",IF(H54&gt;=20,"Critical",IF(H54&gt;=15,"High",IF(H54&gt;=8,"Medium","Low"))))</f>
        <v/>
      </c>
    </row>
    <row r="55">
      <c r="B55">
        <f>IF(ISBLANK(A55),"",A55&amp;"-R"&amp;TEXT(COUNTIF($A$2:A55,A55),"00"))</f>
        <v/>
      </c>
      <c r="H55" s="15">
        <f>IF(OR(ISBLANK(F55),ISBLANK(G55)),"",VALUE(LEFT(F55,1))*VALUE(LEFT(G55,1)))</f>
        <v/>
      </c>
      <c r="I55" s="12">
        <f>IF(ISBLANK(H55),"",IF(H55&gt;=20,"Critical",IF(H55&gt;=15,"High",IF(H55&gt;=8,"Medium","Low"))))</f>
        <v/>
      </c>
    </row>
    <row r="56">
      <c r="B56">
        <f>IF(ISBLANK(A56),"",A56&amp;"-R"&amp;TEXT(COUNTIF($A$2:A56,A56),"00"))</f>
        <v/>
      </c>
      <c r="H56" s="15">
        <f>IF(OR(ISBLANK(F56),ISBLANK(G56)),"",VALUE(LEFT(F56,1))*VALUE(LEFT(G56,1)))</f>
        <v/>
      </c>
      <c r="I56" s="12">
        <f>IF(ISBLANK(H56),"",IF(H56&gt;=20,"Critical",IF(H56&gt;=15,"High",IF(H56&gt;=8,"Medium","Low"))))</f>
        <v/>
      </c>
    </row>
    <row r="57">
      <c r="B57">
        <f>IF(ISBLANK(A57),"",A57&amp;"-R"&amp;TEXT(COUNTIF($A$2:A57,A57),"00"))</f>
        <v/>
      </c>
      <c r="H57" s="15">
        <f>IF(OR(ISBLANK(F57),ISBLANK(G57)),"",VALUE(LEFT(F57,1))*VALUE(LEFT(G57,1)))</f>
        <v/>
      </c>
      <c r="I57" s="12">
        <f>IF(ISBLANK(H57),"",IF(H57&gt;=20,"Critical",IF(H57&gt;=15,"High",IF(H57&gt;=8,"Medium","Low"))))</f>
        <v/>
      </c>
    </row>
    <row r="58">
      <c r="B58">
        <f>IF(ISBLANK(A58),"",A58&amp;"-R"&amp;TEXT(COUNTIF($A$2:A58,A58),"00"))</f>
        <v/>
      </c>
      <c r="H58" s="15">
        <f>IF(OR(ISBLANK(F58),ISBLANK(G58)),"",VALUE(LEFT(F58,1))*VALUE(LEFT(G58,1)))</f>
        <v/>
      </c>
      <c r="I58" s="12">
        <f>IF(ISBLANK(H58),"",IF(H58&gt;=20,"Critical",IF(H58&gt;=15,"High",IF(H58&gt;=8,"Medium","Low"))))</f>
        <v/>
      </c>
    </row>
    <row r="59">
      <c r="B59">
        <f>IF(ISBLANK(A59),"",A59&amp;"-R"&amp;TEXT(COUNTIF($A$2:A59,A59),"00"))</f>
        <v/>
      </c>
      <c r="H59" s="15">
        <f>IF(OR(ISBLANK(F59),ISBLANK(G59)),"",VALUE(LEFT(F59,1))*VALUE(LEFT(G59,1)))</f>
        <v/>
      </c>
      <c r="I59" s="12">
        <f>IF(ISBLANK(H59),"",IF(H59&gt;=20,"Critical",IF(H59&gt;=15,"High",IF(H59&gt;=8,"Medium","Low"))))</f>
        <v/>
      </c>
    </row>
    <row r="60">
      <c r="B60">
        <f>IF(ISBLANK(A60),"",A60&amp;"-R"&amp;TEXT(COUNTIF($A$2:A60,A60),"00"))</f>
        <v/>
      </c>
      <c r="H60" s="15">
        <f>IF(OR(ISBLANK(F60),ISBLANK(G60)),"",VALUE(LEFT(F60,1))*VALUE(LEFT(G60,1)))</f>
        <v/>
      </c>
      <c r="I60" s="12">
        <f>IF(ISBLANK(H60),"",IF(H60&gt;=20,"Critical",IF(H60&gt;=15,"High",IF(H60&gt;=8,"Medium","Low"))))</f>
        <v/>
      </c>
    </row>
    <row r="61">
      <c r="B61">
        <f>IF(ISBLANK(A61),"",A61&amp;"-R"&amp;TEXT(COUNTIF($A$2:A61,A61),"00"))</f>
        <v/>
      </c>
      <c r="H61" s="15">
        <f>IF(OR(ISBLANK(F61),ISBLANK(G61)),"",VALUE(LEFT(F61,1))*VALUE(LEFT(G61,1)))</f>
        <v/>
      </c>
      <c r="I61" s="12">
        <f>IF(ISBLANK(H61),"",IF(H61&gt;=20,"Critical",IF(H61&gt;=15,"High",IF(H61&gt;=8,"Medium","Low"))))</f>
        <v/>
      </c>
    </row>
    <row r="62">
      <c r="B62">
        <f>IF(ISBLANK(A62),"",A62&amp;"-R"&amp;TEXT(COUNTIF($A$2:A62,A62),"00"))</f>
        <v/>
      </c>
      <c r="H62" s="15">
        <f>IF(OR(ISBLANK(F62),ISBLANK(G62)),"",VALUE(LEFT(F62,1))*VALUE(LEFT(G62,1)))</f>
        <v/>
      </c>
      <c r="I62" s="12">
        <f>IF(ISBLANK(H62),"",IF(H62&gt;=20,"Critical",IF(H62&gt;=15,"High",IF(H62&gt;=8,"Medium","Low"))))</f>
        <v/>
      </c>
    </row>
    <row r="63">
      <c r="B63">
        <f>IF(ISBLANK(A63),"",A63&amp;"-R"&amp;TEXT(COUNTIF($A$2:A63,A63),"00"))</f>
        <v/>
      </c>
      <c r="H63" s="15">
        <f>IF(OR(ISBLANK(F63),ISBLANK(G63)),"",VALUE(LEFT(F63,1))*VALUE(LEFT(G63,1)))</f>
        <v/>
      </c>
      <c r="I63" s="12">
        <f>IF(ISBLANK(H63),"",IF(H63&gt;=20,"Critical",IF(H63&gt;=15,"High",IF(H63&gt;=8,"Medium","Low"))))</f>
        <v/>
      </c>
    </row>
    <row r="64">
      <c r="B64">
        <f>IF(ISBLANK(A64),"",A64&amp;"-R"&amp;TEXT(COUNTIF($A$2:A64,A64),"00"))</f>
        <v/>
      </c>
      <c r="H64" s="15">
        <f>IF(OR(ISBLANK(F64),ISBLANK(G64)),"",VALUE(LEFT(F64,1))*VALUE(LEFT(G64,1)))</f>
        <v/>
      </c>
      <c r="I64" s="12">
        <f>IF(ISBLANK(H64),"",IF(H64&gt;=20,"Critical",IF(H64&gt;=15,"High",IF(H64&gt;=8,"Medium","Low"))))</f>
        <v/>
      </c>
    </row>
    <row r="65">
      <c r="B65">
        <f>IF(ISBLANK(A65),"",A65&amp;"-R"&amp;TEXT(COUNTIF($A$2:A65,A65),"00"))</f>
        <v/>
      </c>
      <c r="H65" s="15">
        <f>IF(OR(ISBLANK(F65),ISBLANK(G65)),"",VALUE(LEFT(F65,1))*VALUE(LEFT(G65,1)))</f>
        <v/>
      </c>
      <c r="I65" s="12">
        <f>IF(ISBLANK(H65),"",IF(H65&gt;=20,"Critical",IF(H65&gt;=15,"High",IF(H65&gt;=8,"Medium","Low"))))</f>
        <v/>
      </c>
    </row>
    <row r="66">
      <c r="B66">
        <f>IF(ISBLANK(A66),"",A66&amp;"-R"&amp;TEXT(COUNTIF($A$2:A66,A66),"00"))</f>
        <v/>
      </c>
      <c r="H66" s="15">
        <f>IF(OR(ISBLANK(F66),ISBLANK(G66)),"",VALUE(LEFT(F66,1))*VALUE(LEFT(G66,1)))</f>
        <v/>
      </c>
      <c r="I66" s="12">
        <f>IF(ISBLANK(H66),"",IF(H66&gt;=20,"Critical",IF(H66&gt;=15,"High",IF(H66&gt;=8,"Medium","Low"))))</f>
        <v/>
      </c>
    </row>
    <row r="67">
      <c r="B67">
        <f>IF(ISBLANK(A67),"",A67&amp;"-R"&amp;TEXT(COUNTIF($A$2:A67,A67),"00"))</f>
        <v/>
      </c>
      <c r="H67" s="15">
        <f>IF(OR(ISBLANK(F67),ISBLANK(G67)),"",VALUE(LEFT(F67,1))*VALUE(LEFT(G67,1)))</f>
        <v/>
      </c>
      <c r="I67" s="12">
        <f>IF(ISBLANK(H67),"",IF(H67&gt;=20,"Critical",IF(H67&gt;=15,"High",IF(H67&gt;=8,"Medium","Low"))))</f>
        <v/>
      </c>
    </row>
    <row r="68">
      <c r="B68">
        <f>IF(ISBLANK(A68),"",A68&amp;"-R"&amp;TEXT(COUNTIF($A$2:A68,A68),"00"))</f>
        <v/>
      </c>
      <c r="H68" s="15">
        <f>IF(OR(ISBLANK(F68),ISBLANK(G68)),"",VALUE(LEFT(F68,1))*VALUE(LEFT(G68,1)))</f>
        <v/>
      </c>
      <c r="I68" s="12">
        <f>IF(ISBLANK(H68),"",IF(H68&gt;=20,"Critical",IF(H68&gt;=15,"High",IF(H68&gt;=8,"Medium","Low"))))</f>
        <v/>
      </c>
    </row>
    <row r="69">
      <c r="B69">
        <f>IF(ISBLANK(A69),"",A69&amp;"-R"&amp;TEXT(COUNTIF($A$2:A69,A69),"00"))</f>
        <v/>
      </c>
      <c r="H69" s="15">
        <f>IF(OR(ISBLANK(F69),ISBLANK(G69)),"",VALUE(LEFT(F69,1))*VALUE(LEFT(G69,1)))</f>
        <v/>
      </c>
      <c r="I69" s="12">
        <f>IF(ISBLANK(H69),"",IF(H69&gt;=20,"Critical",IF(H69&gt;=15,"High",IF(H69&gt;=8,"Medium","Low"))))</f>
        <v/>
      </c>
    </row>
    <row r="70">
      <c r="B70">
        <f>IF(ISBLANK(A70),"",A70&amp;"-R"&amp;TEXT(COUNTIF($A$2:A70,A70),"00"))</f>
        <v/>
      </c>
      <c r="H70" s="15">
        <f>IF(OR(ISBLANK(F70),ISBLANK(G70)),"",VALUE(LEFT(F70,1))*VALUE(LEFT(G70,1)))</f>
        <v/>
      </c>
      <c r="I70" s="12">
        <f>IF(ISBLANK(H70),"",IF(H70&gt;=20,"Critical",IF(H70&gt;=15,"High",IF(H70&gt;=8,"Medium","Low"))))</f>
        <v/>
      </c>
    </row>
    <row r="71">
      <c r="B71">
        <f>IF(ISBLANK(A71),"",A71&amp;"-R"&amp;TEXT(COUNTIF($A$2:A71,A71),"00"))</f>
        <v/>
      </c>
      <c r="H71" s="15">
        <f>IF(OR(ISBLANK(F71),ISBLANK(G71)),"",VALUE(LEFT(F71,1))*VALUE(LEFT(G71,1)))</f>
        <v/>
      </c>
      <c r="I71" s="12">
        <f>IF(ISBLANK(H71),"",IF(H71&gt;=20,"Critical",IF(H71&gt;=15,"High",IF(H71&gt;=8,"Medium","Low"))))</f>
        <v/>
      </c>
    </row>
    <row r="72">
      <c r="B72">
        <f>IF(ISBLANK(A72),"",A72&amp;"-R"&amp;TEXT(COUNTIF($A$2:A72,A72),"00"))</f>
        <v/>
      </c>
      <c r="H72" s="15">
        <f>IF(OR(ISBLANK(F72),ISBLANK(G72)),"",VALUE(LEFT(F72,1))*VALUE(LEFT(G72,1)))</f>
        <v/>
      </c>
      <c r="I72" s="12">
        <f>IF(ISBLANK(H72),"",IF(H72&gt;=20,"Critical",IF(H72&gt;=15,"High",IF(H72&gt;=8,"Medium","Low"))))</f>
        <v/>
      </c>
    </row>
    <row r="73">
      <c r="B73">
        <f>IF(ISBLANK(A73),"",A73&amp;"-R"&amp;TEXT(COUNTIF($A$2:A73,A73),"00"))</f>
        <v/>
      </c>
      <c r="H73" s="15">
        <f>IF(OR(ISBLANK(F73),ISBLANK(G73)),"",VALUE(LEFT(F73,1))*VALUE(LEFT(G73,1)))</f>
        <v/>
      </c>
      <c r="I73" s="12">
        <f>IF(ISBLANK(H73),"",IF(H73&gt;=20,"Critical",IF(H73&gt;=15,"High",IF(H73&gt;=8,"Medium","Low"))))</f>
        <v/>
      </c>
    </row>
    <row r="74">
      <c r="B74">
        <f>IF(ISBLANK(A74),"",A74&amp;"-R"&amp;TEXT(COUNTIF($A$2:A74,A74),"00"))</f>
        <v/>
      </c>
      <c r="H74" s="15">
        <f>IF(OR(ISBLANK(F74),ISBLANK(G74)),"",VALUE(LEFT(F74,1))*VALUE(LEFT(G74,1)))</f>
        <v/>
      </c>
      <c r="I74" s="12">
        <f>IF(ISBLANK(H74),"",IF(H74&gt;=20,"Critical",IF(H74&gt;=15,"High",IF(H74&gt;=8,"Medium","Low"))))</f>
        <v/>
      </c>
    </row>
    <row r="75">
      <c r="B75">
        <f>IF(ISBLANK(A75),"",A75&amp;"-R"&amp;TEXT(COUNTIF($A$2:A75,A75),"00"))</f>
        <v/>
      </c>
      <c r="H75" s="15">
        <f>IF(OR(ISBLANK(F75),ISBLANK(G75)),"",VALUE(LEFT(F75,1))*VALUE(LEFT(G75,1)))</f>
        <v/>
      </c>
      <c r="I75" s="12">
        <f>IF(ISBLANK(H75),"",IF(H75&gt;=20,"Critical",IF(H75&gt;=15,"High",IF(H75&gt;=8,"Medium","Low"))))</f>
        <v/>
      </c>
    </row>
    <row r="76">
      <c r="B76">
        <f>IF(ISBLANK(A76),"",A76&amp;"-R"&amp;TEXT(COUNTIF($A$2:A76,A76),"00"))</f>
        <v/>
      </c>
      <c r="H76" s="15">
        <f>IF(OR(ISBLANK(F76),ISBLANK(G76)),"",VALUE(LEFT(F76,1))*VALUE(LEFT(G76,1)))</f>
        <v/>
      </c>
      <c r="I76" s="12">
        <f>IF(ISBLANK(H76),"",IF(H76&gt;=20,"Critical",IF(H76&gt;=15,"High",IF(H76&gt;=8,"Medium","Low"))))</f>
        <v/>
      </c>
    </row>
    <row r="77">
      <c r="B77">
        <f>IF(ISBLANK(A77),"",A77&amp;"-R"&amp;TEXT(COUNTIF($A$2:A77,A77),"00"))</f>
        <v/>
      </c>
      <c r="H77" s="15">
        <f>IF(OR(ISBLANK(F77),ISBLANK(G77)),"",VALUE(LEFT(F77,1))*VALUE(LEFT(G77,1)))</f>
        <v/>
      </c>
      <c r="I77" s="12">
        <f>IF(ISBLANK(H77),"",IF(H77&gt;=20,"Critical",IF(H77&gt;=15,"High",IF(H77&gt;=8,"Medium","Low"))))</f>
        <v/>
      </c>
    </row>
    <row r="78">
      <c r="B78">
        <f>IF(ISBLANK(A78),"",A78&amp;"-R"&amp;TEXT(COUNTIF($A$2:A78,A78),"00"))</f>
        <v/>
      </c>
      <c r="H78" s="15">
        <f>IF(OR(ISBLANK(F78),ISBLANK(G78)),"",VALUE(LEFT(F78,1))*VALUE(LEFT(G78,1)))</f>
        <v/>
      </c>
      <c r="I78" s="12">
        <f>IF(ISBLANK(H78),"",IF(H78&gt;=20,"Critical",IF(H78&gt;=15,"High",IF(H78&gt;=8,"Medium","Low"))))</f>
        <v/>
      </c>
    </row>
    <row r="79">
      <c r="B79">
        <f>IF(ISBLANK(A79),"",A79&amp;"-R"&amp;TEXT(COUNTIF($A$2:A79,A79),"00"))</f>
        <v/>
      </c>
      <c r="H79" s="15">
        <f>IF(OR(ISBLANK(F79),ISBLANK(G79)),"",VALUE(LEFT(F79,1))*VALUE(LEFT(G79,1)))</f>
        <v/>
      </c>
      <c r="I79" s="12">
        <f>IF(ISBLANK(H79),"",IF(H79&gt;=20,"Critical",IF(H79&gt;=15,"High",IF(H79&gt;=8,"Medium","Low"))))</f>
        <v/>
      </c>
    </row>
    <row r="80">
      <c r="B80">
        <f>IF(ISBLANK(A80),"",A80&amp;"-R"&amp;TEXT(COUNTIF($A$2:A80,A80),"00"))</f>
        <v/>
      </c>
      <c r="H80" s="15">
        <f>IF(OR(ISBLANK(F80),ISBLANK(G80)),"",VALUE(LEFT(F80,1))*VALUE(LEFT(G80,1)))</f>
        <v/>
      </c>
      <c r="I80" s="12">
        <f>IF(ISBLANK(H80),"",IF(H80&gt;=20,"Critical",IF(H80&gt;=15,"High",IF(H80&gt;=8,"Medium","Low"))))</f>
        <v/>
      </c>
    </row>
    <row r="81">
      <c r="B81">
        <f>IF(ISBLANK(A81),"",A81&amp;"-R"&amp;TEXT(COUNTIF($A$2:A81,A81),"00"))</f>
        <v/>
      </c>
      <c r="H81" s="15">
        <f>IF(OR(ISBLANK(F81),ISBLANK(G81)),"",VALUE(LEFT(F81,1))*VALUE(LEFT(G81,1)))</f>
        <v/>
      </c>
      <c r="I81" s="12">
        <f>IF(ISBLANK(H81),"",IF(H81&gt;=20,"Critical",IF(H81&gt;=15,"High",IF(H81&gt;=8,"Medium","Low"))))</f>
        <v/>
      </c>
    </row>
    <row r="82">
      <c r="B82">
        <f>IF(ISBLANK(A82),"",A82&amp;"-R"&amp;TEXT(COUNTIF($A$2:A82,A82),"00"))</f>
        <v/>
      </c>
      <c r="H82" s="15">
        <f>IF(OR(ISBLANK(F82),ISBLANK(G82)),"",VALUE(LEFT(F82,1))*VALUE(LEFT(G82,1)))</f>
        <v/>
      </c>
      <c r="I82" s="12">
        <f>IF(ISBLANK(H82),"",IF(H82&gt;=20,"Critical",IF(H82&gt;=15,"High",IF(H82&gt;=8,"Medium","Low"))))</f>
        <v/>
      </c>
    </row>
    <row r="83">
      <c r="B83">
        <f>IF(ISBLANK(A83),"",A83&amp;"-R"&amp;TEXT(COUNTIF($A$2:A83,A83),"00"))</f>
        <v/>
      </c>
      <c r="H83" s="15">
        <f>IF(OR(ISBLANK(F83),ISBLANK(G83)),"",VALUE(LEFT(F83,1))*VALUE(LEFT(G83,1)))</f>
        <v/>
      </c>
      <c r="I83" s="12">
        <f>IF(ISBLANK(H83),"",IF(H83&gt;=20,"Critical",IF(H83&gt;=15,"High",IF(H83&gt;=8,"Medium","Low"))))</f>
        <v/>
      </c>
    </row>
    <row r="84">
      <c r="B84">
        <f>IF(ISBLANK(A84),"",A84&amp;"-R"&amp;TEXT(COUNTIF($A$2:A84,A84),"00"))</f>
        <v/>
      </c>
      <c r="H84" s="15">
        <f>IF(OR(ISBLANK(F84),ISBLANK(G84)),"",VALUE(LEFT(F84,1))*VALUE(LEFT(G84,1)))</f>
        <v/>
      </c>
      <c r="I84" s="12">
        <f>IF(ISBLANK(H84),"",IF(H84&gt;=20,"Critical",IF(H84&gt;=15,"High",IF(H84&gt;=8,"Medium","Low"))))</f>
        <v/>
      </c>
    </row>
    <row r="85">
      <c r="B85">
        <f>IF(ISBLANK(A85),"",A85&amp;"-R"&amp;TEXT(COUNTIF($A$2:A85,A85),"00"))</f>
        <v/>
      </c>
      <c r="H85" s="15">
        <f>IF(OR(ISBLANK(F85),ISBLANK(G85)),"",VALUE(LEFT(F85,1))*VALUE(LEFT(G85,1)))</f>
        <v/>
      </c>
      <c r="I85" s="12">
        <f>IF(ISBLANK(H85),"",IF(H85&gt;=20,"Critical",IF(H85&gt;=15,"High",IF(H85&gt;=8,"Medium","Low"))))</f>
        <v/>
      </c>
    </row>
    <row r="86">
      <c r="B86">
        <f>IF(ISBLANK(A86),"",A86&amp;"-R"&amp;TEXT(COUNTIF($A$2:A86,A86),"00"))</f>
        <v/>
      </c>
      <c r="H86" s="15">
        <f>IF(OR(ISBLANK(F86),ISBLANK(G86)),"",VALUE(LEFT(F86,1))*VALUE(LEFT(G86,1)))</f>
        <v/>
      </c>
      <c r="I86" s="12">
        <f>IF(ISBLANK(H86),"",IF(H86&gt;=20,"Critical",IF(H86&gt;=15,"High",IF(H86&gt;=8,"Medium","Low"))))</f>
        <v/>
      </c>
    </row>
    <row r="87">
      <c r="B87">
        <f>IF(ISBLANK(A87),"",A87&amp;"-R"&amp;TEXT(COUNTIF($A$2:A87,A87),"00"))</f>
        <v/>
      </c>
      <c r="H87" s="15">
        <f>IF(OR(ISBLANK(F87),ISBLANK(G87)),"",VALUE(LEFT(F87,1))*VALUE(LEFT(G87,1)))</f>
        <v/>
      </c>
      <c r="I87" s="12">
        <f>IF(ISBLANK(H87),"",IF(H87&gt;=20,"Critical",IF(H87&gt;=15,"High",IF(H87&gt;=8,"Medium","Low"))))</f>
        <v/>
      </c>
    </row>
    <row r="88">
      <c r="B88">
        <f>IF(ISBLANK(A88),"",A88&amp;"-R"&amp;TEXT(COUNTIF($A$2:A88,A88),"00"))</f>
        <v/>
      </c>
      <c r="H88" s="15">
        <f>IF(OR(ISBLANK(F88),ISBLANK(G88)),"",VALUE(LEFT(F88,1))*VALUE(LEFT(G88,1)))</f>
        <v/>
      </c>
      <c r="I88" s="12">
        <f>IF(ISBLANK(H88),"",IF(H88&gt;=20,"Critical",IF(H88&gt;=15,"High",IF(H88&gt;=8,"Medium","Low"))))</f>
        <v/>
      </c>
    </row>
    <row r="89">
      <c r="B89">
        <f>IF(ISBLANK(A89),"",A89&amp;"-R"&amp;TEXT(COUNTIF($A$2:A89,A89),"00"))</f>
        <v/>
      </c>
      <c r="H89" s="15">
        <f>IF(OR(ISBLANK(F89),ISBLANK(G89)),"",VALUE(LEFT(F89,1))*VALUE(LEFT(G89,1)))</f>
        <v/>
      </c>
      <c r="I89" s="12">
        <f>IF(ISBLANK(H89),"",IF(H89&gt;=20,"Critical",IF(H89&gt;=15,"High",IF(H89&gt;=8,"Medium","Low"))))</f>
        <v/>
      </c>
    </row>
    <row r="90">
      <c r="B90">
        <f>IF(ISBLANK(A90),"",A90&amp;"-R"&amp;TEXT(COUNTIF($A$2:A90,A90),"00"))</f>
        <v/>
      </c>
      <c r="H90" s="15">
        <f>IF(OR(ISBLANK(F90),ISBLANK(G90)),"",VALUE(LEFT(F90,1))*VALUE(LEFT(G90,1)))</f>
        <v/>
      </c>
      <c r="I90" s="12">
        <f>IF(ISBLANK(H90),"",IF(H90&gt;=20,"Critical",IF(H90&gt;=15,"High",IF(H90&gt;=8,"Medium","Low"))))</f>
        <v/>
      </c>
    </row>
    <row r="91">
      <c r="B91">
        <f>IF(ISBLANK(A91),"",A91&amp;"-R"&amp;TEXT(COUNTIF($A$2:A91,A91),"00"))</f>
        <v/>
      </c>
      <c r="H91" s="15">
        <f>IF(OR(ISBLANK(F91),ISBLANK(G91)),"",VALUE(LEFT(F91,1))*VALUE(LEFT(G91,1)))</f>
        <v/>
      </c>
      <c r="I91" s="12">
        <f>IF(ISBLANK(H91),"",IF(H91&gt;=20,"Critical",IF(H91&gt;=15,"High",IF(H91&gt;=8,"Medium","Low"))))</f>
        <v/>
      </c>
    </row>
    <row r="92">
      <c r="B92">
        <f>IF(ISBLANK(A92),"",A92&amp;"-R"&amp;TEXT(COUNTIF($A$2:A92,A92),"00"))</f>
        <v/>
      </c>
      <c r="H92" s="15">
        <f>IF(OR(ISBLANK(F92),ISBLANK(G92)),"",VALUE(LEFT(F92,1))*VALUE(LEFT(G92,1)))</f>
        <v/>
      </c>
      <c r="I92" s="12">
        <f>IF(ISBLANK(H92),"",IF(H92&gt;=20,"Critical",IF(H92&gt;=15,"High",IF(H92&gt;=8,"Medium","Low"))))</f>
        <v/>
      </c>
    </row>
    <row r="93">
      <c r="B93">
        <f>IF(ISBLANK(A93),"",A93&amp;"-R"&amp;TEXT(COUNTIF($A$2:A93,A93),"00"))</f>
        <v/>
      </c>
      <c r="H93" s="15">
        <f>IF(OR(ISBLANK(F93),ISBLANK(G93)),"",VALUE(LEFT(F93,1))*VALUE(LEFT(G93,1)))</f>
        <v/>
      </c>
      <c r="I93" s="12">
        <f>IF(ISBLANK(H93),"",IF(H93&gt;=20,"Critical",IF(H93&gt;=15,"High",IF(H93&gt;=8,"Medium","Low"))))</f>
        <v/>
      </c>
    </row>
    <row r="94">
      <c r="B94">
        <f>IF(ISBLANK(A94),"",A94&amp;"-R"&amp;TEXT(COUNTIF($A$2:A94,A94),"00"))</f>
        <v/>
      </c>
      <c r="H94" s="15">
        <f>IF(OR(ISBLANK(F94),ISBLANK(G94)),"",VALUE(LEFT(F94,1))*VALUE(LEFT(G94,1)))</f>
        <v/>
      </c>
      <c r="I94" s="12">
        <f>IF(ISBLANK(H94),"",IF(H94&gt;=20,"Critical",IF(H94&gt;=15,"High",IF(H94&gt;=8,"Medium","Low"))))</f>
        <v/>
      </c>
    </row>
    <row r="95">
      <c r="B95">
        <f>IF(ISBLANK(A95),"",A95&amp;"-R"&amp;TEXT(COUNTIF($A$2:A95,A95),"00"))</f>
        <v/>
      </c>
      <c r="H95" s="15">
        <f>IF(OR(ISBLANK(F95),ISBLANK(G95)),"",VALUE(LEFT(F95,1))*VALUE(LEFT(G95,1)))</f>
        <v/>
      </c>
      <c r="I95" s="12">
        <f>IF(ISBLANK(H95),"",IF(H95&gt;=20,"Critical",IF(H95&gt;=15,"High",IF(H95&gt;=8,"Medium","Low"))))</f>
        <v/>
      </c>
    </row>
    <row r="96">
      <c r="B96">
        <f>IF(ISBLANK(A96),"",A96&amp;"-R"&amp;TEXT(COUNTIF($A$2:A96,A96),"00"))</f>
        <v/>
      </c>
      <c r="H96" s="15">
        <f>IF(OR(ISBLANK(F96),ISBLANK(G96)),"",VALUE(LEFT(F96,1))*VALUE(LEFT(G96,1)))</f>
        <v/>
      </c>
      <c r="I96" s="12">
        <f>IF(ISBLANK(H96),"",IF(H96&gt;=20,"Critical",IF(H96&gt;=15,"High",IF(H96&gt;=8,"Medium","Low"))))</f>
        <v/>
      </c>
    </row>
    <row r="97">
      <c r="B97">
        <f>IF(ISBLANK(A97),"",A97&amp;"-R"&amp;TEXT(COUNTIF($A$2:A97,A97),"00"))</f>
        <v/>
      </c>
      <c r="H97" s="15">
        <f>IF(OR(ISBLANK(F97),ISBLANK(G97)),"",VALUE(LEFT(F97,1))*VALUE(LEFT(G97,1)))</f>
        <v/>
      </c>
      <c r="I97" s="12">
        <f>IF(ISBLANK(H97),"",IF(H97&gt;=20,"Critical",IF(H97&gt;=15,"High",IF(H97&gt;=8,"Medium","Low"))))</f>
        <v/>
      </c>
    </row>
    <row r="98">
      <c r="B98">
        <f>IF(ISBLANK(A98),"",A98&amp;"-R"&amp;TEXT(COUNTIF($A$2:A98,A98),"00"))</f>
        <v/>
      </c>
      <c r="H98" s="15">
        <f>IF(OR(ISBLANK(F98),ISBLANK(G98)),"",VALUE(LEFT(F98,1))*VALUE(LEFT(G98,1)))</f>
        <v/>
      </c>
      <c r="I98" s="12">
        <f>IF(ISBLANK(H98),"",IF(H98&gt;=20,"Critical",IF(H98&gt;=15,"High",IF(H98&gt;=8,"Medium","Low"))))</f>
        <v/>
      </c>
    </row>
    <row r="99">
      <c r="B99">
        <f>IF(ISBLANK(A99),"",A99&amp;"-R"&amp;TEXT(COUNTIF($A$2:A99,A99),"00"))</f>
        <v/>
      </c>
      <c r="H99" s="15">
        <f>IF(OR(ISBLANK(F99),ISBLANK(G99)),"",VALUE(LEFT(F99,1))*VALUE(LEFT(G99,1)))</f>
        <v/>
      </c>
      <c r="I99" s="12">
        <f>IF(ISBLANK(H99),"",IF(H99&gt;=20,"Critical",IF(H99&gt;=15,"High",IF(H99&gt;=8,"Medium","Low"))))</f>
        <v/>
      </c>
    </row>
    <row r="100">
      <c r="B100">
        <f>IF(ISBLANK(A100),"",A100&amp;"-R"&amp;TEXT(COUNTIF($A$2:A100,A100),"00"))</f>
        <v/>
      </c>
      <c r="H100" s="15">
        <f>IF(OR(ISBLANK(F100),ISBLANK(G100)),"",VALUE(LEFT(F100,1))*VALUE(LEFT(G100,1)))</f>
        <v/>
      </c>
      <c r="I100" s="12">
        <f>IF(ISBLANK(H100),"",IF(H100&gt;=20,"Critical",IF(H100&gt;=15,"High",IF(H100&gt;=8,"Medium","Low"))))</f>
        <v/>
      </c>
    </row>
    <row r="101">
      <c r="B101">
        <f>IF(ISBLANK(A101),"",A101&amp;"-R"&amp;TEXT(COUNTIF($A$2:A101,A101),"00"))</f>
        <v/>
      </c>
      <c r="H101" s="15">
        <f>IF(OR(ISBLANK(F101),ISBLANK(G101)),"",VALUE(LEFT(F101,1))*VALUE(LEFT(G101,1)))</f>
        <v/>
      </c>
      <c r="I101" s="12">
        <f>IF(ISBLANK(H101),"",IF(H101&gt;=20,"Critical",IF(H101&gt;=15,"High",IF(H101&gt;=8,"Medium","Low"))))</f>
        <v/>
      </c>
    </row>
    <row r="102">
      <c r="B102">
        <f>IF(ISBLANK(A102),"",A102&amp;"-R"&amp;TEXT(COUNTIF($A$2:A102,A102),"00"))</f>
        <v/>
      </c>
      <c r="H102" s="15">
        <f>IF(OR(ISBLANK(F102),ISBLANK(G102)),"",VALUE(LEFT(F102,1))*VALUE(LEFT(G102,1)))</f>
        <v/>
      </c>
      <c r="I102" s="12">
        <f>IF(ISBLANK(H102),"",IF(H102&gt;=20,"Critical",IF(H102&gt;=15,"High",IF(H102&gt;=8,"Medium","Low"))))</f>
        <v/>
      </c>
    </row>
    <row r="103">
      <c r="B103">
        <f>IF(ISBLANK(A103),"",A103&amp;"-R"&amp;TEXT(COUNTIF($A$2:A103,A103),"00"))</f>
        <v/>
      </c>
      <c r="H103" s="15">
        <f>IF(OR(ISBLANK(F103),ISBLANK(G103)),"",VALUE(LEFT(F103,1))*VALUE(LEFT(G103,1)))</f>
        <v/>
      </c>
      <c r="I103" s="12">
        <f>IF(ISBLANK(H103),"",IF(H103&gt;=20,"Critical",IF(H103&gt;=15,"High",IF(H103&gt;=8,"Medium","Low"))))</f>
        <v/>
      </c>
    </row>
    <row r="104">
      <c r="B104">
        <f>IF(ISBLANK(A104),"",A104&amp;"-R"&amp;TEXT(COUNTIF($A$2:A104,A104),"00"))</f>
        <v/>
      </c>
      <c r="H104" s="15">
        <f>IF(OR(ISBLANK(F104),ISBLANK(G104)),"",VALUE(LEFT(F104,1))*VALUE(LEFT(G104,1)))</f>
        <v/>
      </c>
      <c r="I104" s="12">
        <f>IF(ISBLANK(H104),"",IF(H104&gt;=20,"Critical",IF(H104&gt;=15,"High",IF(H104&gt;=8,"Medium","Low"))))</f>
        <v/>
      </c>
    </row>
    <row r="105">
      <c r="B105">
        <f>IF(ISBLANK(A105),"",A105&amp;"-R"&amp;TEXT(COUNTIF($A$2:A105,A105),"00"))</f>
        <v/>
      </c>
      <c r="H105" s="15">
        <f>IF(OR(ISBLANK(F105),ISBLANK(G105)),"",VALUE(LEFT(F105,1))*VALUE(LEFT(G105,1)))</f>
        <v/>
      </c>
      <c r="I105" s="12">
        <f>IF(ISBLANK(H105),"",IF(H105&gt;=20,"Critical",IF(H105&gt;=15,"High",IF(H105&gt;=8,"Medium","Low"))))</f>
        <v/>
      </c>
    </row>
    <row r="106">
      <c r="B106">
        <f>IF(ISBLANK(A106),"",A106&amp;"-R"&amp;TEXT(COUNTIF($A$2:A106,A106),"00"))</f>
        <v/>
      </c>
      <c r="H106" s="15">
        <f>IF(OR(ISBLANK(F106),ISBLANK(G106)),"",VALUE(LEFT(F106,1))*VALUE(LEFT(G106,1)))</f>
        <v/>
      </c>
      <c r="I106" s="12">
        <f>IF(ISBLANK(H106),"",IF(H106&gt;=20,"Critical",IF(H106&gt;=15,"High",IF(H106&gt;=8,"Medium","Low"))))</f>
        <v/>
      </c>
    </row>
    <row r="107">
      <c r="B107">
        <f>IF(ISBLANK(A107),"",A107&amp;"-R"&amp;TEXT(COUNTIF($A$2:A107,A107),"00"))</f>
        <v/>
      </c>
      <c r="H107" s="15">
        <f>IF(OR(ISBLANK(F107),ISBLANK(G107)),"",VALUE(LEFT(F107,1))*VALUE(LEFT(G107,1)))</f>
        <v/>
      </c>
      <c r="I107" s="12">
        <f>IF(ISBLANK(H107),"",IF(H107&gt;=20,"Critical",IF(H107&gt;=15,"High",IF(H107&gt;=8,"Medium","Low"))))</f>
        <v/>
      </c>
    </row>
    <row r="108">
      <c r="B108">
        <f>IF(ISBLANK(A108),"",A108&amp;"-R"&amp;TEXT(COUNTIF($A$2:A108,A108),"00"))</f>
        <v/>
      </c>
      <c r="H108" s="15">
        <f>IF(OR(ISBLANK(F108),ISBLANK(G108)),"",VALUE(LEFT(F108,1))*VALUE(LEFT(G108,1)))</f>
        <v/>
      </c>
      <c r="I108" s="12">
        <f>IF(ISBLANK(H108),"",IF(H108&gt;=20,"Critical",IF(H108&gt;=15,"High",IF(H108&gt;=8,"Medium","Low"))))</f>
        <v/>
      </c>
    </row>
    <row r="109">
      <c r="B109">
        <f>IF(ISBLANK(A109),"",A109&amp;"-R"&amp;TEXT(COUNTIF($A$2:A109,A109),"00"))</f>
        <v/>
      </c>
      <c r="H109" s="15">
        <f>IF(OR(ISBLANK(F109),ISBLANK(G109)),"",VALUE(LEFT(F109,1))*VALUE(LEFT(G109,1)))</f>
        <v/>
      </c>
      <c r="I109" s="12">
        <f>IF(ISBLANK(H109),"",IF(H109&gt;=20,"Critical",IF(H109&gt;=15,"High",IF(H109&gt;=8,"Medium","Low"))))</f>
        <v/>
      </c>
    </row>
    <row r="110">
      <c r="B110">
        <f>IF(ISBLANK(A110),"",A110&amp;"-R"&amp;TEXT(COUNTIF($A$2:A110,A110),"00"))</f>
        <v/>
      </c>
      <c r="H110" s="15">
        <f>IF(OR(ISBLANK(F110),ISBLANK(G110)),"",VALUE(LEFT(F110,1))*VALUE(LEFT(G110,1)))</f>
        <v/>
      </c>
      <c r="I110" s="12">
        <f>IF(ISBLANK(H110),"",IF(H110&gt;=20,"Critical",IF(H110&gt;=15,"High",IF(H110&gt;=8,"Medium","Low"))))</f>
        <v/>
      </c>
    </row>
    <row r="111">
      <c r="B111">
        <f>IF(ISBLANK(A111),"",A111&amp;"-R"&amp;TEXT(COUNTIF($A$2:A111,A111),"00"))</f>
        <v/>
      </c>
      <c r="H111" s="15">
        <f>IF(OR(ISBLANK(F111),ISBLANK(G111)),"",VALUE(LEFT(F111,1))*VALUE(LEFT(G111,1)))</f>
        <v/>
      </c>
      <c r="I111" s="12">
        <f>IF(ISBLANK(H111),"",IF(H111&gt;=20,"Critical",IF(H111&gt;=15,"High",IF(H111&gt;=8,"Medium","Low"))))</f>
        <v/>
      </c>
    </row>
    <row r="112">
      <c r="B112">
        <f>IF(ISBLANK(A112),"",A112&amp;"-R"&amp;TEXT(COUNTIF($A$2:A112,A112),"00"))</f>
        <v/>
      </c>
      <c r="H112" s="15">
        <f>IF(OR(ISBLANK(F112),ISBLANK(G112)),"",VALUE(LEFT(F112,1))*VALUE(LEFT(G112,1)))</f>
        <v/>
      </c>
      <c r="I112" s="12">
        <f>IF(ISBLANK(H112),"",IF(H112&gt;=20,"Critical",IF(H112&gt;=15,"High",IF(H112&gt;=8,"Medium","Low"))))</f>
        <v/>
      </c>
    </row>
    <row r="113">
      <c r="B113">
        <f>IF(ISBLANK(A113),"",A113&amp;"-R"&amp;TEXT(COUNTIF($A$2:A113,A113),"00"))</f>
        <v/>
      </c>
      <c r="H113" s="15">
        <f>IF(OR(ISBLANK(F113),ISBLANK(G113)),"",VALUE(LEFT(F113,1))*VALUE(LEFT(G113,1)))</f>
        <v/>
      </c>
      <c r="I113" s="12">
        <f>IF(ISBLANK(H113),"",IF(H113&gt;=20,"Critical",IF(H113&gt;=15,"High",IF(H113&gt;=8,"Medium","Low"))))</f>
        <v/>
      </c>
    </row>
    <row r="114">
      <c r="B114">
        <f>IF(ISBLANK(A114),"",A114&amp;"-R"&amp;TEXT(COUNTIF($A$2:A114,A114),"00"))</f>
        <v/>
      </c>
      <c r="H114" s="15">
        <f>IF(OR(ISBLANK(F114),ISBLANK(G114)),"",VALUE(LEFT(F114,1))*VALUE(LEFT(G114,1)))</f>
        <v/>
      </c>
      <c r="I114" s="12">
        <f>IF(ISBLANK(H114),"",IF(H114&gt;=20,"Critical",IF(H114&gt;=15,"High",IF(H114&gt;=8,"Medium","Low"))))</f>
        <v/>
      </c>
    </row>
    <row r="115">
      <c r="B115">
        <f>IF(ISBLANK(A115),"",A115&amp;"-R"&amp;TEXT(COUNTIF($A$2:A115,A115),"00"))</f>
        <v/>
      </c>
      <c r="H115" s="15">
        <f>IF(OR(ISBLANK(F115),ISBLANK(G115)),"",VALUE(LEFT(F115,1))*VALUE(LEFT(G115,1)))</f>
        <v/>
      </c>
      <c r="I115" s="12">
        <f>IF(ISBLANK(H115),"",IF(H115&gt;=20,"Critical",IF(H115&gt;=15,"High",IF(H115&gt;=8,"Medium","Low"))))</f>
        <v/>
      </c>
    </row>
    <row r="116">
      <c r="B116">
        <f>IF(ISBLANK(A116),"",A116&amp;"-R"&amp;TEXT(COUNTIF($A$2:A116,A116),"00"))</f>
        <v/>
      </c>
      <c r="H116" s="15">
        <f>IF(OR(ISBLANK(F116),ISBLANK(G116)),"",VALUE(LEFT(F116,1))*VALUE(LEFT(G116,1)))</f>
        <v/>
      </c>
      <c r="I116" s="12">
        <f>IF(ISBLANK(H116),"",IF(H116&gt;=20,"Critical",IF(H116&gt;=15,"High",IF(H116&gt;=8,"Medium","Low"))))</f>
        <v/>
      </c>
    </row>
    <row r="117">
      <c r="B117">
        <f>IF(ISBLANK(A117),"",A117&amp;"-R"&amp;TEXT(COUNTIF($A$2:A117,A117),"00"))</f>
        <v/>
      </c>
      <c r="H117" s="15">
        <f>IF(OR(ISBLANK(F117),ISBLANK(G117)),"",VALUE(LEFT(F117,1))*VALUE(LEFT(G117,1)))</f>
        <v/>
      </c>
      <c r="I117" s="12">
        <f>IF(ISBLANK(H117),"",IF(H117&gt;=20,"Critical",IF(H117&gt;=15,"High",IF(H117&gt;=8,"Medium","Low"))))</f>
        <v/>
      </c>
    </row>
    <row r="118">
      <c r="B118">
        <f>IF(ISBLANK(A118),"",A118&amp;"-R"&amp;TEXT(COUNTIF($A$2:A118,A118),"00"))</f>
        <v/>
      </c>
      <c r="H118" s="15">
        <f>IF(OR(ISBLANK(F118),ISBLANK(G118)),"",VALUE(LEFT(F118,1))*VALUE(LEFT(G118,1)))</f>
        <v/>
      </c>
      <c r="I118" s="12">
        <f>IF(ISBLANK(H118),"",IF(H118&gt;=20,"Critical",IF(H118&gt;=15,"High",IF(H118&gt;=8,"Medium","Low"))))</f>
        <v/>
      </c>
    </row>
    <row r="119">
      <c r="B119">
        <f>IF(ISBLANK(A119),"",A119&amp;"-R"&amp;TEXT(COUNTIF($A$2:A119,A119),"00"))</f>
        <v/>
      </c>
      <c r="H119" s="15">
        <f>IF(OR(ISBLANK(F119),ISBLANK(G119)),"",VALUE(LEFT(F119,1))*VALUE(LEFT(G119,1)))</f>
        <v/>
      </c>
      <c r="I119" s="12">
        <f>IF(ISBLANK(H119),"",IF(H119&gt;=20,"Critical",IF(H119&gt;=15,"High",IF(H119&gt;=8,"Medium","Low"))))</f>
        <v/>
      </c>
    </row>
    <row r="120">
      <c r="B120">
        <f>IF(ISBLANK(A120),"",A120&amp;"-R"&amp;TEXT(COUNTIF($A$2:A120,A120),"00"))</f>
        <v/>
      </c>
      <c r="H120" s="15">
        <f>IF(OR(ISBLANK(F120),ISBLANK(G120)),"",VALUE(LEFT(F120,1))*VALUE(LEFT(G120,1)))</f>
        <v/>
      </c>
      <c r="I120" s="12">
        <f>IF(ISBLANK(H120),"",IF(H120&gt;=20,"Critical",IF(H120&gt;=15,"High",IF(H120&gt;=8,"Medium","Low"))))</f>
        <v/>
      </c>
    </row>
    <row r="121">
      <c r="B121">
        <f>IF(ISBLANK(A121),"",A121&amp;"-R"&amp;TEXT(COUNTIF($A$2:A121,A121),"00"))</f>
        <v/>
      </c>
      <c r="H121" s="15">
        <f>IF(OR(ISBLANK(F121),ISBLANK(G121)),"",VALUE(LEFT(F121,1))*VALUE(LEFT(G121,1)))</f>
        <v/>
      </c>
      <c r="I121" s="12">
        <f>IF(ISBLANK(H121),"",IF(H121&gt;=20,"Critical",IF(H121&gt;=15,"High",IF(H121&gt;=8,"Medium","Low"))))</f>
        <v/>
      </c>
    </row>
    <row r="122">
      <c r="B122">
        <f>IF(ISBLANK(A122),"",A122&amp;"-R"&amp;TEXT(COUNTIF($A$2:A122,A122),"00"))</f>
        <v/>
      </c>
      <c r="H122" s="15">
        <f>IF(OR(ISBLANK(F122),ISBLANK(G122)),"",VALUE(LEFT(F122,1))*VALUE(LEFT(G122,1)))</f>
        <v/>
      </c>
      <c r="I122" s="12">
        <f>IF(ISBLANK(H122),"",IF(H122&gt;=20,"Critical",IF(H122&gt;=15,"High",IF(H122&gt;=8,"Medium","Low"))))</f>
        <v/>
      </c>
    </row>
    <row r="123">
      <c r="B123">
        <f>IF(ISBLANK(A123),"",A123&amp;"-R"&amp;TEXT(COUNTIF($A$2:A123,A123),"00"))</f>
        <v/>
      </c>
      <c r="H123" s="15">
        <f>IF(OR(ISBLANK(F123),ISBLANK(G123)),"",VALUE(LEFT(F123,1))*VALUE(LEFT(G123,1)))</f>
        <v/>
      </c>
      <c r="I123" s="12">
        <f>IF(ISBLANK(H123),"",IF(H123&gt;=20,"Critical",IF(H123&gt;=15,"High",IF(H123&gt;=8,"Medium","Low"))))</f>
        <v/>
      </c>
    </row>
    <row r="124">
      <c r="B124">
        <f>IF(ISBLANK(A124),"",A124&amp;"-R"&amp;TEXT(COUNTIF($A$2:A124,A124),"00"))</f>
        <v/>
      </c>
      <c r="H124" s="15">
        <f>IF(OR(ISBLANK(F124),ISBLANK(G124)),"",VALUE(LEFT(F124,1))*VALUE(LEFT(G124,1)))</f>
        <v/>
      </c>
      <c r="I124" s="12">
        <f>IF(ISBLANK(H124),"",IF(H124&gt;=20,"Critical",IF(H124&gt;=15,"High",IF(H124&gt;=8,"Medium","Low"))))</f>
        <v/>
      </c>
    </row>
    <row r="125">
      <c r="B125">
        <f>IF(ISBLANK(A125),"",A125&amp;"-R"&amp;TEXT(COUNTIF($A$2:A125,A125),"00"))</f>
        <v/>
      </c>
      <c r="H125" s="15">
        <f>IF(OR(ISBLANK(F125),ISBLANK(G125)),"",VALUE(LEFT(F125,1))*VALUE(LEFT(G125,1)))</f>
        <v/>
      </c>
      <c r="I125" s="12">
        <f>IF(ISBLANK(H125),"",IF(H125&gt;=20,"Critical",IF(H125&gt;=15,"High",IF(H125&gt;=8,"Medium","Low"))))</f>
        <v/>
      </c>
    </row>
    <row r="126">
      <c r="B126">
        <f>IF(ISBLANK(A126),"",A126&amp;"-R"&amp;TEXT(COUNTIF($A$2:A126,A126),"00"))</f>
        <v/>
      </c>
      <c r="H126" s="15">
        <f>IF(OR(ISBLANK(F126),ISBLANK(G126)),"",VALUE(LEFT(F126,1))*VALUE(LEFT(G126,1)))</f>
        <v/>
      </c>
      <c r="I126" s="12">
        <f>IF(ISBLANK(H126),"",IF(H126&gt;=20,"Critical",IF(H126&gt;=15,"High",IF(H126&gt;=8,"Medium","Low"))))</f>
        <v/>
      </c>
    </row>
    <row r="127">
      <c r="B127">
        <f>IF(ISBLANK(A127),"",A127&amp;"-R"&amp;TEXT(COUNTIF($A$2:A127,A127),"00"))</f>
        <v/>
      </c>
      <c r="H127" s="15">
        <f>IF(OR(ISBLANK(F127),ISBLANK(G127)),"",VALUE(LEFT(F127,1))*VALUE(LEFT(G127,1)))</f>
        <v/>
      </c>
      <c r="I127" s="12">
        <f>IF(ISBLANK(H127),"",IF(H127&gt;=20,"Critical",IF(H127&gt;=15,"High",IF(H127&gt;=8,"Medium","Low"))))</f>
        <v/>
      </c>
    </row>
    <row r="128">
      <c r="B128">
        <f>IF(ISBLANK(A128),"",A128&amp;"-R"&amp;TEXT(COUNTIF($A$2:A128,A128),"00"))</f>
        <v/>
      </c>
      <c r="H128" s="15">
        <f>IF(OR(ISBLANK(F128),ISBLANK(G128)),"",VALUE(LEFT(F128,1))*VALUE(LEFT(G128,1)))</f>
        <v/>
      </c>
      <c r="I128" s="12">
        <f>IF(ISBLANK(H128),"",IF(H128&gt;=20,"Critical",IF(H128&gt;=15,"High",IF(H128&gt;=8,"Medium","Low"))))</f>
        <v/>
      </c>
    </row>
    <row r="129">
      <c r="B129">
        <f>IF(ISBLANK(A129),"",A129&amp;"-R"&amp;TEXT(COUNTIF($A$2:A129,A129),"00"))</f>
        <v/>
      </c>
      <c r="H129" s="15">
        <f>IF(OR(ISBLANK(F129),ISBLANK(G129)),"",VALUE(LEFT(F129,1))*VALUE(LEFT(G129,1)))</f>
        <v/>
      </c>
      <c r="I129" s="12">
        <f>IF(ISBLANK(H129),"",IF(H129&gt;=20,"Critical",IF(H129&gt;=15,"High",IF(H129&gt;=8,"Medium","Low"))))</f>
        <v/>
      </c>
    </row>
    <row r="130">
      <c r="B130">
        <f>IF(ISBLANK(A130),"",A130&amp;"-R"&amp;TEXT(COUNTIF($A$2:A130,A130),"00"))</f>
        <v/>
      </c>
      <c r="H130" s="15">
        <f>IF(OR(ISBLANK(F130),ISBLANK(G130)),"",VALUE(LEFT(F130,1))*VALUE(LEFT(G130,1)))</f>
        <v/>
      </c>
      <c r="I130" s="12">
        <f>IF(ISBLANK(H130),"",IF(H130&gt;=20,"Critical",IF(H130&gt;=15,"High",IF(H130&gt;=8,"Medium","Low"))))</f>
        <v/>
      </c>
    </row>
    <row r="131">
      <c r="B131">
        <f>IF(ISBLANK(A131),"",A131&amp;"-R"&amp;TEXT(COUNTIF($A$2:A131,A131),"00"))</f>
        <v/>
      </c>
      <c r="H131" s="15">
        <f>IF(OR(ISBLANK(F131),ISBLANK(G131)),"",VALUE(LEFT(F131,1))*VALUE(LEFT(G131,1)))</f>
        <v/>
      </c>
      <c r="I131" s="12">
        <f>IF(ISBLANK(H131),"",IF(H131&gt;=20,"Critical",IF(H131&gt;=15,"High",IF(H131&gt;=8,"Medium","Low"))))</f>
        <v/>
      </c>
    </row>
    <row r="132">
      <c r="B132">
        <f>IF(ISBLANK(A132),"",A132&amp;"-R"&amp;TEXT(COUNTIF($A$2:A132,A132),"00"))</f>
        <v/>
      </c>
      <c r="H132" s="15">
        <f>IF(OR(ISBLANK(F132),ISBLANK(G132)),"",VALUE(LEFT(F132,1))*VALUE(LEFT(G132,1)))</f>
        <v/>
      </c>
      <c r="I132" s="12">
        <f>IF(ISBLANK(H132),"",IF(H132&gt;=20,"Critical",IF(H132&gt;=15,"High",IF(H132&gt;=8,"Medium","Low"))))</f>
        <v/>
      </c>
    </row>
    <row r="133">
      <c r="B133">
        <f>IF(ISBLANK(A133),"",A133&amp;"-R"&amp;TEXT(COUNTIF($A$2:A133,A133),"00"))</f>
        <v/>
      </c>
      <c r="H133" s="15">
        <f>IF(OR(ISBLANK(F133),ISBLANK(G133)),"",VALUE(LEFT(F133,1))*VALUE(LEFT(G133,1)))</f>
        <v/>
      </c>
      <c r="I133" s="12">
        <f>IF(ISBLANK(H133),"",IF(H133&gt;=20,"Critical",IF(H133&gt;=15,"High",IF(H133&gt;=8,"Medium","Low"))))</f>
        <v/>
      </c>
    </row>
    <row r="134">
      <c r="B134">
        <f>IF(ISBLANK(A134),"",A134&amp;"-R"&amp;TEXT(COUNTIF($A$2:A134,A134),"00"))</f>
        <v/>
      </c>
      <c r="H134" s="15">
        <f>IF(OR(ISBLANK(F134),ISBLANK(G134)),"",VALUE(LEFT(F134,1))*VALUE(LEFT(G134,1)))</f>
        <v/>
      </c>
      <c r="I134" s="12">
        <f>IF(ISBLANK(H134),"",IF(H134&gt;=20,"Critical",IF(H134&gt;=15,"High",IF(H134&gt;=8,"Medium","Low"))))</f>
        <v/>
      </c>
    </row>
    <row r="135">
      <c r="B135">
        <f>IF(ISBLANK(A135),"",A135&amp;"-R"&amp;TEXT(COUNTIF($A$2:A135,A135),"00"))</f>
        <v/>
      </c>
      <c r="H135" s="15">
        <f>IF(OR(ISBLANK(F135),ISBLANK(G135)),"",VALUE(LEFT(F135,1))*VALUE(LEFT(G135,1)))</f>
        <v/>
      </c>
      <c r="I135" s="12">
        <f>IF(ISBLANK(H135),"",IF(H135&gt;=20,"Critical",IF(H135&gt;=15,"High",IF(H135&gt;=8,"Medium","Low"))))</f>
        <v/>
      </c>
    </row>
    <row r="136">
      <c r="B136">
        <f>IF(ISBLANK(A136),"",A136&amp;"-R"&amp;TEXT(COUNTIF($A$2:A136,A136),"00"))</f>
        <v/>
      </c>
      <c r="H136" s="15">
        <f>IF(OR(ISBLANK(F136),ISBLANK(G136)),"",VALUE(LEFT(F136,1))*VALUE(LEFT(G136,1)))</f>
        <v/>
      </c>
      <c r="I136" s="12">
        <f>IF(ISBLANK(H136),"",IF(H136&gt;=20,"Critical",IF(H136&gt;=15,"High",IF(H136&gt;=8,"Medium","Low"))))</f>
        <v/>
      </c>
    </row>
    <row r="137">
      <c r="B137">
        <f>IF(ISBLANK(A137),"",A137&amp;"-R"&amp;TEXT(COUNTIF($A$2:A137,A137),"00"))</f>
        <v/>
      </c>
      <c r="H137" s="15">
        <f>IF(OR(ISBLANK(F137),ISBLANK(G137)),"",VALUE(LEFT(F137,1))*VALUE(LEFT(G137,1)))</f>
        <v/>
      </c>
      <c r="I137" s="12">
        <f>IF(ISBLANK(H137),"",IF(H137&gt;=20,"Critical",IF(H137&gt;=15,"High",IF(H137&gt;=8,"Medium","Low"))))</f>
        <v/>
      </c>
    </row>
    <row r="138">
      <c r="B138">
        <f>IF(ISBLANK(A138),"",A138&amp;"-R"&amp;TEXT(COUNTIF($A$2:A138,A138),"00"))</f>
        <v/>
      </c>
      <c r="H138" s="15">
        <f>IF(OR(ISBLANK(F138),ISBLANK(G138)),"",VALUE(LEFT(F138,1))*VALUE(LEFT(G138,1)))</f>
        <v/>
      </c>
      <c r="I138" s="12">
        <f>IF(ISBLANK(H138),"",IF(H138&gt;=20,"Critical",IF(H138&gt;=15,"High",IF(H138&gt;=8,"Medium","Low"))))</f>
        <v/>
      </c>
    </row>
    <row r="139">
      <c r="B139">
        <f>IF(ISBLANK(A139),"",A139&amp;"-R"&amp;TEXT(COUNTIF($A$2:A139,A139),"00"))</f>
        <v/>
      </c>
      <c r="H139" s="15">
        <f>IF(OR(ISBLANK(F139),ISBLANK(G139)),"",VALUE(LEFT(F139,1))*VALUE(LEFT(G139,1)))</f>
        <v/>
      </c>
      <c r="I139" s="12">
        <f>IF(ISBLANK(H139),"",IF(H139&gt;=20,"Critical",IF(H139&gt;=15,"High",IF(H139&gt;=8,"Medium","Low"))))</f>
        <v/>
      </c>
    </row>
    <row r="140">
      <c r="B140">
        <f>IF(ISBLANK(A140),"",A140&amp;"-R"&amp;TEXT(COUNTIF($A$2:A140,A140),"00"))</f>
        <v/>
      </c>
      <c r="H140" s="15">
        <f>IF(OR(ISBLANK(F140),ISBLANK(G140)),"",VALUE(LEFT(F140,1))*VALUE(LEFT(G140,1)))</f>
        <v/>
      </c>
      <c r="I140" s="12">
        <f>IF(ISBLANK(H140),"",IF(H140&gt;=20,"Critical",IF(H140&gt;=15,"High",IF(H140&gt;=8,"Medium","Low"))))</f>
        <v/>
      </c>
    </row>
    <row r="141">
      <c r="B141">
        <f>IF(ISBLANK(A141),"",A141&amp;"-R"&amp;TEXT(COUNTIF($A$2:A141,A141),"00"))</f>
        <v/>
      </c>
      <c r="H141" s="15">
        <f>IF(OR(ISBLANK(F141),ISBLANK(G141)),"",VALUE(LEFT(F141,1))*VALUE(LEFT(G141,1)))</f>
        <v/>
      </c>
      <c r="I141" s="12">
        <f>IF(ISBLANK(H141),"",IF(H141&gt;=20,"Critical",IF(H141&gt;=15,"High",IF(H141&gt;=8,"Medium","Low"))))</f>
        <v/>
      </c>
    </row>
    <row r="142">
      <c r="B142">
        <f>IF(ISBLANK(A142),"",A142&amp;"-R"&amp;TEXT(COUNTIF($A$2:A142,A142),"00"))</f>
        <v/>
      </c>
      <c r="H142" s="15">
        <f>IF(OR(ISBLANK(F142),ISBLANK(G142)),"",VALUE(LEFT(F142,1))*VALUE(LEFT(G142,1)))</f>
        <v/>
      </c>
      <c r="I142" s="12">
        <f>IF(ISBLANK(H142),"",IF(H142&gt;=20,"Critical",IF(H142&gt;=15,"High",IF(H142&gt;=8,"Medium","Low"))))</f>
        <v/>
      </c>
    </row>
    <row r="143">
      <c r="B143">
        <f>IF(ISBLANK(A143),"",A143&amp;"-R"&amp;TEXT(COUNTIF($A$2:A143,A143),"00"))</f>
        <v/>
      </c>
      <c r="H143" s="15">
        <f>IF(OR(ISBLANK(F143),ISBLANK(G143)),"",VALUE(LEFT(F143,1))*VALUE(LEFT(G143,1)))</f>
        <v/>
      </c>
      <c r="I143" s="12">
        <f>IF(ISBLANK(H143),"",IF(H143&gt;=20,"Critical",IF(H143&gt;=15,"High",IF(H143&gt;=8,"Medium","Low"))))</f>
        <v/>
      </c>
    </row>
    <row r="144">
      <c r="B144">
        <f>IF(ISBLANK(A144),"",A144&amp;"-R"&amp;TEXT(COUNTIF($A$2:A144,A144),"00"))</f>
        <v/>
      </c>
      <c r="H144" s="15">
        <f>IF(OR(ISBLANK(F144),ISBLANK(G144)),"",VALUE(LEFT(F144,1))*VALUE(LEFT(G144,1)))</f>
        <v/>
      </c>
      <c r="I144" s="12">
        <f>IF(ISBLANK(H144),"",IF(H144&gt;=20,"Critical",IF(H144&gt;=15,"High",IF(H144&gt;=8,"Medium","Low"))))</f>
        <v/>
      </c>
    </row>
    <row r="145">
      <c r="B145">
        <f>IF(ISBLANK(A145),"",A145&amp;"-R"&amp;TEXT(COUNTIF($A$2:A145,A145),"00"))</f>
        <v/>
      </c>
      <c r="H145" s="15">
        <f>IF(OR(ISBLANK(F145),ISBLANK(G145)),"",VALUE(LEFT(F145,1))*VALUE(LEFT(G145,1)))</f>
        <v/>
      </c>
      <c r="I145" s="12">
        <f>IF(ISBLANK(H145),"",IF(H145&gt;=20,"Critical",IF(H145&gt;=15,"High",IF(H145&gt;=8,"Medium","Low"))))</f>
        <v/>
      </c>
    </row>
    <row r="146">
      <c r="B146">
        <f>IF(ISBLANK(A146),"",A146&amp;"-R"&amp;TEXT(COUNTIF($A$2:A146,A146),"00"))</f>
        <v/>
      </c>
      <c r="H146" s="15">
        <f>IF(OR(ISBLANK(F146),ISBLANK(G146)),"",VALUE(LEFT(F146,1))*VALUE(LEFT(G146,1)))</f>
        <v/>
      </c>
      <c r="I146" s="12">
        <f>IF(ISBLANK(H146),"",IF(H146&gt;=20,"Critical",IF(H146&gt;=15,"High",IF(H146&gt;=8,"Medium","Low"))))</f>
        <v/>
      </c>
    </row>
    <row r="147">
      <c r="B147">
        <f>IF(ISBLANK(A147),"",A147&amp;"-R"&amp;TEXT(COUNTIF($A$2:A147,A147),"00"))</f>
        <v/>
      </c>
      <c r="H147" s="15">
        <f>IF(OR(ISBLANK(F147),ISBLANK(G147)),"",VALUE(LEFT(F147,1))*VALUE(LEFT(G147,1)))</f>
        <v/>
      </c>
      <c r="I147" s="12">
        <f>IF(ISBLANK(H147),"",IF(H147&gt;=20,"Critical",IF(H147&gt;=15,"High",IF(H147&gt;=8,"Medium","Low"))))</f>
        <v/>
      </c>
    </row>
    <row r="148">
      <c r="B148">
        <f>IF(ISBLANK(A148),"",A148&amp;"-R"&amp;TEXT(COUNTIF($A$2:A148,A148),"00"))</f>
        <v/>
      </c>
      <c r="H148" s="15">
        <f>IF(OR(ISBLANK(F148),ISBLANK(G148)),"",VALUE(LEFT(F148,1))*VALUE(LEFT(G148,1)))</f>
        <v/>
      </c>
      <c r="I148" s="12">
        <f>IF(ISBLANK(H148),"",IF(H148&gt;=20,"Critical",IF(H148&gt;=15,"High",IF(H148&gt;=8,"Medium","Low"))))</f>
        <v/>
      </c>
    </row>
    <row r="149">
      <c r="B149">
        <f>IF(ISBLANK(A149),"",A149&amp;"-R"&amp;TEXT(COUNTIF($A$2:A149,A149),"00"))</f>
        <v/>
      </c>
      <c r="H149" s="15">
        <f>IF(OR(ISBLANK(F149),ISBLANK(G149)),"",VALUE(LEFT(F149,1))*VALUE(LEFT(G149,1)))</f>
        <v/>
      </c>
      <c r="I149" s="12">
        <f>IF(ISBLANK(H149),"",IF(H149&gt;=20,"Critical",IF(H149&gt;=15,"High",IF(H149&gt;=8,"Medium","Low"))))</f>
        <v/>
      </c>
    </row>
    <row r="150">
      <c r="B150">
        <f>IF(ISBLANK(A150),"",A150&amp;"-R"&amp;TEXT(COUNTIF($A$2:A150,A150),"00"))</f>
        <v/>
      </c>
      <c r="H150" s="15">
        <f>IF(OR(ISBLANK(F150),ISBLANK(G150)),"",VALUE(LEFT(F150,1))*VALUE(LEFT(G150,1)))</f>
        <v/>
      </c>
      <c r="I150" s="12">
        <f>IF(ISBLANK(H150),"",IF(H150&gt;=20,"Critical",IF(H150&gt;=15,"High",IF(H150&gt;=8,"Medium","Low"))))</f>
        <v/>
      </c>
    </row>
    <row r="151">
      <c r="B151">
        <f>IF(ISBLANK(A151),"",A151&amp;"-R"&amp;TEXT(COUNTIF($A$2:A151,A151),"00"))</f>
        <v/>
      </c>
      <c r="H151" s="15">
        <f>IF(OR(ISBLANK(F151),ISBLANK(G151)),"",VALUE(LEFT(F151,1))*VALUE(LEFT(G151,1)))</f>
        <v/>
      </c>
      <c r="I151" s="12">
        <f>IF(ISBLANK(H151),"",IF(H151&gt;=20,"Critical",IF(H151&gt;=15,"High",IF(H151&gt;=8,"Medium","Low"))))</f>
        <v/>
      </c>
    </row>
    <row r="152">
      <c r="B152">
        <f>IF(ISBLANK(A152),"",A152&amp;"-R"&amp;TEXT(COUNTIF($A$2:A152,A152),"00"))</f>
        <v/>
      </c>
      <c r="H152" s="15">
        <f>IF(OR(ISBLANK(F152),ISBLANK(G152)),"",VALUE(LEFT(F152,1))*VALUE(LEFT(G152,1)))</f>
        <v/>
      </c>
      <c r="I152" s="12">
        <f>IF(ISBLANK(H152),"",IF(H152&gt;=20,"Critical",IF(H152&gt;=15,"High",IF(H152&gt;=8,"Medium","Low"))))</f>
        <v/>
      </c>
    </row>
    <row r="153">
      <c r="B153">
        <f>IF(ISBLANK(A153),"",A153&amp;"-R"&amp;TEXT(COUNTIF($A$2:A153,A153),"00"))</f>
        <v/>
      </c>
      <c r="H153" s="15">
        <f>IF(OR(ISBLANK(F153),ISBLANK(G153)),"",VALUE(LEFT(F153,1))*VALUE(LEFT(G153,1)))</f>
        <v/>
      </c>
      <c r="I153" s="12">
        <f>IF(ISBLANK(H153),"",IF(H153&gt;=20,"Critical",IF(H153&gt;=15,"High",IF(H153&gt;=8,"Medium","Low"))))</f>
        <v/>
      </c>
    </row>
    <row r="154">
      <c r="B154">
        <f>IF(ISBLANK(A154),"",A154&amp;"-R"&amp;TEXT(COUNTIF($A$2:A154,A154),"00"))</f>
        <v/>
      </c>
      <c r="H154" s="15">
        <f>IF(OR(ISBLANK(F154),ISBLANK(G154)),"",VALUE(LEFT(F154,1))*VALUE(LEFT(G154,1)))</f>
        <v/>
      </c>
      <c r="I154" s="12">
        <f>IF(ISBLANK(H154),"",IF(H154&gt;=20,"Critical",IF(H154&gt;=15,"High",IF(H154&gt;=8,"Medium","Low"))))</f>
        <v/>
      </c>
    </row>
    <row r="155">
      <c r="B155">
        <f>IF(ISBLANK(A155),"",A155&amp;"-R"&amp;TEXT(COUNTIF($A$2:A155,A155),"00"))</f>
        <v/>
      </c>
      <c r="H155" s="15">
        <f>IF(OR(ISBLANK(F155),ISBLANK(G155)),"",VALUE(LEFT(F155,1))*VALUE(LEFT(G155,1)))</f>
        <v/>
      </c>
      <c r="I155" s="12">
        <f>IF(ISBLANK(H155),"",IF(H155&gt;=20,"Critical",IF(H155&gt;=15,"High",IF(H155&gt;=8,"Medium","Low"))))</f>
        <v/>
      </c>
    </row>
    <row r="156">
      <c r="B156">
        <f>IF(ISBLANK(A156),"",A156&amp;"-R"&amp;TEXT(COUNTIF($A$2:A156,A156),"00"))</f>
        <v/>
      </c>
      <c r="H156" s="15">
        <f>IF(OR(ISBLANK(F156),ISBLANK(G156)),"",VALUE(LEFT(F156,1))*VALUE(LEFT(G156,1)))</f>
        <v/>
      </c>
      <c r="I156" s="12">
        <f>IF(ISBLANK(H156),"",IF(H156&gt;=20,"Critical",IF(H156&gt;=15,"High",IF(H156&gt;=8,"Medium","Low"))))</f>
        <v/>
      </c>
    </row>
    <row r="157">
      <c r="B157">
        <f>IF(ISBLANK(A157),"",A157&amp;"-R"&amp;TEXT(COUNTIF($A$2:A157,A157),"00"))</f>
        <v/>
      </c>
      <c r="H157" s="15">
        <f>IF(OR(ISBLANK(F157),ISBLANK(G157)),"",VALUE(LEFT(F157,1))*VALUE(LEFT(G157,1)))</f>
        <v/>
      </c>
      <c r="I157" s="12">
        <f>IF(ISBLANK(H157),"",IF(H157&gt;=20,"Critical",IF(H157&gt;=15,"High",IF(H157&gt;=8,"Medium","Low"))))</f>
        <v/>
      </c>
    </row>
    <row r="158">
      <c r="B158">
        <f>IF(ISBLANK(A158),"",A158&amp;"-R"&amp;TEXT(COUNTIF($A$2:A158,A158),"00"))</f>
        <v/>
      </c>
      <c r="H158" s="15">
        <f>IF(OR(ISBLANK(F158),ISBLANK(G158)),"",VALUE(LEFT(F158,1))*VALUE(LEFT(G158,1)))</f>
        <v/>
      </c>
      <c r="I158" s="12">
        <f>IF(ISBLANK(H158),"",IF(H158&gt;=20,"Critical",IF(H158&gt;=15,"High",IF(H158&gt;=8,"Medium","Low"))))</f>
        <v/>
      </c>
    </row>
    <row r="159">
      <c r="B159">
        <f>IF(ISBLANK(A159),"",A159&amp;"-R"&amp;TEXT(COUNTIF($A$2:A159,A159),"00"))</f>
        <v/>
      </c>
      <c r="H159" s="15">
        <f>IF(OR(ISBLANK(F159),ISBLANK(G159)),"",VALUE(LEFT(F159,1))*VALUE(LEFT(G159,1)))</f>
        <v/>
      </c>
      <c r="I159" s="12">
        <f>IF(ISBLANK(H159),"",IF(H159&gt;=20,"Critical",IF(H159&gt;=15,"High",IF(H159&gt;=8,"Medium","Low"))))</f>
        <v/>
      </c>
    </row>
    <row r="160">
      <c r="B160">
        <f>IF(ISBLANK(A160),"",A160&amp;"-R"&amp;TEXT(COUNTIF($A$2:A160,A160),"00"))</f>
        <v/>
      </c>
      <c r="H160" s="15">
        <f>IF(OR(ISBLANK(F160),ISBLANK(G160)),"",VALUE(LEFT(F160,1))*VALUE(LEFT(G160,1)))</f>
        <v/>
      </c>
      <c r="I160" s="12">
        <f>IF(ISBLANK(H160),"",IF(H160&gt;=20,"Critical",IF(H160&gt;=15,"High",IF(H160&gt;=8,"Medium","Low"))))</f>
        <v/>
      </c>
    </row>
    <row r="161">
      <c r="B161">
        <f>IF(ISBLANK(A161),"",A161&amp;"-R"&amp;TEXT(COUNTIF($A$2:A161,A161),"00"))</f>
        <v/>
      </c>
      <c r="H161" s="15">
        <f>IF(OR(ISBLANK(F161),ISBLANK(G161)),"",VALUE(LEFT(F161,1))*VALUE(LEFT(G161,1)))</f>
        <v/>
      </c>
      <c r="I161" s="12">
        <f>IF(ISBLANK(H161),"",IF(H161&gt;=20,"Critical",IF(H161&gt;=15,"High",IF(H161&gt;=8,"Medium","Low"))))</f>
        <v/>
      </c>
    </row>
    <row r="162">
      <c r="B162">
        <f>IF(ISBLANK(A162),"",A162&amp;"-R"&amp;TEXT(COUNTIF($A$2:A162,A162),"00"))</f>
        <v/>
      </c>
      <c r="H162" s="15">
        <f>IF(OR(ISBLANK(F162),ISBLANK(G162)),"",VALUE(LEFT(F162,1))*VALUE(LEFT(G162,1)))</f>
        <v/>
      </c>
      <c r="I162" s="12">
        <f>IF(ISBLANK(H162),"",IF(H162&gt;=20,"Critical",IF(H162&gt;=15,"High",IF(H162&gt;=8,"Medium","Low"))))</f>
        <v/>
      </c>
    </row>
    <row r="163">
      <c r="B163">
        <f>IF(ISBLANK(A163),"",A163&amp;"-R"&amp;TEXT(COUNTIF($A$2:A163,A163),"00"))</f>
        <v/>
      </c>
      <c r="H163" s="15">
        <f>IF(OR(ISBLANK(F163),ISBLANK(G163)),"",VALUE(LEFT(F163,1))*VALUE(LEFT(G163,1)))</f>
        <v/>
      </c>
      <c r="I163" s="12">
        <f>IF(ISBLANK(H163),"",IF(H163&gt;=20,"Critical",IF(H163&gt;=15,"High",IF(H163&gt;=8,"Medium","Low"))))</f>
        <v/>
      </c>
    </row>
    <row r="164">
      <c r="B164">
        <f>IF(ISBLANK(A164),"",A164&amp;"-R"&amp;TEXT(COUNTIF($A$2:A164,A164),"00"))</f>
        <v/>
      </c>
      <c r="H164" s="15">
        <f>IF(OR(ISBLANK(F164),ISBLANK(G164)),"",VALUE(LEFT(F164,1))*VALUE(LEFT(G164,1)))</f>
        <v/>
      </c>
      <c r="I164" s="12">
        <f>IF(ISBLANK(H164),"",IF(H164&gt;=20,"Critical",IF(H164&gt;=15,"High",IF(H164&gt;=8,"Medium","Low"))))</f>
        <v/>
      </c>
    </row>
    <row r="165">
      <c r="B165">
        <f>IF(ISBLANK(A165),"",A165&amp;"-R"&amp;TEXT(COUNTIF($A$2:A165,A165),"00"))</f>
        <v/>
      </c>
      <c r="H165" s="15">
        <f>IF(OR(ISBLANK(F165),ISBLANK(G165)),"",VALUE(LEFT(F165,1))*VALUE(LEFT(G165,1)))</f>
        <v/>
      </c>
      <c r="I165" s="12">
        <f>IF(ISBLANK(H165),"",IF(H165&gt;=20,"Critical",IF(H165&gt;=15,"High",IF(H165&gt;=8,"Medium","Low"))))</f>
        <v/>
      </c>
    </row>
    <row r="166">
      <c r="B166">
        <f>IF(ISBLANK(A166),"",A166&amp;"-R"&amp;TEXT(COUNTIF($A$2:A166,A166),"00"))</f>
        <v/>
      </c>
      <c r="H166" s="15">
        <f>IF(OR(ISBLANK(F166),ISBLANK(G166)),"",VALUE(LEFT(F166,1))*VALUE(LEFT(G166,1)))</f>
        <v/>
      </c>
      <c r="I166" s="12">
        <f>IF(ISBLANK(H166),"",IF(H166&gt;=20,"Critical",IF(H166&gt;=15,"High",IF(H166&gt;=8,"Medium","Low"))))</f>
        <v/>
      </c>
    </row>
    <row r="167">
      <c r="B167">
        <f>IF(ISBLANK(A167),"",A167&amp;"-R"&amp;TEXT(COUNTIF($A$2:A167,A167),"00"))</f>
        <v/>
      </c>
      <c r="H167" s="15">
        <f>IF(OR(ISBLANK(F167),ISBLANK(G167)),"",VALUE(LEFT(F167,1))*VALUE(LEFT(G167,1)))</f>
        <v/>
      </c>
      <c r="I167" s="12">
        <f>IF(ISBLANK(H167),"",IF(H167&gt;=20,"Critical",IF(H167&gt;=15,"High",IF(H167&gt;=8,"Medium","Low"))))</f>
        <v/>
      </c>
    </row>
    <row r="168">
      <c r="B168">
        <f>IF(ISBLANK(A168),"",A168&amp;"-R"&amp;TEXT(COUNTIF($A$2:A168,A168),"00"))</f>
        <v/>
      </c>
      <c r="H168" s="15">
        <f>IF(OR(ISBLANK(F168),ISBLANK(G168)),"",VALUE(LEFT(F168,1))*VALUE(LEFT(G168,1)))</f>
        <v/>
      </c>
      <c r="I168" s="12">
        <f>IF(ISBLANK(H168),"",IF(H168&gt;=20,"Critical",IF(H168&gt;=15,"High",IF(H168&gt;=8,"Medium","Low"))))</f>
        <v/>
      </c>
    </row>
    <row r="169">
      <c r="B169">
        <f>IF(ISBLANK(A169),"",A169&amp;"-R"&amp;TEXT(COUNTIF($A$2:A169,A169),"00"))</f>
        <v/>
      </c>
      <c r="H169" s="15">
        <f>IF(OR(ISBLANK(F169),ISBLANK(G169)),"",VALUE(LEFT(F169,1))*VALUE(LEFT(G169,1)))</f>
        <v/>
      </c>
      <c r="I169" s="12">
        <f>IF(ISBLANK(H169),"",IF(H169&gt;=20,"Critical",IF(H169&gt;=15,"High",IF(H169&gt;=8,"Medium","Low"))))</f>
        <v/>
      </c>
    </row>
    <row r="170">
      <c r="B170">
        <f>IF(ISBLANK(A170),"",A170&amp;"-R"&amp;TEXT(COUNTIF($A$2:A170,A170),"00"))</f>
        <v/>
      </c>
      <c r="H170" s="15">
        <f>IF(OR(ISBLANK(F170),ISBLANK(G170)),"",VALUE(LEFT(F170,1))*VALUE(LEFT(G170,1)))</f>
        <v/>
      </c>
      <c r="I170" s="12">
        <f>IF(ISBLANK(H170),"",IF(H170&gt;=20,"Critical",IF(H170&gt;=15,"High",IF(H170&gt;=8,"Medium","Low"))))</f>
        <v/>
      </c>
    </row>
    <row r="171">
      <c r="B171">
        <f>IF(ISBLANK(A171),"",A171&amp;"-R"&amp;TEXT(COUNTIF($A$2:A171,A171),"00"))</f>
        <v/>
      </c>
      <c r="H171" s="15">
        <f>IF(OR(ISBLANK(F171),ISBLANK(G171)),"",VALUE(LEFT(F171,1))*VALUE(LEFT(G171,1)))</f>
        <v/>
      </c>
      <c r="I171" s="12">
        <f>IF(ISBLANK(H171),"",IF(H171&gt;=20,"Critical",IF(H171&gt;=15,"High",IF(H171&gt;=8,"Medium","Low"))))</f>
        <v/>
      </c>
    </row>
    <row r="172">
      <c r="B172">
        <f>IF(ISBLANK(A172),"",A172&amp;"-R"&amp;TEXT(COUNTIF($A$2:A172,A172),"00"))</f>
        <v/>
      </c>
      <c r="H172" s="15">
        <f>IF(OR(ISBLANK(F172),ISBLANK(G172)),"",VALUE(LEFT(F172,1))*VALUE(LEFT(G172,1)))</f>
        <v/>
      </c>
      <c r="I172" s="12">
        <f>IF(ISBLANK(H172),"",IF(H172&gt;=20,"Critical",IF(H172&gt;=15,"High",IF(H172&gt;=8,"Medium","Low"))))</f>
        <v/>
      </c>
    </row>
    <row r="173">
      <c r="B173">
        <f>IF(ISBLANK(A173),"",A173&amp;"-R"&amp;TEXT(COUNTIF($A$2:A173,A173),"00"))</f>
        <v/>
      </c>
      <c r="H173" s="15">
        <f>IF(OR(ISBLANK(F173),ISBLANK(G173)),"",VALUE(LEFT(F173,1))*VALUE(LEFT(G173,1)))</f>
        <v/>
      </c>
      <c r="I173" s="12">
        <f>IF(ISBLANK(H173),"",IF(H173&gt;=20,"Critical",IF(H173&gt;=15,"High",IF(H173&gt;=8,"Medium","Low"))))</f>
        <v/>
      </c>
    </row>
    <row r="174">
      <c r="B174">
        <f>IF(ISBLANK(A174),"",A174&amp;"-R"&amp;TEXT(COUNTIF($A$2:A174,A174),"00"))</f>
        <v/>
      </c>
      <c r="H174" s="15">
        <f>IF(OR(ISBLANK(F174),ISBLANK(G174)),"",VALUE(LEFT(F174,1))*VALUE(LEFT(G174,1)))</f>
        <v/>
      </c>
      <c r="I174" s="12">
        <f>IF(ISBLANK(H174),"",IF(H174&gt;=20,"Critical",IF(H174&gt;=15,"High",IF(H174&gt;=8,"Medium","Low"))))</f>
        <v/>
      </c>
    </row>
    <row r="175">
      <c r="B175">
        <f>IF(ISBLANK(A175),"",A175&amp;"-R"&amp;TEXT(COUNTIF($A$2:A175,A175),"00"))</f>
        <v/>
      </c>
      <c r="H175" s="15">
        <f>IF(OR(ISBLANK(F175),ISBLANK(G175)),"",VALUE(LEFT(F175,1))*VALUE(LEFT(G175,1)))</f>
        <v/>
      </c>
      <c r="I175" s="12">
        <f>IF(ISBLANK(H175),"",IF(H175&gt;=20,"Critical",IF(H175&gt;=15,"High",IF(H175&gt;=8,"Medium","Low"))))</f>
        <v/>
      </c>
    </row>
    <row r="176">
      <c r="B176">
        <f>IF(ISBLANK(A176),"",A176&amp;"-R"&amp;TEXT(COUNTIF($A$2:A176,A176),"00"))</f>
        <v/>
      </c>
      <c r="H176" s="15">
        <f>IF(OR(ISBLANK(F176),ISBLANK(G176)),"",VALUE(LEFT(F176,1))*VALUE(LEFT(G176,1)))</f>
        <v/>
      </c>
      <c r="I176" s="12">
        <f>IF(ISBLANK(H176),"",IF(H176&gt;=20,"Critical",IF(H176&gt;=15,"High",IF(H176&gt;=8,"Medium","Low"))))</f>
        <v/>
      </c>
    </row>
    <row r="177">
      <c r="B177">
        <f>IF(ISBLANK(A177),"",A177&amp;"-R"&amp;TEXT(COUNTIF($A$2:A177,A177),"00"))</f>
        <v/>
      </c>
      <c r="H177" s="15">
        <f>IF(OR(ISBLANK(F177),ISBLANK(G177)),"",VALUE(LEFT(F177,1))*VALUE(LEFT(G177,1)))</f>
        <v/>
      </c>
      <c r="I177" s="12">
        <f>IF(ISBLANK(H177),"",IF(H177&gt;=20,"Critical",IF(H177&gt;=15,"High",IF(H177&gt;=8,"Medium","Low"))))</f>
        <v/>
      </c>
    </row>
    <row r="178">
      <c r="B178">
        <f>IF(ISBLANK(A178),"",A178&amp;"-R"&amp;TEXT(COUNTIF($A$2:A178,A178),"00"))</f>
        <v/>
      </c>
      <c r="H178" s="15">
        <f>IF(OR(ISBLANK(F178),ISBLANK(G178)),"",VALUE(LEFT(F178,1))*VALUE(LEFT(G178,1)))</f>
        <v/>
      </c>
      <c r="I178" s="12">
        <f>IF(ISBLANK(H178),"",IF(H178&gt;=20,"Critical",IF(H178&gt;=15,"High",IF(H178&gt;=8,"Medium","Low"))))</f>
        <v/>
      </c>
    </row>
    <row r="179">
      <c r="B179">
        <f>IF(ISBLANK(A179),"",A179&amp;"-R"&amp;TEXT(COUNTIF($A$2:A179,A179),"00"))</f>
        <v/>
      </c>
      <c r="H179" s="15">
        <f>IF(OR(ISBLANK(F179),ISBLANK(G179)),"",VALUE(LEFT(F179,1))*VALUE(LEFT(G179,1)))</f>
        <v/>
      </c>
      <c r="I179" s="12">
        <f>IF(ISBLANK(H179),"",IF(H179&gt;=20,"Critical",IF(H179&gt;=15,"High",IF(H179&gt;=8,"Medium","Low"))))</f>
        <v/>
      </c>
    </row>
    <row r="180">
      <c r="B180">
        <f>IF(ISBLANK(A180),"",A180&amp;"-R"&amp;TEXT(COUNTIF($A$2:A180,A180),"00"))</f>
        <v/>
      </c>
      <c r="H180" s="15">
        <f>IF(OR(ISBLANK(F180),ISBLANK(G180)),"",VALUE(LEFT(F180,1))*VALUE(LEFT(G180,1)))</f>
        <v/>
      </c>
      <c r="I180" s="12">
        <f>IF(ISBLANK(H180),"",IF(H180&gt;=20,"Critical",IF(H180&gt;=15,"High",IF(H180&gt;=8,"Medium","Low"))))</f>
        <v/>
      </c>
    </row>
    <row r="181">
      <c r="B181">
        <f>IF(ISBLANK(A181),"",A181&amp;"-R"&amp;TEXT(COUNTIF($A$2:A181,A181),"00"))</f>
        <v/>
      </c>
      <c r="H181" s="15">
        <f>IF(OR(ISBLANK(F181),ISBLANK(G181)),"",VALUE(LEFT(F181,1))*VALUE(LEFT(G181,1)))</f>
        <v/>
      </c>
      <c r="I181" s="12">
        <f>IF(ISBLANK(H181),"",IF(H181&gt;=20,"Critical",IF(H181&gt;=15,"High",IF(H181&gt;=8,"Medium","Low"))))</f>
        <v/>
      </c>
    </row>
    <row r="182">
      <c r="B182">
        <f>IF(ISBLANK(A182),"",A182&amp;"-R"&amp;TEXT(COUNTIF($A$2:A182,A182),"00"))</f>
        <v/>
      </c>
      <c r="H182" s="15">
        <f>IF(OR(ISBLANK(F182),ISBLANK(G182)),"",VALUE(LEFT(F182,1))*VALUE(LEFT(G182,1)))</f>
        <v/>
      </c>
      <c r="I182" s="12">
        <f>IF(ISBLANK(H182),"",IF(H182&gt;=20,"Critical",IF(H182&gt;=15,"High",IF(H182&gt;=8,"Medium","Low"))))</f>
        <v/>
      </c>
    </row>
    <row r="183">
      <c r="B183">
        <f>IF(ISBLANK(A183),"",A183&amp;"-R"&amp;TEXT(COUNTIF($A$2:A183,A183),"00"))</f>
        <v/>
      </c>
      <c r="H183" s="15">
        <f>IF(OR(ISBLANK(F183),ISBLANK(G183)),"",VALUE(LEFT(F183,1))*VALUE(LEFT(G183,1)))</f>
        <v/>
      </c>
      <c r="I183" s="12">
        <f>IF(ISBLANK(H183),"",IF(H183&gt;=20,"Critical",IF(H183&gt;=15,"High",IF(H183&gt;=8,"Medium","Low"))))</f>
        <v/>
      </c>
    </row>
    <row r="184">
      <c r="B184">
        <f>IF(ISBLANK(A184),"",A184&amp;"-R"&amp;TEXT(COUNTIF($A$2:A184,A184),"00"))</f>
        <v/>
      </c>
      <c r="H184" s="15">
        <f>IF(OR(ISBLANK(F184),ISBLANK(G184)),"",VALUE(LEFT(F184,1))*VALUE(LEFT(G184,1)))</f>
        <v/>
      </c>
      <c r="I184" s="12">
        <f>IF(ISBLANK(H184),"",IF(H184&gt;=20,"Critical",IF(H184&gt;=15,"High",IF(H184&gt;=8,"Medium","Low"))))</f>
        <v/>
      </c>
    </row>
    <row r="185">
      <c r="B185">
        <f>IF(ISBLANK(A185),"",A185&amp;"-R"&amp;TEXT(COUNTIF($A$2:A185,A185),"00"))</f>
        <v/>
      </c>
      <c r="H185" s="15">
        <f>IF(OR(ISBLANK(F185),ISBLANK(G185)),"",VALUE(LEFT(F185,1))*VALUE(LEFT(G185,1)))</f>
        <v/>
      </c>
      <c r="I185" s="12">
        <f>IF(ISBLANK(H185),"",IF(H185&gt;=20,"Critical",IF(H185&gt;=15,"High",IF(H185&gt;=8,"Medium","Low"))))</f>
        <v/>
      </c>
    </row>
    <row r="186">
      <c r="B186">
        <f>IF(ISBLANK(A186),"",A186&amp;"-R"&amp;TEXT(COUNTIF($A$2:A186,A186),"00"))</f>
        <v/>
      </c>
      <c r="H186" s="15">
        <f>IF(OR(ISBLANK(F186),ISBLANK(G186)),"",VALUE(LEFT(F186,1))*VALUE(LEFT(G186,1)))</f>
        <v/>
      </c>
      <c r="I186" s="12">
        <f>IF(ISBLANK(H186),"",IF(H186&gt;=20,"Critical",IF(H186&gt;=15,"High",IF(H186&gt;=8,"Medium","Low"))))</f>
        <v/>
      </c>
    </row>
    <row r="187">
      <c r="B187">
        <f>IF(ISBLANK(A187),"",A187&amp;"-R"&amp;TEXT(COUNTIF($A$2:A187,A187),"00"))</f>
        <v/>
      </c>
      <c r="H187" s="15">
        <f>IF(OR(ISBLANK(F187),ISBLANK(G187)),"",VALUE(LEFT(F187,1))*VALUE(LEFT(G187,1)))</f>
        <v/>
      </c>
      <c r="I187" s="12">
        <f>IF(ISBLANK(H187),"",IF(H187&gt;=20,"Critical",IF(H187&gt;=15,"High",IF(H187&gt;=8,"Medium","Low"))))</f>
        <v/>
      </c>
    </row>
    <row r="188">
      <c r="B188">
        <f>IF(ISBLANK(A188),"",A188&amp;"-R"&amp;TEXT(COUNTIF($A$2:A188,A188),"00"))</f>
        <v/>
      </c>
      <c r="H188" s="15">
        <f>IF(OR(ISBLANK(F188),ISBLANK(G188)),"",VALUE(LEFT(F188,1))*VALUE(LEFT(G188,1)))</f>
        <v/>
      </c>
      <c r="I188" s="12">
        <f>IF(ISBLANK(H188),"",IF(H188&gt;=20,"Critical",IF(H188&gt;=15,"High",IF(H188&gt;=8,"Medium","Low"))))</f>
        <v/>
      </c>
    </row>
    <row r="189">
      <c r="B189">
        <f>IF(ISBLANK(A189),"",A189&amp;"-R"&amp;TEXT(COUNTIF($A$2:A189,A189),"00"))</f>
        <v/>
      </c>
      <c r="H189" s="15">
        <f>IF(OR(ISBLANK(F189),ISBLANK(G189)),"",VALUE(LEFT(F189,1))*VALUE(LEFT(G189,1)))</f>
        <v/>
      </c>
      <c r="I189" s="12">
        <f>IF(ISBLANK(H189),"",IF(H189&gt;=20,"Critical",IF(H189&gt;=15,"High",IF(H189&gt;=8,"Medium","Low"))))</f>
        <v/>
      </c>
    </row>
    <row r="190">
      <c r="B190">
        <f>IF(ISBLANK(A190),"",A190&amp;"-R"&amp;TEXT(COUNTIF($A$2:A190,A190),"00"))</f>
        <v/>
      </c>
      <c r="H190" s="15">
        <f>IF(OR(ISBLANK(F190),ISBLANK(G190)),"",VALUE(LEFT(F190,1))*VALUE(LEFT(G190,1)))</f>
        <v/>
      </c>
      <c r="I190" s="12">
        <f>IF(ISBLANK(H190),"",IF(H190&gt;=20,"Critical",IF(H190&gt;=15,"High",IF(H190&gt;=8,"Medium","Low"))))</f>
        <v/>
      </c>
    </row>
    <row r="191">
      <c r="B191">
        <f>IF(ISBLANK(A191),"",A191&amp;"-R"&amp;TEXT(COUNTIF($A$2:A191,A191),"00"))</f>
        <v/>
      </c>
      <c r="H191" s="15">
        <f>IF(OR(ISBLANK(F191),ISBLANK(G191)),"",VALUE(LEFT(F191,1))*VALUE(LEFT(G191,1)))</f>
        <v/>
      </c>
      <c r="I191" s="12">
        <f>IF(ISBLANK(H191),"",IF(H191&gt;=20,"Critical",IF(H191&gt;=15,"High",IF(H191&gt;=8,"Medium","Low"))))</f>
        <v/>
      </c>
    </row>
    <row r="192">
      <c r="B192">
        <f>IF(ISBLANK(A192),"",A192&amp;"-R"&amp;TEXT(COUNTIF($A$2:A192,A192),"00"))</f>
        <v/>
      </c>
      <c r="H192" s="15">
        <f>IF(OR(ISBLANK(F192),ISBLANK(G192)),"",VALUE(LEFT(F192,1))*VALUE(LEFT(G192,1)))</f>
        <v/>
      </c>
      <c r="I192" s="12">
        <f>IF(ISBLANK(H192),"",IF(H192&gt;=20,"Critical",IF(H192&gt;=15,"High",IF(H192&gt;=8,"Medium","Low"))))</f>
        <v/>
      </c>
    </row>
    <row r="193">
      <c r="B193">
        <f>IF(ISBLANK(A193),"",A193&amp;"-R"&amp;TEXT(COUNTIF($A$2:A193,A193),"00"))</f>
        <v/>
      </c>
      <c r="H193" s="15">
        <f>IF(OR(ISBLANK(F193),ISBLANK(G193)),"",VALUE(LEFT(F193,1))*VALUE(LEFT(G193,1)))</f>
        <v/>
      </c>
      <c r="I193" s="12">
        <f>IF(ISBLANK(H193),"",IF(H193&gt;=20,"Critical",IF(H193&gt;=15,"High",IF(H193&gt;=8,"Medium","Low"))))</f>
        <v/>
      </c>
    </row>
    <row r="194">
      <c r="B194">
        <f>IF(ISBLANK(A194),"",A194&amp;"-R"&amp;TEXT(COUNTIF($A$2:A194,A194),"00"))</f>
        <v/>
      </c>
      <c r="H194" s="15">
        <f>IF(OR(ISBLANK(F194),ISBLANK(G194)),"",VALUE(LEFT(F194,1))*VALUE(LEFT(G194,1)))</f>
        <v/>
      </c>
      <c r="I194" s="12">
        <f>IF(ISBLANK(H194),"",IF(H194&gt;=20,"Critical",IF(H194&gt;=15,"High",IF(H194&gt;=8,"Medium","Low"))))</f>
        <v/>
      </c>
    </row>
    <row r="195">
      <c r="B195">
        <f>IF(ISBLANK(A195),"",A195&amp;"-R"&amp;TEXT(COUNTIF($A$2:A195,A195),"00"))</f>
        <v/>
      </c>
      <c r="H195" s="15">
        <f>IF(OR(ISBLANK(F195),ISBLANK(G195)),"",VALUE(LEFT(F195,1))*VALUE(LEFT(G195,1)))</f>
        <v/>
      </c>
      <c r="I195" s="12">
        <f>IF(ISBLANK(H195),"",IF(H195&gt;=20,"Critical",IF(H195&gt;=15,"High",IF(H195&gt;=8,"Medium","Low"))))</f>
        <v/>
      </c>
    </row>
    <row r="196">
      <c r="B196">
        <f>IF(ISBLANK(A196),"",A196&amp;"-R"&amp;TEXT(COUNTIF($A$2:A196,A196),"00"))</f>
        <v/>
      </c>
      <c r="H196" s="15">
        <f>IF(OR(ISBLANK(F196),ISBLANK(G196)),"",VALUE(LEFT(F196,1))*VALUE(LEFT(G196,1)))</f>
        <v/>
      </c>
      <c r="I196" s="12">
        <f>IF(ISBLANK(H196),"",IF(H196&gt;=20,"Critical",IF(H196&gt;=15,"High",IF(H196&gt;=8,"Medium","Low"))))</f>
        <v/>
      </c>
    </row>
    <row r="197">
      <c r="B197">
        <f>IF(ISBLANK(A197),"",A197&amp;"-R"&amp;TEXT(COUNTIF($A$2:A197,A197),"00"))</f>
        <v/>
      </c>
      <c r="H197" s="15">
        <f>IF(OR(ISBLANK(F197),ISBLANK(G197)),"",VALUE(LEFT(F197,1))*VALUE(LEFT(G197,1)))</f>
        <v/>
      </c>
      <c r="I197" s="12">
        <f>IF(ISBLANK(H197),"",IF(H197&gt;=20,"Critical",IF(H197&gt;=15,"High",IF(H197&gt;=8,"Medium","Low"))))</f>
        <v/>
      </c>
    </row>
    <row r="198">
      <c r="B198">
        <f>IF(ISBLANK(A198),"",A198&amp;"-R"&amp;TEXT(COUNTIF($A$2:A198,A198),"00"))</f>
        <v/>
      </c>
      <c r="H198" s="15">
        <f>IF(OR(ISBLANK(F198),ISBLANK(G198)),"",VALUE(LEFT(F198,1))*VALUE(LEFT(G198,1)))</f>
        <v/>
      </c>
      <c r="I198" s="12">
        <f>IF(ISBLANK(H198),"",IF(H198&gt;=20,"Critical",IF(H198&gt;=15,"High",IF(H198&gt;=8,"Medium","Low"))))</f>
        <v/>
      </c>
    </row>
    <row r="199">
      <c r="B199">
        <f>IF(ISBLANK(A199),"",A199&amp;"-R"&amp;TEXT(COUNTIF($A$2:A199,A199),"00"))</f>
        <v/>
      </c>
      <c r="H199" s="15">
        <f>IF(OR(ISBLANK(F199),ISBLANK(G199)),"",VALUE(LEFT(F199,1))*VALUE(LEFT(G199,1)))</f>
        <v/>
      </c>
      <c r="I199" s="12">
        <f>IF(ISBLANK(H199),"",IF(H199&gt;=20,"Critical",IF(H199&gt;=15,"High",IF(H199&gt;=8,"Medium","Low"))))</f>
        <v/>
      </c>
    </row>
    <row r="200">
      <c r="B200">
        <f>IF(ISBLANK(A200),"",A200&amp;"-R"&amp;TEXT(COUNTIF($A$2:A200,A200),"00"))</f>
        <v/>
      </c>
      <c r="H200" s="15">
        <f>IF(OR(ISBLANK(F200),ISBLANK(G200)),"",VALUE(LEFT(F200,1))*VALUE(LEFT(G200,1)))</f>
        <v/>
      </c>
      <c r="I200" s="12">
        <f>IF(ISBLANK(H200),"",IF(H200&gt;=20,"Critical",IF(H200&gt;=15,"High",IF(H200&gt;=8,"Medium","Low"))))</f>
        <v/>
      </c>
    </row>
    <row r="201">
      <c r="B201">
        <f>IF(ISBLANK(A201),"",A201&amp;"-R"&amp;TEXT(COUNTIF($A$2:A201,A201),"00"))</f>
        <v/>
      </c>
      <c r="H201" s="15">
        <f>IF(OR(ISBLANK(F201),ISBLANK(G201)),"",VALUE(LEFT(F201,1))*VALUE(LEFT(G201,1)))</f>
        <v/>
      </c>
      <c r="I201" s="12">
        <f>IF(ISBLANK(H201),"",IF(H201&gt;=20,"Critical",IF(H201&gt;=15,"High",IF(H201&gt;=8,"Medium","Low"))))</f>
        <v/>
      </c>
    </row>
    <row r="202">
      <c r="B202">
        <f>IF(ISBLANK(A202),"",A202&amp;"-R"&amp;TEXT(COUNTIF($A$2:A202,A202),"00"))</f>
        <v/>
      </c>
      <c r="H202" s="15">
        <f>IF(OR(ISBLANK(F202),ISBLANK(G202)),"",VALUE(LEFT(F202,1))*VALUE(LEFT(G202,1)))</f>
        <v/>
      </c>
      <c r="I202" s="12">
        <f>IF(ISBLANK(H202),"",IF(H202&gt;=20,"Critical",IF(H202&gt;=15,"High",IF(H202&gt;=8,"Medium","Low"))))</f>
        <v/>
      </c>
    </row>
    <row r="203">
      <c r="B203">
        <f>IF(ISBLANK(A203),"",A203&amp;"-R"&amp;TEXT(COUNTIF($A$2:A203,A203),"00"))</f>
        <v/>
      </c>
      <c r="H203" s="15">
        <f>IF(OR(ISBLANK(F203),ISBLANK(G203)),"",VALUE(LEFT(F203,1))*VALUE(LEFT(G203,1)))</f>
        <v/>
      </c>
      <c r="I203" s="12">
        <f>IF(ISBLANK(H203),"",IF(H203&gt;=20,"Critical",IF(H203&gt;=15,"High",IF(H203&gt;=8,"Medium","Low"))))</f>
        <v/>
      </c>
    </row>
    <row r="204">
      <c r="B204">
        <f>IF(ISBLANK(A204),"",A204&amp;"-R"&amp;TEXT(COUNTIF($A$2:A204,A204),"00"))</f>
        <v/>
      </c>
      <c r="H204" s="15">
        <f>IF(OR(ISBLANK(F204),ISBLANK(G204)),"",VALUE(LEFT(F204,1))*VALUE(LEFT(G204,1)))</f>
        <v/>
      </c>
      <c r="I204" s="12">
        <f>IF(ISBLANK(H204),"",IF(H204&gt;=20,"Critical",IF(H204&gt;=15,"High",IF(H204&gt;=8,"Medium","Low"))))</f>
        <v/>
      </c>
    </row>
    <row r="205">
      <c r="B205">
        <f>IF(ISBLANK(A205),"",A205&amp;"-R"&amp;TEXT(COUNTIF($A$2:A205,A205),"00"))</f>
        <v/>
      </c>
      <c r="H205" s="15">
        <f>IF(OR(ISBLANK(F205),ISBLANK(G205)),"",VALUE(LEFT(F205,1))*VALUE(LEFT(G205,1)))</f>
        <v/>
      </c>
      <c r="I205" s="12">
        <f>IF(ISBLANK(H205),"",IF(H205&gt;=20,"Critical",IF(H205&gt;=15,"High",IF(H205&gt;=8,"Medium","Low"))))</f>
        <v/>
      </c>
    </row>
    <row r="206">
      <c r="B206">
        <f>IF(ISBLANK(A206),"",A206&amp;"-R"&amp;TEXT(COUNTIF($A$2:A206,A206),"00"))</f>
        <v/>
      </c>
      <c r="H206" s="15">
        <f>IF(OR(ISBLANK(F206),ISBLANK(G206)),"",VALUE(LEFT(F206,1))*VALUE(LEFT(G206,1)))</f>
        <v/>
      </c>
      <c r="I206" s="12">
        <f>IF(ISBLANK(H206),"",IF(H206&gt;=20,"Critical",IF(H206&gt;=15,"High",IF(H206&gt;=8,"Medium","Low"))))</f>
        <v/>
      </c>
    </row>
    <row r="207">
      <c r="B207">
        <f>IF(ISBLANK(A207),"",A207&amp;"-R"&amp;TEXT(COUNTIF($A$2:A207,A207),"00"))</f>
        <v/>
      </c>
      <c r="H207" s="15">
        <f>IF(OR(ISBLANK(F207),ISBLANK(G207)),"",VALUE(LEFT(F207,1))*VALUE(LEFT(G207,1)))</f>
        <v/>
      </c>
      <c r="I207" s="12">
        <f>IF(ISBLANK(H207),"",IF(H207&gt;=20,"Critical",IF(H207&gt;=15,"High",IF(H207&gt;=8,"Medium","Low"))))</f>
        <v/>
      </c>
    </row>
    <row r="208">
      <c r="B208">
        <f>IF(ISBLANK(A208),"",A208&amp;"-R"&amp;TEXT(COUNTIF($A$2:A208,A208),"00"))</f>
        <v/>
      </c>
      <c r="H208" s="15">
        <f>IF(OR(ISBLANK(F208),ISBLANK(G208)),"",VALUE(LEFT(F208,1))*VALUE(LEFT(G208,1)))</f>
        <v/>
      </c>
      <c r="I208" s="12">
        <f>IF(ISBLANK(H208),"",IF(H208&gt;=20,"Critical",IF(H208&gt;=15,"High",IF(H208&gt;=8,"Medium","Low"))))</f>
        <v/>
      </c>
    </row>
    <row r="209">
      <c r="B209">
        <f>IF(ISBLANK(A209),"",A209&amp;"-R"&amp;TEXT(COUNTIF($A$2:A209,A209),"00"))</f>
        <v/>
      </c>
      <c r="H209" s="15">
        <f>IF(OR(ISBLANK(F209),ISBLANK(G209)),"",VALUE(LEFT(F209,1))*VALUE(LEFT(G209,1)))</f>
        <v/>
      </c>
      <c r="I209" s="12">
        <f>IF(ISBLANK(H209),"",IF(H209&gt;=20,"Critical",IF(H209&gt;=15,"High",IF(H209&gt;=8,"Medium","Low"))))</f>
        <v/>
      </c>
    </row>
    <row r="210">
      <c r="B210">
        <f>IF(ISBLANK(A210),"",A210&amp;"-R"&amp;TEXT(COUNTIF($A$2:A210,A210),"00"))</f>
        <v/>
      </c>
      <c r="H210" s="15">
        <f>IF(OR(ISBLANK(F210),ISBLANK(G210)),"",VALUE(LEFT(F210,1))*VALUE(LEFT(G210,1)))</f>
        <v/>
      </c>
      <c r="I210" s="12">
        <f>IF(ISBLANK(H210),"",IF(H210&gt;=20,"Critical",IF(H210&gt;=15,"High",IF(H210&gt;=8,"Medium","Low"))))</f>
        <v/>
      </c>
    </row>
    <row r="211">
      <c r="B211">
        <f>IF(ISBLANK(A211),"",A211&amp;"-R"&amp;TEXT(COUNTIF($A$2:A211,A211),"00"))</f>
        <v/>
      </c>
      <c r="H211" s="15">
        <f>IF(OR(ISBLANK(F211),ISBLANK(G211)),"",VALUE(LEFT(F211,1))*VALUE(LEFT(G211,1)))</f>
        <v/>
      </c>
      <c r="I211" s="12">
        <f>IF(ISBLANK(H211),"",IF(H211&gt;=20,"Critical",IF(H211&gt;=15,"High",IF(H211&gt;=8,"Medium","Low"))))</f>
        <v/>
      </c>
    </row>
    <row r="212">
      <c r="B212">
        <f>IF(ISBLANK(A212),"",A212&amp;"-R"&amp;TEXT(COUNTIF($A$2:A212,A212),"00"))</f>
        <v/>
      </c>
      <c r="H212" s="15">
        <f>IF(OR(ISBLANK(F212),ISBLANK(G212)),"",VALUE(LEFT(F212,1))*VALUE(LEFT(G212,1)))</f>
        <v/>
      </c>
      <c r="I212" s="12">
        <f>IF(ISBLANK(H212),"",IF(H212&gt;=20,"Critical",IF(H212&gt;=15,"High",IF(H212&gt;=8,"Medium","Low"))))</f>
        <v/>
      </c>
    </row>
    <row r="213">
      <c r="B213">
        <f>IF(ISBLANK(A213),"",A213&amp;"-R"&amp;TEXT(COUNTIF($A$2:A213,A213),"00"))</f>
        <v/>
      </c>
      <c r="H213" s="15">
        <f>IF(OR(ISBLANK(F213),ISBLANK(G213)),"",VALUE(LEFT(F213,1))*VALUE(LEFT(G213,1)))</f>
        <v/>
      </c>
      <c r="I213" s="12">
        <f>IF(ISBLANK(H213),"",IF(H213&gt;=20,"Critical",IF(H213&gt;=15,"High",IF(H213&gt;=8,"Medium","Low"))))</f>
        <v/>
      </c>
    </row>
    <row r="214">
      <c r="B214">
        <f>IF(ISBLANK(A214),"",A214&amp;"-R"&amp;TEXT(COUNTIF($A$2:A214,A214),"00"))</f>
        <v/>
      </c>
      <c r="H214" s="15">
        <f>IF(OR(ISBLANK(F214),ISBLANK(G214)),"",VALUE(LEFT(F214,1))*VALUE(LEFT(G214,1)))</f>
        <v/>
      </c>
      <c r="I214" s="12">
        <f>IF(ISBLANK(H214),"",IF(H214&gt;=20,"Critical",IF(H214&gt;=15,"High",IF(H214&gt;=8,"Medium","Low"))))</f>
        <v/>
      </c>
    </row>
    <row r="215">
      <c r="B215">
        <f>IF(ISBLANK(A215),"",A215&amp;"-R"&amp;TEXT(COUNTIF($A$2:A215,A215),"00"))</f>
        <v/>
      </c>
      <c r="H215" s="15">
        <f>IF(OR(ISBLANK(F215),ISBLANK(G215)),"",VALUE(LEFT(F215,1))*VALUE(LEFT(G215,1)))</f>
        <v/>
      </c>
      <c r="I215" s="12">
        <f>IF(ISBLANK(H215),"",IF(H215&gt;=20,"Critical",IF(H215&gt;=15,"High",IF(H215&gt;=8,"Medium","Low"))))</f>
        <v/>
      </c>
    </row>
    <row r="216">
      <c r="B216">
        <f>IF(ISBLANK(A216),"",A216&amp;"-R"&amp;TEXT(COUNTIF($A$2:A216,A216),"00"))</f>
        <v/>
      </c>
      <c r="H216" s="15">
        <f>IF(OR(ISBLANK(F216),ISBLANK(G216)),"",VALUE(LEFT(F216,1))*VALUE(LEFT(G216,1)))</f>
        <v/>
      </c>
      <c r="I216" s="12">
        <f>IF(ISBLANK(H216),"",IF(H216&gt;=20,"Critical",IF(H216&gt;=15,"High",IF(H216&gt;=8,"Medium","Low"))))</f>
        <v/>
      </c>
    </row>
    <row r="217">
      <c r="B217">
        <f>IF(ISBLANK(A217),"",A217&amp;"-R"&amp;TEXT(COUNTIF($A$2:A217,A217),"00"))</f>
        <v/>
      </c>
      <c r="H217" s="15">
        <f>IF(OR(ISBLANK(F217),ISBLANK(G217)),"",VALUE(LEFT(F217,1))*VALUE(LEFT(G217,1)))</f>
        <v/>
      </c>
      <c r="I217" s="12">
        <f>IF(ISBLANK(H217),"",IF(H217&gt;=20,"Critical",IF(H217&gt;=15,"High",IF(H217&gt;=8,"Medium","Low"))))</f>
        <v/>
      </c>
    </row>
    <row r="218">
      <c r="B218">
        <f>IF(ISBLANK(A218),"",A218&amp;"-R"&amp;TEXT(COUNTIF($A$2:A218,A218),"00"))</f>
        <v/>
      </c>
      <c r="H218" s="15">
        <f>IF(OR(ISBLANK(F218),ISBLANK(G218)),"",VALUE(LEFT(F218,1))*VALUE(LEFT(G218,1)))</f>
        <v/>
      </c>
      <c r="I218" s="12">
        <f>IF(ISBLANK(H218),"",IF(H218&gt;=20,"Critical",IF(H218&gt;=15,"High",IF(H218&gt;=8,"Medium","Low"))))</f>
        <v/>
      </c>
    </row>
    <row r="219">
      <c r="B219">
        <f>IF(ISBLANK(A219),"",A219&amp;"-R"&amp;TEXT(COUNTIF($A$2:A219,A219),"00"))</f>
        <v/>
      </c>
      <c r="H219" s="15">
        <f>IF(OR(ISBLANK(F219),ISBLANK(G219)),"",VALUE(LEFT(F219,1))*VALUE(LEFT(G219,1)))</f>
        <v/>
      </c>
      <c r="I219" s="12">
        <f>IF(ISBLANK(H219),"",IF(H219&gt;=20,"Critical",IF(H219&gt;=15,"High",IF(H219&gt;=8,"Medium","Low"))))</f>
        <v/>
      </c>
    </row>
    <row r="220">
      <c r="B220">
        <f>IF(ISBLANK(A220),"",A220&amp;"-R"&amp;TEXT(COUNTIF($A$2:A220,A220),"00"))</f>
        <v/>
      </c>
      <c r="H220" s="15">
        <f>IF(OR(ISBLANK(F220),ISBLANK(G220)),"",VALUE(LEFT(F220,1))*VALUE(LEFT(G220,1)))</f>
        <v/>
      </c>
      <c r="I220" s="12">
        <f>IF(ISBLANK(H220),"",IF(H220&gt;=20,"Critical",IF(H220&gt;=15,"High",IF(H220&gt;=8,"Medium","Low"))))</f>
        <v/>
      </c>
    </row>
    <row r="221">
      <c r="B221">
        <f>IF(ISBLANK(A221),"",A221&amp;"-R"&amp;TEXT(COUNTIF($A$2:A221,A221),"00"))</f>
        <v/>
      </c>
      <c r="H221" s="15">
        <f>IF(OR(ISBLANK(F221),ISBLANK(G221)),"",VALUE(LEFT(F221,1))*VALUE(LEFT(G221,1)))</f>
        <v/>
      </c>
      <c r="I221" s="12">
        <f>IF(ISBLANK(H221),"",IF(H221&gt;=20,"Critical",IF(H221&gt;=15,"High",IF(H221&gt;=8,"Medium","Low"))))</f>
        <v/>
      </c>
    </row>
    <row r="222">
      <c r="B222">
        <f>IF(ISBLANK(A222),"",A222&amp;"-R"&amp;TEXT(COUNTIF($A$2:A222,A222),"00"))</f>
        <v/>
      </c>
      <c r="H222" s="15">
        <f>IF(OR(ISBLANK(F222),ISBLANK(G222)),"",VALUE(LEFT(F222,1))*VALUE(LEFT(G222,1)))</f>
        <v/>
      </c>
      <c r="I222" s="12">
        <f>IF(ISBLANK(H222),"",IF(H222&gt;=20,"Critical",IF(H222&gt;=15,"High",IF(H222&gt;=8,"Medium","Low"))))</f>
        <v/>
      </c>
    </row>
    <row r="223">
      <c r="B223">
        <f>IF(ISBLANK(A223),"",A223&amp;"-R"&amp;TEXT(COUNTIF($A$2:A223,A223),"00"))</f>
        <v/>
      </c>
      <c r="H223" s="15">
        <f>IF(OR(ISBLANK(F223),ISBLANK(G223)),"",VALUE(LEFT(F223,1))*VALUE(LEFT(G223,1)))</f>
        <v/>
      </c>
      <c r="I223" s="12">
        <f>IF(ISBLANK(H223),"",IF(H223&gt;=20,"Critical",IF(H223&gt;=15,"High",IF(H223&gt;=8,"Medium","Low"))))</f>
        <v/>
      </c>
    </row>
    <row r="224">
      <c r="B224">
        <f>IF(ISBLANK(A224),"",A224&amp;"-R"&amp;TEXT(COUNTIF($A$2:A224,A224),"00"))</f>
        <v/>
      </c>
      <c r="H224" s="15">
        <f>IF(OR(ISBLANK(F224),ISBLANK(G224)),"",VALUE(LEFT(F224,1))*VALUE(LEFT(G224,1)))</f>
        <v/>
      </c>
      <c r="I224" s="12">
        <f>IF(ISBLANK(H224),"",IF(H224&gt;=20,"Critical",IF(H224&gt;=15,"High",IF(H224&gt;=8,"Medium","Low"))))</f>
        <v/>
      </c>
    </row>
    <row r="225">
      <c r="B225">
        <f>IF(ISBLANK(A225),"",A225&amp;"-R"&amp;TEXT(COUNTIF($A$2:A225,A225),"00"))</f>
        <v/>
      </c>
      <c r="H225" s="15">
        <f>IF(OR(ISBLANK(F225),ISBLANK(G225)),"",VALUE(LEFT(F225,1))*VALUE(LEFT(G225,1)))</f>
        <v/>
      </c>
      <c r="I225" s="12">
        <f>IF(ISBLANK(H225),"",IF(H225&gt;=20,"Critical",IF(H225&gt;=15,"High",IF(H225&gt;=8,"Medium","Low"))))</f>
        <v/>
      </c>
    </row>
    <row r="226">
      <c r="B226">
        <f>IF(ISBLANK(A226),"",A226&amp;"-R"&amp;TEXT(COUNTIF($A$2:A226,A226),"00"))</f>
        <v/>
      </c>
      <c r="H226" s="15">
        <f>IF(OR(ISBLANK(F226),ISBLANK(G226)),"",VALUE(LEFT(F226,1))*VALUE(LEFT(G226,1)))</f>
        <v/>
      </c>
      <c r="I226" s="12">
        <f>IF(ISBLANK(H226),"",IF(H226&gt;=20,"Critical",IF(H226&gt;=15,"High",IF(H226&gt;=8,"Medium","Low"))))</f>
        <v/>
      </c>
    </row>
    <row r="227">
      <c r="B227">
        <f>IF(ISBLANK(A227),"",A227&amp;"-R"&amp;TEXT(COUNTIF($A$2:A227,A227),"00"))</f>
        <v/>
      </c>
      <c r="H227" s="15">
        <f>IF(OR(ISBLANK(F227),ISBLANK(G227)),"",VALUE(LEFT(F227,1))*VALUE(LEFT(G227,1)))</f>
        <v/>
      </c>
      <c r="I227" s="12">
        <f>IF(ISBLANK(H227),"",IF(H227&gt;=20,"Critical",IF(H227&gt;=15,"High",IF(H227&gt;=8,"Medium","Low"))))</f>
        <v/>
      </c>
    </row>
    <row r="228">
      <c r="B228">
        <f>IF(ISBLANK(A228),"",A228&amp;"-R"&amp;TEXT(COUNTIF($A$2:A228,A228),"00"))</f>
        <v/>
      </c>
      <c r="H228" s="15">
        <f>IF(OR(ISBLANK(F228),ISBLANK(G228)),"",VALUE(LEFT(F228,1))*VALUE(LEFT(G228,1)))</f>
        <v/>
      </c>
      <c r="I228" s="12">
        <f>IF(ISBLANK(H228),"",IF(H228&gt;=20,"Critical",IF(H228&gt;=15,"High",IF(H228&gt;=8,"Medium","Low"))))</f>
        <v/>
      </c>
    </row>
    <row r="229">
      <c r="B229">
        <f>IF(ISBLANK(A229),"",A229&amp;"-R"&amp;TEXT(COUNTIF($A$2:A229,A229),"00"))</f>
        <v/>
      </c>
      <c r="H229" s="15">
        <f>IF(OR(ISBLANK(F229),ISBLANK(G229)),"",VALUE(LEFT(F229,1))*VALUE(LEFT(G229,1)))</f>
        <v/>
      </c>
      <c r="I229" s="12">
        <f>IF(ISBLANK(H229),"",IF(H229&gt;=20,"Critical",IF(H229&gt;=15,"High",IF(H229&gt;=8,"Medium","Low"))))</f>
        <v/>
      </c>
    </row>
    <row r="230">
      <c r="B230">
        <f>IF(ISBLANK(A230),"",A230&amp;"-R"&amp;TEXT(COUNTIF($A$2:A230,A230),"00"))</f>
        <v/>
      </c>
      <c r="H230" s="15">
        <f>IF(OR(ISBLANK(F230),ISBLANK(G230)),"",VALUE(LEFT(F230,1))*VALUE(LEFT(G230,1)))</f>
        <v/>
      </c>
      <c r="I230" s="12">
        <f>IF(ISBLANK(H230),"",IF(H230&gt;=20,"Critical",IF(H230&gt;=15,"High",IF(H230&gt;=8,"Medium","Low"))))</f>
        <v/>
      </c>
    </row>
    <row r="231">
      <c r="B231">
        <f>IF(ISBLANK(A231),"",A231&amp;"-R"&amp;TEXT(COUNTIF($A$2:A231,A231),"00"))</f>
        <v/>
      </c>
      <c r="H231" s="15">
        <f>IF(OR(ISBLANK(F231),ISBLANK(G231)),"",VALUE(LEFT(F231,1))*VALUE(LEFT(G231,1)))</f>
        <v/>
      </c>
      <c r="I231" s="12">
        <f>IF(ISBLANK(H231),"",IF(H231&gt;=20,"Critical",IF(H231&gt;=15,"High",IF(H231&gt;=8,"Medium","Low"))))</f>
        <v/>
      </c>
    </row>
    <row r="232">
      <c r="B232">
        <f>IF(ISBLANK(A232),"",A232&amp;"-R"&amp;TEXT(COUNTIF($A$2:A232,A232),"00"))</f>
        <v/>
      </c>
      <c r="H232" s="15">
        <f>IF(OR(ISBLANK(F232),ISBLANK(G232)),"",VALUE(LEFT(F232,1))*VALUE(LEFT(G232,1)))</f>
        <v/>
      </c>
      <c r="I232" s="12">
        <f>IF(ISBLANK(H232),"",IF(H232&gt;=20,"Critical",IF(H232&gt;=15,"High",IF(H232&gt;=8,"Medium","Low"))))</f>
        <v/>
      </c>
    </row>
    <row r="233">
      <c r="B233">
        <f>IF(ISBLANK(A233),"",A233&amp;"-R"&amp;TEXT(COUNTIF($A$2:A233,A233),"00"))</f>
        <v/>
      </c>
      <c r="H233" s="15">
        <f>IF(OR(ISBLANK(F233),ISBLANK(G233)),"",VALUE(LEFT(F233,1))*VALUE(LEFT(G233,1)))</f>
        <v/>
      </c>
      <c r="I233" s="12">
        <f>IF(ISBLANK(H233),"",IF(H233&gt;=20,"Critical",IF(H233&gt;=15,"High",IF(H233&gt;=8,"Medium","Low"))))</f>
        <v/>
      </c>
    </row>
    <row r="234">
      <c r="B234">
        <f>IF(ISBLANK(A234),"",A234&amp;"-R"&amp;TEXT(COUNTIF($A$2:A234,A234),"00"))</f>
        <v/>
      </c>
      <c r="H234" s="15">
        <f>IF(OR(ISBLANK(F234),ISBLANK(G234)),"",VALUE(LEFT(F234,1))*VALUE(LEFT(G234,1)))</f>
        <v/>
      </c>
      <c r="I234" s="12">
        <f>IF(ISBLANK(H234),"",IF(H234&gt;=20,"Critical",IF(H234&gt;=15,"High",IF(H234&gt;=8,"Medium","Low"))))</f>
        <v/>
      </c>
    </row>
    <row r="235">
      <c r="B235">
        <f>IF(ISBLANK(A235),"",A235&amp;"-R"&amp;TEXT(COUNTIF($A$2:A235,A235),"00"))</f>
        <v/>
      </c>
      <c r="H235" s="15">
        <f>IF(OR(ISBLANK(F235),ISBLANK(G235)),"",VALUE(LEFT(F235,1))*VALUE(LEFT(G235,1)))</f>
        <v/>
      </c>
      <c r="I235" s="12">
        <f>IF(ISBLANK(H235),"",IF(H235&gt;=20,"Critical",IF(H235&gt;=15,"High",IF(H235&gt;=8,"Medium","Low"))))</f>
        <v/>
      </c>
    </row>
    <row r="236">
      <c r="B236">
        <f>IF(ISBLANK(A236),"",A236&amp;"-R"&amp;TEXT(COUNTIF($A$2:A236,A236),"00"))</f>
        <v/>
      </c>
      <c r="H236" s="15">
        <f>IF(OR(ISBLANK(F236),ISBLANK(G236)),"",VALUE(LEFT(F236,1))*VALUE(LEFT(G236,1)))</f>
        <v/>
      </c>
      <c r="I236" s="12">
        <f>IF(ISBLANK(H236),"",IF(H236&gt;=20,"Critical",IF(H236&gt;=15,"High",IF(H236&gt;=8,"Medium","Low"))))</f>
        <v/>
      </c>
    </row>
    <row r="237">
      <c r="B237">
        <f>IF(ISBLANK(A237),"",A237&amp;"-R"&amp;TEXT(COUNTIF($A$2:A237,A237),"00"))</f>
        <v/>
      </c>
      <c r="H237" s="15">
        <f>IF(OR(ISBLANK(F237),ISBLANK(G237)),"",VALUE(LEFT(F237,1))*VALUE(LEFT(G237,1)))</f>
        <v/>
      </c>
      <c r="I237" s="12">
        <f>IF(ISBLANK(H237),"",IF(H237&gt;=20,"Critical",IF(H237&gt;=15,"High",IF(H237&gt;=8,"Medium","Low"))))</f>
        <v/>
      </c>
    </row>
    <row r="238">
      <c r="B238">
        <f>IF(ISBLANK(A238),"",A238&amp;"-R"&amp;TEXT(COUNTIF($A$2:A238,A238),"00"))</f>
        <v/>
      </c>
      <c r="H238" s="15">
        <f>IF(OR(ISBLANK(F238),ISBLANK(G238)),"",VALUE(LEFT(F238,1))*VALUE(LEFT(G238,1)))</f>
        <v/>
      </c>
      <c r="I238" s="12">
        <f>IF(ISBLANK(H238),"",IF(H238&gt;=20,"Critical",IF(H238&gt;=15,"High",IF(H238&gt;=8,"Medium","Low"))))</f>
        <v/>
      </c>
    </row>
    <row r="239">
      <c r="B239">
        <f>IF(ISBLANK(A239),"",A239&amp;"-R"&amp;TEXT(COUNTIF($A$2:A239,A239),"00"))</f>
        <v/>
      </c>
      <c r="H239" s="15">
        <f>IF(OR(ISBLANK(F239),ISBLANK(G239)),"",VALUE(LEFT(F239,1))*VALUE(LEFT(G239,1)))</f>
        <v/>
      </c>
      <c r="I239" s="12">
        <f>IF(ISBLANK(H239),"",IF(H239&gt;=20,"Critical",IF(H239&gt;=15,"High",IF(H239&gt;=8,"Medium","Low"))))</f>
        <v/>
      </c>
    </row>
    <row r="240">
      <c r="B240">
        <f>IF(ISBLANK(A240),"",A240&amp;"-R"&amp;TEXT(COUNTIF($A$2:A240,A240),"00"))</f>
        <v/>
      </c>
      <c r="H240" s="15">
        <f>IF(OR(ISBLANK(F240),ISBLANK(G240)),"",VALUE(LEFT(F240,1))*VALUE(LEFT(G240,1)))</f>
        <v/>
      </c>
      <c r="I240" s="12">
        <f>IF(ISBLANK(H240),"",IF(H240&gt;=20,"Critical",IF(H240&gt;=15,"High",IF(H240&gt;=8,"Medium","Low"))))</f>
        <v/>
      </c>
    </row>
    <row r="241">
      <c r="B241">
        <f>IF(ISBLANK(A241),"",A241&amp;"-R"&amp;TEXT(COUNTIF($A$2:A241,A241),"00"))</f>
        <v/>
      </c>
      <c r="H241" s="15">
        <f>IF(OR(ISBLANK(F241),ISBLANK(G241)),"",VALUE(LEFT(F241,1))*VALUE(LEFT(G241,1)))</f>
        <v/>
      </c>
      <c r="I241" s="12">
        <f>IF(ISBLANK(H241),"",IF(H241&gt;=20,"Critical",IF(H241&gt;=15,"High",IF(H241&gt;=8,"Medium","Low"))))</f>
        <v/>
      </c>
    </row>
    <row r="242">
      <c r="B242">
        <f>IF(ISBLANK(A242),"",A242&amp;"-R"&amp;TEXT(COUNTIF($A$2:A242,A242),"00"))</f>
        <v/>
      </c>
      <c r="H242" s="15">
        <f>IF(OR(ISBLANK(F242),ISBLANK(G242)),"",VALUE(LEFT(F242,1))*VALUE(LEFT(G242,1)))</f>
        <v/>
      </c>
      <c r="I242" s="12">
        <f>IF(ISBLANK(H242),"",IF(H242&gt;=20,"Critical",IF(H242&gt;=15,"High",IF(H242&gt;=8,"Medium","Low"))))</f>
        <v/>
      </c>
    </row>
    <row r="243">
      <c r="B243">
        <f>IF(ISBLANK(A243),"",A243&amp;"-R"&amp;TEXT(COUNTIF($A$2:A243,A243),"00"))</f>
        <v/>
      </c>
      <c r="H243" s="15">
        <f>IF(OR(ISBLANK(F243),ISBLANK(G243)),"",VALUE(LEFT(F243,1))*VALUE(LEFT(G243,1)))</f>
        <v/>
      </c>
      <c r="I243" s="12">
        <f>IF(ISBLANK(H243),"",IF(H243&gt;=20,"Critical",IF(H243&gt;=15,"High",IF(H243&gt;=8,"Medium","Low"))))</f>
        <v/>
      </c>
    </row>
    <row r="244">
      <c r="B244">
        <f>IF(ISBLANK(A244),"",A244&amp;"-R"&amp;TEXT(COUNTIF($A$2:A244,A244),"00"))</f>
        <v/>
      </c>
      <c r="H244" s="15">
        <f>IF(OR(ISBLANK(F244),ISBLANK(G244)),"",VALUE(LEFT(F244,1))*VALUE(LEFT(G244,1)))</f>
        <v/>
      </c>
      <c r="I244" s="12">
        <f>IF(ISBLANK(H244),"",IF(H244&gt;=20,"Critical",IF(H244&gt;=15,"High",IF(H244&gt;=8,"Medium","Low"))))</f>
        <v/>
      </c>
    </row>
    <row r="245">
      <c r="B245">
        <f>IF(ISBLANK(A245),"",A245&amp;"-R"&amp;TEXT(COUNTIF($A$2:A245,A245),"00"))</f>
        <v/>
      </c>
      <c r="H245" s="15">
        <f>IF(OR(ISBLANK(F245),ISBLANK(G245)),"",VALUE(LEFT(F245,1))*VALUE(LEFT(G245,1)))</f>
        <v/>
      </c>
      <c r="I245" s="12">
        <f>IF(ISBLANK(H245),"",IF(H245&gt;=20,"Critical",IF(H245&gt;=15,"High",IF(H245&gt;=8,"Medium","Low"))))</f>
        <v/>
      </c>
    </row>
    <row r="246">
      <c r="B246">
        <f>IF(ISBLANK(A246),"",A246&amp;"-R"&amp;TEXT(COUNTIF($A$2:A246,A246),"00"))</f>
        <v/>
      </c>
      <c r="H246" s="15">
        <f>IF(OR(ISBLANK(F246),ISBLANK(G246)),"",VALUE(LEFT(F246,1))*VALUE(LEFT(G246,1)))</f>
        <v/>
      </c>
      <c r="I246" s="12">
        <f>IF(ISBLANK(H246),"",IF(H246&gt;=20,"Critical",IF(H246&gt;=15,"High",IF(H246&gt;=8,"Medium","Low"))))</f>
        <v/>
      </c>
    </row>
    <row r="247">
      <c r="B247">
        <f>IF(ISBLANK(A247),"",A247&amp;"-R"&amp;TEXT(COUNTIF($A$2:A247,A247),"00"))</f>
        <v/>
      </c>
      <c r="H247" s="15">
        <f>IF(OR(ISBLANK(F247),ISBLANK(G247)),"",VALUE(LEFT(F247,1))*VALUE(LEFT(G247,1)))</f>
        <v/>
      </c>
      <c r="I247" s="12">
        <f>IF(ISBLANK(H247),"",IF(H247&gt;=20,"Critical",IF(H247&gt;=15,"High",IF(H247&gt;=8,"Medium","Low"))))</f>
        <v/>
      </c>
    </row>
    <row r="248">
      <c r="B248">
        <f>IF(ISBLANK(A248),"",A248&amp;"-R"&amp;TEXT(COUNTIF($A$2:A248,A248),"00"))</f>
        <v/>
      </c>
      <c r="H248" s="15">
        <f>IF(OR(ISBLANK(F248),ISBLANK(G248)),"",VALUE(LEFT(F248,1))*VALUE(LEFT(G248,1)))</f>
        <v/>
      </c>
      <c r="I248" s="12">
        <f>IF(ISBLANK(H248),"",IF(H248&gt;=20,"Critical",IF(H248&gt;=15,"High",IF(H248&gt;=8,"Medium","Low"))))</f>
        <v/>
      </c>
    </row>
    <row r="249">
      <c r="B249">
        <f>IF(ISBLANK(A249),"",A249&amp;"-R"&amp;TEXT(COUNTIF($A$2:A249,A249),"00"))</f>
        <v/>
      </c>
      <c r="H249" s="15">
        <f>IF(OR(ISBLANK(F249),ISBLANK(G249)),"",VALUE(LEFT(F249,1))*VALUE(LEFT(G249,1)))</f>
        <v/>
      </c>
      <c r="I249" s="12">
        <f>IF(ISBLANK(H249),"",IF(H249&gt;=20,"Critical",IF(H249&gt;=15,"High",IF(H249&gt;=8,"Medium","Low"))))</f>
        <v/>
      </c>
    </row>
    <row r="250">
      <c r="B250">
        <f>IF(ISBLANK(A250),"",A250&amp;"-R"&amp;TEXT(COUNTIF($A$2:A250,A250),"00"))</f>
        <v/>
      </c>
      <c r="H250" s="15">
        <f>IF(OR(ISBLANK(F250),ISBLANK(G250)),"",VALUE(LEFT(F250,1))*VALUE(LEFT(G250,1)))</f>
        <v/>
      </c>
      <c r="I250" s="12">
        <f>IF(ISBLANK(H250),"",IF(H250&gt;=20,"Critical",IF(H250&gt;=15,"High",IF(H250&gt;=8,"Medium","Low"))))</f>
        <v/>
      </c>
    </row>
    <row r="251">
      <c r="B251">
        <f>IF(ISBLANK(A251),"",A251&amp;"-R"&amp;TEXT(COUNTIF($A$2:A251,A251),"00"))</f>
        <v/>
      </c>
      <c r="H251" s="15">
        <f>IF(OR(ISBLANK(F251),ISBLANK(G251)),"",VALUE(LEFT(F251,1))*VALUE(LEFT(G251,1)))</f>
        <v/>
      </c>
      <c r="I251" s="12">
        <f>IF(ISBLANK(H251),"",IF(H251&gt;=20,"Critical",IF(H251&gt;=15,"High",IF(H251&gt;=8,"Medium","Low"))))</f>
        <v/>
      </c>
    </row>
    <row r="252">
      <c r="B252">
        <f>IF(ISBLANK(A252),"",A252&amp;"-R"&amp;TEXT(COUNTIF($A$2:A252,A252),"00"))</f>
        <v/>
      </c>
      <c r="H252" s="15">
        <f>IF(OR(ISBLANK(F252),ISBLANK(G252)),"",VALUE(LEFT(F252,1))*VALUE(LEFT(G252,1)))</f>
        <v/>
      </c>
      <c r="I252" s="12">
        <f>IF(ISBLANK(H252),"",IF(H252&gt;=20,"Critical",IF(H252&gt;=15,"High",IF(H252&gt;=8,"Medium","Low"))))</f>
        <v/>
      </c>
    </row>
    <row r="253">
      <c r="B253">
        <f>IF(ISBLANK(A253),"",A253&amp;"-R"&amp;TEXT(COUNTIF($A$2:A253,A253),"00"))</f>
        <v/>
      </c>
      <c r="H253" s="15">
        <f>IF(OR(ISBLANK(F253),ISBLANK(G253)),"",VALUE(LEFT(F253,1))*VALUE(LEFT(G253,1)))</f>
        <v/>
      </c>
      <c r="I253" s="12">
        <f>IF(ISBLANK(H253),"",IF(H253&gt;=20,"Critical",IF(H253&gt;=15,"High",IF(H253&gt;=8,"Medium","Low"))))</f>
        <v/>
      </c>
    </row>
    <row r="254">
      <c r="B254">
        <f>IF(ISBLANK(A254),"",A254&amp;"-R"&amp;TEXT(COUNTIF($A$2:A254,A254),"00"))</f>
        <v/>
      </c>
      <c r="H254" s="15">
        <f>IF(OR(ISBLANK(F254),ISBLANK(G254)),"",VALUE(LEFT(F254,1))*VALUE(LEFT(G254,1)))</f>
        <v/>
      </c>
      <c r="I254" s="12">
        <f>IF(ISBLANK(H254),"",IF(H254&gt;=20,"Critical",IF(H254&gt;=15,"High",IF(H254&gt;=8,"Medium","Low"))))</f>
        <v/>
      </c>
    </row>
    <row r="255">
      <c r="B255">
        <f>IF(ISBLANK(A255),"",A255&amp;"-R"&amp;TEXT(COUNTIF($A$2:A255,A255),"00"))</f>
        <v/>
      </c>
      <c r="H255" s="15">
        <f>IF(OR(ISBLANK(F255),ISBLANK(G255)),"",VALUE(LEFT(F255,1))*VALUE(LEFT(G255,1)))</f>
        <v/>
      </c>
      <c r="I255" s="12">
        <f>IF(ISBLANK(H255),"",IF(H255&gt;=20,"Critical",IF(H255&gt;=15,"High",IF(H255&gt;=8,"Medium","Low"))))</f>
        <v/>
      </c>
    </row>
    <row r="256">
      <c r="B256">
        <f>IF(ISBLANK(A256),"",A256&amp;"-R"&amp;TEXT(COUNTIF($A$2:A256,A256),"00"))</f>
        <v/>
      </c>
      <c r="H256" s="15">
        <f>IF(OR(ISBLANK(F256),ISBLANK(G256)),"",VALUE(LEFT(F256,1))*VALUE(LEFT(G256,1)))</f>
        <v/>
      </c>
      <c r="I256" s="12">
        <f>IF(ISBLANK(H256),"",IF(H256&gt;=20,"Critical",IF(H256&gt;=15,"High",IF(H256&gt;=8,"Medium","Low"))))</f>
        <v/>
      </c>
    </row>
    <row r="257">
      <c r="B257">
        <f>IF(ISBLANK(A257),"",A257&amp;"-R"&amp;TEXT(COUNTIF($A$2:A257,A257),"00"))</f>
        <v/>
      </c>
      <c r="H257" s="15">
        <f>IF(OR(ISBLANK(F257),ISBLANK(G257)),"",VALUE(LEFT(F257,1))*VALUE(LEFT(G257,1)))</f>
        <v/>
      </c>
      <c r="I257" s="12">
        <f>IF(ISBLANK(H257),"",IF(H257&gt;=20,"Critical",IF(H257&gt;=15,"High",IF(H257&gt;=8,"Medium","Low"))))</f>
        <v/>
      </c>
    </row>
    <row r="258">
      <c r="B258">
        <f>IF(ISBLANK(A258),"",A258&amp;"-R"&amp;TEXT(COUNTIF($A$2:A258,A258),"00"))</f>
        <v/>
      </c>
      <c r="H258" s="15">
        <f>IF(OR(ISBLANK(F258),ISBLANK(G258)),"",VALUE(LEFT(F258,1))*VALUE(LEFT(G258,1)))</f>
        <v/>
      </c>
      <c r="I258" s="12">
        <f>IF(ISBLANK(H258),"",IF(H258&gt;=20,"Critical",IF(H258&gt;=15,"High",IF(H258&gt;=8,"Medium","Low"))))</f>
        <v/>
      </c>
    </row>
    <row r="259">
      <c r="B259">
        <f>IF(ISBLANK(A259),"",A259&amp;"-R"&amp;TEXT(COUNTIF($A$2:A259,A259),"00"))</f>
        <v/>
      </c>
      <c r="H259" s="15">
        <f>IF(OR(ISBLANK(F259),ISBLANK(G259)),"",VALUE(LEFT(F259,1))*VALUE(LEFT(G259,1)))</f>
        <v/>
      </c>
      <c r="I259" s="12">
        <f>IF(ISBLANK(H259),"",IF(H259&gt;=20,"Critical",IF(H259&gt;=15,"High",IF(H259&gt;=8,"Medium","Low"))))</f>
        <v/>
      </c>
    </row>
    <row r="260">
      <c r="B260">
        <f>IF(ISBLANK(A260),"",A260&amp;"-R"&amp;TEXT(COUNTIF($A$2:A260,A260),"00"))</f>
        <v/>
      </c>
      <c r="H260" s="15">
        <f>IF(OR(ISBLANK(F260),ISBLANK(G260)),"",VALUE(LEFT(F260,1))*VALUE(LEFT(G260,1)))</f>
        <v/>
      </c>
      <c r="I260" s="12">
        <f>IF(ISBLANK(H260),"",IF(H260&gt;=20,"Critical",IF(H260&gt;=15,"High",IF(H260&gt;=8,"Medium","Low"))))</f>
        <v/>
      </c>
    </row>
    <row r="261">
      <c r="B261">
        <f>IF(ISBLANK(A261),"",A261&amp;"-R"&amp;TEXT(COUNTIF($A$2:A261,A261),"00"))</f>
        <v/>
      </c>
      <c r="H261" s="15">
        <f>IF(OR(ISBLANK(F261),ISBLANK(G261)),"",VALUE(LEFT(F261,1))*VALUE(LEFT(G261,1)))</f>
        <v/>
      </c>
      <c r="I261" s="12">
        <f>IF(ISBLANK(H261),"",IF(H261&gt;=20,"Critical",IF(H261&gt;=15,"High",IF(H261&gt;=8,"Medium","Low"))))</f>
        <v/>
      </c>
    </row>
    <row r="262">
      <c r="B262">
        <f>IF(ISBLANK(A262),"",A262&amp;"-R"&amp;TEXT(COUNTIF($A$2:A262,A262),"00"))</f>
        <v/>
      </c>
      <c r="H262" s="15">
        <f>IF(OR(ISBLANK(F262),ISBLANK(G262)),"",VALUE(LEFT(F262,1))*VALUE(LEFT(G262,1)))</f>
        <v/>
      </c>
      <c r="I262" s="12">
        <f>IF(ISBLANK(H262),"",IF(H262&gt;=20,"Critical",IF(H262&gt;=15,"High",IF(H262&gt;=8,"Medium","Low"))))</f>
        <v/>
      </c>
    </row>
    <row r="263">
      <c r="B263">
        <f>IF(ISBLANK(A263),"",A263&amp;"-R"&amp;TEXT(COUNTIF($A$2:A263,A263),"00"))</f>
        <v/>
      </c>
      <c r="H263" s="15">
        <f>IF(OR(ISBLANK(F263),ISBLANK(G263)),"",VALUE(LEFT(F263,1))*VALUE(LEFT(G263,1)))</f>
        <v/>
      </c>
      <c r="I263" s="12">
        <f>IF(ISBLANK(H263),"",IF(H263&gt;=20,"Critical",IF(H263&gt;=15,"High",IF(H263&gt;=8,"Medium","Low"))))</f>
        <v/>
      </c>
    </row>
    <row r="264">
      <c r="B264">
        <f>IF(ISBLANK(A264),"",A264&amp;"-R"&amp;TEXT(COUNTIF($A$2:A264,A264),"00"))</f>
        <v/>
      </c>
      <c r="H264" s="15">
        <f>IF(OR(ISBLANK(F264),ISBLANK(G264)),"",VALUE(LEFT(F264,1))*VALUE(LEFT(G264,1)))</f>
        <v/>
      </c>
      <c r="I264" s="12">
        <f>IF(ISBLANK(H264),"",IF(H264&gt;=20,"Critical",IF(H264&gt;=15,"High",IF(H264&gt;=8,"Medium","Low"))))</f>
        <v/>
      </c>
    </row>
    <row r="265">
      <c r="B265">
        <f>IF(ISBLANK(A265),"",A265&amp;"-R"&amp;TEXT(COUNTIF($A$2:A265,A265),"00"))</f>
        <v/>
      </c>
      <c r="H265" s="15">
        <f>IF(OR(ISBLANK(F265),ISBLANK(G265)),"",VALUE(LEFT(F265,1))*VALUE(LEFT(G265,1)))</f>
        <v/>
      </c>
      <c r="I265" s="12">
        <f>IF(ISBLANK(H265),"",IF(H265&gt;=20,"Critical",IF(H265&gt;=15,"High",IF(H265&gt;=8,"Medium","Low"))))</f>
        <v/>
      </c>
    </row>
    <row r="266">
      <c r="B266">
        <f>IF(ISBLANK(A266),"",A266&amp;"-R"&amp;TEXT(COUNTIF($A$2:A266,A266),"00"))</f>
        <v/>
      </c>
      <c r="H266" s="15">
        <f>IF(OR(ISBLANK(F266),ISBLANK(G266)),"",VALUE(LEFT(F266,1))*VALUE(LEFT(G266,1)))</f>
        <v/>
      </c>
      <c r="I266" s="12">
        <f>IF(ISBLANK(H266),"",IF(H266&gt;=20,"Critical",IF(H266&gt;=15,"High",IF(H266&gt;=8,"Medium","Low"))))</f>
        <v/>
      </c>
    </row>
    <row r="267">
      <c r="B267">
        <f>IF(ISBLANK(A267),"",A267&amp;"-R"&amp;TEXT(COUNTIF($A$2:A267,A267),"00"))</f>
        <v/>
      </c>
      <c r="H267" s="15">
        <f>IF(OR(ISBLANK(F267),ISBLANK(G267)),"",VALUE(LEFT(F267,1))*VALUE(LEFT(G267,1)))</f>
        <v/>
      </c>
      <c r="I267" s="12">
        <f>IF(ISBLANK(H267),"",IF(H267&gt;=20,"Critical",IF(H267&gt;=15,"High",IF(H267&gt;=8,"Medium","Low"))))</f>
        <v/>
      </c>
    </row>
    <row r="268">
      <c r="B268">
        <f>IF(ISBLANK(A268),"",A268&amp;"-R"&amp;TEXT(COUNTIF($A$2:A268,A268),"00"))</f>
        <v/>
      </c>
      <c r="H268" s="15">
        <f>IF(OR(ISBLANK(F268),ISBLANK(G268)),"",VALUE(LEFT(F268,1))*VALUE(LEFT(G268,1)))</f>
        <v/>
      </c>
      <c r="I268" s="12">
        <f>IF(ISBLANK(H268),"",IF(H268&gt;=20,"Critical",IF(H268&gt;=15,"High",IF(H268&gt;=8,"Medium","Low"))))</f>
        <v/>
      </c>
    </row>
    <row r="269">
      <c r="B269">
        <f>IF(ISBLANK(A269),"",A269&amp;"-R"&amp;TEXT(COUNTIF($A$2:A269,A269),"00"))</f>
        <v/>
      </c>
      <c r="H269" s="15">
        <f>IF(OR(ISBLANK(F269),ISBLANK(G269)),"",VALUE(LEFT(F269,1))*VALUE(LEFT(G269,1)))</f>
        <v/>
      </c>
      <c r="I269" s="12">
        <f>IF(ISBLANK(H269),"",IF(H269&gt;=20,"Critical",IF(H269&gt;=15,"High",IF(H269&gt;=8,"Medium","Low"))))</f>
        <v/>
      </c>
    </row>
    <row r="270">
      <c r="B270">
        <f>IF(ISBLANK(A270),"",A270&amp;"-R"&amp;TEXT(COUNTIF($A$2:A270,A270),"00"))</f>
        <v/>
      </c>
      <c r="H270" s="15">
        <f>IF(OR(ISBLANK(F270),ISBLANK(G270)),"",VALUE(LEFT(F270,1))*VALUE(LEFT(G270,1)))</f>
        <v/>
      </c>
      <c r="I270" s="12">
        <f>IF(ISBLANK(H270),"",IF(H270&gt;=20,"Critical",IF(H270&gt;=15,"High",IF(H270&gt;=8,"Medium","Low"))))</f>
        <v/>
      </c>
    </row>
    <row r="271">
      <c r="B271">
        <f>IF(ISBLANK(A271),"",A271&amp;"-R"&amp;TEXT(COUNTIF($A$2:A271,A271),"00"))</f>
        <v/>
      </c>
      <c r="H271" s="15">
        <f>IF(OR(ISBLANK(F271),ISBLANK(G271)),"",VALUE(LEFT(F271,1))*VALUE(LEFT(G271,1)))</f>
        <v/>
      </c>
      <c r="I271" s="12">
        <f>IF(ISBLANK(H271),"",IF(H271&gt;=20,"Critical",IF(H271&gt;=15,"High",IF(H271&gt;=8,"Medium","Low"))))</f>
        <v/>
      </c>
    </row>
    <row r="272">
      <c r="B272">
        <f>IF(ISBLANK(A272),"",A272&amp;"-R"&amp;TEXT(COUNTIF($A$2:A272,A272),"00"))</f>
        <v/>
      </c>
      <c r="H272" s="15">
        <f>IF(OR(ISBLANK(F272),ISBLANK(G272)),"",VALUE(LEFT(F272,1))*VALUE(LEFT(G272,1)))</f>
        <v/>
      </c>
      <c r="I272" s="12">
        <f>IF(ISBLANK(H272),"",IF(H272&gt;=20,"Critical",IF(H272&gt;=15,"High",IF(H272&gt;=8,"Medium","Low"))))</f>
        <v/>
      </c>
    </row>
    <row r="273">
      <c r="B273">
        <f>IF(ISBLANK(A273),"",A273&amp;"-R"&amp;TEXT(COUNTIF($A$2:A273,A273),"00"))</f>
        <v/>
      </c>
      <c r="H273" s="15">
        <f>IF(OR(ISBLANK(F273),ISBLANK(G273)),"",VALUE(LEFT(F273,1))*VALUE(LEFT(G273,1)))</f>
        <v/>
      </c>
      <c r="I273" s="12">
        <f>IF(ISBLANK(H273),"",IF(H273&gt;=20,"Critical",IF(H273&gt;=15,"High",IF(H273&gt;=8,"Medium","Low"))))</f>
        <v/>
      </c>
    </row>
    <row r="274">
      <c r="B274">
        <f>IF(ISBLANK(A274),"",A274&amp;"-R"&amp;TEXT(COUNTIF($A$2:A274,A274),"00"))</f>
        <v/>
      </c>
      <c r="H274" s="15">
        <f>IF(OR(ISBLANK(F274),ISBLANK(G274)),"",VALUE(LEFT(F274,1))*VALUE(LEFT(G274,1)))</f>
        <v/>
      </c>
      <c r="I274" s="12">
        <f>IF(ISBLANK(H274),"",IF(H274&gt;=20,"Critical",IF(H274&gt;=15,"High",IF(H274&gt;=8,"Medium","Low"))))</f>
        <v/>
      </c>
    </row>
    <row r="275">
      <c r="B275">
        <f>IF(ISBLANK(A275),"",A275&amp;"-R"&amp;TEXT(COUNTIF($A$2:A275,A275),"00"))</f>
        <v/>
      </c>
      <c r="H275" s="15">
        <f>IF(OR(ISBLANK(F275),ISBLANK(G275)),"",VALUE(LEFT(F275,1))*VALUE(LEFT(G275,1)))</f>
        <v/>
      </c>
      <c r="I275" s="12">
        <f>IF(ISBLANK(H275),"",IF(H275&gt;=20,"Critical",IF(H275&gt;=15,"High",IF(H275&gt;=8,"Medium","Low"))))</f>
        <v/>
      </c>
    </row>
    <row r="276">
      <c r="B276">
        <f>IF(ISBLANK(A276),"",A276&amp;"-R"&amp;TEXT(COUNTIF($A$2:A276,A276),"00"))</f>
        <v/>
      </c>
      <c r="H276" s="15">
        <f>IF(OR(ISBLANK(F276),ISBLANK(G276)),"",VALUE(LEFT(F276,1))*VALUE(LEFT(G276,1)))</f>
        <v/>
      </c>
      <c r="I276" s="12">
        <f>IF(ISBLANK(H276),"",IF(H276&gt;=20,"Critical",IF(H276&gt;=15,"High",IF(H276&gt;=8,"Medium","Low"))))</f>
        <v/>
      </c>
    </row>
    <row r="277">
      <c r="B277">
        <f>IF(ISBLANK(A277),"",A277&amp;"-R"&amp;TEXT(COUNTIF($A$2:A277,A277),"00"))</f>
        <v/>
      </c>
      <c r="H277" s="15">
        <f>IF(OR(ISBLANK(F277),ISBLANK(G277)),"",VALUE(LEFT(F277,1))*VALUE(LEFT(G277,1)))</f>
        <v/>
      </c>
      <c r="I277" s="12">
        <f>IF(ISBLANK(H277),"",IF(H277&gt;=20,"Critical",IF(H277&gt;=15,"High",IF(H277&gt;=8,"Medium","Low"))))</f>
        <v/>
      </c>
    </row>
    <row r="278">
      <c r="B278">
        <f>IF(ISBLANK(A278),"",A278&amp;"-R"&amp;TEXT(COUNTIF($A$2:A278,A278),"00"))</f>
        <v/>
      </c>
      <c r="H278" s="15">
        <f>IF(OR(ISBLANK(F278),ISBLANK(G278)),"",VALUE(LEFT(F278,1))*VALUE(LEFT(G278,1)))</f>
        <v/>
      </c>
      <c r="I278" s="12">
        <f>IF(ISBLANK(H278),"",IF(H278&gt;=20,"Critical",IF(H278&gt;=15,"High",IF(H278&gt;=8,"Medium","Low"))))</f>
        <v/>
      </c>
    </row>
    <row r="279">
      <c r="B279">
        <f>IF(ISBLANK(A279),"",A279&amp;"-R"&amp;TEXT(COUNTIF($A$2:A279,A279),"00"))</f>
        <v/>
      </c>
      <c r="H279" s="15">
        <f>IF(OR(ISBLANK(F279),ISBLANK(G279)),"",VALUE(LEFT(F279,1))*VALUE(LEFT(G279,1)))</f>
        <v/>
      </c>
      <c r="I279" s="12">
        <f>IF(ISBLANK(H279),"",IF(H279&gt;=20,"Critical",IF(H279&gt;=15,"High",IF(H279&gt;=8,"Medium","Low"))))</f>
        <v/>
      </c>
    </row>
    <row r="280">
      <c r="B280">
        <f>IF(ISBLANK(A280),"",A280&amp;"-R"&amp;TEXT(COUNTIF($A$2:A280,A280),"00"))</f>
        <v/>
      </c>
      <c r="H280" s="15">
        <f>IF(OR(ISBLANK(F280),ISBLANK(G280)),"",VALUE(LEFT(F280,1))*VALUE(LEFT(G280,1)))</f>
        <v/>
      </c>
      <c r="I280" s="12">
        <f>IF(ISBLANK(H280),"",IF(H280&gt;=20,"Critical",IF(H280&gt;=15,"High",IF(H280&gt;=8,"Medium","Low"))))</f>
        <v/>
      </c>
    </row>
    <row r="281">
      <c r="B281">
        <f>IF(ISBLANK(A281),"",A281&amp;"-R"&amp;TEXT(COUNTIF($A$2:A281,A281),"00"))</f>
        <v/>
      </c>
      <c r="H281" s="15">
        <f>IF(OR(ISBLANK(F281),ISBLANK(G281)),"",VALUE(LEFT(F281,1))*VALUE(LEFT(G281,1)))</f>
        <v/>
      </c>
      <c r="I281" s="12">
        <f>IF(ISBLANK(H281),"",IF(H281&gt;=20,"Critical",IF(H281&gt;=15,"High",IF(H281&gt;=8,"Medium","Low"))))</f>
        <v/>
      </c>
    </row>
    <row r="282">
      <c r="B282">
        <f>IF(ISBLANK(A282),"",A282&amp;"-R"&amp;TEXT(COUNTIF($A$2:A282,A282),"00"))</f>
        <v/>
      </c>
      <c r="H282" s="15">
        <f>IF(OR(ISBLANK(F282),ISBLANK(G282)),"",VALUE(LEFT(F282,1))*VALUE(LEFT(G282,1)))</f>
        <v/>
      </c>
      <c r="I282" s="12">
        <f>IF(ISBLANK(H282),"",IF(H282&gt;=20,"Critical",IF(H282&gt;=15,"High",IF(H282&gt;=8,"Medium","Low"))))</f>
        <v/>
      </c>
    </row>
    <row r="283">
      <c r="B283">
        <f>IF(ISBLANK(A283),"",A283&amp;"-R"&amp;TEXT(COUNTIF($A$2:A283,A283),"00"))</f>
        <v/>
      </c>
      <c r="H283" s="15">
        <f>IF(OR(ISBLANK(F283),ISBLANK(G283)),"",VALUE(LEFT(F283,1))*VALUE(LEFT(G283,1)))</f>
        <v/>
      </c>
      <c r="I283" s="12">
        <f>IF(ISBLANK(H283),"",IF(H283&gt;=20,"Critical",IF(H283&gt;=15,"High",IF(H283&gt;=8,"Medium","Low"))))</f>
        <v/>
      </c>
    </row>
    <row r="284">
      <c r="B284">
        <f>IF(ISBLANK(A284),"",A284&amp;"-R"&amp;TEXT(COUNTIF($A$2:A284,A284),"00"))</f>
        <v/>
      </c>
      <c r="H284" s="15">
        <f>IF(OR(ISBLANK(F284),ISBLANK(G284)),"",VALUE(LEFT(F284,1))*VALUE(LEFT(G284,1)))</f>
        <v/>
      </c>
      <c r="I284" s="12">
        <f>IF(ISBLANK(H284),"",IF(H284&gt;=20,"Critical",IF(H284&gt;=15,"High",IF(H284&gt;=8,"Medium","Low"))))</f>
        <v/>
      </c>
    </row>
    <row r="285">
      <c r="B285">
        <f>IF(ISBLANK(A285),"",A285&amp;"-R"&amp;TEXT(COUNTIF($A$2:A285,A285),"00"))</f>
        <v/>
      </c>
      <c r="H285" s="15">
        <f>IF(OR(ISBLANK(F285),ISBLANK(G285)),"",VALUE(LEFT(F285,1))*VALUE(LEFT(G285,1)))</f>
        <v/>
      </c>
      <c r="I285" s="12">
        <f>IF(ISBLANK(H285),"",IF(H285&gt;=20,"Critical",IF(H285&gt;=15,"High",IF(H285&gt;=8,"Medium","Low"))))</f>
        <v/>
      </c>
    </row>
    <row r="286">
      <c r="B286">
        <f>IF(ISBLANK(A286),"",A286&amp;"-R"&amp;TEXT(COUNTIF($A$2:A286,A286),"00"))</f>
        <v/>
      </c>
      <c r="H286" s="15">
        <f>IF(OR(ISBLANK(F286),ISBLANK(G286)),"",VALUE(LEFT(F286,1))*VALUE(LEFT(G286,1)))</f>
        <v/>
      </c>
      <c r="I286" s="12">
        <f>IF(ISBLANK(H286),"",IF(H286&gt;=20,"Critical",IF(H286&gt;=15,"High",IF(H286&gt;=8,"Medium","Low"))))</f>
        <v/>
      </c>
    </row>
    <row r="287">
      <c r="B287">
        <f>IF(ISBLANK(A287),"",A287&amp;"-R"&amp;TEXT(COUNTIF($A$2:A287,A287),"00"))</f>
        <v/>
      </c>
      <c r="H287" s="15">
        <f>IF(OR(ISBLANK(F287),ISBLANK(G287)),"",VALUE(LEFT(F287,1))*VALUE(LEFT(G287,1)))</f>
        <v/>
      </c>
      <c r="I287" s="12">
        <f>IF(ISBLANK(H287),"",IF(H287&gt;=20,"Critical",IF(H287&gt;=15,"High",IF(H287&gt;=8,"Medium","Low"))))</f>
        <v/>
      </c>
    </row>
    <row r="288">
      <c r="B288">
        <f>IF(ISBLANK(A288),"",A288&amp;"-R"&amp;TEXT(COUNTIF($A$2:A288,A288),"00"))</f>
        <v/>
      </c>
      <c r="H288" s="15">
        <f>IF(OR(ISBLANK(F288),ISBLANK(G288)),"",VALUE(LEFT(F288,1))*VALUE(LEFT(G288,1)))</f>
        <v/>
      </c>
      <c r="I288" s="12">
        <f>IF(ISBLANK(H288),"",IF(H288&gt;=20,"Critical",IF(H288&gt;=15,"High",IF(H288&gt;=8,"Medium","Low"))))</f>
        <v/>
      </c>
    </row>
    <row r="289">
      <c r="B289">
        <f>IF(ISBLANK(A289),"",A289&amp;"-R"&amp;TEXT(COUNTIF($A$2:A289,A289),"00"))</f>
        <v/>
      </c>
      <c r="H289" s="15">
        <f>IF(OR(ISBLANK(F289),ISBLANK(G289)),"",VALUE(LEFT(F289,1))*VALUE(LEFT(G289,1)))</f>
        <v/>
      </c>
      <c r="I289" s="12">
        <f>IF(ISBLANK(H289),"",IF(H289&gt;=20,"Critical",IF(H289&gt;=15,"High",IF(H289&gt;=8,"Medium","Low"))))</f>
        <v/>
      </c>
    </row>
    <row r="290">
      <c r="B290">
        <f>IF(ISBLANK(A290),"",A290&amp;"-R"&amp;TEXT(COUNTIF($A$2:A290,A290),"00"))</f>
        <v/>
      </c>
      <c r="H290" s="15">
        <f>IF(OR(ISBLANK(F290),ISBLANK(G290)),"",VALUE(LEFT(F290,1))*VALUE(LEFT(G290,1)))</f>
        <v/>
      </c>
      <c r="I290" s="12">
        <f>IF(ISBLANK(H290),"",IF(H290&gt;=20,"Critical",IF(H290&gt;=15,"High",IF(H290&gt;=8,"Medium","Low"))))</f>
        <v/>
      </c>
    </row>
    <row r="291">
      <c r="B291">
        <f>IF(ISBLANK(A291),"",A291&amp;"-R"&amp;TEXT(COUNTIF($A$2:A291,A291),"00"))</f>
        <v/>
      </c>
      <c r="H291" s="15">
        <f>IF(OR(ISBLANK(F291),ISBLANK(G291)),"",VALUE(LEFT(F291,1))*VALUE(LEFT(G291,1)))</f>
        <v/>
      </c>
      <c r="I291" s="12">
        <f>IF(ISBLANK(H291),"",IF(H291&gt;=20,"Critical",IF(H291&gt;=15,"High",IF(H291&gt;=8,"Medium","Low"))))</f>
        <v/>
      </c>
    </row>
    <row r="292">
      <c r="B292">
        <f>IF(ISBLANK(A292),"",A292&amp;"-R"&amp;TEXT(COUNTIF($A$2:A292,A292),"00"))</f>
        <v/>
      </c>
      <c r="H292" s="15">
        <f>IF(OR(ISBLANK(F292),ISBLANK(G292)),"",VALUE(LEFT(F292,1))*VALUE(LEFT(G292,1)))</f>
        <v/>
      </c>
      <c r="I292" s="12">
        <f>IF(ISBLANK(H292),"",IF(H292&gt;=20,"Critical",IF(H292&gt;=15,"High",IF(H292&gt;=8,"Medium","Low"))))</f>
        <v/>
      </c>
    </row>
    <row r="293">
      <c r="B293">
        <f>IF(ISBLANK(A293),"",A293&amp;"-R"&amp;TEXT(COUNTIF($A$2:A293,A293),"00"))</f>
        <v/>
      </c>
      <c r="H293" s="15">
        <f>IF(OR(ISBLANK(F293),ISBLANK(G293)),"",VALUE(LEFT(F293,1))*VALUE(LEFT(G293,1)))</f>
        <v/>
      </c>
      <c r="I293" s="12">
        <f>IF(ISBLANK(H293),"",IF(H293&gt;=20,"Critical",IF(H293&gt;=15,"High",IF(H293&gt;=8,"Medium","Low"))))</f>
        <v/>
      </c>
    </row>
    <row r="294">
      <c r="B294">
        <f>IF(ISBLANK(A294),"",A294&amp;"-R"&amp;TEXT(COUNTIF($A$2:A294,A294),"00"))</f>
        <v/>
      </c>
      <c r="H294" s="15">
        <f>IF(OR(ISBLANK(F294),ISBLANK(G294)),"",VALUE(LEFT(F294,1))*VALUE(LEFT(G294,1)))</f>
        <v/>
      </c>
      <c r="I294" s="12">
        <f>IF(ISBLANK(H294),"",IF(H294&gt;=20,"Critical",IF(H294&gt;=15,"High",IF(H294&gt;=8,"Medium","Low"))))</f>
        <v/>
      </c>
    </row>
    <row r="295">
      <c r="B295">
        <f>IF(ISBLANK(A295),"",A295&amp;"-R"&amp;TEXT(COUNTIF($A$2:A295,A295),"00"))</f>
        <v/>
      </c>
      <c r="H295" s="15">
        <f>IF(OR(ISBLANK(F295),ISBLANK(G295)),"",VALUE(LEFT(F295,1))*VALUE(LEFT(G295,1)))</f>
        <v/>
      </c>
      <c r="I295" s="12">
        <f>IF(ISBLANK(H295),"",IF(H295&gt;=20,"Critical",IF(H295&gt;=15,"High",IF(H295&gt;=8,"Medium","Low"))))</f>
        <v/>
      </c>
    </row>
    <row r="296">
      <c r="B296">
        <f>IF(ISBLANK(A296),"",A296&amp;"-R"&amp;TEXT(COUNTIF($A$2:A296,A296),"00"))</f>
        <v/>
      </c>
      <c r="H296" s="15">
        <f>IF(OR(ISBLANK(F296),ISBLANK(G296)),"",VALUE(LEFT(F296,1))*VALUE(LEFT(G296,1)))</f>
        <v/>
      </c>
      <c r="I296" s="12">
        <f>IF(ISBLANK(H296),"",IF(H296&gt;=20,"Critical",IF(H296&gt;=15,"High",IF(H296&gt;=8,"Medium","Low"))))</f>
        <v/>
      </c>
    </row>
    <row r="297">
      <c r="B297">
        <f>IF(ISBLANK(A297),"",A297&amp;"-R"&amp;TEXT(COUNTIF($A$2:A297,A297),"00"))</f>
        <v/>
      </c>
      <c r="H297" s="15">
        <f>IF(OR(ISBLANK(F297),ISBLANK(G297)),"",VALUE(LEFT(F297,1))*VALUE(LEFT(G297,1)))</f>
        <v/>
      </c>
      <c r="I297" s="12">
        <f>IF(ISBLANK(H297),"",IF(H297&gt;=20,"Critical",IF(H297&gt;=15,"High",IF(H297&gt;=8,"Medium","Low"))))</f>
        <v/>
      </c>
    </row>
    <row r="298">
      <c r="B298">
        <f>IF(ISBLANK(A298),"",A298&amp;"-R"&amp;TEXT(COUNTIF($A$2:A298,A298),"00"))</f>
        <v/>
      </c>
      <c r="H298" s="15">
        <f>IF(OR(ISBLANK(F298),ISBLANK(G298)),"",VALUE(LEFT(F298,1))*VALUE(LEFT(G298,1)))</f>
        <v/>
      </c>
      <c r="I298" s="12">
        <f>IF(ISBLANK(H298),"",IF(H298&gt;=20,"Critical",IF(H298&gt;=15,"High",IF(H298&gt;=8,"Medium","Low"))))</f>
        <v/>
      </c>
    </row>
    <row r="299">
      <c r="B299">
        <f>IF(ISBLANK(A299),"",A299&amp;"-R"&amp;TEXT(COUNTIF($A$2:A299,A299),"00"))</f>
        <v/>
      </c>
      <c r="H299" s="15">
        <f>IF(OR(ISBLANK(F299),ISBLANK(G299)),"",VALUE(LEFT(F299,1))*VALUE(LEFT(G299,1)))</f>
        <v/>
      </c>
      <c r="I299" s="12">
        <f>IF(ISBLANK(H299),"",IF(H299&gt;=20,"Critical",IF(H299&gt;=15,"High",IF(H299&gt;=8,"Medium","Low"))))</f>
        <v/>
      </c>
    </row>
    <row r="300">
      <c r="B300">
        <f>IF(ISBLANK(A300),"",A300&amp;"-R"&amp;TEXT(COUNTIF($A$2:A300,A300),"00"))</f>
        <v/>
      </c>
      <c r="H300" s="15">
        <f>IF(OR(ISBLANK(F300),ISBLANK(G300)),"",VALUE(LEFT(F300,1))*VALUE(LEFT(G300,1)))</f>
        <v/>
      </c>
      <c r="I300" s="12">
        <f>IF(ISBLANK(H300),"",IF(H300&gt;=20,"Critical",IF(H300&gt;=15,"High",IF(H300&gt;=8,"Medium","Low"))))</f>
        <v/>
      </c>
    </row>
    <row r="301">
      <c r="B301">
        <f>IF(ISBLANK(A301),"",A301&amp;"-R"&amp;TEXT(COUNTIF($A$2:A301,A301),"00"))</f>
        <v/>
      </c>
      <c r="H301" s="15">
        <f>IF(OR(ISBLANK(F301),ISBLANK(G301)),"",VALUE(LEFT(F301,1))*VALUE(LEFT(G301,1)))</f>
        <v/>
      </c>
      <c r="I301" s="12">
        <f>IF(ISBLANK(H301),"",IF(H301&gt;=20,"Critical",IF(H301&gt;=15,"High",IF(H301&gt;=8,"Medium","Low"))))</f>
        <v/>
      </c>
    </row>
    <row r="302">
      <c r="B302">
        <f>IF(ISBLANK(A302),"",A302&amp;"-R"&amp;TEXT(COUNTIF($A$2:A302,A302),"00"))</f>
        <v/>
      </c>
      <c r="H302" s="15">
        <f>IF(OR(ISBLANK(F302),ISBLANK(G302)),"",VALUE(LEFT(F302,1))*VALUE(LEFT(G302,1)))</f>
        <v/>
      </c>
      <c r="I302" s="12">
        <f>IF(ISBLANK(H302),"",IF(H302&gt;=20,"Critical",IF(H302&gt;=15,"High",IF(H302&gt;=8,"Medium","Low"))))</f>
        <v/>
      </c>
    </row>
    <row r="303">
      <c r="B303">
        <f>IF(ISBLANK(A303),"",A303&amp;"-R"&amp;TEXT(COUNTIF($A$2:A303,A303),"00"))</f>
        <v/>
      </c>
      <c r="H303" s="15">
        <f>IF(OR(ISBLANK(F303),ISBLANK(G303)),"",VALUE(LEFT(F303,1))*VALUE(LEFT(G303,1)))</f>
        <v/>
      </c>
      <c r="I303" s="12">
        <f>IF(ISBLANK(H303),"",IF(H303&gt;=20,"Critical",IF(H303&gt;=15,"High",IF(H303&gt;=8,"Medium","Low"))))</f>
        <v/>
      </c>
    </row>
    <row r="304">
      <c r="B304">
        <f>IF(ISBLANK(A304),"",A304&amp;"-R"&amp;TEXT(COUNTIF($A$2:A304,A304),"00"))</f>
        <v/>
      </c>
      <c r="H304" s="15">
        <f>IF(OR(ISBLANK(F304),ISBLANK(G304)),"",VALUE(LEFT(F304,1))*VALUE(LEFT(G304,1)))</f>
        <v/>
      </c>
      <c r="I304" s="12">
        <f>IF(ISBLANK(H304),"",IF(H304&gt;=20,"Critical",IF(H304&gt;=15,"High",IF(H304&gt;=8,"Medium","Low"))))</f>
        <v/>
      </c>
    </row>
    <row r="305">
      <c r="B305">
        <f>IF(ISBLANK(A305),"",A305&amp;"-R"&amp;TEXT(COUNTIF($A$2:A305,A305),"00"))</f>
        <v/>
      </c>
      <c r="H305" s="15">
        <f>IF(OR(ISBLANK(F305),ISBLANK(G305)),"",VALUE(LEFT(F305,1))*VALUE(LEFT(G305,1)))</f>
        <v/>
      </c>
      <c r="I305" s="12">
        <f>IF(ISBLANK(H305),"",IF(H305&gt;=20,"Critical",IF(H305&gt;=15,"High",IF(H305&gt;=8,"Medium","Low"))))</f>
        <v/>
      </c>
    </row>
    <row r="306">
      <c r="B306">
        <f>IF(ISBLANK(A306),"",A306&amp;"-R"&amp;TEXT(COUNTIF($A$2:A306,A306),"00"))</f>
        <v/>
      </c>
      <c r="H306" s="15">
        <f>IF(OR(ISBLANK(F306),ISBLANK(G306)),"",VALUE(LEFT(F306,1))*VALUE(LEFT(G306,1)))</f>
        <v/>
      </c>
      <c r="I306" s="12">
        <f>IF(ISBLANK(H306),"",IF(H306&gt;=20,"Critical",IF(H306&gt;=15,"High",IF(H306&gt;=8,"Medium","Low"))))</f>
        <v/>
      </c>
    </row>
    <row r="307">
      <c r="B307">
        <f>IF(ISBLANK(A307),"",A307&amp;"-R"&amp;TEXT(COUNTIF($A$2:A307,A307),"00"))</f>
        <v/>
      </c>
      <c r="H307" s="15">
        <f>IF(OR(ISBLANK(F307),ISBLANK(G307)),"",VALUE(LEFT(F307,1))*VALUE(LEFT(G307,1)))</f>
        <v/>
      </c>
      <c r="I307" s="12">
        <f>IF(ISBLANK(H307),"",IF(H307&gt;=20,"Critical",IF(H307&gt;=15,"High",IF(H307&gt;=8,"Medium","Low"))))</f>
        <v/>
      </c>
    </row>
    <row r="308">
      <c r="B308">
        <f>IF(ISBLANK(A308),"",A308&amp;"-R"&amp;TEXT(COUNTIF($A$2:A308,A308),"00"))</f>
        <v/>
      </c>
      <c r="H308" s="15">
        <f>IF(OR(ISBLANK(F308),ISBLANK(G308)),"",VALUE(LEFT(F308,1))*VALUE(LEFT(G308,1)))</f>
        <v/>
      </c>
      <c r="I308" s="12">
        <f>IF(ISBLANK(H308),"",IF(H308&gt;=20,"Critical",IF(H308&gt;=15,"High",IF(H308&gt;=8,"Medium","Low"))))</f>
        <v/>
      </c>
    </row>
    <row r="309">
      <c r="B309">
        <f>IF(ISBLANK(A309),"",A309&amp;"-R"&amp;TEXT(COUNTIF($A$2:A309,A309),"00"))</f>
        <v/>
      </c>
      <c r="H309" s="15">
        <f>IF(OR(ISBLANK(F309),ISBLANK(G309)),"",VALUE(LEFT(F309,1))*VALUE(LEFT(G309,1)))</f>
        <v/>
      </c>
      <c r="I309" s="12">
        <f>IF(ISBLANK(H309),"",IF(H309&gt;=20,"Critical",IF(H309&gt;=15,"High",IF(H309&gt;=8,"Medium","Low"))))</f>
        <v/>
      </c>
    </row>
    <row r="310">
      <c r="B310">
        <f>IF(ISBLANK(A310),"",A310&amp;"-R"&amp;TEXT(COUNTIF($A$2:A310,A310),"00"))</f>
        <v/>
      </c>
      <c r="H310" s="15">
        <f>IF(OR(ISBLANK(F310),ISBLANK(G310)),"",VALUE(LEFT(F310,1))*VALUE(LEFT(G310,1)))</f>
        <v/>
      </c>
      <c r="I310" s="12">
        <f>IF(ISBLANK(H310),"",IF(H310&gt;=20,"Critical",IF(H310&gt;=15,"High",IF(H310&gt;=8,"Medium","Low"))))</f>
        <v/>
      </c>
    </row>
    <row r="311">
      <c r="B311">
        <f>IF(ISBLANK(A311),"",A311&amp;"-R"&amp;TEXT(COUNTIF($A$2:A311,A311),"00"))</f>
        <v/>
      </c>
      <c r="H311" s="15">
        <f>IF(OR(ISBLANK(F311),ISBLANK(G311)),"",VALUE(LEFT(F311,1))*VALUE(LEFT(G311,1)))</f>
        <v/>
      </c>
      <c r="I311" s="12">
        <f>IF(ISBLANK(H311),"",IF(H311&gt;=20,"Critical",IF(H311&gt;=15,"High",IF(H311&gt;=8,"Medium","Low"))))</f>
        <v/>
      </c>
    </row>
    <row r="312">
      <c r="B312">
        <f>IF(ISBLANK(A312),"",A312&amp;"-R"&amp;TEXT(COUNTIF($A$2:A312,A312),"00"))</f>
        <v/>
      </c>
      <c r="H312" s="15">
        <f>IF(OR(ISBLANK(F312),ISBLANK(G312)),"",VALUE(LEFT(F312,1))*VALUE(LEFT(G312,1)))</f>
        <v/>
      </c>
      <c r="I312" s="12">
        <f>IF(ISBLANK(H312),"",IF(H312&gt;=20,"Critical",IF(H312&gt;=15,"High",IF(H312&gt;=8,"Medium","Low"))))</f>
        <v/>
      </c>
    </row>
    <row r="313">
      <c r="B313">
        <f>IF(ISBLANK(A313),"",A313&amp;"-R"&amp;TEXT(COUNTIF($A$2:A313,A313),"00"))</f>
        <v/>
      </c>
      <c r="H313" s="15">
        <f>IF(OR(ISBLANK(F313),ISBLANK(G313)),"",VALUE(LEFT(F313,1))*VALUE(LEFT(G313,1)))</f>
        <v/>
      </c>
      <c r="I313" s="12">
        <f>IF(ISBLANK(H313),"",IF(H313&gt;=20,"Critical",IF(H313&gt;=15,"High",IF(H313&gt;=8,"Medium","Low"))))</f>
        <v/>
      </c>
    </row>
    <row r="314">
      <c r="B314">
        <f>IF(ISBLANK(A314),"",A314&amp;"-R"&amp;TEXT(COUNTIF($A$2:A314,A314),"00"))</f>
        <v/>
      </c>
      <c r="H314" s="15">
        <f>IF(OR(ISBLANK(F314),ISBLANK(G314)),"",VALUE(LEFT(F314,1))*VALUE(LEFT(G314,1)))</f>
        <v/>
      </c>
      <c r="I314" s="12">
        <f>IF(ISBLANK(H314),"",IF(H314&gt;=20,"Critical",IF(H314&gt;=15,"High",IF(H314&gt;=8,"Medium","Low"))))</f>
        <v/>
      </c>
    </row>
    <row r="315">
      <c r="B315">
        <f>IF(ISBLANK(A315),"",A315&amp;"-R"&amp;TEXT(COUNTIF($A$2:A315,A315),"00"))</f>
        <v/>
      </c>
      <c r="H315" s="15">
        <f>IF(OR(ISBLANK(F315),ISBLANK(G315)),"",VALUE(LEFT(F315,1))*VALUE(LEFT(G315,1)))</f>
        <v/>
      </c>
      <c r="I315" s="12">
        <f>IF(ISBLANK(H315),"",IF(H315&gt;=20,"Critical",IF(H315&gt;=15,"High",IF(H315&gt;=8,"Medium","Low"))))</f>
        <v/>
      </c>
    </row>
    <row r="316">
      <c r="B316">
        <f>IF(ISBLANK(A316),"",A316&amp;"-R"&amp;TEXT(COUNTIF($A$2:A316,A316),"00"))</f>
        <v/>
      </c>
      <c r="H316" s="15">
        <f>IF(OR(ISBLANK(F316),ISBLANK(G316)),"",VALUE(LEFT(F316,1))*VALUE(LEFT(G316,1)))</f>
        <v/>
      </c>
      <c r="I316" s="12">
        <f>IF(ISBLANK(H316),"",IF(H316&gt;=20,"Critical",IF(H316&gt;=15,"High",IF(H316&gt;=8,"Medium","Low"))))</f>
        <v/>
      </c>
    </row>
    <row r="317">
      <c r="B317">
        <f>IF(ISBLANK(A317),"",A317&amp;"-R"&amp;TEXT(COUNTIF($A$2:A317,A317),"00"))</f>
        <v/>
      </c>
      <c r="H317" s="15">
        <f>IF(OR(ISBLANK(F317),ISBLANK(G317)),"",VALUE(LEFT(F317,1))*VALUE(LEFT(G317,1)))</f>
        <v/>
      </c>
      <c r="I317" s="12">
        <f>IF(ISBLANK(H317),"",IF(H317&gt;=20,"Critical",IF(H317&gt;=15,"High",IF(H317&gt;=8,"Medium","Low"))))</f>
        <v/>
      </c>
    </row>
    <row r="318">
      <c r="B318">
        <f>IF(ISBLANK(A318),"",A318&amp;"-R"&amp;TEXT(COUNTIF($A$2:A318,A318),"00"))</f>
        <v/>
      </c>
      <c r="H318" s="15">
        <f>IF(OR(ISBLANK(F318),ISBLANK(G318)),"",VALUE(LEFT(F318,1))*VALUE(LEFT(G318,1)))</f>
        <v/>
      </c>
      <c r="I318" s="12">
        <f>IF(ISBLANK(H318),"",IF(H318&gt;=20,"Critical",IF(H318&gt;=15,"High",IF(H318&gt;=8,"Medium","Low"))))</f>
        <v/>
      </c>
    </row>
    <row r="319">
      <c r="B319">
        <f>IF(ISBLANK(A319),"",A319&amp;"-R"&amp;TEXT(COUNTIF($A$2:A319,A319),"00"))</f>
        <v/>
      </c>
      <c r="H319" s="15">
        <f>IF(OR(ISBLANK(F319),ISBLANK(G319)),"",VALUE(LEFT(F319,1))*VALUE(LEFT(G319,1)))</f>
        <v/>
      </c>
      <c r="I319" s="12">
        <f>IF(ISBLANK(H319),"",IF(H319&gt;=20,"Critical",IF(H319&gt;=15,"High",IF(H319&gt;=8,"Medium","Low"))))</f>
        <v/>
      </c>
    </row>
    <row r="320">
      <c r="B320">
        <f>IF(ISBLANK(A320),"",A320&amp;"-R"&amp;TEXT(COUNTIF($A$2:A320,A320),"00"))</f>
        <v/>
      </c>
      <c r="H320" s="15">
        <f>IF(OR(ISBLANK(F320),ISBLANK(G320)),"",VALUE(LEFT(F320,1))*VALUE(LEFT(G320,1)))</f>
        <v/>
      </c>
      <c r="I320" s="12">
        <f>IF(ISBLANK(H320),"",IF(H320&gt;=20,"Critical",IF(H320&gt;=15,"High",IF(H320&gt;=8,"Medium","Low"))))</f>
        <v/>
      </c>
    </row>
    <row r="321">
      <c r="B321">
        <f>IF(ISBLANK(A321),"",A321&amp;"-R"&amp;TEXT(COUNTIF($A$2:A321,A321),"00"))</f>
        <v/>
      </c>
      <c r="H321" s="15">
        <f>IF(OR(ISBLANK(F321),ISBLANK(G321)),"",VALUE(LEFT(F321,1))*VALUE(LEFT(G321,1)))</f>
        <v/>
      </c>
      <c r="I321" s="12">
        <f>IF(ISBLANK(H321),"",IF(H321&gt;=20,"Critical",IF(H321&gt;=15,"High",IF(H321&gt;=8,"Medium","Low"))))</f>
        <v/>
      </c>
    </row>
    <row r="322">
      <c r="B322">
        <f>IF(ISBLANK(A322),"",A322&amp;"-R"&amp;TEXT(COUNTIF($A$2:A322,A322),"00"))</f>
        <v/>
      </c>
      <c r="H322" s="15">
        <f>IF(OR(ISBLANK(F322),ISBLANK(G322)),"",VALUE(LEFT(F322,1))*VALUE(LEFT(G322,1)))</f>
        <v/>
      </c>
      <c r="I322" s="12">
        <f>IF(ISBLANK(H322),"",IF(H322&gt;=20,"Critical",IF(H322&gt;=15,"High",IF(H322&gt;=8,"Medium","Low"))))</f>
        <v/>
      </c>
    </row>
    <row r="323">
      <c r="B323">
        <f>IF(ISBLANK(A323),"",A323&amp;"-R"&amp;TEXT(COUNTIF($A$2:A323,A323),"00"))</f>
        <v/>
      </c>
      <c r="H323" s="15">
        <f>IF(OR(ISBLANK(F323),ISBLANK(G323)),"",VALUE(LEFT(F323,1))*VALUE(LEFT(G323,1)))</f>
        <v/>
      </c>
      <c r="I323" s="12">
        <f>IF(ISBLANK(H323),"",IF(H323&gt;=20,"Critical",IF(H323&gt;=15,"High",IF(H323&gt;=8,"Medium","Low"))))</f>
        <v/>
      </c>
    </row>
    <row r="324">
      <c r="B324">
        <f>IF(ISBLANK(A324),"",A324&amp;"-R"&amp;TEXT(COUNTIF($A$2:A324,A324),"00"))</f>
        <v/>
      </c>
      <c r="H324" s="15">
        <f>IF(OR(ISBLANK(F324),ISBLANK(G324)),"",VALUE(LEFT(F324,1))*VALUE(LEFT(G324,1)))</f>
        <v/>
      </c>
      <c r="I324" s="12">
        <f>IF(ISBLANK(H324),"",IF(H324&gt;=20,"Critical",IF(H324&gt;=15,"High",IF(H324&gt;=8,"Medium","Low"))))</f>
        <v/>
      </c>
    </row>
    <row r="325">
      <c r="B325">
        <f>IF(ISBLANK(A325),"",A325&amp;"-R"&amp;TEXT(COUNTIF($A$2:A325,A325),"00"))</f>
        <v/>
      </c>
      <c r="H325" s="15">
        <f>IF(OR(ISBLANK(F325),ISBLANK(G325)),"",VALUE(LEFT(F325,1))*VALUE(LEFT(G325,1)))</f>
        <v/>
      </c>
      <c r="I325" s="12">
        <f>IF(ISBLANK(H325),"",IF(H325&gt;=20,"Critical",IF(H325&gt;=15,"High",IF(H325&gt;=8,"Medium","Low"))))</f>
        <v/>
      </c>
    </row>
    <row r="326">
      <c r="B326">
        <f>IF(ISBLANK(A326),"",A326&amp;"-R"&amp;TEXT(COUNTIF($A$2:A326,A326),"00"))</f>
        <v/>
      </c>
      <c r="H326" s="15">
        <f>IF(OR(ISBLANK(F326),ISBLANK(G326)),"",VALUE(LEFT(F326,1))*VALUE(LEFT(G326,1)))</f>
        <v/>
      </c>
      <c r="I326" s="12">
        <f>IF(ISBLANK(H326),"",IF(H326&gt;=20,"Critical",IF(H326&gt;=15,"High",IF(H326&gt;=8,"Medium","Low"))))</f>
        <v/>
      </c>
    </row>
    <row r="327">
      <c r="B327">
        <f>IF(ISBLANK(A327),"",A327&amp;"-R"&amp;TEXT(COUNTIF($A$2:A327,A327),"00"))</f>
        <v/>
      </c>
      <c r="H327" s="15">
        <f>IF(OR(ISBLANK(F327),ISBLANK(G327)),"",VALUE(LEFT(F327,1))*VALUE(LEFT(G327,1)))</f>
        <v/>
      </c>
      <c r="I327" s="12">
        <f>IF(ISBLANK(H327),"",IF(H327&gt;=20,"Critical",IF(H327&gt;=15,"High",IF(H327&gt;=8,"Medium","Low"))))</f>
        <v/>
      </c>
    </row>
    <row r="328">
      <c r="B328">
        <f>IF(ISBLANK(A328),"",A328&amp;"-R"&amp;TEXT(COUNTIF($A$2:A328,A328),"00"))</f>
        <v/>
      </c>
      <c r="H328" s="15">
        <f>IF(OR(ISBLANK(F328),ISBLANK(G328)),"",VALUE(LEFT(F328,1))*VALUE(LEFT(G328,1)))</f>
        <v/>
      </c>
      <c r="I328" s="12">
        <f>IF(ISBLANK(H328),"",IF(H328&gt;=20,"Critical",IF(H328&gt;=15,"High",IF(H328&gt;=8,"Medium","Low"))))</f>
        <v/>
      </c>
    </row>
    <row r="329">
      <c r="B329">
        <f>IF(ISBLANK(A329),"",A329&amp;"-R"&amp;TEXT(COUNTIF($A$2:A329,A329),"00"))</f>
        <v/>
      </c>
      <c r="H329" s="15">
        <f>IF(OR(ISBLANK(F329),ISBLANK(G329)),"",VALUE(LEFT(F329,1))*VALUE(LEFT(G329,1)))</f>
        <v/>
      </c>
      <c r="I329" s="12">
        <f>IF(ISBLANK(H329),"",IF(H329&gt;=20,"Critical",IF(H329&gt;=15,"High",IF(H329&gt;=8,"Medium","Low"))))</f>
        <v/>
      </c>
    </row>
    <row r="330">
      <c r="B330">
        <f>IF(ISBLANK(A330),"",A330&amp;"-R"&amp;TEXT(COUNTIF($A$2:A330,A330),"00"))</f>
        <v/>
      </c>
      <c r="H330" s="15">
        <f>IF(OR(ISBLANK(F330),ISBLANK(G330)),"",VALUE(LEFT(F330,1))*VALUE(LEFT(G330,1)))</f>
        <v/>
      </c>
      <c r="I330" s="12">
        <f>IF(ISBLANK(H330),"",IF(H330&gt;=20,"Critical",IF(H330&gt;=15,"High",IF(H330&gt;=8,"Medium","Low"))))</f>
        <v/>
      </c>
    </row>
    <row r="331">
      <c r="B331">
        <f>IF(ISBLANK(A331),"",A331&amp;"-R"&amp;TEXT(COUNTIF($A$2:A331,A331),"00"))</f>
        <v/>
      </c>
      <c r="H331" s="15">
        <f>IF(OR(ISBLANK(F331),ISBLANK(G331)),"",VALUE(LEFT(F331,1))*VALUE(LEFT(G331,1)))</f>
        <v/>
      </c>
      <c r="I331" s="12">
        <f>IF(ISBLANK(H331),"",IF(H331&gt;=20,"Critical",IF(H331&gt;=15,"High",IF(H331&gt;=8,"Medium","Low"))))</f>
        <v/>
      </c>
    </row>
    <row r="332">
      <c r="B332">
        <f>IF(ISBLANK(A332),"",A332&amp;"-R"&amp;TEXT(COUNTIF($A$2:A332,A332),"00"))</f>
        <v/>
      </c>
      <c r="H332" s="15">
        <f>IF(OR(ISBLANK(F332),ISBLANK(G332)),"",VALUE(LEFT(F332,1))*VALUE(LEFT(G332,1)))</f>
        <v/>
      </c>
      <c r="I332" s="12">
        <f>IF(ISBLANK(H332),"",IF(H332&gt;=20,"Critical",IF(H332&gt;=15,"High",IF(H332&gt;=8,"Medium","Low"))))</f>
        <v/>
      </c>
    </row>
    <row r="333">
      <c r="B333">
        <f>IF(ISBLANK(A333),"",A333&amp;"-R"&amp;TEXT(COUNTIF($A$2:A333,A333),"00"))</f>
        <v/>
      </c>
      <c r="H333" s="15">
        <f>IF(OR(ISBLANK(F333),ISBLANK(G333)),"",VALUE(LEFT(F333,1))*VALUE(LEFT(G333,1)))</f>
        <v/>
      </c>
      <c r="I333" s="12">
        <f>IF(ISBLANK(H333),"",IF(H333&gt;=20,"Critical",IF(H333&gt;=15,"High",IF(H333&gt;=8,"Medium","Low"))))</f>
        <v/>
      </c>
    </row>
    <row r="334">
      <c r="B334">
        <f>IF(ISBLANK(A334),"",A334&amp;"-R"&amp;TEXT(COUNTIF($A$2:A334,A334),"00"))</f>
        <v/>
      </c>
      <c r="H334" s="15">
        <f>IF(OR(ISBLANK(F334),ISBLANK(G334)),"",VALUE(LEFT(F334,1))*VALUE(LEFT(G334,1)))</f>
        <v/>
      </c>
      <c r="I334" s="12">
        <f>IF(ISBLANK(H334),"",IF(H334&gt;=20,"Critical",IF(H334&gt;=15,"High",IF(H334&gt;=8,"Medium","Low"))))</f>
        <v/>
      </c>
    </row>
    <row r="335">
      <c r="B335">
        <f>IF(ISBLANK(A335),"",A335&amp;"-R"&amp;TEXT(COUNTIF($A$2:A335,A335),"00"))</f>
        <v/>
      </c>
      <c r="H335" s="15">
        <f>IF(OR(ISBLANK(F335),ISBLANK(G335)),"",VALUE(LEFT(F335,1))*VALUE(LEFT(G335,1)))</f>
        <v/>
      </c>
      <c r="I335" s="12">
        <f>IF(ISBLANK(H335),"",IF(H335&gt;=20,"Critical",IF(H335&gt;=15,"High",IF(H335&gt;=8,"Medium","Low"))))</f>
        <v/>
      </c>
    </row>
    <row r="336">
      <c r="B336">
        <f>IF(ISBLANK(A336),"",A336&amp;"-R"&amp;TEXT(COUNTIF($A$2:A336,A336),"00"))</f>
        <v/>
      </c>
      <c r="H336" s="15">
        <f>IF(OR(ISBLANK(F336),ISBLANK(G336)),"",VALUE(LEFT(F336,1))*VALUE(LEFT(G336,1)))</f>
        <v/>
      </c>
      <c r="I336" s="12">
        <f>IF(ISBLANK(H336),"",IF(H336&gt;=20,"Critical",IF(H336&gt;=15,"High",IF(H336&gt;=8,"Medium","Low"))))</f>
        <v/>
      </c>
    </row>
    <row r="337">
      <c r="B337">
        <f>IF(ISBLANK(A337),"",A337&amp;"-R"&amp;TEXT(COUNTIF($A$2:A337,A337),"00"))</f>
        <v/>
      </c>
      <c r="H337" s="15">
        <f>IF(OR(ISBLANK(F337),ISBLANK(G337)),"",VALUE(LEFT(F337,1))*VALUE(LEFT(G337,1)))</f>
        <v/>
      </c>
      <c r="I337" s="12">
        <f>IF(ISBLANK(H337),"",IF(H337&gt;=20,"Critical",IF(H337&gt;=15,"High",IF(H337&gt;=8,"Medium","Low"))))</f>
        <v/>
      </c>
    </row>
    <row r="338">
      <c r="B338">
        <f>IF(ISBLANK(A338),"",A338&amp;"-R"&amp;TEXT(COUNTIF($A$2:A338,A338),"00"))</f>
        <v/>
      </c>
      <c r="H338" s="15">
        <f>IF(OR(ISBLANK(F338),ISBLANK(G338)),"",VALUE(LEFT(F338,1))*VALUE(LEFT(G338,1)))</f>
        <v/>
      </c>
      <c r="I338" s="12">
        <f>IF(ISBLANK(H338),"",IF(H338&gt;=20,"Critical",IF(H338&gt;=15,"High",IF(H338&gt;=8,"Medium","Low"))))</f>
        <v/>
      </c>
    </row>
    <row r="339">
      <c r="B339">
        <f>IF(ISBLANK(A339),"",A339&amp;"-R"&amp;TEXT(COUNTIF($A$2:A339,A339),"00"))</f>
        <v/>
      </c>
      <c r="H339" s="15">
        <f>IF(OR(ISBLANK(F339),ISBLANK(G339)),"",VALUE(LEFT(F339,1))*VALUE(LEFT(G339,1)))</f>
        <v/>
      </c>
      <c r="I339" s="12">
        <f>IF(ISBLANK(H339),"",IF(H339&gt;=20,"Critical",IF(H339&gt;=15,"High",IF(H339&gt;=8,"Medium","Low"))))</f>
        <v/>
      </c>
    </row>
    <row r="340">
      <c r="B340">
        <f>IF(ISBLANK(A340),"",A340&amp;"-R"&amp;TEXT(COUNTIF($A$2:A340,A340),"00"))</f>
        <v/>
      </c>
      <c r="H340" s="15">
        <f>IF(OR(ISBLANK(F340),ISBLANK(G340)),"",VALUE(LEFT(F340,1))*VALUE(LEFT(G340,1)))</f>
        <v/>
      </c>
      <c r="I340" s="12">
        <f>IF(ISBLANK(H340),"",IF(H340&gt;=20,"Critical",IF(H340&gt;=15,"High",IF(H340&gt;=8,"Medium","Low"))))</f>
        <v/>
      </c>
    </row>
    <row r="341">
      <c r="B341">
        <f>IF(ISBLANK(A341),"",A341&amp;"-R"&amp;TEXT(COUNTIF($A$2:A341,A341),"00"))</f>
        <v/>
      </c>
      <c r="H341" s="15">
        <f>IF(OR(ISBLANK(F341),ISBLANK(G341)),"",VALUE(LEFT(F341,1))*VALUE(LEFT(G341,1)))</f>
        <v/>
      </c>
      <c r="I341" s="12">
        <f>IF(ISBLANK(H341),"",IF(H341&gt;=20,"Critical",IF(H341&gt;=15,"High",IF(H341&gt;=8,"Medium","Low"))))</f>
        <v/>
      </c>
    </row>
    <row r="342">
      <c r="B342">
        <f>IF(ISBLANK(A342),"",A342&amp;"-R"&amp;TEXT(COUNTIF($A$2:A342,A342),"00"))</f>
        <v/>
      </c>
      <c r="H342" s="15">
        <f>IF(OR(ISBLANK(F342),ISBLANK(G342)),"",VALUE(LEFT(F342,1))*VALUE(LEFT(G342,1)))</f>
        <v/>
      </c>
      <c r="I342" s="12">
        <f>IF(ISBLANK(H342),"",IF(H342&gt;=20,"Critical",IF(H342&gt;=15,"High",IF(H342&gt;=8,"Medium","Low"))))</f>
        <v/>
      </c>
    </row>
    <row r="343">
      <c r="B343">
        <f>IF(ISBLANK(A343),"",A343&amp;"-R"&amp;TEXT(COUNTIF($A$2:A343,A343),"00"))</f>
        <v/>
      </c>
      <c r="H343" s="15">
        <f>IF(OR(ISBLANK(F343),ISBLANK(G343)),"",VALUE(LEFT(F343,1))*VALUE(LEFT(G343,1)))</f>
        <v/>
      </c>
      <c r="I343" s="12">
        <f>IF(ISBLANK(H343),"",IF(H343&gt;=20,"Critical",IF(H343&gt;=15,"High",IF(H343&gt;=8,"Medium","Low"))))</f>
        <v/>
      </c>
    </row>
    <row r="344">
      <c r="B344">
        <f>IF(ISBLANK(A344),"",A344&amp;"-R"&amp;TEXT(COUNTIF($A$2:A344,A344),"00"))</f>
        <v/>
      </c>
      <c r="H344" s="15">
        <f>IF(OR(ISBLANK(F344),ISBLANK(G344)),"",VALUE(LEFT(F344,1))*VALUE(LEFT(G344,1)))</f>
        <v/>
      </c>
      <c r="I344" s="12">
        <f>IF(ISBLANK(H344),"",IF(H344&gt;=20,"Critical",IF(H344&gt;=15,"High",IF(H344&gt;=8,"Medium","Low"))))</f>
        <v/>
      </c>
    </row>
    <row r="345">
      <c r="B345">
        <f>IF(ISBLANK(A345),"",A345&amp;"-R"&amp;TEXT(COUNTIF($A$2:A345,A345),"00"))</f>
        <v/>
      </c>
      <c r="H345" s="15">
        <f>IF(OR(ISBLANK(F345),ISBLANK(G345)),"",VALUE(LEFT(F345,1))*VALUE(LEFT(G345,1)))</f>
        <v/>
      </c>
      <c r="I345" s="12">
        <f>IF(ISBLANK(H345),"",IF(H345&gt;=20,"Critical",IF(H345&gt;=15,"High",IF(H345&gt;=8,"Medium","Low"))))</f>
        <v/>
      </c>
    </row>
    <row r="346">
      <c r="B346">
        <f>IF(ISBLANK(A346),"",A346&amp;"-R"&amp;TEXT(COUNTIF($A$2:A346,A346),"00"))</f>
        <v/>
      </c>
      <c r="H346" s="15">
        <f>IF(OR(ISBLANK(F346),ISBLANK(G346)),"",VALUE(LEFT(F346,1))*VALUE(LEFT(G346,1)))</f>
        <v/>
      </c>
      <c r="I346" s="12">
        <f>IF(ISBLANK(H346),"",IF(H346&gt;=20,"Critical",IF(H346&gt;=15,"High",IF(H346&gt;=8,"Medium","Low"))))</f>
        <v/>
      </c>
    </row>
    <row r="347">
      <c r="B347">
        <f>IF(ISBLANK(A347),"",A347&amp;"-R"&amp;TEXT(COUNTIF($A$2:A347,A347),"00"))</f>
        <v/>
      </c>
      <c r="H347" s="15">
        <f>IF(OR(ISBLANK(F347),ISBLANK(G347)),"",VALUE(LEFT(F347,1))*VALUE(LEFT(G347,1)))</f>
        <v/>
      </c>
      <c r="I347" s="12">
        <f>IF(ISBLANK(H347),"",IF(H347&gt;=20,"Critical",IF(H347&gt;=15,"High",IF(H347&gt;=8,"Medium","Low"))))</f>
        <v/>
      </c>
    </row>
    <row r="348">
      <c r="B348">
        <f>IF(ISBLANK(A348),"",A348&amp;"-R"&amp;TEXT(COUNTIF($A$2:A348,A348),"00"))</f>
        <v/>
      </c>
      <c r="H348" s="15">
        <f>IF(OR(ISBLANK(F348),ISBLANK(G348)),"",VALUE(LEFT(F348,1))*VALUE(LEFT(G348,1)))</f>
        <v/>
      </c>
      <c r="I348" s="12">
        <f>IF(ISBLANK(H348),"",IF(H348&gt;=20,"Critical",IF(H348&gt;=15,"High",IF(H348&gt;=8,"Medium","Low"))))</f>
        <v/>
      </c>
    </row>
    <row r="349">
      <c r="B349">
        <f>IF(ISBLANK(A349),"",A349&amp;"-R"&amp;TEXT(COUNTIF($A$2:A349,A349),"00"))</f>
        <v/>
      </c>
      <c r="H349" s="15">
        <f>IF(OR(ISBLANK(F349),ISBLANK(G349)),"",VALUE(LEFT(F349,1))*VALUE(LEFT(G349,1)))</f>
        <v/>
      </c>
      <c r="I349" s="12">
        <f>IF(ISBLANK(H349),"",IF(H349&gt;=20,"Critical",IF(H349&gt;=15,"High",IF(H349&gt;=8,"Medium","Low"))))</f>
        <v/>
      </c>
    </row>
    <row r="350">
      <c r="B350">
        <f>IF(ISBLANK(A350),"",A350&amp;"-R"&amp;TEXT(COUNTIF($A$2:A350,A350),"00"))</f>
        <v/>
      </c>
      <c r="H350" s="15">
        <f>IF(OR(ISBLANK(F350),ISBLANK(G350)),"",VALUE(LEFT(F350,1))*VALUE(LEFT(G350,1)))</f>
        <v/>
      </c>
      <c r="I350" s="12">
        <f>IF(ISBLANK(H350),"",IF(H350&gt;=20,"Critical",IF(H350&gt;=15,"High",IF(H350&gt;=8,"Medium","Low"))))</f>
        <v/>
      </c>
    </row>
    <row r="351">
      <c r="B351">
        <f>IF(ISBLANK(A351),"",A351&amp;"-R"&amp;TEXT(COUNTIF($A$2:A351,A351),"00"))</f>
        <v/>
      </c>
      <c r="H351" s="15">
        <f>IF(OR(ISBLANK(F351),ISBLANK(G351)),"",VALUE(LEFT(F351,1))*VALUE(LEFT(G351,1)))</f>
        <v/>
      </c>
      <c r="I351" s="12">
        <f>IF(ISBLANK(H351),"",IF(H351&gt;=20,"Critical",IF(H351&gt;=15,"High",IF(H351&gt;=8,"Medium","Low"))))</f>
        <v/>
      </c>
    </row>
    <row r="352">
      <c r="B352">
        <f>IF(ISBLANK(A352),"",A352&amp;"-R"&amp;TEXT(COUNTIF($A$2:A352,A352),"00"))</f>
        <v/>
      </c>
      <c r="H352" s="15">
        <f>IF(OR(ISBLANK(F352),ISBLANK(G352)),"",VALUE(LEFT(F352,1))*VALUE(LEFT(G352,1)))</f>
        <v/>
      </c>
      <c r="I352" s="12">
        <f>IF(ISBLANK(H352),"",IF(H352&gt;=20,"Critical",IF(H352&gt;=15,"High",IF(H352&gt;=8,"Medium","Low"))))</f>
        <v/>
      </c>
    </row>
    <row r="353">
      <c r="B353">
        <f>IF(ISBLANK(A353),"",A353&amp;"-R"&amp;TEXT(COUNTIF($A$2:A353,A353),"00"))</f>
        <v/>
      </c>
      <c r="H353" s="15">
        <f>IF(OR(ISBLANK(F353),ISBLANK(G353)),"",VALUE(LEFT(F353,1))*VALUE(LEFT(G353,1)))</f>
        <v/>
      </c>
      <c r="I353" s="12">
        <f>IF(ISBLANK(H353),"",IF(H353&gt;=20,"Critical",IF(H353&gt;=15,"High",IF(H353&gt;=8,"Medium","Low"))))</f>
        <v/>
      </c>
    </row>
    <row r="354">
      <c r="B354">
        <f>IF(ISBLANK(A354),"",A354&amp;"-R"&amp;TEXT(COUNTIF($A$2:A354,A354),"00"))</f>
        <v/>
      </c>
      <c r="H354" s="15">
        <f>IF(OR(ISBLANK(F354),ISBLANK(G354)),"",VALUE(LEFT(F354,1))*VALUE(LEFT(G354,1)))</f>
        <v/>
      </c>
      <c r="I354" s="12">
        <f>IF(ISBLANK(H354),"",IF(H354&gt;=20,"Critical",IF(H354&gt;=15,"High",IF(H354&gt;=8,"Medium","Low"))))</f>
        <v/>
      </c>
    </row>
    <row r="355">
      <c r="B355">
        <f>IF(ISBLANK(A355),"",A355&amp;"-R"&amp;TEXT(COUNTIF($A$2:A355,A355),"00"))</f>
        <v/>
      </c>
      <c r="H355" s="15">
        <f>IF(OR(ISBLANK(F355),ISBLANK(G355)),"",VALUE(LEFT(F355,1))*VALUE(LEFT(G355,1)))</f>
        <v/>
      </c>
      <c r="I355" s="12">
        <f>IF(ISBLANK(H355),"",IF(H355&gt;=20,"Critical",IF(H355&gt;=15,"High",IF(H355&gt;=8,"Medium","Low"))))</f>
        <v/>
      </c>
    </row>
    <row r="356">
      <c r="B356">
        <f>IF(ISBLANK(A356),"",A356&amp;"-R"&amp;TEXT(COUNTIF($A$2:A356,A356),"00"))</f>
        <v/>
      </c>
      <c r="H356" s="15">
        <f>IF(OR(ISBLANK(F356),ISBLANK(G356)),"",VALUE(LEFT(F356,1))*VALUE(LEFT(G356,1)))</f>
        <v/>
      </c>
      <c r="I356" s="12">
        <f>IF(ISBLANK(H356),"",IF(H356&gt;=20,"Critical",IF(H356&gt;=15,"High",IF(H356&gt;=8,"Medium","Low"))))</f>
        <v/>
      </c>
    </row>
    <row r="357">
      <c r="B357">
        <f>IF(ISBLANK(A357),"",A357&amp;"-R"&amp;TEXT(COUNTIF($A$2:A357,A357),"00"))</f>
        <v/>
      </c>
      <c r="H357" s="15">
        <f>IF(OR(ISBLANK(F357),ISBLANK(G357)),"",VALUE(LEFT(F357,1))*VALUE(LEFT(G357,1)))</f>
        <v/>
      </c>
      <c r="I357" s="12">
        <f>IF(ISBLANK(H357),"",IF(H357&gt;=20,"Critical",IF(H357&gt;=15,"High",IF(H357&gt;=8,"Medium","Low"))))</f>
        <v/>
      </c>
    </row>
    <row r="358">
      <c r="B358">
        <f>IF(ISBLANK(A358),"",A358&amp;"-R"&amp;TEXT(COUNTIF($A$2:A358,A358),"00"))</f>
        <v/>
      </c>
      <c r="H358" s="15">
        <f>IF(OR(ISBLANK(F358),ISBLANK(G358)),"",VALUE(LEFT(F358,1))*VALUE(LEFT(G358,1)))</f>
        <v/>
      </c>
      <c r="I358" s="12">
        <f>IF(ISBLANK(H358),"",IF(H358&gt;=20,"Critical",IF(H358&gt;=15,"High",IF(H358&gt;=8,"Medium","Low"))))</f>
        <v/>
      </c>
    </row>
    <row r="359">
      <c r="B359">
        <f>IF(ISBLANK(A359),"",A359&amp;"-R"&amp;TEXT(COUNTIF($A$2:A359,A359),"00"))</f>
        <v/>
      </c>
      <c r="H359" s="15">
        <f>IF(OR(ISBLANK(F359),ISBLANK(G359)),"",VALUE(LEFT(F359,1))*VALUE(LEFT(G359,1)))</f>
        <v/>
      </c>
      <c r="I359" s="12">
        <f>IF(ISBLANK(H359),"",IF(H359&gt;=20,"Critical",IF(H359&gt;=15,"High",IF(H359&gt;=8,"Medium","Low"))))</f>
        <v/>
      </c>
    </row>
    <row r="360">
      <c r="B360">
        <f>IF(ISBLANK(A360),"",A360&amp;"-R"&amp;TEXT(COUNTIF($A$2:A360,A360),"00"))</f>
        <v/>
      </c>
      <c r="H360" s="15">
        <f>IF(OR(ISBLANK(F360),ISBLANK(G360)),"",VALUE(LEFT(F360,1))*VALUE(LEFT(G360,1)))</f>
        <v/>
      </c>
      <c r="I360" s="12">
        <f>IF(ISBLANK(H360),"",IF(H360&gt;=20,"Critical",IF(H360&gt;=15,"High",IF(H360&gt;=8,"Medium","Low"))))</f>
        <v/>
      </c>
    </row>
    <row r="361">
      <c r="B361">
        <f>IF(ISBLANK(A361),"",A361&amp;"-R"&amp;TEXT(COUNTIF($A$2:A361,A361),"00"))</f>
        <v/>
      </c>
      <c r="H361" s="15">
        <f>IF(OR(ISBLANK(F361),ISBLANK(G361)),"",VALUE(LEFT(F361,1))*VALUE(LEFT(G361,1)))</f>
        <v/>
      </c>
      <c r="I361" s="12">
        <f>IF(ISBLANK(H361),"",IF(H361&gt;=20,"Critical",IF(H361&gt;=15,"High",IF(H361&gt;=8,"Medium","Low"))))</f>
        <v/>
      </c>
    </row>
    <row r="362">
      <c r="B362">
        <f>IF(ISBLANK(A362),"",A362&amp;"-R"&amp;TEXT(COUNTIF($A$2:A362,A362),"00"))</f>
        <v/>
      </c>
      <c r="H362" s="15">
        <f>IF(OR(ISBLANK(F362),ISBLANK(G362)),"",VALUE(LEFT(F362,1))*VALUE(LEFT(G362,1)))</f>
        <v/>
      </c>
      <c r="I362" s="12">
        <f>IF(ISBLANK(H362),"",IF(H362&gt;=20,"Critical",IF(H362&gt;=15,"High",IF(H362&gt;=8,"Medium","Low"))))</f>
        <v/>
      </c>
    </row>
    <row r="363">
      <c r="B363">
        <f>IF(ISBLANK(A363),"",A363&amp;"-R"&amp;TEXT(COUNTIF($A$2:A363,A363),"00"))</f>
        <v/>
      </c>
      <c r="H363" s="15">
        <f>IF(OR(ISBLANK(F363),ISBLANK(G363)),"",VALUE(LEFT(F363,1))*VALUE(LEFT(G363,1)))</f>
        <v/>
      </c>
      <c r="I363" s="12">
        <f>IF(ISBLANK(H363),"",IF(H363&gt;=20,"Critical",IF(H363&gt;=15,"High",IF(H363&gt;=8,"Medium","Low"))))</f>
        <v/>
      </c>
    </row>
    <row r="364">
      <c r="B364">
        <f>IF(ISBLANK(A364),"",A364&amp;"-R"&amp;TEXT(COUNTIF($A$2:A364,A364),"00"))</f>
        <v/>
      </c>
      <c r="H364" s="15">
        <f>IF(OR(ISBLANK(F364),ISBLANK(G364)),"",VALUE(LEFT(F364,1))*VALUE(LEFT(G364,1)))</f>
        <v/>
      </c>
      <c r="I364" s="12">
        <f>IF(ISBLANK(H364),"",IF(H364&gt;=20,"Critical",IF(H364&gt;=15,"High",IF(H364&gt;=8,"Medium","Low"))))</f>
        <v/>
      </c>
    </row>
    <row r="365">
      <c r="B365">
        <f>IF(ISBLANK(A365),"",A365&amp;"-R"&amp;TEXT(COUNTIF($A$2:A365,A365),"00"))</f>
        <v/>
      </c>
      <c r="H365" s="15">
        <f>IF(OR(ISBLANK(F365),ISBLANK(G365)),"",VALUE(LEFT(F365,1))*VALUE(LEFT(G365,1)))</f>
        <v/>
      </c>
      <c r="I365" s="12">
        <f>IF(ISBLANK(H365),"",IF(H365&gt;=20,"Critical",IF(H365&gt;=15,"High",IF(H365&gt;=8,"Medium","Low"))))</f>
        <v/>
      </c>
    </row>
    <row r="366">
      <c r="B366">
        <f>IF(ISBLANK(A366),"",A366&amp;"-R"&amp;TEXT(COUNTIF($A$2:A366,A366),"00"))</f>
        <v/>
      </c>
      <c r="H366" s="15">
        <f>IF(OR(ISBLANK(F366),ISBLANK(G366)),"",VALUE(LEFT(F366,1))*VALUE(LEFT(G366,1)))</f>
        <v/>
      </c>
      <c r="I366" s="12">
        <f>IF(ISBLANK(H366),"",IF(H366&gt;=20,"Critical",IF(H366&gt;=15,"High",IF(H366&gt;=8,"Medium","Low"))))</f>
        <v/>
      </c>
    </row>
    <row r="367">
      <c r="B367">
        <f>IF(ISBLANK(A367),"",A367&amp;"-R"&amp;TEXT(COUNTIF($A$2:A367,A367),"00"))</f>
        <v/>
      </c>
      <c r="H367" s="15">
        <f>IF(OR(ISBLANK(F367),ISBLANK(G367)),"",VALUE(LEFT(F367,1))*VALUE(LEFT(G367,1)))</f>
        <v/>
      </c>
      <c r="I367" s="12">
        <f>IF(ISBLANK(H367),"",IF(H367&gt;=20,"Critical",IF(H367&gt;=15,"High",IF(H367&gt;=8,"Medium","Low"))))</f>
        <v/>
      </c>
    </row>
    <row r="368">
      <c r="B368">
        <f>IF(ISBLANK(A368),"",A368&amp;"-R"&amp;TEXT(COUNTIF($A$2:A368,A368),"00"))</f>
        <v/>
      </c>
      <c r="H368" s="15">
        <f>IF(OR(ISBLANK(F368),ISBLANK(G368)),"",VALUE(LEFT(F368,1))*VALUE(LEFT(G368,1)))</f>
        <v/>
      </c>
      <c r="I368" s="12">
        <f>IF(ISBLANK(H368),"",IF(H368&gt;=20,"Critical",IF(H368&gt;=15,"High",IF(H368&gt;=8,"Medium","Low"))))</f>
        <v/>
      </c>
    </row>
    <row r="369">
      <c r="B369">
        <f>IF(ISBLANK(A369),"",A369&amp;"-R"&amp;TEXT(COUNTIF($A$2:A369,A369),"00"))</f>
        <v/>
      </c>
      <c r="H369" s="15">
        <f>IF(OR(ISBLANK(F369),ISBLANK(G369)),"",VALUE(LEFT(F369,1))*VALUE(LEFT(G369,1)))</f>
        <v/>
      </c>
      <c r="I369" s="12">
        <f>IF(ISBLANK(H369),"",IF(H369&gt;=20,"Critical",IF(H369&gt;=15,"High",IF(H369&gt;=8,"Medium","Low"))))</f>
        <v/>
      </c>
    </row>
    <row r="370">
      <c r="B370">
        <f>IF(ISBLANK(A370),"",A370&amp;"-R"&amp;TEXT(COUNTIF($A$2:A370,A370),"00"))</f>
        <v/>
      </c>
      <c r="H370" s="15">
        <f>IF(OR(ISBLANK(F370),ISBLANK(G370)),"",VALUE(LEFT(F370,1))*VALUE(LEFT(G370,1)))</f>
        <v/>
      </c>
      <c r="I370" s="12">
        <f>IF(ISBLANK(H370),"",IF(H370&gt;=20,"Critical",IF(H370&gt;=15,"High",IF(H370&gt;=8,"Medium","Low"))))</f>
        <v/>
      </c>
    </row>
    <row r="371">
      <c r="B371">
        <f>IF(ISBLANK(A371),"",A371&amp;"-R"&amp;TEXT(COUNTIF($A$2:A371,A371),"00"))</f>
        <v/>
      </c>
      <c r="H371" s="15">
        <f>IF(OR(ISBLANK(F371),ISBLANK(G371)),"",VALUE(LEFT(F371,1))*VALUE(LEFT(G371,1)))</f>
        <v/>
      </c>
      <c r="I371" s="12">
        <f>IF(ISBLANK(H371),"",IF(H371&gt;=20,"Critical",IF(H371&gt;=15,"High",IF(H371&gt;=8,"Medium","Low"))))</f>
        <v/>
      </c>
    </row>
    <row r="372">
      <c r="B372">
        <f>IF(ISBLANK(A372),"",A372&amp;"-R"&amp;TEXT(COUNTIF($A$2:A372,A372),"00"))</f>
        <v/>
      </c>
      <c r="H372" s="15">
        <f>IF(OR(ISBLANK(F372),ISBLANK(G372)),"",VALUE(LEFT(F372,1))*VALUE(LEFT(G372,1)))</f>
        <v/>
      </c>
      <c r="I372" s="12">
        <f>IF(ISBLANK(H372),"",IF(H372&gt;=20,"Critical",IF(H372&gt;=15,"High",IF(H372&gt;=8,"Medium","Low"))))</f>
        <v/>
      </c>
    </row>
    <row r="373">
      <c r="B373">
        <f>IF(ISBLANK(A373),"",A373&amp;"-R"&amp;TEXT(COUNTIF($A$2:A373,A373),"00"))</f>
        <v/>
      </c>
      <c r="H373" s="15">
        <f>IF(OR(ISBLANK(F373),ISBLANK(G373)),"",VALUE(LEFT(F373,1))*VALUE(LEFT(G373,1)))</f>
        <v/>
      </c>
      <c r="I373" s="12">
        <f>IF(ISBLANK(H373),"",IF(H373&gt;=20,"Critical",IF(H373&gt;=15,"High",IF(H373&gt;=8,"Medium","Low"))))</f>
        <v/>
      </c>
    </row>
    <row r="374">
      <c r="B374">
        <f>IF(ISBLANK(A374),"",A374&amp;"-R"&amp;TEXT(COUNTIF($A$2:A374,A374),"00"))</f>
        <v/>
      </c>
      <c r="H374" s="15">
        <f>IF(OR(ISBLANK(F374),ISBLANK(G374)),"",VALUE(LEFT(F374,1))*VALUE(LEFT(G374,1)))</f>
        <v/>
      </c>
      <c r="I374" s="12">
        <f>IF(ISBLANK(H374),"",IF(H374&gt;=20,"Critical",IF(H374&gt;=15,"High",IF(H374&gt;=8,"Medium","Low"))))</f>
        <v/>
      </c>
    </row>
    <row r="375">
      <c r="B375">
        <f>IF(ISBLANK(A375),"",A375&amp;"-R"&amp;TEXT(COUNTIF($A$2:A375,A375),"00"))</f>
        <v/>
      </c>
      <c r="H375" s="15">
        <f>IF(OR(ISBLANK(F375),ISBLANK(G375)),"",VALUE(LEFT(F375,1))*VALUE(LEFT(G375,1)))</f>
        <v/>
      </c>
      <c r="I375" s="12">
        <f>IF(ISBLANK(H375),"",IF(H375&gt;=20,"Critical",IF(H375&gt;=15,"High",IF(H375&gt;=8,"Medium","Low"))))</f>
        <v/>
      </c>
    </row>
    <row r="376">
      <c r="B376">
        <f>IF(ISBLANK(A376),"",A376&amp;"-R"&amp;TEXT(COUNTIF($A$2:A376,A376),"00"))</f>
        <v/>
      </c>
      <c r="H376" s="15">
        <f>IF(OR(ISBLANK(F376),ISBLANK(G376)),"",VALUE(LEFT(F376,1))*VALUE(LEFT(G376,1)))</f>
        <v/>
      </c>
      <c r="I376" s="12">
        <f>IF(ISBLANK(H376),"",IF(H376&gt;=20,"Critical",IF(H376&gt;=15,"High",IF(H376&gt;=8,"Medium","Low"))))</f>
        <v/>
      </c>
    </row>
    <row r="377">
      <c r="B377">
        <f>IF(ISBLANK(A377),"",A377&amp;"-R"&amp;TEXT(COUNTIF($A$2:A377,A377),"00"))</f>
        <v/>
      </c>
      <c r="H377" s="15">
        <f>IF(OR(ISBLANK(F377),ISBLANK(G377)),"",VALUE(LEFT(F377,1))*VALUE(LEFT(G377,1)))</f>
        <v/>
      </c>
      <c r="I377" s="12">
        <f>IF(ISBLANK(H377),"",IF(H377&gt;=20,"Critical",IF(H377&gt;=15,"High",IF(H377&gt;=8,"Medium","Low"))))</f>
        <v/>
      </c>
    </row>
    <row r="378">
      <c r="B378">
        <f>IF(ISBLANK(A378),"",A378&amp;"-R"&amp;TEXT(COUNTIF($A$2:A378,A378),"00"))</f>
        <v/>
      </c>
      <c r="H378" s="15">
        <f>IF(OR(ISBLANK(F378),ISBLANK(G378)),"",VALUE(LEFT(F378,1))*VALUE(LEFT(G378,1)))</f>
        <v/>
      </c>
      <c r="I378" s="12">
        <f>IF(ISBLANK(H378),"",IF(H378&gt;=20,"Critical",IF(H378&gt;=15,"High",IF(H378&gt;=8,"Medium","Low"))))</f>
        <v/>
      </c>
    </row>
    <row r="379">
      <c r="B379">
        <f>IF(ISBLANK(A379),"",A379&amp;"-R"&amp;TEXT(COUNTIF($A$2:A379,A379),"00"))</f>
        <v/>
      </c>
      <c r="H379" s="15">
        <f>IF(OR(ISBLANK(F379),ISBLANK(G379)),"",VALUE(LEFT(F379,1))*VALUE(LEFT(G379,1)))</f>
        <v/>
      </c>
      <c r="I379" s="12">
        <f>IF(ISBLANK(H379),"",IF(H379&gt;=20,"Critical",IF(H379&gt;=15,"High",IF(H379&gt;=8,"Medium","Low"))))</f>
        <v/>
      </c>
    </row>
    <row r="380">
      <c r="B380">
        <f>IF(ISBLANK(A380),"",A380&amp;"-R"&amp;TEXT(COUNTIF($A$2:A380,A380),"00"))</f>
        <v/>
      </c>
      <c r="H380" s="15">
        <f>IF(OR(ISBLANK(F380),ISBLANK(G380)),"",VALUE(LEFT(F380,1))*VALUE(LEFT(G380,1)))</f>
        <v/>
      </c>
      <c r="I380" s="12">
        <f>IF(ISBLANK(H380),"",IF(H380&gt;=20,"Critical",IF(H380&gt;=15,"High",IF(H380&gt;=8,"Medium","Low"))))</f>
        <v/>
      </c>
    </row>
    <row r="381">
      <c r="B381">
        <f>IF(ISBLANK(A381),"",A381&amp;"-R"&amp;TEXT(COUNTIF($A$2:A381,A381),"00"))</f>
        <v/>
      </c>
      <c r="H381" s="15">
        <f>IF(OR(ISBLANK(F381),ISBLANK(G381)),"",VALUE(LEFT(F381,1))*VALUE(LEFT(G381,1)))</f>
        <v/>
      </c>
      <c r="I381" s="12">
        <f>IF(ISBLANK(H381),"",IF(H381&gt;=20,"Critical",IF(H381&gt;=15,"High",IF(H381&gt;=8,"Medium","Low"))))</f>
        <v/>
      </c>
    </row>
    <row r="382">
      <c r="B382">
        <f>IF(ISBLANK(A382),"",A382&amp;"-R"&amp;TEXT(COUNTIF($A$2:A382,A382),"00"))</f>
        <v/>
      </c>
      <c r="H382" s="15">
        <f>IF(OR(ISBLANK(F382),ISBLANK(G382)),"",VALUE(LEFT(F382,1))*VALUE(LEFT(G382,1)))</f>
        <v/>
      </c>
      <c r="I382" s="12">
        <f>IF(ISBLANK(H382),"",IF(H382&gt;=20,"Critical",IF(H382&gt;=15,"High",IF(H382&gt;=8,"Medium","Low"))))</f>
        <v/>
      </c>
    </row>
    <row r="383">
      <c r="B383">
        <f>IF(ISBLANK(A383),"",A383&amp;"-R"&amp;TEXT(COUNTIF($A$2:A383,A383),"00"))</f>
        <v/>
      </c>
      <c r="H383" s="15">
        <f>IF(OR(ISBLANK(F383),ISBLANK(G383)),"",VALUE(LEFT(F383,1))*VALUE(LEFT(G383,1)))</f>
        <v/>
      </c>
      <c r="I383" s="12">
        <f>IF(ISBLANK(H383),"",IF(H383&gt;=20,"Critical",IF(H383&gt;=15,"High",IF(H383&gt;=8,"Medium","Low"))))</f>
        <v/>
      </c>
    </row>
    <row r="384">
      <c r="B384">
        <f>IF(ISBLANK(A384),"",A384&amp;"-R"&amp;TEXT(COUNTIF($A$2:A384,A384),"00"))</f>
        <v/>
      </c>
      <c r="H384" s="15">
        <f>IF(OR(ISBLANK(F384),ISBLANK(G384)),"",VALUE(LEFT(F384,1))*VALUE(LEFT(G384,1)))</f>
        <v/>
      </c>
      <c r="I384" s="12">
        <f>IF(ISBLANK(H384),"",IF(H384&gt;=20,"Critical",IF(H384&gt;=15,"High",IF(H384&gt;=8,"Medium","Low"))))</f>
        <v/>
      </c>
    </row>
    <row r="385">
      <c r="B385">
        <f>IF(ISBLANK(A385),"",A385&amp;"-R"&amp;TEXT(COUNTIF($A$2:A385,A385),"00"))</f>
        <v/>
      </c>
      <c r="H385" s="15">
        <f>IF(OR(ISBLANK(F385),ISBLANK(G385)),"",VALUE(LEFT(F385,1))*VALUE(LEFT(G385,1)))</f>
        <v/>
      </c>
      <c r="I385" s="12">
        <f>IF(ISBLANK(H385),"",IF(H385&gt;=20,"Critical",IF(H385&gt;=15,"High",IF(H385&gt;=8,"Medium","Low"))))</f>
        <v/>
      </c>
    </row>
    <row r="386">
      <c r="B386">
        <f>IF(ISBLANK(A386),"",A386&amp;"-R"&amp;TEXT(COUNTIF($A$2:A386,A386),"00"))</f>
        <v/>
      </c>
      <c r="H386" s="15">
        <f>IF(OR(ISBLANK(F386),ISBLANK(G386)),"",VALUE(LEFT(F386,1))*VALUE(LEFT(G386,1)))</f>
        <v/>
      </c>
      <c r="I386" s="12">
        <f>IF(ISBLANK(H386),"",IF(H386&gt;=20,"Critical",IF(H386&gt;=15,"High",IF(H386&gt;=8,"Medium","Low"))))</f>
        <v/>
      </c>
    </row>
    <row r="387">
      <c r="B387">
        <f>IF(ISBLANK(A387),"",A387&amp;"-R"&amp;TEXT(COUNTIF($A$2:A387,A387),"00"))</f>
        <v/>
      </c>
      <c r="H387" s="15">
        <f>IF(OR(ISBLANK(F387),ISBLANK(G387)),"",VALUE(LEFT(F387,1))*VALUE(LEFT(G387,1)))</f>
        <v/>
      </c>
      <c r="I387" s="12">
        <f>IF(ISBLANK(H387),"",IF(H387&gt;=20,"Critical",IF(H387&gt;=15,"High",IF(H387&gt;=8,"Medium","Low"))))</f>
        <v/>
      </c>
    </row>
    <row r="388">
      <c r="B388">
        <f>IF(ISBLANK(A388),"",A388&amp;"-R"&amp;TEXT(COUNTIF($A$2:A388,A388),"00"))</f>
        <v/>
      </c>
      <c r="H388" s="15">
        <f>IF(OR(ISBLANK(F388),ISBLANK(G388)),"",VALUE(LEFT(F388,1))*VALUE(LEFT(G388,1)))</f>
        <v/>
      </c>
      <c r="I388" s="12">
        <f>IF(ISBLANK(H388),"",IF(H388&gt;=20,"Critical",IF(H388&gt;=15,"High",IF(H388&gt;=8,"Medium","Low"))))</f>
        <v/>
      </c>
    </row>
    <row r="389">
      <c r="B389">
        <f>IF(ISBLANK(A389),"",A389&amp;"-R"&amp;TEXT(COUNTIF($A$2:A389,A389),"00"))</f>
        <v/>
      </c>
      <c r="H389" s="15">
        <f>IF(OR(ISBLANK(F389),ISBLANK(G389)),"",VALUE(LEFT(F389,1))*VALUE(LEFT(G389,1)))</f>
        <v/>
      </c>
      <c r="I389" s="12">
        <f>IF(ISBLANK(H389),"",IF(H389&gt;=20,"Critical",IF(H389&gt;=15,"High",IF(H389&gt;=8,"Medium","Low"))))</f>
        <v/>
      </c>
    </row>
    <row r="390">
      <c r="B390">
        <f>IF(ISBLANK(A390),"",A390&amp;"-R"&amp;TEXT(COUNTIF($A$2:A390,A390),"00"))</f>
        <v/>
      </c>
      <c r="H390" s="15">
        <f>IF(OR(ISBLANK(F390),ISBLANK(G390)),"",VALUE(LEFT(F390,1))*VALUE(LEFT(G390,1)))</f>
        <v/>
      </c>
      <c r="I390" s="12">
        <f>IF(ISBLANK(H390),"",IF(H390&gt;=20,"Critical",IF(H390&gt;=15,"High",IF(H390&gt;=8,"Medium","Low"))))</f>
        <v/>
      </c>
    </row>
    <row r="391">
      <c r="B391">
        <f>IF(ISBLANK(A391),"",A391&amp;"-R"&amp;TEXT(COUNTIF($A$2:A391,A391),"00"))</f>
        <v/>
      </c>
      <c r="H391" s="15">
        <f>IF(OR(ISBLANK(F391),ISBLANK(G391)),"",VALUE(LEFT(F391,1))*VALUE(LEFT(G391,1)))</f>
        <v/>
      </c>
      <c r="I391" s="12">
        <f>IF(ISBLANK(H391),"",IF(H391&gt;=20,"Critical",IF(H391&gt;=15,"High",IF(H391&gt;=8,"Medium","Low"))))</f>
        <v/>
      </c>
    </row>
    <row r="392">
      <c r="B392">
        <f>IF(ISBLANK(A392),"",A392&amp;"-R"&amp;TEXT(COUNTIF($A$2:A392,A392),"00"))</f>
        <v/>
      </c>
      <c r="H392" s="15">
        <f>IF(OR(ISBLANK(F392),ISBLANK(G392)),"",VALUE(LEFT(F392,1))*VALUE(LEFT(G392,1)))</f>
        <v/>
      </c>
      <c r="I392" s="12">
        <f>IF(ISBLANK(H392),"",IF(H392&gt;=20,"Critical",IF(H392&gt;=15,"High",IF(H392&gt;=8,"Medium","Low"))))</f>
        <v/>
      </c>
    </row>
    <row r="393">
      <c r="B393">
        <f>IF(ISBLANK(A393),"",A393&amp;"-R"&amp;TEXT(COUNTIF($A$2:A393,A393),"00"))</f>
        <v/>
      </c>
      <c r="H393" s="15">
        <f>IF(OR(ISBLANK(F393),ISBLANK(G393)),"",VALUE(LEFT(F393,1))*VALUE(LEFT(G393,1)))</f>
        <v/>
      </c>
      <c r="I393" s="12">
        <f>IF(ISBLANK(H393),"",IF(H393&gt;=20,"Critical",IF(H393&gt;=15,"High",IF(H393&gt;=8,"Medium","Low"))))</f>
        <v/>
      </c>
    </row>
    <row r="394">
      <c r="B394">
        <f>IF(ISBLANK(A394),"",A394&amp;"-R"&amp;TEXT(COUNTIF($A$2:A394,A394),"00"))</f>
        <v/>
      </c>
      <c r="H394" s="15">
        <f>IF(OR(ISBLANK(F394),ISBLANK(G394)),"",VALUE(LEFT(F394,1))*VALUE(LEFT(G394,1)))</f>
        <v/>
      </c>
      <c r="I394" s="12">
        <f>IF(ISBLANK(H394),"",IF(H394&gt;=20,"Critical",IF(H394&gt;=15,"High",IF(H394&gt;=8,"Medium","Low"))))</f>
        <v/>
      </c>
    </row>
    <row r="395">
      <c r="B395">
        <f>IF(ISBLANK(A395),"",A395&amp;"-R"&amp;TEXT(COUNTIF($A$2:A395,A395),"00"))</f>
        <v/>
      </c>
      <c r="H395" s="15">
        <f>IF(OR(ISBLANK(F395),ISBLANK(G395)),"",VALUE(LEFT(F395,1))*VALUE(LEFT(G395,1)))</f>
        <v/>
      </c>
      <c r="I395" s="12">
        <f>IF(ISBLANK(H395),"",IF(H395&gt;=20,"Critical",IF(H395&gt;=15,"High",IF(H395&gt;=8,"Medium","Low"))))</f>
        <v/>
      </c>
    </row>
    <row r="396">
      <c r="B396">
        <f>IF(ISBLANK(A396),"",A396&amp;"-R"&amp;TEXT(COUNTIF($A$2:A396,A396),"00"))</f>
        <v/>
      </c>
      <c r="H396" s="15">
        <f>IF(OR(ISBLANK(F396),ISBLANK(G396)),"",VALUE(LEFT(F396,1))*VALUE(LEFT(G396,1)))</f>
        <v/>
      </c>
      <c r="I396" s="12">
        <f>IF(ISBLANK(H396),"",IF(H396&gt;=20,"Critical",IF(H396&gt;=15,"High",IF(H396&gt;=8,"Medium","Low"))))</f>
        <v/>
      </c>
    </row>
    <row r="397">
      <c r="B397">
        <f>IF(ISBLANK(A397),"",A397&amp;"-R"&amp;TEXT(COUNTIF($A$2:A397,A397),"00"))</f>
        <v/>
      </c>
      <c r="H397" s="15">
        <f>IF(OR(ISBLANK(F397),ISBLANK(G397)),"",VALUE(LEFT(F397,1))*VALUE(LEFT(G397,1)))</f>
        <v/>
      </c>
      <c r="I397" s="12">
        <f>IF(ISBLANK(H397),"",IF(H397&gt;=20,"Critical",IF(H397&gt;=15,"High",IF(H397&gt;=8,"Medium","Low"))))</f>
        <v/>
      </c>
    </row>
    <row r="398">
      <c r="B398">
        <f>IF(ISBLANK(A398),"",A398&amp;"-R"&amp;TEXT(COUNTIF($A$2:A398,A398),"00"))</f>
        <v/>
      </c>
      <c r="H398" s="15">
        <f>IF(OR(ISBLANK(F398),ISBLANK(G398)),"",VALUE(LEFT(F398,1))*VALUE(LEFT(G398,1)))</f>
        <v/>
      </c>
      <c r="I398" s="12">
        <f>IF(ISBLANK(H398),"",IF(H398&gt;=20,"Critical",IF(H398&gt;=15,"High",IF(H398&gt;=8,"Medium","Low"))))</f>
        <v/>
      </c>
    </row>
    <row r="399">
      <c r="B399">
        <f>IF(ISBLANK(A399),"",A399&amp;"-R"&amp;TEXT(COUNTIF($A$2:A399,A399),"00"))</f>
        <v/>
      </c>
      <c r="H399" s="15">
        <f>IF(OR(ISBLANK(F399),ISBLANK(G399)),"",VALUE(LEFT(F399,1))*VALUE(LEFT(G399,1)))</f>
        <v/>
      </c>
      <c r="I399" s="12">
        <f>IF(ISBLANK(H399),"",IF(H399&gt;=20,"Critical",IF(H399&gt;=15,"High",IF(H399&gt;=8,"Medium","Low"))))</f>
        <v/>
      </c>
    </row>
    <row r="400">
      <c r="B400">
        <f>IF(ISBLANK(A400),"",A400&amp;"-R"&amp;TEXT(COUNTIF($A$2:A400,A400),"00"))</f>
        <v/>
      </c>
      <c r="H400" s="15">
        <f>IF(OR(ISBLANK(F400),ISBLANK(G400)),"",VALUE(LEFT(F400,1))*VALUE(LEFT(G400,1)))</f>
        <v/>
      </c>
      <c r="I400" s="12">
        <f>IF(ISBLANK(H400),"",IF(H400&gt;=20,"Critical",IF(H400&gt;=15,"High",IF(H400&gt;=8,"Medium","Low"))))</f>
        <v/>
      </c>
    </row>
    <row r="401">
      <c r="B401">
        <f>IF(ISBLANK(A401),"",A401&amp;"-R"&amp;TEXT(COUNTIF($A$2:A401,A401),"00"))</f>
        <v/>
      </c>
      <c r="H401" s="15">
        <f>IF(OR(ISBLANK(F401),ISBLANK(G401)),"",VALUE(LEFT(F401,1))*VALUE(LEFT(G401,1)))</f>
        <v/>
      </c>
      <c r="I401" s="12">
        <f>IF(ISBLANK(H401),"",IF(H401&gt;=20,"Critical",IF(H401&gt;=15,"High",IF(H401&gt;=8,"Medium","Low"))))</f>
        <v/>
      </c>
    </row>
    <row r="402">
      <c r="B402">
        <f>IF(ISBLANK(A402),"",A402&amp;"-R"&amp;TEXT(COUNTIF($A$2:A402,A402),"00"))</f>
        <v/>
      </c>
      <c r="H402" s="15">
        <f>IF(OR(ISBLANK(F402),ISBLANK(G402)),"",VALUE(LEFT(F402,1))*VALUE(LEFT(G402,1)))</f>
        <v/>
      </c>
      <c r="I402" s="12">
        <f>IF(ISBLANK(H402),"",IF(H402&gt;=20,"Critical",IF(H402&gt;=15,"High",IF(H402&gt;=8,"Medium","Low"))))</f>
        <v/>
      </c>
    </row>
    <row r="403">
      <c r="B403">
        <f>IF(ISBLANK(A403),"",A403&amp;"-R"&amp;TEXT(COUNTIF($A$2:A403,A403),"00"))</f>
        <v/>
      </c>
      <c r="H403" s="15">
        <f>IF(OR(ISBLANK(F403),ISBLANK(G403)),"",VALUE(LEFT(F403,1))*VALUE(LEFT(G403,1)))</f>
        <v/>
      </c>
      <c r="I403" s="12">
        <f>IF(ISBLANK(H403),"",IF(H403&gt;=20,"Critical",IF(H403&gt;=15,"High",IF(H403&gt;=8,"Medium","Low"))))</f>
        <v/>
      </c>
    </row>
    <row r="404">
      <c r="B404">
        <f>IF(ISBLANK(A404),"",A404&amp;"-R"&amp;TEXT(COUNTIF($A$2:A404,A404),"00"))</f>
        <v/>
      </c>
      <c r="H404" s="15">
        <f>IF(OR(ISBLANK(F404),ISBLANK(G404)),"",VALUE(LEFT(F404,1))*VALUE(LEFT(G404,1)))</f>
        <v/>
      </c>
      <c r="I404" s="12">
        <f>IF(ISBLANK(H404),"",IF(H404&gt;=20,"Critical",IF(H404&gt;=15,"High",IF(H404&gt;=8,"Medium","Low"))))</f>
        <v/>
      </c>
    </row>
    <row r="405">
      <c r="B405">
        <f>IF(ISBLANK(A405),"",A405&amp;"-R"&amp;TEXT(COUNTIF($A$2:A405,A405),"00"))</f>
        <v/>
      </c>
      <c r="H405" s="15">
        <f>IF(OR(ISBLANK(F405),ISBLANK(G405)),"",VALUE(LEFT(F405,1))*VALUE(LEFT(G405,1)))</f>
        <v/>
      </c>
      <c r="I405" s="12">
        <f>IF(ISBLANK(H405),"",IF(H405&gt;=20,"Critical",IF(H405&gt;=15,"High",IF(H405&gt;=8,"Medium","Low"))))</f>
        <v/>
      </c>
    </row>
    <row r="406">
      <c r="B406">
        <f>IF(ISBLANK(A406),"",A406&amp;"-R"&amp;TEXT(COUNTIF($A$2:A406,A406),"00"))</f>
        <v/>
      </c>
      <c r="H406" s="15">
        <f>IF(OR(ISBLANK(F406),ISBLANK(G406)),"",VALUE(LEFT(F406,1))*VALUE(LEFT(G406,1)))</f>
        <v/>
      </c>
      <c r="I406" s="12">
        <f>IF(ISBLANK(H406),"",IF(H406&gt;=20,"Critical",IF(H406&gt;=15,"High",IF(H406&gt;=8,"Medium","Low"))))</f>
        <v/>
      </c>
    </row>
    <row r="407">
      <c r="B407">
        <f>IF(ISBLANK(A407),"",A407&amp;"-R"&amp;TEXT(COUNTIF($A$2:A407,A407),"00"))</f>
        <v/>
      </c>
      <c r="H407" s="15">
        <f>IF(OR(ISBLANK(F407),ISBLANK(G407)),"",VALUE(LEFT(F407,1))*VALUE(LEFT(G407,1)))</f>
        <v/>
      </c>
      <c r="I407" s="12">
        <f>IF(ISBLANK(H407),"",IF(H407&gt;=20,"Critical",IF(H407&gt;=15,"High",IF(H407&gt;=8,"Medium","Low"))))</f>
        <v/>
      </c>
    </row>
    <row r="408">
      <c r="B408">
        <f>IF(ISBLANK(A408),"",A408&amp;"-R"&amp;TEXT(COUNTIF($A$2:A408,A408),"00"))</f>
        <v/>
      </c>
      <c r="H408" s="15">
        <f>IF(OR(ISBLANK(F408),ISBLANK(G408)),"",VALUE(LEFT(F408,1))*VALUE(LEFT(G408,1)))</f>
        <v/>
      </c>
      <c r="I408" s="12">
        <f>IF(ISBLANK(H408),"",IF(H408&gt;=20,"Critical",IF(H408&gt;=15,"High",IF(H408&gt;=8,"Medium","Low"))))</f>
        <v/>
      </c>
    </row>
    <row r="409">
      <c r="B409">
        <f>IF(ISBLANK(A409),"",A409&amp;"-R"&amp;TEXT(COUNTIF($A$2:A409,A409),"00"))</f>
        <v/>
      </c>
      <c r="H409" s="15">
        <f>IF(OR(ISBLANK(F409),ISBLANK(G409)),"",VALUE(LEFT(F409,1))*VALUE(LEFT(G409,1)))</f>
        <v/>
      </c>
      <c r="I409" s="12">
        <f>IF(ISBLANK(H409),"",IF(H409&gt;=20,"Critical",IF(H409&gt;=15,"High",IF(H409&gt;=8,"Medium","Low"))))</f>
        <v/>
      </c>
    </row>
    <row r="410">
      <c r="B410">
        <f>IF(ISBLANK(A410),"",A410&amp;"-R"&amp;TEXT(COUNTIF($A$2:A410,A410),"00"))</f>
        <v/>
      </c>
      <c r="H410" s="15">
        <f>IF(OR(ISBLANK(F410),ISBLANK(G410)),"",VALUE(LEFT(F410,1))*VALUE(LEFT(G410,1)))</f>
        <v/>
      </c>
      <c r="I410" s="12">
        <f>IF(ISBLANK(H410),"",IF(H410&gt;=20,"Critical",IF(H410&gt;=15,"High",IF(H410&gt;=8,"Medium","Low"))))</f>
        <v/>
      </c>
    </row>
    <row r="411">
      <c r="B411">
        <f>IF(ISBLANK(A411),"",A411&amp;"-R"&amp;TEXT(COUNTIF($A$2:A411,A411),"00"))</f>
        <v/>
      </c>
      <c r="H411" s="15">
        <f>IF(OR(ISBLANK(F411),ISBLANK(G411)),"",VALUE(LEFT(F411,1))*VALUE(LEFT(G411,1)))</f>
        <v/>
      </c>
      <c r="I411" s="12">
        <f>IF(ISBLANK(H411),"",IF(H411&gt;=20,"Critical",IF(H411&gt;=15,"High",IF(H411&gt;=8,"Medium","Low"))))</f>
        <v/>
      </c>
    </row>
    <row r="412">
      <c r="B412">
        <f>IF(ISBLANK(A412),"",A412&amp;"-R"&amp;TEXT(COUNTIF($A$2:A412,A412),"00"))</f>
        <v/>
      </c>
      <c r="H412" s="15">
        <f>IF(OR(ISBLANK(F412),ISBLANK(G412)),"",VALUE(LEFT(F412,1))*VALUE(LEFT(G412,1)))</f>
        <v/>
      </c>
      <c r="I412" s="12">
        <f>IF(ISBLANK(H412),"",IF(H412&gt;=20,"Critical",IF(H412&gt;=15,"High",IF(H412&gt;=8,"Medium","Low"))))</f>
        <v/>
      </c>
    </row>
    <row r="413">
      <c r="B413">
        <f>IF(ISBLANK(A413),"",A413&amp;"-R"&amp;TEXT(COUNTIF($A$2:A413,A413),"00"))</f>
        <v/>
      </c>
      <c r="H413" s="15">
        <f>IF(OR(ISBLANK(F413),ISBLANK(G413)),"",VALUE(LEFT(F413,1))*VALUE(LEFT(G413,1)))</f>
        <v/>
      </c>
      <c r="I413" s="12">
        <f>IF(ISBLANK(H413),"",IF(H413&gt;=20,"Critical",IF(H413&gt;=15,"High",IF(H413&gt;=8,"Medium","Low"))))</f>
        <v/>
      </c>
    </row>
    <row r="414">
      <c r="B414">
        <f>IF(ISBLANK(A414),"",A414&amp;"-R"&amp;TEXT(COUNTIF($A$2:A414,A414),"00"))</f>
        <v/>
      </c>
      <c r="H414" s="15">
        <f>IF(OR(ISBLANK(F414),ISBLANK(G414)),"",VALUE(LEFT(F414,1))*VALUE(LEFT(G414,1)))</f>
        <v/>
      </c>
      <c r="I414" s="12">
        <f>IF(ISBLANK(H414),"",IF(H414&gt;=20,"Critical",IF(H414&gt;=15,"High",IF(H414&gt;=8,"Medium","Low"))))</f>
        <v/>
      </c>
    </row>
    <row r="415">
      <c r="B415">
        <f>IF(ISBLANK(A415),"",A415&amp;"-R"&amp;TEXT(COUNTIF($A$2:A415,A415),"00"))</f>
        <v/>
      </c>
      <c r="H415" s="15">
        <f>IF(OR(ISBLANK(F415),ISBLANK(G415)),"",VALUE(LEFT(F415,1))*VALUE(LEFT(G415,1)))</f>
        <v/>
      </c>
      <c r="I415" s="12">
        <f>IF(ISBLANK(H415),"",IF(H415&gt;=20,"Critical",IF(H415&gt;=15,"High",IF(H415&gt;=8,"Medium","Low"))))</f>
        <v/>
      </c>
    </row>
    <row r="416">
      <c r="B416">
        <f>IF(ISBLANK(A416),"",A416&amp;"-R"&amp;TEXT(COUNTIF($A$2:A416,A416),"00"))</f>
        <v/>
      </c>
      <c r="H416" s="15">
        <f>IF(OR(ISBLANK(F416),ISBLANK(G416)),"",VALUE(LEFT(F416,1))*VALUE(LEFT(G416,1)))</f>
        <v/>
      </c>
      <c r="I416" s="12">
        <f>IF(ISBLANK(H416),"",IF(H416&gt;=20,"Critical",IF(H416&gt;=15,"High",IF(H416&gt;=8,"Medium","Low"))))</f>
        <v/>
      </c>
    </row>
    <row r="417">
      <c r="B417">
        <f>IF(ISBLANK(A417),"",A417&amp;"-R"&amp;TEXT(COUNTIF($A$2:A417,A417),"00"))</f>
        <v/>
      </c>
      <c r="H417" s="15">
        <f>IF(OR(ISBLANK(F417),ISBLANK(G417)),"",VALUE(LEFT(F417,1))*VALUE(LEFT(G417,1)))</f>
        <v/>
      </c>
      <c r="I417" s="12">
        <f>IF(ISBLANK(H417),"",IF(H417&gt;=20,"Critical",IF(H417&gt;=15,"High",IF(H417&gt;=8,"Medium","Low"))))</f>
        <v/>
      </c>
    </row>
    <row r="418">
      <c r="B418">
        <f>IF(ISBLANK(A418),"",A418&amp;"-R"&amp;TEXT(COUNTIF($A$2:A418,A418),"00"))</f>
        <v/>
      </c>
      <c r="H418" s="15">
        <f>IF(OR(ISBLANK(F418),ISBLANK(G418)),"",VALUE(LEFT(F418,1))*VALUE(LEFT(G418,1)))</f>
        <v/>
      </c>
      <c r="I418" s="12">
        <f>IF(ISBLANK(H418),"",IF(H418&gt;=20,"Critical",IF(H418&gt;=15,"High",IF(H418&gt;=8,"Medium","Low"))))</f>
        <v/>
      </c>
    </row>
    <row r="419">
      <c r="B419">
        <f>IF(ISBLANK(A419),"",A419&amp;"-R"&amp;TEXT(COUNTIF($A$2:A419,A419),"00"))</f>
        <v/>
      </c>
      <c r="H419" s="15">
        <f>IF(OR(ISBLANK(F419),ISBLANK(G419)),"",VALUE(LEFT(F419,1))*VALUE(LEFT(G419,1)))</f>
        <v/>
      </c>
      <c r="I419" s="12">
        <f>IF(ISBLANK(H419),"",IF(H419&gt;=20,"Critical",IF(H419&gt;=15,"High",IF(H419&gt;=8,"Medium","Low"))))</f>
        <v/>
      </c>
    </row>
    <row r="420">
      <c r="B420">
        <f>IF(ISBLANK(A420),"",A420&amp;"-R"&amp;TEXT(COUNTIF($A$2:A420,A420),"00"))</f>
        <v/>
      </c>
      <c r="H420" s="15">
        <f>IF(OR(ISBLANK(F420),ISBLANK(G420)),"",VALUE(LEFT(F420,1))*VALUE(LEFT(G420,1)))</f>
        <v/>
      </c>
      <c r="I420" s="12">
        <f>IF(ISBLANK(H420),"",IF(H420&gt;=20,"Critical",IF(H420&gt;=15,"High",IF(H420&gt;=8,"Medium","Low"))))</f>
        <v/>
      </c>
    </row>
    <row r="421">
      <c r="B421">
        <f>IF(ISBLANK(A421),"",A421&amp;"-R"&amp;TEXT(COUNTIF($A$2:A421,A421),"00"))</f>
        <v/>
      </c>
      <c r="H421" s="15">
        <f>IF(OR(ISBLANK(F421),ISBLANK(G421)),"",VALUE(LEFT(F421,1))*VALUE(LEFT(G421,1)))</f>
        <v/>
      </c>
      <c r="I421" s="12">
        <f>IF(ISBLANK(H421),"",IF(H421&gt;=20,"Critical",IF(H421&gt;=15,"High",IF(H421&gt;=8,"Medium","Low"))))</f>
        <v/>
      </c>
    </row>
    <row r="422">
      <c r="B422">
        <f>IF(ISBLANK(A422),"",A422&amp;"-R"&amp;TEXT(COUNTIF($A$2:A422,A422),"00"))</f>
        <v/>
      </c>
      <c r="H422" s="15">
        <f>IF(OR(ISBLANK(F422),ISBLANK(G422)),"",VALUE(LEFT(F422,1))*VALUE(LEFT(G422,1)))</f>
        <v/>
      </c>
      <c r="I422" s="12">
        <f>IF(ISBLANK(H422),"",IF(H422&gt;=20,"Critical",IF(H422&gt;=15,"High",IF(H422&gt;=8,"Medium","Low"))))</f>
        <v/>
      </c>
    </row>
    <row r="423">
      <c r="B423">
        <f>IF(ISBLANK(A423),"",A423&amp;"-R"&amp;TEXT(COUNTIF($A$2:A423,A423),"00"))</f>
        <v/>
      </c>
      <c r="H423" s="15">
        <f>IF(OR(ISBLANK(F423),ISBLANK(G423)),"",VALUE(LEFT(F423,1))*VALUE(LEFT(G423,1)))</f>
        <v/>
      </c>
      <c r="I423" s="12">
        <f>IF(ISBLANK(H423),"",IF(H423&gt;=20,"Critical",IF(H423&gt;=15,"High",IF(H423&gt;=8,"Medium","Low"))))</f>
        <v/>
      </c>
    </row>
    <row r="424">
      <c r="B424">
        <f>IF(ISBLANK(A424),"",A424&amp;"-R"&amp;TEXT(COUNTIF($A$2:A424,A424),"00"))</f>
        <v/>
      </c>
      <c r="H424" s="15">
        <f>IF(OR(ISBLANK(F424),ISBLANK(G424)),"",VALUE(LEFT(F424,1))*VALUE(LEFT(G424,1)))</f>
        <v/>
      </c>
      <c r="I424" s="12">
        <f>IF(ISBLANK(H424),"",IF(H424&gt;=20,"Critical",IF(H424&gt;=15,"High",IF(H424&gt;=8,"Medium","Low"))))</f>
        <v/>
      </c>
    </row>
    <row r="425">
      <c r="B425">
        <f>IF(ISBLANK(A425),"",A425&amp;"-R"&amp;TEXT(COUNTIF($A$2:A425,A425),"00"))</f>
        <v/>
      </c>
      <c r="H425" s="15">
        <f>IF(OR(ISBLANK(F425),ISBLANK(G425)),"",VALUE(LEFT(F425,1))*VALUE(LEFT(G425,1)))</f>
        <v/>
      </c>
      <c r="I425" s="12">
        <f>IF(ISBLANK(H425),"",IF(H425&gt;=20,"Critical",IF(H425&gt;=15,"High",IF(H425&gt;=8,"Medium","Low"))))</f>
        <v/>
      </c>
    </row>
    <row r="426">
      <c r="B426">
        <f>IF(ISBLANK(A426),"",A426&amp;"-R"&amp;TEXT(COUNTIF($A$2:A426,A426),"00"))</f>
        <v/>
      </c>
      <c r="H426" s="15">
        <f>IF(OR(ISBLANK(F426),ISBLANK(G426)),"",VALUE(LEFT(F426,1))*VALUE(LEFT(G426,1)))</f>
        <v/>
      </c>
      <c r="I426" s="12">
        <f>IF(ISBLANK(H426),"",IF(H426&gt;=20,"Critical",IF(H426&gt;=15,"High",IF(H426&gt;=8,"Medium","Low"))))</f>
        <v/>
      </c>
    </row>
    <row r="427">
      <c r="B427">
        <f>IF(ISBLANK(A427),"",A427&amp;"-R"&amp;TEXT(COUNTIF($A$2:A427,A427),"00"))</f>
        <v/>
      </c>
      <c r="H427" s="15">
        <f>IF(OR(ISBLANK(F427),ISBLANK(G427)),"",VALUE(LEFT(F427,1))*VALUE(LEFT(G427,1)))</f>
        <v/>
      </c>
      <c r="I427" s="12">
        <f>IF(ISBLANK(H427),"",IF(H427&gt;=20,"Critical",IF(H427&gt;=15,"High",IF(H427&gt;=8,"Medium","Low"))))</f>
        <v/>
      </c>
    </row>
    <row r="428">
      <c r="B428">
        <f>IF(ISBLANK(A428),"",A428&amp;"-R"&amp;TEXT(COUNTIF($A$2:A428,A428),"00"))</f>
        <v/>
      </c>
      <c r="H428" s="15">
        <f>IF(OR(ISBLANK(F428),ISBLANK(G428)),"",VALUE(LEFT(F428,1))*VALUE(LEFT(G428,1)))</f>
        <v/>
      </c>
      <c r="I428" s="12">
        <f>IF(ISBLANK(H428),"",IF(H428&gt;=20,"Critical",IF(H428&gt;=15,"High",IF(H428&gt;=8,"Medium","Low"))))</f>
        <v/>
      </c>
    </row>
    <row r="429">
      <c r="B429">
        <f>IF(ISBLANK(A429),"",A429&amp;"-R"&amp;TEXT(COUNTIF($A$2:A429,A429),"00"))</f>
        <v/>
      </c>
      <c r="H429" s="15">
        <f>IF(OR(ISBLANK(F429),ISBLANK(G429)),"",VALUE(LEFT(F429,1))*VALUE(LEFT(G429,1)))</f>
        <v/>
      </c>
      <c r="I429" s="12">
        <f>IF(ISBLANK(H429),"",IF(H429&gt;=20,"Critical",IF(H429&gt;=15,"High",IF(H429&gt;=8,"Medium","Low"))))</f>
        <v/>
      </c>
    </row>
    <row r="430">
      <c r="B430">
        <f>IF(ISBLANK(A430),"",A430&amp;"-R"&amp;TEXT(COUNTIF($A$2:A430,A430),"00"))</f>
        <v/>
      </c>
      <c r="H430" s="15">
        <f>IF(OR(ISBLANK(F430),ISBLANK(G430)),"",VALUE(LEFT(F430,1))*VALUE(LEFT(G430,1)))</f>
        <v/>
      </c>
      <c r="I430" s="12">
        <f>IF(ISBLANK(H430),"",IF(H430&gt;=20,"Critical",IF(H430&gt;=15,"High",IF(H430&gt;=8,"Medium","Low"))))</f>
        <v/>
      </c>
    </row>
    <row r="431">
      <c r="B431">
        <f>IF(ISBLANK(A431),"",A431&amp;"-R"&amp;TEXT(COUNTIF($A$2:A431,A431),"00"))</f>
        <v/>
      </c>
      <c r="H431" s="15">
        <f>IF(OR(ISBLANK(F431),ISBLANK(G431)),"",VALUE(LEFT(F431,1))*VALUE(LEFT(G431,1)))</f>
        <v/>
      </c>
      <c r="I431" s="12">
        <f>IF(ISBLANK(H431),"",IF(H431&gt;=20,"Critical",IF(H431&gt;=15,"High",IF(H431&gt;=8,"Medium","Low"))))</f>
        <v/>
      </c>
    </row>
    <row r="432">
      <c r="B432">
        <f>IF(ISBLANK(A432),"",A432&amp;"-R"&amp;TEXT(COUNTIF($A$2:A432,A432),"00"))</f>
        <v/>
      </c>
      <c r="H432" s="15">
        <f>IF(OR(ISBLANK(F432),ISBLANK(G432)),"",VALUE(LEFT(F432,1))*VALUE(LEFT(G432,1)))</f>
        <v/>
      </c>
      <c r="I432" s="12">
        <f>IF(ISBLANK(H432),"",IF(H432&gt;=20,"Critical",IF(H432&gt;=15,"High",IF(H432&gt;=8,"Medium","Low"))))</f>
        <v/>
      </c>
    </row>
    <row r="433">
      <c r="B433">
        <f>IF(ISBLANK(A433),"",A433&amp;"-R"&amp;TEXT(COUNTIF($A$2:A433,A433),"00"))</f>
        <v/>
      </c>
      <c r="H433" s="15">
        <f>IF(OR(ISBLANK(F433),ISBLANK(G433)),"",VALUE(LEFT(F433,1))*VALUE(LEFT(G433,1)))</f>
        <v/>
      </c>
      <c r="I433" s="12">
        <f>IF(ISBLANK(H433),"",IF(H433&gt;=20,"Critical",IF(H433&gt;=15,"High",IF(H433&gt;=8,"Medium","Low"))))</f>
        <v/>
      </c>
    </row>
    <row r="434">
      <c r="B434">
        <f>IF(ISBLANK(A434),"",A434&amp;"-R"&amp;TEXT(COUNTIF($A$2:A434,A434),"00"))</f>
        <v/>
      </c>
      <c r="H434" s="15">
        <f>IF(OR(ISBLANK(F434),ISBLANK(G434)),"",VALUE(LEFT(F434,1))*VALUE(LEFT(G434,1)))</f>
        <v/>
      </c>
      <c r="I434" s="12">
        <f>IF(ISBLANK(H434),"",IF(H434&gt;=20,"Critical",IF(H434&gt;=15,"High",IF(H434&gt;=8,"Medium","Low"))))</f>
        <v/>
      </c>
    </row>
    <row r="435">
      <c r="B435">
        <f>IF(ISBLANK(A435),"",A435&amp;"-R"&amp;TEXT(COUNTIF($A$2:A435,A435),"00"))</f>
        <v/>
      </c>
      <c r="H435" s="15">
        <f>IF(OR(ISBLANK(F435),ISBLANK(G435)),"",VALUE(LEFT(F435,1))*VALUE(LEFT(G435,1)))</f>
        <v/>
      </c>
      <c r="I435" s="12">
        <f>IF(ISBLANK(H435),"",IF(H435&gt;=20,"Critical",IF(H435&gt;=15,"High",IF(H435&gt;=8,"Medium","Low"))))</f>
        <v/>
      </c>
    </row>
    <row r="436">
      <c r="B436">
        <f>IF(ISBLANK(A436),"",A436&amp;"-R"&amp;TEXT(COUNTIF($A$2:A436,A436),"00"))</f>
        <v/>
      </c>
      <c r="H436" s="15">
        <f>IF(OR(ISBLANK(F436),ISBLANK(G436)),"",VALUE(LEFT(F436,1))*VALUE(LEFT(G436,1)))</f>
        <v/>
      </c>
      <c r="I436" s="12">
        <f>IF(ISBLANK(H436),"",IF(H436&gt;=20,"Critical",IF(H436&gt;=15,"High",IF(H436&gt;=8,"Medium","Low"))))</f>
        <v/>
      </c>
    </row>
    <row r="437">
      <c r="B437">
        <f>IF(ISBLANK(A437),"",A437&amp;"-R"&amp;TEXT(COUNTIF($A$2:A437,A437),"00"))</f>
        <v/>
      </c>
      <c r="H437" s="15">
        <f>IF(OR(ISBLANK(F437),ISBLANK(G437)),"",VALUE(LEFT(F437,1))*VALUE(LEFT(G437,1)))</f>
        <v/>
      </c>
      <c r="I437" s="12">
        <f>IF(ISBLANK(H437),"",IF(H437&gt;=20,"Critical",IF(H437&gt;=15,"High",IF(H437&gt;=8,"Medium","Low"))))</f>
        <v/>
      </c>
    </row>
    <row r="438">
      <c r="B438">
        <f>IF(ISBLANK(A438),"",A438&amp;"-R"&amp;TEXT(COUNTIF($A$2:A438,A438),"00"))</f>
        <v/>
      </c>
      <c r="H438" s="15">
        <f>IF(OR(ISBLANK(F438),ISBLANK(G438)),"",VALUE(LEFT(F438,1))*VALUE(LEFT(G438,1)))</f>
        <v/>
      </c>
      <c r="I438" s="12">
        <f>IF(ISBLANK(H438),"",IF(H438&gt;=20,"Critical",IF(H438&gt;=15,"High",IF(H438&gt;=8,"Medium","Low"))))</f>
        <v/>
      </c>
    </row>
    <row r="439">
      <c r="B439">
        <f>IF(ISBLANK(A439),"",A439&amp;"-R"&amp;TEXT(COUNTIF($A$2:A439,A439),"00"))</f>
        <v/>
      </c>
      <c r="H439" s="15">
        <f>IF(OR(ISBLANK(F439),ISBLANK(G439)),"",VALUE(LEFT(F439,1))*VALUE(LEFT(G439,1)))</f>
        <v/>
      </c>
      <c r="I439" s="12">
        <f>IF(ISBLANK(H439),"",IF(H439&gt;=20,"Critical",IF(H439&gt;=15,"High",IF(H439&gt;=8,"Medium","Low"))))</f>
        <v/>
      </c>
    </row>
    <row r="440">
      <c r="B440">
        <f>IF(ISBLANK(A440),"",A440&amp;"-R"&amp;TEXT(COUNTIF($A$2:A440,A440),"00"))</f>
        <v/>
      </c>
      <c r="H440" s="15">
        <f>IF(OR(ISBLANK(F440),ISBLANK(G440)),"",VALUE(LEFT(F440,1))*VALUE(LEFT(G440,1)))</f>
        <v/>
      </c>
      <c r="I440" s="12">
        <f>IF(ISBLANK(H440),"",IF(H440&gt;=20,"Critical",IF(H440&gt;=15,"High",IF(H440&gt;=8,"Medium","Low"))))</f>
        <v/>
      </c>
    </row>
    <row r="441">
      <c r="B441">
        <f>IF(ISBLANK(A441),"",A441&amp;"-R"&amp;TEXT(COUNTIF($A$2:A441,A441),"00"))</f>
        <v/>
      </c>
      <c r="H441" s="15">
        <f>IF(OR(ISBLANK(F441),ISBLANK(G441)),"",VALUE(LEFT(F441,1))*VALUE(LEFT(G441,1)))</f>
        <v/>
      </c>
      <c r="I441" s="12">
        <f>IF(ISBLANK(H441),"",IF(H441&gt;=20,"Critical",IF(H441&gt;=15,"High",IF(H441&gt;=8,"Medium","Low"))))</f>
        <v/>
      </c>
    </row>
    <row r="442">
      <c r="B442">
        <f>IF(ISBLANK(A442),"",A442&amp;"-R"&amp;TEXT(COUNTIF($A$2:A442,A442),"00"))</f>
        <v/>
      </c>
      <c r="H442" s="15">
        <f>IF(OR(ISBLANK(F442),ISBLANK(G442)),"",VALUE(LEFT(F442,1))*VALUE(LEFT(G442,1)))</f>
        <v/>
      </c>
      <c r="I442" s="12">
        <f>IF(ISBLANK(H442),"",IF(H442&gt;=20,"Critical",IF(H442&gt;=15,"High",IF(H442&gt;=8,"Medium","Low"))))</f>
        <v/>
      </c>
    </row>
    <row r="443">
      <c r="B443">
        <f>IF(ISBLANK(A443),"",A443&amp;"-R"&amp;TEXT(COUNTIF($A$2:A443,A443),"00"))</f>
        <v/>
      </c>
      <c r="H443" s="15">
        <f>IF(OR(ISBLANK(F443),ISBLANK(G443)),"",VALUE(LEFT(F443,1))*VALUE(LEFT(G443,1)))</f>
        <v/>
      </c>
      <c r="I443" s="12">
        <f>IF(ISBLANK(H443),"",IF(H443&gt;=20,"Critical",IF(H443&gt;=15,"High",IF(H443&gt;=8,"Medium","Low"))))</f>
        <v/>
      </c>
    </row>
    <row r="444">
      <c r="B444">
        <f>IF(ISBLANK(A444),"",A444&amp;"-R"&amp;TEXT(COUNTIF($A$2:A444,A444),"00"))</f>
        <v/>
      </c>
      <c r="H444" s="15">
        <f>IF(OR(ISBLANK(F444),ISBLANK(G444)),"",VALUE(LEFT(F444,1))*VALUE(LEFT(G444,1)))</f>
        <v/>
      </c>
      <c r="I444" s="12">
        <f>IF(ISBLANK(H444),"",IF(H444&gt;=20,"Critical",IF(H444&gt;=15,"High",IF(H444&gt;=8,"Medium","Low"))))</f>
        <v/>
      </c>
    </row>
    <row r="445">
      <c r="B445">
        <f>IF(ISBLANK(A445),"",A445&amp;"-R"&amp;TEXT(COUNTIF($A$2:A445,A445),"00"))</f>
        <v/>
      </c>
      <c r="H445" s="15">
        <f>IF(OR(ISBLANK(F445),ISBLANK(G445)),"",VALUE(LEFT(F445,1))*VALUE(LEFT(G445,1)))</f>
        <v/>
      </c>
      <c r="I445" s="12">
        <f>IF(ISBLANK(H445),"",IF(H445&gt;=20,"Critical",IF(H445&gt;=15,"High",IF(H445&gt;=8,"Medium","Low"))))</f>
        <v/>
      </c>
    </row>
    <row r="446">
      <c r="B446">
        <f>IF(ISBLANK(A446),"",A446&amp;"-R"&amp;TEXT(COUNTIF($A$2:A446,A446),"00"))</f>
        <v/>
      </c>
      <c r="H446" s="15">
        <f>IF(OR(ISBLANK(F446),ISBLANK(G446)),"",VALUE(LEFT(F446,1))*VALUE(LEFT(G446,1)))</f>
        <v/>
      </c>
      <c r="I446" s="12">
        <f>IF(ISBLANK(H446),"",IF(H446&gt;=20,"Critical",IF(H446&gt;=15,"High",IF(H446&gt;=8,"Medium","Low"))))</f>
        <v/>
      </c>
    </row>
    <row r="447">
      <c r="B447">
        <f>IF(ISBLANK(A447),"",A447&amp;"-R"&amp;TEXT(COUNTIF($A$2:A447,A447),"00"))</f>
        <v/>
      </c>
      <c r="H447" s="15">
        <f>IF(OR(ISBLANK(F447),ISBLANK(G447)),"",VALUE(LEFT(F447,1))*VALUE(LEFT(G447,1)))</f>
        <v/>
      </c>
      <c r="I447" s="12">
        <f>IF(ISBLANK(H447),"",IF(H447&gt;=20,"Critical",IF(H447&gt;=15,"High",IF(H447&gt;=8,"Medium","Low"))))</f>
        <v/>
      </c>
    </row>
    <row r="448">
      <c r="B448">
        <f>IF(ISBLANK(A448),"",A448&amp;"-R"&amp;TEXT(COUNTIF($A$2:A448,A448),"00"))</f>
        <v/>
      </c>
      <c r="H448" s="15">
        <f>IF(OR(ISBLANK(F448),ISBLANK(G448)),"",VALUE(LEFT(F448,1))*VALUE(LEFT(G448,1)))</f>
        <v/>
      </c>
      <c r="I448" s="12">
        <f>IF(ISBLANK(H448),"",IF(H448&gt;=20,"Critical",IF(H448&gt;=15,"High",IF(H448&gt;=8,"Medium","Low"))))</f>
        <v/>
      </c>
    </row>
    <row r="449">
      <c r="B449">
        <f>IF(ISBLANK(A449),"",A449&amp;"-R"&amp;TEXT(COUNTIF($A$2:A449,A449),"00"))</f>
        <v/>
      </c>
      <c r="H449" s="15">
        <f>IF(OR(ISBLANK(F449),ISBLANK(G449)),"",VALUE(LEFT(F449,1))*VALUE(LEFT(G449,1)))</f>
        <v/>
      </c>
      <c r="I449" s="12">
        <f>IF(ISBLANK(H449),"",IF(H449&gt;=20,"Critical",IF(H449&gt;=15,"High",IF(H449&gt;=8,"Medium","Low"))))</f>
        <v/>
      </c>
    </row>
    <row r="450">
      <c r="B450">
        <f>IF(ISBLANK(A450),"",A450&amp;"-R"&amp;TEXT(COUNTIF($A$2:A450,A450),"00"))</f>
        <v/>
      </c>
      <c r="H450" s="15">
        <f>IF(OR(ISBLANK(F450),ISBLANK(G450)),"",VALUE(LEFT(F450,1))*VALUE(LEFT(G450,1)))</f>
        <v/>
      </c>
      <c r="I450" s="12">
        <f>IF(ISBLANK(H450),"",IF(H450&gt;=20,"Critical",IF(H450&gt;=15,"High",IF(H450&gt;=8,"Medium","Low"))))</f>
        <v/>
      </c>
    </row>
    <row r="451">
      <c r="B451">
        <f>IF(ISBLANK(A451),"",A451&amp;"-R"&amp;TEXT(COUNTIF($A$2:A451,A451),"00"))</f>
        <v/>
      </c>
      <c r="H451" s="15">
        <f>IF(OR(ISBLANK(F451),ISBLANK(G451)),"",VALUE(LEFT(F451,1))*VALUE(LEFT(G451,1)))</f>
        <v/>
      </c>
      <c r="I451" s="12">
        <f>IF(ISBLANK(H451),"",IF(H451&gt;=20,"Critical",IF(H451&gt;=15,"High",IF(H451&gt;=8,"Medium","Low"))))</f>
        <v/>
      </c>
    </row>
    <row r="452">
      <c r="B452">
        <f>IF(ISBLANK(A452),"",A452&amp;"-R"&amp;TEXT(COUNTIF($A$2:A452,A452),"00"))</f>
        <v/>
      </c>
      <c r="H452" s="15">
        <f>IF(OR(ISBLANK(F452),ISBLANK(G452)),"",VALUE(LEFT(F452,1))*VALUE(LEFT(G452,1)))</f>
        <v/>
      </c>
      <c r="I452" s="12">
        <f>IF(ISBLANK(H452),"",IF(H452&gt;=20,"Critical",IF(H452&gt;=15,"High",IF(H452&gt;=8,"Medium","Low"))))</f>
        <v/>
      </c>
    </row>
    <row r="453">
      <c r="B453">
        <f>IF(ISBLANK(A453),"",A453&amp;"-R"&amp;TEXT(COUNTIF($A$2:A453,A453),"00"))</f>
        <v/>
      </c>
      <c r="H453" s="15">
        <f>IF(OR(ISBLANK(F453),ISBLANK(G453)),"",VALUE(LEFT(F453,1))*VALUE(LEFT(G453,1)))</f>
        <v/>
      </c>
      <c r="I453" s="12">
        <f>IF(ISBLANK(H453),"",IF(H453&gt;=20,"Critical",IF(H453&gt;=15,"High",IF(H453&gt;=8,"Medium","Low"))))</f>
        <v/>
      </c>
    </row>
    <row r="454">
      <c r="B454">
        <f>IF(ISBLANK(A454),"",A454&amp;"-R"&amp;TEXT(COUNTIF($A$2:A454,A454),"00"))</f>
        <v/>
      </c>
      <c r="H454" s="15">
        <f>IF(OR(ISBLANK(F454),ISBLANK(G454)),"",VALUE(LEFT(F454,1))*VALUE(LEFT(G454,1)))</f>
        <v/>
      </c>
      <c r="I454" s="12">
        <f>IF(ISBLANK(H454),"",IF(H454&gt;=20,"Critical",IF(H454&gt;=15,"High",IF(H454&gt;=8,"Medium","Low"))))</f>
        <v/>
      </c>
    </row>
    <row r="455">
      <c r="B455">
        <f>IF(ISBLANK(A455),"",A455&amp;"-R"&amp;TEXT(COUNTIF($A$2:A455,A455),"00"))</f>
        <v/>
      </c>
      <c r="H455" s="15">
        <f>IF(OR(ISBLANK(F455),ISBLANK(G455)),"",VALUE(LEFT(F455,1))*VALUE(LEFT(G455,1)))</f>
        <v/>
      </c>
      <c r="I455" s="12">
        <f>IF(ISBLANK(H455),"",IF(H455&gt;=20,"Critical",IF(H455&gt;=15,"High",IF(H455&gt;=8,"Medium","Low"))))</f>
        <v/>
      </c>
    </row>
    <row r="456">
      <c r="B456">
        <f>IF(ISBLANK(A456),"",A456&amp;"-R"&amp;TEXT(COUNTIF($A$2:A456,A456),"00"))</f>
        <v/>
      </c>
      <c r="H456" s="15">
        <f>IF(OR(ISBLANK(F456),ISBLANK(G456)),"",VALUE(LEFT(F456,1))*VALUE(LEFT(G456,1)))</f>
        <v/>
      </c>
      <c r="I456" s="12">
        <f>IF(ISBLANK(H456),"",IF(H456&gt;=20,"Critical",IF(H456&gt;=15,"High",IF(H456&gt;=8,"Medium","Low"))))</f>
        <v/>
      </c>
    </row>
    <row r="457">
      <c r="B457">
        <f>IF(ISBLANK(A457),"",A457&amp;"-R"&amp;TEXT(COUNTIF($A$2:A457,A457),"00"))</f>
        <v/>
      </c>
      <c r="H457" s="15">
        <f>IF(OR(ISBLANK(F457),ISBLANK(G457)),"",VALUE(LEFT(F457,1))*VALUE(LEFT(G457,1)))</f>
        <v/>
      </c>
      <c r="I457" s="12">
        <f>IF(ISBLANK(H457),"",IF(H457&gt;=20,"Critical",IF(H457&gt;=15,"High",IF(H457&gt;=8,"Medium","Low"))))</f>
        <v/>
      </c>
    </row>
    <row r="458">
      <c r="B458">
        <f>IF(ISBLANK(A458),"",A458&amp;"-R"&amp;TEXT(COUNTIF($A$2:A458,A458),"00"))</f>
        <v/>
      </c>
      <c r="H458" s="15">
        <f>IF(OR(ISBLANK(F458),ISBLANK(G458)),"",VALUE(LEFT(F458,1))*VALUE(LEFT(G458,1)))</f>
        <v/>
      </c>
      <c r="I458" s="12">
        <f>IF(ISBLANK(H458),"",IF(H458&gt;=20,"Critical",IF(H458&gt;=15,"High",IF(H458&gt;=8,"Medium","Low"))))</f>
        <v/>
      </c>
    </row>
    <row r="459">
      <c r="B459">
        <f>IF(ISBLANK(A459),"",A459&amp;"-R"&amp;TEXT(COUNTIF($A$2:A459,A459),"00"))</f>
        <v/>
      </c>
      <c r="H459" s="15">
        <f>IF(OR(ISBLANK(F459),ISBLANK(G459)),"",VALUE(LEFT(F459,1))*VALUE(LEFT(G459,1)))</f>
        <v/>
      </c>
      <c r="I459" s="12">
        <f>IF(ISBLANK(H459),"",IF(H459&gt;=20,"Critical",IF(H459&gt;=15,"High",IF(H459&gt;=8,"Medium","Low"))))</f>
        <v/>
      </c>
    </row>
    <row r="460">
      <c r="B460">
        <f>IF(ISBLANK(A460),"",A460&amp;"-R"&amp;TEXT(COUNTIF($A$2:A460,A460),"00"))</f>
        <v/>
      </c>
      <c r="H460" s="15">
        <f>IF(OR(ISBLANK(F460),ISBLANK(G460)),"",VALUE(LEFT(F460,1))*VALUE(LEFT(G460,1)))</f>
        <v/>
      </c>
      <c r="I460" s="12">
        <f>IF(ISBLANK(H460),"",IF(H460&gt;=20,"Critical",IF(H460&gt;=15,"High",IF(H460&gt;=8,"Medium","Low"))))</f>
        <v/>
      </c>
    </row>
    <row r="461">
      <c r="B461">
        <f>IF(ISBLANK(A461),"",A461&amp;"-R"&amp;TEXT(COUNTIF($A$2:A461,A461),"00"))</f>
        <v/>
      </c>
      <c r="H461" s="15">
        <f>IF(OR(ISBLANK(F461),ISBLANK(G461)),"",VALUE(LEFT(F461,1))*VALUE(LEFT(G461,1)))</f>
        <v/>
      </c>
      <c r="I461" s="12">
        <f>IF(ISBLANK(H461),"",IF(H461&gt;=20,"Critical",IF(H461&gt;=15,"High",IF(H461&gt;=8,"Medium","Low"))))</f>
        <v/>
      </c>
    </row>
    <row r="462">
      <c r="B462">
        <f>IF(ISBLANK(A462),"",A462&amp;"-R"&amp;TEXT(COUNTIF($A$2:A462,A462),"00"))</f>
        <v/>
      </c>
      <c r="H462" s="15">
        <f>IF(OR(ISBLANK(F462),ISBLANK(G462)),"",VALUE(LEFT(F462,1))*VALUE(LEFT(G462,1)))</f>
        <v/>
      </c>
      <c r="I462" s="12">
        <f>IF(ISBLANK(H462),"",IF(H462&gt;=20,"Critical",IF(H462&gt;=15,"High",IF(H462&gt;=8,"Medium","Low"))))</f>
        <v/>
      </c>
    </row>
    <row r="463">
      <c r="B463">
        <f>IF(ISBLANK(A463),"",A463&amp;"-R"&amp;TEXT(COUNTIF($A$2:A463,A463),"00"))</f>
        <v/>
      </c>
      <c r="H463" s="15">
        <f>IF(OR(ISBLANK(F463),ISBLANK(G463)),"",VALUE(LEFT(F463,1))*VALUE(LEFT(G463,1)))</f>
        <v/>
      </c>
      <c r="I463" s="12">
        <f>IF(ISBLANK(H463),"",IF(H463&gt;=20,"Critical",IF(H463&gt;=15,"High",IF(H463&gt;=8,"Medium","Low"))))</f>
        <v/>
      </c>
    </row>
    <row r="464">
      <c r="B464">
        <f>IF(ISBLANK(A464),"",A464&amp;"-R"&amp;TEXT(COUNTIF($A$2:A464,A464),"00"))</f>
        <v/>
      </c>
      <c r="H464" s="15">
        <f>IF(OR(ISBLANK(F464),ISBLANK(G464)),"",VALUE(LEFT(F464,1))*VALUE(LEFT(G464,1)))</f>
        <v/>
      </c>
      <c r="I464" s="12">
        <f>IF(ISBLANK(H464),"",IF(H464&gt;=20,"Critical",IF(H464&gt;=15,"High",IF(H464&gt;=8,"Medium","Low"))))</f>
        <v/>
      </c>
    </row>
    <row r="465">
      <c r="B465">
        <f>IF(ISBLANK(A465),"",A465&amp;"-R"&amp;TEXT(COUNTIF($A$2:A465,A465),"00"))</f>
        <v/>
      </c>
      <c r="H465" s="15">
        <f>IF(OR(ISBLANK(F465),ISBLANK(G465)),"",VALUE(LEFT(F465,1))*VALUE(LEFT(G465,1)))</f>
        <v/>
      </c>
      <c r="I465" s="12">
        <f>IF(ISBLANK(H465),"",IF(H465&gt;=20,"Critical",IF(H465&gt;=15,"High",IF(H465&gt;=8,"Medium","Low"))))</f>
        <v/>
      </c>
    </row>
    <row r="466">
      <c r="B466">
        <f>IF(ISBLANK(A466),"",A466&amp;"-R"&amp;TEXT(COUNTIF($A$2:A466,A466),"00"))</f>
        <v/>
      </c>
      <c r="H466" s="15">
        <f>IF(OR(ISBLANK(F466),ISBLANK(G466)),"",VALUE(LEFT(F466,1))*VALUE(LEFT(G466,1)))</f>
        <v/>
      </c>
      <c r="I466" s="12">
        <f>IF(ISBLANK(H466),"",IF(H466&gt;=20,"Critical",IF(H466&gt;=15,"High",IF(H466&gt;=8,"Medium","Low"))))</f>
        <v/>
      </c>
    </row>
    <row r="467">
      <c r="B467">
        <f>IF(ISBLANK(A467),"",A467&amp;"-R"&amp;TEXT(COUNTIF($A$2:A467,A467),"00"))</f>
        <v/>
      </c>
      <c r="H467" s="15">
        <f>IF(OR(ISBLANK(F467),ISBLANK(G467)),"",VALUE(LEFT(F467,1))*VALUE(LEFT(G467,1)))</f>
        <v/>
      </c>
      <c r="I467" s="12">
        <f>IF(ISBLANK(H467),"",IF(H467&gt;=20,"Critical",IF(H467&gt;=15,"High",IF(H467&gt;=8,"Medium","Low"))))</f>
        <v/>
      </c>
    </row>
    <row r="468">
      <c r="B468">
        <f>IF(ISBLANK(A468),"",A468&amp;"-R"&amp;TEXT(COUNTIF($A$2:A468,A468),"00"))</f>
        <v/>
      </c>
      <c r="H468" s="15">
        <f>IF(OR(ISBLANK(F468),ISBLANK(G468)),"",VALUE(LEFT(F468,1))*VALUE(LEFT(G468,1)))</f>
        <v/>
      </c>
      <c r="I468" s="12">
        <f>IF(ISBLANK(H468),"",IF(H468&gt;=20,"Critical",IF(H468&gt;=15,"High",IF(H468&gt;=8,"Medium","Low"))))</f>
        <v/>
      </c>
    </row>
    <row r="469">
      <c r="B469">
        <f>IF(ISBLANK(A469),"",A469&amp;"-R"&amp;TEXT(COUNTIF($A$2:A469,A469),"00"))</f>
        <v/>
      </c>
      <c r="H469" s="15">
        <f>IF(OR(ISBLANK(F469),ISBLANK(G469)),"",VALUE(LEFT(F469,1))*VALUE(LEFT(G469,1)))</f>
        <v/>
      </c>
      <c r="I469" s="12">
        <f>IF(ISBLANK(H469),"",IF(H469&gt;=20,"Critical",IF(H469&gt;=15,"High",IF(H469&gt;=8,"Medium","Low"))))</f>
        <v/>
      </c>
    </row>
    <row r="470">
      <c r="B470">
        <f>IF(ISBLANK(A470),"",A470&amp;"-R"&amp;TEXT(COUNTIF($A$2:A470,A470),"00"))</f>
        <v/>
      </c>
      <c r="H470" s="15">
        <f>IF(OR(ISBLANK(F470),ISBLANK(G470)),"",VALUE(LEFT(F470,1))*VALUE(LEFT(G470,1)))</f>
        <v/>
      </c>
      <c r="I470" s="12">
        <f>IF(ISBLANK(H470),"",IF(H470&gt;=20,"Critical",IF(H470&gt;=15,"High",IF(H470&gt;=8,"Medium","Low"))))</f>
        <v/>
      </c>
    </row>
    <row r="471">
      <c r="B471">
        <f>IF(ISBLANK(A471),"",A471&amp;"-R"&amp;TEXT(COUNTIF($A$2:A471,A471),"00"))</f>
        <v/>
      </c>
      <c r="H471" s="15">
        <f>IF(OR(ISBLANK(F471),ISBLANK(G471)),"",VALUE(LEFT(F471,1))*VALUE(LEFT(G471,1)))</f>
        <v/>
      </c>
      <c r="I471" s="12">
        <f>IF(ISBLANK(H471),"",IF(H471&gt;=20,"Critical",IF(H471&gt;=15,"High",IF(H471&gt;=8,"Medium","Low"))))</f>
        <v/>
      </c>
    </row>
    <row r="472">
      <c r="B472">
        <f>IF(ISBLANK(A472),"",A472&amp;"-R"&amp;TEXT(COUNTIF($A$2:A472,A472),"00"))</f>
        <v/>
      </c>
      <c r="H472" s="15">
        <f>IF(OR(ISBLANK(F472),ISBLANK(G472)),"",VALUE(LEFT(F472,1))*VALUE(LEFT(G472,1)))</f>
        <v/>
      </c>
      <c r="I472" s="12">
        <f>IF(ISBLANK(H472),"",IF(H472&gt;=20,"Critical",IF(H472&gt;=15,"High",IF(H472&gt;=8,"Medium","Low"))))</f>
        <v/>
      </c>
    </row>
    <row r="473">
      <c r="B473">
        <f>IF(ISBLANK(A473),"",A473&amp;"-R"&amp;TEXT(COUNTIF($A$2:A473,A473),"00"))</f>
        <v/>
      </c>
      <c r="H473" s="15">
        <f>IF(OR(ISBLANK(F473),ISBLANK(G473)),"",VALUE(LEFT(F473,1))*VALUE(LEFT(G473,1)))</f>
        <v/>
      </c>
      <c r="I473" s="12">
        <f>IF(ISBLANK(H473),"",IF(H473&gt;=20,"Critical",IF(H473&gt;=15,"High",IF(H473&gt;=8,"Medium","Low"))))</f>
        <v/>
      </c>
    </row>
    <row r="474">
      <c r="B474">
        <f>IF(ISBLANK(A474),"",A474&amp;"-R"&amp;TEXT(COUNTIF($A$2:A474,A474),"00"))</f>
        <v/>
      </c>
      <c r="H474" s="15">
        <f>IF(OR(ISBLANK(F474),ISBLANK(G474)),"",VALUE(LEFT(F474,1))*VALUE(LEFT(G474,1)))</f>
        <v/>
      </c>
      <c r="I474" s="12">
        <f>IF(ISBLANK(H474),"",IF(H474&gt;=20,"Critical",IF(H474&gt;=15,"High",IF(H474&gt;=8,"Medium","Low"))))</f>
        <v/>
      </c>
    </row>
    <row r="475">
      <c r="B475">
        <f>IF(ISBLANK(A475),"",A475&amp;"-R"&amp;TEXT(COUNTIF($A$2:A475,A475),"00"))</f>
        <v/>
      </c>
      <c r="H475" s="15">
        <f>IF(OR(ISBLANK(F475),ISBLANK(G475)),"",VALUE(LEFT(F475,1))*VALUE(LEFT(G475,1)))</f>
        <v/>
      </c>
      <c r="I475" s="12">
        <f>IF(ISBLANK(H475),"",IF(H475&gt;=20,"Critical",IF(H475&gt;=15,"High",IF(H475&gt;=8,"Medium","Low"))))</f>
        <v/>
      </c>
    </row>
    <row r="476">
      <c r="B476">
        <f>IF(ISBLANK(A476),"",A476&amp;"-R"&amp;TEXT(COUNTIF($A$2:A476,A476),"00"))</f>
        <v/>
      </c>
      <c r="H476" s="15">
        <f>IF(OR(ISBLANK(F476),ISBLANK(G476)),"",VALUE(LEFT(F476,1))*VALUE(LEFT(G476,1)))</f>
        <v/>
      </c>
      <c r="I476" s="12">
        <f>IF(ISBLANK(H476),"",IF(H476&gt;=20,"Critical",IF(H476&gt;=15,"High",IF(H476&gt;=8,"Medium","Low"))))</f>
        <v/>
      </c>
    </row>
    <row r="477">
      <c r="B477">
        <f>IF(ISBLANK(A477),"",A477&amp;"-R"&amp;TEXT(COUNTIF($A$2:A477,A477),"00"))</f>
        <v/>
      </c>
      <c r="H477" s="15">
        <f>IF(OR(ISBLANK(F477),ISBLANK(G477)),"",VALUE(LEFT(F477,1))*VALUE(LEFT(G477,1)))</f>
        <v/>
      </c>
      <c r="I477" s="12">
        <f>IF(ISBLANK(H477),"",IF(H477&gt;=20,"Critical",IF(H477&gt;=15,"High",IF(H477&gt;=8,"Medium","Low"))))</f>
        <v/>
      </c>
    </row>
    <row r="478">
      <c r="B478">
        <f>IF(ISBLANK(A478),"",A478&amp;"-R"&amp;TEXT(COUNTIF($A$2:A478,A478),"00"))</f>
        <v/>
      </c>
      <c r="H478" s="15">
        <f>IF(OR(ISBLANK(F478),ISBLANK(G478)),"",VALUE(LEFT(F478,1))*VALUE(LEFT(G478,1)))</f>
        <v/>
      </c>
      <c r="I478" s="12">
        <f>IF(ISBLANK(H478),"",IF(H478&gt;=20,"Critical",IF(H478&gt;=15,"High",IF(H478&gt;=8,"Medium","Low"))))</f>
        <v/>
      </c>
    </row>
    <row r="479">
      <c r="B479">
        <f>IF(ISBLANK(A479),"",A479&amp;"-R"&amp;TEXT(COUNTIF($A$2:A479,A479),"00"))</f>
        <v/>
      </c>
      <c r="H479" s="15">
        <f>IF(OR(ISBLANK(F479),ISBLANK(G479)),"",VALUE(LEFT(F479,1))*VALUE(LEFT(G479,1)))</f>
        <v/>
      </c>
      <c r="I479" s="12">
        <f>IF(ISBLANK(H479),"",IF(H479&gt;=20,"Critical",IF(H479&gt;=15,"High",IF(H479&gt;=8,"Medium","Low"))))</f>
        <v/>
      </c>
    </row>
    <row r="480">
      <c r="B480">
        <f>IF(ISBLANK(A480),"",A480&amp;"-R"&amp;TEXT(COUNTIF($A$2:A480,A480),"00"))</f>
        <v/>
      </c>
      <c r="H480" s="15">
        <f>IF(OR(ISBLANK(F480),ISBLANK(G480)),"",VALUE(LEFT(F480,1))*VALUE(LEFT(G480,1)))</f>
        <v/>
      </c>
      <c r="I480" s="12">
        <f>IF(ISBLANK(H480),"",IF(H480&gt;=20,"Critical",IF(H480&gt;=15,"High",IF(H480&gt;=8,"Medium","Low"))))</f>
        <v/>
      </c>
    </row>
    <row r="481">
      <c r="B481">
        <f>IF(ISBLANK(A481),"",A481&amp;"-R"&amp;TEXT(COUNTIF($A$2:A481,A481),"00"))</f>
        <v/>
      </c>
      <c r="H481" s="15">
        <f>IF(OR(ISBLANK(F481),ISBLANK(G481)),"",VALUE(LEFT(F481,1))*VALUE(LEFT(G481,1)))</f>
        <v/>
      </c>
      <c r="I481" s="12">
        <f>IF(ISBLANK(H481),"",IF(H481&gt;=20,"Critical",IF(H481&gt;=15,"High",IF(H481&gt;=8,"Medium","Low"))))</f>
        <v/>
      </c>
    </row>
    <row r="482">
      <c r="B482">
        <f>IF(ISBLANK(A482),"",A482&amp;"-R"&amp;TEXT(COUNTIF($A$2:A482,A482),"00"))</f>
        <v/>
      </c>
      <c r="H482" s="15">
        <f>IF(OR(ISBLANK(F482),ISBLANK(G482)),"",VALUE(LEFT(F482,1))*VALUE(LEFT(G482,1)))</f>
        <v/>
      </c>
      <c r="I482" s="12">
        <f>IF(ISBLANK(H482),"",IF(H482&gt;=20,"Critical",IF(H482&gt;=15,"High",IF(H482&gt;=8,"Medium","Low"))))</f>
        <v/>
      </c>
    </row>
    <row r="483">
      <c r="B483">
        <f>IF(ISBLANK(A483),"",A483&amp;"-R"&amp;TEXT(COUNTIF($A$2:A483,A483),"00"))</f>
        <v/>
      </c>
      <c r="H483" s="15">
        <f>IF(OR(ISBLANK(F483),ISBLANK(G483)),"",VALUE(LEFT(F483,1))*VALUE(LEFT(G483,1)))</f>
        <v/>
      </c>
      <c r="I483" s="12">
        <f>IF(ISBLANK(H483),"",IF(H483&gt;=20,"Critical",IF(H483&gt;=15,"High",IF(H483&gt;=8,"Medium","Low"))))</f>
        <v/>
      </c>
    </row>
    <row r="484">
      <c r="B484">
        <f>IF(ISBLANK(A484),"",A484&amp;"-R"&amp;TEXT(COUNTIF($A$2:A484,A484),"00"))</f>
        <v/>
      </c>
      <c r="H484" s="15">
        <f>IF(OR(ISBLANK(F484),ISBLANK(G484)),"",VALUE(LEFT(F484,1))*VALUE(LEFT(G484,1)))</f>
        <v/>
      </c>
      <c r="I484" s="12">
        <f>IF(ISBLANK(H484),"",IF(H484&gt;=20,"Critical",IF(H484&gt;=15,"High",IF(H484&gt;=8,"Medium","Low"))))</f>
        <v/>
      </c>
    </row>
    <row r="485">
      <c r="B485">
        <f>IF(ISBLANK(A485),"",A485&amp;"-R"&amp;TEXT(COUNTIF($A$2:A485,A485),"00"))</f>
        <v/>
      </c>
      <c r="H485" s="15">
        <f>IF(OR(ISBLANK(F485),ISBLANK(G485)),"",VALUE(LEFT(F485,1))*VALUE(LEFT(G485,1)))</f>
        <v/>
      </c>
      <c r="I485" s="12">
        <f>IF(ISBLANK(H485),"",IF(H485&gt;=20,"Critical",IF(H485&gt;=15,"High",IF(H485&gt;=8,"Medium","Low"))))</f>
        <v/>
      </c>
    </row>
    <row r="486">
      <c r="B486">
        <f>IF(ISBLANK(A486),"",A486&amp;"-R"&amp;TEXT(COUNTIF($A$2:A486,A486),"00"))</f>
        <v/>
      </c>
      <c r="H486" s="15">
        <f>IF(OR(ISBLANK(F486),ISBLANK(G486)),"",VALUE(LEFT(F486,1))*VALUE(LEFT(G486,1)))</f>
        <v/>
      </c>
      <c r="I486" s="12">
        <f>IF(ISBLANK(H486),"",IF(H486&gt;=20,"Critical",IF(H486&gt;=15,"High",IF(H486&gt;=8,"Medium","Low"))))</f>
        <v/>
      </c>
    </row>
    <row r="487">
      <c r="B487">
        <f>IF(ISBLANK(A487),"",A487&amp;"-R"&amp;TEXT(COUNTIF($A$2:A487,A487),"00"))</f>
        <v/>
      </c>
      <c r="H487" s="15">
        <f>IF(OR(ISBLANK(F487),ISBLANK(G487)),"",VALUE(LEFT(F487,1))*VALUE(LEFT(G487,1)))</f>
        <v/>
      </c>
      <c r="I487" s="12">
        <f>IF(ISBLANK(H487),"",IF(H487&gt;=20,"Critical",IF(H487&gt;=15,"High",IF(H487&gt;=8,"Medium","Low"))))</f>
        <v/>
      </c>
    </row>
    <row r="488">
      <c r="B488">
        <f>IF(ISBLANK(A488),"",A488&amp;"-R"&amp;TEXT(COUNTIF($A$2:A488,A488),"00"))</f>
        <v/>
      </c>
      <c r="H488" s="15">
        <f>IF(OR(ISBLANK(F488),ISBLANK(G488)),"",VALUE(LEFT(F488,1))*VALUE(LEFT(G488,1)))</f>
        <v/>
      </c>
      <c r="I488" s="12">
        <f>IF(ISBLANK(H488),"",IF(H488&gt;=20,"Critical",IF(H488&gt;=15,"High",IF(H488&gt;=8,"Medium","Low"))))</f>
        <v/>
      </c>
    </row>
    <row r="489">
      <c r="B489">
        <f>IF(ISBLANK(A489),"",A489&amp;"-R"&amp;TEXT(COUNTIF($A$2:A489,A489),"00"))</f>
        <v/>
      </c>
      <c r="H489" s="15">
        <f>IF(OR(ISBLANK(F489),ISBLANK(G489)),"",VALUE(LEFT(F489,1))*VALUE(LEFT(G489,1)))</f>
        <v/>
      </c>
      <c r="I489" s="12">
        <f>IF(ISBLANK(H489),"",IF(H489&gt;=20,"Critical",IF(H489&gt;=15,"High",IF(H489&gt;=8,"Medium","Low"))))</f>
        <v/>
      </c>
    </row>
    <row r="490">
      <c r="B490">
        <f>IF(ISBLANK(A490),"",A490&amp;"-R"&amp;TEXT(COUNTIF($A$2:A490,A490),"00"))</f>
        <v/>
      </c>
      <c r="H490" s="15">
        <f>IF(OR(ISBLANK(F490),ISBLANK(G490)),"",VALUE(LEFT(F490,1))*VALUE(LEFT(G490,1)))</f>
        <v/>
      </c>
      <c r="I490" s="12">
        <f>IF(ISBLANK(H490),"",IF(H490&gt;=20,"Critical",IF(H490&gt;=15,"High",IF(H490&gt;=8,"Medium","Low"))))</f>
        <v/>
      </c>
    </row>
    <row r="491">
      <c r="B491">
        <f>IF(ISBLANK(A491),"",A491&amp;"-R"&amp;TEXT(COUNTIF($A$2:A491,A491),"00"))</f>
        <v/>
      </c>
      <c r="H491" s="15">
        <f>IF(OR(ISBLANK(F491),ISBLANK(G491)),"",VALUE(LEFT(F491,1))*VALUE(LEFT(G491,1)))</f>
        <v/>
      </c>
      <c r="I491" s="12">
        <f>IF(ISBLANK(H491),"",IF(H491&gt;=20,"Critical",IF(H491&gt;=15,"High",IF(H491&gt;=8,"Medium","Low"))))</f>
        <v/>
      </c>
    </row>
    <row r="492">
      <c r="B492">
        <f>IF(ISBLANK(A492),"",A492&amp;"-R"&amp;TEXT(COUNTIF($A$2:A492,A492),"00"))</f>
        <v/>
      </c>
      <c r="H492" s="15">
        <f>IF(OR(ISBLANK(F492),ISBLANK(G492)),"",VALUE(LEFT(F492,1))*VALUE(LEFT(G492,1)))</f>
        <v/>
      </c>
      <c r="I492" s="12">
        <f>IF(ISBLANK(H492),"",IF(H492&gt;=20,"Critical",IF(H492&gt;=15,"High",IF(H492&gt;=8,"Medium","Low"))))</f>
        <v/>
      </c>
    </row>
    <row r="493">
      <c r="B493">
        <f>IF(ISBLANK(A493),"",A493&amp;"-R"&amp;TEXT(COUNTIF($A$2:A493,A493),"00"))</f>
        <v/>
      </c>
      <c r="H493" s="15">
        <f>IF(OR(ISBLANK(F493),ISBLANK(G493)),"",VALUE(LEFT(F493,1))*VALUE(LEFT(G493,1)))</f>
        <v/>
      </c>
      <c r="I493" s="12">
        <f>IF(ISBLANK(H493),"",IF(H493&gt;=20,"Critical",IF(H493&gt;=15,"High",IF(H493&gt;=8,"Medium","Low"))))</f>
        <v/>
      </c>
    </row>
    <row r="494">
      <c r="B494">
        <f>IF(ISBLANK(A494),"",A494&amp;"-R"&amp;TEXT(COUNTIF($A$2:A494,A494),"00"))</f>
        <v/>
      </c>
      <c r="H494" s="15">
        <f>IF(OR(ISBLANK(F494),ISBLANK(G494)),"",VALUE(LEFT(F494,1))*VALUE(LEFT(G494,1)))</f>
        <v/>
      </c>
      <c r="I494" s="12">
        <f>IF(ISBLANK(H494),"",IF(H494&gt;=20,"Critical",IF(H494&gt;=15,"High",IF(H494&gt;=8,"Medium","Low"))))</f>
        <v/>
      </c>
    </row>
    <row r="495">
      <c r="B495">
        <f>IF(ISBLANK(A495),"",A495&amp;"-R"&amp;TEXT(COUNTIF($A$2:A495,A495),"00"))</f>
        <v/>
      </c>
      <c r="H495" s="15">
        <f>IF(OR(ISBLANK(F495),ISBLANK(G495)),"",VALUE(LEFT(F495,1))*VALUE(LEFT(G495,1)))</f>
        <v/>
      </c>
      <c r="I495" s="12">
        <f>IF(ISBLANK(H495),"",IF(H495&gt;=20,"Critical",IF(H495&gt;=15,"High",IF(H495&gt;=8,"Medium","Low"))))</f>
        <v/>
      </c>
    </row>
    <row r="496">
      <c r="B496">
        <f>IF(ISBLANK(A496),"",A496&amp;"-R"&amp;TEXT(COUNTIF($A$2:A496,A496),"00"))</f>
        <v/>
      </c>
      <c r="H496" s="15">
        <f>IF(OR(ISBLANK(F496),ISBLANK(G496)),"",VALUE(LEFT(F496,1))*VALUE(LEFT(G496,1)))</f>
        <v/>
      </c>
      <c r="I496" s="12">
        <f>IF(ISBLANK(H496),"",IF(H496&gt;=20,"Critical",IF(H496&gt;=15,"High",IF(H496&gt;=8,"Medium","Low"))))</f>
        <v/>
      </c>
    </row>
    <row r="497">
      <c r="B497">
        <f>IF(ISBLANK(A497),"",A497&amp;"-R"&amp;TEXT(COUNTIF($A$2:A497,A497),"00"))</f>
        <v/>
      </c>
      <c r="H497" s="15">
        <f>IF(OR(ISBLANK(F497),ISBLANK(G497)),"",VALUE(LEFT(F497,1))*VALUE(LEFT(G497,1)))</f>
        <v/>
      </c>
      <c r="I497" s="12">
        <f>IF(ISBLANK(H497),"",IF(H497&gt;=20,"Critical",IF(H497&gt;=15,"High",IF(H497&gt;=8,"Medium","Low"))))</f>
        <v/>
      </c>
    </row>
    <row r="498">
      <c r="B498">
        <f>IF(ISBLANK(A498),"",A498&amp;"-R"&amp;TEXT(COUNTIF($A$2:A498,A498),"00"))</f>
        <v/>
      </c>
      <c r="H498" s="15">
        <f>IF(OR(ISBLANK(F498),ISBLANK(G498)),"",VALUE(LEFT(F498,1))*VALUE(LEFT(G498,1)))</f>
        <v/>
      </c>
      <c r="I498" s="12">
        <f>IF(ISBLANK(H498),"",IF(H498&gt;=20,"Critical",IF(H498&gt;=15,"High",IF(H498&gt;=8,"Medium","Low"))))</f>
        <v/>
      </c>
    </row>
    <row r="499">
      <c r="B499">
        <f>IF(ISBLANK(A499),"",A499&amp;"-R"&amp;TEXT(COUNTIF($A$2:A499,A499),"00"))</f>
        <v/>
      </c>
      <c r="H499" s="15">
        <f>IF(OR(ISBLANK(F499),ISBLANK(G499)),"",VALUE(LEFT(F499,1))*VALUE(LEFT(G499,1)))</f>
        <v/>
      </c>
      <c r="I499" s="12">
        <f>IF(ISBLANK(H499),"",IF(H499&gt;=20,"Critical",IF(H499&gt;=15,"High",IF(H499&gt;=8,"Medium","Low"))))</f>
        <v/>
      </c>
    </row>
    <row r="500">
      <c r="B500">
        <f>IF(ISBLANK(A500),"",A500&amp;"-R"&amp;TEXT(COUNTIF($A$2:A500,A500),"00"))</f>
        <v/>
      </c>
      <c r="H500" s="15">
        <f>IF(OR(ISBLANK(F500),ISBLANK(G500)),"",VALUE(LEFT(F500,1))*VALUE(LEFT(G500,1)))</f>
        <v/>
      </c>
      <c r="I500" s="12">
        <f>IF(ISBLANK(H500),"",IF(H500&gt;=20,"Critical",IF(H500&gt;=15,"High",IF(H500&gt;=8,"Medium","Low"))))</f>
        <v/>
      </c>
    </row>
    <row r="501">
      <c r="B501">
        <f>IF(ISBLANK(A501),"",A501&amp;"-R"&amp;TEXT(COUNTIF($A$2:A501,A501),"00"))</f>
        <v/>
      </c>
      <c r="H501" s="15">
        <f>IF(OR(ISBLANK(F501),ISBLANK(G501)),"",VALUE(LEFT(F501,1))*VALUE(LEFT(G501,1)))</f>
        <v/>
      </c>
      <c r="I501" s="12">
        <f>IF(ISBLANK(H501),"",IF(H501&gt;=20,"Critical",IF(H501&gt;=15,"High",IF(H501&gt;=8,"Medium","Low"))))</f>
        <v/>
      </c>
    </row>
    <row r="502">
      <c r="B502">
        <f>IF(ISBLANK(A502),"",A502&amp;"-R"&amp;TEXT(COUNTIF($A$2:A502,A502),"00"))</f>
        <v/>
      </c>
      <c r="H502" s="15">
        <f>IF(OR(ISBLANK(F502),ISBLANK(G502)),"",VALUE(LEFT(F502,1))*VALUE(LEFT(G502,1)))</f>
        <v/>
      </c>
      <c r="I502" s="12">
        <f>IF(ISBLANK(H502),"",IF(H502&gt;=20,"Critical",IF(H502&gt;=15,"High",IF(H502&gt;=8,"Medium","Low"))))</f>
        <v/>
      </c>
    </row>
    <row r="503">
      <c r="B503">
        <f>IF(ISBLANK(A503),"",A503&amp;"-R"&amp;TEXT(COUNTIF($A$2:A503,A503),"00"))</f>
        <v/>
      </c>
      <c r="H503" s="15">
        <f>IF(OR(ISBLANK(F503),ISBLANK(G503)),"",VALUE(LEFT(F503,1))*VALUE(LEFT(G503,1)))</f>
        <v/>
      </c>
      <c r="I503" s="12">
        <f>IF(ISBLANK(H503),"",IF(H503&gt;=20,"Critical",IF(H503&gt;=15,"High",IF(H503&gt;=8,"Medium","Low"))))</f>
        <v/>
      </c>
    </row>
    <row r="504">
      <c r="B504">
        <f>IF(ISBLANK(A504),"",A504&amp;"-R"&amp;TEXT(COUNTIF($A$2:A504,A504),"00"))</f>
        <v/>
      </c>
      <c r="H504" s="15">
        <f>IF(OR(ISBLANK(F504),ISBLANK(G504)),"",VALUE(LEFT(F504,1))*VALUE(LEFT(G504,1)))</f>
        <v/>
      </c>
      <c r="I504" s="12">
        <f>IF(ISBLANK(H504),"",IF(H504&gt;=20,"Critical",IF(H504&gt;=15,"High",IF(H504&gt;=8,"Medium","Low"))))</f>
        <v/>
      </c>
    </row>
    <row r="505">
      <c r="B505">
        <f>IF(ISBLANK(A505),"",A505&amp;"-R"&amp;TEXT(COUNTIF($A$2:A505,A505),"00"))</f>
        <v/>
      </c>
      <c r="H505" s="15">
        <f>IF(OR(ISBLANK(F505),ISBLANK(G505)),"",VALUE(LEFT(F505,1))*VALUE(LEFT(G505,1)))</f>
        <v/>
      </c>
      <c r="I505" s="12">
        <f>IF(ISBLANK(H505),"",IF(H505&gt;=20,"Critical",IF(H505&gt;=15,"High",IF(H505&gt;=8,"Medium","Low"))))</f>
        <v/>
      </c>
    </row>
    <row r="506">
      <c r="B506">
        <f>IF(ISBLANK(A506),"",A506&amp;"-R"&amp;TEXT(COUNTIF($A$2:A506,A506),"00"))</f>
        <v/>
      </c>
      <c r="H506" s="15">
        <f>IF(OR(ISBLANK(F506),ISBLANK(G506)),"",VALUE(LEFT(F506,1))*VALUE(LEFT(G506,1)))</f>
        <v/>
      </c>
      <c r="I506" s="12">
        <f>IF(ISBLANK(H506),"",IF(H506&gt;=20,"Critical",IF(H506&gt;=15,"High",IF(H506&gt;=8,"Medium","Low"))))</f>
        <v/>
      </c>
    </row>
    <row r="507">
      <c r="B507">
        <f>IF(ISBLANK(A507),"",A507&amp;"-R"&amp;TEXT(COUNTIF($A$2:A507,A507),"00"))</f>
        <v/>
      </c>
      <c r="H507" s="15">
        <f>IF(OR(ISBLANK(F507),ISBLANK(G507)),"",VALUE(LEFT(F507,1))*VALUE(LEFT(G507,1)))</f>
        <v/>
      </c>
      <c r="I507" s="12">
        <f>IF(ISBLANK(H507),"",IF(H507&gt;=20,"Critical",IF(H507&gt;=15,"High",IF(H507&gt;=8,"Medium","Low"))))</f>
        <v/>
      </c>
    </row>
    <row r="508">
      <c r="B508">
        <f>IF(ISBLANK(A508),"",A508&amp;"-R"&amp;TEXT(COUNTIF($A$2:A508,A508),"00"))</f>
        <v/>
      </c>
      <c r="H508" s="15">
        <f>IF(OR(ISBLANK(F508),ISBLANK(G508)),"",VALUE(LEFT(F508,1))*VALUE(LEFT(G508,1)))</f>
        <v/>
      </c>
      <c r="I508" s="12">
        <f>IF(ISBLANK(H508),"",IF(H508&gt;=20,"Critical",IF(H508&gt;=15,"High",IF(H508&gt;=8,"Medium","Low"))))</f>
        <v/>
      </c>
    </row>
    <row r="509">
      <c r="B509">
        <f>IF(ISBLANK(A509),"",A509&amp;"-R"&amp;TEXT(COUNTIF($A$2:A509,A509),"00"))</f>
        <v/>
      </c>
      <c r="H509" s="15">
        <f>IF(OR(ISBLANK(F509),ISBLANK(G509)),"",VALUE(LEFT(F509,1))*VALUE(LEFT(G509,1)))</f>
        <v/>
      </c>
      <c r="I509" s="12">
        <f>IF(ISBLANK(H509),"",IF(H509&gt;=20,"Critical",IF(H509&gt;=15,"High",IF(H509&gt;=8,"Medium","Low"))))</f>
        <v/>
      </c>
    </row>
    <row r="510">
      <c r="B510">
        <f>IF(ISBLANK(A510),"",A510&amp;"-R"&amp;TEXT(COUNTIF($A$2:A510,A510),"00"))</f>
        <v/>
      </c>
      <c r="H510" s="15">
        <f>IF(OR(ISBLANK(F510),ISBLANK(G510)),"",VALUE(LEFT(F510,1))*VALUE(LEFT(G510,1)))</f>
        <v/>
      </c>
      <c r="I510" s="12">
        <f>IF(ISBLANK(H510),"",IF(H510&gt;=20,"Critical",IF(H510&gt;=15,"High",IF(H510&gt;=8,"Medium","Low"))))</f>
        <v/>
      </c>
    </row>
    <row r="511">
      <c r="B511">
        <f>IF(ISBLANK(A511),"",A511&amp;"-R"&amp;TEXT(COUNTIF($A$2:A511,A511),"00"))</f>
        <v/>
      </c>
      <c r="H511" s="15">
        <f>IF(OR(ISBLANK(F511),ISBLANK(G511)),"",VALUE(LEFT(F511,1))*VALUE(LEFT(G511,1)))</f>
        <v/>
      </c>
      <c r="I511" s="12">
        <f>IF(ISBLANK(H511),"",IF(H511&gt;=20,"Critical",IF(H511&gt;=15,"High",IF(H511&gt;=8,"Medium","Low"))))</f>
        <v/>
      </c>
    </row>
    <row r="512">
      <c r="B512">
        <f>IF(ISBLANK(A512),"",A512&amp;"-R"&amp;TEXT(COUNTIF($A$2:A512,A512),"00"))</f>
        <v/>
      </c>
      <c r="H512" s="15">
        <f>IF(OR(ISBLANK(F512),ISBLANK(G512)),"",VALUE(LEFT(F512,1))*VALUE(LEFT(G512,1)))</f>
        <v/>
      </c>
      <c r="I512" s="12">
        <f>IF(ISBLANK(H512),"",IF(H512&gt;=20,"Critical",IF(H512&gt;=15,"High",IF(H512&gt;=8,"Medium","Low"))))</f>
        <v/>
      </c>
    </row>
    <row r="513">
      <c r="B513">
        <f>IF(ISBLANK(A513),"",A513&amp;"-R"&amp;TEXT(COUNTIF($A$2:A513,A513),"00"))</f>
        <v/>
      </c>
      <c r="H513" s="15">
        <f>IF(OR(ISBLANK(F513),ISBLANK(G513)),"",VALUE(LEFT(F513,1))*VALUE(LEFT(G513,1)))</f>
        <v/>
      </c>
      <c r="I513" s="12">
        <f>IF(ISBLANK(H513),"",IF(H513&gt;=20,"Critical",IF(H513&gt;=15,"High",IF(H513&gt;=8,"Medium","Low"))))</f>
        <v/>
      </c>
    </row>
    <row r="514">
      <c r="B514">
        <f>IF(ISBLANK(A514),"",A514&amp;"-R"&amp;TEXT(COUNTIF($A$2:A514,A514),"00"))</f>
        <v/>
      </c>
      <c r="H514" s="15">
        <f>IF(OR(ISBLANK(F514),ISBLANK(G514)),"",VALUE(LEFT(F514,1))*VALUE(LEFT(G514,1)))</f>
        <v/>
      </c>
      <c r="I514" s="12">
        <f>IF(ISBLANK(H514),"",IF(H514&gt;=20,"Critical",IF(H514&gt;=15,"High",IF(H514&gt;=8,"Medium","Low"))))</f>
        <v/>
      </c>
    </row>
    <row r="515">
      <c r="B515">
        <f>IF(ISBLANK(A515),"",A515&amp;"-R"&amp;TEXT(COUNTIF($A$2:A515,A515),"00"))</f>
        <v/>
      </c>
      <c r="H515" s="15">
        <f>IF(OR(ISBLANK(F515),ISBLANK(G515)),"",VALUE(LEFT(F515,1))*VALUE(LEFT(G515,1)))</f>
        <v/>
      </c>
      <c r="I515" s="12">
        <f>IF(ISBLANK(H515),"",IF(H515&gt;=20,"Critical",IF(H515&gt;=15,"High",IF(H515&gt;=8,"Medium","Low"))))</f>
        <v/>
      </c>
    </row>
    <row r="516">
      <c r="B516">
        <f>IF(ISBLANK(A516),"",A516&amp;"-R"&amp;TEXT(COUNTIF($A$2:A516,A516),"00"))</f>
        <v/>
      </c>
      <c r="H516" s="15">
        <f>IF(OR(ISBLANK(F516),ISBLANK(G516)),"",VALUE(LEFT(F516,1))*VALUE(LEFT(G516,1)))</f>
        <v/>
      </c>
      <c r="I516" s="12">
        <f>IF(ISBLANK(H516),"",IF(H516&gt;=20,"Critical",IF(H516&gt;=15,"High",IF(H516&gt;=8,"Medium","Low"))))</f>
        <v/>
      </c>
    </row>
    <row r="517">
      <c r="B517">
        <f>IF(ISBLANK(A517),"",A517&amp;"-R"&amp;TEXT(COUNTIF($A$2:A517,A517),"00"))</f>
        <v/>
      </c>
      <c r="H517" s="15">
        <f>IF(OR(ISBLANK(F517),ISBLANK(G517)),"",VALUE(LEFT(F517,1))*VALUE(LEFT(G517,1)))</f>
        <v/>
      </c>
      <c r="I517" s="12">
        <f>IF(ISBLANK(H517),"",IF(H517&gt;=20,"Critical",IF(H517&gt;=15,"High",IF(H517&gt;=8,"Medium","Low"))))</f>
        <v/>
      </c>
    </row>
    <row r="518">
      <c r="B518">
        <f>IF(ISBLANK(A518),"",A518&amp;"-R"&amp;TEXT(COUNTIF($A$2:A518,A518),"00"))</f>
        <v/>
      </c>
      <c r="H518" s="15">
        <f>IF(OR(ISBLANK(F518),ISBLANK(G518)),"",VALUE(LEFT(F518,1))*VALUE(LEFT(G518,1)))</f>
        <v/>
      </c>
      <c r="I518" s="12">
        <f>IF(ISBLANK(H518),"",IF(H518&gt;=20,"Critical",IF(H518&gt;=15,"High",IF(H518&gt;=8,"Medium","Low"))))</f>
        <v/>
      </c>
    </row>
    <row r="519">
      <c r="B519">
        <f>IF(ISBLANK(A519),"",A519&amp;"-R"&amp;TEXT(COUNTIF($A$2:A519,A519),"00"))</f>
        <v/>
      </c>
      <c r="H519" s="15">
        <f>IF(OR(ISBLANK(F519),ISBLANK(G519)),"",VALUE(LEFT(F519,1))*VALUE(LEFT(G519,1)))</f>
        <v/>
      </c>
      <c r="I519" s="12">
        <f>IF(ISBLANK(H519),"",IF(H519&gt;=20,"Critical",IF(H519&gt;=15,"High",IF(H519&gt;=8,"Medium","Low"))))</f>
        <v/>
      </c>
    </row>
    <row r="520">
      <c r="B520">
        <f>IF(ISBLANK(A520),"",A520&amp;"-R"&amp;TEXT(COUNTIF($A$2:A520,A520),"00"))</f>
        <v/>
      </c>
      <c r="H520" s="15">
        <f>IF(OR(ISBLANK(F520),ISBLANK(G520)),"",VALUE(LEFT(F520,1))*VALUE(LEFT(G520,1)))</f>
        <v/>
      </c>
      <c r="I520" s="12">
        <f>IF(ISBLANK(H520),"",IF(H520&gt;=20,"Critical",IF(H520&gt;=15,"High",IF(H520&gt;=8,"Medium","Low"))))</f>
        <v/>
      </c>
    </row>
    <row r="521">
      <c r="B521">
        <f>IF(ISBLANK(A521),"",A521&amp;"-R"&amp;TEXT(COUNTIF($A$2:A521,A521),"00"))</f>
        <v/>
      </c>
      <c r="H521" s="15">
        <f>IF(OR(ISBLANK(F521),ISBLANK(G521)),"",VALUE(LEFT(F521,1))*VALUE(LEFT(G521,1)))</f>
        <v/>
      </c>
      <c r="I521" s="12">
        <f>IF(ISBLANK(H521),"",IF(H521&gt;=20,"Critical",IF(H521&gt;=15,"High",IF(H521&gt;=8,"Medium","Low"))))</f>
        <v/>
      </c>
    </row>
    <row r="522">
      <c r="B522">
        <f>IF(ISBLANK(A522),"",A522&amp;"-R"&amp;TEXT(COUNTIF($A$2:A522,A522),"00"))</f>
        <v/>
      </c>
      <c r="H522" s="15">
        <f>IF(OR(ISBLANK(F522),ISBLANK(G522)),"",VALUE(LEFT(F522,1))*VALUE(LEFT(G522,1)))</f>
        <v/>
      </c>
      <c r="I522" s="12">
        <f>IF(ISBLANK(H522),"",IF(H522&gt;=20,"Critical",IF(H522&gt;=15,"High",IF(H522&gt;=8,"Medium","Low"))))</f>
        <v/>
      </c>
    </row>
    <row r="523">
      <c r="B523">
        <f>IF(ISBLANK(A523),"",A523&amp;"-R"&amp;TEXT(COUNTIF($A$2:A523,A523),"00"))</f>
        <v/>
      </c>
      <c r="H523" s="15">
        <f>IF(OR(ISBLANK(F523),ISBLANK(G523)),"",VALUE(LEFT(F523,1))*VALUE(LEFT(G523,1)))</f>
        <v/>
      </c>
      <c r="I523" s="12">
        <f>IF(ISBLANK(H523),"",IF(H523&gt;=20,"Critical",IF(H523&gt;=15,"High",IF(H523&gt;=8,"Medium","Low"))))</f>
        <v/>
      </c>
    </row>
    <row r="524">
      <c r="B524">
        <f>IF(ISBLANK(A524),"",A524&amp;"-R"&amp;TEXT(COUNTIF($A$2:A524,A524),"00"))</f>
        <v/>
      </c>
      <c r="H524" s="15">
        <f>IF(OR(ISBLANK(F524),ISBLANK(G524)),"",VALUE(LEFT(F524,1))*VALUE(LEFT(G524,1)))</f>
        <v/>
      </c>
      <c r="I524" s="12">
        <f>IF(ISBLANK(H524),"",IF(H524&gt;=20,"Critical",IF(H524&gt;=15,"High",IF(H524&gt;=8,"Medium","Low"))))</f>
        <v/>
      </c>
    </row>
    <row r="525">
      <c r="B525">
        <f>IF(ISBLANK(A525),"",A525&amp;"-R"&amp;TEXT(COUNTIF($A$2:A525,A525),"00"))</f>
        <v/>
      </c>
      <c r="H525" s="15">
        <f>IF(OR(ISBLANK(F525),ISBLANK(G525)),"",VALUE(LEFT(F525,1))*VALUE(LEFT(G525,1)))</f>
        <v/>
      </c>
      <c r="I525" s="12">
        <f>IF(ISBLANK(H525),"",IF(H525&gt;=20,"Critical",IF(H525&gt;=15,"High",IF(H525&gt;=8,"Medium","Low"))))</f>
        <v/>
      </c>
    </row>
    <row r="526">
      <c r="B526">
        <f>IF(ISBLANK(A526),"",A526&amp;"-R"&amp;TEXT(COUNTIF($A$2:A526,A526),"00"))</f>
        <v/>
      </c>
      <c r="H526" s="15">
        <f>IF(OR(ISBLANK(F526),ISBLANK(G526)),"",VALUE(LEFT(F526,1))*VALUE(LEFT(G526,1)))</f>
        <v/>
      </c>
      <c r="I526" s="12">
        <f>IF(ISBLANK(H526),"",IF(H526&gt;=20,"Critical",IF(H526&gt;=15,"High",IF(H526&gt;=8,"Medium","Low"))))</f>
        <v/>
      </c>
    </row>
    <row r="527">
      <c r="B527">
        <f>IF(ISBLANK(A527),"",A527&amp;"-R"&amp;TEXT(COUNTIF($A$2:A527,A527),"00"))</f>
        <v/>
      </c>
      <c r="H527" s="15">
        <f>IF(OR(ISBLANK(F527),ISBLANK(G527)),"",VALUE(LEFT(F527,1))*VALUE(LEFT(G527,1)))</f>
        <v/>
      </c>
      <c r="I527" s="12">
        <f>IF(ISBLANK(H527),"",IF(H527&gt;=20,"Critical",IF(H527&gt;=15,"High",IF(H527&gt;=8,"Medium","Low"))))</f>
        <v/>
      </c>
    </row>
    <row r="528">
      <c r="B528">
        <f>IF(ISBLANK(A528),"",A528&amp;"-R"&amp;TEXT(COUNTIF($A$2:A528,A528),"00"))</f>
        <v/>
      </c>
      <c r="H528" s="15">
        <f>IF(OR(ISBLANK(F528),ISBLANK(G528)),"",VALUE(LEFT(F528,1))*VALUE(LEFT(G528,1)))</f>
        <v/>
      </c>
      <c r="I528" s="12">
        <f>IF(ISBLANK(H528),"",IF(H528&gt;=20,"Critical",IF(H528&gt;=15,"High",IF(H528&gt;=8,"Medium","Low"))))</f>
        <v/>
      </c>
    </row>
    <row r="529">
      <c r="B529">
        <f>IF(ISBLANK(A529),"",A529&amp;"-R"&amp;TEXT(COUNTIF($A$2:A529,A529),"00"))</f>
        <v/>
      </c>
      <c r="H529" s="15">
        <f>IF(OR(ISBLANK(F529),ISBLANK(G529)),"",VALUE(LEFT(F529,1))*VALUE(LEFT(G529,1)))</f>
        <v/>
      </c>
      <c r="I529" s="12">
        <f>IF(ISBLANK(H529),"",IF(H529&gt;=20,"Critical",IF(H529&gt;=15,"High",IF(H529&gt;=8,"Medium","Low"))))</f>
        <v/>
      </c>
    </row>
    <row r="530">
      <c r="B530">
        <f>IF(ISBLANK(A530),"",A530&amp;"-R"&amp;TEXT(COUNTIF($A$2:A530,A530),"00"))</f>
        <v/>
      </c>
      <c r="H530" s="15">
        <f>IF(OR(ISBLANK(F530),ISBLANK(G530)),"",VALUE(LEFT(F530,1))*VALUE(LEFT(G530,1)))</f>
        <v/>
      </c>
      <c r="I530" s="12">
        <f>IF(ISBLANK(H530),"",IF(H530&gt;=20,"Critical",IF(H530&gt;=15,"High",IF(H530&gt;=8,"Medium","Low"))))</f>
        <v/>
      </c>
    </row>
    <row r="531">
      <c r="B531">
        <f>IF(ISBLANK(A531),"",A531&amp;"-R"&amp;TEXT(COUNTIF($A$2:A531,A531),"00"))</f>
        <v/>
      </c>
      <c r="H531" s="15">
        <f>IF(OR(ISBLANK(F531),ISBLANK(G531)),"",VALUE(LEFT(F531,1))*VALUE(LEFT(G531,1)))</f>
        <v/>
      </c>
      <c r="I531" s="12">
        <f>IF(ISBLANK(H531),"",IF(H531&gt;=20,"Critical",IF(H531&gt;=15,"High",IF(H531&gt;=8,"Medium","Low"))))</f>
        <v/>
      </c>
    </row>
    <row r="532">
      <c r="B532">
        <f>IF(ISBLANK(A532),"",A532&amp;"-R"&amp;TEXT(COUNTIF($A$2:A532,A532),"00"))</f>
        <v/>
      </c>
      <c r="H532" s="15">
        <f>IF(OR(ISBLANK(F532),ISBLANK(G532)),"",VALUE(LEFT(F532,1))*VALUE(LEFT(G532,1)))</f>
        <v/>
      </c>
      <c r="I532" s="12">
        <f>IF(ISBLANK(H532),"",IF(H532&gt;=20,"Critical",IF(H532&gt;=15,"High",IF(H532&gt;=8,"Medium","Low"))))</f>
        <v/>
      </c>
    </row>
    <row r="533">
      <c r="B533">
        <f>IF(ISBLANK(A533),"",A533&amp;"-R"&amp;TEXT(COUNTIF($A$2:A533,A533),"00"))</f>
        <v/>
      </c>
      <c r="H533" s="15">
        <f>IF(OR(ISBLANK(F533),ISBLANK(G533)),"",VALUE(LEFT(F533,1))*VALUE(LEFT(G533,1)))</f>
        <v/>
      </c>
      <c r="I533" s="12">
        <f>IF(ISBLANK(H533),"",IF(H533&gt;=20,"Critical",IF(H533&gt;=15,"High",IF(H533&gt;=8,"Medium","Low"))))</f>
        <v/>
      </c>
    </row>
    <row r="534">
      <c r="B534">
        <f>IF(ISBLANK(A534),"",A534&amp;"-R"&amp;TEXT(COUNTIF($A$2:A534,A534),"00"))</f>
        <v/>
      </c>
      <c r="H534" s="15">
        <f>IF(OR(ISBLANK(F534),ISBLANK(G534)),"",VALUE(LEFT(F534,1))*VALUE(LEFT(G534,1)))</f>
        <v/>
      </c>
      <c r="I534" s="12">
        <f>IF(ISBLANK(H534),"",IF(H534&gt;=20,"Critical",IF(H534&gt;=15,"High",IF(H534&gt;=8,"Medium","Low"))))</f>
        <v/>
      </c>
    </row>
    <row r="535">
      <c r="B535">
        <f>IF(ISBLANK(A535),"",A535&amp;"-R"&amp;TEXT(COUNTIF($A$2:A535,A535),"00"))</f>
        <v/>
      </c>
      <c r="H535" s="15">
        <f>IF(OR(ISBLANK(F535),ISBLANK(G535)),"",VALUE(LEFT(F535,1))*VALUE(LEFT(G535,1)))</f>
        <v/>
      </c>
      <c r="I535" s="12">
        <f>IF(ISBLANK(H535),"",IF(H535&gt;=20,"Critical",IF(H535&gt;=15,"High",IF(H535&gt;=8,"Medium","Low"))))</f>
        <v/>
      </c>
    </row>
    <row r="536">
      <c r="B536">
        <f>IF(ISBLANK(A536),"",A536&amp;"-R"&amp;TEXT(COUNTIF($A$2:A536,A536),"00"))</f>
        <v/>
      </c>
      <c r="H536" s="15">
        <f>IF(OR(ISBLANK(F536),ISBLANK(G536)),"",VALUE(LEFT(F536,1))*VALUE(LEFT(G536,1)))</f>
        <v/>
      </c>
      <c r="I536" s="12">
        <f>IF(ISBLANK(H536),"",IF(H536&gt;=20,"Critical",IF(H536&gt;=15,"High",IF(H536&gt;=8,"Medium","Low"))))</f>
        <v/>
      </c>
    </row>
    <row r="537">
      <c r="B537">
        <f>IF(ISBLANK(A537),"",A537&amp;"-R"&amp;TEXT(COUNTIF($A$2:A537,A537),"00"))</f>
        <v/>
      </c>
      <c r="H537" s="15">
        <f>IF(OR(ISBLANK(F537),ISBLANK(G537)),"",VALUE(LEFT(F537,1))*VALUE(LEFT(G537,1)))</f>
        <v/>
      </c>
      <c r="I537" s="12">
        <f>IF(ISBLANK(H537),"",IF(H537&gt;=20,"Critical",IF(H537&gt;=15,"High",IF(H537&gt;=8,"Medium","Low"))))</f>
        <v/>
      </c>
    </row>
    <row r="538">
      <c r="B538">
        <f>IF(ISBLANK(A538),"",A538&amp;"-R"&amp;TEXT(COUNTIF($A$2:A538,A538),"00"))</f>
        <v/>
      </c>
      <c r="H538" s="15">
        <f>IF(OR(ISBLANK(F538),ISBLANK(G538)),"",VALUE(LEFT(F538,1))*VALUE(LEFT(G538,1)))</f>
        <v/>
      </c>
      <c r="I538" s="12">
        <f>IF(ISBLANK(H538),"",IF(H538&gt;=20,"Critical",IF(H538&gt;=15,"High",IF(H538&gt;=8,"Medium","Low"))))</f>
        <v/>
      </c>
    </row>
    <row r="539">
      <c r="B539">
        <f>IF(ISBLANK(A539),"",A539&amp;"-R"&amp;TEXT(COUNTIF($A$2:A539,A539),"00"))</f>
        <v/>
      </c>
      <c r="H539" s="15">
        <f>IF(OR(ISBLANK(F539),ISBLANK(G539)),"",VALUE(LEFT(F539,1))*VALUE(LEFT(G539,1)))</f>
        <v/>
      </c>
      <c r="I539" s="12">
        <f>IF(ISBLANK(H539),"",IF(H539&gt;=20,"Critical",IF(H539&gt;=15,"High",IF(H539&gt;=8,"Medium","Low"))))</f>
        <v/>
      </c>
    </row>
    <row r="540">
      <c r="B540">
        <f>IF(ISBLANK(A540),"",A540&amp;"-R"&amp;TEXT(COUNTIF($A$2:A540,A540),"00"))</f>
        <v/>
      </c>
      <c r="H540" s="15">
        <f>IF(OR(ISBLANK(F540),ISBLANK(G540)),"",VALUE(LEFT(F540,1))*VALUE(LEFT(G540,1)))</f>
        <v/>
      </c>
      <c r="I540" s="12">
        <f>IF(ISBLANK(H540),"",IF(H540&gt;=20,"Critical",IF(H540&gt;=15,"High",IF(H540&gt;=8,"Medium","Low"))))</f>
        <v/>
      </c>
    </row>
    <row r="541">
      <c r="B541">
        <f>IF(ISBLANK(A541),"",A541&amp;"-R"&amp;TEXT(COUNTIF($A$2:A541,A541),"00"))</f>
        <v/>
      </c>
      <c r="H541" s="15">
        <f>IF(OR(ISBLANK(F541),ISBLANK(G541)),"",VALUE(LEFT(F541,1))*VALUE(LEFT(G541,1)))</f>
        <v/>
      </c>
      <c r="I541" s="12">
        <f>IF(ISBLANK(H541),"",IF(H541&gt;=20,"Critical",IF(H541&gt;=15,"High",IF(H541&gt;=8,"Medium","Low"))))</f>
        <v/>
      </c>
    </row>
    <row r="542">
      <c r="B542">
        <f>IF(ISBLANK(A542),"",A542&amp;"-R"&amp;TEXT(COUNTIF($A$2:A542,A542),"00"))</f>
        <v/>
      </c>
      <c r="H542" s="15">
        <f>IF(OR(ISBLANK(F542),ISBLANK(G542)),"",VALUE(LEFT(F542,1))*VALUE(LEFT(G542,1)))</f>
        <v/>
      </c>
      <c r="I542" s="12">
        <f>IF(ISBLANK(H542),"",IF(H542&gt;=20,"Critical",IF(H542&gt;=15,"High",IF(H542&gt;=8,"Medium","Low"))))</f>
        <v/>
      </c>
    </row>
    <row r="543">
      <c r="B543">
        <f>IF(ISBLANK(A543),"",A543&amp;"-R"&amp;TEXT(COUNTIF($A$2:A543,A543),"00"))</f>
        <v/>
      </c>
      <c r="H543" s="15">
        <f>IF(OR(ISBLANK(F543),ISBLANK(G543)),"",VALUE(LEFT(F543,1))*VALUE(LEFT(G543,1)))</f>
        <v/>
      </c>
      <c r="I543" s="12">
        <f>IF(ISBLANK(H543),"",IF(H543&gt;=20,"Critical",IF(H543&gt;=15,"High",IF(H543&gt;=8,"Medium","Low"))))</f>
        <v/>
      </c>
    </row>
    <row r="544">
      <c r="B544">
        <f>IF(ISBLANK(A544),"",A544&amp;"-R"&amp;TEXT(COUNTIF($A$2:A544,A544),"00"))</f>
        <v/>
      </c>
      <c r="H544" s="15">
        <f>IF(OR(ISBLANK(F544),ISBLANK(G544)),"",VALUE(LEFT(F544,1))*VALUE(LEFT(G544,1)))</f>
        <v/>
      </c>
      <c r="I544" s="12">
        <f>IF(ISBLANK(H544),"",IF(H544&gt;=20,"Critical",IF(H544&gt;=15,"High",IF(H544&gt;=8,"Medium","Low"))))</f>
        <v/>
      </c>
    </row>
    <row r="545">
      <c r="B545">
        <f>IF(ISBLANK(A545),"",A545&amp;"-R"&amp;TEXT(COUNTIF($A$2:A545,A545),"00"))</f>
        <v/>
      </c>
      <c r="H545" s="15">
        <f>IF(OR(ISBLANK(F545),ISBLANK(G545)),"",VALUE(LEFT(F545,1))*VALUE(LEFT(G545,1)))</f>
        <v/>
      </c>
      <c r="I545" s="12">
        <f>IF(ISBLANK(H545),"",IF(H545&gt;=20,"Critical",IF(H545&gt;=15,"High",IF(H545&gt;=8,"Medium","Low"))))</f>
        <v/>
      </c>
    </row>
    <row r="546">
      <c r="B546">
        <f>IF(ISBLANK(A546),"",A546&amp;"-R"&amp;TEXT(COUNTIF($A$2:A546,A546),"00"))</f>
        <v/>
      </c>
      <c r="H546" s="15">
        <f>IF(OR(ISBLANK(F546),ISBLANK(G546)),"",VALUE(LEFT(F546,1))*VALUE(LEFT(G546,1)))</f>
        <v/>
      </c>
      <c r="I546" s="12">
        <f>IF(ISBLANK(H546),"",IF(H546&gt;=20,"Critical",IF(H546&gt;=15,"High",IF(H546&gt;=8,"Medium","Low"))))</f>
        <v/>
      </c>
    </row>
    <row r="547">
      <c r="B547">
        <f>IF(ISBLANK(A547),"",A547&amp;"-R"&amp;TEXT(COUNTIF($A$2:A547,A547),"00"))</f>
        <v/>
      </c>
      <c r="H547" s="15">
        <f>IF(OR(ISBLANK(F547),ISBLANK(G547)),"",VALUE(LEFT(F547,1))*VALUE(LEFT(G547,1)))</f>
        <v/>
      </c>
      <c r="I547" s="12">
        <f>IF(ISBLANK(H547),"",IF(H547&gt;=20,"Critical",IF(H547&gt;=15,"High",IF(H547&gt;=8,"Medium","Low"))))</f>
        <v/>
      </c>
    </row>
    <row r="548">
      <c r="B548">
        <f>IF(ISBLANK(A548),"",A548&amp;"-R"&amp;TEXT(COUNTIF($A$2:A548,A548),"00"))</f>
        <v/>
      </c>
      <c r="H548" s="15">
        <f>IF(OR(ISBLANK(F548),ISBLANK(G548)),"",VALUE(LEFT(F548,1))*VALUE(LEFT(G548,1)))</f>
        <v/>
      </c>
      <c r="I548" s="12">
        <f>IF(ISBLANK(H548),"",IF(H548&gt;=20,"Critical",IF(H548&gt;=15,"High",IF(H548&gt;=8,"Medium","Low"))))</f>
        <v/>
      </c>
    </row>
    <row r="549">
      <c r="B549">
        <f>IF(ISBLANK(A549),"",A549&amp;"-R"&amp;TEXT(COUNTIF($A$2:A549,A549),"00"))</f>
        <v/>
      </c>
      <c r="H549" s="15">
        <f>IF(OR(ISBLANK(F549),ISBLANK(G549)),"",VALUE(LEFT(F549,1))*VALUE(LEFT(G549,1)))</f>
        <v/>
      </c>
      <c r="I549" s="12">
        <f>IF(ISBLANK(H549),"",IF(H549&gt;=20,"Critical",IF(H549&gt;=15,"High",IF(H549&gt;=8,"Medium","Low"))))</f>
        <v/>
      </c>
    </row>
    <row r="550">
      <c r="B550">
        <f>IF(ISBLANK(A550),"",A550&amp;"-R"&amp;TEXT(COUNTIF($A$2:A550,A550),"00"))</f>
        <v/>
      </c>
      <c r="H550" s="15">
        <f>IF(OR(ISBLANK(F550),ISBLANK(G550)),"",VALUE(LEFT(F550,1))*VALUE(LEFT(G550,1)))</f>
        <v/>
      </c>
      <c r="I550" s="12">
        <f>IF(ISBLANK(H550),"",IF(H550&gt;=20,"Critical",IF(H550&gt;=15,"High",IF(H550&gt;=8,"Medium","Low"))))</f>
        <v/>
      </c>
    </row>
    <row r="551">
      <c r="B551">
        <f>IF(ISBLANK(A551),"",A551&amp;"-R"&amp;TEXT(COUNTIF($A$2:A551,A551),"00"))</f>
        <v/>
      </c>
      <c r="H551" s="15">
        <f>IF(OR(ISBLANK(F551),ISBLANK(G551)),"",VALUE(LEFT(F551,1))*VALUE(LEFT(G551,1)))</f>
        <v/>
      </c>
      <c r="I551" s="12">
        <f>IF(ISBLANK(H551),"",IF(H551&gt;=20,"Critical",IF(H551&gt;=15,"High",IF(H551&gt;=8,"Medium","Low"))))</f>
        <v/>
      </c>
    </row>
    <row r="552">
      <c r="B552">
        <f>IF(ISBLANK(A552),"",A552&amp;"-R"&amp;TEXT(COUNTIF($A$2:A552,A552),"00"))</f>
        <v/>
      </c>
      <c r="H552" s="15">
        <f>IF(OR(ISBLANK(F552),ISBLANK(G552)),"",VALUE(LEFT(F552,1))*VALUE(LEFT(G552,1)))</f>
        <v/>
      </c>
      <c r="I552" s="12">
        <f>IF(ISBLANK(H552),"",IF(H552&gt;=20,"Critical",IF(H552&gt;=15,"High",IF(H552&gt;=8,"Medium","Low"))))</f>
        <v/>
      </c>
    </row>
    <row r="553">
      <c r="B553">
        <f>IF(ISBLANK(A553),"",A553&amp;"-R"&amp;TEXT(COUNTIF($A$2:A553,A553),"00"))</f>
        <v/>
      </c>
      <c r="H553" s="15">
        <f>IF(OR(ISBLANK(F553),ISBLANK(G553)),"",VALUE(LEFT(F553,1))*VALUE(LEFT(G553,1)))</f>
        <v/>
      </c>
      <c r="I553" s="12">
        <f>IF(ISBLANK(H553),"",IF(H553&gt;=20,"Critical",IF(H553&gt;=15,"High",IF(H553&gt;=8,"Medium","Low"))))</f>
        <v/>
      </c>
    </row>
    <row r="554">
      <c r="B554">
        <f>IF(ISBLANK(A554),"",A554&amp;"-R"&amp;TEXT(COUNTIF($A$2:A554,A554),"00"))</f>
        <v/>
      </c>
      <c r="H554" s="15">
        <f>IF(OR(ISBLANK(F554),ISBLANK(G554)),"",VALUE(LEFT(F554,1))*VALUE(LEFT(G554,1)))</f>
        <v/>
      </c>
      <c r="I554" s="12">
        <f>IF(ISBLANK(H554),"",IF(H554&gt;=20,"Critical",IF(H554&gt;=15,"High",IF(H554&gt;=8,"Medium","Low"))))</f>
        <v/>
      </c>
    </row>
    <row r="555">
      <c r="B555">
        <f>IF(ISBLANK(A555),"",A555&amp;"-R"&amp;TEXT(COUNTIF($A$2:A555,A555),"00"))</f>
        <v/>
      </c>
      <c r="H555" s="15">
        <f>IF(OR(ISBLANK(F555),ISBLANK(G555)),"",VALUE(LEFT(F555,1))*VALUE(LEFT(G555,1)))</f>
        <v/>
      </c>
      <c r="I555" s="12">
        <f>IF(ISBLANK(H555),"",IF(H555&gt;=20,"Critical",IF(H555&gt;=15,"High",IF(H555&gt;=8,"Medium","Low"))))</f>
        <v/>
      </c>
    </row>
    <row r="556">
      <c r="B556">
        <f>IF(ISBLANK(A556),"",A556&amp;"-R"&amp;TEXT(COUNTIF($A$2:A556,A556),"00"))</f>
        <v/>
      </c>
      <c r="H556" s="15">
        <f>IF(OR(ISBLANK(F556),ISBLANK(G556)),"",VALUE(LEFT(F556,1))*VALUE(LEFT(G556,1)))</f>
        <v/>
      </c>
      <c r="I556" s="12">
        <f>IF(ISBLANK(H556),"",IF(H556&gt;=20,"Critical",IF(H556&gt;=15,"High",IF(H556&gt;=8,"Medium","Low"))))</f>
        <v/>
      </c>
    </row>
    <row r="557">
      <c r="B557">
        <f>IF(ISBLANK(A557),"",A557&amp;"-R"&amp;TEXT(COUNTIF($A$2:A557,A557),"00"))</f>
        <v/>
      </c>
      <c r="H557" s="15">
        <f>IF(OR(ISBLANK(F557),ISBLANK(G557)),"",VALUE(LEFT(F557,1))*VALUE(LEFT(G557,1)))</f>
        <v/>
      </c>
      <c r="I557" s="12">
        <f>IF(ISBLANK(H557),"",IF(H557&gt;=20,"Critical",IF(H557&gt;=15,"High",IF(H557&gt;=8,"Medium","Low"))))</f>
        <v/>
      </c>
    </row>
    <row r="558">
      <c r="B558">
        <f>IF(ISBLANK(A558),"",A558&amp;"-R"&amp;TEXT(COUNTIF($A$2:A558,A558),"00"))</f>
        <v/>
      </c>
      <c r="H558" s="15">
        <f>IF(OR(ISBLANK(F558),ISBLANK(G558)),"",VALUE(LEFT(F558,1))*VALUE(LEFT(G558,1)))</f>
        <v/>
      </c>
      <c r="I558" s="12">
        <f>IF(ISBLANK(H558),"",IF(H558&gt;=20,"Critical",IF(H558&gt;=15,"High",IF(H558&gt;=8,"Medium","Low"))))</f>
        <v/>
      </c>
    </row>
    <row r="559">
      <c r="B559">
        <f>IF(ISBLANK(A559),"",A559&amp;"-R"&amp;TEXT(COUNTIF($A$2:A559,A559),"00"))</f>
        <v/>
      </c>
      <c r="H559" s="15">
        <f>IF(OR(ISBLANK(F559),ISBLANK(G559)),"",VALUE(LEFT(F559,1))*VALUE(LEFT(G559,1)))</f>
        <v/>
      </c>
      <c r="I559" s="12">
        <f>IF(ISBLANK(H559),"",IF(H559&gt;=20,"Critical",IF(H559&gt;=15,"High",IF(H559&gt;=8,"Medium","Low"))))</f>
        <v/>
      </c>
    </row>
    <row r="560">
      <c r="B560">
        <f>IF(ISBLANK(A560),"",A560&amp;"-R"&amp;TEXT(COUNTIF($A$2:A560,A560),"00"))</f>
        <v/>
      </c>
      <c r="H560" s="15">
        <f>IF(OR(ISBLANK(F560),ISBLANK(G560)),"",VALUE(LEFT(F560,1))*VALUE(LEFT(G560,1)))</f>
        <v/>
      </c>
      <c r="I560" s="12">
        <f>IF(ISBLANK(H560),"",IF(H560&gt;=20,"Critical",IF(H560&gt;=15,"High",IF(H560&gt;=8,"Medium","Low"))))</f>
        <v/>
      </c>
    </row>
    <row r="561">
      <c r="B561">
        <f>IF(ISBLANK(A561),"",A561&amp;"-R"&amp;TEXT(COUNTIF($A$2:A561,A561),"00"))</f>
        <v/>
      </c>
      <c r="H561" s="15">
        <f>IF(OR(ISBLANK(F561),ISBLANK(G561)),"",VALUE(LEFT(F561,1))*VALUE(LEFT(G561,1)))</f>
        <v/>
      </c>
      <c r="I561" s="12">
        <f>IF(ISBLANK(H561),"",IF(H561&gt;=20,"Critical",IF(H561&gt;=15,"High",IF(H561&gt;=8,"Medium","Low"))))</f>
        <v/>
      </c>
    </row>
    <row r="562">
      <c r="B562">
        <f>IF(ISBLANK(A562),"",A562&amp;"-R"&amp;TEXT(COUNTIF($A$2:A562,A562),"00"))</f>
        <v/>
      </c>
      <c r="H562" s="15">
        <f>IF(OR(ISBLANK(F562),ISBLANK(G562)),"",VALUE(LEFT(F562,1))*VALUE(LEFT(G562,1)))</f>
        <v/>
      </c>
      <c r="I562" s="12">
        <f>IF(ISBLANK(H562),"",IF(H562&gt;=20,"Critical",IF(H562&gt;=15,"High",IF(H562&gt;=8,"Medium","Low"))))</f>
        <v/>
      </c>
    </row>
    <row r="563">
      <c r="B563">
        <f>IF(ISBLANK(A563),"",A563&amp;"-R"&amp;TEXT(COUNTIF($A$2:A563,A563),"00"))</f>
        <v/>
      </c>
      <c r="H563" s="15">
        <f>IF(OR(ISBLANK(F563),ISBLANK(G563)),"",VALUE(LEFT(F563,1))*VALUE(LEFT(G563,1)))</f>
        <v/>
      </c>
      <c r="I563" s="12">
        <f>IF(ISBLANK(H563),"",IF(H563&gt;=20,"Critical",IF(H563&gt;=15,"High",IF(H563&gt;=8,"Medium","Low"))))</f>
        <v/>
      </c>
    </row>
    <row r="564">
      <c r="B564">
        <f>IF(ISBLANK(A564),"",A564&amp;"-R"&amp;TEXT(COUNTIF($A$2:A564,A564),"00"))</f>
        <v/>
      </c>
      <c r="H564" s="15">
        <f>IF(OR(ISBLANK(F564),ISBLANK(G564)),"",VALUE(LEFT(F564,1))*VALUE(LEFT(G564,1)))</f>
        <v/>
      </c>
      <c r="I564" s="12">
        <f>IF(ISBLANK(H564),"",IF(H564&gt;=20,"Critical",IF(H564&gt;=15,"High",IF(H564&gt;=8,"Medium","Low"))))</f>
        <v/>
      </c>
    </row>
    <row r="565">
      <c r="B565">
        <f>IF(ISBLANK(A565),"",A565&amp;"-R"&amp;TEXT(COUNTIF($A$2:A565,A565),"00"))</f>
        <v/>
      </c>
      <c r="H565" s="15">
        <f>IF(OR(ISBLANK(F565),ISBLANK(G565)),"",VALUE(LEFT(F565,1))*VALUE(LEFT(G565,1)))</f>
        <v/>
      </c>
      <c r="I565" s="12">
        <f>IF(ISBLANK(H565),"",IF(H565&gt;=20,"Critical",IF(H565&gt;=15,"High",IF(H565&gt;=8,"Medium","Low"))))</f>
        <v/>
      </c>
    </row>
    <row r="566">
      <c r="B566">
        <f>IF(ISBLANK(A566),"",A566&amp;"-R"&amp;TEXT(COUNTIF($A$2:A566,A566),"00"))</f>
        <v/>
      </c>
      <c r="H566" s="15">
        <f>IF(OR(ISBLANK(F566),ISBLANK(G566)),"",VALUE(LEFT(F566,1))*VALUE(LEFT(G566,1)))</f>
        <v/>
      </c>
      <c r="I566" s="12">
        <f>IF(ISBLANK(H566),"",IF(H566&gt;=20,"Critical",IF(H566&gt;=15,"High",IF(H566&gt;=8,"Medium","Low"))))</f>
        <v/>
      </c>
    </row>
    <row r="567">
      <c r="B567">
        <f>IF(ISBLANK(A567),"",A567&amp;"-R"&amp;TEXT(COUNTIF($A$2:A567,A567),"00"))</f>
        <v/>
      </c>
      <c r="H567" s="15">
        <f>IF(OR(ISBLANK(F567),ISBLANK(G567)),"",VALUE(LEFT(F567,1))*VALUE(LEFT(G567,1)))</f>
        <v/>
      </c>
      <c r="I567" s="12">
        <f>IF(ISBLANK(H567),"",IF(H567&gt;=20,"Critical",IF(H567&gt;=15,"High",IF(H567&gt;=8,"Medium","Low"))))</f>
        <v/>
      </c>
    </row>
    <row r="568">
      <c r="B568">
        <f>IF(ISBLANK(A568),"",A568&amp;"-R"&amp;TEXT(COUNTIF($A$2:A568,A568),"00"))</f>
        <v/>
      </c>
      <c r="H568" s="15">
        <f>IF(OR(ISBLANK(F568),ISBLANK(G568)),"",VALUE(LEFT(F568,1))*VALUE(LEFT(G568,1)))</f>
        <v/>
      </c>
      <c r="I568" s="12">
        <f>IF(ISBLANK(H568),"",IF(H568&gt;=20,"Critical",IF(H568&gt;=15,"High",IF(H568&gt;=8,"Medium","Low"))))</f>
        <v/>
      </c>
    </row>
    <row r="569">
      <c r="B569">
        <f>IF(ISBLANK(A569),"",A569&amp;"-R"&amp;TEXT(COUNTIF($A$2:A569,A569),"00"))</f>
        <v/>
      </c>
      <c r="H569" s="15">
        <f>IF(OR(ISBLANK(F569),ISBLANK(G569)),"",VALUE(LEFT(F569,1))*VALUE(LEFT(G569,1)))</f>
        <v/>
      </c>
      <c r="I569" s="12">
        <f>IF(ISBLANK(H569),"",IF(H569&gt;=20,"Critical",IF(H569&gt;=15,"High",IF(H569&gt;=8,"Medium","Low"))))</f>
        <v/>
      </c>
    </row>
    <row r="570">
      <c r="B570">
        <f>IF(ISBLANK(A570),"",A570&amp;"-R"&amp;TEXT(COUNTIF($A$2:A570,A570),"00"))</f>
        <v/>
      </c>
      <c r="H570" s="15">
        <f>IF(OR(ISBLANK(F570),ISBLANK(G570)),"",VALUE(LEFT(F570,1))*VALUE(LEFT(G570,1)))</f>
        <v/>
      </c>
      <c r="I570" s="12">
        <f>IF(ISBLANK(H570),"",IF(H570&gt;=20,"Critical",IF(H570&gt;=15,"High",IF(H570&gt;=8,"Medium","Low"))))</f>
        <v/>
      </c>
    </row>
    <row r="571">
      <c r="B571">
        <f>IF(ISBLANK(A571),"",A571&amp;"-R"&amp;TEXT(COUNTIF($A$2:A571,A571),"00"))</f>
        <v/>
      </c>
      <c r="H571" s="15">
        <f>IF(OR(ISBLANK(F571),ISBLANK(G571)),"",VALUE(LEFT(F571,1))*VALUE(LEFT(G571,1)))</f>
        <v/>
      </c>
      <c r="I571" s="12">
        <f>IF(ISBLANK(H571),"",IF(H571&gt;=20,"Critical",IF(H571&gt;=15,"High",IF(H571&gt;=8,"Medium","Low"))))</f>
        <v/>
      </c>
    </row>
    <row r="572">
      <c r="B572">
        <f>IF(ISBLANK(A572),"",A572&amp;"-R"&amp;TEXT(COUNTIF($A$2:A572,A572),"00"))</f>
        <v/>
      </c>
      <c r="H572" s="15">
        <f>IF(OR(ISBLANK(F572),ISBLANK(G572)),"",VALUE(LEFT(F572,1))*VALUE(LEFT(G572,1)))</f>
        <v/>
      </c>
      <c r="I572" s="12">
        <f>IF(ISBLANK(H572),"",IF(H572&gt;=20,"Critical",IF(H572&gt;=15,"High",IF(H572&gt;=8,"Medium","Low"))))</f>
        <v/>
      </c>
    </row>
    <row r="573">
      <c r="B573">
        <f>IF(ISBLANK(A573),"",A573&amp;"-R"&amp;TEXT(COUNTIF($A$2:A573,A573),"00"))</f>
        <v/>
      </c>
      <c r="H573" s="15">
        <f>IF(OR(ISBLANK(F573),ISBLANK(G573)),"",VALUE(LEFT(F573,1))*VALUE(LEFT(G573,1)))</f>
        <v/>
      </c>
      <c r="I573" s="12">
        <f>IF(ISBLANK(H573),"",IF(H573&gt;=20,"Critical",IF(H573&gt;=15,"High",IF(H573&gt;=8,"Medium","Low"))))</f>
        <v/>
      </c>
    </row>
    <row r="574">
      <c r="B574">
        <f>IF(ISBLANK(A574),"",A574&amp;"-R"&amp;TEXT(COUNTIF($A$2:A574,A574),"00"))</f>
        <v/>
      </c>
      <c r="H574" s="15">
        <f>IF(OR(ISBLANK(F574),ISBLANK(G574)),"",VALUE(LEFT(F574,1))*VALUE(LEFT(G574,1)))</f>
        <v/>
      </c>
      <c r="I574" s="12">
        <f>IF(ISBLANK(H574),"",IF(H574&gt;=20,"Critical",IF(H574&gt;=15,"High",IF(H574&gt;=8,"Medium","Low"))))</f>
        <v/>
      </c>
    </row>
    <row r="575">
      <c r="B575">
        <f>IF(ISBLANK(A575),"",A575&amp;"-R"&amp;TEXT(COUNTIF($A$2:A575,A575),"00"))</f>
        <v/>
      </c>
      <c r="H575" s="15">
        <f>IF(OR(ISBLANK(F575),ISBLANK(G575)),"",VALUE(LEFT(F575,1))*VALUE(LEFT(G575,1)))</f>
        <v/>
      </c>
      <c r="I575" s="12">
        <f>IF(ISBLANK(H575),"",IF(H575&gt;=20,"Critical",IF(H575&gt;=15,"High",IF(H575&gt;=8,"Medium","Low"))))</f>
        <v/>
      </c>
    </row>
    <row r="576">
      <c r="B576">
        <f>IF(ISBLANK(A576),"",A576&amp;"-R"&amp;TEXT(COUNTIF($A$2:A576,A576),"00"))</f>
        <v/>
      </c>
      <c r="H576" s="15">
        <f>IF(OR(ISBLANK(F576),ISBLANK(G576)),"",VALUE(LEFT(F576,1))*VALUE(LEFT(G576,1)))</f>
        <v/>
      </c>
      <c r="I576" s="12">
        <f>IF(ISBLANK(H576),"",IF(H576&gt;=20,"Critical",IF(H576&gt;=15,"High",IF(H576&gt;=8,"Medium","Low"))))</f>
        <v/>
      </c>
    </row>
    <row r="577">
      <c r="B577">
        <f>IF(ISBLANK(A577),"",A577&amp;"-R"&amp;TEXT(COUNTIF($A$2:A577,A577),"00"))</f>
        <v/>
      </c>
      <c r="H577" s="15">
        <f>IF(OR(ISBLANK(F577),ISBLANK(G577)),"",VALUE(LEFT(F577,1))*VALUE(LEFT(G577,1)))</f>
        <v/>
      </c>
      <c r="I577" s="12">
        <f>IF(ISBLANK(H577),"",IF(H577&gt;=20,"Critical",IF(H577&gt;=15,"High",IF(H577&gt;=8,"Medium","Low"))))</f>
        <v/>
      </c>
    </row>
    <row r="578">
      <c r="B578">
        <f>IF(ISBLANK(A578),"",A578&amp;"-R"&amp;TEXT(COUNTIF($A$2:A578,A578),"00"))</f>
        <v/>
      </c>
      <c r="H578" s="15">
        <f>IF(OR(ISBLANK(F578),ISBLANK(G578)),"",VALUE(LEFT(F578,1))*VALUE(LEFT(G578,1)))</f>
        <v/>
      </c>
      <c r="I578" s="12">
        <f>IF(ISBLANK(H578),"",IF(H578&gt;=20,"Critical",IF(H578&gt;=15,"High",IF(H578&gt;=8,"Medium","Low"))))</f>
        <v/>
      </c>
    </row>
    <row r="579">
      <c r="B579">
        <f>IF(ISBLANK(A579),"",A579&amp;"-R"&amp;TEXT(COUNTIF($A$2:A579,A579),"00"))</f>
        <v/>
      </c>
      <c r="H579" s="15">
        <f>IF(OR(ISBLANK(F579),ISBLANK(G579)),"",VALUE(LEFT(F579,1))*VALUE(LEFT(G579,1)))</f>
        <v/>
      </c>
      <c r="I579" s="12">
        <f>IF(ISBLANK(H579),"",IF(H579&gt;=20,"Critical",IF(H579&gt;=15,"High",IF(H579&gt;=8,"Medium","Low"))))</f>
        <v/>
      </c>
    </row>
    <row r="580">
      <c r="B580">
        <f>IF(ISBLANK(A580),"",A580&amp;"-R"&amp;TEXT(COUNTIF($A$2:A580,A580),"00"))</f>
        <v/>
      </c>
      <c r="H580" s="15">
        <f>IF(OR(ISBLANK(F580),ISBLANK(G580)),"",VALUE(LEFT(F580,1))*VALUE(LEFT(G580,1)))</f>
        <v/>
      </c>
      <c r="I580" s="12">
        <f>IF(ISBLANK(H580),"",IF(H580&gt;=20,"Critical",IF(H580&gt;=15,"High",IF(H580&gt;=8,"Medium","Low"))))</f>
        <v/>
      </c>
    </row>
    <row r="581">
      <c r="B581">
        <f>IF(ISBLANK(A581),"",A581&amp;"-R"&amp;TEXT(COUNTIF($A$2:A581,A581),"00"))</f>
        <v/>
      </c>
      <c r="H581" s="15">
        <f>IF(OR(ISBLANK(F581),ISBLANK(G581)),"",VALUE(LEFT(F581,1))*VALUE(LEFT(G581,1)))</f>
        <v/>
      </c>
      <c r="I581" s="12">
        <f>IF(ISBLANK(H581),"",IF(H581&gt;=20,"Critical",IF(H581&gt;=15,"High",IF(H581&gt;=8,"Medium","Low"))))</f>
        <v/>
      </c>
    </row>
    <row r="582">
      <c r="B582">
        <f>IF(ISBLANK(A582),"",A582&amp;"-R"&amp;TEXT(COUNTIF($A$2:A582,A582),"00"))</f>
        <v/>
      </c>
      <c r="H582" s="15">
        <f>IF(OR(ISBLANK(F582),ISBLANK(G582)),"",VALUE(LEFT(F582,1))*VALUE(LEFT(G582,1)))</f>
        <v/>
      </c>
      <c r="I582" s="12">
        <f>IF(ISBLANK(H582),"",IF(H582&gt;=20,"Critical",IF(H582&gt;=15,"High",IF(H582&gt;=8,"Medium","Low"))))</f>
        <v/>
      </c>
    </row>
    <row r="583">
      <c r="B583">
        <f>IF(ISBLANK(A583),"",A583&amp;"-R"&amp;TEXT(COUNTIF($A$2:A583,A583),"00"))</f>
        <v/>
      </c>
      <c r="H583" s="15">
        <f>IF(OR(ISBLANK(F583),ISBLANK(G583)),"",VALUE(LEFT(F583,1))*VALUE(LEFT(G583,1)))</f>
        <v/>
      </c>
      <c r="I583" s="12">
        <f>IF(ISBLANK(H583),"",IF(H583&gt;=20,"Critical",IF(H583&gt;=15,"High",IF(H583&gt;=8,"Medium","Low"))))</f>
        <v/>
      </c>
    </row>
    <row r="584">
      <c r="B584">
        <f>IF(ISBLANK(A584),"",A584&amp;"-R"&amp;TEXT(COUNTIF($A$2:A584,A584),"00"))</f>
        <v/>
      </c>
      <c r="H584" s="15">
        <f>IF(OR(ISBLANK(F584),ISBLANK(G584)),"",VALUE(LEFT(F584,1))*VALUE(LEFT(G584,1)))</f>
        <v/>
      </c>
      <c r="I584" s="12">
        <f>IF(ISBLANK(H584),"",IF(H584&gt;=20,"Critical",IF(H584&gt;=15,"High",IF(H584&gt;=8,"Medium","Low"))))</f>
        <v/>
      </c>
    </row>
    <row r="585">
      <c r="B585">
        <f>IF(ISBLANK(A585),"",A585&amp;"-R"&amp;TEXT(COUNTIF($A$2:A585,A585),"00"))</f>
        <v/>
      </c>
      <c r="H585" s="15">
        <f>IF(OR(ISBLANK(F585),ISBLANK(G585)),"",VALUE(LEFT(F585,1))*VALUE(LEFT(G585,1)))</f>
        <v/>
      </c>
      <c r="I585" s="12">
        <f>IF(ISBLANK(H585),"",IF(H585&gt;=20,"Critical",IF(H585&gt;=15,"High",IF(H585&gt;=8,"Medium","Low"))))</f>
        <v/>
      </c>
    </row>
    <row r="586">
      <c r="B586">
        <f>IF(ISBLANK(A586),"",A586&amp;"-R"&amp;TEXT(COUNTIF($A$2:A586,A586),"00"))</f>
        <v/>
      </c>
      <c r="H586" s="15">
        <f>IF(OR(ISBLANK(F586),ISBLANK(G586)),"",VALUE(LEFT(F586,1))*VALUE(LEFT(G586,1)))</f>
        <v/>
      </c>
      <c r="I586" s="12">
        <f>IF(ISBLANK(H586),"",IF(H586&gt;=20,"Critical",IF(H586&gt;=15,"High",IF(H586&gt;=8,"Medium","Low"))))</f>
        <v/>
      </c>
    </row>
    <row r="587">
      <c r="B587">
        <f>IF(ISBLANK(A587),"",A587&amp;"-R"&amp;TEXT(COUNTIF($A$2:A587,A587),"00"))</f>
        <v/>
      </c>
      <c r="H587" s="15">
        <f>IF(OR(ISBLANK(F587),ISBLANK(G587)),"",VALUE(LEFT(F587,1))*VALUE(LEFT(G587,1)))</f>
        <v/>
      </c>
      <c r="I587" s="12">
        <f>IF(ISBLANK(H587),"",IF(H587&gt;=20,"Critical",IF(H587&gt;=15,"High",IF(H587&gt;=8,"Medium","Low"))))</f>
        <v/>
      </c>
    </row>
    <row r="588">
      <c r="B588">
        <f>IF(ISBLANK(A588),"",A588&amp;"-R"&amp;TEXT(COUNTIF($A$2:A588,A588),"00"))</f>
        <v/>
      </c>
      <c r="H588" s="15">
        <f>IF(OR(ISBLANK(F588),ISBLANK(G588)),"",VALUE(LEFT(F588,1))*VALUE(LEFT(G588,1)))</f>
        <v/>
      </c>
      <c r="I588" s="12">
        <f>IF(ISBLANK(H588),"",IF(H588&gt;=20,"Critical",IF(H588&gt;=15,"High",IF(H588&gt;=8,"Medium","Low"))))</f>
        <v/>
      </c>
    </row>
    <row r="589">
      <c r="B589">
        <f>IF(ISBLANK(A589),"",A589&amp;"-R"&amp;TEXT(COUNTIF($A$2:A589,A589),"00"))</f>
        <v/>
      </c>
      <c r="H589" s="15">
        <f>IF(OR(ISBLANK(F589),ISBLANK(G589)),"",VALUE(LEFT(F589,1))*VALUE(LEFT(G589,1)))</f>
        <v/>
      </c>
      <c r="I589" s="12">
        <f>IF(ISBLANK(H589),"",IF(H589&gt;=20,"Critical",IF(H589&gt;=15,"High",IF(H589&gt;=8,"Medium","Low"))))</f>
        <v/>
      </c>
    </row>
    <row r="590">
      <c r="B590">
        <f>IF(ISBLANK(A590),"",A590&amp;"-R"&amp;TEXT(COUNTIF($A$2:A590,A590),"00"))</f>
        <v/>
      </c>
      <c r="H590" s="15">
        <f>IF(OR(ISBLANK(F590),ISBLANK(G590)),"",VALUE(LEFT(F590,1))*VALUE(LEFT(G590,1)))</f>
        <v/>
      </c>
      <c r="I590" s="12">
        <f>IF(ISBLANK(H590),"",IF(H590&gt;=20,"Critical",IF(H590&gt;=15,"High",IF(H590&gt;=8,"Medium","Low"))))</f>
        <v/>
      </c>
    </row>
    <row r="591">
      <c r="B591">
        <f>IF(ISBLANK(A591),"",A591&amp;"-R"&amp;TEXT(COUNTIF($A$2:A591,A591),"00"))</f>
        <v/>
      </c>
      <c r="H591" s="15">
        <f>IF(OR(ISBLANK(F591),ISBLANK(G591)),"",VALUE(LEFT(F591,1))*VALUE(LEFT(G591,1)))</f>
        <v/>
      </c>
      <c r="I591" s="12">
        <f>IF(ISBLANK(H591),"",IF(H591&gt;=20,"Critical",IF(H591&gt;=15,"High",IF(H591&gt;=8,"Medium","Low"))))</f>
        <v/>
      </c>
    </row>
    <row r="592">
      <c r="B592">
        <f>IF(ISBLANK(A592),"",A592&amp;"-R"&amp;TEXT(COUNTIF($A$2:A592,A592),"00"))</f>
        <v/>
      </c>
      <c r="H592" s="15">
        <f>IF(OR(ISBLANK(F592),ISBLANK(G592)),"",VALUE(LEFT(F592,1))*VALUE(LEFT(G592,1)))</f>
        <v/>
      </c>
      <c r="I592" s="12">
        <f>IF(ISBLANK(H592),"",IF(H592&gt;=20,"Critical",IF(H592&gt;=15,"High",IF(H592&gt;=8,"Medium","Low"))))</f>
        <v/>
      </c>
    </row>
    <row r="593">
      <c r="B593">
        <f>IF(ISBLANK(A593),"",A593&amp;"-R"&amp;TEXT(COUNTIF($A$2:A593,A593),"00"))</f>
        <v/>
      </c>
      <c r="H593" s="15">
        <f>IF(OR(ISBLANK(F593),ISBLANK(G593)),"",VALUE(LEFT(F593,1))*VALUE(LEFT(G593,1)))</f>
        <v/>
      </c>
      <c r="I593" s="12">
        <f>IF(ISBLANK(H593),"",IF(H593&gt;=20,"Critical",IF(H593&gt;=15,"High",IF(H593&gt;=8,"Medium","Low"))))</f>
        <v/>
      </c>
    </row>
    <row r="594">
      <c r="B594">
        <f>IF(ISBLANK(A594),"",A594&amp;"-R"&amp;TEXT(COUNTIF($A$2:A594,A594),"00"))</f>
        <v/>
      </c>
      <c r="H594" s="15">
        <f>IF(OR(ISBLANK(F594),ISBLANK(G594)),"",VALUE(LEFT(F594,1))*VALUE(LEFT(G594,1)))</f>
        <v/>
      </c>
      <c r="I594" s="12">
        <f>IF(ISBLANK(H594),"",IF(H594&gt;=20,"Critical",IF(H594&gt;=15,"High",IF(H594&gt;=8,"Medium","Low"))))</f>
        <v/>
      </c>
    </row>
    <row r="595">
      <c r="B595">
        <f>IF(ISBLANK(A595),"",A595&amp;"-R"&amp;TEXT(COUNTIF($A$2:A595,A595),"00"))</f>
        <v/>
      </c>
      <c r="H595" s="15">
        <f>IF(OR(ISBLANK(F595),ISBLANK(G595)),"",VALUE(LEFT(F595,1))*VALUE(LEFT(G595,1)))</f>
        <v/>
      </c>
      <c r="I595" s="12">
        <f>IF(ISBLANK(H595),"",IF(H595&gt;=20,"Critical",IF(H595&gt;=15,"High",IF(H595&gt;=8,"Medium","Low"))))</f>
        <v/>
      </c>
    </row>
    <row r="596">
      <c r="B596">
        <f>IF(ISBLANK(A596),"",A596&amp;"-R"&amp;TEXT(COUNTIF($A$2:A596,A596),"00"))</f>
        <v/>
      </c>
      <c r="H596" s="15">
        <f>IF(OR(ISBLANK(F596),ISBLANK(G596)),"",VALUE(LEFT(F596,1))*VALUE(LEFT(G596,1)))</f>
        <v/>
      </c>
      <c r="I596" s="12">
        <f>IF(ISBLANK(H596),"",IF(H596&gt;=20,"Critical",IF(H596&gt;=15,"High",IF(H596&gt;=8,"Medium","Low"))))</f>
        <v/>
      </c>
    </row>
    <row r="597">
      <c r="B597">
        <f>IF(ISBLANK(A597),"",A597&amp;"-R"&amp;TEXT(COUNTIF($A$2:A597,A597),"00"))</f>
        <v/>
      </c>
      <c r="H597" s="15">
        <f>IF(OR(ISBLANK(F597),ISBLANK(G597)),"",VALUE(LEFT(F597,1))*VALUE(LEFT(G597,1)))</f>
        <v/>
      </c>
      <c r="I597" s="12">
        <f>IF(ISBLANK(H597),"",IF(H597&gt;=20,"Critical",IF(H597&gt;=15,"High",IF(H597&gt;=8,"Medium","Low"))))</f>
        <v/>
      </c>
    </row>
    <row r="598">
      <c r="B598">
        <f>IF(ISBLANK(A598),"",A598&amp;"-R"&amp;TEXT(COUNTIF($A$2:A598,A598),"00"))</f>
        <v/>
      </c>
      <c r="H598" s="15">
        <f>IF(OR(ISBLANK(F598),ISBLANK(G598)),"",VALUE(LEFT(F598,1))*VALUE(LEFT(G598,1)))</f>
        <v/>
      </c>
      <c r="I598" s="12">
        <f>IF(ISBLANK(H598),"",IF(H598&gt;=20,"Critical",IF(H598&gt;=15,"High",IF(H598&gt;=8,"Medium","Low"))))</f>
        <v/>
      </c>
    </row>
    <row r="599">
      <c r="B599">
        <f>IF(ISBLANK(A599),"",A599&amp;"-R"&amp;TEXT(COUNTIF($A$2:A599,A599),"00"))</f>
        <v/>
      </c>
      <c r="H599" s="15">
        <f>IF(OR(ISBLANK(F599),ISBLANK(G599)),"",VALUE(LEFT(F599,1))*VALUE(LEFT(G599,1)))</f>
        <v/>
      </c>
      <c r="I599" s="12">
        <f>IF(ISBLANK(H599),"",IF(H599&gt;=20,"Critical",IF(H599&gt;=15,"High",IF(H599&gt;=8,"Medium","Low"))))</f>
        <v/>
      </c>
    </row>
    <row r="600">
      <c r="B600">
        <f>IF(ISBLANK(A600),"",A600&amp;"-R"&amp;TEXT(COUNTIF($A$2:A600,A600),"00"))</f>
        <v/>
      </c>
      <c r="H600" s="15">
        <f>IF(OR(ISBLANK(F600),ISBLANK(G600)),"",VALUE(LEFT(F600,1))*VALUE(LEFT(G600,1)))</f>
        <v/>
      </c>
      <c r="I600" s="12">
        <f>IF(ISBLANK(H600),"",IF(H600&gt;=20,"Critical",IF(H600&gt;=15,"High",IF(H600&gt;=8,"Medium","Low"))))</f>
        <v/>
      </c>
    </row>
    <row r="601">
      <c r="B601">
        <f>IF(ISBLANK(A601),"",A601&amp;"-R"&amp;TEXT(COUNTIF($A$2:A601,A601),"00"))</f>
        <v/>
      </c>
      <c r="H601" s="15">
        <f>IF(OR(ISBLANK(F601),ISBLANK(G601)),"",VALUE(LEFT(F601,1))*VALUE(LEFT(G601,1)))</f>
        <v/>
      </c>
      <c r="I601" s="12">
        <f>IF(ISBLANK(H601),"",IF(H601&gt;=20,"Critical",IF(H601&gt;=15,"High",IF(H601&gt;=8,"Medium","Low"))))</f>
        <v/>
      </c>
    </row>
    <row r="602">
      <c r="B602">
        <f>IF(ISBLANK(A602),"",A602&amp;"-R"&amp;TEXT(COUNTIF($A$2:A602,A602),"00"))</f>
        <v/>
      </c>
      <c r="H602" s="15">
        <f>IF(OR(ISBLANK(F602),ISBLANK(G602)),"",VALUE(LEFT(F602,1))*VALUE(LEFT(G602,1)))</f>
        <v/>
      </c>
      <c r="I602" s="12">
        <f>IF(ISBLANK(H602),"",IF(H602&gt;=20,"Critical",IF(H602&gt;=15,"High",IF(H602&gt;=8,"Medium","Low"))))</f>
        <v/>
      </c>
    </row>
    <row r="603">
      <c r="B603">
        <f>IF(ISBLANK(A603),"",A603&amp;"-R"&amp;TEXT(COUNTIF($A$2:A603,A603),"00"))</f>
        <v/>
      </c>
      <c r="H603" s="15">
        <f>IF(OR(ISBLANK(F603),ISBLANK(G603)),"",VALUE(LEFT(F603,1))*VALUE(LEFT(G603,1)))</f>
        <v/>
      </c>
      <c r="I603" s="12">
        <f>IF(ISBLANK(H603),"",IF(H603&gt;=20,"Critical",IF(H603&gt;=15,"High",IF(H603&gt;=8,"Medium","Low"))))</f>
        <v/>
      </c>
    </row>
    <row r="604">
      <c r="B604">
        <f>IF(ISBLANK(A604),"",A604&amp;"-R"&amp;TEXT(COUNTIF($A$2:A604,A604),"00"))</f>
        <v/>
      </c>
      <c r="H604" s="15">
        <f>IF(OR(ISBLANK(F604),ISBLANK(G604)),"",VALUE(LEFT(F604,1))*VALUE(LEFT(G604,1)))</f>
        <v/>
      </c>
      <c r="I604" s="12">
        <f>IF(ISBLANK(H604),"",IF(H604&gt;=20,"Critical",IF(H604&gt;=15,"High",IF(H604&gt;=8,"Medium","Low"))))</f>
        <v/>
      </c>
    </row>
    <row r="605">
      <c r="B605">
        <f>IF(ISBLANK(A605),"",A605&amp;"-R"&amp;TEXT(COUNTIF($A$2:A605,A605),"00"))</f>
        <v/>
      </c>
      <c r="H605" s="15">
        <f>IF(OR(ISBLANK(F605),ISBLANK(G605)),"",VALUE(LEFT(F605,1))*VALUE(LEFT(G605,1)))</f>
        <v/>
      </c>
      <c r="I605" s="12">
        <f>IF(ISBLANK(H605),"",IF(H605&gt;=20,"Critical",IF(H605&gt;=15,"High",IF(H605&gt;=8,"Medium","Low"))))</f>
        <v/>
      </c>
    </row>
    <row r="606">
      <c r="B606">
        <f>IF(ISBLANK(A606),"",A606&amp;"-R"&amp;TEXT(COUNTIF($A$2:A606,A606),"00"))</f>
        <v/>
      </c>
      <c r="H606" s="15">
        <f>IF(OR(ISBLANK(F606),ISBLANK(G606)),"",VALUE(LEFT(F606,1))*VALUE(LEFT(G606,1)))</f>
        <v/>
      </c>
      <c r="I606" s="12">
        <f>IF(ISBLANK(H606),"",IF(H606&gt;=20,"Critical",IF(H606&gt;=15,"High",IF(H606&gt;=8,"Medium","Low"))))</f>
        <v/>
      </c>
    </row>
    <row r="607">
      <c r="B607">
        <f>IF(ISBLANK(A607),"",A607&amp;"-R"&amp;TEXT(COUNTIF($A$2:A607,A607),"00"))</f>
        <v/>
      </c>
      <c r="H607" s="15">
        <f>IF(OR(ISBLANK(F607),ISBLANK(G607)),"",VALUE(LEFT(F607,1))*VALUE(LEFT(G607,1)))</f>
        <v/>
      </c>
      <c r="I607" s="12">
        <f>IF(ISBLANK(H607),"",IF(H607&gt;=20,"Critical",IF(H607&gt;=15,"High",IF(H607&gt;=8,"Medium","Low"))))</f>
        <v/>
      </c>
    </row>
    <row r="608">
      <c r="B608">
        <f>IF(ISBLANK(A608),"",A608&amp;"-R"&amp;TEXT(COUNTIF($A$2:A608,A608),"00"))</f>
        <v/>
      </c>
      <c r="H608" s="15">
        <f>IF(OR(ISBLANK(F608),ISBLANK(G608)),"",VALUE(LEFT(F608,1))*VALUE(LEFT(G608,1)))</f>
        <v/>
      </c>
      <c r="I608" s="12">
        <f>IF(ISBLANK(H608),"",IF(H608&gt;=20,"Critical",IF(H608&gt;=15,"High",IF(H608&gt;=8,"Medium","Low"))))</f>
        <v/>
      </c>
    </row>
    <row r="609">
      <c r="B609">
        <f>IF(ISBLANK(A609),"",A609&amp;"-R"&amp;TEXT(COUNTIF($A$2:A609,A609),"00"))</f>
        <v/>
      </c>
      <c r="H609" s="15">
        <f>IF(OR(ISBLANK(F609),ISBLANK(G609)),"",VALUE(LEFT(F609,1))*VALUE(LEFT(G609,1)))</f>
        <v/>
      </c>
      <c r="I609" s="12">
        <f>IF(ISBLANK(H609),"",IF(H609&gt;=20,"Critical",IF(H609&gt;=15,"High",IF(H609&gt;=8,"Medium","Low"))))</f>
        <v/>
      </c>
    </row>
    <row r="610">
      <c r="B610">
        <f>IF(ISBLANK(A610),"",A610&amp;"-R"&amp;TEXT(COUNTIF($A$2:A610,A610),"00"))</f>
        <v/>
      </c>
      <c r="H610" s="15">
        <f>IF(OR(ISBLANK(F610),ISBLANK(G610)),"",VALUE(LEFT(F610,1))*VALUE(LEFT(G610,1)))</f>
        <v/>
      </c>
      <c r="I610" s="12">
        <f>IF(ISBLANK(H610),"",IF(H610&gt;=20,"Critical",IF(H610&gt;=15,"High",IF(H610&gt;=8,"Medium","Low"))))</f>
        <v/>
      </c>
    </row>
    <row r="611">
      <c r="B611">
        <f>IF(ISBLANK(A611),"",A611&amp;"-R"&amp;TEXT(COUNTIF($A$2:A611,A611),"00"))</f>
        <v/>
      </c>
      <c r="H611" s="15">
        <f>IF(OR(ISBLANK(F611),ISBLANK(G611)),"",VALUE(LEFT(F611,1))*VALUE(LEFT(G611,1)))</f>
        <v/>
      </c>
      <c r="I611" s="12">
        <f>IF(ISBLANK(H611),"",IF(H611&gt;=20,"Critical",IF(H611&gt;=15,"High",IF(H611&gt;=8,"Medium","Low"))))</f>
        <v/>
      </c>
    </row>
    <row r="612">
      <c r="B612">
        <f>IF(ISBLANK(A612),"",A612&amp;"-R"&amp;TEXT(COUNTIF($A$2:A612,A612),"00"))</f>
        <v/>
      </c>
      <c r="H612" s="15">
        <f>IF(OR(ISBLANK(F612),ISBLANK(G612)),"",VALUE(LEFT(F612,1))*VALUE(LEFT(G612,1)))</f>
        <v/>
      </c>
      <c r="I612" s="12">
        <f>IF(ISBLANK(H612),"",IF(H612&gt;=20,"Critical",IF(H612&gt;=15,"High",IF(H612&gt;=8,"Medium","Low"))))</f>
        <v/>
      </c>
    </row>
    <row r="613">
      <c r="B613">
        <f>IF(ISBLANK(A613),"",A613&amp;"-R"&amp;TEXT(COUNTIF($A$2:A613,A613),"00"))</f>
        <v/>
      </c>
      <c r="H613" s="15">
        <f>IF(OR(ISBLANK(F613),ISBLANK(G613)),"",VALUE(LEFT(F613,1))*VALUE(LEFT(G613,1)))</f>
        <v/>
      </c>
      <c r="I613" s="12">
        <f>IF(ISBLANK(H613),"",IF(H613&gt;=20,"Critical",IF(H613&gt;=15,"High",IF(H613&gt;=8,"Medium","Low"))))</f>
        <v/>
      </c>
    </row>
    <row r="614">
      <c r="B614">
        <f>IF(ISBLANK(A614),"",A614&amp;"-R"&amp;TEXT(COUNTIF($A$2:A614,A614),"00"))</f>
        <v/>
      </c>
      <c r="H614" s="15">
        <f>IF(OR(ISBLANK(F614),ISBLANK(G614)),"",VALUE(LEFT(F614,1))*VALUE(LEFT(G614,1)))</f>
        <v/>
      </c>
      <c r="I614" s="12">
        <f>IF(ISBLANK(H614),"",IF(H614&gt;=20,"Critical",IF(H614&gt;=15,"High",IF(H614&gt;=8,"Medium","Low"))))</f>
        <v/>
      </c>
    </row>
    <row r="615">
      <c r="B615">
        <f>IF(ISBLANK(A615),"",A615&amp;"-R"&amp;TEXT(COUNTIF($A$2:A615,A615),"00"))</f>
        <v/>
      </c>
      <c r="H615" s="15">
        <f>IF(OR(ISBLANK(F615),ISBLANK(G615)),"",VALUE(LEFT(F615,1))*VALUE(LEFT(G615,1)))</f>
        <v/>
      </c>
      <c r="I615" s="12">
        <f>IF(ISBLANK(H615),"",IF(H615&gt;=20,"Critical",IF(H615&gt;=15,"High",IF(H615&gt;=8,"Medium","Low"))))</f>
        <v/>
      </c>
    </row>
    <row r="616">
      <c r="B616">
        <f>IF(ISBLANK(A616),"",A616&amp;"-R"&amp;TEXT(COUNTIF($A$2:A616,A616),"00"))</f>
        <v/>
      </c>
      <c r="H616" s="15">
        <f>IF(OR(ISBLANK(F616),ISBLANK(G616)),"",VALUE(LEFT(F616,1))*VALUE(LEFT(G616,1)))</f>
        <v/>
      </c>
      <c r="I616" s="12">
        <f>IF(ISBLANK(H616),"",IF(H616&gt;=20,"Critical",IF(H616&gt;=15,"High",IF(H616&gt;=8,"Medium","Low"))))</f>
        <v/>
      </c>
    </row>
    <row r="617">
      <c r="B617">
        <f>IF(ISBLANK(A617),"",A617&amp;"-R"&amp;TEXT(COUNTIF($A$2:A617,A617),"00"))</f>
        <v/>
      </c>
      <c r="H617" s="15">
        <f>IF(OR(ISBLANK(F617),ISBLANK(G617)),"",VALUE(LEFT(F617,1))*VALUE(LEFT(G617,1)))</f>
        <v/>
      </c>
      <c r="I617" s="12">
        <f>IF(ISBLANK(H617),"",IF(H617&gt;=20,"Critical",IF(H617&gt;=15,"High",IF(H617&gt;=8,"Medium","Low"))))</f>
        <v/>
      </c>
    </row>
    <row r="618">
      <c r="B618">
        <f>IF(ISBLANK(A618),"",A618&amp;"-R"&amp;TEXT(COUNTIF($A$2:A618,A618),"00"))</f>
        <v/>
      </c>
      <c r="H618" s="15">
        <f>IF(OR(ISBLANK(F618),ISBLANK(G618)),"",VALUE(LEFT(F618,1))*VALUE(LEFT(G618,1)))</f>
        <v/>
      </c>
      <c r="I618" s="12">
        <f>IF(ISBLANK(H618),"",IF(H618&gt;=20,"Critical",IF(H618&gt;=15,"High",IF(H618&gt;=8,"Medium","Low"))))</f>
        <v/>
      </c>
    </row>
    <row r="619">
      <c r="B619">
        <f>IF(ISBLANK(A619),"",A619&amp;"-R"&amp;TEXT(COUNTIF($A$2:A619,A619),"00"))</f>
        <v/>
      </c>
      <c r="H619" s="15">
        <f>IF(OR(ISBLANK(F619),ISBLANK(G619)),"",VALUE(LEFT(F619,1))*VALUE(LEFT(G619,1)))</f>
        <v/>
      </c>
      <c r="I619" s="12">
        <f>IF(ISBLANK(H619),"",IF(H619&gt;=20,"Critical",IF(H619&gt;=15,"High",IF(H619&gt;=8,"Medium","Low"))))</f>
        <v/>
      </c>
    </row>
    <row r="620">
      <c r="B620">
        <f>IF(ISBLANK(A620),"",A620&amp;"-R"&amp;TEXT(COUNTIF($A$2:A620,A620),"00"))</f>
        <v/>
      </c>
      <c r="H620" s="15">
        <f>IF(OR(ISBLANK(F620),ISBLANK(G620)),"",VALUE(LEFT(F620,1))*VALUE(LEFT(G620,1)))</f>
        <v/>
      </c>
      <c r="I620" s="12">
        <f>IF(ISBLANK(H620),"",IF(H620&gt;=20,"Critical",IF(H620&gt;=15,"High",IF(H620&gt;=8,"Medium","Low"))))</f>
        <v/>
      </c>
    </row>
    <row r="621">
      <c r="B621">
        <f>IF(ISBLANK(A621),"",A621&amp;"-R"&amp;TEXT(COUNTIF($A$2:A621,A621),"00"))</f>
        <v/>
      </c>
      <c r="H621" s="15">
        <f>IF(OR(ISBLANK(F621),ISBLANK(G621)),"",VALUE(LEFT(F621,1))*VALUE(LEFT(G621,1)))</f>
        <v/>
      </c>
      <c r="I621" s="12">
        <f>IF(ISBLANK(H621),"",IF(H621&gt;=20,"Critical",IF(H621&gt;=15,"High",IF(H621&gt;=8,"Medium","Low"))))</f>
        <v/>
      </c>
    </row>
    <row r="622">
      <c r="B622">
        <f>IF(ISBLANK(A622),"",A622&amp;"-R"&amp;TEXT(COUNTIF($A$2:A622,A622),"00"))</f>
        <v/>
      </c>
      <c r="H622" s="15">
        <f>IF(OR(ISBLANK(F622),ISBLANK(G622)),"",VALUE(LEFT(F622,1))*VALUE(LEFT(G622,1)))</f>
        <v/>
      </c>
      <c r="I622" s="12">
        <f>IF(ISBLANK(H622),"",IF(H622&gt;=20,"Critical",IF(H622&gt;=15,"High",IF(H622&gt;=8,"Medium","Low"))))</f>
        <v/>
      </c>
    </row>
    <row r="623">
      <c r="B623">
        <f>IF(ISBLANK(A623),"",A623&amp;"-R"&amp;TEXT(COUNTIF($A$2:A623,A623),"00"))</f>
        <v/>
      </c>
      <c r="H623" s="15">
        <f>IF(OR(ISBLANK(F623),ISBLANK(G623)),"",VALUE(LEFT(F623,1))*VALUE(LEFT(G623,1)))</f>
        <v/>
      </c>
      <c r="I623" s="12">
        <f>IF(ISBLANK(H623),"",IF(H623&gt;=20,"Critical",IF(H623&gt;=15,"High",IF(H623&gt;=8,"Medium","Low"))))</f>
        <v/>
      </c>
    </row>
    <row r="624">
      <c r="B624">
        <f>IF(ISBLANK(A624),"",A624&amp;"-R"&amp;TEXT(COUNTIF($A$2:A624,A624),"00"))</f>
        <v/>
      </c>
      <c r="H624" s="15">
        <f>IF(OR(ISBLANK(F624),ISBLANK(G624)),"",VALUE(LEFT(F624,1))*VALUE(LEFT(G624,1)))</f>
        <v/>
      </c>
      <c r="I624" s="12">
        <f>IF(ISBLANK(H624),"",IF(H624&gt;=20,"Critical",IF(H624&gt;=15,"High",IF(H624&gt;=8,"Medium","Low"))))</f>
        <v/>
      </c>
    </row>
    <row r="625">
      <c r="B625">
        <f>IF(ISBLANK(A625),"",A625&amp;"-R"&amp;TEXT(COUNTIF($A$2:A625,A625),"00"))</f>
        <v/>
      </c>
      <c r="H625" s="15">
        <f>IF(OR(ISBLANK(F625),ISBLANK(G625)),"",VALUE(LEFT(F625,1))*VALUE(LEFT(G625,1)))</f>
        <v/>
      </c>
      <c r="I625" s="12">
        <f>IF(ISBLANK(H625),"",IF(H625&gt;=20,"Critical",IF(H625&gt;=15,"High",IF(H625&gt;=8,"Medium","Low"))))</f>
        <v/>
      </c>
    </row>
    <row r="626">
      <c r="B626">
        <f>IF(ISBLANK(A626),"",A626&amp;"-R"&amp;TEXT(COUNTIF($A$2:A626,A626),"00"))</f>
        <v/>
      </c>
      <c r="H626" s="15">
        <f>IF(OR(ISBLANK(F626),ISBLANK(G626)),"",VALUE(LEFT(F626,1))*VALUE(LEFT(G626,1)))</f>
        <v/>
      </c>
      <c r="I626" s="12">
        <f>IF(ISBLANK(H626),"",IF(H626&gt;=20,"Critical",IF(H626&gt;=15,"High",IF(H626&gt;=8,"Medium","Low"))))</f>
        <v/>
      </c>
    </row>
    <row r="627">
      <c r="B627">
        <f>IF(ISBLANK(A627),"",A627&amp;"-R"&amp;TEXT(COUNTIF($A$2:A627,A627),"00"))</f>
        <v/>
      </c>
      <c r="H627" s="15">
        <f>IF(OR(ISBLANK(F627),ISBLANK(G627)),"",VALUE(LEFT(F627,1))*VALUE(LEFT(G627,1)))</f>
        <v/>
      </c>
      <c r="I627" s="12">
        <f>IF(ISBLANK(H627),"",IF(H627&gt;=20,"Critical",IF(H627&gt;=15,"High",IF(H627&gt;=8,"Medium","Low"))))</f>
        <v/>
      </c>
    </row>
    <row r="628">
      <c r="B628">
        <f>IF(ISBLANK(A628),"",A628&amp;"-R"&amp;TEXT(COUNTIF($A$2:A628,A628),"00"))</f>
        <v/>
      </c>
      <c r="H628" s="15">
        <f>IF(OR(ISBLANK(F628),ISBLANK(G628)),"",VALUE(LEFT(F628,1))*VALUE(LEFT(G628,1)))</f>
        <v/>
      </c>
      <c r="I628" s="12">
        <f>IF(ISBLANK(H628),"",IF(H628&gt;=20,"Critical",IF(H628&gt;=15,"High",IF(H628&gt;=8,"Medium","Low"))))</f>
        <v/>
      </c>
    </row>
    <row r="629">
      <c r="B629">
        <f>IF(ISBLANK(A629),"",A629&amp;"-R"&amp;TEXT(COUNTIF($A$2:A629,A629),"00"))</f>
        <v/>
      </c>
      <c r="H629" s="15">
        <f>IF(OR(ISBLANK(F629),ISBLANK(G629)),"",VALUE(LEFT(F629,1))*VALUE(LEFT(G629,1)))</f>
        <v/>
      </c>
      <c r="I629" s="12">
        <f>IF(ISBLANK(H629),"",IF(H629&gt;=20,"Critical",IF(H629&gt;=15,"High",IF(H629&gt;=8,"Medium","Low"))))</f>
        <v/>
      </c>
    </row>
    <row r="630">
      <c r="B630">
        <f>IF(ISBLANK(A630),"",A630&amp;"-R"&amp;TEXT(COUNTIF($A$2:A630,A630),"00"))</f>
        <v/>
      </c>
      <c r="H630" s="15">
        <f>IF(OR(ISBLANK(F630),ISBLANK(G630)),"",VALUE(LEFT(F630,1))*VALUE(LEFT(G630,1)))</f>
        <v/>
      </c>
      <c r="I630" s="12">
        <f>IF(ISBLANK(H630),"",IF(H630&gt;=20,"Critical",IF(H630&gt;=15,"High",IF(H630&gt;=8,"Medium","Low"))))</f>
        <v/>
      </c>
    </row>
    <row r="631">
      <c r="B631">
        <f>IF(ISBLANK(A631),"",A631&amp;"-R"&amp;TEXT(COUNTIF($A$2:A631,A631),"00"))</f>
        <v/>
      </c>
      <c r="H631" s="15">
        <f>IF(OR(ISBLANK(F631),ISBLANK(G631)),"",VALUE(LEFT(F631,1))*VALUE(LEFT(G631,1)))</f>
        <v/>
      </c>
      <c r="I631" s="12">
        <f>IF(ISBLANK(H631),"",IF(H631&gt;=20,"Critical",IF(H631&gt;=15,"High",IF(H631&gt;=8,"Medium","Low"))))</f>
        <v/>
      </c>
    </row>
    <row r="632">
      <c r="B632">
        <f>IF(ISBLANK(A632),"",A632&amp;"-R"&amp;TEXT(COUNTIF($A$2:A632,A632),"00"))</f>
        <v/>
      </c>
      <c r="H632" s="15">
        <f>IF(OR(ISBLANK(F632),ISBLANK(G632)),"",VALUE(LEFT(F632,1))*VALUE(LEFT(G632,1)))</f>
        <v/>
      </c>
      <c r="I632" s="12">
        <f>IF(ISBLANK(H632),"",IF(H632&gt;=20,"Critical",IF(H632&gt;=15,"High",IF(H632&gt;=8,"Medium","Low"))))</f>
        <v/>
      </c>
    </row>
    <row r="633">
      <c r="B633">
        <f>IF(ISBLANK(A633),"",A633&amp;"-R"&amp;TEXT(COUNTIF($A$2:A633,A633),"00"))</f>
        <v/>
      </c>
      <c r="H633" s="15">
        <f>IF(OR(ISBLANK(F633),ISBLANK(G633)),"",VALUE(LEFT(F633,1))*VALUE(LEFT(G633,1)))</f>
        <v/>
      </c>
      <c r="I633" s="12">
        <f>IF(ISBLANK(H633),"",IF(H633&gt;=20,"Critical",IF(H633&gt;=15,"High",IF(H633&gt;=8,"Medium","Low"))))</f>
        <v/>
      </c>
    </row>
    <row r="634">
      <c r="B634">
        <f>IF(ISBLANK(A634),"",A634&amp;"-R"&amp;TEXT(COUNTIF($A$2:A634,A634),"00"))</f>
        <v/>
      </c>
      <c r="H634" s="15">
        <f>IF(OR(ISBLANK(F634),ISBLANK(G634)),"",VALUE(LEFT(F634,1))*VALUE(LEFT(G634,1)))</f>
        <v/>
      </c>
      <c r="I634" s="12">
        <f>IF(ISBLANK(H634),"",IF(H634&gt;=20,"Critical",IF(H634&gt;=15,"High",IF(H634&gt;=8,"Medium","Low"))))</f>
        <v/>
      </c>
    </row>
    <row r="635">
      <c r="B635">
        <f>IF(ISBLANK(A635),"",A635&amp;"-R"&amp;TEXT(COUNTIF($A$2:A635,A635),"00"))</f>
        <v/>
      </c>
      <c r="H635" s="15">
        <f>IF(OR(ISBLANK(F635),ISBLANK(G635)),"",VALUE(LEFT(F635,1))*VALUE(LEFT(G635,1)))</f>
        <v/>
      </c>
      <c r="I635" s="12">
        <f>IF(ISBLANK(H635),"",IF(H635&gt;=20,"Critical",IF(H635&gt;=15,"High",IF(H635&gt;=8,"Medium","Low"))))</f>
        <v/>
      </c>
    </row>
    <row r="636">
      <c r="B636">
        <f>IF(ISBLANK(A636),"",A636&amp;"-R"&amp;TEXT(COUNTIF($A$2:A636,A636),"00"))</f>
        <v/>
      </c>
      <c r="H636" s="15">
        <f>IF(OR(ISBLANK(F636),ISBLANK(G636)),"",VALUE(LEFT(F636,1))*VALUE(LEFT(G636,1)))</f>
        <v/>
      </c>
      <c r="I636" s="12">
        <f>IF(ISBLANK(H636),"",IF(H636&gt;=20,"Critical",IF(H636&gt;=15,"High",IF(H636&gt;=8,"Medium","Low"))))</f>
        <v/>
      </c>
    </row>
    <row r="637">
      <c r="B637">
        <f>IF(ISBLANK(A637),"",A637&amp;"-R"&amp;TEXT(COUNTIF($A$2:A637,A637),"00"))</f>
        <v/>
      </c>
      <c r="H637" s="15">
        <f>IF(OR(ISBLANK(F637),ISBLANK(G637)),"",VALUE(LEFT(F637,1))*VALUE(LEFT(G637,1)))</f>
        <v/>
      </c>
      <c r="I637" s="12">
        <f>IF(ISBLANK(H637),"",IF(H637&gt;=20,"Critical",IF(H637&gt;=15,"High",IF(H637&gt;=8,"Medium","Low"))))</f>
        <v/>
      </c>
    </row>
    <row r="638">
      <c r="B638">
        <f>IF(ISBLANK(A638),"",A638&amp;"-R"&amp;TEXT(COUNTIF($A$2:A638,A638),"00"))</f>
        <v/>
      </c>
      <c r="H638" s="15">
        <f>IF(OR(ISBLANK(F638),ISBLANK(G638)),"",VALUE(LEFT(F638,1))*VALUE(LEFT(G638,1)))</f>
        <v/>
      </c>
      <c r="I638" s="12">
        <f>IF(ISBLANK(H638),"",IF(H638&gt;=20,"Critical",IF(H638&gt;=15,"High",IF(H638&gt;=8,"Medium","Low"))))</f>
        <v/>
      </c>
    </row>
    <row r="639">
      <c r="B639">
        <f>IF(ISBLANK(A639),"",A639&amp;"-R"&amp;TEXT(COUNTIF($A$2:A639,A639),"00"))</f>
        <v/>
      </c>
      <c r="H639" s="15">
        <f>IF(OR(ISBLANK(F639),ISBLANK(G639)),"",VALUE(LEFT(F639,1))*VALUE(LEFT(G639,1)))</f>
        <v/>
      </c>
      <c r="I639" s="12">
        <f>IF(ISBLANK(H639),"",IF(H639&gt;=20,"Critical",IF(H639&gt;=15,"High",IF(H639&gt;=8,"Medium","Low"))))</f>
        <v/>
      </c>
    </row>
    <row r="640">
      <c r="B640">
        <f>IF(ISBLANK(A640),"",A640&amp;"-R"&amp;TEXT(COUNTIF($A$2:A640,A640),"00"))</f>
        <v/>
      </c>
      <c r="H640" s="15">
        <f>IF(OR(ISBLANK(F640),ISBLANK(G640)),"",VALUE(LEFT(F640,1))*VALUE(LEFT(G640,1)))</f>
        <v/>
      </c>
      <c r="I640" s="12">
        <f>IF(ISBLANK(H640),"",IF(H640&gt;=20,"Critical",IF(H640&gt;=15,"High",IF(H640&gt;=8,"Medium","Low"))))</f>
        <v/>
      </c>
    </row>
    <row r="641">
      <c r="B641">
        <f>IF(ISBLANK(A641),"",A641&amp;"-R"&amp;TEXT(COUNTIF($A$2:A641,A641),"00"))</f>
        <v/>
      </c>
      <c r="H641" s="15">
        <f>IF(OR(ISBLANK(F641),ISBLANK(G641)),"",VALUE(LEFT(F641,1))*VALUE(LEFT(G641,1)))</f>
        <v/>
      </c>
      <c r="I641" s="12">
        <f>IF(ISBLANK(H641),"",IF(H641&gt;=20,"Critical",IF(H641&gt;=15,"High",IF(H641&gt;=8,"Medium","Low"))))</f>
        <v/>
      </c>
    </row>
    <row r="642">
      <c r="B642">
        <f>IF(ISBLANK(A642),"",A642&amp;"-R"&amp;TEXT(COUNTIF($A$2:A642,A642),"00"))</f>
        <v/>
      </c>
      <c r="H642" s="15">
        <f>IF(OR(ISBLANK(F642),ISBLANK(G642)),"",VALUE(LEFT(F642,1))*VALUE(LEFT(G642,1)))</f>
        <v/>
      </c>
      <c r="I642" s="12">
        <f>IF(ISBLANK(H642),"",IF(H642&gt;=20,"Critical",IF(H642&gt;=15,"High",IF(H642&gt;=8,"Medium","Low"))))</f>
        <v/>
      </c>
    </row>
    <row r="643">
      <c r="B643">
        <f>IF(ISBLANK(A643),"",A643&amp;"-R"&amp;TEXT(COUNTIF($A$2:A643,A643),"00"))</f>
        <v/>
      </c>
      <c r="H643" s="15">
        <f>IF(OR(ISBLANK(F643),ISBLANK(G643)),"",VALUE(LEFT(F643,1))*VALUE(LEFT(G643,1)))</f>
        <v/>
      </c>
      <c r="I643" s="12">
        <f>IF(ISBLANK(H643),"",IF(H643&gt;=20,"Critical",IF(H643&gt;=15,"High",IF(H643&gt;=8,"Medium","Low"))))</f>
        <v/>
      </c>
    </row>
    <row r="644">
      <c r="B644">
        <f>IF(ISBLANK(A644),"",A644&amp;"-R"&amp;TEXT(COUNTIF($A$2:A644,A644),"00"))</f>
        <v/>
      </c>
      <c r="H644" s="15">
        <f>IF(OR(ISBLANK(F644),ISBLANK(G644)),"",VALUE(LEFT(F644,1))*VALUE(LEFT(G644,1)))</f>
        <v/>
      </c>
      <c r="I644" s="12">
        <f>IF(ISBLANK(H644),"",IF(H644&gt;=20,"Critical",IF(H644&gt;=15,"High",IF(H644&gt;=8,"Medium","Low"))))</f>
        <v/>
      </c>
    </row>
    <row r="645">
      <c r="B645">
        <f>IF(ISBLANK(A645),"",A645&amp;"-R"&amp;TEXT(COUNTIF($A$2:A645,A645),"00"))</f>
        <v/>
      </c>
      <c r="H645" s="15">
        <f>IF(OR(ISBLANK(F645),ISBLANK(G645)),"",VALUE(LEFT(F645,1))*VALUE(LEFT(G645,1)))</f>
        <v/>
      </c>
      <c r="I645" s="12">
        <f>IF(ISBLANK(H645),"",IF(H645&gt;=20,"Critical",IF(H645&gt;=15,"High",IF(H645&gt;=8,"Medium","Low"))))</f>
        <v/>
      </c>
    </row>
    <row r="646">
      <c r="B646">
        <f>IF(ISBLANK(A646),"",A646&amp;"-R"&amp;TEXT(COUNTIF($A$2:A646,A646),"00"))</f>
        <v/>
      </c>
      <c r="H646" s="15">
        <f>IF(OR(ISBLANK(F646),ISBLANK(G646)),"",VALUE(LEFT(F646,1))*VALUE(LEFT(G646,1)))</f>
        <v/>
      </c>
      <c r="I646" s="12">
        <f>IF(ISBLANK(H646),"",IF(H646&gt;=20,"Critical",IF(H646&gt;=15,"High",IF(H646&gt;=8,"Medium","Low"))))</f>
        <v/>
      </c>
    </row>
    <row r="647">
      <c r="B647">
        <f>IF(ISBLANK(A647),"",A647&amp;"-R"&amp;TEXT(COUNTIF($A$2:A647,A647),"00"))</f>
        <v/>
      </c>
      <c r="H647" s="15">
        <f>IF(OR(ISBLANK(F647),ISBLANK(G647)),"",VALUE(LEFT(F647,1))*VALUE(LEFT(G647,1)))</f>
        <v/>
      </c>
      <c r="I647" s="12">
        <f>IF(ISBLANK(H647),"",IF(H647&gt;=20,"Critical",IF(H647&gt;=15,"High",IF(H647&gt;=8,"Medium","Low"))))</f>
        <v/>
      </c>
    </row>
    <row r="648">
      <c r="B648">
        <f>IF(ISBLANK(A648),"",A648&amp;"-R"&amp;TEXT(COUNTIF($A$2:A648,A648),"00"))</f>
        <v/>
      </c>
      <c r="H648" s="15">
        <f>IF(OR(ISBLANK(F648),ISBLANK(G648)),"",VALUE(LEFT(F648,1))*VALUE(LEFT(G648,1)))</f>
        <v/>
      </c>
      <c r="I648" s="12">
        <f>IF(ISBLANK(H648),"",IF(H648&gt;=20,"Critical",IF(H648&gt;=15,"High",IF(H648&gt;=8,"Medium","Low"))))</f>
        <v/>
      </c>
    </row>
    <row r="649">
      <c r="B649">
        <f>IF(ISBLANK(A649),"",A649&amp;"-R"&amp;TEXT(COUNTIF($A$2:A649,A649),"00"))</f>
        <v/>
      </c>
      <c r="H649" s="15">
        <f>IF(OR(ISBLANK(F649),ISBLANK(G649)),"",VALUE(LEFT(F649,1))*VALUE(LEFT(G649,1)))</f>
        <v/>
      </c>
      <c r="I649" s="12">
        <f>IF(ISBLANK(H649),"",IF(H649&gt;=20,"Critical",IF(H649&gt;=15,"High",IF(H649&gt;=8,"Medium","Low"))))</f>
        <v/>
      </c>
    </row>
    <row r="650">
      <c r="B650">
        <f>IF(ISBLANK(A650),"",A650&amp;"-R"&amp;TEXT(COUNTIF($A$2:A650,A650),"00"))</f>
        <v/>
      </c>
      <c r="H650" s="15">
        <f>IF(OR(ISBLANK(F650),ISBLANK(G650)),"",VALUE(LEFT(F650,1))*VALUE(LEFT(G650,1)))</f>
        <v/>
      </c>
      <c r="I650" s="12">
        <f>IF(ISBLANK(H650),"",IF(H650&gt;=20,"Critical",IF(H650&gt;=15,"High",IF(H650&gt;=8,"Medium","Low"))))</f>
        <v/>
      </c>
    </row>
    <row r="651">
      <c r="B651">
        <f>IF(ISBLANK(A651),"",A651&amp;"-R"&amp;TEXT(COUNTIF($A$2:A651,A651),"00"))</f>
        <v/>
      </c>
      <c r="H651" s="15">
        <f>IF(OR(ISBLANK(F651),ISBLANK(G651)),"",VALUE(LEFT(F651,1))*VALUE(LEFT(G651,1)))</f>
        <v/>
      </c>
      <c r="I651" s="12">
        <f>IF(ISBLANK(H651),"",IF(H651&gt;=20,"Critical",IF(H651&gt;=15,"High",IF(H651&gt;=8,"Medium","Low"))))</f>
        <v/>
      </c>
    </row>
    <row r="652">
      <c r="B652">
        <f>IF(ISBLANK(A652),"",A652&amp;"-R"&amp;TEXT(COUNTIF($A$2:A652,A652),"00"))</f>
        <v/>
      </c>
      <c r="H652" s="15">
        <f>IF(OR(ISBLANK(F652),ISBLANK(G652)),"",VALUE(LEFT(F652,1))*VALUE(LEFT(G652,1)))</f>
        <v/>
      </c>
      <c r="I652" s="12">
        <f>IF(ISBLANK(H652),"",IF(H652&gt;=20,"Critical",IF(H652&gt;=15,"High",IF(H652&gt;=8,"Medium","Low"))))</f>
        <v/>
      </c>
    </row>
    <row r="653">
      <c r="B653">
        <f>IF(ISBLANK(A653),"",A653&amp;"-R"&amp;TEXT(COUNTIF($A$2:A653,A653),"00"))</f>
        <v/>
      </c>
      <c r="H653" s="15">
        <f>IF(OR(ISBLANK(F653),ISBLANK(G653)),"",VALUE(LEFT(F653,1))*VALUE(LEFT(G653,1)))</f>
        <v/>
      </c>
      <c r="I653" s="12">
        <f>IF(ISBLANK(H653),"",IF(H653&gt;=20,"Critical",IF(H653&gt;=15,"High",IF(H653&gt;=8,"Medium","Low"))))</f>
        <v/>
      </c>
    </row>
    <row r="654">
      <c r="B654">
        <f>IF(ISBLANK(A654),"",A654&amp;"-R"&amp;TEXT(COUNTIF($A$2:A654,A654),"00"))</f>
        <v/>
      </c>
      <c r="H654" s="15">
        <f>IF(OR(ISBLANK(F654),ISBLANK(G654)),"",VALUE(LEFT(F654,1))*VALUE(LEFT(G654,1)))</f>
        <v/>
      </c>
      <c r="I654" s="12">
        <f>IF(ISBLANK(H654),"",IF(H654&gt;=20,"Critical",IF(H654&gt;=15,"High",IF(H654&gt;=8,"Medium","Low"))))</f>
        <v/>
      </c>
    </row>
    <row r="655">
      <c r="B655">
        <f>IF(ISBLANK(A655),"",A655&amp;"-R"&amp;TEXT(COUNTIF($A$2:A655,A655),"00"))</f>
        <v/>
      </c>
      <c r="H655" s="15">
        <f>IF(OR(ISBLANK(F655),ISBLANK(G655)),"",VALUE(LEFT(F655,1))*VALUE(LEFT(G655,1)))</f>
        <v/>
      </c>
      <c r="I655" s="12">
        <f>IF(ISBLANK(H655),"",IF(H655&gt;=20,"Critical",IF(H655&gt;=15,"High",IF(H655&gt;=8,"Medium","Low"))))</f>
        <v/>
      </c>
    </row>
    <row r="656">
      <c r="B656">
        <f>IF(ISBLANK(A656),"",A656&amp;"-R"&amp;TEXT(COUNTIF($A$2:A656,A656),"00"))</f>
        <v/>
      </c>
      <c r="H656" s="15">
        <f>IF(OR(ISBLANK(F656),ISBLANK(G656)),"",VALUE(LEFT(F656,1))*VALUE(LEFT(G656,1)))</f>
        <v/>
      </c>
      <c r="I656" s="12">
        <f>IF(ISBLANK(H656),"",IF(H656&gt;=20,"Critical",IF(H656&gt;=15,"High",IF(H656&gt;=8,"Medium","Low"))))</f>
        <v/>
      </c>
    </row>
    <row r="657">
      <c r="B657">
        <f>IF(ISBLANK(A657),"",A657&amp;"-R"&amp;TEXT(COUNTIF($A$2:A657,A657),"00"))</f>
        <v/>
      </c>
      <c r="H657" s="15">
        <f>IF(OR(ISBLANK(F657),ISBLANK(G657)),"",VALUE(LEFT(F657,1))*VALUE(LEFT(G657,1)))</f>
        <v/>
      </c>
      <c r="I657" s="12">
        <f>IF(ISBLANK(H657),"",IF(H657&gt;=20,"Critical",IF(H657&gt;=15,"High",IF(H657&gt;=8,"Medium","Low"))))</f>
        <v/>
      </c>
    </row>
    <row r="658">
      <c r="B658">
        <f>IF(ISBLANK(A658),"",A658&amp;"-R"&amp;TEXT(COUNTIF($A$2:A658,A658),"00"))</f>
        <v/>
      </c>
      <c r="H658" s="15">
        <f>IF(OR(ISBLANK(F658),ISBLANK(G658)),"",VALUE(LEFT(F658,1))*VALUE(LEFT(G658,1)))</f>
        <v/>
      </c>
      <c r="I658" s="12">
        <f>IF(ISBLANK(H658),"",IF(H658&gt;=20,"Critical",IF(H658&gt;=15,"High",IF(H658&gt;=8,"Medium","Low"))))</f>
        <v/>
      </c>
    </row>
    <row r="659">
      <c r="B659">
        <f>IF(ISBLANK(A659),"",A659&amp;"-R"&amp;TEXT(COUNTIF($A$2:A659,A659),"00"))</f>
        <v/>
      </c>
      <c r="H659" s="15">
        <f>IF(OR(ISBLANK(F659),ISBLANK(G659)),"",VALUE(LEFT(F659,1))*VALUE(LEFT(G659,1)))</f>
        <v/>
      </c>
      <c r="I659" s="12">
        <f>IF(ISBLANK(H659),"",IF(H659&gt;=20,"Critical",IF(H659&gt;=15,"High",IF(H659&gt;=8,"Medium","Low"))))</f>
        <v/>
      </c>
    </row>
    <row r="660">
      <c r="B660">
        <f>IF(ISBLANK(A660),"",A660&amp;"-R"&amp;TEXT(COUNTIF($A$2:A660,A660),"00"))</f>
        <v/>
      </c>
      <c r="H660" s="15">
        <f>IF(OR(ISBLANK(F660),ISBLANK(G660)),"",VALUE(LEFT(F660,1))*VALUE(LEFT(G660,1)))</f>
        <v/>
      </c>
      <c r="I660" s="12">
        <f>IF(ISBLANK(H660),"",IF(H660&gt;=20,"Critical",IF(H660&gt;=15,"High",IF(H660&gt;=8,"Medium","Low"))))</f>
        <v/>
      </c>
    </row>
    <row r="661">
      <c r="B661">
        <f>IF(ISBLANK(A661),"",A661&amp;"-R"&amp;TEXT(COUNTIF($A$2:A661,A661),"00"))</f>
        <v/>
      </c>
      <c r="H661" s="15">
        <f>IF(OR(ISBLANK(F661),ISBLANK(G661)),"",VALUE(LEFT(F661,1))*VALUE(LEFT(G661,1)))</f>
        <v/>
      </c>
      <c r="I661" s="12">
        <f>IF(ISBLANK(H661),"",IF(H661&gt;=20,"Critical",IF(H661&gt;=15,"High",IF(H661&gt;=8,"Medium","Low"))))</f>
        <v/>
      </c>
    </row>
    <row r="662">
      <c r="B662">
        <f>IF(ISBLANK(A662),"",A662&amp;"-R"&amp;TEXT(COUNTIF($A$2:A662,A662),"00"))</f>
        <v/>
      </c>
      <c r="H662" s="15">
        <f>IF(OR(ISBLANK(F662),ISBLANK(G662)),"",VALUE(LEFT(F662,1))*VALUE(LEFT(G662,1)))</f>
        <v/>
      </c>
      <c r="I662" s="12">
        <f>IF(ISBLANK(H662),"",IF(H662&gt;=20,"Critical",IF(H662&gt;=15,"High",IF(H662&gt;=8,"Medium","Low"))))</f>
        <v/>
      </c>
    </row>
    <row r="663">
      <c r="B663">
        <f>IF(ISBLANK(A663),"",A663&amp;"-R"&amp;TEXT(COUNTIF($A$2:A663,A663),"00"))</f>
        <v/>
      </c>
      <c r="H663" s="15">
        <f>IF(OR(ISBLANK(F663),ISBLANK(G663)),"",VALUE(LEFT(F663,1))*VALUE(LEFT(G663,1)))</f>
        <v/>
      </c>
      <c r="I663" s="12">
        <f>IF(ISBLANK(H663),"",IF(H663&gt;=20,"Critical",IF(H663&gt;=15,"High",IF(H663&gt;=8,"Medium","Low"))))</f>
        <v/>
      </c>
    </row>
    <row r="664">
      <c r="B664">
        <f>IF(ISBLANK(A664),"",A664&amp;"-R"&amp;TEXT(COUNTIF($A$2:A664,A664),"00"))</f>
        <v/>
      </c>
      <c r="H664" s="15">
        <f>IF(OR(ISBLANK(F664),ISBLANK(G664)),"",VALUE(LEFT(F664,1))*VALUE(LEFT(G664,1)))</f>
        <v/>
      </c>
      <c r="I664" s="12">
        <f>IF(ISBLANK(H664),"",IF(H664&gt;=20,"Critical",IF(H664&gt;=15,"High",IF(H664&gt;=8,"Medium","Low"))))</f>
        <v/>
      </c>
    </row>
    <row r="665">
      <c r="B665">
        <f>IF(ISBLANK(A665),"",A665&amp;"-R"&amp;TEXT(COUNTIF($A$2:A665,A665),"00"))</f>
        <v/>
      </c>
      <c r="H665" s="15">
        <f>IF(OR(ISBLANK(F665),ISBLANK(G665)),"",VALUE(LEFT(F665,1))*VALUE(LEFT(G665,1)))</f>
        <v/>
      </c>
      <c r="I665" s="12">
        <f>IF(ISBLANK(H665),"",IF(H665&gt;=20,"Critical",IF(H665&gt;=15,"High",IF(H665&gt;=8,"Medium","Low"))))</f>
        <v/>
      </c>
    </row>
    <row r="666">
      <c r="B666">
        <f>IF(ISBLANK(A666),"",A666&amp;"-R"&amp;TEXT(COUNTIF($A$2:A666,A666),"00"))</f>
        <v/>
      </c>
      <c r="H666" s="15">
        <f>IF(OR(ISBLANK(F666),ISBLANK(G666)),"",VALUE(LEFT(F666,1))*VALUE(LEFT(G666,1)))</f>
        <v/>
      </c>
      <c r="I666" s="12">
        <f>IF(ISBLANK(H666),"",IF(H666&gt;=20,"Critical",IF(H666&gt;=15,"High",IF(H666&gt;=8,"Medium","Low"))))</f>
        <v/>
      </c>
    </row>
    <row r="667">
      <c r="B667">
        <f>IF(ISBLANK(A667),"",A667&amp;"-R"&amp;TEXT(COUNTIF($A$2:A667,A667),"00"))</f>
        <v/>
      </c>
      <c r="H667" s="15">
        <f>IF(OR(ISBLANK(F667),ISBLANK(G667)),"",VALUE(LEFT(F667,1))*VALUE(LEFT(G667,1)))</f>
        <v/>
      </c>
      <c r="I667" s="12">
        <f>IF(ISBLANK(H667),"",IF(H667&gt;=20,"Critical",IF(H667&gt;=15,"High",IF(H667&gt;=8,"Medium","Low"))))</f>
        <v/>
      </c>
    </row>
    <row r="668">
      <c r="B668">
        <f>IF(ISBLANK(A668),"",A668&amp;"-R"&amp;TEXT(COUNTIF($A$2:A668,A668),"00"))</f>
        <v/>
      </c>
      <c r="H668" s="15">
        <f>IF(OR(ISBLANK(F668),ISBLANK(G668)),"",VALUE(LEFT(F668,1))*VALUE(LEFT(G668,1)))</f>
        <v/>
      </c>
      <c r="I668" s="12">
        <f>IF(ISBLANK(H668),"",IF(H668&gt;=20,"Critical",IF(H668&gt;=15,"High",IF(H668&gt;=8,"Medium","Low"))))</f>
        <v/>
      </c>
    </row>
    <row r="669">
      <c r="B669">
        <f>IF(ISBLANK(A669),"",A669&amp;"-R"&amp;TEXT(COUNTIF($A$2:A669,A669),"00"))</f>
        <v/>
      </c>
      <c r="H669" s="15">
        <f>IF(OR(ISBLANK(F669),ISBLANK(G669)),"",VALUE(LEFT(F669,1))*VALUE(LEFT(G669,1)))</f>
        <v/>
      </c>
      <c r="I669" s="12">
        <f>IF(ISBLANK(H669),"",IF(H669&gt;=20,"Critical",IF(H669&gt;=15,"High",IF(H669&gt;=8,"Medium","Low"))))</f>
        <v/>
      </c>
    </row>
    <row r="670">
      <c r="B670">
        <f>IF(ISBLANK(A670),"",A670&amp;"-R"&amp;TEXT(COUNTIF($A$2:A670,A670),"00"))</f>
        <v/>
      </c>
      <c r="H670" s="15">
        <f>IF(OR(ISBLANK(F670),ISBLANK(G670)),"",VALUE(LEFT(F670,1))*VALUE(LEFT(G670,1)))</f>
        <v/>
      </c>
      <c r="I670" s="12">
        <f>IF(ISBLANK(H670),"",IF(H670&gt;=20,"Critical",IF(H670&gt;=15,"High",IF(H670&gt;=8,"Medium","Low"))))</f>
        <v/>
      </c>
    </row>
    <row r="671">
      <c r="B671">
        <f>IF(ISBLANK(A671),"",A671&amp;"-R"&amp;TEXT(COUNTIF($A$2:A671,A671),"00"))</f>
        <v/>
      </c>
      <c r="H671" s="15">
        <f>IF(OR(ISBLANK(F671),ISBLANK(G671)),"",VALUE(LEFT(F671,1))*VALUE(LEFT(G671,1)))</f>
        <v/>
      </c>
      <c r="I671" s="12">
        <f>IF(ISBLANK(H671),"",IF(H671&gt;=20,"Critical",IF(H671&gt;=15,"High",IF(H671&gt;=8,"Medium","Low"))))</f>
        <v/>
      </c>
    </row>
    <row r="672">
      <c r="B672">
        <f>IF(ISBLANK(A672),"",A672&amp;"-R"&amp;TEXT(COUNTIF($A$2:A672,A672),"00"))</f>
        <v/>
      </c>
      <c r="H672" s="15">
        <f>IF(OR(ISBLANK(F672),ISBLANK(G672)),"",VALUE(LEFT(F672,1))*VALUE(LEFT(G672,1)))</f>
        <v/>
      </c>
      <c r="I672" s="12">
        <f>IF(ISBLANK(H672),"",IF(H672&gt;=20,"Critical",IF(H672&gt;=15,"High",IF(H672&gt;=8,"Medium","Low"))))</f>
        <v/>
      </c>
    </row>
    <row r="673">
      <c r="B673">
        <f>IF(ISBLANK(A673),"",A673&amp;"-R"&amp;TEXT(COUNTIF($A$2:A673,A673),"00"))</f>
        <v/>
      </c>
      <c r="H673" s="15">
        <f>IF(OR(ISBLANK(F673),ISBLANK(G673)),"",VALUE(LEFT(F673,1))*VALUE(LEFT(G673,1)))</f>
        <v/>
      </c>
      <c r="I673" s="12">
        <f>IF(ISBLANK(H673),"",IF(H673&gt;=20,"Critical",IF(H673&gt;=15,"High",IF(H673&gt;=8,"Medium","Low"))))</f>
        <v/>
      </c>
    </row>
    <row r="674">
      <c r="B674">
        <f>IF(ISBLANK(A674),"",A674&amp;"-R"&amp;TEXT(COUNTIF($A$2:A674,A674),"00"))</f>
        <v/>
      </c>
      <c r="H674" s="15">
        <f>IF(OR(ISBLANK(F674),ISBLANK(G674)),"",VALUE(LEFT(F674,1))*VALUE(LEFT(G674,1)))</f>
        <v/>
      </c>
      <c r="I674" s="12">
        <f>IF(ISBLANK(H674),"",IF(H674&gt;=20,"Critical",IF(H674&gt;=15,"High",IF(H674&gt;=8,"Medium","Low"))))</f>
        <v/>
      </c>
    </row>
    <row r="675">
      <c r="B675">
        <f>IF(ISBLANK(A675),"",A675&amp;"-R"&amp;TEXT(COUNTIF($A$2:A675,A675),"00"))</f>
        <v/>
      </c>
      <c r="H675" s="15">
        <f>IF(OR(ISBLANK(F675),ISBLANK(G675)),"",VALUE(LEFT(F675,1))*VALUE(LEFT(G675,1)))</f>
        <v/>
      </c>
      <c r="I675" s="12">
        <f>IF(ISBLANK(H675),"",IF(H675&gt;=20,"Critical",IF(H675&gt;=15,"High",IF(H675&gt;=8,"Medium","Low"))))</f>
        <v/>
      </c>
    </row>
    <row r="676">
      <c r="B676">
        <f>IF(ISBLANK(A676),"",A676&amp;"-R"&amp;TEXT(COUNTIF($A$2:A676,A676),"00"))</f>
        <v/>
      </c>
      <c r="H676" s="15">
        <f>IF(OR(ISBLANK(F676),ISBLANK(G676)),"",VALUE(LEFT(F676,1))*VALUE(LEFT(G676,1)))</f>
        <v/>
      </c>
      <c r="I676" s="12">
        <f>IF(ISBLANK(H676),"",IF(H676&gt;=20,"Critical",IF(H676&gt;=15,"High",IF(H676&gt;=8,"Medium","Low"))))</f>
        <v/>
      </c>
    </row>
    <row r="677">
      <c r="B677">
        <f>IF(ISBLANK(A677),"",A677&amp;"-R"&amp;TEXT(COUNTIF($A$2:A677,A677),"00"))</f>
        <v/>
      </c>
      <c r="H677" s="15">
        <f>IF(OR(ISBLANK(F677),ISBLANK(G677)),"",VALUE(LEFT(F677,1))*VALUE(LEFT(G677,1)))</f>
        <v/>
      </c>
      <c r="I677" s="12">
        <f>IF(ISBLANK(H677),"",IF(H677&gt;=20,"Critical",IF(H677&gt;=15,"High",IF(H677&gt;=8,"Medium","Low"))))</f>
        <v/>
      </c>
    </row>
    <row r="678">
      <c r="B678">
        <f>IF(ISBLANK(A678),"",A678&amp;"-R"&amp;TEXT(COUNTIF($A$2:A678,A678),"00"))</f>
        <v/>
      </c>
      <c r="H678" s="15">
        <f>IF(OR(ISBLANK(F678),ISBLANK(G678)),"",VALUE(LEFT(F678,1))*VALUE(LEFT(G678,1)))</f>
        <v/>
      </c>
      <c r="I678" s="12">
        <f>IF(ISBLANK(H678),"",IF(H678&gt;=20,"Critical",IF(H678&gt;=15,"High",IF(H678&gt;=8,"Medium","Low"))))</f>
        <v/>
      </c>
    </row>
    <row r="679">
      <c r="B679">
        <f>IF(ISBLANK(A679),"",A679&amp;"-R"&amp;TEXT(COUNTIF($A$2:A679,A679),"00"))</f>
        <v/>
      </c>
      <c r="H679" s="15">
        <f>IF(OR(ISBLANK(F679),ISBLANK(G679)),"",VALUE(LEFT(F679,1))*VALUE(LEFT(G679,1)))</f>
        <v/>
      </c>
      <c r="I679" s="12">
        <f>IF(ISBLANK(H679),"",IF(H679&gt;=20,"Critical",IF(H679&gt;=15,"High",IF(H679&gt;=8,"Medium","Low"))))</f>
        <v/>
      </c>
    </row>
    <row r="680">
      <c r="B680">
        <f>IF(ISBLANK(A680),"",A680&amp;"-R"&amp;TEXT(COUNTIF($A$2:A680,A680),"00"))</f>
        <v/>
      </c>
      <c r="H680" s="15">
        <f>IF(OR(ISBLANK(F680),ISBLANK(G680)),"",VALUE(LEFT(F680,1))*VALUE(LEFT(G680,1)))</f>
        <v/>
      </c>
      <c r="I680" s="12">
        <f>IF(ISBLANK(H680),"",IF(H680&gt;=20,"Critical",IF(H680&gt;=15,"High",IF(H680&gt;=8,"Medium","Low"))))</f>
        <v/>
      </c>
    </row>
    <row r="681">
      <c r="B681">
        <f>IF(ISBLANK(A681),"",A681&amp;"-R"&amp;TEXT(COUNTIF($A$2:A681,A681),"00"))</f>
        <v/>
      </c>
      <c r="H681" s="15">
        <f>IF(OR(ISBLANK(F681),ISBLANK(G681)),"",VALUE(LEFT(F681,1))*VALUE(LEFT(G681,1)))</f>
        <v/>
      </c>
      <c r="I681" s="12">
        <f>IF(ISBLANK(H681),"",IF(H681&gt;=20,"Critical",IF(H681&gt;=15,"High",IF(H681&gt;=8,"Medium","Low"))))</f>
        <v/>
      </c>
    </row>
    <row r="682">
      <c r="B682">
        <f>IF(ISBLANK(A682),"",A682&amp;"-R"&amp;TEXT(COUNTIF($A$2:A682,A682),"00"))</f>
        <v/>
      </c>
      <c r="H682" s="15">
        <f>IF(OR(ISBLANK(F682),ISBLANK(G682)),"",VALUE(LEFT(F682,1))*VALUE(LEFT(G682,1)))</f>
        <v/>
      </c>
      <c r="I682" s="12">
        <f>IF(ISBLANK(H682),"",IF(H682&gt;=20,"Critical",IF(H682&gt;=15,"High",IF(H682&gt;=8,"Medium","Low"))))</f>
        <v/>
      </c>
    </row>
    <row r="683">
      <c r="B683">
        <f>IF(ISBLANK(A683),"",A683&amp;"-R"&amp;TEXT(COUNTIF($A$2:A683,A683),"00"))</f>
        <v/>
      </c>
      <c r="H683" s="15">
        <f>IF(OR(ISBLANK(F683),ISBLANK(G683)),"",VALUE(LEFT(F683,1))*VALUE(LEFT(G683,1)))</f>
        <v/>
      </c>
      <c r="I683" s="12">
        <f>IF(ISBLANK(H683),"",IF(H683&gt;=20,"Critical",IF(H683&gt;=15,"High",IF(H683&gt;=8,"Medium","Low"))))</f>
        <v/>
      </c>
    </row>
    <row r="684">
      <c r="B684">
        <f>IF(ISBLANK(A684),"",A684&amp;"-R"&amp;TEXT(COUNTIF($A$2:A684,A684),"00"))</f>
        <v/>
      </c>
      <c r="H684" s="15">
        <f>IF(OR(ISBLANK(F684),ISBLANK(G684)),"",VALUE(LEFT(F684,1))*VALUE(LEFT(G684,1)))</f>
        <v/>
      </c>
      <c r="I684" s="12">
        <f>IF(ISBLANK(H684),"",IF(H684&gt;=20,"Critical",IF(H684&gt;=15,"High",IF(H684&gt;=8,"Medium","Low"))))</f>
        <v/>
      </c>
    </row>
    <row r="685">
      <c r="B685">
        <f>IF(ISBLANK(A685),"",A685&amp;"-R"&amp;TEXT(COUNTIF($A$2:A685,A685),"00"))</f>
        <v/>
      </c>
      <c r="H685" s="15">
        <f>IF(OR(ISBLANK(F685),ISBLANK(G685)),"",VALUE(LEFT(F685,1))*VALUE(LEFT(G685,1)))</f>
        <v/>
      </c>
      <c r="I685" s="12">
        <f>IF(ISBLANK(H685),"",IF(H685&gt;=20,"Critical",IF(H685&gt;=15,"High",IF(H685&gt;=8,"Medium","Low"))))</f>
        <v/>
      </c>
    </row>
    <row r="686">
      <c r="B686">
        <f>IF(ISBLANK(A686),"",A686&amp;"-R"&amp;TEXT(COUNTIF($A$2:A686,A686),"00"))</f>
        <v/>
      </c>
      <c r="H686" s="15">
        <f>IF(OR(ISBLANK(F686),ISBLANK(G686)),"",VALUE(LEFT(F686,1))*VALUE(LEFT(G686,1)))</f>
        <v/>
      </c>
      <c r="I686" s="12">
        <f>IF(ISBLANK(H686),"",IF(H686&gt;=20,"Critical",IF(H686&gt;=15,"High",IF(H686&gt;=8,"Medium","Low"))))</f>
        <v/>
      </c>
    </row>
    <row r="687">
      <c r="B687">
        <f>IF(ISBLANK(A687),"",A687&amp;"-R"&amp;TEXT(COUNTIF($A$2:A687,A687),"00"))</f>
        <v/>
      </c>
      <c r="H687" s="15">
        <f>IF(OR(ISBLANK(F687),ISBLANK(G687)),"",VALUE(LEFT(F687,1))*VALUE(LEFT(G687,1)))</f>
        <v/>
      </c>
      <c r="I687" s="12">
        <f>IF(ISBLANK(H687),"",IF(H687&gt;=20,"Critical",IF(H687&gt;=15,"High",IF(H687&gt;=8,"Medium","Low"))))</f>
        <v/>
      </c>
    </row>
    <row r="688">
      <c r="B688">
        <f>IF(ISBLANK(A688),"",A688&amp;"-R"&amp;TEXT(COUNTIF($A$2:A688,A688),"00"))</f>
        <v/>
      </c>
      <c r="H688" s="15">
        <f>IF(OR(ISBLANK(F688),ISBLANK(G688)),"",VALUE(LEFT(F688,1))*VALUE(LEFT(G688,1)))</f>
        <v/>
      </c>
      <c r="I688" s="12">
        <f>IF(ISBLANK(H688),"",IF(H688&gt;=20,"Critical",IF(H688&gt;=15,"High",IF(H688&gt;=8,"Medium","Low"))))</f>
        <v/>
      </c>
    </row>
    <row r="689">
      <c r="B689">
        <f>IF(ISBLANK(A689),"",A689&amp;"-R"&amp;TEXT(COUNTIF($A$2:A689,A689),"00"))</f>
        <v/>
      </c>
      <c r="H689" s="15">
        <f>IF(OR(ISBLANK(F689),ISBLANK(G689)),"",VALUE(LEFT(F689,1))*VALUE(LEFT(G689,1)))</f>
        <v/>
      </c>
      <c r="I689" s="12">
        <f>IF(ISBLANK(H689),"",IF(H689&gt;=20,"Critical",IF(H689&gt;=15,"High",IF(H689&gt;=8,"Medium","Low"))))</f>
        <v/>
      </c>
    </row>
    <row r="690">
      <c r="B690">
        <f>IF(ISBLANK(A690),"",A690&amp;"-R"&amp;TEXT(COUNTIF($A$2:A690,A690),"00"))</f>
        <v/>
      </c>
      <c r="H690" s="15">
        <f>IF(OR(ISBLANK(F690),ISBLANK(G690)),"",VALUE(LEFT(F690,1))*VALUE(LEFT(G690,1)))</f>
        <v/>
      </c>
      <c r="I690" s="12">
        <f>IF(ISBLANK(H690),"",IF(H690&gt;=20,"Critical",IF(H690&gt;=15,"High",IF(H690&gt;=8,"Medium","Low"))))</f>
        <v/>
      </c>
    </row>
    <row r="691">
      <c r="B691">
        <f>IF(ISBLANK(A691),"",A691&amp;"-R"&amp;TEXT(COUNTIF($A$2:A691,A691),"00"))</f>
        <v/>
      </c>
      <c r="H691" s="15">
        <f>IF(OR(ISBLANK(F691),ISBLANK(G691)),"",VALUE(LEFT(F691,1))*VALUE(LEFT(G691,1)))</f>
        <v/>
      </c>
      <c r="I691" s="12">
        <f>IF(ISBLANK(H691),"",IF(H691&gt;=20,"Critical",IF(H691&gt;=15,"High",IF(H691&gt;=8,"Medium","Low"))))</f>
        <v/>
      </c>
    </row>
    <row r="692">
      <c r="B692">
        <f>IF(ISBLANK(A692),"",A692&amp;"-R"&amp;TEXT(COUNTIF($A$2:A692,A692),"00"))</f>
        <v/>
      </c>
      <c r="H692" s="15">
        <f>IF(OR(ISBLANK(F692),ISBLANK(G692)),"",VALUE(LEFT(F692,1))*VALUE(LEFT(G692,1)))</f>
        <v/>
      </c>
      <c r="I692" s="12">
        <f>IF(ISBLANK(H692),"",IF(H692&gt;=20,"Critical",IF(H692&gt;=15,"High",IF(H692&gt;=8,"Medium","Low"))))</f>
        <v/>
      </c>
    </row>
    <row r="693">
      <c r="B693">
        <f>IF(ISBLANK(A693),"",A693&amp;"-R"&amp;TEXT(COUNTIF($A$2:A693,A693),"00"))</f>
        <v/>
      </c>
      <c r="H693" s="15">
        <f>IF(OR(ISBLANK(F693),ISBLANK(G693)),"",VALUE(LEFT(F693,1))*VALUE(LEFT(G693,1)))</f>
        <v/>
      </c>
      <c r="I693" s="12">
        <f>IF(ISBLANK(H693),"",IF(H693&gt;=20,"Critical",IF(H693&gt;=15,"High",IF(H693&gt;=8,"Medium","Low"))))</f>
        <v/>
      </c>
    </row>
    <row r="694">
      <c r="B694">
        <f>IF(ISBLANK(A694),"",A694&amp;"-R"&amp;TEXT(COUNTIF($A$2:A694,A694),"00"))</f>
        <v/>
      </c>
      <c r="H694" s="15">
        <f>IF(OR(ISBLANK(F694),ISBLANK(G694)),"",VALUE(LEFT(F694,1))*VALUE(LEFT(G694,1)))</f>
        <v/>
      </c>
      <c r="I694" s="12">
        <f>IF(ISBLANK(H694),"",IF(H694&gt;=20,"Critical",IF(H694&gt;=15,"High",IF(H694&gt;=8,"Medium","Low"))))</f>
        <v/>
      </c>
    </row>
    <row r="695">
      <c r="B695">
        <f>IF(ISBLANK(A695),"",A695&amp;"-R"&amp;TEXT(COUNTIF($A$2:A695,A695),"00"))</f>
        <v/>
      </c>
      <c r="H695" s="15">
        <f>IF(OR(ISBLANK(F695),ISBLANK(G695)),"",VALUE(LEFT(F695,1))*VALUE(LEFT(G695,1)))</f>
        <v/>
      </c>
      <c r="I695" s="12">
        <f>IF(ISBLANK(H695),"",IF(H695&gt;=20,"Critical",IF(H695&gt;=15,"High",IF(H695&gt;=8,"Medium","Low"))))</f>
        <v/>
      </c>
    </row>
    <row r="696">
      <c r="B696">
        <f>IF(ISBLANK(A696),"",A696&amp;"-R"&amp;TEXT(COUNTIF($A$2:A696,A696),"00"))</f>
        <v/>
      </c>
      <c r="H696" s="15">
        <f>IF(OR(ISBLANK(F696),ISBLANK(G696)),"",VALUE(LEFT(F696,1))*VALUE(LEFT(G696,1)))</f>
        <v/>
      </c>
      <c r="I696" s="12">
        <f>IF(ISBLANK(H696),"",IF(H696&gt;=20,"Critical",IF(H696&gt;=15,"High",IF(H696&gt;=8,"Medium","Low"))))</f>
        <v/>
      </c>
    </row>
    <row r="697">
      <c r="B697">
        <f>IF(ISBLANK(A697),"",A697&amp;"-R"&amp;TEXT(COUNTIF($A$2:A697,A697),"00"))</f>
        <v/>
      </c>
      <c r="H697" s="15">
        <f>IF(OR(ISBLANK(F697),ISBLANK(G697)),"",VALUE(LEFT(F697,1))*VALUE(LEFT(G697,1)))</f>
        <v/>
      </c>
      <c r="I697" s="12">
        <f>IF(ISBLANK(H697),"",IF(H697&gt;=20,"Critical",IF(H697&gt;=15,"High",IF(H697&gt;=8,"Medium","Low"))))</f>
        <v/>
      </c>
    </row>
    <row r="698">
      <c r="B698">
        <f>IF(ISBLANK(A698),"",A698&amp;"-R"&amp;TEXT(COUNTIF($A$2:A698,A698),"00"))</f>
        <v/>
      </c>
      <c r="H698" s="15">
        <f>IF(OR(ISBLANK(F698),ISBLANK(G698)),"",VALUE(LEFT(F698,1))*VALUE(LEFT(G698,1)))</f>
        <v/>
      </c>
      <c r="I698" s="12">
        <f>IF(ISBLANK(H698),"",IF(H698&gt;=20,"Critical",IF(H698&gt;=15,"High",IF(H698&gt;=8,"Medium","Low"))))</f>
        <v/>
      </c>
    </row>
    <row r="699">
      <c r="B699">
        <f>IF(ISBLANK(A699),"",A699&amp;"-R"&amp;TEXT(COUNTIF($A$2:A699,A699),"00"))</f>
        <v/>
      </c>
      <c r="H699" s="15">
        <f>IF(OR(ISBLANK(F699),ISBLANK(G699)),"",VALUE(LEFT(F699,1))*VALUE(LEFT(G699,1)))</f>
        <v/>
      </c>
      <c r="I699" s="12">
        <f>IF(ISBLANK(H699),"",IF(H699&gt;=20,"Critical",IF(H699&gt;=15,"High",IF(H699&gt;=8,"Medium","Low"))))</f>
        <v/>
      </c>
    </row>
    <row r="700">
      <c r="B700">
        <f>IF(ISBLANK(A700),"",A700&amp;"-R"&amp;TEXT(COUNTIF($A$2:A700,A700),"00"))</f>
        <v/>
      </c>
      <c r="H700" s="15">
        <f>IF(OR(ISBLANK(F700),ISBLANK(G700)),"",VALUE(LEFT(F700,1))*VALUE(LEFT(G700,1)))</f>
        <v/>
      </c>
      <c r="I700" s="12">
        <f>IF(ISBLANK(H700),"",IF(H700&gt;=20,"Critical",IF(H700&gt;=15,"High",IF(H700&gt;=8,"Medium","Low"))))</f>
        <v/>
      </c>
    </row>
    <row r="701">
      <c r="B701">
        <f>IF(ISBLANK(A701),"",A701&amp;"-R"&amp;TEXT(COUNTIF($A$2:A701,A701),"00"))</f>
        <v/>
      </c>
      <c r="H701" s="15">
        <f>IF(OR(ISBLANK(F701),ISBLANK(G701)),"",VALUE(LEFT(F701,1))*VALUE(LEFT(G701,1)))</f>
        <v/>
      </c>
      <c r="I701" s="12">
        <f>IF(ISBLANK(H701),"",IF(H701&gt;=20,"Critical",IF(H701&gt;=15,"High",IF(H701&gt;=8,"Medium","Low"))))</f>
        <v/>
      </c>
    </row>
    <row r="702">
      <c r="B702">
        <f>IF(ISBLANK(A702),"",A702&amp;"-R"&amp;TEXT(COUNTIF($A$2:A702,A702),"00"))</f>
        <v/>
      </c>
      <c r="H702" s="15">
        <f>IF(OR(ISBLANK(F702),ISBLANK(G702)),"",VALUE(LEFT(F702,1))*VALUE(LEFT(G702,1)))</f>
        <v/>
      </c>
      <c r="I702" s="12">
        <f>IF(ISBLANK(H702),"",IF(H702&gt;=20,"Critical",IF(H702&gt;=15,"High",IF(H702&gt;=8,"Medium","Low"))))</f>
        <v/>
      </c>
    </row>
    <row r="703">
      <c r="B703">
        <f>IF(ISBLANK(A703),"",A703&amp;"-R"&amp;TEXT(COUNTIF($A$2:A703,A703),"00"))</f>
        <v/>
      </c>
      <c r="H703" s="15">
        <f>IF(OR(ISBLANK(F703),ISBLANK(G703)),"",VALUE(LEFT(F703,1))*VALUE(LEFT(G703,1)))</f>
        <v/>
      </c>
      <c r="I703" s="12">
        <f>IF(ISBLANK(H703),"",IF(H703&gt;=20,"Critical",IF(H703&gt;=15,"High",IF(H703&gt;=8,"Medium","Low"))))</f>
        <v/>
      </c>
    </row>
    <row r="704">
      <c r="B704">
        <f>IF(ISBLANK(A704),"",A704&amp;"-R"&amp;TEXT(COUNTIF($A$2:A704,A704),"00"))</f>
        <v/>
      </c>
      <c r="H704" s="15">
        <f>IF(OR(ISBLANK(F704),ISBLANK(G704)),"",VALUE(LEFT(F704,1))*VALUE(LEFT(G704,1)))</f>
        <v/>
      </c>
      <c r="I704" s="12">
        <f>IF(ISBLANK(H704),"",IF(H704&gt;=20,"Critical",IF(H704&gt;=15,"High",IF(H704&gt;=8,"Medium","Low"))))</f>
        <v/>
      </c>
    </row>
    <row r="705">
      <c r="B705">
        <f>IF(ISBLANK(A705),"",A705&amp;"-R"&amp;TEXT(COUNTIF($A$2:A705,A705),"00"))</f>
        <v/>
      </c>
      <c r="H705" s="15">
        <f>IF(OR(ISBLANK(F705),ISBLANK(G705)),"",VALUE(LEFT(F705,1))*VALUE(LEFT(G705,1)))</f>
        <v/>
      </c>
      <c r="I705" s="12">
        <f>IF(ISBLANK(H705),"",IF(H705&gt;=20,"Critical",IF(H705&gt;=15,"High",IF(H705&gt;=8,"Medium","Low"))))</f>
        <v/>
      </c>
    </row>
    <row r="706">
      <c r="B706">
        <f>IF(ISBLANK(A706),"",A706&amp;"-R"&amp;TEXT(COUNTIF($A$2:A706,A706),"00"))</f>
        <v/>
      </c>
      <c r="H706" s="15">
        <f>IF(OR(ISBLANK(F706),ISBLANK(G706)),"",VALUE(LEFT(F706,1))*VALUE(LEFT(G706,1)))</f>
        <v/>
      </c>
      <c r="I706" s="12">
        <f>IF(ISBLANK(H706),"",IF(H706&gt;=20,"Critical",IF(H706&gt;=15,"High",IF(H706&gt;=8,"Medium","Low"))))</f>
        <v/>
      </c>
    </row>
    <row r="707">
      <c r="B707">
        <f>IF(ISBLANK(A707),"",A707&amp;"-R"&amp;TEXT(COUNTIF($A$2:A707,A707),"00"))</f>
        <v/>
      </c>
      <c r="H707" s="15">
        <f>IF(OR(ISBLANK(F707),ISBLANK(G707)),"",VALUE(LEFT(F707,1))*VALUE(LEFT(G707,1)))</f>
        <v/>
      </c>
      <c r="I707" s="12">
        <f>IF(ISBLANK(H707),"",IF(H707&gt;=20,"Critical",IF(H707&gt;=15,"High",IF(H707&gt;=8,"Medium","Low"))))</f>
        <v/>
      </c>
    </row>
    <row r="708">
      <c r="B708">
        <f>IF(ISBLANK(A708),"",A708&amp;"-R"&amp;TEXT(COUNTIF($A$2:A708,A708),"00"))</f>
        <v/>
      </c>
      <c r="H708" s="15">
        <f>IF(OR(ISBLANK(F708),ISBLANK(G708)),"",VALUE(LEFT(F708,1))*VALUE(LEFT(G708,1)))</f>
        <v/>
      </c>
      <c r="I708" s="12">
        <f>IF(ISBLANK(H708),"",IF(H708&gt;=20,"Critical",IF(H708&gt;=15,"High",IF(H708&gt;=8,"Medium","Low"))))</f>
        <v/>
      </c>
    </row>
    <row r="709">
      <c r="B709">
        <f>IF(ISBLANK(A709),"",A709&amp;"-R"&amp;TEXT(COUNTIF($A$2:A709,A709),"00"))</f>
        <v/>
      </c>
      <c r="H709" s="15">
        <f>IF(OR(ISBLANK(F709),ISBLANK(G709)),"",VALUE(LEFT(F709,1))*VALUE(LEFT(G709,1)))</f>
        <v/>
      </c>
      <c r="I709" s="12">
        <f>IF(ISBLANK(H709),"",IF(H709&gt;=20,"Critical",IF(H709&gt;=15,"High",IF(H709&gt;=8,"Medium","Low"))))</f>
        <v/>
      </c>
    </row>
    <row r="710">
      <c r="B710">
        <f>IF(ISBLANK(A710),"",A710&amp;"-R"&amp;TEXT(COUNTIF($A$2:A710,A710),"00"))</f>
        <v/>
      </c>
      <c r="H710" s="15">
        <f>IF(OR(ISBLANK(F710),ISBLANK(G710)),"",VALUE(LEFT(F710,1))*VALUE(LEFT(G710,1)))</f>
        <v/>
      </c>
      <c r="I710" s="12">
        <f>IF(ISBLANK(H710),"",IF(H710&gt;=20,"Critical",IF(H710&gt;=15,"High",IF(H710&gt;=8,"Medium","Low"))))</f>
        <v/>
      </c>
    </row>
    <row r="711">
      <c r="B711">
        <f>IF(ISBLANK(A711),"",A711&amp;"-R"&amp;TEXT(COUNTIF($A$2:A711,A711),"00"))</f>
        <v/>
      </c>
      <c r="H711" s="15">
        <f>IF(OR(ISBLANK(F711),ISBLANK(G711)),"",VALUE(LEFT(F711,1))*VALUE(LEFT(G711,1)))</f>
        <v/>
      </c>
      <c r="I711" s="12">
        <f>IF(ISBLANK(H711),"",IF(H711&gt;=20,"Critical",IF(H711&gt;=15,"High",IF(H711&gt;=8,"Medium","Low"))))</f>
        <v/>
      </c>
    </row>
    <row r="712">
      <c r="B712">
        <f>IF(ISBLANK(A712),"",A712&amp;"-R"&amp;TEXT(COUNTIF($A$2:A712,A712),"00"))</f>
        <v/>
      </c>
      <c r="H712" s="15">
        <f>IF(OR(ISBLANK(F712),ISBLANK(G712)),"",VALUE(LEFT(F712,1))*VALUE(LEFT(G712,1)))</f>
        <v/>
      </c>
      <c r="I712" s="12">
        <f>IF(ISBLANK(H712),"",IF(H712&gt;=20,"Critical",IF(H712&gt;=15,"High",IF(H712&gt;=8,"Medium","Low"))))</f>
        <v/>
      </c>
    </row>
    <row r="713">
      <c r="B713">
        <f>IF(ISBLANK(A713),"",A713&amp;"-R"&amp;TEXT(COUNTIF($A$2:A713,A713),"00"))</f>
        <v/>
      </c>
      <c r="H713" s="15">
        <f>IF(OR(ISBLANK(F713),ISBLANK(G713)),"",VALUE(LEFT(F713,1))*VALUE(LEFT(G713,1)))</f>
        <v/>
      </c>
      <c r="I713" s="12">
        <f>IF(ISBLANK(H713),"",IF(H713&gt;=20,"Critical",IF(H713&gt;=15,"High",IF(H713&gt;=8,"Medium","Low"))))</f>
        <v/>
      </c>
    </row>
    <row r="714">
      <c r="B714">
        <f>IF(ISBLANK(A714),"",A714&amp;"-R"&amp;TEXT(COUNTIF($A$2:A714,A714),"00"))</f>
        <v/>
      </c>
      <c r="H714" s="15">
        <f>IF(OR(ISBLANK(F714),ISBLANK(G714)),"",VALUE(LEFT(F714,1))*VALUE(LEFT(G714,1)))</f>
        <v/>
      </c>
      <c r="I714" s="12">
        <f>IF(ISBLANK(H714),"",IF(H714&gt;=20,"Critical",IF(H714&gt;=15,"High",IF(H714&gt;=8,"Medium","Low"))))</f>
        <v/>
      </c>
    </row>
    <row r="715">
      <c r="B715">
        <f>IF(ISBLANK(A715),"",A715&amp;"-R"&amp;TEXT(COUNTIF($A$2:A715,A715),"00"))</f>
        <v/>
      </c>
      <c r="H715" s="15">
        <f>IF(OR(ISBLANK(F715),ISBLANK(G715)),"",VALUE(LEFT(F715,1))*VALUE(LEFT(G715,1)))</f>
        <v/>
      </c>
      <c r="I715" s="12">
        <f>IF(ISBLANK(H715),"",IF(H715&gt;=20,"Critical",IF(H715&gt;=15,"High",IF(H715&gt;=8,"Medium","Low"))))</f>
        <v/>
      </c>
    </row>
    <row r="716">
      <c r="B716">
        <f>IF(ISBLANK(A716),"",A716&amp;"-R"&amp;TEXT(COUNTIF($A$2:A716,A716),"00"))</f>
        <v/>
      </c>
      <c r="H716" s="15">
        <f>IF(OR(ISBLANK(F716),ISBLANK(G716)),"",VALUE(LEFT(F716,1))*VALUE(LEFT(G716,1)))</f>
        <v/>
      </c>
      <c r="I716" s="12">
        <f>IF(ISBLANK(H716),"",IF(H716&gt;=20,"Critical",IF(H716&gt;=15,"High",IF(H716&gt;=8,"Medium","Low"))))</f>
        <v/>
      </c>
    </row>
    <row r="717">
      <c r="B717">
        <f>IF(ISBLANK(A717),"",A717&amp;"-R"&amp;TEXT(COUNTIF($A$2:A717,A717),"00"))</f>
        <v/>
      </c>
      <c r="H717" s="15">
        <f>IF(OR(ISBLANK(F717),ISBLANK(G717)),"",VALUE(LEFT(F717,1))*VALUE(LEFT(G717,1)))</f>
        <v/>
      </c>
      <c r="I717" s="12">
        <f>IF(ISBLANK(H717),"",IF(H717&gt;=20,"Critical",IF(H717&gt;=15,"High",IF(H717&gt;=8,"Medium","Low"))))</f>
        <v/>
      </c>
    </row>
    <row r="718">
      <c r="B718">
        <f>IF(ISBLANK(A718),"",A718&amp;"-R"&amp;TEXT(COUNTIF($A$2:A718,A718),"00"))</f>
        <v/>
      </c>
      <c r="H718" s="15">
        <f>IF(OR(ISBLANK(F718),ISBLANK(G718)),"",VALUE(LEFT(F718,1))*VALUE(LEFT(G718,1)))</f>
        <v/>
      </c>
      <c r="I718" s="12">
        <f>IF(ISBLANK(H718),"",IF(H718&gt;=20,"Critical",IF(H718&gt;=15,"High",IF(H718&gt;=8,"Medium","Low"))))</f>
        <v/>
      </c>
    </row>
    <row r="719">
      <c r="B719">
        <f>IF(ISBLANK(A719),"",A719&amp;"-R"&amp;TEXT(COUNTIF($A$2:A719,A719),"00"))</f>
        <v/>
      </c>
      <c r="H719" s="15">
        <f>IF(OR(ISBLANK(F719),ISBLANK(G719)),"",VALUE(LEFT(F719,1))*VALUE(LEFT(G719,1)))</f>
        <v/>
      </c>
      <c r="I719" s="12">
        <f>IF(ISBLANK(H719),"",IF(H719&gt;=20,"Critical",IF(H719&gt;=15,"High",IF(H719&gt;=8,"Medium","Low"))))</f>
        <v/>
      </c>
    </row>
    <row r="720">
      <c r="B720">
        <f>IF(ISBLANK(A720),"",A720&amp;"-R"&amp;TEXT(COUNTIF($A$2:A720,A720),"00"))</f>
        <v/>
      </c>
      <c r="H720" s="15">
        <f>IF(OR(ISBLANK(F720),ISBLANK(G720)),"",VALUE(LEFT(F720,1))*VALUE(LEFT(G720,1)))</f>
        <v/>
      </c>
      <c r="I720" s="12">
        <f>IF(ISBLANK(H720),"",IF(H720&gt;=20,"Critical",IF(H720&gt;=15,"High",IF(H720&gt;=8,"Medium","Low"))))</f>
        <v/>
      </c>
    </row>
    <row r="721">
      <c r="B721">
        <f>IF(ISBLANK(A721),"",A721&amp;"-R"&amp;TEXT(COUNTIF($A$2:A721,A721),"00"))</f>
        <v/>
      </c>
      <c r="H721" s="15">
        <f>IF(OR(ISBLANK(F721),ISBLANK(G721)),"",VALUE(LEFT(F721,1))*VALUE(LEFT(G721,1)))</f>
        <v/>
      </c>
      <c r="I721" s="12">
        <f>IF(ISBLANK(H721),"",IF(H721&gt;=20,"Critical",IF(H721&gt;=15,"High",IF(H721&gt;=8,"Medium","Low"))))</f>
        <v/>
      </c>
    </row>
    <row r="722">
      <c r="B722">
        <f>IF(ISBLANK(A722),"",A722&amp;"-R"&amp;TEXT(COUNTIF($A$2:A722,A722),"00"))</f>
        <v/>
      </c>
      <c r="H722" s="15">
        <f>IF(OR(ISBLANK(F722),ISBLANK(G722)),"",VALUE(LEFT(F722,1))*VALUE(LEFT(G722,1)))</f>
        <v/>
      </c>
      <c r="I722" s="12">
        <f>IF(ISBLANK(H722),"",IF(H722&gt;=20,"Critical",IF(H722&gt;=15,"High",IF(H722&gt;=8,"Medium","Low"))))</f>
        <v/>
      </c>
    </row>
    <row r="723">
      <c r="B723">
        <f>IF(ISBLANK(A723),"",A723&amp;"-R"&amp;TEXT(COUNTIF($A$2:A723,A723),"00"))</f>
        <v/>
      </c>
      <c r="H723" s="15">
        <f>IF(OR(ISBLANK(F723),ISBLANK(G723)),"",VALUE(LEFT(F723,1))*VALUE(LEFT(G723,1)))</f>
        <v/>
      </c>
      <c r="I723" s="12">
        <f>IF(ISBLANK(H723),"",IF(H723&gt;=20,"Critical",IF(H723&gt;=15,"High",IF(H723&gt;=8,"Medium","Low"))))</f>
        <v/>
      </c>
    </row>
    <row r="724">
      <c r="B724">
        <f>IF(ISBLANK(A724),"",A724&amp;"-R"&amp;TEXT(COUNTIF($A$2:A724,A724),"00"))</f>
        <v/>
      </c>
      <c r="H724" s="15">
        <f>IF(OR(ISBLANK(F724),ISBLANK(G724)),"",VALUE(LEFT(F724,1))*VALUE(LEFT(G724,1)))</f>
        <v/>
      </c>
      <c r="I724" s="12">
        <f>IF(ISBLANK(H724),"",IF(H724&gt;=20,"Critical",IF(H724&gt;=15,"High",IF(H724&gt;=8,"Medium","Low"))))</f>
        <v/>
      </c>
    </row>
    <row r="725">
      <c r="B725">
        <f>IF(ISBLANK(A725),"",A725&amp;"-R"&amp;TEXT(COUNTIF($A$2:A725,A725),"00"))</f>
        <v/>
      </c>
      <c r="H725" s="15">
        <f>IF(OR(ISBLANK(F725),ISBLANK(G725)),"",VALUE(LEFT(F725,1))*VALUE(LEFT(G725,1)))</f>
        <v/>
      </c>
      <c r="I725" s="12">
        <f>IF(ISBLANK(H725),"",IF(H725&gt;=20,"Critical",IF(H725&gt;=15,"High",IF(H725&gt;=8,"Medium","Low"))))</f>
        <v/>
      </c>
    </row>
    <row r="726">
      <c r="B726">
        <f>IF(ISBLANK(A726),"",A726&amp;"-R"&amp;TEXT(COUNTIF($A$2:A726,A726),"00"))</f>
        <v/>
      </c>
      <c r="H726" s="15">
        <f>IF(OR(ISBLANK(F726),ISBLANK(G726)),"",VALUE(LEFT(F726,1))*VALUE(LEFT(G726,1)))</f>
        <v/>
      </c>
      <c r="I726" s="12">
        <f>IF(ISBLANK(H726),"",IF(H726&gt;=20,"Critical",IF(H726&gt;=15,"High",IF(H726&gt;=8,"Medium","Low"))))</f>
        <v/>
      </c>
    </row>
    <row r="727">
      <c r="B727">
        <f>IF(ISBLANK(A727),"",A727&amp;"-R"&amp;TEXT(COUNTIF($A$2:A727,A727),"00"))</f>
        <v/>
      </c>
      <c r="H727" s="15">
        <f>IF(OR(ISBLANK(F727),ISBLANK(G727)),"",VALUE(LEFT(F727,1))*VALUE(LEFT(G727,1)))</f>
        <v/>
      </c>
      <c r="I727" s="12">
        <f>IF(ISBLANK(H727),"",IF(H727&gt;=20,"Critical",IF(H727&gt;=15,"High",IF(H727&gt;=8,"Medium","Low"))))</f>
        <v/>
      </c>
    </row>
    <row r="728">
      <c r="B728">
        <f>IF(ISBLANK(A728),"",A728&amp;"-R"&amp;TEXT(COUNTIF($A$2:A728,A728),"00"))</f>
        <v/>
      </c>
      <c r="H728" s="15">
        <f>IF(OR(ISBLANK(F728),ISBLANK(G728)),"",VALUE(LEFT(F728,1))*VALUE(LEFT(G728,1)))</f>
        <v/>
      </c>
      <c r="I728" s="12">
        <f>IF(ISBLANK(H728),"",IF(H728&gt;=20,"Critical",IF(H728&gt;=15,"High",IF(H728&gt;=8,"Medium","Low"))))</f>
        <v/>
      </c>
    </row>
    <row r="729">
      <c r="B729">
        <f>IF(ISBLANK(A729),"",A729&amp;"-R"&amp;TEXT(COUNTIF($A$2:A729,A729),"00"))</f>
        <v/>
      </c>
      <c r="H729" s="15">
        <f>IF(OR(ISBLANK(F729),ISBLANK(G729)),"",VALUE(LEFT(F729,1))*VALUE(LEFT(G729,1)))</f>
        <v/>
      </c>
      <c r="I729" s="12">
        <f>IF(ISBLANK(H729),"",IF(H729&gt;=20,"Critical",IF(H729&gt;=15,"High",IF(H729&gt;=8,"Medium","Low"))))</f>
        <v/>
      </c>
    </row>
    <row r="730">
      <c r="B730">
        <f>IF(ISBLANK(A730),"",A730&amp;"-R"&amp;TEXT(COUNTIF($A$2:A730,A730),"00"))</f>
        <v/>
      </c>
      <c r="H730" s="15">
        <f>IF(OR(ISBLANK(F730),ISBLANK(G730)),"",VALUE(LEFT(F730,1))*VALUE(LEFT(G730,1)))</f>
        <v/>
      </c>
      <c r="I730" s="12">
        <f>IF(ISBLANK(H730),"",IF(H730&gt;=20,"Critical",IF(H730&gt;=15,"High",IF(H730&gt;=8,"Medium","Low"))))</f>
        <v/>
      </c>
    </row>
    <row r="731">
      <c r="B731">
        <f>IF(ISBLANK(A731),"",A731&amp;"-R"&amp;TEXT(COUNTIF($A$2:A731,A731),"00"))</f>
        <v/>
      </c>
      <c r="H731" s="15">
        <f>IF(OR(ISBLANK(F731),ISBLANK(G731)),"",VALUE(LEFT(F731,1))*VALUE(LEFT(G731,1)))</f>
        <v/>
      </c>
      <c r="I731" s="12">
        <f>IF(ISBLANK(H731),"",IF(H731&gt;=20,"Critical",IF(H731&gt;=15,"High",IF(H731&gt;=8,"Medium","Low"))))</f>
        <v/>
      </c>
    </row>
    <row r="732">
      <c r="B732">
        <f>IF(ISBLANK(A732),"",A732&amp;"-R"&amp;TEXT(COUNTIF($A$2:A732,A732),"00"))</f>
        <v/>
      </c>
      <c r="H732" s="15">
        <f>IF(OR(ISBLANK(F732),ISBLANK(G732)),"",VALUE(LEFT(F732,1))*VALUE(LEFT(G732,1)))</f>
        <v/>
      </c>
      <c r="I732" s="12">
        <f>IF(ISBLANK(H732),"",IF(H732&gt;=20,"Critical",IF(H732&gt;=15,"High",IF(H732&gt;=8,"Medium","Low"))))</f>
        <v/>
      </c>
    </row>
    <row r="733">
      <c r="B733">
        <f>IF(ISBLANK(A733),"",A733&amp;"-R"&amp;TEXT(COUNTIF($A$2:A733,A733),"00"))</f>
        <v/>
      </c>
      <c r="H733" s="15">
        <f>IF(OR(ISBLANK(F733),ISBLANK(G733)),"",VALUE(LEFT(F733,1))*VALUE(LEFT(G733,1)))</f>
        <v/>
      </c>
      <c r="I733" s="12">
        <f>IF(ISBLANK(H733),"",IF(H733&gt;=20,"Critical",IF(H733&gt;=15,"High",IF(H733&gt;=8,"Medium","Low"))))</f>
        <v/>
      </c>
    </row>
    <row r="734">
      <c r="B734">
        <f>IF(ISBLANK(A734),"",A734&amp;"-R"&amp;TEXT(COUNTIF($A$2:A734,A734),"00"))</f>
        <v/>
      </c>
      <c r="H734" s="15">
        <f>IF(OR(ISBLANK(F734),ISBLANK(G734)),"",VALUE(LEFT(F734,1))*VALUE(LEFT(G734,1)))</f>
        <v/>
      </c>
      <c r="I734" s="12">
        <f>IF(ISBLANK(H734),"",IF(H734&gt;=20,"Critical",IF(H734&gt;=15,"High",IF(H734&gt;=8,"Medium","Low"))))</f>
        <v/>
      </c>
    </row>
    <row r="735">
      <c r="B735">
        <f>IF(ISBLANK(A735),"",A735&amp;"-R"&amp;TEXT(COUNTIF($A$2:A735,A735),"00"))</f>
        <v/>
      </c>
      <c r="H735" s="15">
        <f>IF(OR(ISBLANK(F735),ISBLANK(G735)),"",VALUE(LEFT(F735,1))*VALUE(LEFT(G735,1)))</f>
        <v/>
      </c>
      <c r="I735" s="12">
        <f>IF(ISBLANK(H735),"",IF(H735&gt;=20,"Critical",IF(H735&gt;=15,"High",IF(H735&gt;=8,"Medium","Low"))))</f>
        <v/>
      </c>
    </row>
    <row r="736">
      <c r="B736">
        <f>IF(ISBLANK(A736),"",A736&amp;"-R"&amp;TEXT(COUNTIF($A$2:A736,A736),"00"))</f>
        <v/>
      </c>
      <c r="H736" s="15">
        <f>IF(OR(ISBLANK(F736),ISBLANK(G736)),"",VALUE(LEFT(F736,1))*VALUE(LEFT(G736,1)))</f>
        <v/>
      </c>
      <c r="I736" s="12">
        <f>IF(ISBLANK(H736),"",IF(H736&gt;=20,"Critical",IF(H736&gt;=15,"High",IF(H736&gt;=8,"Medium","Low"))))</f>
        <v/>
      </c>
    </row>
    <row r="737">
      <c r="B737">
        <f>IF(ISBLANK(A737),"",A737&amp;"-R"&amp;TEXT(COUNTIF($A$2:A737,A737),"00"))</f>
        <v/>
      </c>
      <c r="H737" s="15">
        <f>IF(OR(ISBLANK(F737),ISBLANK(G737)),"",VALUE(LEFT(F737,1))*VALUE(LEFT(G737,1)))</f>
        <v/>
      </c>
      <c r="I737" s="12">
        <f>IF(ISBLANK(H737),"",IF(H737&gt;=20,"Critical",IF(H737&gt;=15,"High",IF(H737&gt;=8,"Medium","Low"))))</f>
        <v/>
      </c>
    </row>
    <row r="738">
      <c r="B738">
        <f>IF(ISBLANK(A738),"",A738&amp;"-R"&amp;TEXT(COUNTIF($A$2:A738,A738),"00"))</f>
        <v/>
      </c>
      <c r="H738" s="15">
        <f>IF(OR(ISBLANK(F738),ISBLANK(G738)),"",VALUE(LEFT(F738,1))*VALUE(LEFT(G738,1)))</f>
        <v/>
      </c>
      <c r="I738" s="12">
        <f>IF(ISBLANK(H738),"",IF(H738&gt;=20,"Critical",IF(H738&gt;=15,"High",IF(H738&gt;=8,"Medium","Low"))))</f>
        <v/>
      </c>
    </row>
    <row r="739">
      <c r="B739">
        <f>IF(ISBLANK(A739),"",A739&amp;"-R"&amp;TEXT(COUNTIF($A$2:A739,A739),"00"))</f>
        <v/>
      </c>
      <c r="H739" s="15">
        <f>IF(OR(ISBLANK(F739),ISBLANK(G739)),"",VALUE(LEFT(F739,1))*VALUE(LEFT(G739,1)))</f>
        <v/>
      </c>
      <c r="I739" s="12">
        <f>IF(ISBLANK(H739),"",IF(H739&gt;=20,"Critical",IF(H739&gt;=15,"High",IF(H739&gt;=8,"Medium","Low"))))</f>
        <v/>
      </c>
    </row>
    <row r="740">
      <c r="B740">
        <f>IF(ISBLANK(A740),"",A740&amp;"-R"&amp;TEXT(COUNTIF($A$2:A740,A740),"00"))</f>
        <v/>
      </c>
      <c r="H740" s="15">
        <f>IF(OR(ISBLANK(F740),ISBLANK(G740)),"",VALUE(LEFT(F740,1))*VALUE(LEFT(G740,1)))</f>
        <v/>
      </c>
      <c r="I740" s="12">
        <f>IF(ISBLANK(H740),"",IF(H740&gt;=20,"Critical",IF(H740&gt;=15,"High",IF(H740&gt;=8,"Medium","Low"))))</f>
        <v/>
      </c>
    </row>
    <row r="741">
      <c r="B741">
        <f>IF(ISBLANK(A741),"",A741&amp;"-R"&amp;TEXT(COUNTIF($A$2:A741,A741),"00"))</f>
        <v/>
      </c>
      <c r="H741" s="15">
        <f>IF(OR(ISBLANK(F741),ISBLANK(G741)),"",VALUE(LEFT(F741,1))*VALUE(LEFT(G741,1)))</f>
        <v/>
      </c>
      <c r="I741" s="12">
        <f>IF(ISBLANK(H741),"",IF(H741&gt;=20,"Critical",IF(H741&gt;=15,"High",IF(H741&gt;=8,"Medium","Low"))))</f>
        <v/>
      </c>
    </row>
    <row r="742">
      <c r="B742">
        <f>IF(ISBLANK(A742),"",A742&amp;"-R"&amp;TEXT(COUNTIF($A$2:A742,A742),"00"))</f>
        <v/>
      </c>
      <c r="H742" s="15">
        <f>IF(OR(ISBLANK(F742),ISBLANK(G742)),"",VALUE(LEFT(F742,1))*VALUE(LEFT(G742,1)))</f>
        <v/>
      </c>
      <c r="I742" s="12">
        <f>IF(ISBLANK(H742),"",IF(H742&gt;=20,"Critical",IF(H742&gt;=15,"High",IF(H742&gt;=8,"Medium","Low"))))</f>
        <v/>
      </c>
    </row>
    <row r="743">
      <c r="B743">
        <f>IF(ISBLANK(A743),"",A743&amp;"-R"&amp;TEXT(COUNTIF($A$2:A743,A743),"00"))</f>
        <v/>
      </c>
      <c r="H743" s="15">
        <f>IF(OR(ISBLANK(F743),ISBLANK(G743)),"",VALUE(LEFT(F743,1))*VALUE(LEFT(G743,1)))</f>
        <v/>
      </c>
      <c r="I743" s="12">
        <f>IF(ISBLANK(H743),"",IF(H743&gt;=20,"Critical",IF(H743&gt;=15,"High",IF(H743&gt;=8,"Medium","Low"))))</f>
        <v/>
      </c>
    </row>
    <row r="744">
      <c r="B744">
        <f>IF(ISBLANK(A744),"",A744&amp;"-R"&amp;TEXT(COUNTIF($A$2:A744,A744),"00"))</f>
        <v/>
      </c>
      <c r="H744" s="15">
        <f>IF(OR(ISBLANK(F744),ISBLANK(G744)),"",VALUE(LEFT(F744,1))*VALUE(LEFT(G744,1)))</f>
        <v/>
      </c>
      <c r="I744" s="12">
        <f>IF(ISBLANK(H744),"",IF(H744&gt;=20,"Critical",IF(H744&gt;=15,"High",IF(H744&gt;=8,"Medium","Low"))))</f>
        <v/>
      </c>
    </row>
    <row r="745">
      <c r="B745">
        <f>IF(ISBLANK(A745),"",A745&amp;"-R"&amp;TEXT(COUNTIF($A$2:A745,A745),"00"))</f>
        <v/>
      </c>
      <c r="H745" s="15">
        <f>IF(OR(ISBLANK(F745),ISBLANK(G745)),"",VALUE(LEFT(F745,1))*VALUE(LEFT(G745,1)))</f>
        <v/>
      </c>
      <c r="I745" s="12">
        <f>IF(ISBLANK(H745),"",IF(H745&gt;=20,"Critical",IF(H745&gt;=15,"High",IF(H745&gt;=8,"Medium","Low"))))</f>
        <v/>
      </c>
    </row>
    <row r="746">
      <c r="B746">
        <f>IF(ISBLANK(A746),"",A746&amp;"-R"&amp;TEXT(COUNTIF($A$2:A746,A746),"00"))</f>
        <v/>
      </c>
      <c r="H746" s="15">
        <f>IF(OR(ISBLANK(F746),ISBLANK(G746)),"",VALUE(LEFT(F746,1))*VALUE(LEFT(G746,1)))</f>
        <v/>
      </c>
      <c r="I746" s="12">
        <f>IF(ISBLANK(H746),"",IF(H746&gt;=20,"Critical",IF(H746&gt;=15,"High",IF(H746&gt;=8,"Medium","Low"))))</f>
        <v/>
      </c>
    </row>
    <row r="747">
      <c r="B747">
        <f>IF(ISBLANK(A747),"",A747&amp;"-R"&amp;TEXT(COUNTIF($A$2:A747,A747),"00"))</f>
        <v/>
      </c>
      <c r="H747" s="15">
        <f>IF(OR(ISBLANK(F747),ISBLANK(G747)),"",VALUE(LEFT(F747,1))*VALUE(LEFT(G747,1)))</f>
        <v/>
      </c>
      <c r="I747" s="12">
        <f>IF(ISBLANK(H747),"",IF(H747&gt;=20,"Critical",IF(H747&gt;=15,"High",IF(H747&gt;=8,"Medium","Low"))))</f>
        <v/>
      </c>
    </row>
    <row r="748">
      <c r="B748">
        <f>IF(ISBLANK(A748),"",A748&amp;"-R"&amp;TEXT(COUNTIF($A$2:A748,A748),"00"))</f>
        <v/>
      </c>
      <c r="H748" s="15">
        <f>IF(OR(ISBLANK(F748),ISBLANK(G748)),"",VALUE(LEFT(F748,1))*VALUE(LEFT(G748,1)))</f>
        <v/>
      </c>
      <c r="I748" s="12">
        <f>IF(ISBLANK(H748),"",IF(H748&gt;=20,"Critical",IF(H748&gt;=15,"High",IF(H748&gt;=8,"Medium","Low"))))</f>
        <v/>
      </c>
    </row>
    <row r="749">
      <c r="B749">
        <f>IF(ISBLANK(A749),"",A749&amp;"-R"&amp;TEXT(COUNTIF($A$2:A749,A749),"00"))</f>
        <v/>
      </c>
      <c r="H749" s="15">
        <f>IF(OR(ISBLANK(F749),ISBLANK(G749)),"",VALUE(LEFT(F749,1))*VALUE(LEFT(G749,1)))</f>
        <v/>
      </c>
      <c r="I749" s="12">
        <f>IF(ISBLANK(H749),"",IF(H749&gt;=20,"Critical",IF(H749&gt;=15,"High",IF(H749&gt;=8,"Medium","Low"))))</f>
        <v/>
      </c>
    </row>
    <row r="750">
      <c r="B750">
        <f>IF(ISBLANK(A750),"",A750&amp;"-R"&amp;TEXT(COUNTIF($A$2:A750,A750),"00"))</f>
        <v/>
      </c>
      <c r="H750" s="15">
        <f>IF(OR(ISBLANK(F750),ISBLANK(G750)),"",VALUE(LEFT(F750,1))*VALUE(LEFT(G750,1)))</f>
        <v/>
      </c>
      <c r="I750" s="12">
        <f>IF(ISBLANK(H750),"",IF(H750&gt;=20,"Critical",IF(H750&gt;=15,"High",IF(H750&gt;=8,"Medium","Low"))))</f>
        <v/>
      </c>
    </row>
    <row r="751">
      <c r="B751">
        <f>IF(ISBLANK(A751),"",A751&amp;"-R"&amp;TEXT(COUNTIF($A$2:A751,A751),"00"))</f>
        <v/>
      </c>
      <c r="H751" s="15">
        <f>IF(OR(ISBLANK(F751),ISBLANK(G751)),"",VALUE(LEFT(F751,1))*VALUE(LEFT(G751,1)))</f>
        <v/>
      </c>
      <c r="I751" s="12">
        <f>IF(ISBLANK(H751),"",IF(H751&gt;=20,"Critical",IF(H751&gt;=15,"High",IF(H751&gt;=8,"Medium","Low"))))</f>
        <v/>
      </c>
    </row>
    <row r="752">
      <c r="B752">
        <f>IF(ISBLANK(A752),"",A752&amp;"-R"&amp;TEXT(COUNTIF($A$2:A752,A752),"00"))</f>
        <v/>
      </c>
      <c r="H752" s="15">
        <f>IF(OR(ISBLANK(F752),ISBLANK(G752)),"",VALUE(LEFT(F752,1))*VALUE(LEFT(G752,1)))</f>
        <v/>
      </c>
      <c r="I752" s="12">
        <f>IF(ISBLANK(H752),"",IF(H752&gt;=20,"Critical",IF(H752&gt;=15,"High",IF(H752&gt;=8,"Medium","Low"))))</f>
        <v/>
      </c>
    </row>
    <row r="753">
      <c r="B753">
        <f>IF(ISBLANK(A753),"",A753&amp;"-R"&amp;TEXT(COUNTIF($A$2:A753,A753),"00"))</f>
        <v/>
      </c>
      <c r="H753" s="15">
        <f>IF(OR(ISBLANK(F753),ISBLANK(G753)),"",VALUE(LEFT(F753,1))*VALUE(LEFT(G753,1)))</f>
        <v/>
      </c>
      <c r="I753" s="12">
        <f>IF(ISBLANK(H753),"",IF(H753&gt;=20,"Critical",IF(H753&gt;=15,"High",IF(H753&gt;=8,"Medium","Low"))))</f>
        <v/>
      </c>
    </row>
    <row r="754">
      <c r="B754">
        <f>IF(ISBLANK(A754),"",A754&amp;"-R"&amp;TEXT(COUNTIF($A$2:A754,A754),"00"))</f>
        <v/>
      </c>
      <c r="H754" s="15">
        <f>IF(OR(ISBLANK(F754),ISBLANK(G754)),"",VALUE(LEFT(F754,1))*VALUE(LEFT(G754,1)))</f>
        <v/>
      </c>
      <c r="I754" s="12">
        <f>IF(ISBLANK(H754),"",IF(H754&gt;=20,"Critical",IF(H754&gt;=15,"High",IF(H754&gt;=8,"Medium","Low"))))</f>
        <v/>
      </c>
    </row>
    <row r="755">
      <c r="B755">
        <f>IF(ISBLANK(A755),"",A755&amp;"-R"&amp;TEXT(COUNTIF($A$2:A755,A755),"00"))</f>
        <v/>
      </c>
      <c r="H755" s="15">
        <f>IF(OR(ISBLANK(F755),ISBLANK(G755)),"",VALUE(LEFT(F755,1))*VALUE(LEFT(G755,1)))</f>
        <v/>
      </c>
      <c r="I755" s="12">
        <f>IF(ISBLANK(H755),"",IF(H755&gt;=20,"Critical",IF(H755&gt;=15,"High",IF(H755&gt;=8,"Medium","Low"))))</f>
        <v/>
      </c>
    </row>
    <row r="756">
      <c r="B756">
        <f>IF(ISBLANK(A756),"",A756&amp;"-R"&amp;TEXT(COUNTIF($A$2:A756,A756),"00"))</f>
        <v/>
      </c>
      <c r="H756" s="15">
        <f>IF(OR(ISBLANK(F756),ISBLANK(G756)),"",VALUE(LEFT(F756,1))*VALUE(LEFT(G756,1)))</f>
        <v/>
      </c>
      <c r="I756" s="12">
        <f>IF(ISBLANK(H756),"",IF(H756&gt;=20,"Critical",IF(H756&gt;=15,"High",IF(H756&gt;=8,"Medium","Low"))))</f>
        <v/>
      </c>
    </row>
    <row r="757">
      <c r="B757">
        <f>IF(ISBLANK(A757),"",A757&amp;"-R"&amp;TEXT(COUNTIF($A$2:A757,A757),"00"))</f>
        <v/>
      </c>
      <c r="H757" s="15">
        <f>IF(OR(ISBLANK(F757),ISBLANK(G757)),"",VALUE(LEFT(F757,1))*VALUE(LEFT(G757,1)))</f>
        <v/>
      </c>
      <c r="I757" s="12">
        <f>IF(ISBLANK(H757),"",IF(H757&gt;=20,"Critical",IF(H757&gt;=15,"High",IF(H757&gt;=8,"Medium","Low"))))</f>
        <v/>
      </c>
    </row>
    <row r="758">
      <c r="B758">
        <f>IF(ISBLANK(A758),"",A758&amp;"-R"&amp;TEXT(COUNTIF($A$2:A758,A758),"00"))</f>
        <v/>
      </c>
      <c r="H758" s="15">
        <f>IF(OR(ISBLANK(F758),ISBLANK(G758)),"",VALUE(LEFT(F758,1))*VALUE(LEFT(G758,1)))</f>
        <v/>
      </c>
      <c r="I758" s="12">
        <f>IF(ISBLANK(H758),"",IF(H758&gt;=20,"Critical",IF(H758&gt;=15,"High",IF(H758&gt;=8,"Medium","Low"))))</f>
        <v/>
      </c>
    </row>
    <row r="759">
      <c r="B759">
        <f>IF(ISBLANK(A759),"",A759&amp;"-R"&amp;TEXT(COUNTIF($A$2:A759,A759),"00"))</f>
        <v/>
      </c>
      <c r="H759" s="15">
        <f>IF(OR(ISBLANK(F759),ISBLANK(G759)),"",VALUE(LEFT(F759,1))*VALUE(LEFT(G759,1)))</f>
        <v/>
      </c>
      <c r="I759" s="12">
        <f>IF(ISBLANK(H759),"",IF(H759&gt;=20,"Critical",IF(H759&gt;=15,"High",IF(H759&gt;=8,"Medium","Low"))))</f>
        <v/>
      </c>
    </row>
    <row r="760">
      <c r="B760">
        <f>IF(ISBLANK(A760),"",A760&amp;"-R"&amp;TEXT(COUNTIF($A$2:A760,A760),"00"))</f>
        <v/>
      </c>
      <c r="H760" s="15">
        <f>IF(OR(ISBLANK(F760),ISBLANK(G760)),"",VALUE(LEFT(F760,1))*VALUE(LEFT(G760,1)))</f>
        <v/>
      </c>
      <c r="I760" s="12">
        <f>IF(ISBLANK(H760),"",IF(H760&gt;=20,"Critical",IF(H760&gt;=15,"High",IF(H760&gt;=8,"Medium","Low"))))</f>
        <v/>
      </c>
    </row>
    <row r="761">
      <c r="B761">
        <f>IF(ISBLANK(A761),"",A761&amp;"-R"&amp;TEXT(COUNTIF($A$2:A761,A761),"00"))</f>
        <v/>
      </c>
      <c r="H761" s="15">
        <f>IF(OR(ISBLANK(F761),ISBLANK(G761)),"",VALUE(LEFT(F761,1))*VALUE(LEFT(G761,1)))</f>
        <v/>
      </c>
      <c r="I761" s="12">
        <f>IF(ISBLANK(H761),"",IF(H761&gt;=20,"Critical",IF(H761&gt;=15,"High",IF(H761&gt;=8,"Medium","Low"))))</f>
        <v/>
      </c>
    </row>
    <row r="762">
      <c r="B762">
        <f>IF(ISBLANK(A762),"",A762&amp;"-R"&amp;TEXT(COUNTIF($A$2:A762,A762),"00"))</f>
        <v/>
      </c>
      <c r="H762" s="15">
        <f>IF(OR(ISBLANK(F762),ISBLANK(G762)),"",VALUE(LEFT(F762,1))*VALUE(LEFT(G762,1)))</f>
        <v/>
      </c>
      <c r="I762" s="12">
        <f>IF(ISBLANK(H762),"",IF(H762&gt;=20,"Critical",IF(H762&gt;=15,"High",IF(H762&gt;=8,"Medium","Low"))))</f>
        <v/>
      </c>
    </row>
    <row r="763">
      <c r="B763">
        <f>IF(ISBLANK(A763),"",A763&amp;"-R"&amp;TEXT(COUNTIF($A$2:A763,A763),"00"))</f>
        <v/>
      </c>
      <c r="H763" s="15">
        <f>IF(OR(ISBLANK(F763),ISBLANK(G763)),"",VALUE(LEFT(F763,1))*VALUE(LEFT(G763,1)))</f>
        <v/>
      </c>
      <c r="I763" s="12">
        <f>IF(ISBLANK(H763),"",IF(H763&gt;=20,"Critical",IF(H763&gt;=15,"High",IF(H763&gt;=8,"Medium","Low"))))</f>
        <v/>
      </c>
    </row>
    <row r="764">
      <c r="B764">
        <f>IF(ISBLANK(A764),"",A764&amp;"-R"&amp;TEXT(COUNTIF($A$2:A764,A764),"00"))</f>
        <v/>
      </c>
      <c r="H764" s="15">
        <f>IF(OR(ISBLANK(F764),ISBLANK(G764)),"",VALUE(LEFT(F764,1))*VALUE(LEFT(G764,1)))</f>
        <v/>
      </c>
      <c r="I764" s="12">
        <f>IF(ISBLANK(H764),"",IF(H764&gt;=20,"Critical",IF(H764&gt;=15,"High",IF(H764&gt;=8,"Medium","Low"))))</f>
        <v/>
      </c>
    </row>
    <row r="765">
      <c r="B765">
        <f>IF(ISBLANK(A765),"",A765&amp;"-R"&amp;TEXT(COUNTIF($A$2:A765,A765),"00"))</f>
        <v/>
      </c>
      <c r="H765" s="15">
        <f>IF(OR(ISBLANK(F765),ISBLANK(G765)),"",VALUE(LEFT(F765,1))*VALUE(LEFT(G765,1)))</f>
        <v/>
      </c>
      <c r="I765" s="12">
        <f>IF(ISBLANK(H765),"",IF(H765&gt;=20,"Critical",IF(H765&gt;=15,"High",IF(H765&gt;=8,"Medium","Low"))))</f>
        <v/>
      </c>
    </row>
    <row r="766">
      <c r="B766">
        <f>IF(ISBLANK(A766),"",A766&amp;"-R"&amp;TEXT(COUNTIF($A$2:A766,A766),"00"))</f>
        <v/>
      </c>
      <c r="H766" s="15">
        <f>IF(OR(ISBLANK(F766),ISBLANK(G766)),"",VALUE(LEFT(F766,1))*VALUE(LEFT(G766,1)))</f>
        <v/>
      </c>
      <c r="I766" s="12">
        <f>IF(ISBLANK(H766),"",IF(H766&gt;=20,"Critical",IF(H766&gt;=15,"High",IF(H766&gt;=8,"Medium","Low"))))</f>
        <v/>
      </c>
    </row>
    <row r="767">
      <c r="B767">
        <f>IF(ISBLANK(A767),"",A767&amp;"-R"&amp;TEXT(COUNTIF($A$2:A767,A767),"00"))</f>
        <v/>
      </c>
      <c r="H767" s="15">
        <f>IF(OR(ISBLANK(F767),ISBLANK(G767)),"",VALUE(LEFT(F767,1))*VALUE(LEFT(G767,1)))</f>
        <v/>
      </c>
      <c r="I767" s="12">
        <f>IF(ISBLANK(H767),"",IF(H767&gt;=20,"Critical",IF(H767&gt;=15,"High",IF(H767&gt;=8,"Medium","Low"))))</f>
        <v/>
      </c>
    </row>
    <row r="768">
      <c r="B768">
        <f>IF(ISBLANK(A768),"",A768&amp;"-R"&amp;TEXT(COUNTIF($A$2:A768,A768),"00"))</f>
        <v/>
      </c>
      <c r="H768" s="15">
        <f>IF(OR(ISBLANK(F768),ISBLANK(G768)),"",VALUE(LEFT(F768,1))*VALUE(LEFT(G768,1)))</f>
        <v/>
      </c>
      <c r="I768" s="12">
        <f>IF(ISBLANK(H768),"",IF(H768&gt;=20,"Critical",IF(H768&gt;=15,"High",IF(H768&gt;=8,"Medium","Low"))))</f>
        <v/>
      </c>
    </row>
    <row r="769">
      <c r="B769">
        <f>IF(ISBLANK(A769),"",A769&amp;"-R"&amp;TEXT(COUNTIF($A$2:A769,A769),"00"))</f>
        <v/>
      </c>
      <c r="H769" s="15">
        <f>IF(OR(ISBLANK(F769),ISBLANK(G769)),"",VALUE(LEFT(F769,1))*VALUE(LEFT(G769,1)))</f>
        <v/>
      </c>
      <c r="I769" s="12">
        <f>IF(ISBLANK(H769),"",IF(H769&gt;=20,"Critical",IF(H769&gt;=15,"High",IF(H769&gt;=8,"Medium","Low"))))</f>
        <v/>
      </c>
    </row>
    <row r="770">
      <c r="B770">
        <f>IF(ISBLANK(A770),"",A770&amp;"-R"&amp;TEXT(COUNTIF($A$2:A770,A770),"00"))</f>
        <v/>
      </c>
      <c r="H770" s="15">
        <f>IF(OR(ISBLANK(F770),ISBLANK(G770)),"",VALUE(LEFT(F770,1))*VALUE(LEFT(G770,1)))</f>
        <v/>
      </c>
      <c r="I770" s="12">
        <f>IF(ISBLANK(H770),"",IF(H770&gt;=20,"Critical",IF(H770&gt;=15,"High",IF(H770&gt;=8,"Medium","Low"))))</f>
        <v/>
      </c>
    </row>
    <row r="771">
      <c r="B771">
        <f>IF(ISBLANK(A771),"",A771&amp;"-R"&amp;TEXT(COUNTIF($A$2:A771,A771),"00"))</f>
        <v/>
      </c>
      <c r="H771" s="15">
        <f>IF(OR(ISBLANK(F771),ISBLANK(G771)),"",VALUE(LEFT(F771,1))*VALUE(LEFT(G771,1)))</f>
        <v/>
      </c>
      <c r="I771" s="12">
        <f>IF(ISBLANK(H771),"",IF(H771&gt;=20,"Critical",IF(H771&gt;=15,"High",IF(H771&gt;=8,"Medium","Low"))))</f>
        <v/>
      </c>
    </row>
    <row r="772">
      <c r="B772">
        <f>IF(ISBLANK(A772),"",A772&amp;"-R"&amp;TEXT(COUNTIF($A$2:A772,A772),"00"))</f>
        <v/>
      </c>
      <c r="H772" s="15">
        <f>IF(OR(ISBLANK(F772),ISBLANK(G772)),"",VALUE(LEFT(F772,1))*VALUE(LEFT(G772,1)))</f>
        <v/>
      </c>
      <c r="I772" s="12">
        <f>IF(ISBLANK(H772),"",IF(H772&gt;=20,"Critical",IF(H772&gt;=15,"High",IF(H772&gt;=8,"Medium","Low"))))</f>
        <v/>
      </c>
    </row>
    <row r="773">
      <c r="B773">
        <f>IF(ISBLANK(A773),"",A773&amp;"-R"&amp;TEXT(COUNTIF($A$2:A773,A773),"00"))</f>
        <v/>
      </c>
      <c r="H773" s="15">
        <f>IF(OR(ISBLANK(F773),ISBLANK(G773)),"",VALUE(LEFT(F773,1))*VALUE(LEFT(G773,1)))</f>
        <v/>
      </c>
      <c r="I773" s="12">
        <f>IF(ISBLANK(H773),"",IF(H773&gt;=20,"Critical",IF(H773&gt;=15,"High",IF(H773&gt;=8,"Medium","Low"))))</f>
        <v/>
      </c>
    </row>
    <row r="774">
      <c r="B774">
        <f>IF(ISBLANK(A774),"",A774&amp;"-R"&amp;TEXT(COUNTIF($A$2:A774,A774),"00"))</f>
        <v/>
      </c>
      <c r="H774" s="15">
        <f>IF(OR(ISBLANK(F774),ISBLANK(G774)),"",VALUE(LEFT(F774,1))*VALUE(LEFT(G774,1)))</f>
        <v/>
      </c>
      <c r="I774" s="12">
        <f>IF(ISBLANK(H774),"",IF(H774&gt;=20,"Critical",IF(H774&gt;=15,"High",IF(H774&gt;=8,"Medium","Low"))))</f>
        <v/>
      </c>
    </row>
    <row r="775">
      <c r="B775">
        <f>IF(ISBLANK(A775),"",A775&amp;"-R"&amp;TEXT(COUNTIF($A$2:A775,A775),"00"))</f>
        <v/>
      </c>
      <c r="H775" s="15">
        <f>IF(OR(ISBLANK(F775),ISBLANK(G775)),"",VALUE(LEFT(F775,1))*VALUE(LEFT(G775,1)))</f>
        <v/>
      </c>
      <c r="I775" s="12">
        <f>IF(ISBLANK(H775),"",IF(H775&gt;=20,"Critical",IF(H775&gt;=15,"High",IF(H775&gt;=8,"Medium","Low"))))</f>
        <v/>
      </c>
    </row>
    <row r="776">
      <c r="B776">
        <f>IF(ISBLANK(A776),"",A776&amp;"-R"&amp;TEXT(COUNTIF($A$2:A776,A776),"00"))</f>
        <v/>
      </c>
      <c r="H776" s="15">
        <f>IF(OR(ISBLANK(F776),ISBLANK(G776)),"",VALUE(LEFT(F776,1))*VALUE(LEFT(G776,1)))</f>
        <v/>
      </c>
      <c r="I776" s="12">
        <f>IF(ISBLANK(H776),"",IF(H776&gt;=20,"Critical",IF(H776&gt;=15,"High",IF(H776&gt;=8,"Medium","Low"))))</f>
        <v/>
      </c>
    </row>
    <row r="777">
      <c r="B777">
        <f>IF(ISBLANK(A777),"",A777&amp;"-R"&amp;TEXT(COUNTIF($A$2:A777,A777),"00"))</f>
        <v/>
      </c>
      <c r="H777" s="15">
        <f>IF(OR(ISBLANK(F777),ISBLANK(G777)),"",VALUE(LEFT(F777,1))*VALUE(LEFT(G777,1)))</f>
        <v/>
      </c>
      <c r="I777" s="12">
        <f>IF(ISBLANK(H777),"",IF(H777&gt;=20,"Critical",IF(H777&gt;=15,"High",IF(H777&gt;=8,"Medium","Low"))))</f>
        <v/>
      </c>
    </row>
    <row r="778">
      <c r="B778">
        <f>IF(ISBLANK(A778),"",A778&amp;"-R"&amp;TEXT(COUNTIF($A$2:A778,A778),"00"))</f>
        <v/>
      </c>
      <c r="H778" s="15">
        <f>IF(OR(ISBLANK(F778),ISBLANK(G778)),"",VALUE(LEFT(F778,1))*VALUE(LEFT(G778,1)))</f>
        <v/>
      </c>
      <c r="I778" s="12">
        <f>IF(ISBLANK(H778),"",IF(H778&gt;=20,"Critical",IF(H778&gt;=15,"High",IF(H778&gt;=8,"Medium","Low"))))</f>
        <v/>
      </c>
    </row>
    <row r="779">
      <c r="B779">
        <f>IF(ISBLANK(A779),"",A779&amp;"-R"&amp;TEXT(COUNTIF($A$2:A779,A779),"00"))</f>
        <v/>
      </c>
      <c r="H779" s="15">
        <f>IF(OR(ISBLANK(F779),ISBLANK(G779)),"",VALUE(LEFT(F779,1))*VALUE(LEFT(G779,1)))</f>
        <v/>
      </c>
      <c r="I779" s="12">
        <f>IF(ISBLANK(H779),"",IF(H779&gt;=20,"Critical",IF(H779&gt;=15,"High",IF(H779&gt;=8,"Medium","Low"))))</f>
        <v/>
      </c>
    </row>
    <row r="780">
      <c r="B780">
        <f>IF(ISBLANK(A780),"",A780&amp;"-R"&amp;TEXT(COUNTIF($A$2:A780,A780),"00"))</f>
        <v/>
      </c>
      <c r="H780" s="15">
        <f>IF(OR(ISBLANK(F780),ISBLANK(G780)),"",VALUE(LEFT(F780,1))*VALUE(LEFT(G780,1)))</f>
        <v/>
      </c>
      <c r="I780" s="12">
        <f>IF(ISBLANK(H780),"",IF(H780&gt;=20,"Critical",IF(H780&gt;=15,"High",IF(H780&gt;=8,"Medium","Low"))))</f>
        <v/>
      </c>
    </row>
    <row r="781">
      <c r="B781">
        <f>IF(ISBLANK(A781),"",A781&amp;"-R"&amp;TEXT(COUNTIF($A$2:A781,A781),"00"))</f>
        <v/>
      </c>
      <c r="H781" s="15">
        <f>IF(OR(ISBLANK(F781),ISBLANK(G781)),"",VALUE(LEFT(F781,1))*VALUE(LEFT(G781,1)))</f>
        <v/>
      </c>
      <c r="I781" s="12">
        <f>IF(ISBLANK(H781),"",IF(H781&gt;=20,"Critical",IF(H781&gt;=15,"High",IF(H781&gt;=8,"Medium","Low"))))</f>
        <v/>
      </c>
    </row>
    <row r="782">
      <c r="B782">
        <f>IF(ISBLANK(A782),"",A782&amp;"-R"&amp;TEXT(COUNTIF($A$2:A782,A782),"00"))</f>
        <v/>
      </c>
      <c r="H782" s="15">
        <f>IF(OR(ISBLANK(F782),ISBLANK(G782)),"",VALUE(LEFT(F782,1))*VALUE(LEFT(G782,1)))</f>
        <v/>
      </c>
      <c r="I782" s="12">
        <f>IF(ISBLANK(H782),"",IF(H782&gt;=20,"Critical",IF(H782&gt;=15,"High",IF(H782&gt;=8,"Medium","Low"))))</f>
        <v/>
      </c>
    </row>
    <row r="783">
      <c r="B783">
        <f>IF(ISBLANK(A783),"",A783&amp;"-R"&amp;TEXT(COUNTIF($A$2:A783,A783),"00"))</f>
        <v/>
      </c>
      <c r="H783" s="15">
        <f>IF(OR(ISBLANK(F783),ISBLANK(G783)),"",VALUE(LEFT(F783,1))*VALUE(LEFT(G783,1)))</f>
        <v/>
      </c>
      <c r="I783" s="12">
        <f>IF(ISBLANK(H783),"",IF(H783&gt;=20,"Critical",IF(H783&gt;=15,"High",IF(H783&gt;=8,"Medium","Low"))))</f>
        <v/>
      </c>
    </row>
    <row r="784">
      <c r="B784">
        <f>IF(ISBLANK(A784),"",A784&amp;"-R"&amp;TEXT(COUNTIF($A$2:A784,A784),"00"))</f>
        <v/>
      </c>
      <c r="H784" s="15">
        <f>IF(OR(ISBLANK(F784),ISBLANK(G784)),"",VALUE(LEFT(F784,1))*VALUE(LEFT(G784,1)))</f>
        <v/>
      </c>
      <c r="I784" s="12">
        <f>IF(ISBLANK(H784),"",IF(H784&gt;=20,"Critical",IF(H784&gt;=15,"High",IF(H784&gt;=8,"Medium","Low"))))</f>
        <v/>
      </c>
    </row>
    <row r="785">
      <c r="B785">
        <f>IF(ISBLANK(A785),"",A785&amp;"-R"&amp;TEXT(COUNTIF($A$2:A785,A785),"00"))</f>
        <v/>
      </c>
      <c r="H785" s="15">
        <f>IF(OR(ISBLANK(F785),ISBLANK(G785)),"",VALUE(LEFT(F785,1))*VALUE(LEFT(G785,1)))</f>
        <v/>
      </c>
      <c r="I785" s="12">
        <f>IF(ISBLANK(H785),"",IF(H785&gt;=20,"Critical",IF(H785&gt;=15,"High",IF(H785&gt;=8,"Medium","Low"))))</f>
        <v/>
      </c>
    </row>
    <row r="786">
      <c r="B786">
        <f>IF(ISBLANK(A786),"",A786&amp;"-R"&amp;TEXT(COUNTIF($A$2:A786,A786),"00"))</f>
        <v/>
      </c>
      <c r="H786" s="15">
        <f>IF(OR(ISBLANK(F786),ISBLANK(G786)),"",VALUE(LEFT(F786,1))*VALUE(LEFT(G786,1)))</f>
        <v/>
      </c>
      <c r="I786" s="12">
        <f>IF(ISBLANK(H786),"",IF(H786&gt;=20,"Critical",IF(H786&gt;=15,"High",IF(H786&gt;=8,"Medium","Low"))))</f>
        <v/>
      </c>
    </row>
    <row r="787">
      <c r="B787">
        <f>IF(ISBLANK(A787),"",A787&amp;"-R"&amp;TEXT(COUNTIF($A$2:A787,A787),"00"))</f>
        <v/>
      </c>
      <c r="H787" s="15">
        <f>IF(OR(ISBLANK(F787),ISBLANK(G787)),"",VALUE(LEFT(F787,1))*VALUE(LEFT(G787,1)))</f>
        <v/>
      </c>
      <c r="I787" s="12">
        <f>IF(ISBLANK(H787),"",IF(H787&gt;=20,"Critical",IF(H787&gt;=15,"High",IF(H787&gt;=8,"Medium","Low"))))</f>
        <v/>
      </c>
    </row>
    <row r="788">
      <c r="B788">
        <f>IF(ISBLANK(A788),"",A788&amp;"-R"&amp;TEXT(COUNTIF($A$2:A788,A788),"00"))</f>
        <v/>
      </c>
      <c r="H788" s="15">
        <f>IF(OR(ISBLANK(F788),ISBLANK(G788)),"",VALUE(LEFT(F788,1))*VALUE(LEFT(G788,1)))</f>
        <v/>
      </c>
      <c r="I788" s="12">
        <f>IF(ISBLANK(H788),"",IF(H788&gt;=20,"Critical",IF(H788&gt;=15,"High",IF(H788&gt;=8,"Medium","Low"))))</f>
        <v/>
      </c>
    </row>
    <row r="789">
      <c r="B789">
        <f>IF(ISBLANK(A789),"",A789&amp;"-R"&amp;TEXT(COUNTIF($A$2:A789,A789),"00"))</f>
        <v/>
      </c>
      <c r="H789" s="15">
        <f>IF(OR(ISBLANK(F789),ISBLANK(G789)),"",VALUE(LEFT(F789,1))*VALUE(LEFT(G789,1)))</f>
        <v/>
      </c>
      <c r="I789" s="12">
        <f>IF(ISBLANK(H789),"",IF(H789&gt;=20,"Critical",IF(H789&gt;=15,"High",IF(H789&gt;=8,"Medium","Low"))))</f>
        <v/>
      </c>
    </row>
    <row r="790">
      <c r="B790">
        <f>IF(ISBLANK(A790),"",A790&amp;"-R"&amp;TEXT(COUNTIF($A$2:A790,A790),"00"))</f>
        <v/>
      </c>
      <c r="H790" s="15">
        <f>IF(OR(ISBLANK(F790),ISBLANK(G790)),"",VALUE(LEFT(F790,1))*VALUE(LEFT(G790,1)))</f>
        <v/>
      </c>
      <c r="I790" s="12">
        <f>IF(ISBLANK(H790),"",IF(H790&gt;=20,"Critical",IF(H790&gt;=15,"High",IF(H790&gt;=8,"Medium","Low"))))</f>
        <v/>
      </c>
    </row>
    <row r="791">
      <c r="B791">
        <f>IF(ISBLANK(A791),"",A791&amp;"-R"&amp;TEXT(COUNTIF($A$2:A791,A791),"00"))</f>
        <v/>
      </c>
      <c r="H791" s="15">
        <f>IF(OR(ISBLANK(F791),ISBLANK(G791)),"",VALUE(LEFT(F791,1))*VALUE(LEFT(G791,1)))</f>
        <v/>
      </c>
      <c r="I791" s="12">
        <f>IF(ISBLANK(H791),"",IF(H791&gt;=20,"Critical",IF(H791&gt;=15,"High",IF(H791&gt;=8,"Medium","Low"))))</f>
        <v/>
      </c>
    </row>
    <row r="792">
      <c r="B792">
        <f>IF(ISBLANK(A792),"",A792&amp;"-R"&amp;TEXT(COUNTIF($A$2:A792,A792),"00"))</f>
        <v/>
      </c>
      <c r="H792" s="15">
        <f>IF(OR(ISBLANK(F792),ISBLANK(G792)),"",VALUE(LEFT(F792,1))*VALUE(LEFT(G792,1)))</f>
        <v/>
      </c>
      <c r="I792" s="12">
        <f>IF(ISBLANK(H792),"",IF(H792&gt;=20,"Critical",IF(H792&gt;=15,"High",IF(H792&gt;=8,"Medium","Low"))))</f>
        <v/>
      </c>
    </row>
    <row r="793">
      <c r="B793">
        <f>IF(ISBLANK(A793),"",A793&amp;"-R"&amp;TEXT(COUNTIF($A$2:A793,A793),"00"))</f>
        <v/>
      </c>
      <c r="H793" s="15">
        <f>IF(OR(ISBLANK(F793),ISBLANK(G793)),"",VALUE(LEFT(F793,1))*VALUE(LEFT(G793,1)))</f>
        <v/>
      </c>
      <c r="I793" s="12">
        <f>IF(ISBLANK(H793),"",IF(H793&gt;=20,"Critical",IF(H793&gt;=15,"High",IF(H793&gt;=8,"Medium","Low"))))</f>
        <v/>
      </c>
    </row>
    <row r="794">
      <c r="B794">
        <f>IF(ISBLANK(A794),"",A794&amp;"-R"&amp;TEXT(COUNTIF($A$2:A794,A794),"00"))</f>
        <v/>
      </c>
      <c r="H794" s="15">
        <f>IF(OR(ISBLANK(F794),ISBLANK(G794)),"",VALUE(LEFT(F794,1))*VALUE(LEFT(G794,1)))</f>
        <v/>
      </c>
      <c r="I794" s="12">
        <f>IF(ISBLANK(H794),"",IF(H794&gt;=20,"Critical",IF(H794&gt;=15,"High",IF(H794&gt;=8,"Medium","Low"))))</f>
        <v/>
      </c>
    </row>
    <row r="795">
      <c r="B795">
        <f>IF(ISBLANK(A795),"",A795&amp;"-R"&amp;TEXT(COUNTIF($A$2:A795,A795),"00"))</f>
        <v/>
      </c>
      <c r="H795" s="15">
        <f>IF(OR(ISBLANK(F795),ISBLANK(G795)),"",VALUE(LEFT(F795,1))*VALUE(LEFT(G795,1)))</f>
        <v/>
      </c>
      <c r="I795" s="12">
        <f>IF(ISBLANK(H795),"",IF(H795&gt;=20,"Critical",IF(H795&gt;=15,"High",IF(H795&gt;=8,"Medium","Low"))))</f>
        <v/>
      </c>
    </row>
    <row r="796">
      <c r="B796">
        <f>IF(ISBLANK(A796),"",A796&amp;"-R"&amp;TEXT(COUNTIF($A$2:A796,A796),"00"))</f>
        <v/>
      </c>
      <c r="H796" s="15">
        <f>IF(OR(ISBLANK(F796),ISBLANK(G796)),"",VALUE(LEFT(F796,1))*VALUE(LEFT(G796,1)))</f>
        <v/>
      </c>
      <c r="I796" s="12">
        <f>IF(ISBLANK(H796),"",IF(H796&gt;=20,"Critical",IF(H796&gt;=15,"High",IF(H796&gt;=8,"Medium","Low"))))</f>
        <v/>
      </c>
    </row>
    <row r="797">
      <c r="B797">
        <f>IF(ISBLANK(A797),"",A797&amp;"-R"&amp;TEXT(COUNTIF($A$2:A797,A797),"00"))</f>
        <v/>
      </c>
      <c r="H797" s="15">
        <f>IF(OR(ISBLANK(F797),ISBLANK(G797)),"",VALUE(LEFT(F797,1))*VALUE(LEFT(G797,1)))</f>
        <v/>
      </c>
      <c r="I797" s="12">
        <f>IF(ISBLANK(H797),"",IF(H797&gt;=20,"Critical",IF(H797&gt;=15,"High",IF(H797&gt;=8,"Medium","Low"))))</f>
        <v/>
      </c>
    </row>
    <row r="798">
      <c r="B798">
        <f>IF(ISBLANK(A798),"",A798&amp;"-R"&amp;TEXT(COUNTIF($A$2:A798,A798),"00"))</f>
        <v/>
      </c>
      <c r="H798" s="15">
        <f>IF(OR(ISBLANK(F798),ISBLANK(G798)),"",VALUE(LEFT(F798,1))*VALUE(LEFT(G798,1)))</f>
        <v/>
      </c>
      <c r="I798" s="12">
        <f>IF(ISBLANK(H798),"",IF(H798&gt;=20,"Critical",IF(H798&gt;=15,"High",IF(H798&gt;=8,"Medium","Low"))))</f>
        <v/>
      </c>
    </row>
    <row r="799">
      <c r="B799">
        <f>IF(ISBLANK(A799),"",A799&amp;"-R"&amp;TEXT(COUNTIF($A$2:A799,A799),"00"))</f>
        <v/>
      </c>
      <c r="H799" s="15">
        <f>IF(OR(ISBLANK(F799),ISBLANK(G799)),"",VALUE(LEFT(F799,1))*VALUE(LEFT(G799,1)))</f>
        <v/>
      </c>
      <c r="I799" s="12">
        <f>IF(ISBLANK(H799),"",IF(H799&gt;=20,"Critical",IF(H799&gt;=15,"High",IF(H799&gt;=8,"Medium","Low"))))</f>
        <v/>
      </c>
    </row>
    <row r="800">
      <c r="B800">
        <f>IF(ISBLANK(A800),"",A800&amp;"-R"&amp;TEXT(COUNTIF($A$2:A800,A800),"00"))</f>
        <v/>
      </c>
      <c r="H800" s="15">
        <f>IF(OR(ISBLANK(F800),ISBLANK(G800)),"",VALUE(LEFT(F800,1))*VALUE(LEFT(G800,1)))</f>
        <v/>
      </c>
      <c r="I800" s="12">
        <f>IF(ISBLANK(H800),"",IF(H800&gt;=20,"Critical",IF(H800&gt;=15,"High",IF(H800&gt;=8,"Medium","Low"))))</f>
        <v/>
      </c>
    </row>
    <row r="801">
      <c r="B801">
        <f>IF(ISBLANK(A801),"",A801&amp;"-R"&amp;TEXT(COUNTIF($A$2:A801,A801),"00"))</f>
        <v/>
      </c>
      <c r="H801" s="15">
        <f>IF(OR(ISBLANK(F801),ISBLANK(G801)),"",VALUE(LEFT(F801,1))*VALUE(LEFT(G801,1)))</f>
        <v/>
      </c>
      <c r="I801" s="12">
        <f>IF(ISBLANK(H801),"",IF(H801&gt;=20,"Critical",IF(H801&gt;=15,"High",IF(H801&gt;=8,"Medium","Low"))))</f>
        <v/>
      </c>
    </row>
    <row r="802">
      <c r="B802">
        <f>IF(ISBLANK(A802),"",A802&amp;"-R"&amp;TEXT(COUNTIF($A$2:A802,A802),"00"))</f>
        <v/>
      </c>
      <c r="H802" s="15">
        <f>IF(OR(ISBLANK(F802),ISBLANK(G802)),"",VALUE(LEFT(F802,1))*VALUE(LEFT(G802,1)))</f>
        <v/>
      </c>
      <c r="I802" s="12">
        <f>IF(ISBLANK(H802),"",IF(H802&gt;=20,"Critical",IF(H802&gt;=15,"High",IF(H802&gt;=8,"Medium","Low"))))</f>
        <v/>
      </c>
    </row>
    <row r="803">
      <c r="B803">
        <f>IF(ISBLANK(A803),"",A803&amp;"-R"&amp;TEXT(COUNTIF($A$2:A803,A803),"00"))</f>
        <v/>
      </c>
      <c r="H803" s="15">
        <f>IF(OR(ISBLANK(F803),ISBLANK(G803)),"",VALUE(LEFT(F803,1))*VALUE(LEFT(G803,1)))</f>
        <v/>
      </c>
      <c r="I803" s="12">
        <f>IF(ISBLANK(H803),"",IF(H803&gt;=20,"Critical",IF(H803&gt;=15,"High",IF(H803&gt;=8,"Medium","Low"))))</f>
        <v/>
      </c>
    </row>
    <row r="804">
      <c r="B804">
        <f>IF(ISBLANK(A804),"",A804&amp;"-R"&amp;TEXT(COUNTIF($A$2:A804,A804),"00"))</f>
        <v/>
      </c>
      <c r="H804" s="15">
        <f>IF(OR(ISBLANK(F804),ISBLANK(G804)),"",VALUE(LEFT(F804,1))*VALUE(LEFT(G804,1)))</f>
        <v/>
      </c>
      <c r="I804" s="12">
        <f>IF(ISBLANK(H804),"",IF(H804&gt;=20,"Critical",IF(H804&gt;=15,"High",IF(H804&gt;=8,"Medium","Low"))))</f>
        <v/>
      </c>
    </row>
    <row r="805">
      <c r="B805">
        <f>IF(ISBLANK(A805),"",A805&amp;"-R"&amp;TEXT(COUNTIF($A$2:A805,A805),"00"))</f>
        <v/>
      </c>
      <c r="H805" s="15">
        <f>IF(OR(ISBLANK(F805),ISBLANK(G805)),"",VALUE(LEFT(F805,1))*VALUE(LEFT(G805,1)))</f>
        <v/>
      </c>
      <c r="I805" s="12">
        <f>IF(ISBLANK(H805),"",IF(H805&gt;=20,"Critical",IF(H805&gt;=15,"High",IF(H805&gt;=8,"Medium","Low"))))</f>
        <v/>
      </c>
    </row>
    <row r="806">
      <c r="B806">
        <f>IF(ISBLANK(A806),"",A806&amp;"-R"&amp;TEXT(COUNTIF($A$2:A806,A806),"00"))</f>
        <v/>
      </c>
      <c r="H806" s="15">
        <f>IF(OR(ISBLANK(F806),ISBLANK(G806)),"",VALUE(LEFT(F806,1))*VALUE(LEFT(G806,1)))</f>
        <v/>
      </c>
      <c r="I806" s="12">
        <f>IF(ISBLANK(H806),"",IF(H806&gt;=20,"Critical",IF(H806&gt;=15,"High",IF(H806&gt;=8,"Medium","Low"))))</f>
        <v/>
      </c>
    </row>
    <row r="807">
      <c r="B807">
        <f>IF(ISBLANK(A807),"",A807&amp;"-R"&amp;TEXT(COUNTIF($A$2:A807,A807),"00"))</f>
        <v/>
      </c>
      <c r="H807" s="15">
        <f>IF(OR(ISBLANK(F807),ISBLANK(G807)),"",VALUE(LEFT(F807,1))*VALUE(LEFT(G807,1)))</f>
        <v/>
      </c>
      <c r="I807" s="12">
        <f>IF(ISBLANK(H807),"",IF(H807&gt;=20,"Critical",IF(H807&gt;=15,"High",IF(H807&gt;=8,"Medium","Low"))))</f>
        <v/>
      </c>
    </row>
    <row r="808">
      <c r="B808">
        <f>IF(ISBLANK(A808),"",A808&amp;"-R"&amp;TEXT(COUNTIF($A$2:A808,A808),"00"))</f>
        <v/>
      </c>
      <c r="H808" s="15">
        <f>IF(OR(ISBLANK(F808),ISBLANK(G808)),"",VALUE(LEFT(F808,1))*VALUE(LEFT(G808,1)))</f>
        <v/>
      </c>
      <c r="I808" s="12">
        <f>IF(ISBLANK(H808),"",IF(H808&gt;=20,"Critical",IF(H808&gt;=15,"High",IF(H808&gt;=8,"Medium","Low"))))</f>
        <v/>
      </c>
    </row>
    <row r="809">
      <c r="B809">
        <f>IF(ISBLANK(A809),"",A809&amp;"-R"&amp;TEXT(COUNTIF($A$2:A809,A809),"00"))</f>
        <v/>
      </c>
      <c r="H809" s="15">
        <f>IF(OR(ISBLANK(F809),ISBLANK(G809)),"",VALUE(LEFT(F809,1))*VALUE(LEFT(G809,1)))</f>
        <v/>
      </c>
      <c r="I809" s="12">
        <f>IF(ISBLANK(H809),"",IF(H809&gt;=20,"Critical",IF(H809&gt;=15,"High",IF(H809&gt;=8,"Medium","Low"))))</f>
        <v/>
      </c>
    </row>
    <row r="810">
      <c r="B810">
        <f>IF(ISBLANK(A810),"",A810&amp;"-R"&amp;TEXT(COUNTIF($A$2:A810,A810),"00"))</f>
        <v/>
      </c>
      <c r="H810" s="15">
        <f>IF(OR(ISBLANK(F810),ISBLANK(G810)),"",VALUE(LEFT(F810,1))*VALUE(LEFT(G810,1)))</f>
        <v/>
      </c>
      <c r="I810" s="12">
        <f>IF(ISBLANK(H810),"",IF(H810&gt;=20,"Critical",IF(H810&gt;=15,"High",IF(H810&gt;=8,"Medium","Low"))))</f>
        <v/>
      </c>
    </row>
    <row r="811">
      <c r="B811">
        <f>IF(ISBLANK(A811),"",A811&amp;"-R"&amp;TEXT(COUNTIF($A$2:A811,A811),"00"))</f>
        <v/>
      </c>
      <c r="H811" s="15">
        <f>IF(OR(ISBLANK(F811),ISBLANK(G811)),"",VALUE(LEFT(F811,1))*VALUE(LEFT(G811,1)))</f>
        <v/>
      </c>
      <c r="I811" s="12">
        <f>IF(ISBLANK(H811),"",IF(H811&gt;=20,"Critical",IF(H811&gt;=15,"High",IF(H811&gt;=8,"Medium","Low"))))</f>
        <v/>
      </c>
    </row>
    <row r="812">
      <c r="B812">
        <f>IF(ISBLANK(A812),"",A812&amp;"-R"&amp;TEXT(COUNTIF($A$2:A812,A812),"00"))</f>
        <v/>
      </c>
      <c r="H812" s="15">
        <f>IF(OR(ISBLANK(F812),ISBLANK(G812)),"",VALUE(LEFT(F812,1))*VALUE(LEFT(G812,1)))</f>
        <v/>
      </c>
      <c r="I812" s="12">
        <f>IF(ISBLANK(H812),"",IF(H812&gt;=20,"Critical",IF(H812&gt;=15,"High",IF(H812&gt;=8,"Medium","Low"))))</f>
        <v/>
      </c>
    </row>
    <row r="813">
      <c r="B813">
        <f>IF(ISBLANK(A813),"",A813&amp;"-R"&amp;TEXT(COUNTIF($A$2:A813,A813),"00"))</f>
        <v/>
      </c>
      <c r="H813" s="15">
        <f>IF(OR(ISBLANK(F813),ISBLANK(G813)),"",VALUE(LEFT(F813,1))*VALUE(LEFT(G813,1)))</f>
        <v/>
      </c>
      <c r="I813" s="12">
        <f>IF(ISBLANK(H813),"",IF(H813&gt;=20,"Critical",IF(H813&gt;=15,"High",IF(H813&gt;=8,"Medium","Low"))))</f>
        <v/>
      </c>
    </row>
    <row r="814">
      <c r="B814">
        <f>IF(ISBLANK(A814),"",A814&amp;"-R"&amp;TEXT(COUNTIF($A$2:A814,A814),"00"))</f>
        <v/>
      </c>
      <c r="H814" s="15">
        <f>IF(OR(ISBLANK(F814),ISBLANK(G814)),"",VALUE(LEFT(F814,1))*VALUE(LEFT(G814,1)))</f>
        <v/>
      </c>
      <c r="I814" s="12">
        <f>IF(ISBLANK(H814),"",IF(H814&gt;=20,"Critical",IF(H814&gt;=15,"High",IF(H814&gt;=8,"Medium","Low"))))</f>
        <v/>
      </c>
    </row>
    <row r="815">
      <c r="B815">
        <f>IF(ISBLANK(A815),"",A815&amp;"-R"&amp;TEXT(COUNTIF($A$2:A815,A815),"00"))</f>
        <v/>
      </c>
      <c r="H815" s="15">
        <f>IF(OR(ISBLANK(F815),ISBLANK(G815)),"",VALUE(LEFT(F815,1))*VALUE(LEFT(G815,1)))</f>
        <v/>
      </c>
      <c r="I815" s="12">
        <f>IF(ISBLANK(H815),"",IF(H815&gt;=20,"Critical",IF(H815&gt;=15,"High",IF(H815&gt;=8,"Medium","Low"))))</f>
        <v/>
      </c>
    </row>
    <row r="816">
      <c r="B816">
        <f>IF(ISBLANK(A816),"",A816&amp;"-R"&amp;TEXT(COUNTIF($A$2:A816,A816),"00"))</f>
        <v/>
      </c>
      <c r="H816" s="15">
        <f>IF(OR(ISBLANK(F816),ISBLANK(G816)),"",VALUE(LEFT(F816,1))*VALUE(LEFT(G816,1)))</f>
        <v/>
      </c>
      <c r="I816" s="12">
        <f>IF(ISBLANK(H816),"",IF(H816&gt;=20,"Critical",IF(H816&gt;=15,"High",IF(H816&gt;=8,"Medium","Low"))))</f>
        <v/>
      </c>
    </row>
    <row r="817">
      <c r="B817">
        <f>IF(ISBLANK(A817),"",A817&amp;"-R"&amp;TEXT(COUNTIF($A$2:A817,A817),"00"))</f>
        <v/>
      </c>
      <c r="H817" s="15">
        <f>IF(OR(ISBLANK(F817),ISBLANK(G817)),"",VALUE(LEFT(F817,1))*VALUE(LEFT(G817,1)))</f>
        <v/>
      </c>
      <c r="I817" s="12">
        <f>IF(ISBLANK(H817),"",IF(H817&gt;=20,"Critical",IF(H817&gt;=15,"High",IF(H817&gt;=8,"Medium","Low"))))</f>
        <v/>
      </c>
    </row>
    <row r="818">
      <c r="B818">
        <f>IF(ISBLANK(A818),"",A818&amp;"-R"&amp;TEXT(COUNTIF($A$2:A818,A818),"00"))</f>
        <v/>
      </c>
      <c r="H818" s="15">
        <f>IF(OR(ISBLANK(F818),ISBLANK(G818)),"",VALUE(LEFT(F818,1))*VALUE(LEFT(G818,1)))</f>
        <v/>
      </c>
      <c r="I818" s="12">
        <f>IF(ISBLANK(H818),"",IF(H818&gt;=20,"Critical",IF(H818&gt;=15,"High",IF(H818&gt;=8,"Medium","Low"))))</f>
        <v/>
      </c>
    </row>
    <row r="819">
      <c r="B819">
        <f>IF(ISBLANK(A819),"",A819&amp;"-R"&amp;TEXT(COUNTIF($A$2:A819,A819),"00"))</f>
        <v/>
      </c>
      <c r="H819" s="15">
        <f>IF(OR(ISBLANK(F819),ISBLANK(G819)),"",VALUE(LEFT(F819,1))*VALUE(LEFT(G819,1)))</f>
        <v/>
      </c>
      <c r="I819" s="12">
        <f>IF(ISBLANK(H819),"",IF(H819&gt;=20,"Critical",IF(H819&gt;=15,"High",IF(H819&gt;=8,"Medium","Low"))))</f>
        <v/>
      </c>
    </row>
    <row r="820">
      <c r="B820">
        <f>IF(ISBLANK(A820),"",A820&amp;"-R"&amp;TEXT(COUNTIF($A$2:A820,A820),"00"))</f>
        <v/>
      </c>
      <c r="H820" s="15">
        <f>IF(OR(ISBLANK(F820),ISBLANK(G820)),"",VALUE(LEFT(F820,1))*VALUE(LEFT(G820,1)))</f>
        <v/>
      </c>
      <c r="I820" s="12">
        <f>IF(ISBLANK(H820),"",IF(H820&gt;=20,"Critical",IF(H820&gt;=15,"High",IF(H820&gt;=8,"Medium","Low"))))</f>
        <v/>
      </c>
    </row>
    <row r="821">
      <c r="B821">
        <f>IF(ISBLANK(A821),"",A821&amp;"-R"&amp;TEXT(COUNTIF($A$2:A821,A821),"00"))</f>
        <v/>
      </c>
      <c r="H821" s="15">
        <f>IF(OR(ISBLANK(F821),ISBLANK(G821)),"",VALUE(LEFT(F821,1))*VALUE(LEFT(G821,1)))</f>
        <v/>
      </c>
      <c r="I821" s="12">
        <f>IF(ISBLANK(H821),"",IF(H821&gt;=20,"Critical",IF(H821&gt;=15,"High",IF(H821&gt;=8,"Medium","Low"))))</f>
        <v/>
      </c>
    </row>
    <row r="822">
      <c r="B822">
        <f>IF(ISBLANK(A822),"",A822&amp;"-R"&amp;TEXT(COUNTIF($A$2:A822,A822),"00"))</f>
        <v/>
      </c>
      <c r="H822" s="15">
        <f>IF(OR(ISBLANK(F822),ISBLANK(G822)),"",VALUE(LEFT(F822,1))*VALUE(LEFT(G822,1)))</f>
        <v/>
      </c>
      <c r="I822" s="12">
        <f>IF(ISBLANK(H822),"",IF(H822&gt;=20,"Critical",IF(H822&gt;=15,"High",IF(H822&gt;=8,"Medium","Low"))))</f>
        <v/>
      </c>
    </row>
    <row r="823">
      <c r="B823">
        <f>IF(ISBLANK(A823),"",A823&amp;"-R"&amp;TEXT(COUNTIF($A$2:A823,A823),"00"))</f>
        <v/>
      </c>
      <c r="H823" s="15">
        <f>IF(OR(ISBLANK(F823),ISBLANK(G823)),"",VALUE(LEFT(F823,1))*VALUE(LEFT(G823,1)))</f>
        <v/>
      </c>
      <c r="I823" s="12">
        <f>IF(ISBLANK(H823),"",IF(H823&gt;=20,"Critical",IF(H823&gt;=15,"High",IF(H823&gt;=8,"Medium","Low"))))</f>
        <v/>
      </c>
    </row>
    <row r="824">
      <c r="B824">
        <f>IF(ISBLANK(A824),"",A824&amp;"-R"&amp;TEXT(COUNTIF($A$2:A824,A824),"00"))</f>
        <v/>
      </c>
      <c r="H824" s="15">
        <f>IF(OR(ISBLANK(F824),ISBLANK(G824)),"",VALUE(LEFT(F824,1))*VALUE(LEFT(G824,1)))</f>
        <v/>
      </c>
      <c r="I824" s="12">
        <f>IF(ISBLANK(H824),"",IF(H824&gt;=20,"Critical",IF(H824&gt;=15,"High",IF(H824&gt;=8,"Medium","Low"))))</f>
        <v/>
      </c>
    </row>
    <row r="825">
      <c r="B825">
        <f>IF(ISBLANK(A825),"",A825&amp;"-R"&amp;TEXT(COUNTIF($A$2:A825,A825),"00"))</f>
        <v/>
      </c>
      <c r="H825" s="15">
        <f>IF(OR(ISBLANK(F825),ISBLANK(G825)),"",VALUE(LEFT(F825,1))*VALUE(LEFT(G825,1)))</f>
        <v/>
      </c>
      <c r="I825" s="12">
        <f>IF(ISBLANK(H825),"",IF(H825&gt;=20,"Critical",IF(H825&gt;=15,"High",IF(H825&gt;=8,"Medium","Low"))))</f>
        <v/>
      </c>
    </row>
    <row r="826">
      <c r="B826">
        <f>IF(ISBLANK(A826),"",A826&amp;"-R"&amp;TEXT(COUNTIF($A$2:A826,A826),"00"))</f>
        <v/>
      </c>
      <c r="H826" s="15">
        <f>IF(OR(ISBLANK(F826),ISBLANK(G826)),"",VALUE(LEFT(F826,1))*VALUE(LEFT(G826,1)))</f>
        <v/>
      </c>
      <c r="I826" s="12">
        <f>IF(ISBLANK(H826),"",IF(H826&gt;=20,"Critical",IF(H826&gt;=15,"High",IF(H826&gt;=8,"Medium","Low"))))</f>
        <v/>
      </c>
    </row>
    <row r="827">
      <c r="B827">
        <f>IF(ISBLANK(A827),"",A827&amp;"-R"&amp;TEXT(COUNTIF($A$2:A827,A827),"00"))</f>
        <v/>
      </c>
      <c r="H827" s="15">
        <f>IF(OR(ISBLANK(F827),ISBLANK(G827)),"",VALUE(LEFT(F827,1))*VALUE(LEFT(G827,1)))</f>
        <v/>
      </c>
      <c r="I827" s="12">
        <f>IF(ISBLANK(H827),"",IF(H827&gt;=20,"Critical",IF(H827&gt;=15,"High",IF(H827&gt;=8,"Medium","Low"))))</f>
        <v/>
      </c>
    </row>
    <row r="828">
      <c r="B828">
        <f>IF(ISBLANK(A828),"",A828&amp;"-R"&amp;TEXT(COUNTIF($A$2:A828,A828),"00"))</f>
        <v/>
      </c>
      <c r="H828" s="15">
        <f>IF(OR(ISBLANK(F828),ISBLANK(G828)),"",VALUE(LEFT(F828,1))*VALUE(LEFT(G828,1)))</f>
        <v/>
      </c>
      <c r="I828" s="12">
        <f>IF(ISBLANK(H828),"",IF(H828&gt;=20,"Critical",IF(H828&gt;=15,"High",IF(H828&gt;=8,"Medium","Low"))))</f>
        <v/>
      </c>
    </row>
    <row r="829">
      <c r="B829">
        <f>IF(ISBLANK(A829),"",A829&amp;"-R"&amp;TEXT(COUNTIF($A$2:A829,A829),"00"))</f>
        <v/>
      </c>
      <c r="H829" s="15">
        <f>IF(OR(ISBLANK(F829),ISBLANK(G829)),"",VALUE(LEFT(F829,1))*VALUE(LEFT(G829,1)))</f>
        <v/>
      </c>
      <c r="I829" s="12">
        <f>IF(ISBLANK(H829),"",IF(H829&gt;=20,"Critical",IF(H829&gt;=15,"High",IF(H829&gt;=8,"Medium","Low"))))</f>
        <v/>
      </c>
    </row>
    <row r="830">
      <c r="B830">
        <f>IF(ISBLANK(A830),"",A830&amp;"-R"&amp;TEXT(COUNTIF($A$2:A830,A830),"00"))</f>
        <v/>
      </c>
      <c r="H830" s="15">
        <f>IF(OR(ISBLANK(F830),ISBLANK(G830)),"",VALUE(LEFT(F830,1))*VALUE(LEFT(G830,1)))</f>
        <v/>
      </c>
      <c r="I830" s="12">
        <f>IF(ISBLANK(H830),"",IF(H830&gt;=20,"Critical",IF(H830&gt;=15,"High",IF(H830&gt;=8,"Medium","Low"))))</f>
        <v/>
      </c>
    </row>
    <row r="831">
      <c r="B831">
        <f>IF(ISBLANK(A831),"",A831&amp;"-R"&amp;TEXT(COUNTIF($A$2:A831,A831),"00"))</f>
        <v/>
      </c>
      <c r="H831" s="15">
        <f>IF(OR(ISBLANK(F831),ISBLANK(G831)),"",VALUE(LEFT(F831,1))*VALUE(LEFT(G831,1)))</f>
        <v/>
      </c>
      <c r="I831" s="12">
        <f>IF(ISBLANK(H831),"",IF(H831&gt;=20,"Critical",IF(H831&gt;=15,"High",IF(H831&gt;=8,"Medium","Low"))))</f>
        <v/>
      </c>
    </row>
    <row r="832">
      <c r="B832">
        <f>IF(ISBLANK(A832),"",A832&amp;"-R"&amp;TEXT(COUNTIF($A$2:A832,A832),"00"))</f>
        <v/>
      </c>
      <c r="H832" s="15">
        <f>IF(OR(ISBLANK(F832),ISBLANK(G832)),"",VALUE(LEFT(F832,1))*VALUE(LEFT(G832,1)))</f>
        <v/>
      </c>
      <c r="I832" s="12">
        <f>IF(ISBLANK(H832),"",IF(H832&gt;=20,"Critical",IF(H832&gt;=15,"High",IF(H832&gt;=8,"Medium","Low"))))</f>
        <v/>
      </c>
    </row>
    <row r="833">
      <c r="B833">
        <f>IF(ISBLANK(A833),"",A833&amp;"-R"&amp;TEXT(COUNTIF($A$2:A833,A833),"00"))</f>
        <v/>
      </c>
      <c r="H833" s="15">
        <f>IF(OR(ISBLANK(F833),ISBLANK(G833)),"",VALUE(LEFT(F833,1))*VALUE(LEFT(G833,1)))</f>
        <v/>
      </c>
      <c r="I833" s="12">
        <f>IF(ISBLANK(H833),"",IF(H833&gt;=20,"Critical",IF(H833&gt;=15,"High",IF(H833&gt;=8,"Medium","Low"))))</f>
        <v/>
      </c>
    </row>
    <row r="834">
      <c r="B834">
        <f>IF(ISBLANK(A834),"",A834&amp;"-R"&amp;TEXT(COUNTIF($A$2:A834,A834),"00"))</f>
        <v/>
      </c>
      <c r="H834" s="15">
        <f>IF(OR(ISBLANK(F834),ISBLANK(G834)),"",VALUE(LEFT(F834,1))*VALUE(LEFT(G834,1)))</f>
        <v/>
      </c>
      <c r="I834" s="12">
        <f>IF(ISBLANK(H834),"",IF(H834&gt;=20,"Critical",IF(H834&gt;=15,"High",IF(H834&gt;=8,"Medium","Low"))))</f>
        <v/>
      </c>
    </row>
    <row r="835">
      <c r="B835">
        <f>IF(ISBLANK(A835),"",A835&amp;"-R"&amp;TEXT(COUNTIF($A$2:A835,A835),"00"))</f>
        <v/>
      </c>
      <c r="H835" s="15">
        <f>IF(OR(ISBLANK(F835),ISBLANK(G835)),"",VALUE(LEFT(F835,1))*VALUE(LEFT(G835,1)))</f>
        <v/>
      </c>
      <c r="I835" s="12">
        <f>IF(ISBLANK(H835),"",IF(H835&gt;=20,"Critical",IF(H835&gt;=15,"High",IF(H835&gt;=8,"Medium","Low"))))</f>
        <v/>
      </c>
    </row>
    <row r="836">
      <c r="B836">
        <f>IF(ISBLANK(A836),"",A836&amp;"-R"&amp;TEXT(COUNTIF($A$2:A836,A836),"00"))</f>
        <v/>
      </c>
      <c r="H836" s="15">
        <f>IF(OR(ISBLANK(F836),ISBLANK(G836)),"",VALUE(LEFT(F836,1))*VALUE(LEFT(G836,1)))</f>
        <v/>
      </c>
      <c r="I836" s="12">
        <f>IF(ISBLANK(H836),"",IF(H836&gt;=20,"Critical",IF(H836&gt;=15,"High",IF(H836&gt;=8,"Medium","Low"))))</f>
        <v/>
      </c>
    </row>
    <row r="837">
      <c r="B837">
        <f>IF(ISBLANK(A837),"",A837&amp;"-R"&amp;TEXT(COUNTIF($A$2:A837,A837),"00"))</f>
        <v/>
      </c>
      <c r="H837" s="15">
        <f>IF(OR(ISBLANK(F837),ISBLANK(G837)),"",VALUE(LEFT(F837,1))*VALUE(LEFT(G837,1)))</f>
        <v/>
      </c>
      <c r="I837" s="12">
        <f>IF(ISBLANK(H837),"",IF(H837&gt;=20,"Critical",IF(H837&gt;=15,"High",IF(H837&gt;=8,"Medium","Low"))))</f>
        <v/>
      </c>
    </row>
    <row r="838">
      <c r="B838">
        <f>IF(ISBLANK(A838),"",A838&amp;"-R"&amp;TEXT(COUNTIF($A$2:A838,A838),"00"))</f>
        <v/>
      </c>
      <c r="H838" s="15">
        <f>IF(OR(ISBLANK(F838),ISBLANK(G838)),"",VALUE(LEFT(F838,1))*VALUE(LEFT(G838,1)))</f>
        <v/>
      </c>
      <c r="I838" s="12">
        <f>IF(ISBLANK(H838),"",IF(H838&gt;=20,"Critical",IF(H838&gt;=15,"High",IF(H838&gt;=8,"Medium","Low"))))</f>
        <v/>
      </c>
    </row>
    <row r="839">
      <c r="B839">
        <f>IF(ISBLANK(A839),"",A839&amp;"-R"&amp;TEXT(COUNTIF($A$2:A839,A839),"00"))</f>
        <v/>
      </c>
      <c r="H839" s="15">
        <f>IF(OR(ISBLANK(F839),ISBLANK(G839)),"",VALUE(LEFT(F839,1))*VALUE(LEFT(G839,1)))</f>
        <v/>
      </c>
      <c r="I839" s="12">
        <f>IF(ISBLANK(H839),"",IF(H839&gt;=20,"Critical",IF(H839&gt;=15,"High",IF(H839&gt;=8,"Medium","Low"))))</f>
        <v/>
      </c>
    </row>
    <row r="840">
      <c r="B840">
        <f>IF(ISBLANK(A840),"",A840&amp;"-R"&amp;TEXT(COUNTIF($A$2:A840,A840),"00"))</f>
        <v/>
      </c>
      <c r="H840" s="15">
        <f>IF(OR(ISBLANK(F840),ISBLANK(G840)),"",VALUE(LEFT(F840,1))*VALUE(LEFT(G840,1)))</f>
        <v/>
      </c>
      <c r="I840" s="12">
        <f>IF(ISBLANK(H840),"",IF(H840&gt;=20,"Critical",IF(H840&gt;=15,"High",IF(H840&gt;=8,"Medium","Low"))))</f>
        <v/>
      </c>
    </row>
    <row r="841">
      <c r="B841">
        <f>IF(ISBLANK(A841),"",A841&amp;"-R"&amp;TEXT(COUNTIF($A$2:A841,A841),"00"))</f>
        <v/>
      </c>
      <c r="H841" s="15">
        <f>IF(OR(ISBLANK(F841),ISBLANK(G841)),"",VALUE(LEFT(F841,1))*VALUE(LEFT(G841,1)))</f>
        <v/>
      </c>
      <c r="I841" s="12">
        <f>IF(ISBLANK(H841),"",IF(H841&gt;=20,"Critical",IF(H841&gt;=15,"High",IF(H841&gt;=8,"Medium","Low"))))</f>
        <v/>
      </c>
    </row>
    <row r="842">
      <c r="B842">
        <f>IF(ISBLANK(A842),"",A842&amp;"-R"&amp;TEXT(COUNTIF($A$2:A842,A842),"00"))</f>
        <v/>
      </c>
      <c r="H842" s="15">
        <f>IF(OR(ISBLANK(F842),ISBLANK(G842)),"",VALUE(LEFT(F842,1))*VALUE(LEFT(G842,1)))</f>
        <v/>
      </c>
      <c r="I842" s="12">
        <f>IF(ISBLANK(H842),"",IF(H842&gt;=20,"Critical",IF(H842&gt;=15,"High",IF(H842&gt;=8,"Medium","Low"))))</f>
        <v/>
      </c>
    </row>
    <row r="843">
      <c r="B843">
        <f>IF(ISBLANK(A843),"",A843&amp;"-R"&amp;TEXT(COUNTIF($A$2:A843,A843),"00"))</f>
        <v/>
      </c>
      <c r="H843" s="15">
        <f>IF(OR(ISBLANK(F843),ISBLANK(G843)),"",VALUE(LEFT(F843,1))*VALUE(LEFT(G843,1)))</f>
        <v/>
      </c>
      <c r="I843" s="12">
        <f>IF(ISBLANK(H843),"",IF(H843&gt;=20,"Critical",IF(H843&gt;=15,"High",IF(H843&gt;=8,"Medium","Low"))))</f>
        <v/>
      </c>
    </row>
    <row r="844">
      <c r="B844">
        <f>IF(ISBLANK(A844),"",A844&amp;"-R"&amp;TEXT(COUNTIF($A$2:A844,A844),"00"))</f>
        <v/>
      </c>
      <c r="H844" s="15">
        <f>IF(OR(ISBLANK(F844),ISBLANK(G844)),"",VALUE(LEFT(F844,1))*VALUE(LEFT(G844,1)))</f>
        <v/>
      </c>
      <c r="I844" s="12">
        <f>IF(ISBLANK(H844),"",IF(H844&gt;=20,"Critical",IF(H844&gt;=15,"High",IF(H844&gt;=8,"Medium","Low"))))</f>
        <v/>
      </c>
    </row>
    <row r="845">
      <c r="B845">
        <f>IF(ISBLANK(A845),"",A845&amp;"-R"&amp;TEXT(COUNTIF($A$2:A845,A845),"00"))</f>
        <v/>
      </c>
      <c r="H845" s="15">
        <f>IF(OR(ISBLANK(F845),ISBLANK(G845)),"",VALUE(LEFT(F845,1))*VALUE(LEFT(G845,1)))</f>
        <v/>
      </c>
      <c r="I845" s="12">
        <f>IF(ISBLANK(H845),"",IF(H845&gt;=20,"Critical",IF(H845&gt;=15,"High",IF(H845&gt;=8,"Medium","Low"))))</f>
        <v/>
      </c>
    </row>
    <row r="846">
      <c r="B846">
        <f>IF(ISBLANK(A846),"",A846&amp;"-R"&amp;TEXT(COUNTIF($A$2:A846,A846),"00"))</f>
        <v/>
      </c>
      <c r="H846" s="15">
        <f>IF(OR(ISBLANK(F846),ISBLANK(G846)),"",VALUE(LEFT(F846,1))*VALUE(LEFT(G846,1)))</f>
        <v/>
      </c>
      <c r="I846" s="12">
        <f>IF(ISBLANK(H846),"",IF(H846&gt;=20,"Critical",IF(H846&gt;=15,"High",IF(H846&gt;=8,"Medium","Low"))))</f>
        <v/>
      </c>
    </row>
    <row r="847">
      <c r="B847">
        <f>IF(ISBLANK(A847),"",A847&amp;"-R"&amp;TEXT(COUNTIF($A$2:A847,A847),"00"))</f>
        <v/>
      </c>
      <c r="H847" s="15">
        <f>IF(OR(ISBLANK(F847),ISBLANK(G847)),"",VALUE(LEFT(F847,1))*VALUE(LEFT(G847,1)))</f>
        <v/>
      </c>
      <c r="I847" s="12">
        <f>IF(ISBLANK(H847),"",IF(H847&gt;=20,"Critical",IF(H847&gt;=15,"High",IF(H847&gt;=8,"Medium","Low"))))</f>
        <v/>
      </c>
    </row>
    <row r="848">
      <c r="B848">
        <f>IF(ISBLANK(A848),"",A848&amp;"-R"&amp;TEXT(COUNTIF($A$2:A848,A848),"00"))</f>
        <v/>
      </c>
      <c r="H848" s="15">
        <f>IF(OR(ISBLANK(F848),ISBLANK(G848)),"",VALUE(LEFT(F848,1))*VALUE(LEFT(G848,1)))</f>
        <v/>
      </c>
      <c r="I848" s="12">
        <f>IF(ISBLANK(H848),"",IF(H848&gt;=20,"Critical",IF(H848&gt;=15,"High",IF(H848&gt;=8,"Medium","Low"))))</f>
        <v/>
      </c>
    </row>
    <row r="849">
      <c r="B849">
        <f>IF(ISBLANK(A849),"",A849&amp;"-R"&amp;TEXT(COUNTIF($A$2:A849,A849),"00"))</f>
        <v/>
      </c>
      <c r="H849" s="15">
        <f>IF(OR(ISBLANK(F849),ISBLANK(G849)),"",VALUE(LEFT(F849,1))*VALUE(LEFT(G849,1)))</f>
        <v/>
      </c>
      <c r="I849" s="12">
        <f>IF(ISBLANK(H849),"",IF(H849&gt;=20,"Critical",IF(H849&gt;=15,"High",IF(H849&gt;=8,"Medium","Low"))))</f>
        <v/>
      </c>
    </row>
    <row r="850">
      <c r="B850">
        <f>IF(ISBLANK(A850),"",A850&amp;"-R"&amp;TEXT(COUNTIF($A$2:A850,A850),"00"))</f>
        <v/>
      </c>
      <c r="H850" s="15">
        <f>IF(OR(ISBLANK(F850),ISBLANK(G850)),"",VALUE(LEFT(F850,1))*VALUE(LEFT(G850,1)))</f>
        <v/>
      </c>
      <c r="I850" s="12">
        <f>IF(ISBLANK(H850),"",IF(H850&gt;=20,"Critical",IF(H850&gt;=15,"High",IF(H850&gt;=8,"Medium","Low"))))</f>
        <v/>
      </c>
    </row>
    <row r="851">
      <c r="B851">
        <f>IF(ISBLANK(A851),"",A851&amp;"-R"&amp;TEXT(COUNTIF($A$2:A851,A851),"00"))</f>
        <v/>
      </c>
      <c r="H851" s="15">
        <f>IF(OR(ISBLANK(F851),ISBLANK(G851)),"",VALUE(LEFT(F851,1))*VALUE(LEFT(G851,1)))</f>
        <v/>
      </c>
      <c r="I851" s="12">
        <f>IF(ISBLANK(H851),"",IF(H851&gt;=20,"Critical",IF(H851&gt;=15,"High",IF(H851&gt;=8,"Medium","Low"))))</f>
        <v/>
      </c>
    </row>
    <row r="852">
      <c r="B852">
        <f>IF(ISBLANK(A852),"",A852&amp;"-R"&amp;TEXT(COUNTIF($A$2:A852,A852),"00"))</f>
        <v/>
      </c>
      <c r="H852" s="15">
        <f>IF(OR(ISBLANK(F852),ISBLANK(G852)),"",VALUE(LEFT(F852,1))*VALUE(LEFT(G852,1)))</f>
        <v/>
      </c>
      <c r="I852" s="12">
        <f>IF(ISBLANK(H852),"",IF(H852&gt;=20,"Critical",IF(H852&gt;=15,"High",IF(H852&gt;=8,"Medium","Low"))))</f>
        <v/>
      </c>
    </row>
    <row r="853">
      <c r="B853">
        <f>IF(ISBLANK(A853),"",A853&amp;"-R"&amp;TEXT(COUNTIF($A$2:A853,A853),"00"))</f>
        <v/>
      </c>
      <c r="H853" s="15">
        <f>IF(OR(ISBLANK(F853),ISBLANK(G853)),"",VALUE(LEFT(F853,1))*VALUE(LEFT(G853,1)))</f>
        <v/>
      </c>
      <c r="I853" s="12">
        <f>IF(ISBLANK(H853),"",IF(H853&gt;=20,"Critical",IF(H853&gt;=15,"High",IF(H853&gt;=8,"Medium","Low"))))</f>
        <v/>
      </c>
    </row>
    <row r="854">
      <c r="B854">
        <f>IF(ISBLANK(A854),"",A854&amp;"-R"&amp;TEXT(COUNTIF($A$2:A854,A854),"00"))</f>
        <v/>
      </c>
      <c r="H854" s="15">
        <f>IF(OR(ISBLANK(F854),ISBLANK(G854)),"",VALUE(LEFT(F854,1))*VALUE(LEFT(G854,1)))</f>
        <v/>
      </c>
      <c r="I854" s="12">
        <f>IF(ISBLANK(H854),"",IF(H854&gt;=20,"Critical",IF(H854&gt;=15,"High",IF(H854&gt;=8,"Medium","Low"))))</f>
        <v/>
      </c>
    </row>
    <row r="855">
      <c r="B855">
        <f>IF(ISBLANK(A855),"",A855&amp;"-R"&amp;TEXT(COUNTIF($A$2:A855,A855),"00"))</f>
        <v/>
      </c>
      <c r="H855" s="15">
        <f>IF(OR(ISBLANK(F855),ISBLANK(G855)),"",VALUE(LEFT(F855,1))*VALUE(LEFT(G855,1)))</f>
        <v/>
      </c>
      <c r="I855" s="12">
        <f>IF(ISBLANK(H855),"",IF(H855&gt;=20,"Critical",IF(H855&gt;=15,"High",IF(H855&gt;=8,"Medium","Low"))))</f>
        <v/>
      </c>
    </row>
    <row r="856">
      <c r="B856">
        <f>IF(ISBLANK(A856),"",A856&amp;"-R"&amp;TEXT(COUNTIF($A$2:A856,A856),"00"))</f>
        <v/>
      </c>
      <c r="H856" s="15">
        <f>IF(OR(ISBLANK(F856),ISBLANK(G856)),"",VALUE(LEFT(F856,1))*VALUE(LEFT(G856,1)))</f>
        <v/>
      </c>
      <c r="I856" s="12">
        <f>IF(ISBLANK(H856),"",IF(H856&gt;=20,"Critical",IF(H856&gt;=15,"High",IF(H856&gt;=8,"Medium","Low"))))</f>
        <v/>
      </c>
    </row>
    <row r="857">
      <c r="B857">
        <f>IF(ISBLANK(A857),"",A857&amp;"-R"&amp;TEXT(COUNTIF($A$2:A857,A857),"00"))</f>
        <v/>
      </c>
      <c r="H857" s="15">
        <f>IF(OR(ISBLANK(F857),ISBLANK(G857)),"",VALUE(LEFT(F857,1))*VALUE(LEFT(G857,1)))</f>
        <v/>
      </c>
      <c r="I857" s="12">
        <f>IF(ISBLANK(H857),"",IF(H857&gt;=20,"Critical",IF(H857&gt;=15,"High",IF(H857&gt;=8,"Medium","Low"))))</f>
        <v/>
      </c>
    </row>
    <row r="858">
      <c r="B858">
        <f>IF(ISBLANK(A858),"",A858&amp;"-R"&amp;TEXT(COUNTIF($A$2:A858,A858),"00"))</f>
        <v/>
      </c>
      <c r="H858" s="15">
        <f>IF(OR(ISBLANK(F858),ISBLANK(G858)),"",VALUE(LEFT(F858,1))*VALUE(LEFT(G858,1)))</f>
        <v/>
      </c>
      <c r="I858" s="12">
        <f>IF(ISBLANK(H858),"",IF(H858&gt;=20,"Critical",IF(H858&gt;=15,"High",IF(H858&gt;=8,"Medium","Low"))))</f>
        <v/>
      </c>
    </row>
    <row r="859">
      <c r="B859">
        <f>IF(ISBLANK(A859),"",A859&amp;"-R"&amp;TEXT(COUNTIF($A$2:A859,A859),"00"))</f>
        <v/>
      </c>
      <c r="H859" s="15">
        <f>IF(OR(ISBLANK(F859),ISBLANK(G859)),"",VALUE(LEFT(F859,1))*VALUE(LEFT(G859,1)))</f>
        <v/>
      </c>
      <c r="I859" s="12">
        <f>IF(ISBLANK(H859),"",IF(H859&gt;=20,"Critical",IF(H859&gt;=15,"High",IF(H859&gt;=8,"Medium","Low"))))</f>
        <v/>
      </c>
    </row>
    <row r="860">
      <c r="B860">
        <f>IF(ISBLANK(A860),"",A860&amp;"-R"&amp;TEXT(COUNTIF($A$2:A860,A860),"00"))</f>
        <v/>
      </c>
      <c r="H860" s="15">
        <f>IF(OR(ISBLANK(F860),ISBLANK(G860)),"",VALUE(LEFT(F860,1))*VALUE(LEFT(G860,1)))</f>
        <v/>
      </c>
      <c r="I860" s="12">
        <f>IF(ISBLANK(H860),"",IF(H860&gt;=20,"Critical",IF(H860&gt;=15,"High",IF(H860&gt;=8,"Medium","Low"))))</f>
        <v/>
      </c>
    </row>
    <row r="861">
      <c r="B861">
        <f>IF(ISBLANK(A861),"",A861&amp;"-R"&amp;TEXT(COUNTIF($A$2:A861,A861),"00"))</f>
        <v/>
      </c>
      <c r="H861" s="15">
        <f>IF(OR(ISBLANK(F861),ISBLANK(G861)),"",VALUE(LEFT(F861,1))*VALUE(LEFT(G861,1)))</f>
        <v/>
      </c>
      <c r="I861" s="12">
        <f>IF(ISBLANK(H861),"",IF(H861&gt;=20,"Critical",IF(H861&gt;=15,"High",IF(H861&gt;=8,"Medium","Low"))))</f>
        <v/>
      </c>
    </row>
    <row r="862">
      <c r="B862">
        <f>IF(ISBLANK(A862),"",A862&amp;"-R"&amp;TEXT(COUNTIF($A$2:A862,A862),"00"))</f>
        <v/>
      </c>
      <c r="H862" s="15">
        <f>IF(OR(ISBLANK(F862),ISBLANK(G862)),"",VALUE(LEFT(F862,1))*VALUE(LEFT(G862,1)))</f>
        <v/>
      </c>
      <c r="I862" s="12">
        <f>IF(ISBLANK(H862),"",IF(H862&gt;=20,"Critical",IF(H862&gt;=15,"High",IF(H862&gt;=8,"Medium","Low"))))</f>
        <v/>
      </c>
    </row>
    <row r="863">
      <c r="B863">
        <f>IF(ISBLANK(A863),"",A863&amp;"-R"&amp;TEXT(COUNTIF($A$2:A863,A863),"00"))</f>
        <v/>
      </c>
      <c r="H863" s="15">
        <f>IF(OR(ISBLANK(F863),ISBLANK(G863)),"",VALUE(LEFT(F863,1))*VALUE(LEFT(G863,1)))</f>
        <v/>
      </c>
      <c r="I863" s="12">
        <f>IF(ISBLANK(H863),"",IF(H863&gt;=20,"Critical",IF(H863&gt;=15,"High",IF(H863&gt;=8,"Medium","Low"))))</f>
        <v/>
      </c>
    </row>
    <row r="864">
      <c r="B864">
        <f>IF(ISBLANK(A864),"",A864&amp;"-R"&amp;TEXT(COUNTIF($A$2:A864,A864),"00"))</f>
        <v/>
      </c>
      <c r="H864" s="15">
        <f>IF(OR(ISBLANK(F864),ISBLANK(G864)),"",VALUE(LEFT(F864,1))*VALUE(LEFT(G864,1)))</f>
        <v/>
      </c>
      <c r="I864" s="12">
        <f>IF(ISBLANK(H864),"",IF(H864&gt;=20,"Critical",IF(H864&gt;=15,"High",IF(H864&gt;=8,"Medium","Low"))))</f>
        <v/>
      </c>
    </row>
    <row r="865">
      <c r="B865">
        <f>IF(ISBLANK(A865),"",A865&amp;"-R"&amp;TEXT(COUNTIF($A$2:A865,A865),"00"))</f>
        <v/>
      </c>
      <c r="H865" s="15">
        <f>IF(OR(ISBLANK(F865),ISBLANK(G865)),"",VALUE(LEFT(F865,1))*VALUE(LEFT(G865,1)))</f>
        <v/>
      </c>
      <c r="I865" s="12">
        <f>IF(ISBLANK(H865),"",IF(H865&gt;=20,"Critical",IF(H865&gt;=15,"High",IF(H865&gt;=8,"Medium","Low"))))</f>
        <v/>
      </c>
    </row>
    <row r="866">
      <c r="B866">
        <f>IF(ISBLANK(A866),"",A866&amp;"-R"&amp;TEXT(COUNTIF($A$2:A866,A866),"00"))</f>
        <v/>
      </c>
      <c r="H866" s="15">
        <f>IF(OR(ISBLANK(F866),ISBLANK(G866)),"",VALUE(LEFT(F866,1))*VALUE(LEFT(G866,1)))</f>
        <v/>
      </c>
      <c r="I866" s="12">
        <f>IF(ISBLANK(H866),"",IF(H866&gt;=20,"Critical",IF(H866&gt;=15,"High",IF(H866&gt;=8,"Medium","Low"))))</f>
        <v/>
      </c>
    </row>
    <row r="867">
      <c r="B867">
        <f>IF(ISBLANK(A867),"",A867&amp;"-R"&amp;TEXT(COUNTIF($A$2:A867,A867),"00"))</f>
        <v/>
      </c>
      <c r="H867" s="15">
        <f>IF(OR(ISBLANK(F867),ISBLANK(G867)),"",VALUE(LEFT(F867,1))*VALUE(LEFT(G867,1)))</f>
        <v/>
      </c>
      <c r="I867" s="12">
        <f>IF(ISBLANK(H867),"",IF(H867&gt;=20,"Critical",IF(H867&gt;=15,"High",IF(H867&gt;=8,"Medium","Low"))))</f>
        <v/>
      </c>
    </row>
    <row r="868">
      <c r="B868">
        <f>IF(ISBLANK(A868),"",A868&amp;"-R"&amp;TEXT(COUNTIF($A$2:A868,A868),"00"))</f>
        <v/>
      </c>
      <c r="H868" s="15">
        <f>IF(OR(ISBLANK(F868),ISBLANK(G868)),"",VALUE(LEFT(F868,1))*VALUE(LEFT(G868,1)))</f>
        <v/>
      </c>
      <c r="I868" s="12">
        <f>IF(ISBLANK(H868),"",IF(H868&gt;=20,"Critical",IF(H868&gt;=15,"High",IF(H868&gt;=8,"Medium","Low"))))</f>
        <v/>
      </c>
    </row>
    <row r="869">
      <c r="B869">
        <f>IF(ISBLANK(A869),"",A869&amp;"-R"&amp;TEXT(COUNTIF($A$2:A869,A869),"00"))</f>
        <v/>
      </c>
      <c r="H869" s="15">
        <f>IF(OR(ISBLANK(F869),ISBLANK(G869)),"",VALUE(LEFT(F869,1))*VALUE(LEFT(G869,1)))</f>
        <v/>
      </c>
      <c r="I869" s="12">
        <f>IF(ISBLANK(H869),"",IF(H869&gt;=20,"Critical",IF(H869&gt;=15,"High",IF(H869&gt;=8,"Medium","Low"))))</f>
        <v/>
      </c>
    </row>
    <row r="870">
      <c r="B870">
        <f>IF(ISBLANK(A870),"",A870&amp;"-R"&amp;TEXT(COUNTIF($A$2:A870,A870),"00"))</f>
        <v/>
      </c>
      <c r="H870" s="15">
        <f>IF(OR(ISBLANK(F870),ISBLANK(G870)),"",VALUE(LEFT(F870,1))*VALUE(LEFT(G870,1)))</f>
        <v/>
      </c>
      <c r="I870" s="12">
        <f>IF(ISBLANK(H870),"",IF(H870&gt;=20,"Critical",IF(H870&gt;=15,"High",IF(H870&gt;=8,"Medium","Low"))))</f>
        <v/>
      </c>
    </row>
    <row r="871">
      <c r="B871">
        <f>IF(ISBLANK(A871),"",A871&amp;"-R"&amp;TEXT(COUNTIF($A$2:A871,A871),"00"))</f>
        <v/>
      </c>
      <c r="H871" s="15">
        <f>IF(OR(ISBLANK(F871),ISBLANK(G871)),"",VALUE(LEFT(F871,1))*VALUE(LEFT(G871,1)))</f>
        <v/>
      </c>
      <c r="I871" s="12">
        <f>IF(ISBLANK(H871),"",IF(H871&gt;=20,"Critical",IF(H871&gt;=15,"High",IF(H871&gt;=8,"Medium","Low"))))</f>
        <v/>
      </c>
    </row>
    <row r="872">
      <c r="B872">
        <f>IF(ISBLANK(A872),"",A872&amp;"-R"&amp;TEXT(COUNTIF($A$2:A872,A872),"00"))</f>
        <v/>
      </c>
      <c r="H872" s="15">
        <f>IF(OR(ISBLANK(F872),ISBLANK(G872)),"",VALUE(LEFT(F872,1))*VALUE(LEFT(G872,1)))</f>
        <v/>
      </c>
      <c r="I872" s="12">
        <f>IF(ISBLANK(H872),"",IF(H872&gt;=20,"Critical",IF(H872&gt;=15,"High",IF(H872&gt;=8,"Medium","Low"))))</f>
        <v/>
      </c>
    </row>
    <row r="873">
      <c r="B873">
        <f>IF(ISBLANK(A873),"",A873&amp;"-R"&amp;TEXT(COUNTIF($A$2:A873,A873),"00"))</f>
        <v/>
      </c>
      <c r="H873" s="15">
        <f>IF(OR(ISBLANK(F873),ISBLANK(G873)),"",VALUE(LEFT(F873,1))*VALUE(LEFT(G873,1)))</f>
        <v/>
      </c>
      <c r="I873" s="12">
        <f>IF(ISBLANK(H873),"",IF(H873&gt;=20,"Critical",IF(H873&gt;=15,"High",IF(H873&gt;=8,"Medium","Low"))))</f>
        <v/>
      </c>
    </row>
    <row r="874">
      <c r="B874">
        <f>IF(ISBLANK(A874),"",A874&amp;"-R"&amp;TEXT(COUNTIF($A$2:A874,A874),"00"))</f>
        <v/>
      </c>
      <c r="H874" s="15">
        <f>IF(OR(ISBLANK(F874),ISBLANK(G874)),"",VALUE(LEFT(F874,1))*VALUE(LEFT(G874,1)))</f>
        <v/>
      </c>
      <c r="I874" s="12">
        <f>IF(ISBLANK(H874),"",IF(H874&gt;=20,"Critical",IF(H874&gt;=15,"High",IF(H874&gt;=8,"Medium","Low"))))</f>
        <v/>
      </c>
    </row>
    <row r="875">
      <c r="B875">
        <f>IF(ISBLANK(A875),"",A875&amp;"-R"&amp;TEXT(COUNTIF($A$2:A875,A875),"00"))</f>
        <v/>
      </c>
      <c r="H875" s="15">
        <f>IF(OR(ISBLANK(F875),ISBLANK(G875)),"",VALUE(LEFT(F875,1))*VALUE(LEFT(G875,1)))</f>
        <v/>
      </c>
      <c r="I875" s="12">
        <f>IF(ISBLANK(H875),"",IF(H875&gt;=20,"Critical",IF(H875&gt;=15,"High",IF(H875&gt;=8,"Medium","Low"))))</f>
        <v/>
      </c>
    </row>
    <row r="876">
      <c r="B876">
        <f>IF(ISBLANK(A876),"",A876&amp;"-R"&amp;TEXT(COUNTIF($A$2:A876,A876),"00"))</f>
        <v/>
      </c>
      <c r="H876" s="15">
        <f>IF(OR(ISBLANK(F876),ISBLANK(G876)),"",VALUE(LEFT(F876,1))*VALUE(LEFT(G876,1)))</f>
        <v/>
      </c>
      <c r="I876" s="12">
        <f>IF(ISBLANK(H876),"",IF(H876&gt;=20,"Critical",IF(H876&gt;=15,"High",IF(H876&gt;=8,"Medium","Low"))))</f>
        <v/>
      </c>
    </row>
    <row r="877">
      <c r="B877">
        <f>IF(ISBLANK(A877),"",A877&amp;"-R"&amp;TEXT(COUNTIF($A$2:A877,A877),"00"))</f>
        <v/>
      </c>
      <c r="H877" s="15">
        <f>IF(OR(ISBLANK(F877),ISBLANK(G877)),"",VALUE(LEFT(F877,1))*VALUE(LEFT(G877,1)))</f>
        <v/>
      </c>
      <c r="I877" s="12">
        <f>IF(ISBLANK(H877),"",IF(H877&gt;=20,"Critical",IF(H877&gt;=15,"High",IF(H877&gt;=8,"Medium","Low"))))</f>
        <v/>
      </c>
    </row>
    <row r="878">
      <c r="B878">
        <f>IF(ISBLANK(A878),"",A878&amp;"-R"&amp;TEXT(COUNTIF($A$2:A878,A878),"00"))</f>
        <v/>
      </c>
      <c r="H878" s="15">
        <f>IF(OR(ISBLANK(F878),ISBLANK(G878)),"",VALUE(LEFT(F878,1))*VALUE(LEFT(G878,1)))</f>
        <v/>
      </c>
      <c r="I878" s="12">
        <f>IF(ISBLANK(H878),"",IF(H878&gt;=20,"Critical",IF(H878&gt;=15,"High",IF(H878&gt;=8,"Medium","Low"))))</f>
        <v/>
      </c>
    </row>
    <row r="879">
      <c r="B879">
        <f>IF(ISBLANK(A879),"",A879&amp;"-R"&amp;TEXT(COUNTIF($A$2:A879,A879),"00"))</f>
        <v/>
      </c>
      <c r="H879" s="15">
        <f>IF(OR(ISBLANK(F879),ISBLANK(G879)),"",VALUE(LEFT(F879,1))*VALUE(LEFT(G879,1)))</f>
        <v/>
      </c>
      <c r="I879" s="12">
        <f>IF(ISBLANK(H879),"",IF(H879&gt;=20,"Critical",IF(H879&gt;=15,"High",IF(H879&gt;=8,"Medium","Low"))))</f>
        <v/>
      </c>
    </row>
    <row r="880">
      <c r="B880">
        <f>IF(ISBLANK(A880),"",A880&amp;"-R"&amp;TEXT(COUNTIF($A$2:A880,A880),"00"))</f>
        <v/>
      </c>
      <c r="H880" s="15">
        <f>IF(OR(ISBLANK(F880),ISBLANK(G880)),"",VALUE(LEFT(F880,1))*VALUE(LEFT(G880,1)))</f>
        <v/>
      </c>
      <c r="I880" s="12">
        <f>IF(ISBLANK(H880),"",IF(H880&gt;=20,"Critical",IF(H880&gt;=15,"High",IF(H880&gt;=8,"Medium","Low"))))</f>
        <v/>
      </c>
    </row>
    <row r="881">
      <c r="B881">
        <f>IF(ISBLANK(A881),"",A881&amp;"-R"&amp;TEXT(COUNTIF($A$2:A881,A881),"00"))</f>
        <v/>
      </c>
      <c r="H881" s="15">
        <f>IF(OR(ISBLANK(F881),ISBLANK(G881)),"",VALUE(LEFT(F881,1))*VALUE(LEFT(G881,1)))</f>
        <v/>
      </c>
      <c r="I881" s="12">
        <f>IF(ISBLANK(H881),"",IF(H881&gt;=20,"Critical",IF(H881&gt;=15,"High",IF(H881&gt;=8,"Medium","Low"))))</f>
        <v/>
      </c>
    </row>
    <row r="882">
      <c r="B882">
        <f>IF(ISBLANK(A882),"",A882&amp;"-R"&amp;TEXT(COUNTIF($A$2:A882,A882),"00"))</f>
        <v/>
      </c>
      <c r="H882" s="15">
        <f>IF(OR(ISBLANK(F882),ISBLANK(G882)),"",VALUE(LEFT(F882,1))*VALUE(LEFT(G882,1)))</f>
        <v/>
      </c>
      <c r="I882" s="12">
        <f>IF(ISBLANK(H882),"",IF(H882&gt;=20,"Critical",IF(H882&gt;=15,"High",IF(H882&gt;=8,"Medium","Low"))))</f>
        <v/>
      </c>
    </row>
    <row r="883">
      <c r="B883">
        <f>IF(ISBLANK(A883),"",A883&amp;"-R"&amp;TEXT(COUNTIF($A$2:A883,A883),"00"))</f>
        <v/>
      </c>
      <c r="H883" s="15">
        <f>IF(OR(ISBLANK(F883),ISBLANK(G883)),"",VALUE(LEFT(F883,1))*VALUE(LEFT(G883,1)))</f>
        <v/>
      </c>
      <c r="I883" s="12">
        <f>IF(ISBLANK(H883),"",IF(H883&gt;=20,"Critical",IF(H883&gt;=15,"High",IF(H883&gt;=8,"Medium","Low"))))</f>
        <v/>
      </c>
    </row>
    <row r="884">
      <c r="B884">
        <f>IF(ISBLANK(A884),"",A884&amp;"-R"&amp;TEXT(COUNTIF($A$2:A884,A884),"00"))</f>
        <v/>
      </c>
      <c r="H884" s="15">
        <f>IF(OR(ISBLANK(F884),ISBLANK(G884)),"",VALUE(LEFT(F884,1))*VALUE(LEFT(G884,1)))</f>
        <v/>
      </c>
      <c r="I884" s="12">
        <f>IF(ISBLANK(H884),"",IF(H884&gt;=20,"Critical",IF(H884&gt;=15,"High",IF(H884&gt;=8,"Medium","Low"))))</f>
        <v/>
      </c>
    </row>
    <row r="885">
      <c r="B885">
        <f>IF(ISBLANK(A885),"",A885&amp;"-R"&amp;TEXT(COUNTIF($A$2:A885,A885),"00"))</f>
        <v/>
      </c>
      <c r="H885" s="15">
        <f>IF(OR(ISBLANK(F885),ISBLANK(G885)),"",VALUE(LEFT(F885,1))*VALUE(LEFT(G885,1)))</f>
        <v/>
      </c>
      <c r="I885" s="12">
        <f>IF(ISBLANK(H885),"",IF(H885&gt;=20,"Critical",IF(H885&gt;=15,"High",IF(H885&gt;=8,"Medium","Low"))))</f>
        <v/>
      </c>
    </row>
    <row r="886">
      <c r="B886">
        <f>IF(ISBLANK(A886),"",A886&amp;"-R"&amp;TEXT(COUNTIF($A$2:A886,A886),"00"))</f>
        <v/>
      </c>
      <c r="H886" s="15">
        <f>IF(OR(ISBLANK(F886),ISBLANK(G886)),"",VALUE(LEFT(F886,1))*VALUE(LEFT(G886,1)))</f>
        <v/>
      </c>
      <c r="I886" s="12">
        <f>IF(ISBLANK(H886),"",IF(H886&gt;=20,"Critical",IF(H886&gt;=15,"High",IF(H886&gt;=8,"Medium","Low"))))</f>
        <v/>
      </c>
    </row>
    <row r="887">
      <c r="B887">
        <f>IF(ISBLANK(A887),"",A887&amp;"-R"&amp;TEXT(COUNTIF($A$2:A887,A887),"00"))</f>
        <v/>
      </c>
      <c r="H887" s="15">
        <f>IF(OR(ISBLANK(F887),ISBLANK(G887)),"",VALUE(LEFT(F887,1))*VALUE(LEFT(G887,1)))</f>
        <v/>
      </c>
      <c r="I887" s="12">
        <f>IF(ISBLANK(H887),"",IF(H887&gt;=20,"Critical",IF(H887&gt;=15,"High",IF(H887&gt;=8,"Medium","Low"))))</f>
        <v/>
      </c>
    </row>
    <row r="888">
      <c r="B888">
        <f>IF(ISBLANK(A888),"",A888&amp;"-R"&amp;TEXT(COUNTIF($A$2:A888,A888),"00"))</f>
        <v/>
      </c>
      <c r="H888" s="15">
        <f>IF(OR(ISBLANK(F888),ISBLANK(G888)),"",VALUE(LEFT(F888,1))*VALUE(LEFT(G888,1)))</f>
        <v/>
      </c>
      <c r="I888" s="12">
        <f>IF(ISBLANK(H888),"",IF(H888&gt;=20,"Critical",IF(H888&gt;=15,"High",IF(H888&gt;=8,"Medium","Low"))))</f>
        <v/>
      </c>
    </row>
    <row r="889">
      <c r="B889">
        <f>IF(ISBLANK(A889),"",A889&amp;"-R"&amp;TEXT(COUNTIF($A$2:A889,A889),"00"))</f>
        <v/>
      </c>
      <c r="H889" s="15">
        <f>IF(OR(ISBLANK(F889),ISBLANK(G889)),"",VALUE(LEFT(F889,1))*VALUE(LEFT(G889,1)))</f>
        <v/>
      </c>
      <c r="I889" s="12">
        <f>IF(ISBLANK(H889),"",IF(H889&gt;=20,"Critical",IF(H889&gt;=15,"High",IF(H889&gt;=8,"Medium","Low"))))</f>
        <v/>
      </c>
    </row>
    <row r="890">
      <c r="B890">
        <f>IF(ISBLANK(A890),"",A890&amp;"-R"&amp;TEXT(COUNTIF($A$2:A890,A890),"00"))</f>
        <v/>
      </c>
      <c r="H890" s="15">
        <f>IF(OR(ISBLANK(F890),ISBLANK(G890)),"",VALUE(LEFT(F890,1))*VALUE(LEFT(G890,1)))</f>
        <v/>
      </c>
      <c r="I890" s="12">
        <f>IF(ISBLANK(H890),"",IF(H890&gt;=20,"Critical",IF(H890&gt;=15,"High",IF(H890&gt;=8,"Medium","Low"))))</f>
        <v/>
      </c>
    </row>
    <row r="891">
      <c r="B891">
        <f>IF(ISBLANK(A891),"",A891&amp;"-R"&amp;TEXT(COUNTIF($A$2:A891,A891),"00"))</f>
        <v/>
      </c>
      <c r="H891" s="15">
        <f>IF(OR(ISBLANK(F891),ISBLANK(G891)),"",VALUE(LEFT(F891,1))*VALUE(LEFT(G891,1)))</f>
        <v/>
      </c>
      <c r="I891" s="12">
        <f>IF(ISBLANK(H891),"",IF(H891&gt;=20,"Critical",IF(H891&gt;=15,"High",IF(H891&gt;=8,"Medium","Low"))))</f>
        <v/>
      </c>
    </row>
    <row r="892">
      <c r="B892">
        <f>IF(ISBLANK(A892),"",A892&amp;"-R"&amp;TEXT(COUNTIF($A$2:A892,A892),"00"))</f>
        <v/>
      </c>
      <c r="H892" s="15">
        <f>IF(OR(ISBLANK(F892),ISBLANK(G892)),"",VALUE(LEFT(F892,1))*VALUE(LEFT(G892,1)))</f>
        <v/>
      </c>
      <c r="I892" s="12">
        <f>IF(ISBLANK(H892),"",IF(H892&gt;=20,"Critical",IF(H892&gt;=15,"High",IF(H892&gt;=8,"Medium","Low"))))</f>
        <v/>
      </c>
    </row>
    <row r="893">
      <c r="B893">
        <f>IF(ISBLANK(A893),"",A893&amp;"-R"&amp;TEXT(COUNTIF($A$2:A893,A893),"00"))</f>
        <v/>
      </c>
      <c r="H893" s="15">
        <f>IF(OR(ISBLANK(F893),ISBLANK(G893)),"",VALUE(LEFT(F893,1))*VALUE(LEFT(G893,1)))</f>
        <v/>
      </c>
      <c r="I893" s="12">
        <f>IF(ISBLANK(H893),"",IF(H893&gt;=20,"Critical",IF(H893&gt;=15,"High",IF(H893&gt;=8,"Medium","Low"))))</f>
        <v/>
      </c>
    </row>
    <row r="894">
      <c r="B894">
        <f>IF(ISBLANK(A894),"",A894&amp;"-R"&amp;TEXT(COUNTIF($A$2:A894,A894),"00"))</f>
        <v/>
      </c>
      <c r="H894" s="15">
        <f>IF(OR(ISBLANK(F894),ISBLANK(G894)),"",VALUE(LEFT(F894,1))*VALUE(LEFT(G894,1)))</f>
        <v/>
      </c>
      <c r="I894" s="12">
        <f>IF(ISBLANK(H894),"",IF(H894&gt;=20,"Critical",IF(H894&gt;=15,"High",IF(H894&gt;=8,"Medium","Low"))))</f>
        <v/>
      </c>
    </row>
    <row r="895">
      <c r="B895">
        <f>IF(ISBLANK(A895),"",A895&amp;"-R"&amp;TEXT(COUNTIF($A$2:A895,A895),"00"))</f>
        <v/>
      </c>
      <c r="H895" s="15">
        <f>IF(OR(ISBLANK(F895),ISBLANK(G895)),"",VALUE(LEFT(F895,1))*VALUE(LEFT(G895,1)))</f>
        <v/>
      </c>
      <c r="I895" s="12">
        <f>IF(ISBLANK(H895),"",IF(H895&gt;=20,"Critical",IF(H895&gt;=15,"High",IF(H895&gt;=8,"Medium","Low"))))</f>
        <v/>
      </c>
    </row>
    <row r="896">
      <c r="B896">
        <f>IF(ISBLANK(A896),"",A896&amp;"-R"&amp;TEXT(COUNTIF($A$2:A896,A896),"00"))</f>
        <v/>
      </c>
      <c r="H896" s="15">
        <f>IF(OR(ISBLANK(F896),ISBLANK(G896)),"",VALUE(LEFT(F896,1))*VALUE(LEFT(G896,1)))</f>
        <v/>
      </c>
      <c r="I896" s="12">
        <f>IF(ISBLANK(H896),"",IF(H896&gt;=20,"Critical",IF(H896&gt;=15,"High",IF(H896&gt;=8,"Medium","Low"))))</f>
        <v/>
      </c>
    </row>
    <row r="897">
      <c r="B897">
        <f>IF(ISBLANK(A897),"",A897&amp;"-R"&amp;TEXT(COUNTIF($A$2:A897,A897),"00"))</f>
        <v/>
      </c>
      <c r="H897" s="15">
        <f>IF(OR(ISBLANK(F897),ISBLANK(G897)),"",VALUE(LEFT(F897,1))*VALUE(LEFT(G897,1)))</f>
        <v/>
      </c>
      <c r="I897" s="12">
        <f>IF(ISBLANK(H897),"",IF(H897&gt;=20,"Critical",IF(H897&gt;=15,"High",IF(H897&gt;=8,"Medium","Low"))))</f>
        <v/>
      </c>
    </row>
    <row r="898">
      <c r="B898">
        <f>IF(ISBLANK(A898),"",A898&amp;"-R"&amp;TEXT(COUNTIF($A$2:A898,A898),"00"))</f>
        <v/>
      </c>
      <c r="H898" s="15">
        <f>IF(OR(ISBLANK(F898),ISBLANK(G898)),"",VALUE(LEFT(F898,1))*VALUE(LEFT(G898,1)))</f>
        <v/>
      </c>
      <c r="I898" s="12">
        <f>IF(ISBLANK(H898),"",IF(H898&gt;=20,"Critical",IF(H898&gt;=15,"High",IF(H898&gt;=8,"Medium","Low"))))</f>
        <v/>
      </c>
    </row>
    <row r="899">
      <c r="B899">
        <f>IF(ISBLANK(A899),"",A899&amp;"-R"&amp;TEXT(COUNTIF($A$2:A899,A899),"00"))</f>
        <v/>
      </c>
      <c r="H899" s="15">
        <f>IF(OR(ISBLANK(F899),ISBLANK(G899)),"",VALUE(LEFT(F899,1))*VALUE(LEFT(G899,1)))</f>
        <v/>
      </c>
      <c r="I899" s="12">
        <f>IF(ISBLANK(H899),"",IF(H899&gt;=20,"Critical",IF(H899&gt;=15,"High",IF(H899&gt;=8,"Medium","Low"))))</f>
        <v/>
      </c>
    </row>
    <row r="900">
      <c r="B900">
        <f>IF(ISBLANK(A900),"",A900&amp;"-R"&amp;TEXT(COUNTIF($A$2:A900,A900),"00"))</f>
        <v/>
      </c>
      <c r="H900" s="15">
        <f>IF(OR(ISBLANK(F900),ISBLANK(G900)),"",VALUE(LEFT(F900,1))*VALUE(LEFT(G900,1)))</f>
        <v/>
      </c>
      <c r="I900" s="12">
        <f>IF(ISBLANK(H900),"",IF(H900&gt;=20,"Critical",IF(H900&gt;=15,"High",IF(H900&gt;=8,"Medium","Low"))))</f>
        <v/>
      </c>
    </row>
    <row r="901">
      <c r="B901">
        <f>IF(ISBLANK(A901),"",A901&amp;"-R"&amp;TEXT(COUNTIF($A$2:A901,A901),"00"))</f>
        <v/>
      </c>
      <c r="H901" s="15">
        <f>IF(OR(ISBLANK(F901),ISBLANK(G901)),"",VALUE(LEFT(F901,1))*VALUE(LEFT(G901,1)))</f>
        <v/>
      </c>
      <c r="I901" s="12">
        <f>IF(ISBLANK(H901),"",IF(H901&gt;=20,"Critical",IF(H901&gt;=15,"High",IF(H901&gt;=8,"Medium","Low"))))</f>
        <v/>
      </c>
    </row>
    <row r="902">
      <c r="B902">
        <f>IF(ISBLANK(A902),"",A902&amp;"-R"&amp;TEXT(COUNTIF($A$2:A902,A902),"00"))</f>
        <v/>
      </c>
      <c r="H902" s="15">
        <f>IF(OR(ISBLANK(F902),ISBLANK(G902)),"",VALUE(LEFT(F902,1))*VALUE(LEFT(G902,1)))</f>
        <v/>
      </c>
      <c r="I902" s="12">
        <f>IF(ISBLANK(H902),"",IF(H902&gt;=20,"Critical",IF(H902&gt;=15,"High",IF(H902&gt;=8,"Medium","Low"))))</f>
        <v/>
      </c>
    </row>
    <row r="903">
      <c r="B903">
        <f>IF(ISBLANK(A903),"",A903&amp;"-R"&amp;TEXT(COUNTIF($A$2:A903,A903),"00"))</f>
        <v/>
      </c>
      <c r="H903" s="15">
        <f>IF(OR(ISBLANK(F903),ISBLANK(G903)),"",VALUE(LEFT(F903,1))*VALUE(LEFT(G903,1)))</f>
        <v/>
      </c>
      <c r="I903" s="12">
        <f>IF(ISBLANK(H903),"",IF(H903&gt;=20,"Critical",IF(H903&gt;=15,"High",IF(H903&gt;=8,"Medium","Low"))))</f>
        <v/>
      </c>
    </row>
    <row r="904">
      <c r="B904">
        <f>IF(ISBLANK(A904),"",A904&amp;"-R"&amp;TEXT(COUNTIF($A$2:A904,A904),"00"))</f>
        <v/>
      </c>
      <c r="H904" s="15">
        <f>IF(OR(ISBLANK(F904),ISBLANK(G904)),"",VALUE(LEFT(F904,1))*VALUE(LEFT(G904,1)))</f>
        <v/>
      </c>
      <c r="I904" s="12">
        <f>IF(ISBLANK(H904),"",IF(H904&gt;=20,"Critical",IF(H904&gt;=15,"High",IF(H904&gt;=8,"Medium","Low"))))</f>
        <v/>
      </c>
    </row>
    <row r="905">
      <c r="B905">
        <f>IF(ISBLANK(A905),"",A905&amp;"-R"&amp;TEXT(COUNTIF($A$2:A905,A905),"00"))</f>
        <v/>
      </c>
      <c r="H905" s="15">
        <f>IF(OR(ISBLANK(F905),ISBLANK(G905)),"",VALUE(LEFT(F905,1))*VALUE(LEFT(G905,1)))</f>
        <v/>
      </c>
      <c r="I905" s="12">
        <f>IF(ISBLANK(H905),"",IF(H905&gt;=20,"Critical",IF(H905&gt;=15,"High",IF(H905&gt;=8,"Medium","Low"))))</f>
        <v/>
      </c>
    </row>
    <row r="906">
      <c r="B906">
        <f>IF(ISBLANK(A906),"",A906&amp;"-R"&amp;TEXT(COUNTIF($A$2:A906,A906),"00"))</f>
        <v/>
      </c>
      <c r="H906" s="15">
        <f>IF(OR(ISBLANK(F906),ISBLANK(G906)),"",VALUE(LEFT(F906,1))*VALUE(LEFT(G906,1)))</f>
        <v/>
      </c>
      <c r="I906" s="12">
        <f>IF(ISBLANK(H906),"",IF(H906&gt;=20,"Critical",IF(H906&gt;=15,"High",IF(H906&gt;=8,"Medium","Low"))))</f>
        <v/>
      </c>
    </row>
    <row r="907">
      <c r="B907">
        <f>IF(ISBLANK(A907),"",A907&amp;"-R"&amp;TEXT(COUNTIF($A$2:A907,A907),"00"))</f>
        <v/>
      </c>
      <c r="H907" s="15">
        <f>IF(OR(ISBLANK(F907),ISBLANK(G907)),"",VALUE(LEFT(F907,1))*VALUE(LEFT(G907,1)))</f>
        <v/>
      </c>
      <c r="I907" s="12">
        <f>IF(ISBLANK(H907),"",IF(H907&gt;=20,"Critical",IF(H907&gt;=15,"High",IF(H907&gt;=8,"Medium","Low"))))</f>
        <v/>
      </c>
    </row>
    <row r="908">
      <c r="B908">
        <f>IF(ISBLANK(A908),"",A908&amp;"-R"&amp;TEXT(COUNTIF($A$2:A908,A908),"00"))</f>
        <v/>
      </c>
      <c r="H908" s="15">
        <f>IF(OR(ISBLANK(F908),ISBLANK(G908)),"",VALUE(LEFT(F908,1))*VALUE(LEFT(G908,1)))</f>
        <v/>
      </c>
      <c r="I908" s="12">
        <f>IF(ISBLANK(H908),"",IF(H908&gt;=20,"Critical",IF(H908&gt;=15,"High",IF(H908&gt;=8,"Medium","Low"))))</f>
        <v/>
      </c>
    </row>
    <row r="909">
      <c r="B909">
        <f>IF(ISBLANK(A909),"",A909&amp;"-R"&amp;TEXT(COUNTIF($A$2:A909,A909),"00"))</f>
        <v/>
      </c>
      <c r="H909" s="15">
        <f>IF(OR(ISBLANK(F909),ISBLANK(G909)),"",VALUE(LEFT(F909,1))*VALUE(LEFT(G909,1)))</f>
        <v/>
      </c>
      <c r="I909" s="12">
        <f>IF(ISBLANK(H909),"",IF(H909&gt;=20,"Critical",IF(H909&gt;=15,"High",IF(H909&gt;=8,"Medium","Low"))))</f>
        <v/>
      </c>
    </row>
    <row r="910">
      <c r="B910">
        <f>IF(ISBLANK(A910),"",A910&amp;"-R"&amp;TEXT(COUNTIF($A$2:A910,A910),"00"))</f>
        <v/>
      </c>
      <c r="H910" s="15">
        <f>IF(OR(ISBLANK(F910),ISBLANK(G910)),"",VALUE(LEFT(F910,1))*VALUE(LEFT(G910,1)))</f>
        <v/>
      </c>
      <c r="I910" s="12">
        <f>IF(ISBLANK(H910),"",IF(H910&gt;=20,"Critical",IF(H910&gt;=15,"High",IF(H910&gt;=8,"Medium","Low"))))</f>
        <v/>
      </c>
    </row>
    <row r="911">
      <c r="B911">
        <f>IF(ISBLANK(A911),"",A911&amp;"-R"&amp;TEXT(COUNTIF($A$2:A911,A911),"00"))</f>
        <v/>
      </c>
      <c r="H911" s="15">
        <f>IF(OR(ISBLANK(F911),ISBLANK(G911)),"",VALUE(LEFT(F911,1))*VALUE(LEFT(G911,1)))</f>
        <v/>
      </c>
      <c r="I911" s="12">
        <f>IF(ISBLANK(H911),"",IF(H911&gt;=20,"Critical",IF(H911&gt;=15,"High",IF(H911&gt;=8,"Medium","Low"))))</f>
        <v/>
      </c>
    </row>
    <row r="912">
      <c r="B912">
        <f>IF(ISBLANK(A912),"",A912&amp;"-R"&amp;TEXT(COUNTIF($A$2:A912,A912),"00"))</f>
        <v/>
      </c>
      <c r="H912" s="15">
        <f>IF(OR(ISBLANK(F912),ISBLANK(G912)),"",VALUE(LEFT(F912,1))*VALUE(LEFT(G912,1)))</f>
        <v/>
      </c>
      <c r="I912" s="12">
        <f>IF(ISBLANK(H912),"",IF(H912&gt;=20,"Critical",IF(H912&gt;=15,"High",IF(H912&gt;=8,"Medium","Low"))))</f>
        <v/>
      </c>
    </row>
    <row r="913">
      <c r="B913">
        <f>IF(ISBLANK(A913),"",A913&amp;"-R"&amp;TEXT(COUNTIF($A$2:A913,A913),"00"))</f>
        <v/>
      </c>
      <c r="H913" s="15">
        <f>IF(OR(ISBLANK(F913),ISBLANK(G913)),"",VALUE(LEFT(F913,1))*VALUE(LEFT(G913,1)))</f>
        <v/>
      </c>
      <c r="I913" s="12">
        <f>IF(ISBLANK(H913),"",IF(H913&gt;=20,"Critical",IF(H913&gt;=15,"High",IF(H913&gt;=8,"Medium","Low"))))</f>
        <v/>
      </c>
    </row>
    <row r="914">
      <c r="B914">
        <f>IF(ISBLANK(A914),"",A914&amp;"-R"&amp;TEXT(COUNTIF($A$2:A914,A914),"00"))</f>
        <v/>
      </c>
      <c r="H914" s="15">
        <f>IF(OR(ISBLANK(F914),ISBLANK(G914)),"",VALUE(LEFT(F914,1))*VALUE(LEFT(G914,1)))</f>
        <v/>
      </c>
      <c r="I914" s="12">
        <f>IF(ISBLANK(H914),"",IF(H914&gt;=20,"Critical",IF(H914&gt;=15,"High",IF(H914&gt;=8,"Medium","Low"))))</f>
        <v/>
      </c>
    </row>
    <row r="915">
      <c r="B915">
        <f>IF(ISBLANK(A915),"",A915&amp;"-R"&amp;TEXT(COUNTIF($A$2:A915,A915),"00"))</f>
        <v/>
      </c>
      <c r="H915" s="15">
        <f>IF(OR(ISBLANK(F915),ISBLANK(G915)),"",VALUE(LEFT(F915,1))*VALUE(LEFT(G915,1)))</f>
        <v/>
      </c>
      <c r="I915" s="12">
        <f>IF(ISBLANK(H915),"",IF(H915&gt;=20,"Critical",IF(H915&gt;=15,"High",IF(H915&gt;=8,"Medium","Low"))))</f>
        <v/>
      </c>
    </row>
    <row r="916">
      <c r="B916">
        <f>IF(ISBLANK(A916),"",A916&amp;"-R"&amp;TEXT(COUNTIF($A$2:A916,A916),"00"))</f>
        <v/>
      </c>
      <c r="H916" s="15">
        <f>IF(OR(ISBLANK(F916),ISBLANK(G916)),"",VALUE(LEFT(F916,1))*VALUE(LEFT(G916,1)))</f>
        <v/>
      </c>
      <c r="I916" s="12">
        <f>IF(ISBLANK(H916),"",IF(H916&gt;=20,"Critical",IF(H916&gt;=15,"High",IF(H916&gt;=8,"Medium","Low"))))</f>
        <v/>
      </c>
    </row>
    <row r="917">
      <c r="B917">
        <f>IF(ISBLANK(A917),"",A917&amp;"-R"&amp;TEXT(COUNTIF($A$2:A917,A917),"00"))</f>
        <v/>
      </c>
      <c r="H917" s="15">
        <f>IF(OR(ISBLANK(F917),ISBLANK(G917)),"",VALUE(LEFT(F917,1))*VALUE(LEFT(G917,1)))</f>
        <v/>
      </c>
      <c r="I917" s="12">
        <f>IF(ISBLANK(H917),"",IF(H917&gt;=20,"Critical",IF(H917&gt;=15,"High",IF(H917&gt;=8,"Medium","Low"))))</f>
        <v/>
      </c>
    </row>
    <row r="918">
      <c r="B918">
        <f>IF(ISBLANK(A918),"",A918&amp;"-R"&amp;TEXT(COUNTIF($A$2:A918,A918),"00"))</f>
        <v/>
      </c>
      <c r="H918" s="15">
        <f>IF(OR(ISBLANK(F918),ISBLANK(G918)),"",VALUE(LEFT(F918,1))*VALUE(LEFT(G918,1)))</f>
        <v/>
      </c>
      <c r="I918" s="12">
        <f>IF(ISBLANK(H918),"",IF(H918&gt;=20,"Critical",IF(H918&gt;=15,"High",IF(H918&gt;=8,"Medium","Low"))))</f>
        <v/>
      </c>
    </row>
    <row r="919">
      <c r="B919">
        <f>IF(ISBLANK(A919),"",A919&amp;"-R"&amp;TEXT(COUNTIF($A$2:A919,A919),"00"))</f>
        <v/>
      </c>
      <c r="H919" s="15">
        <f>IF(OR(ISBLANK(F919),ISBLANK(G919)),"",VALUE(LEFT(F919,1))*VALUE(LEFT(G919,1)))</f>
        <v/>
      </c>
      <c r="I919" s="12">
        <f>IF(ISBLANK(H919),"",IF(H919&gt;=20,"Critical",IF(H919&gt;=15,"High",IF(H919&gt;=8,"Medium","Low"))))</f>
        <v/>
      </c>
    </row>
    <row r="920">
      <c r="B920">
        <f>IF(ISBLANK(A920),"",A920&amp;"-R"&amp;TEXT(COUNTIF($A$2:A920,A920),"00"))</f>
        <v/>
      </c>
      <c r="H920" s="15">
        <f>IF(OR(ISBLANK(F920),ISBLANK(G920)),"",VALUE(LEFT(F920,1))*VALUE(LEFT(G920,1)))</f>
        <v/>
      </c>
      <c r="I920" s="12">
        <f>IF(ISBLANK(H920),"",IF(H920&gt;=20,"Critical",IF(H920&gt;=15,"High",IF(H920&gt;=8,"Medium","Low"))))</f>
        <v/>
      </c>
    </row>
    <row r="921">
      <c r="B921">
        <f>IF(ISBLANK(A921),"",A921&amp;"-R"&amp;TEXT(COUNTIF($A$2:A921,A921),"00"))</f>
        <v/>
      </c>
      <c r="H921" s="15">
        <f>IF(OR(ISBLANK(F921),ISBLANK(G921)),"",VALUE(LEFT(F921,1))*VALUE(LEFT(G921,1)))</f>
        <v/>
      </c>
      <c r="I921" s="12">
        <f>IF(ISBLANK(H921),"",IF(H921&gt;=20,"Critical",IF(H921&gt;=15,"High",IF(H921&gt;=8,"Medium","Low"))))</f>
        <v/>
      </c>
    </row>
    <row r="922">
      <c r="B922">
        <f>IF(ISBLANK(A922),"",A922&amp;"-R"&amp;TEXT(COUNTIF($A$2:A922,A922),"00"))</f>
        <v/>
      </c>
      <c r="H922" s="15">
        <f>IF(OR(ISBLANK(F922),ISBLANK(G922)),"",VALUE(LEFT(F922,1))*VALUE(LEFT(G922,1)))</f>
        <v/>
      </c>
      <c r="I922" s="12">
        <f>IF(ISBLANK(H922),"",IF(H922&gt;=20,"Critical",IF(H922&gt;=15,"High",IF(H922&gt;=8,"Medium","Low"))))</f>
        <v/>
      </c>
    </row>
    <row r="923">
      <c r="B923">
        <f>IF(ISBLANK(A923),"",A923&amp;"-R"&amp;TEXT(COUNTIF($A$2:A923,A923),"00"))</f>
        <v/>
      </c>
      <c r="H923" s="15">
        <f>IF(OR(ISBLANK(F923),ISBLANK(G923)),"",VALUE(LEFT(F923,1))*VALUE(LEFT(G923,1)))</f>
        <v/>
      </c>
      <c r="I923" s="12">
        <f>IF(ISBLANK(H923),"",IF(H923&gt;=20,"Critical",IF(H923&gt;=15,"High",IF(H923&gt;=8,"Medium","Low"))))</f>
        <v/>
      </c>
    </row>
    <row r="924">
      <c r="B924">
        <f>IF(ISBLANK(A924),"",A924&amp;"-R"&amp;TEXT(COUNTIF($A$2:A924,A924),"00"))</f>
        <v/>
      </c>
      <c r="H924" s="15">
        <f>IF(OR(ISBLANK(F924),ISBLANK(G924)),"",VALUE(LEFT(F924,1))*VALUE(LEFT(G924,1)))</f>
        <v/>
      </c>
      <c r="I924" s="12">
        <f>IF(ISBLANK(H924),"",IF(H924&gt;=20,"Critical",IF(H924&gt;=15,"High",IF(H924&gt;=8,"Medium","Low"))))</f>
        <v/>
      </c>
    </row>
    <row r="925">
      <c r="B925">
        <f>IF(ISBLANK(A925),"",A925&amp;"-R"&amp;TEXT(COUNTIF($A$2:A925,A925),"00"))</f>
        <v/>
      </c>
      <c r="H925" s="15">
        <f>IF(OR(ISBLANK(F925),ISBLANK(G925)),"",VALUE(LEFT(F925,1))*VALUE(LEFT(G925,1)))</f>
        <v/>
      </c>
      <c r="I925" s="12">
        <f>IF(ISBLANK(H925),"",IF(H925&gt;=20,"Critical",IF(H925&gt;=15,"High",IF(H925&gt;=8,"Medium","Low"))))</f>
        <v/>
      </c>
    </row>
    <row r="926">
      <c r="B926">
        <f>IF(ISBLANK(A926),"",A926&amp;"-R"&amp;TEXT(COUNTIF($A$2:A926,A926),"00"))</f>
        <v/>
      </c>
      <c r="H926" s="15">
        <f>IF(OR(ISBLANK(F926),ISBLANK(G926)),"",VALUE(LEFT(F926,1))*VALUE(LEFT(G926,1)))</f>
        <v/>
      </c>
      <c r="I926" s="12">
        <f>IF(ISBLANK(H926),"",IF(H926&gt;=20,"Critical",IF(H926&gt;=15,"High",IF(H926&gt;=8,"Medium","Low"))))</f>
        <v/>
      </c>
    </row>
    <row r="927">
      <c r="B927">
        <f>IF(ISBLANK(A927),"",A927&amp;"-R"&amp;TEXT(COUNTIF($A$2:A927,A927),"00"))</f>
        <v/>
      </c>
      <c r="H927" s="15">
        <f>IF(OR(ISBLANK(F927),ISBLANK(G927)),"",VALUE(LEFT(F927,1))*VALUE(LEFT(G927,1)))</f>
        <v/>
      </c>
      <c r="I927" s="12">
        <f>IF(ISBLANK(H927),"",IF(H927&gt;=20,"Critical",IF(H927&gt;=15,"High",IF(H927&gt;=8,"Medium","Low"))))</f>
        <v/>
      </c>
    </row>
    <row r="928">
      <c r="B928">
        <f>IF(ISBLANK(A928),"",A928&amp;"-R"&amp;TEXT(COUNTIF($A$2:A928,A928),"00"))</f>
        <v/>
      </c>
      <c r="H928" s="15">
        <f>IF(OR(ISBLANK(F928),ISBLANK(G928)),"",VALUE(LEFT(F928,1))*VALUE(LEFT(G928,1)))</f>
        <v/>
      </c>
      <c r="I928" s="12">
        <f>IF(ISBLANK(H928),"",IF(H928&gt;=20,"Critical",IF(H928&gt;=15,"High",IF(H928&gt;=8,"Medium","Low"))))</f>
        <v/>
      </c>
    </row>
    <row r="929">
      <c r="B929">
        <f>IF(ISBLANK(A929),"",A929&amp;"-R"&amp;TEXT(COUNTIF($A$2:A929,A929),"00"))</f>
        <v/>
      </c>
      <c r="H929" s="15">
        <f>IF(OR(ISBLANK(F929),ISBLANK(G929)),"",VALUE(LEFT(F929,1))*VALUE(LEFT(G929,1)))</f>
        <v/>
      </c>
      <c r="I929" s="12">
        <f>IF(ISBLANK(H929),"",IF(H929&gt;=20,"Critical",IF(H929&gt;=15,"High",IF(H929&gt;=8,"Medium","Low"))))</f>
        <v/>
      </c>
    </row>
    <row r="930">
      <c r="B930">
        <f>IF(ISBLANK(A930),"",A930&amp;"-R"&amp;TEXT(COUNTIF($A$2:A930,A930),"00"))</f>
        <v/>
      </c>
      <c r="H930" s="15">
        <f>IF(OR(ISBLANK(F930),ISBLANK(G930)),"",VALUE(LEFT(F930,1))*VALUE(LEFT(G930,1)))</f>
        <v/>
      </c>
      <c r="I930" s="12">
        <f>IF(ISBLANK(H930),"",IF(H930&gt;=20,"Critical",IF(H930&gt;=15,"High",IF(H930&gt;=8,"Medium","Low"))))</f>
        <v/>
      </c>
    </row>
    <row r="931">
      <c r="B931">
        <f>IF(ISBLANK(A931),"",A931&amp;"-R"&amp;TEXT(COUNTIF($A$2:A931,A931),"00"))</f>
        <v/>
      </c>
      <c r="H931" s="15">
        <f>IF(OR(ISBLANK(F931),ISBLANK(G931)),"",VALUE(LEFT(F931,1))*VALUE(LEFT(G931,1)))</f>
        <v/>
      </c>
      <c r="I931" s="12">
        <f>IF(ISBLANK(H931),"",IF(H931&gt;=20,"Critical",IF(H931&gt;=15,"High",IF(H931&gt;=8,"Medium","Low"))))</f>
        <v/>
      </c>
    </row>
    <row r="932">
      <c r="B932">
        <f>IF(ISBLANK(A932),"",A932&amp;"-R"&amp;TEXT(COUNTIF($A$2:A932,A932),"00"))</f>
        <v/>
      </c>
      <c r="H932" s="15">
        <f>IF(OR(ISBLANK(F932),ISBLANK(G932)),"",VALUE(LEFT(F932,1))*VALUE(LEFT(G932,1)))</f>
        <v/>
      </c>
      <c r="I932" s="12">
        <f>IF(ISBLANK(H932),"",IF(H932&gt;=20,"Critical",IF(H932&gt;=15,"High",IF(H932&gt;=8,"Medium","Low"))))</f>
        <v/>
      </c>
    </row>
    <row r="933">
      <c r="B933">
        <f>IF(ISBLANK(A933),"",A933&amp;"-R"&amp;TEXT(COUNTIF($A$2:A933,A933),"00"))</f>
        <v/>
      </c>
      <c r="H933" s="15">
        <f>IF(OR(ISBLANK(F933),ISBLANK(G933)),"",VALUE(LEFT(F933,1))*VALUE(LEFT(G933,1)))</f>
        <v/>
      </c>
      <c r="I933" s="12">
        <f>IF(ISBLANK(H933),"",IF(H933&gt;=20,"Critical",IF(H933&gt;=15,"High",IF(H933&gt;=8,"Medium","Low"))))</f>
        <v/>
      </c>
    </row>
    <row r="934">
      <c r="B934">
        <f>IF(ISBLANK(A934),"",A934&amp;"-R"&amp;TEXT(COUNTIF($A$2:A934,A934),"00"))</f>
        <v/>
      </c>
      <c r="H934" s="15">
        <f>IF(OR(ISBLANK(F934),ISBLANK(G934)),"",VALUE(LEFT(F934,1))*VALUE(LEFT(G934,1)))</f>
        <v/>
      </c>
      <c r="I934" s="12">
        <f>IF(ISBLANK(H934),"",IF(H934&gt;=20,"Critical",IF(H934&gt;=15,"High",IF(H934&gt;=8,"Medium","Low"))))</f>
        <v/>
      </c>
    </row>
    <row r="935">
      <c r="B935">
        <f>IF(ISBLANK(A935),"",A935&amp;"-R"&amp;TEXT(COUNTIF($A$2:A935,A935),"00"))</f>
        <v/>
      </c>
      <c r="H935" s="15">
        <f>IF(OR(ISBLANK(F935),ISBLANK(G935)),"",VALUE(LEFT(F935,1))*VALUE(LEFT(G935,1)))</f>
        <v/>
      </c>
      <c r="I935" s="12">
        <f>IF(ISBLANK(H935),"",IF(H935&gt;=20,"Critical",IF(H935&gt;=15,"High",IF(H935&gt;=8,"Medium","Low"))))</f>
        <v/>
      </c>
    </row>
    <row r="936">
      <c r="B936">
        <f>IF(ISBLANK(A936),"",A936&amp;"-R"&amp;TEXT(COUNTIF($A$2:A936,A936),"00"))</f>
        <v/>
      </c>
      <c r="H936" s="15">
        <f>IF(OR(ISBLANK(F936),ISBLANK(G936)),"",VALUE(LEFT(F936,1))*VALUE(LEFT(G936,1)))</f>
        <v/>
      </c>
      <c r="I936" s="12">
        <f>IF(ISBLANK(H936),"",IF(H936&gt;=20,"Critical",IF(H936&gt;=15,"High",IF(H936&gt;=8,"Medium","Low"))))</f>
        <v/>
      </c>
    </row>
    <row r="937">
      <c r="B937">
        <f>IF(ISBLANK(A937),"",A937&amp;"-R"&amp;TEXT(COUNTIF($A$2:A937,A937),"00"))</f>
        <v/>
      </c>
      <c r="H937" s="15">
        <f>IF(OR(ISBLANK(F937),ISBLANK(G937)),"",VALUE(LEFT(F937,1))*VALUE(LEFT(G937,1)))</f>
        <v/>
      </c>
      <c r="I937" s="12">
        <f>IF(ISBLANK(H937),"",IF(H937&gt;=20,"Critical",IF(H937&gt;=15,"High",IF(H937&gt;=8,"Medium","Low"))))</f>
        <v/>
      </c>
    </row>
    <row r="938">
      <c r="B938">
        <f>IF(ISBLANK(A938),"",A938&amp;"-R"&amp;TEXT(COUNTIF($A$2:A938,A938),"00"))</f>
        <v/>
      </c>
      <c r="H938" s="15">
        <f>IF(OR(ISBLANK(F938),ISBLANK(G938)),"",VALUE(LEFT(F938,1))*VALUE(LEFT(G938,1)))</f>
        <v/>
      </c>
      <c r="I938" s="12">
        <f>IF(ISBLANK(H938),"",IF(H938&gt;=20,"Critical",IF(H938&gt;=15,"High",IF(H938&gt;=8,"Medium","Low"))))</f>
        <v/>
      </c>
    </row>
    <row r="939">
      <c r="B939">
        <f>IF(ISBLANK(A939),"",A939&amp;"-R"&amp;TEXT(COUNTIF($A$2:A939,A939),"00"))</f>
        <v/>
      </c>
      <c r="H939" s="15">
        <f>IF(OR(ISBLANK(F939),ISBLANK(G939)),"",VALUE(LEFT(F939,1))*VALUE(LEFT(G939,1)))</f>
        <v/>
      </c>
      <c r="I939" s="12">
        <f>IF(ISBLANK(H939),"",IF(H939&gt;=20,"Critical",IF(H939&gt;=15,"High",IF(H939&gt;=8,"Medium","Low"))))</f>
        <v/>
      </c>
    </row>
    <row r="940">
      <c r="B940">
        <f>IF(ISBLANK(A940),"",A940&amp;"-R"&amp;TEXT(COUNTIF($A$2:A940,A940),"00"))</f>
        <v/>
      </c>
      <c r="H940" s="15">
        <f>IF(OR(ISBLANK(F940),ISBLANK(G940)),"",VALUE(LEFT(F940,1))*VALUE(LEFT(G940,1)))</f>
        <v/>
      </c>
      <c r="I940" s="12">
        <f>IF(ISBLANK(H940),"",IF(H940&gt;=20,"Critical",IF(H940&gt;=15,"High",IF(H940&gt;=8,"Medium","Low"))))</f>
        <v/>
      </c>
    </row>
    <row r="941">
      <c r="B941">
        <f>IF(ISBLANK(A941),"",A941&amp;"-R"&amp;TEXT(COUNTIF($A$2:A941,A941),"00"))</f>
        <v/>
      </c>
      <c r="H941" s="15">
        <f>IF(OR(ISBLANK(F941),ISBLANK(G941)),"",VALUE(LEFT(F941,1))*VALUE(LEFT(G941,1)))</f>
        <v/>
      </c>
      <c r="I941" s="12">
        <f>IF(ISBLANK(H941),"",IF(H941&gt;=20,"Critical",IF(H941&gt;=15,"High",IF(H941&gt;=8,"Medium","Low"))))</f>
        <v/>
      </c>
    </row>
    <row r="942">
      <c r="B942">
        <f>IF(ISBLANK(A942),"",A942&amp;"-R"&amp;TEXT(COUNTIF($A$2:A942,A942),"00"))</f>
        <v/>
      </c>
      <c r="H942" s="15">
        <f>IF(OR(ISBLANK(F942),ISBLANK(G942)),"",VALUE(LEFT(F942,1))*VALUE(LEFT(G942,1)))</f>
        <v/>
      </c>
      <c r="I942" s="12">
        <f>IF(ISBLANK(H942),"",IF(H942&gt;=20,"Critical",IF(H942&gt;=15,"High",IF(H942&gt;=8,"Medium","Low"))))</f>
        <v/>
      </c>
    </row>
    <row r="943">
      <c r="B943">
        <f>IF(ISBLANK(A943),"",A943&amp;"-R"&amp;TEXT(COUNTIF($A$2:A943,A943),"00"))</f>
        <v/>
      </c>
      <c r="H943" s="15">
        <f>IF(OR(ISBLANK(F943),ISBLANK(G943)),"",VALUE(LEFT(F943,1))*VALUE(LEFT(G943,1)))</f>
        <v/>
      </c>
      <c r="I943" s="12">
        <f>IF(ISBLANK(H943),"",IF(H943&gt;=20,"Critical",IF(H943&gt;=15,"High",IF(H943&gt;=8,"Medium","Low"))))</f>
        <v/>
      </c>
    </row>
    <row r="944">
      <c r="B944">
        <f>IF(ISBLANK(A944),"",A944&amp;"-R"&amp;TEXT(COUNTIF($A$2:A944,A944),"00"))</f>
        <v/>
      </c>
      <c r="H944" s="15">
        <f>IF(OR(ISBLANK(F944),ISBLANK(G944)),"",VALUE(LEFT(F944,1))*VALUE(LEFT(G944,1)))</f>
        <v/>
      </c>
      <c r="I944" s="12">
        <f>IF(ISBLANK(H944),"",IF(H944&gt;=20,"Critical",IF(H944&gt;=15,"High",IF(H944&gt;=8,"Medium","Low"))))</f>
        <v/>
      </c>
    </row>
    <row r="945">
      <c r="B945">
        <f>IF(ISBLANK(A945),"",A945&amp;"-R"&amp;TEXT(COUNTIF($A$2:A945,A945),"00"))</f>
        <v/>
      </c>
      <c r="H945" s="15">
        <f>IF(OR(ISBLANK(F945),ISBLANK(G945)),"",VALUE(LEFT(F945,1))*VALUE(LEFT(G945,1)))</f>
        <v/>
      </c>
      <c r="I945" s="12">
        <f>IF(ISBLANK(H945),"",IF(H945&gt;=20,"Critical",IF(H945&gt;=15,"High",IF(H945&gt;=8,"Medium","Low"))))</f>
        <v/>
      </c>
    </row>
    <row r="946">
      <c r="B946">
        <f>IF(ISBLANK(A946),"",A946&amp;"-R"&amp;TEXT(COUNTIF($A$2:A946,A946),"00"))</f>
        <v/>
      </c>
      <c r="H946" s="15">
        <f>IF(OR(ISBLANK(F946),ISBLANK(G946)),"",VALUE(LEFT(F946,1))*VALUE(LEFT(G946,1)))</f>
        <v/>
      </c>
      <c r="I946" s="12">
        <f>IF(ISBLANK(H946),"",IF(H946&gt;=20,"Critical",IF(H946&gt;=15,"High",IF(H946&gt;=8,"Medium","Low"))))</f>
        <v/>
      </c>
    </row>
    <row r="947">
      <c r="B947">
        <f>IF(ISBLANK(A947),"",A947&amp;"-R"&amp;TEXT(COUNTIF($A$2:A947,A947),"00"))</f>
        <v/>
      </c>
      <c r="H947" s="15">
        <f>IF(OR(ISBLANK(F947),ISBLANK(G947)),"",VALUE(LEFT(F947,1))*VALUE(LEFT(G947,1)))</f>
        <v/>
      </c>
      <c r="I947" s="12">
        <f>IF(ISBLANK(H947),"",IF(H947&gt;=20,"Critical",IF(H947&gt;=15,"High",IF(H947&gt;=8,"Medium","Low"))))</f>
        <v/>
      </c>
    </row>
    <row r="948">
      <c r="B948">
        <f>IF(ISBLANK(A948),"",A948&amp;"-R"&amp;TEXT(COUNTIF($A$2:A948,A948),"00"))</f>
        <v/>
      </c>
      <c r="H948" s="15">
        <f>IF(OR(ISBLANK(F948),ISBLANK(G948)),"",VALUE(LEFT(F948,1))*VALUE(LEFT(G948,1)))</f>
        <v/>
      </c>
      <c r="I948" s="12">
        <f>IF(ISBLANK(H948),"",IF(H948&gt;=20,"Critical",IF(H948&gt;=15,"High",IF(H948&gt;=8,"Medium","Low"))))</f>
        <v/>
      </c>
    </row>
    <row r="949">
      <c r="B949">
        <f>IF(ISBLANK(A949),"",A949&amp;"-R"&amp;TEXT(COUNTIF($A$2:A949,A949),"00"))</f>
        <v/>
      </c>
      <c r="H949" s="15">
        <f>IF(OR(ISBLANK(F949),ISBLANK(G949)),"",VALUE(LEFT(F949,1))*VALUE(LEFT(G949,1)))</f>
        <v/>
      </c>
      <c r="I949" s="12">
        <f>IF(ISBLANK(H949),"",IF(H949&gt;=20,"Critical",IF(H949&gt;=15,"High",IF(H949&gt;=8,"Medium","Low"))))</f>
        <v/>
      </c>
    </row>
    <row r="950">
      <c r="B950">
        <f>IF(ISBLANK(A950),"",A950&amp;"-R"&amp;TEXT(COUNTIF($A$2:A950,A950),"00"))</f>
        <v/>
      </c>
      <c r="H950" s="15">
        <f>IF(OR(ISBLANK(F950),ISBLANK(G950)),"",VALUE(LEFT(F950,1))*VALUE(LEFT(G950,1)))</f>
        <v/>
      </c>
      <c r="I950" s="12">
        <f>IF(ISBLANK(H950),"",IF(H950&gt;=20,"Critical",IF(H950&gt;=15,"High",IF(H950&gt;=8,"Medium","Low"))))</f>
        <v/>
      </c>
    </row>
    <row r="951">
      <c r="B951">
        <f>IF(ISBLANK(A951),"",A951&amp;"-R"&amp;TEXT(COUNTIF($A$2:A951,A951),"00"))</f>
        <v/>
      </c>
      <c r="H951" s="15">
        <f>IF(OR(ISBLANK(F951),ISBLANK(G951)),"",VALUE(LEFT(F951,1))*VALUE(LEFT(G951,1)))</f>
        <v/>
      </c>
      <c r="I951" s="12">
        <f>IF(ISBLANK(H951),"",IF(H951&gt;=20,"Critical",IF(H951&gt;=15,"High",IF(H951&gt;=8,"Medium","Low"))))</f>
        <v/>
      </c>
    </row>
    <row r="952">
      <c r="B952">
        <f>IF(ISBLANK(A952),"",A952&amp;"-R"&amp;TEXT(COUNTIF($A$2:A952,A952),"00"))</f>
        <v/>
      </c>
      <c r="H952" s="15">
        <f>IF(OR(ISBLANK(F952),ISBLANK(G952)),"",VALUE(LEFT(F952,1))*VALUE(LEFT(G952,1)))</f>
        <v/>
      </c>
      <c r="I952" s="12">
        <f>IF(ISBLANK(H952),"",IF(H952&gt;=20,"Critical",IF(H952&gt;=15,"High",IF(H952&gt;=8,"Medium","Low"))))</f>
        <v/>
      </c>
    </row>
    <row r="953">
      <c r="B953">
        <f>IF(ISBLANK(A953),"",A953&amp;"-R"&amp;TEXT(COUNTIF($A$2:A953,A953),"00"))</f>
        <v/>
      </c>
      <c r="H953" s="15">
        <f>IF(OR(ISBLANK(F953),ISBLANK(G953)),"",VALUE(LEFT(F953,1))*VALUE(LEFT(G953,1)))</f>
        <v/>
      </c>
      <c r="I953" s="12">
        <f>IF(ISBLANK(H953),"",IF(H953&gt;=20,"Critical",IF(H953&gt;=15,"High",IF(H953&gt;=8,"Medium","Low"))))</f>
        <v/>
      </c>
    </row>
    <row r="954">
      <c r="B954">
        <f>IF(ISBLANK(A954),"",A954&amp;"-R"&amp;TEXT(COUNTIF($A$2:A954,A954),"00"))</f>
        <v/>
      </c>
      <c r="H954" s="15">
        <f>IF(OR(ISBLANK(F954),ISBLANK(G954)),"",VALUE(LEFT(F954,1))*VALUE(LEFT(G954,1)))</f>
        <v/>
      </c>
      <c r="I954" s="12">
        <f>IF(ISBLANK(H954),"",IF(H954&gt;=20,"Critical",IF(H954&gt;=15,"High",IF(H954&gt;=8,"Medium","Low"))))</f>
        <v/>
      </c>
    </row>
    <row r="955">
      <c r="B955">
        <f>IF(ISBLANK(A955),"",A955&amp;"-R"&amp;TEXT(COUNTIF($A$2:A955,A955),"00"))</f>
        <v/>
      </c>
      <c r="H955" s="15">
        <f>IF(OR(ISBLANK(F955),ISBLANK(G955)),"",VALUE(LEFT(F955,1))*VALUE(LEFT(G955,1)))</f>
        <v/>
      </c>
      <c r="I955" s="12">
        <f>IF(ISBLANK(H955),"",IF(H955&gt;=20,"Critical",IF(H955&gt;=15,"High",IF(H955&gt;=8,"Medium","Low"))))</f>
        <v/>
      </c>
    </row>
    <row r="956">
      <c r="B956">
        <f>IF(ISBLANK(A956),"",A956&amp;"-R"&amp;TEXT(COUNTIF($A$2:A956,A956),"00"))</f>
        <v/>
      </c>
      <c r="H956" s="15">
        <f>IF(OR(ISBLANK(F956),ISBLANK(G956)),"",VALUE(LEFT(F956,1))*VALUE(LEFT(G956,1)))</f>
        <v/>
      </c>
      <c r="I956" s="12">
        <f>IF(ISBLANK(H956),"",IF(H956&gt;=20,"Critical",IF(H956&gt;=15,"High",IF(H956&gt;=8,"Medium","Low"))))</f>
        <v/>
      </c>
    </row>
    <row r="957">
      <c r="B957">
        <f>IF(ISBLANK(A957),"",A957&amp;"-R"&amp;TEXT(COUNTIF($A$2:A957,A957),"00"))</f>
        <v/>
      </c>
      <c r="H957" s="15">
        <f>IF(OR(ISBLANK(F957),ISBLANK(G957)),"",VALUE(LEFT(F957,1))*VALUE(LEFT(G957,1)))</f>
        <v/>
      </c>
      <c r="I957" s="12">
        <f>IF(ISBLANK(H957),"",IF(H957&gt;=20,"Critical",IF(H957&gt;=15,"High",IF(H957&gt;=8,"Medium","Low"))))</f>
        <v/>
      </c>
    </row>
    <row r="958">
      <c r="B958">
        <f>IF(ISBLANK(A958),"",A958&amp;"-R"&amp;TEXT(COUNTIF($A$2:A958,A958),"00"))</f>
        <v/>
      </c>
      <c r="H958" s="15">
        <f>IF(OR(ISBLANK(F958),ISBLANK(G958)),"",VALUE(LEFT(F958,1))*VALUE(LEFT(G958,1)))</f>
        <v/>
      </c>
      <c r="I958" s="12">
        <f>IF(ISBLANK(H958),"",IF(H958&gt;=20,"Critical",IF(H958&gt;=15,"High",IF(H958&gt;=8,"Medium","Low"))))</f>
        <v/>
      </c>
    </row>
    <row r="959">
      <c r="B959">
        <f>IF(ISBLANK(A959),"",A959&amp;"-R"&amp;TEXT(COUNTIF($A$2:A959,A959),"00"))</f>
        <v/>
      </c>
      <c r="H959" s="15">
        <f>IF(OR(ISBLANK(F959),ISBLANK(G959)),"",VALUE(LEFT(F959,1))*VALUE(LEFT(G959,1)))</f>
        <v/>
      </c>
      <c r="I959" s="12">
        <f>IF(ISBLANK(H959),"",IF(H959&gt;=20,"Critical",IF(H959&gt;=15,"High",IF(H959&gt;=8,"Medium","Low"))))</f>
        <v/>
      </c>
    </row>
    <row r="960">
      <c r="B960">
        <f>IF(ISBLANK(A960),"",A960&amp;"-R"&amp;TEXT(COUNTIF($A$2:A960,A960),"00"))</f>
        <v/>
      </c>
      <c r="H960" s="15">
        <f>IF(OR(ISBLANK(F960),ISBLANK(G960)),"",VALUE(LEFT(F960,1))*VALUE(LEFT(G960,1)))</f>
        <v/>
      </c>
      <c r="I960" s="12">
        <f>IF(ISBLANK(H960),"",IF(H960&gt;=20,"Critical",IF(H960&gt;=15,"High",IF(H960&gt;=8,"Medium","Low"))))</f>
        <v/>
      </c>
    </row>
    <row r="961">
      <c r="B961">
        <f>IF(ISBLANK(A961),"",A961&amp;"-R"&amp;TEXT(COUNTIF($A$2:A961,A961),"00"))</f>
        <v/>
      </c>
      <c r="H961" s="15">
        <f>IF(OR(ISBLANK(F961),ISBLANK(G961)),"",VALUE(LEFT(F961,1))*VALUE(LEFT(G961,1)))</f>
        <v/>
      </c>
      <c r="I961" s="12">
        <f>IF(ISBLANK(H961),"",IF(H961&gt;=20,"Critical",IF(H961&gt;=15,"High",IF(H961&gt;=8,"Medium","Low"))))</f>
        <v/>
      </c>
    </row>
    <row r="962">
      <c r="B962">
        <f>IF(ISBLANK(A962),"",A962&amp;"-R"&amp;TEXT(COUNTIF($A$2:A962,A962),"00"))</f>
        <v/>
      </c>
      <c r="H962" s="15">
        <f>IF(OR(ISBLANK(F962),ISBLANK(G962)),"",VALUE(LEFT(F962,1))*VALUE(LEFT(G962,1)))</f>
        <v/>
      </c>
      <c r="I962" s="12">
        <f>IF(ISBLANK(H962),"",IF(H962&gt;=20,"Critical",IF(H962&gt;=15,"High",IF(H962&gt;=8,"Medium","Low"))))</f>
        <v/>
      </c>
    </row>
    <row r="963">
      <c r="B963">
        <f>IF(ISBLANK(A963),"",A963&amp;"-R"&amp;TEXT(COUNTIF($A$2:A963,A963),"00"))</f>
        <v/>
      </c>
      <c r="H963" s="15">
        <f>IF(OR(ISBLANK(F963),ISBLANK(G963)),"",VALUE(LEFT(F963,1))*VALUE(LEFT(G963,1)))</f>
        <v/>
      </c>
      <c r="I963" s="12">
        <f>IF(ISBLANK(H963),"",IF(H963&gt;=20,"Critical",IF(H963&gt;=15,"High",IF(H963&gt;=8,"Medium","Low"))))</f>
        <v/>
      </c>
    </row>
    <row r="964">
      <c r="B964">
        <f>IF(ISBLANK(A964),"",A964&amp;"-R"&amp;TEXT(COUNTIF($A$2:A964,A964),"00"))</f>
        <v/>
      </c>
      <c r="H964" s="15">
        <f>IF(OR(ISBLANK(F964),ISBLANK(G964)),"",VALUE(LEFT(F964,1))*VALUE(LEFT(G964,1)))</f>
        <v/>
      </c>
      <c r="I964" s="12">
        <f>IF(ISBLANK(H964),"",IF(H964&gt;=20,"Critical",IF(H964&gt;=15,"High",IF(H964&gt;=8,"Medium","Low"))))</f>
        <v/>
      </c>
    </row>
    <row r="965">
      <c r="B965">
        <f>IF(ISBLANK(A965),"",A965&amp;"-R"&amp;TEXT(COUNTIF($A$2:A965,A965),"00"))</f>
        <v/>
      </c>
      <c r="H965" s="15">
        <f>IF(OR(ISBLANK(F965),ISBLANK(G965)),"",VALUE(LEFT(F965,1))*VALUE(LEFT(G965,1)))</f>
        <v/>
      </c>
      <c r="I965" s="12">
        <f>IF(ISBLANK(H965),"",IF(H965&gt;=20,"Critical",IF(H965&gt;=15,"High",IF(H965&gt;=8,"Medium","Low"))))</f>
        <v/>
      </c>
    </row>
    <row r="966">
      <c r="B966">
        <f>IF(ISBLANK(A966),"",A966&amp;"-R"&amp;TEXT(COUNTIF($A$2:A966,A966),"00"))</f>
        <v/>
      </c>
      <c r="H966" s="15">
        <f>IF(OR(ISBLANK(F966),ISBLANK(G966)),"",VALUE(LEFT(F966,1))*VALUE(LEFT(G966,1)))</f>
        <v/>
      </c>
      <c r="I966" s="12">
        <f>IF(ISBLANK(H966),"",IF(H966&gt;=20,"Critical",IF(H966&gt;=15,"High",IF(H966&gt;=8,"Medium","Low"))))</f>
        <v/>
      </c>
    </row>
    <row r="967">
      <c r="B967">
        <f>IF(ISBLANK(A967),"",A967&amp;"-R"&amp;TEXT(COUNTIF($A$2:A967,A967),"00"))</f>
        <v/>
      </c>
      <c r="H967" s="15">
        <f>IF(OR(ISBLANK(F967),ISBLANK(G967)),"",VALUE(LEFT(F967,1))*VALUE(LEFT(G967,1)))</f>
        <v/>
      </c>
      <c r="I967" s="12">
        <f>IF(ISBLANK(H967),"",IF(H967&gt;=20,"Critical",IF(H967&gt;=15,"High",IF(H967&gt;=8,"Medium","Low"))))</f>
        <v/>
      </c>
    </row>
    <row r="968">
      <c r="B968">
        <f>IF(ISBLANK(A968),"",A968&amp;"-R"&amp;TEXT(COUNTIF($A$2:A968,A968),"00"))</f>
        <v/>
      </c>
      <c r="H968" s="15">
        <f>IF(OR(ISBLANK(F968),ISBLANK(G968)),"",VALUE(LEFT(F968,1))*VALUE(LEFT(G968,1)))</f>
        <v/>
      </c>
      <c r="I968" s="12">
        <f>IF(ISBLANK(H968),"",IF(H968&gt;=20,"Critical",IF(H968&gt;=15,"High",IF(H968&gt;=8,"Medium","Low"))))</f>
        <v/>
      </c>
    </row>
    <row r="969">
      <c r="B969">
        <f>IF(ISBLANK(A969),"",A969&amp;"-R"&amp;TEXT(COUNTIF($A$2:A969,A969),"00"))</f>
        <v/>
      </c>
      <c r="H969" s="15">
        <f>IF(OR(ISBLANK(F969),ISBLANK(G969)),"",VALUE(LEFT(F969,1))*VALUE(LEFT(G969,1)))</f>
        <v/>
      </c>
      <c r="I969" s="12">
        <f>IF(ISBLANK(H969),"",IF(H969&gt;=20,"Critical",IF(H969&gt;=15,"High",IF(H969&gt;=8,"Medium","Low"))))</f>
        <v/>
      </c>
    </row>
    <row r="970">
      <c r="B970">
        <f>IF(ISBLANK(A970),"",A970&amp;"-R"&amp;TEXT(COUNTIF($A$2:A970,A970),"00"))</f>
        <v/>
      </c>
      <c r="H970" s="15">
        <f>IF(OR(ISBLANK(F970),ISBLANK(G970)),"",VALUE(LEFT(F970,1))*VALUE(LEFT(G970,1)))</f>
        <v/>
      </c>
      <c r="I970" s="12">
        <f>IF(ISBLANK(H970),"",IF(H970&gt;=20,"Critical",IF(H970&gt;=15,"High",IF(H970&gt;=8,"Medium","Low"))))</f>
        <v/>
      </c>
    </row>
    <row r="971">
      <c r="B971">
        <f>IF(ISBLANK(A971),"",A971&amp;"-R"&amp;TEXT(COUNTIF($A$2:A971,A971),"00"))</f>
        <v/>
      </c>
      <c r="H971" s="15">
        <f>IF(OR(ISBLANK(F971),ISBLANK(G971)),"",VALUE(LEFT(F971,1))*VALUE(LEFT(G971,1)))</f>
        <v/>
      </c>
      <c r="I971" s="12">
        <f>IF(ISBLANK(H971),"",IF(H971&gt;=20,"Critical",IF(H971&gt;=15,"High",IF(H971&gt;=8,"Medium","Low"))))</f>
        <v/>
      </c>
    </row>
    <row r="972">
      <c r="B972">
        <f>IF(ISBLANK(A972),"",A972&amp;"-R"&amp;TEXT(COUNTIF($A$2:A972,A972),"00"))</f>
        <v/>
      </c>
      <c r="H972" s="15">
        <f>IF(OR(ISBLANK(F972),ISBLANK(G972)),"",VALUE(LEFT(F972,1))*VALUE(LEFT(G972,1)))</f>
        <v/>
      </c>
      <c r="I972" s="12">
        <f>IF(ISBLANK(H972),"",IF(H972&gt;=20,"Critical",IF(H972&gt;=15,"High",IF(H972&gt;=8,"Medium","Low"))))</f>
        <v/>
      </c>
    </row>
    <row r="973">
      <c r="B973">
        <f>IF(ISBLANK(A973),"",A973&amp;"-R"&amp;TEXT(COUNTIF($A$2:A973,A973),"00"))</f>
        <v/>
      </c>
      <c r="H973" s="15">
        <f>IF(OR(ISBLANK(F973),ISBLANK(G973)),"",VALUE(LEFT(F973,1))*VALUE(LEFT(G973,1)))</f>
        <v/>
      </c>
      <c r="I973" s="12">
        <f>IF(ISBLANK(H973),"",IF(H973&gt;=20,"Critical",IF(H973&gt;=15,"High",IF(H973&gt;=8,"Medium","Low"))))</f>
        <v/>
      </c>
    </row>
    <row r="974">
      <c r="B974">
        <f>IF(ISBLANK(A974),"",A974&amp;"-R"&amp;TEXT(COUNTIF($A$2:A974,A974),"00"))</f>
        <v/>
      </c>
      <c r="H974" s="15">
        <f>IF(OR(ISBLANK(F974),ISBLANK(G974)),"",VALUE(LEFT(F974,1))*VALUE(LEFT(G974,1)))</f>
        <v/>
      </c>
      <c r="I974" s="12">
        <f>IF(ISBLANK(H974),"",IF(H974&gt;=20,"Critical",IF(H974&gt;=15,"High",IF(H974&gt;=8,"Medium","Low"))))</f>
        <v/>
      </c>
    </row>
    <row r="975">
      <c r="B975">
        <f>IF(ISBLANK(A975),"",A975&amp;"-R"&amp;TEXT(COUNTIF($A$2:A975,A975),"00"))</f>
        <v/>
      </c>
      <c r="H975" s="15">
        <f>IF(OR(ISBLANK(F975),ISBLANK(G975)),"",VALUE(LEFT(F975,1))*VALUE(LEFT(G975,1)))</f>
        <v/>
      </c>
      <c r="I975" s="12">
        <f>IF(ISBLANK(H975),"",IF(H975&gt;=20,"Critical",IF(H975&gt;=15,"High",IF(H975&gt;=8,"Medium","Low"))))</f>
        <v/>
      </c>
    </row>
    <row r="976">
      <c r="B976">
        <f>IF(ISBLANK(A976),"",A976&amp;"-R"&amp;TEXT(COUNTIF($A$2:A976,A976),"00"))</f>
        <v/>
      </c>
      <c r="H976" s="15">
        <f>IF(OR(ISBLANK(F976),ISBLANK(G976)),"",VALUE(LEFT(F976,1))*VALUE(LEFT(G976,1)))</f>
        <v/>
      </c>
      <c r="I976" s="12">
        <f>IF(ISBLANK(H976),"",IF(H976&gt;=20,"Critical",IF(H976&gt;=15,"High",IF(H976&gt;=8,"Medium","Low"))))</f>
        <v/>
      </c>
    </row>
    <row r="977">
      <c r="B977">
        <f>IF(ISBLANK(A977),"",A977&amp;"-R"&amp;TEXT(COUNTIF($A$2:A977,A977),"00"))</f>
        <v/>
      </c>
      <c r="H977" s="15">
        <f>IF(OR(ISBLANK(F977),ISBLANK(G977)),"",VALUE(LEFT(F977,1))*VALUE(LEFT(G977,1)))</f>
        <v/>
      </c>
      <c r="I977" s="12">
        <f>IF(ISBLANK(H977),"",IF(H977&gt;=20,"Critical",IF(H977&gt;=15,"High",IF(H977&gt;=8,"Medium","Low"))))</f>
        <v/>
      </c>
    </row>
    <row r="978">
      <c r="B978">
        <f>IF(ISBLANK(A978),"",A978&amp;"-R"&amp;TEXT(COUNTIF($A$2:A978,A978),"00"))</f>
        <v/>
      </c>
      <c r="H978" s="15">
        <f>IF(OR(ISBLANK(F978),ISBLANK(G978)),"",VALUE(LEFT(F978,1))*VALUE(LEFT(G978,1)))</f>
        <v/>
      </c>
      <c r="I978" s="12">
        <f>IF(ISBLANK(H978),"",IF(H978&gt;=20,"Critical",IF(H978&gt;=15,"High",IF(H978&gt;=8,"Medium","Low"))))</f>
        <v/>
      </c>
    </row>
    <row r="979">
      <c r="B979">
        <f>IF(ISBLANK(A979),"",A979&amp;"-R"&amp;TEXT(COUNTIF($A$2:A979,A979),"00"))</f>
        <v/>
      </c>
      <c r="H979" s="15">
        <f>IF(OR(ISBLANK(F979),ISBLANK(G979)),"",VALUE(LEFT(F979,1))*VALUE(LEFT(G979,1)))</f>
        <v/>
      </c>
      <c r="I979" s="12">
        <f>IF(ISBLANK(H979),"",IF(H979&gt;=20,"Critical",IF(H979&gt;=15,"High",IF(H979&gt;=8,"Medium","Low"))))</f>
        <v/>
      </c>
    </row>
    <row r="980">
      <c r="B980">
        <f>IF(ISBLANK(A980),"",A980&amp;"-R"&amp;TEXT(COUNTIF($A$2:A980,A980),"00"))</f>
        <v/>
      </c>
      <c r="H980" s="15">
        <f>IF(OR(ISBLANK(F980),ISBLANK(G980)),"",VALUE(LEFT(F980,1))*VALUE(LEFT(G980,1)))</f>
        <v/>
      </c>
      <c r="I980" s="12">
        <f>IF(ISBLANK(H980),"",IF(H980&gt;=20,"Critical",IF(H980&gt;=15,"High",IF(H980&gt;=8,"Medium","Low"))))</f>
        <v/>
      </c>
    </row>
    <row r="981">
      <c r="B981">
        <f>IF(ISBLANK(A981),"",A981&amp;"-R"&amp;TEXT(COUNTIF($A$2:A981,A981),"00"))</f>
        <v/>
      </c>
      <c r="H981" s="15">
        <f>IF(OR(ISBLANK(F981),ISBLANK(G981)),"",VALUE(LEFT(F981,1))*VALUE(LEFT(G981,1)))</f>
        <v/>
      </c>
      <c r="I981" s="12">
        <f>IF(ISBLANK(H981),"",IF(H981&gt;=20,"Critical",IF(H981&gt;=15,"High",IF(H981&gt;=8,"Medium","Low"))))</f>
        <v/>
      </c>
    </row>
    <row r="982">
      <c r="B982">
        <f>IF(ISBLANK(A982),"",A982&amp;"-R"&amp;TEXT(COUNTIF($A$2:A982,A982),"00"))</f>
        <v/>
      </c>
      <c r="H982" s="15">
        <f>IF(OR(ISBLANK(F982),ISBLANK(G982)),"",VALUE(LEFT(F982,1))*VALUE(LEFT(G982,1)))</f>
        <v/>
      </c>
      <c r="I982" s="12">
        <f>IF(ISBLANK(H982),"",IF(H982&gt;=20,"Critical",IF(H982&gt;=15,"High",IF(H982&gt;=8,"Medium","Low"))))</f>
        <v/>
      </c>
    </row>
    <row r="983">
      <c r="B983">
        <f>IF(ISBLANK(A983),"",A983&amp;"-R"&amp;TEXT(COUNTIF($A$2:A983,A983),"00"))</f>
        <v/>
      </c>
      <c r="H983" s="15">
        <f>IF(OR(ISBLANK(F983),ISBLANK(G983)),"",VALUE(LEFT(F983,1))*VALUE(LEFT(G983,1)))</f>
        <v/>
      </c>
      <c r="I983" s="12">
        <f>IF(ISBLANK(H983),"",IF(H983&gt;=20,"Critical",IF(H983&gt;=15,"High",IF(H983&gt;=8,"Medium","Low"))))</f>
        <v/>
      </c>
    </row>
    <row r="984">
      <c r="B984">
        <f>IF(ISBLANK(A984),"",A984&amp;"-R"&amp;TEXT(COUNTIF($A$2:A984,A984),"00"))</f>
        <v/>
      </c>
      <c r="H984" s="15">
        <f>IF(OR(ISBLANK(F984),ISBLANK(G984)),"",VALUE(LEFT(F984,1))*VALUE(LEFT(G984,1)))</f>
        <v/>
      </c>
      <c r="I984" s="12">
        <f>IF(ISBLANK(H984),"",IF(H984&gt;=20,"Critical",IF(H984&gt;=15,"High",IF(H984&gt;=8,"Medium","Low"))))</f>
        <v/>
      </c>
    </row>
    <row r="985">
      <c r="B985">
        <f>IF(ISBLANK(A985),"",A985&amp;"-R"&amp;TEXT(COUNTIF($A$2:A985,A985),"00"))</f>
        <v/>
      </c>
      <c r="H985" s="15">
        <f>IF(OR(ISBLANK(F985),ISBLANK(G985)),"",VALUE(LEFT(F985,1))*VALUE(LEFT(G985,1)))</f>
        <v/>
      </c>
      <c r="I985" s="12">
        <f>IF(ISBLANK(H985),"",IF(H985&gt;=20,"Critical",IF(H985&gt;=15,"High",IF(H985&gt;=8,"Medium","Low"))))</f>
        <v/>
      </c>
    </row>
    <row r="986">
      <c r="B986">
        <f>IF(ISBLANK(A986),"",A986&amp;"-R"&amp;TEXT(COUNTIF($A$2:A986,A986),"00"))</f>
        <v/>
      </c>
      <c r="H986" s="15">
        <f>IF(OR(ISBLANK(F986),ISBLANK(G986)),"",VALUE(LEFT(F986,1))*VALUE(LEFT(G986,1)))</f>
        <v/>
      </c>
      <c r="I986" s="12">
        <f>IF(ISBLANK(H986),"",IF(H986&gt;=20,"Critical",IF(H986&gt;=15,"High",IF(H986&gt;=8,"Medium","Low"))))</f>
        <v/>
      </c>
    </row>
    <row r="987">
      <c r="B987">
        <f>IF(ISBLANK(A987),"",A987&amp;"-R"&amp;TEXT(COUNTIF($A$2:A987,A987),"00"))</f>
        <v/>
      </c>
      <c r="H987" s="15">
        <f>IF(OR(ISBLANK(F987),ISBLANK(G987)),"",VALUE(LEFT(F987,1))*VALUE(LEFT(G987,1)))</f>
        <v/>
      </c>
      <c r="I987" s="12">
        <f>IF(ISBLANK(H987),"",IF(H987&gt;=20,"Critical",IF(H987&gt;=15,"High",IF(H987&gt;=8,"Medium","Low"))))</f>
        <v/>
      </c>
    </row>
    <row r="988">
      <c r="B988">
        <f>IF(ISBLANK(A988),"",A988&amp;"-R"&amp;TEXT(COUNTIF($A$2:A988,A988),"00"))</f>
        <v/>
      </c>
      <c r="H988" s="15">
        <f>IF(OR(ISBLANK(F988),ISBLANK(G988)),"",VALUE(LEFT(F988,1))*VALUE(LEFT(G988,1)))</f>
        <v/>
      </c>
      <c r="I988" s="12">
        <f>IF(ISBLANK(H988),"",IF(H988&gt;=20,"Critical",IF(H988&gt;=15,"High",IF(H988&gt;=8,"Medium","Low"))))</f>
        <v/>
      </c>
    </row>
    <row r="989">
      <c r="B989">
        <f>IF(ISBLANK(A989),"",A989&amp;"-R"&amp;TEXT(COUNTIF($A$2:A989,A989),"00"))</f>
        <v/>
      </c>
      <c r="H989" s="15">
        <f>IF(OR(ISBLANK(F989),ISBLANK(G989)),"",VALUE(LEFT(F989,1))*VALUE(LEFT(G989,1)))</f>
        <v/>
      </c>
      <c r="I989" s="12">
        <f>IF(ISBLANK(H989),"",IF(H989&gt;=20,"Critical",IF(H989&gt;=15,"High",IF(H989&gt;=8,"Medium","Low"))))</f>
        <v/>
      </c>
    </row>
    <row r="990">
      <c r="B990">
        <f>IF(ISBLANK(A990),"",A990&amp;"-R"&amp;TEXT(COUNTIF($A$2:A990,A990),"00"))</f>
        <v/>
      </c>
      <c r="H990" s="15">
        <f>IF(OR(ISBLANK(F990),ISBLANK(G990)),"",VALUE(LEFT(F990,1))*VALUE(LEFT(G990,1)))</f>
        <v/>
      </c>
      <c r="I990" s="12">
        <f>IF(ISBLANK(H990),"",IF(H990&gt;=20,"Critical",IF(H990&gt;=15,"High",IF(H990&gt;=8,"Medium","Low"))))</f>
        <v/>
      </c>
    </row>
    <row r="991">
      <c r="B991">
        <f>IF(ISBLANK(A991),"",A991&amp;"-R"&amp;TEXT(COUNTIF($A$2:A991,A991),"00"))</f>
        <v/>
      </c>
      <c r="H991" s="15">
        <f>IF(OR(ISBLANK(F991),ISBLANK(G991)),"",VALUE(LEFT(F991,1))*VALUE(LEFT(G991,1)))</f>
        <v/>
      </c>
      <c r="I991" s="12">
        <f>IF(ISBLANK(H991),"",IF(H991&gt;=20,"Critical",IF(H991&gt;=15,"High",IF(H991&gt;=8,"Medium","Low"))))</f>
        <v/>
      </c>
    </row>
    <row r="992">
      <c r="B992">
        <f>IF(ISBLANK(A992),"",A992&amp;"-R"&amp;TEXT(COUNTIF($A$2:A992,A992),"00"))</f>
        <v/>
      </c>
      <c r="H992" s="15">
        <f>IF(OR(ISBLANK(F992),ISBLANK(G992)),"",VALUE(LEFT(F992,1))*VALUE(LEFT(G992,1)))</f>
        <v/>
      </c>
      <c r="I992" s="12">
        <f>IF(ISBLANK(H992),"",IF(H992&gt;=20,"Critical",IF(H992&gt;=15,"High",IF(H992&gt;=8,"Medium","Low"))))</f>
        <v/>
      </c>
    </row>
    <row r="993">
      <c r="B993">
        <f>IF(ISBLANK(A993),"",A993&amp;"-R"&amp;TEXT(COUNTIF($A$2:A993,A993),"00"))</f>
        <v/>
      </c>
      <c r="H993" s="15">
        <f>IF(OR(ISBLANK(F993),ISBLANK(G993)),"",VALUE(LEFT(F993,1))*VALUE(LEFT(G993,1)))</f>
        <v/>
      </c>
      <c r="I993" s="12">
        <f>IF(ISBLANK(H993),"",IF(H993&gt;=20,"Critical",IF(H993&gt;=15,"High",IF(H993&gt;=8,"Medium","Low"))))</f>
        <v/>
      </c>
    </row>
    <row r="994">
      <c r="B994">
        <f>IF(ISBLANK(A994),"",A994&amp;"-R"&amp;TEXT(COUNTIF($A$2:A994,A994),"00"))</f>
        <v/>
      </c>
      <c r="H994" s="15">
        <f>IF(OR(ISBLANK(F994),ISBLANK(G994)),"",VALUE(LEFT(F994,1))*VALUE(LEFT(G994,1)))</f>
        <v/>
      </c>
      <c r="I994" s="12">
        <f>IF(ISBLANK(H994),"",IF(H994&gt;=20,"Critical",IF(H994&gt;=15,"High",IF(H994&gt;=8,"Medium","Low"))))</f>
        <v/>
      </c>
    </row>
    <row r="995">
      <c r="B995">
        <f>IF(ISBLANK(A995),"",A995&amp;"-R"&amp;TEXT(COUNTIF($A$2:A995,A995),"00"))</f>
        <v/>
      </c>
      <c r="H995" s="15">
        <f>IF(OR(ISBLANK(F995),ISBLANK(G995)),"",VALUE(LEFT(F995,1))*VALUE(LEFT(G995,1)))</f>
        <v/>
      </c>
      <c r="I995" s="12">
        <f>IF(ISBLANK(H995),"",IF(H995&gt;=20,"Critical",IF(H995&gt;=15,"High",IF(H995&gt;=8,"Medium","Low"))))</f>
        <v/>
      </c>
    </row>
    <row r="996">
      <c r="B996">
        <f>IF(ISBLANK(A996),"",A996&amp;"-R"&amp;TEXT(COUNTIF($A$2:A996,A996),"00"))</f>
        <v/>
      </c>
      <c r="H996" s="15">
        <f>IF(OR(ISBLANK(F996),ISBLANK(G996)),"",VALUE(LEFT(F996,1))*VALUE(LEFT(G996,1)))</f>
        <v/>
      </c>
      <c r="I996" s="12">
        <f>IF(ISBLANK(H996),"",IF(H996&gt;=20,"Critical",IF(H996&gt;=15,"High",IF(H996&gt;=8,"Medium","Low"))))</f>
        <v/>
      </c>
    </row>
    <row r="997">
      <c r="B997">
        <f>IF(ISBLANK(A997),"",A997&amp;"-R"&amp;TEXT(COUNTIF($A$2:A997,A997),"00"))</f>
        <v/>
      </c>
      <c r="H997" s="15">
        <f>IF(OR(ISBLANK(F997),ISBLANK(G997)),"",VALUE(LEFT(F997,1))*VALUE(LEFT(G997,1)))</f>
        <v/>
      </c>
      <c r="I997" s="12">
        <f>IF(ISBLANK(H997),"",IF(H997&gt;=20,"Critical",IF(H997&gt;=15,"High",IF(H997&gt;=8,"Medium","Low"))))</f>
        <v/>
      </c>
    </row>
    <row r="998">
      <c r="B998">
        <f>IF(ISBLANK(A998),"",A998&amp;"-R"&amp;TEXT(COUNTIF($A$2:A998,A998),"00"))</f>
        <v/>
      </c>
      <c r="H998" s="15">
        <f>IF(OR(ISBLANK(F998),ISBLANK(G998)),"",VALUE(LEFT(F998,1))*VALUE(LEFT(G998,1)))</f>
        <v/>
      </c>
      <c r="I998" s="12">
        <f>IF(ISBLANK(H998),"",IF(H998&gt;=20,"Critical",IF(H998&gt;=15,"High",IF(H998&gt;=8,"Medium","Low"))))</f>
        <v/>
      </c>
    </row>
    <row r="999">
      <c r="B999">
        <f>IF(ISBLANK(A999),"",A999&amp;"-R"&amp;TEXT(COUNTIF($A$2:A999,A999),"00"))</f>
        <v/>
      </c>
      <c r="H999" s="15">
        <f>IF(OR(ISBLANK(F999),ISBLANK(G999)),"",VALUE(LEFT(F999,1))*VALUE(LEFT(G999,1)))</f>
        <v/>
      </c>
      <c r="I999" s="12">
        <f>IF(ISBLANK(H999),"",IF(H999&gt;=20,"Critical",IF(H999&gt;=15,"High",IF(H999&gt;=8,"Medium","Low"))))</f>
        <v/>
      </c>
    </row>
    <row r="1000">
      <c r="B1000">
        <f>IF(ISBLANK(A1000),"",A1000&amp;"-R"&amp;TEXT(COUNTIF($A$2:A1000,A1000),"00"))</f>
        <v/>
      </c>
      <c r="H1000" s="15">
        <f>IF(OR(ISBLANK(F1000),ISBLANK(G1000)),"",VALUE(LEFT(F1000,1))*VALUE(LEFT(G1000,1)))</f>
        <v/>
      </c>
      <c r="I1000" s="12">
        <f>IF(ISBLANK(H1000),"",IF(H1000&gt;=20,"Critical",IF(H1000&gt;=15,"High",IF(H1000&gt;=8,"Medium","Low"))))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conditionalFormatting sqref="H2:H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10">
      <formula>"High"</formula>
    </cfRule>
    <cfRule type="cellIs" priority="4" operator="equal" dxfId="11">
      <formula>"Critical"</formula>
    </cfRule>
    <cfRule type="cellIs" priority="9" operator="between" dxfId="3">
      <formula>1</formula>
      <formula>6</formula>
    </cfRule>
    <cfRule type="cellIs" priority="10" operator="between" dxfId="4">
      <formula>8</formula>
      <formula>12</formula>
    </cfRule>
    <cfRule type="cellIs" priority="11" operator="between" dxfId="10">
      <formula>15</formula>
      <formula>16</formula>
    </cfRule>
    <cfRule type="cellIs" priority="12" operator="greaterThanOrEqual" dxfId="11">
      <formula>20</formula>
    </cfRule>
  </conditionalFormatting>
  <conditionalFormatting sqref="I2:I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10">
      <formula>"High"</formula>
    </cfRule>
    <cfRule type="cellIs" priority="8" operator="equal" dxfId="11">
      <formula>"Critical"</formula>
    </cfRule>
  </conditionalFormatting>
  <conditionalFormatting sqref="A2:T1000">
    <cfRule type="expression" priority="13" dxfId="15">
      <formula>OR($I2="Critical",$I2="High")</formula>
    </cfRule>
    <cfRule type="expression" priority="14" dxfId="16">
      <formula>OR($J2="No",$L2="No")</formula>
    </cfRule>
  </conditionalFormatting>
  <dataValidations count="9">
    <dataValidation sqref="C2:C1000" showDropDown="0" showInputMessage="0" showErrorMessage="0" allowBlank="0" error="Select risk category" type="list" errorStyle="stop">
      <formula1>"Discrimination,Identity Theft/Fraud,Financial Loss,Reputational Damage,Physical Harm,Loss of Confidentiality,Loss of Control,Surveillance,Profiling with Significant Effects,Social Disadvantage,Psychological Harm,Loss of Rights/Freedoms"</formula1>
    </dataValidation>
    <dataValidation sqref="F2:F1000" showDropDown="0" showInputMessage="0" showErrorMessage="0" allowBlank="0" error="Select likelihood" type="list" errorStyle="stop">
      <formula1>"1 - Rare,2 - Unlikely,3 - Possible,4 - Likely,5 - Almost Certain"</formula1>
    </dataValidation>
    <dataValidation sqref="G2:G1000" showDropDown="0" showInputMessage="0" showErrorMessage="0" allowBlank="0" error="Select impact" type="list" errorStyle="stop">
      <formula1>"1 - Negligible,2 - Minor,3 - Moderate,4 - Major,5 - Severe"</formula1>
    </dataValidation>
    <dataValidation sqref="J2:J1000" showDropDown="0" showInputMessage="0" showErrorMessage="0" allowBlank="0" error="Select from list" type="list" errorStyle="stop">
      <formula1>"Yes,No,Uncertain"</formula1>
    </dataValidation>
    <dataValidation sqref="L2:L1000" showDropDown="0" showInputMessage="0" showErrorMessage="0" allowBlank="0" error="Select from list" type="list" errorStyle="stop">
      <formula1>"Yes,No,Uncertain"</formula1>
    </dataValidation>
    <dataValidation sqref="N2:N1000" showDropDown="0" showInputMessage="0" showErrorMessage="0" allowBlank="0" error="Select GDPR Article 6 legal basis" type="list" errorStyle="stop">
      <formula1>"Consent (Art. 6(1)(a)),Contract (Art. 6(1)(b)),Legal Obligation (Art. 6(1)(c)),Vital Interests (Art. 6(1)(d)),Public Task (Art. 6(1)(e)),Legitimate Interests (Art. 6(1)(f))"</formula1>
    </dataValidation>
    <dataValidation sqref="O2:O1000" showDropDown="0" showInputMessage="0" showErrorMessage="0" allowBlank="0" error="Select GDPR Article 9 legal basis or N/A" type="list" errorStyle="stop">
      <formula1>"N/A,Explicit Consent (Art. 9(2)(a)),Employment Law (Art. 9(2)(b)),Vital Interests (Art. 9(2)(c)),Medical Purposes (Art. 9(2)(h)),Public Health (Art. 9(2)(i)),Archiving/Research (Art. 9(2)(j))"</formula1>
    </dataValidation>
    <dataValidation sqref="P2:P1000" showDropDown="0" showInputMessage="0" showErrorMessage="0" allowBlank="0" error="Select from list" type="list" errorStyle="stop">
      <formula1>"Yes,No,Partial"</formula1>
    </dataValidation>
    <dataValidation sqref="S2:S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3366"/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50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>
      <c r="A1" s="16" t="inlineStr">
        <is>
          <t>Risk ID</t>
        </is>
      </c>
      <c r="B1" s="16" t="inlineStr">
        <is>
          <t>Risk Description (Reference)</t>
        </is>
      </c>
      <c r="C1" s="16" t="inlineStr">
        <is>
          <t>Mitigation Control ID</t>
        </is>
      </c>
      <c r="D1" s="16" t="inlineStr">
        <is>
          <t>Control Type</t>
        </is>
      </c>
      <c r="E1" s="16" t="inlineStr">
        <is>
          <t>Mitigation Description</t>
        </is>
      </c>
      <c r="F1" s="16" t="inlineStr">
        <is>
          <t>Implementation Status</t>
        </is>
      </c>
      <c r="G1" s="16" t="inlineStr">
        <is>
          <t>Owner</t>
        </is>
      </c>
      <c r="H1" s="16" t="inlineStr">
        <is>
          <t>Target Date</t>
        </is>
      </c>
      <c r="I1" s="16" t="inlineStr">
        <is>
          <t>Actual Date</t>
        </is>
      </c>
      <c r="J1" s="16" t="inlineStr">
        <is>
          <t>Effectiveness Rating</t>
        </is>
      </c>
      <c r="K1" s="16" t="inlineStr">
        <is>
          <t>Evidence Location</t>
        </is>
      </c>
    </row>
    <row r="2">
      <c r="B2">
        <f>IFERROR(VLOOKUP(A2,Risk_Assessment!$B$2:$D$1000,2,FALSE),"")</f>
        <v/>
      </c>
      <c r="C2">
        <f>IF(ISBLANK(A2),"",A2&amp;"-M"&amp;TEXT(COUNTIF($A$2:A2,A2),"00"))</f>
        <v/>
      </c>
      <c r="H2" s="14" t="n"/>
      <c r="I2" s="14" t="n"/>
    </row>
    <row r="3">
      <c r="B3">
        <f>IFERROR(VLOOKUP(A3,Risk_Assessment!$B$2:$D$1000,2,FALSE),"")</f>
        <v/>
      </c>
      <c r="C3">
        <f>IF(ISBLANK(A3),"",A3&amp;"-M"&amp;TEXT(COUNTIF($A$2:A3,A3),"00"))</f>
        <v/>
      </c>
      <c r="H3" s="14" t="n"/>
      <c r="I3" s="14" t="n"/>
    </row>
    <row r="4">
      <c r="B4">
        <f>IFERROR(VLOOKUP(A4,Risk_Assessment!$B$2:$D$1000,2,FALSE),"")</f>
        <v/>
      </c>
      <c r="C4">
        <f>IF(ISBLANK(A4),"",A4&amp;"-M"&amp;TEXT(COUNTIF($A$2:A4,A4),"00"))</f>
        <v/>
      </c>
      <c r="H4" s="14" t="n"/>
      <c r="I4" s="14" t="n"/>
    </row>
    <row r="5">
      <c r="B5">
        <f>IFERROR(VLOOKUP(A5,Risk_Assessment!$B$2:$D$1000,2,FALSE),"")</f>
        <v/>
      </c>
      <c r="C5">
        <f>IF(ISBLANK(A5),"",A5&amp;"-M"&amp;TEXT(COUNTIF($A$2:A5,A5),"00"))</f>
        <v/>
      </c>
      <c r="H5" s="14" t="n"/>
      <c r="I5" s="14" t="n"/>
    </row>
    <row r="6">
      <c r="B6">
        <f>IFERROR(VLOOKUP(A6,Risk_Assessment!$B$2:$D$1000,2,FALSE),"")</f>
        <v/>
      </c>
      <c r="C6">
        <f>IF(ISBLANK(A6),"",A6&amp;"-M"&amp;TEXT(COUNTIF($A$2:A6,A6),"00"))</f>
        <v/>
      </c>
      <c r="H6" s="14" t="n"/>
      <c r="I6" s="14" t="n"/>
    </row>
    <row r="7">
      <c r="B7">
        <f>IFERROR(VLOOKUP(A7,Risk_Assessment!$B$2:$D$1000,2,FALSE),"")</f>
        <v/>
      </c>
      <c r="C7">
        <f>IF(ISBLANK(A7),"",A7&amp;"-M"&amp;TEXT(COUNTIF($A$2:A7,A7),"00"))</f>
        <v/>
      </c>
      <c r="H7" s="14" t="n"/>
      <c r="I7" s="14" t="n"/>
    </row>
    <row r="8">
      <c r="B8">
        <f>IFERROR(VLOOKUP(A8,Risk_Assessment!$B$2:$D$1000,2,FALSE),"")</f>
        <v/>
      </c>
      <c r="C8">
        <f>IF(ISBLANK(A8),"",A8&amp;"-M"&amp;TEXT(COUNTIF($A$2:A8,A8),"00"))</f>
        <v/>
      </c>
      <c r="H8" s="14" t="n"/>
      <c r="I8" s="14" t="n"/>
    </row>
    <row r="9">
      <c r="B9">
        <f>IFERROR(VLOOKUP(A9,Risk_Assessment!$B$2:$D$1000,2,FALSE),"")</f>
        <v/>
      </c>
      <c r="C9">
        <f>IF(ISBLANK(A9),"",A9&amp;"-M"&amp;TEXT(COUNTIF($A$2:A9,A9),"00"))</f>
        <v/>
      </c>
      <c r="H9" s="14" t="n"/>
      <c r="I9" s="14" t="n"/>
    </row>
    <row r="10">
      <c r="B10">
        <f>IFERROR(VLOOKUP(A10,Risk_Assessment!$B$2:$D$1000,2,FALSE),"")</f>
        <v/>
      </c>
      <c r="C10">
        <f>IF(ISBLANK(A10),"",A10&amp;"-M"&amp;TEXT(COUNTIF($A$2:A10,A10),"00"))</f>
        <v/>
      </c>
      <c r="H10" s="14" t="n"/>
      <c r="I10" s="14" t="n"/>
    </row>
    <row r="11">
      <c r="B11">
        <f>IFERROR(VLOOKUP(A11,Risk_Assessment!$B$2:$D$1000,2,FALSE),"")</f>
        <v/>
      </c>
      <c r="C11">
        <f>IF(ISBLANK(A11),"",A11&amp;"-M"&amp;TEXT(COUNTIF($A$2:A11,A11),"00"))</f>
        <v/>
      </c>
      <c r="H11" s="14" t="n"/>
      <c r="I11" s="14" t="n"/>
    </row>
    <row r="12">
      <c r="B12">
        <f>IFERROR(VLOOKUP(A12,Risk_Assessment!$B$2:$D$1000,2,FALSE),"")</f>
        <v/>
      </c>
      <c r="C12">
        <f>IF(ISBLANK(A12),"",A12&amp;"-M"&amp;TEXT(COUNTIF($A$2:A12,A12),"00"))</f>
        <v/>
      </c>
      <c r="H12" s="14" t="n"/>
      <c r="I12" s="14" t="n"/>
    </row>
    <row r="13">
      <c r="B13">
        <f>IFERROR(VLOOKUP(A13,Risk_Assessment!$B$2:$D$1000,2,FALSE),"")</f>
        <v/>
      </c>
      <c r="C13">
        <f>IF(ISBLANK(A13),"",A13&amp;"-M"&amp;TEXT(COUNTIF($A$2:A13,A13),"00"))</f>
        <v/>
      </c>
      <c r="H13" s="14" t="n"/>
      <c r="I13" s="14" t="n"/>
    </row>
    <row r="14">
      <c r="B14">
        <f>IFERROR(VLOOKUP(A14,Risk_Assessment!$B$2:$D$1000,2,FALSE),"")</f>
        <v/>
      </c>
      <c r="C14">
        <f>IF(ISBLANK(A14),"",A14&amp;"-M"&amp;TEXT(COUNTIF($A$2:A14,A14),"00"))</f>
        <v/>
      </c>
      <c r="H14" s="14" t="n"/>
      <c r="I14" s="14" t="n"/>
    </row>
    <row r="15">
      <c r="B15">
        <f>IFERROR(VLOOKUP(A15,Risk_Assessment!$B$2:$D$1000,2,FALSE),"")</f>
        <v/>
      </c>
      <c r="C15">
        <f>IF(ISBLANK(A15),"",A15&amp;"-M"&amp;TEXT(COUNTIF($A$2:A15,A15),"00"))</f>
        <v/>
      </c>
      <c r="H15" s="14" t="n"/>
      <c r="I15" s="14" t="n"/>
    </row>
    <row r="16">
      <c r="B16">
        <f>IFERROR(VLOOKUP(A16,Risk_Assessment!$B$2:$D$1000,2,FALSE),"")</f>
        <v/>
      </c>
      <c r="C16">
        <f>IF(ISBLANK(A16),"",A16&amp;"-M"&amp;TEXT(COUNTIF($A$2:A16,A16),"00"))</f>
        <v/>
      </c>
      <c r="H16" s="14" t="n"/>
      <c r="I16" s="14" t="n"/>
    </row>
    <row r="17">
      <c r="B17">
        <f>IFERROR(VLOOKUP(A17,Risk_Assessment!$B$2:$D$1000,2,FALSE),"")</f>
        <v/>
      </c>
      <c r="C17">
        <f>IF(ISBLANK(A17),"",A17&amp;"-M"&amp;TEXT(COUNTIF($A$2:A17,A17),"00"))</f>
        <v/>
      </c>
      <c r="H17" s="14" t="n"/>
      <c r="I17" s="14" t="n"/>
    </row>
    <row r="18">
      <c r="B18">
        <f>IFERROR(VLOOKUP(A18,Risk_Assessment!$B$2:$D$1000,2,FALSE),"")</f>
        <v/>
      </c>
      <c r="C18">
        <f>IF(ISBLANK(A18),"",A18&amp;"-M"&amp;TEXT(COUNTIF($A$2:A18,A18),"00"))</f>
        <v/>
      </c>
      <c r="H18" s="14" t="n"/>
      <c r="I18" s="14" t="n"/>
    </row>
    <row r="19">
      <c r="B19">
        <f>IFERROR(VLOOKUP(A19,Risk_Assessment!$B$2:$D$1000,2,FALSE),"")</f>
        <v/>
      </c>
      <c r="C19">
        <f>IF(ISBLANK(A19),"",A19&amp;"-M"&amp;TEXT(COUNTIF($A$2:A19,A19),"00"))</f>
        <v/>
      </c>
      <c r="H19" s="14" t="n"/>
      <c r="I19" s="14" t="n"/>
    </row>
    <row r="20">
      <c r="B20">
        <f>IFERROR(VLOOKUP(A20,Risk_Assessment!$B$2:$D$1000,2,FALSE),"")</f>
        <v/>
      </c>
      <c r="C20">
        <f>IF(ISBLANK(A20),"",A20&amp;"-M"&amp;TEXT(COUNTIF($A$2:A20,A20),"00"))</f>
        <v/>
      </c>
      <c r="H20" s="14" t="n"/>
      <c r="I20" s="14" t="n"/>
    </row>
    <row r="21">
      <c r="B21">
        <f>IFERROR(VLOOKUP(A21,Risk_Assessment!$B$2:$D$1000,2,FALSE),"")</f>
        <v/>
      </c>
      <c r="C21">
        <f>IF(ISBLANK(A21),"",A21&amp;"-M"&amp;TEXT(COUNTIF($A$2:A21,A21),"00"))</f>
        <v/>
      </c>
      <c r="H21" s="14" t="n"/>
      <c r="I21" s="14" t="n"/>
    </row>
    <row r="22">
      <c r="B22">
        <f>IFERROR(VLOOKUP(A22,Risk_Assessment!$B$2:$D$1000,2,FALSE),"")</f>
        <v/>
      </c>
      <c r="C22">
        <f>IF(ISBLANK(A22),"",A22&amp;"-M"&amp;TEXT(COUNTIF($A$2:A22,A22),"00"))</f>
        <v/>
      </c>
      <c r="H22" s="14" t="n"/>
      <c r="I22" s="14" t="n"/>
    </row>
    <row r="23">
      <c r="B23">
        <f>IFERROR(VLOOKUP(A23,Risk_Assessment!$B$2:$D$1000,2,FALSE),"")</f>
        <v/>
      </c>
      <c r="C23">
        <f>IF(ISBLANK(A23),"",A23&amp;"-M"&amp;TEXT(COUNTIF($A$2:A23,A23),"00"))</f>
        <v/>
      </c>
      <c r="H23" s="14" t="n"/>
      <c r="I23" s="14" t="n"/>
    </row>
    <row r="24">
      <c r="B24">
        <f>IFERROR(VLOOKUP(A24,Risk_Assessment!$B$2:$D$1000,2,FALSE),"")</f>
        <v/>
      </c>
      <c r="C24">
        <f>IF(ISBLANK(A24),"",A24&amp;"-M"&amp;TEXT(COUNTIF($A$2:A24,A24),"00"))</f>
        <v/>
      </c>
      <c r="H24" s="14" t="n"/>
      <c r="I24" s="14" t="n"/>
    </row>
    <row r="25">
      <c r="B25">
        <f>IFERROR(VLOOKUP(A25,Risk_Assessment!$B$2:$D$1000,2,FALSE),"")</f>
        <v/>
      </c>
      <c r="C25">
        <f>IF(ISBLANK(A25),"",A25&amp;"-M"&amp;TEXT(COUNTIF($A$2:A25,A25),"00"))</f>
        <v/>
      </c>
      <c r="H25" s="14" t="n"/>
      <c r="I25" s="14" t="n"/>
    </row>
    <row r="26">
      <c r="B26">
        <f>IFERROR(VLOOKUP(A26,Risk_Assessment!$B$2:$D$1000,2,FALSE),"")</f>
        <v/>
      </c>
      <c r="C26">
        <f>IF(ISBLANK(A26),"",A26&amp;"-M"&amp;TEXT(COUNTIF($A$2:A26,A26),"00"))</f>
        <v/>
      </c>
      <c r="H26" s="14" t="n"/>
      <c r="I26" s="14" t="n"/>
    </row>
    <row r="27">
      <c r="B27">
        <f>IFERROR(VLOOKUP(A27,Risk_Assessment!$B$2:$D$1000,2,FALSE),"")</f>
        <v/>
      </c>
      <c r="C27">
        <f>IF(ISBLANK(A27),"",A27&amp;"-M"&amp;TEXT(COUNTIF($A$2:A27,A27),"00"))</f>
        <v/>
      </c>
      <c r="H27" s="14" t="n"/>
      <c r="I27" s="14" t="n"/>
    </row>
    <row r="28">
      <c r="B28">
        <f>IFERROR(VLOOKUP(A28,Risk_Assessment!$B$2:$D$1000,2,FALSE),"")</f>
        <v/>
      </c>
      <c r="C28">
        <f>IF(ISBLANK(A28),"",A28&amp;"-M"&amp;TEXT(COUNTIF($A$2:A28,A28),"00"))</f>
        <v/>
      </c>
      <c r="H28" s="14" t="n"/>
      <c r="I28" s="14" t="n"/>
    </row>
    <row r="29">
      <c r="B29">
        <f>IFERROR(VLOOKUP(A29,Risk_Assessment!$B$2:$D$1000,2,FALSE),"")</f>
        <v/>
      </c>
      <c r="C29">
        <f>IF(ISBLANK(A29),"",A29&amp;"-M"&amp;TEXT(COUNTIF($A$2:A29,A29),"00"))</f>
        <v/>
      </c>
      <c r="H29" s="14" t="n"/>
      <c r="I29" s="14" t="n"/>
    </row>
    <row r="30">
      <c r="B30">
        <f>IFERROR(VLOOKUP(A30,Risk_Assessment!$B$2:$D$1000,2,FALSE),"")</f>
        <v/>
      </c>
      <c r="C30">
        <f>IF(ISBLANK(A30),"",A30&amp;"-M"&amp;TEXT(COUNTIF($A$2:A30,A30),"00"))</f>
        <v/>
      </c>
      <c r="H30" s="14" t="n"/>
      <c r="I30" s="14" t="n"/>
    </row>
    <row r="31">
      <c r="B31">
        <f>IFERROR(VLOOKUP(A31,Risk_Assessment!$B$2:$D$1000,2,FALSE),"")</f>
        <v/>
      </c>
      <c r="C31">
        <f>IF(ISBLANK(A31),"",A31&amp;"-M"&amp;TEXT(COUNTIF($A$2:A31,A31),"00"))</f>
        <v/>
      </c>
      <c r="H31" s="14" t="n"/>
      <c r="I31" s="14" t="n"/>
    </row>
    <row r="32">
      <c r="B32">
        <f>IFERROR(VLOOKUP(A32,Risk_Assessment!$B$2:$D$1000,2,FALSE),"")</f>
        <v/>
      </c>
      <c r="C32">
        <f>IF(ISBLANK(A32),"",A32&amp;"-M"&amp;TEXT(COUNTIF($A$2:A32,A32),"00"))</f>
        <v/>
      </c>
      <c r="H32" s="14" t="n"/>
      <c r="I32" s="14" t="n"/>
    </row>
    <row r="33">
      <c r="B33">
        <f>IFERROR(VLOOKUP(A33,Risk_Assessment!$B$2:$D$1000,2,FALSE),"")</f>
        <v/>
      </c>
      <c r="C33">
        <f>IF(ISBLANK(A33),"",A33&amp;"-M"&amp;TEXT(COUNTIF($A$2:A33,A33),"00"))</f>
        <v/>
      </c>
      <c r="H33" s="14" t="n"/>
      <c r="I33" s="14" t="n"/>
    </row>
    <row r="34">
      <c r="B34">
        <f>IFERROR(VLOOKUP(A34,Risk_Assessment!$B$2:$D$1000,2,FALSE),"")</f>
        <v/>
      </c>
      <c r="C34">
        <f>IF(ISBLANK(A34),"",A34&amp;"-M"&amp;TEXT(COUNTIF($A$2:A34,A34),"00"))</f>
        <v/>
      </c>
      <c r="H34" s="14" t="n"/>
      <c r="I34" s="14" t="n"/>
    </row>
    <row r="35">
      <c r="B35">
        <f>IFERROR(VLOOKUP(A35,Risk_Assessment!$B$2:$D$1000,2,FALSE),"")</f>
        <v/>
      </c>
      <c r="C35">
        <f>IF(ISBLANK(A35),"",A35&amp;"-M"&amp;TEXT(COUNTIF($A$2:A35,A35),"00"))</f>
        <v/>
      </c>
      <c r="H35" s="14" t="n"/>
      <c r="I35" s="14" t="n"/>
    </row>
    <row r="36">
      <c r="B36">
        <f>IFERROR(VLOOKUP(A36,Risk_Assessment!$B$2:$D$1000,2,FALSE),"")</f>
        <v/>
      </c>
      <c r="C36">
        <f>IF(ISBLANK(A36),"",A36&amp;"-M"&amp;TEXT(COUNTIF($A$2:A36,A36),"00"))</f>
        <v/>
      </c>
      <c r="H36" s="14" t="n"/>
      <c r="I36" s="14" t="n"/>
    </row>
    <row r="37">
      <c r="B37">
        <f>IFERROR(VLOOKUP(A37,Risk_Assessment!$B$2:$D$1000,2,FALSE),"")</f>
        <v/>
      </c>
      <c r="C37">
        <f>IF(ISBLANK(A37),"",A37&amp;"-M"&amp;TEXT(COUNTIF($A$2:A37,A37),"00"))</f>
        <v/>
      </c>
      <c r="H37" s="14" t="n"/>
      <c r="I37" s="14" t="n"/>
    </row>
    <row r="38">
      <c r="B38">
        <f>IFERROR(VLOOKUP(A38,Risk_Assessment!$B$2:$D$1000,2,FALSE),"")</f>
        <v/>
      </c>
      <c r="C38">
        <f>IF(ISBLANK(A38),"",A38&amp;"-M"&amp;TEXT(COUNTIF($A$2:A38,A38),"00"))</f>
        <v/>
      </c>
      <c r="H38" s="14" t="n"/>
      <c r="I38" s="14" t="n"/>
    </row>
    <row r="39">
      <c r="B39">
        <f>IFERROR(VLOOKUP(A39,Risk_Assessment!$B$2:$D$1000,2,FALSE),"")</f>
        <v/>
      </c>
      <c r="C39">
        <f>IF(ISBLANK(A39),"",A39&amp;"-M"&amp;TEXT(COUNTIF($A$2:A39,A39),"00"))</f>
        <v/>
      </c>
      <c r="H39" s="14" t="n"/>
      <c r="I39" s="14" t="n"/>
    </row>
    <row r="40">
      <c r="B40">
        <f>IFERROR(VLOOKUP(A40,Risk_Assessment!$B$2:$D$1000,2,FALSE),"")</f>
        <v/>
      </c>
      <c r="C40">
        <f>IF(ISBLANK(A40),"",A40&amp;"-M"&amp;TEXT(COUNTIF($A$2:A40,A40),"00"))</f>
        <v/>
      </c>
      <c r="H40" s="14" t="n"/>
      <c r="I40" s="14" t="n"/>
    </row>
    <row r="41">
      <c r="B41">
        <f>IFERROR(VLOOKUP(A41,Risk_Assessment!$B$2:$D$1000,2,FALSE),"")</f>
        <v/>
      </c>
      <c r="C41">
        <f>IF(ISBLANK(A41),"",A41&amp;"-M"&amp;TEXT(COUNTIF($A$2:A41,A41),"00"))</f>
        <v/>
      </c>
      <c r="H41" s="14" t="n"/>
      <c r="I41" s="14" t="n"/>
    </row>
    <row r="42">
      <c r="B42">
        <f>IFERROR(VLOOKUP(A42,Risk_Assessment!$B$2:$D$1000,2,FALSE),"")</f>
        <v/>
      </c>
      <c r="C42">
        <f>IF(ISBLANK(A42),"",A42&amp;"-M"&amp;TEXT(COUNTIF($A$2:A42,A42),"00"))</f>
        <v/>
      </c>
      <c r="H42" s="14" t="n"/>
      <c r="I42" s="14" t="n"/>
    </row>
    <row r="43">
      <c r="B43">
        <f>IFERROR(VLOOKUP(A43,Risk_Assessment!$B$2:$D$1000,2,FALSE),"")</f>
        <v/>
      </c>
      <c r="C43">
        <f>IF(ISBLANK(A43),"",A43&amp;"-M"&amp;TEXT(COUNTIF($A$2:A43,A43),"00"))</f>
        <v/>
      </c>
      <c r="H43" s="14" t="n"/>
      <c r="I43" s="14" t="n"/>
    </row>
    <row r="44">
      <c r="B44">
        <f>IFERROR(VLOOKUP(A44,Risk_Assessment!$B$2:$D$1000,2,FALSE),"")</f>
        <v/>
      </c>
      <c r="C44">
        <f>IF(ISBLANK(A44),"",A44&amp;"-M"&amp;TEXT(COUNTIF($A$2:A44,A44),"00"))</f>
        <v/>
      </c>
      <c r="H44" s="14" t="n"/>
      <c r="I44" s="14" t="n"/>
    </row>
    <row r="45">
      <c r="B45">
        <f>IFERROR(VLOOKUP(A45,Risk_Assessment!$B$2:$D$1000,2,FALSE),"")</f>
        <v/>
      </c>
      <c r="C45">
        <f>IF(ISBLANK(A45),"",A45&amp;"-M"&amp;TEXT(COUNTIF($A$2:A45,A45),"00"))</f>
        <v/>
      </c>
      <c r="H45" s="14" t="n"/>
      <c r="I45" s="14" t="n"/>
    </row>
    <row r="46">
      <c r="B46">
        <f>IFERROR(VLOOKUP(A46,Risk_Assessment!$B$2:$D$1000,2,FALSE),"")</f>
        <v/>
      </c>
      <c r="C46">
        <f>IF(ISBLANK(A46),"",A46&amp;"-M"&amp;TEXT(COUNTIF($A$2:A46,A46),"00"))</f>
        <v/>
      </c>
      <c r="H46" s="14" t="n"/>
      <c r="I46" s="14" t="n"/>
    </row>
    <row r="47">
      <c r="B47">
        <f>IFERROR(VLOOKUP(A47,Risk_Assessment!$B$2:$D$1000,2,FALSE),"")</f>
        <v/>
      </c>
      <c r="C47">
        <f>IF(ISBLANK(A47),"",A47&amp;"-M"&amp;TEXT(COUNTIF($A$2:A47,A47),"00"))</f>
        <v/>
      </c>
      <c r="H47" s="14" t="n"/>
      <c r="I47" s="14" t="n"/>
    </row>
    <row r="48">
      <c r="B48">
        <f>IFERROR(VLOOKUP(A48,Risk_Assessment!$B$2:$D$1000,2,FALSE),"")</f>
        <v/>
      </c>
      <c r="C48">
        <f>IF(ISBLANK(A48),"",A48&amp;"-M"&amp;TEXT(COUNTIF($A$2:A48,A48),"00"))</f>
        <v/>
      </c>
      <c r="H48" s="14" t="n"/>
      <c r="I48" s="14" t="n"/>
    </row>
    <row r="49">
      <c r="B49">
        <f>IFERROR(VLOOKUP(A49,Risk_Assessment!$B$2:$D$1000,2,FALSE),"")</f>
        <v/>
      </c>
      <c r="C49">
        <f>IF(ISBLANK(A49),"",A49&amp;"-M"&amp;TEXT(COUNTIF($A$2:A49,A49),"00"))</f>
        <v/>
      </c>
      <c r="H49" s="14" t="n"/>
      <c r="I49" s="14" t="n"/>
    </row>
    <row r="50">
      <c r="B50">
        <f>IFERROR(VLOOKUP(A50,Risk_Assessment!$B$2:$D$1000,2,FALSE),"")</f>
        <v/>
      </c>
      <c r="C50">
        <f>IF(ISBLANK(A50),"",A50&amp;"-M"&amp;TEXT(COUNTIF($A$2:A50,A50),"00"))</f>
        <v/>
      </c>
      <c r="H50" s="14" t="n"/>
      <c r="I50" s="14" t="n"/>
    </row>
    <row r="51">
      <c r="B51">
        <f>IFERROR(VLOOKUP(A51,Risk_Assessment!$B$2:$D$1000,2,FALSE),"")</f>
        <v/>
      </c>
      <c r="C51">
        <f>IF(ISBLANK(A51),"",A51&amp;"-M"&amp;TEXT(COUNTIF($A$2:A51,A51),"00"))</f>
        <v/>
      </c>
      <c r="H51" s="14" t="n"/>
      <c r="I51" s="14" t="n"/>
    </row>
    <row r="52">
      <c r="B52">
        <f>IFERROR(VLOOKUP(A52,Risk_Assessment!$B$2:$D$1000,2,FALSE),"")</f>
        <v/>
      </c>
      <c r="C52">
        <f>IF(ISBLANK(A52),"",A52&amp;"-M"&amp;TEXT(COUNTIF($A$2:A52,A52),"00"))</f>
        <v/>
      </c>
      <c r="H52" s="14" t="n"/>
      <c r="I52" s="14" t="n"/>
    </row>
    <row r="53">
      <c r="B53">
        <f>IFERROR(VLOOKUP(A53,Risk_Assessment!$B$2:$D$1000,2,FALSE),"")</f>
        <v/>
      </c>
      <c r="C53">
        <f>IF(ISBLANK(A53),"",A53&amp;"-M"&amp;TEXT(COUNTIF($A$2:A53,A53),"00"))</f>
        <v/>
      </c>
      <c r="H53" s="14" t="n"/>
      <c r="I53" s="14" t="n"/>
    </row>
    <row r="54">
      <c r="B54">
        <f>IFERROR(VLOOKUP(A54,Risk_Assessment!$B$2:$D$1000,2,FALSE),"")</f>
        <v/>
      </c>
      <c r="C54">
        <f>IF(ISBLANK(A54),"",A54&amp;"-M"&amp;TEXT(COUNTIF($A$2:A54,A54),"00"))</f>
        <v/>
      </c>
      <c r="H54" s="14" t="n"/>
      <c r="I54" s="14" t="n"/>
    </row>
    <row r="55">
      <c r="B55">
        <f>IFERROR(VLOOKUP(A55,Risk_Assessment!$B$2:$D$1000,2,FALSE),"")</f>
        <v/>
      </c>
      <c r="C55">
        <f>IF(ISBLANK(A55),"",A55&amp;"-M"&amp;TEXT(COUNTIF($A$2:A55,A55),"00"))</f>
        <v/>
      </c>
      <c r="H55" s="14" t="n"/>
      <c r="I55" s="14" t="n"/>
    </row>
    <row r="56">
      <c r="B56">
        <f>IFERROR(VLOOKUP(A56,Risk_Assessment!$B$2:$D$1000,2,FALSE),"")</f>
        <v/>
      </c>
      <c r="C56">
        <f>IF(ISBLANK(A56),"",A56&amp;"-M"&amp;TEXT(COUNTIF($A$2:A56,A56),"00"))</f>
        <v/>
      </c>
      <c r="H56" s="14" t="n"/>
      <c r="I56" s="14" t="n"/>
    </row>
    <row r="57">
      <c r="B57">
        <f>IFERROR(VLOOKUP(A57,Risk_Assessment!$B$2:$D$1000,2,FALSE),"")</f>
        <v/>
      </c>
      <c r="C57">
        <f>IF(ISBLANK(A57),"",A57&amp;"-M"&amp;TEXT(COUNTIF($A$2:A57,A57),"00"))</f>
        <v/>
      </c>
      <c r="H57" s="14" t="n"/>
      <c r="I57" s="14" t="n"/>
    </row>
    <row r="58">
      <c r="B58">
        <f>IFERROR(VLOOKUP(A58,Risk_Assessment!$B$2:$D$1000,2,FALSE),"")</f>
        <v/>
      </c>
      <c r="C58">
        <f>IF(ISBLANK(A58),"",A58&amp;"-M"&amp;TEXT(COUNTIF($A$2:A58,A58),"00"))</f>
        <v/>
      </c>
      <c r="H58" s="14" t="n"/>
      <c r="I58" s="14" t="n"/>
    </row>
    <row r="59">
      <c r="B59">
        <f>IFERROR(VLOOKUP(A59,Risk_Assessment!$B$2:$D$1000,2,FALSE),"")</f>
        <v/>
      </c>
      <c r="C59">
        <f>IF(ISBLANK(A59),"",A59&amp;"-M"&amp;TEXT(COUNTIF($A$2:A59,A59),"00"))</f>
        <v/>
      </c>
      <c r="H59" s="14" t="n"/>
      <c r="I59" s="14" t="n"/>
    </row>
    <row r="60">
      <c r="B60">
        <f>IFERROR(VLOOKUP(A60,Risk_Assessment!$B$2:$D$1000,2,FALSE),"")</f>
        <v/>
      </c>
      <c r="C60">
        <f>IF(ISBLANK(A60),"",A60&amp;"-M"&amp;TEXT(COUNTIF($A$2:A60,A60),"00"))</f>
        <v/>
      </c>
      <c r="H60" s="14" t="n"/>
      <c r="I60" s="14" t="n"/>
    </row>
    <row r="61">
      <c r="B61">
        <f>IFERROR(VLOOKUP(A61,Risk_Assessment!$B$2:$D$1000,2,FALSE),"")</f>
        <v/>
      </c>
      <c r="C61">
        <f>IF(ISBLANK(A61),"",A61&amp;"-M"&amp;TEXT(COUNTIF($A$2:A61,A61),"00"))</f>
        <v/>
      </c>
      <c r="H61" s="14" t="n"/>
      <c r="I61" s="14" t="n"/>
    </row>
    <row r="62">
      <c r="B62">
        <f>IFERROR(VLOOKUP(A62,Risk_Assessment!$B$2:$D$1000,2,FALSE),"")</f>
        <v/>
      </c>
      <c r="C62">
        <f>IF(ISBLANK(A62),"",A62&amp;"-M"&amp;TEXT(COUNTIF($A$2:A62,A62),"00"))</f>
        <v/>
      </c>
      <c r="H62" s="14" t="n"/>
      <c r="I62" s="14" t="n"/>
    </row>
    <row r="63">
      <c r="B63">
        <f>IFERROR(VLOOKUP(A63,Risk_Assessment!$B$2:$D$1000,2,FALSE),"")</f>
        <v/>
      </c>
      <c r="C63">
        <f>IF(ISBLANK(A63),"",A63&amp;"-M"&amp;TEXT(COUNTIF($A$2:A63,A63),"00"))</f>
        <v/>
      </c>
      <c r="H63" s="14" t="n"/>
      <c r="I63" s="14" t="n"/>
    </row>
    <row r="64">
      <c r="B64">
        <f>IFERROR(VLOOKUP(A64,Risk_Assessment!$B$2:$D$1000,2,FALSE),"")</f>
        <v/>
      </c>
      <c r="C64">
        <f>IF(ISBLANK(A64),"",A64&amp;"-M"&amp;TEXT(COUNTIF($A$2:A64,A64),"00"))</f>
        <v/>
      </c>
      <c r="H64" s="14" t="n"/>
      <c r="I64" s="14" t="n"/>
    </row>
    <row r="65">
      <c r="B65">
        <f>IFERROR(VLOOKUP(A65,Risk_Assessment!$B$2:$D$1000,2,FALSE),"")</f>
        <v/>
      </c>
      <c r="C65">
        <f>IF(ISBLANK(A65),"",A65&amp;"-M"&amp;TEXT(COUNTIF($A$2:A65,A65),"00"))</f>
        <v/>
      </c>
      <c r="H65" s="14" t="n"/>
      <c r="I65" s="14" t="n"/>
    </row>
    <row r="66">
      <c r="B66">
        <f>IFERROR(VLOOKUP(A66,Risk_Assessment!$B$2:$D$1000,2,FALSE),"")</f>
        <v/>
      </c>
      <c r="C66">
        <f>IF(ISBLANK(A66),"",A66&amp;"-M"&amp;TEXT(COUNTIF($A$2:A66,A66),"00"))</f>
        <v/>
      </c>
      <c r="H66" s="14" t="n"/>
      <c r="I66" s="14" t="n"/>
    </row>
    <row r="67">
      <c r="B67">
        <f>IFERROR(VLOOKUP(A67,Risk_Assessment!$B$2:$D$1000,2,FALSE),"")</f>
        <v/>
      </c>
      <c r="C67">
        <f>IF(ISBLANK(A67),"",A67&amp;"-M"&amp;TEXT(COUNTIF($A$2:A67,A67),"00"))</f>
        <v/>
      </c>
      <c r="H67" s="14" t="n"/>
      <c r="I67" s="14" t="n"/>
    </row>
    <row r="68">
      <c r="B68">
        <f>IFERROR(VLOOKUP(A68,Risk_Assessment!$B$2:$D$1000,2,FALSE),"")</f>
        <v/>
      </c>
      <c r="C68">
        <f>IF(ISBLANK(A68),"",A68&amp;"-M"&amp;TEXT(COUNTIF($A$2:A68,A68),"00"))</f>
        <v/>
      </c>
      <c r="H68" s="14" t="n"/>
      <c r="I68" s="14" t="n"/>
    </row>
    <row r="69">
      <c r="B69">
        <f>IFERROR(VLOOKUP(A69,Risk_Assessment!$B$2:$D$1000,2,FALSE),"")</f>
        <v/>
      </c>
      <c r="C69">
        <f>IF(ISBLANK(A69),"",A69&amp;"-M"&amp;TEXT(COUNTIF($A$2:A69,A69),"00"))</f>
        <v/>
      </c>
      <c r="H69" s="14" t="n"/>
      <c r="I69" s="14" t="n"/>
    </row>
    <row r="70">
      <c r="B70">
        <f>IFERROR(VLOOKUP(A70,Risk_Assessment!$B$2:$D$1000,2,FALSE),"")</f>
        <v/>
      </c>
      <c r="C70">
        <f>IF(ISBLANK(A70),"",A70&amp;"-M"&amp;TEXT(COUNTIF($A$2:A70,A70),"00"))</f>
        <v/>
      </c>
      <c r="H70" s="14" t="n"/>
      <c r="I70" s="14" t="n"/>
    </row>
    <row r="71">
      <c r="B71">
        <f>IFERROR(VLOOKUP(A71,Risk_Assessment!$B$2:$D$1000,2,FALSE),"")</f>
        <v/>
      </c>
      <c r="C71">
        <f>IF(ISBLANK(A71),"",A71&amp;"-M"&amp;TEXT(COUNTIF($A$2:A71,A71),"00"))</f>
        <v/>
      </c>
      <c r="H71" s="14" t="n"/>
      <c r="I71" s="14" t="n"/>
    </row>
    <row r="72">
      <c r="B72">
        <f>IFERROR(VLOOKUP(A72,Risk_Assessment!$B$2:$D$1000,2,FALSE),"")</f>
        <v/>
      </c>
      <c r="C72">
        <f>IF(ISBLANK(A72),"",A72&amp;"-M"&amp;TEXT(COUNTIF($A$2:A72,A72),"00"))</f>
        <v/>
      </c>
      <c r="H72" s="14" t="n"/>
      <c r="I72" s="14" t="n"/>
    </row>
    <row r="73">
      <c r="B73">
        <f>IFERROR(VLOOKUP(A73,Risk_Assessment!$B$2:$D$1000,2,FALSE),"")</f>
        <v/>
      </c>
      <c r="C73">
        <f>IF(ISBLANK(A73),"",A73&amp;"-M"&amp;TEXT(COUNTIF($A$2:A73,A73),"00"))</f>
        <v/>
      </c>
      <c r="H73" s="14" t="n"/>
      <c r="I73" s="14" t="n"/>
    </row>
    <row r="74">
      <c r="B74">
        <f>IFERROR(VLOOKUP(A74,Risk_Assessment!$B$2:$D$1000,2,FALSE),"")</f>
        <v/>
      </c>
      <c r="C74">
        <f>IF(ISBLANK(A74),"",A74&amp;"-M"&amp;TEXT(COUNTIF($A$2:A74,A74),"00"))</f>
        <v/>
      </c>
      <c r="H74" s="14" t="n"/>
      <c r="I74" s="14" t="n"/>
    </row>
    <row r="75">
      <c r="B75">
        <f>IFERROR(VLOOKUP(A75,Risk_Assessment!$B$2:$D$1000,2,FALSE),"")</f>
        <v/>
      </c>
      <c r="C75">
        <f>IF(ISBLANK(A75),"",A75&amp;"-M"&amp;TEXT(COUNTIF($A$2:A75,A75),"00"))</f>
        <v/>
      </c>
      <c r="H75" s="14" t="n"/>
      <c r="I75" s="14" t="n"/>
    </row>
    <row r="76">
      <c r="B76">
        <f>IFERROR(VLOOKUP(A76,Risk_Assessment!$B$2:$D$1000,2,FALSE),"")</f>
        <v/>
      </c>
      <c r="C76">
        <f>IF(ISBLANK(A76),"",A76&amp;"-M"&amp;TEXT(COUNTIF($A$2:A76,A76),"00"))</f>
        <v/>
      </c>
      <c r="H76" s="14" t="n"/>
      <c r="I76" s="14" t="n"/>
    </row>
    <row r="77">
      <c r="B77">
        <f>IFERROR(VLOOKUP(A77,Risk_Assessment!$B$2:$D$1000,2,FALSE),"")</f>
        <v/>
      </c>
      <c r="C77">
        <f>IF(ISBLANK(A77),"",A77&amp;"-M"&amp;TEXT(COUNTIF($A$2:A77,A77),"00"))</f>
        <v/>
      </c>
      <c r="H77" s="14" t="n"/>
      <c r="I77" s="14" t="n"/>
    </row>
    <row r="78">
      <c r="B78">
        <f>IFERROR(VLOOKUP(A78,Risk_Assessment!$B$2:$D$1000,2,FALSE),"")</f>
        <v/>
      </c>
      <c r="C78">
        <f>IF(ISBLANK(A78),"",A78&amp;"-M"&amp;TEXT(COUNTIF($A$2:A78,A78),"00"))</f>
        <v/>
      </c>
      <c r="H78" s="14" t="n"/>
      <c r="I78" s="14" t="n"/>
    </row>
    <row r="79">
      <c r="B79">
        <f>IFERROR(VLOOKUP(A79,Risk_Assessment!$B$2:$D$1000,2,FALSE),"")</f>
        <v/>
      </c>
      <c r="C79">
        <f>IF(ISBLANK(A79),"",A79&amp;"-M"&amp;TEXT(COUNTIF($A$2:A79,A79),"00"))</f>
        <v/>
      </c>
      <c r="H79" s="14" t="n"/>
      <c r="I79" s="14" t="n"/>
    </row>
    <row r="80">
      <c r="B80">
        <f>IFERROR(VLOOKUP(A80,Risk_Assessment!$B$2:$D$1000,2,FALSE),"")</f>
        <v/>
      </c>
      <c r="C80">
        <f>IF(ISBLANK(A80),"",A80&amp;"-M"&amp;TEXT(COUNTIF($A$2:A80,A80),"00"))</f>
        <v/>
      </c>
      <c r="H80" s="14" t="n"/>
      <c r="I80" s="14" t="n"/>
    </row>
    <row r="81">
      <c r="B81">
        <f>IFERROR(VLOOKUP(A81,Risk_Assessment!$B$2:$D$1000,2,FALSE),"")</f>
        <v/>
      </c>
      <c r="C81">
        <f>IF(ISBLANK(A81),"",A81&amp;"-M"&amp;TEXT(COUNTIF($A$2:A81,A81),"00"))</f>
        <v/>
      </c>
      <c r="H81" s="14" t="n"/>
      <c r="I81" s="14" t="n"/>
    </row>
    <row r="82">
      <c r="B82">
        <f>IFERROR(VLOOKUP(A82,Risk_Assessment!$B$2:$D$1000,2,FALSE),"")</f>
        <v/>
      </c>
      <c r="C82">
        <f>IF(ISBLANK(A82),"",A82&amp;"-M"&amp;TEXT(COUNTIF($A$2:A82,A82),"00"))</f>
        <v/>
      </c>
      <c r="H82" s="14" t="n"/>
      <c r="I82" s="14" t="n"/>
    </row>
    <row r="83">
      <c r="B83">
        <f>IFERROR(VLOOKUP(A83,Risk_Assessment!$B$2:$D$1000,2,FALSE),"")</f>
        <v/>
      </c>
      <c r="C83">
        <f>IF(ISBLANK(A83),"",A83&amp;"-M"&amp;TEXT(COUNTIF($A$2:A83,A83),"00"))</f>
        <v/>
      </c>
      <c r="H83" s="14" t="n"/>
      <c r="I83" s="14" t="n"/>
    </row>
    <row r="84">
      <c r="B84">
        <f>IFERROR(VLOOKUP(A84,Risk_Assessment!$B$2:$D$1000,2,FALSE),"")</f>
        <v/>
      </c>
      <c r="C84">
        <f>IF(ISBLANK(A84),"",A84&amp;"-M"&amp;TEXT(COUNTIF($A$2:A84,A84),"00"))</f>
        <v/>
      </c>
      <c r="H84" s="14" t="n"/>
      <c r="I84" s="14" t="n"/>
    </row>
    <row r="85">
      <c r="B85">
        <f>IFERROR(VLOOKUP(A85,Risk_Assessment!$B$2:$D$1000,2,FALSE),"")</f>
        <v/>
      </c>
      <c r="C85">
        <f>IF(ISBLANK(A85),"",A85&amp;"-M"&amp;TEXT(COUNTIF($A$2:A85,A85),"00"))</f>
        <v/>
      </c>
      <c r="H85" s="14" t="n"/>
      <c r="I85" s="14" t="n"/>
    </row>
    <row r="86">
      <c r="B86">
        <f>IFERROR(VLOOKUP(A86,Risk_Assessment!$B$2:$D$1000,2,FALSE),"")</f>
        <v/>
      </c>
      <c r="C86">
        <f>IF(ISBLANK(A86),"",A86&amp;"-M"&amp;TEXT(COUNTIF($A$2:A86,A86),"00"))</f>
        <v/>
      </c>
      <c r="H86" s="14" t="n"/>
      <c r="I86" s="14" t="n"/>
    </row>
    <row r="87">
      <c r="B87">
        <f>IFERROR(VLOOKUP(A87,Risk_Assessment!$B$2:$D$1000,2,FALSE),"")</f>
        <v/>
      </c>
      <c r="C87">
        <f>IF(ISBLANK(A87),"",A87&amp;"-M"&amp;TEXT(COUNTIF($A$2:A87,A87),"00"))</f>
        <v/>
      </c>
      <c r="H87" s="14" t="n"/>
      <c r="I87" s="14" t="n"/>
    </row>
    <row r="88">
      <c r="B88">
        <f>IFERROR(VLOOKUP(A88,Risk_Assessment!$B$2:$D$1000,2,FALSE),"")</f>
        <v/>
      </c>
      <c r="C88">
        <f>IF(ISBLANK(A88),"",A88&amp;"-M"&amp;TEXT(COUNTIF($A$2:A88,A88),"00"))</f>
        <v/>
      </c>
      <c r="H88" s="14" t="n"/>
      <c r="I88" s="14" t="n"/>
    </row>
    <row r="89">
      <c r="B89">
        <f>IFERROR(VLOOKUP(A89,Risk_Assessment!$B$2:$D$1000,2,FALSE),"")</f>
        <v/>
      </c>
      <c r="C89">
        <f>IF(ISBLANK(A89),"",A89&amp;"-M"&amp;TEXT(COUNTIF($A$2:A89,A89),"00"))</f>
        <v/>
      </c>
      <c r="H89" s="14" t="n"/>
      <c r="I89" s="14" t="n"/>
    </row>
    <row r="90">
      <c r="B90">
        <f>IFERROR(VLOOKUP(A90,Risk_Assessment!$B$2:$D$1000,2,FALSE),"")</f>
        <v/>
      </c>
      <c r="C90">
        <f>IF(ISBLANK(A90),"",A90&amp;"-M"&amp;TEXT(COUNTIF($A$2:A90,A90),"00"))</f>
        <v/>
      </c>
      <c r="H90" s="14" t="n"/>
      <c r="I90" s="14" t="n"/>
    </row>
    <row r="91">
      <c r="B91">
        <f>IFERROR(VLOOKUP(A91,Risk_Assessment!$B$2:$D$1000,2,FALSE),"")</f>
        <v/>
      </c>
      <c r="C91">
        <f>IF(ISBLANK(A91),"",A91&amp;"-M"&amp;TEXT(COUNTIF($A$2:A91,A91),"00"))</f>
        <v/>
      </c>
      <c r="H91" s="14" t="n"/>
      <c r="I91" s="14" t="n"/>
    </row>
    <row r="92">
      <c r="B92">
        <f>IFERROR(VLOOKUP(A92,Risk_Assessment!$B$2:$D$1000,2,FALSE),"")</f>
        <v/>
      </c>
      <c r="C92">
        <f>IF(ISBLANK(A92),"",A92&amp;"-M"&amp;TEXT(COUNTIF($A$2:A92,A92),"00"))</f>
        <v/>
      </c>
      <c r="H92" s="14" t="n"/>
      <c r="I92" s="14" t="n"/>
    </row>
    <row r="93">
      <c r="B93">
        <f>IFERROR(VLOOKUP(A93,Risk_Assessment!$B$2:$D$1000,2,FALSE),"")</f>
        <v/>
      </c>
      <c r="C93">
        <f>IF(ISBLANK(A93),"",A93&amp;"-M"&amp;TEXT(COUNTIF($A$2:A93,A93),"00"))</f>
        <v/>
      </c>
      <c r="H93" s="14" t="n"/>
      <c r="I93" s="14" t="n"/>
    </row>
    <row r="94">
      <c r="B94">
        <f>IFERROR(VLOOKUP(A94,Risk_Assessment!$B$2:$D$1000,2,FALSE),"")</f>
        <v/>
      </c>
      <c r="C94">
        <f>IF(ISBLANK(A94),"",A94&amp;"-M"&amp;TEXT(COUNTIF($A$2:A94,A94),"00"))</f>
        <v/>
      </c>
      <c r="H94" s="14" t="n"/>
      <c r="I94" s="14" t="n"/>
    </row>
    <row r="95">
      <c r="B95">
        <f>IFERROR(VLOOKUP(A95,Risk_Assessment!$B$2:$D$1000,2,FALSE),"")</f>
        <v/>
      </c>
      <c r="C95">
        <f>IF(ISBLANK(A95),"",A95&amp;"-M"&amp;TEXT(COUNTIF($A$2:A95,A95),"00"))</f>
        <v/>
      </c>
      <c r="H95" s="14" t="n"/>
      <c r="I95" s="14" t="n"/>
    </row>
    <row r="96">
      <c r="B96">
        <f>IFERROR(VLOOKUP(A96,Risk_Assessment!$B$2:$D$1000,2,FALSE),"")</f>
        <v/>
      </c>
      <c r="C96">
        <f>IF(ISBLANK(A96),"",A96&amp;"-M"&amp;TEXT(COUNTIF($A$2:A96,A96),"00"))</f>
        <v/>
      </c>
      <c r="H96" s="14" t="n"/>
      <c r="I96" s="14" t="n"/>
    </row>
    <row r="97">
      <c r="B97">
        <f>IFERROR(VLOOKUP(A97,Risk_Assessment!$B$2:$D$1000,2,FALSE),"")</f>
        <v/>
      </c>
      <c r="C97">
        <f>IF(ISBLANK(A97),"",A97&amp;"-M"&amp;TEXT(COUNTIF($A$2:A97,A97),"00"))</f>
        <v/>
      </c>
      <c r="H97" s="14" t="n"/>
      <c r="I97" s="14" t="n"/>
    </row>
    <row r="98">
      <c r="B98">
        <f>IFERROR(VLOOKUP(A98,Risk_Assessment!$B$2:$D$1000,2,FALSE),"")</f>
        <v/>
      </c>
      <c r="C98">
        <f>IF(ISBLANK(A98),"",A98&amp;"-M"&amp;TEXT(COUNTIF($A$2:A98,A98),"00"))</f>
        <v/>
      </c>
      <c r="H98" s="14" t="n"/>
      <c r="I98" s="14" t="n"/>
    </row>
    <row r="99">
      <c r="B99">
        <f>IFERROR(VLOOKUP(A99,Risk_Assessment!$B$2:$D$1000,2,FALSE),"")</f>
        <v/>
      </c>
      <c r="C99">
        <f>IF(ISBLANK(A99),"",A99&amp;"-M"&amp;TEXT(COUNTIF($A$2:A99,A99),"00"))</f>
        <v/>
      </c>
      <c r="H99" s="14" t="n"/>
      <c r="I99" s="14" t="n"/>
    </row>
    <row r="100">
      <c r="B100">
        <f>IFERROR(VLOOKUP(A100,Risk_Assessment!$B$2:$D$1000,2,FALSE),"")</f>
        <v/>
      </c>
      <c r="C100">
        <f>IF(ISBLANK(A100),"",A100&amp;"-M"&amp;TEXT(COUNTIF($A$2:A100,A100),"00"))</f>
        <v/>
      </c>
      <c r="H100" s="14" t="n"/>
      <c r="I100" s="14" t="n"/>
    </row>
    <row r="101">
      <c r="B101">
        <f>IFERROR(VLOOKUP(A101,Risk_Assessment!$B$2:$D$1000,2,FALSE),"")</f>
        <v/>
      </c>
      <c r="C101">
        <f>IF(ISBLANK(A101),"",A101&amp;"-M"&amp;TEXT(COUNTIF($A$2:A101,A101),"00"))</f>
        <v/>
      </c>
      <c r="H101" s="14" t="n"/>
      <c r="I101" s="14" t="n"/>
    </row>
    <row r="102">
      <c r="B102">
        <f>IFERROR(VLOOKUP(A102,Risk_Assessment!$B$2:$D$1000,2,FALSE),"")</f>
        <v/>
      </c>
      <c r="C102">
        <f>IF(ISBLANK(A102),"",A102&amp;"-M"&amp;TEXT(COUNTIF($A$2:A102,A102),"00"))</f>
        <v/>
      </c>
      <c r="H102" s="14" t="n"/>
      <c r="I102" s="14" t="n"/>
    </row>
    <row r="103">
      <c r="B103">
        <f>IFERROR(VLOOKUP(A103,Risk_Assessment!$B$2:$D$1000,2,FALSE),"")</f>
        <v/>
      </c>
      <c r="C103">
        <f>IF(ISBLANK(A103),"",A103&amp;"-M"&amp;TEXT(COUNTIF($A$2:A103,A103),"00"))</f>
        <v/>
      </c>
      <c r="H103" s="14" t="n"/>
      <c r="I103" s="14" t="n"/>
    </row>
    <row r="104">
      <c r="B104">
        <f>IFERROR(VLOOKUP(A104,Risk_Assessment!$B$2:$D$1000,2,FALSE),"")</f>
        <v/>
      </c>
      <c r="C104">
        <f>IF(ISBLANK(A104),"",A104&amp;"-M"&amp;TEXT(COUNTIF($A$2:A104,A104),"00"))</f>
        <v/>
      </c>
      <c r="H104" s="14" t="n"/>
      <c r="I104" s="14" t="n"/>
    </row>
    <row r="105">
      <c r="B105">
        <f>IFERROR(VLOOKUP(A105,Risk_Assessment!$B$2:$D$1000,2,FALSE),"")</f>
        <v/>
      </c>
      <c r="C105">
        <f>IF(ISBLANK(A105),"",A105&amp;"-M"&amp;TEXT(COUNTIF($A$2:A105,A105),"00"))</f>
        <v/>
      </c>
      <c r="H105" s="14" t="n"/>
      <c r="I105" s="14" t="n"/>
    </row>
    <row r="106">
      <c r="B106">
        <f>IFERROR(VLOOKUP(A106,Risk_Assessment!$B$2:$D$1000,2,FALSE),"")</f>
        <v/>
      </c>
      <c r="C106">
        <f>IF(ISBLANK(A106),"",A106&amp;"-M"&amp;TEXT(COUNTIF($A$2:A106,A106),"00"))</f>
        <v/>
      </c>
      <c r="H106" s="14" t="n"/>
      <c r="I106" s="14" t="n"/>
    </row>
    <row r="107">
      <c r="B107">
        <f>IFERROR(VLOOKUP(A107,Risk_Assessment!$B$2:$D$1000,2,FALSE),"")</f>
        <v/>
      </c>
      <c r="C107">
        <f>IF(ISBLANK(A107),"",A107&amp;"-M"&amp;TEXT(COUNTIF($A$2:A107,A107),"00"))</f>
        <v/>
      </c>
      <c r="H107" s="14" t="n"/>
      <c r="I107" s="14" t="n"/>
    </row>
    <row r="108">
      <c r="B108">
        <f>IFERROR(VLOOKUP(A108,Risk_Assessment!$B$2:$D$1000,2,FALSE),"")</f>
        <v/>
      </c>
      <c r="C108">
        <f>IF(ISBLANK(A108),"",A108&amp;"-M"&amp;TEXT(COUNTIF($A$2:A108,A108),"00"))</f>
        <v/>
      </c>
      <c r="H108" s="14" t="n"/>
      <c r="I108" s="14" t="n"/>
    </row>
    <row r="109">
      <c r="B109">
        <f>IFERROR(VLOOKUP(A109,Risk_Assessment!$B$2:$D$1000,2,FALSE),"")</f>
        <v/>
      </c>
      <c r="C109">
        <f>IF(ISBLANK(A109),"",A109&amp;"-M"&amp;TEXT(COUNTIF($A$2:A109,A109),"00"))</f>
        <v/>
      </c>
      <c r="H109" s="14" t="n"/>
      <c r="I109" s="14" t="n"/>
    </row>
    <row r="110">
      <c r="B110">
        <f>IFERROR(VLOOKUP(A110,Risk_Assessment!$B$2:$D$1000,2,FALSE),"")</f>
        <v/>
      </c>
      <c r="C110">
        <f>IF(ISBLANK(A110),"",A110&amp;"-M"&amp;TEXT(COUNTIF($A$2:A110,A110),"00"))</f>
        <v/>
      </c>
      <c r="H110" s="14" t="n"/>
      <c r="I110" s="14" t="n"/>
    </row>
    <row r="111">
      <c r="B111">
        <f>IFERROR(VLOOKUP(A111,Risk_Assessment!$B$2:$D$1000,2,FALSE),"")</f>
        <v/>
      </c>
      <c r="C111">
        <f>IF(ISBLANK(A111),"",A111&amp;"-M"&amp;TEXT(COUNTIF($A$2:A111,A111),"00"))</f>
        <v/>
      </c>
      <c r="H111" s="14" t="n"/>
      <c r="I111" s="14" t="n"/>
    </row>
    <row r="112">
      <c r="B112">
        <f>IFERROR(VLOOKUP(A112,Risk_Assessment!$B$2:$D$1000,2,FALSE),"")</f>
        <v/>
      </c>
      <c r="C112">
        <f>IF(ISBLANK(A112),"",A112&amp;"-M"&amp;TEXT(COUNTIF($A$2:A112,A112),"00"))</f>
        <v/>
      </c>
      <c r="H112" s="14" t="n"/>
      <c r="I112" s="14" t="n"/>
    </row>
    <row r="113">
      <c r="B113">
        <f>IFERROR(VLOOKUP(A113,Risk_Assessment!$B$2:$D$1000,2,FALSE),"")</f>
        <v/>
      </c>
      <c r="C113">
        <f>IF(ISBLANK(A113),"",A113&amp;"-M"&amp;TEXT(COUNTIF($A$2:A113,A113),"00"))</f>
        <v/>
      </c>
      <c r="H113" s="14" t="n"/>
      <c r="I113" s="14" t="n"/>
    </row>
    <row r="114">
      <c r="B114">
        <f>IFERROR(VLOOKUP(A114,Risk_Assessment!$B$2:$D$1000,2,FALSE),"")</f>
        <v/>
      </c>
      <c r="C114">
        <f>IF(ISBLANK(A114),"",A114&amp;"-M"&amp;TEXT(COUNTIF($A$2:A114,A114),"00"))</f>
        <v/>
      </c>
      <c r="H114" s="14" t="n"/>
      <c r="I114" s="14" t="n"/>
    </row>
    <row r="115">
      <c r="B115">
        <f>IFERROR(VLOOKUP(A115,Risk_Assessment!$B$2:$D$1000,2,FALSE),"")</f>
        <v/>
      </c>
      <c r="C115">
        <f>IF(ISBLANK(A115),"",A115&amp;"-M"&amp;TEXT(COUNTIF($A$2:A115,A115),"00"))</f>
        <v/>
      </c>
      <c r="H115" s="14" t="n"/>
      <c r="I115" s="14" t="n"/>
    </row>
    <row r="116">
      <c r="B116">
        <f>IFERROR(VLOOKUP(A116,Risk_Assessment!$B$2:$D$1000,2,FALSE),"")</f>
        <v/>
      </c>
      <c r="C116">
        <f>IF(ISBLANK(A116),"",A116&amp;"-M"&amp;TEXT(COUNTIF($A$2:A116,A116),"00"))</f>
        <v/>
      </c>
      <c r="H116" s="14" t="n"/>
      <c r="I116" s="14" t="n"/>
    </row>
    <row r="117">
      <c r="B117">
        <f>IFERROR(VLOOKUP(A117,Risk_Assessment!$B$2:$D$1000,2,FALSE),"")</f>
        <v/>
      </c>
      <c r="C117">
        <f>IF(ISBLANK(A117),"",A117&amp;"-M"&amp;TEXT(COUNTIF($A$2:A117,A117),"00"))</f>
        <v/>
      </c>
      <c r="H117" s="14" t="n"/>
      <c r="I117" s="14" t="n"/>
    </row>
    <row r="118">
      <c r="B118">
        <f>IFERROR(VLOOKUP(A118,Risk_Assessment!$B$2:$D$1000,2,FALSE),"")</f>
        <v/>
      </c>
      <c r="C118">
        <f>IF(ISBLANK(A118),"",A118&amp;"-M"&amp;TEXT(COUNTIF($A$2:A118,A118),"00"))</f>
        <v/>
      </c>
      <c r="H118" s="14" t="n"/>
      <c r="I118" s="14" t="n"/>
    </row>
    <row r="119">
      <c r="B119">
        <f>IFERROR(VLOOKUP(A119,Risk_Assessment!$B$2:$D$1000,2,FALSE),"")</f>
        <v/>
      </c>
      <c r="C119">
        <f>IF(ISBLANK(A119),"",A119&amp;"-M"&amp;TEXT(COUNTIF($A$2:A119,A119),"00"))</f>
        <v/>
      </c>
      <c r="H119" s="14" t="n"/>
      <c r="I119" s="14" t="n"/>
    </row>
    <row r="120">
      <c r="B120">
        <f>IFERROR(VLOOKUP(A120,Risk_Assessment!$B$2:$D$1000,2,FALSE),"")</f>
        <v/>
      </c>
      <c r="C120">
        <f>IF(ISBLANK(A120),"",A120&amp;"-M"&amp;TEXT(COUNTIF($A$2:A120,A120),"00"))</f>
        <v/>
      </c>
      <c r="H120" s="14" t="n"/>
      <c r="I120" s="14" t="n"/>
    </row>
    <row r="121">
      <c r="B121">
        <f>IFERROR(VLOOKUP(A121,Risk_Assessment!$B$2:$D$1000,2,FALSE),"")</f>
        <v/>
      </c>
      <c r="C121">
        <f>IF(ISBLANK(A121),"",A121&amp;"-M"&amp;TEXT(COUNTIF($A$2:A121,A121),"00"))</f>
        <v/>
      </c>
      <c r="H121" s="14" t="n"/>
      <c r="I121" s="14" t="n"/>
    </row>
    <row r="122">
      <c r="B122">
        <f>IFERROR(VLOOKUP(A122,Risk_Assessment!$B$2:$D$1000,2,FALSE),"")</f>
        <v/>
      </c>
      <c r="C122">
        <f>IF(ISBLANK(A122),"",A122&amp;"-M"&amp;TEXT(COUNTIF($A$2:A122,A122),"00"))</f>
        <v/>
      </c>
      <c r="H122" s="14" t="n"/>
      <c r="I122" s="14" t="n"/>
    </row>
    <row r="123">
      <c r="B123">
        <f>IFERROR(VLOOKUP(A123,Risk_Assessment!$B$2:$D$1000,2,FALSE),"")</f>
        <v/>
      </c>
      <c r="C123">
        <f>IF(ISBLANK(A123),"",A123&amp;"-M"&amp;TEXT(COUNTIF($A$2:A123,A123),"00"))</f>
        <v/>
      </c>
      <c r="H123" s="14" t="n"/>
      <c r="I123" s="14" t="n"/>
    </row>
    <row r="124">
      <c r="B124">
        <f>IFERROR(VLOOKUP(A124,Risk_Assessment!$B$2:$D$1000,2,FALSE),"")</f>
        <v/>
      </c>
      <c r="C124">
        <f>IF(ISBLANK(A124),"",A124&amp;"-M"&amp;TEXT(COUNTIF($A$2:A124,A124),"00"))</f>
        <v/>
      </c>
      <c r="H124" s="14" t="n"/>
      <c r="I124" s="14" t="n"/>
    </row>
    <row r="125">
      <c r="B125">
        <f>IFERROR(VLOOKUP(A125,Risk_Assessment!$B$2:$D$1000,2,FALSE),"")</f>
        <v/>
      </c>
      <c r="C125">
        <f>IF(ISBLANK(A125),"",A125&amp;"-M"&amp;TEXT(COUNTIF($A$2:A125,A125),"00"))</f>
        <v/>
      </c>
      <c r="H125" s="14" t="n"/>
      <c r="I125" s="14" t="n"/>
    </row>
    <row r="126">
      <c r="B126">
        <f>IFERROR(VLOOKUP(A126,Risk_Assessment!$B$2:$D$1000,2,FALSE),"")</f>
        <v/>
      </c>
      <c r="C126">
        <f>IF(ISBLANK(A126),"",A126&amp;"-M"&amp;TEXT(COUNTIF($A$2:A126,A126),"00"))</f>
        <v/>
      </c>
      <c r="H126" s="14" t="n"/>
      <c r="I126" s="14" t="n"/>
    </row>
    <row r="127">
      <c r="B127">
        <f>IFERROR(VLOOKUP(A127,Risk_Assessment!$B$2:$D$1000,2,FALSE),"")</f>
        <v/>
      </c>
      <c r="C127">
        <f>IF(ISBLANK(A127),"",A127&amp;"-M"&amp;TEXT(COUNTIF($A$2:A127,A127),"00"))</f>
        <v/>
      </c>
      <c r="H127" s="14" t="n"/>
      <c r="I127" s="14" t="n"/>
    </row>
    <row r="128">
      <c r="B128">
        <f>IFERROR(VLOOKUP(A128,Risk_Assessment!$B$2:$D$1000,2,FALSE),"")</f>
        <v/>
      </c>
      <c r="C128">
        <f>IF(ISBLANK(A128),"",A128&amp;"-M"&amp;TEXT(COUNTIF($A$2:A128,A128),"00"))</f>
        <v/>
      </c>
      <c r="H128" s="14" t="n"/>
      <c r="I128" s="14" t="n"/>
    </row>
    <row r="129">
      <c r="B129">
        <f>IFERROR(VLOOKUP(A129,Risk_Assessment!$B$2:$D$1000,2,FALSE),"")</f>
        <v/>
      </c>
      <c r="C129">
        <f>IF(ISBLANK(A129),"",A129&amp;"-M"&amp;TEXT(COUNTIF($A$2:A129,A129),"00"))</f>
        <v/>
      </c>
      <c r="H129" s="14" t="n"/>
      <c r="I129" s="14" t="n"/>
    </row>
    <row r="130">
      <c r="B130">
        <f>IFERROR(VLOOKUP(A130,Risk_Assessment!$B$2:$D$1000,2,FALSE),"")</f>
        <v/>
      </c>
      <c r="C130">
        <f>IF(ISBLANK(A130),"",A130&amp;"-M"&amp;TEXT(COUNTIF($A$2:A130,A130),"00"))</f>
        <v/>
      </c>
      <c r="H130" s="14" t="n"/>
      <c r="I130" s="14" t="n"/>
    </row>
    <row r="131">
      <c r="B131">
        <f>IFERROR(VLOOKUP(A131,Risk_Assessment!$B$2:$D$1000,2,FALSE),"")</f>
        <v/>
      </c>
      <c r="C131">
        <f>IF(ISBLANK(A131),"",A131&amp;"-M"&amp;TEXT(COUNTIF($A$2:A131,A131),"00"))</f>
        <v/>
      </c>
      <c r="H131" s="14" t="n"/>
      <c r="I131" s="14" t="n"/>
    </row>
    <row r="132">
      <c r="B132">
        <f>IFERROR(VLOOKUP(A132,Risk_Assessment!$B$2:$D$1000,2,FALSE),"")</f>
        <v/>
      </c>
      <c r="C132">
        <f>IF(ISBLANK(A132),"",A132&amp;"-M"&amp;TEXT(COUNTIF($A$2:A132,A132),"00"))</f>
        <v/>
      </c>
      <c r="H132" s="14" t="n"/>
      <c r="I132" s="14" t="n"/>
    </row>
    <row r="133">
      <c r="B133">
        <f>IFERROR(VLOOKUP(A133,Risk_Assessment!$B$2:$D$1000,2,FALSE),"")</f>
        <v/>
      </c>
      <c r="C133">
        <f>IF(ISBLANK(A133),"",A133&amp;"-M"&amp;TEXT(COUNTIF($A$2:A133,A133),"00"))</f>
        <v/>
      </c>
      <c r="H133" s="14" t="n"/>
      <c r="I133" s="14" t="n"/>
    </row>
    <row r="134">
      <c r="B134">
        <f>IFERROR(VLOOKUP(A134,Risk_Assessment!$B$2:$D$1000,2,FALSE),"")</f>
        <v/>
      </c>
      <c r="C134">
        <f>IF(ISBLANK(A134),"",A134&amp;"-M"&amp;TEXT(COUNTIF($A$2:A134,A134),"00"))</f>
        <v/>
      </c>
      <c r="H134" s="14" t="n"/>
      <c r="I134" s="14" t="n"/>
    </row>
    <row r="135">
      <c r="B135">
        <f>IFERROR(VLOOKUP(A135,Risk_Assessment!$B$2:$D$1000,2,FALSE),"")</f>
        <v/>
      </c>
      <c r="C135">
        <f>IF(ISBLANK(A135),"",A135&amp;"-M"&amp;TEXT(COUNTIF($A$2:A135,A135),"00"))</f>
        <v/>
      </c>
      <c r="H135" s="14" t="n"/>
      <c r="I135" s="14" t="n"/>
    </row>
    <row r="136">
      <c r="B136">
        <f>IFERROR(VLOOKUP(A136,Risk_Assessment!$B$2:$D$1000,2,FALSE),"")</f>
        <v/>
      </c>
      <c r="C136">
        <f>IF(ISBLANK(A136),"",A136&amp;"-M"&amp;TEXT(COUNTIF($A$2:A136,A136),"00"))</f>
        <v/>
      </c>
      <c r="H136" s="14" t="n"/>
      <c r="I136" s="14" t="n"/>
    </row>
    <row r="137">
      <c r="B137">
        <f>IFERROR(VLOOKUP(A137,Risk_Assessment!$B$2:$D$1000,2,FALSE),"")</f>
        <v/>
      </c>
      <c r="C137">
        <f>IF(ISBLANK(A137),"",A137&amp;"-M"&amp;TEXT(COUNTIF($A$2:A137,A137),"00"))</f>
        <v/>
      </c>
      <c r="H137" s="14" t="n"/>
      <c r="I137" s="14" t="n"/>
    </row>
    <row r="138">
      <c r="B138">
        <f>IFERROR(VLOOKUP(A138,Risk_Assessment!$B$2:$D$1000,2,FALSE),"")</f>
        <v/>
      </c>
      <c r="C138">
        <f>IF(ISBLANK(A138),"",A138&amp;"-M"&amp;TEXT(COUNTIF($A$2:A138,A138),"00"))</f>
        <v/>
      </c>
      <c r="H138" s="14" t="n"/>
      <c r="I138" s="14" t="n"/>
    </row>
    <row r="139">
      <c r="B139">
        <f>IFERROR(VLOOKUP(A139,Risk_Assessment!$B$2:$D$1000,2,FALSE),"")</f>
        <v/>
      </c>
      <c r="C139">
        <f>IF(ISBLANK(A139),"",A139&amp;"-M"&amp;TEXT(COUNTIF($A$2:A139,A139),"00"))</f>
        <v/>
      </c>
      <c r="H139" s="14" t="n"/>
      <c r="I139" s="14" t="n"/>
    </row>
    <row r="140">
      <c r="B140">
        <f>IFERROR(VLOOKUP(A140,Risk_Assessment!$B$2:$D$1000,2,FALSE),"")</f>
        <v/>
      </c>
      <c r="C140">
        <f>IF(ISBLANK(A140),"",A140&amp;"-M"&amp;TEXT(COUNTIF($A$2:A140,A140),"00"))</f>
        <v/>
      </c>
      <c r="H140" s="14" t="n"/>
      <c r="I140" s="14" t="n"/>
    </row>
    <row r="141">
      <c r="B141">
        <f>IFERROR(VLOOKUP(A141,Risk_Assessment!$B$2:$D$1000,2,FALSE),"")</f>
        <v/>
      </c>
      <c r="C141">
        <f>IF(ISBLANK(A141),"",A141&amp;"-M"&amp;TEXT(COUNTIF($A$2:A141,A141),"00"))</f>
        <v/>
      </c>
      <c r="H141" s="14" t="n"/>
      <c r="I141" s="14" t="n"/>
    </row>
    <row r="142">
      <c r="B142">
        <f>IFERROR(VLOOKUP(A142,Risk_Assessment!$B$2:$D$1000,2,FALSE),"")</f>
        <v/>
      </c>
      <c r="C142">
        <f>IF(ISBLANK(A142),"",A142&amp;"-M"&amp;TEXT(COUNTIF($A$2:A142,A142),"00"))</f>
        <v/>
      </c>
      <c r="H142" s="14" t="n"/>
      <c r="I142" s="14" t="n"/>
    </row>
    <row r="143">
      <c r="B143">
        <f>IFERROR(VLOOKUP(A143,Risk_Assessment!$B$2:$D$1000,2,FALSE),"")</f>
        <v/>
      </c>
      <c r="C143">
        <f>IF(ISBLANK(A143),"",A143&amp;"-M"&amp;TEXT(COUNTIF($A$2:A143,A143),"00"))</f>
        <v/>
      </c>
      <c r="H143" s="14" t="n"/>
      <c r="I143" s="14" t="n"/>
    </row>
    <row r="144">
      <c r="B144">
        <f>IFERROR(VLOOKUP(A144,Risk_Assessment!$B$2:$D$1000,2,FALSE),"")</f>
        <v/>
      </c>
      <c r="C144">
        <f>IF(ISBLANK(A144),"",A144&amp;"-M"&amp;TEXT(COUNTIF($A$2:A144,A144),"00"))</f>
        <v/>
      </c>
      <c r="H144" s="14" t="n"/>
      <c r="I144" s="14" t="n"/>
    </row>
    <row r="145">
      <c r="B145">
        <f>IFERROR(VLOOKUP(A145,Risk_Assessment!$B$2:$D$1000,2,FALSE),"")</f>
        <v/>
      </c>
      <c r="C145">
        <f>IF(ISBLANK(A145),"",A145&amp;"-M"&amp;TEXT(COUNTIF($A$2:A145,A145),"00"))</f>
        <v/>
      </c>
      <c r="H145" s="14" t="n"/>
      <c r="I145" s="14" t="n"/>
    </row>
    <row r="146">
      <c r="B146">
        <f>IFERROR(VLOOKUP(A146,Risk_Assessment!$B$2:$D$1000,2,FALSE),"")</f>
        <v/>
      </c>
      <c r="C146">
        <f>IF(ISBLANK(A146),"",A146&amp;"-M"&amp;TEXT(COUNTIF($A$2:A146,A146),"00"))</f>
        <v/>
      </c>
      <c r="H146" s="14" t="n"/>
      <c r="I146" s="14" t="n"/>
    </row>
    <row r="147">
      <c r="B147">
        <f>IFERROR(VLOOKUP(A147,Risk_Assessment!$B$2:$D$1000,2,FALSE),"")</f>
        <v/>
      </c>
      <c r="C147">
        <f>IF(ISBLANK(A147),"",A147&amp;"-M"&amp;TEXT(COUNTIF($A$2:A147,A147),"00"))</f>
        <v/>
      </c>
      <c r="H147" s="14" t="n"/>
      <c r="I147" s="14" t="n"/>
    </row>
    <row r="148">
      <c r="B148">
        <f>IFERROR(VLOOKUP(A148,Risk_Assessment!$B$2:$D$1000,2,FALSE),"")</f>
        <v/>
      </c>
      <c r="C148">
        <f>IF(ISBLANK(A148),"",A148&amp;"-M"&amp;TEXT(COUNTIF($A$2:A148,A148),"00"))</f>
        <v/>
      </c>
      <c r="H148" s="14" t="n"/>
      <c r="I148" s="14" t="n"/>
    </row>
    <row r="149">
      <c r="B149">
        <f>IFERROR(VLOOKUP(A149,Risk_Assessment!$B$2:$D$1000,2,FALSE),"")</f>
        <v/>
      </c>
      <c r="C149">
        <f>IF(ISBLANK(A149),"",A149&amp;"-M"&amp;TEXT(COUNTIF($A$2:A149,A149),"00"))</f>
        <v/>
      </c>
      <c r="H149" s="14" t="n"/>
      <c r="I149" s="14" t="n"/>
    </row>
    <row r="150">
      <c r="B150">
        <f>IFERROR(VLOOKUP(A150,Risk_Assessment!$B$2:$D$1000,2,FALSE),"")</f>
        <v/>
      </c>
      <c r="C150">
        <f>IF(ISBLANK(A150),"",A150&amp;"-M"&amp;TEXT(COUNTIF($A$2:A150,A150),"00"))</f>
        <v/>
      </c>
      <c r="H150" s="14" t="n"/>
      <c r="I150" s="14" t="n"/>
    </row>
    <row r="151">
      <c r="B151">
        <f>IFERROR(VLOOKUP(A151,Risk_Assessment!$B$2:$D$1000,2,FALSE),"")</f>
        <v/>
      </c>
      <c r="C151">
        <f>IF(ISBLANK(A151),"",A151&amp;"-M"&amp;TEXT(COUNTIF($A$2:A151,A151),"00"))</f>
        <v/>
      </c>
      <c r="H151" s="14" t="n"/>
      <c r="I151" s="14" t="n"/>
    </row>
    <row r="152">
      <c r="B152">
        <f>IFERROR(VLOOKUP(A152,Risk_Assessment!$B$2:$D$1000,2,FALSE),"")</f>
        <v/>
      </c>
      <c r="C152">
        <f>IF(ISBLANK(A152),"",A152&amp;"-M"&amp;TEXT(COUNTIF($A$2:A152,A152),"00"))</f>
        <v/>
      </c>
      <c r="H152" s="14" t="n"/>
      <c r="I152" s="14" t="n"/>
    </row>
    <row r="153">
      <c r="B153">
        <f>IFERROR(VLOOKUP(A153,Risk_Assessment!$B$2:$D$1000,2,FALSE),"")</f>
        <v/>
      </c>
      <c r="C153">
        <f>IF(ISBLANK(A153),"",A153&amp;"-M"&amp;TEXT(COUNTIF($A$2:A153,A153),"00"))</f>
        <v/>
      </c>
      <c r="H153" s="14" t="n"/>
      <c r="I153" s="14" t="n"/>
    </row>
    <row r="154">
      <c r="B154">
        <f>IFERROR(VLOOKUP(A154,Risk_Assessment!$B$2:$D$1000,2,FALSE),"")</f>
        <v/>
      </c>
      <c r="C154">
        <f>IF(ISBLANK(A154),"",A154&amp;"-M"&amp;TEXT(COUNTIF($A$2:A154,A154),"00"))</f>
        <v/>
      </c>
      <c r="H154" s="14" t="n"/>
      <c r="I154" s="14" t="n"/>
    </row>
    <row r="155">
      <c r="B155">
        <f>IFERROR(VLOOKUP(A155,Risk_Assessment!$B$2:$D$1000,2,FALSE),"")</f>
        <v/>
      </c>
      <c r="C155">
        <f>IF(ISBLANK(A155),"",A155&amp;"-M"&amp;TEXT(COUNTIF($A$2:A155,A155),"00"))</f>
        <v/>
      </c>
      <c r="H155" s="14" t="n"/>
      <c r="I155" s="14" t="n"/>
    </row>
    <row r="156">
      <c r="B156">
        <f>IFERROR(VLOOKUP(A156,Risk_Assessment!$B$2:$D$1000,2,FALSE),"")</f>
        <v/>
      </c>
      <c r="C156">
        <f>IF(ISBLANK(A156),"",A156&amp;"-M"&amp;TEXT(COUNTIF($A$2:A156,A156),"00"))</f>
        <v/>
      </c>
      <c r="H156" s="14" t="n"/>
      <c r="I156" s="14" t="n"/>
    </row>
    <row r="157">
      <c r="B157">
        <f>IFERROR(VLOOKUP(A157,Risk_Assessment!$B$2:$D$1000,2,FALSE),"")</f>
        <v/>
      </c>
      <c r="C157">
        <f>IF(ISBLANK(A157),"",A157&amp;"-M"&amp;TEXT(COUNTIF($A$2:A157,A157),"00"))</f>
        <v/>
      </c>
      <c r="H157" s="14" t="n"/>
      <c r="I157" s="14" t="n"/>
    </row>
    <row r="158">
      <c r="B158">
        <f>IFERROR(VLOOKUP(A158,Risk_Assessment!$B$2:$D$1000,2,FALSE),"")</f>
        <v/>
      </c>
      <c r="C158">
        <f>IF(ISBLANK(A158),"",A158&amp;"-M"&amp;TEXT(COUNTIF($A$2:A158,A158),"00"))</f>
        <v/>
      </c>
      <c r="H158" s="14" t="n"/>
      <c r="I158" s="14" t="n"/>
    </row>
    <row r="159">
      <c r="B159">
        <f>IFERROR(VLOOKUP(A159,Risk_Assessment!$B$2:$D$1000,2,FALSE),"")</f>
        <v/>
      </c>
      <c r="C159">
        <f>IF(ISBLANK(A159),"",A159&amp;"-M"&amp;TEXT(COUNTIF($A$2:A159,A159),"00"))</f>
        <v/>
      </c>
      <c r="H159" s="14" t="n"/>
      <c r="I159" s="14" t="n"/>
    </row>
    <row r="160">
      <c r="B160">
        <f>IFERROR(VLOOKUP(A160,Risk_Assessment!$B$2:$D$1000,2,FALSE),"")</f>
        <v/>
      </c>
      <c r="C160">
        <f>IF(ISBLANK(A160),"",A160&amp;"-M"&amp;TEXT(COUNTIF($A$2:A160,A160),"00"))</f>
        <v/>
      </c>
      <c r="H160" s="14" t="n"/>
      <c r="I160" s="14" t="n"/>
    </row>
    <row r="161">
      <c r="B161">
        <f>IFERROR(VLOOKUP(A161,Risk_Assessment!$B$2:$D$1000,2,FALSE),"")</f>
        <v/>
      </c>
      <c r="C161">
        <f>IF(ISBLANK(A161),"",A161&amp;"-M"&amp;TEXT(COUNTIF($A$2:A161,A161),"00"))</f>
        <v/>
      </c>
      <c r="H161" s="14" t="n"/>
      <c r="I161" s="14" t="n"/>
    </row>
    <row r="162">
      <c r="B162">
        <f>IFERROR(VLOOKUP(A162,Risk_Assessment!$B$2:$D$1000,2,FALSE),"")</f>
        <v/>
      </c>
      <c r="C162">
        <f>IF(ISBLANK(A162),"",A162&amp;"-M"&amp;TEXT(COUNTIF($A$2:A162,A162),"00"))</f>
        <v/>
      </c>
      <c r="H162" s="14" t="n"/>
      <c r="I162" s="14" t="n"/>
    </row>
    <row r="163">
      <c r="B163">
        <f>IFERROR(VLOOKUP(A163,Risk_Assessment!$B$2:$D$1000,2,FALSE),"")</f>
        <v/>
      </c>
      <c r="C163">
        <f>IF(ISBLANK(A163),"",A163&amp;"-M"&amp;TEXT(COUNTIF($A$2:A163,A163),"00"))</f>
        <v/>
      </c>
      <c r="H163" s="14" t="n"/>
      <c r="I163" s="14" t="n"/>
    </row>
    <row r="164">
      <c r="B164">
        <f>IFERROR(VLOOKUP(A164,Risk_Assessment!$B$2:$D$1000,2,FALSE),"")</f>
        <v/>
      </c>
      <c r="C164">
        <f>IF(ISBLANK(A164),"",A164&amp;"-M"&amp;TEXT(COUNTIF($A$2:A164,A164),"00"))</f>
        <v/>
      </c>
      <c r="H164" s="14" t="n"/>
      <c r="I164" s="14" t="n"/>
    </row>
    <row r="165">
      <c r="B165">
        <f>IFERROR(VLOOKUP(A165,Risk_Assessment!$B$2:$D$1000,2,FALSE),"")</f>
        <v/>
      </c>
      <c r="C165">
        <f>IF(ISBLANK(A165),"",A165&amp;"-M"&amp;TEXT(COUNTIF($A$2:A165,A165),"00"))</f>
        <v/>
      </c>
      <c r="H165" s="14" t="n"/>
      <c r="I165" s="14" t="n"/>
    </row>
    <row r="166">
      <c r="B166">
        <f>IFERROR(VLOOKUP(A166,Risk_Assessment!$B$2:$D$1000,2,FALSE),"")</f>
        <v/>
      </c>
      <c r="C166">
        <f>IF(ISBLANK(A166),"",A166&amp;"-M"&amp;TEXT(COUNTIF($A$2:A166,A166),"00"))</f>
        <v/>
      </c>
      <c r="H166" s="14" t="n"/>
      <c r="I166" s="14" t="n"/>
    </row>
    <row r="167">
      <c r="B167">
        <f>IFERROR(VLOOKUP(A167,Risk_Assessment!$B$2:$D$1000,2,FALSE),"")</f>
        <v/>
      </c>
      <c r="C167">
        <f>IF(ISBLANK(A167),"",A167&amp;"-M"&amp;TEXT(COUNTIF($A$2:A167,A167),"00"))</f>
        <v/>
      </c>
      <c r="H167" s="14" t="n"/>
      <c r="I167" s="14" t="n"/>
    </row>
    <row r="168">
      <c r="B168">
        <f>IFERROR(VLOOKUP(A168,Risk_Assessment!$B$2:$D$1000,2,FALSE),"")</f>
        <v/>
      </c>
      <c r="C168">
        <f>IF(ISBLANK(A168),"",A168&amp;"-M"&amp;TEXT(COUNTIF($A$2:A168,A168),"00"))</f>
        <v/>
      </c>
      <c r="H168" s="14" t="n"/>
      <c r="I168" s="14" t="n"/>
    </row>
    <row r="169">
      <c r="B169">
        <f>IFERROR(VLOOKUP(A169,Risk_Assessment!$B$2:$D$1000,2,FALSE),"")</f>
        <v/>
      </c>
      <c r="C169">
        <f>IF(ISBLANK(A169),"",A169&amp;"-M"&amp;TEXT(COUNTIF($A$2:A169,A169),"00"))</f>
        <v/>
      </c>
      <c r="H169" s="14" t="n"/>
      <c r="I169" s="14" t="n"/>
    </row>
    <row r="170">
      <c r="B170">
        <f>IFERROR(VLOOKUP(A170,Risk_Assessment!$B$2:$D$1000,2,FALSE),"")</f>
        <v/>
      </c>
      <c r="C170">
        <f>IF(ISBLANK(A170),"",A170&amp;"-M"&amp;TEXT(COUNTIF($A$2:A170,A170),"00"))</f>
        <v/>
      </c>
      <c r="H170" s="14" t="n"/>
      <c r="I170" s="14" t="n"/>
    </row>
    <row r="171">
      <c r="B171">
        <f>IFERROR(VLOOKUP(A171,Risk_Assessment!$B$2:$D$1000,2,FALSE),"")</f>
        <v/>
      </c>
      <c r="C171">
        <f>IF(ISBLANK(A171),"",A171&amp;"-M"&amp;TEXT(COUNTIF($A$2:A171,A171),"00"))</f>
        <v/>
      </c>
      <c r="H171" s="14" t="n"/>
      <c r="I171" s="14" t="n"/>
    </row>
    <row r="172">
      <c r="B172">
        <f>IFERROR(VLOOKUP(A172,Risk_Assessment!$B$2:$D$1000,2,FALSE),"")</f>
        <v/>
      </c>
      <c r="C172">
        <f>IF(ISBLANK(A172),"",A172&amp;"-M"&amp;TEXT(COUNTIF($A$2:A172,A172),"00"))</f>
        <v/>
      </c>
      <c r="H172" s="14" t="n"/>
      <c r="I172" s="14" t="n"/>
    </row>
    <row r="173">
      <c r="B173">
        <f>IFERROR(VLOOKUP(A173,Risk_Assessment!$B$2:$D$1000,2,FALSE),"")</f>
        <v/>
      </c>
      <c r="C173">
        <f>IF(ISBLANK(A173),"",A173&amp;"-M"&amp;TEXT(COUNTIF($A$2:A173,A173),"00"))</f>
        <v/>
      </c>
      <c r="H173" s="14" t="n"/>
      <c r="I173" s="14" t="n"/>
    </row>
    <row r="174">
      <c r="B174">
        <f>IFERROR(VLOOKUP(A174,Risk_Assessment!$B$2:$D$1000,2,FALSE),"")</f>
        <v/>
      </c>
      <c r="C174">
        <f>IF(ISBLANK(A174),"",A174&amp;"-M"&amp;TEXT(COUNTIF($A$2:A174,A174),"00"))</f>
        <v/>
      </c>
      <c r="H174" s="14" t="n"/>
      <c r="I174" s="14" t="n"/>
    </row>
    <row r="175">
      <c r="B175">
        <f>IFERROR(VLOOKUP(A175,Risk_Assessment!$B$2:$D$1000,2,FALSE),"")</f>
        <v/>
      </c>
      <c r="C175">
        <f>IF(ISBLANK(A175),"",A175&amp;"-M"&amp;TEXT(COUNTIF($A$2:A175,A175),"00"))</f>
        <v/>
      </c>
      <c r="H175" s="14" t="n"/>
      <c r="I175" s="14" t="n"/>
    </row>
    <row r="176">
      <c r="B176">
        <f>IFERROR(VLOOKUP(A176,Risk_Assessment!$B$2:$D$1000,2,FALSE),"")</f>
        <v/>
      </c>
      <c r="C176">
        <f>IF(ISBLANK(A176),"",A176&amp;"-M"&amp;TEXT(COUNTIF($A$2:A176,A176),"00"))</f>
        <v/>
      </c>
      <c r="H176" s="14" t="n"/>
      <c r="I176" s="14" t="n"/>
    </row>
    <row r="177">
      <c r="B177">
        <f>IFERROR(VLOOKUP(A177,Risk_Assessment!$B$2:$D$1000,2,FALSE),"")</f>
        <v/>
      </c>
      <c r="C177">
        <f>IF(ISBLANK(A177),"",A177&amp;"-M"&amp;TEXT(COUNTIF($A$2:A177,A177),"00"))</f>
        <v/>
      </c>
      <c r="H177" s="14" t="n"/>
      <c r="I177" s="14" t="n"/>
    </row>
    <row r="178">
      <c r="B178">
        <f>IFERROR(VLOOKUP(A178,Risk_Assessment!$B$2:$D$1000,2,FALSE),"")</f>
        <v/>
      </c>
      <c r="C178">
        <f>IF(ISBLANK(A178),"",A178&amp;"-M"&amp;TEXT(COUNTIF($A$2:A178,A178),"00"))</f>
        <v/>
      </c>
      <c r="H178" s="14" t="n"/>
      <c r="I178" s="14" t="n"/>
    </row>
    <row r="179">
      <c r="B179">
        <f>IFERROR(VLOOKUP(A179,Risk_Assessment!$B$2:$D$1000,2,FALSE),"")</f>
        <v/>
      </c>
      <c r="C179">
        <f>IF(ISBLANK(A179),"",A179&amp;"-M"&amp;TEXT(COUNTIF($A$2:A179,A179),"00"))</f>
        <v/>
      </c>
      <c r="H179" s="14" t="n"/>
      <c r="I179" s="14" t="n"/>
    </row>
    <row r="180">
      <c r="B180">
        <f>IFERROR(VLOOKUP(A180,Risk_Assessment!$B$2:$D$1000,2,FALSE),"")</f>
        <v/>
      </c>
      <c r="C180">
        <f>IF(ISBLANK(A180),"",A180&amp;"-M"&amp;TEXT(COUNTIF($A$2:A180,A180),"00"))</f>
        <v/>
      </c>
      <c r="H180" s="14" t="n"/>
      <c r="I180" s="14" t="n"/>
    </row>
    <row r="181">
      <c r="B181">
        <f>IFERROR(VLOOKUP(A181,Risk_Assessment!$B$2:$D$1000,2,FALSE),"")</f>
        <v/>
      </c>
      <c r="C181">
        <f>IF(ISBLANK(A181),"",A181&amp;"-M"&amp;TEXT(COUNTIF($A$2:A181,A181),"00"))</f>
        <v/>
      </c>
      <c r="H181" s="14" t="n"/>
      <c r="I181" s="14" t="n"/>
    </row>
    <row r="182">
      <c r="B182">
        <f>IFERROR(VLOOKUP(A182,Risk_Assessment!$B$2:$D$1000,2,FALSE),"")</f>
        <v/>
      </c>
      <c r="C182">
        <f>IF(ISBLANK(A182),"",A182&amp;"-M"&amp;TEXT(COUNTIF($A$2:A182,A182),"00"))</f>
        <v/>
      </c>
      <c r="H182" s="14" t="n"/>
      <c r="I182" s="14" t="n"/>
    </row>
    <row r="183">
      <c r="B183">
        <f>IFERROR(VLOOKUP(A183,Risk_Assessment!$B$2:$D$1000,2,FALSE),"")</f>
        <v/>
      </c>
      <c r="C183">
        <f>IF(ISBLANK(A183),"",A183&amp;"-M"&amp;TEXT(COUNTIF($A$2:A183,A183),"00"))</f>
        <v/>
      </c>
      <c r="H183" s="14" t="n"/>
      <c r="I183" s="14" t="n"/>
    </row>
    <row r="184">
      <c r="B184">
        <f>IFERROR(VLOOKUP(A184,Risk_Assessment!$B$2:$D$1000,2,FALSE),"")</f>
        <v/>
      </c>
      <c r="C184">
        <f>IF(ISBLANK(A184),"",A184&amp;"-M"&amp;TEXT(COUNTIF($A$2:A184,A184),"00"))</f>
        <v/>
      </c>
      <c r="H184" s="14" t="n"/>
      <c r="I184" s="14" t="n"/>
    </row>
    <row r="185">
      <c r="B185">
        <f>IFERROR(VLOOKUP(A185,Risk_Assessment!$B$2:$D$1000,2,FALSE),"")</f>
        <v/>
      </c>
      <c r="C185">
        <f>IF(ISBLANK(A185),"",A185&amp;"-M"&amp;TEXT(COUNTIF($A$2:A185,A185),"00"))</f>
        <v/>
      </c>
      <c r="H185" s="14" t="n"/>
      <c r="I185" s="14" t="n"/>
    </row>
    <row r="186">
      <c r="B186">
        <f>IFERROR(VLOOKUP(A186,Risk_Assessment!$B$2:$D$1000,2,FALSE),"")</f>
        <v/>
      </c>
      <c r="C186">
        <f>IF(ISBLANK(A186),"",A186&amp;"-M"&amp;TEXT(COUNTIF($A$2:A186,A186),"00"))</f>
        <v/>
      </c>
      <c r="H186" s="14" t="n"/>
      <c r="I186" s="14" t="n"/>
    </row>
    <row r="187">
      <c r="B187">
        <f>IFERROR(VLOOKUP(A187,Risk_Assessment!$B$2:$D$1000,2,FALSE),"")</f>
        <v/>
      </c>
      <c r="C187">
        <f>IF(ISBLANK(A187),"",A187&amp;"-M"&amp;TEXT(COUNTIF($A$2:A187,A187),"00"))</f>
        <v/>
      </c>
      <c r="H187" s="14" t="n"/>
      <c r="I187" s="14" t="n"/>
    </row>
    <row r="188">
      <c r="B188">
        <f>IFERROR(VLOOKUP(A188,Risk_Assessment!$B$2:$D$1000,2,FALSE),"")</f>
        <v/>
      </c>
      <c r="C188">
        <f>IF(ISBLANK(A188),"",A188&amp;"-M"&amp;TEXT(COUNTIF($A$2:A188,A188),"00"))</f>
        <v/>
      </c>
      <c r="H188" s="14" t="n"/>
      <c r="I188" s="14" t="n"/>
    </row>
    <row r="189">
      <c r="B189">
        <f>IFERROR(VLOOKUP(A189,Risk_Assessment!$B$2:$D$1000,2,FALSE),"")</f>
        <v/>
      </c>
      <c r="C189">
        <f>IF(ISBLANK(A189),"",A189&amp;"-M"&amp;TEXT(COUNTIF($A$2:A189,A189),"00"))</f>
        <v/>
      </c>
      <c r="H189" s="14" t="n"/>
      <c r="I189" s="14" t="n"/>
    </row>
    <row r="190">
      <c r="B190">
        <f>IFERROR(VLOOKUP(A190,Risk_Assessment!$B$2:$D$1000,2,FALSE),"")</f>
        <v/>
      </c>
      <c r="C190">
        <f>IF(ISBLANK(A190),"",A190&amp;"-M"&amp;TEXT(COUNTIF($A$2:A190,A190),"00"))</f>
        <v/>
      </c>
      <c r="H190" s="14" t="n"/>
      <c r="I190" s="14" t="n"/>
    </row>
    <row r="191">
      <c r="B191">
        <f>IFERROR(VLOOKUP(A191,Risk_Assessment!$B$2:$D$1000,2,FALSE),"")</f>
        <v/>
      </c>
      <c r="C191">
        <f>IF(ISBLANK(A191),"",A191&amp;"-M"&amp;TEXT(COUNTIF($A$2:A191,A191),"00"))</f>
        <v/>
      </c>
      <c r="H191" s="14" t="n"/>
      <c r="I191" s="14" t="n"/>
    </row>
    <row r="192">
      <c r="B192">
        <f>IFERROR(VLOOKUP(A192,Risk_Assessment!$B$2:$D$1000,2,FALSE),"")</f>
        <v/>
      </c>
      <c r="C192">
        <f>IF(ISBLANK(A192),"",A192&amp;"-M"&amp;TEXT(COUNTIF($A$2:A192,A192),"00"))</f>
        <v/>
      </c>
      <c r="H192" s="14" t="n"/>
      <c r="I192" s="14" t="n"/>
    </row>
    <row r="193">
      <c r="B193">
        <f>IFERROR(VLOOKUP(A193,Risk_Assessment!$B$2:$D$1000,2,FALSE),"")</f>
        <v/>
      </c>
      <c r="C193">
        <f>IF(ISBLANK(A193),"",A193&amp;"-M"&amp;TEXT(COUNTIF($A$2:A193,A193),"00"))</f>
        <v/>
      </c>
      <c r="H193" s="14" t="n"/>
      <c r="I193" s="14" t="n"/>
    </row>
    <row r="194">
      <c r="B194">
        <f>IFERROR(VLOOKUP(A194,Risk_Assessment!$B$2:$D$1000,2,FALSE),"")</f>
        <v/>
      </c>
      <c r="C194">
        <f>IF(ISBLANK(A194),"",A194&amp;"-M"&amp;TEXT(COUNTIF($A$2:A194,A194),"00"))</f>
        <v/>
      </c>
      <c r="H194" s="14" t="n"/>
      <c r="I194" s="14" t="n"/>
    </row>
    <row r="195">
      <c r="B195">
        <f>IFERROR(VLOOKUP(A195,Risk_Assessment!$B$2:$D$1000,2,FALSE),"")</f>
        <v/>
      </c>
      <c r="C195">
        <f>IF(ISBLANK(A195),"",A195&amp;"-M"&amp;TEXT(COUNTIF($A$2:A195,A195),"00"))</f>
        <v/>
      </c>
      <c r="H195" s="14" t="n"/>
      <c r="I195" s="14" t="n"/>
    </row>
    <row r="196">
      <c r="B196">
        <f>IFERROR(VLOOKUP(A196,Risk_Assessment!$B$2:$D$1000,2,FALSE),"")</f>
        <v/>
      </c>
      <c r="C196">
        <f>IF(ISBLANK(A196),"",A196&amp;"-M"&amp;TEXT(COUNTIF($A$2:A196,A196),"00"))</f>
        <v/>
      </c>
      <c r="H196" s="14" t="n"/>
      <c r="I196" s="14" t="n"/>
    </row>
    <row r="197">
      <c r="B197">
        <f>IFERROR(VLOOKUP(A197,Risk_Assessment!$B$2:$D$1000,2,FALSE),"")</f>
        <v/>
      </c>
      <c r="C197">
        <f>IF(ISBLANK(A197),"",A197&amp;"-M"&amp;TEXT(COUNTIF($A$2:A197,A197),"00"))</f>
        <v/>
      </c>
      <c r="H197" s="14" t="n"/>
      <c r="I197" s="14" t="n"/>
    </row>
    <row r="198">
      <c r="B198">
        <f>IFERROR(VLOOKUP(A198,Risk_Assessment!$B$2:$D$1000,2,FALSE),"")</f>
        <v/>
      </c>
      <c r="C198">
        <f>IF(ISBLANK(A198),"",A198&amp;"-M"&amp;TEXT(COUNTIF($A$2:A198,A198),"00"))</f>
        <v/>
      </c>
      <c r="H198" s="14" t="n"/>
      <c r="I198" s="14" t="n"/>
    </row>
    <row r="199">
      <c r="B199">
        <f>IFERROR(VLOOKUP(A199,Risk_Assessment!$B$2:$D$1000,2,FALSE),"")</f>
        <v/>
      </c>
      <c r="C199">
        <f>IF(ISBLANK(A199),"",A199&amp;"-M"&amp;TEXT(COUNTIF($A$2:A199,A199),"00"))</f>
        <v/>
      </c>
      <c r="H199" s="14" t="n"/>
      <c r="I199" s="14" t="n"/>
    </row>
    <row r="200">
      <c r="B200">
        <f>IFERROR(VLOOKUP(A200,Risk_Assessment!$B$2:$D$1000,2,FALSE),"")</f>
        <v/>
      </c>
      <c r="C200">
        <f>IF(ISBLANK(A200),"",A200&amp;"-M"&amp;TEXT(COUNTIF($A$2:A200,A200),"00"))</f>
        <v/>
      </c>
      <c r="H200" s="14" t="n"/>
      <c r="I200" s="14" t="n"/>
    </row>
    <row r="201">
      <c r="B201">
        <f>IFERROR(VLOOKUP(A201,Risk_Assessment!$B$2:$D$1000,2,FALSE),"")</f>
        <v/>
      </c>
      <c r="C201">
        <f>IF(ISBLANK(A201),"",A201&amp;"-M"&amp;TEXT(COUNTIF($A$2:A201,A201),"00"))</f>
        <v/>
      </c>
      <c r="H201" s="14" t="n"/>
      <c r="I201" s="14" t="n"/>
    </row>
    <row r="202">
      <c r="B202">
        <f>IFERROR(VLOOKUP(A202,Risk_Assessment!$B$2:$D$1000,2,FALSE),"")</f>
        <v/>
      </c>
      <c r="C202">
        <f>IF(ISBLANK(A202),"",A202&amp;"-M"&amp;TEXT(COUNTIF($A$2:A202,A202),"00"))</f>
        <v/>
      </c>
      <c r="H202" s="14" t="n"/>
      <c r="I202" s="14" t="n"/>
    </row>
    <row r="203">
      <c r="B203">
        <f>IFERROR(VLOOKUP(A203,Risk_Assessment!$B$2:$D$1000,2,FALSE),"")</f>
        <v/>
      </c>
      <c r="C203">
        <f>IF(ISBLANK(A203),"",A203&amp;"-M"&amp;TEXT(COUNTIF($A$2:A203,A203),"00"))</f>
        <v/>
      </c>
      <c r="H203" s="14" t="n"/>
      <c r="I203" s="14" t="n"/>
    </row>
    <row r="204">
      <c r="B204">
        <f>IFERROR(VLOOKUP(A204,Risk_Assessment!$B$2:$D$1000,2,FALSE),"")</f>
        <v/>
      </c>
      <c r="C204">
        <f>IF(ISBLANK(A204),"",A204&amp;"-M"&amp;TEXT(COUNTIF($A$2:A204,A204),"00"))</f>
        <v/>
      </c>
      <c r="H204" s="14" t="n"/>
      <c r="I204" s="14" t="n"/>
    </row>
    <row r="205">
      <c r="B205">
        <f>IFERROR(VLOOKUP(A205,Risk_Assessment!$B$2:$D$1000,2,FALSE),"")</f>
        <v/>
      </c>
      <c r="C205">
        <f>IF(ISBLANK(A205),"",A205&amp;"-M"&amp;TEXT(COUNTIF($A$2:A205,A205),"00"))</f>
        <v/>
      </c>
      <c r="H205" s="14" t="n"/>
      <c r="I205" s="14" t="n"/>
    </row>
    <row r="206">
      <c r="B206">
        <f>IFERROR(VLOOKUP(A206,Risk_Assessment!$B$2:$D$1000,2,FALSE),"")</f>
        <v/>
      </c>
      <c r="C206">
        <f>IF(ISBLANK(A206),"",A206&amp;"-M"&amp;TEXT(COUNTIF($A$2:A206,A206),"00"))</f>
        <v/>
      </c>
      <c r="H206" s="14" t="n"/>
      <c r="I206" s="14" t="n"/>
    </row>
    <row r="207">
      <c r="B207">
        <f>IFERROR(VLOOKUP(A207,Risk_Assessment!$B$2:$D$1000,2,FALSE),"")</f>
        <v/>
      </c>
      <c r="C207">
        <f>IF(ISBLANK(A207),"",A207&amp;"-M"&amp;TEXT(COUNTIF($A$2:A207,A207),"00"))</f>
        <v/>
      </c>
      <c r="H207" s="14" t="n"/>
      <c r="I207" s="14" t="n"/>
    </row>
    <row r="208">
      <c r="B208">
        <f>IFERROR(VLOOKUP(A208,Risk_Assessment!$B$2:$D$1000,2,FALSE),"")</f>
        <v/>
      </c>
      <c r="C208">
        <f>IF(ISBLANK(A208),"",A208&amp;"-M"&amp;TEXT(COUNTIF($A$2:A208,A208),"00"))</f>
        <v/>
      </c>
      <c r="H208" s="14" t="n"/>
      <c r="I208" s="14" t="n"/>
    </row>
    <row r="209">
      <c r="B209">
        <f>IFERROR(VLOOKUP(A209,Risk_Assessment!$B$2:$D$1000,2,FALSE),"")</f>
        <v/>
      </c>
      <c r="C209">
        <f>IF(ISBLANK(A209),"",A209&amp;"-M"&amp;TEXT(COUNTIF($A$2:A209,A209),"00"))</f>
        <v/>
      </c>
      <c r="H209" s="14" t="n"/>
      <c r="I209" s="14" t="n"/>
    </row>
    <row r="210">
      <c r="B210">
        <f>IFERROR(VLOOKUP(A210,Risk_Assessment!$B$2:$D$1000,2,FALSE),"")</f>
        <v/>
      </c>
      <c r="C210">
        <f>IF(ISBLANK(A210),"",A210&amp;"-M"&amp;TEXT(COUNTIF($A$2:A210,A210),"00"))</f>
        <v/>
      </c>
      <c r="H210" s="14" t="n"/>
      <c r="I210" s="14" t="n"/>
    </row>
    <row r="211">
      <c r="B211">
        <f>IFERROR(VLOOKUP(A211,Risk_Assessment!$B$2:$D$1000,2,FALSE),"")</f>
        <v/>
      </c>
      <c r="C211">
        <f>IF(ISBLANK(A211),"",A211&amp;"-M"&amp;TEXT(COUNTIF($A$2:A211,A211),"00"))</f>
        <v/>
      </c>
      <c r="H211" s="14" t="n"/>
      <c r="I211" s="14" t="n"/>
    </row>
    <row r="212">
      <c r="B212">
        <f>IFERROR(VLOOKUP(A212,Risk_Assessment!$B$2:$D$1000,2,FALSE),"")</f>
        <v/>
      </c>
      <c r="C212">
        <f>IF(ISBLANK(A212),"",A212&amp;"-M"&amp;TEXT(COUNTIF($A$2:A212,A212),"00"))</f>
        <v/>
      </c>
      <c r="H212" s="14" t="n"/>
      <c r="I212" s="14" t="n"/>
    </row>
    <row r="213">
      <c r="B213">
        <f>IFERROR(VLOOKUP(A213,Risk_Assessment!$B$2:$D$1000,2,FALSE),"")</f>
        <v/>
      </c>
      <c r="C213">
        <f>IF(ISBLANK(A213),"",A213&amp;"-M"&amp;TEXT(COUNTIF($A$2:A213,A213),"00"))</f>
        <v/>
      </c>
      <c r="H213" s="14" t="n"/>
      <c r="I213" s="14" t="n"/>
    </row>
    <row r="214">
      <c r="B214">
        <f>IFERROR(VLOOKUP(A214,Risk_Assessment!$B$2:$D$1000,2,FALSE),"")</f>
        <v/>
      </c>
      <c r="C214">
        <f>IF(ISBLANK(A214),"",A214&amp;"-M"&amp;TEXT(COUNTIF($A$2:A214,A214),"00"))</f>
        <v/>
      </c>
      <c r="H214" s="14" t="n"/>
      <c r="I214" s="14" t="n"/>
    </row>
    <row r="215">
      <c r="B215">
        <f>IFERROR(VLOOKUP(A215,Risk_Assessment!$B$2:$D$1000,2,FALSE),"")</f>
        <v/>
      </c>
      <c r="C215">
        <f>IF(ISBLANK(A215),"",A215&amp;"-M"&amp;TEXT(COUNTIF($A$2:A215,A215),"00"))</f>
        <v/>
      </c>
      <c r="H215" s="14" t="n"/>
      <c r="I215" s="14" t="n"/>
    </row>
    <row r="216">
      <c r="B216">
        <f>IFERROR(VLOOKUP(A216,Risk_Assessment!$B$2:$D$1000,2,FALSE),"")</f>
        <v/>
      </c>
      <c r="C216">
        <f>IF(ISBLANK(A216),"",A216&amp;"-M"&amp;TEXT(COUNTIF($A$2:A216,A216),"00"))</f>
        <v/>
      </c>
      <c r="H216" s="14" t="n"/>
      <c r="I216" s="14" t="n"/>
    </row>
    <row r="217">
      <c r="B217">
        <f>IFERROR(VLOOKUP(A217,Risk_Assessment!$B$2:$D$1000,2,FALSE),"")</f>
        <v/>
      </c>
      <c r="C217">
        <f>IF(ISBLANK(A217),"",A217&amp;"-M"&amp;TEXT(COUNTIF($A$2:A217,A217),"00"))</f>
        <v/>
      </c>
      <c r="H217" s="14" t="n"/>
      <c r="I217" s="14" t="n"/>
    </row>
    <row r="218">
      <c r="B218">
        <f>IFERROR(VLOOKUP(A218,Risk_Assessment!$B$2:$D$1000,2,FALSE),"")</f>
        <v/>
      </c>
      <c r="C218">
        <f>IF(ISBLANK(A218),"",A218&amp;"-M"&amp;TEXT(COUNTIF($A$2:A218,A218),"00"))</f>
        <v/>
      </c>
      <c r="H218" s="14" t="n"/>
      <c r="I218" s="14" t="n"/>
    </row>
    <row r="219">
      <c r="B219">
        <f>IFERROR(VLOOKUP(A219,Risk_Assessment!$B$2:$D$1000,2,FALSE),"")</f>
        <v/>
      </c>
      <c r="C219">
        <f>IF(ISBLANK(A219),"",A219&amp;"-M"&amp;TEXT(COUNTIF($A$2:A219,A219),"00"))</f>
        <v/>
      </c>
      <c r="H219" s="14" t="n"/>
      <c r="I219" s="14" t="n"/>
    </row>
    <row r="220">
      <c r="B220">
        <f>IFERROR(VLOOKUP(A220,Risk_Assessment!$B$2:$D$1000,2,FALSE),"")</f>
        <v/>
      </c>
      <c r="C220">
        <f>IF(ISBLANK(A220),"",A220&amp;"-M"&amp;TEXT(COUNTIF($A$2:A220,A220),"00"))</f>
        <v/>
      </c>
      <c r="H220" s="14" t="n"/>
      <c r="I220" s="14" t="n"/>
    </row>
    <row r="221">
      <c r="B221">
        <f>IFERROR(VLOOKUP(A221,Risk_Assessment!$B$2:$D$1000,2,FALSE),"")</f>
        <v/>
      </c>
      <c r="C221">
        <f>IF(ISBLANK(A221),"",A221&amp;"-M"&amp;TEXT(COUNTIF($A$2:A221,A221),"00"))</f>
        <v/>
      </c>
      <c r="H221" s="14" t="n"/>
      <c r="I221" s="14" t="n"/>
    </row>
    <row r="222">
      <c r="B222">
        <f>IFERROR(VLOOKUP(A222,Risk_Assessment!$B$2:$D$1000,2,FALSE),"")</f>
        <v/>
      </c>
      <c r="C222">
        <f>IF(ISBLANK(A222),"",A222&amp;"-M"&amp;TEXT(COUNTIF($A$2:A222,A222),"00"))</f>
        <v/>
      </c>
      <c r="H222" s="14" t="n"/>
      <c r="I222" s="14" t="n"/>
    </row>
    <row r="223">
      <c r="B223">
        <f>IFERROR(VLOOKUP(A223,Risk_Assessment!$B$2:$D$1000,2,FALSE),"")</f>
        <v/>
      </c>
      <c r="C223">
        <f>IF(ISBLANK(A223),"",A223&amp;"-M"&amp;TEXT(COUNTIF($A$2:A223,A223),"00"))</f>
        <v/>
      </c>
      <c r="H223" s="14" t="n"/>
      <c r="I223" s="14" t="n"/>
    </row>
    <row r="224">
      <c r="B224">
        <f>IFERROR(VLOOKUP(A224,Risk_Assessment!$B$2:$D$1000,2,FALSE),"")</f>
        <v/>
      </c>
      <c r="C224">
        <f>IF(ISBLANK(A224),"",A224&amp;"-M"&amp;TEXT(COUNTIF($A$2:A224,A224),"00"))</f>
        <v/>
      </c>
      <c r="H224" s="14" t="n"/>
      <c r="I224" s="14" t="n"/>
    </row>
    <row r="225">
      <c r="B225">
        <f>IFERROR(VLOOKUP(A225,Risk_Assessment!$B$2:$D$1000,2,FALSE),"")</f>
        <v/>
      </c>
      <c r="C225">
        <f>IF(ISBLANK(A225),"",A225&amp;"-M"&amp;TEXT(COUNTIF($A$2:A225,A225),"00"))</f>
        <v/>
      </c>
      <c r="H225" s="14" t="n"/>
      <c r="I225" s="14" t="n"/>
    </row>
    <row r="226">
      <c r="B226">
        <f>IFERROR(VLOOKUP(A226,Risk_Assessment!$B$2:$D$1000,2,FALSE),"")</f>
        <v/>
      </c>
      <c r="C226">
        <f>IF(ISBLANK(A226),"",A226&amp;"-M"&amp;TEXT(COUNTIF($A$2:A226,A226),"00"))</f>
        <v/>
      </c>
      <c r="H226" s="14" t="n"/>
      <c r="I226" s="14" t="n"/>
    </row>
    <row r="227">
      <c r="B227">
        <f>IFERROR(VLOOKUP(A227,Risk_Assessment!$B$2:$D$1000,2,FALSE),"")</f>
        <v/>
      </c>
      <c r="C227">
        <f>IF(ISBLANK(A227),"",A227&amp;"-M"&amp;TEXT(COUNTIF($A$2:A227,A227),"00"))</f>
        <v/>
      </c>
      <c r="H227" s="14" t="n"/>
      <c r="I227" s="14" t="n"/>
    </row>
    <row r="228">
      <c r="B228">
        <f>IFERROR(VLOOKUP(A228,Risk_Assessment!$B$2:$D$1000,2,FALSE),"")</f>
        <v/>
      </c>
      <c r="C228">
        <f>IF(ISBLANK(A228),"",A228&amp;"-M"&amp;TEXT(COUNTIF($A$2:A228,A228),"00"))</f>
        <v/>
      </c>
      <c r="H228" s="14" t="n"/>
      <c r="I228" s="14" t="n"/>
    </row>
    <row r="229">
      <c r="B229">
        <f>IFERROR(VLOOKUP(A229,Risk_Assessment!$B$2:$D$1000,2,FALSE),"")</f>
        <v/>
      </c>
      <c r="C229">
        <f>IF(ISBLANK(A229),"",A229&amp;"-M"&amp;TEXT(COUNTIF($A$2:A229,A229),"00"))</f>
        <v/>
      </c>
      <c r="H229" s="14" t="n"/>
      <c r="I229" s="14" t="n"/>
    </row>
    <row r="230">
      <c r="B230">
        <f>IFERROR(VLOOKUP(A230,Risk_Assessment!$B$2:$D$1000,2,FALSE),"")</f>
        <v/>
      </c>
      <c r="C230">
        <f>IF(ISBLANK(A230),"",A230&amp;"-M"&amp;TEXT(COUNTIF($A$2:A230,A230),"00"))</f>
        <v/>
      </c>
      <c r="H230" s="14" t="n"/>
      <c r="I230" s="14" t="n"/>
    </row>
    <row r="231">
      <c r="B231">
        <f>IFERROR(VLOOKUP(A231,Risk_Assessment!$B$2:$D$1000,2,FALSE),"")</f>
        <v/>
      </c>
      <c r="C231">
        <f>IF(ISBLANK(A231),"",A231&amp;"-M"&amp;TEXT(COUNTIF($A$2:A231,A231),"00"))</f>
        <v/>
      </c>
      <c r="H231" s="14" t="n"/>
      <c r="I231" s="14" t="n"/>
    </row>
    <row r="232">
      <c r="B232">
        <f>IFERROR(VLOOKUP(A232,Risk_Assessment!$B$2:$D$1000,2,FALSE),"")</f>
        <v/>
      </c>
      <c r="C232">
        <f>IF(ISBLANK(A232),"",A232&amp;"-M"&amp;TEXT(COUNTIF($A$2:A232,A232),"00"))</f>
        <v/>
      </c>
      <c r="H232" s="14" t="n"/>
      <c r="I232" s="14" t="n"/>
    </row>
    <row r="233">
      <c r="B233">
        <f>IFERROR(VLOOKUP(A233,Risk_Assessment!$B$2:$D$1000,2,FALSE),"")</f>
        <v/>
      </c>
      <c r="C233">
        <f>IF(ISBLANK(A233),"",A233&amp;"-M"&amp;TEXT(COUNTIF($A$2:A233,A233),"00"))</f>
        <v/>
      </c>
      <c r="H233" s="14" t="n"/>
      <c r="I233" s="14" t="n"/>
    </row>
    <row r="234">
      <c r="B234">
        <f>IFERROR(VLOOKUP(A234,Risk_Assessment!$B$2:$D$1000,2,FALSE),"")</f>
        <v/>
      </c>
      <c r="C234">
        <f>IF(ISBLANK(A234),"",A234&amp;"-M"&amp;TEXT(COUNTIF($A$2:A234,A234),"00"))</f>
        <v/>
      </c>
      <c r="H234" s="14" t="n"/>
      <c r="I234" s="14" t="n"/>
    </row>
    <row r="235">
      <c r="B235">
        <f>IFERROR(VLOOKUP(A235,Risk_Assessment!$B$2:$D$1000,2,FALSE),"")</f>
        <v/>
      </c>
      <c r="C235">
        <f>IF(ISBLANK(A235),"",A235&amp;"-M"&amp;TEXT(COUNTIF($A$2:A235,A235),"00"))</f>
        <v/>
      </c>
      <c r="H235" s="14" t="n"/>
      <c r="I235" s="14" t="n"/>
    </row>
    <row r="236">
      <c r="B236">
        <f>IFERROR(VLOOKUP(A236,Risk_Assessment!$B$2:$D$1000,2,FALSE),"")</f>
        <v/>
      </c>
      <c r="C236">
        <f>IF(ISBLANK(A236),"",A236&amp;"-M"&amp;TEXT(COUNTIF($A$2:A236,A236),"00"))</f>
        <v/>
      </c>
      <c r="H236" s="14" t="n"/>
      <c r="I236" s="14" t="n"/>
    </row>
    <row r="237">
      <c r="B237">
        <f>IFERROR(VLOOKUP(A237,Risk_Assessment!$B$2:$D$1000,2,FALSE),"")</f>
        <v/>
      </c>
      <c r="C237">
        <f>IF(ISBLANK(A237),"",A237&amp;"-M"&amp;TEXT(COUNTIF($A$2:A237,A237),"00"))</f>
        <v/>
      </c>
      <c r="H237" s="14" t="n"/>
      <c r="I237" s="14" t="n"/>
    </row>
    <row r="238">
      <c r="B238">
        <f>IFERROR(VLOOKUP(A238,Risk_Assessment!$B$2:$D$1000,2,FALSE),"")</f>
        <v/>
      </c>
      <c r="C238">
        <f>IF(ISBLANK(A238),"",A238&amp;"-M"&amp;TEXT(COUNTIF($A$2:A238,A238),"00"))</f>
        <v/>
      </c>
      <c r="H238" s="14" t="n"/>
      <c r="I238" s="14" t="n"/>
    </row>
    <row r="239">
      <c r="B239">
        <f>IFERROR(VLOOKUP(A239,Risk_Assessment!$B$2:$D$1000,2,FALSE),"")</f>
        <v/>
      </c>
      <c r="C239">
        <f>IF(ISBLANK(A239),"",A239&amp;"-M"&amp;TEXT(COUNTIF($A$2:A239,A239),"00"))</f>
        <v/>
      </c>
      <c r="H239" s="14" t="n"/>
      <c r="I239" s="14" t="n"/>
    </row>
    <row r="240">
      <c r="B240">
        <f>IFERROR(VLOOKUP(A240,Risk_Assessment!$B$2:$D$1000,2,FALSE),"")</f>
        <v/>
      </c>
      <c r="C240">
        <f>IF(ISBLANK(A240),"",A240&amp;"-M"&amp;TEXT(COUNTIF($A$2:A240,A240),"00"))</f>
        <v/>
      </c>
      <c r="H240" s="14" t="n"/>
      <c r="I240" s="14" t="n"/>
    </row>
    <row r="241">
      <c r="B241">
        <f>IFERROR(VLOOKUP(A241,Risk_Assessment!$B$2:$D$1000,2,FALSE),"")</f>
        <v/>
      </c>
      <c r="C241">
        <f>IF(ISBLANK(A241),"",A241&amp;"-M"&amp;TEXT(COUNTIF($A$2:A241,A241),"00"))</f>
        <v/>
      </c>
      <c r="H241" s="14" t="n"/>
      <c r="I241" s="14" t="n"/>
    </row>
    <row r="242">
      <c r="B242">
        <f>IFERROR(VLOOKUP(A242,Risk_Assessment!$B$2:$D$1000,2,FALSE),"")</f>
        <v/>
      </c>
      <c r="C242">
        <f>IF(ISBLANK(A242),"",A242&amp;"-M"&amp;TEXT(COUNTIF($A$2:A242,A242),"00"))</f>
        <v/>
      </c>
      <c r="H242" s="14" t="n"/>
      <c r="I242" s="14" t="n"/>
    </row>
    <row r="243">
      <c r="B243">
        <f>IFERROR(VLOOKUP(A243,Risk_Assessment!$B$2:$D$1000,2,FALSE),"")</f>
        <v/>
      </c>
      <c r="C243">
        <f>IF(ISBLANK(A243),"",A243&amp;"-M"&amp;TEXT(COUNTIF($A$2:A243,A243),"00"))</f>
        <v/>
      </c>
      <c r="H243" s="14" t="n"/>
      <c r="I243" s="14" t="n"/>
    </row>
    <row r="244">
      <c r="B244">
        <f>IFERROR(VLOOKUP(A244,Risk_Assessment!$B$2:$D$1000,2,FALSE),"")</f>
        <v/>
      </c>
      <c r="C244">
        <f>IF(ISBLANK(A244),"",A244&amp;"-M"&amp;TEXT(COUNTIF($A$2:A244,A244),"00"))</f>
        <v/>
      </c>
      <c r="H244" s="14" t="n"/>
      <c r="I244" s="14" t="n"/>
    </row>
    <row r="245">
      <c r="B245">
        <f>IFERROR(VLOOKUP(A245,Risk_Assessment!$B$2:$D$1000,2,FALSE),"")</f>
        <v/>
      </c>
      <c r="C245">
        <f>IF(ISBLANK(A245),"",A245&amp;"-M"&amp;TEXT(COUNTIF($A$2:A245,A245),"00"))</f>
        <v/>
      </c>
      <c r="H245" s="14" t="n"/>
      <c r="I245" s="14" t="n"/>
    </row>
    <row r="246">
      <c r="B246">
        <f>IFERROR(VLOOKUP(A246,Risk_Assessment!$B$2:$D$1000,2,FALSE),"")</f>
        <v/>
      </c>
      <c r="C246">
        <f>IF(ISBLANK(A246),"",A246&amp;"-M"&amp;TEXT(COUNTIF($A$2:A246,A246),"00"))</f>
        <v/>
      </c>
      <c r="H246" s="14" t="n"/>
      <c r="I246" s="14" t="n"/>
    </row>
    <row r="247">
      <c r="B247">
        <f>IFERROR(VLOOKUP(A247,Risk_Assessment!$B$2:$D$1000,2,FALSE),"")</f>
        <v/>
      </c>
      <c r="C247">
        <f>IF(ISBLANK(A247),"",A247&amp;"-M"&amp;TEXT(COUNTIF($A$2:A247,A247),"00"))</f>
        <v/>
      </c>
      <c r="H247" s="14" t="n"/>
      <c r="I247" s="14" t="n"/>
    </row>
    <row r="248">
      <c r="B248">
        <f>IFERROR(VLOOKUP(A248,Risk_Assessment!$B$2:$D$1000,2,FALSE),"")</f>
        <v/>
      </c>
      <c r="C248">
        <f>IF(ISBLANK(A248),"",A248&amp;"-M"&amp;TEXT(COUNTIF($A$2:A248,A248),"00"))</f>
        <v/>
      </c>
      <c r="H248" s="14" t="n"/>
      <c r="I248" s="14" t="n"/>
    </row>
    <row r="249">
      <c r="B249">
        <f>IFERROR(VLOOKUP(A249,Risk_Assessment!$B$2:$D$1000,2,FALSE),"")</f>
        <v/>
      </c>
      <c r="C249">
        <f>IF(ISBLANK(A249),"",A249&amp;"-M"&amp;TEXT(COUNTIF($A$2:A249,A249),"00"))</f>
        <v/>
      </c>
      <c r="H249" s="14" t="n"/>
      <c r="I249" s="14" t="n"/>
    </row>
    <row r="250">
      <c r="B250">
        <f>IFERROR(VLOOKUP(A250,Risk_Assessment!$B$2:$D$1000,2,FALSE),"")</f>
        <v/>
      </c>
      <c r="C250">
        <f>IF(ISBLANK(A250),"",A250&amp;"-M"&amp;TEXT(COUNTIF($A$2:A250,A250),"00"))</f>
        <v/>
      </c>
      <c r="H250" s="14" t="n"/>
      <c r="I250" s="14" t="n"/>
    </row>
    <row r="251">
      <c r="B251">
        <f>IFERROR(VLOOKUP(A251,Risk_Assessment!$B$2:$D$1000,2,FALSE),"")</f>
        <v/>
      </c>
      <c r="C251">
        <f>IF(ISBLANK(A251),"",A251&amp;"-M"&amp;TEXT(COUNTIF($A$2:A251,A251),"00"))</f>
        <v/>
      </c>
      <c r="H251" s="14" t="n"/>
      <c r="I251" s="14" t="n"/>
    </row>
    <row r="252">
      <c r="B252">
        <f>IFERROR(VLOOKUP(A252,Risk_Assessment!$B$2:$D$1000,2,FALSE),"")</f>
        <v/>
      </c>
      <c r="C252">
        <f>IF(ISBLANK(A252),"",A252&amp;"-M"&amp;TEXT(COUNTIF($A$2:A252,A252),"00"))</f>
        <v/>
      </c>
      <c r="H252" s="14" t="n"/>
      <c r="I252" s="14" t="n"/>
    </row>
    <row r="253">
      <c r="B253">
        <f>IFERROR(VLOOKUP(A253,Risk_Assessment!$B$2:$D$1000,2,FALSE),"")</f>
        <v/>
      </c>
      <c r="C253">
        <f>IF(ISBLANK(A253),"",A253&amp;"-M"&amp;TEXT(COUNTIF($A$2:A253,A253),"00"))</f>
        <v/>
      </c>
      <c r="H253" s="14" t="n"/>
      <c r="I253" s="14" t="n"/>
    </row>
    <row r="254">
      <c r="B254">
        <f>IFERROR(VLOOKUP(A254,Risk_Assessment!$B$2:$D$1000,2,FALSE),"")</f>
        <v/>
      </c>
      <c r="C254">
        <f>IF(ISBLANK(A254),"",A254&amp;"-M"&amp;TEXT(COUNTIF($A$2:A254,A254),"00"))</f>
        <v/>
      </c>
      <c r="H254" s="14" t="n"/>
      <c r="I254" s="14" t="n"/>
    </row>
    <row r="255">
      <c r="B255">
        <f>IFERROR(VLOOKUP(A255,Risk_Assessment!$B$2:$D$1000,2,FALSE),"")</f>
        <v/>
      </c>
      <c r="C255">
        <f>IF(ISBLANK(A255),"",A255&amp;"-M"&amp;TEXT(COUNTIF($A$2:A255,A255),"00"))</f>
        <v/>
      </c>
      <c r="H255" s="14" t="n"/>
      <c r="I255" s="14" t="n"/>
    </row>
    <row r="256">
      <c r="B256">
        <f>IFERROR(VLOOKUP(A256,Risk_Assessment!$B$2:$D$1000,2,FALSE),"")</f>
        <v/>
      </c>
      <c r="C256">
        <f>IF(ISBLANK(A256),"",A256&amp;"-M"&amp;TEXT(COUNTIF($A$2:A256,A256),"00"))</f>
        <v/>
      </c>
      <c r="H256" s="14" t="n"/>
      <c r="I256" s="14" t="n"/>
    </row>
    <row r="257">
      <c r="B257">
        <f>IFERROR(VLOOKUP(A257,Risk_Assessment!$B$2:$D$1000,2,FALSE),"")</f>
        <v/>
      </c>
      <c r="C257">
        <f>IF(ISBLANK(A257),"",A257&amp;"-M"&amp;TEXT(COUNTIF($A$2:A257,A257),"00"))</f>
        <v/>
      </c>
      <c r="H257" s="14" t="n"/>
      <c r="I257" s="14" t="n"/>
    </row>
    <row r="258">
      <c r="B258">
        <f>IFERROR(VLOOKUP(A258,Risk_Assessment!$B$2:$D$1000,2,FALSE),"")</f>
        <v/>
      </c>
      <c r="C258">
        <f>IF(ISBLANK(A258),"",A258&amp;"-M"&amp;TEXT(COUNTIF($A$2:A258,A258),"00"))</f>
        <v/>
      </c>
      <c r="H258" s="14" t="n"/>
      <c r="I258" s="14" t="n"/>
    </row>
    <row r="259">
      <c r="B259">
        <f>IFERROR(VLOOKUP(A259,Risk_Assessment!$B$2:$D$1000,2,FALSE),"")</f>
        <v/>
      </c>
      <c r="C259">
        <f>IF(ISBLANK(A259),"",A259&amp;"-M"&amp;TEXT(COUNTIF($A$2:A259,A259),"00"))</f>
        <v/>
      </c>
      <c r="H259" s="14" t="n"/>
      <c r="I259" s="14" t="n"/>
    </row>
    <row r="260">
      <c r="B260">
        <f>IFERROR(VLOOKUP(A260,Risk_Assessment!$B$2:$D$1000,2,FALSE),"")</f>
        <v/>
      </c>
      <c r="C260">
        <f>IF(ISBLANK(A260),"",A260&amp;"-M"&amp;TEXT(COUNTIF($A$2:A260,A260),"00"))</f>
        <v/>
      </c>
      <c r="H260" s="14" t="n"/>
      <c r="I260" s="14" t="n"/>
    </row>
    <row r="261">
      <c r="B261">
        <f>IFERROR(VLOOKUP(A261,Risk_Assessment!$B$2:$D$1000,2,FALSE),"")</f>
        <v/>
      </c>
      <c r="C261">
        <f>IF(ISBLANK(A261),"",A261&amp;"-M"&amp;TEXT(COUNTIF($A$2:A261,A261),"00"))</f>
        <v/>
      </c>
      <c r="H261" s="14" t="n"/>
      <c r="I261" s="14" t="n"/>
    </row>
    <row r="262">
      <c r="B262">
        <f>IFERROR(VLOOKUP(A262,Risk_Assessment!$B$2:$D$1000,2,FALSE),"")</f>
        <v/>
      </c>
      <c r="C262">
        <f>IF(ISBLANK(A262),"",A262&amp;"-M"&amp;TEXT(COUNTIF($A$2:A262,A262),"00"))</f>
        <v/>
      </c>
      <c r="H262" s="14" t="n"/>
      <c r="I262" s="14" t="n"/>
    </row>
    <row r="263">
      <c r="B263">
        <f>IFERROR(VLOOKUP(A263,Risk_Assessment!$B$2:$D$1000,2,FALSE),"")</f>
        <v/>
      </c>
      <c r="C263">
        <f>IF(ISBLANK(A263),"",A263&amp;"-M"&amp;TEXT(COUNTIF($A$2:A263,A263),"00"))</f>
        <v/>
      </c>
      <c r="H263" s="14" t="n"/>
      <c r="I263" s="14" t="n"/>
    </row>
    <row r="264">
      <c r="B264">
        <f>IFERROR(VLOOKUP(A264,Risk_Assessment!$B$2:$D$1000,2,FALSE),"")</f>
        <v/>
      </c>
      <c r="C264">
        <f>IF(ISBLANK(A264),"",A264&amp;"-M"&amp;TEXT(COUNTIF($A$2:A264,A264),"00"))</f>
        <v/>
      </c>
      <c r="H264" s="14" t="n"/>
      <c r="I264" s="14" t="n"/>
    </row>
    <row r="265">
      <c r="B265">
        <f>IFERROR(VLOOKUP(A265,Risk_Assessment!$B$2:$D$1000,2,FALSE),"")</f>
        <v/>
      </c>
      <c r="C265">
        <f>IF(ISBLANK(A265),"",A265&amp;"-M"&amp;TEXT(COUNTIF($A$2:A265,A265),"00"))</f>
        <v/>
      </c>
      <c r="H265" s="14" t="n"/>
      <c r="I265" s="14" t="n"/>
    </row>
    <row r="266">
      <c r="B266">
        <f>IFERROR(VLOOKUP(A266,Risk_Assessment!$B$2:$D$1000,2,FALSE),"")</f>
        <v/>
      </c>
      <c r="C266">
        <f>IF(ISBLANK(A266),"",A266&amp;"-M"&amp;TEXT(COUNTIF($A$2:A266,A266),"00"))</f>
        <v/>
      </c>
      <c r="H266" s="14" t="n"/>
      <c r="I266" s="14" t="n"/>
    </row>
    <row r="267">
      <c r="B267">
        <f>IFERROR(VLOOKUP(A267,Risk_Assessment!$B$2:$D$1000,2,FALSE),"")</f>
        <v/>
      </c>
      <c r="C267">
        <f>IF(ISBLANK(A267),"",A267&amp;"-M"&amp;TEXT(COUNTIF($A$2:A267,A267),"00"))</f>
        <v/>
      </c>
      <c r="H267" s="14" t="n"/>
      <c r="I267" s="14" t="n"/>
    </row>
    <row r="268">
      <c r="B268">
        <f>IFERROR(VLOOKUP(A268,Risk_Assessment!$B$2:$D$1000,2,FALSE),"")</f>
        <v/>
      </c>
      <c r="C268">
        <f>IF(ISBLANK(A268),"",A268&amp;"-M"&amp;TEXT(COUNTIF($A$2:A268,A268),"00"))</f>
        <v/>
      </c>
      <c r="H268" s="14" t="n"/>
      <c r="I268" s="14" t="n"/>
    </row>
    <row r="269">
      <c r="B269">
        <f>IFERROR(VLOOKUP(A269,Risk_Assessment!$B$2:$D$1000,2,FALSE),"")</f>
        <v/>
      </c>
      <c r="C269">
        <f>IF(ISBLANK(A269),"",A269&amp;"-M"&amp;TEXT(COUNTIF($A$2:A269,A269),"00"))</f>
        <v/>
      </c>
      <c r="H269" s="14" t="n"/>
      <c r="I269" s="14" t="n"/>
    </row>
    <row r="270">
      <c r="B270">
        <f>IFERROR(VLOOKUP(A270,Risk_Assessment!$B$2:$D$1000,2,FALSE),"")</f>
        <v/>
      </c>
      <c r="C270">
        <f>IF(ISBLANK(A270),"",A270&amp;"-M"&amp;TEXT(COUNTIF($A$2:A270,A270),"00"))</f>
        <v/>
      </c>
      <c r="H270" s="14" t="n"/>
      <c r="I270" s="14" t="n"/>
    </row>
    <row r="271">
      <c r="B271">
        <f>IFERROR(VLOOKUP(A271,Risk_Assessment!$B$2:$D$1000,2,FALSE),"")</f>
        <v/>
      </c>
      <c r="C271">
        <f>IF(ISBLANK(A271),"",A271&amp;"-M"&amp;TEXT(COUNTIF($A$2:A271,A271),"00"))</f>
        <v/>
      </c>
      <c r="H271" s="14" t="n"/>
      <c r="I271" s="14" t="n"/>
    </row>
    <row r="272">
      <c r="B272">
        <f>IFERROR(VLOOKUP(A272,Risk_Assessment!$B$2:$D$1000,2,FALSE),"")</f>
        <v/>
      </c>
      <c r="C272">
        <f>IF(ISBLANK(A272),"",A272&amp;"-M"&amp;TEXT(COUNTIF($A$2:A272,A272),"00"))</f>
        <v/>
      </c>
      <c r="H272" s="14" t="n"/>
      <c r="I272" s="14" t="n"/>
    </row>
    <row r="273">
      <c r="B273">
        <f>IFERROR(VLOOKUP(A273,Risk_Assessment!$B$2:$D$1000,2,FALSE),"")</f>
        <v/>
      </c>
      <c r="C273">
        <f>IF(ISBLANK(A273),"",A273&amp;"-M"&amp;TEXT(COUNTIF($A$2:A273,A273),"00"))</f>
        <v/>
      </c>
      <c r="H273" s="14" t="n"/>
      <c r="I273" s="14" t="n"/>
    </row>
    <row r="274">
      <c r="B274">
        <f>IFERROR(VLOOKUP(A274,Risk_Assessment!$B$2:$D$1000,2,FALSE),"")</f>
        <v/>
      </c>
      <c r="C274">
        <f>IF(ISBLANK(A274),"",A274&amp;"-M"&amp;TEXT(COUNTIF($A$2:A274,A274),"00"))</f>
        <v/>
      </c>
      <c r="H274" s="14" t="n"/>
      <c r="I274" s="14" t="n"/>
    </row>
    <row r="275">
      <c r="B275">
        <f>IFERROR(VLOOKUP(A275,Risk_Assessment!$B$2:$D$1000,2,FALSE),"")</f>
        <v/>
      </c>
      <c r="C275">
        <f>IF(ISBLANK(A275),"",A275&amp;"-M"&amp;TEXT(COUNTIF($A$2:A275,A275),"00"))</f>
        <v/>
      </c>
      <c r="H275" s="14" t="n"/>
      <c r="I275" s="14" t="n"/>
    </row>
    <row r="276">
      <c r="B276">
        <f>IFERROR(VLOOKUP(A276,Risk_Assessment!$B$2:$D$1000,2,FALSE),"")</f>
        <v/>
      </c>
      <c r="C276">
        <f>IF(ISBLANK(A276),"",A276&amp;"-M"&amp;TEXT(COUNTIF($A$2:A276,A276),"00"))</f>
        <v/>
      </c>
      <c r="H276" s="14" t="n"/>
      <c r="I276" s="14" t="n"/>
    </row>
    <row r="277">
      <c r="B277">
        <f>IFERROR(VLOOKUP(A277,Risk_Assessment!$B$2:$D$1000,2,FALSE),"")</f>
        <v/>
      </c>
      <c r="C277">
        <f>IF(ISBLANK(A277),"",A277&amp;"-M"&amp;TEXT(COUNTIF($A$2:A277,A277),"00"))</f>
        <v/>
      </c>
      <c r="H277" s="14" t="n"/>
      <c r="I277" s="14" t="n"/>
    </row>
    <row r="278">
      <c r="B278">
        <f>IFERROR(VLOOKUP(A278,Risk_Assessment!$B$2:$D$1000,2,FALSE),"")</f>
        <v/>
      </c>
      <c r="C278">
        <f>IF(ISBLANK(A278),"",A278&amp;"-M"&amp;TEXT(COUNTIF($A$2:A278,A278),"00"))</f>
        <v/>
      </c>
      <c r="H278" s="14" t="n"/>
      <c r="I278" s="14" t="n"/>
    </row>
    <row r="279">
      <c r="B279">
        <f>IFERROR(VLOOKUP(A279,Risk_Assessment!$B$2:$D$1000,2,FALSE),"")</f>
        <v/>
      </c>
      <c r="C279">
        <f>IF(ISBLANK(A279),"",A279&amp;"-M"&amp;TEXT(COUNTIF($A$2:A279,A279),"00"))</f>
        <v/>
      </c>
      <c r="H279" s="14" t="n"/>
      <c r="I279" s="14" t="n"/>
    </row>
    <row r="280">
      <c r="B280">
        <f>IFERROR(VLOOKUP(A280,Risk_Assessment!$B$2:$D$1000,2,FALSE),"")</f>
        <v/>
      </c>
      <c r="C280">
        <f>IF(ISBLANK(A280),"",A280&amp;"-M"&amp;TEXT(COUNTIF($A$2:A280,A280),"00"))</f>
        <v/>
      </c>
      <c r="H280" s="14" t="n"/>
      <c r="I280" s="14" t="n"/>
    </row>
    <row r="281">
      <c r="B281">
        <f>IFERROR(VLOOKUP(A281,Risk_Assessment!$B$2:$D$1000,2,FALSE),"")</f>
        <v/>
      </c>
      <c r="C281">
        <f>IF(ISBLANK(A281),"",A281&amp;"-M"&amp;TEXT(COUNTIF($A$2:A281,A281),"00"))</f>
        <v/>
      </c>
      <c r="H281" s="14" t="n"/>
      <c r="I281" s="14" t="n"/>
    </row>
    <row r="282">
      <c r="B282">
        <f>IFERROR(VLOOKUP(A282,Risk_Assessment!$B$2:$D$1000,2,FALSE),"")</f>
        <v/>
      </c>
      <c r="C282">
        <f>IF(ISBLANK(A282),"",A282&amp;"-M"&amp;TEXT(COUNTIF($A$2:A282,A282),"00"))</f>
        <v/>
      </c>
      <c r="H282" s="14" t="n"/>
      <c r="I282" s="14" t="n"/>
    </row>
    <row r="283">
      <c r="B283">
        <f>IFERROR(VLOOKUP(A283,Risk_Assessment!$B$2:$D$1000,2,FALSE),"")</f>
        <v/>
      </c>
      <c r="C283">
        <f>IF(ISBLANK(A283),"",A283&amp;"-M"&amp;TEXT(COUNTIF($A$2:A283,A283),"00"))</f>
        <v/>
      </c>
      <c r="H283" s="14" t="n"/>
      <c r="I283" s="14" t="n"/>
    </row>
    <row r="284">
      <c r="B284">
        <f>IFERROR(VLOOKUP(A284,Risk_Assessment!$B$2:$D$1000,2,FALSE),"")</f>
        <v/>
      </c>
      <c r="C284">
        <f>IF(ISBLANK(A284),"",A284&amp;"-M"&amp;TEXT(COUNTIF($A$2:A284,A284),"00"))</f>
        <v/>
      </c>
      <c r="H284" s="14" t="n"/>
      <c r="I284" s="14" t="n"/>
    </row>
    <row r="285">
      <c r="B285">
        <f>IFERROR(VLOOKUP(A285,Risk_Assessment!$B$2:$D$1000,2,FALSE),"")</f>
        <v/>
      </c>
      <c r="C285">
        <f>IF(ISBLANK(A285),"",A285&amp;"-M"&amp;TEXT(COUNTIF($A$2:A285,A285),"00"))</f>
        <v/>
      </c>
      <c r="H285" s="14" t="n"/>
      <c r="I285" s="14" t="n"/>
    </row>
    <row r="286">
      <c r="B286">
        <f>IFERROR(VLOOKUP(A286,Risk_Assessment!$B$2:$D$1000,2,FALSE),"")</f>
        <v/>
      </c>
      <c r="C286">
        <f>IF(ISBLANK(A286),"",A286&amp;"-M"&amp;TEXT(COUNTIF($A$2:A286,A286),"00"))</f>
        <v/>
      </c>
      <c r="H286" s="14" t="n"/>
      <c r="I286" s="14" t="n"/>
    </row>
    <row r="287">
      <c r="B287">
        <f>IFERROR(VLOOKUP(A287,Risk_Assessment!$B$2:$D$1000,2,FALSE),"")</f>
        <v/>
      </c>
      <c r="C287">
        <f>IF(ISBLANK(A287),"",A287&amp;"-M"&amp;TEXT(COUNTIF($A$2:A287,A287),"00"))</f>
        <v/>
      </c>
      <c r="H287" s="14" t="n"/>
      <c r="I287" s="14" t="n"/>
    </row>
    <row r="288">
      <c r="B288">
        <f>IFERROR(VLOOKUP(A288,Risk_Assessment!$B$2:$D$1000,2,FALSE),"")</f>
        <v/>
      </c>
      <c r="C288">
        <f>IF(ISBLANK(A288),"",A288&amp;"-M"&amp;TEXT(COUNTIF($A$2:A288,A288),"00"))</f>
        <v/>
      </c>
      <c r="H288" s="14" t="n"/>
      <c r="I288" s="14" t="n"/>
    </row>
    <row r="289">
      <c r="B289">
        <f>IFERROR(VLOOKUP(A289,Risk_Assessment!$B$2:$D$1000,2,FALSE),"")</f>
        <v/>
      </c>
      <c r="C289">
        <f>IF(ISBLANK(A289),"",A289&amp;"-M"&amp;TEXT(COUNTIF($A$2:A289,A289),"00"))</f>
        <v/>
      </c>
      <c r="H289" s="14" t="n"/>
      <c r="I289" s="14" t="n"/>
    </row>
    <row r="290">
      <c r="B290">
        <f>IFERROR(VLOOKUP(A290,Risk_Assessment!$B$2:$D$1000,2,FALSE),"")</f>
        <v/>
      </c>
      <c r="C290">
        <f>IF(ISBLANK(A290),"",A290&amp;"-M"&amp;TEXT(COUNTIF($A$2:A290,A290),"00"))</f>
        <v/>
      </c>
      <c r="H290" s="14" t="n"/>
      <c r="I290" s="14" t="n"/>
    </row>
    <row r="291">
      <c r="B291">
        <f>IFERROR(VLOOKUP(A291,Risk_Assessment!$B$2:$D$1000,2,FALSE),"")</f>
        <v/>
      </c>
      <c r="C291">
        <f>IF(ISBLANK(A291),"",A291&amp;"-M"&amp;TEXT(COUNTIF($A$2:A291,A291),"00"))</f>
        <v/>
      </c>
      <c r="H291" s="14" t="n"/>
      <c r="I291" s="14" t="n"/>
    </row>
    <row r="292">
      <c r="B292">
        <f>IFERROR(VLOOKUP(A292,Risk_Assessment!$B$2:$D$1000,2,FALSE),"")</f>
        <v/>
      </c>
      <c r="C292">
        <f>IF(ISBLANK(A292),"",A292&amp;"-M"&amp;TEXT(COUNTIF($A$2:A292,A292),"00"))</f>
        <v/>
      </c>
      <c r="H292" s="14" t="n"/>
      <c r="I292" s="14" t="n"/>
    </row>
    <row r="293">
      <c r="B293">
        <f>IFERROR(VLOOKUP(A293,Risk_Assessment!$B$2:$D$1000,2,FALSE),"")</f>
        <v/>
      </c>
      <c r="C293">
        <f>IF(ISBLANK(A293),"",A293&amp;"-M"&amp;TEXT(COUNTIF($A$2:A293,A293),"00"))</f>
        <v/>
      </c>
      <c r="H293" s="14" t="n"/>
      <c r="I293" s="14" t="n"/>
    </row>
    <row r="294">
      <c r="B294">
        <f>IFERROR(VLOOKUP(A294,Risk_Assessment!$B$2:$D$1000,2,FALSE),"")</f>
        <v/>
      </c>
      <c r="C294">
        <f>IF(ISBLANK(A294),"",A294&amp;"-M"&amp;TEXT(COUNTIF($A$2:A294,A294),"00"))</f>
        <v/>
      </c>
      <c r="H294" s="14" t="n"/>
      <c r="I294" s="14" t="n"/>
    </row>
    <row r="295">
      <c r="B295">
        <f>IFERROR(VLOOKUP(A295,Risk_Assessment!$B$2:$D$1000,2,FALSE),"")</f>
        <v/>
      </c>
      <c r="C295">
        <f>IF(ISBLANK(A295),"",A295&amp;"-M"&amp;TEXT(COUNTIF($A$2:A295,A295),"00"))</f>
        <v/>
      </c>
      <c r="H295" s="14" t="n"/>
      <c r="I295" s="14" t="n"/>
    </row>
    <row r="296">
      <c r="B296">
        <f>IFERROR(VLOOKUP(A296,Risk_Assessment!$B$2:$D$1000,2,FALSE),"")</f>
        <v/>
      </c>
      <c r="C296">
        <f>IF(ISBLANK(A296),"",A296&amp;"-M"&amp;TEXT(COUNTIF($A$2:A296,A296),"00"))</f>
        <v/>
      </c>
      <c r="H296" s="14" t="n"/>
      <c r="I296" s="14" t="n"/>
    </row>
    <row r="297">
      <c r="B297">
        <f>IFERROR(VLOOKUP(A297,Risk_Assessment!$B$2:$D$1000,2,FALSE),"")</f>
        <v/>
      </c>
      <c r="C297">
        <f>IF(ISBLANK(A297),"",A297&amp;"-M"&amp;TEXT(COUNTIF($A$2:A297,A297),"00"))</f>
        <v/>
      </c>
      <c r="H297" s="14" t="n"/>
      <c r="I297" s="14" t="n"/>
    </row>
    <row r="298">
      <c r="B298">
        <f>IFERROR(VLOOKUP(A298,Risk_Assessment!$B$2:$D$1000,2,FALSE),"")</f>
        <v/>
      </c>
      <c r="C298">
        <f>IF(ISBLANK(A298),"",A298&amp;"-M"&amp;TEXT(COUNTIF($A$2:A298,A298),"00"))</f>
        <v/>
      </c>
      <c r="H298" s="14" t="n"/>
      <c r="I298" s="14" t="n"/>
    </row>
    <row r="299">
      <c r="B299">
        <f>IFERROR(VLOOKUP(A299,Risk_Assessment!$B$2:$D$1000,2,FALSE),"")</f>
        <v/>
      </c>
      <c r="C299">
        <f>IF(ISBLANK(A299),"",A299&amp;"-M"&amp;TEXT(COUNTIF($A$2:A299,A299),"00"))</f>
        <v/>
      </c>
      <c r="H299" s="14" t="n"/>
      <c r="I299" s="14" t="n"/>
    </row>
    <row r="300">
      <c r="B300">
        <f>IFERROR(VLOOKUP(A300,Risk_Assessment!$B$2:$D$1000,2,FALSE),"")</f>
        <v/>
      </c>
      <c r="C300">
        <f>IF(ISBLANK(A300),"",A300&amp;"-M"&amp;TEXT(COUNTIF($A$2:A300,A300),"00"))</f>
        <v/>
      </c>
      <c r="H300" s="14" t="n"/>
      <c r="I300" s="14" t="n"/>
    </row>
    <row r="301">
      <c r="B301">
        <f>IFERROR(VLOOKUP(A301,Risk_Assessment!$B$2:$D$1000,2,FALSE),"")</f>
        <v/>
      </c>
      <c r="C301">
        <f>IF(ISBLANK(A301),"",A301&amp;"-M"&amp;TEXT(COUNTIF($A$2:A301,A301),"00"))</f>
        <v/>
      </c>
      <c r="H301" s="14" t="n"/>
      <c r="I301" s="14" t="n"/>
    </row>
    <row r="302">
      <c r="B302">
        <f>IFERROR(VLOOKUP(A302,Risk_Assessment!$B$2:$D$1000,2,FALSE),"")</f>
        <v/>
      </c>
      <c r="C302">
        <f>IF(ISBLANK(A302),"",A302&amp;"-M"&amp;TEXT(COUNTIF($A$2:A302,A302),"00"))</f>
        <v/>
      </c>
      <c r="H302" s="14" t="n"/>
      <c r="I302" s="14" t="n"/>
    </row>
    <row r="303">
      <c r="B303">
        <f>IFERROR(VLOOKUP(A303,Risk_Assessment!$B$2:$D$1000,2,FALSE),"")</f>
        <v/>
      </c>
      <c r="C303">
        <f>IF(ISBLANK(A303),"",A303&amp;"-M"&amp;TEXT(COUNTIF($A$2:A303,A303),"00"))</f>
        <v/>
      </c>
      <c r="H303" s="14" t="n"/>
      <c r="I303" s="14" t="n"/>
    </row>
    <row r="304">
      <c r="B304">
        <f>IFERROR(VLOOKUP(A304,Risk_Assessment!$B$2:$D$1000,2,FALSE),"")</f>
        <v/>
      </c>
      <c r="C304">
        <f>IF(ISBLANK(A304),"",A304&amp;"-M"&amp;TEXT(COUNTIF($A$2:A304,A304),"00"))</f>
        <v/>
      </c>
      <c r="H304" s="14" t="n"/>
      <c r="I304" s="14" t="n"/>
    </row>
    <row r="305">
      <c r="B305">
        <f>IFERROR(VLOOKUP(A305,Risk_Assessment!$B$2:$D$1000,2,FALSE),"")</f>
        <v/>
      </c>
      <c r="C305">
        <f>IF(ISBLANK(A305),"",A305&amp;"-M"&amp;TEXT(COUNTIF($A$2:A305,A305),"00"))</f>
        <v/>
      </c>
      <c r="H305" s="14" t="n"/>
      <c r="I305" s="14" t="n"/>
    </row>
    <row r="306">
      <c r="B306">
        <f>IFERROR(VLOOKUP(A306,Risk_Assessment!$B$2:$D$1000,2,FALSE),"")</f>
        <v/>
      </c>
      <c r="C306">
        <f>IF(ISBLANK(A306),"",A306&amp;"-M"&amp;TEXT(COUNTIF($A$2:A306,A306),"00"))</f>
        <v/>
      </c>
      <c r="H306" s="14" t="n"/>
      <c r="I306" s="14" t="n"/>
    </row>
    <row r="307">
      <c r="B307">
        <f>IFERROR(VLOOKUP(A307,Risk_Assessment!$B$2:$D$1000,2,FALSE),"")</f>
        <v/>
      </c>
      <c r="C307">
        <f>IF(ISBLANK(A307),"",A307&amp;"-M"&amp;TEXT(COUNTIF($A$2:A307,A307),"00"))</f>
        <v/>
      </c>
      <c r="H307" s="14" t="n"/>
      <c r="I307" s="14" t="n"/>
    </row>
    <row r="308">
      <c r="B308">
        <f>IFERROR(VLOOKUP(A308,Risk_Assessment!$B$2:$D$1000,2,FALSE),"")</f>
        <v/>
      </c>
      <c r="C308">
        <f>IF(ISBLANK(A308),"",A308&amp;"-M"&amp;TEXT(COUNTIF($A$2:A308,A308),"00"))</f>
        <v/>
      </c>
      <c r="H308" s="14" t="n"/>
      <c r="I308" s="14" t="n"/>
    </row>
    <row r="309">
      <c r="B309">
        <f>IFERROR(VLOOKUP(A309,Risk_Assessment!$B$2:$D$1000,2,FALSE),"")</f>
        <v/>
      </c>
      <c r="C309">
        <f>IF(ISBLANK(A309),"",A309&amp;"-M"&amp;TEXT(COUNTIF($A$2:A309,A309),"00"))</f>
        <v/>
      </c>
      <c r="H309" s="14" t="n"/>
      <c r="I309" s="14" t="n"/>
    </row>
    <row r="310">
      <c r="B310">
        <f>IFERROR(VLOOKUP(A310,Risk_Assessment!$B$2:$D$1000,2,FALSE),"")</f>
        <v/>
      </c>
      <c r="C310">
        <f>IF(ISBLANK(A310),"",A310&amp;"-M"&amp;TEXT(COUNTIF($A$2:A310,A310),"00"))</f>
        <v/>
      </c>
      <c r="H310" s="14" t="n"/>
      <c r="I310" s="14" t="n"/>
    </row>
    <row r="311">
      <c r="B311">
        <f>IFERROR(VLOOKUP(A311,Risk_Assessment!$B$2:$D$1000,2,FALSE),"")</f>
        <v/>
      </c>
      <c r="C311">
        <f>IF(ISBLANK(A311),"",A311&amp;"-M"&amp;TEXT(COUNTIF($A$2:A311,A311),"00"))</f>
        <v/>
      </c>
      <c r="H311" s="14" t="n"/>
      <c r="I311" s="14" t="n"/>
    </row>
    <row r="312">
      <c r="B312">
        <f>IFERROR(VLOOKUP(A312,Risk_Assessment!$B$2:$D$1000,2,FALSE),"")</f>
        <v/>
      </c>
      <c r="C312">
        <f>IF(ISBLANK(A312),"",A312&amp;"-M"&amp;TEXT(COUNTIF($A$2:A312,A312),"00"))</f>
        <v/>
      </c>
      <c r="H312" s="14" t="n"/>
      <c r="I312" s="14" t="n"/>
    </row>
    <row r="313">
      <c r="B313">
        <f>IFERROR(VLOOKUP(A313,Risk_Assessment!$B$2:$D$1000,2,FALSE),"")</f>
        <v/>
      </c>
      <c r="C313">
        <f>IF(ISBLANK(A313),"",A313&amp;"-M"&amp;TEXT(COUNTIF($A$2:A313,A313),"00"))</f>
        <v/>
      </c>
      <c r="H313" s="14" t="n"/>
      <c r="I313" s="14" t="n"/>
    </row>
    <row r="314">
      <c r="B314">
        <f>IFERROR(VLOOKUP(A314,Risk_Assessment!$B$2:$D$1000,2,FALSE),"")</f>
        <v/>
      </c>
      <c r="C314">
        <f>IF(ISBLANK(A314),"",A314&amp;"-M"&amp;TEXT(COUNTIF($A$2:A314,A314),"00"))</f>
        <v/>
      </c>
      <c r="H314" s="14" t="n"/>
      <c r="I314" s="14" t="n"/>
    </row>
    <row r="315">
      <c r="B315">
        <f>IFERROR(VLOOKUP(A315,Risk_Assessment!$B$2:$D$1000,2,FALSE),"")</f>
        <v/>
      </c>
      <c r="C315">
        <f>IF(ISBLANK(A315),"",A315&amp;"-M"&amp;TEXT(COUNTIF($A$2:A315,A315),"00"))</f>
        <v/>
      </c>
      <c r="H315" s="14" t="n"/>
      <c r="I315" s="14" t="n"/>
    </row>
    <row r="316">
      <c r="B316">
        <f>IFERROR(VLOOKUP(A316,Risk_Assessment!$B$2:$D$1000,2,FALSE),"")</f>
        <v/>
      </c>
      <c r="C316">
        <f>IF(ISBLANK(A316),"",A316&amp;"-M"&amp;TEXT(COUNTIF($A$2:A316,A316),"00"))</f>
        <v/>
      </c>
      <c r="H316" s="14" t="n"/>
      <c r="I316" s="14" t="n"/>
    </row>
    <row r="317">
      <c r="B317">
        <f>IFERROR(VLOOKUP(A317,Risk_Assessment!$B$2:$D$1000,2,FALSE),"")</f>
        <v/>
      </c>
      <c r="C317">
        <f>IF(ISBLANK(A317),"",A317&amp;"-M"&amp;TEXT(COUNTIF($A$2:A317,A317),"00"))</f>
        <v/>
      </c>
      <c r="H317" s="14" t="n"/>
      <c r="I317" s="14" t="n"/>
    </row>
    <row r="318">
      <c r="B318">
        <f>IFERROR(VLOOKUP(A318,Risk_Assessment!$B$2:$D$1000,2,FALSE),"")</f>
        <v/>
      </c>
      <c r="C318">
        <f>IF(ISBLANK(A318),"",A318&amp;"-M"&amp;TEXT(COUNTIF($A$2:A318,A318),"00"))</f>
        <v/>
      </c>
      <c r="H318" s="14" t="n"/>
      <c r="I318" s="14" t="n"/>
    </row>
    <row r="319">
      <c r="B319">
        <f>IFERROR(VLOOKUP(A319,Risk_Assessment!$B$2:$D$1000,2,FALSE),"")</f>
        <v/>
      </c>
      <c r="C319">
        <f>IF(ISBLANK(A319),"",A319&amp;"-M"&amp;TEXT(COUNTIF($A$2:A319,A319),"00"))</f>
        <v/>
      </c>
      <c r="H319" s="14" t="n"/>
      <c r="I319" s="14" t="n"/>
    </row>
    <row r="320">
      <c r="B320">
        <f>IFERROR(VLOOKUP(A320,Risk_Assessment!$B$2:$D$1000,2,FALSE),"")</f>
        <v/>
      </c>
      <c r="C320">
        <f>IF(ISBLANK(A320),"",A320&amp;"-M"&amp;TEXT(COUNTIF($A$2:A320,A320),"00"))</f>
        <v/>
      </c>
      <c r="H320" s="14" t="n"/>
      <c r="I320" s="14" t="n"/>
    </row>
    <row r="321">
      <c r="B321">
        <f>IFERROR(VLOOKUP(A321,Risk_Assessment!$B$2:$D$1000,2,FALSE),"")</f>
        <v/>
      </c>
      <c r="C321">
        <f>IF(ISBLANK(A321),"",A321&amp;"-M"&amp;TEXT(COUNTIF($A$2:A321,A321),"00"))</f>
        <v/>
      </c>
      <c r="H321" s="14" t="n"/>
      <c r="I321" s="14" t="n"/>
    </row>
    <row r="322">
      <c r="B322">
        <f>IFERROR(VLOOKUP(A322,Risk_Assessment!$B$2:$D$1000,2,FALSE),"")</f>
        <v/>
      </c>
      <c r="C322">
        <f>IF(ISBLANK(A322),"",A322&amp;"-M"&amp;TEXT(COUNTIF($A$2:A322,A322),"00"))</f>
        <v/>
      </c>
      <c r="H322" s="14" t="n"/>
      <c r="I322" s="14" t="n"/>
    </row>
    <row r="323">
      <c r="B323">
        <f>IFERROR(VLOOKUP(A323,Risk_Assessment!$B$2:$D$1000,2,FALSE),"")</f>
        <v/>
      </c>
      <c r="C323">
        <f>IF(ISBLANK(A323),"",A323&amp;"-M"&amp;TEXT(COUNTIF($A$2:A323,A323),"00"))</f>
        <v/>
      </c>
      <c r="H323" s="14" t="n"/>
      <c r="I323" s="14" t="n"/>
    </row>
    <row r="324">
      <c r="B324">
        <f>IFERROR(VLOOKUP(A324,Risk_Assessment!$B$2:$D$1000,2,FALSE),"")</f>
        <v/>
      </c>
      <c r="C324">
        <f>IF(ISBLANK(A324),"",A324&amp;"-M"&amp;TEXT(COUNTIF($A$2:A324,A324),"00"))</f>
        <v/>
      </c>
      <c r="H324" s="14" t="n"/>
      <c r="I324" s="14" t="n"/>
    </row>
    <row r="325">
      <c r="B325">
        <f>IFERROR(VLOOKUP(A325,Risk_Assessment!$B$2:$D$1000,2,FALSE),"")</f>
        <v/>
      </c>
      <c r="C325">
        <f>IF(ISBLANK(A325),"",A325&amp;"-M"&amp;TEXT(COUNTIF($A$2:A325,A325),"00"))</f>
        <v/>
      </c>
      <c r="H325" s="14" t="n"/>
      <c r="I325" s="14" t="n"/>
    </row>
    <row r="326">
      <c r="B326">
        <f>IFERROR(VLOOKUP(A326,Risk_Assessment!$B$2:$D$1000,2,FALSE),"")</f>
        <v/>
      </c>
      <c r="C326">
        <f>IF(ISBLANK(A326),"",A326&amp;"-M"&amp;TEXT(COUNTIF($A$2:A326,A326),"00"))</f>
        <v/>
      </c>
      <c r="H326" s="14" t="n"/>
      <c r="I326" s="14" t="n"/>
    </row>
    <row r="327">
      <c r="B327">
        <f>IFERROR(VLOOKUP(A327,Risk_Assessment!$B$2:$D$1000,2,FALSE),"")</f>
        <v/>
      </c>
      <c r="C327">
        <f>IF(ISBLANK(A327),"",A327&amp;"-M"&amp;TEXT(COUNTIF($A$2:A327,A327),"00"))</f>
        <v/>
      </c>
      <c r="H327" s="14" t="n"/>
      <c r="I327" s="14" t="n"/>
    </row>
    <row r="328">
      <c r="B328">
        <f>IFERROR(VLOOKUP(A328,Risk_Assessment!$B$2:$D$1000,2,FALSE),"")</f>
        <v/>
      </c>
      <c r="C328">
        <f>IF(ISBLANK(A328),"",A328&amp;"-M"&amp;TEXT(COUNTIF($A$2:A328,A328),"00"))</f>
        <v/>
      </c>
      <c r="H328" s="14" t="n"/>
      <c r="I328" s="14" t="n"/>
    </row>
    <row r="329">
      <c r="B329">
        <f>IFERROR(VLOOKUP(A329,Risk_Assessment!$B$2:$D$1000,2,FALSE),"")</f>
        <v/>
      </c>
      <c r="C329">
        <f>IF(ISBLANK(A329),"",A329&amp;"-M"&amp;TEXT(COUNTIF($A$2:A329,A329),"00"))</f>
        <v/>
      </c>
      <c r="H329" s="14" t="n"/>
      <c r="I329" s="14" t="n"/>
    </row>
    <row r="330">
      <c r="B330">
        <f>IFERROR(VLOOKUP(A330,Risk_Assessment!$B$2:$D$1000,2,FALSE),"")</f>
        <v/>
      </c>
      <c r="C330">
        <f>IF(ISBLANK(A330),"",A330&amp;"-M"&amp;TEXT(COUNTIF($A$2:A330,A330),"00"))</f>
        <v/>
      </c>
      <c r="H330" s="14" t="n"/>
      <c r="I330" s="14" t="n"/>
    </row>
    <row r="331">
      <c r="B331">
        <f>IFERROR(VLOOKUP(A331,Risk_Assessment!$B$2:$D$1000,2,FALSE),"")</f>
        <v/>
      </c>
      <c r="C331">
        <f>IF(ISBLANK(A331),"",A331&amp;"-M"&amp;TEXT(COUNTIF($A$2:A331,A331),"00"))</f>
        <v/>
      </c>
      <c r="H331" s="14" t="n"/>
      <c r="I331" s="14" t="n"/>
    </row>
    <row r="332">
      <c r="B332">
        <f>IFERROR(VLOOKUP(A332,Risk_Assessment!$B$2:$D$1000,2,FALSE),"")</f>
        <v/>
      </c>
      <c r="C332">
        <f>IF(ISBLANK(A332),"",A332&amp;"-M"&amp;TEXT(COUNTIF($A$2:A332,A332),"00"))</f>
        <v/>
      </c>
      <c r="H332" s="14" t="n"/>
      <c r="I332" s="14" t="n"/>
    </row>
    <row r="333">
      <c r="B333">
        <f>IFERROR(VLOOKUP(A333,Risk_Assessment!$B$2:$D$1000,2,FALSE),"")</f>
        <v/>
      </c>
      <c r="C333">
        <f>IF(ISBLANK(A333),"",A333&amp;"-M"&amp;TEXT(COUNTIF($A$2:A333,A333),"00"))</f>
        <v/>
      </c>
      <c r="H333" s="14" t="n"/>
      <c r="I333" s="14" t="n"/>
    </row>
    <row r="334">
      <c r="B334">
        <f>IFERROR(VLOOKUP(A334,Risk_Assessment!$B$2:$D$1000,2,FALSE),"")</f>
        <v/>
      </c>
      <c r="C334">
        <f>IF(ISBLANK(A334),"",A334&amp;"-M"&amp;TEXT(COUNTIF($A$2:A334,A334),"00"))</f>
        <v/>
      </c>
      <c r="H334" s="14" t="n"/>
      <c r="I334" s="14" t="n"/>
    </row>
    <row r="335">
      <c r="B335">
        <f>IFERROR(VLOOKUP(A335,Risk_Assessment!$B$2:$D$1000,2,FALSE),"")</f>
        <v/>
      </c>
      <c r="C335">
        <f>IF(ISBLANK(A335),"",A335&amp;"-M"&amp;TEXT(COUNTIF($A$2:A335,A335),"00"))</f>
        <v/>
      </c>
      <c r="H335" s="14" t="n"/>
      <c r="I335" s="14" t="n"/>
    </row>
    <row r="336">
      <c r="B336">
        <f>IFERROR(VLOOKUP(A336,Risk_Assessment!$B$2:$D$1000,2,FALSE),"")</f>
        <v/>
      </c>
      <c r="C336">
        <f>IF(ISBLANK(A336),"",A336&amp;"-M"&amp;TEXT(COUNTIF($A$2:A336,A336),"00"))</f>
        <v/>
      </c>
      <c r="H336" s="14" t="n"/>
      <c r="I336" s="14" t="n"/>
    </row>
    <row r="337">
      <c r="B337">
        <f>IFERROR(VLOOKUP(A337,Risk_Assessment!$B$2:$D$1000,2,FALSE),"")</f>
        <v/>
      </c>
      <c r="C337">
        <f>IF(ISBLANK(A337),"",A337&amp;"-M"&amp;TEXT(COUNTIF($A$2:A337,A337),"00"))</f>
        <v/>
      </c>
      <c r="H337" s="14" t="n"/>
      <c r="I337" s="14" t="n"/>
    </row>
    <row r="338">
      <c r="B338">
        <f>IFERROR(VLOOKUP(A338,Risk_Assessment!$B$2:$D$1000,2,FALSE),"")</f>
        <v/>
      </c>
      <c r="C338">
        <f>IF(ISBLANK(A338),"",A338&amp;"-M"&amp;TEXT(COUNTIF($A$2:A338,A338),"00"))</f>
        <v/>
      </c>
      <c r="H338" s="14" t="n"/>
      <c r="I338" s="14" t="n"/>
    </row>
    <row r="339">
      <c r="B339">
        <f>IFERROR(VLOOKUP(A339,Risk_Assessment!$B$2:$D$1000,2,FALSE),"")</f>
        <v/>
      </c>
      <c r="C339">
        <f>IF(ISBLANK(A339),"",A339&amp;"-M"&amp;TEXT(COUNTIF($A$2:A339,A339),"00"))</f>
        <v/>
      </c>
      <c r="H339" s="14" t="n"/>
      <c r="I339" s="14" t="n"/>
    </row>
    <row r="340">
      <c r="B340">
        <f>IFERROR(VLOOKUP(A340,Risk_Assessment!$B$2:$D$1000,2,FALSE),"")</f>
        <v/>
      </c>
      <c r="C340">
        <f>IF(ISBLANK(A340),"",A340&amp;"-M"&amp;TEXT(COUNTIF($A$2:A340,A340),"00"))</f>
        <v/>
      </c>
      <c r="H340" s="14" t="n"/>
      <c r="I340" s="14" t="n"/>
    </row>
    <row r="341">
      <c r="B341">
        <f>IFERROR(VLOOKUP(A341,Risk_Assessment!$B$2:$D$1000,2,FALSE),"")</f>
        <v/>
      </c>
      <c r="C341">
        <f>IF(ISBLANK(A341),"",A341&amp;"-M"&amp;TEXT(COUNTIF($A$2:A341,A341),"00"))</f>
        <v/>
      </c>
      <c r="H341" s="14" t="n"/>
      <c r="I341" s="14" t="n"/>
    </row>
    <row r="342">
      <c r="B342">
        <f>IFERROR(VLOOKUP(A342,Risk_Assessment!$B$2:$D$1000,2,FALSE),"")</f>
        <v/>
      </c>
      <c r="C342">
        <f>IF(ISBLANK(A342),"",A342&amp;"-M"&amp;TEXT(COUNTIF($A$2:A342,A342),"00"))</f>
        <v/>
      </c>
      <c r="H342" s="14" t="n"/>
      <c r="I342" s="14" t="n"/>
    </row>
    <row r="343">
      <c r="B343">
        <f>IFERROR(VLOOKUP(A343,Risk_Assessment!$B$2:$D$1000,2,FALSE),"")</f>
        <v/>
      </c>
      <c r="C343">
        <f>IF(ISBLANK(A343),"",A343&amp;"-M"&amp;TEXT(COUNTIF($A$2:A343,A343),"00"))</f>
        <v/>
      </c>
      <c r="H343" s="14" t="n"/>
      <c r="I343" s="14" t="n"/>
    </row>
    <row r="344">
      <c r="B344">
        <f>IFERROR(VLOOKUP(A344,Risk_Assessment!$B$2:$D$1000,2,FALSE),"")</f>
        <v/>
      </c>
      <c r="C344">
        <f>IF(ISBLANK(A344),"",A344&amp;"-M"&amp;TEXT(COUNTIF($A$2:A344,A344),"00"))</f>
        <v/>
      </c>
      <c r="H344" s="14" t="n"/>
      <c r="I344" s="14" t="n"/>
    </row>
    <row r="345">
      <c r="B345">
        <f>IFERROR(VLOOKUP(A345,Risk_Assessment!$B$2:$D$1000,2,FALSE),"")</f>
        <v/>
      </c>
      <c r="C345">
        <f>IF(ISBLANK(A345),"",A345&amp;"-M"&amp;TEXT(COUNTIF($A$2:A345,A345),"00"))</f>
        <v/>
      </c>
      <c r="H345" s="14" t="n"/>
      <c r="I345" s="14" t="n"/>
    </row>
    <row r="346">
      <c r="B346">
        <f>IFERROR(VLOOKUP(A346,Risk_Assessment!$B$2:$D$1000,2,FALSE),"")</f>
        <v/>
      </c>
      <c r="C346">
        <f>IF(ISBLANK(A346),"",A346&amp;"-M"&amp;TEXT(COUNTIF($A$2:A346,A346),"00"))</f>
        <v/>
      </c>
      <c r="H346" s="14" t="n"/>
      <c r="I346" s="14" t="n"/>
    </row>
    <row r="347">
      <c r="B347">
        <f>IFERROR(VLOOKUP(A347,Risk_Assessment!$B$2:$D$1000,2,FALSE),"")</f>
        <v/>
      </c>
      <c r="C347">
        <f>IF(ISBLANK(A347),"",A347&amp;"-M"&amp;TEXT(COUNTIF($A$2:A347,A347),"00"))</f>
        <v/>
      </c>
      <c r="H347" s="14" t="n"/>
      <c r="I347" s="14" t="n"/>
    </row>
    <row r="348">
      <c r="B348">
        <f>IFERROR(VLOOKUP(A348,Risk_Assessment!$B$2:$D$1000,2,FALSE),"")</f>
        <v/>
      </c>
      <c r="C348">
        <f>IF(ISBLANK(A348),"",A348&amp;"-M"&amp;TEXT(COUNTIF($A$2:A348,A348),"00"))</f>
        <v/>
      </c>
      <c r="H348" s="14" t="n"/>
      <c r="I348" s="14" t="n"/>
    </row>
    <row r="349">
      <c r="B349">
        <f>IFERROR(VLOOKUP(A349,Risk_Assessment!$B$2:$D$1000,2,FALSE),"")</f>
        <v/>
      </c>
      <c r="C349">
        <f>IF(ISBLANK(A349),"",A349&amp;"-M"&amp;TEXT(COUNTIF($A$2:A349,A349),"00"))</f>
        <v/>
      </c>
      <c r="H349" s="14" t="n"/>
      <c r="I349" s="14" t="n"/>
    </row>
    <row r="350">
      <c r="B350">
        <f>IFERROR(VLOOKUP(A350,Risk_Assessment!$B$2:$D$1000,2,FALSE),"")</f>
        <v/>
      </c>
      <c r="C350">
        <f>IF(ISBLANK(A350),"",A350&amp;"-M"&amp;TEXT(COUNTIF($A$2:A350,A350),"00"))</f>
        <v/>
      </c>
      <c r="H350" s="14" t="n"/>
      <c r="I350" s="14" t="n"/>
    </row>
    <row r="351">
      <c r="B351">
        <f>IFERROR(VLOOKUP(A351,Risk_Assessment!$B$2:$D$1000,2,FALSE),"")</f>
        <v/>
      </c>
      <c r="C351">
        <f>IF(ISBLANK(A351),"",A351&amp;"-M"&amp;TEXT(COUNTIF($A$2:A351,A351),"00"))</f>
        <v/>
      </c>
      <c r="H351" s="14" t="n"/>
      <c r="I351" s="14" t="n"/>
    </row>
    <row r="352">
      <c r="B352">
        <f>IFERROR(VLOOKUP(A352,Risk_Assessment!$B$2:$D$1000,2,FALSE),"")</f>
        <v/>
      </c>
      <c r="C352">
        <f>IF(ISBLANK(A352),"",A352&amp;"-M"&amp;TEXT(COUNTIF($A$2:A352,A352),"00"))</f>
        <v/>
      </c>
      <c r="H352" s="14" t="n"/>
      <c r="I352" s="14" t="n"/>
    </row>
    <row r="353">
      <c r="B353">
        <f>IFERROR(VLOOKUP(A353,Risk_Assessment!$B$2:$D$1000,2,FALSE),"")</f>
        <v/>
      </c>
      <c r="C353">
        <f>IF(ISBLANK(A353),"",A353&amp;"-M"&amp;TEXT(COUNTIF($A$2:A353,A353),"00"))</f>
        <v/>
      </c>
      <c r="H353" s="14" t="n"/>
      <c r="I353" s="14" t="n"/>
    </row>
    <row r="354">
      <c r="B354">
        <f>IFERROR(VLOOKUP(A354,Risk_Assessment!$B$2:$D$1000,2,FALSE),"")</f>
        <v/>
      </c>
      <c r="C354">
        <f>IF(ISBLANK(A354),"",A354&amp;"-M"&amp;TEXT(COUNTIF($A$2:A354,A354),"00"))</f>
        <v/>
      </c>
      <c r="H354" s="14" t="n"/>
      <c r="I354" s="14" t="n"/>
    </row>
    <row r="355">
      <c r="B355">
        <f>IFERROR(VLOOKUP(A355,Risk_Assessment!$B$2:$D$1000,2,FALSE),"")</f>
        <v/>
      </c>
      <c r="C355">
        <f>IF(ISBLANK(A355),"",A355&amp;"-M"&amp;TEXT(COUNTIF($A$2:A355,A355),"00"))</f>
        <v/>
      </c>
      <c r="H355" s="14" t="n"/>
      <c r="I355" s="14" t="n"/>
    </row>
    <row r="356">
      <c r="B356">
        <f>IFERROR(VLOOKUP(A356,Risk_Assessment!$B$2:$D$1000,2,FALSE),"")</f>
        <v/>
      </c>
      <c r="C356">
        <f>IF(ISBLANK(A356),"",A356&amp;"-M"&amp;TEXT(COUNTIF($A$2:A356,A356),"00"))</f>
        <v/>
      </c>
      <c r="H356" s="14" t="n"/>
      <c r="I356" s="14" t="n"/>
    </row>
    <row r="357">
      <c r="B357">
        <f>IFERROR(VLOOKUP(A357,Risk_Assessment!$B$2:$D$1000,2,FALSE),"")</f>
        <v/>
      </c>
      <c r="C357">
        <f>IF(ISBLANK(A357),"",A357&amp;"-M"&amp;TEXT(COUNTIF($A$2:A357,A357),"00"))</f>
        <v/>
      </c>
      <c r="H357" s="14" t="n"/>
      <c r="I357" s="14" t="n"/>
    </row>
    <row r="358">
      <c r="B358">
        <f>IFERROR(VLOOKUP(A358,Risk_Assessment!$B$2:$D$1000,2,FALSE),"")</f>
        <v/>
      </c>
      <c r="C358">
        <f>IF(ISBLANK(A358),"",A358&amp;"-M"&amp;TEXT(COUNTIF($A$2:A358,A358),"00"))</f>
        <v/>
      </c>
      <c r="H358" s="14" t="n"/>
      <c r="I358" s="14" t="n"/>
    </row>
    <row r="359">
      <c r="B359">
        <f>IFERROR(VLOOKUP(A359,Risk_Assessment!$B$2:$D$1000,2,FALSE),"")</f>
        <v/>
      </c>
      <c r="C359">
        <f>IF(ISBLANK(A359),"",A359&amp;"-M"&amp;TEXT(COUNTIF($A$2:A359,A359),"00"))</f>
        <v/>
      </c>
      <c r="H359" s="14" t="n"/>
      <c r="I359" s="14" t="n"/>
    </row>
    <row r="360">
      <c r="B360">
        <f>IFERROR(VLOOKUP(A360,Risk_Assessment!$B$2:$D$1000,2,FALSE),"")</f>
        <v/>
      </c>
      <c r="C360">
        <f>IF(ISBLANK(A360),"",A360&amp;"-M"&amp;TEXT(COUNTIF($A$2:A360,A360),"00"))</f>
        <v/>
      </c>
      <c r="H360" s="14" t="n"/>
      <c r="I360" s="14" t="n"/>
    </row>
    <row r="361">
      <c r="B361">
        <f>IFERROR(VLOOKUP(A361,Risk_Assessment!$B$2:$D$1000,2,FALSE),"")</f>
        <v/>
      </c>
      <c r="C361">
        <f>IF(ISBLANK(A361),"",A361&amp;"-M"&amp;TEXT(COUNTIF($A$2:A361,A361),"00"))</f>
        <v/>
      </c>
      <c r="H361" s="14" t="n"/>
      <c r="I361" s="14" t="n"/>
    </row>
    <row r="362">
      <c r="B362">
        <f>IFERROR(VLOOKUP(A362,Risk_Assessment!$B$2:$D$1000,2,FALSE),"")</f>
        <v/>
      </c>
      <c r="C362">
        <f>IF(ISBLANK(A362),"",A362&amp;"-M"&amp;TEXT(COUNTIF($A$2:A362,A362),"00"))</f>
        <v/>
      </c>
      <c r="H362" s="14" t="n"/>
      <c r="I362" s="14" t="n"/>
    </row>
    <row r="363">
      <c r="B363">
        <f>IFERROR(VLOOKUP(A363,Risk_Assessment!$B$2:$D$1000,2,FALSE),"")</f>
        <v/>
      </c>
      <c r="C363">
        <f>IF(ISBLANK(A363),"",A363&amp;"-M"&amp;TEXT(COUNTIF($A$2:A363,A363),"00"))</f>
        <v/>
      </c>
      <c r="H363" s="14" t="n"/>
      <c r="I363" s="14" t="n"/>
    </row>
    <row r="364">
      <c r="B364">
        <f>IFERROR(VLOOKUP(A364,Risk_Assessment!$B$2:$D$1000,2,FALSE),"")</f>
        <v/>
      </c>
      <c r="C364">
        <f>IF(ISBLANK(A364),"",A364&amp;"-M"&amp;TEXT(COUNTIF($A$2:A364,A364),"00"))</f>
        <v/>
      </c>
      <c r="H364" s="14" t="n"/>
      <c r="I364" s="14" t="n"/>
    </row>
    <row r="365">
      <c r="B365">
        <f>IFERROR(VLOOKUP(A365,Risk_Assessment!$B$2:$D$1000,2,FALSE),"")</f>
        <v/>
      </c>
      <c r="C365">
        <f>IF(ISBLANK(A365),"",A365&amp;"-M"&amp;TEXT(COUNTIF($A$2:A365,A365),"00"))</f>
        <v/>
      </c>
      <c r="H365" s="14" t="n"/>
      <c r="I365" s="14" t="n"/>
    </row>
    <row r="366">
      <c r="B366">
        <f>IFERROR(VLOOKUP(A366,Risk_Assessment!$B$2:$D$1000,2,FALSE),"")</f>
        <v/>
      </c>
      <c r="C366">
        <f>IF(ISBLANK(A366),"",A366&amp;"-M"&amp;TEXT(COUNTIF($A$2:A366,A366),"00"))</f>
        <v/>
      </c>
      <c r="H366" s="14" t="n"/>
      <c r="I366" s="14" t="n"/>
    </row>
    <row r="367">
      <c r="B367">
        <f>IFERROR(VLOOKUP(A367,Risk_Assessment!$B$2:$D$1000,2,FALSE),"")</f>
        <v/>
      </c>
      <c r="C367">
        <f>IF(ISBLANK(A367),"",A367&amp;"-M"&amp;TEXT(COUNTIF($A$2:A367,A367),"00"))</f>
        <v/>
      </c>
      <c r="H367" s="14" t="n"/>
      <c r="I367" s="14" t="n"/>
    </row>
    <row r="368">
      <c r="B368">
        <f>IFERROR(VLOOKUP(A368,Risk_Assessment!$B$2:$D$1000,2,FALSE),"")</f>
        <v/>
      </c>
      <c r="C368">
        <f>IF(ISBLANK(A368),"",A368&amp;"-M"&amp;TEXT(COUNTIF($A$2:A368,A368),"00"))</f>
        <v/>
      </c>
      <c r="H368" s="14" t="n"/>
      <c r="I368" s="14" t="n"/>
    </row>
    <row r="369">
      <c r="B369">
        <f>IFERROR(VLOOKUP(A369,Risk_Assessment!$B$2:$D$1000,2,FALSE),"")</f>
        <v/>
      </c>
      <c r="C369">
        <f>IF(ISBLANK(A369),"",A369&amp;"-M"&amp;TEXT(COUNTIF($A$2:A369,A369),"00"))</f>
        <v/>
      </c>
      <c r="H369" s="14" t="n"/>
      <c r="I369" s="14" t="n"/>
    </row>
    <row r="370">
      <c r="B370">
        <f>IFERROR(VLOOKUP(A370,Risk_Assessment!$B$2:$D$1000,2,FALSE),"")</f>
        <v/>
      </c>
      <c r="C370">
        <f>IF(ISBLANK(A370),"",A370&amp;"-M"&amp;TEXT(COUNTIF($A$2:A370,A370),"00"))</f>
        <v/>
      </c>
      <c r="H370" s="14" t="n"/>
      <c r="I370" s="14" t="n"/>
    </row>
    <row r="371">
      <c r="B371">
        <f>IFERROR(VLOOKUP(A371,Risk_Assessment!$B$2:$D$1000,2,FALSE),"")</f>
        <v/>
      </c>
      <c r="C371">
        <f>IF(ISBLANK(A371),"",A371&amp;"-M"&amp;TEXT(COUNTIF($A$2:A371,A371),"00"))</f>
        <v/>
      </c>
      <c r="H371" s="14" t="n"/>
      <c r="I371" s="14" t="n"/>
    </row>
    <row r="372">
      <c r="B372">
        <f>IFERROR(VLOOKUP(A372,Risk_Assessment!$B$2:$D$1000,2,FALSE),"")</f>
        <v/>
      </c>
      <c r="C372">
        <f>IF(ISBLANK(A372),"",A372&amp;"-M"&amp;TEXT(COUNTIF($A$2:A372,A372),"00"))</f>
        <v/>
      </c>
      <c r="H372" s="14" t="n"/>
      <c r="I372" s="14" t="n"/>
    </row>
    <row r="373">
      <c r="B373">
        <f>IFERROR(VLOOKUP(A373,Risk_Assessment!$B$2:$D$1000,2,FALSE),"")</f>
        <v/>
      </c>
      <c r="C373">
        <f>IF(ISBLANK(A373),"",A373&amp;"-M"&amp;TEXT(COUNTIF($A$2:A373,A373),"00"))</f>
        <v/>
      </c>
      <c r="H373" s="14" t="n"/>
      <c r="I373" s="14" t="n"/>
    </row>
    <row r="374">
      <c r="B374">
        <f>IFERROR(VLOOKUP(A374,Risk_Assessment!$B$2:$D$1000,2,FALSE),"")</f>
        <v/>
      </c>
      <c r="C374">
        <f>IF(ISBLANK(A374),"",A374&amp;"-M"&amp;TEXT(COUNTIF($A$2:A374,A374),"00"))</f>
        <v/>
      </c>
      <c r="H374" s="14" t="n"/>
      <c r="I374" s="14" t="n"/>
    </row>
    <row r="375">
      <c r="B375">
        <f>IFERROR(VLOOKUP(A375,Risk_Assessment!$B$2:$D$1000,2,FALSE),"")</f>
        <v/>
      </c>
      <c r="C375">
        <f>IF(ISBLANK(A375),"",A375&amp;"-M"&amp;TEXT(COUNTIF($A$2:A375,A375),"00"))</f>
        <v/>
      </c>
      <c r="H375" s="14" t="n"/>
      <c r="I375" s="14" t="n"/>
    </row>
    <row r="376">
      <c r="B376">
        <f>IFERROR(VLOOKUP(A376,Risk_Assessment!$B$2:$D$1000,2,FALSE),"")</f>
        <v/>
      </c>
      <c r="C376">
        <f>IF(ISBLANK(A376),"",A376&amp;"-M"&amp;TEXT(COUNTIF($A$2:A376,A376),"00"))</f>
        <v/>
      </c>
      <c r="H376" s="14" t="n"/>
      <c r="I376" s="14" t="n"/>
    </row>
    <row r="377">
      <c r="B377">
        <f>IFERROR(VLOOKUP(A377,Risk_Assessment!$B$2:$D$1000,2,FALSE),"")</f>
        <v/>
      </c>
      <c r="C377">
        <f>IF(ISBLANK(A377),"",A377&amp;"-M"&amp;TEXT(COUNTIF($A$2:A377,A377),"00"))</f>
        <v/>
      </c>
      <c r="H377" s="14" t="n"/>
      <c r="I377" s="14" t="n"/>
    </row>
    <row r="378">
      <c r="B378">
        <f>IFERROR(VLOOKUP(A378,Risk_Assessment!$B$2:$D$1000,2,FALSE),"")</f>
        <v/>
      </c>
      <c r="C378">
        <f>IF(ISBLANK(A378),"",A378&amp;"-M"&amp;TEXT(COUNTIF($A$2:A378,A378),"00"))</f>
        <v/>
      </c>
      <c r="H378" s="14" t="n"/>
      <c r="I378" s="14" t="n"/>
    </row>
    <row r="379">
      <c r="B379">
        <f>IFERROR(VLOOKUP(A379,Risk_Assessment!$B$2:$D$1000,2,FALSE),"")</f>
        <v/>
      </c>
      <c r="C379">
        <f>IF(ISBLANK(A379),"",A379&amp;"-M"&amp;TEXT(COUNTIF($A$2:A379,A379),"00"))</f>
        <v/>
      </c>
      <c r="H379" s="14" t="n"/>
      <c r="I379" s="14" t="n"/>
    </row>
    <row r="380">
      <c r="B380">
        <f>IFERROR(VLOOKUP(A380,Risk_Assessment!$B$2:$D$1000,2,FALSE),"")</f>
        <v/>
      </c>
      <c r="C380">
        <f>IF(ISBLANK(A380),"",A380&amp;"-M"&amp;TEXT(COUNTIF($A$2:A380,A380),"00"))</f>
        <v/>
      </c>
      <c r="H380" s="14" t="n"/>
      <c r="I380" s="14" t="n"/>
    </row>
    <row r="381">
      <c r="B381">
        <f>IFERROR(VLOOKUP(A381,Risk_Assessment!$B$2:$D$1000,2,FALSE),"")</f>
        <v/>
      </c>
      <c r="C381">
        <f>IF(ISBLANK(A381),"",A381&amp;"-M"&amp;TEXT(COUNTIF($A$2:A381,A381),"00"))</f>
        <v/>
      </c>
      <c r="H381" s="14" t="n"/>
      <c r="I381" s="14" t="n"/>
    </row>
    <row r="382">
      <c r="B382">
        <f>IFERROR(VLOOKUP(A382,Risk_Assessment!$B$2:$D$1000,2,FALSE),"")</f>
        <v/>
      </c>
      <c r="C382">
        <f>IF(ISBLANK(A382),"",A382&amp;"-M"&amp;TEXT(COUNTIF($A$2:A382,A382),"00"))</f>
        <v/>
      </c>
      <c r="H382" s="14" t="n"/>
      <c r="I382" s="14" t="n"/>
    </row>
    <row r="383">
      <c r="B383">
        <f>IFERROR(VLOOKUP(A383,Risk_Assessment!$B$2:$D$1000,2,FALSE),"")</f>
        <v/>
      </c>
      <c r="C383">
        <f>IF(ISBLANK(A383),"",A383&amp;"-M"&amp;TEXT(COUNTIF($A$2:A383,A383),"00"))</f>
        <v/>
      </c>
      <c r="H383" s="14" t="n"/>
      <c r="I383" s="14" t="n"/>
    </row>
    <row r="384">
      <c r="B384">
        <f>IFERROR(VLOOKUP(A384,Risk_Assessment!$B$2:$D$1000,2,FALSE),"")</f>
        <v/>
      </c>
      <c r="C384">
        <f>IF(ISBLANK(A384),"",A384&amp;"-M"&amp;TEXT(COUNTIF($A$2:A384,A384),"00"))</f>
        <v/>
      </c>
      <c r="H384" s="14" t="n"/>
      <c r="I384" s="14" t="n"/>
    </row>
    <row r="385">
      <c r="B385">
        <f>IFERROR(VLOOKUP(A385,Risk_Assessment!$B$2:$D$1000,2,FALSE),"")</f>
        <v/>
      </c>
      <c r="C385">
        <f>IF(ISBLANK(A385),"",A385&amp;"-M"&amp;TEXT(COUNTIF($A$2:A385,A385),"00"))</f>
        <v/>
      </c>
      <c r="H385" s="14" t="n"/>
      <c r="I385" s="14" t="n"/>
    </row>
    <row r="386">
      <c r="B386">
        <f>IFERROR(VLOOKUP(A386,Risk_Assessment!$B$2:$D$1000,2,FALSE),"")</f>
        <v/>
      </c>
      <c r="C386">
        <f>IF(ISBLANK(A386),"",A386&amp;"-M"&amp;TEXT(COUNTIF($A$2:A386,A386),"00"))</f>
        <v/>
      </c>
      <c r="H386" s="14" t="n"/>
      <c r="I386" s="14" t="n"/>
    </row>
    <row r="387">
      <c r="B387">
        <f>IFERROR(VLOOKUP(A387,Risk_Assessment!$B$2:$D$1000,2,FALSE),"")</f>
        <v/>
      </c>
      <c r="C387">
        <f>IF(ISBLANK(A387),"",A387&amp;"-M"&amp;TEXT(COUNTIF($A$2:A387,A387),"00"))</f>
        <v/>
      </c>
      <c r="H387" s="14" t="n"/>
      <c r="I387" s="14" t="n"/>
    </row>
    <row r="388">
      <c r="B388">
        <f>IFERROR(VLOOKUP(A388,Risk_Assessment!$B$2:$D$1000,2,FALSE),"")</f>
        <v/>
      </c>
      <c r="C388">
        <f>IF(ISBLANK(A388),"",A388&amp;"-M"&amp;TEXT(COUNTIF($A$2:A388,A388),"00"))</f>
        <v/>
      </c>
      <c r="H388" s="14" t="n"/>
      <c r="I388" s="14" t="n"/>
    </row>
    <row r="389">
      <c r="B389">
        <f>IFERROR(VLOOKUP(A389,Risk_Assessment!$B$2:$D$1000,2,FALSE),"")</f>
        <v/>
      </c>
      <c r="C389">
        <f>IF(ISBLANK(A389),"",A389&amp;"-M"&amp;TEXT(COUNTIF($A$2:A389,A389),"00"))</f>
        <v/>
      </c>
      <c r="H389" s="14" t="n"/>
      <c r="I389" s="14" t="n"/>
    </row>
    <row r="390">
      <c r="B390">
        <f>IFERROR(VLOOKUP(A390,Risk_Assessment!$B$2:$D$1000,2,FALSE),"")</f>
        <v/>
      </c>
      <c r="C390">
        <f>IF(ISBLANK(A390),"",A390&amp;"-M"&amp;TEXT(COUNTIF($A$2:A390,A390),"00"))</f>
        <v/>
      </c>
      <c r="H390" s="14" t="n"/>
      <c r="I390" s="14" t="n"/>
    </row>
    <row r="391">
      <c r="B391">
        <f>IFERROR(VLOOKUP(A391,Risk_Assessment!$B$2:$D$1000,2,FALSE),"")</f>
        <v/>
      </c>
      <c r="C391">
        <f>IF(ISBLANK(A391),"",A391&amp;"-M"&amp;TEXT(COUNTIF($A$2:A391,A391),"00"))</f>
        <v/>
      </c>
      <c r="H391" s="14" t="n"/>
      <c r="I391" s="14" t="n"/>
    </row>
    <row r="392">
      <c r="B392">
        <f>IFERROR(VLOOKUP(A392,Risk_Assessment!$B$2:$D$1000,2,FALSE),"")</f>
        <v/>
      </c>
      <c r="C392">
        <f>IF(ISBLANK(A392),"",A392&amp;"-M"&amp;TEXT(COUNTIF($A$2:A392,A392),"00"))</f>
        <v/>
      </c>
      <c r="H392" s="14" t="n"/>
      <c r="I392" s="14" t="n"/>
    </row>
    <row r="393">
      <c r="B393">
        <f>IFERROR(VLOOKUP(A393,Risk_Assessment!$B$2:$D$1000,2,FALSE),"")</f>
        <v/>
      </c>
      <c r="C393">
        <f>IF(ISBLANK(A393),"",A393&amp;"-M"&amp;TEXT(COUNTIF($A$2:A393,A393),"00"))</f>
        <v/>
      </c>
      <c r="H393" s="14" t="n"/>
      <c r="I393" s="14" t="n"/>
    </row>
    <row r="394">
      <c r="B394">
        <f>IFERROR(VLOOKUP(A394,Risk_Assessment!$B$2:$D$1000,2,FALSE),"")</f>
        <v/>
      </c>
      <c r="C394">
        <f>IF(ISBLANK(A394),"",A394&amp;"-M"&amp;TEXT(COUNTIF($A$2:A394,A394),"00"))</f>
        <v/>
      </c>
      <c r="H394" s="14" t="n"/>
      <c r="I394" s="14" t="n"/>
    </row>
    <row r="395">
      <c r="B395">
        <f>IFERROR(VLOOKUP(A395,Risk_Assessment!$B$2:$D$1000,2,FALSE),"")</f>
        <v/>
      </c>
      <c r="C395">
        <f>IF(ISBLANK(A395),"",A395&amp;"-M"&amp;TEXT(COUNTIF($A$2:A395,A395),"00"))</f>
        <v/>
      </c>
      <c r="H395" s="14" t="n"/>
      <c r="I395" s="14" t="n"/>
    </row>
    <row r="396">
      <c r="B396">
        <f>IFERROR(VLOOKUP(A396,Risk_Assessment!$B$2:$D$1000,2,FALSE),"")</f>
        <v/>
      </c>
      <c r="C396">
        <f>IF(ISBLANK(A396),"",A396&amp;"-M"&amp;TEXT(COUNTIF($A$2:A396,A396),"00"))</f>
        <v/>
      </c>
      <c r="H396" s="14" t="n"/>
      <c r="I396" s="14" t="n"/>
    </row>
    <row r="397">
      <c r="B397">
        <f>IFERROR(VLOOKUP(A397,Risk_Assessment!$B$2:$D$1000,2,FALSE),"")</f>
        <v/>
      </c>
      <c r="C397">
        <f>IF(ISBLANK(A397),"",A397&amp;"-M"&amp;TEXT(COUNTIF($A$2:A397,A397),"00"))</f>
        <v/>
      </c>
      <c r="H397" s="14" t="n"/>
      <c r="I397" s="14" t="n"/>
    </row>
    <row r="398">
      <c r="B398">
        <f>IFERROR(VLOOKUP(A398,Risk_Assessment!$B$2:$D$1000,2,FALSE),"")</f>
        <v/>
      </c>
      <c r="C398">
        <f>IF(ISBLANK(A398),"",A398&amp;"-M"&amp;TEXT(COUNTIF($A$2:A398,A398),"00"))</f>
        <v/>
      </c>
      <c r="H398" s="14" t="n"/>
      <c r="I398" s="14" t="n"/>
    </row>
    <row r="399">
      <c r="B399">
        <f>IFERROR(VLOOKUP(A399,Risk_Assessment!$B$2:$D$1000,2,FALSE),"")</f>
        <v/>
      </c>
      <c r="C399">
        <f>IF(ISBLANK(A399),"",A399&amp;"-M"&amp;TEXT(COUNTIF($A$2:A399,A399),"00"))</f>
        <v/>
      </c>
      <c r="H399" s="14" t="n"/>
      <c r="I399" s="14" t="n"/>
    </row>
    <row r="400">
      <c r="B400">
        <f>IFERROR(VLOOKUP(A400,Risk_Assessment!$B$2:$D$1000,2,FALSE),"")</f>
        <v/>
      </c>
      <c r="C400">
        <f>IF(ISBLANK(A400),"",A400&amp;"-M"&amp;TEXT(COUNTIF($A$2:A400,A400),"00"))</f>
        <v/>
      </c>
      <c r="H400" s="14" t="n"/>
      <c r="I400" s="14" t="n"/>
    </row>
    <row r="401">
      <c r="B401">
        <f>IFERROR(VLOOKUP(A401,Risk_Assessment!$B$2:$D$1000,2,FALSE),"")</f>
        <v/>
      </c>
      <c r="C401">
        <f>IF(ISBLANK(A401),"",A401&amp;"-M"&amp;TEXT(COUNTIF($A$2:A401,A401),"00"))</f>
        <v/>
      </c>
      <c r="H401" s="14" t="n"/>
      <c r="I401" s="14" t="n"/>
    </row>
    <row r="402">
      <c r="B402">
        <f>IFERROR(VLOOKUP(A402,Risk_Assessment!$B$2:$D$1000,2,FALSE),"")</f>
        <v/>
      </c>
      <c r="C402">
        <f>IF(ISBLANK(A402),"",A402&amp;"-M"&amp;TEXT(COUNTIF($A$2:A402,A402),"00"))</f>
        <v/>
      </c>
      <c r="H402" s="14" t="n"/>
      <c r="I402" s="14" t="n"/>
    </row>
    <row r="403">
      <c r="B403">
        <f>IFERROR(VLOOKUP(A403,Risk_Assessment!$B$2:$D$1000,2,FALSE),"")</f>
        <v/>
      </c>
      <c r="C403">
        <f>IF(ISBLANK(A403),"",A403&amp;"-M"&amp;TEXT(COUNTIF($A$2:A403,A403),"00"))</f>
        <v/>
      </c>
      <c r="H403" s="14" t="n"/>
      <c r="I403" s="14" t="n"/>
    </row>
    <row r="404">
      <c r="B404">
        <f>IFERROR(VLOOKUP(A404,Risk_Assessment!$B$2:$D$1000,2,FALSE),"")</f>
        <v/>
      </c>
      <c r="C404">
        <f>IF(ISBLANK(A404),"",A404&amp;"-M"&amp;TEXT(COUNTIF($A$2:A404,A404),"00"))</f>
        <v/>
      </c>
      <c r="H404" s="14" t="n"/>
      <c r="I404" s="14" t="n"/>
    </row>
    <row r="405">
      <c r="B405">
        <f>IFERROR(VLOOKUP(A405,Risk_Assessment!$B$2:$D$1000,2,FALSE),"")</f>
        <v/>
      </c>
      <c r="C405">
        <f>IF(ISBLANK(A405),"",A405&amp;"-M"&amp;TEXT(COUNTIF($A$2:A405,A405),"00"))</f>
        <v/>
      </c>
      <c r="H405" s="14" t="n"/>
      <c r="I405" s="14" t="n"/>
    </row>
    <row r="406">
      <c r="B406">
        <f>IFERROR(VLOOKUP(A406,Risk_Assessment!$B$2:$D$1000,2,FALSE),"")</f>
        <v/>
      </c>
      <c r="C406">
        <f>IF(ISBLANK(A406),"",A406&amp;"-M"&amp;TEXT(COUNTIF($A$2:A406,A406),"00"))</f>
        <v/>
      </c>
      <c r="H406" s="14" t="n"/>
      <c r="I406" s="14" t="n"/>
    </row>
    <row r="407">
      <c r="B407">
        <f>IFERROR(VLOOKUP(A407,Risk_Assessment!$B$2:$D$1000,2,FALSE),"")</f>
        <v/>
      </c>
      <c r="C407">
        <f>IF(ISBLANK(A407),"",A407&amp;"-M"&amp;TEXT(COUNTIF($A$2:A407,A407),"00"))</f>
        <v/>
      </c>
      <c r="H407" s="14" t="n"/>
      <c r="I407" s="14" t="n"/>
    </row>
    <row r="408">
      <c r="B408">
        <f>IFERROR(VLOOKUP(A408,Risk_Assessment!$B$2:$D$1000,2,FALSE),"")</f>
        <v/>
      </c>
      <c r="C408">
        <f>IF(ISBLANK(A408),"",A408&amp;"-M"&amp;TEXT(COUNTIF($A$2:A408,A408),"00"))</f>
        <v/>
      </c>
      <c r="H408" s="14" t="n"/>
      <c r="I408" s="14" t="n"/>
    </row>
    <row r="409">
      <c r="B409">
        <f>IFERROR(VLOOKUP(A409,Risk_Assessment!$B$2:$D$1000,2,FALSE),"")</f>
        <v/>
      </c>
      <c r="C409">
        <f>IF(ISBLANK(A409),"",A409&amp;"-M"&amp;TEXT(COUNTIF($A$2:A409,A409),"00"))</f>
        <v/>
      </c>
      <c r="H409" s="14" t="n"/>
      <c r="I409" s="14" t="n"/>
    </row>
    <row r="410">
      <c r="B410">
        <f>IFERROR(VLOOKUP(A410,Risk_Assessment!$B$2:$D$1000,2,FALSE),"")</f>
        <v/>
      </c>
      <c r="C410">
        <f>IF(ISBLANK(A410),"",A410&amp;"-M"&amp;TEXT(COUNTIF($A$2:A410,A410),"00"))</f>
        <v/>
      </c>
      <c r="H410" s="14" t="n"/>
      <c r="I410" s="14" t="n"/>
    </row>
    <row r="411">
      <c r="B411">
        <f>IFERROR(VLOOKUP(A411,Risk_Assessment!$B$2:$D$1000,2,FALSE),"")</f>
        <v/>
      </c>
      <c r="C411">
        <f>IF(ISBLANK(A411),"",A411&amp;"-M"&amp;TEXT(COUNTIF($A$2:A411,A411),"00"))</f>
        <v/>
      </c>
      <c r="H411" s="14" t="n"/>
      <c r="I411" s="14" t="n"/>
    </row>
    <row r="412">
      <c r="B412">
        <f>IFERROR(VLOOKUP(A412,Risk_Assessment!$B$2:$D$1000,2,FALSE),"")</f>
        <v/>
      </c>
      <c r="C412">
        <f>IF(ISBLANK(A412),"",A412&amp;"-M"&amp;TEXT(COUNTIF($A$2:A412,A412),"00"))</f>
        <v/>
      </c>
      <c r="H412" s="14" t="n"/>
      <c r="I412" s="14" t="n"/>
    </row>
    <row r="413">
      <c r="B413">
        <f>IFERROR(VLOOKUP(A413,Risk_Assessment!$B$2:$D$1000,2,FALSE),"")</f>
        <v/>
      </c>
      <c r="C413">
        <f>IF(ISBLANK(A413),"",A413&amp;"-M"&amp;TEXT(COUNTIF($A$2:A413,A413),"00"))</f>
        <v/>
      </c>
      <c r="H413" s="14" t="n"/>
      <c r="I413" s="14" t="n"/>
    </row>
    <row r="414">
      <c r="B414">
        <f>IFERROR(VLOOKUP(A414,Risk_Assessment!$B$2:$D$1000,2,FALSE),"")</f>
        <v/>
      </c>
      <c r="C414">
        <f>IF(ISBLANK(A414),"",A414&amp;"-M"&amp;TEXT(COUNTIF($A$2:A414,A414),"00"))</f>
        <v/>
      </c>
      <c r="H414" s="14" t="n"/>
      <c r="I414" s="14" t="n"/>
    </row>
    <row r="415">
      <c r="B415">
        <f>IFERROR(VLOOKUP(A415,Risk_Assessment!$B$2:$D$1000,2,FALSE),"")</f>
        <v/>
      </c>
      <c r="C415">
        <f>IF(ISBLANK(A415),"",A415&amp;"-M"&amp;TEXT(COUNTIF($A$2:A415,A415),"00"))</f>
        <v/>
      </c>
      <c r="H415" s="14" t="n"/>
      <c r="I415" s="14" t="n"/>
    </row>
    <row r="416">
      <c r="B416">
        <f>IFERROR(VLOOKUP(A416,Risk_Assessment!$B$2:$D$1000,2,FALSE),"")</f>
        <v/>
      </c>
      <c r="C416">
        <f>IF(ISBLANK(A416),"",A416&amp;"-M"&amp;TEXT(COUNTIF($A$2:A416,A416),"00"))</f>
        <v/>
      </c>
      <c r="H416" s="14" t="n"/>
      <c r="I416" s="14" t="n"/>
    </row>
    <row r="417">
      <c r="B417">
        <f>IFERROR(VLOOKUP(A417,Risk_Assessment!$B$2:$D$1000,2,FALSE),"")</f>
        <v/>
      </c>
      <c r="C417">
        <f>IF(ISBLANK(A417),"",A417&amp;"-M"&amp;TEXT(COUNTIF($A$2:A417,A417),"00"))</f>
        <v/>
      </c>
      <c r="H417" s="14" t="n"/>
      <c r="I417" s="14" t="n"/>
    </row>
    <row r="418">
      <c r="B418">
        <f>IFERROR(VLOOKUP(A418,Risk_Assessment!$B$2:$D$1000,2,FALSE),"")</f>
        <v/>
      </c>
      <c r="C418">
        <f>IF(ISBLANK(A418),"",A418&amp;"-M"&amp;TEXT(COUNTIF($A$2:A418,A418),"00"))</f>
        <v/>
      </c>
      <c r="H418" s="14" t="n"/>
      <c r="I418" s="14" t="n"/>
    </row>
    <row r="419">
      <c r="B419">
        <f>IFERROR(VLOOKUP(A419,Risk_Assessment!$B$2:$D$1000,2,FALSE),"")</f>
        <v/>
      </c>
      <c r="C419">
        <f>IF(ISBLANK(A419),"",A419&amp;"-M"&amp;TEXT(COUNTIF($A$2:A419,A419),"00"))</f>
        <v/>
      </c>
      <c r="H419" s="14" t="n"/>
      <c r="I419" s="14" t="n"/>
    </row>
    <row r="420">
      <c r="B420">
        <f>IFERROR(VLOOKUP(A420,Risk_Assessment!$B$2:$D$1000,2,FALSE),"")</f>
        <v/>
      </c>
      <c r="C420">
        <f>IF(ISBLANK(A420),"",A420&amp;"-M"&amp;TEXT(COUNTIF($A$2:A420,A420),"00"))</f>
        <v/>
      </c>
      <c r="H420" s="14" t="n"/>
      <c r="I420" s="14" t="n"/>
    </row>
    <row r="421">
      <c r="B421">
        <f>IFERROR(VLOOKUP(A421,Risk_Assessment!$B$2:$D$1000,2,FALSE),"")</f>
        <v/>
      </c>
      <c r="C421">
        <f>IF(ISBLANK(A421),"",A421&amp;"-M"&amp;TEXT(COUNTIF($A$2:A421,A421),"00"))</f>
        <v/>
      </c>
      <c r="H421" s="14" t="n"/>
      <c r="I421" s="14" t="n"/>
    </row>
    <row r="422">
      <c r="B422">
        <f>IFERROR(VLOOKUP(A422,Risk_Assessment!$B$2:$D$1000,2,FALSE),"")</f>
        <v/>
      </c>
      <c r="C422">
        <f>IF(ISBLANK(A422),"",A422&amp;"-M"&amp;TEXT(COUNTIF($A$2:A422,A422),"00"))</f>
        <v/>
      </c>
      <c r="H422" s="14" t="n"/>
      <c r="I422" s="14" t="n"/>
    </row>
    <row r="423">
      <c r="B423">
        <f>IFERROR(VLOOKUP(A423,Risk_Assessment!$B$2:$D$1000,2,FALSE),"")</f>
        <v/>
      </c>
      <c r="C423">
        <f>IF(ISBLANK(A423),"",A423&amp;"-M"&amp;TEXT(COUNTIF($A$2:A423,A423),"00"))</f>
        <v/>
      </c>
      <c r="H423" s="14" t="n"/>
      <c r="I423" s="14" t="n"/>
    </row>
    <row r="424">
      <c r="B424">
        <f>IFERROR(VLOOKUP(A424,Risk_Assessment!$B$2:$D$1000,2,FALSE),"")</f>
        <v/>
      </c>
      <c r="C424">
        <f>IF(ISBLANK(A424),"",A424&amp;"-M"&amp;TEXT(COUNTIF($A$2:A424,A424),"00"))</f>
        <v/>
      </c>
      <c r="H424" s="14" t="n"/>
      <c r="I424" s="14" t="n"/>
    </row>
    <row r="425">
      <c r="B425">
        <f>IFERROR(VLOOKUP(A425,Risk_Assessment!$B$2:$D$1000,2,FALSE),"")</f>
        <v/>
      </c>
      <c r="C425">
        <f>IF(ISBLANK(A425),"",A425&amp;"-M"&amp;TEXT(COUNTIF($A$2:A425,A425),"00"))</f>
        <v/>
      </c>
      <c r="H425" s="14" t="n"/>
      <c r="I425" s="14" t="n"/>
    </row>
    <row r="426">
      <c r="B426">
        <f>IFERROR(VLOOKUP(A426,Risk_Assessment!$B$2:$D$1000,2,FALSE),"")</f>
        <v/>
      </c>
      <c r="C426">
        <f>IF(ISBLANK(A426),"",A426&amp;"-M"&amp;TEXT(COUNTIF($A$2:A426,A426),"00"))</f>
        <v/>
      </c>
      <c r="H426" s="14" t="n"/>
      <c r="I426" s="14" t="n"/>
    </row>
    <row r="427">
      <c r="B427">
        <f>IFERROR(VLOOKUP(A427,Risk_Assessment!$B$2:$D$1000,2,FALSE),"")</f>
        <v/>
      </c>
      <c r="C427">
        <f>IF(ISBLANK(A427),"",A427&amp;"-M"&amp;TEXT(COUNTIF($A$2:A427,A427),"00"))</f>
        <v/>
      </c>
      <c r="H427" s="14" t="n"/>
      <c r="I427" s="14" t="n"/>
    </row>
    <row r="428">
      <c r="B428">
        <f>IFERROR(VLOOKUP(A428,Risk_Assessment!$B$2:$D$1000,2,FALSE),"")</f>
        <v/>
      </c>
      <c r="C428">
        <f>IF(ISBLANK(A428),"",A428&amp;"-M"&amp;TEXT(COUNTIF($A$2:A428,A428),"00"))</f>
        <v/>
      </c>
      <c r="H428" s="14" t="n"/>
      <c r="I428" s="14" t="n"/>
    </row>
    <row r="429">
      <c r="B429">
        <f>IFERROR(VLOOKUP(A429,Risk_Assessment!$B$2:$D$1000,2,FALSE),"")</f>
        <v/>
      </c>
      <c r="C429">
        <f>IF(ISBLANK(A429),"",A429&amp;"-M"&amp;TEXT(COUNTIF($A$2:A429,A429),"00"))</f>
        <v/>
      </c>
      <c r="H429" s="14" t="n"/>
      <c r="I429" s="14" t="n"/>
    </row>
    <row r="430">
      <c r="B430">
        <f>IFERROR(VLOOKUP(A430,Risk_Assessment!$B$2:$D$1000,2,FALSE),"")</f>
        <v/>
      </c>
      <c r="C430">
        <f>IF(ISBLANK(A430),"",A430&amp;"-M"&amp;TEXT(COUNTIF($A$2:A430,A430),"00"))</f>
        <v/>
      </c>
      <c r="H430" s="14" t="n"/>
      <c r="I430" s="14" t="n"/>
    </row>
    <row r="431">
      <c r="B431">
        <f>IFERROR(VLOOKUP(A431,Risk_Assessment!$B$2:$D$1000,2,FALSE),"")</f>
        <v/>
      </c>
      <c r="C431">
        <f>IF(ISBLANK(A431),"",A431&amp;"-M"&amp;TEXT(COUNTIF($A$2:A431,A431),"00"))</f>
        <v/>
      </c>
      <c r="H431" s="14" t="n"/>
      <c r="I431" s="14" t="n"/>
    </row>
    <row r="432">
      <c r="B432">
        <f>IFERROR(VLOOKUP(A432,Risk_Assessment!$B$2:$D$1000,2,FALSE),"")</f>
        <v/>
      </c>
      <c r="C432">
        <f>IF(ISBLANK(A432),"",A432&amp;"-M"&amp;TEXT(COUNTIF($A$2:A432,A432),"00"))</f>
        <v/>
      </c>
      <c r="H432" s="14" t="n"/>
      <c r="I432" s="14" t="n"/>
    </row>
    <row r="433">
      <c r="B433">
        <f>IFERROR(VLOOKUP(A433,Risk_Assessment!$B$2:$D$1000,2,FALSE),"")</f>
        <v/>
      </c>
      <c r="C433">
        <f>IF(ISBLANK(A433),"",A433&amp;"-M"&amp;TEXT(COUNTIF($A$2:A433,A433),"00"))</f>
        <v/>
      </c>
      <c r="H433" s="14" t="n"/>
      <c r="I433" s="14" t="n"/>
    </row>
    <row r="434">
      <c r="B434">
        <f>IFERROR(VLOOKUP(A434,Risk_Assessment!$B$2:$D$1000,2,FALSE),"")</f>
        <v/>
      </c>
      <c r="C434">
        <f>IF(ISBLANK(A434),"",A434&amp;"-M"&amp;TEXT(COUNTIF($A$2:A434,A434),"00"))</f>
        <v/>
      </c>
      <c r="H434" s="14" t="n"/>
      <c r="I434" s="14" t="n"/>
    </row>
    <row r="435">
      <c r="B435">
        <f>IFERROR(VLOOKUP(A435,Risk_Assessment!$B$2:$D$1000,2,FALSE),"")</f>
        <v/>
      </c>
      <c r="C435">
        <f>IF(ISBLANK(A435),"",A435&amp;"-M"&amp;TEXT(COUNTIF($A$2:A435,A435),"00"))</f>
        <v/>
      </c>
      <c r="H435" s="14" t="n"/>
      <c r="I435" s="14" t="n"/>
    </row>
    <row r="436">
      <c r="B436">
        <f>IFERROR(VLOOKUP(A436,Risk_Assessment!$B$2:$D$1000,2,FALSE),"")</f>
        <v/>
      </c>
      <c r="C436">
        <f>IF(ISBLANK(A436),"",A436&amp;"-M"&amp;TEXT(COUNTIF($A$2:A436,A436),"00"))</f>
        <v/>
      </c>
      <c r="H436" s="14" t="n"/>
      <c r="I436" s="14" t="n"/>
    </row>
    <row r="437">
      <c r="B437">
        <f>IFERROR(VLOOKUP(A437,Risk_Assessment!$B$2:$D$1000,2,FALSE),"")</f>
        <v/>
      </c>
      <c r="C437">
        <f>IF(ISBLANK(A437),"",A437&amp;"-M"&amp;TEXT(COUNTIF($A$2:A437,A437),"00"))</f>
        <v/>
      </c>
      <c r="H437" s="14" t="n"/>
      <c r="I437" s="14" t="n"/>
    </row>
    <row r="438">
      <c r="B438">
        <f>IFERROR(VLOOKUP(A438,Risk_Assessment!$B$2:$D$1000,2,FALSE),"")</f>
        <v/>
      </c>
      <c r="C438">
        <f>IF(ISBLANK(A438),"",A438&amp;"-M"&amp;TEXT(COUNTIF($A$2:A438,A438),"00"))</f>
        <v/>
      </c>
      <c r="H438" s="14" t="n"/>
      <c r="I438" s="14" t="n"/>
    </row>
    <row r="439">
      <c r="B439">
        <f>IFERROR(VLOOKUP(A439,Risk_Assessment!$B$2:$D$1000,2,FALSE),"")</f>
        <v/>
      </c>
      <c r="C439">
        <f>IF(ISBLANK(A439),"",A439&amp;"-M"&amp;TEXT(COUNTIF($A$2:A439,A439),"00"))</f>
        <v/>
      </c>
      <c r="H439" s="14" t="n"/>
      <c r="I439" s="14" t="n"/>
    </row>
    <row r="440">
      <c r="B440">
        <f>IFERROR(VLOOKUP(A440,Risk_Assessment!$B$2:$D$1000,2,FALSE),"")</f>
        <v/>
      </c>
      <c r="C440">
        <f>IF(ISBLANK(A440),"",A440&amp;"-M"&amp;TEXT(COUNTIF($A$2:A440,A440),"00"))</f>
        <v/>
      </c>
      <c r="H440" s="14" t="n"/>
      <c r="I440" s="14" t="n"/>
    </row>
    <row r="441">
      <c r="B441">
        <f>IFERROR(VLOOKUP(A441,Risk_Assessment!$B$2:$D$1000,2,FALSE),"")</f>
        <v/>
      </c>
      <c r="C441">
        <f>IF(ISBLANK(A441),"",A441&amp;"-M"&amp;TEXT(COUNTIF($A$2:A441,A441),"00"))</f>
        <v/>
      </c>
      <c r="H441" s="14" t="n"/>
      <c r="I441" s="14" t="n"/>
    </row>
    <row r="442">
      <c r="B442">
        <f>IFERROR(VLOOKUP(A442,Risk_Assessment!$B$2:$D$1000,2,FALSE),"")</f>
        <v/>
      </c>
      <c r="C442">
        <f>IF(ISBLANK(A442),"",A442&amp;"-M"&amp;TEXT(COUNTIF($A$2:A442,A442),"00"))</f>
        <v/>
      </c>
      <c r="H442" s="14" t="n"/>
      <c r="I442" s="14" t="n"/>
    </row>
    <row r="443">
      <c r="B443">
        <f>IFERROR(VLOOKUP(A443,Risk_Assessment!$B$2:$D$1000,2,FALSE),"")</f>
        <v/>
      </c>
      <c r="C443">
        <f>IF(ISBLANK(A443),"",A443&amp;"-M"&amp;TEXT(COUNTIF($A$2:A443,A443),"00"))</f>
        <v/>
      </c>
      <c r="H443" s="14" t="n"/>
      <c r="I443" s="14" t="n"/>
    </row>
    <row r="444">
      <c r="B444">
        <f>IFERROR(VLOOKUP(A444,Risk_Assessment!$B$2:$D$1000,2,FALSE),"")</f>
        <v/>
      </c>
      <c r="C444">
        <f>IF(ISBLANK(A444),"",A444&amp;"-M"&amp;TEXT(COUNTIF($A$2:A444,A444),"00"))</f>
        <v/>
      </c>
      <c r="H444" s="14" t="n"/>
      <c r="I444" s="14" t="n"/>
    </row>
    <row r="445">
      <c r="B445">
        <f>IFERROR(VLOOKUP(A445,Risk_Assessment!$B$2:$D$1000,2,FALSE),"")</f>
        <v/>
      </c>
      <c r="C445">
        <f>IF(ISBLANK(A445),"",A445&amp;"-M"&amp;TEXT(COUNTIF($A$2:A445,A445),"00"))</f>
        <v/>
      </c>
      <c r="H445" s="14" t="n"/>
      <c r="I445" s="14" t="n"/>
    </row>
    <row r="446">
      <c r="B446">
        <f>IFERROR(VLOOKUP(A446,Risk_Assessment!$B$2:$D$1000,2,FALSE),"")</f>
        <v/>
      </c>
      <c r="C446">
        <f>IF(ISBLANK(A446),"",A446&amp;"-M"&amp;TEXT(COUNTIF($A$2:A446,A446),"00"))</f>
        <v/>
      </c>
      <c r="H446" s="14" t="n"/>
      <c r="I446" s="14" t="n"/>
    </row>
    <row r="447">
      <c r="B447">
        <f>IFERROR(VLOOKUP(A447,Risk_Assessment!$B$2:$D$1000,2,FALSE),"")</f>
        <v/>
      </c>
      <c r="C447">
        <f>IF(ISBLANK(A447),"",A447&amp;"-M"&amp;TEXT(COUNTIF($A$2:A447,A447),"00"))</f>
        <v/>
      </c>
      <c r="H447" s="14" t="n"/>
      <c r="I447" s="14" t="n"/>
    </row>
    <row r="448">
      <c r="B448">
        <f>IFERROR(VLOOKUP(A448,Risk_Assessment!$B$2:$D$1000,2,FALSE),"")</f>
        <v/>
      </c>
      <c r="C448">
        <f>IF(ISBLANK(A448),"",A448&amp;"-M"&amp;TEXT(COUNTIF($A$2:A448,A448),"00"))</f>
        <v/>
      </c>
      <c r="H448" s="14" t="n"/>
      <c r="I448" s="14" t="n"/>
    </row>
    <row r="449">
      <c r="B449">
        <f>IFERROR(VLOOKUP(A449,Risk_Assessment!$B$2:$D$1000,2,FALSE),"")</f>
        <v/>
      </c>
      <c r="C449">
        <f>IF(ISBLANK(A449),"",A449&amp;"-M"&amp;TEXT(COUNTIF($A$2:A449,A449),"00"))</f>
        <v/>
      </c>
      <c r="H449" s="14" t="n"/>
      <c r="I449" s="14" t="n"/>
    </row>
    <row r="450">
      <c r="B450">
        <f>IFERROR(VLOOKUP(A450,Risk_Assessment!$B$2:$D$1000,2,FALSE),"")</f>
        <v/>
      </c>
      <c r="C450">
        <f>IF(ISBLANK(A450),"",A450&amp;"-M"&amp;TEXT(COUNTIF($A$2:A450,A450),"00"))</f>
        <v/>
      </c>
      <c r="H450" s="14" t="n"/>
      <c r="I450" s="14" t="n"/>
    </row>
    <row r="451">
      <c r="B451">
        <f>IFERROR(VLOOKUP(A451,Risk_Assessment!$B$2:$D$1000,2,FALSE),"")</f>
        <v/>
      </c>
      <c r="C451">
        <f>IF(ISBLANK(A451),"",A451&amp;"-M"&amp;TEXT(COUNTIF($A$2:A451,A451),"00"))</f>
        <v/>
      </c>
      <c r="H451" s="14" t="n"/>
      <c r="I451" s="14" t="n"/>
    </row>
    <row r="452">
      <c r="B452">
        <f>IFERROR(VLOOKUP(A452,Risk_Assessment!$B$2:$D$1000,2,FALSE),"")</f>
        <v/>
      </c>
      <c r="C452">
        <f>IF(ISBLANK(A452),"",A452&amp;"-M"&amp;TEXT(COUNTIF($A$2:A452,A452),"00"))</f>
        <v/>
      </c>
      <c r="H452" s="14" t="n"/>
      <c r="I452" s="14" t="n"/>
    </row>
    <row r="453">
      <c r="B453">
        <f>IFERROR(VLOOKUP(A453,Risk_Assessment!$B$2:$D$1000,2,FALSE),"")</f>
        <v/>
      </c>
      <c r="C453">
        <f>IF(ISBLANK(A453),"",A453&amp;"-M"&amp;TEXT(COUNTIF($A$2:A453,A453),"00"))</f>
        <v/>
      </c>
      <c r="H453" s="14" t="n"/>
      <c r="I453" s="14" t="n"/>
    </row>
    <row r="454">
      <c r="B454">
        <f>IFERROR(VLOOKUP(A454,Risk_Assessment!$B$2:$D$1000,2,FALSE),"")</f>
        <v/>
      </c>
      <c r="C454">
        <f>IF(ISBLANK(A454),"",A454&amp;"-M"&amp;TEXT(COUNTIF($A$2:A454,A454),"00"))</f>
        <v/>
      </c>
      <c r="H454" s="14" t="n"/>
      <c r="I454" s="14" t="n"/>
    </row>
    <row r="455">
      <c r="B455">
        <f>IFERROR(VLOOKUP(A455,Risk_Assessment!$B$2:$D$1000,2,FALSE),"")</f>
        <v/>
      </c>
      <c r="C455">
        <f>IF(ISBLANK(A455),"",A455&amp;"-M"&amp;TEXT(COUNTIF($A$2:A455,A455),"00"))</f>
        <v/>
      </c>
      <c r="H455" s="14" t="n"/>
      <c r="I455" s="14" t="n"/>
    </row>
    <row r="456">
      <c r="B456">
        <f>IFERROR(VLOOKUP(A456,Risk_Assessment!$B$2:$D$1000,2,FALSE),"")</f>
        <v/>
      </c>
      <c r="C456">
        <f>IF(ISBLANK(A456),"",A456&amp;"-M"&amp;TEXT(COUNTIF($A$2:A456,A456),"00"))</f>
        <v/>
      </c>
      <c r="H456" s="14" t="n"/>
      <c r="I456" s="14" t="n"/>
    </row>
    <row r="457">
      <c r="B457">
        <f>IFERROR(VLOOKUP(A457,Risk_Assessment!$B$2:$D$1000,2,FALSE),"")</f>
        <v/>
      </c>
      <c r="C457">
        <f>IF(ISBLANK(A457),"",A457&amp;"-M"&amp;TEXT(COUNTIF($A$2:A457,A457),"00"))</f>
        <v/>
      </c>
      <c r="H457" s="14" t="n"/>
      <c r="I457" s="14" t="n"/>
    </row>
    <row r="458">
      <c r="B458">
        <f>IFERROR(VLOOKUP(A458,Risk_Assessment!$B$2:$D$1000,2,FALSE),"")</f>
        <v/>
      </c>
      <c r="C458">
        <f>IF(ISBLANK(A458),"",A458&amp;"-M"&amp;TEXT(COUNTIF($A$2:A458,A458),"00"))</f>
        <v/>
      </c>
      <c r="H458" s="14" t="n"/>
      <c r="I458" s="14" t="n"/>
    </row>
    <row r="459">
      <c r="B459">
        <f>IFERROR(VLOOKUP(A459,Risk_Assessment!$B$2:$D$1000,2,FALSE),"")</f>
        <v/>
      </c>
      <c r="C459">
        <f>IF(ISBLANK(A459),"",A459&amp;"-M"&amp;TEXT(COUNTIF($A$2:A459,A459),"00"))</f>
        <v/>
      </c>
      <c r="H459" s="14" t="n"/>
      <c r="I459" s="14" t="n"/>
    </row>
    <row r="460">
      <c r="B460">
        <f>IFERROR(VLOOKUP(A460,Risk_Assessment!$B$2:$D$1000,2,FALSE),"")</f>
        <v/>
      </c>
      <c r="C460">
        <f>IF(ISBLANK(A460),"",A460&amp;"-M"&amp;TEXT(COUNTIF($A$2:A460,A460),"00"))</f>
        <v/>
      </c>
      <c r="H460" s="14" t="n"/>
      <c r="I460" s="14" t="n"/>
    </row>
    <row r="461">
      <c r="B461">
        <f>IFERROR(VLOOKUP(A461,Risk_Assessment!$B$2:$D$1000,2,FALSE),"")</f>
        <v/>
      </c>
      <c r="C461">
        <f>IF(ISBLANK(A461),"",A461&amp;"-M"&amp;TEXT(COUNTIF($A$2:A461,A461),"00"))</f>
        <v/>
      </c>
      <c r="H461" s="14" t="n"/>
      <c r="I461" s="14" t="n"/>
    </row>
    <row r="462">
      <c r="B462">
        <f>IFERROR(VLOOKUP(A462,Risk_Assessment!$B$2:$D$1000,2,FALSE),"")</f>
        <v/>
      </c>
      <c r="C462">
        <f>IF(ISBLANK(A462),"",A462&amp;"-M"&amp;TEXT(COUNTIF($A$2:A462,A462),"00"))</f>
        <v/>
      </c>
      <c r="H462" s="14" t="n"/>
      <c r="I462" s="14" t="n"/>
    </row>
    <row r="463">
      <c r="B463">
        <f>IFERROR(VLOOKUP(A463,Risk_Assessment!$B$2:$D$1000,2,FALSE),"")</f>
        <v/>
      </c>
      <c r="C463">
        <f>IF(ISBLANK(A463),"",A463&amp;"-M"&amp;TEXT(COUNTIF($A$2:A463,A463),"00"))</f>
        <v/>
      </c>
      <c r="H463" s="14" t="n"/>
      <c r="I463" s="14" t="n"/>
    </row>
    <row r="464">
      <c r="B464">
        <f>IFERROR(VLOOKUP(A464,Risk_Assessment!$B$2:$D$1000,2,FALSE),"")</f>
        <v/>
      </c>
      <c r="C464">
        <f>IF(ISBLANK(A464),"",A464&amp;"-M"&amp;TEXT(COUNTIF($A$2:A464,A464),"00"))</f>
        <v/>
      </c>
      <c r="H464" s="14" t="n"/>
      <c r="I464" s="14" t="n"/>
    </row>
    <row r="465">
      <c r="B465">
        <f>IFERROR(VLOOKUP(A465,Risk_Assessment!$B$2:$D$1000,2,FALSE),"")</f>
        <v/>
      </c>
      <c r="C465">
        <f>IF(ISBLANK(A465),"",A465&amp;"-M"&amp;TEXT(COUNTIF($A$2:A465,A465),"00"))</f>
        <v/>
      </c>
      <c r="H465" s="14" t="n"/>
      <c r="I465" s="14" t="n"/>
    </row>
    <row r="466">
      <c r="B466">
        <f>IFERROR(VLOOKUP(A466,Risk_Assessment!$B$2:$D$1000,2,FALSE),"")</f>
        <v/>
      </c>
      <c r="C466">
        <f>IF(ISBLANK(A466),"",A466&amp;"-M"&amp;TEXT(COUNTIF($A$2:A466,A466),"00"))</f>
        <v/>
      </c>
      <c r="H466" s="14" t="n"/>
      <c r="I466" s="14" t="n"/>
    </row>
    <row r="467">
      <c r="B467">
        <f>IFERROR(VLOOKUP(A467,Risk_Assessment!$B$2:$D$1000,2,FALSE),"")</f>
        <v/>
      </c>
      <c r="C467">
        <f>IF(ISBLANK(A467),"",A467&amp;"-M"&amp;TEXT(COUNTIF($A$2:A467,A467),"00"))</f>
        <v/>
      </c>
      <c r="H467" s="14" t="n"/>
      <c r="I467" s="14" t="n"/>
    </row>
    <row r="468">
      <c r="B468">
        <f>IFERROR(VLOOKUP(A468,Risk_Assessment!$B$2:$D$1000,2,FALSE),"")</f>
        <v/>
      </c>
      <c r="C468">
        <f>IF(ISBLANK(A468),"",A468&amp;"-M"&amp;TEXT(COUNTIF($A$2:A468,A468),"00"))</f>
        <v/>
      </c>
      <c r="H468" s="14" t="n"/>
      <c r="I468" s="14" t="n"/>
    </row>
    <row r="469">
      <c r="B469">
        <f>IFERROR(VLOOKUP(A469,Risk_Assessment!$B$2:$D$1000,2,FALSE),"")</f>
        <v/>
      </c>
      <c r="C469">
        <f>IF(ISBLANK(A469),"",A469&amp;"-M"&amp;TEXT(COUNTIF($A$2:A469,A469),"00"))</f>
        <v/>
      </c>
      <c r="H469" s="14" t="n"/>
      <c r="I469" s="14" t="n"/>
    </row>
    <row r="470">
      <c r="B470">
        <f>IFERROR(VLOOKUP(A470,Risk_Assessment!$B$2:$D$1000,2,FALSE),"")</f>
        <v/>
      </c>
      <c r="C470">
        <f>IF(ISBLANK(A470),"",A470&amp;"-M"&amp;TEXT(COUNTIF($A$2:A470,A470),"00"))</f>
        <v/>
      </c>
      <c r="H470" s="14" t="n"/>
      <c r="I470" s="14" t="n"/>
    </row>
    <row r="471">
      <c r="B471">
        <f>IFERROR(VLOOKUP(A471,Risk_Assessment!$B$2:$D$1000,2,FALSE),"")</f>
        <v/>
      </c>
      <c r="C471">
        <f>IF(ISBLANK(A471),"",A471&amp;"-M"&amp;TEXT(COUNTIF($A$2:A471,A471),"00"))</f>
        <v/>
      </c>
      <c r="H471" s="14" t="n"/>
      <c r="I471" s="14" t="n"/>
    </row>
    <row r="472">
      <c r="B472">
        <f>IFERROR(VLOOKUP(A472,Risk_Assessment!$B$2:$D$1000,2,FALSE),"")</f>
        <v/>
      </c>
      <c r="C472">
        <f>IF(ISBLANK(A472),"",A472&amp;"-M"&amp;TEXT(COUNTIF($A$2:A472,A472),"00"))</f>
        <v/>
      </c>
      <c r="H472" s="14" t="n"/>
      <c r="I472" s="14" t="n"/>
    </row>
    <row r="473">
      <c r="B473">
        <f>IFERROR(VLOOKUP(A473,Risk_Assessment!$B$2:$D$1000,2,FALSE),"")</f>
        <v/>
      </c>
      <c r="C473">
        <f>IF(ISBLANK(A473),"",A473&amp;"-M"&amp;TEXT(COUNTIF($A$2:A473,A473),"00"))</f>
        <v/>
      </c>
      <c r="H473" s="14" t="n"/>
      <c r="I473" s="14" t="n"/>
    </row>
    <row r="474">
      <c r="B474">
        <f>IFERROR(VLOOKUP(A474,Risk_Assessment!$B$2:$D$1000,2,FALSE),"")</f>
        <v/>
      </c>
      <c r="C474">
        <f>IF(ISBLANK(A474),"",A474&amp;"-M"&amp;TEXT(COUNTIF($A$2:A474,A474),"00"))</f>
        <v/>
      </c>
      <c r="H474" s="14" t="n"/>
      <c r="I474" s="14" t="n"/>
    </row>
    <row r="475">
      <c r="B475">
        <f>IFERROR(VLOOKUP(A475,Risk_Assessment!$B$2:$D$1000,2,FALSE),"")</f>
        <v/>
      </c>
      <c r="C475">
        <f>IF(ISBLANK(A475),"",A475&amp;"-M"&amp;TEXT(COUNTIF($A$2:A475,A475),"00"))</f>
        <v/>
      </c>
      <c r="H475" s="14" t="n"/>
      <c r="I475" s="14" t="n"/>
    </row>
    <row r="476">
      <c r="B476">
        <f>IFERROR(VLOOKUP(A476,Risk_Assessment!$B$2:$D$1000,2,FALSE),"")</f>
        <v/>
      </c>
      <c r="C476">
        <f>IF(ISBLANK(A476),"",A476&amp;"-M"&amp;TEXT(COUNTIF($A$2:A476,A476),"00"))</f>
        <v/>
      </c>
      <c r="H476" s="14" t="n"/>
      <c r="I476" s="14" t="n"/>
    </row>
    <row r="477">
      <c r="B477">
        <f>IFERROR(VLOOKUP(A477,Risk_Assessment!$B$2:$D$1000,2,FALSE),"")</f>
        <v/>
      </c>
      <c r="C477">
        <f>IF(ISBLANK(A477),"",A477&amp;"-M"&amp;TEXT(COUNTIF($A$2:A477,A477),"00"))</f>
        <v/>
      </c>
      <c r="H477" s="14" t="n"/>
      <c r="I477" s="14" t="n"/>
    </row>
    <row r="478">
      <c r="B478">
        <f>IFERROR(VLOOKUP(A478,Risk_Assessment!$B$2:$D$1000,2,FALSE),"")</f>
        <v/>
      </c>
      <c r="C478">
        <f>IF(ISBLANK(A478),"",A478&amp;"-M"&amp;TEXT(COUNTIF($A$2:A478,A478),"00"))</f>
        <v/>
      </c>
      <c r="H478" s="14" t="n"/>
      <c r="I478" s="14" t="n"/>
    </row>
    <row r="479">
      <c r="B479">
        <f>IFERROR(VLOOKUP(A479,Risk_Assessment!$B$2:$D$1000,2,FALSE),"")</f>
        <v/>
      </c>
      <c r="C479">
        <f>IF(ISBLANK(A479),"",A479&amp;"-M"&amp;TEXT(COUNTIF($A$2:A479,A479),"00"))</f>
        <v/>
      </c>
      <c r="H479" s="14" t="n"/>
      <c r="I479" s="14" t="n"/>
    </row>
    <row r="480">
      <c r="B480">
        <f>IFERROR(VLOOKUP(A480,Risk_Assessment!$B$2:$D$1000,2,FALSE),"")</f>
        <v/>
      </c>
      <c r="C480">
        <f>IF(ISBLANK(A480),"",A480&amp;"-M"&amp;TEXT(COUNTIF($A$2:A480,A480),"00"))</f>
        <v/>
      </c>
      <c r="H480" s="14" t="n"/>
      <c r="I480" s="14" t="n"/>
    </row>
    <row r="481">
      <c r="B481">
        <f>IFERROR(VLOOKUP(A481,Risk_Assessment!$B$2:$D$1000,2,FALSE),"")</f>
        <v/>
      </c>
      <c r="C481">
        <f>IF(ISBLANK(A481),"",A481&amp;"-M"&amp;TEXT(COUNTIF($A$2:A481,A481),"00"))</f>
        <v/>
      </c>
      <c r="H481" s="14" t="n"/>
      <c r="I481" s="14" t="n"/>
    </row>
    <row r="482">
      <c r="B482">
        <f>IFERROR(VLOOKUP(A482,Risk_Assessment!$B$2:$D$1000,2,FALSE),"")</f>
        <v/>
      </c>
      <c r="C482">
        <f>IF(ISBLANK(A482),"",A482&amp;"-M"&amp;TEXT(COUNTIF($A$2:A482,A482),"00"))</f>
        <v/>
      </c>
      <c r="H482" s="14" t="n"/>
      <c r="I482" s="14" t="n"/>
    </row>
    <row r="483">
      <c r="B483">
        <f>IFERROR(VLOOKUP(A483,Risk_Assessment!$B$2:$D$1000,2,FALSE),"")</f>
        <v/>
      </c>
      <c r="C483">
        <f>IF(ISBLANK(A483),"",A483&amp;"-M"&amp;TEXT(COUNTIF($A$2:A483,A483),"00"))</f>
        <v/>
      </c>
      <c r="H483" s="14" t="n"/>
      <c r="I483" s="14" t="n"/>
    </row>
    <row r="484">
      <c r="B484">
        <f>IFERROR(VLOOKUP(A484,Risk_Assessment!$B$2:$D$1000,2,FALSE),"")</f>
        <v/>
      </c>
      <c r="C484">
        <f>IF(ISBLANK(A484),"",A484&amp;"-M"&amp;TEXT(COUNTIF($A$2:A484,A484),"00"))</f>
        <v/>
      </c>
      <c r="H484" s="14" t="n"/>
      <c r="I484" s="14" t="n"/>
    </row>
    <row r="485">
      <c r="B485">
        <f>IFERROR(VLOOKUP(A485,Risk_Assessment!$B$2:$D$1000,2,FALSE),"")</f>
        <v/>
      </c>
      <c r="C485">
        <f>IF(ISBLANK(A485),"",A485&amp;"-M"&amp;TEXT(COUNTIF($A$2:A485,A485),"00"))</f>
        <v/>
      </c>
      <c r="H485" s="14" t="n"/>
      <c r="I485" s="14" t="n"/>
    </row>
    <row r="486">
      <c r="B486">
        <f>IFERROR(VLOOKUP(A486,Risk_Assessment!$B$2:$D$1000,2,FALSE),"")</f>
        <v/>
      </c>
      <c r="C486">
        <f>IF(ISBLANK(A486),"",A486&amp;"-M"&amp;TEXT(COUNTIF($A$2:A486,A486),"00"))</f>
        <v/>
      </c>
      <c r="H486" s="14" t="n"/>
      <c r="I486" s="14" t="n"/>
    </row>
    <row r="487">
      <c r="B487">
        <f>IFERROR(VLOOKUP(A487,Risk_Assessment!$B$2:$D$1000,2,FALSE),"")</f>
        <v/>
      </c>
      <c r="C487">
        <f>IF(ISBLANK(A487),"",A487&amp;"-M"&amp;TEXT(COUNTIF($A$2:A487,A487),"00"))</f>
        <v/>
      </c>
      <c r="H487" s="14" t="n"/>
      <c r="I487" s="14" t="n"/>
    </row>
    <row r="488">
      <c r="B488">
        <f>IFERROR(VLOOKUP(A488,Risk_Assessment!$B$2:$D$1000,2,FALSE),"")</f>
        <v/>
      </c>
      <c r="C488">
        <f>IF(ISBLANK(A488),"",A488&amp;"-M"&amp;TEXT(COUNTIF($A$2:A488,A488),"00"))</f>
        <v/>
      </c>
      <c r="H488" s="14" t="n"/>
      <c r="I488" s="14" t="n"/>
    </row>
    <row r="489">
      <c r="B489">
        <f>IFERROR(VLOOKUP(A489,Risk_Assessment!$B$2:$D$1000,2,FALSE),"")</f>
        <v/>
      </c>
      <c r="C489">
        <f>IF(ISBLANK(A489),"",A489&amp;"-M"&amp;TEXT(COUNTIF($A$2:A489,A489),"00"))</f>
        <v/>
      </c>
      <c r="H489" s="14" t="n"/>
      <c r="I489" s="14" t="n"/>
    </row>
    <row r="490">
      <c r="B490">
        <f>IFERROR(VLOOKUP(A490,Risk_Assessment!$B$2:$D$1000,2,FALSE),"")</f>
        <v/>
      </c>
      <c r="C490">
        <f>IF(ISBLANK(A490),"",A490&amp;"-M"&amp;TEXT(COUNTIF($A$2:A490,A490),"00"))</f>
        <v/>
      </c>
      <c r="H490" s="14" t="n"/>
      <c r="I490" s="14" t="n"/>
    </row>
    <row r="491">
      <c r="B491">
        <f>IFERROR(VLOOKUP(A491,Risk_Assessment!$B$2:$D$1000,2,FALSE),"")</f>
        <v/>
      </c>
      <c r="C491">
        <f>IF(ISBLANK(A491),"",A491&amp;"-M"&amp;TEXT(COUNTIF($A$2:A491,A491),"00"))</f>
        <v/>
      </c>
      <c r="H491" s="14" t="n"/>
      <c r="I491" s="14" t="n"/>
    </row>
    <row r="492">
      <c r="B492">
        <f>IFERROR(VLOOKUP(A492,Risk_Assessment!$B$2:$D$1000,2,FALSE),"")</f>
        <v/>
      </c>
      <c r="C492">
        <f>IF(ISBLANK(A492),"",A492&amp;"-M"&amp;TEXT(COUNTIF($A$2:A492,A492),"00"))</f>
        <v/>
      </c>
      <c r="H492" s="14" t="n"/>
      <c r="I492" s="14" t="n"/>
    </row>
    <row r="493">
      <c r="B493">
        <f>IFERROR(VLOOKUP(A493,Risk_Assessment!$B$2:$D$1000,2,FALSE),"")</f>
        <v/>
      </c>
      <c r="C493">
        <f>IF(ISBLANK(A493),"",A493&amp;"-M"&amp;TEXT(COUNTIF($A$2:A493,A493),"00"))</f>
        <v/>
      </c>
      <c r="H493" s="14" t="n"/>
      <c r="I493" s="14" t="n"/>
    </row>
    <row r="494">
      <c r="B494">
        <f>IFERROR(VLOOKUP(A494,Risk_Assessment!$B$2:$D$1000,2,FALSE),"")</f>
        <v/>
      </c>
      <c r="C494">
        <f>IF(ISBLANK(A494),"",A494&amp;"-M"&amp;TEXT(COUNTIF($A$2:A494,A494),"00"))</f>
        <v/>
      </c>
      <c r="H494" s="14" t="n"/>
      <c r="I494" s="14" t="n"/>
    </row>
    <row r="495">
      <c r="B495">
        <f>IFERROR(VLOOKUP(A495,Risk_Assessment!$B$2:$D$1000,2,FALSE),"")</f>
        <v/>
      </c>
      <c r="C495">
        <f>IF(ISBLANK(A495),"",A495&amp;"-M"&amp;TEXT(COUNTIF($A$2:A495,A495),"00"))</f>
        <v/>
      </c>
      <c r="H495" s="14" t="n"/>
      <c r="I495" s="14" t="n"/>
    </row>
    <row r="496">
      <c r="B496">
        <f>IFERROR(VLOOKUP(A496,Risk_Assessment!$B$2:$D$1000,2,FALSE),"")</f>
        <v/>
      </c>
      <c r="C496">
        <f>IF(ISBLANK(A496),"",A496&amp;"-M"&amp;TEXT(COUNTIF($A$2:A496,A496),"00"))</f>
        <v/>
      </c>
      <c r="H496" s="14" t="n"/>
      <c r="I496" s="14" t="n"/>
    </row>
    <row r="497">
      <c r="B497">
        <f>IFERROR(VLOOKUP(A497,Risk_Assessment!$B$2:$D$1000,2,FALSE),"")</f>
        <v/>
      </c>
      <c r="C497">
        <f>IF(ISBLANK(A497),"",A497&amp;"-M"&amp;TEXT(COUNTIF($A$2:A497,A497),"00"))</f>
        <v/>
      </c>
      <c r="H497" s="14" t="n"/>
      <c r="I497" s="14" t="n"/>
    </row>
    <row r="498">
      <c r="B498">
        <f>IFERROR(VLOOKUP(A498,Risk_Assessment!$B$2:$D$1000,2,FALSE),"")</f>
        <v/>
      </c>
      <c r="C498">
        <f>IF(ISBLANK(A498),"",A498&amp;"-M"&amp;TEXT(COUNTIF($A$2:A498,A498),"00"))</f>
        <v/>
      </c>
      <c r="H498" s="14" t="n"/>
      <c r="I498" s="14" t="n"/>
    </row>
    <row r="499">
      <c r="B499">
        <f>IFERROR(VLOOKUP(A499,Risk_Assessment!$B$2:$D$1000,2,FALSE),"")</f>
        <v/>
      </c>
      <c r="C499">
        <f>IF(ISBLANK(A499),"",A499&amp;"-M"&amp;TEXT(COUNTIF($A$2:A499,A499),"00"))</f>
        <v/>
      </c>
      <c r="H499" s="14" t="n"/>
      <c r="I499" s="14" t="n"/>
    </row>
    <row r="500">
      <c r="B500">
        <f>IFERROR(VLOOKUP(A500,Risk_Assessment!$B$2:$D$1000,2,FALSE),"")</f>
        <v/>
      </c>
      <c r="C500">
        <f>IF(ISBLANK(A500),"",A500&amp;"-M"&amp;TEXT(COUNTIF($A$2:A500,A500),"00"))</f>
        <v/>
      </c>
      <c r="H500" s="14" t="n"/>
      <c r="I500" s="14" t="n"/>
    </row>
    <row r="501">
      <c r="B501">
        <f>IFERROR(VLOOKUP(A501,Risk_Assessment!$B$2:$D$1000,2,FALSE),"")</f>
        <v/>
      </c>
      <c r="C501">
        <f>IF(ISBLANK(A501),"",A501&amp;"-M"&amp;TEXT(COUNTIF($A$2:A501,A501),"00"))</f>
        <v/>
      </c>
      <c r="H501" s="14" t="n"/>
      <c r="I501" s="14" t="n"/>
    </row>
    <row r="502">
      <c r="B502">
        <f>IFERROR(VLOOKUP(A502,Risk_Assessment!$B$2:$D$1000,2,FALSE),"")</f>
        <v/>
      </c>
      <c r="C502">
        <f>IF(ISBLANK(A502),"",A502&amp;"-M"&amp;TEXT(COUNTIF($A$2:A502,A502),"00"))</f>
        <v/>
      </c>
      <c r="H502" s="14" t="n"/>
      <c r="I502" s="14" t="n"/>
    </row>
    <row r="503">
      <c r="B503">
        <f>IFERROR(VLOOKUP(A503,Risk_Assessment!$B$2:$D$1000,2,FALSE),"")</f>
        <v/>
      </c>
      <c r="C503">
        <f>IF(ISBLANK(A503),"",A503&amp;"-M"&amp;TEXT(COUNTIF($A$2:A503,A503),"00"))</f>
        <v/>
      </c>
      <c r="H503" s="14" t="n"/>
      <c r="I503" s="14" t="n"/>
    </row>
    <row r="504">
      <c r="B504">
        <f>IFERROR(VLOOKUP(A504,Risk_Assessment!$B$2:$D$1000,2,FALSE),"")</f>
        <v/>
      </c>
      <c r="C504">
        <f>IF(ISBLANK(A504),"",A504&amp;"-M"&amp;TEXT(COUNTIF($A$2:A504,A504),"00"))</f>
        <v/>
      </c>
      <c r="H504" s="14" t="n"/>
      <c r="I504" s="14" t="n"/>
    </row>
    <row r="505">
      <c r="B505">
        <f>IFERROR(VLOOKUP(A505,Risk_Assessment!$B$2:$D$1000,2,FALSE),"")</f>
        <v/>
      </c>
      <c r="C505">
        <f>IF(ISBLANK(A505),"",A505&amp;"-M"&amp;TEXT(COUNTIF($A$2:A505,A505),"00"))</f>
        <v/>
      </c>
      <c r="H505" s="14" t="n"/>
      <c r="I505" s="14" t="n"/>
    </row>
    <row r="506">
      <c r="B506">
        <f>IFERROR(VLOOKUP(A506,Risk_Assessment!$B$2:$D$1000,2,FALSE),"")</f>
        <v/>
      </c>
      <c r="C506">
        <f>IF(ISBLANK(A506),"",A506&amp;"-M"&amp;TEXT(COUNTIF($A$2:A506,A506),"00"))</f>
        <v/>
      </c>
      <c r="H506" s="14" t="n"/>
      <c r="I506" s="14" t="n"/>
    </row>
    <row r="507">
      <c r="B507">
        <f>IFERROR(VLOOKUP(A507,Risk_Assessment!$B$2:$D$1000,2,FALSE),"")</f>
        <v/>
      </c>
      <c r="C507">
        <f>IF(ISBLANK(A507),"",A507&amp;"-M"&amp;TEXT(COUNTIF($A$2:A507,A507),"00"))</f>
        <v/>
      </c>
      <c r="H507" s="14" t="n"/>
      <c r="I507" s="14" t="n"/>
    </row>
    <row r="508">
      <c r="B508">
        <f>IFERROR(VLOOKUP(A508,Risk_Assessment!$B$2:$D$1000,2,FALSE),"")</f>
        <v/>
      </c>
      <c r="C508">
        <f>IF(ISBLANK(A508),"",A508&amp;"-M"&amp;TEXT(COUNTIF($A$2:A508,A508),"00"))</f>
        <v/>
      </c>
      <c r="H508" s="14" t="n"/>
      <c r="I508" s="14" t="n"/>
    </row>
    <row r="509">
      <c r="B509">
        <f>IFERROR(VLOOKUP(A509,Risk_Assessment!$B$2:$D$1000,2,FALSE),"")</f>
        <v/>
      </c>
      <c r="C509">
        <f>IF(ISBLANK(A509),"",A509&amp;"-M"&amp;TEXT(COUNTIF($A$2:A509,A509),"00"))</f>
        <v/>
      </c>
      <c r="H509" s="14" t="n"/>
      <c r="I509" s="14" t="n"/>
    </row>
    <row r="510">
      <c r="B510">
        <f>IFERROR(VLOOKUP(A510,Risk_Assessment!$B$2:$D$1000,2,FALSE),"")</f>
        <v/>
      </c>
      <c r="C510">
        <f>IF(ISBLANK(A510),"",A510&amp;"-M"&amp;TEXT(COUNTIF($A$2:A510,A510),"00"))</f>
        <v/>
      </c>
      <c r="H510" s="14" t="n"/>
      <c r="I510" s="14" t="n"/>
    </row>
    <row r="511">
      <c r="B511">
        <f>IFERROR(VLOOKUP(A511,Risk_Assessment!$B$2:$D$1000,2,FALSE),"")</f>
        <v/>
      </c>
      <c r="C511">
        <f>IF(ISBLANK(A511),"",A511&amp;"-M"&amp;TEXT(COUNTIF($A$2:A511,A511),"00"))</f>
        <v/>
      </c>
      <c r="H511" s="14" t="n"/>
      <c r="I511" s="14" t="n"/>
    </row>
    <row r="512">
      <c r="B512">
        <f>IFERROR(VLOOKUP(A512,Risk_Assessment!$B$2:$D$1000,2,FALSE),"")</f>
        <v/>
      </c>
      <c r="C512">
        <f>IF(ISBLANK(A512),"",A512&amp;"-M"&amp;TEXT(COUNTIF($A$2:A512,A512),"00"))</f>
        <v/>
      </c>
      <c r="H512" s="14" t="n"/>
      <c r="I512" s="14" t="n"/>
    </row>
    <row r="513">
      <c r="B513">
        <f>IFERROR(VLOOKUP(A513,Risk_Assessment!$B$2:$D$1000,2,FALSE),"")</f>
        <v/>
      </c>
      <c r="C513">
        <f>IF(ISBLANK(A513),"",A513&amp;"-M"&amp;TEXT(COUNTIF($A$2:A513,A513),"00"))</f>
        <v/>
      </c>
      <c r="H513" s="14" t="n"/>
      <c r="I513" s="14" t="n"/>
    </row>
    <row r="514">
      <c r="B514">
        <f>IFERROR(VLOOKUP(A514,Risk_Assessment!$B$2:$D$1000,2,FALSE),"")</f>
        <v/>
      </c>
      <c r="C514">
        <f>IF(ISBLANK(A514),"",A514&amp;"-M"&amp;TEXT(COUNTIF($A$2:A514,A514),"00"))</f>
        <v/>
      </c>
      <c r="H514" s="14" t="n"/>
      <c r="I514" s="14" t="n"/>
    </row>
    <row r="515">
      <c r="B515">
        <f>IFERROR(VLOOKUP(A515,Risk_Assessment!$B$2:$D$1000,2,FALSE),"")</f>
        <v/>
      </c>
      <c r="C515">
        <f>IF(ISBLANK(A515),"",A515&amp;"-M"&amp;TEXT(COUNTIF($A$2:A515,A515),"00"))</f>
        <v/>
      </c>
      <c r="H515" s="14" t="n"/>
      <c r="I515" s="14" t="n"/>
    </row>
    <row r="516">
      <c r="B516">
        <f>IFERROR(VLOOKUP(A516,Risk_Assessment!$B$2:$D$1000,2,FALSE),"")</f>
        <v/>
      </c>
      <c r="C516">
        <f>IF(ISBLANK(A516),"",A516&amp;"-M"&amp;TEXT(COUNTIF($A$2:A516,A516),"00"))</f>
        <v/>
      </c>
      <c r="H516" s="14" t="n"/>
      <c r="I516" s="14" t="n"/>
    </row>
    <row r="517">
      <c r="B517">
        <f>IFERROR(VLOOKUP(A517,Risk_Assessment!$B$2:$D$1000,2,FALSE),"")</f>
        <v/>
      </c>
      <c r="C517">
        <f>IF(ISBLANK(A517),"",A517&amp;"-M"&amp;TEXT(COUNTIF($A$2:A517,A517),"00"))</f>
        <v/>
      </c>
      <c r="H517" s="14" t="n"/>
      <c r="I517" s="14" t="n"/>
    </row>
    <row r="518">
      <c r="B518">
        <f>IFERROR(VLOOKUP(A518,Risk_Assessment!$B$2:$D$1000,2,FALSE),"")</f>
        <v/>
      </c>
      <c r="C518">
        <f>IF(ISBLANK(A518),"",A518&amp;"-M"&amp;TEXT(COUNTIF($A$2:A518,A518),"00"))</f>
        <v/>
      </c>
      <c r="H518" s="14" t="n"/>
      <c r="I518" s="14" t="n"/>
    </row>
    <row r="519">
      <c r="B519">
        <f>IFERROR(VLOOKUP(A519,Risk_Assessment!$B$2:$D$1000,2,FALSE),"")</f>
        <v/>
      </c>
      <c r="C519">
        <f>IF(ISBLANK(A519),"",A519&amp;"-M"&amp;TEXT(COUNTIF($A$2:A519,A519),"00"))</f>
        <v/>
      </c>
      <c r="H519" s="14" t="n"/>
      <c r="I519" s="14" t="n"/>
    </row>
    <row r="520">
      <c r="B520">
        <f>IFERROR(VLOOKUP(A520,Risk_Assessment!$B$2:$D$1000,2,FALSE),"")</f>
        <v/>
      </c>
      <c r="C520">
        <f>IF(ISBLANK(A520),"",A520&amp;"-M"&amp;TEXT(COUNTIF($A$2:A520,A520),"00"))</f>
        <v/>
      </c>
      <c r="H520" s="14" t="n"/>
      <c r="I520" s="14" t="n"/>
    </row>
    <row r="521">
      <c r="B521">
        <f>IFERROR(VLOOKUP(A521,Risk_Assessment!$B$2:$D$1000,2,FALSE),"")</f>
        <v/>
      </c>
      <c r="C521">
        <f>IF(ISBLANK(A521),"",A521&amp;"-M"&amp;TEXT(COUNTIF($A$2:A521,A521),"00"))</f>
        <v/>
      </c>
      <c r="H521" s="14" t="n"/>
      <c r="I521" s="14" t="n"/>
    </row>
    <row r="522">
      <c r="B522">
        <f>IFERROR(VLOOKUP(A522,Risk_Assessment!$B$2:$D$1000,2,FALSE),"")</f>
        <v/>
      </c>
      <c r="C522">
        <f>IF(ISBLANK(A522),"",A522&amp;"-M"&amp;TEXT(COUNTIF($A$2:A522,A522),"00"))</f>
        <v/>
      </c>
      <c r="H522" s="14" t="n"/>
      <c r="I522" s="14" t="n"/>
    </row>
    <row r="523">
      <c r="B523">
        <f>IFERROR(VLOOKUP(A523,Risk_Assessment!$B$2:$D$1000,2,FALSE),"")</f>
        <v/>
      </c>
      <c r="C523">
        <f>IF(ISBLANK(A523),"",A523&amp;"-M"&amp;TEXT(COUNTIF($A$2:A523,A523),"00"))</f>
        <v/>
      </c>
      <c r="H523" s="14" t="n"/>
      <c r="I523" s="14" t="n"/>
    </row>
    <row r="524">
      <c r="B524">
        <f>IFERROR(VLOOKUP(A524,Risk_Assessment!$B$2:$D$1000,2,FALSE),"")</f>
        <v/>
      </c>
      <c r="C524">
        <f>IF(ISBLANK(A524),"",A524&amp;"-M"&amp;TEXT(COUNTIF($A$2:A524,A524),"00"))</f>
        <v/>
      </c>
      <c r="H524" s="14" t="n"/>
      <c r="I524" s="14" t="n"/>
    </row>
    <row r="525">
      <c r="B525">
        <f>IFERROR(VLOOKUP(A525,Risk_Assessment!$B$2:$D$1000,2,FALSE),"")</f>
        <v/>
      </c>
      <c r="C525">
        <f>IF(ISBLANK(A525),"",A525&amp;"-M"&amp;TEXT(COUNTIF($A$2:A525,A525),"00"))</f>
        <v/>
      </c>
      <c r="H525" s="14" t="n"/>
      <c r="I525" s="14" t="n"/>
    </row>
    <row r="526">
      <c r="B526">
        <f>IFERROR(VLOOKUP(A526,Risk_Assessment!$B$2:$D$1000,2,FALSE),"")</f>
        <v/>
      </c>
      <c r="C526">
        <f>IF(ISBLANK(A526),"",A526&amp;"-M"&amp;TEXT(COUNTIF($A$2:A526,A526),"00"))</f>
        <v/>
      </c>
      <c r="H526" s="14" t="n"/>
      <c r="I526" s="14" t="n"/>
    </row>
    <row r="527">
      <c r="B527">
        <f>IFERROR(VLOOKUP(A527,Risk_Assessment!$B$2:$D$1000,2,FALSE),"")</f>
        <v/>
      </c>
      <c r="C527">
        <f>IF(ISBLANK(A527),"",A527&amp;"-M"&amp;TEXT(COUNTIF($A$2:A527,A527),"00"))</f>
        <v/>
      </c>
      <c r="H527" s="14" t="n"/>
      <c r="I527" s="14" t="n"/>
    </row>
    <row r="528">
      <c r="B528">
        <f>IFERROR(VLOOKUP(A528,Risk_Assessment!$B$2:$D$1000,2,FALSE),"")</f>
        <v/>
      </c>
      <c r="C528">
        <f>IF(ISBLANK(A528),"",A528&amp;"-M"&amp;TEXT(COUNTIF($A$2:A528,A528),"00"))</f>
        <v/>
      </c>
      <c r="H528" s="14" t="n"/>
      <c r="I528" s="14" t="n"/>
    </row>
    <row r="529">
      <c r="B529">
        <f>IFERROR(VLOOKUP(A529,Risk_Assessment!$B$2:$D$1000,2,FALSE),"")</f>
        <v/>
      </c>
      <c r="C529">
        <f>IF(ISBLANK(A529),"",A529&amp;"-M"&amp;TEXT(COUNTIF($A$2:A529,A529),"00"))</f>
        <v/>
      </c>
      <c r="H529" s="14" t="n"/>
      <c r="I529" s="14" t="n"/>
    </row>
    <row r="530">
      <c r="B530">
        <f>IFERROR(VLOOKUP(A530,Risk_Assessment!$B$2:$D$1000,2,FALSE),"")</f>
        <v/>
      </c>
      <c r="C530">
        <f>IF(ISBLANK(A530),"",A530&amp;"-M"&amp;TEXT(COUNTIF($A$2:A530,A530),"00"))</f>
        <v/>
      </c>
      <c r="H530" s="14" t="n"/>
      <c r="I530" s="14" t="n"/>
    </row>
    <row r="531">
      <c r="B531">
        <f>IFERROR(VLOOKUP(A531,Risk_Assessment!$B$2:$D$1000,2,FALSE),"")</f>
        <v/>
      </c>
      <c r="C531">
        <f>IF(ISBLANK(A531),"",A531&amp;"-M"&amp;TEXT(COUNTIF($A$2:A531,A531),"00"))</f>
        <v/>
      </c>
      <c r="H531" s="14" t="n"/>
      <c r="I531" s="14" t="n"/>
    </row>
    <row r="532">
      <c r="B532">
        <f>IFERROR(VLOOKUP(A532,Risk_Assessment!$B$2:$D$1000,2,FALSE),"")</f>
        <v/>
      </c>
      <c r="C532">
        <f>IF(ISBLANK(A532),"",A532&amp;"-M"&amp;TEXT(COUNTIF($A$2:A532,A532),"00"))</f>
        <v/>
      </c>
      <c r="H532" s="14" t="n"/>
      <c r="I532" s="14" t="n"/>
    </row>
    <row r="533">
      <c r="B533">
        <f>IFERROR(VLOOKUP(A533,Risk_Assessment!$B$2:$D$1000,2,FALSE),"")</f>
        <v/>
      </c>
      <c r="C533">
        <f>IF(ISBLANK(A533),"",A533&amp;"-M"&amp;TEXT(COUNTIF($A$2:A533,A533),"00"))</f>
        <v/>
      </c>
      <c r="H533" s="14" t="n"/>
      <c r="I533" s="14" t="n"/>
    </row>
    <row r="534">
      <c r="B534">
        <f>IFERROR(VLOOKUP(A534,Risk_Assessment!$B$2:$D$1000,2,FALSE),"")</f>
        <v/>
      </c>
      <c r="C534">
        <f>IF(ISBLANK(A534),"",A534&amp;"-M"&amp;TEXT(COUNTIF($A$2:A534,A534),"00"))</f>
        <v/>
      </c>
      <c r="H534" s="14" t="n"/>
      <c r="I534" s="14" t="n"/>
    </row>
    <row r="535">
      <c r="B535">
        <f>IFERROR(VLOOKUP(A535,Risk_Assessment!$B$2:$D$1000,2,FALSE),"")</f>
        <v/>
      </c>
      <c r="C535">
        <f>IF(ISBLANK(A535),"",A535&amp;"-M"&amp;TEXT(COUNTIF($A$2:A535,A535),"00"))</f>
        <v/>
      </c>
      <c r="H535" s="14" t="n"/>
      <c r="I535" s="14" t="n"/>
    </row>
    <row r="536">
      <c r="B536">
        <f>IFERROR(VLOOKUP(A536,Risk_Assessment!$B$2:$D$1000,2,FALSE),"")</f>
        <v/>
      </c>
      <c r="C536">
        <f>IF(ISBLANK(A536),"",A536&amp;"-M"&amp;TEXT(COUNTIF($A$2:A536,A536),"00"))</f>
        <v/>
      </c>
      <c r="H536" s="14" t="n"/>
      <c r="I536" s="14" t="n"/>
    </row>
    <row r="537">
      <c r="B537">
        <f>IFERROR(VLOOKUP(A537,Risk_Assessment!$B$2:$D$1000,2,FALSE),"")</f>
        <v/>
      </c>
      <c r="C537">
        <f>IF(ISBLANK(A537),"",A537&amp;"-M"&amp;TEXT(COUNTIF($A$2:A537,A537),"00"))</f>
        <v/>
      </c>
      <c r="H537" s="14" t="n"/>
      <c r="I537" s="14" t="n"/>
    </row>
    <row r="538">
      <c r="B538">
        <f>IFERROR(VLOOKUP(A538,Risk_Assessment!$B$2:$D$1000,2,FALSE),"")</f>
        <v/>
      </c>
      <c r="C538">
        <f>IF(ISBLANK(A538),"",A538&amp;"-M"&amp;TEXT(COUNTIF($A$2:A538,A538),"00"))</f>
        <v/>
      </c>
      <c r="H538" s="14" t="n"/>
      <c r="I538" s="14" t="n"/>
    </row>
    <row r="539">
      <c r="B539">
        <f>IFERROR(VLOOKUP(A539,Risk_Assessment!$B$2:$D$1000,2,FALSE),"")</f>
        <v/>
      </c>
      <c r="C539">
        <f>IF(ISBLANK(A539),"",A539&amp;"-M"&amp;TEXT(COUNTIF($A$2:A539,A539),"00"))</f>
        <v/>
      </c>
      <c r="H539" s="14" t="n"/>
      <c r="I539" s="14" t="n"/>
    </row>
    <row r="540">
      <c r="B540">
        <f>IFERROR(VLOOKUP(A540,Risk_Assessment!$B$2:$D$1000,2,FALSE),"")</f>
        <v/>
      </c>
      <c r="C540">
        <f>IF(ISBLANK(A540),"",A540&amp;"-M"&amp;TEXT(COUNTIF($A$2:A540,A540),"00"))</f>
        <v/>
      </c>
      <c r="H540" s="14" t="n"/>
      <c r="I540" s="14" t="n"/>
    </row>
    <row r="541">
      <c r="B541">
        <f>IFERROR(VLOOKUP(A541,Risk_Assessment!$B$2:$D$1000,2,FALSE),"")</f>
        <v/>
      </c>
      <c r="C541">
        <f>IF(ISBLANK(A541),"",A541&amp;"-M"&amp;TEXT(COUNTIF($A$2:A541,A541),"00"))</f>
        <v/>
      </c>
      <c r="H541" s="14" t="n"/>
      <c r="I541" s="14" t="n"/>
    </row>
    <row r="542">
      <c r="B542">
        <f>IFERROR(VLOOKUP(A542,Risk_Assessment!$B$2:$D$1000,2,FALSE),"")</f>
        <v/>
      </c>
      <c r="C542">
        <f>IF(ISBLANK(A542),"",A542&amp;"-M"&amp;TEXT(COUNTIF($A$2:A542,A542),"00"))</f>
        <v/>
      </c>
      <c r="H542" s="14" t="n"/>
      <c r="I542" s="14" t="n"/>
    </row>
    <row r="543">
      <c r="B543">
        <f>IFERROR(VLOOKUP(A543,Risk_Assessment!$B$2:$D$1000,2,FALSE),"")</f>
        <v/>
      </c>
      <c r="C543">
        <f>IF(ISBLANK(A543),"",A543&amp;"-M"&amp;TEXT(COUNTIF($A$2:A543,A543),"00"))</f>
        <v/>
      </c>
      <c r="H543" s="14" t="n"/>
      <c r="I543" s="14" t="n"/>
    </row>
    <row r="544">
      <c r="B544">
        <f>IFERROR(VLOOKUP(A544,Risk_Assessment!$B$2:$D$1000,2,FALSE),"")</f>
        <v/>
      </c>
      <c r="C544">
        <f>IF(ISBLANK(A544),"",A544&amp;"-M"&amp;TEXT(COUNTIF($A$2:A544,A544),"00"))</f>
        <v/>
      </c>
      <c r="H544" s="14" t="n"/>
      <c r="I544" s="14" t="n"/>
    </row>
    <row r="545">
      <c r="B545">
        <f>IFERROR(VLOOKUP(A545,Risk_Assessment!$B$2:$D$1000,2,FALSE),"")</f>
        <v/>
      </c>
      <c r="C545">
        <f>IF(ISBLANK(A545),"",A545&amp;"-M"&amp;TEXT(COUNTIF($A$2:A545,A545),"00"))</f>
        <v/>
      </c>
      <c r="H545" s="14" t="n"/>
      <c r="I545" s="14" t="n"/>
    </row>
    <row r="546">
      <c r="B546">
        <f>IFERROR(VLOOKUP(A546,Risk_Assessment!$B$2:$D$1000,2,FALSE),"")</f>
        <v/>
      </c>
      <c r="C546">
        <f>IF(ISBLANK(A546),"",A546&amp;"-M"&amp;TEXT(COUNTIF($A$2:A546,A546),"00"))</f>
        <v/>
      </c>
      <c r="H546" s="14" t="n"/>
      <c r="I546" s="14" t="n"/>
    </row>
    <row r="547">
      <c r="B547">
        <f>IFERROR(VLOOKUP(A547,Risk_Assessment!$B$2:$D$1000,2,FALSE),"")</f>
        <v/>
      </c>
      <c r="C547">
        <f>IF(ISBLANK(A547),"",A547&amp;"-M"&amp;TEXT(COUNTIF($A$2:A547,A547),"00"))</f>
        <v/>
      </c>
      <c r="H547" s="14" t="n"/>
      <c r="I547" s="14" t="n"/>
    </row>
    <row r="548">
      <c r="B548">
        <f>IFERROR(VLOOKUP(A548,Risk_Assessment!$B$2:$D$1000,2,FALSE),"")</f>
        <v/>
      </c>
      <c r="C548">
        <f>IF(ISBLANK(A548),"",A548&amp;"-M"&amp;TEXT(COUNTIF($A$2:A548,A548),"00"))</f>
        <v/>
      </c>
      <c r="H548" s="14" t="n"/>
      <c r="I548" s="14" t="n"/>
    </row>
    <row r="549">
      <c r="B549">
        <f>IFERROR(VLOOKUP(A549,Risk_Assessment!$B$2:$D$1000,2,FALSE),"")</f>
        <v/>
      </c>
      <c r="C549">
        <f>IF(ISBLANK(A549),"",A549&amp;"-M"&amp;TEXT(COUNTIF($A$2:A549,A549),"00"))</f>
        <v/>
      </c>
      <c r="H549" s="14" t="n"/>
      <c r="I549" s="14" t="n"/>
    </row>
    <row r="550">
      <c r="B550">
        <f>IFERROR(VLOOKUP(A550,Risk_Assessment!$B$2:$D$1000,2,FALSE),"")</f>
        <v/>
      </c>
      <c r="C550">
        <f>IF(ISBLANK(A550),"",A550&amp;"-M"&amp;TEXT(COUNTIF($A$2:A550,A550),"00"))</f>
        <v/>
      </c>
      <c r="H550" s="14" t="n"/>
      <c r="I550" s="14" t="n"/>
    </row>
    <row r="551">
      <c r="B551">
        <f>IFERROR(VLOOKUP(A551,Risk_Assessment!$B$2:$D$1000,2,FALSE),"")</f>
        <v/>
      </c>
      <c r="C551">
        <f>IF(ISBLANK(A551),"",A551&amp;"-M"&amp;TEXT(COUNTIF($A$2:A551,A551),"00"))</f>
        <v/>
      </c>
      <c r="H551" s="14" t="n"/>
      <c r="I551" s="14" t="n"/>
    </row>
    <row r="552">
      <c r="B552">
        <f>IFERROR(VLOOKUP(A552,Risk_Assessment!$B$2:$D$1000,2,FALSE),"")</f>
        <v/>
      </c>
      <c r="C552">
        <f>IF(ISBLANK(A552),"",A552&amp;"-M"&amp;TEXT(COUNTIF($A$2:A552,A552),"00"))</f>
        <v/>
      </c>
      <c r="H552" s="14" t="n"/>
      <c r="I552" s="14" t="n"/>
    </row>
    <row r="553">
      <c r="B553">
        <f>IFERROR(VLOOKUP(A553,Risk_Assessment!$B$2:$D$1000,2,FALSE),"")</f>
        <v/>
      </c>
      <c r="C553">
        <f>IF(ISBLANK(A553),"",A553&amp;"-M"&amp;TEXT(COUNTIF($A$2:A553,A553),"00"))</f>
        <v/>
      </c>
      <c r="H553" s="14" t="n"/>
      <c r="I553" s="14" t="n"/>
    </row>
    <row r="554">
      <c r="B554">
        <f>IFERROR(VLOOKUP(A554,Risk_Assessment!$B$2:$D$1000,2,FALSE),"")</f>
        <v/>
      </c>
      <c r="C554">
        <f>IF(ISBLANK(A554),"",A554&amp;"-M"&amp;TEXT(COUNTIF($A$2:A554,A554),"00"))</f>
        <v/>
      </c>
      <c r="H554" s="14" t="n"/>
      <c r="I554" s="14" t="n"/>
    </row>
    <row r="555">
      <c r="B555">
        <f>IFERROR(VLOOKUP(A555,Risk_Assessment!$B$2:$D$1000,2,FALSE),"")</f>
        <v/>
      </c>
      <c r="C555">
        <f>IF(ISBLANK(A555),"",A555&amp;"-M"&amp;TEXT(COUNTIF($A$2:A555,A555),"00"))</f>
        <v/>
      </c>
      <c r="H555" s="14" t="n"/>
      <c r="I555" s="14" t="n"/>
    </row>
    <row r="556">
      <c r="B556">
        <f>IFERROR(VLOOKUP(A556,Risk_Assessment!$B$2:$D$1000,2,FALSE),"")</f>
        <v/>
      </c>
      <c r="C556">
        <f>IF(ISBLANK(A556),"",A556&amp;"-M"&amp;TEXT(COUNTIF($A$2:A556,A556),"00"))</f>
        <v/>
      </c>
      <c r="H556" s="14" t="n"/>
      <c r="I556" s="14" t="n"/>
    </row>
    <row r="557">
      <c r="B557">
        <f>IFERROR(VLOOKUP(A557,Risk_Assessment!$B$2:$D$1000,2,FALSE),"")</f>
        <v/>
      </c>
      <c r="C557">
        <f>IF(ISBLANK(A557),"",A557&amp;"-M"&amp;TEXT(COUNTIF($A$2:A557,A557),"00"))</f>
        <v/>
      </c>
      <c r="H557" s="14" t="n"/>
      <c r="I557" s="14" t="n"/>
    </row>
    <row r="558">
      <c r="B558">
        <f>IFERROR(VLOOKUP(A558,Risk_Assessment!$B$2:$D$1000,2,FALSE),"")</f>
        <v/>
      </c>
      <c r="C558">
        <f>IF(ISBLANK(A558),"",A558&amp;"-M"&amp;TEXT(COUNTIF($A$2:A558,A558),"00"))</f>
        <v/>
      </c>
      <c r="H558" s="14" t="n"/>
      <c r="I558" s="14" t="n"/>
    </row>
    <row r="559">
      <c r="B559">
        <f>IFERROR(VLOOKUP(A559,Risk_Assessment!$B$2:$D$1000,2,FALSE),"")</f>
        <v/>
      </c>
      <c r="C559">
        <f>IF(ISBLANK(A559),"",A559&amp;"-M"&amp;TEXT(COUNTIF($A$2:A559,A559),"00"))</f>
        <v/>
      </c>
      <c r="H559" s="14" t="n"/>
      <c r="I559" s="14" t="n"/>
    </row>
    <row r="560">
      <c r="B560">
        <f>IFERROR(VLOOKUP(A560,Risk_Assessment!$B$2:$D$1000,2,FALSE),"")</f>
        <v/>
      </c>
      <c r="C560">
        <f>IF(ISBLANK(A560),"",A560&amp;"-M"&amp;TEXT(COUNTIF($A$2:A560,A560),"00"))</f>
        <v/>
      </c>
      <c r="H560" s="14" t="n"/>
      <c r="I560" s="14" t="n"/>
    </row>
    <row r="561">
      <c r="B561">
        <f>IFERROR(VLOOKUP(A561,Risk_Assessment!$B$2:$D$1000,2,FALSE),"")</f>
        <v/>
      </c>
      <c r="C561">
        <f>IF(ISBLANK(A561),"",A561&amp;"-M"&amp;TEXT(COUNTIF($A$2:A561,A561),"00"))</f>
        <v/>
      </c>
      <c r="H561" s="14" t="n"/>
      <c r="I561" s="14" t="n"/>
    </row>
    <row r="562">
      <c r="B562">
        <f>IFERROR(VLOOKUP(A562,Risk_Assessment!$B$2:$D$1000,2,FALSE),"")</f>
        <v/>
      </c>
      <c r="C562">
        <f>IF(ISBLANK(A562),"",A562&amp;"-M"&amp;TEXT(COUNTIF($A$2:A562,A562),"00"))</f>
        <v/>
      </c>
      <c r="H562" s="14" t="n"/>
      <c r="I562" s="14" t="n"/>
    </row>
    <row r="563">
      <c r="B563">
        <f>IFERROR(VLOOKUP(A563,Risk_Assessment!$B$2:$D$1000,2,FALSE),"")</f>
        <v/>
      </c>
      <c r="C563">
        <f>IF(ISBLANK(A563),"",A563&amp;"-M"&amp;TEXT(COUNTIF($A$2:A563,A563),"00"))</f>
        <v/>
      </c>
      <c r="H563" s="14" t="n"/>
      <c r="I563" s="14" t="n"/>
    </row>
    <row r="564">
      <c r="B564">
        <f>IFERROR(VLOOKUP(A564,Risk_Assessment!$B$2:$D$1000,2,FALSE),"")</f>
        <v/>
      </c>
      <c r="C564">
        <f>IF(ISBLANK(A564),"",A564&amp;"-M"&amp;TEXT(COUNTIF($A$2:A564,A564),"00"))</f>
        <v/>
      </c>
      <c r="H564" s="14" t="n"/>
      <c r="I564" s="14" t="n"/>
    </row>
    <row r="565">
      <c r="B565">
        <f>IFERROR(VLOOKUP(A565,Risk_Assessment!$B$2:$D$1000,2,FALSE),"")</f>
        <v/>
      </c>
      <c r="C565">
        <f>IF(ISBLANK(A565),"",A565&amp;"-M"&amp;TEXT(COUNTIF($A$2:A565,A565),"00"))</f>
        <v/>
      </c>
      <c r="H565" s="14" t="n"/>
      <c r="I565" s="14" t="n"/>
    </row>
    <row r="566">
      <c r="B566">
        <f>IFERROR(VLOOKUP(A566,Risk_Assessment!$B$2:$D$1000,2,FALSE),"")</f>
        <v/>
      </c>
      <c r="C566">
        <f>IF(ISBLANK(A566),"",A566&amp;"-M"&amp;TEXT(COUNTIF($A$2:A566,A566),"00"))</f>
        <v/>
      </c>
      <c r="H566" s="14" t="n"/>
      <c r="I566" s="14" t="n"/>
    </row>
    <row r="567">
      <c r="B567">
        <f>IFERROR(VLOOKUP(A567,Risk_Assessment!$B$2:$D$1000,2,FALSE),"")</f>
        <v/>
      </c>
      <c r="C567">
        <f>IF(ISBLANK(A567),"",A567&amp;"-M"&amp;TEXT(COUNTIF($A$2:A567,A567),"00"))</f>
        <v/>
      </c>
      <c r="H567" s="14" t="n"/>
      <c r="I567" s="14" t="n"/>
    </row>
    <row r="568">
      <c r="B568">
        <f>IFERROR(VLOOKUP(A568,Risk_Assessment!$B$2:$D$1000,2,FALSE),"")</f>
        <v/>
      </c>
      <c r="C568">
        <f>IF(ISBLANK(A568),"",A568&amp;"-M"&amp;TEXT(COUNTIF($A$2:A568,A568),"00"))</f>
        <v/>
      </c>
      <c r="H568" s="14" t="n"/>
      <c r="I568" s="14" t="n"/>
    </row>
    <row r="569">
      <c r="B569">
        <f>IFERROR(VLOOKUP(A569,Risk_Assessment!$B$2:$D$1000,2,FALSE),"")</f>
        <v/>
      </c>
      <c r="C569">
        <f>IF(ISBLANK(A569),"",A569&amp;"-M"&amp;TEXT(COUNTIF($A$2:A569,A569),"00"))</f>
        <v/>
      </c>
      <c r="H569" s="14" t="n"/>
      <c r="I569" s="14" t="n"/>
    </row>
    <row r="570">
      <c r="B570">
        <f>IFERROR(VLOOKUP(A570,Risk_Assessment!$B$2:$D$1000,2,FALSE),"")</f>
        <v/>
      </c>
      <c r="C570">
        <f>IF(ISBLANK(A570),"",A570&amp;"-M"&amp;TEXT(COUNTIF($A$2:A570,A570),"00"))</f>
        <v/>
      </c>
      <c r="H570" s="14" t="n"/>
      <c r="I570" s="14" t="n"/>
    </row>
    <row r="571">
      <c r="B571">
        <f>IFERROR(VLOOKUP(A571,Risk_Assessment!$B$2:$D$1000,2,FALSE),"")</f>
        <v/>
      </c>
      <c r="C571">
        <f>IF(ISBLANK(A571),"",A571&amp;"-M"&amp;TEXT(COUNTIF($A$2:A571,A571),"00"))</f>
        <v/>
      </c>
      <c r="H571" s="14" t="n"/>
      <c r="I571" s="14" t="n"/>
    </row>
    <row r="572">
      <c r="B572">
        <f>IFERROR(VLOOKUP(A572,Risk_Assessment!$B$2:$D$1000,2,FALSE),"")</f>
        <v/>
      </c>
      <c r="C572">
        <f>IF(ISBLANK(A572),"",A572&amp;"-M"&amp;TEXT(COUNTIF($A$2:A572,A572),"00"))</f>
        <v/>
      </c>
      <c r="H572" s="14" t="n"/>
      <c r="I572" s="14" t="n"/>
    </row>
    <row r="573">
      <c r="B573">
        <f>IFERROR(VLOOKUP(A573,Risk_Assessment!$B$2:$D$1000,2,FALSE),"")</f>
        <v/>
      </c>
      <c r="C573">
        <f>IF(ISBLANK(A573),"",A573&amp;"-M"&amp;TEXT(COUNTIF($A$2:A573,A573),"00"))</f>
        <v/>
      </c>
      <c r="H573" s="14" t="n"/>
      <c r="I573" s="14" t="n"/>
    </row>
    <row r="574">
      <c r="B574">
        <f>IFERROR(VLOOKUP(A574,Risk_Assessment!$B$2:$D$1000,2,FALSE),"")</f>
        <v/>
      </c>
      <c r="C574">
        <f>IF(ISBLANK(A574),"",A574&amp;"-M"&amp;TEXT(COUNTIF($A$2:A574,A574),"00"))</f>
        <v/>
      </c>
      <c r="H574" s="14" t="n"/>
      <c r="I574" s="14" t="n"/>
    </row>
    <row r="575">
      <c r="B575">
        <f>IFERROR(VLOOKUP(A575,Risk_Assessment!$B$2:$D$1000,2,FALSE),"")</f>
        <v/>
      </c>
      <c r="C575">
        <f>IF(ISBLANK(A575),"",A575&amp;"-M"&amp;TEXT(COUNTIF($A$2:A575,A575),"00"))</f>
        <v/>
      </c>
      <c r="H575" s="14" t="n"/>
      <c r="I575" s="14" t="n"/>
    </row>
    <row r="576">
      <c r="B576">
        <f>IFERROR(VLOOKUP(A576,Risk_Assessment!$B$2:$D$1000,2,FALSE),"")</f>
        <v/>
      </c>
      <c r="C576">
        <f>IF(ISBLANK(A576),"",A576&amp;"-M"&amp;TEXT(COUNTIF($A$2:A576,A576),"00"))</f>
        <v/>
      </c>
      <c r="H576" s="14" t="n"/>
      <c r="I576" s="14" t="n"/>
    </row>
    <row r="577">
      <c r="B577">
        <f>IFERROR(VLOOKUP(A577,Risk_Assessment!$B$2:$D$1000,2,FALSE),"")</f>
        <v/>
      </c>
      <c r="C577">
        <f>IF(ISBLANK(A577),"",A577&amp;"-M"&amp;TEXT(COUNTIF($A$2:A577,A577),"00"))</f>
        <v/>
      </c>
      <c r="H577" s="14" t="n"/>
      <c r="I577" s="14" t="n"/>
    </row>
    <row r="578">
      <c r="B578">
        <f>IFERROR(VLOOKUP(A578,Risk_Assessment!$B$2:$D$1000,2,FALSE),"")</f>
        <v/>
      </c>
      <c r="C578">
        <f>IF(ISBLANK(A578),"",A578&amp;"-M"&amp;TEXT(COUNTIF($A$2:A578,A578),"00"))</f>
        <v/>
      </c>
      <c r="H578" s="14" t="n"/>
      <c r="I578" s="14" t="n"/>
    </row>
    <row r="579">
      <c r="B579">
        <f>IFERROR(VLOOKUP(A579,Risk_Assessment!$B$2:$D$1000,2,FALSE),"")</f>
        <v/>
      </c>
      <c r="C579">
        <f>IF(ISBLANK(A579),"",A579&amp;"-M"&amp;TEXT(COUNTIF($A$2:A579,A579),"00"))</f>
        <v/>
      </c>
      <c r="H579" s="14" t="n"/>
      <c r="I579" s="14" t="n"/>
    </row>
    <row r="580">
      <c r="B580">
        <f>IFERROR(VLOOKUP(A580,Risk_Assessment!$B$2:$D$1000,2,FALSE),"")</f>
        <v/>
      </c>
      <c r="C580">
        <f>IF(ISBLANK(A580),"",A580&amp;"-M"&amp;TEXT(COUNTIF($A$2:A580,A580),"00"))</f>
        <v/>
      </c>
      <c r="H580" s="14" t="n"/>
      <c r="I580" s="14" t="n"/>
    </row>
    <row r="581">
      <c r="B581">
        <f>IFERROR(VLOOKUP(A581,Risk_Assessment!$B$2:$D$1000,2,FALSE),"")</f>
        <v/>
      </c>
      <c r="C581">
        <f>IF(ISBLANK(A581),"",A581&amp;"-M"&amp;TEXT(COUNTIF($A$2:A581,A581),"00"))</f>
        <v/>
      </c>
      <c r="H581" s="14" t="n"/>
      <c r="I581" s="14" t="n"/>
    </row>
    <row r="582">
      <c r="B582">
        <f>IFERROR(VLOOKUP(A582,Risk_Assessment!$B$2:$D$1000,2,FALSE),"")</f>
        <v/>
      </c>
      <c r="C582">
        <f>IF(ISBLANK(A582),"",A582&amp;"-M"&amp;TEXT(COUNTIF($A$2:A582,A582),"00"))</f>
        <v/>
      </c>
      <c r="H582" s="14" t="n"/>
      <c r="I582" s="14" t="n"/>
    </row>
    <row r="583">
      <c r="B583">
        <f>IFERROR(VLOOKUP(A583,Risk_Assessment!$B$2:$D$1000,2,FALSE),"")</f>
        <v/>
      </c>
      <c r="C583">
        <f>IF(ISBLANK(A583),"",A583&amp;"-M"&amp;TEXT(COUNTIF($A$2:A583,A583),"00"))</f>
        <v/>
      </c>
      <c r="H583" s="14" t="n"/>
      <c r="I583" s="14" t="n"/>
    </row>
    <row r="584">
      <c r="B584">
        <f>IFERROR(VLOOKUP(A584,Risk_Assessment!$B$2:$D$1000,2,FALSE),"")</f>
        <v/>
      </c>
      <c r="C584">
        <f>IF(ISBLANK(A584),"",A584&amp;"-M"&amp;TEXT(COUNTIF($A$2:A584,A584),"00"))</f>
        <v/>
      </c>
      <c r="H584" s="14" t="n"/>
      <c r="I584" s="14" t="n"/>
    </row>
    <row r="585">
      <c r="B585">
        <f>IFERROR(VLOOKUP(A585,Risk_Assessment!$B$2:$D$1000,2,FALSE),"")</f>
        <v/>
      </c>
      <c r="C585">
        <f>IF(ISBLANK(A585),"",A585&amp;"-M"&amp;TEXT(COUNTIF($A$2:A585,A585),"00"))</f>
        <v/>
      </c>
      <c r="H585" s="14" t="n"/>
      <c r="I585" s="14" t="n"/>
    </row>
    <row r="586">
      <c r="B586">
        <f>IFERROR(VLOOKUP(A586,Risk_Assessment!$B$2:$D$1000,2,FALSE),"")</f>
        <v/>
      </c>
      <c r="C586">
        <f>IF(ISBLANK(A586),"",A586&amp;"-M"&amp;TEXT(COUNTIF($A$2:A586,A586),"00"))</f>
        <v/>
      </c>
      <c r="H586" s="14" t="n"/>
      <c r="I586" s="14" t="n"/>
    </row>
    <row r="587">
      <c r="B587">
        <f>IFERROR(VLOOKUP(A587,Risk_Assessment!$B$2:$D$1000,2,FALSE),"")</f>
        <v/>
      </c>
      <c r="C587">
        <f>IF(ISBLANK(A587),"",A587&amp;"-M"&amp;TEXT(COUNTIF($A$2:A587,A587),"00"))</f>
        <v/>
      </c>
      <c r="H587" s="14" t="n"/>
      <c r="I587" s="14" t="n"/>
    </row>
    <row r="588">
      <c r="B588">
        <f>IFERROR(VLOOKUP(A588,Risk_Assessment!$B$2:$D$1000,2,FALSE),"")</f>
        <v/>
      </c>
      <c r="C588">
        <f>IF(ISBLANK(A588),"",A588&amp;"-M"&amp;TEXT(COUNTIF($A$2:A588,A588),"00"))</f>
        <v/>
      </c>
      <c r="H588" s="14" t="n"/>
      <c r="I588" s="14" t="n"/>
    </row>
    <row r="589">
      <c r="B589">
        <f>IFERROR(VLOOKUP(A589,Risk_Assessment!$B$2:$D$1000,2,FALSE),"")</f>
        <v/>
      </c>
      <c r="C589">
        <f>IF(ISBLANK(A589),"",A589&amp;"-M"&amp;TEXT(COUNTIF($A$2:A589,A589),"00"))</f>
        <v/>
      </c>
      <c r="H589" s="14" t="n"/>
      <c r="I589" s="14" t="n"/>
    </row>
    <row r="590">
      <c r="B590">
        <f>IFERROR(VLOOKUP(A590,Risk_Assessment!$B$2:$D$1000,2,FALSE),"")</f>
        <v/>
      </c>
      <c r="C590">
        <f>IF(ISBLANK(A590),"",A590&amp;"-M"&amp;TEXT(COUNTIF($A$2:A590,A590),"00"))</f>
        <v/>
      </c>
      <c r="H590" s="14" t="n"/>
      <c r="I590" s="14" t="n"/>
    </row>
    <row r="591">
      <c r="B591">
        <f>IFERROR(VLOOKUP(A591,Risk_Assessment!$B$2:$D$1000,2,FALSE),"")</f>
        <v/>
      </c>
      <c r="C591">
        <f>IF(ISBLANK(A591),"",A591&amp;"-M"&amp;TEXT(COUNTIF($A$2:A591,A591),"00"))</f>
        <v/>
      </c>
      <c r="H591" s="14" t="n"/>
      <c r="I591" s="14" t="n"/>
    </row>
    <row r="592">
      <c r="B592">
        <f>IFERROR(VLOOKUP(A592,Risk_Assessment!$B$2:$D$1000,2,FALSE),"")</f>
        <v/>
      </c>
      <c r="C592">
        <f>IF(ISBLANK(A592),"",A592&amp;"-M"&amp;TEXT(COUNTIF($A$2:A592,A592),"00"))</f>
        <v/>
      </c>
      <c r="H592" s="14" t="n"/>
      <c r="I592" s="14" t="n"/>
    </row>
    <row r="593">
      <c r="B593">
        <f>IFERROR(VLOOKUP(A593,Risk_Assessment!$B$2:$D$1000,2,FALSE),"")</f>
        <v/>
      </c>
      <c r="C593">
        <f>IF(ISBLANK(A593),"",A593&amp;"-M"&amp;TEXT(COUNTIF($A$2:A593,A593),"00"))</f>
        <v/>
      </c>
      <c r="H593" s="14" t="n"/>
      <c r="I593" s="14" t="n"/>
    </row>
    <row r="594">
      <c r="B594">
        <f>IFERROR(VLOOKUP(A594,Risk_Assessment!$B$2:$D$1000,2,FALSE),"")</f>
        <v/>
      </c>
      <c r="C594">
        <f>IF(ISBLANK(A594),"",A594&amp;"-M"&amp;TEXT(COUNTIF($A$2:A594,A594),"00"))</f>
        <v/>
      </c>
      <c r="H594" s="14" t="n"/>
      <c r="I594" s="14" t="n"/>
    </row>
    <row r="595">
      <c r="B595">
        <f>IFERROR(VLOOKUP(A595,Risk_Assessment!$B$2:$D$1000,2,FALSE),"")</f>
        <v/>
      </c>
      <c r="C595">
        <f>IF(ISBLANK(A595),"",A595&amp;"-M"&amp;TEXT(COUNTIF($A$2:A595,A595),"00"))</f>
        <v/>
      </c>
      <c r="H595" s="14" t="n"/>
      <c r="I595" s="14" t="n"/>
    </row>
    <row r="596">
      <c r="B596">
        <f>IFERROR(VLOOKUP(A596,Risk_Assessment!$B$2:$D$1000,2,FALSE),"")</f>
        <v/>
      </c>
      <c r="C596">
        <f>IF(ISBLANK(A596),"",A596&amp;"-M"&amp;TEXT(COUNTIF($A$2:A596,A596),"00"))</f>
        <v/>
      </c>
      <c r="H596" s="14" t="n"/>
      <c r="I596" s="14" t="n"/>
    </row>
    <row r="597">
      <c r="B597">
        <f>IFERROR(VLOOKUP(A597,Risk_Assessment!$B$2:$D$1000,2,FALSE),"")</f>
        <v/>
      </c>
      <c r="C597">
        <f>IF(ISBLANK(A597),"",A597&amp;"-M"&amp;TEXT(COUNTIF($A$2:A597,A597),"00"))</f>
        <v/>
      </c>
      <c r="H597" s="14" t="n"/>
      <c r="I597" s="14" t="n"/>
    </row>
    <row r="598">
      <c r="B598">
        <f>IFERROR(VLOOKUP(A598,Risk_Assessment!$B$2:$D$1000,2,FALSE),"")</f>
        <v/>
      </c>
      <c r="C598">
        <f>IF(ISBLANK(A598),"",A598&amp;"-M"&amp;TEXT(COUNTIF($A$2:A598,A598),"00"))</f>
        <v/>
      </c>
      <c r="H598" s="14" t="n"/>
      <c r="I598" s="14" t="n"/>
    </row>
    <row r="599">
      <c r="B599">
        <f>IFERROR(VLOOKUP(A599,Risk_Assessment!$B$2:$D$1000,2,FALSE),"")</f>
        <v/>
      </c>
      <c r="C599">
        <f>IF(ISBLANK(A599),"",A599&amp;"-M"&amp;TEXT(COUNTIF($A$2:A599,A599),"00"))</f>
        <v/>
      </c>
      <c r="H599" s="14" t="n"/>
      <c r="I599" s="14" t="n"/>
    </row>
    <row r="600">
      <c r="B600">
        <f>IFERROR(VLOOKUP(A600,Risk_Assessment!$B$2:$D$1000,2,FALSE),"")</f>
        <v/>
      </c>
      <c r="C600">
        <f>IF(ISBLANK(A600),"",A600&amp;"-M"&amp;TEXT(COUNTIF($A$2:A600,A600),"00"))</f>
        <v/>
      </c>
      <c r="H600" s="14" t="n"/>
      <c r="I600" s="14" t="n"/>
    </row>
    <row r="601">
      <c r="B601">
        <f>IFERROR(VLOOKUP(A601,Risk_Assessment!$B$2:$D$1000,2,FALSE),"")</f>
        <v/>
      </c>
      <c r="C601">
        <f>IF(ISBLANK(A601),"",A601&amp;"-M"&amp;TEXT(COUNTIF($A$2:A601,A601),"00"))</f>
        <v/>
      </c>
      <c r="H601" s="14" t="n"/>
      <c r="I601" s="14" t="n"/>
    </row>
    <row r="602">
      <c r="B602">
        <f>IFERROR(VLOOKUP(A602,Risk_Assessment!$B$2:$D$1000,2,FALSE),"")</f>
        <v/>
      </c>
      <c r="C602">
        <f>IF(ISBLANK(A602),"",A602&amp;"-M"&amp;TEXT(COUNTIF($A$2:A602,A602),"00"))</f>
        <v/>
      </c>
      <c r="H602" s="14" t="n"/>
      <c r="I602" s="14" t="n"/>
    </row>
    <row r="603">
      <c r="B603">
        <f>IFERROR(VLOOKUP(A603,Risk_Assessment!$B$2:$D$1000,2,FALSE),"")</f>
        <v/>
      </c>
      <c r="C603">
        <f>IF(ISBLANK(A603),"",A603&amp;"-M"&amp;TEXT(COUNTIF($A$2:A603,A603),"00"))</f>
        <v/>
      </c>
      <c r="H603" s="14" t="n"/>
      <c r="I603" s="14" t="n"/>
    </row>
    <row r="604">
      <c r="B604">
        <f>IFERROR(VLOOKUP(A604,Risk_Assessment!$B$2:$D$1000,2,FALSE),"")</f>
        <v/>
      </c>
      <c r="C604">
        <f>IF(ISBLANK(A604),"",A604&amp;"-M"&amp;TEXT(COUNTIF($A$2:A604,A604),"00"))</f>
        <v/>
      </c>
      <c r="H604" s="14" t="n"/>
      <c r="I604" s="14" t="n"/>
    </row>
    <row r="605">
      <c r="B605">
        <f>IFERROR(VLOOKUP(A605,Risk_Assessment!$B$2:$D$1000,2,FALSE),"")</f>
        <v/>
      </c>
      <c r="C605">
        <f>IF(ISBLANK(A605),"",A605&amp;"-M"&amp;TEXT(COUNTIF($A$2:A605,A605),"00"))</f>
        <v/>
      </c>
      <c r="H605" s="14" t="n"/>
      <c r="I605" s="14" t="n"/>
    </row>
    <row r="606">
      <c r="B606">
        <f>IFERROR(VLOOKUP(A606,Risk_Assessment!$B$2:$D$1000,2,FALSE),"")</f>
        <v/>
      </c>
      <c r="C606">
        <f>IF(ISBLANK(A606),"",A606&amp;"-M"&amp;TEXT(COUNTIF($A$2:A606,A606),"00"))</f>
        <v/>
      </c>
      <c r="H606" s="14" t="n"/>
      <c r="I606" s="14" t="n"/>
    </row>
    <row r="607">
      <c r="B607">
        <f>IFERROR(VLOOKUP(A607,Risk_Assessment!$B$2:$D$1000,2,FALSE),"")</f>
        <v/>
      </c>
      <c r="C607">
        <f>IF(ISBLANK(A607),"",A607&amp;"-M"&amp;TEXT(COUNTIF($A$2:A607,A607),"00"))</f>
        <v/>
      </c>
      <c r="H607" s="14" t="n"/>
      <c r="I607" s="14" t="n"/>
    </row>
    <row r="608">
      <c r="B608">
        <f>IFERROR(VLOOKUP(A608,Risk_Assessment!$B$2:$D$1000,2,FALSE),"")</f>
        <v/>
      </c>
      <c r="C608">
        <f>IF(ISBLANK(A608),"",A608&amp;"-M"&amp;TEXT(COUNTIF($A$2:A608,A608),"00"))</f>
        <v/>
      </c>
      <c r="H608" s="14" t="n"/>
      <c r="I608" s="14" t="n"/>
    </row>
    <row r="609">
      <c r="B609">
        <f>IFERROR(VLOOKUP(A609,Risk_Assessment!$B$2:$D$1000,2,FALSE),"")</f>
        <v/>
      </c>
      <c r="C609">
        <f>IF(ISBLANK(A609),"",A609&amp;"-M"&amp;TEXT(COUNTIF($A$2:A609,A609),"00"))</f>
        <v/>
      </c>
      <c r="H609" s="14" t="n"/>
      <c r="I609" s="14" t="n"/>
    </row>
    <row r="610">
      <c r="B610">
        <f>IFERROR(VLOOKUP(A610,Risk_Assessment!$B$2:$D$1000,2,FALSE),"")</f>
        <v/>
      </c>
      <c r="C610">
        <f>IF(ISBLANK(A610),"",A610&amp;"-M"&amp;TEXT(COUNTIF($A$2:A610,A610),"00"))</f>
        <v/>
      </c>
      <c r="H610" s="14" t="n"/>
      <c r="I610" s="14" t="n"/>
    </row>
    <row r="611">
      <c r="B611">
        <f>IFERROR(VLOOKUP(A611,Risk_Assessment!$B$2:$D$1000,2,FALSE),"")</f>
        <v/>
      </c>
      <c r="C611">
        <f>IF(ISBLANK(A611),"",A611&amp;"-M"&amp;TEXT(COUNTIF($A$2:A611,A611),"00"))</f>
        <v/>
      </c>
      <c r="H611" s="14" t="n"/>
      <c r="I611" s="14" t="n"/>
    </row>
    <row r="612">
      <c r="B612">
        <f>IFERROR(VLOOKUP(A612,Risk_Assessment!$B$2:$D$1000,2,FALSE),"")</f>
        <v/>
      </c>
      <c r="C612">
        <f>IF(ISBLANK(A612),"",A612&amp;"-M"&amp;TEXT(COUNTIF($A$2:A612,A612),"00"))</f>
        <v/>
      </c>
      <c r="H612" s="14" t="n"/>
      <c r="I612" s="14" t="n"/>
    </row>
    <row r="613">
      <c r="B613">
        <f>IFERROR(VLOOKUP(A613,Risk_Assessment!$B$2:$D$1000,2,FALSE),"")</f>
        <v/>
      </c>
      <c r="C613">
        <f>IF(ISBLANK(A613),"",A613&amp;"-M"&amp;TEXT(COUNTIF($A$2:A613,A613),"00"))</f>
        <v/>
      </c>
      <c r="H613" s="14" t="n"/>
      <c r="I613" s="14" t="n"/>
    </row>
    <row r="614">
      <c r="B614">
        <f>IFERROR(VLOOKUP(A614,Risk_Assessment!$B$2:$D$1000,2,FALSE),"")</f>
        <v/>
      </c>
      <c r="C614">
        <f>IF(ISBLANK(A614),"",A614&amp;"-M"&amp;TEXT(COUNTIF($A$2:A614,A614),"00"))</f>
        <v/>
      </c>
      <c r="H614" s="14" t="n"/>
      <c r="I614" s="14" t="n"/>
    </row>
    <row r="615">
      <c r="B615">
        <f>IFERROR(VLOOKUP(A615,Risk_Assessment!$B$2:$D$1000,2,FALSE),"")</f>
        <v/>
      </c>
      <c r="C615">
        <f>IF(ISBLANK(A615),"",A615&amp;"-M"&amp;TEXT(COUNTIF($A$2:A615,A615),"00"))</f>
        <v/>
      </c>
      <c r="H615" s="14" t="n"/>
      <c r="I615" s="14" t="n"/>
    </row>
    <row r="616">
      <c r="B616">
        <f>IFERROR(VLOOKUP(A616,Risk_Assessment!$B$2:$D$1000,2,FALSE),"")</f>
        <v/>
      </c>
      <c r="C616">
        <f>IF(ISBLANK(A616),"",A616&amp;"-M"&amp;TEXT(COUNTIF($A$2:A616,A616),"00"))</f>
        <v/>
      </c>
      <c r="H616" s="14" t="n"/>
      <c r="I616" s="14" t="n"/>
    </row>
    <row r="617">
      <c r="B617">
        <f>IFERROR(VLOOKUP(A617,Risk_Assessment!$B$2:$D$1000,2,FALSE),"")</f>
        <v/>
      </c>
      <c r="C617">
        <f>IF(ISBLANK(A617),"",A617&amp;"-M"&amp;TEXT(COUNTIF($A$2:A617,A617),"00"))</f>
        <v/>
      </c>
      <c r="H617" s="14" t="n"/>
      <c r="I617" s="14" t="n"/>
    </row>
    <row r="618">
      <c r="B618">
        <f>IFERROR(VLOOKUP(A618,Risk_Assessment!$B$2:$D$1000,2,FALSE),"")</f>
        <v/>
      </c>
      <c r="C618">
        <f>IF(ISBLANK(A618),"",A618&amp;"-M"&amp;TEXT(COUNTIF($A$2:A618,A618),"00"))</f>
        <v/>
      </c>
      <c r="H618" s="14" t="n"/>
      <c r="I618" s="14" t="n"/>
    </row>
    <row r="619">
      <c r="B619">
        <f>IFERROR(VLOOKUP(A619,Risk_Assessment!$B$2:$D$1000,2,FALSE),"")</f>
        <v/>
      </c>
      <c r="C619">
        <f>IF(ISBLANK(A619),"",A619&amp;"-M"&amp;TEXT(COUNTIF($A$2:A619,A619),"00"))</f>
        <v/>
      </c>
      <c r="H619" s="14" t="n"/>
      <c r="I619" s="14" t="n"/>
    </row>
    <row r="620">
      <c r="B620">
        <f>IFERROR(VLOOKUP(A620,Risk_Assessment!$B$2:$D$1000,2,FALSE),"")</f>
        <v/>
      </c>
      <c r="C620">
        <f>IF(ISBLANK(A620),"",A620&amp;"-M"&amp;TEXT(COUNTIF($A$2:A620,A620),"00"))</f>
        <v/>
      </c>
      <c r="H620" s="14" t="n"/>
      <c r="I620" s="14" t="n"/>
    </row>
    <row r="621">
      <c r="B621">
        <f>IFERROR(VLOOKUP(A621,Risk_Assessment!$B$2:$D$1000,2,FALSE),"")</f>
        <v/>
      </c>
      <c r="C621">
        <f>IF(ISBLANK(A621),"",A621&amp;"-M"&amp;TEXT(COUNTIF($A$2:A621,A621),"00"))</f>
        <v/>
      </c>
      <c r="H621" s="14" t="n"/>
      <c r="I621" s="14" t="n"/>
    </row>
    <row r="622">
      <c r="B622">
        <f>IFERROR(VLOOKUP(A622,Risk_Assessment!$B$2:$D$1000,2,FALSE),"")</f>
        <v/>
      </c>
      <c r="C622">
        <f>IF(ISBLANK(A622),"",A622&amp;"-M"&amp;TEXT(COUNTIF($A$2:A622,A622),"00"))</f>
        <v/>
      </c>
      <c r="H622" s="14" t="n"/>
      <c r="I622" s="14" t="n"/>
    </row>
    <row r="623">
      <c r="B623">
        <f>IFERROR(VLOOKUP(A623,Risk_Assessment!$B$2:$D$1000,2,FALSE),"")</f>
        <v/>
      </c>
      <c r="C623">
        <f>IF(ISBLANK(A623),"",A623&amp;"-M"&amp;TEXT(COUNTIF($A$2:A623,A623),"00"))</f>
        <v/>
      </c>
      <c r="H623" s="14" t="n"/>
      <c r="I623" s="14" t="n"/>
    </row>
    <row r="624">
      <c r="B624">
        <f>IFERROR(VLOOKUP(A624,Risk_Assessment!$B$2:$D$1000,2,FALSE),"")</f>
        <v/>
      </c>
      <c r="C624">
        <f>IF(ISBLANK(A624),"",A624&amp;"-M"&amp;TEXT(COUNTIF($A$2:A624,A624),"00"))</f>
        <v/>
      </c>
      <c r="H624" s="14" t="n"/>
      <c r="I624" s="14" t="n"/>
    </row>
    <row r="625">
      <c r="B625">
        <f>IFERROR(VLOOKUP(A625,Risk_Assessment!$B$2:$D$1000,2,FALSE),"")</f>
        <v/>
      </c>
      <c r="C625">
        <f>IF(ISBLANK(A625),"",A625&amp;"-M"&amp;TEXT(COUNTIF($A$2:A625,A625),"00"))</f>
        <v/>
      </c>
      <c r="H625" s="14" t="n"/>
      <c r="I625" s="14" t="n"/>
    </row>
    <row r="626">
      <c r="B626">
        <f>IFERROR(VLOOKUP(A626,Risk_Assessment!$B$2:$D$1000,2,FALSE),"")</f>
        <v/>
      </c>
      <c r="C626">
        <f>IF(ISBLANK(A626),"",A626&amp;"-M"&amp;TEXT(COUNTIF($A$2:A626,A626),"00"))</f>
        <v/>
      </c>
      <c r="H626" s="14" t="n"/>
      <c r="I626" s="14" t="n"/>
    </row>
    <row r="627">
      <c r="B627">
        <f>IFERROR(VLOOKUP(A627,Risk_Assessment!$B$2:$D$1000,2,FALSE),"")</f>
        <v/>
      </c>
      <c r="C627">
        <f>IF(ISBLANK(A627),"",A627&amp;"-M"&amp;TEXT(COUNTIF($A$2:A627,A627),"00"))</f>
        <v/>
      </c>
      <c r="H627" s="14" t="n"/>
      <c r="I627" s="14" t="n"/>
    </row>
    <row r="628">
      <c r="B628">
        <f>IFERROR(VLOOKUP(A628,Risk_Assessment!$B$2:$D$1000,2,FALSE),"")</f>
        <v/>
      </c>
      <c r="C628">
        <f>IF(ISBLANK(A628),"",A628&amp;"-M"&amp;TEXT(COUNTIF($A$2:A628,A628),"00"))</f>
        <v/>
      </c>
      <c r="H628" s="14" t="n"/>
      <c r="I628" s="14" t="n"/>
    </row>
    <row r="629">
      <c r="B629">
        <f>IFERROR(VLOOKUP(A629,Risk_Assessment!$B$2:$D$1000,2,FALSE),"")</f>
        <v/>
      </c>
      <c r="C629">
        <f>IF(ISBLANK(A629),"",A629&amp;"-M"&amp;TEXT(COUNTIF($A$2:A629,A629),"00"))</f>
        <v/>
      </c>
      <c r="H629" s="14" t="n"/>
      <c r="I629" s="14" t="n"/>
    </row>
    <row r="630">
      <c r="B630">
        <f>IFERROR(VLOOKUP(A630,Risk_Assessment!$B$2:$D$1000,2,FALSE),"")</f>
        <v/>
      </c>
      <c r="C630">
        <f>IF(ISBLANK(A630),"",A630&amp;"-M"&amp;TEXT(COUNTIF($A$2:A630,A630),"00"))</f>
        <v/>
      </c>
      <c r="H630" s="14" t="n"/>
      <c r="I630" s="14" t="n"/>
    </row>
    <row r="631">
      <c r="B631">
        <f>IFERROR(VLOOKUP(A631,Risk_Assessment!$B$2:$D$1000,2,FALSE),"")</f>
        <v/>
      </c>
      <c r="C631">
        <f>IF(ISBLANK(A631),"",A631&amp;"-M"&amp;TEXT(COUNTIF($A$2:A631,A631),"00"))</f>
        <v/>
      </c>
      <c r="H631" s="14" t="n"/>
      <c r="I631" s="14" t="n"/>
    </row>
    <row r="632">
      <c r="B632">
        <f>IFERROR(VLOOKUP(A632,Risk_Assessment!$B$2:$D$1000,2,FALSE),"")</f>
        <v/>
      </c>
      <c r="C632">
        <f>IF(ISBLANK(A632),"",A632&amp;"-M"&amp;TEXT(COUNTIF($A$2:A632,A632),"00"))</f>
        <v/>
      </c>
      <c r="H632" s="14" t="n"/>
      <c r="I632" s="14" t="n"/>
    </row>
    <row r="633">
      <c r="B633">
        <f>IFERROR(VLOOKUP(A633,Risk_Assessment!$B$2:$D$1000,2,FALSE),"")</f>
        <v/>
      </c>
      <c r="C633">
        <f>IF(ISBLANK(A633),"",A633&amp;"-M"&amp;TEXT(COUNTIF($A$2:A633,A633),"00"))</f>
        <v/>
      </c>
      <c r="H633" s="14" t="n"/>
      <c r="I633" s="14" t="n"/>
    </row>
    <row r="634">
      <c r="B634">
        <f>IFERROR(VLOOKUP(A634,Risk_Assessment!$B$2:$D$1000,2,FALSE),"")</f>
        <v/>
      </c>
      <c r="C634">
        <f>IF(ISBLANK(A634),"",A634&amp;"-M"&amp;TEXT(COUNTIF($A$2:A634,A634),"00"))</f>
        <v/>
      </c>
      <c r="H634" s="14" t="n"/>
      <c r="I634" s="14" t="n"/>
    </row>
    <row r="635">
      <c r="B635">
        <f>IFERROR(VLOOKUP(A635,Risk_Assessment!$B$2:$D$1000,2,FALSE),"")</f>
        <v/>
      </c>
      <c r="C635">
        <f>IF(ISBLANK(A635),"",A635&amp;"-M"&amp;TEXT(COUNTIF($A$2:A635,A635),"00"))</f>
        <v/>
      </c>
      <c r="H635" s="14" t="n"/>
      <c r="I635" s="14" t="n"/>
    </row>
    <row r="636">
      <c r="B636">
        <f>IFERROR(VLOOKUP(A636,Risk_Assessment!$B$2:$D$1000,2,FALSE),"")</f>
        <v/>
      </c>
      <c r="C636">
        <f>IF(ISBLANK(A636),"",A636&amp;"-M"&amp;TEXT(COUNTIF($A$2:A636,A636),"00"))</f>
        <v/>
      </c>
      <c r="H636" s="14" t="n"/>
      <c r="I636" s="14" t="n"/>
    </row>
    <row r="637">
      <c r="B637">
        <f>IFERROR(VLOOKUP(A637,Risk_Assessment!$B$2:$D$1000,2,FALSE),"")</f>
        <v/>
      </c>
      <c r="C637">
        <f>IF(ISBLANK(A637),"",A637&amp;"-M"&amp;TEXT(COUNTIF($A$2:A637,A637),"00"))</f>
        <v/>
      </c>
      <c r="H637" s="14" t="n"/>
      <c r="I637" s="14" t="n"/>
    </row>
    <row r="638">
      <c r="B638">
        <f>IFERROR(VLOOKUP(A638,Risk_Assessment!$B$2:$D$1000,2,FALSE),"")</f>
        <v/>
      </c>
      <c r="C638">
        <f>IF(ISBLANK(A638),"",A638&amp;"-M"&amp;TEXT(COUNTIF($A$2:A638,A638),"00"))</f>
        <v/>
      </c>
      <c r="H638" s="14" t="n"/>
      <c r="I638" s="14" t="n"/>
    </row>
    <row r="639">
      <c r="B639">
        <f>IFERROR(VLOOKUP(A639,Risk_Assessment!$B$2:$D$1000,2,FALSE),"")</f>
        <v/>
      </c>
      <c r="C639">
        <f>IF(ISBLANK(A639),"",A639&amp;"-M"&amp;TEXT(COUNTIF($A$2:A639,A639),"00"))</f>
        <v/>
      </c>
      <c r="H639" s="14" t="n"/>
      <c r="I639" s="14" t="n"/>
    </row>
    <row r="640">
      <c r="B640">
        <f>IFERROR(VLOOKUP(A640,Risk_Assessment!$B$2:$D$1000,2,FALSE),"")</f>
        <v/>
      </c>
      <c r="C640">
        <f>IF(ISBLANK(A640),"",A640&amp;"-M"&amp;TEXT(COUNTIF($A$2:A640,A640),"00"))</f>
        <v/>
      </c>
      <c r="H640" s="14" t="n"/>
      <c r="I640" s="14" t="n"/>
    </row>
    <row r="641">
      <c r="B641">
        <f>IFERROR(VLOOKUP(A641,Risk_Assessment!$B$2:$D$1000,2,FALSE),"")</f>
        <v/>
      </c>
      <c r="C641">
        <f>IF(ISBLANK(A641),"",A641&amp;"-M"&amp;TEXT(COUNTIF($A$2:A641,A641),"00"))</f>
        <v/>
      </c>
      <c r="H641" s="14" t="n"/>
      <c r="I641" s="14" t="n"/>
    </row>
    <row r="642">
      <c r="B642">
        <f>IFERROR(VLOOKUP(A642,Risk_Assessment!$B$2:$D$1000,2,FALSE),"")</f>
        <v/>
      </c>
      <c r="C642">
        <f>IF(ISBLANK(A642),"",A642&amp;"-M"&amp;TEXT(COUNTIF($A$2:A642,A642),"00"))</f>
        <v/>
      </c>
      <c r="H642" s="14" t="n"/>
      <c r="I642" s="14" t="n"/>
    </row>
    <row r="643">
      <c r="B643">
        <f>IFERROR(VLOOKUP(A643,Risk_Assessment!$B$2:$D$1000,2,FALSE),"")</f>
        <v/>
      </c>
      <c r="C643">
        <f>IF(ISBLANK(A643),"",A643&amp;"-M"&amp;TEXT(COUNTIF($A$2:A643,A643),"00"))</f>
        <v/>
      </c>
      <c r="H643" s="14" t="n"/>
      <c r="I643" s="14" t="n"/>
    </row>
    <row r="644">
      <c r="B644">
        <f>IFERROR(VLOOKUP(A644,Risk_Assessment!$B$2:$D$1000,2,FALSE),"")</f>
        <v/>
      </c>
      <c r="C644">
        <f>IF(ISBLANK(A644),"",A644&amp;"-M"&amp;TEXT(COUNTIF($A$2:A644,A644),"00"))</f>
        <v/>
      </c>
      <c r="H644" s="14" t="n"/>
      <c r="I644" s="14" t="n"/>
    </row>
    <row r="645">
      <c r="B645">
        <f>IFERROR(VLOOKUP(A645,Risk_Assessment!$B$2:$D$1000,2,FALSE),"")</f>
        <v/>
      </c>
      <c r="C645">
        <f>IF(ISBLANK(A645),"",A645&amp;"-M"&amp;TEXT(COUNTIF($A$2:A645,A645),"00"))</f>
        <v/>
      </c>
      <c r="H645" s="14" t="n"/>
      <c r="I645" s="14" t="n"/>
    </row>
    <row r="646">
      <c r="B646">
        <f>IFERROR(VLOOKUP(A646,Risk_Assessment!$B$2:$D$1000,2,FALSE),"")</f>
        <v/>
      </c>
      <c r="C646">
        <f>IF(ISBLANK(A646),"",A646&amp;"-M"&amp;TEXT(COUNTIF($A$2:A646,A646),"00"))</f>
        <v/>
      </c>
      <c r="H646" s="14" t="n"/>
      <c r="I646" s="14" t="n"/>
    </row>
    <row r="647">
      <c r="B647">
        <f>IFERROR(VLOOKUP(A647,Risk_Assessment!$B$2:$D$1000,2,FALSE),"")</f>
        <v/>
      </c>
      <c r="C647">
        <f>IF(ISBLANK(A647),"",A647&amp;"-M"&amp;TEXT(COUNTIF($A$2:A647,A647),"00"))</f>
        <v/>
      </c>
      <c r="H647" s="14" t="n"/>
      <c r="I647" s="14" t="n"/>
    </row>
    <row r="648">
      <c r="B648">
        <f>IFERROR(VLOOKUP(A648,Risk_Assessment!$B$2:$D$1000,2,FALSE),"")</f>
        <v/>
      </c>
      <c r="C648">
        <f>IF(ISBLANK(A648),"",A648&amp;"-M"&amp;TEXT(COUNTIF($A$2:A648,A648),"00"))</f>
        <v/>
      </c>
      <c r="H648" s="14" t="n"/>
      <c r="I648" s="14" t="n"/>
    </row>
    <row r="649">
      <c r="B649">
        <f>IFERROR(VLOOKUP(A649,Risk_Assessment!$B$2:$D$1000,2,FALSE),"")</f>
        <v/>
      </c>
      <c r="C649">
        <f>IF(ISBLANK(A649),"",A649&amp;"-M"&amp;TEXT(COUNTIF($A$2:A649,A649),"00"))</f>
        <v/>
      </c>
      <c r="H649" s="14" t="n"/>
      <c r="I649" s="14" t="n"/>
    </row>
    <row r="650">
      <c r="B650">
        <f>IFERROR(VLOOKUP(A650,Risk_Assessment!$B$2:$D$1000,2,FALSE),"")</f>
        <v/>
      </c>
      <c r="C650">
        <f>IF(ISBLANK(A650),"",A650&amp;"-M"&amp;TEXT(COUNTIF($A$2:A650,A650),"00"))</f>
        <v/>
      </c>
      <c r="H650" s="14" t="n"/>
      <c r="I650" s="14" t="n"/>
    </row>
    <row r="651">
      <c r="B651">
        <f>IFERROR(VLOOKUP(A651,Risk_Assessment!$B$2:$D$1000,2,FALSE),"")</f>
        <v/>
      </c>
      <c r="C651">
        <f>IF(ISBLANK(A651),"",A651&amp;"-M"&amp;TEXT(COUNTIF($A$2:A651,A651),"00"))</f>
        <v/>
      </c>
      <c r="H651" s="14" t="n"/>
      <c r="I651" s="14" t="n"/>
    </row>
    <row r="652">
      <c r="B652">
        <f>IFERROR(VLOOKUP(A652,Risk_Assessment!$B$2:$D$1000,2,FALSE),"")</f>
        <v/>
      </c>
      <c r="C652">
        <f>IF(ISBLANK(A652),"",A652&amp;"-M"&amp;TEXT(COUNTIF($A$2:A652,A652),"00"))</f>
        <v/>
      </c>
      <c r="H652" s="14" t="n"/>
      <c r="I652" s="14" t="n"/>
    </row>
    <row r="653">
      <c r="B653">
        <f>IFERROR(VLOOKUP(A653,Risk_Assessment!$B$2:$D$1000,2,FALSE),"")</f>
        <v/>
      </c>
      <c r="C653">
        <f>IF(ISBLANK(A653),"",A653&amp;"-M"&amp;TEXT(COUNTIF($A$2:A653,A653),"00"))</f>
        <v/>
      </c>
      <c r="H653" s="14" t="n"/>
      <c r="I653" s="14" t="n"/>
    </row>
    <row r="654">
      <c r="B654">
        <f>IFERROR(VLOOKUP(A654,Risk_Assessment!$B$2:$D$1000,2,FALSE),"")</f>
        <v/>
      </c>
      <c r="C654">
        <f>IF(ISBLANK(A654),"",A654&amp;"-M"&amp;TEXT(COUNTIF($A$2:A654,A654),"00"))</f>
        <v/>
      </c>
      <c r="H654" s="14" t="n"/>
      <c r="I654" s="14" t="n"/>
    </row>
    <row r="655">
      <c r="B655">
        <f>IFERROR(VLOOKUP(A655,Risk_Assessment!$B$2:$D$1000,2,FALSE),"")</f>
        <v/>
      </c>
      <c r="C655">
        <f>IF(ISBLANK(A655),"",A655&amp;"-M"&amp;TEXT(COUNTIF($A$2:A655,A655),"00"))</f>
        <v/>
      </c>
      <c r="H655" s="14" t="n"/>
      <c r="I655" s="14" t="n"/>
    </row>
    <row r="656">
      <c r="B656">
        <f>IFERROR(VLOOKUP(A656,Risk_Assessment!$B$2:$D$1000,2,FALSE),"")</f>
        <v/>
      </c>
      <c r="C656">
        <f>IF(ISBLANK(A656),"",A656&amp;"-M"&amp;TEXT(COUNTIF($A$2:A656,A656),"00"))</f>
        <v/>
      </c>
      <c r="H656" s="14" t="n"/>
      <c r="I656" s="14" t="n"/>
    </row>
    <row r="657">
      <c r="B657">
        <f>IFERROR(VLOOKUP(A657,Risk_Assessment!$B$2:$D$1000,2,FALSE),"")</f>
        <v/>
      </c>
      <c r="C657">
        <f>IF(ISBLANK(A657),"",A657&amp;"-M"&amp;TEXT(COUNTIF($A$2:A657,A657),"00"))</f>
        <v/>
      </c>
      <c r="H657" s="14" t="n"/>
      <c r="I657" s="14" t="n"/>
    </row>
    <row r="658">
      <c r="B658">
        <f>IFERROR(VLOOKUP(A658,Risk_Assessment!$B$2:$D$1000,2,FALSE),"")</f>
        <v/>
      </c>
      <c r="C658">
        <f>IF(ISBLANK(A658),"",A658&amp;"-M"&amp;TEXT(COUNTIF($A$2:A658,A658),"00"))</f>
        <v/>
      </c>
      <c r="H658" s="14" t="n"/>
      <c r="I658" s="14" t="n"/>
    </row>
    <row r="659">
      <c r="B659">
        <f>IFERROR(VLOOKUP(A659,Risk_Assessment!$B$2:$D$1000,2,FALSE),"")</f>
        <v/>
      </c>
      <c r="C659">
        <f>IF(ISBLANK(A659),"",A659&amp;"-M"&amp;TEXT(COUNTIF($A$2:A659,A659),"00"))</f>
        <v/>
      </c>
      <c r="H659" s="14" t="n"/>
      <c r="I659" s="14" t="n"/>
    </row>
    <row r="660">
      <c r="B660">
        <f>IFERROR(VLOOKUP(A660,Risk_Assessment!$B$2:$D$1000,2,FALSE),"")</f>
        <v/>
      </c>
      <c r="C660">
        <f>IF(ISBLANK(A660),"",A660&amp;"-M"&amp;TEXT(COUNTIF($A$2:A660,A660),"00"))</f>
        <v/>
      </c>
      <c r="H660" s="14" t="n"/>
      <c r="I660" s="14" t="n"/>
    </row>
    <row r="661">
      <c r="B661">
        <f>IFERROR(VLOOKUP(A661,Risk_Assessment!$B$2:$D$1000,2,FALSE),"")</f>
        <v/>
      </c>
      <c r="C661">
        <f>IF(ISBLANK(A661),"",A661&amp;"-M"&amp;TEXT(COUNTIF($A$2:A661,A661),"00"))</f>
        <v/>
      </c>
      <c r="H661" s="14" t="n"/>
      <c r="I661" s="14" t="n"/>
    </row>
    <row r="662">
      <c r="B662">
        <f>IFERROR(VLOOKUP(A662,Risk_Assessment!$B$2:$D$1000,2,FALSE),"")</f>
        <v/>
      </c>
      <c r="C662">
        <f>IF(ISBLANK(A662),"",A662&amp;"-M"&amp;TEXT(COUNTIF($A$2:A662,A662),"00"))</f>
        <v/>
      </c>
      <c r="H662" s="14" t="n"/>
      <c r="I662" s="14" t="n"/>
    </row>
    <row r="663">
      <c r="B663">
        <f>IFERROR(VLOOKUP(A663,Risk_Assessment!$B$2:$D$1000,2,FALSE),"")</f>
        <v/>
      </c>
      <c r="C663">
        <f>IF(ISBLANK(A663),"",A663&amp;"-M"&amp;TEXT(COUNTIF($A$2:A663,A663),"00"))</f>
        <v/>
      </c>
      <c r="H663" s="14" t="n"/>
      <c r="I663" s="14" t="n"/>
    </row>
    <row r="664">
      <c r="B664">
        <f>IFERROR(VLOOKUP(A664,Risk_Assessment!$B$2:$D$1000,2,FALSE),"")</f>
        <v/>
      </c>
      <c r="C664">
        <f>IF(ISBLANK(A664),"",A664&amp;"-M"&amp;TEXT(COUNTIF($A$2:A664,A664),"00"))</f>
        <v/>
      </c>
      <c r="H664" s="14" t="n"/>
      <c r="I664" s="14" t="n"/>
    </row>
    <row r="665">
      <c r="B665">
        <f>IFERROR(VLOOKUP(A665,Risk_Assessment!$B$2:$D$1000,2,FALSE),"")</f>
        <v/>
      </c>
      <c r="C665">
        <f>IF(ISBLANK(A665),"",A665&amp;"-M"&amp;TEXT(COUNTIF($A$2:A665,A665),"00"))</f>
        <v/>
      </c>
      <c r="H665" s="14" t="n"/>
      <c r="I665" s="14" t="n"/>
    </row>
    <row r="666">
      <c r="B666">
        <f>IFERROR(VLOOKUP(A666,Risk_Assessment!$B$2:$D$1000,2,FALSE),"")</f>
        <v/>
      </c>
      <c r="C666">
        <f>IF(ISBLANK(A666),"",A666&amp;"-M"&amp;TEXT(COUNTIF($A$2:A666,A666),"00"))</f>
        <v/>
      </c>
      <c r="H666" s="14" t="n"/>
      <c r="I666" s="14" t="n"/>
    </row>
    <row r="667">
      <c r="B667">
        <f>IFERROR(VLOOKUP(A667,Risk_Assessment!$B$2:$D$1000,2,FALSE),"")</f>
        <v/>
      </c>
      <c r="C667">
        <f>IF(ISBLANK(A667),"",A667&amp;"-M"&amp;TEXT(COUNTIF($A$2:A667,A667),"00"))</f>
        <v/>
      </c>
      <c r="H667" s="14" t="n"/>
      <c r="I667" s="14" t="n"/>
    </row>
    <row r="668">
      <c r="B668">
        <f>IFERROR(VLOOKUP(A668,Risk_Assessment!$B$2:$D$1000,2,FALSE),"")</f>
        <v/>
      </c>
      <c r="C668">
        <f>IF(ISBLANK(A668),"",A668&amp;"-M"&amp;TEXT(COUNTIF($A$2:A668,A668),"00"))</f>
        <v/>
      </c>
      <c r="H668" s="14" t="n"/>
      <c r="I668" s="14" t="n"/>
    </row>
    <row r="669">
      <c r="B669">
        <f>IFERROR(VLOOKUP(A669,Risk_Assessment!$B$2:$D$1000,2,FALSE),"")</f>
        <v/>
      </c>
      <c r="C669">
        <f>IF(ISBLANK(A669),"",A669&amp;"-M"&amp;TEXT(COUNTIF($A$2:A669,A669),"00"))</f>
        <v/>
      </c>
      <c r="H669" s="14" t="n"/>
      <c r="I669" s="14" t="n"/>
    </row>
    <row r="670">
      <c r="B670">
        <f>IFERROR(VLOOKUP(A670,Risk_Assessment!$B$2:$D$1000,2,FALSE),"")</f>
        <v/>
      </c>
      <c r="C670">
        <f>IF(ISBLANK(A670),"",A670&amp;"-M"&amp;TEXT(COUNTIF($A$2:A670,A670),"00"))</f>
        <v/>
      </c>
      <c r="H670" s="14" t="n"/>
      <c r="I670" s="14" t="n"/>
    </row>
    <row r="671">
      <c r="B671">
        <f>IFERROR(VLOOKUP(A671,Risk_Assessment!$B$2:$D$1000,2,FALSE),"")</f>
        <v/>
      </c>
      <c r="C671">
        <f>IF(ISBLANK(A671),"",A671&amp;"-M"&amp;TEXT(COUNTIF($A$2:A671,A671),"00"))</f>
        <v/>
      </c>
      <c r="H671" s="14" t="n"/>
      <c r="I671" s="14" t="n"/>
    </row>
    <row r="672">
      <c r="B672">
        <f>IFERROR(VLOOKUP(A672,Risk_Assessment!$B$2:$D$1000,2,FALSE),"")</f>
        <v/>
      </c>
      <c r="C672">
        <f>IF(ISBLANK(A672),"",A672&amp;"-M"&amp;TEXT(COUNTIF($A$2:A672,A672),"00"))</f>
        <v/>
      </c>
      <c r="H672" s="14" t="n"/>
      <c r="I672" s="14" t="n"/>
    </row>
    <row r="673">
      <c r="B673">
        <f>IFERROR(VLOOKUP(A673,Risk_Assessment!$B$2:$D$1000,2,FALSE),"")</f>
        <v/>
      </c>
      <c r="C673">
        <f>IF(ISBLANK(A673),"",A673&amp;"-M"&amp;TEXT(COUNTIF($A$2:A673,A673),"00"))</f>
        <v/>
      </c>
      <c r="H673" s="14" t="n"/>
      <c r="I673" s="14" t="n"/>
    </row>
    <row r="674">
      <c r="B674">
        <f>IFERROR(VLOOKUP(A674,Risk_Assessment!$B$2:$D$1000,2,FALSE),"")</f>
        <v/>
      </c>
      <c r="C674">
        <f>IF(ISBLANK(A674),"",A674&amp;"-M"&amp;TEXT(COUNTIF($A$2:A674,A674),"00"))</f>
        <v/>
      </c>
      <c r="H674" s="14" t="n"/>
      <c r="I674" s="14" t="n"/>
    </row>
    <row r="675">
      <c r="B675">
        <f>IFERROR(VLOOKUP(A675,Risk_Assessment!$B$2:$D$1000,2,FALSE),"")</f>
        <v/>
      </c>
      <c r="C675">
        <f>IF(ISBLANK(A675),"",A675&amp;"-M"&amp;TEXT(COUNTIF($A$2:A675,A675),"00"))</f>
        <v/>
      </c>
      <c r="H675" s="14" t="n"/>
      <c r="I675" s="14" t="n"/>
    </row>
    <row r="676">
      <c r="B676">
        <f>IFERROR(VLOOKUP(A676,Risk_Assessment!$B$2:$D$1000,2,FALSE),"")</f>
        <v/>
      </c>
      <c r="C676">
        <f>IF(ISBLANK(A676),"",A676&amp;"-M"&amp;TEXT(COUNTIF($A$2:A676,A676),"00"))</f>
        <v/>
      </c>
      <c r="H676" s="14" t="n"/>
      <c r="I676" s="14" t="n"/>
    </row>
    <row r="677">
      <c r="B677">
        <f>IFERROR(VLOOKUP(A677,Risk_Assessment!$B$2:$D$1000,2,FALSE),"")</f>
        <v/>
      </c>
      <c r="C677">
        <f>IF(ISBLANK(A677),"",A677&amp;"-M"&amp;TEXT(COUNTIF($A$2:A677,A677),"00"))</f>
        <v/>
      </c>
      <c r="H677" s="14" t="n"/>
      <c r="I677" s="14" t="n"/>
    </row>
    <row r="678">
      <c r="B678">
        <f>IFERROR(VLOOKUP(A678,Risk_Assessment!$B$2:$D$1000,2,FALSE),"")</f>
        <v/>
      </c>
      <c r="C678">
        <f>IF(ISBLANK(A678),"",A678&amp;"-M"&amp;TEXT(COUNTIF($A$2:A678,A678),"00"))</f>
        <v/>
      </c>
      <c r="H678" s="14" t="n"/>
      <c r="I678" s="14" t="n"/>
    </row>
    <row r="679">
      <c r="B679">
        <f>IFERROR(VLOOKUP(A679,Risk_Assessment!$B$2:$D$1000,2,FALSE),"")</f>
        <v/>
      </c>
      <c r="C679">
        <f>IF(ISBLANK(A679),"",A679&amp;"-M"&amp;TEXT(COUNTIF($A$2:A679,A679),"00"))</f>
        <v/>
      </c>
      <c r="H679" s="14" t="n"/>
      <c r="I679" s="14" t="n"/>
    </row>
    <row r="680">
      <c r="B680">
        <f>IFERROR(VLOOKUP(A680,Risk_Assessment!$B$2:$D$1000,2,FALSE),"")</f>
        <v/>
      </c>
      <c r="C680">
        <f>IF(ISBLANK(A680),"",A680&amp;"-M"&amp;TEXT(COUNTIF($A$2:A680,A680),"00"))</f>
        <v/>
      </c>
      <c r="H680" s="14" t="n"/>
      <c r="I680" s="14" t="n"/>
    </row>
    <row r="681">
      <c r="B681">
        <f>IFERROR(VLOOKUP(A681,Risk_Assessment!$B$2:$D$1000,2,FALSE),"")</f>
        <v/>
      </c>
      <c r="C681">
        <f>IF(ISBLANK(A681),"",A681&amp;"-M"&amp;TEXT(COUNTIF($A$2:A681,A681),"00"))</f>
        <v/>
      </c>
      <c r="H681" s="14" t="n"/>
      <c r="I681" s="14" t="n"/>
    </row>
    <row r="682">
      <c r="B682">
        <f>IFERROR(VLOOKUP(A682,Risk_Assessment!$B$2:$D$1000,2,FALSE),"")</f>
        <v/>
      </c>
      <c r="C682">
        <f>IF(ISBLANK(A682),"",A682&amp;"-M"&amp;TEXT(COUNTIF($A$2:A682,A682),"00"))</f>
        <v/>
      </c>
      <c r="H682" s="14" t="n"/>
      <c r="I682" s="14" t="n"/>
    </row>
    <row r="683">
      <c r="B683">
        <f>IFERROR(VLOOKUP(A683,Risk_Assessment!$B$2:$D$1000,2,FALSE),"")</f>
        <v/>
      </c>
      <c r="C683">
        <f>IF(ISBLANK(A683),"",A683&amp;"-M"&amp;TEXT(COUNTIF($A$2:A683,A683),"00"))</f>
        <v/>
      </c>
      <c r="H683" s="14" t="n"/>
      <c r="I683" s="14" t="n"/>
    </row>
    <row r="684">
      <c r="B684">
        <f>IFERROR(VLOOKUP(A684,Risk_Assessment!$B$2:$D$1000,2,FALSE),"")</f>
        <v/>
      </c>
      <c r="C684">
        <f>IF(ISBLANK(A684),"",A684&amp;"-M"&amp;TEXT(COUNTIF($A$2:A684,A684),"00"))</f>
        <v/>
      </c>
      <c r="H684" s="14" t="n"/>
      <c r="I684" s="14" t="n"/>
    </row>
    <row r="685">
      <c r="B685">
        <f>IFERROR(VLOOKUP(A685,Risk_Assessment!$B$2:$D$1000,2,FALSE),"")</f>
        <v/>
      </c>
      <c r="C685">
        <f>IF(ISBLANK(A685),"",A685&amp;"-M"&amp;TEXT(COUNTIF($A$2:A685,A685),"00"))</f>
        <v/>
      </c>
      <c r="H685" s="14" t="n"/>
      <c r="I685" s="14" t="n"/>
    </row>
    <row r="686">
      <c r="B686">
        <f>IFERROR(VLOOKUP(A686,Risk_Assessment!$B$2:$D$1000,2,FALSE),"")</f>
        <v/>
      </c>
      <c r="C686">
        <f>IF(ISBLANK(A686),"",A686&amp;"-M"&amp;TEXT(COUNTIF($A$2:A686,A686),"00"))</f>
        <v/>
      </c>
      <c r="H686" s="14" t="n"/>
      <c r="I686" s="14" t="n"/>
    </row>
    <row r="687">
      <c r="B687">
        <f>IFERROR(VLOOKUP(A687,Risk_Assessment!$B$2:$D$1000,2,FALSE),"")</f>
        <v/>
      </c>
      <c r="C687">
        <f>IF(ISBLANK(A687),"",A687&amp;"-M"&amp;TEXT(COUNTIF($A$2:A687,A687),"00"))</f>
        <v/>
      </c>
      <c r="H687" s="14" t="n"/>
      <c r="I687" s="14" t="n"/>
    </row>
    <row r="688">
      <c r="B688">
        <f>IFERROR(VLOOKUP(A688,Risk_Assessment!$B$2:$D$1000,2,FALSE),"")</f>
        <v/>
      </c>
      <c r="C688">
        <f>IF(ISBLANK(A688),"",A688&amp;"-M"&amp;TEXT(COUNTIF($A$2:A688,A688),"00"))</f>
        <v/>
      </c>
      <c r="H688" s="14" t="n"/>
      <c r="I688" s="14" t="n"/>
    </row>
    <row r="689">
      <c r="B689">
        <f>IFERROR(VLOOKUP(A689,Risk_Assessment!$B$2:$D$1000,2,FALSE),"")</f>
        <v/>
      </c>
      <c r="C689">
        <f>IF(ISBLANK(A689),"",A689&amp;"-M"&amp;TEXT(COUNTIF($A$2:A689,A689),"00"))</f>
        <v/>
      </c>
      <c r="H689" s="14" t="n"/>
      <c r="I689" s="14" t="n"/>
    </row>
    <row r="690">
      <c r="B690">
        <f>IFERROR(VLOOKUP(A690,Risk_Assessment!$B$2:$D$1000,2,FALSE),"")</f>
        <v/>
      </c>
      <c r="C690">
        <f>IF(ISBLANK(A690),"",A690&amp;"-M"&amp;TEXT(COUNTIF($A$2:A690,A690),"00"))</f>
        <v/>
      </c>
      <c r="H690" s="14" t="n"/>
      <c r="I690" s="14" t="n"/>
    </row>
    <row r="691">
      <c r="B691">
        <f>IFERROR(VLOOKUP(A691,Risk_Assessment!$B$2:$D$1000,2,FALSE),"")</f>
        <v/>
      </c>
      <c r="C691">
        <f>IF(ISBLANK(A691),"",A691&amp;"-M"&amp;TEXT(COUNTIF($A$2:A691,A691),"00"))</f>
        <v/>
      </c>
      <c r="H691" s="14" t="n"/>
      <c r="I691" s="14" t="n"/>
    </row>
    <row r="692">
      <c r="B692">
        <f>IFERROR(VLOOKUP(A692,Risk_Assessment!$B$2:$D$1000,2,FALSE),"")</f>
        <v/>
      </c>
      <c r="C692">
        <f>IF(ISBLANK(A692),"",A692&amp;"-M"&amp;TEXT(COUNTIF($A$2:A692,A692),"00"))</f>
        <v/>
      </c>
      <c r="H692" s="14" t="n"/>
      <c r="I692" s="14" t="n"/>
    </row>
    <row r="693">
      <c r="B693">
        <f>IFERROR(VLOOKUP(A693,Risk_Assessment!$B$2:$D$1000,2,FALSE),"")</f>
        <v/>
      </c>
      <c r="C693">
        <f>IF(ISBLANK(A693),"",A693&amp;"-M"&amp;TEXT(COUNTIF($A$2:A693,A693),"00"))</f>
        <v/>
      </c>
      <c r="H693" s="14" t="n"/>
      <c r="I693" s="14" t="n"/>
    </row>
    <row r="694">
      <c r="B694">
        <f>IFERROR(VLOOKUP(A694,Risk_Assessment!$B$2:$D$1000,2,FALSE),"")</f>
        <v/>
      </c>
      <c r="C694">
        <f>IF(ISBLANK(A694),"",A694&amp;"-M"&amp;TEXT(COUNTIF($A$2:A694,A694),"00"))</f>
        <v/>
      </c>
      <c r="H694" s="14" t="n"/>
      <c r="I694" s="14" t="n"/>
    </row>
    <row r="695">
      <c r="B695">
        <f>IFERROR(VLOOKUP(A695,Risk_Assessment!$B$2:$D$1000,2,FALSE),"")</f>
        <v/>
      </c>
      <c r="C695">
        <f>IF(ISBLANK(A695),"",A695&amp;"-M"&amp;TEXT(COUNTIF($A$2:A695,A695),"00"))</f>
        <v/>
      </c>
      <c r="H695" s="14" t="n"/>
      <c r="I695" s="14" t="n"/>
    </row>
    <row r="696">
      <c r="B696">
        <f>IFERROR(VLOOKUP(A696,Risk_Assessment!$B$2:$D$1000,2,FALSE),"")</f>
        <v/>
      </c>
      <c r="C696">
        <f>IF(ISBLANK(A696),"",A696&amp;"-M"&amp;TEXT(COUNTIF($A$2:A696,A696),"00"))</f>
        <v/>
      </c>
      <c r="H696" s="14" t="n"/>
      <c r="I696" s="14" t="n"/>
    </row>
    <row r="697">
      <c r="B697">
        <f>IFERROR(VLOOKUP(A697,Risk_Assessment!$B$2:$D$1000,2,FALSE),"")</f>
        <v/>
      </c>
      <c r="C697">
        <f>IF(ISBLANK(A697),"",A697&amp;"-M"&amp;TEXT(COUNTIF($A$2:A697,A697),"00"))</f>
        <v/>
      </c>
      <c r="H697" s="14" t="n"/>
      <c r="I697" s="14" t="n"/>
    </row>
    <row r="698">
      <c r="B698">
        <f>IFERROR(VLOOKUP(A698,Risk_Assessment!$B$2:$D$1000,2,FALSE),"")</f>
        <v/>
      </c>
      <c r="C698">
        <f>IF(ISBLANK(A698),"",A698&amp;"-M"&amp;TEXT(COUNTIF($A$2:A698,A698),"00"))</f>
        <v/>
      </c>
      <c r="H698" s="14" t="n"/>
      <c r="I698" s="14" t="n"/>
    </row>
    <row r="699">
      <c r="B699">
        <f>IFERROR(VLOOKUP(A699,Risk_Assessment!$B$2:$D$1000,2,FALSE),"")</f>
        <v/>
      </c>
      <c r="C699">
        <f>IF(ISBLANK(A699),"",A699&amp;"-M"&amp;TEXT(COUNTIF($A$2:A699,A699),"00"))</f>
        <v/>
      </c>
      <c r="H699" s="14" t="n"/>
      <c r="I699" s="14" t="n"/>
    </row>
    <row r="700">
      <c r="B700">
        <f>IFERROR(VLOOKUP(A700,Risk_Assessment!$B$2:$D$1000,2,FALSE),"")</f>
        <v/>
      </c>
      <c r="C700">
        <f>IF(ISBLANK(A700),"",A700&amp;"-M"&amp;TEXT(COUNTIF($A$2:A700,A700),"00"))</f>
        <v/>
      </c>
      <c r="H700" s="14" t="n"/>
      <c r="I700" s="14" t="n"/>
    </row>
    <row r="701">
      <c r="B701">
        <f>IFERROR(VLOOKUP(A701,Risk_Assessment!$B$2:$D$1000,2,FALSE),"")</f>
        <v/>
      </c>
      <c r="C701">
        <f>IF(ISBLANK(A701),"",A701&amp;"-M"&amp;TEXT(COUNTIF($A$2:A701,A701),"00"))</f>
        <v/>
      </c>
      <c r="H701" s="14" t="n"/>
      <c r="I701" s="14" t="n"/>
    </row>
    <row r="702">
      <c r="B702">
        <f>IFERROR(VLOOKUP(A702,Risk_Assessment!$B$2:$D$1000,2,FALSE),"")</f>
        <v/>
      </c>
      <c r="C702">
        <f>IF(ISBLANK(A702),"",A702&amp;"-M"&amp;TEXT(COUNTIF($A$2:A702,A702),"00"))</f>
        <v/>
      </c>
      <c r="H702" s="14" t="n"/>
      <c r="I702" s="14" t="n"/>
    </row>
    <row r="703">
      <c r="B703">
        <f>IFERROR(VLOOKUP(A703,Risk_Assessment!$B$2:$D$1000,2,FALSE),"")</f>
        <v/>
      </c>
      <c r="C703">
        <f>IF(ISBLANK(A703),"",A703&amp;"-M"&amp;TEXT(COUNTIF($A$2:A703,A703),"00"))</f>
        <v/>
      </c>
      <c r="H703" s="14" t="n"/>
      <c r="I703" s="14" t="n"/>
    </row>
    <row r="704">
      <c r="B704">
        <f>IFERROR(VLOOKUP(A704,Risk_Assessment!$B$2:$D$1000,2,FALSE),"")</f>
        <v/>
      </c>
      <c r="C704">
        <f>IF(ISBLANK(A704),"",A704&amp;"-M"&amp;TEXT(COUNTIF($A$2:A704,A704),"00"))</f>
        <v/>
      </c>
      <c r="H704" s="14" t="n"/>
      <c r="I704" s="14" t="n"/>
    </row>
    <row r="705">
      <c r="B705">
        <f>IFERROR(VLOOKUP(A705,Risk_Assessment!$B$2:$D$1000,2,FALSE),"")</f>
        <v/>
      </c>
      <c r="C705">
        <f>IF(ISBLANK(A705),"",A705&amp;"-M"&amp;TEXT(COUNTIF($A$2:A705,A705),"00"))</f>
        <v/>
      </c>
      <c r="H705" s="14" t="n"/>
      <c r="I705" s="14" t="n"/>
    </row>
    <row r="706">
      <c r="B706">
        <f>IFERROR(VLOOKUP(A706,Risk_Assessment!$B$2:$D$1000,2,FALSE),"")</f>
        <v/>
      </c>
      <c r="C706">
        <f>IF(ISBLANK(A706),"",A706&amp;"-M"&amp;TEXT(COUNTIF($A$2:A706,A706),"00"))</f>
        <v/>
      </c>
      <c r="H706" s="14" t="n"/>
      <c r="I706" s="14" t="n"/>
    </row>
    <row r="707">
      <c r="B707">
        <f>IFERROR(VLOOKUP(A707,Risk_Assessment!$B$2:$D$1000,2,FALSE),"")</f>
        <v/>
      </c>
      <c r="C707">
        <f>IF(ISBLANK(A707),"",A707&amp;"-M"&amp;TEXT(COUNTIF($A$2:A707,A707),"00"))</f>
        <v/>
      </c>
      <c r="H707" s="14" t="n"/>
      <c r="I707" s="14" t="n"/>
    </row>
    <row r="708">
      <c r="B708">
        <f>IFERROR(VLOOKUP(A708,Risk_Assessment!$B$2:$D$1000,2,FALSE),"")</f>
        <v/>
      </c>
      <c r="C708">
        <f>IF(ISBLANK(A708),"",A708&amp;"-M"&amp;TEXT(COUNTIF($A$2:A708,A708),"00"))</f>
        <v/>
      </c>
      <c r="H708" s="14" t="n"/>
      <c r="I708" s="14" t="n"/>
    </row>
    <row r="709">
      <c r="B709">
        <f>IFERROR(VLOOKUP(A709,Risk_Assessment!$B$2:$D$1000,2,FALSE),"")</f>
        <v/>
      </c>
      <c r="C709">
        <f>IF(ISBLANK(A709),"",A709&amp;"-M"&amp;TEXT(COUNTIF($A$2:A709,A709),"00"))</f>
        <v/>
      </c>
      <c r="H709" s="14" t="n"/>
      <c r="I709" s="14" t="n"/>
    </row>
    <row r="710">
      <c r="B710">
        <f>IFERROR(VLOOKUP(A710,Risk_Assessment!$B$2:$D$1000,2,FALSE),"")</f>
        <v/>
      </c>
      <c r="C710">
        <f>IF(ISBLANK(A710),"",A710&amp;"-M"&amp;TEXT(COUNTIF($A$2:A710,A710),"00"))</f>
        <v/>
      </c>
      <c r="H710" s="14" t="n"/>
      <c r="I710" s="14" t="n"/>
    </row>
    <row r="711">
      <c r="B711">
        <f>IFERROR(VLOOKUP(A711,Risk_Assessment!$B$2:$D$1000,2,FALSE),"")</f>
        <v/>
      </c>
      <c r="C711">
        <f>IF(ISBLANK(A711),"",A711&amp;"-M"&amp;TEXT(COUNTIF($A$2:A711,A711),"00"))</f>
        <v/>
      </c>
      <c r="H711" s="14" t="n"/>
      <c r="I711" s="14" t="n"/>
    </row>
    <row r="712">
      <c r="B712">
        <f>IFERROR(VLOOKUP(A712,Risk_Assessment!$B$2:$D$1000,2,FALSE),"")</f>
        <v/>
      </c>
      <c r="C712">
        <f>IF(ISBLANK(A712),"",A712&amp;"-M"&amp;TEXT(COUNTIF($A$2:A712,A712),"00"))</f>
        <v/>
      </c>
      <c r="H712" s="14" t="n"/>
      <c r="I712" s="14" t="n"/>
    </row>
    <row r="713">
      <c r="B713">
        <f>IFERROR(VLOOKUP(A713,Risk_Assessment!$B$2:$D$1000,2,FALSE),"")</f>
        <v/>
      </c>
      <c r="C713">
        <f>IF(ISBLANK(A713),"",A713&amp;"-M"&amp;TEXT(COUNTIF($A$2:A713,A713),"00"))</f>
        <v/>
      </c>
      <c r="H713" s="14" t="n"/>
      <c r="I713" s="14" t="n"/>
    </row>
    <row r="714">
      <c r="B714">
        <f>IFERROR(VLOOKUP(A714,Risk_Assessment!$B$2:$D$1000,2,FALSE),"")</f>
        <v/>
      </c>
      <c r="C714">
        <f>IF(ISBLANK(A714),"",A714&amp;"-M"&amp;TEXT(COUNTIF($A$2:A714,A714),"00"))</f>
        <v/>
      </c>
      <c r="H714" s="14" t="n"/>
      <c r="I714" s="14" t="n"/>
    </row>
    <row r="715">
      <c r="B715">
        <f>IFERROR(VLOOKUP(A715,Risk_Assessment!$B$2:$D$1000,2,FALSE),"")</f>
        <v/>
      </c>
      <c r="C715">
        <f>IF(ISBLANK(A715),"",A715&amp;"-M"&amp;TEXT(COUNTIF($A$2:A715,A715),"00"))</f>
        <v/>
      </c>
      <c r="H715" s="14" t="n"/>
      <c r="I715" s="14" t="n"/>
    </row>
    <row r="716">
      <c r="B716">
        <f>IFERROR(VLOOKUP(A716,Risk_Assessment!$B$2:$D$1000,2,FALSE),"")</f>
        <v/>
      </c>
      <c r="C716">
        <f>IF(ISBLANK(A716),"",A716&amp;"-M"&amp;TEXT(COUNTIF($A$2:A716,A716),"00"))</f>
        <v/>
      </c>
      <c r="H716" s="14" t="n"/>
      <c r="I716" s="14" t="n"/>
    </row>
    <row r="717">
      <c r="B717">
        <f>IFERROR(VLOOKUP(A717,Risk_Assessment!$B$2:$D$1000,2,FALSE),"")</f>
        <v/>
      </c>
      <c r="C717">
        <f>IF(ISBLANK(A717),"",A717&amp;"-M"&amp;TEXT(COUNTIF($A$2:A717,A717),"00"))</f>
        <v/>
      </c>
      <c r="H717" s="14" t="n"/>
      <c r="I717" s="14" t="n"/>
    </row>
    <row r="718">
      <c r="B718">
        <f>IFERROR(VLOOKUP(A718,Risk_Assessment!$B$2:$D$1000,2,FALSE),"")</f>
        <v/>
      </c>
      <c r="C718">
        <f>IF(ISBLANK(A718),"",A718&amp;"-M"&amp;TEXT(COUNTIF($A$2:A718,A718),"00"))</f>
        <v/>
      </c>
      <c r="H718" s="14" t="n"/>
      <c r="I718" s="14" t="n"/>
    </row>
    <row r="719">
      <c r="B719">
        <f>IFERROR(VLOOKUP(A719,Risk_Assessment!$B$2:$D$1000,2,FALSE),"")</f>
        <v/>
      </c>
      <c r="C719">
        <f>IF(ISBLANK(A719),"",A719&amp;"-M"&amp;TEXT(COUNTIF($A$2:A719,A719),"00"))</f>
        <v/>
      </c>
      <c r="H719" s="14" t="n"/>
      <c r="I719" s="14" t="n"/>
    </row>
    <row r="720">
      <c r="B720">
        <f>IFERROR(VLOOKUP(A720,Risk_Assessment!$B$2:$D$1000,2,FALSE),"")</f>
        <v/>
      </c>
      <c r="C720">
        <f>IF(ISBLANK(A720),"",A720&amp;"-M"&amp;TEXT(COUNTIF($A$2:A720,A720),"00"))</f>
        <v/>
      </c>
      <c r="H720" s="14" t="n"/>
      <c r="I720" s="14" t="n"/>
    </row>
    <row r="721">
      <c r="B721">
        <f>IFERROR(VLOOKUP(A721,Risk_Assessment!$B$2:$D$1000,2,FALSE),"")</f>
        <v/>
      </c>
      <c r="C721">
        <f>IF(ISBLANK(A721),"",A721&amp;"-M"&amp;TEXT(COUNTIF($A$2:A721,A721),"00"))</f>
        <v/>
      </c>
      <c r="H721" s="14" t="n"/>
      <c r="I721" s="14" t="n"/>
    </row>
    <row r="722">
      <c r="B722">
        <f>IFERROR(VLOOKUP(A722,Risk_Assessment!$B$2:$D$1000,2,FALSE),"")</f>
        <v/>
      </c>
      <c r="C722">
        <f>IF(ISBLANK(A722),"",A722&amp;"-M"&amp;TEXT(COUNTIF($A$2:A722,A722),"00"))</f>
        <v/>
      </c>
      <c r="H722" s="14" t="n"/>
      <c r="I722" s="14" t="n"/>
    </row>
    <row r="723">
      <c r="B723">
        <f>IFERROR(VLOOKUP(A723,Risk_Assessment!$B$2:$D$1000,2,FALSE),"")</f>
        <v/>
      </c>
      <c r="C723">
        <f>IF(ISBLANK(A723),"",A723&amp;"-M"&amp;TEXT(COUNTIF($A$2:A723,A723),"00"))</f>
        <v/>
      </c>
      <c r="H723" s="14" t="n"/>
      <c r="I723" s="14" t="n"/>
    </row>
    <row r="724">
      <c r="B724">
        <f>IFERROR(VLOOKUP(A724,Risk_Assessment!$B$2:$D$1000,2,FALSE),"")</f>
        <v/>
      </c>
      <c r="C724">
        <f>IF(ISBLANK(A724),"",A724&amp;"-M"&amp;TEXT(COUNTIF($A$2:A724,A724),"00"))</f>
        <v/>
      </c>
      <c r="H724" s="14" t="n"/>
      <c r="I724" s="14" t="n"/>
    </row>
    <row r="725">
      <c r="B725">
        <f>IFERROR(VLOOKUP(A725,Risk_Assessment!$B$2:$D$1000,2,FALSE),"")</f>
        <v/>
      </c>
      <c r="C725">
        <f>IF(ISBLANK(A725),"",A725&amp;"-M"&amp;TEXT(COUNTIF($A$2:A725,A725),"00"))</f>
        <v/>
      </c>
      <c r="H725" s="14" t="n"/>
      <c r="I725" s="14" t="n"/>
    </row>
    <row r="726">
      <c r="B726">
        <f>IFERROR(VLOOKUP(A726,Risk_Assessment!$B$2:$D$1000,2,FALSE),"")</f>
        <v/>
      </c>
      <c r="C726">
        <f>IF(ISBLANK(A726),"",A726&amp;"-M"&amp;TEXT(COUNTIF($A$2:A726,A726),"00"))</f>
        <v/>
      </c>
      <c r="H726" s="14" t="n"/>
      <c r="I726" s="14" t="n"/>
    </row>
    <row r="727">
      <c r="B727">
        <f>IFERROR(VLOOKUP(A727,Risk_Assessment!$B$2:$D$1000,2,FALSE),"")</f>
        <v/>
      </c>
      <c r="C727">
        <f>IF(ISBLANK(A727),"",A727&amp;"-M"&amp;TEXT(COUNTIF($A$2:A727,A727),"00"))</f>
        <v/>
      </c>
      <c r="H727" s="14" t="n"/>
      <c r="I727" s="14" t="n"/>
    </row>
    <row r="728">
      <c r="B728">
        <f>IFERROR(VLOOKUP(A728,Risk_Assessment!$B$2:$D$1000,2,FALSE),"")</f>
        <v/>
      </c>
      <c r="C728">
        <f>IF(ISBLANK(A728),"",A728&amp;"-M"&amp;TEXT(COUNTIF($A$2:A728,A728),"00"))</f>
        <v/>
      </c>
      <c r="H728" s="14" t="n"/>
      <c r="I728" s="14" t="n"/>
    </row>
    <row r="729">
      <c r="B729">
        <f>IFERROR(VLOOKUP(A729,Risk_Assessment!$B$2:$D$1000,2,FALSE),"")</f>
        <v/>
      </c>
      <c r="C729">
        <f>IF(ISBLANK(A729),"",A729&amp;"-M"&amp;TEXT(COUNTIF($A$2:A729,A729),"00"))</f>
        <v/>
      </c>
      <c r="H729" s="14" t="n"/>
      <c r="I729" s="14" t="n"/>
    </row>
    <row r="730">
      <c r="B730">
        <f>IFERROR(VLOOKUP(A730,Risk_Assessment!$B$2:$D$1000,2,FALSE),"")</f>
        <v/>
      </c>
      <c r="C730">
        <f>IF(ISBLANK(A730),"",A730&amp;"-M"&amp;TEXT(COUNTIF($A$2:A730,A730),"00"))</f>
        <v/>
      </c>
      <c r="H730" s="14" t="n"/>
      <c r="I730" s="14" t="n"/>
    </row>
    <row r="731">
      <c r="B731">
        <f>IFERROR(VLOOKUP(A731,Risk_Assessment!$B$2:$D$1000,2,FALSE),"")</f>
        <v/>
      </c>
      <c r="C731">
        <f>IF(ISBLANK(A731),"",A731&amp;"-M"&amp;TEXT(COUNTIF($A$2:A731,A731),"00"))</f>
        <v/>
      </c>
      <c r="H731" s="14" t="n"/>
      <c r="I731" s="14" t="n"/>
    </row>
    <row r="732">
      <c r="B732">
        <f>IFERROR(VLOOKUP(A732,Risk_Assessment!$B$2:$D$1000,2,FALSE),"")</f>
        <v/>
      </c>
      <c r="C732">
        <f>IF(ISBLANK(A732),"",A732&amp;"-M"&amp;TEXT(COUNTIF($A$2:A732,A732),"00"))</f>
        <v/>
      </c>
      <c r="H732" s="14" t="n"/>
      <c r="I732" s="14" t="n"/>
    </row>
    <row r="733">
      <c r="B733">
        <f>IFERROR(VLOOKUP(A733,Risk_Assessment!$B$2:$D$1000,2,FALSE),"")</f>
        <v/>
      </c>
      <c r="C733">
        <f>IF(ISBLANK(A733),"",A733&amp;"-M"&amp;TEXT(COUNTIF($A$2:A733,A733),"00"))</f>
        <v/>
      </c>
      <c r="H733" s="14" t="n"/>
      <c r="I733" s="14" t="n"/>
    </row>
    <row r="734">
      <c r="B734">
        <f>IFERROR(VLOOKUP(A734,Risk_Assessment!$B$2:$D$1000,2,FALSE),"")</f>
        <v/>
      </c>
      <c r="C734">
        <f>IF(ISBLANK(A734),"",A734&amp;"-M"&amp;TEXT(COUNTIF($A$2:A734,A734),"00"))</f>
        <v/>
      </c>
      <c r="H734" s="14" t="n"/>
      <c r="I734" s="14" t="n"/>
    </row>
    <row r="735">
      <c r="B735">
        <f>IFERROR(VLOOKUP(A735,Risk_Assessment!$B$2:$D$1000,2,FALSE),"")</f>
        <v/>
      </c>
      <c r="C735">
        <f>IF(ISBLANK(A735),"",A735&amp;"-M"&amp;TEXT(COUNTIF($A$2:A735,A735),"00"))</f>
        <v/>
      </c>
      <c r="H735" s="14" t="n"/>
      <c r="I735" s="14" t="n"/>
    </row>
    <row r="736">
      <c r="B736">
        <f>IFERROR(VLOOKUP(A736,Risk_Assessment!$B$2:$D$1000,2,FALSE),"")</f>
        <v/>
      </c>
      <c r="C736">
        <f>IF(ISBLANK(A736),"",A736&amp;"-M"&amp;TEXT(COUNTIF($A$2:A736,A736),"00"))</f>
        <v/>
      </c>
      <c r="H736" s="14" t="n"/>
      <c r="I736" s="14" t="n"/>
    </row>
    <row r="737">
      <c r="B737">
        <f>IFERROR(VLOOKUP(A737,Risk_Assessment!$B$2:$D$1000,2,FALSE),"")</f>
        <v/>
      </c>
      <c r="C737">
        <f>IF(ISBLANK(A737),"",A737&amp;"-M"&amp;TEXT(COUNTIF($A$2:A737,A737),"00"))</f>
        <v/>
      </c>
      <c r="H737" s="14" t="n"/>
      <c r="I737" s="14" t="n"/>
    </row>
    <row r="738">
      <c r="B738">
        <f>IFERROR(VLOOKUP(A738,Risk_Assessment!$B$2:$D$1000,2,FALSE),"")</f>
        <v/>
      </c>
      <c r="C738">
        <f>IF(ISBLANK(A738),"",A738&amp;"-M"&amp;TEXT(COUNTIF($A$2:A738,A738),"00"))</f>
        <v/>
      </c>
      <c r="H738" s="14" t="n"/>
      <c r="I738" s="14" t="n"/>
    </row>
    <row r="739">
      <c r="B739">
        <f>IFERROR(VLOOKUP(A739,Risk_Assessment!$B$2:$D$1000,2,FALSE),"")</f>
        <v/>
      </c>
      <c r="C739">
        <f>IF(ISBLANK(A739),"",A739&amp;"-M"&amp;TEXT(COUNTIF($A$2:A739,A739),"00"))</f>
        <v/>
      </c>
      <c r="H739" s="14" t="n"/>
      <c r="I739" s="14" t="n"/>
    </row>
    <row r="740">
      <c r="B740">
        <f>IFERROR(VLOOKUP(A740,Risk_Assessment!$B$2:$D$1000,2,FALSE),"")</f>
        <v/>
      </c>
      <c r="C740">
        <f>IF(ISBLANK(A740),"",A740&amp;"-M"&amp;TEXT(COUNTIF($A$2:A740,A740),"00"))</f>
        <v/>
      </c>
      <c r="H740" s="14" t="n"/>
      <c r="I740" s="14" t="n"/>
    </row>
    <row r="741">
      <c r="B741">
        <f>IFERROR(VLOOKUP(A741,Risk_Assessment!$B$2:$D$1000,2,FALSE),"")</f>
        <v/>
      </c>
      <c r="C741">
        <f>IF(ISBLANK(A741),"",A741&amp;"-M"&amp;TEXT(COUNTIF($A$2:A741,A741),"00"))</f>
        <v/>
      </c>
      <c r="H741" s="14" t="n"/>
      <c r="I741" s="14" t="n"/>
    </row>
    <row r="742">
      <c r="B742">
        <f>IFERROR(VLOOKUP(A742,Risk_Assessment!$B$2:$D$1000,2,FALSE),"")</f>
        <v/>
      </c>
      <c r="C742">
        <f>IF(ISBLANK(A742),"",A742&amp;"-M"&amp;TEXT(COUNTIF($A$2:A742,A742),"00"))</f>
        <v/>
      </c>
      <c r="H742" s="14" t="n"/>
      <c r="I742" s="14" t="n"/>
    </row>
    <row r="743">
      <c r="B743">
        <f>IFERROR(VLOOKUP(A743,Risk_Assessment!$B$2:$D$1000,2,FALSE),"")</f>
        <v/>
      </c>
      <c r="C743">
        <f>IF(ISBLANK(A743),"",A743&amp;"-M"&amp;TEXT(COUNTIF($A$2:A743,A743),"00"))</f>
        <v/>
      </c>
      <c r="H743" s="14" t="n"/>
      <c r="I743" s="14" t="n"/>
    </row>
    <row r="744">
      <c r="B744">
        <f>IFERROR(VLOOKUP(A744,Risk_Assessment!$B$2:$D$1000,2,FALSE),"")</f>
        <v/>
      </c>
      <c r="C744">
        <f>IF(ISBLANK(A744),"",A744&amp;"-M"&amp;TEXT(COUNTIF($A$2:A744,A744),"00"))</f>
        <v/>
      </c>
      <c r="H744" s="14" t="n"/>
      <c r="I744" s="14" t="n"/>
    </row>
    <row r="745">
      <c r="B745">
        <f>IFERROR(VLOOKUP(A745,Risk_Assessment!$B$2:$D$1000,2,FALSE),"")</f>
        <v/>
      </c>
      <c r="C745">
        <f>IF(ISBLANK(A745),"",A745&amp;"-M"&amp;TEXT(COUNTIF($A$2:A745,A745),"00"))</f>
        <v/>
      </c>
      <c r="H745" s="14" t="n"/>
      <c r="I745" s="14" t="n"/>
    </row>
    <row r="746">
      <c r="B746">
        <f>IFERROR(VLOOKUP(A746,Risk_Assessment!$B$2:$D$1000,2,FALSE),"")</f>
        <v/>
      </c>
      <c r="C746">
        <f>IF(ISBLANK(A746),"",A746&amp;"-M"&amp;TEXT(COUNTIF($A$2:A746,A746),"00"))</f>
        <v/>
      </c>
      <c r="H746" s="14" t="n"/>
      <c r="I746" s="14" t="n"/>
    </row>
    <row r="747">
      <c r="B747">
        <f>IFERROR(VLOOKUP(A747,Risk_Assessment!$B$2:$D$1000,2,FALSE),"")</f>
        <v/>
      </c>
      <c r="C747">
        <f>IF(ISBLANK(A747),"",A747&amp;"-M"&amp;TEXT(COUNTIF($A$2:A747,A747),"00"))</f>
        <v/>
      </c>
      <c r="H747" s="14" t="n"/>
      <c r="I747" s="14" t="n"/>
    </row>
    <row r="748">
      <c r="B748">
        <f>IFERROR(VLOOKUP(A748,Risk_Assessment!$B$2:$D$1000,2,FALSE),"")</f>
        <v/>
      </c>
      <c r="C748">
        <f>IF(ISBLANK(A748),"",A748&amp;"-M"&amp;TEXT(COUNTIF($A$2:A748,A748),"00"))</f>
        <v/>
      </c>
      <c r="H748" s="14" t="n"/>
      <c r="I748" s="14" t="n"/>
    </row>
    <row r="749">
      <c r="B749">
        <f>IFERROR(VLOOKUP(A749,Risk_Assessment!$B$2:$D$1000,2,FALSE),"")</f>
        <v/>
      </c>
      <c r="C749">
        <f>IF(ISBLANK(A749),"",A749&amp;"-M"&amp;TEXT(COUNTIF($A$2:A749,A749),"00"))</f>
        <v/>
      </c>
      <c r="H749" s="14" t="n"/>
      <c r="I749" s="14" t="n"/>
    </row>
    <row r="750">
      <c r="B750">
        <f>IFERROR(VLOOKUP(A750,Risk_Assessment!$B$2:$D$1000,2,FALSE),"")</f>
        <v/>
      </c>
      <c r="C750">
        <f>IF(ISBLANK(A750),"",A750&amp;"-M"&amp;TEXT(COUNTIF($A$2:A750,A750),"00"))</f>
        <v/>
      </c>
      <c r="H750" s="14" t="n"/>
      <c r="I750" s="14" t="n"/>
    </row>
    <row r="751">
      <c r="B751">
        <f>IFERROR(VLOOKUP(A751,Risk_Assessment!$B$2:$D$1000,2,FALSE),"")</f>
        <v/>
      </c>
      <c r="C751">
        <f>IF(ISBLANK(A751),"",A751&amp;"-M"&amp;TEXT(COUNTIF($A$2:A751,A751),"00"))</f>
        <v/>
      </c>
      <c r="H751" s="14" t="n"/>
      <c r="I751" s="14" t="n"/>
    </row>
    <row r="752">
      <c r="B752">
        <f>IFERROR(VLOOKUP(A752,Risk_Assessment!$B$2:$D$1000,2,FALSE),"")</f>
        <v/>
      </c>
      <c r="C752">
        <f>IF(ISBLANK(A752),"",A752&amp;"-M"&amp;TEXT(COUNTIF($A$2:A752,A752),"00"))</f>
        <v/>
      </c>
      <c r="H752" s="14" t="n"/>
      <c r="I752" s="14" t="n"/>
    </row>
    <row r="753">
      <c r="B753">
        <f>IFERROR(VLOOKUP(A753,Risk_Assessment!$B$2:$D$1000,2,FALSE),"")</f>
        <v/>
      </c>
      <c r="C753">
        <f>IF(ISBLANK(A753),"",A753&amp;"-M"&amp;TEXT(COUNTIF($A$2:A753,A753),"00"))</f>
        <v/>
      </c>
      <c r="H753" s="14" t="n"/>
      <c r="I753" s="14" t="n"/>
    </row>
    <row r="754">
      <c r="B754">
        <f>IFERROR(VLOOKUP(A754,Risk_Assessment!$B$2:$D$1000,2,FALSE),"")</f>
        <v/>
      </c>
      <c r="C754">
        <f>IF(ISBLANK(A754),"",A754&amp;"-M"&amp;TEXT(COUNTIF($A$2:A754,A754),"00"))</f>
        <v/>
      </c>
      <c r="H754" s="14" t="n"/>
      <c r="I754" s="14" t="n"/>
    </row>
    <row r="755">
      <c r="B755">
        <f>IFERROR(VLOOKUP(A755,Risk_Assessment!$B$2:$D$1000,2,FALSE),"")</f>
        <v/>
      </c>
      <c r="C755">
        <f>IF(ISBLANK(A755),"",A755&amp;"-M"&amp;TEXT(COUNTIF($A$2:A755,A755),"00"))</f>
        <v/>
      </c>
      <c r="H755" s="14" t="n"/>
      <c r="I755" s="14" t="n"/>
    </row>
    <row r="756">
      <c r="B756">
        <f>IFERROR(VLOOKUP(A756,Risk_Assessment!$B$2:$D$1000,2,FALSE),"")</f>
        <v/>
      </c>
      <c r="C756">
        <f>IF(ISBLANK(A756),"",A756&amp;"-M"&amp;TEXT(COUNTIF($A$2:A756,A756),"00"))</f>
        <v/>
      </c>
      <c r="H756" s="14" t="n"/>
      <c r="I756" s="14" t="n"/>
    </row>
    <row r="757">
      <c r="B757">
        <f>IFERROR(VLOOKUP(A757,Risk_Assessment!$B$2:$D$1000,2,FALSE),"")</f>
        <v/>
      </c>
      <c r="C757">
        <f>IF(ISBLANK(A757),"",A757&amp;"-M"&amp;TEXT(COUNTIF($A$2:A757,A757),"00"))</f>
        <v/>
      </c>
      <c r="H757" s="14" t="n"/>
      <c r="I757" s="14" t="n"/>
    </row>
    <row r="758">
      <c r="B758">
        <f>IFERROR(VLOOKUP(A758,Risk_Assessment!$B$2:$D$1000,2,FALSE),"")</f>
        <v/>
      </c>
      <c r="C758">
        <f>IF(ISBLANK(A758),"",A758&amp;"-M"&amp;TEXT(COUNTIF($A$2:A758,A758),"00"))</f>
        <v/>
      </c>
      <c r="H758" s="14" t="n"/>
      <c r="I758" s="14" t="n"/>
    </row>
    <row r="759">
      <c r="B759">
        <f>IFERROR(VLOOKUP(A759,Risk_Assessment!$B$2:$D$1000,2,FALSE),"")</f>
        <v/>
      </c>
      <c r="C759">
        <f>IF(ISBLANK(A759),"",A759&amp;"-M"&amp;TEXT(COUNTIF($A$2:A759,A759),"00"))</f>
        <v/>
      </c>
      <c r="H759" s="14" t="n"/>
      <c r="I759" s="14" t="n"/>
    </row>
    <row r="760">
      <c r="B760">
        <f>IFERROR(VLOOKUP(A760,Risk_Assessment!$B$2:$D$1000,2,FALSE),"")</f>
        <v/>
      </c>
      <c r="C760">
        <f>IF(ISBLANK(A760),"",A760&amp;"-M"&amp;TEXT(COUNTIF($A$2:A760,A760),"00"))</f>
        <v/>
      </c>
      <c r="H760" s="14" t="n"/>
      <c r="I760" s="14" t="n"/>
    </row>
    <row r="761">
      <c r="B761">
        <f>IFERROR(VLOOKUP(A761,Risk_Assessment!$B$2:$D$1000,2,FALSE),"")</f>
        <v/>
      </c>
      <c r="C761">
        <f>IF(ISBLANK(A761),"",A761&amp;"-M"&amp;TEXT(COUNTIF($A$2:A761,A761),"00"))</f>
        <v/>
      </c>
      <c r="H761" s="14" t="n"/>
      <c r="I761" s="14" t="n"/>
    </row>
    <row r="762">
      <c r="B762">
        <f>IFERROR(VLOOKUP(A762,Risk_Assessment!$B$2:$D$1000,2,FALSE),"")</f>
        <v/>
      </c>
      <c r="C762">
        <f>IF(ISBLANK(A762),"",A762&amp;"-M"&amp;TEXT(COUNTIF($A$2:A762,A762),"00"))</f>
        <v/>
      </c>
      <c r="H762" s="14" t="n"/>
      <c r="I762" s="14" t="n"/>
    </row>
    <row r="763">
      <c r="B763">
        <f>IFERROR(VLOOKUP(A763,Risk_Assessment!$B$2:$D$1000,2,FALSE),"")</f>
        <v/>
      </c>
      <c r="C763">
        <f>IF(ISBLANK(A763),"",A763&amp;"-M"&amp;TEXT(COUNTIF($A$2:A763,A763),"00"))</f>
        <v/>
      </c>
      <c r="H763" s="14" t="n"/>
      <c r="I763" s="14" t="n"/>
    </row>
    <row r="764">
      <c r="B764">
        <f>IFERROR(VLOOKUP(A764,Risk_Assessment!$B$2:$D$1000,2,FALSE),"")</f>
        <v/>
      </c>
      <c r="C764">
        <f>IF(ISBLANK(A764),"",A764&amp;"-M"&amp;TEXT(COUNTIF($A$2:A764,A764),"00"))</f>
        <v/>
      </c>
      <c r="H764" s="14" t="n"/>
      <c r="I764" s="14" t="n"/>
    </row>
    <row r="765">
      <c r="B765">
        <f>IFERROR(VLOOKUP(A765,Risk_Assessment!$B$2:$D$1000,2,FALSE),"")</f>
        <v/>
      </c>
      <c r="C765">
        <f>IF(ISBLANK(A765),"",A765&amp;"-M"&amp;TEXT(COUNTIF($A$2:A765,A765),"00"))</f>
        <v/>
      </c>
      <c r="H765" s="14" t="n"/>
      <c r="I765" s="14" t="n"/>
    </row>
    <row r="766">
      <c r="B766">
        <f>IFERROR(VLOOKUP(A766,Risk_Assessment!$B$2:$D$1000,2,FALSE),"")</f>
        <v/>
      </c>
      <c r="C766">
        <f>IF(ISBLANK(A766),"",A766&amp;"-M"&amp;TEXT(COUNTIF($A$2:A766,A766),"00"))</f>
        <v/>
      </c>
      <c r="H766" s="14" t="n"/>
      <c r="I766" s="14" t="n"/>
    </row>
    <row r="767">
      <c r="B767">
        <f>IFERROR(VLOOKUP(A767,Risk_Assessment!$B$2:$D$1000,2,FALSE),"")</f>
        <v/>
      </c>
      <c r="C767">
        <f>IF(ISBLANK(A767),"",A767&amp;"-M"&amp;TEXT(COUNTIF($A$2:A767,A767),"00"))</f>
        <v/>
      </c>
      <c r="H767" s="14" t="n"/>
      <c r="I767" s="14" t="n"/>
    </row>
    <row r="768">
      <c r="B768">
        <f>IFERROR(VLOOKUP(A768,Risk_Assessment!$B$2:$D$1000,2,FALSE),"")</f>
        <v/>
      </c>
      <c r="C768">
        <f>IF(ISBLANK(A768),"",A768&amp;"-M"&amp;TEXT(COUNTIF($A$2:A768,A768),"00"))</f>
        <v/>
      </c>
      <c r="H768" s="14" t="n"/>
      <c r="I768" s="14" t="n"/>
    </row>
    <row r="769">
      <c r="B769">
        <f>IFERROR(VLOOKUP(A769,Risk_Assessment!$B$2:$D$1000,2,FALSE),"")</f>
        <v/>
      </c>
      <c r="C769">
        <f>IF(ISBLANK(A769),"",A769&amp;"-M"&amp;TEXT(COUNTIF($A$2:A769,A769),"00"))</f>
        <v/>
      </c>
      <c r="H769" s="14" t="n"/>
      <c r="I769" s="14" t="n"/>
    </row>
    <row r="770">
      <c r="B770">
        <f>IFERROR(VLOOKUP(A770,Risk_Assessment!$B$2:$D$1000,2,FALSE),"")</f>
        <v/>
      </c>
      <c r="C770">
        <f>IF(ISBLANK(A770),"",A770&amp;"-M"&amp;TEXT(COUNTIF($A$2:A770,A770),"00"))</f>
        <v/>
      </c>
      <c r="H770" s="14" t="n"/>
      <c r="I770" s="14" t="n"/>
    </row>
    <row r="771">
      <c r="B771">
        <f>IFERROR(VLOOKUP(A771,Risk_Assessment!$B$2:$D$1000,2,FALSE),"")</f>
        <v/>
      </c>
      <c r="C771">
        <f>IF(ISBLANK(A771),"",A771&amp;"-M"&amp;TEXT(COUNTIF($A$2:A771,A771),"00"))</f>
        <v/>
      </c>
      <c r="H771" s="14" t="n"/>
      <c r="I771" s="14" t="n"/>
    </row>
    <row r="772">
      <c r="B772">
        <f>IFERROR(VLOOKUP(A772,Risk_Assessment!$B$2:$D$1000,2,FALSE),"")</f>
        <v/>
      </c>
      <c r="C772">
        <f>IF(ISBLANK(A772),"",A772&amp;"-M"&amp;TEXT(COUNTIF($A$2:A772,A772),"00"))</f>
        <v/>
      </c>
      <c r="H772" s="14" t="n"/>
      <c r="I772" s="14" t="n"/>
    </row>
    <row r="773">
      <c r="B773">
        <f>IFERROR(VLOOKUP(A773,Risk_Assessment!$B$2:$D$1000,2,FALSE),"")</f>
        <v/>
      </c>
      <c r="C773">
        <f>IF(ISBLANK(A773),"",A773&amp;"-M"&amp;TEXT(COUNTIF($A$2:A773,A773),"00"))</f>
        <v/>
      </c>
      <c r="H773" s="14" t="n"/>
      <c r="I773" s="14" t="n"/>
    </row>
    <row r="774">
      <c r="B774">
        <f>IFERROR(VLOOKUP(A774,Risk_Assessment!$B$2:$D$1000,2,FALSE),"")</f>
        <v/>
      </c>
      <c r="C774">
        <f>IF(ISBLANK(A774),"",A774&amp;"-M"&amp;TEXT(COUNTIF($A$2:A774,A774),"00"))</f>
        <v/>
      </c>
      <c r="H774" s="14" t="n"/>
      <c r="I774" s="14" t="n"/>
    </row>
    <row r="775">
      <c r="B775">
        <f>IFERROR(VLOOKUP(A775,Risk_Assessment!$B$2:$D$1000,2,FALSE),"")</f>
        <v/>
      </c>
      <c r="C775">
        <f>IF(ISBLANK(A775),"",A775&amp;"-M"&amp;TEXT(COUNTIF($A$2:A775,A775),"00"))</f>
        <v/>
      </c>
      <c r="H775" s="14" t="n"/>
      <c r="I775" s="14" t="n"/>
    </row>
    <row r="776">
      <c r="B776">
        <f>IFERROR(VLOOKUP(A776,Risk_Assessment!$B$2:$D$1000,2,FALSE),"")</f>
        <v/>
      </c>
      <c r="C776">
        <f>IF(ISBLANK(A776),"",A776&amp;"-M"&amp;TEXT(COUNTIF($A$2:A776,A776),"00"))</f>
        <v/>
      </c>
      <c r="H776" s="14" t="n"/>
      <c r="I776" s="14" t="n"/>
    </row>
    <row r="777">
      <c r="B777">
        <f>IFERROR(VLOOKUP(A777,Risk_Assessment!$B$2:$D$1000,2,FALSE),"")</f>
        <v/>
      </c>
      <c r="C777">
        <f>IF(ISBLANK(A777),"",A777&amp;"-M"&amp;TEXT(COUNTIF($A$2:A777,A777),"00"))</f>
        <v/>
      </c>
      <c r="H777" s="14" t="n"/>
      <c r="I777" s="14" t="n"/>
    </row>
    <row r="778">
      <c r="B778">
        <f>IFERROR(VLOOKUP(A778,Risk_Assessment!$B$2:$D$1000,2,FALSE),"")</f>
        <v/>
      </c>
      <c r="C778">
        <f>IF(ISBLANK(A778),"",A778&amp;"-M"&amp;TEXT(COUNTIF($A$2:A778,A778),"00"))</f>
        <v/>
      </c>
      <c r="H778" s="14" t="n"/>
      <c r="I778" s="14" t="n"/>
    </row>
    <row r="779">
      <c r="B779">
        <f>IFERROR(VLOOKUP(A779,Risk_Assessment!$B$2:$D$1000,2,FALSE),"")</f>
        <v/>
      </c>
      <c r="C779">
        <f>IF(ISBLANK(A779),"",A779&amp;"-M"&amp;TEXT(COUNTIF($A$2:A779,A779),"00"))</f>
        <v/>
      </c>
      <c r="H779" s="14" t="n"/>
      <c r="I779" s="14" t="n"/>
    </row>
    <row r="780">
      <c r="B780">
        <f>IFERROR(VLOOKUP(A780,Risk_Assessment!$B$2:$D$1000,2,FALSE),"")</f>
        <v/>
      </c>
      <c r="C780">
        <f>IF(ISBLANK(A780),"",A780&amp;"-M"&amp;TEXT(COUNTIF($A$2:A780,A780),"00"))</f>
        <v/>
      </c>
      <c r="H780" s="14" t="n"/>
      <c r="I780" s="14" t="n"/>
    </row>
    <row r="781">
      <c r="B781">
        <f>IFERROR(VLOOKUP(A781,Risk_Assessment!$B$2:$D$1000,2,FALSE),"")</f>
        <v/>
      </c>
      <c r="C781">
        <f>IF(ISBLANK(A781),"",A781&amp;"-M"&amp;TEXT(COUNTIF($A$2:A781,A781),"00"))</f>
        <v/>
      </c>
      <c r="H781" s="14" t="n"/>
      <c r="I781" s="14" t="n"/>
    </row>
    <row r="782">
      <c r="B782">
        <f>IFERROR(VLOOKUP(A782,Risk_Assessment!$B$2:$D$1000,2,FALSE),"")</f>
        <v/>
      </c>
      <c r="C782">
        <f>IF(ISBLANK(A782),"",A782&amp;"-M"&amp;TEXT(COUNTIF($A$2:A782,A782),"00"))</f>
        <v/>
      </c>
      <c r="H782" s="14" t="n"/>
      <c r="I782" s="14" t="n"/>
    </row>
    <row r="783">
      <c r="B783">
        <f>IFERROR(VLOOKUP(A783,Risk_Assessment!$B$2:$D$1000,2,FALSE),"")</f>
        <v/>
      </c>
      <c r="C783">
        <f>IF(ISBLANK(A783),"",A783&amp;"-M"&amp;TEXT(COUNTIF($A$2:A783,A783),"00"))</f>
        <v/>
      </c>
      <c r="H783" s="14" t="n"/>
      <c r="I783" s="14" t="n"/>
    </row>
    <row r="784">
      <c r="B784">
        <f>IFERROR(VLOOKUP(A784,Risk_Assessment!$B$2:$D$1000,2,FALSE),"")</f>
        <v/>
      </c>
      <c r="C784">
        <f>IF(ISBLANK(A784),"",A784&amp;"-M"&amp;TEXT(COUNTIF($A$2:A784,A784),"00"))</f>
        <v/>
      </c>
      <c r="H784" s="14" t="n"/>
      <c r="I784" s="14" t="n"/>
    </row>
    <row r="785">
      <c r="B785">
        <f>IFERROR(VLOOKUP(A785,Risk_Assessment!$B$2:$D$1000,2,FALSE),"")</f>
        <v/>
      </c>
      <c r="C785">
        <f>IF(ISBLANK(A785),"",A785&amp;"-M"&amp;TEXT(COUNTIF($A$2:A785,A785),"00"))</f>
        <v/>
      </c>
      <c r="H785" s="14" t="n"/>
      <c r="I785" s="14" t="n"/>
    </row>
    <row r="786">
      <c r="B786">
        <f>IFERROR(VLOOKUP(A786,Risk_Assessment!$B$2:$D$1000,2,FALSE),"")</f>
        <v/>
      </c>
      <c r="C786">
        <f>IF(ISBLANK(A786),"",A786&amp;"-M"&amp;TEXT(COUNTIF($A$2:A786,A786),"00"))</f>
        <v/>
      </c>
      <c r="H786" s="14" t="n"/>
      <c r="I786" s="14" t="n"/>
    </row>
    <row r="787">
      <c r="B787">
        <f>IFERROR(VLOOKUP(A787,Risk_Assessment!$B$2:$D$1000,2,FALSE),"")</f>
        <v/>
      </c>
      <c r="C787">
        <f>IF(ISBLANK(A787),"",A787&amp;"-M"&amp;TEXT(COUNTIF($A$2:A787,A787),"00"))</f>
        <v/>
      </c>
      <c r="H787" s="14" t="n"/>
      <c r="I787" s="14" t="n"/>
    </row>
    <row r="788">
      <c r="B788">
        <f>IFERROR(VLOOKUP(A788,Risk_Assessment!$B$2:$D$1000,2,FALSE),"")</f>
        <v/>
      </c>
      <c r="C788">
        <f>IF(ISBLANK(A788),"",A788&amp;"-M"&amp;TEXT(COUNTIF($A$2:A788,A788),"00"))</f>
        <v/>
      </c>
      <c r="H788" s="14" t="n"/>
      <c r="I788" s="14" t="n"/>
    </row>
    <row r="789">
      <c r="B789">
        <f>IFERROR(VLOOKUP(A789,Risk_Assessment!$B$2:$D$1000,2,FALSE),"")</f>
        <v/>
      </c>
      <c r="C789">
        <f>IF(ISBLANK(A789),"",A789&amp;"-M"&amp;TEXT(COUNTIF($A$2:A789,A789),"00"))</f>
        <v/>
      </c>
      <c r="H789" s="14" t="n"/>
      <c r="I789" s="14" t="n"/>
    </row>
    <row r="790">
      <c r="B790">
        <f>IFERROR(VLOOKUP(A790,Risk_Assessment!$B$2:$D$1000,2,FALSE),"")</f>
        <v/>
      </c>
      <c r="C790">
        <f>IF(ISBLANK(A790),"",A790&amp;"-M"&amp;TEXT(COUNTIF($A$2:A790,A790),"00"))</f>
        <v/>
      </c>
      <c r="H790" s="14" t="n"/>
      <c r="I790" s="14" t="n"/>
    </row>
    <row r="791">
      <c r="B791">
        <f>IFERROR(VLOOKUP(A791,Risk_Assessment!$B$2:$D$1000,2,FALSE),"")</f>
        <v/>
      </c>
      <c r="C791">
        <f>IF(ISBLANK(A791),"",A791&amp;"-M"&amp;TEXT(COUNTIF($A$2:A791,A791),"00"))</f>
        <v/>
      </c>
      <c r="H791" s="14" t="n"/>
      <c r="I791" s="14" t="n"/>
    </row>
    <row r="792">
      <c r="B792">
        <f>IFERROR(VLOOKUP(A792,Risk_Assessment!$B$2:$D$1000,2,FALSE),"")</f>
        <v/>
      </c>
      <c r="C792">
        <f>IF(ISBLANK(A792),"",A792&amp;"-M"&amp;TEXT(COUNTIF($A$2:A792,A792),"00"))</f>
        <v/>
      </c>
      <c r="H792" s="14" t="n"/>
      <c r="I792" s="14" t="n"/>
    </row>
    <row r="793">
      <c r="B793">
        <f>IFERROR(VLOOKUP(A793,Risk_Assessment!$B$2:$D$1000,2,FALSE),"")</f>
        <v/>
      </c>
      <c r="C793">
        <f>IF(ISBLANK(A793),"",A793&amp;"-M"&amp;TEXT(COUNTIF($A$2:A793,A793),"00"))</f>
        <v/>
      </c>
      <c r="H793" s="14" t="n"/>
      <c r="I793" s="14" t="n"/>
    </row>
    <row r="794">
      <c r="B794">
        <f>IFERROR(VLOOKUP(A794,Risk_Assessment!$B$2:$D$1000,2,FALSE),"")</f>
        <v/>
      </c>
      <c r="C794">
        <f>IF(ISBLANK(A794),"",A794&amp;"-M"&amp;TEXT(COUNTIF($A$2:A794,A794),"00"))</f>
        <v/>
      </c>
      <c r="H794" s="14" t="n"/>
      <c r="I794" s="14" t="n"/>
    </row>
    <row r="795">
      <c r="B795">
        <f>IFERROR(VLOOKUP(A795,Risk_Assessment!$B$2:$D$1000,2,FALSE),"")</f>
        <v/>
      </c>
      <c r="C795">
        <f>IF(ISBLANK(A795),"",A795&amp;"-M"&amp;TEXT(COUNTIF($A$2:A795,A795),"00"))</f>
        <v/>
      </c>
      <c r="H795" s="14" t="n"/>
      <c r="I795" s="14" t="n"/>
    </row>
    <row r="796">
      <c r="B796">
        <f>IFERROR(VLOOKUP(A796,Risk_Assessment!$B$2:$D$1000,2,FALSE),"")</f>
        <v/>
      </c>
      <c r="C796">
        <f>IF(ISBLANK(A796),"",A796&amp;"-M"&amp;TEXT(COUNTIF($A$2:A796,A796),"00"))</f>
        <v/>
      </c>
      <c r="H796" s="14" t="n"/>
      <c r="I796" s="14" t="n"/>
    </row>
    <row r="797">
      <c r="B797">
        <f>IFERROR(VLOOKUP(A797,Risk_Assessment!$B$2:$D$1000,2,FALSE),"")</f>
        <v/>
      </c>
      <c r="C797">
        <f>IF(ISBLANK(A797),"",A797&amp;"-M"&amp;TEXT(COUNTIF($A$2:A797,A797),"00"))</f>
        <v/>
      </c>
      <c r="H797" s="14" t="n"/>
      <c r="I797" s="14" t="n"/>
    </row>
    <row r="798">
      <c r="B798">
        <f>IFERROR(VLOOKUP(A798,Risk_Assessment!$B$2:$D$1000,2,FALSE),"")</f>
        <v/>
      </c>
      <c r="C798">
        <f>IF(ISBLANK(A798),"",A798&amp;"-M"&amp;TEXT(COUNTIF($A$2:A798,A798),"00"))</f>
        <v/>
      </c>
      <c r="H798" s="14" t="n"/>
      <c r="I798" s="14" t="n"/>
    </row>
    <row r="799">
      <c r="B799">
        <f>IFERROR(VLOOKUP(A799,Risk_Assessment!$B$2:$D$1000,2,FALSE),"")</f>
        <v/>
      </c>
      <c r="C799">
        <f>IF(ISBLANK(A799),"",A799&amp;"-M"&amp;TEXT(COUNTIF($A$2:A799,A799),"00"))</f>
        <v/>
      </c>
      <c r="H799" s="14" t="n"/>
      <c r="I799" s="14" t="n"/>
    </row>
    <row r="800">
      <c r="B800">
        <f>IFERROR(VLOOKUP(A800,Risk_Assessment!$B$2:$D$1000,2,FALSE),"")</f>
        <v/>
      </c>
      <c r="C800">
        <f>IF(ISBLANK(A800),"",A800&amp;"-M"&amp;TEXT(COUNTIF($A$2:A800,A800),"00"))</f>
        <v/>
      </c>
      <c r="H800" s="14" t="n"/>
      <c r="I800" s="14" t="n"/>
    </row>
    <row r="801">
      <c r="B801">
        <f>IFERROR(VLOOKUP(A801,Risk_Assessment!$B$2:$D$1000,2,FALSE),"")</f>
        <v/>
      </c>
      <c r="C801">
        <f>IF(ISBLANK(A801),"",A801&amp;"-M"&amp;TEXT(COUNTIF($A$2:A801,A801),"00"))</f>
        <v/>
      </c>
      <c r="H801" s="14" t="n"/>
      <c r="I801" s="14" t="n"/>
    </row>
    <row r="802">
      <c r="B802">
        <f>IFERROR(VLOOKUP(A802,Risk_Assessment!$B$2:$D$1000,2,FALSE),"")</f>
        <v/>
      </c>
      <c r="C802">
        <f>IF(ISBLANK(A802),"",A802&amp;"-M"&amp;TEXT(COUNTIF($A$2:A802,A802),"00"))</f>
        <v/>
      </c>
      <c r="H802" s="14" t="n"/>
      <c r="I802" s="14" t="n"/>
    </row>
    <row r="803">
      <c r="B803">
        <f>IFERROR(VLOOKUP(A803,Risk_Assessment!$B$2:$D$1000,2,FALSE),"")</f>
        <v/>
      </c>
      <c r="C803">
        <f>IF(ISBLANK(A803),"",A803&amp;"-M"&amp;TEXT(COUNTIF($A$2:A803,A803),"00"))</f>
        <v/>
      </c>
      <c r="H803" s="14" t="n"/>
      <c r="I803" s="14" t="n"/>
    </row>
    <row r="804">
      <c r="B804">
        <f>IFERROR(VLOOKUP(A804,Risk_Assessment!$B$2:$D$1000,2,FALSE),"")</f>
        <v/>
      </c>
      <c r="C804">
        <f>IF(ISBLANK(A804),"",A804&amp;"-M"&amp;TEXT(COUNTIF($A$2:A804,A804),"00"))</f>
        <v/>
      </c>
      <c r="H804" s="14" t="n"/>
      <c r="I804" s="14" t="n"/>
    </row>
    <row r="805">
      <c r="B805">
        <f>IFERROR(VLOOKUP(A805,Risk_Assessment!$B$2:$D$1000,2,FALSE),"")</f>
        <v/>
      </c>
      <c r="C805">
        <f>IF(ISBLANK(A805),"",A805&amp;"-M"&amp;TEXT(COUNTIF($A$2:A805,A805),"00"))</f>
        <v/>
      </c>
      <c r="H805" s="14" t="n"/>
      <c r="I805" s="14" t="n"/>
    </row>
    <row r="806">
      <c r="B806">
        <f>IFERROR(VLOOKUP(A806,Risk_Assessment!$B$2:$D$1000,2,FALSE),"")</f>
        <v/>
      </c>
      <c r="C806">
        <f>IF(ISBLANK(A806),"",A806&amp;"-M"&amp;TEXT(COUNTIF($A$2:A806,A806),"00"))</f>
        <v/>
      </c>
      <c r="H806" s="14" t="n"/>
      <c r="I806" s="14" t="n"/>
    </row>
    <row r="807">
      <c r="B807">
        <f>IFERROR(VLOOKUP(A807,Risk_Assessment!$B$2:$D$1000,2,FALSE),"")</f>
        <v/>
      </c>
      <c r="C807">
        <f>IF(ISBLANK(A807),"",A807&amp;"-M"&amp;TEXT(COUNTIF($A$2:A807,A807),"00"))</f>
        <v/>
      </c>
      <c r="H807" s="14" t="n"/>
      <c r="I807" s="14" t="n"/>
    </row>
    <row r="808">
      <c r="B808">
        <f>IFERROR(VLOOKUP(A808,Risk_Assessment!$B$2:$D$1000,2,FALSE),"")</f>
        <v/>
      </c>
      <c r="C808">
        <f>IF(ISBLANK(A808),"",A808&amp;"-M"&amp;TEXT(COUNTIF($A$2:A808,A808),"00"))</f>
        <v/>
      </c>
      <c r="H808" s="14" t="n"/>
      <c r="I808" s="14" t="n"/>
    </row>
    <row r="809">
      <c r="B809">
        <f>IFERROR(VLOOKUP(A809,Risk_Assessment!$B$2:$D$1000,2,FALSE),"")</f>
        <v/>
      </c>
      <c r="C809">
        <f>IF(ISBLANK(A809),"",A809&amp;"-M"&amp;TEXT(COUNTIF($A$2:A809,A809),"00"))</f>
        <v/>
      </c>
      <c r="H809" s="14" t="n"/>
      <c r="I809" s="14" t="n"/>
    </row>
    <row r="810">
      <c r="B810">
        <f>IFERROR(VLOOKUP(A810,Risk_Assessment!$B$2:$D$1000,2,FALSE),"")</f>
        <v/>
      </c>
      <c r="C810">
        <f>IF(ISBLANK(A810),"",A810&amp;"-M"&amp;TEXT(COUNTIF($A$2:A810,A810),"00"))</f>
        <v/>
      </c>
      <c r="H810" s="14" t="n"/>
      <c r="I810" s="14" t="n"/>
    </row>
    <row r="811">
      <c r="B811">
        <f>IFERROR(VLOOKUP(A811,Risk_Assessment!$B$2:$D$1000,2,FALSE),"")</f>
        <v/>
      </c>
      <c r="C811">
        <f>IF(ISBLANK(A811),"",A811&amp;"-M"&amp;TEXT(COUNTIF($A$2:A811,A811),"00"))</f>
        <v/>
      </c>
      <c r="H811" s="14" t="n"/>
      <c r="I811" s="14" t="n"/>
    </row>
    <row r="812">
      <c r="B812">
        <f>IFERROR(VLOOKUP(A812,Risk_Assessment!$B$2:$D$1000,2,FALSE),"")</f>
        <v/>
      </c>
      <c r="C812">
        <f>IF(ISBLANK(A812),"",A812&amp;"-M"&amp;TEXT(COUNTIF($A$2:A812,A812),"00"))</f>
        <v/>
      </c>
      <c r="H812" s="14" t="n"/>
      <c r="I812" s="14" t="n"/>
    </row>
    <row r="813">
      <c r="B813">
        <f>IFERROR(VLOOKUP(A813,Risk_Assessment!$B$2:$D$1000,2,FALSE),"")</f>
        <v/>
      </c>
      <c r="C813">
        <f>IF(ISBLANK(A813),"",A813&amp;"-M"&amp;TEXT(COUNTIF($A$2:A813,A813),"00"))</f>
        <v/>
      </c>
      <c r="H813" s="14" t="n"/>
      <c r="I813" s="14" t="n"/>
    </row>
    <row r="814">
      <c r="B814">
        <f>IFERROR(VLOOKUP(A814,Risk_Assessment!$B$2:$D$1000,2,FALSE),"")</f>
        <v/>
      </c>
      <c r="C814">
        <f>IF(ISBLANK(A814),"",A814&amp;"-M"&amp;TEXT(COUNTIF($A$2:A814,A814),"00"))</f>
        <v/>
      </c>
      <c r="H814" s="14" t="n"/>
      <c r="I814" s="14" t="n"/>
    </row>
    <row r="815">
      <c r="B815">
        <f>IFERROR(VLOOKUP(A815,Risk_Assessment!$B$2:$D$1000,2,FALSE),"")</f>
        <v/>
      </c>
      <c r="C815">
        <f>IF(ISBLANK(A815),"",A815&amp;"-M"&amp;TEXT(COUNTIF($A$2:A815,A815),"00"))</f>
        <v/>
      </c>
      <c r="H815" s="14" t="n"/>
      <c r="I815" s="14" t="n"/>
    </row>
    <row r="816">
      <c r="B816">
        <f>IFERROR(VLOOKUP(A816,Risk_Assessment!$B$2:$D$1000,2,FALSE),"")</f>
        <v/>
      </c>
      <c r="C816">
        <f>IF(ISBLANK(A816),"",A816&amp;"-M"&amp;TEXT(COUNTIF($A$2:A816,A816),"00"))</f>
        <v/>
      </c>
      <c r="H816" s="14" t="n"/>
      <c r="I816" s="14" t="n"/>
    </row>
    <row r="817">
      <c r="B817">
        <f>IFERROR(VLOOKUP(A817,Risk_Assessment!$B$2:$D$1000,2,FALSE),"")</f>
        <v/>
      </c>
      <c r="C817">
        <f>IF(ISBLANK(A817),"",A817&amp;"-M"&amp;TEXT(COUNTIF($A$2:A817,A817),"00"))</f>
        <v/>
      </c>
      <c r="H817" s="14" t="n"/>
      <c r="I817" s="14" t="n"/>
    </row>
    <row r="818">
      <c r="B818">
        <f>IFERROR(VLOOKUP(A818,Risk_Assessment!$B$2:$D$1000,2,FALSE),"")</f>
        <v/>
      </c>
      <c r="C818">
        <f>IF(ISBLANK(A818),"",A818&amp;"-M"&amp;TEXT(COUNTIF($A$2:A818,A818),"00"))</f>
        <v/>
      </c>
      <c r="H818" s="14" t="n"/>
      <c r="I818" s="14" t="n"/>
    </row>
    <row r="819">
      <c r="B819">
        <f>IFERROR(VLOOKUP(A819,Risk_Assessment!$B$2:$D$1000,2,FALSE),"")</f>
        <v/>
      </c>
      <c r="C819">
        <f>IF(ISBLANK(A819),"",A819&amp;"-M"&amp;TEXT(COUNTIF($A$2:A819,A819),"00"))</f>
        <v/>
      </c>
      <c r="H819" s="14" t="n"/>
      <c r="I819" s="14" t="n"/>
    </row>
    <row r="820">
      <c r="B820">
        <f>IFERROR(VLOOKUP(A820,Risk_Assessment!$B$2:$D$1000,2,FALSE),"")</f>
        <v/>
      </c>
      <c r="C820">
        <f>IF(ISBLANK(A820),"",A820&amp;"-M"&amp;TEXT(COUNTIF($A$2:A820,A820),"00"))</f>
        <v/>
      </c>
      <c r="H820" s="14" t="n"/>
      <c r="I820" s="14" t="n"/>
    </row>
    <row r="821">
      <c r="B821">
        <f>IFERROR(VLOOKUP(A821,Risk_Assessment!$B$2:$D$1000,2,FALSE),"")</f>
        <v/>
      </c>
      <c r="C821">
        <f>IF(ISBLANK(A821),"",A821&amp;"-M"&amp;TEXT(COUNTIF($A$2:A821,A821),"00"))</f>
        <v/>
      </c>
      <c r="H821" s="14" t="n"/>
      <c r="I821" s="14" t="n"/>
    </row>
    <row r="822">
      <c r="B822">
        <f>IFERROR(VLOOKUP(A822,Risk_Assessment!$B$2:$D$1000,2,FALSE),"")</f>
        <v/>
      </c>
      <c r="C822">
        <f>IF(ISBLANK(A822),"",A822&amp;"-M"&amp;TEXT(COUNTIF($A$2:A822,A822),"00"))</f>
        <v/>
      </c>
      <c r="H822" s="14" t="n"/>
      <c r="I822" s="14" t="n"/>
    </row>
    <row r="823">
      <c r="B823">
        <f>IFERROR(VLOOKUP(A823,Risk_Assessment!$B$2:$D$1000,2,FALSE),"")</f>
        <v/>
      </c>
      <c r="C823">
        <f>IF(ISBLANK(A823),"",A823&amp;"-M"&amp;TEXT(COUNTIF($A$2:A823,A823),"00"))</f>
        <v/>
      </c>
      <c r="H823" s="14" t="n"/>
      <c r="I823" s="14" t="n"/>
    </row>
    <row r="824">
      <c r="B824">
        <f>IFERROR(VLOOKUP(A824,Risk_Assessment!$B$2:$D$1000,2,FALSE),"")</f>
        <v/>
      </c>
      <c r="C824">
        <f>IF(ISBLANK(A824),"",A824&amp;"-M"&amp;TEXT(COUNTIF($A$2:A824,A824),"00"))</f>
        <v/>
      </c>
      <c r="H824" s="14" t="n"/>
      <c r="I824" s="14" t="n"/>
    </row>
    <row r="825">
      <c r="B825">
        <f>IFERROR(VLOOKUP(A825,Risk_Assessment!$B$2:$D$1000,2,FALSE),"")</f>
        <v/>
      </c>
      <c r="C825">
        <f>IF(ISBLANK(A825),"",A825&amp;"-M"&amp;TEXT(COUNTIF($A$2:A825,A825),"00"))</f>
        <v/>
      </c>
      <c r="H825" s="14" t="n"/>
      <c r="I825" s="14" t="n"/>
    </row>
    <row r="826">
      <c r="B826">
        <f>IFERROR(VLOOKUP(A826,Risk_Assessment!$B$2:$D$1000,2,FALSE),"")</f>
        <v/>
      </c>
      <c r="C826">
        <f>IF(ISBLANK(A826),"",A826&amp;"-M"&amp;TEXT(COUNTIF($A$2:A826,A826),"00"))</f>
        <v/>
      </c>
      <c r="H826" s="14" t="n"/>
      <c r="I826" s="14" t="n"/>
    </row>
    <row r="827">
      <c r="B827">
        <f>IFERROR(VLOOKUP(A827,Risk_Assessment!$B$2:$D$1000,2,FALSE),"")</f>
        <v/>
      </c>
      <c r="C827">
        <f>IF(ISBLANK(A827),"",A827&amp;"-M"&amp;TEXT(COUNTIF($A$2:A827,A827),"00"))</f>
        <v/>
      </c>
      <c r="H827" s="14" t="n"/>
      <c r="I827" s="14" t="n"/>
    </row>
    <row r="828">
      <c r="B828">
        <f>IFERROR(VLOOKUP(A828,Risk_Assessment!$B$2:$D$1000,2,FALSE),"")</f>
        <v/>
      </c>
      <c r="C828">
        <f>IF(ISBLANK(A828),"",A828&amp;"-M"&amp;TEXT(COUNTIF($A$2:A828,A828),"00"))</f>
        <v/>
      </c>
      <c r="H828" s="14" t="n"/>
      <c r="I828" s="14" t="n"/>
    </row>
    <row r="829">
      <c r="B829">
        <f>IFERROR(VLOOKUP(A829,Risk_Assessment!$B$2:$D$1000,2,FALSE),"")</f>
        <v/>
      </c>
      <c r="C829">
        <f>IF(ISBLANK(A829),"",A829&amp;"-M"&amp;TEXT(COUNTIF($A$2:A829,A829),"00"))</f>
        <v/>
      </c>
      <c r="H829" s="14" t="n"/>
      <c r="I829" s="14" t="n"/>
    </row>
    <row r="830">
      <c r="B830">
        <f>IFERROR(VLOOKUP(A830,Risk_Assessment!$B$2:$D$1000,2,FALSE),"")</f>
        <v/>
      </c>
      <c r="C830">
        <f>IF(ISBLANK(A830),"",A830&amp;"-M"&amp;TEXT(COUNTIF($A$2:A830,A830),"00"))</f>
        <v/>
      </c>
      <c r="H830" s="14" t="n"/>
      <c r="I830" s="14" t="n"/>
    </row>
    <row r="831">
      <c r="B831">
        <f>IFERROR(VLOOKUP(A831,Risk_Assessment!$B$2:$D$1000,2,FALSE),"")</f>
        <v/>
      </c>
      <c r="C831">
        <f>IF(ISBLANK(A831),"",A831&amp;"-M"&amp;TEXT(COUNTIF($A$2:A831,A831),"00"))</f>
        <v/>
      </c>
      <c r="H831" s="14" t="n"/>
      <c r="I831" s="14" t="n"/>
    </row>
    <row r="832">
      <c r="B832">
        <f>IFERROR(VLOOKUP(A832,Risk_Assessment!$B$2:$D$1000,2,FALSE),"")</f>
        <v/>
      </c>
      <c r="C832">
        <f>IF(ISBLANK(A832),"",A832&amp;"-M"&amp;TEXT(COUNTIF($A$2:A832,A832),"00"))</f>
        <v/>
      </c>
      <c r="H832" s="14" t="n"/>
      <c r="I832" s="14" t="n"/>
    </row>
    <row r="833">
      <c r="B833">
        <f>IFERROR(VLOOKUP(A833,Risk_Assessment!$B$2:$D$1000,2,FALSE),"")</f>
        <v/>
      </c>
      <c r="C833">
        <f>IF(ISBLANK(A833),"",A833&amp;"-M"&amp;TEXT(COUNTIF($A$2:A833,A833),"00"))</f>
        <v/>
      </c>
      <c r="H833" s="14" t="n"/>
      <c r="I833" s="14" t="n"/>
    </row>
    <row r="834">
      <c r="B834">
        <f>IFERROR(VLOOKUP(A834,Risk_Assessment!$B$2:$D$1000,2,FALSE),"")</f>
        <v/>
      </c>
      <c r="C834">
        <f>IF(ISBLANK(A834),"",A834&amp;"-M"&amp;TEXT(COUNTIF($A$2:A834,A834),"00"))</f>
        <v/>
      </c>
      <c r="H834" s="14" t="n"/>
      <c r="I834" s="14" t="n"/>
    </row>
    <row r="835">
      <c r="B835">
        <f>IFERROR(VLOOKUP(A835,Risk_Assessment!$B$2:$D$1000,2,FALSE),"")</f>
        <v/>
      </c>
      <c r="C835">
        <f>IF(ISBLANK(A835),"",A835&amp;"-M"&amp;TEXT(COUNTIF($A$2:A835,A835),"00"))</f>
        <v/>
      </c>
      <c r="H835" s="14" t="n"/>
      <c r="I835" s="14" t="n"/>
    </row>
    <row r="836">
      <c r="B836">
        <f>IFERROR(VLOOKUP(A836,Risk_Assessment!$B$2:$D$1000,2,FALSE),"")</f>
        <v/>
      </c>
      <c r="C836">
        <f>IF(ISBLANK(A836),"",A836&amp;"-M"&amp;TEXT(COUNTIF($A$2:A836,A836),"00"))</f>
        <v/>
      </c>
      <c r="H836" s="14" t="n"/>
      <c r="I836" s="14" t="n"/>
    </row>
    <row r="837">
      <c r="B837">
        <f>IFERROR(VLOOKUP(A837,Risk_Assessment!$B$2:$D$1000,2,FALSE),"")</f>
        <v/>
      </c>
      <c r="C837">
        <f>IF(ISBLANK(A837),"",A837&amp;"-M"&amp;TEXT(COUNTIF($A$2:A837,A837),"00"))</f>
        <v/>
      </c>
      <c r="H837" s="14" t="n"/>
      <c r="I837" s="14" t="n"/>
    </row>
    <row r="838">
      <c r="B838">
        <f>IFERROR(VLOOKUP(A838,Risk_Assessment!$B$2:$D$1000,2,FALSE),"")</f>
        <v/>
      </c>
      <c r="C838">
        <f>IF(ISBLANK(A838),"",A838&amp;"-M"&amp;TEXT(COUNTIF($A$2:A838,A838),"00"))</f>
        <v/>
      </c>
      <c r="H838" s="14" t="n"/>
      <c r="I838" s="14" t="n"/>
    </row>
    <row r="839">
      <c r="B839">
        <f>IFERROR(VLOOKUP(A839,Risk_Assessment!$B$2:$D$1000,2,FALSE),"")</f>
        <v/>
      </c>
      <c r="C839">
        <f>IF(ISBLANK(A839),"",A839&amp;"-M"&amp;TEXT(COUNTIF($A$2:A839,A839),"00"))</f>
        <v/>
      </c>
      <c r="H839" s="14" t="n"/>
      <c r="I839" s="14" t="n"/>
    </row>
    <row r="840">
      <c r="B840">
        <f>IFERROR(VLOOKUP(A840,Risk_Assessment!$B$2:$D$1000,2,FALSE),"")</f>
        <v/>
      </c>
      <c r="C840">
        <f>IF(ISBLANK(A840),"",A840&amp;"-M"&amp;TEXT(COUNTIF($A$2:A840,A840),"00"))</f>
        <v/>
      </c>
      <c r="H840" s="14" t="n"/>
      <c r="I840" s="14" t="n"/>
    </row>
    <row r="841">
      <c r="B841">
        <f>IFERROR(VLOOKUP(A841,Risk_Assessment!$B$2:$D$1000,2,FALSE),"")</f>
        <v/>
      </c>
      <c r="C841">
        <f>IF(ISBLANK(A841),"",A841&amp;"-M"&amp;TEXT(COUNTIF($A$2:A841,A841),"00"))</f>
        <v/>
      </c>
      <c r="H841" s="14" t="n"/>
      <c r="I841" s="14" t="n"/>
    </row>
    <row r="842">
      <c r="B842">
        <f>IFERROR(VLOOKUP(A842,Risk_Assessment!$B$2:$D$1000,2,FALSE),"")</f>
        <v/>
      </c>
      <c r="C842">
        <f>IF(ISBLANK(A842),"",A842&amp;"-M"&amp;TEXT(COUNTIF($A$2:A842,A842),"00"))</f>
        <v/>
      </c>
      <c r="H842" s="14" t="n"/>
      <c r="I842" s="14" t="n"/>
    </row>
    <row r="843">
      <c r="B843">
        <f>IFERROR(VLOOKUP(A843,Risk_Assessment!$B$2:$D$1000,2,FALSE),"")</f>
        <v/>
      </c>
      <c r="C843">
        <f>IF(ISBLANK(A843),"",A843&amp;"-M"&amp;TEXT(COUNTIF($A$2:A843,A843),"00"))</f>
        <v/>
      </c>
      <c r="H843" s="14" t="n"/>
      <c r="I843" s="14" t="n"/>
    </row>
    <row r="844">
      <c r="B844">
        <f>IFERROR(VLOOKUP(A844,Risk_Assessment!$B$2:$D$1000,2,FALSE),"")</f>
        <v/>
      </c>
      <c r="C844">
        <f>IF(ISBLANK(A844),"",A844&amp;"-M"&amp;TEXT(COUNTIF($A$2:A844,A844),"00"))</f>
        <v/>
      </c>
      <c r="H844" s="14" t="n"/>
      <c r="I844" s="14" t="n"/>
    </row>
    <row r="845">
      <c r="B845">
        <f>IFERROR(VLOOKUP(A845,Risk_Assessment!$B$2:$D$1000,2,FALSE),"")</f>
        <v/>
      </c>
      <c r="C845">
        <f>IF(ISBLANK(A845),"",A845&amp;"-M"&amp;TEXT(COUNTIF($A$2:A845,A845),"00"))</f>
        <v/>
      </c>
      <c r="H845" s="14" t="n"/>
      <c r="I845" s="14" t="n"/>
    </row>
    <row r="846">
      <c r="B846">
        <f>IFERROR(VLOOKUP(A846,Risk_Assessment!$B$2:$D$1000,2,FALSE),"")</f>
        <v/>
      </c>
      <c r="C846">
        <f>IF(ISBLANK(A846),"",A846&amp;"-M"&amp;TEXT(COUNTIF($A$2:A846,A846),"00"))</f>
        <v/>
      </c>
      <c r="H846" s="14" t="n"/>
      <c r="I846" s="14" t="n"/>
    </row>
    <row r="847">
      <c r="B847">
        <f>IFERROR(VLOOKUP(A847,Risk_Assessment!$B$2:$D$1000,2,FALSE),"")</f>
        <v/>
      </c>
      <c r="C847">
        <f>IF(ISBLANK(A847),"",A847&amp;"-M"&amp;TEXT(COUNTIF($A$2:A847,A847),"00"))</f>
        <v/>
      </c>
      <c r="H847" s="14" t="n"/>
      <c r="I847" s="14" t="n"/>
    </row>
    <row r="848">
      <c r="B848">
        <f>IFERROR(VLOOKUP(A848,Risk_Assessment!$B$2:$D$1000,2,FALSE),"")</f>
        <v/>
      </c>
      <c r="C848">
        <f>IF(ISBLANK(A848),"",A848&amp;"-M"&amp;TEXT(COUNTIF($A$2:A848,A848),"00"))</f>
        <v/>
      </c>
      <c r="H848" s="14" t="n"/>
      <c r="I848" s="14" t="n"/>
    </row>
    <row r="849">
      <c r="B849">
        <f>IFERROR(VLOOKUP(A849,Risk_Assessment!$B$2:$D$1000,2,FALSE),"")</f>
        <v/>
      </c>
      <c r="C849">
        <f>IF(ISBLANK(A849),"",A849&amp;"-M"&amp;TEXT(COUNTIF($A$2:A849,A849),"00"))</f>
        <v/>
      </c>
      <c r="H849" s="14" t="n"/>
      <c r="I849" s="14" t="n"/>
    </row>
    <row r="850">
      <c r="B850">
        <f>IFERROR(VLOOKUP(A850,Risk_Assessment!$B$2:$D$1000,2,FALSE),"")</f>
        <v/>
      </c>
      <c r="C850">
        <f>IF(ISBLANK(A850),"",A850&amp;"-M"&amp;TEXT(COUNTIF($A$2:A850,A850),"00"))</f>
        <v/>
      </c>
      <c r="H850" s="14" t="n"/>
      <c r="I850" s="14" t="n"/>
    </row>
    <row r="851">
      <c r="B851">
        <f>IFERROR(VLOOKUP(A851,Risk_Assessment!$B$2:$D$1000,2,FALSE),"")</f>
        <v/>
      </c>
      <c r="C851">
        <f>IF(ISBLANK(A851),"",A851&amp;"-M"&amp;TEXT(COUNTIF($A$2:A851,A851),"00"))</f>
        <v/>
      </c>
      <c r="H851" s="14" t="n"/>
      <c r="I851" s="14" t="n"/>
    </row>
    <row r="852">
      <c r="B852">
        <f>IFERROR(VLOOKUP(A852,Risk_Assessment!$B$2:$D$1000,2,FALSE),"")</f>
        <v/>
      </c>
      <c r="C852">
        <f>IF(ISBLANK(A852),"",A852&amp;"-M"&amp;TEXT(COUNTIF($A$2:A852,A852),"00"))</f>
        <v/>
      </c>
      <c r="H852" s="14" t="n"/>
      <c r="I852" s="14" t="n"/>
    </row>
    <row r="853">
      <c r="B853">
        <f>IFERROR(VLOOKUP(A853,Risk_Assessment!$B$2:$D$1000,2,FALSE),"")</f>
        <v/>
      </c>
      <c r="C853">
        <f>IF(ISBLANK(A853),"",A853&amp;"-M"&amp;TEXT(COUNTIF($A$2:A853,A853),"00"))</f>
        <v/>
      </c>
      <c r="H853" s="14" t="n"/>
      <c r="I853" s="14" t="n"/>
    </row>
    <row r="854">
      <c r="B854">
        <f>IFERROR(VLOOKUP(A854,Risk_Assessment!$B$2:$D$1000,2,FALSE),"")</f>
        <v/>
      </c>
      <c r="C854">
        <f>IF(ISBLANK(A854),"",A854&amp;"-M"&amp;TEXT(COUNTIF($A$2:A854,A854),"00"))</f>
        <v/>
      </c>
      <c r="H854" s="14" t="n"/>
      <c r="I854" s="14" t="n"/>
    </row>
    <row r="855">
      <c r="B855">
        <f>IFERROR(VLOOKUP(A855,Risk_Assessment!$B$2:$D$1000,2,FALSE),"")</f>
        <v/>
      </c>
      <c r="C855">
        <f>IF(ISBLANK(A855),"",A855&amp;"-M"&amp;TEXT(COUNTIF($A$2:A855,A855),"00"))</f>
        <v/>
      </c>
      <c r="H855" s="14" t="n"/>
      <c r="I855" s="14" t="n"/>
    </row>
    <row r="856">
      <c r="B856">
        <f>IFERROR(VLOOKUP(A856,Risk_Assessment!$B$2:$D$1000,2,FALSE),"")</f>
        <v/>
      </c>
      <c r="C856">
        <f>IF(ISBLANK(A856),"",A856&amp;"-M"&amp;TEXT(COUNTIF($A$2:A856,A856),"00"))</f>
        <v/>
      </c>
      <c r="H856" s="14" t="n"/>
      <c r="I856" s="14" t="n"/>
    </row>
    <row r="857">
      <c r="B857">
        <f>IFERROR(VLOOKUP(A857,Risk_Assessment!$B$2:$D$1000,2,FALSE),"")</f>
        <v/>
      </c>
      <c r="C857">
        <f>IF(ISBLANK(A857),"",A857&amp;"-M"&amp;TEXT(COUNTIF($A$2:A857,A857),"00"))</f>
        <v/>
      </c>
      <c r="H857" s="14" t="n"/>
      <c r="I857" s="14" t="n"/>
    </row>
    <row r="858">
      <c r="B858">
        <f>IFERROR(VLOOKUP(A858,Risk_Assessment!$B$2:$D$1000,2,FALSE),"")</f>
        <v/>
      </c>
      <c r="C858">
        <f>IF(ISBLANK(A858),"",A858&amp;"-M"&amp;TEXT(COUNTIF($A$2:A858,A858),"00"))</f>
        <v/>
      </c>
      <c r="H858" s="14" t="n"/>
      <c r="I858" s="14" t="n"/>
    </row>
    <row r="859">
      <c r="B859">
        <f>IFERROR(VLOOKUP(A859,Risk_Assessment!$B$2:$D$1000,2,FALSE),"")</f>
        <v/>
      </c>
      <c r="C859">
        <f>IF(ISBLANK(A859),"",A859&amp;"-M"&amp;TEXT(COUNTIF($A$2:A859,A859),"00"))</f>
        <v/>
      </c>
      <c r="H859" s="14" t="n"/>
      <c r="I859" s="14" t="n"/>
    </row>
    <row r="860">
      <c r="B860">
        <f>IFERROR(VLOOKUP(A860,Risk_Assessment!$B$2:$D$1000,2,FALSE),"")</f>
        <v/>
      </c>
      <c r="C860">
        <f>IF(ISBLANK(A860),"",A860&amp;"-M"&amp;TEXT(COUNTIF($A$2:A860,A860),"00"))</f>
        <v/>
      </c>
      <c r="H860" s="14" t="n"/>
      <c r="I860" s="14" t="n"/>
    </row>
    <row r="861">
      <c r="B861">
        <f>IFERROR(VLOOKUP(A861,Risk_Assessment!$B$2:$D$1000,2,FALSE),"")</f>
        <v/>
      </c>
      <c r="C861">
        <f>IF(ISBLANK(A861),"",A861&amp;"-M"&amp;TEXT(COUNTIF($A$2:A861,A861),"00"))</f>
        <v/>
      </c>
      <c r="H861" s="14" t="n"/>
      <c r="I861" s="14" t="n"/>
    </row>
    <row r="862">
      <c r="B862">
        <f>IFERROR(VLOOKUP(A862,Risk_Assessment!$B$2:$D$1000,2,FALSE),"")</f>
        <v/>
      </c>
      <c r="C862">
        <f>IF(ISBLANK(A862),"",A862&amp;"-M"&amp;TEXT(COUNTIF($A$2:A862,A862),"00"))</f>
        <v/>
      </c>
      <c r="H862" s="14" t="n"/>
      <c r="I862" s="14" t="n"/>
    </row>
    <row r="863">
      <c r="B863">
        <f>IFERROR(VLOOKUP(A863,Risk_Assessment!$B$2:$D$1000,2,FALSE),"")</f>
        <v/>
      </c>
      <c r="C863">
        <f>IF(ISBLANK(A863),"",A863&amp;"-M"&amp;TEXT(COUNTIF($A$2:A863,A863),"00"))</f>
        <v/>
      </c>
      <c r="H863" s="14" t="n"/>
      <c r="I863" s="14" t="n"/>
    </row>
    <row r="864">
      <c r="B864">
        <f>IFERROR(VLOOKUP(A864,Risk_Assessment!$B$2:$D$1000,2,FALSE),"")</f>
        <v/>
      </c>
      <c r="C864">
        <f>IF(ISBLANK(A864),"",A864&amp;"-M"&amp;TEXT(COUNTIF($A$2:A864,A864),"00"))</f>
        <v/>
      </c>
      <c r="H864" s="14" t="n"/>
      <c r="I864" s="14" t="n"/>
    </row>
    <row r="865">
      <c r="B865">
        <f>IFERROR(VLOOKUP(A865,Risk_Assessment!$B$2:$D$1000,2,FALSE),"")</f>
        <v/>
      </c>
      <c r="C865">
        <f>IF(ISBLANK(A865),"",A865&amp;"-M"&amp;TEXT(COUNTIF($A$2:A865,A865),"00"))</f>
        <v/>
      </c>
      <c r="H865" s="14" t="n"/>
      <c r="I865" s="14" t="n"/>
    </row>
    <row r="866">
      <c r="B866">
        <f>IFERROR(VLOOKUP(A866,Risk_Assessment!$B$2:$D$1000,2,FALSE),"")</f>
        <v/>
      </c>
      <c r="C866">
        <f>IF(ISBLANK(A866),"",A866&amp;"-M"&amp;TEXT(COUNTIF($A$2:A866,A866),"00"))</f>
        <v/>
      </c>
      <c r="H866" s="14" t="n"/>
      <c r="I866" s="14" t="n"/>
    </row>
    <row r="867">
      <c r="B867">
        <f>IFERROR(VLOOKUP(A867,Risk_Assessment!$B$2:$D$1000,2,FALSE),"")</f>
        <v/>
      </c>
      <c r="C867">
        <f>IF(ISBLANK(A867),"",A867&amp;"-M"&amp;TEXT(COUNTIF($A$2:A867,A867),"00"))</f>
        <v/>
      </c>
      <c r="H867" s="14" t="n"/>
      <c r="I867" s="14" t="n"/>
    </row>
    <row r="868">
      <c r="B868">
        <f>IFERROR(VLOOKUP(A868,Risk_Assessment!$B$2:$D$1000,2,FALSE),"")</f>
        <v/>
      </c>
      <c r="C868">
        <f>IF(ISBLANK(A868),"",A868&amp;"-M"&amp;TEXT(COUNTIF($A$2:A868,A868),"00"))</f>
        <v/>
      </c>
      <c r="H868" s="14" t="n"/>
      <c r="I868" s="14" t="n"/>
    </row>
    <row r="869">
      <c r="B869">
        <f>IFERROR(VLOOKUP(A869,Risk_Assessment!$B$2:$D$1000,2,FALSE),"")</f>
        <v/>
      </c>
      <c r="C869">
        <f>IF(ISBLANK(A869),"",A869&amp;"-M"&amp;TEXT(COUNTIF($A$2:A869,A869),"00"))</f>
        <v/>
      </c>
      <c r="H869" s="14" t="n"/>
      <c r="I869" s="14" t="n"/>
    </row>
    <row r="870">
      <c r="B870">
        <f>IFERROR(VLOOKUP(A870,Risk_Assessment!$B$2:$D$1000,2,FALSE),"")</f>
        <v/>
      </c>
      <c r="C870">
        <f>IF(ISBLANK(A870),"",A870&amp;"-M"&amp;TEXT(COUNTIF($A$2:A870,A870),"00"))</f>
        <v/>
      </c>
      <c r="H870" s="14" t="n"/>
      <c r="I870" s="14" t="n"/>
    </row>
    <row r="871">
      <c r="B871">
        <f>IFERROR(VLOOKUP(A871,Risk_Assessment!$B$2:$D$1000,2,FALSE),"")</f>
        <v/>
      </c>
      <c r="C871">
        <f>IF(ISBLANK(A871),"",A871&amp;"-M"&amp;TEXT(COUNTIF($A$2:A871,A871),"00"))</f>
        <v/>
      </c>
      <c r="H871" s="14" t="n"/>
      <c r="I871" s="14" t="n"/>
    </row>
    <row r="872">
      <c r="B872">
        <f>IFERROR(VLOOKUP(A872,Risk_Assessment!$B$2:$D$1000,2,FALSE),"")</f>
        <v/>
      </c>
      <c r="C872">
        <f>IF(ISBLANK(A872),"",A872&amp;"-M"&amp;TEXT(COUNTIF($A$2:A872,A872),"00"))</f>
        <v/>
      </c>
      <c r="H872" s="14" t="n"/>
      <c r="I872" s="14" t="n"/>
    </row>
    <row r="873">
      <c r="B873">
        <f>IFERROR(VLOOKUP(A873,Risk_Assessment!$B$2:$D$1000,2,FALSE),"")</f>
        <v/>
      </c>
      <c r="C873">
        <f>IF(ISBLANK(A873),"",A873&amp;"-M"&amp;TEXT(COUNTIF($A$2:A873,A873),"00"))</f>
        <v/>
      </c>
      <c r="H873" s="14" t="n"/>
      <c r="I873" s="14" t="n"/>
    </row>
    <row r="874">
      <c r="B874">
        <f>IFERROR(VLOOKUP(A874,Risk_Assessment!$B$2:$D$1000,2,FALSE),"")</f>
        <v/>
      </c>
      <c r="C874">
        <f>IF(ISBLANK(A874),"",A874&amp;"-M"&amp;TEXT(COUNTIF($A$2:A874,A874),"00"))</f>
        <v/>
      </c>
      <c r="H874" s="14" t="n"/>
      <c r="I874" s="14" t="n"/>
    </row>
    <row r="875">
      <c r="B875">
        <f>IFERROR(VLOOKUP(A875,Risk_Assessment!$B$2:$D$1000,2,FALSE),"")</f>
        <v/>
      </c>
      <c r="C875">
        <f>IF(ISBLANK(A875),"",A875&amp;"-M"&amp;TEXT(COUNTIF($A$2:A875,A875),"00"))</f>
        <v/>
      </c>
      <c r="H875" s="14" t="n"/>
      <c r="I875" s="14" t="n"/>
    </row>
    <row r="876">
      <c r="B876">
        <f>IFERROR(VLOOKUP(A876,Risk_Assessment!$B$2:$D$1000,2,FALSE),"")</f>
        <v/>
      </c>
      <c r="C876">
        <f>IF(ISBLANK(A876),"",A876&amp;"-M"&amp;TEXT(COUNTIF($A$2:A876,A876),"00"))</f>
        <v/>
      </c>
      <c r="H876" s="14" t="n"/>
      <c r="I876" s="14" t="n"/>
    </row>
    <row r="877">
      <c r="B877">
        <f>IFERROR(VLOOKUP(A877,Risk_Assessment!$B$2:$D$1000,2,FALSE),"")</f>
        <v/>
      </c>
      <c r="C877">
        <f>IF(ISBLANK(A877),"",A877&amp;"-M"&amp;TEXT(COUNTIF($A$2:A877,A877),"00"))</f>
        <v/>
      </c>
      <c r="H877" s="14" t="n"/>
      <c r="I877" s="14" t="n"/>
    </row>
    <row r="878">
      <c r="B878">
        <f>IFERROR(VLOOKUP(A878,Risk_Assessment!$B$2:$D$1000,2,FALSE),"")</f>
        <v/>
      </c>
      <c r="C878">
        <f>IF(ISBLANK(A878),"",A878&amp;"-M"&amp;TEXT(COUNTIF($A$2:A878,A878),"00"))</f>
        <v/>
      </c>
      <c r="H878" s="14" t="n"/>
      <c r="I878" s="14" t="n"/>
    </row>
    <row r="879">
      <c r="B879">
        <f>IFERROR(VLOOKUP(A879,Risk_Assessment!$B$2:$D$1000,2,FALSE),"")</f>
        <v/>
      </c>
      <c r="C879">
        <f>IF(ISBLANK(A879),"",A879&amp;"-M"&amp;TEXT(COUNTIF($A$2:A879,A879),"00"))</f>
        <v/>
      </c>
      <c r="H879" s="14" t="n"/>
      <c r="I879" s="14" t="n"/>
    </row>
    <row r="880">
      <c r="B880">
        <f>IFERROR(VLOOKUP(A880,Risk_Assessment!$B$2:$D$1000,2,FALSE),"")</f>
        <v/>
      </c>
      <c r="C880">
        <f>IF(ISBLANK(A880),"",A880&amp;"-M"&amp;TEXT(COUNTIF($A$2:A880,A880),"00"))</f>
        <v/>
      </c>
      <c r="H880" s="14" t="n"/>
      <c r="I880" s="14" t="n"/>
    </row>
    <row r="881">
      <c r="B881">
        <f>IFERROR(VLOOKUP(A881,Risk_Assessment!$B$2:$D$1000,2,FALSE),"")</f>
        <v/>
      </c>
      <c r="C881">
        <f>IF(ISBLANK(A881),"",A881&amp;"-M"&amp;TEXT(COUNTIF($A$2:A881,A881),"00"))</f>
        <v/>
      </c>
      <c r="H881" s="14" t="n"/>
      <c r="I881" s="14" t="n"/>
    </row>
    <row r="882">
      <c r="B882">
        <f>IFERROR(VLOOKUP(A882,Risk_Assessment!$B$2:$D$1000,2,FALSE),"")</f>
        <v/>
      </c>
      <c r="C882">
        <f>IF(ISBLANK(A882),"",A882&amp;"-M"&amp;TEXT(COUNTIF($A$2:A882,A882),"00"))</f>
        <v/>
      </c>
      <c r="H882" s="14" t="n"/>
      <c r="I882" s="14" t="n"/>
    </row>
    <row r="883">
      <c r="B883">
        <f>IFERROR(VLOOKUP(A883,Risk_Assessment!$B$2:$D$1000,2,FALSE),"")</f>
        <v/>
      </c>
      <c r="C883">
        <f>IF(ISBLANK(A883),"",A883&amp;"-M"&amp;TEXT(COUNTIF($A$2:A883,A883),"00"))</f>
        <v/>
      </c>
      <c r="H883" s="14" t="n"/>
      <c r="I883" s="14" t="n"/>
    </row>
    <row r="884">
      <c r="B884">
        <f>IFERROR(VLOOKUP(A884,Risk_Assessment!$B$2:$D$1000,2,FALSE),"")</f>
        <v/>
      </c>
      <c r="C884">
        <f>IF(ISBLANK(A884),"",A884&amp;"-M"&amp;TEXT(COUNTIF($A$2:A884,A884),"00"))</f>
        <v/>
      </c>
      <c r="H884" s="14" t="n"/>
      <c r="I884" s="14" t="n"/>
    </row>
    <row r="885">
      <c r="B885">
        <f>IFERROR(VLOOKUP(A885,Risk_Assessment!$B$2:$D$1000,2,FALSE),"")</f>
        <v/>
      </c>
      <c r="C885">
        <f>IF(ISBLANK(A885),"",A885&amp;"-M"&amp;TEXT(COUNTIF($A$2:A885,A885),"00"))</f>
        <v/>
      </c>
      <c r="H885" s="14" t="n"/>
      <c r="I885" s="14" t="n"/>
    </row>
    <row r="886">
      <c r="B886">
        <f>IFERROR(VLOOKUP(A886,Risk_Assessment!$B$2:$D$1000,2,FALSE),"")</f>
        <v/>
      </c>
      <c r="C886">
        <f>IF(ISBLANK(A886),"",A886&amp;"-M"&amp;TEXT(COUNTIF($A$2:A886,A886),"00"))</f>
        <v/>
      </c>
      <c r="H886" s="14" t="n"/>
      <c r="I886" s="14" t="n"/>
    </row>
    <row r="887">
      <c r="B887">
        <f>IFERROR(VLOOKUP(A887,Risk_Assessment!$B$2:$D$1000,2,FALSE),"")</f>
        <v/>
      </c>
      <c r="C887">
        <f>IF(ISBLANK(A887),"",A887&amp;"-M"&amp;TEXT(COUNTIF($A$2:A887,A887),"00"))</f>
        <v/>
      </c>
      <c r="H887" s="14" t="n"/>
      <c r="I887" s="14" t="n"/>
    </row>
    <row r="888">
      <c r="B888">
        <f>IFERROR(VLOOKUP(A888,Risk_Assessment!$B$2:$D$1000,2,FALSE),"")</f>
        <v/>
      </c>
      <c r="C888">
        <f>IF(ISBLANK(A888),"",A888&amp;"-M"&amp;TEXT(COUNTIF($A$2:A888,A888),"00"))</f>
        <v/>
      </c>
      <c r="H888" s="14" t="n"/>
      <c r="I888" s="14" t="n"/>
    </row>
    <row r="889">
      <c r="B889">
        <f>IFERROR(VLOOKUP(A889,Risk_Assessment!$B$2:$D$1000,2,FALSE),"")</f>
        <v/>
      </c>
      <c r="C889">
        <f>IF(ISBLANK(A889),"",A889&amp;"-M"&amp;TEXT(COUNTIF($A$2:A889,A889),"00"))</f>
        <v/>
      </c>
      <c r="H889" s="14" t="n"/>
      <c r="I889" s="14" t="n"/>
    </row>
    <row r="890">
      <c r="B890">
        <f>IFERROR(VLOOKUP(A890,Risk_Assessment!$B$2:$D$1000,2,FALSE),"")</f>
        <v/>
      </c>
      <c r="C890">
        <f>IF(ISBLANK(A890),"",A890&amp;"-M"&amp;TEXT(COUNTIF($A$2:A890,A890),"00"))</f>
        <v/>
      </c>
      <c r="H890" s="14" t="n"/>
      <c r="I890" s="14" t="n"/>
    </row>
    <row r="891">
      <c r="B891">
        <f>IFERROR(VLOOKUP(A891,Risk_Assessment!$B$2:$D$1000,2,FALSE),"")</f>
        <v/>
      </c>
      <c r="C891">
        <f>IF(ISBLANK(A891),"",A891&amp;"-M"&amp;TEXT(COUNTIF($A$2:A891,A891),"00"))</f>
        <v/>
      </c>
      <c r="H891" s="14" t="n"/>
      <c r="I891" s="14" t="n"/>
    </row>
    <row r="892">
      <c r="B892">
        <f>IFERROR(VLOOKUP(A892,Risk_Assessment!$B$2:$D$1000,2,FALSE),"")</f>
        <v/>
      </c>
      <c r="C892">
        <f>IF(ISBLANK(A892),"",A892&amp;"-M"&amp;TEXT(COUNTIF($A$2:A892,A892),"00"))</f>
        <v/>
      </c>
      <c r="H892" s="14" t="n"/>
      <c r="I892" s="14" t="n"/>
    </row>
    <row r="893">
      <c r="B893">
        <f>IFERROR(VLOOKUP(A893,Risk_Assessment!$B$2:$D$1000,2,FALSE),"")</f>
        <v/>
      </c>
      <c r="C893">
        <f>IF(ISBLANK(A893),"",A893&amp;"-M"&amp;TEXT(COUNTIF($A$2:A893,A893),"00"))</f>
        <v/>
      </c>
      <c r="H893" s="14" t="n"/>
      <c r="I893" s="14" t="n"/>
    </row>
    <row r="894">
      <c r="B894">
        <f>IFERROR(VLOOKUP(A894,Risk_Assessment!$B$2:$D$1000,2,FALSE),"")</f>
        <v/>
      </c>
      <c r="C894">
        <f>IF(ISBLANK(A894),"",A894&amp;"-M"&amp;TEXT(COUNTIF($A$2:A894,A894),"00"))</f>
        <v/>
      </c>
      <c r="H894" s="14" t="n"/>
      <c r="I894" s="14" t="n"/>
    </row>
    <row r="895">
      <c r="B895">
        <f>IFERROR(VLOOKUP(A895,Risk_Assessment!$B$2:$D$1000,2,FALSE),"")</f>
        <v/>
      </c>
      <c r="C895">
        <f>IF(ISBLANK(A895),"",A895&amp;"-M"&amp;TEXT(COUNTIF($A$2:A895,A895),"00"))</f>
        <v/>
      </c>
      <c r="H895" s="14" t="n"/>
      <c r="I895" s="14" t="n"/>
    </row>
    <row r="896">
      <c r="B896">
        <f>IFERROR(VLOOKUP(A896,Risk_Assessment!$B$2:$D$1000,2,FALSE),"")</f>
        <v/>
      </c>
      <c r="C896">
        <f>IF(ISBLANK(A896),"",A896&amp;"-M"&amp;TEXT(COUNTIF($A$2:A896,A896),"00"))</f>
        <v/>
      </c>
      <c r="H896" s="14" t="n"/>
      <c r="I896" s="14" t="n"/>
    </row>
    <row r="897">
      <c r="B897">
        <f>IFERROR(VLOOKUP(A897,Risk_Assessment!$B$2:$D$1000,2,FALSE),"")</f>
        <v/>
      </c>
      <c r="C897">
        <f>IF(ISBLANK(A897),"",A897&amp;"-M"&amp;TEXT(COUNTIF($A$2:A897,A897),"00"))</f>
        <v/>
      </c>
      <c r="H897" s="14" t="n"/>
      <c r="I897" s="14" t="n"/>
    </row>
    <row r="898">
      <c r="B898">
        <f>IFERROR(VLOOKUP(A898,Risk_Assessment!$B$2:$D$1000,2,FALSE),"")</f>
        <v/>
      </c>
      <c r="C898">
        <f>IF(ISBLANK(A898),"",A898&amp;"-M"&amp;TEXT(COUNTIF($A$2:A898,A898),"00"))</f>
        <v/>
      </c>
      <c r="H898" s="14" t="n"/>
      <c r="I898" s="14" t="n"/>
    </row>
    <row r="899">
      <c r="B899">
        <f>IFERROR(VLOOKUP(A899,Risk_Assessment!$B$2:$D$1000,2,FALSE),"")</f>
        <v/>
      </c>
      <c r="C899">
        <f>IF(ISBLANK(A899),"",A899&amp;"-M"&amp;TEXT(COUNTIF($A$2:A899,A899),"00"))</f>
        <v/>
      </c>
      <c r="H899" s="14" t="n"/>
      <c r="I899" s="14" t="n"/>
    </row>
    <row r="900">
      <c r="B900">
        <f>IFERROR(VLOOKUP(A900,Risk_Assessment!$B$2:$D$1000,2,FALSE),"")</f>
        <v/>
      </c>
      <c r="C900">
        <f>IF(ISBLANK(A900),"",A900&amp;"-M"&amp;TEXT(COUNTIF($A$2:A900,A900),"00"))</f>
        <v/>
      </c>
      <c r="H900" s="14" t="n"/>
      <c r="I900" s="14" t="n"/>
    </row>
    <row r="901">
      <c r="B901">
        <f>IFERROR(VLOOKUP(A901,Risk_Assessment!$B$2:$D$1000,2,FALSE),"")</f>
        <v/>
      </c>
      <c r="C901">
        <f>IF(ISBLANK(A901),"",A901&amp;"-M"&amp;TEXT(COUNTIF($A$2:A901,A901),"00"))</f>
        <v/>
      </c>
      <c r="H901" s="14" t="n"/>
      <c r="I901" s="14" t="n"/>
    </row>
    <row r="902">
      <c r="B902">
        <f>IFERROR(VLOOKUP(A902,Risk_Assessment!$B$2:$D$1000,2,FALSE),"")</f>
        <v/>
      </c>
      <c r="C902">
        <f>IF(ISBLANK(A902),"",A902&amp;"-M"&amp;TEXT(COUNTIF($A$2:A902,A902),"00"))</f>
        <v/>
      </c>
      <c r="H902" s="14" t="n"/>
      <c r="I902" s="14" t="n"/>
    </row>
    <row r="903">
      <c r="B903">
        <f>IFERROR(VLOOKUP(A903,Risk_Assessment!$B$2:$D$1000,2,FALSE),"")</f>
        <v/>
      </c>
      <c r="C903">
        <f>IF(ISBLANK(A903),"",A903&amp;"-M"&amp;TEXT(COUNTIF($A$2:A903,A903),"00"))</f>
        <v/>
      </c>
      <c r="H903" s="14" t="n"/>
      <c r="I903" s="14" t="n"/>
    </row>
    <row r="904">
      <c r="B904">
        <f>IFERROR(VLOOKUP(A904,Risk_Assessment!$B$2:$D$1000,2,FALSE),"")</f>
        <v/>
      </c>
      <c r="C904">
        <f>IF(ISBLANK(A904),"",A904&amp;"-M"&amp;TEXT(COUNTIF($A$2:A904,A904),"00"))</f>
        <v/>
      </c>
      <c r="H904" s="14" t="n"/>
      <c r="I904" s="14" t="n"/>
    </row>
    <row r="905">
      <c r="B905">
        <f>IFERROR(VLOOKUP(A905,Risk_Assessment!$B$2:$D$1000,2,FALSE),"")</f>
        <v/>
      </c>
      <c r="C905">
        <f>IF(ISBLANK(A905),"",A905&amp;"-M"&amp;TEXT(COUNTIF($A$2:A905,A905),"00"))</f>
        <v/>
      </c>
      <c r="H905" s="14" t="n"/>
      <c r="I905" s="14" t="n"/>
    </row>
    <row r="906">
      <c r="B906">
        <f>IFERROR(VLOOKUP(A906,Risk_Assessment!$B$2:$D$1000,2,FALSE),"")</f>
        <v/>
      </c>
      <c r="C906">
        <f>IF(ISBLANK(A906),"",A906&amp;"-M"&amp;TEXT(COUNTIF($A$2:A906,A906),"00"))</f>
        <v/>
      </c>
      <c r="H906" s="14" t="n"/>
      <c r="I906" s="14" t="n"/>
    </row>
    <row r="907">
      <c r="B907">
        <f>IFERROR(VLOOKUP(A907,Risk_Assessment!$B$2:$D$1000,2,FALSE),"")</f>
        <v/>
      </c>
      <c r="C907">
        <f>IF(ISBLANK(A907),"",A907&amp;"-M"&amp;TEXT(COUNTIF($A$2:A907,A907),"00"))</f>
        <v/>
      </c>
      <c r="H907" s="14" t="n"/>
      <c r="I907" s="14" t="n"/>
    </row>
    <row r="908">
      <c r="B908">
        <f>IFERROR(VLOOKUP(A908,Risk_Assessment!$B$2:$D$1000,2,FALSE),"")</f>
        <v/>
      </c>
      <c r="C908">
        <f>IF(ISBLANK(A908),"",A908&amp;"-M"&amp;TEXT(COUNTIF($A$2:A908,A908),"00"))</f>
        <v/>
      </c>
      <c r="H908" s="14" t="n"/>
      <c r="I908" s="14" t="n"/>
    </row>
    <row r="909">
      <c r="B909">
        <f>IFERROR(VLOOKUP(A909,Risk_Assessment!$B$2:$D$1000,2,FALSE),"")</f>
        <v/>
      </c>
      <c r="C909">
        <f>IF(ISBLANK(A909),"",A909&amp;"-M"&amp;TEXT(COUNTIF($A$2:A909,A909),"00"))</f>
        <v/>
      </c>
      <c r="H909" s="14" t="n"/>
      <c r="I909" s="14" t="n"/>
    </row>
    <row r="910">
      <c r="B910">
        <f>IFERROR(VLOOKUP(A910,Risk_Assessment!$B$2:$D$1000,2,FALSE),"")</f>
        <v/>
      </c>
      <c r="C910">
        <f>IF(ISBLANK(A910),"",A910&amp;"-M"&amp;TEXT(COUNTIF($A$2:A910,A910),"00"))</f>
        <v/>
      </c>
      <c r="H910" s="14" t="n"/>
      <c r="I910" s="14" t="n"/>
    </row>
    <row r="911">
      <c r="B911">
        <f>IFERROR(VLOOKUP(A911,Risk_Assessment!$B$2:$D$1000,2,FALSE),"")</f>
        <v/>
      </c>
      <c r="C911">
        <f>IF(ISBLANK(A911),"",A911&amp;"-M"&amp;TEXT(COUNTIF($A$2:A911,A911),"00"))</f>
        <v/>
      </c>
      <c r="H911" s="14" t="n"/>
      <c r="I911" s="14" t="n"/>
    </row>
    <row r="912">
      <c r="B912">
        <f>IFERROR(VLOOKUP(A912,Risk_Assessment!$B$2:$D$1000,2,FALSE),"")</f>
        <v/>
      </c>
      <c r="C912">
        <f>IF(ISBLANK(A912),"",A912&amp;"-M"&amp;TEXT(COUNTIF($A$2:A912,A912),"00"))</f>
        <v/>
      </c>
      <c r="H912" s="14" t="n"/>
      <c r="I912" s="14" t="n"/>
    </row>
    <row r="913">
      <c r="B913">
        <f>IFERROR(VLOOKUP(A913,Risk_Assessment!$B$2:$D$1000,2,FALSE),"")</f>
        <v/>
      </c>
      <c r="C913">
        <f>IF(ISBLANK(A913),"",A913&amp;"-M"&amp;TEXT(COUNTIF($A$2:A913,A913),"00"))</f>
        <v/>
      </c>
      <c r="H913" s="14" t="n"/>
      <c r="I913" s="14" t="n"/>
    </row>
    <row r="914">
      <c r="B914">
        <f>IFERROR(VLOOKUP(A914,Risk_Assessment!$B$2:$D$1000,2,FALSE),"")</f>
        <v/>
      </c>
      <c r="C914">
        <f>IF(ISBLANK(A914),"",A914&amp;"-M"&amp;TEXT(COUNTIF($A$2:A914,A914),"00"))</f>
        <v/>
      </c>
      <c r="H914" s="14" t="n"/>
      <c r="I914" s="14" t="n"/>
    </row>
    <row r="915">
      <c r="B915">
        <f>IFERROR(VLOOKUP(A915,Risk_Assessment!$B$2:$D$1000,2,FALSE),"")</f>
        <v/>
      </c>
      <c r="C915">
        <f>IF(ISBLANK(A915),"",A915&amp;"-M"&amp;TEXT(COUNTIF($A$2:A915,A915),"00"))</f>
        <v/>
      </c>
      <c r="H915" s="14" t="n"/>
      <c r="I915" s="14" t="n"/>
    </row>
    <row r="916">
      <c r="B916">
        <f>IFERROR(VLOOKUP(A916,Risk_Assessment!$B$2:$D$1000,2,FALSE),"")</f>
        <v/>
      </c>
      <c r="C916">
        <f>IF(ISBLANK(A916),"",A916&amp;"-M"&amp;TEXT(COUNTIF($A$2:A916,A916),"00"))</f>
        <v/>
      </c>
      <c r="H916" s="14" t="n"/>
      <c r="I916" s="14" t="n"/>
    </row>
    <row r="917">
      <c r="B917">
        <f>IFERROR(VLOOKUP(A917,Risk_Assessment!$B$2:$D$1000,2,FALSE),"")</f>
        <v/>
      </c>
      <c r="C917">
        <f>IF(ISBLANK(A917),"",A917&amp;"-M"&amp;TEXT(COUNTIF($A$2:A917,A917),"00"))</f>
        <v/>
      </c>
      <c r="H917" s="14" t="n"/>
      <c r="I917" s="14" t="n"/>
    </row>
    <row r="918">
      <c r="B918">
        <f>IFERROR(VLOOKUP(A918,Risk_Assessment!$B$2:$D$1000,2,FALSE),"")</f>
        <v/>
      </c>
      <c r="C918">
        <f>IF(ISBLANK(A918),"",A918&amp;"-M"&amp;TEXT(COUNTIF($A$2:A918,A918),"00"))</f>
        <v/>
      </c>
      <c r="H918" s="14" t="n"/>
      <c r="I918" s="14" t="n"/>
    </row>
    <row r="919">
      <c r="B919">
        <f>IFERROR(VLOOKUP(A919,Risk_Assessment!$B$2:$D$1000,2,FALSE),"")</f>
        <v/>
      </c>
      <c r="C919">
        <f>IF(ISBLANK(A919),"",A919&amp;"-M"&amp;TEXT(COUNTIF($A$2:A919,A919),"00"))</f>
        <v/>
      </c>
      <c r="H919" s="14" t="n"/>
      <c r="I919" s="14" t="n"/>
    </row>
    <row r="920">
      <c r="B920">
        <f>IFERROR(VLOOKUP(A920,Risk_Assessment!$B$2:$D$1000,2,FALSE),"")</f>
        <v/>
      </c>
      <c r="C920">
        <f>IF(ISBLANK(A920),"",A920&amp;"-M"&amp;TEXT(COUNTIF($A$2:A920,A920),"00"))</f>
        <v/>
      </c>
      <c r="H920" s="14" t="n"/>
      <c r="I920" s="14" t="n"/>
    </row>
    <row r="921">
      <c r="B921">
        <f>IFERROR(VLOOKUP(A921,Risk_Assessment!$B$2:$D$1000,2,FALSE),"")</f>
        <v/>
      </c>
      <c r="C921">
        <f>IF(ISBLANK(A921),"",A921&amp;"-M"&amp;TEXT(COUNTIF($A$2:A921,A921),"00"))</f>
        <v/>
      </c>
      <c r="H921" s="14" t="n"/>
      <c r="I921" s="14" t="n"/>
    </row>
    <row r="922">
      <c r="B922">
        <f>IFERROR(VLOOKUP(A922,Risk_Assessment!$B$2:$D$1000,2,FALSE),"")</f>
        <v/>
      </c>
      <c r="C922">
        <f>IF(ISBLANK(A922),"",A922&amp;"-M"&amp;TEXT(COUNTIF($A$2:A922,A922),"00"))</f>
        <v/>
      </c>
      <c r="H922" s="14" t="n"/>
      <c r="I922" s="14" t="n"/>
    </row>
    <row r="923">
      <c r="B923">
        <f>IFERROR(VLOOKUP(A923,Risk_Assessment!$B$2:$D$1000,2,FALSE),"")</f>
        <v/>
      </c>
      <c r="C923">
        <f>IF(ISBLANK(A923),"",A923&amp;"-M"&amp;TEXT(COUNTIF($A$2:A923,A923),"00"))</f>
        <v/>
      </c>
      <c r="H923" s="14" t="n"/>
      <c r="I923" s="14" t="n"/>
    </row>
    <row r="924">
      <c r="B924">
        <f>IFERROR(VLOOKUP(A924,Risk_Assessment!$B$2:$D$1000,2,FALSE),"")</f>
        <v/>
      </c>
      <c r="C924">
        <f>IF(ISBLANK(A924),"",A924&amp;"-M"&amp;TEXT(COUNTIF($A$2:A924,A924),"00"))</f>
        <v/>
      </c>
      <c r="H924" s="14" t="n"/>
      <c r="I924" s="14" t="n"/>
    </row>
    <row r="925">
      <c r="B925">
        <f>IFERROR(VLOOKUP(A925,Risk_Assessment!$B$2:$D$1000,2,FALSE),"")</f>
        <v/>
      </c>
      <c r="C925">
        <f>IF(ISBLANK(A925),"",A925&amp;"-M"&amp;TEXT(COUNTIF($A$2:A925,A925),"00"))</f>
        <v/>
      </c>
      <c r="H925" s="14" t="n"/>
      <c r="I925" s="14" t="n"/>
    </row>
    <row r="926">
      <c r="B926">
        <f>IFERROR(VLOOKUP(A926,Risk_Assessment!$B$2:$D$1000,2,FALSE),"")</f>
        <v/>
      </c>
      <c r="C926">
        <f>IF(ISBLANK(A926),"",A926&amp;"-M"&amp;TEXT(COUNTIF($A$2:A926,A926),"00"))</f>
        <v/>
      </c>
      <c r="H926" s="14" t="n"/>
      <c r="I926" s="14" t="n"/>
    </row>
    <row r="927">
      <c r="B927">
        <f>IFERROR(VLOOKUP(A927,Risk_Assessment!$B$2:$D$1000,2,FALSE),"")</f>
        <v/>
      </c>
      <c r="C927">
        <f>IF(ISBLANK(A927),"",A927&amp;"-M"&amp;TEXT(COUNTIF($A$2:A927,A927),"00"))</f>
        <v/>
      </c>
      <c r="H927" s="14" t="n"/>
      <c r="I927" s="14" t="n"/>
    </row>
    <row r="928">
      <c r="B928">
        <f>IFERROR(VLOOKUP(A928,Risk_Assessment!$B$2:$D$1000,2,FALSE),"")</f>
        <v/>
      </c>
      <c r="C928">
        <f>IF(ISBLANK(A928),"",A928&amp;"-M"&amp;TEXT(COUNTIF($A$2:A928,A928),"00"))</f>
        <v/>
      </c>
      <c r="H928" s="14" t="n"/>
      <c r="I928" s="14" t="n"/>
    </row>
    <row r="929">
      <c r="B929">
        <f>IFERROR(VLOOKUP(A929,Risk_Assessment!$B$2:$D$1000,2,FALSE),"")</f>
        <v/>
      </c>
      <c r="C929">
        <f>IF(ISBLANK(A929),"",A929&amp;"-M"&amp;TEXT(COUNTIF($A$2:A929,A929),"00"))</f>
        <v/>
      </c>
      <c r="H929" s="14" t="n"/>
      <c r="I929" s="14" t="n"/>
    </row>
    <row r="930">
      <c r="B930">
        <f>IFERROR(VLOOKUP(A930,Risk_Assessment!$B$2:$D$1000,2,FALSE),"")</f>
        <v/>
      </c>
      <c r="C930">
        <f>IF(ISBLANK(A930),"",A930&amp;"-M"&amp;TEXT(COUNTIF($A$2:A930,A930),"00"))</f>
        <v/>
      </c>
      <c r="H930" s="14" t="n"/>
      <c r="I930" s="14" t="n"/>
    </row>
    <row r="931">
      <c r="B931">
        <f>IFERROR(VLOOKUP(A931,Risk_Assessment!$B$2:$D$1000,2,FALSE),"")</f>
        <v/>
      </c>
      <c r="C931">
        <f>IF(ISBLANK(A931),"",A931&amp;"-M"&amp;TEXT(COUNTIF($A$2:A931,A931),"00"))</f>
        <v/>
      </c>
      <c r="H931" s="14" t="n"/>
      <c r="I931" s="14" t="n"/>
    </row>
    <row r="932">
      <c r="B932">
        <f>IFERROR(VLOOKUP(A932,Risk_Assessment!$B$2:$D$1000,2,FALSE),"")</f>
        <v/>
      </c>
      <c r="C932">
        <f>IF(ISBLANK(A932),"",A932&amp;"-M"&amp;TEXT(COUNTIF($A$2:A932,A932),"00"))</f>
        <v/>
      </c>
      <c r="H932" s="14" t="n"/>
      <c r="I932" s="14" t="n"/>
    </row>
    <row r="933">
      <c r="B933">
        <f>IFERROR(VLOOKUP(A933,Risk_Assessment!$B$2:$D$1000,2,FALSE),"")</f>
        <v/>
      </c>
      <c r="C933">
        <f>IF(ISBLANK(A933),"",A933&amp;"-M"&amp;TEXT(COUNTIF($A$2:A933,A933),"00"))</f>
        <v/>
      </c>
      <c r="H933" s="14" t="n"/>
      <c r="I933" s="14" t="n"/>
    </row>
    <row r="934">
      <c r="B934">
        <f>IFERROR(VLOOKUP(A934,Risk_Assessment!$B$2:$D$1000,2,FALSE),"")</f>
        <v/>
      </c>
      <c r="C934">
        <f>IF(ISBLANK(A934),"",A934&amp;"-M"&amp;TEXT(COUNTIF($A$2:A934,A934),"00"))</f>
        <v/>
      </c>
      <c r="H934" s="14" t="n"/>
      <c r="I934" s="14" t="n"/>
    </row>
    <row r="935">
      <c r="B935">
        <f>IFERROR(VLOOKUP(A935,Risk_Assessment!$B$2:$D$1000,2,FALSE),"")</f>
        <v/>
      </c>
      <c r="C935">
        <f>IF(ISBLANK(A935),"",A935&amp;"-M"&amp;TEXT(COUNTIF($A$2:A935,A935),"00"))</f>
        <v/>
      </c>
      <c r="H935" s="14" t="n"/>
      <c r="I935" s="14" t="n"/>
    </row>
    <row r="936">
      <c r="B936">
        <f>IFERROR(VLOOKUP(A936,Risk_Assessment!$B$2:$D$1000,2,FALSE),"")</f>
        <v/>
      </c>
      <c r="C936">
        <f>IF(ISBLANK(A936),"",A936&amp;"-M"&amp;TEXT(COUNTIF($A$2:A936,A936),"00"))</f>
        <v/>
      </c>
      <c r="H936" s="14" t="n"/>
      <c r="I936" s="14" t="n"/>
    </row>
    <row r="937">
      <c r="B937">
        <f>IFERROR(VLOOKUP(A937,Risk_Assessment!$B$2:$D$1000,2,FALSE),"")</f>
        <v/>
      </c>
      <c r="C937">
        <f>IF(ISBLANK(A937),"",A937&amp;"-M"&amp;TEXT(COUNTIF($A$2:A937,A937),"00"))</f>
        <v/>
      </c>
      <c r="H937" s="14" t="n"/>
      <c r="I937" s="14" t="n"/>
    </row>
    <row r="938">
      <c r="B938">
        <f>IFERROR(VLOOKUP(A938,Risk_Assessment!$B$2:$D$1000,2,FALSE),"")</f>
        <v/>
      </c>
      <c r="C938">
        <f>IF(ISBLANK(A938),"",A938&amp;"-M"&amp;TEXT(COUNTIF($A$2:A938,A938),"00"))</f>
        <v/>
      </c>
      <c r="H938" s="14" t="n"/>
      <c r="I938" s="14" t="n"/>
    </row>
    <row r="939">
      <c r="B939">
        <f>IFERROR(VLOOKUP(A939,Risk_Assessment!$B$2:$D$1000,2,FALSE),"")</f>
        <v/>
      </c>
      <c r="C939">
        <f>IF(ISBLANK(A939),"",A939&amp;"-M"&amp;TEXT(COUNTIF($A$2:A939,A939),"00"))</f>
        <v/>
      </c>
      <c r="H939" s="14" t="n"/>
      <c r="I939" s="14" t="n"/>
    </row>
    <row r="940">
      <c r="B940">
        <f>IFERROR(VLOOKUP(A940,Risk_Assessment!$B$2:$D$1000,2,FALSE),"")</f>
        <v/>
      </c>
      <c r="C940">
        <f>IF(ISBLANK(A940),"",A940&amp;"-M"&amp;TEXT(COUNTIF($A$2:A940,A940),"00"))</f>
        <v/>
      </c>
      <c r="H940" s="14" t="n"/>
      <c r="I940" s="14" t="n"/>
    </row>
    <row r="941">
      <c r="B941">
        <f>IFERROR(VLOOKUP(A941,Risk_Assessment!$B$2:$D$1000,2,FALSE),"")</f>
        <v/>
      </c>
      <c r="C941">
        <f>IF(ISBLANK(A941),"",A941&amp;"-M"&amp;TEXT(COUNTIF($A$2:A941,A941),"00"))</f>
        <v/>
      </c>
      <c r="H941" s="14" t="n"/>
      <c r="I941" s="14" t="n"/>
    </row>
    <row r="942">
      <c r="B942">
        <f>IFERROR(VLOOKUP(A942,Risk_Assessment!$B$2:$D$1000,2,FALSE),"")</f>
        <v/>
      </c>
      <c r="C942">
        <f>IF(ISBLANK(A942),"",A942&amp;"-M"&amp;TEXT(COUNTIF($A$2:A942,A942),"00"))</f>
        <v/>
      </c>
      <c r="H942" s="14" t="n"/>
      <c r="I942" s="14" t="n"/>
    </row>
    <row r="943">
      <c r="B943">
        <f>IFERROR(VLOOKUP(A943,Risk_Assessment!$B$2:$D$1000,2,FALSE),"")</f>
        <v/>
      </c>
      <c r="C943">
        <f>IF(ISBLANK(A943),"",A943&amp;"-M"&amp;TEXT(COUNTIF($A$2:A943,A943),"00"))</f>
        <v/>
      </c>
      <c r="H943" s="14" t="n"/>
      <c r="I943" s="14" t="n"/>
    </row>
    <row r="944">
      <c r="B944">
        <f>IFERROR(VLOOKUP(A944,Risk_Assessment!$B$2:$D$1000,2,FALSE),"")</f>
        <v/>
      </c>
      <c r="C944">
        <f>IF(ISBLANK(A944),"",A944&amp;"-M"&amp;TEXT(COUNTIF($A$2:A944,A944),"00"))</f>
        <v/>
      </c>
      <c r="H944" s="14" t="n"/>
      <c r="I944" s="14" t="n"/>
    </row>
    <row r="945">
      <c r="B945">
        <f>IFERROR(VLOOKUP(A945,Risk_Assessment!$B$2:$D$1000,2,FALSE),"")</f>
        <v/>
      </c>
      <c r="C945">
        <f>IF(ISBLANK(A945),"",A945&amp;"-M"&amp;TEXT(COUNTIF($A$2:A945,A945),"00"))</f>
        <v/>
      </c>
      <c r="H945" s="14" t="n"/>
      <c r="I945" s="14" t="n"/>
    </row>
    <row r="946">
      <c r="B946">
        <f>IFERROR(VLOOKUP(A946,Risk_Assessment!$B$2:$D$1000,2,FALSE),"")</f>
        <v/>
      </c>
      <c r="C946">
        <f>IF(ISBLANK(A946),"",A946&amp;"-M"&amp;TEXT(COUNTIF($A$2:A946,A946),"00"))</f>
        <v/>
      </c>
      <c r="H946" s="14" t="n"/>
      <c r="I946" s="14" t="n"/>
    </row>
    <row r="947">
      <c r="B947">
        <f>IFERROR(VLOOKUP(A947,Risk_Assessment!$B$2:$D$1000,2,FALSE),"")</f>
        <v/>
      </c>
      <c r="C947">
        <f>IF(ISBLANK(A947),"",A947&amp;"-M"&amp;TEXT(COUNTIF($A$2:A947,A947),"00"))</f>
        <v/>
      </c>
      <c r="H947" s="14" t="n"/>
      <c r="I947" s="14" t="n"/>
    </row>
    <row r="948">
      <c r="B948">
        <f>IFERROR(VLOOKUP(A948,Risk_Assessment!$B$2:$D$1000,2,FALSE),"")</f>
        <v/>
      </c>
      <c r="C948">
        <f>IF(ISBLANK(A948),"",A948&amp;"-M"&amp;TEXT(COUNTIF($A$2:A948,A948),"00"))</f>
        <v/>
      </c>
      <c r="H948" s="14" t="n"/>
      <c r="I948" s="14" t="n"/>
    </row>
    <row r="949">
      <c r="B949">
        <f>IFERROR(VLOOKUP(A949,Risk_Assessment!$B$2:$D$1000,2,FALSE),"")</f>
        <v/>
      </c>
      <c r="C949">
        <f>IF(ISBLANK(A949),"",A949&amp;"-M"&amp;TEXT(COUNTIF($A$2:A949,A949),"00"))</f>
        <v/>
      </c>
      <c r="H949" s="14" t="n"/>
      <c r="I949" s="14" t="n"/>
    </row>
    <row r="950">
      <c r="B950">
        <f>IFERROR(VLOOKUP(A950,Risk_Assessment!$B$2:$D$1000,2,FALSE),"")</f>
        <v/>
      </c>
      <c r="C950">
        <f>IF(ISBLANK(A950),"",A950&amp;"-M"&amp;TEXT(COUNTIF($A$2:A950,A950),"00"))</f>
        <v/>
      </c>
      <c r="H950" s="14" t="n"/>
      <c r="I950" s="14" t="n"/>
    </row>
    <row r="951">
      <c r="B951">
        <f>IFERROR(VLOOKUP(A951,Risk_Assessment!$B$2:$D$1000,2,FALSE),"")</f>
        <v/>
      </c>
      <c r="C951">
        <f>IF(ISBLANK(A951),"",A951&amp;"-M"&amp;TEXT(COUNTIF($A$2:A951,A951),"00"))</f>
        <v/>
      </c>
      <c r="H951" s="14" t="n"/>
      <c r="I951" s="14" t="n"/>
    </row>
    <row r="952">
      <c r="B952">
        <f>IFERROR(VLOOKUP(A952,Risk_Assessment!$B$2:$D$1000,2,FALSE),"")</f>
        <v/>
      </c>
      <c r="C952">
        <f>IF(ISBLANK(A952),"",A952&amp;"-M"&amp;TEXT(COUNTIF($A$2:A952,A952),"00"))</f>
        <v/>
      </c>
      <c r="H952" s="14" t="n"/>
      <c r="I952" s="14" t="n"/>
    </row>
    <row r="953">
      <c r="B953">
        <f>IFERROR(VLOOKUP(A953,Risk_Assessment!$B$2:$D$1000,2,FALSE),"")</f>
        <v/>
      </c>
      <c r="C953">
        <f>IF(ISBLANK(A953),"",A953&amp;"-M"&amp;TEXT(COUNTIF($A$2:A953,A953),"00"))</f>
        <v/>
      </c>
      <c r="H953" s="14" t="n"/>
      <c r="I953" s="14" t="n"/>
    </row>
    <row r="954">
      <c r="B954">
        <f>IFERROR(VLOOKUP(A954,Risk_Assessment!$B$2:$D$1000,2,FALSE),"")</f>
        <v/>
      </c>
      <c r="C954">
        <f>IF(ISBLANK(A954),"",A954&amp;"-M"&amp;TEXT(COUNTIF($A$2:A954,A954),"00"))</f>
        <v/>
      </c>
      <c r="H954" s="14" t="n"/>
      <c r="I954" s="14" t="n"/>
    </row>
    <row r="955">
      <c r="B955">
        <f>IFERROR(VLOOKUP(A955,Risk_Assessment!$B$2:$D$1000,2,FALSE),"")</f>
        <v/>
      </c>
      <c r="C955">
        <f>IF(ISBLANK(A955),"",A955&amp;"-M"&amp;TEXT(COUNTIF($A$2:A955,A955),"00"))</f>
        <v/>
      </c>
      <c r="H955" s="14" t="n"/>
      <c r="I955" s="14" t="n"/>
    </row>
    <row r="956">
      <c r="B956">
        <f>IFERROR(VLOOKUP(A956,Risk_Assessment!$B$2:$D$1000,2,FALSE),"")</f>
        <v/>
      </c>
      <c r="C956">
        <f>IF(ISBLANK(A956),"",A956&amp;"-M"&amp;TEXT(COUNTIF($A$2:A956,A956),"00"))</f>
        <v/>
      </c>
      <c r="H956" s="14" t="n"/>
      <c r="I956" s="14" t="n"/>
    </row>
    <row r="957">
      <c r="B957">
        <f>IFERROR(VLOOKUP(A957,Risk_Assessment!$B$2:$D$1000,2,FALSE),"")</f>
        <v/>
      </c>
      <c r="C957">
        <f>IF(ISBLANK(A957),"",A957&amp;"-M"&amp;TEXT(COUNTIF($A$2:A957,A957),"00"))</f>
        <v/>
      </c>
      <c r="H957" s="14" t="n"/>
      <c r="I957" s="14" t="n"/>
    </row>
    <row r="958">
      <c r="B958">
        <f>IFERROR(VLOOKUP(A958,Risk_Assessment!$B$2:$D$1000,2,FALSE),"")</f>
        <v/>
      </c>
      <c r="C958">
        <f>IF(ISBLANK(A958),"",A958&amp;"-M"&amp;TEXT(COUNTIF($A$2:A958,A958),"00"))</f>
        <v/>
      </c>
      <c r="H958" s="14" t="n"/>
      <c r="I958" s="14" t="n"/>
    </row>
    <row r="959">
      <c r="B959">
        <f>IFERROR(VLOOKUP(A959,Risk_Assessment!$B$2:$D$1000,2,FALSE),"")</f>
        <v/>
      </c>
      <c r="C959">
        <f>IF(ISBLANK(A959),"",A959&amp;"-M"&amp;TEXT(COUNTIF($A$2:A959,A959),"00"))</f>
        <v/>
      </c>
      <c r="H959" s="14" t="n"/>
      <c r="I959" s="14" t="n"/>
    </row>
    <row r="960">
      <c r="B960">
        <f>IFERROR(VLOOKUP(A960,Risk_Assessment!$B$2:$D$1000,2,FALSE),"")</f>
        <v/>
      </c>
      <c r="C960">
        <f>IF(ISBLANK(A960),"",A960&amp;"-M"&amp;TEXT(COUNTIF($A$2:A960,A960),"00"))</f>
        <v/>
      </c>
      <c r="H960" s="14" t="n"/>
      <c r="I960" s="14" t="n"/>
    </row>
    <row r="961">
      <c r="B961">
        <f>IFERROR(VLOOKUP(A961,Risk_Assessment!$B$2:$D$1000,2,FALSE),"")</f>
        <v/>
      </c>
      <c r="C961">
        <f>IF(ISBLANK(A961),"",A961&amp;"-M"&amp;TEXT(COUNTIF($A$2:A961,A961),"00"))</f>
        <v/>
      </c>
      <c r="H961" s="14" t="n"/>
      <c r="I961" s="14" t="n"/>
    </row>
    <row r="962">
      <c r="B962">
        <f>IFERROR(VLOOKUP(A962,Risk_Assessment!$B$2:$D$1000,2,FALSE),"")</f>
        <v/>
      </c>
      <c r="C962">
        <f>IF(ISBLANK(A962),"",A962&amp;"-M"&amp;TEXT(COUNTIF($A$2:A962,A962),"00"))</f>
        <v/>
      </c>
      <c r="H962" s="14" t="n"/>
      <c r="I962" s="14" t="n"/>
    </row>
    <row r="963">
      <c r="B963">
        <f>IFERROR(VLOOKUP(A963,Risk_Assessment!$B$2:$D$1000,2,FALSE),"")</f>
        <v/>
      </c>
      <c r="C963">
        <f>IF(ISBLANK(A963),"",A963&amp;"-M"&amp;TEXT(COUNTIF($A$2:A963,A963),"00"))</f>
        <v/>
      </c>
      <c r="H963" s="14" t="n"/>
      <c r="I963" s="14" t="n"/>
    </row>
    <row r="964">
      <c r="B964">
        <f>IFERROR(VLOOKUP(A964,Risk_Assessment!$B$2:$D$1000,2,FALSE),"")</f>
        <v/>
      </c>
      <c r="C964">
        <f>IF(ISBLANK(A964),"",A964&amp;"-M"&amp;TEXT(COUNTIF($A$2:A964,A964),"00"))</f>
        <v/>
      </c>
      <c r="H964" s="14" t="n"/>
      <c r="I964" s="14" t="n"/>
    </row>
    <row r="965">
      <c r="B965">
        <f>IFERROR(VLOOKUP(A965,Risk_Assessment!$B$2:$D$1000,2,FALSE),"")</f>
        <v/>
      </c>
      <c r="C965">
        <f>IF(ISBLANK(A965),"",A965&amp;"-M"&amp;TEXT(COUNTIF($A$2:A965,A965),"00"))</f>
        <v/>
      </c>
      <c r="H965" s="14" t="n"/>
      <c r="I965" s="14" t="n"/>
    </row>
    <row r="966">
      <c r="B966">
        <f>IFERROR(VLOOKUP(A966,Risk_Assessment!$B$2:$D$1000,2,FALSE),"")</f>
        <v/>
      </c>
      <c r="C966">
        <f>IF(ISBLANK(A966),"",A966&amp;"-M"&amp;TEXT(COUNTIF($A$2:A966,A966),"00"))</f>
        <v/>
      </c>
      <c r="H966" s="14" t="n"/>
      <c r="I966" s="14" t="n"/>
    </row>
    <row r="967">
      <c r="B967">
        <f>IFERROR(VLOOKUP(A967,Risk_Assessment!$B$2:$D$1000,2,FALSE),"")</f>
        <v/>
      </c>
      <c r="C967">
        <f>IF(ISBLANK(A967),"",A967&amp;"-M"&amp;TEXT(COUNTIF($A$2:A967,A967),"00"))</f>
        <v/>
      </c>
      <c r="H967" s="14" t="n"/>
      <c r="I967" s="14" t="n"/>
    </row>
    <row r="968">
      <c r="B968">
        <f>IFERROR(VLOOKUP(A968,Risk_Assessment!$B$2:$D$1000,2,FALSE),"")</f>
        <v/>
      </c>
      <c r="C968">
        <f>IF(ISBLANK(A968),"",A968&amp;"-M"&amp;TEXT(COUNTIF($A$2:A968,A968),"00"))</f>
        <v/>
      </c>
      <c r="H968" s="14" t="n"/>
      <c r="I968" s="14" t="n"/>
    </row>
    <row r="969">
      <c r="B969">
        <f>IFERROR(VLOOKUP(A969,Risk_Assessment!$B$2:$D$1000,2,FALSE),"")</f>
        <v/>
      </c>
      <c r="C969">
        <f>IF(ISBLANK(A969),"",A969&amp;"-M"&amp;TEXT(COUNTIF($A$2:A969,A969),"00"))</f>
        <v/>
      </c>
      <c r="H969" s="14" t="n"/>
      <c r="I969" s="14" t="n"/>
    </row>
    <row r="970">
      <c r="B970">
        <f>IFERROR(VLOOKUP(A970,Risk_Assessment!$B$2:$D$1000,2,FALSE),"")</f>
        <v/>
      </c>
      <c r="C970">
        <f>IF(ISBLANK(A970),"",A970&amp;"-M"&amp;TEXT(COUNTIF($A$2:A970,A970),"00"))</f>
        <v/>
      </c>
      <c r="H970" s="14" t="n"/>
      <c r="I970" s="14" t="n"/>
    </row>
    <row r="971">
      <c r="B971">
        <f>IFERROR(VLOOKUP(A971,Risk_Assessment!$B$2:$D$1000,2,FALSE),"")</f>
        <v/>
      </c>
      <c r="C971">
        <f>IF(ISBLANK(A971),"",A971&amp;"-M"&amp;TEXT(COUNTIF($A$2:A971,A971),"00"))</f>
        <v/>
      </c>
      <c r="H971" s="14" t="n"/>
      <c r="I971" s="14" t="n"/>
    </row>
    <row r="972">
      <c r="B972">
        <f>IFERROR(VLOOKUP(A972,Risk_Assessment!$B$2:$D$1000,2,FALSE),"")</f>
        <v/>
      </c>
      <c r="C972">
        <f>IF(ISBLANK(A972),"",A972&amp;"-M"&amp;TEXT(COUNTIF($A$2:A972,A972),"00"))</f>
        <v/>
      </c>
      <c r="H972" s="14" t="n"/>
      <c r="I972" s="14" t="n"/>
    </row>
    <row r="973">
      <c r="B973">
        <f>IFERROR(VLOOKUP(A973,Risk_Assessment!$B$2:$D$1000,2,FALSE),"")</f>
        <v/>
      </c>
      <c r="C973">
        <f>IF(ISBLANK(A973),"",A973&amp;"-M"&amp;TEXT(COUNTIF($A$2:A973,A973),"00"))</f>
        <v/>
      </c>
      <c r="H973" s="14" t="n"/>
      <c r="I973" s="14" t="n"/>
    </row>
    <row r="974">
      <c r="B974">
        <f>IFERROR(VLOOKUP(A974,Risk_Assessment!$B$2:$D$1000,2,FALSE),"")</f>
        <v/>
      </c>
      <c r="C974">
        <f>IF(ISBLANK(A974),"",A974&amp;"-M"&amp;TEXT(COUNTIF($A$2:A974,A974),"00"))</f>
        <v/>
      </c>
      <c r="H974" s="14" t="n"/>
      <c r="I974" s="14" t="n"/>
    </row>
    <row r="975">
      <c r="B975">
        <f>IFERROR(VLOOKUP(A975,Risk_Assessment!$B$2:$D$1000,2,FALSE),"")</f>
        <v/>
      </c>
      <c r="C975">
        <f>IF(ISBLANK(A975),"",A975&amp;"-M"&amp;TEXT(COUNTIF($A$2:A975,A975),"00"))</f>
        <v/>
      </c>
      <c r="H975" s="14" t="n"/>
      <c r="I975" s="14" t="n"/>
    </row>
    <row r="976">
      <c r="B976">
        <f>IFERROR(VLOOKUP(A976,Risk_Assessment!$B$2:$D$1000,2,FALSE),"")</f>
        <v/>
      </c>
      <c r="C976">
        <f>IF(ISBLANK(A976),"",A976&amp;"-M"&amp;TEXT(COUNTIF($A$2:A976,A976),"00"))</f>
        <v/>
      </c>
      <c r="H976" s="14" t="n"/>
      <c r="I976" s="14" t="n"/>
    </row>
    <row r="977">
      <c r="B977">
        <f>IFERROR(VLOOKUP(A977,Risk_Assessment!$B$2:$D$1000,2,FALSE),"")</f>
        <v/>
      </c>
      <c r="C977">
        <f>IF(ISBLANK(A977),"",A977&amp;"-M"&amp;TEXT(COUNTIF($A$2:A977,A977),"00"))</f>
        <v/>
      </c>
      <c r="H977" s="14" t="n"/>
      <c r="I977" s="14" t="n"/>
    </row>
    <row r="978">
      <c r="B978">
        <f>IFERROR(VLOOKUP(A978,Risk_Assessment!$B$2:$D$1000,2,FALSE),"")</f>
        <v/>
      </c>
      <c r="C978">
        <f>IF(ISBLANK(A978),"",A978&amp;"-M"&amp;TEXT(COUNTIF($A$2:A978,A978),"00"))</f>
        <v/>
      </c>
      <c r="H978" s="14" t="n"/>
      <c r="I978" s="14" t="n"/>
    </row>
    <row r="979">
      <c r="B979">
        <f>IFERROR(VLOOKUP(A979,Risk_Assessment!$B$2:$D$1000,2,FALSE),"")</f>
        <v/>
      </c>
      <c r="C979">
        <f>IF(ISBLANK(A979),"",A979&amp;"-M"&amp;TEXT(COUNTIF($A$2:A979,A979),"00"))</f>
        <v/>
      </c>
      <c r="H979" s="14" t="n"/>
      <c r="I979" s="14" t="n"/>
    </row>
    <row r="980">
      <c r="B980">
        <f>IFERROR(VLOOKUP(A980,Risk_Assessment!$B$2:$D$1000,2,FALSE),"")</f>
        <v/>
      </c>
      <c r="C980">
        <f>IF(ISBLANK(A980),"",A980&amp;"-M"&amp;TEXT(COUNTIF($A$2:A980,A980),"00"))</f>
        <v/>
      </c>
      <c r="H980" s="14" t="n"/>
      <c r="I980" s="14" t="n"/>
    </row>
    <row r="981">
      <c r="B981">
        <f>IFERROR(VLOOKUP(A981,Risk_Assessment!$B$2:$D$1000,2,FALSE),"")</f>
        <v/>
      </c>
      <c r="C981">
        <f>IF(ISBLANK(A981),"",A981&amp;"-M"&amp;TEXT(COUNTIF($A$2:A981,A981),"00"))</f>
        <v/>
      </c>
      <c r="H981" s="14" t="n"/>
      <c r="I981" s="14" t="n"/>
    </row>
    <row r="982">
      <c r="B982">
        <f>IFERROR(VLOOKUP(A982,Risk_Assessment!$B$2:$D$1000,2,FALSE),"")</f>
        <v/>
      </c>
      <c r="C982">
        <f>IF(ISBLANK(A982),"",A982&amp;"-M"&amp;TEXT(COUNTIF($A$2:A982,A982),"00"))</f>
        <v/>
      </c>
      <c r="H982" s="14" t="n"/>
      <c r="I982" s="14" t="n"/>
    </row>
    <row r="983">
      <c r="B983">
        <f>IFERROR(VLOOKUP(A983,Risk_Assessment!$B$2:$D$1000,2,FALSE),"")</f>
        <v/>
      </c>
      <c r="C983">
        <f>IF(ISBLANK(A983),"",A983&amp;"-M"&amp;TEXT(COUNTIF($A$2:A983,A983),"00"))</f>
        <v/>
      </c>
      <c r="H983" s="14" t="n"/>
      <c r="I983" s="14" t="n"/>
    </row>
    <row r="984">
      <c r="B984">
        <f>IFERROR(VLOOKUP(A984,Risk_Assessment!$B$2:$D$1000,2,FALSE),"")</f>
        <v/>
      </c>
      <c r="C984">
        <f>IF(ISBLANK(A984),"",A984&amp;"-M"&amp;TEXT(COUNTIF($A$2:A984,A984),"00"))</f>
        <v/>
      </c>
      <c r="H984" s="14" t="n"/>
      <c r="I984" s="14" t="n"/>
    </row>
    <row r="985">
      <c r="B985">
        <f>IFERROR(VLOOKUP(A985,Risk_Assessment!$B$2:$D$1000,2,FALSE),"")</f>
        <v/>
      </c>
      <c r="C985">
        <f>IF(ISBLANK(A985),"",A985&amp;"-M"&amp;TEXT(COUNTIF($A$2:A985,A985),"00"))</f>
        <v/>
      </c>
      <c r="H985" s="14" t="n"/>
      <c r="I985" s="14" t="n"/>
    </row>
    <row r="986">
      <c r="B986">
        <f>IFERROR(VLOOKUP(A986,Risk_Assessment!$B$2:$D$1000,2,FALSE),"")</f>
        <v/>
      </c>
      <c r="C986">
        <f>IF(ISBLANK(A986),"",A986&amp;"-M"&amp;TEXT(COUNTIF($A$2:A986,A986),"00"))</f>
        <v/>
      </c>
      <c r="H986" s="14" t="n"/>
      <c r="I986" s="14" t="n"/>
    </row>
    <row r="987">
      <c r="B987">
        <f>IFERROR(VLOOKUP(A987,Risk_Assessment!$B$2:$D$1000,2,FALSE),"")</f>
        <v/>
      </c>
      <c r="C987">
        <f>IF(ISBLANK(A987),"",A987&amp;"-M"&amp;TEXT(COUNTIF($A$2:A987,A987),"00"))</f>
        <v/>
      </c>
      <c r="H987" s="14" t="n"/>
      <c r="I987" s="14" t="n"/>
    </row>
    <row r="988">
      <c r="B988">
        <f>IFERROR(VLOOKUP(A988,Risk_Assessment!$B$2:$D$1000,2,FALSE),"")</f>
        <v/>
      </c>
      <c r="C988">
        <f>IF(ISBLANK(A988),"",A988&amp;"-M"&amp;TEXT(COUNTIF($A$2:A988,A988),"00"))</f>
        <v/>
      </c>
      <c r="H988" s="14" t="n"/>
      <c r="I988" s="14" t="n"/>
    </row>
    <row r="989">
      <c r="B989">
        <f>IFERROR(VLOOKUP(A989,Risk_Assessment!$B$2:$D$1000,2,FALSE),"")</f>
        <v/>
      </c>
      <c r="C989">
        <f>IF(ISBLANK(A989),"",A989&amp;"-M"&amp;TEXT(COUNTIF($A$2:A989,A989),"00"))</f>
        <v/>
      </c>
      <c r="H989" s="14" t="n"/>
      <c r="I989" s="14" t="n"/>
    </row>
    <row r="990">
      <c r="B990">
        <f>IFERROR(VLOOKUP(A990,Risk_Assessment!$B$2:$D$1000,2,FALSE),"")</f>
        <v/>
      </c>
      <c r="C990">
        <f>IF(ISBLANK(A990),"",A990&amp;"-M"&amp;TEXT(COUNTIF($A$2:A990,A990),"00"))</f>
        <v/>
      </c>
      <c r="H990" s="14" t="n"/>
      <c r="I990" s="14" t="n"/>
    </row>
    <row r="991">
      <c r="B991">
        <f>IFERROR(VLOOKUP(A991,Risk_Assessment!$B$2:$D$1000,2,FALSE),"")</f>
        <v/>
      </c>
      <c r="C991">
        <f>IF(ISBLANK(A991),"",A991&amp;"-M"&amp;TEXT(COUNTIF($A$2:A991,A991),"00"))</f>
        <v/>
      </c>
      <c r="H991" s="14" t="n"/>
      <c r="I991" s="14" t="n"/>
    </row>
    <row r="992">
      <c r="B992">
        <f>IFERROR(VLOOKUP(A992,Risk_Assessment!$B$2:$D$1000,2,FALSE),"")</f>
        <v/>
      </c>
      <c r="C992">
        <f>IF(ISBLANK(A992),"",A992&amp;"-M"&amp;TEXT(COUNTIF($A$2:A992,A992),"00"))</f>
        <v/>
      </c>
      <c r="H992" s="14" t="n"/>
      <c r="I992" s="14" t="n"/>
    </row>
    <row r="993">
      <c r="B993">
        <f>IFERROR(VLOOKUP(A993,Risk_Assessment!$B$2:$D$1000,2,FALSE),"")</f>
        <v/>
      </c>
      <c r="C993">
        <f>IF(ISBLANK(A993),"",A993&amp;"-M"&amp;TEXT(COUNTIF($A$2:A993,A993),"00"))</f>
        <v/>
      </c>
      <c r="H993" s="14" t="n"/>
      <c r="I993" s="14" t="n"/>
    </row>
    <row r="994">
      <c r="B994">
        <f>IFERROR(VLOOKUP(A994,Risk_Assessment!$B$2:$D$1000,2,FALSE),"")</f>
        <v/>
      </c>
      <c r="C994">
        <f>IF(ISBLANK(A994),"",A994&amp;"-M"&amp;TEXT(COUNTIF($A$2:A994,A994),"00"))</f>
        <v/>
      </c>
      <c r="H994" s="14" t="n"/>
      <c r="I994" s="14" t="n"/>
    </row>
    <row r="995">
      <c r="B995">
        <f>IFERROR(VLOOKUP(A995,Risk_Assessment!$B$2:$D$1000,2,FALSE),"")</f>
        <v/>
      </c>
      <c r="C995">
        <f>IF(ISBLANK(A995),"",A995&amp;"-M"&amp;TEXT(COUNTIF($A$2:A995,A995),"00"))</f>
        <v/>
      </c>
      <c r="H995" s="14" t="n"/>
      <c r="I995" s="14" t="n"/>
    </row>
    <row r="996">
      <c r="B996">
        <f>IFERROR(VLOOKUP(A996,Risk_Assessment!$B$2:$D$1000,2,FALSE),"")</f>
        <v/>
      </c>
      <c r="C996">
        <f>IF(ISBLANK(A996),"",A996&amp;"-M"&amp;TEXT(COUNTIF($A$2:A996,A996),"00"))</f>
        <v/>
      </c>
      <c r="H996" s="14" t="n"/>
      <c r="I996" s="14" t="n"/>
    </row>
    <row r="997">
      <c r="B997">
        <f>IFERROR(VLOOKUP(A997,Risk_Assessment!$B$2:$D$1000,2,FALSE),"")</f>
        <v/>
      </c>
      <c r="C997">
        <f>IF(ISBLANK(A997),"",A997&amp;"-M"&amp;TEXT(COUNTIF($A$2:A997,A997),"00"))</f>
        <v/>
      </c>
      <c r="H997" s="14" t="n"/>
      <c r="I997" s="14" t="n"/>
    </row>
    <row r="998">
      <c r="B998">
        <f>IFERROR(VLOOKUP(A998,Risk_Assessment!$B$2:$D$1000,2,FALSE),"")</f>
        <v/>
      </c>
      <c r="C998">
        <f>IF(ISBLANK(A998),"",A998&amp;"-M"&amp;TEXT(COUNTIF($A$2:A998,A998),"00"))</f>
        <v/>
      </c>
      <c r="H998" s="14" t="n"/>
      <c r="I998" s="14" t="n"/>
    </row>
    <row r="999">
      <c r="B999">
        <f>IFERROR(VLOOKUP(A999,Risk_Assessment!$B$2:$D$1000,2,FALSE),"")</f>
        <v/>
      </c>
      <c r="C999">
        <f>IF(ISBLANK(A999),"",A999&amp;"-M"&amp;TEXT(COUNTIF($A$2:A999,A999),"00"))</f>
        <v/>
      </c>
      <c r="H999" s="14" t="n"/>
      <c r="I999" s="14" t="n"/>
    </row>
    <row r="1000">
      <c r="B1000">
        <f>IFERROR(VLOOKUP(A1000,Risk_Assessment!$B$2:$D$1000,2,FALSE),"")</f>
        <v/>
      </c>
      <c r="C1000">
        <f>IF(ISBLANK(A1000),"",A1000&amp;"-M"&amp;TEXT(COUNTIF($A$2:A1000,A1000),"00"))</f>
        <v/>
      </c>
      <c r="H1000" s="14" t="n"/>
      <c r="I1000" s="14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conditionalFormatting sqref="F2:F1000">
    <cfRule type="cellIs" priority="1" operator="equal" dxfId="17">
      <formula>"Validated"</formula>
    </cfRule>
    <cfRule type="cellIs" priority="2" operator="equal" dxfId="3">
      <formula>"Implemented"</formula>
    </cfRule>
    <cfRule type="cellIs" priority="3" operator="equal" dxfId="4">
      <formula>"In Progress"</formula>
    </cfRule>
    <cfRule type="cellIs" priority="4" operator="equal" dxfId="9">
      <formula>"Planned"</formula>
    </cfRule>
    <cfRule type="cellIs" priority="5" operator="equal" dxfId="5">
      <formula>"Rejected"</formula>
    </cfRule>
  </conditionalFormatting>
  <conditionalFormatting sqref="J2:J1000">
    <cfRule type="cellIs" priority="6" operator="equal" dxfId="3">
      <formula>"Highly Effective"</formula>
    </cfRule>
    <cfRule type="cellIs" priority="7" operator="equal" dxfId="3">
      <formula>"Effective"</formula>
    </cfRule>
    <cfRule type="cellIs" priority="8" operator="equal" dxfId="4">
      <formula>"Partially Effective"</formula>
    </cfRule>
    <cfRule type="cellIs" priority="9" operator="equal" dxfId="5">
      <formula>"Ineffective"</formula>
    </cfRule>
  </conditionalFormatting>
  <conditionalFormatting sqref="A2:K1000">
    <cfRule type="expression" priority="10" dxfId="15">
      <formula>AND(NOT(ISBLANK($H2)),$H2&lt;TODAY(),OR($F2="Planned",$F2="In Progress"))</formula>
    </cfRule>
  </conditionalFormatting>
  <dataValidations count="3">
    <dataValidation sqref="D2:D1000" showDropDown="0" showInputMessage="0" showErrorMessage="0" allowBlank="0" error="Select control type" type="list" errorStyle="stop">
      <formula1>"Technical,Organizational,Legal,Physical,Administrative"</formula1>
    </dataValidation>
    <dataValidation sqref="F2:F1000" showDropDown="0" showInputMessage="0" showErrorMessage="0" allowBlank="0" error="Select implementation status" type="list" errorStyle="stop">
      <formula1>"Planned,In Progress,Implemented,Validated,Rejected"</formula1>
    </dataValidation>
    <dataValidation sqref="J2:J1000" showDropDown="0" showInputMessage="0" showErrorMessage="0" allowBlank="0" error="Select effectiveness rating" type="list" errorStyle="stop">
      <formula1>"Not Assessed,Ineffective,Partially Effective,Effective,Highly Effective"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5" customWidth="1" min="4" max="4"/>
    <col width="20" customWidth="1" min="5" max="5"/>
    <col width="50" customWidth="1" min="6" max="6"/>
    <col width="50" customWidth="1" min="7" max="7"/>
    <col width="50" customWidth="1" min="8" max="8"/>
    <col width="40" customWidth="1" min="9" max="9"/>
  </cols>
  <sheetData>
    <row r="1">
      <c r="A1" s="13" t="inlineStr">
        <is>
          <t>DPIA ID</t>
        </is>
      </c>
      <c r="B1" s="13" t="inlineStr">
        <is>
          <t>Stakeholder Type</t>
        </is>
      </c>
      <c r="C1" s="13" t="inlineStr">
        <is>
          <t>Stakeholder Name/Title</t>
        </is>
      </c>
      <c r="D1" s="13" t="inlineStr">
        <is>
          <t>Consultation Date</t>
        </is>
      </c>
      <c r="E1" s="13" t="inlineStr">
        <is>
          <t>Consultation Method</t>
        </is>
      </c>
      <c r="F1" s="13" t="inlineStr">
        <is>
          <t>Key Concerns Raised</t>
        </is>
      </c>
      <c r="G1" s="13" t="inlineStr">
        <is>
          <t>Recommendations</t>
        </is>
      </c>
      <c r="H1" s="13" t="inlineStr">
        <is>
          <t>Action Taken</t>
        </is>
      </c>
      <c r="I1" s="13" t="inlineStr">
        <is>
          <t>Evidence Location</t>
        </is>
      </c>
    </row>
    <row r="2">
      <c r="D2" s="14" t="n"/>
    </row>
    <row r="3">
      <c r="D3" s="14" t="n"/>
    </row>
    <row r="4">
      <c r="D4" s="14" t="n"/>
    </row>
    <row r="5">
      <c r="D5" s="14" t="n"/>
    </row>
    <row r="6">
      <c r="D6" s="14" t="n"/>
    </row>
    <row r="7">
      <c r="D7" s="14" t="n"/>
    </row>
    <row r="8">
      <c r="D8" s="14" t="n"/>
    </row>
    <row r="9">
      <c r="D9" s="14" t="n"/>
    </row>
    <row r="10">
      <c r="D10" s="14" t="n"/>
    </row>
    <row r="11">
      <c r="D11" s="14" t="n"/>
    </row>
    <row r="12">
      <c r="D12" s="14" t="n"/>
    </row>
    <row r="13">
      <c r="D13" s="14" t="n"/>
    </row>
    <row r="14">
      <c r="D14" s="14" t="n"/>
    </row>
    <row r="15">
      <c r="D15" s="14" t="n"/>
    </row>
    <row r="16">
      <c r="D16" s="14" t="n"/>
    </row>
    <row r="17">
      <c r="D17" s="14" t="n"/>
    </row>
    <row r="18">
      <c r="D18" s="14" t="n"/>
    </row>
    <row r="19">
      <c r="D19" s="14" t="n"/>
    </row>
    <row r="20">
      <c r="D20" s="14" t="n"/>
    </row>
    <row r="21">
      <c r="D21" s="14" t="n"/>
    </row>
    <row r="22">
      <c r="D22" s="14" t="n"/>
    </row>
    <row r="23">
      <c r="D23" s="14" t="n"/>
    </row>
    <row r="24">
      <c r="D24" s="14" t="n"/>
    </row>
    <row r="25">
      <c r="D25" s="14" t="n"/>
    </row>
    <row r="26">
      <c r="D26" s="14" t="n"/>
    </row>
    <row r="27">
      <c r="D27" s="14" t="n"/>
    </row>
    <row r="28">
      <c r="D28" s="14" t="n"/>
    </row>
    <row r="29">
      <c r="D29" s="14" t="n"/>
    </row>
    <row r="30">
      <c r="D30" s="14" t="n"/>
    </row>
    <row r="31">
      <c r="D31" s="14" t="n"/>
    </row>
    <row r="32">
      <c r="D32" s="14" t="n"/>
    </row>
    <row r="33">
      <c r="D33" s="14" t="n"/>
    </row>
    <row r="34">
      <c r="D34" s="14" t="n"/>
    </row>
    <row r="35">
      <c r="D35" s="14" t="n"/>
    </row>
    <row r="36">
      <c r="D36" s="14" t="n"/>
    </row>
    <row r="37">
      <c r="D37" s="14" t="n"/>
    </row>
    <row r="38">
      <c r="D38" s="14" t="n"/>
    </row>
    <row r="39">
      <c r="D39" s="14" t="n"/>
    </row>
    <row r="40">
      <c r="D40" s="14" t="n"/>
    </row>
    <row r="41">
      <c r="D41" s="14" t="n"/>
    </row>
    <row r="42">
      <c r="D42" s="14" t="n"/>
    </row>
    <row r="43">
      <c r="D43" s="14" t="n"/>
    </row>
    <row r="44">
      <c r="D44" s="14" t="n"/>
    </row>
    <row r="45">
      <c r="D45" s="14" t="n"/>
    </row>
    <row r="46">
      <c r="D46" s="14" t="n"/>
    </row>
    <row r="47">
      <c r="D47" s="14" t="n"/>
    </row>
    <row r="48">
      <c r="D48" s="14" t="n"/>
    </row>
    <row r="49">
      <c r="D49" s="14" t="n"/>
    </row>
    <row r="50">
      <c r="D50" s="14" t="n"/>
    </row>
    <row r="51">
      <c r="D51" s="14" t="n"/>
    </row>
    <row r="52">
      <c r="D52" s="14" t="n"/>
    </row>
    <row r="53">
      <c r="D53" s="14" t="n"/>
    </row>
    <row r="54">
      <c r="D54" s="14" t="n"/>
    </row>
    <row r="55">
      <c r="D55" s="14" t="n"/>
    </row>
    <row r="56">
      <c r="D56" s="14" t="n"/>
    </row>
    <row r="57">
      <c r="D57" s="14" t="n"/>
    </row>
    <row r="58">
      <c r="D58" s="14" t="n"/>
    </row>
    <row r="59">
      <c r="D59" s="14" t="n"/>
    </row>
    <row r="60">
      <c r="D60" s="14" t="n"/>
    </row>
    <row r="61">
      <c r="D61" s="14" t="n"/>
    </row>
    <row r="62">
      <c r="D62" s="14" t="n"/>
    </row>
    <row r="63">
      <c r="D63" s="14" t="n"/>
    </row>
    <row r="64">
      <c r="D64" s="14" t="n"/>
    </row>
    <row r="65">
      <c r="D65" s="14" t="n"/>
    </row>
    <row r="66">
      <c r="D66" s="14" t="n"/>
    </row>
    <row r="67">
      <c r="D67" s="14" t="n"/>
    </row>
    <row r="68">
      <c r="D68" s="14" t="n"/>
    </row>
    <row r="69">
      <c r="D69" s="14" t="n"/>
    </row>
    <row r="70">
      <c r="D70" s="14" t="n"/>
    </row>
    <row r="71">
      <c r="D71" s="14" t="n"/>
    </row>
    <row r="72">
      <c r="D72" s="14" t="n"/>
    </row>
    <row r="73">
      <c r="D73" s="14" t="n"/>
    </row>
    <row r="74">
      <c r="D74" s="14" t="n"/>
    </row>
    <row r="75">
      <c r="D75" s="14" t="n"/>
    </row>
    <row r="76">
      <c r="D76" s="14" t="n"/>
    </row>
    <row r="77">
      <c r="D77" s="14" t="n"/>
    </row>
    <row r="78">
      <c r="D78" s="14" t="n"/>
    </row>
    <row r="79">
      <c r="D79" s="14" t="n"/>
    </row>
    <row r="80">
      <c r="D80" s="14" t="n"/>
    </row>
    <row r="81">
      <c r="D81" s="14" t="n"/>
    </row>
    <row r="82">
      <c r="D82" s="14" t="n"/>
    </row>
    <row r="83">
      <c r="D83" s="14" t="n"/>
    </row>
    <row r="84">
      <c r="D84" s="14" t="n"/>
    </row>
    <row r="85">
      <c r="D85" s="14" t="n"/>
    </row>
    <row r="86">
      <c r="D86" s="14" t="n"/>
    </row>
    <row r="87">
      <c r="D87" s="14" t="n"/>
    </row>
    <row r="88">
      <c r="D88" s="14" t="n"/>
    </row>
    <row r="89">
      <c r="D89" s="14" t="n"/>
    </row>
    <row r="90">
      <c r="D90" s="14" t="n"/>
    </row>
    <row r="91">
      <c r="D91" s="14" t="n"/>
    </row>
    <row r="92">
      <c r="D92" s="14" t="n"/>
    </row>
    <row r="93">
      <c r="D93" s="14" t="n"/>
    </row>
    <row r="94">
      <c r="D94" s="14" t="n"/>
    </row>
    <row r="95">
      <c r="D95" s="14" t="n"/>
    </row>
    <row r="96">
      <c r="D96" s="14" t="n"/>
    </row>
    <row r="97">
      <c r="D97" s="14" t="n"/>
    </row>
    <row r="98">
      <c r="D98" s="14" t="n"/>
    </row>
    <row r="99">
      <c r="D99" s="14" t="n"/>
    </row>
    <row r="100">
      <c r="D100" s="14" t="n"/>
    </row>
    <row r="101">
      <c r="D101" s="14" t="n"/>
    </row>
    <row r="102">
      <c r="D102" s="14" t="n"/>
    </row>
    <row r="103">
      <c r="D103" s="14" t="n"/>
    </row>
    <row r="104">
      <c r="D104" s="14" t="n"/>
    </row>
    <row r="105">
      <c r="D105" s="14" t="n"/>
    </row>
    <row r="106">
      <c r="D106" s="14" t="n"/>
    </row>
    <row r="107">
      <c r="D107" s="14" t="n"/>
    </row>
    <row r="108">
      <c r="D108" s="14" t="n"/>
    </row>
    <row r="109">
      <c r="D109" s="14" t="n"/>
    </row>
    <row r="110">
      <c r="D110" s="14" t="n"/>
    </row>
    <row r="111">
      <c r="D111" s="14" t="n"/>
    </row>
    <row r="112">
      <c r="D112" s="14" t="n"/>
    </row>
    <row r="113">
      <c r="D113" s="14" t="n"/>
    </row>
    <row r="114">
      <c r="D114" s="14" t="n"/>
    </row>
    <row r="115">
      <c r="D115" s="14" t="n"/>
    </row>
    <row r="116">
      <c r="D116" s="14" t="n"/>
    </row>
    <row r="117">
      <c r="D117" s="14" t="n"/>
    </row>
    <row r="118">
      <c r="D118" s="14" t="n"/>
    </row>
    <row r="119">
      <c r="D119" s="14" t="n"/>
    </row>
    <row r="120">
      <c r="D120" s="14" t="n"/>
    </row>
    <row r="121">
      <c r="D121" s="14" t="n"/>
    </row>
    <row r="122">
      <c r="D122" s="14" t="n"/>
    </row>
    <row r="123">
      <c r="D123" s="14" t="n"/>
    </row>
    <row r="124">
      <c r="D124" s="14" t="n"/>
    </row>
    <row r="125">
      <c r="D125" s="14" t="n"/>
    </row>
    <row r="126">
      <c r="D126" s="14" t="n"/>
    </row>
    <row r="127">
      <c r="D127" s="14" t="n"/>
    </row>
    <row r="128">
      <c r="D128" s="14" t="n"/>
    </row>
    <row r="129">
      <c r="D129" s="14" t="n"/>
    </row>
    <row r="130">
      <c r="D130" s="14" t="n"/>
    </row>
    <row r="131">
      <c r="D131" s="14" t="n"/>
    </row>
    <row r="132">
      <c r="D132" s="14" t="n"/>
    </row>
    <row r="133">
      <c r="D133" s="14" t="n"/>
    </row>
    <row r="134">
      <c r="D134" s="14" t="n"/>
    </row>
    <row r="135">
      <c r="D135" s="14" t="n"/>
    </row>
    <row r="136">
      <c r="D136" s="14" t="n"/>
    </row>
    <row r="137">
      <c r="D137" s="14" t="n"/>
    </row>
    <row r="138">
      <c r="D138" s="14" t="n"/>
    </row>
    <row r="139">
      <c r="D139" s="14" t="n"/>
    </row>
    <row r="140">
      <c r="D140" s="14" t="n"/>
    </row>
    <row r="141">
      <c r="D141" s="14" t="n"/>
    </row>
    <row r="142">
      <c r="D142" s="14" t="n"/>
    </row>
    <row r="143">
      <c r="D143" s="14" t="n"/>
    </row>
    <row r="144">
      <c r="D144" s="14" t="n"/>
    </row>
    <row r="145">
      <c r="D145" s="14" t="n"/>
    </row>
    <row r="146">
      <c r="D146" s="14" t="n"/>
    </row>
    <row r="147">
      <c r="D147" s="14" t="n"/>
    </row>
    <row r="148">
      <c r="D148" s="14" t="n"/>
    </row>
    <row r="149">
      <c r="D149" s="14" t="n"/>
    </row>
    <row r="150">
      <c r="D150" s="14" t="n"/>
    </row>
    <row r="151">
      <c r="D151" s="14" t="n"/>
    </row>
    <row r="152">
      <c r="D152" s="14" t="n"/>
    </row>
    <row r="153">
      <c r="D153" s="14" t="n"/>
    </row>
    <row r="154">
      <c r="D154" s="14" t="n"/>
    </row>
    <row r="155">
      <c r="D155" s="14" t="n"/>
    </row>
    <row r="156">
      <c r="D156" s="14" t="n"/>
    </row>
    <row r="157">
      <c r="D157" s="14" t="n"/>
    </row>
    <row r="158">
      <c r="D158" s="14" t="n"/>
    </row>
    <row r="159">
      <c r="D159" s="14" t="n"/>
    </row>
    <row r="160">
      <c r="D160" s="14" t="n"/>
    </row>
    <row r="161">
      <c r="D161" s="14" t="n"/>
    </row>
    <row r="162">
      <c r="D162" s="14" t="n"/>
    </row>
    <row r="163">
      <c r="D163" s="14" t="n"/>
    </row>
    <row r="164">
      <c r="D164" s="14" t="n"/>
    </row>
    <row r="165">
      <c r="D165" s="14" t="n"/>
    </row>
    <row r="166">
      <c r="D166" s="14" t="n"/>
    </row>
    <row r="167">
      <c r="D167" s="14" t="n"/>
    </row>
    <row r="168">
      <c r="D168" s="14" t="n"/>
    </row>
    <row r="169">
      <c r="D169" s="14" t="n"/>
    </row>
    <row r="170">
      <c r="D170" s="14" t="n"/>
    </row>
    <row r="171">
      <c r="D171" s="14" t="n"/>
    </row>
    <row r="172">
      <c r="D172" s="14" t="n"/>
    </row>
    <row r="173">
      <c r="D173" s="14" t="n"/>
    </row>
    <row r="174">
      <c r="D174" s="14" t="n"/>
    </row>
    <row r="175">
      <c r="D175" s="14" t="n"/>
    </row>
    <row r="176">
      <c r="D176" s="14" t="n"/>
    </row>
    <row r="177">
      <c r="D177" s="14" t="n"/>
    </row>
    <row r="178">
      <c r="D178" s="14" t="n"/>
    </row>
    <row r="179">
      <c r="D179" s="14" t="n"/>
    </row>
    <row r="180">
      <c r="D180" s="14" t="n"/>
    </row>
    <row r="181">
      <c r="D181" s="14" t="n"/>
    </row>
    <row r="182">
      <c r="D182" s="14" t="n"/>
    </row>
    <row r="183">
      <c r="D183" s="14" t="n"/>
    </row>
    <row r="184">
      <c r="D184" s="14" t="n"/>
    </row>
    <row r="185">
      <c r="D185" s="14" t="n"/>
    </row>
    <row r="186">
      <c r="D186" s="14" t="n"/>
    </row>
    <row r="187">
      <c r="D187" s="14" t="n"/>
    </row>
    <row r="188">
      <c r="D188" s="14" t="n"/>
    </row>
    <row r="189">
      <c r="D189" s="14" t="n"/>
    </row>
    <row r="190">
      <c r="D190" s="14" t="n"/>
    </row>
    <row r="191">
      <c r="D191" s="14" t="n"/>
    </row>
    <row r="192">
      <c r="D192" s="14" t="n"/>
    </row>
    <row r="193">
      <c r="D193" s="14" t="n"/>
    </row>
    <row r="194">
      <c r="D194" s="14" t="n"/>
    </row>
    <row r="195">
      <c r="D195" s="14" t="n"/>
    </row>
    <row r="196">
      <c r="D196" s="14" t="n"/>
    </row>
    <row r="197">
      <c r="D197" s="14" t="n"/>
    </row>
    <row r="198">
      <c r="D198" s="14" t="n"/>
    </row>
    <row r="199">
      <c r="D199" s="14" t="n"/>
    </row>
    <row r="200">
      <c r="D200" s="14" t="n"/>
    </row>
    <row r="201">
      <c r="D201" s="14" t="n"/>
    </row>
    <row r="202">
      <c r="D202" s="14" t="n"/>
    </row>
    <row r="203">
      <c r="D203" s="14" t="n"/>
    </row>
    <row r="204">
      <c r="D204" s="14" t="n"/>
    </row>
    <row r="205">
      <c r="D205" s="14" t="n"/>
    </row>
    <row r="206">
      <c r="D206" s="14" t="n"/>
    </row>
    <row r="207">
      <c r="D207" s="14" t="n"/>
    </row>
    <row r="208">
      <c r="D208" s="14" t="n"/>
    </row>
    <row r="209">
      <c r="D209" s="14" t="n"/>
    </row>
    <row r="210">
      <c r="D210" s="14" t="n"/>
    </row>
    <row r="211">
      <c r="D211" s="14" t="n"/>
    </row>
    <row r="212">
      <c r="D212" s="14" t="n"/>
    </row>
    <row r="213">
      <c r="D213" s="14" t="n"/>
    </row>
    <row r="214">
      <c r="D214" s="14" t="n"/>
    </row>
    <row r="215">
      <c r="D215" s="14" t="n"/>
    </row>
    <row r="216">
      <c r="D216" s="14" t="n"/>
    </row>
    <row r="217">
      <c r="D217" s="14" t="n"/>
    </row>
    <row r="218">
      <c r="D218" s="14" t="n"/>
    </row>
    <row r="219">
      <c r="D219" s="14" t="n"/>
    </row>
    <row r="220">
      <c r="D220" s="14" t="n"/>
    </row>
    <row r="221">
      <c r="D221" s="14" t="n"/>
    </row>
    <row r="222">
      <c r="D222" s="14" t="n"/>
    </row>
    <row r="223">
      <c r="D223" s="14" t="n"/>
    </row>
    <row r="224">
      <c r="D224" s="14" t="n"/>
    </row>
    <row r="225">
      <c r="D225" s="14" t="n"/>
    </row>
    <row r="226">
      <c r="D226" s="14" t="n"/>
    </row>
    <row r="227">
      <c r="D227" s="14" t="n"/>
    </row>
    <row r="228">
      <c r="D228" s="14" t="n"/>
    </row>
    <row r="229">
      <c r="D229" s="14" t="n"/>
    </row>
    <row r="230">
      <c r="D230" s="14" t="n"/>
    </row>
    <row r="231">
      <c r="D231" s="14" t="n"/>
    </row>
    <row r="232">
      <c r="D232" s="14" t="n"/>
    </row>
    <row r="233">
      <c r="D233" s="14" t="n"/>
    </row>
    <row r="234">
      <c r="D234" s="14" t="n"/>
    </row>
    <row r="235">
      <c r="D235" s="14" t="n"/>
    </row>
    <row r="236">
      <c r="D236" s="14" t="n"/>
    </row>
    <row r="237">
      <c r="D237" s="14" t="n"/>
    </row>
    <row r="238">
      <c r="D238" s="14" t="n"/>
    </row>
    <row r="239">
      <c r="D239" s="14" t="n"/>
    </row>
    <row r="240">
      <c r="D240" s="14" t="n"/>
    </row>
    <row r="241">
      <c r="D241" s="14" t="n"/>
    </row>
    <row r="242">
      <c r="D242" s="14" t="n"/>
    </row>
    <row r="243">
      <c r="D243" s="14" t="n"/>
    </row>
    <row r="244">
      <c r="D244" s="14" t="n"/>
    </row>
    <row r="245">
      <c r="D245" s="14" t="n"/>
    </row>
    <row r="246">
      <c r="D246" s="14" t="n"/>
    </row>
    <row r="247">
      <c r="D247" s="14" t="n"/>
    </row>
    <row r="248">
      <c r="D248" s="14" t="n"/>
    </row>
    <row r="249">
      <c r="D249" s="14" t="n"/>
    </row>
    <row r="250">
      <c r="D250" s="14" t="n"/>
    </row>
    <row r="251">
      <c r="D251" s="14" t="n"/>
    </row>
    <row r="252">
      <c r="D252" s="14" t="n"/>
    </row>
    <row r="253">
      <c r="D253" s="14" t="n"/>
    </row>
    <row r="254">
      <c r="D254" s="14" t="n"/>
    </row>
    <row r="255">
      <c r="D255" s="14" t="n"/>
    </row>
    <row r="256">
      <c r="D256" s="14" t="n"/>
    </row>
    <row r="257">
      <c r="D257" s="14" t="n"/>
    </row>
    <row r="258">
      <c r="D258" s="14" t="n"/>
    </row>
    <row r="259">
      <c r="D259" s="14" t="n"/>
    </row>
    <row r="260">
      <c r="D260" s="14" t="n"/>
    </row>
    <row r="261">
      <c r="D261" s="14" t="n"/>
    </row>
    <row r="262">
      <c r="D262" s="14" t="n"/>
    </row>
    <row r="263">
      <c r="D263" s="14" t="n"/>
    </row>
    <row r="264">
      <c r="D264" s="14" t="n"/>
    </row>
    <row r="265">
      <c r="D265" s="14" t="n"/>
    </row>
    <row r="266">
      <c r="D266" s="14" t="n"/>
    </row>
    <row r="267">
      <c r="D267" s="14" t="n"/>
    </row>
    <row r="268">
      <c r="D268" s="14" t="n"/>
    </row>
    <row r="269">
      <c r="D269" s="14" t="n"/>
    </row>
    <row r="270">
      <c r="D270" s="14" t="n"/>
    </row>
    <row r="271">
      <c r="D271" s="14" t="n"/>
    </row>
    <row r="272">
      <c r="D272" s="14" t="n"/>
    </row>
    <row r="273">
      <c r="D273" s="14" t="n"/>
    </row>
    <row r="274">
      <c r="D274" s="14" t="n"/>
    </row>
    <row r="275">
      <c r="D275" s="14" t="n"/>
    </row>
    <row r="276">
      <c r="D276" s="14" t="n"/>
    </row>
    <row r="277">
      <c r="D277" s="14" t="n"/>
    </row>
    <row r="278">
      <c r="D278" s="14" t="n"/>
    </row>
    <row r="279">
      <c r="D279" s="14" t="n"/>
    </row>
    <row r="280">
      <c r="D280" s="14" t="n"/>
    </row>
    <row r="281">
      <c r="D281" s="14" t="n"/>
    </row>
    <row r="282">
      <c r="D282" s="14" t="n"/>
    </row>
    <row r="283">
      <c r="D283" s="14" t="n"/>
    </row>
    <row r="284">
      <c r="D284" s="14" t="n"/>
    </row>
    <row r="285">
      <c r="D285" s="14" t="n"/>
    </row>
    <row r="286">
      <c r="D286" s="14" t="n"/>
    </row>
    <row r="287">
      <c r="D287" s="14" t="n"/>
    </row>
    <row r="288">
      <c r="D288" s="14" t="n"/>
    </row>
    <row r="289">
      <c r="D289" s="14" t="n"/>
    </row>
    <row r="290">
      <c r="D290" s="14" t="n"/>
    </row>
    <row r="291">
      <c r="D291" s="14" t="n"/>
    </row>
    <row r="292">
      <c r="D292" s="14" t="n"/>
    </row>
    <row r="293">
      <c r="D293" s="14" t="n"/>
    </row>
    <row r="294">
      <c r="D294" s="14" t="n"/>
    </row>
    <row r="295">
      <c r="D295" s="14" t="n"/>
    </row>
    <row r="296">
      <c r="D296" s="14" t="n"/>
    </row>
    <row r="297">
      <c r="D297" s="14" t="n"/>
    </row>
    <row r="298">
      <c r="D298" s="14" t="n"/>
    </row>
    <row r="299">
      <c r="D299" s="14" t="n"/>
    </row>
    <row r="300">
      <c r="D300" s="14" t="n"/>
    </row>
    <row r="301">
      <c r="D301" s="14" t="n"/>
    </row>
    <row r="302">
      <c r="D302" s="14" t="n"/>
    </row>
    <row r="303">
      <c r="D303" s="14" t="n"/>
    </row>
    <row r="304">
      <c r="D304" s="14" t="n"/>
    </row>
    <row r="305">
      <c r="D305" s="14" t="n"/>
    </row>
    <row r="306">
      <c r="D306" s="14" t="n"/>
    </row>
    <row r="307">
      <c r="D307" s="14" t="n"/>
    </row>
    <row r="308">
      <c r="D308" s="14" t="n"/>
    </row>
    <row r="309">
      <c r="D309" s="14" t="n"/>
    </row>
    <row r="310">
      <c r="D310" s="14" t="n"/>
    </row>
    <row r="311">
      <c r="D311" s="14" t="n"/>
    </row>
    <row r="312">
      <c r="D312" s="14" t="n"/>
    </row>
    <row r="313">
      <c r="D313" s="14" t="n"/>
    </row>
    <row r="314">
      <c r="D314" s="14" t="n"/>
    </row>
    <row r="315">
      <c r="D315" s="14" t="n"/>
    </row>
    <row r="316">
      <c r="D316" s="14" t="n"/>
    </row>
    <row r="317">
      <c r="D317" s="14" t="n"/>
    </row>
    <row r="318">
      <c r="D318" s="14" t="n"/>
    </row>
    <row r="319">
      <c r="D319" s="14" t="n"/>
    </row>
    <row r="320">
      <c r="D320" s="14" t="n"/>
    </row>
    <row r="321">
      <c r="D321" s="14" t="n"/>
    </row>
    <row r="322">
      <c r="D322" s="14" t="n"/>
    </row>
    <row r="323">
      <c r="D323" s="14" t="n"/>
    </row>
    <row r="324">
      <c r="D324" s="14" t="n"/>
    </row>
    <row r="325">
      <c r="D325" s="14" t="n"/>
    </row>
    <row r="326">
      <c r="D326" s="14" t="n"/>
    </row>
    <row r="327">
      <c r="D327" s="14" t="n"/>
    </row>
    <row r="328">
      <c r="D328" s="14" t="n"/>
    </row>
    <row r="329">
      <c r="D329" s="14" t="n"/>
    </row>
    <row r="330">
      <c r="D330" s="14" t="n"/>
    </row>
    <row r="331">
      <c r="D331" s="14" t="n"/>
    </row>
    <row r="332">
      <c r="D332" s="14" t="n"/>
    </row>
    <row r="333">
      <c r="D333" s="14" t="n"/>
    </row>
    <row r="334">
      <c r="D334" s="14" t="n"/>
    </row>
    <row r="335">
      <c r="D335" s="14" t="n"/>
    </row>
    <row r="336">
      <c r="D336" s="14" t="n"/>
    </row>
    <row r="337">
      <c r="D337" s="14" t="n"/>
    </row>
    <row r="338">
      <c r="D338" s="14" t="n"/>
    </row>
    <row r="339">
      <c r="D339" s="14" t="n"/>
    </row>
    <row r="340">
      <c r="D340" s="14" t="n"/>
    </row>
    <row r="341">
      <c r="D341" s="14" t="n"/>
    </row>
    <row r="342">
      <c r="D342" s="14" t="n"/>
    </row>
    <row r="343">
      <c r="D343" s="14" t="n"/>
    </row>
    <row r="344">
      <c r="D344" s="14" t="n"/>
    </row>
    <row r="345">
      <c r="D345" s="14" t="n"/>
    </row>
    <row r="346">
      <c r="D346" s="14" t="n"/>
    </row>
    <row r="347">
      <c r="D347" s="14" t="n"/>
    </row>
    <row r="348">
      <c r="D348" s="14" t="n"/>
    </row>
    <row r="349">
      <c r="D349" s="14" t="n"/>
    </row>
    <row r="350">
      <c r="D350" s="14" t="n"/>
    </row>
    <row r="351">
      <c r="D351" s="14" t="n"/>
    </row>
    <row r="352">
      <c r="D352" s="14" t="n"/>
    </row>
    <row r="353">
      <c r="D353" s="14" t="n"/>
    </row>
    <row r="354">
      <c r="D354" s="14" t="n"/>
    </row>
    <row r="355">
      <c r="D355" s="14" t="n"/>
    </row>
    <row r="356">
      <c r="D356" s="14" t="n"/>
    </row>
    <row r="357">
      <c r="D357" s="14" t="n"/>
    </row>
    <row r="358">
      <c r="D358" s="14" t="n"/>
    </row>
    <row r="359">
      <c r="D359" s="14" t="n"/>
    </row>
    <row r="360">
      <c r="D360" s="14" t="n"/>
    </row>
    <row r="361">
      <c r="D361" s="14" t="n"/>
    </row>
    <row r="362">
      <c r="D362" s="14" t="n"/>
    </row>
    <row r="363">
      <c r="D363" s="14" t="n"/>
    </row>
    <row r="364">
      <c r="D364" s="14" t="n"/>
    </row>
    <row r="365">
      <c r="D365" s="14" t="n"/>
    </row>
    <row r="366">
      <c r="D366" s="14" t="n"/>
    </row>
    <row r="367">
      <c r="D367" s="14" t="n"/>
    </row>
    <row r="368">
      <c r="D368" s="14" t="n"/>
    </row>
    <row r="369">
      <c r="D369" s="14" t="n"/>
    </row>
    <row r="370">
      <c r="D370" s="14" t="n"/>
    </row>
    <row r="371">
      <c r="D371" s="14" t="n"/>
    </row>
    <row r="372">
      <c r="D372" s="14" t="n"/>
    </row>
    <row r="373">
      <c r="D373" s="14" t="n"/>
    </row>
    <row r="374">
      <c r="D374" s="14" t="n"/>
    </row>
    <row r="375">
      <c r="D375" s="14" t="n"/>
    </row>
    <row r="376">
      <c r="D376" s="14" t="n"/>
    </row>
    <row r="377">
      <c r="D377" s="14" t="n"/>
    </row>
    <row r="378">
      <c r="D378" s="14" t="n"/>
    </row>
    <row r="379">
      <c r="D379" s="14" t="n"/>
    </row>
    <row r="380">
      <c r="D380" s="14" t="n"/>
    </row>
    <row r="381">
      <c r="D381" s="14" t="n"/>
    </row>
    <row r="382">
      <c r="D382" s="14" t="n"/>
    </row>
    <row r="383">
      <c r="D383" s="14" t="n"/>
    </row>
    <row r="384">
      <c r="D384" s="14" t="n"/>
    </row>
    <row r="385">
      <c r="D385" s="14" t="n"/>
    </row>
    <row r="386">
      <c r="D386" s="14" t="n"/>
    </row>
    <row r="387">
      <c r="D387" s="14" t="n"/>
    </row>
    <row r="388">
      <c r="D388" s="14" t="n"/>
    </row>
    <row r="389">
      <c r="D389" s="14" t="n"/>
    </row>
    <row r="390">
      <c r="D390" s="14" t="n"/>
    </row>
    <row r="391">
      <c r="D391" s="14" t="n"/>
    </row>
    <row r="392">
      <c r="D392" s="14" t="n"/>
    </row>
    <row r="393">
      <c r="D393" s="14" t="n"/>
    </row>
    <row r="394">
      <c r="D394" s="14" t="n"/>
    </row>
    <row r="395">
      <c r="D395" s="14" t="n"/>
    </row>
    <row r="396">
      <c r="D396" s="14" t="n"/>
    </row>
    <row r="397">
      <c r="D397" s="14" t="n"/>
    </row>
    <row r="398">
      <c r="D398" s="14" t="n"/>
    </row>
    <row r="399">
      <c r="D399" s="14" t="n"/>
    </row>
    <row r="400">
      <c r="D400" s="14" t="n"/>
    </row>
    <row r="401">
      <c r="D401" s="14" t="n"/>
    </row>
    <row r="402">
      <c r="D402" s="14" t="n"/>
    </row>
    <row r="403">
      <c r="D403" s="14" t="n"/>
    </row>
    <row r="404">
      <c r="D404" s="14" t="n"/>
    </row>
    <row r="405">
      <c r="D405" s="14" t="n"/>
    </row>
    <row r="406">
      <c r="D406" s="14" t="n"/>
    </row>
    <row r="407">
      <c r="D407" s="14" t="n"/>
    </row>
    <row r="408">
      <c r="D408" s="14" t="n"/>
    </row>
    <row r="409">
      <c r="D409" s="14" t="n"/>
    </row>
    <row r="410">
      <c r="D410" s="14" t="n"/>
    </row>
    <row r="411">
      <c r="D411" s="14" t="n"/>
    </row>
    <row r="412">
      <c r="D412" s="14" t="n"/>
    </row>
    <row r="413">
      <c r="D413" s="14" t="n"/>
    </row>
    <row r="414">
      <c r="D414" s="14" t="n"/>
    </row>
    <row r="415">
      <c r="D415" s="14" t="n"/>
    </row>
    <row r="416">
      <c r="D416" s="14" t="n"/>
    </row>
    <row r="417">
      <c r="D417" s="14" t="n"/>
    </row>
    <row r="418">
      <c r="D418" s="14" t="n"/>
    </row>
    <row r="419">
      <c r="D419" s="14" t="n"/>
    </row>
    <row r="420">
      <c r="D420" s="14" t="n"/>
    </row>
    <row r="421">
      <c r="D421" s="14" t="n"/>
    </row>
    <row r="422">
      <c r="D422" s="14" t="n"/>
    </row>
    <row r="423">
      <c r="D423" s="14" t="n"/>
    </row>
    <row r="424">
      <c r="D424" s="14" t="n"/>
    </row>
    <row r="425">
      <c r="D425" s="14" t="n"/>
    </row>
    <row r="426">
      <c r="D426" s="14" t="n"/>
    </row>
    <row r="427">
      <c r="D427" s="14" t="n"/>
    </row>
    <row r="428">
      <c r="D428" s="14" t="n"/>
    </row>
    <row r="429">
      <c r="D429" s="14" t="n"/>
    </row>
    <row r="430">
      <c r="D430" s="14" t="n"/>
    </row>
    <row r="431">
      <c r="D431" s="14" t="n"/>
    </row>
    <row r="432">
      <c r="D432" s="14" t="n"/>
    </row>
    <row r="433">
      <c r="D433" s="14" t="n"/>
    </row>
    <row r="434">
      <c r="D434" s="14" t="n"/>
    </row>
    <row r="435">
      <c r="D435" s="14" t="n"/>
    </row>
    <row r="436">
      <c r="D436" s="14" t="n"/>
    </row>
    <row r="437">
      <c r="D437" s="14" t="n"/>
    </row>
    <row r="438">
      <c r="D438" s="14" t="n"/>
    </row>
    <row r="439">
      <c r="D439" s="14" t="n"/>
    </row>
    <row r="440">
      <c r="D440" s="14" t="n"/>
    </row>
    <row r="441">
      <c r="D441" s="14" t="n"/>
    </row>
    <row r="442">
      <c r="D442" s="14" t="n"/>
    </row>
    <row r="443">
      <c r="D443" s="14" t="n"/>
    </row>
    <row r="444">
      <c r="D444" s="14" t="n"/>
    </row>
    <row r="445">
      <c r="D445" s="14" t="n"/>
    </row>
    <row r="446">
      <c r="D446" s="14" t="n"/>
    </row>
    <row r="447">
      <c r="D447" s="14" t="n"/>
    </row>
    <row r="448">
      <c r="D448" s="14" t="n"/>
    </row>
    <row r="449">
      <c r="D449" s="14" t="n"/>
    </row>
    <row r="450">
      <c r="D450" s="14" t="n"/>
    </row>
    <row r="451">
      <c r="D451" s="14" t="n"/>
    </row>
    <row r="452">
      <c r="D452" s="14" t="n"/>
    </row>
    <row r="453">
      <c r="D453" s="14" t="n"/>
    </row>
    <row r="454">
      <c r="D454" s="14" t="n"/>
    </row>
    <row r="455">
      <c r="D455" s="14" t="n"/>
    </row>
    <row r="456">
      <c r="D456" s="14" t="n"/>
    </row>
    <row r="457">
      <c r="D457" s="14" t="n"/>
    </row>
    <row r="458">
      <c r="D458" s="14" t="n"/>
    </row>
    <row r="459">
      <c r="D459" s="14" t="n"/>
    </row>
    <row r="460">
      <c r="D460" s="14" t="n"/>
    </row>
    <row r="461">
      <c r="D461" s="14" t="n"/>
    </row>
    <row r="462">
      <c r="D462" s="14" t="n"/>
    </row>
    <row r="463">
      <c r="D463" s="14" t="n"/>
    </row>
    <row r="464">
      <c r="D464" s="14" t="n"/>
    </row>
    <row r="465">
      <c r="D465" s="14" t="n"/>
    </row>
    <row r="466">
      <c r="D466" s="14" t="n"/>
    </row>
    <row r="467">
      <c r="D467" s="14" t="n"/>
    </row>
    <row r="468">
      <c r="D468" s="14" t="n"/>
    </row>
    <row r="469">
      <c r="D469" s="14" t="n"/>
    </row>
    <row r="470">
      <c r="D470" s="14" t="n"/>
    </row>
    <row r="471">
      <c r="D471" s="14" t="n"/>
    </row>
    <row r="472">
      <c r="D472" s="14" t="n"/>
    </row>
    <row r="473">
      <c r="D473" s="14" t="n"/>
    </row>
    <row r="474">
      <c r="D474" s="14" t="n"/>
    </row>
    <row r="475">
      <c r="D475" s="14" t="n"/>
    </row>
    <row r="476">
      <c r="D476" s="14" t="n"/>
    </row>
    <row r="477">
      <c r="D477" s="14" t="n"/>
    </row>
    <row r="478">
      <c r="D478" s="14" t="n"/>
    </row>
    <row r="479">
      <c r="D479" s="14" t="n"/>
    </row>
    <row r="480">
      <c r="D480" s="14" t="n"/>
    </row>
    <row r="481">
      <c r="D481" s="14" t="n"/>
    </row>
    <row r="482">
      <c r="D482" s="14" t="n"/>
    </row>
    <row r="483">
      <c r="D483" s="14" t="n"/>
    </row>
    <row r="484">
      <c r="D484" s="14" t="n"/>
    </row>
    <row r="485">
      <c r="D485" s="14" t="n"/>
    </row>
    <row r="486">
      <c r="D486" s="14" t="n"/>
    </row>
    <row r="487">
      <c r="D487" s="14" t="n"/>
    </row>
    <row r="488">
      <c r="D488" s="14" t="n"/>
    </row>
    <row r="489">
      <c r="D489" s="14" t="n"/>
    </row>
    <row r="490">
      <c r="D490" s="14" t="n"/>
    </row>
    <row r="491">
      <c r="D491" s="14" t="n"/>
    </row>
    <row r="492">
      <c r="D492" s="14" t="n"/>
    </row>
    <row r="493">
      <c r="D493" s="14" t="n"/>
    </row>
    <row r="494">
      <c r="D494" s="14" t="n"/>
    </row>
    <row r="495">
      <c r="D495" s="14" t="n"/>
    </row>
    <row r="496">
      <c r="D496" s="14" t="n"/>
    </row>
    <row r="497">
      <c r="D497" s="14" t="n"/>
    </row>
    <row r="498">
      <c r="D498" s="14" t="n"/>
    </row>
    <row r="499">
      <c r="D499" s="14" t="n"/>
    </row>
    <row r="500">
      <c r="D500" s="14" t="n"/>
    </row>
    <row r="501">
      <c r="D501" s="14" t="n"/>
    </row>
    <row r="502">
      <c r="D502" s="14" t="n"/>
    </row>
    <row r="503">
      <c r="D503" s="14" t="n"/>
    </row>
    <row r="504">
      <c r="D504" s="14" t="n"/>
    </row>
    <row r="505">
      <c r="D505" s="14" t="n"/>
    </row>
    <row r="506">
      <c r="D506" s="14" t="n"/>
    </row>
    <row r="507">
      <c r="D507" s="14" t="n"/>
    </row>
    <row r="508">
      <c r="D508" s="14" t="n"/>
    </row>
    <row r="509">
      <c r="D509" s="14" t="n"/>
    </row>
    <row r="510">
      <c r="D510" s="14" t="n"/>
    </row>
    <row r="511">
      <c r="D511" s="14" t="n"/>
    </row>
    <row r="512">
      <c r="D512" s="14" t="n"/>
    </row>
    <row r="513">
      <c r="D513" s="14" t="n"/>
    </row>
    <row r="514">
      <c r="D514" s="14" t="n"/>
    </row>
    <row r="515">
      <c r="D515" s="14" t="n"/>
    </row>
    <row r="516">
      <c r="D516" s="14" t="n"/>
    </row>
    <row r="517">
      <c r="D517" s="14" t="n"/>
    </row>
    <row r="518">
      <c r="D518" s="14" t="n"/>
    </row>
    <row r="519">
      <c r="D519" s="14" t="n"/>
    </row>
    <row r="520">
      <c r="D520" s="14" t="n"/>
    </row>
    <row r="521">
      <c r="D521" s="14" t="n"/>
    </row>
    <row r="522">
      <c r="D522" s="14" t="n"/>
    </row>
    <row r="523">
      <c r="D523" s="14" t="n"/>
    </row>
    <row r="524">
      <c r="D524" s="14" t="n"/>
    </row>
    <row r="525">
      <c r="D525" s="14" t="n"/>
    </row>
    <row r="526">
      <c r="D526" s="14" t="n"/>
    </row>
    <row r="527">
      <c r="D527" s="14" t="n"/>
    </row>
    <row r="528">
      <c r="D528" s="14" t="n"/>
    </row>
    <row r="529">
      <c r="D529" s="14" t="n"/>
    </row>
    <row r="530">
      <c r="D530" s="14" t="n"/>
    </row>
    <row r="531">
      <c r="D531" s="14" t="n"/>
    </row>
    <row r="532">
      <c r="D532" s="14" t="n"/>
    </row>
    <row r="533">
      <c r="D533" s="14" t="n"/>
    </row>
    <row r="534">
      <c r="D534" s="14" t="n"/>
    </row>
    <row r="535">
      <c r="D535" s="14" t="n"/>
    </row>
    <row r="536">
      <c r="D536" s="14" t="n"/>
    </row>
    <row r="537">
      <c r="D537" s="14" t="n"/>
    </row>
    <row r="538">
      <c r="D538" s="14" t="n"/>
    </row>
    <row r="539">
      <c r="D539" s="14" t="n"/>
    </row>
    <row r="540">
      <c r="D540" s="14" t="n"/>
    </row>
    <row r="541">
      <c r="D541" s="14" t="n"/>
    </row>
    <row r="542">
      <c r="D542" s="14" t="n"/>
    </row>
    <row r="543">
      <c r="D543" s="14" t="n"/>
    </row>
    <row r="544">
      <c r="D544" s="14" t="n"/>
    </row>
    <row r="545">
      <c r="D545" s="14" t="n"/>
    </row>
    <row r="546">
      <c r="D546" s="14" t="n"/>
    </row>
    <row r="547">
      <c r="D547" s="14" t="n"/>
    </row>
    <row r="548">
      <c r="D548" s="14" t="n"/>
    </row>
    <row r="549">
      <c r="D549" s="14" t="n"/>
    </row>
    <row r="550">
      <c r="D550" s="14" t="n"/>
    </row>
    <row r="551">
      <c r="D551" s="14" t="n"/>
    </row>
    <row r="552">
      <c r="D552" s="14" t="n"/>
    </row>
    <row r="553">
      <c r="D553" s="14" t="n"/>
    </row>
    <row r="554">
      <c r="D554" s="14" t="n"/>
    </row>
    <row r="555">
      <c r="D555" s="14" t="n"/>
    </row>
    <row r="556">
      <c r="D556" s="14" t="n"/>
    </row>
    <row r="557">
      <c r="D557" s="14" t="n"/>
    </row>
    <row r="558">
      <c r="D558" s="14" t="n"/>
    </row>
    <row r="559">
      <c r="D559" s="14" t="n"/>
    </row>
    <row r="560">
      <c r="D560" s="14" t="n"/>
    </row>
    <row r="561">
      <c r="D561" s="14" t="n"/>
    </row>
    <row r="562">
      <c r="D562" s="14" t="n"/>
    </row>
    <row r="563">
      <c r="D563" s="14" t="n"/>
    </row>
    <row r="564">
      <c r="D564" s="14" t="n"/>
    </row>
    <row r="565">
      <c r="D565" s="14" t="n"/>
    </row>
    <row r="566">
      <c r="D566" s="14" t="n"/>
    </row>
    <row r="567">
      <c r="D567" s="14" t="n"/>
    </row>
    <row r="568">
      <c r="D568" s="14" t="n"/>
    </row>
    <row r="569">
      <c r="D569" s="14" t="n"/>
    </row>
    <row r="570">
      <c r="D570" s="14" t="n"/>
    </row>
    <row r="571">
      <c r="D571" s="14" t="n"/>
    </row>
    <row r="572">
      <c r="D572" s="14" t="n"/>
    </row>
    <row r="573">
      <c r="D573" s="14" t="n"/>
    </row>
    <row r="574">
      <c r="D574" s="14" t="n"/>
    </row>
    <row r="575">
      <c r="D575" s="14" t="n"/>
    </row>
    <row r="576">
      <c r="D576" s="14" t="n"/>
    </row>
    <row r="577">
      <c r="D577" s="14" t="n"/>
    </row>
    <row r="578">
      <c r="D578" s="14" t="n"/>
    </row>
    <row r="579">
      <c r="D579" s="14" t="n"/>
    </row>
    <row r="580">
      <c r="D580" s="14" t="n"/>
    </row>
    <row r="581">
      <c r="D581" s="14" t="n"/>
    </row>
    <row r="582">
      <c r="D582" s="14" t="n"/>
    </row>
    <row r="583">
      <c r="D583" s="14" t="n"/>
    </row>
    <row r="584">
      <c r="D584" s="14" t="n"/>
    </row>
    <row r="585">
      <c r="D585" s="14" t="n"/>
    </row>
    <row r="586">
      <c r="D586" s="14" t="n"/>
    </row>
    <row r="587">
      <c r="D587" s="14" t="n"/>
    </row>
    <row r="588">
      <c r="D588" s="14" t="n"/>
    </row>
    <row r="589">
      <c r="D589" s="14" t="n"/>
    </row>
    <row r="590">
      <c r="D590" s="14" t="n"/>
    </row>
    <row r="591">
      <c r="D591" s="14" t="n"/>
    </row>
    <row r="592">
      <c r="D592" s="14" t="n"/>
    </row>
    <row r="593">
      <c r="D593" s="14" t="n"/>
    </row>
    <row r="594">
      <c r="D594" s="14" t="n"/>
    </row>
    <row r="595">
      <c r="D595" s="14" t="n"/>
    </row>
    <row r="596">
      <c r="D596" s="14" t="n"/>
    </row>
    <row r="597">
      <c r="D597" s="14" t="n"/>
    </row>
    <row r="598">
      <c r="D598" s="14" t="n"/>
    </row>
    <row r="599">
      <c r="D599" s="14" t="n"/>
    </row>
    <row r="600">
      <c r="D600" s="14" t="n"/>
    </row>
    <row r="601">
      <c r="D601" s="14" t="n"/>
    </row>
    <row r="602">
      <c r="D602" s="14" t="n"/>
    </row>
    <row r="603">
      <c r="D603" s="14" t="n"/>
    </row>
    <row r="604">
      <c r="D604" s="14" t="n"/>
    </row>
    <row r="605">
      <c r="D605" s="14" t="n"/>
    </row>
    <row r="606">
      <c r="D606" s="14" t="n"/>
    </row>
    <row r="607">
      <c r="D607" s="14" t="n"/>
    </row>
    <row r="608">
      <c r="D608" s="14" t="n"/>
    </row>
    <row r="609">
      <c r="D609" s="14" t="n"/>
    </row>
    <row r="610">
      <c r="D610" s="14" t="n"/>
    </row>
    <row r="611">
      <c r="D611" s="14" t="n"/>
    </row>
    <row r="612">
      <c r="D612" s="14" t="n"/>
    </row>
    <row r="613">
      <c r="D613" s="14" t="n"/>
    </row>
    <row r="614">
      <c r="D614" s="14" t="n"/>
    </row>
    <row r="615">
      <c r="D615" s="14" t="n"/>
    </row>
    <row r="616">
      <c r="D616" s="14" t="n"/>
    </row>
    <row r="617">
      <c r="D617" s="14" t="n"/>
    </row>
    <row r="618">
      <c r="D618" s="14" t="n"/>
    </row>
    <row r="619">
      <c r="D619" s="14" t="n"/>
    </row>
    <row r="620">
      <c r="D620" s="14" t="n"/>
    </row>
    <row r="621">
      <c r="D621" s="14" t="n"/>
    </row>
    <row r="622">
      <c r="D622" s="14" t="n"/>
    </row>
    <row r="623">
      <c r="D623" s="14" t="n"/>
    </row>
    <row r="624">
      <c r="D624" s="14" t="n"/>
    </row>
    <row r="625">
      <c r="D625" s="14" t="n"/>
    </row>
    <row r="626">
      <c r="D626" s="14" t="n"/>
    </row>
    <row r="627">
      <c r="D627" s="14" t="n"/>
    </row>
    <row r="628">
      <c r="D628" s="14" t="n"/>
    </row>
    <row r="629">
      <c r="D629" s="14" t="n"/>
    </row>
    <row r="630">
      <c r="D630" s="14" t="n"/>
    </row>
    <row r="631">
      <c r="D631" s="14" t="n"/>
    </row>
    <row r="632">
      <c r="D632" s="14" t="n"/>
    </row>
    <row r="633">
      <c r="D633" s="14" t="n"/>
    </row>
    <row r="634">
      <c r="D634" s="14" t="n"/>
    </row>
    <row r="635">
      <c r="D635" s="14" t="n"/>
    </row>
    <row r="636">
      <c r="D636" s="14" t="n"/>
    </row>
    <row r="637">
      <c r="D637" s="14" t="n"/>
    </row>
    <row r="638">
      <c r="D638" s="14" t="n"/>
    </row>
    <row r="639">
      <c r="D639" s="14" t="n"/>
    </row>
    <row r="640">
      <c r="D640" s="14" t="n"/>
    </row>
    <row r="641">
      <c r="D641" s="14" t="n"/>
    </row>
    <row r="642">
      <c r="D642" s="14" t="n"/>
    </row>
    <row r="643">
      <c r="D643" s="14" t="n"/>
    </row>
    <row r="644">
      <c r="D644" s="14" t="n"/>
    </row>
    <row r="645">
      <c r="D645" s="14" t="n"/>
    </row>
    <row r="646">
      <c r="D646" s="14" t="n"/>
    </row>
    <row r="647">
      <c r="D647" s="14" t="n"/>
    </row>
    <row r="648">
      <c r="D648" s="14" t="n"/>
    </row>
    <row r="649">
      <c r="D649" s="14" t="n"/>
    </row>
    <row r="650">
      <c r="D650" s="14" t="n"/>
    </row>
    <row r="651">
      <c r="D651" s="14" t="n"/>
    </row>
    <row r="652">
      <c r="D652" s="14" t="n"/>
    </row>
    <row r="653">
      <c r="D653" s="14" t="n"/>
    </row>
    <row r="654">
      <c r="D654" s="14" t="n"/>
    </row>
    <row r="655">
      <c r="D655" s="14" t="n"/>
    </row>
    <row r="656">
      <c r="D656" s="14" t="n"/>
    </row>
    <row r="657">
      <c r="D657" s="14" t="n"/>
    </row>
    <row r="658">
      <c r="D658" s="14" t="n"/>
    </row>
    <row r="659">
      <c r="D659" s="14" t="n"/>
    </row>
    <row r="660">
      <c r="D660" s="14" t="n"/>
    </row>
    <row r="661">
      <c r="D661" s="14" t="n"/>
    </row>
    <row r="662">
      <c r="D662" s="14" t="n"/>
    </row>
    <row r="663">
      <c r="D663" s="14" t="n"/>
    </row>
    <row r="664">
      <c r="D664" s="14" t="n"/>
    </row>
    <row r="665">
      <c r="D665" s="14" t="n"/>
    </row>
    <row r="666">
      <c r="D666" s="14" t="n"/>
    </row>
    <row r="667">
      <c r="D667" s="14" t="n"/>
    </row>
    <row r="668">
      <c r="D668" s="14" t="n"/>
    </row>
    <row r="669">
      <c r="D669" s="14" t="n"/>
    </row>
    <row r="670">
      <c r="D670" s="14" t="n"/>
    </row>
    <row r="671">
      <c r="D671" s="14" t="n"/>
    </row>
    <row r="672">
      <c r="D672" s="14" t="n"/>
    </row>
    <row r="673">
      <c r="D673" s="14" t="n"/>
    </row>
    <row r="674">
      <c r="D674" s="14" t="n"/>
    </row>
    <row r="675">
      <c r="D675" s="14" t="n"/>
    </row>
    <row r="676">
      <c r="D676" s="14" t="n"/>
    </row>
    <row r="677">
      <c r="D677" s="14" t="n"/>
    </row>
    <row r="678">
      <c r="D678" s="14" t="n"/>
    </row>
    <row r="679">
      <c r="D679" s="14" t="n"/>
    </row>
    <row r="680">
      <c r="D680" s="14" t="n"/>
    </row>
    <row r="681">
      <c r="D681" s="14" t="n"/>
    </row>
    <row r="682">
      <c r="D682" s="14" t="n"/>
    </row>
    <row r="683">
      <c r="D683" s="14" t="n"/>
    </row>
    <row r="684">
      <c r="D684" s="14" t="n"/>
    </row>
    <row r="685">
      <c r="D685" s="14" t="n"/>
    </row>
    <row r="686">
      <c r="D686" s="14" t="n"/>
    </row>
    <row r="687">
      <c r="D687" s="14" t="n"/>
    </row>
    <row r="688">
      <c r="D688" s="14" t="n"/>
    </row>
    <row r="689">
      <c r="D689" s="14" t="n"/>
    </row>
    <row r="690">
      <c r="D690" s="14" t="n"/>
    </row>
    <row r="691">
      <c r="D691" s="14" t="n"/>
    </row>
    <row r="692">
      <c r="D692" s="14" t="n"/>
    </row>
    <row r="693">
      <c r="D693" s="14" t="n"/>
    </row>
    <row r="694">
      <c r="D694" s="14" t="n"/>
    </row>
    <row r="695">
      <c r="D695" s="14" t="n"/>
    </row>
    <row r="696">
      <c r="D696" s="14" t="n"/>
    </row>
    <row r="697">
      <c r="D697" s="14" t="n"/>
    </row>
    <row r="698">
      <c r="D698" s="14" t="n"/>
    </row>
    <row r="699">
      <c r="D699" s="14" t="n"/>
    </row>
    <row r="700">
      <c r="D700" s="14" t="n"/>
    </row>
    <row r="701">
      <c r="D701" s="14" t="n"/>
    </row>
    <row r="702">
      <c r="D702" s="14" t="n"/>
    </row>
    <row r="703">
      <c r="D703" s="14" t="n"/>
    </row>
    <row r="704">
      <c r="D704" s="14" t="n"/>
    </row>
    <row r="705">
      <c r="D705" s="14" t="n"/>
    </row>
    <row r="706">
      <c r="D706" s="14" t="n"/>
    </row>
    <row r="707">
      <c r="D707" s="14" t="n"/>
    </row>
    <row r="708">
      <c r="D708" s="14" t="n"/>
    </row>
    <row r="709">
      <c r="D709" s="14" t="n"/>
    </row>
    <row r="710">
      <c r="D710" s="14" t="n"/>
    </row>
    <row r="711">
      <c r="D711" s="14" t="n"/>
    </row>
    <row r="712">
      <c r="D712" s="14" t="n"/>
    </row>
    <row r="713">
      <c r="D713" s="14" t="n"/>
    </row>
    <row r="714">
      <c r="D714" s="14" t="n"/>
    </row>
    <row r="715">
      <c r="D715" s="14" t="n"/>
    </row>
    <row r="716">
      <c r="D716" s="14" t="n"/>
    </row>
    <row r="717">
      <c r="D717" s="14" t="n"/>
    </row>
    <row r="718">
      <c r="D718" s="14" t="n"/>
    </row>
    <row r="719">
      <c r="D719" s="14" t="n"/>
    </row>
    <row r="720">
      <c r="D720" s="14" t="n"/>
    </row>
    <row r="721">
      <c r="D721" s="14" t="n"/>
    </row>
    <row r="722">
      <c r="D722" s="14" t="n"/>
    </row>
    <row r="723">
      <c r="D723" s="14" t="n"/>
    </row>
    <row r="724">
      <c r="D724" s="14" t="n"/>
    </row>
    <row r="725">
      <c r="D725" s="14" t="n"/>
    </row>
    <row r="726">
      <c r="D726" s="14" t="n"/>
    </row>
    <row r="727">
      <c r="D727" s="14" t="n"/>
    </row>
    <row r="728">
      <c r="D728" s="14" t="n"/>
    </row>
    <row r="729">
      <c r="D729" s="14" t="n"/>
    </row>
    <row r="730">
      <c r="D730" s="14" t="n"/>
    </row>
    <row r="731">
      <c r="D731" s="14" t="n"/>
    </row>
    <row r="732">
      <c r="D732" s="14" t="n"/>
    </row>
    <row r="733">
      <c r="D733" s="14" t="n"/>
    </row>
    <row r="734">
      <c r="D734" s="14" t="n"/>
    </row>
    <row r="735">
      <c r="D735" s="14" t="n"/>
    </row>
    <row r="736">
      <c r="D736" s="14" t="n"/>
    </row>
    <row r="737">
      <c r="D737" s="14" t="n"/>
    </row>
    <row r="738">
      <c r="D738" s="14" t="n"/>
    </row>
    <row r="739">
      <c r="D739" s="14" t="n"/>
    </row>
    <row r="740">
      <c r="D740" s="14" t="n"/>
    </row>
    <row r="741">
      <c r="D741" s="14" t="n"/>
    </row>
    <row r="742">
      <c r="D742" s="14" t="n"/>
    </row>
    <row r="743">
      <c r="D743" s="14" t="n"/>
    </row>
    <row r="744">
      <c r="D744" s="14" t="n"/>
    </row>
    <row r="745">
      <c r="D745" s="14" t="n"/>
    </row>
    <row r="746">
      <c r="D746" s="14" t="n"/>
    </row>
    <row r="747">
      <c r="D747" s="14" t="n"/>
    </row>
    <row r="748">
      <c r="D748" s="14" t="n"/>
    </row>
    <row r="749">
      <c r="D749" s="14" t="n"/>
    </row>
    <row r="750">
      <c r="D750" s="14" t="n"/>
    </row>
    <row r="751">
      <c r="D751" s="14" t="n"/>
    </row>
    <row r="752">
      <c r="D752" s="14" t="n"/>
    </row>
    <row r="753">
      <c r="D753" s="14" t="n"/>
    </row>
    <row r="754">
      <c r="D754" s="14" t="n"/>
    </row>
    <row r="755">
      <c r="D755" s="14" t="n"/>
    </row>
    <row r="756">
      <c r="D756" s="14" t="n"/>
    </row>
    <row r="757">
      <c r="D757" s="14" t="n"/>
    </row>
    <row r="758">
      <c r="D758" s="14" t="n"/>
    </row>
    <row r="759">
      <c r="D759" s="14" t="n"/>
    </row>
    <row r="760">
      <c r="D760" s="14" t="n"/>
    </row>
    <row r="761">
      <c r="D761" s="14" t="n"/>
    </row>
    <row r="762">
      <c r="D762" s="14" t="n"/>
    </row>
    <row r="763">
      <c r="D763" s="14" t="n"/>
    </row>
    <row r="764">
      <c r="D764" s="14" t="n"/>
    </row>
    <row r="765">
      <c r="D765" s="14" t="n"/>
    </row>
    <row r="766">
      <c r="D766" s="14" t="n"/>
    </row>
    <row r="767">
      <c r="D767" s="14" t="n"/>
    </row>
    <row r="768">
      <c r="D768" s="14" t="n"/>
    </row>
    <row r="769">
      <c r="D769" s="14" t="n"/>
    </row>
    <row r="770">
      <c r="D770" s="14" t="n"/>
    </row>
    <row r="771">
      <c r="D771" s="14" t="n"/>
    </row>
    <row r="772">
      <c r="D772" s="14" t="n"/>
    </row>
    <row r="773">
      <c r="D773" s="14" t="n"/>
    </row>
    <row r="774">
      <c r="D774" s="14" t="n"/>
    </row>
    <row r="775">
      <c r="D775" s="14" t="n"/>
    </row>
    <row r="776">
      <c r="D776" s="14" t="n"/>
    </row>
    <row r="777">
      <c r="D777" s="14" t="n"/>
    </row>
    <row r="778">
      <c r="D778" s="14" t="n"/>
    </row>
    <row r="779">
      <c r="D779" s="14" t="n"/>
    </row>
    <row r="780">
      <c r="D780" s="14" t="n"/>
    </row>
    <row r="781">
      <c r="D781" s="14" t="n"/>
    </row>
    <row r="782">
      <c r="D782" s="14" t="n"/>
    </row>
    <row r="783">
      <c r="D783" s="14" t="n"/>
    </row>
    <row r="784">
      <c r="D784" s="14" t="n"/>
    </row>
    <row r="785">
      <c r="D785" s="14" t="n"/>
    </row>
    <row r="786">
      <c r="D786" s="14" t="n"/>
    </row>
    <row r="787">
      <c r="D787" s="14" t="n"/>
    </row>
    <row r="788">
      <c r="D788" s="14" t="n"/>
    </row>
    <row r="789">
      <c r="D789" s="14" t="n"/>
    </row>
    <row r="790">
      <c r="D790" s="14" t="n"/>
    </row>
    <row r="791">
      <c r="D791" s="14" t="n"/>
    </row>
    <row r="792">
      <c r="D792" s="14" t="n"/>
    </row>
    <row r="793">
      <c r="D793" s="14" t="n"/>
    </row>
    <row r="794">
      <c r="D794" s="14" t="n"/>
    </row>
    <row r="795">
      <c r="D795" s="14" t="n"/>
    </row>
    <row r="796">
      <c r="D796" s="14" t="n"/>
    </row>
    <row r="797">
      <c r="D797" s="14" t="n"/>
    </row>
    <row r="798">
      <c r="D798" s="14" t="n"/>
    </row>
    <row r="799">
      <c r="D799" s="14" t="n"/>
    </row>
    <row r="800">
      <c r="D800" s="14" t="n"/>
    </row>
    <row r="801">
      <c r="D801" s="14" t="n"/>
    </row>
    <row r="802">
      <c r="D802" s="14" t="n"/>
    </row>
    <row r="803">
      <c r="D803" s="14" t="n"/>
    </row>
    <row r="804">
      <c r="D804" s="14" t="n"/>
    </row>
    <row r="805">
      <c r="D805" s="14" t="n"/>
    </row>
    <row r="806">
      <c r="D806" s="14" t="n"/>
    </row>
    <row r="807">
      <c r="D807" s="14" t="n"/>
    </row>
    <row r="808">
      <c r="D808" s="14" t="n"/>
    </row>
    <row r="809">
      <c r="D809" s="14" t="n"/>
    </row>
    <row r="810">
      <c r="D810" s="14" t="n"/>
    </row>
    <row r="811">
      <c r="D811" s="14" t="n"/>
    </row>
    <row r="812">
      <c r="D812" s="14" t="n"/>
    </row>
    <row r="813">
      <c r="D813" s="14" t="n"/>
    </row>
    <row r="814">
      <c r="D814" s="14" t="n"/>
    </row>
    <row r="815">
      <c r="D815" s="14" t="n"/>
    </row>
    <row r="816">
      <c r="D816" s="14" t="n"/>
    </row>
    <row r="817">
      <c r="D817" s="14" t="n"/>
    </row>
    <row r="818">
      <c r="D818" s="14" t="n"/>
    </row>
    <row r="819">
      <c r="D819" s="14" t="n"/>
    </row>
    <row r="820">
      <c r="D820" s="14" t="n"/>
    </row>
    <row r="821">
      <c r="D821" s="14" t="n"/>
    </row>
    <row r="822">
      <c r="D822" s="14" t="n"/>
    </row>
    <row r="823">
      <c r="D823" s="14" t="n"/>
    </row>
    <row r="824">
      <c r="D824" s="14" t="n"/>
    </row>
    <row r="825">
      <c r="D825" s="14" t="n"/>
    </row>
    <row r="826">
      <c r="D826" s="14" t="n"/>
    </row>
    <row r="827">
      <c r="D827" s="14" t="n"/>
    </row>
    <row r="828">
      <c r="D828" s="14" t="n"/>
    </row>
    <row r="829">
      <c r="D829" s="14" t="n"/>
    </row>
    <row r="830">
      <c r="D830" s="14" t="n"/>
    </row>
    <row r="831">
      <c r="D831" s="14" t="n"/>
    </row>
    <row r="832">
      <c r="D832" s="14" t="n"/>
    </row>
    <row r="833">
      <c r="D833" s="14" t="n"/>
    </row>
    <row r="834">
      <c r="D834" s="14" t="n"/>
    </row>
    <row r="835">
      <c r="D835" s="14" t="n"/>
    </row>
    <row r="836">
      <c r="D836" s="14" t="n"/>
    </row>
    <row r="837">
      <c r="D837" s="14" t="n"/>
    </row>
    <row r="838">
      <c r="D838" s="14" t="n"/>
    </row>
    <row r="839">
      <c r="D839" s="14" t="n"/>
    </row>
    <row r="840">
      <c r="D840" s="14" t="n"/>
    </row>
    <row r="841">
      <c r="D841" s="14" t="n"/>
    </row>
    <row r="842">
      <c r="D842" s="14" t="n"/>
    </row>
    <row r="843">
      <c r="D843" s="14" t="n"/>
    </row>
    <row r="844">
      <c r="D844" s="14" t="n"/>
    </row>
    <row r="845">
      <c r="D845" s="14" t="n"/>
    </row>
    <row r="846">
      <c r="D846" s="14" t="n"/>
    </row>
    <row r="847">
      <c r="D847" s="14" t="n"/>
    </row>
    <row r="848">
      <c r="D848" s="14" t="n"/>
    </row>
    <row r="849">
      <c r="D849" s="14" t="n"/>
    </row>
    <row r="850">
      <c r="D850" s="14" t="n"/>
    </row>
    <row r="851">
      <c r="D851" s="14" t="n"/>
    </row>
    <row r="852">
      <c r="D852" s="14" t="n"/>
    </row>
    <row r="853">
      <c r="D853" s="14" t="n"/>
    </row>
    <row r="854">
      <c r="D854" s="14" t="n"/>
    </row>
    <row r="855">
      <c r="D855" s="14" t="n"/>
    </row>
    <row r="856">
      <c r="D856" s="14" t="n"/>
    </row>
    <row r="857">
      <c r="D857" s="14" t="n"/>
    </row>
    <row r="858">
      <c r="D858" s="14" t="n"/>
    </row>
    <row r="859">
      <c r="D859" s="14" t="n"/>
    </row>
    <row r="860">
      <c r="D860" s="14" t="n"/>
    </row>
    <row r="861">
      <c r="D861" s="14" t="n"/>
    </row>
    <row r="862">
      <c r="D862" s="14" t="n"/>
    </row>
    <row r="863">
      <c r="D863" s="14" t="n"/>
    </row>
    <row r="864">
      <c r="D864" s="14" t="n"/>
    </row>
    <row r="865">
      <c r="D865" s="14" t="n"/>
    </row>
    <row r="866">
      <c r="D866" s="14" t="n"/>
    </row>
    <row r="867">
      <c r="D867" s="14" t="n"/>
    </row>
    <row r="868">
      <c r="D868" s="14" t="n"/>
    </row>
    <row r="869">
      <c r="D869" s="14" t="n"/>
    </row>
    <row r="870">
      <c r="D870" s="14" t="n"/>
    </row>
    <row r="871">
      <c r="D871" s="14" t="n"/>
    </row>
    <row r="872">
      <c r="D872" s="14" t="n"/>
    </row>
    <row r="873">
      <c r="D873" s="14" t="n"/>
    </row>
    <row r="874">
      <c r="D874" s="14" t="n"/>
    </row>
    <row r="875">
      <c r="D875" s="14" t="n"/>
    </row>
    <row r="876">
      <c r="D876" s="14" t="n"/>
    </row>
    <row r="877">
      <c r="D877" s="14" t="n"/>
    </row>
    <row r="878">
      <c r="D878" s="14" t="n"/>
    </row>
    <row r="879">
      <c r="D879" s="14" t="n"/>
    </row>
    <row r="880">
      <c r="D880" s="14" t="n"/>
    </row>
    <row r="881">
      <c r="D881" s="14" t="n"/>
    </row>
    <row r="882">
      <c r="D882" s="14" t="n"/>
    </row>
    <row r="883">
      <c r="D883" s="14" t="n"/>
    </row>
    <row r="884">
      <c r="D884" s="14" t="n"/>
    </row>
    <row r="885">
      <c r="D885" s="14" t="n"/>
    </row>
    <row r="886">
      <c r="D886" s="14" t="n"/>
    </row>
    <row r="887">
      <c r="D887" s="14" t="n"/>
    </row>
    <row r="888">
      <c r="D888" s="14" t="n"/>
    </row>
    <row r="889">
      <c r="D889" s="14" t="n"/>
    </row>
    <row r="890">
      <c r="D890" s="14" t="n"/>
    </row>
    <row r="891">
      <c r="D891" s="14" t="n"/>
    </row>
    <row r="892">
      <c r="D892" s="14" t="n"/>
    </row>
    <row r="893">
      <c r="D893" s="14" t="n"/>
    </row>
    <row r="894">
      <c r="D894" s="14" t="n"/>
    </row>
    <row r="895">
      <c r="D895" s="14" t="n"/>
    </row>
    <row r="896">
      <c r="D896" s="14" t="n"/>
    </row>
    <row r="897">
      <c r="D897" s="14" t="n"/>
    </row>
    <row r="898">
      <c r="D898" s="14" t="n"/>
    </row>
    <row r="899">
      <c r="D899" s="14" t="n"/>
    </row>
    <row r="900">
      <c r="D900" s="14" t="n"/>
    </row>
    <row r="901">
      <c r="D901" s="14" t="n"/>
    </row>
    <row r="902">
      <c r="D902" s="14" t="n"/>
    </row>
    <row r="903">
      <c r="D903" s="14" t="n"/>
    </row>
    <row r="904">
      <c r="D904" s="14" t="n"/>
    </row>
    <row r="905">
      <c r="D905" s="14" t="n"/>
    </row>
    <row r="906">
      <c r="D906" s="14" t="n"/>
    </row>
    <row r="907">
      <c r="D907" s="14" t="n"/>
    </row>
    <row r="908">
      <c r="D908" s="14" t="n"/>
    </row>
    <row r="909">
      <c r="D909" s="14" t="n"/>
    </row>
    <row r="910">
      <c r="D910" s="14" t="n"/>
    </row>
    <row r="911">
      <c r="D911" s="14" t="n"/>
    </row>
    <row r="912">
      <c r="D912" s="14" t="n"/>
    </row>
    <row r="913">
      <c r="D913" s="14" t="n"/>
    </row>
    <row r="914">
      <c r="D914" s="14" t="n"/>
    </row>
    <row r="915">
      <c r="D915" s="14" t="n"/>
    </row>
    <row r="916">
      <c r="D916" s="14" t="n"/>
    </row>
    <row r="917">
      <c r="D917" s="14" t="n"/>
    </row>
    <row r="918">
      <c r="D918" s="14" t="n"/>
    </row>
    <row r="919">
      <c r="D919" s="14" t="n"/>
    </row>
    <row r="920">
      <c r="D920" s="14" t="n"/>
    </row>
    <row r="921">
      <c r="D921" s="14" t="n"/>
    </row>
    <row r="922">
      <c r="D922" s="14" t="n"/>
    </row>
    <row r="923">
      <c r="D923" s="14" t="n"/>
    </row>
    <row r="924">
      <c r="D924" s="14" t="n"/>
    </row>
    <row r="925">
      <c r="D925" s="14" t="n"/>
    </row>
    <row r="926">
      <c r="D926" s="14" t="n"/>
    </row>
    <row r="927">
      <c r="D927" s="14" t="n"/>
    </row>
    <row r="928">
      <c r="D928" s="14" t="n"/>
    </row>
    <row r="929">
      <c r="D929" s="14" t="n"/>
    </row>
    <row r="930">
      <c r="D930" s="14" t="n"/>
    </row>
    <row r="931">
      <c r="D931" s="14" t="n"/>
    </row>
    <row r="932">
      <c r="D932" s="14" t="n"/>
    </row>
    <row r="933">
      <c r="D933" s="14" t="n"/>
    </row>
    <row r="934">
      <c r="D934" s="14" t="n"/>
    </row>
    <row r="935">
      <c r="D935" s="14" t="n"/>
    </row>
    <row r="936">
      <c r="D936" s="14" t="n"/>
    </row>
    <row r="937">
      <c r="D937" s="14" t="n"/>
    </row>
    <row r="938">
      <c r="D938" s="14" t="n"/>
    </row>
    <row r="939">
      <c r="D939" s="14" t="n"/>
    </row>
    <row r="940">
      <c r="D940" s="14" t="n"/>
    </row>
    <row r="941">
      <c r="D941" s="14" t="n"/>
    </row>
    <row r="942">
      <c r="D942" s="14" t="n"/>
    </row>
    <row r="943">
      <c r="D943" s="14" t="n"/>
    </row>
    <row r="944">
      <c r="D944" s="14" t="n"/>
    </row>
    <row r="945">
      <c r="D945" s="14" t="n"/>
    </row>
    <row r="946">
      <c r="D946" s="14" t="n"/>
    </row>
    <row r="947">
      <c r="D947" s="14" t="n"/>
    </row>
    <row r="948">
      <c r="D948" s="14" t="n"/>
    </row>
    <row r="949">
      <c r="D949" s="14" t="n"/>
    </row>
    <row r="950">
      <c r="D950" s="14" t="n"/>
    </row>
    <row r="951">
      <c r="D951" s="14" t="n"/>
    </row>
    <row r="952">
      <c r="D952" s="14" t="n"/>
    </row>
    <row r="953">
      <c r="D953" s="14" t="n"/>
    </row>
    <row r="954">
      <c r="D954" s="14" t="n"/>
    </row>
    <row r="955">
      <c r="D955" s="14" t="n"/>
    </row>
    <row r="956">
      <c r="D956" s="14" t="n"/>
    </row>
    <row r="957">
      <c r="D957" s="14" t="n"/>
    </row>
    <row r="958">
      <c r="D958" s="14" t="n"/>
    </row>
    <row r="959">
      <c r="D959" s="14" t="n"/>
    </row>
    <row r="960">
      <c r="D960" s="14" t="n"/>
    </row>
    <row r="961">
      <c r="D961" s="14" t="n"/>
    </row>
    <row r="962">
      <c r="D962" s="14" t="n"/>
    </row>
    <row r="963">
      <c r="D963" s="14" t="n"/>
    </row>
    <row r="964">
      <c r="D964" s="14" t="n"/>
    </row>
    <row r="965">
      <c r="D965" s="14" t="n"/>
    </row>
    <row r="966">
      <c r="D966" s="14" t="n"/>
    </row>
    <row r="967">
      <c r="D967" s="14" t="n"/>
    </row>
    <row r="968">
      <c r="D968" s="14" t="n"/>
    </row>
    <row r="969">
      <c r="D969" s="14" t="n"/>
    </row>
    <row r="970">
      <c r="D970" s="14" t="n"/>
    </row>
    <row r="971">
      <c r="D971" s="14" t="n"/>
    </row>
    <row r="972">
      <c r="D972" s="14" t="n"/>
    </row>
    <row r="973">
      <c r="D973" s="14" t="n"/>
    </row>
    <row r="974">
      <c r="D974" s="14" t="n"/>
    </row>
    <row r="975">
      <c r="D975" s="14" t="n"/>
    </row>
    <row r="976">
      <c r="D976" s="14" t="n"/>
    </row>
    <row r="977">
      <c r="D977" s="14" t="n"/>
    </row>
    <row r="978">
      <c r="D978" s="14" t="n"/>
    </row>
    <row r="979">
      <c r="D979" s="14" t="n"/>
    </row>
    <row r="980">
      <c r="D980" s="14" t="n"/>
    </row>
    <row r="981">
      <c r="D981" s="14" t="n"/>
    </row>
    <row r="982">
      <c r="D982" s="14" t="n"/>
    </row>
    <row r="983">
      <c r="D983" s="14" t="n"/>
    </row>
    <row r="984">
      <c r="D984" s="14" t="n"/>
    </row>
    <row r="985">
      <c r="D985" s="14" t="n"/>
    </row>
    <row r="986">
      <c r="D986" s="14" t="n"/>
    </row>
    <row r="987">
      <c r="D987" s="14" t="n"/>
    </row>
    <row r="988">
      <c r="D988" s="14" t="n"/>
    </row>
    <row r="989">
      <c r="D989" s="14" t="n"/>
    </row>
    <row r="990">
      <c r="D990" s="14" t="n"/>
    </row>
    <row r="991">
      <c r="D991" s="14" t="n"/>
    </row>
    <row r="992">
      <c r="D992" s="14" t="n"/>
    </row>
    <row r="993">
      <c r="D993" s="14" t="n"/>
    </row>
    <row r="994">
      <c r="D994" s="14" t="n"/>
    </row>
    <row r="995">
      <c r="D995" s="14" t="n"/>
    </row>
    <row r="996">
      <c r="D996" s="14" t="n"/>
    </row>
    <row r="997">
      <c r="D997" s="14" t="n"/>
    </row>
    <row r="998">
      <c r="D998" s="14" t="n"/>
    </row>
    <row r="999">
      <c r="D999" s="14" t="n"/>
    </row>
    <row r="1000">
      <c r="D1000" s="14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dataValidations count="2">
    <dataValidation sqref="B2:B1000" showDropDown="0" showInputMessage="0" showErrorMessage="0" allowBlank="0" error="Select stakeholder type" type="list" errorStyle="stop">
      <formula1>"DPO,Data Subjects,Supervisory Authority,Legal Counsel,IT/Security Team,Business Unit,External Consultant,Other"</formula1>
    </dataValidation>
    <dataValidation sqref="E2:E1000" showDropDown="0" showInputMessage="0" showErrorMessage="0" allowBlank="0" error="Select consultation method" type="list" errorStyle="stop">
      <formula1>"Meeting,Email,Survey,Workshop,Interview,Public Consultation,Other"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50" customWidth="1" min="10" max="10"/>
    <col width="50" customWidth="1" min="11" max="11"/>
  </cols>
  <sheetData>
    <row r="1">
      <c r="A1" s="17" t="inlineStr">
        <is>
          <t>Risk ID</t>
        </is>
      </c>
      <c r="B1" s="17" t="inlineStr">
        <is>
          <t>Inherent Risk Score (Reference)</t>
        </is>
      </c>
      <c r="C1" s="17" t="inlineStr">
        <is>
          <t>Mitigation Implemented?</t>
        </is>
      </c>
      <c r="D1" s="17" t="inlineStr">
        <is>
          <t>Mitigation Effectiveness</t>
        </is>
      </c>
      <c r="E1" s="17" t="inlineStr">
        <is>
          <t>Risk Reduction Factor</t>
        </is>
      </c>
      <c r="F1" s="17" t="inlineStr">
        <is>
          <t>Residual Likelihood</t>
        </is>
      </c>
      <c r="G1" s="17" t="inlineStr">
        <is>
          <t>Residual Risk Score</t>
        </is>
      </c>
      <c r="H1" s="17" t="inlineStr">
        <is>
          <t>Residual Risk Level</t>
        </is>
      </c>
      <c r="I1" s="17" t="inlineStr">
        <is>
          <t>Gap Identified?</t>
        </is>
      </c>
      <c r="J1" s="17" t="inlineStr">
        <is>
          <t>Gap Description</t>
        </is>
      </c>
      <c r="K1" s="17" t="inlineStr">
        <is>
          <t>Remediation Plan</t>
        </is>
      </c>
    </row>
    <row r="2">
      <c r="B2" s="18">
        <f>IFERROR(VLOOKUP(A2,Risk_Assessment!$B$2:$H$1000,7,FALSE),"")</f>
        <v/>
      </c>
      <c r="E2" s="19">
        <f>IF(C2="No",1,IF(D2="N/A",1,IF(D2="Low (10% reduction)",0.9,IF(D2="Medium (30% reduction)",0.7,IF(D2="High (50% reduction)",0.5,IF(D2="Very High (70% reduction)",0.3,1))))))</f>
        <v/>
      </c>
      <c r="F2" s="18">
        <f>IF(ISBLANK(B2),"",ROUNDUP(SQRT(B2)*E2,0))</f>
        <v/>
      </c>
      <c r="G2" s="15">
        <f>IF(ISBLANK(B2),"",ROUNDUP(B2*E2,0))</f>
        <v/>
      </c>
      <c r="H2" s="12">
        <f>IF(ISBLANK(G2),"",IF(G2&gt;=20,"Critical",IF(G2&gt;=15,"High",IF(G2&gt;=8,"Medium","Low"))))</f>
        <v/>
      </c>
    </row>
    <row r="3">
      <c r="B3" s="18">
        <f>IFERROR(VLOOKUP(A3,Risk_Assessment!$B$2:$H$1000,7,FALSE),"")</f>
        <v/>
      </c>
      <c r="E3" s="19">
        <f>IF(C3="No",1,IF(D3="N/A",1,IF(D3="Low (10% reduction)",0.9,IF(D3="Medium (30% reduction)",0.7,IF(D3="High (50% reduction)",0.5,IF(D3="Very High (70% reduction)",0.3,1))))))</f>
        <v/>
      </c>
      <c r="F3" s="18">
        <f>IF(ISBLANK(B3),"",ROUNDUP(SQRT(B3)*E3,0))</f>
        <v/>
      </c>
      <c r="G3" s="15">
        <f>IF(ISBLANK(B3),"",ROUNDUP(B3*E3,0))</f>
        <v/>
      </c>
      <c r="H3" s="12">
        <f>IF(ISBLANK(G3),"",IF(G3&gt;=20,"Critical",IF(G3&gt;=15,"High",IF(G3&gt;=8,"Medium","Low"))))</f>
        <v/>
      </c>
    </row>
    <row r="4">
      <c r="B4" s="18">
        <f>IFERROR(VLOOKUP(A4,Risk_Assessment!$B$2:$H$1000,7,FALSE),"")</f>
        <v/>
      </c>
      <c r="E4" s="19">
        <f>IF(C4="No",1,IF(D4="N/A",1,IF(D4="Low (10% reduction)",0.9,IF(D4="Medium (30% reduction)",0.7,IF(D4="High (50% reduction)",0.5,IF(D4="Very High (70% reduction)",0.3,1))))))</f>
        <v/>
      </c>
      <c r="F4" s="18">
        <f>IF(ISBLANK(B4),"",ROUNDUP(SQRT(B4)*E4,0))</f>
        <v/>
      </c>
      <c r="G4" s="15">
        <f>IF(ISBLANK(B4),"",ROUNDUP(B4*E4,0))</f>
        <v/>
      </c>
      <c r="H4" s="12">
        <f>IF(ISBLANK(G4),"",IF(G4&gt;=20,"Critical",IF(G4&gt;=15,"High",IF(G4&gt;=8,"Medium","Low"))))</f>
        <v/>
      </c>
    </row>
    <row r="5">
      <c r="B5" s="18">
        <f>IFERROR(VLOOKUP(A5,Risk_Assessment!$B$2:$H$1000,7,FALSE),"")</f>
        <v/>
      </c>
      <c r="E5" s="19">
        <f>IF(C5="No",1,IF(D5="N/A",1,IF(D5="Low (10% reduction)",0.9,IF(D5="Medium (30% reduction)",0.7,IF(D5="High (50% reduction)",0.5,IF(D5="Very High (70% reduction)",0.3,1))))))</f>
        <v/>
      </c>
      <c r="F5" s="18">
        <f>IF(ISBLANK(B5),"",ROUNDUP(SQRT(B5)*E5,0))</f>
        <v/>
      </c>
      <c r="G5" s="15">
        <f>IF(ISBLANK(B5),"",ROUNDUP(B5*E5,0))</f>
        <v/>
      </c>
      <c r="H5" s="12">
        <f>IF(ISBLANK(G5),"",IF(G5&gt;=20,"Critical",IF(G5&gt;=15,"High",IF(G5&gt;=8,"Medium","Low"))))</f>
        <v/>
      </c>
    </row>
    <row r="6">
      <c r="B6" s="18">
        <f>IFERROR(VLOOKUP(A6,Risk_Assessment!$B$2:$H$1000,7,FALSE),"")</f>
        <v/>
      </c>
      <c r="E6" s="19">
        <f>IF(C6="No",1,IF(D6="N/A",1,IF(D6="Low (10% reduction)",0.9,IF(D6="Medium (30% reduction)",0.7,IF(D6="High (50% reduction)",0.5,IF(D6="Very High (70% reduction)",0.3,1))))))</f>
        <v/>
      </c>
      <c r="F6" s="18">
        <f>IF(ISBLANK(B6),"",ROUNDUP(SQRT(B6)*E6,0))</f>
        <v/>
      </c>
      <c r="G6" s="15">
        <f>IF(ISBLANK(B6),"",ROUNDUP(B6*E6,0))</f>
        <v/>
      </c>
      <c r="H6" s="12">
        <f>IF(ISBLANK(G6),"",IF(G6&gt;=20,"Critical",IF(G6&gt;=15,"High",IF(G6&gt;=8,"Medium","Low"))))</f>
        <v/>
      </c>
    </row>
    <row r="7">
      <c r="B7" s="18">
        <f>IFERROR(VLOOKUP(A7,Risk_Assessment!$B$2:$H$1000,7,FALSE),"")</f>
        <v/>
      </c>
      <c r="E7" s="19">
        <f>IF(C7="No",1,IF(D7="N/A",1,IF(D7="Low (10% reduction)",0.9,IF(D7="Medium (30% reduction)",0.7,IF(D7="High (50% reduction)",0.5,IF(D7="Very High (70% reduction)",0.3,1))))))</f>
        <v/>
      </c>
      <c r="F7" s="18">
        <f>IF(ISBLANK(B7),"",ROUNDUP(SQRT(B7)*E7,0))</f>
        <v/>
      </c>
      <c r="G7" s="15">
        <f>IF(ISBLANK(B7),"",ROUNDUP(B7*E7,0))</f>
        <v/>
      </c>
      <c r="H7" s="12">
        <f>IF(ISBLANK(G7),"",IF(G7&gt;=20,"Critical",IF(G7&gt;=15,"High",IF(G7&gt;=8,"Medium","Low"))))</f>
        <v/>
      </c>
    </row>
    <row r="8">
      <c r="B8" s="18">
        <f>IFERROR(VLOOKUP(A8,Risk_Assessment!$B$2:$H$1000,7,FALSE),"")</f>
        <v/>
      </c>
      <c r="E8" s="19">
        <f>IF(C8="No",1,IF(D8="N/A",1,IF(D8="Low (10% reduction)",0.9,IF(D8="Medium (30% reduction)",0.7,IF(D8="High (50% reduction)",0.5,IF(D8="Very High (70% reduction)",0.3,1))))))</f>
        <v/>
      </c>
      <c r="F8" s="18">
        <f>IF(ISBLANK(B8),"",ROUNDUP(SQRT(B8)*E8,0))</f>
        <v/>
      </c>
      <c r="G8" s="15">
        <f>IF(ISBLANK(B8),"",ROUNDUP(B8*E8,0))</f>
        <v/>
      </c>
      <c r="H8" s="12">
        <f>IF(ISBLANK(G8),"",IF(G8&gt;=20,"Critical",IF(G8&gt;=15,"High",IF(G8&gt;=8,"Medium","Low"))))</f>
        <v/>
      </c>
    </row>
    <row r="9">
      <c r="B9" s="18">
        <f>IFERROR(VLOOKUP(A9,Risk_Assessment!$B$2:$H$1000,7,FALSE),"")</f>
        <v/>
      </c>
      <c r="E9" s="19">
        <f>IF(C9="No",1,IF(D9="N/A",1,IF(D9="Low (10% reduction)",0.9,IF(D9="Medium (30% reduction)",0.7,IF(D9="High (50% reduction)",0.5,IF(D9="Very High (70% reduction)",0.3,1))))))</f>
        <v/>
      </c>
      <c r="F9" s="18">
        <f>IF(ISBLANK(B9),"",ROUNDUP(SQRT(B9)*E9,0))</f>
        <v/>
      </c>
      <c r="G9" s="15">
        <f>IF(ISBLANK(B9),"",ROUNDUP(B9*E9,0))</f>
        <v/>
      </c>
      <c r="H9" s="12">
        <f>IF(ISBLANK(G9),"",IF(G9&gt;=20,"Critical",IF(G9&gt;=15,"High",IF(G9&gt;=8,"Medium","Low"))))</f>
        <v/>
      </c>
    </row>
    <row r="10">
      <c r="B10" s="18">
        <f>IFERROR(VLOOKUP(A10,Risk_Assessment!$B$2:$H$1000,7,FALSE),"")</f>
        <v/>
      </c>
      <c r="E10" s="19">
        <f>IF(C10="No",1,IF(D10="N/A",1,IF(D10="Low (10% reduction)",0.9,IF(D10="Medium (30% reduction)",0.7,IF(D10="High (50% reduction)",0.5,IF(D10="Very High (70% reduction)",0.3,1))))))</f>
        <v/>
      </c>
      <c r="F10" s="18">
        <f>IF(ISBLANK(B10),"",ROUNDUP(SQRT(B10)*E10,0))</f>
        <v/>
      </c>
      <c r="G10" s="15">
        <f>IF(ISBLANK(B10),"",ROUNDUP(B10*E10,0))</f>
        <v/>
      </c>
      <c r="H10" s="12">
        <f>IF(ISBLANK(G10),"",IF(G10&gt;=20,"Critical",IF(G10&gt;=15,"High",IF(G10&gt;=8,"Medium","Low"))))</f>
        <v/>
      </c>
    </row>
    <row r="11">
      <c r="B11" s="18">
        <f>IFERROR(VLOOKUP(A11,Risk_Assessment!$B$2:$H$1000,7,FALSE),"")</f>
        <v/>
      </c>
      <c r="E11" s="19">
        <f>IF(C11="No",1,IF(D11="N/A",1,IF(D11="Low (10% reduction)",0.9,IF(D11="Medium (30% reduction)",0.7,IF(D11="High (50% reduction)",0.5,IF(D11="Very High (70% reduction)",0.3,1))))))</f>
        <v/>
      </c>
      <c r="F11" s="18">
        <f>IF(ISBLANK(B11),"",ROUNDUP(SQRT(B11)*E11,0))</f>
        <v/>
      </c>
      <c r="G11" s="15">
        <f>IF(ISBLANK(B11),"",ROUNDUP(B11*E11,0))</f>
        <v/>
      </c>
      <c r="H11" s="12">
        <f>IF(ISBLANK(G11),"",IF(G11&gt;=20,"Critical",IF(G11&gt;=15,"High",IF(G11&gt;=8,"Medium","Low"))))</f>
        <v/>
      </c>
    </row>
    <row r="12">
      <c r="B12" s="18">
        <f>IFERROR(VLOOKUP(A12,Risk_Assessment!$B$2:$H$1000,7,FALSE),"")</f>
        <v/>
      </c>
      <c r="E12" s="19">
        <f>IF(C12="No",1,IF(D12="N/A",1,IF(D12="Low (10% reduction)",0.9,IF(D12="Medium (30% reduction)",0.7,IF(D12="High (50% reduction)",0.5,IF(D12="Very High (70% reduction)",0.3,1))))))</f>
        <v/>
      </c>
      <c r="F12" s="18">
        <f>IF(ISBLANK(B12),"",ROUNDUP(SQRT(B12)*E12,0))</f>
        <v/>
      </c>
      <c r="G12" s="15">
        <f>IF(ISBLANK(B12),"",ROUNDUP(B12*E12,0))</f>
        <v/>
      </c>
      <c r="H12" s="12">
        <f>IF(ISBLANK(G12),"",IF(G12&gt;=20,"Critical",IF(G12&gt;=15,"High",IF(G12&gt;=8,"Medium","Low"))))</f>
        <v/>
      </c>
    </row>
    <row r="13">
      <c r="B13" s="18">
        <f>IFERROR(VLOOKUP(A13,Risk_Assessment!$B$2:$H$1000,7,FALSE),"")</f>
        <v/>
      </c>
      <c r="E13" s="19">
        <f>IF(C13="No",1,IF(D13="N/A",1,IF(D13="Low (10% reduction)",0.9,IF(D13="Medium (30% reduction)",0.7,IF(D13="High (50% reduction)",0.5,IF(D13="Very High (70% reduction)",0.3,1))))))</f>
        <v/>
      </c>
      <c r="F13" s="18">
        <f>IF(ISBLANK(B13),"",ROUNDUP(SQRT(B13)*E13,0))</f>
        <v/>
      </c>
      <c r="G13" s="15">
        <f>IF(ISBLANK(B13),"",ROUNDUP(B13*E13,0))</f>
        <v/>
      </c>
      <c r="H13" s="12">
        <f>IF(ISBLANK(G13),"",IF(G13&gt;=20,"Critical",IF(G13&gt;=15,"High",IF(G13&gt;=8,"Medium","Low"))))</f>
        <v/>
      </c>
    </row>
    <row r="14">
      <c r="B14" s="18">
        <f>IFERROR(VLOOKUP(A14,Risk_Assessment!$B$2:$H$1000,7,FALSE),"")</f>
        <v/>
      </c>
      <c r="E14" s="19">
        <f>IF(C14="No",1,IF(D14="N/A",1,IF(D14="Low (10% reduction)",0.9,IF(D14="Medium (30% reduction)",0.7,IF(D14="High (50% reduction)",0.5,IF(D14="Very High (70% reduction)",0.3,1))))))</f>
        <v/>
      </c>
      <c r="F14" s="18">
        <f>IF(ISBLANK(B14),"",ROUNDUP(SQRT(B14)*E14,0))</f>
        <v/>
      </c>
      <c r="G14" s="15">
        <f>IF(ISBLANK(B14),"",ROUNDUP(B14*E14,0))</f>
        <v/>
      </c>
      <c r="H14" s="12">
        <f>IF(ISBLANK(G14),"",IF(G14&gt;=20,"Critical",IF(G14&gt;=15,"High",IF(G14&gt;=8,"Medium","Low"))))</f>
        <v/>
      </c>
    </row>
    <row r="15">
      <c r="B15" s="18">
        <f>IFERROR(VLOOKUP(A15,Risk_Assessment!$B$2:$H$1000,7,FALSE),"")</f>
        <v/>
      </c>
      <c r="E15" s="19">
        <f>IF(C15="No",1,IF(D15="N/A",1,IF(D15="Low (10% reduction)",0.9,IF(D15="Medium (30% reduction)",0.7,IF(D15="High (50% reduction)",0.5,IF(D15="Very High (70% reduction)",0.3,1))))))</f>
        <v/>
      </c>
      <c r="F15" s="18">
        <f>IF(ISBLANK(B15),"",ROUNDUP(SQRT(B15)*E15,0))</f>
        <v/>
      </c>
      <c r="G15" s="15">
        <f>IF(ISBLANK(B15),"",ROUNDUP(B15*E15,0))</f>
        <v/>
      </c>
      <c r="H15" s="12">
        <f>IF(ISBLANK(G15),"",IF(G15&gt;=20,"Critical",IF(G15&gt;=15,"High",IF(G15&gt;=8,"Medium","Low"))))</f>
        <v/>
      </c>
    </row>
    <row r="16">
      <c r="B16" s="18">
        <f>IFERROR(VLOOKUP(A16,Risk_Assessment!$B$2:$H$1000,7,FALSE),"")</f>
        <v/>
      </c>
      <c r="E16" s="19">
        <f>IF(C16="No",1,IF(D16="N/A",1,IF(D16="Low (10% reduction)",0.9,IF(D16="Medium (30% reduction)",0.7,IF(D16="High (50% reduction)",0.5,IF(D16="Very High (70% reduction)",0.3,1))))))</f>
        <v/>
      </c>
      <c r="F16" s="18">
        <f>IF(ISBLANK(B16),"",ROUNDUP(SQRT(B16)*E16,0))</f>
        <v/>
      </c>
      <c r="G16" s="15">
        <f>IF(ISBLANK(B16),"",ROUNDUP(B16*E16,0))</f>
        <v/>
      </c>
      <c r="H16" s="12">
        <f>IF(ISBLANK(G16),"",IF(G16&gt;=20,"Critical",IF(G16&gt;=15,"High",IF(G16&gt;=8,"Medium","Low"))))</f>
        <v/>
      </c>
    </row>
    <row r="17">
      <c r="B17" s="18">
        <f>IFERROR(VLOOKUP(A17,Risk_Assessment!$B$2:$H$1000,7,FALSE),"")</f>
        <v/>
      </c>
      <c r="E17" s="19">
        <f>IF(C17="No",1,IF(D17="N/A",1,IF(D17="Low (10% reduction)",0.9,IF(D17="Medium (30% reduction)",0.7,IF(D17="High (50% reduction)",0.5,IF(D17="Very High (70% reduction)",0.3,1))))))</f>
        <v/>
      </c>
      <c r="F17" s="18">
        <f>IF(ISBLANK(B17),"",ROUNDUP(SQRT(B17)*E17,0))</f>
        <v/>
      </c>
      <c r="G17" s="15">
        <f>IF(ISBLANK(B17),"",ROUNDUP(B17*E17,0))</f>
        <v/>
      </c>
      <c r="H17" s="12">
        <f>IF(ISBLANK(G17),"",IF(G17&gt;=20,"Critical",IF(G17&gt;=15,"High",IF(G17&gt;=8,"Medium","Low"))))</f>
        <v/>
      </c>
    </row>
    <row r="18">
      <c r="B18" s="18">
        <f>IFERROR(VLOOKUP(A18,Risk_Assessment!$B$2:$H$1000,7,FALSE),"")</f>
        <v/>
      </c>
      <c r="E18" s="19">
        <f>IF(C18="No",1,IF(D18="N/A",1,IF(D18="Low (10% reduction)",0.9,IF(D18="Medium (30% reduction)",0.7,IF(D18="High (50% reduction)",0.5,IF(D18="Very High (70% reduction)",0.3,1))))))</f>
        <v/>
      </c>
      <c r="F18" s="18">
        <f>IF(ISBLANK(B18),"",ROUNDUP(SQRT(B18)*E18,0))</f>
        <v/>
      </c>
      <c r="G18" s="15">
        <f>IF(ISBLANK(B18),"",ROUNDUP(B18*E18,0))</f>
        <v/>
      </c>
      <c r="H18" s="12">
        <f>IF(ISBLANK(G18),"",IF(G18&gt;=20,"Critical",IF(G18&gt;=15,"High",IF(G18&gt;=8,"Medium","Low"))))</f>
        <v/>
      </c>
    </row>
    <row r="19">
      <c r="B19" s="18">
        <f>IFERROR(VLOOKUP(A19,Risk_Assessment!$B$2:$H$1000,7,FALSE),"")</f>
        <v/>
      </c>
      <c r="E19" s="19">
        <f>IF(C19="No",1,IF(D19="N/A",1,IF(D19="Low (10% reduction)",0.9,IF(D19="Medium (30% reduction)",0.7,IF(D19="High (50% reduction)",0.5,IF(D19="Very High (70% reduction)",0.3,1))))))</f>
        <v/>
      </c>
      <c r="F19" s="18">
        <f>IF(ISBLANK(B19),"",ROUNDUP(SQRT(B19)*E19,0))</f>
        <v/>
      </c>
      <c r="G19" s="15">
        <f>IF(ISBLANK(B19),"",ROUNDUP(B19*E19,0))</f>
        <v/>
      </c>
      <c r="H19" s="12">
        <f>IF(ISBLANK(G19),"",IF(G19&gt;=20,"Critical",IF(G19&gt;=15,"High",IF(G19&gt;=8,"Medium","Low"))))</f>
        <v/>
      </c>
    </row>
    <row r="20">
      <c r="B20" s="18">
        <f>IFERROR(VLOOKUP(A20,Risk_Assessment!$B$2:$H$1000,7,FALSE),"")</f>
        <v/>
      </c>
      <c r="E20" s="19">
        <f>IF(C20="No",1,IF(D20="N/A",1,IF(D20="Low (10% reduction)",0.9,IF(D20="Medium (30% reduction)",0.7,IF(D20="High (50% reduction)",0.5,IF(D20="Very High (70% reduction)",0.3,1))))))</f>
        <v/>
      </c>
      <c r="F20" s="18">
        <f>IF(ISBLANK(B20),"",ROUNDUP(SQRT(B20)*E20,0))</f>
        <v/>
      </c>
      <c r="G20" s="15">
        <f>IF(ISBLANK(B20),"",ROUNDUP(B20*E20,0))</f>
        <v/>
      </c>
      <c r="H20" s="12">
        <f>IF(ISBLANK(G20),"",IF(G20&gt;=20,"Critical",IF(G20&gt;=15,"High",IF(G20&gt;=8,"Medium","Low"))))</f>
        <v/>
      </c>
    </row>
    <row r="21">
      <c r="B21" s="18">
        <f>IFERROR(VLOOKUP(A21,Risk_Assessment!$B$2:$H$1000,7,FALSE),"")</f>
        <v/>
      </c>
      <c r="E21" s="19">
        <f>IF(C21="No",1,IF(D21="N/A",1,IF(D21="Low (10% reduction)",0.9,IF(D21="Medium (30% reduction)",0.7,IF(D21="High (50% reduction)",0.5,IF(D21="Very High (70% reduction)",0.3,1))))))</f>
        <v/>
      </c>
      <c r="F21" s="18">
        <f>IF(ISBLANK(B21),"",ROUNDUP(SQRT(B21)*E21,0))</f>
        <v/>
      </c>
      <c r="G21" s="15">
        <f>IF(ISBLANK(B21),"",ROUNDUP(B21*E21,0))</f>
        <v/>
      </c>
      <c r="H21" s="12">
        <f>IF(ISBLANK(G21),"",IF(G21&gt;=20,"Critical",IF(G21&gt;=15,"High",IF(G21&gt;=8,"Medium","Low"))))</f>
        <v/>
      </c>
    </row>
    <row r="22">
      <c r="B22" s="18">
        <f>IFERROR(VLOOKUP(A22,Risk_Assessment!$B$2:$H$1000,7,FALSE),"")</f>
        <v/>
      </c>
      <c r="E22" s="19">
        <f>IF(C22="No",1,IF(D22="N/A",1,IF(D22="Low (10% reduction)",0.9,IF(D22="Medium (30% reduction)",0.7,IF(D22="High (50% reduction)",0.5,IF(D22="Very High (70% reduction)",0.3,1))))))</f>
        <v/>
      </c>
      <c r="F22" s="18">
        <f>IF(ISBLANK(B22),"",ROUNDUP(SQRT(B22)*E22,0))</f>
        <v/>
      </c>
      <c r="G22" s="15">
        <f>IF(ISBLANK(B22),"",ROUNDUP(B22*E22,0))</f>
        <v/>
      </c>
      <c r="H22" s="12">
        <f>IF(ISBLANK(G22),"",IF(G22&gt;=20,"Critical",IF(G22&gt;=15,"High",IF(G22&gt;=8,"Medium","Low"))))</f>
        <v/>
      </c>
    </row>
    <row r="23">
      <c r="B23" s="18">
        <f>IFERROR(VLOOKUP(A23,Risk_Assessment!$B$2:$H$1000,7,FALSE),"")</f>
        <v/>
      </c>
      <c r="E23" s="19">
        <f>IF(C23="No",1,IF(D23="N/A",1,IF(D23="Low (10% reduction)",0.9,IF(D23="Medium (30% reduction)",0.7,IF(D23="High (50% reduction)",0.5,IF(D23="Very High (70% reduction)",0.3,1))))))</f>
        <v/>
      </c>
      <c r="F23" s="18">
        <f>IF(ISBLANK(B23),"",ROUNDUP(SQRT(B23)*E23,0))</f>
        <v/>
      </c>
      <c r="G23" s="15">
        <f>IF(ISBLANK(B23),"",ROUNDUP(B23*E23,0))</f>
        <v/>
      </c>
      <c r="H23" s="12">
        <f>IF(ISBLANK(G23),"",IF(G23&gt;=20,"Critical",IF(G23&gt;=15,"High",IF(G23&gt;=8,"Medium","Low"))))</f>
        <v/>
      </c>
    </row>
    <row r="24">
      <c r="B24" s="18">
        <f>IFERROR(VLOOKUP(A24,Risk_Assessment!$B$2:$H$1000,7,FALSE),"")</f>
        <v/>
      </c>
      <c r="E24" s="19">
        <f>IF(C24="No",1,IF(D24="N/A",1,IF(D24="Low (10% reduction)",0.9,IF(D24="Medium (30% reduction)",0.7,IF(D24="High (50% reduction)",0.5,IF(D24="Very High (70% reduction)",0.3,1))))))</f>
        <v/>
      </c>
      <c r="F24" s="18">
        <f>IF(ISBLANK(B24),"",ROUNDUP(SQRT(B24)*E24,0))</f>
        <v/>
      </c>
      <c r="G24" s="15">
        <f>IF(ISBLANK(B24),"",ROUNDUP(B24*E24,0))</f>
        <v/>
      </c>
      <c r="H24" s="12">
        <f>IF(ISBLANK(G24),"",IF(G24&gt;=20,"Critical",IF(G24&gt;=15,"High",IF(G24&gt;=8,"Medium","Low"))))</f>
        <v/>
      </c>
    </row>
    <row r="25">
      <c r="B25" s="18">
        <f>IFERROR(VLOOKUP(A25,Risk_Assessment!$B$2:$H$1000,7,FALSE),"")</f>
        <v/>
      </c>
      <c r="E25" s="19">
        <f>IF(C25="No",1,IF(D25="N/A",1,IF(D25="Low (10% reduction)",0.9,IF(D25="Medium (30% reduction)",0.7,IF(D25="High (50% reduction)",0.5,IF(D25="Very High (70% reduction)",0.3,1))))))</f>
        <v/>
      </c>
      <c r="F25" s="18">
        <f>IF(ISBLANK(B25),"",ROUNDUP(SQRT(B25)*E25,0))</f>
        <v/>
      </c>
      <c r="G25" s="15">
        <f>IF(ISBLANK(B25),"",ROUNDUP(B25*E25,0))</f>
        <v/>
      </c>
      <c r="H25" s="12">
        <f>IF(ISBLANK(G25),"",IF(G25&gt;=20,"Critical",IF(G25&gt;=15,"High",IF(G25&gt;=8,"Medium","Low"))))</f>
        <v/>
      </c>
    </row>
    <row r="26">
      <c r="B26" s="18">
        <f>IFERROR(VLOOKUP(A26,Risk_Assessment!$B$2:$H$1000,7,FALSE),"")</f>
        <v/>
      </c>
      <c r="E26" s="19">
        <f>IF(C26="No",1,IF(D26="N/A",1,IF(D26="Low (10% reduction)",0.9,IF(D26="Medium (30% reduction)",0.7,IF(D26="High (50% reduction)",0.5,IF(D26="Very High (70% reduction)",0.3,1))))))</f>
        <v/>
      </c>
      <c r="F26" s="18">
        <f>IF(ISBLANK(B26),"",ROUNDUP(SQRT(B26)*E26,0))</f>
        <v/>
      </c>
      <c r="G26" s="15">
        <f>IF(ISBLANK(B26),"",ROUNDUP(B26*E26,0))</f>
        <v/>
      </c>
      <c r="H26" s="12">
        <f>IF(ISBLANK(G26),"",IF(G26&gt;=20,"Critical",IF(G26&gt;=15,"High",IF(G26&gt;=8,"Medium","Low"))))</f>
        <v/>
      </c>
    </row>
    <row r="27">
      <c r="B27" s="18">
        <f>IFERROR(VLOOKUP(A27,Risk_Assessment!$B$2:$H$1000,7,FALSE),"")</f>
        <v/>
      </c>
      <c r="E27" s="19">
        <f>IF(C27="No",1,IF(D27="N/A",1,IF(D27="Low (10% reduction)",0.9,IF(D27="Medium (30% reduction)",0.7,IF(D27="High (50% reduction)",0.5,IF(D27="Very High (70% reduction)",0.3,1))))))</f>
        <v/>
      </c>
      <c r="F27" s="18">
        <f>IF(ISBLANK(B27),"",ROUNDUP(SQRT(B27)*E27,0))</f>
        <v/>
      </c>
      <c r="G27" s="15">
        <f>IF(ISBLANK(B27),"",ROUNDUP(B27*E27,0))</f>
        <v/>
      </c>
      <c r="H27" s="12">
        <f>IF(ISBLANK(G27),"",IF(G27&gt;=20,"Critical",IF(G27&gt;=15,"High",IF(G27&gt;=8,"Medium","Low"))))</f>
        <v/>
      </c>
    </row>
    <row r="28">
      <c r="B28" s="18">
        <f>IFERROR(VLOOKUP(A28,Risk_Assessment!$B$2:$H$1000,7,FALSE),"")</f>
        <v/>
      </c>
      <c r="E28" s="19">
        <f>IF(C28="No",1,IF(D28="N/A",1,IF(D28="Low (10% reduction)",0.9,IF(D28="Medium (30% reduction)",0.7,IF(D28="High (50% reduction)",0.5,IF(D28="Very High (70% reduction)",0.3,1))))))</f>
        <v/>
      </c>
      <c r="F28" s="18">
        <f>IF(ISBLANK(B28),"",ROUNDUP(SQRT(B28)*E28,0))</f>
        <v/>
      </c>
      <c r="G28" s="15">
        <f>IF(ISBLANK(B28),"",ROUNDUP(B28*E28,0))</f>
        <v/>
      </c>
      <c r="H28" s="12">
        <f>IF(ISBLANK(G28),"",IF(G28&gt;=20,"Critical",IF(G28&gt;=15,"High",IF(G28&gt;=8,"Medium","Low"))))</f>
        <v/>
      </c>
    </row>
    <row r="29">
      <c r="B29" s="18">
        <f>IFERROR(VLOOKUP(A29,Risk_Assessment!$B$2:$H$1000,7,FALSE),"")</f>
        <v/>
      </c>
      <c r="E29" s="19">
        <f>IF(C29="No",1,IF(D29="N/A",1,IF(D29="Low (10% reduction)",0.9,IF(D29="Medium (30% reduction)",0.7,IF(D29="High (50% reduction)",0.5,IF(D29="Very High (70% reduction)",0.3,1))))))</f>
        <v/>
      </c>
      <c r="F29" s="18">
        <f>IF(ISBLANK(B29),"",ROUNDUP(SQRT(B29)*E29,0))</f>
        <v/>
      </c>
      <c r="G29" s="15">
        <f>IF(ISBLANK(B29),"",ROUNDUP(B29*E29,0))</f>
        <v/>
      </c>
      <c r="H29" s="12">
        <f>IF(ISBLANK(G29),"",IF(G29&gt;=20,"Critical",IF(G29&gt;=15,"High",IF(G29&gt;=8,"Medium","Low"))))</f>
        <v/>
      </c>
    </row>
    <row r="30">
      <c r="B30" s="18">
        <f>IFERROR(VLOOKUP(A30,Risk_Assessment!$B$2:$H$1000,7,FALSE),"")</f>
        <v/>
      </c>
      <c r="E30" s="19">
        <f>IF(C30="No",1,IF(D30="N/A",1,IF(D30="Low (10% reduction)",0.9,IF(D30="Medium (30% reduction)",0.7,IF(D30="High (50% reduction)",0.5,IF(D30="Very High (70% reduction)",0.3,1))))))</f>
        <v/>
      </c>
      <c r="F30" s="18">
        <f>IF(ISBLANK(B30),"",ROUNDUP(SQRT(B30)*E30,0))</f>
        <v/>
      </c>
      <c r="G30" s="15">
        <f>IF(ISBLANK(B30),"",ROUNDUP(B30*E30,0))</f>
        <v/>
      </c>
      <c r="H30" s="12">
        <f>IF(ISBLANK(G30),"",IF(G30&gt;=20,"Critical",IF(G30&gt;=15,"High",IF(G30&gt;=8,"Medium","Low"))))</f>
        <v/>
      </c>
    </row>
    <row r="31">
      <c r="B31" s="18">
        <f>IFERROR(VLOOKUP(A31,Risk_Assessment!$B$2:$H$1000,7,FALSE),"")</f>
        <v/>
      </c>
      <c r="E31" s="19">
        <f>IF(C31="No",1,IF(D31="N/A",1,IF(D31="Low (10% reduction)",0.9,IF(D31="Medium (30% reduction)",0.7,IF(D31="High (50% reduction)",0.5,IF(D31="Very High (70% reduction)",0.3,1))))))</f>
        <v/>
      </c>
      <c r="F31" s="18">
        <f>IF(ISBLANK(B31),"",ROUNDUP(SQRT(B31)*E31,0))</f>
        <v/>
      </c>
      <c r="G31" s="15">
        <f>IF(ISBLANK(B31),"",ROUNDUP(B31*E31,0))</f>
        <v/>
      </c>
      <c r="H31" s="12">
        <f>IF(ISBLANK(G31),"",IF(G31&gt;=20,"Critical",IF(G31&gt;=15,"High",IF(G31&gt;=8,"Medium","Low"))))</f>
        <v/>
      </c>
    </row>
    <row r="32">
      <c r="B32" s="18">
        <f>IFERROR(VLOOKUP(A32,Risk_Assessment!$B$2:$H$1000,7,FALSE),"")</f>
        <v/>
      </c>
      <c r="E32" s="19">
        <f>IF(C32="No",1,IF(D32="N/A",1,IF(D32="Low (10% reduction)",0.9,IF(D32="Medium (30% reduction)",0.7,IF(D32="High (50% reduction)",0.5,IF(D32="Very High (70% reduction)",0.3,1))))))</f>
        <v/>
      </c>
      <c r="F32" s="18">
        <f>IF(ISBLANK(B32),"",ROUNDUP(SQRT(B32)*E32,0))</f>
        <v/>
      </c>
      <c r="G32" s="15">
        <f>IF(ISBLANK(B32),"",ROUNDUP(B32*E32,0))</f>
        <v/>
      </c>
      <c r="H32" s="12">
        <f>IF(ISBLANK(G32),"",IF(G32&gt;=20,"Critical",IF(G32&gt;=15,"High",IF(G32&gt;=8,"Medium","Low"))))</f>
        <v/>
      </c>
    </row>
    <row r="33">
      <c r="B33" s="18">
        <f>IFERROR(VLOOKUP(A33,Risk_Assessment!$B$2:$H$1000,7,FALSE),"")</f>
        <v/>
      </c>
      <c r="E33" s="19">
        <f>IF(C33="No",1,IF(D33="N/A",1,IF(D33="Low (10% reduction)",0.9,IF(D33="Medium (30% reduction)",0.7,IF(D33="High (50% reduction)",0.5,IF(D33="Very High (70% reduction)",0.3,1))))))</f>
        <v/>
      </c>
      <c r="F33" s="18">
        <f>IF(ISBLANK(B33),"",ROUNDUP(SQRT(B33)*E33,0))</f>
        <v/>
      </c>
      <c r="G33" s="15">
        <f>IF(ISBLANK(B33),"",ROUNDUP(B33*E33,0))</f>
        <v/>
      </c>
      <c r="H33" s="12">
        <f>IF(ISBLANK(G33),"",IF(G33&gt;=20,"Critical",IF(G33&gt;=15,"High",IF(G33&gt;=8,"Medium","Low"))))</f>
        <v/>
      </c>
    </row>
    <row r="34">
      <c r="B34" s="18">
        <f>IFERROR(VLOOKUP(A34,Risk_Assessment!$B$2:$H$1000,7,FALSE),"")</f>
        <v/>
      </c>
      <c r="E34" s="19">
        <f>IF(C34="No",1,IF(D34="N/A",1,IF(D34="Low (10% reduction)",0.9,IF(D34="Medium (30% reduction)",0.7,IF(D34="High (50% reduction)",0.5,IF(D34="Very High (70% reduction)",0.3,1))))))</f>
        <v/>
      </c>
      <c r="F34" s="18">
        <f>IF(ISBLANK(B34),"",ROUNDUP(SQRT(B34)*E34,0))</f>
        <v/>
      </c>
      <c r="G34" s="15">
        <f>IF(ISBLANK(B34),"",ROUNDUP(B34*E34,0))</f>
        <v/>
      </c>
      <c r="H34" s="12">
        <f>IF(ISBLANK(G34),"",IF(G34&gt;=20,"Critical",IF(G34&gt;=15,"High",IF(G34&gt;=8,"Medium","Low"))))</f>
        <v/>
      </c>
    </row>
    <row r="35">
      <c r="B35" s="18">
        <f>IFERROR(VLOOKUP(A35,Risk_Assessment!$B$2:$H$1000,7,FALSE),"")</f>
        <v/>
      </c>
      <c r="E35" s="19">
        <f>IF(C35="No",1,IF(D35="N/A",1,IF(D35="Low (10% reduction)",0.9,IF(D35="Medium (30% reduction)",0.7,IF(D35="High (50% reduction)",0.5,IF(D35="Very High (70% reduction)",0.3,1))))))</f>
        <v/>
      </c>
      <c r="F35" s="18">
        <f>IF(ISBLANK(B35),"",ROUNDUP(SQRT(B35)*E35,0))</f>
        <v/>
      </c>
      <c r="G35" s="15">
        <f>IF(ISBLANK(B35),"",ROUNDUP(B35*E35,0))</f>
        <v/>
      </c>
      <c r="H35" s="12">
        <f>IF(ISBLANK(G35),"",IF(G35&gt;=20,"Critical",IF(G35&gt;=15,"High",IF(G35&gt;=8,"Medium","Low"))))</f>
        <v/>
      </c>
    </row>
    <row r="36">
      <c r="B36" s="18">
        <f>IFERROR(VLOOKUP(A36,Risk_Assessment!$B$2:$H$1000,7,FALSE),"")</f>
        <v/>
      </c>
      <c r="E36" s="19">
        <f>IF(C36="No",1,IF(D36="N/A",1,IF(D36="Low (10% reduction)",0.9,IF(D36="Medium (30% reduction)",0.7,IF(D36="High (50% reduction)",0.5,IF(D36="Very High (70% reduction)",0.3,1))))))</f>
        <v/>
      </c>
      <c r="F36" s="18">
        <f>IF(ISBLANK(B36),"",ROUNDUP(SQRT(B36)*E36,0))</f>
        <v/>
      </c>
      <c r="G36" s="15">
        <f>IF(ISBLANK(B36),"",ROUNDUP(B36*E36,0))</f>
        <v/>
      </c>
      <c r="H36" s="12">
        <f>IF(ISBLANK(G36),"",IF(G36&gt;=20,"Critical",IF(G36&gt;=15,"High",IF(G36&gt;=8,"Medium","Low"))))</f>
        <v/>
      </c>
    </row>
    <row r="37">
      <c r="B37" s="18">
        <f>IFERROR(VLOOKUP(A37,Risk_Assessment!$B$2:$H$1000,7,FALSE),"")</f>
        <v/>
      </c>
      <c r="E37" s="19">
        <f>IF(C37="No",1,IF(D37="N/A",1,IF(D37="Low (10% reduction)",0.9,IF(D37="Medium (30% reduction)",0.7,IF(D37="High (50% reduction)",0.5,IF(D37="Very High (70% reduction)",0.3,1))))))</f>
        <v/>
      </c>
      <c r="F37" s="18">
        <f>IF(ISBLANK(B37),"",ROUNDUP(SQRT(B37)*E37,0))</f>
        <v/>
      </c>
      <c r="G37" s="15">
        <f>IF(ISBLANK(B37),"",ROUNDUP(B37*E37,0))</f>
        <v/>
      </c>
      <c r="H37" s="12">
        <f>IF(ISBLANK(G37),"",IF(G37&gt;=20,"Critical",IF(G37&gt;=15,"High",IF(G37&gt;=8,"Medium","Low"))))</f>
        <v/>
      </c>
    </row>
    <row r="38">
      <c r="B38" s="18">
        <f>IFERROR(VLOOKUP(A38,Risk_Assessment!$B$2:$H$1000,7,FALSE),"")</f>
        <v/>
      </c>
      <c r="E38" s="19">
        <f>IF(C38="No",1,IF(D38="N/A",1,IF(D38="Low (10% reduction)",0.9,IF(D38="Medium (30% reduction)",0.7,IF(D38="High (50% reduction)",0.5,IF(D38="Very High (70% reduction)",0.3,1))))))</f>
        <v/>
      </c>
      <c r="F38" s="18">
        <f>IF(ISBLANK(B38),"",ROUNDUP(SQRT(B38)*E38,0))</f>
        <v/>
      </c>
      <c r="G38" s="15">
        <f>IF(ISBLANK(B38),"",ROUNDUP(B38*E38,0))</f>
        <v/>
      </c>
      <c r="H38" s="12">
        <f>IF(ISBLANK(G38),"",IF(G38&gt;=20,"Critical",IF(G38&gt;=15,"High",IF(G38&gt;=8,"Medium","Low"))))</f>
        <v/>
      </c>
    </row>
    <row r="39">
      <c r="B39" s="18">
        <f>IFERROR(VLOOKUP(A39,Risk_Assessment!$B$2:$H$1000,7,FALSE),"")</f>
        <v/>
      </c>
      <c r="E39" s="19">
        <f>IF(C39="No",1,IF(D39="N/A",1,IF(D39="Low (10% reduction)",0.9,IF(D39="Medium (30% reduction)",0.7,IF(D39="High (50% reduction)",0.5,IF(D39="Very High (70% reduction)",0.3,1))))))</f>
        <v/>
      </c>
      <c r="F39" s="18">
        <f>IF(ISBLANK(B39),"",ROUNDUP(SQRT(B39)*E39,0))</f>
        <v/>
      </c>
      <c r="G39" s="15">
        <f>IF(ISBLANK(B39),"",ROUNDUP(B39*E39,0))</f>
        <v/>
      </c>
      <c r="H39" s="12">
        <f>IF(ISBLANK(G39),"",IF(G39&gt;=20,"Critical",IF(G39&gt;=15,"High",IF(G39&gt;=8,"Medium","Low"))))</f>
        <v/>
      </c>
    </row>
    <row r="40">
      <c r="B40" s="18">
        <f>IFERROR(VLOOKUP(A40,Risk_Assessment!$B$2:$H$1000,7,FALSE),"")</f>
        <v/>
      </c>
      <c r="E40" s="19">
        <f>IF(C40="No",1,IF(D40="N/A",1,IF(D40="Low (10% reduction)",0.9,IF(D40="Medium (30% reduction)",0.7,IF(D40="High (50% reduction)",0.5,IF(D40="Very High (70% reduction)",0.3,1))))))</f>
        <v/>
      </c>
      <c r="F40" s="18">
        <f>IF(ISBLANK(B40),"",ROUNDUP(SQRT(B40)*E40,0))</f>
        <v/>
      </c>
      <c r="G40" s="15">
        <f>IF(ISBLANK(B40),"",ROUNDUP(B40*E40,0))</f>
        <v/>
      </c>
      <c r="H40" s="12">
        <f>IF(ISBLANK(G40),"",IF(G40&gt;=20,"Critical",IF(G40&gt;=15,"High",IF(G40&gt;=8,"Medium","Low"))))</f>
        <v/>
      </c>
    </row>
    <row r="41">
      <c r="B41" s="18">
        <f>IFERROR(VLOOKUP(A41,Risk_Assessment!$B$2:$H$1000,7,FALSE),"")</f>
        <v/>
      </c>
      <c r="E41" s="19">
        <f>IF(C41="No",1,IF(D41="N/A",1,IF(D41="Low (10% reduction)",0.9,IF(D41="Medium (30% reduction)",0.7,IF(D41="High (50% reduction)",0.5,IF(D41="Very High (70% reduction)",0.3,1))))))</f>
        <v/>
      </c>
      <c r="F41" s="18">
        <f>IF(ISBLANK(B41),"",ROUNDUP(SQRT(B41)*E41,0))</f>
        <v/>
      </c>
      <c r="G41" s="15">
        <f>IF(ISBLANK(B41),"",ROUNDUP(B41*E41,0))</f>
        <v/>
      </c>
      <c r="H41" s="12">
        <f>IF(ISBLANK(G41),"",IF(G41&gt;=20,"Critical",IF(G41&gt;=15,"High",IF(G41&gt;=8,"Medium","Low"))))</f>
        <v/>
      </c>
    </row>
    <row r="42">
      <c r="B42" s="18">
        <f>IFERROR(VLOOKUP(A42,Risk_Assessment!$B$2:$H$1000,7,FALSE),"")</f>
        <v/>
      </c>
      <c r="E42" s="19">
        <f>IF(C42="No",1,IF(D42="N/A",1,IF(D42="Low (10% reduction)",0.9,IF(D42="Medium (30% reduction)",0.7,IF(D42="High (50% reduction)",0.5,IF(D42="Very High (70% reduction)",0.3,1))))))</f>
        <v/>
      </c>
      <c r="F42" s="18">
        <f>IF(ISBLANK(B42),"",ROUNDUP(SQRT(B42)*E42,0))</f>
        <v/>
      </c>
      <c r="G42" s="15">
        <f>IF(ISBLANK(B42),"",ROUNDUP(B42*E42,0))</f>
        <v/>
      </c>
      <c r="H42" s="12">
        <f>IF(ISBLANK(G42),"",IF(G42&gt;=20,"Critical",IF(G42&gt;=15,"High",IF(G42&gt;=8,"Medium","Low"))))</f>
        <v/>
      </c>
    </row>
    <row r="43">
      <c r="B43" s="18">
        <f>IFERROR(VLOOKUP(A43,Risk_Assessment!$B$2:$H$1000,7,FALSE),"")</f>
        <v/>
      </c>
      <c r="E43" s="19">
        <f>IF(C43="No",1,IF(D43="N/A",1,IF(D43="Low (10% reduction)",0.9,IF(D43="Medium (30% reduction)",0.7,IF(D43="High (50% reduction)",0.5,IF(D43="Very High (70% reduction)",0.3,1))))))</f>
        <v/>
      </c>
      <c r="F43" s="18">
        <f>IF(ISBLANK(B43),"",ROUNDUP(SQRT(B43)*E43,0))</f>
        <v/>
      </c>
      <c r="G43" s="15">
        <f>IF(ISBLANK(B43),"",ROUNDUP(B43*E43,0))</f>
        <v/>
      </c>
      <c r="H43" s="12">
        <f>IF(ISBLANK(G43),"",IF(G43&gt;=20,"Critical",IF(G43&gt;=15,"High",IF(G43&gt;=8,"Medium","Low"))))</f>
        <v/>
      </c>
    </row>
    <row r="44">
      <c r="B44" s="18">
        <f>IFERROR(VLOOKUP(A44,Risk_Assessment!$B$2:$H$1000,7,FALSE),"")</f>
        <v/>
      </c>
      <c r="E44" s="19">
        <f>IF(C44="No",1,IF(D44="N/A",1,IF(D44="Low (10% reduction)",0.9,IF(D44="Medium (30% reduction)",0.7,IF(D44="High (50% reduction)",0.5,IF(D44="Very High (70% reduction)",0.3,1))))))</f>
        <v/>
      </c>
      <c r="F44" s="18">
        <f>IF(ISBLANK(B44),"",ROUNDUP(SQRT(B44)*E44,0))</f>
        <v/>
      </c>
      <c r="G44" s="15">
        <f>IF(ISBLANK(B44),"",ROUNDUP(B44*E44,0))</f>
        <v/>
      </c>
      <c r="H44" s="12">
        <f>IF(ISBLANK(G44),"",IF(G44&gt;=20,"Critical",IF(G44&gt;=15,"High",IF(G44&gt;=8,"Medium","Low"))))</f>
        <v/>
      </c>
    </row>
    <row r="45">
      <c r="B45" s="18">
        <f>IFERROR(VLOOKUP(A45,Risk_Assessment!$B$2:$H$1000,7,FALSE),"")</f>
        <v/>
      </c>
      <c r="E45" s="19">
        <f>IF(C45="No",1,IF(D45="N/A",1,IF(D45="Low (10% reduction)",0.9,IF(D45="Medium (30% reduction)",0.7,IF(D45="High (50% reduction)",0.5,IF(D45="Very High (70% reduction)",0.3,1))))))</f>
        <v/>
      </c>
      <c r="F45" s="18">
        <f>IF(ISBLANK(B45),"",ROUNDUP(SQRT(B45)*E45,0))</f>
        <v/>
      </c>
      <c r="G45" s="15">
        <f>IF(ISBLANK(B45),"",ROUNDUP(B45*E45,0))</f>
        <v/>
      </c>
      <c r="H45" s="12">
        <f>IF(ISBLANK(G45),"",IF(G45&gt;=20,"Critical",IF(G45&gt;=15,"High",IF(G45&gt;=8,"Medium","Low"))))</f>
        <v/>
      </c>
    </row>
    <row r="46">
      <c r="B46" s="18">
        <f>IFERROR(VLOOKUP(A46,Risk_Assessment!$B$2:$H$1000,7,FALSE),"")</f>
        <v/>
      </c>
      <c r="E46" s="19">
        <f>IF(C46="No",1,IF(D46="N/A",1,IF(D46="Low (10% reduction)",0.9,IF(D46="Medium (30% reduction)",0.7,IF(D46="High (50% reduction)",0.5,IF(D46="Very High (70% reduction)",0.3,1))))))</f>
        <v/>
      </c>
      <c r="F46" s="18">
        <f>IF(ISBLANK(B46),"",ROUNDUP(SQRT(B46)*E46,0))</f>
        <v/>
      </c>
      <c r="G46" s="15">
        <f>IF(ISBLANK(B46),"",ROUNDUP(B46*E46,0))</f>
        <v/>
      </c>
      <c r="H46" s="12">
        <f>IF(ISBLANK(G46),"",IF(G46&gt;=20,"Critical",IF(G46&gt;=15,"High",IF(G46&gt;=8,"Medium","Low"))))</f>
        <v/>
      </c>
    </row>
    <row r="47">
      <c r="B47" s="18">
        <f>IFERROR(VLOOKUP(A47,Risk_Assessment!$B$2:$H$1000,7,FALSE),"")</f>
        <v/>
      </c>
      <c r="E47" s="19">
        <f>IF(C47="No",1,IF(D47="N/A",1,IF(D47="Low (10% reduction)",0.9,IF(D47="Medium (30% reduction)",0.7,IF(D47="High (50% reduction)",0.5,IF(D47="Very High (70% reduction)",0.3,1))))))</f>
        <v/>
      </c>
      <c r="F47" s="18">
        <f>IF(ISBLANK(B47),"",ROUNDUP(SQRT(B47)*E47,0))</f>
        <v/>
      </c>
      <c r="G47" s="15">
        <f>IF(ISBLANK(B47),"",ROUNDUP(B47*E47,0))</f>
        <v/>
      </c>
      <c r="H47" s="12">
        <f>IF(ISBLANK(G47),"",IF(G47&gt;=20,"Critical",IF(G47&gt;=15,"High",IF(G47&gt;=8,"Medium","Low"))))</f>
        <v/>
      </c>
    </row>
    <row r="48">
      <c r="B48" s="18">
        <f>IFERROR(VLOOKUP(A48,Risk_Assessment!$B$2:$H$1000,7,FALSE),"")</f>
        <v/>
      </c>
      <c r="E48" s="19">
        <f>IF(C48="No",1,IF(D48="N/A",1,IF(D48="Low (10% reduction)",0.9,IF(D48="Medium (30% reduction)",0.7,IF(D48="High (50% reduction)",0.5,IF(D48="Very High (70% reduction)",0.3,1))))))</f>
        <v/>
      </c>
      <c r="F48" s="18">
        <f>IF(ISBLANK(B48),"",ROUNDUP(SQRT(B48)*E48,0))</f>
        <v/>
      </c>
      <c r="G48" s="15">
        <f>IF(ISBLANK(B48),"",ROUNDUP(B48*E48,0))</f>
        <v/>
      </c>
      <c r="H48" s="12">
        <f>IF(ISBLANK(G48),"",IF(G48&gt;=20,"Critical",IF(G48&gt;=15,"High",IF(G48&gt;=8,"Medium","Low"))))</f>
        <v/>
      </c>
    </row>
    <row r="49">
      <c r="B49" s="18">
        <f>IFERROR(VLOOKUP(A49,Risk_Assessment!$B$2:$H$1000,7,FALSE),"")</f>
        <v/>
      </c>
      <c r="E49" s="19">
        <f>IF(C49="No",1,IF(D49="N/A",1,IF(D49="Low (10% reduction)",0.9,IF(D49="Medium (30% reduction)",0.7,IF(D49="High (50% reduction)",0.5,IF(D49="Very High (70% reduction)",0.3,1))))))</f>
        <v/>
      </c>
      <c r="F49" s="18">
        <f>IF(ISBLANK(B49),"",ROUNDUP(SQRT(B49)*E49,0))</f>
        <v/>
      </c>
      <c r="G49" s="15">
        <f>IF(ISBLANK(B49),"",ROUNDUP(B49*E49,0))</f>
        <v/>
      </c>
      <c r="H49" s="12">
        <f>IF(ISBLANK(G49),"",IF(G49&gt;=20,"Critical",IF(G49&gt;=15,"High",IF(G49&gt;=8,"Medium","Low"))))</f>
        <v/>
      </c>
    </row>
    <row r="50">
      <c r="B50" s="18">
        <f>IFERROR(VLOOKUP(A50,Risk_Assessment!$B$2:$H$1000,7,FALSE),"")</f>
        <v/>
      </c>
      <c r="E50" s="19">
        <f>IF(C50="No",1,IF(D50="N/A",1,IF(D50="Low (10% reduction)",0.9,IF(D50="Medium (30% reduction)",0.7,IF(D50="High (50% reduction)",0.5,IF(D50="Very High (70% reduction)",0.3,1))))))</f>
        <v/>
      </c>
      <c r="F50" s="18">
        <f>IF(ISBLANK(B50),"",ROUNDUP(SQRT(B50)*E50,0))</f>
        <v/>
      </c>
      <c r="G50" s="15">
        <f>IF(ISBLANK(B50),"",ROUNDUP(B50*E50,0))</f>
        <v/>
      </c>
      <c r="H50" s="12">
        <f>IF(ISBLANK(G50),"",IF(G50&gt;=20,"Critical",IF(G50&gt;=15,"High",IF(G50&gt;=8,"Medium","Low"))))</f>
        <v/>
      </c>
    </row>
    <row r="51">
      <c r="B51" s="18">
        <f>IFERROR(VLOOKUP(A51,Risk_Assessment!$B$2:$H$1000,7,FALSE),"")</f>
        <v/>
      </c>
      <c r="E51" s="19">
        <f>IF(C51="No",1,IF(D51="N/A",1,IF(D51="Low (10% reduction)",0.9,IF(D51="Medium (30% reduction)",0.7,IF(D51="High (50% reduction)",0.5,IF(D51="Very High (70% reduction)",0.3,1))))))</f>
        <v/>
      </c>
      <c r="F51" s="18">
        <f>IF(ISBLANK(B51),"",ROUNDUP(SQRT(B51)*E51,0))</f>
        <v/>
      </c>
      <c r="G51" s="15">
        <f>IF(ISBLANK(B51),"",ROUNDUP(B51*E51,0))</f>
        <v/>
      </c>
      <c r="H51" s="12">
        <f>IF(ISBLANK(G51),"",IF(G51&gt;=20,"Critical",IF(G51&gt;=15,"High",IF(G51&gt;=8,"Medium","Low"))))</f>
        <v/>
      </c>
    </row>
    <row r="52">
      <c r="B52" s="18">
        <f>IFERROR(VLOOKUP(A52,Risk_Assessment!$B$2:$H$1000,7,FALSE),"")</f>
        <v/>
      </c>
      <c r="E52" s="19">
        <f>IF(C52="No",1,IF(D52="N/A",1,IF(D52="Low (10% reduction)",0.9,IF(D52="Medium (30% reduction)",0.7,IF(D52="High (50% reduction)",0.5,IF(D52="Very High (70% reduction)",0.3,1))))))</f>
        <v/>
      </c>
      <c r="F52" s="18">
        <f>IF(ISBLANK(B52),"",ROUNDUP(SQRT(B52)*E52,0))</f>
        <v/>
      </c>
      <c r="G52" s="15">
        <f>IF(ISBLANK(B52),"",ROUNDUP(B52*E52,0))</f>
        <v/>
      </c>
      <c r="H52" s="12">
        <f>IF(ISBLANK(G52),"",IF(G52&gt;=20,"Critical",IF(G52&gt;=15,"High",IF(G52&gt;=8,"Medium","Low"))))</f>
        <v/>
      </c>
    </row>
    <row r="53">
      <c r="B53" s="18">
        <f>IFERROR(VLOOKUP(A53,Risk_Assessment!$B$2:$H$1000,7,FALSE),"")</f>
        <v/>
      </c>
      <c r="E53" s="19">
        <f>IF(C53="No",1,IF(D53="N/A",1,IF(D53="Low (10% reduction)",0.9,IF(D53="Medium (30% reduction)",0.7,IF(D53="High (50% reduction)",0.5,IF(D53="Very High (70% reduction)",0.3,1))))))</f>
        <v/>
      </c>
      <c r="F53" s="18">
        <f>IF(ISBLANK(B53),"",ROUNDUP(SQRT(B53)*E53,0))</f>
        <v/>
      </c>
      <c r="G53" s="15">
        <f>IF(ISBLANK(B53),"",ROUNDUP(B53*E53,0))</f>
        <v/>
      </c>
      <c r="H53" s="12">
        <f>IF(ISBLANK(G53),"",IF(G53&gt;=20,"Critical",IF(G53&gt;=15,"High",IF(G53&gt;=8,"Medium","Low"))))</f>
        <v/>
      </c>
    </row>
    <row r="54">
      <c r="B54" s="18">
        <f>IFERROR(VLOOKUP(A54,Risk_Assessment!$B$2:$H$1000,7,FALSE),"")</f>
        <v/>
      </c>
      <c r="E54" s="19">
        <f>IF(C54="No",1,IF(D54="N/A",1,IF(D54="Low (10% reduction)",0.9,IF(D54="Medium (30% reduction)",0.7,IF(D54="High (50% reduction)",0.5,IF(D54="Very High (70% reduction)",0.3,1))))))</f>
        <v/>
      </c>
      <c r="F54" s="18">
        <f>IF(ISBLANK(B54),"",ROUNDUP(SQRT(B54)*E54,0))</f>
        <v/>
      </c>
      <c r="G54" s="15">
        <f>IF(ISBLANK(B54),"",ROUNDUP(B54*E54,0))</f>
        <v/>
      </c>
      <c r="H54" s="12">
        <f>IF(ISBLANK(G54),"",IF(G54&gt;=20,"Critical",IF(G54&gt;=15,"High",IF(G54&gt;=8,"Medium","Low"))))</f>
        <v/>
      </c>
    </row>
    <row r="55">
      <c r="B55" s="18">
        <f>IFERROR(VLOOKUP(A55,Risk_Assessment!$B$2:$H$1000,7,FALSE),"")</f>
        <v/>
      </c>
      <c r="E55" s="19">
        <f>IF(C55="No",1,IF(D55="N/A",1,IF(D55="Low (10% reduction)",0.9,IF(D55="Medium (30% reduction)",0.7,IF(D55="High (50% reduction)",0.5,IF(D55="Very High (70% reduction)",0.3,1))))))</f>
        <v/>
      </c>
      <c r="F55" s="18">
        <f>IF(ISBLANK(B55),"",ROUNDUP(SQRT(B55)*E55,0))</f>
        <v/>
      </c>
      <c r="G55" s="15">
        <f>IF(ISBLANK(B55),"",ROUNDUP(B55*E55,0))</f>
        <v/>
      </c>
      <c r="H55" s="12">
        <f>IF(ISBLANK(G55),"",IF(G55&gt;=20,"Critical",IF(G55&gt;=15,"High",IF(G55&gt;=8,"Medium","Low"))))</f>
        <v/>
      </c>
    </row>
    <row r="56">
      <c r="B56" s="18">
        <f>IFERROR(VLOOKUP(A56,Risk_Assessment!$B$2:$H$1000,7,FALSE),"")</f>
        <v/>
      </c>
      <c r="E56" s="19">
        <f>IF(C56="No",1,IF(D56="N/A",1,IF(D56="Low (10% reduction)",0.9,IF(D56="Medium (30% reduction)",0.7,IF(D56="High (50% reduction)",0.5,IF(D56="Very High (70% reduction)",0.3,1))))))</f>
        <v/>
      </c>
      <c r="F56" s="18">
        <f>IF(ISBLANK(B56),"",ROUNDUP(SQRT(B56)*E56,0))</f>
        <v/>
      </c>
      <c r="G56" s="15">
        <f>IF(ISBLANK(B56),"",ROUNDUP(B56*E56,0))</f>
        <v/>
      </c>
      <c r="H56" s="12">
        <f>IF(ISBLANK(G56),"",IF(G56&gt;=20,"Critical",IF(G56&gt;=15,"High",IF(G56&gt;=8,"Medium","Low"))))</f>
        <v/>
      </c>
    </row>
    <row r="57">
      <c r="B57" s="18">
        <f>IFERROR(VLOOKUP(A57,Risk_Assessment!$B$2:$H$1000,7,FALSE),"")</f>
        <v/>
      </c>
      <c r="E57" s="19">
        <f>IF(C57="No",1,IF(D57="N/A",1,IF(D57="Low (10% reduction)",0.9,IF(D57="Medium (30% reduction)",0.7,IF(D57="High (50% reduction)",0.5,IF(D57="Very High (70% reduction)",0.3,1))))))</f>
        <v/>
      </c>
      <c r="F57" s="18">
        <f>IF(ISBLANK(B57),"",ROUNDUP(SQRT(B57)*E57,0))</f>
        <v/>
      </c>
      <c r="G57" s="15">
        <f>IF(ISBLANK(B57),"",ROUNDUP(B57*E57,0))</f>
        <v/>
      </c>
      <c r="H57" s="12">
        <f>IF(ISBLANK(G57),"",IF(G57&gt;=20,"Critical",IF(G57&gt;=15,"High",IF(G57&gt;=8,"Medium","Low"))))</f>
        <v/>
      </c>
    </row>
    <row r="58">
      <c r="B58" s="18">
        <f>IFERROR(VLOOKUP(A58,Risk_Assessment!$B$2:$H$1000,7,FALSE),"")</f>
        <v/>
      </c>
      <c r="E58" s="19">
        <f>IF(C58="No",1,IF(D58="N/A",1,IF(D58="Low (10% reduction)",0.9,IF(D58="Medium (30% reduction)",0.7,IF(D58="High (50% reduction)",0.5,IF(D58="Very High (70% reduction)",0.3,1))))))</f>
        <v/>
      </c>
      <c r="F58" s="18">
        <f>IF(ISBLANK(B58),"",ROUNDUP(SQRT(B58)*E58,0))</f>
        <v/>
      </c>
      <c r="G58" s="15">
        <f>IF(ISBLANK(B58),"",ROUNDUP(B58*E58,0))</f>
        <v/>
      </c>
      <c r="H58" s="12">
        <f>IF(ISBLANK(G58),"",IF(G58&gt;=20,"Critical",IF(G58&gt;=15,"High",IF(G58&gt;=8,"Medium","Low"))))</f>
        <v/>
      </c>
    </row>
    <row r="59">
      <c r="B59" s="18">
        <f>IFERROR(VLOOKUP(A59,Risk_Assessment!$B$2:$H$1000,7,FALSE),"")</f>
        <v/>
      </c>
      <c r="E59" s="19">
        <f>IF(C59="No",1,IF(D59="N/A",1,IF(D59="Low (10% reduction)",0.9,IF(D59="Medium (30% reduction)",0.7,IF(D59="High (50% reduction)",0.5,IF(D59="Very High (70% reduction)",0.3,1))))))</f>
        <v/>
      </c>
      <c r="F59" s="18">
        <f>IF(ISBLANK(B59),"",ROUNDUP(SQRT(B59)*E59,0))</f>
        <v/>
      </c>
      <c r="G59" s="15">
        <f>IF(ISBLANK(B59),"",ROUNDUP(B59*E59,0))</f>
        <v/>
      </c>
      <c r="H59" s="12">
        <f>IF(ISBLANK(G59),"",IF(G59&gt;=20,"Critical",IF(G59&gt;=15,"High",IF(G59&gt;=8,"Medium","Low"))))</f>
        <v/>
      </c>
    </row>
    <row r="60">
      <c r="B60" s="18">
        <f>IFERROR(VLOOKUP(A60,Risk_Assessment!$B$2:$H$1000,7,FALSE),"")</f>
        <v/>
      </c>
      <c r="E60" s="19">
        <f>IF(C60="No",1,IF(D60="N/A",1,IF(D60="Low (10% reduction)",0.9,IF(D60="Medium (30% reduction)",0.7,IF(D60="High (50% reduction)",0.5,IF(D60="Very High (70% reduction)",0.3,1))))))</f>
        <v/>
      </c>
      <c r="F60" s="18">
        <f>IF(ISBLANK(B60),"",ROUNDUP(SQRT(B60)*E60,0))</f>
        <v/>
      </c>
      <c r="G60" s="15">
        <f>IF(ISBLANK(B60),"",ROUNDUP(B60*E60,0))</f>
        <v/>
      </c>
      <c r="H60" s="12">
        <f>IF(ISBLANK(G60),"",IF(G60&gt;=20,"Critical",IF(G60&gt;=15,"High",IF(G60&gt;=8,"Medium","Low"))))</f>
        <v/>
      </c>
    </row>
    <row r="61">
      <c r="B61" s="18">
        <f>IFERROR(VLOOKUP(A61,Risk_Assessment!$B$2:$H$1000,7,FALSE),"")</f>
        <v/>
      </c>
      <c r="E61" s="19">
        <f>IF(C61="No",1,IF(D61="N/A",1,IF(D61="Low (10% reduction)",0.9,IF(D61="Medium (30% reduction)",0.7,IF(D61="High (50% reduction)",0.5,IF(D61="Very High (70% reduction)",0.3,1))))))</f>
        <v/>
      </c>
      <c r="F61" s="18">
        <f>IF(ISBLANK(B61),"",ROUNDUP(SQRT(B61)*E61,0))</f>
        <v/>
      </c>
      <c r="G61" s="15">
        <f>IF(ISBLANK(B61),"",ROUNDUP(B61*E61,0))</f>
        <v/>
      </c>
      <c r="H61" s="12">
        <f>IF(ISBLANK(G61),"",IF(G61&gt;=20,"Critical",IF(G61&gt;=15,"High",IF(G61&gt;=8,"Medium","Low"))))</f>
        <v/>
      </c>
    </row>
    <row r="62">
      <c r="B62" s="18">
        <f>IFERROR(VLOOKUP(A62,Risk_Assessment!$B$2:$H$1000,7,FALSE),"")</f>
        <v/>
      </c>
      <c r="E62" s="19">
        <f>IF(C62="No",1,IF(D62="N/A",1,IF(D62="Low (10% reduction)",0.9,IF(D62="Medium (30% reduction)",0.7,IF(D62="High (50% reduction)",0.5,IF(D62="Very High (70% reduction)",0.3,1))))))</f>
        <v/>
      </c>
      <c r="F62" s="18">
        <f>IF(ISBLANK(B62),"",ROUNDUP(SQRT(B62)*E62,0))</f>
        <v/>
      </c>
      <c r="G62" s="15">
        <f>IF(ISBLANK(B62),"",ROUNDUP(B62*E62,0))</f>
        <v/>
      </c>
      <c r="H62" s="12">
        <f>IF(ISBLANK(G62),"",IF(G62&gt;=20,"Critical",IF(G62&gt;=15,"High",IF(G62&gt;=8,"Medium","Low"))))</f>
        <v/>
      </c>
    </row>
    <row r="63">
      <c r="B63" s="18">
        <f>IFERROR(VLOOKUP(A63,Risk_Assessment!$B$2:$H$1000,7,FALSE),"")</f>
        <v/>
      </c>
      <c r="E63" s="19">
        <f>IF(C63="No",1,IF(D63="N/A",1,IF(D63="Low (10% reduction)",0.9,IF(D63="Medium (30% reduction)",0.7,IF(D63="High (50% reduction)",0.5,IF(D63="Very High (70% reduction)",0.3,1))))))</f>
        <v/>
      </c>
      <c r="F63" s="18">
        <f>IF(ISBLANK(B63),"",ROUNDUP(SQRT(B63)*E63,0))</f>
        <v/>
      </c>
      <c r="G63" s="15">
        <f>IF(ISBLANK(B63),"",ROUNDUP(B63*E63,0))</f>
        <v/>
      </c>
      <c r="H63" s="12">
        <f>IF(ISBLANK(G63),"",IF(G63&gt;=20,"Critical",IF(G63&gt;=15,"High",IF(G63&gt;=8,"Medium","Low"))))</f>
        <v/>
      </c>
    </row>
    <row r="64">
      <c r="B64" s="18">
        <f>IFERROR(VLOOKUP(A64,Risk_Assessment!$B$2:$H$1000,7,FALSE),"")</f>
        <v/>
      </c>
      <c r="E64" s="19">
        <f>IF(C64="No",1,IF(D64="N/A",1,IF(D64="Low (10% reduction)",0.9,IF(D64="Medium (30% reduction)",0.7,IF(D64="High (50% reduction)",0.5,IF(D64="Very High (70% reduction)",0.3,1))))))</f>
        <v/>
      </c>
      <c r="F64" s="18">
        <f>IF(ISBLANK(B64),"",ROUNDUP(SQRT(B64)*E64,0))</f>
        <v/>
      </c>
      <c r="G64" s="15">
        <f>IF(ISBLANK(B64),"",ROUNDUP(B64*E64,0))</f>
        <v/>
      </c>
      <c r="H64" s="12">
        <f>IF(ISBLANK(G64),"",IF(G64&gt;=20,"Critical",IF(G64&gt;=15,"High",IF(G64&gt;=8,"Medium","Low"))))</f>
        <v/>
      </c>
    </row>
    <row r="65">
      <c r="B65" s="18">
        <f>IFERROR(VLOOKUP(A65,Risk_Assessment!$B$2:$H$1000,7,FALSE),"")</f>
        <v/>
      </c>
      <c r="E65" s="19">
        <f>IF(C65="No",1,IF(D65="N/A",1,IF(D65="Low (10% reduction)",0.9,IF(D65="Medium (30% reduction)",0.7,IF(D65="High (50% reduction)",0.5,IF(D65="Very High (70% reduction)",0.3,1))))))</f>
        <v/>
      </c>
      <c r="F65" s="18">
        <f>IF(ISBLANK(B65),"",ROUNDUP(SQRT(B65)*E65,0))</f>
        <v/>
      </c>
      <c r="G65" s="15">
        <f>IF(ISBLANK(B65),"",ROUNDUP(B65*E65,0))</f>
        <v/>
      </c>
      <c r="H65" s="12">
        <f>IF(ISBLANK(G65),"",IF(G65&gt;=20,"Critical",IF(G65&gt;=15,"High",IF(G65&gt;=8,"Medium","Low"))))</f>
        <v/>
      </c>
    </row>
    <row r="66">
      <c r="B66" s="18">
        <f>IFERROR(VLOOKUP(A66,Risk_Assessment!$B$2:$H$1000,7,FALSE),"")</f>
        <v/>
      </c>
      <c r="E66" s="19">
        <f>IF(C66="No",1,IF(D66="N/A",1,IF(D66="Low (10% reduction)",0.9,IF(D66="Medium (30% reduction)",0.7,IF(D66="High (50% reduction)",0.5,IF(D66="Very High (70% reduction)",0.3,1))))))</f>
        <v/>
      </c>
      <c r="F66" s="18">
        <f>IF(ISBLANK(B66),"",ROUNDUP(SQRT(B66)*E66,0))</f>
        <v/>
      </c>
      <c r="G66" s="15">
        <f>IF(ISBLANK(B66),"",ROUNDUP(B66*E66,0))</f>
        <v/>
      </c>
      <c r="H66" s="12">
        <f>IF(ISBLANK(G66),"",IF(G66&gt;=20,"Critical",IF(G66&gt;=15,"High",IF(G66&gt;=8,"Medium","Low"))))</f>
        <v/>
      </c>
    </row>
    <row r="67">
      <c r="B67" s="18">
        <f>IFERROR(VLOOKUP(A67,Risk_Assessment!$B$2:$H$1000,7,FALSE),"")</f>
        <v/>
      </c>
      <c r="E67" s="19">
        <f>IF(C67="No",1,IF(D67="N/A",1,IF(D67="Low (10% reduction)",0.9,IF(D67="Medium (30% reduction)",0.7,IF(D67="High (50% reduction)",0.5,IF(D67="Very High (70% reduction)",0.3,1))))))</f>
        <v/>
      </c>
      <c r="F67" s="18">
        <f>IF(ISBLANK(B67),"",ROUNDUP(SQRT(B67)*E67,0))</f>
        <v/>
      </c>
      <c r="G67" s="15">
        <f>IF(ISBLANK(B67),"",ROUNDUP(B67*E67,0))</f>
        <v/>
      </c>
      <c r="H67" s="12">
        <f>IF(ISBLANK(G67),"",IF(G67&gt;=20,"Critical",IF(G67&gt;=15,"High",IF(G67&gt;=8,"Medium","Low"))))</f>
        <v/>
      </c>
    </row>
    <row r="68">
      <c r="B68" s="18">
        <f>IFERROR(VLOOKUP(A68,Risk_Assessment!$B$2:$H$1000,7,FALSE),"")</f>
        <v/>
      </c>
      <c r="E68" s="19">
        <f>IF(C68="No",1,IF(D68="N/A",1,IF(D68="Low (10% reduction)",0.9,IF(D68="Medium (30% reduction)",0.7,IF(D68="High (50% reduction)",0.5,IF(D68="Very High (70% reduction)",0.3,1))))))</f>
        <v/>
      </c>
      <c r="F68" s="18">
        <f>IF(ISBLANK(B68),"",ROUNDUP(SQRT(B68)*E68,0))</f>
        <v/>
      </c>
      <c r="G68" s="15">
        <f>IF(ISBLANK(B68),"",ROUNDUP(B68*E68,0))</f>
        <v/>
      </c>
      <c r="H68" s="12">
        <f>IF(ISBLANK(G68),"",IF(G68&gt;=20,"Critical",IF(G68&gt;=15,"High",IF(G68&gt;=8,"Medium","Low"))))</f>
        <v/>
      </c>
    </row>
    <row r="69">
      <c r="B69" s="18">
        <f>IFERROR(VLOOKUP(A69,Risk_Assessment!$B$2:$H$1000,7,FALSE),"")</f>
        <v/>
      </c>
      <c r="E69" s="19">
        <f>IF(C69="No",1,IF(D69="N/A",1,IF(D69="Low (10% reduction)",0.9,IF(D69="Medium (30% reduction)",0.7,IF(D69="High (50% reduction)",0.5,IF(D69="Very High (70% reduction)",0.3,1))))))</f>
        <v/>
      </c>
      <c r="F69" s="18">
        <f>IF(ISBLANK(B69),"",ROUNDUP(SQRT(B69)*E69,0))</f>
        <v/>
      </c>
      <c r="G69" s="15">
        <f>IF(ISBLANK(B69),"",ROUNDUP(B69*E69,0))</f>
        <v/>
      </c>
      <c r="H69" s="12">
        <f>IF(ISBLANK(G69),"",IF(G69&gt;=20,"Critical",IF(G69&gt;=15,"High",IF(G69&gt;=8,"Medium","Low"))))</f>
        <v/>
      </c>
    </row>
    <row r="70">
      <c r="B70" s="18">
        <f>IFERROR(VLOOKUP(A70,Risk_Assessment!$B$2:$H$1000,7,FALSE),"")</f>
        <v/>
      </c>
      <c r="E70" s="19">
        <f>IF(C70="No",1,IF(D70="N/A",1,IF(D70="Low (10% reduction)",0.9,IF(D70="Medium (30% reduction)",0.7,IF(D70="High (50% reduction)",0.5,IF(D70="Very High (70% reduction)",0.3,1))))))</f>
        <v/>
      </c>
      <c r="F70" s="18">
        <f>IF(ISBLANK(B70),"",ROUNDUP(SQRT(B70)*E70,0))</f>
        <v/>
      </c>
      <c r="G70" s="15">
        <f>IF(ISBLANK(B70),"",ROUNDUP(B70*E70,0))</f>
        <v/>
      </c>
      <c r="H70" s="12">
        <f>IF(ISBLANK(G70),"",IF(G70&gt;=20,"Critical",IF(G70&gt;=15,"High",IF(G70&gt;=8,"Medium","Low"))))</f>
        <v/>
      </c>
    </row>
    <row r="71">
      <c r="B71" s="18">
        <f>IFERROR(VLOOKUP(A71,Risk_Assessment!$B$2:$H$1000,7,FALSE),"")</f>
        <v/>
      </c>
      <c r="E71" s="19">
        <f>IF(C71="No",1,IF(D71="N/A",1,IF(D71="Low (10% reduction)",0.9,IF(D71="Medium (30% reduction)",0.7,IF(D71="High (50% reduction)",0.5,IF(D71="Very High (70% reduction)",0.3,1))))))</f>
        <v/>
      </c>
      <c r="F71" s="18">
        <f>IF(ISBLANK(B71),"",ROUNDUP(SQRT(B71)*E71,0))</f>
        <v/>
      </c>
      <c r="G71" s="15">
        <f>IF(ISBLANK(B71),"",ROUNDUP(B71*E71,0))</f>
        <v/>
      </c>
      <c r="H71" s="12">
        <f>IF(ISBLANK(G71),"",IF(G71&gt;=20,"Critical",IF(G71&gt;=15,"High",IF(G71&gt;=8,"Medium","Low"))))</f>
        <v/>
      </c>
    </row>
    <row r="72">
      <c r="B72" s="18">
        <f>IFERROR(VLOOKUP(A72,Risk_Assessment!$B$2:$H$1000,7,FALSE),"")</f>
        <v/>
      </c>
      <c r="E72" s="19">
        <f>IF(C72="No",1,IF(D72="N/A",1,IF(D72="Low (10% reduction)",0.9,IF(D72="Medium (30% reduction)",0.7,IF(D72="High (50% reduction)",0.5,IF(D72="Very High (70% reduction)",0.3,1))))))</f>
        <v/>
      </c>
      <c r="F72" s="18">
        <f>IF(ISBLANK(B72),"",ROUNDUP(SQRT(B72)*E72,0))</f>
        <v/>
      </c>
      <c r="G72" s="15">
        <f>IF(ISBLANK(B72),"",ROUNDUP(B72*E72,0))</f>
        <v/>
      </c>
      <c r="H72" s="12">
        <f>IF(ISBLANK(G72),"",IF(G72&gt;=20,"Critical",IF(G72&gt;=15,"High",IF(G72&gt;=8,"Medium","Low"))))</f>
        <v/>
      </c>
    </row>
    <row r="73">
      <c r="B73" s="18">
        <f>IFERROR(VLOOKUP(A73,Risk_Assessment!$B$2:$H$1000,7,FALSE),"")</f>
        <v/>
      </c>
      <c r="E73" s="19">
        <f>IF(C73="No",1,IF(D73="N/A",1,IF(D73="Low (10% reduction)",0.9,IF(D73="Medium (30% reduction)",0.7,IF(D73="High (50% reduction)",0.5,IF(D73="Very High (70% reduction)",0.3,1))))))</f>
        <v/>
      </c>
      <c r="F73" s="18">
        <f>IF(ISBLANK(B73),"",ROUNDUP(SQRT(B73)*E73,0))</f>
        <v/>
      </c>
      <c r="G73" s="15">
        <f>IF(ISBLANK(B73),"",ROUNDUP(B73*E73,0))</f>
        <v/>
      </c>
      <c r="H73" s="12">
        <f>IF(ISBLANK(G73),"",IF(G73&gt;=20,"Critical",IF(G73&gt;=15,"High",IF(G73&gt;=8,"Medium","Low"))))</f>
        <v/>
      </c>
    </row>
    <row r="74">
      <c r="B74" s="18">
        <f>IFERROR(VLOOKUP(A74,Risk_Assessment!$B$2:$H$1000,7,FALSE),"")</f>
        <v/>
      </c>
      <c r="E74" s="19">
        <f>IF(C74="No",1,IF(D74="N/A",1,IF(D74="Low (10% reduction)",0.9,IF(D74="Medium (30% reduction)",0.7,IF(D74="High (50% reduction)",0.5,IF(D74="Very High (70% reduction)",0.3,1))))))</f>
        <v/>
      </c>
      <c r="F74" s="18">
        <f>IF(ISBLANK(B74),"",ROUNDUP(SQRT(B74)*E74,0))</f>
        <v/>
      </c>
      <c r="G74" s="15">
        <f>IF(ISBLANK(B74),"",ROUNDUP(B74*E74,0))</f>
        <v/>
      </c>
      <c r="H74" s="12">
        <f>IF(ISBLANK(G74),"",IF(G74&gt;=20,"Critical",IF(G74&gt;=15,"High",IF(G74&gt;=8,"Medium","Low"))))</f>
        <v/>
      </c>
    </row>
    <row r="75">
      <c r="B75" s="18">
        <f>IFERROR(VLOOKUP(A75,Risk_Assessment!$B$2:$H$1000,7,FALSE),"")</f>
        <v/>
      </c>
      <c r="E75" s="19">
        <f>IF(C75="No",1,IF(D75="N/A",1,IF(D75="Low (10% reduction)",0.9,IF(D75="Medium (30% reduction)",0.7,IF(D75="High (50% reduction)",0.5,IF(D75="Very High (70% reduction)",0.3,1))))))</f>
        <v/>
      </c>
      <c r="F75" s="18">
        <f>IF(ISBLANK(B75),"",ROUNDUP(SQRT(B75)*E75,0))</f>
        <v/>
      </c>
      <c r="G75" s="15">
        <f>IF(ISBLANK(B75),"",ROUNDUP(B75*E75,0))</f>
        <v/>
      </c>
      <c r="H75" s="12">
        <f>IF(ISBLANK(G75),"",IF(G75&gt;=20,"Critical",IF(G75&gt;=15,"High",IF(G75&gt;=8,"Medium","Low"))))</f>
        <v/>
      </c>
    </row>
    <row r="76">
      <c r="B76" s="18">
        <f>IFERROR(VLOOKUP(A76,Risk_Assessment!$B$2:$H$1000,7,FALSE),"")</f>
        <v/>
      </c>
      <c r="E76" s="19">
        <f>IF(C76="No",1,IF(D76="N/A",1,IF(D76="Low (10% reduction)",0.9,IF(D76="Medium (30% reduction)",0.7,IF(D76="High (50% reduction)",0.5,IF(D76="Very High (70% reduction)",0.3,1))))))</f>
        <v/>
      </c>
      <c r="F76" s="18">
        <f>IF(ISBLANK(B76),"",ROUNDUP(SQRT(B76)*E76,0))</f>
        <v/>
      </c>
      <c r="G76" s="15">
        <f>IF(ISBLANK(B76),"",ROUNDUP(B76*E76,0))</f>
        <v/>
      </c>
      <c r="H76" s="12">
        <f>IF(ISBLANK(G76),"",IF(G76&gt;=20,"Critical",IF(G76&gt;=15,"High",IF(G76&gt;=8,"Medium","Low"))))</f>
        <v/>
      </c>
    </row>
    <row r="77">
      <c r="B77" s="18">
        <f>IFERROR(VLOOKUP(A77,Risk_Assessment!$B$2:$H$1000,7,FALSE),"")</f>
        <v/>
      </c>
      <c r="E77" s="19">
        <f>IF(C77="No",1,IF(D77="N/A",1,IF(D77="Low (10% reduction)",0.9,IF(D77="Medium (30% reduction)",0.7,IF(D77="High (50% reduction)",0.5,IF(D77="Very High (70% reduction)",0.3,1))))))</f>
        <v/>
      </c>
      <c r="F77" s="18">
        <f>IF(ISBLANK(B77),"",ROUNDUP(SQRT(B77)*E77,0))</f>
        <v/>
      </c>
      <c r="G77" s="15">
        <f>IF(ISBLANK(B77),"",ROUNDUP(B77*E77,0))</f>
        <v/>
      </c>
      <c r="H77" s="12">
        <f>IF(ISBLANK(G77),"",IF(G77&gt;=20,"Critical",IF(G77&gt;=15,"High",IF(G77&gt;=8,"Medium","Low"))))</f>
        <v/>
      </c>
    </row>
    <row r="78">
      <c r="B78" s="18">
        <f>IFERROR(VLOOKUP(A78,Risk_Assessment!$B$2:$H$1000,7,FALSE),"")</f>
        <v/>
      </c>
      <c r="E78" s="19">
        <f>IF(C78="No",1,IF(D78="N/A",1,IF(D78="Low (10% reduction)",0.9,IF(D78="Medium (30% reduction)",0.7,IF(D78="High (50% reduction)",0.5,IF(D78="Very High (70% reduction)",0.3,1))))))</f>
        <v/>
      </c>
      <c r="F78" s="18">
        <f>IF(ISBLANK(B78),"",ROUNDUP(SQRT(B78)*E78,0))</f>
        <v/>
      </c>
      <c r="G78" s="15">
        <f>IF(ISBLANK(B78),"",ROUNDUP(B78*E78,0))</f>
        <v/>
      </c>
      <c r="H78" s="12">
        <f>IF(ISBLANK(G78),"",IF(G78&gt;=20,"Critical",IF(G78&gt;=15,"High",IF(G78&gt;=8,"Medium","Low"))))</f>
        <v/>
      </c>
    </row>
    <row r="79">
      <c r="B79" s="18">
        <f>IFERROR(VLOOKUP(A79,Risk_Assessment!$B$2:$H$1000,7,FALSE),"")</f>
        <v/>
      </c>
      <c r="E79" s="19">
        <f>IF(C79="No",1,IF(D79="N/A",1,IF(D79="Low (10% reduction)",0.9,IF(D79="Medium (30% reduction)",0.7,IF(D79="High (50% reduction)",0.5,IF(D79="Very High (70% reduction)",0.3,1))))))</f>
        <v/>
      </c>
      <c r="F79" s="18">
        <f>IF(ISBLANK(B79),"",ROUNDUP(SQRT(B79)*E79,0))</f>
        <v/>
      </c>
      <c r="G79" s="15">
        <f>IF(ISBLANK(B79),"",ROUNDUP(B79*E79,0))</f>
        <v/>
      </c>
      <c r="H79" s="12">
        <f>IF(ISBLANK(G79),"",IF(G79&gt;=20,"Critical",IF(G79&gt;=15,"High",IF(G79&gt;=8,"Medium","Low"))))</f>
        <v/>
      </c>
    </row>
    <row r="80">
      <c r="B80" s="18">
        <f>IFERROR(VLOOKUP(A80,Risk_Assessment!$B$2:$H$1000,7,FALSE),"")</f>
        <v/>
      </c>
      <c r="E80" s="19">
        <f>IF(C80="No",1,IF(D80="N/A",1,IF(D80="Low (10% reduction)",0.9,IF(D80="Medium (30% reduction)",0.7,IF(D80="High (50% reduction)",0.5,IF(D80="Very High (70% reduction)",0.3,1))))))</f>
        <v/>
      </c>
      <c r="F80" s="18">
        <f>IF(ISBLANK(B80),"",ROUNDUP(SQRT(B80)*E80,0))</f>
        <v/>
      </c>
      <c r="G80" s="15">
        <f>IF(ISBLANK(B80),"",ROUNDUP(B80*E80,0))</f>
        <v/>
      </c>
      <c r="H80" s="12">
        <f>IF(ISBLANK(G80),"",IF(G80&gt;=20,"Critical",IF(G80&gt;=15,"High",IF(G80&gt;=8,"Medium","Low"))))</f>
        <v/>
      </c>
    </row>
    <row r="81">
      <c r="B81" s="18">
        <f>IFERROR(VLOOKUP(A81,Risk_Assessment!$B$2:$H$1000,7,FALSE),"")</f>
        <v/>
      </c>
      <c r="E81" s="19">
        <f>IF(C81="No",1,IF(D81="N/A",1,IF(D81="Low (10% reduction)",0.9,IF(D81="Medium (30% reduction)",0.7,IF(D81="High (50% reduction)",0.5,IF(D81="Very High (70% reduction)",0.3,1))))))</f>
        <v/>
      </c>
      <c r="F81" s="18">
        <f>IF(ISBLANK(B81),"",ROUNDUP(SQRT(B81)*E81,0))</f>
        <v/>
      </c>
      <c r="G81" s="15">
        <f>IF(ISBLANK(B81),"",ROUNDUP(B81*E81,0))</f>
        <v/>
      </c>
      <c r="H81" s="12">
        <f>IF(ISBLANK(G81),"",IF(G81&gt;=20,"Critical",IF(G81&gt;=15,"High",IF(G81&gt;=8,"Medium","Low"))))</f>
        <v/>
      </c>
    </row>
    <row r="82">
      <c r="B82" s="18">
        <f>IFERROR(VLOOKUP(A82,Risk_Assessment!$B$2:$H$1000,7,FALSE),"")</f>
        <v/>
      </c>
      <c r="E82" s="19">
        <f>IF(C82="No",1,IF(D82="N/A",1,IF(D82="Low (10% reduction)",0.9,IF(D82="Medium (30% reduction)",0.7,IF(D82="High (50% reduction)",0.5,IF(D82="Very High (70% reduction)",0.3,1))))))</f>
        <v/>
      </c>
      <c r="F82" s="18">
        <f>IF(ISBLANK(B82),"",ROUNDUP(SQRT(B82)*E82,0))</f>
        <v/>
      </c>
      <c r="G82" s="15">
        <f>IF(ISBLANK(B82),"",ROUNDUP(B82*E82,0))</f>
        <v/>
      </c>
      <c r="H82" s="12">
        <f>IF(ISBLANK(G82),"",IF(G82&gt;=20,"Critical",IF(G82&gt;=15,"High",IF(G82&gt;=8,"Medium","Low"))))</f>
        <v/>
      </c>
    </row>
    <row r="83">
      <c r="B83" s="18">
        <f>IFERROR(VLOOKUP(A83,Risk_Assessment!$B$2:$H$1000,7,FALSE),"")</f>
        <v/>
      </c>
      <c r="E83" s="19">
        <f>IF(C83="No",1,IF(D83="N/A",1,IF(D83="Low (10% reduction)",0.9,IF(D83="Medium (30% reduction)",0.7,IF(D83="High (50% reduction)",0.5,IF(D83="Very High (70% reduction)",0.3,1))))))</f>
        <v/>
      </c>
      <c r="F83" s="18">
        <f>IF(ISBLANK(B83),"",ROUNDUP(SQRT(B83)*E83,0))</f>
        <v/>
      </c>
      <c r="G83" s="15">
        <f>IF(ISBLANK(B83),"",ROUNDUP(B83*E83,0))</f>
        <v/>
      </c>
      <c r="H83" s="12">
        <f>IF(ISBLANK(G83),"",IF(G83&gt;=20,"Critical",IF(G83&gt;=15,"High",IF(G83&gt;=8,"Medium","Low"))))</f>
        <v/>
      </c>
    </row>
    <row r="84">
      <c r="B84" s="18">
        <f>IFERROR(VLOOKUP(A84,Risk_Assessment!$B$2:$H$1000,7,FALSE),"")</f>
        <v/>
      </c>
      <c r="E84" s="19">
        <f>IF(C84="No",1,IF(D84="N/A",1,IF(D84="Low (10% reduction)",0.9,IF(D84="Medium (30% reduction)",0.7,IF(D84="High (50% reduction)",0.5,IF(D84="Very High (70% reduction)",0.3,1))))))</f>
        <v/>
      </c>
      <c r="F84" s="18">
        <f>IF(ISBLANK(B84),"",ROUNDUP(SQRT(B84)*E84,0))</f>
        <v/>
      </c>
      <c r="G84" s="15">
        <f>IF(ISBLANK(B84),"",ROUNDUP(B84*E84,0))</f>
        <v/>
      </c>
      <c r="H84" s="12">
        <f>IF(ISBLANK(G84),"",IF(G84&gt;=20,"Critical",IF(G84&gt;=15,"High",IF(G84&gt;=8,"Medium","Low"))))</f>
        <v/>
      </c>
    </row>
    <row r="85">
      <c r="B85" s="18">
        <f>IFERROR(VLOOKUP(A85,Risk_Assessment!$B$2:$H$1000,7,FALSE),"")</f>
        <v/>
      </c>
      <c r="E85" s="19">
        <f>IF(C85="No",1,IF(D85="N/A",1,IF(D85="Low (10% reduction)",0.9,IF(D85="Medium (30% reduction)",0.7,IF(D85="High (50% reduction)",0.5,IF(D85="Very High (70% reduction)",0.3,1))))))</f>
        <v/>
      </c>
      <c r="F85" s="18">
        <f>IF(ISBLANK(B85),"",ROUNDUP(SQRT(B85)*E85,0))</f>
        <v/>
      </c>
      <c r="G85" s="15">
        <f>IF(ISBLANK(B85),"",ROUNDUP(B85*E85,0))</f>
        <v/>
      </c>
      <c r="H85" s="12">
        <f>IF(ISBLANK(G85),"",IF(G85&gt;=20,"Critical",IF(G85&gt;=15,"High",IF(G85&gt;=8,"Medium","Low"))))</f>
        <v/>
      </c>
    </row>
    <row r="86">
      <c r="B86" s="18">
        <f>IFERROR(VLOOKUP(A86,Risk_Assessment!$B$2:$H$1000,7,FALSE),"")</f>
        <v/>
      </c>
      <c r="E86" s="19">
        <f>IF(C86="No",1,IF(D86="N/A",1,IF(D86="Low (10% reduction)",0.9,IF(D86="Medium (30% reduction)",0.7,IF(D86="High (50% reduction)",0.5,IF(D86="Very High (70% reduction)",0.3,1))))))</f>
        <v/>
      </c>
      <c r="F86" s="18">
        <f>IF(ISBLANK(B86),"",ROUNDUP(SQRT(B86)*E86,0))</f>
        <v/>
      </c>
      <c r="G86" s="15">
        <f>IF(ISBLANK(B86),"",ROUNDUP(B86*E86,0))</f>
        <v/>
      </c>
      <c r="H86" s="12">
        <f>IF(ISBLANK(G86),"",IF(G86&gt;=20,"Critical",IF(G86&gt;=15,"High",IF(G86&gt;=8,"Medium","Low"))))</f>
        <v/>
      </c>
    </row>
    <row r="87">
      <c r="B87" s="18">
        <f>IFERROR(VLOOKUP(A87,Risk_Assessment!$B$2:$H$1000,7,FALSE),"")</f>
        <v/>
      </c>
      <c r="E87" s="19">
        <f>IF(C87="No",1,IF(D87="N/A",1,IF(D87="Low (10% reduction)",0.9,IF(D87="Medium (30% reduction)",0.7,IF(D87="High (50% reduction)",0.5,IF(D87="Very High (70% reduction)",0.3,1))))))</f>
        <v/>
      </c>
      <c r="F87" s="18">
        <f>IF(ISBLANK(B87),"",ROUNDUP(SQRT(B87)*E87,0))</f>
        <v/>
      </c>
      <c r="G87" s="15">
        <f>IF(ISBLANK(B87),"",ROUNDUP(B87*E87,0))</f>
        <v/>
      </c>
      <c r="H87" s="12">
        <f>IF(ISBLANK(G87),"",IF(G87&gt;=20,"Critical",IF(G87&gt;=15,"High",IF(G87&gt;=8,"Medium","Low"))))</f>
        <v/>
      </c>
    </row>
    <row r="88">
      <c r="B88" s="18">
        <f>IFERROR(VLOOKUP(A88,Risk_Assessment!$B$2:$H$1000,7,FALSE),"")</f>
        <v/>
      </c>
      <c r="E88" s="19">
        <f>IF(C88="No",1,IF(D88="N/A",1,IF(D88="Low (10% reduction)",0.9,IF(D88="Medium (30% reduction)",0.7,IF(D88="High (50% reduction)",0.5,IF(D88="Very High (70% reduction)",0.3,1))))))</f>
        <v/>
      </c>
      <c r="F88" s="18">
        <f>IF(ISBLANK(B88),"",ROUNDUP(SQRT(B88)*E88,0))</f>
        <v/>
      </c>
      <c r="G88" s="15">
        <f>IF(ISBLANK(B88),"",ROUNDUP(B88*E88,0))</f>
        <v/>
      </c>
      <c r="H88" s="12">
        <f>IF(ISBLANK(G88),"",IF(G88&gt;=20,"Critical",IF(G88&gt;=15,"High",IF(G88&gt;=8,"Medium","Low"))))</f>
        <v/>
      </c>
    </row>
    <row r="89">
      <c r="B89" s="18">
        <f>IFERROR(VLOOKUP(A89,Risk_Assessment!$B$2:$H$1000,7,FALSE),"")</f>
        <v/>
      </c>
      <c r="E89" s="19">
        <f>IF(C89="No",1,IF(D89="N/A",1,IF(D89="Low (10% reduction)",0.9,IF(D89="Medium (30% reduction)",0.7,IF(D89="High (50% reduction)",0.5,IF(D89="Very High (70% reduction)",0.3,1))))))</f>
        <v/>
      </c>
      <c r="F89" s="18">
        <f>IF(ISBLANK(B89),"",ROUNDUP(SQRT(B89)*E89,0))</f>
        <v/>
      </c>
      <c r="G89" s="15">
        <f>IF(ISBLANK(B89),"",ROUNDUP(B89*E89,0))</f>
        <v/>
      </c>
      <c r="H89" s="12">
        <f>IF(ISBLANK(G89),"",IF(G89&gt;=20,"Critical",IF(G89&gt;=15,"High",IF(G89&gt;=8,"Medium","Low"))))</f>
        <v/>
      </c>
    </row>
    <row r="90">
      <c r="B90" s="18">
        <f>IFERROR(VLOOKUP(A90,Risk_Assessment!$B$2:$H$1000,7,FALSE),"")</f>
        <v/>
      </c>
      <c r="E90" s="19">
        <f>IF(C90="No",1,IF(D90="N/A",1,IF(D90="Low (10% reduction)",0.9,IF(D90="Medium (30% reduction)",0.7,IF(D90="High (50% reduction)",0.5,IF(D90="Very High (70% reduction)",0.3,1))))))</f>
        <v/>
      </c>
      <c r="F90" s="18">
        <f>IF(ISBLANK(B90),"",ROUNDUP(SQRT(B90)*E90,0))</f>
        <v/>
      </c>
      <c r="G90" s="15">
        <f>IF(ISBLANK(B90),"",ROUNDUP(B90*E90,0))</f>
        <v/>
      </c>
      <c r="H90" s="12">
        <f>IF(ISBLANK(G90),"",IF(G90&gt;=20,"Critical",IF(G90&gt;=15,"High",IF(G90&gt;=8,"Medium","Low"))))</f>
        <v/>
      </c>
    </row>
    <row r="91">
      <c r="B91" s="18">
        <f>IFERROR(VLOOKUP(A91,Risk_Assessment!$B$2:$H$1000,7,FALSE),"")</f>
        <v/>
      </c>
      <c r="E91" s="19">
        <f>IF(C91="No",1,IF(D91="N/A",1,IF(D91="Low (10% reduction)",0.9,IF(D91="Medium (30% reduction)",0.7,IF(D91="High (50% reduction)",0.5,IF(D91="Very High (70% reduction)",0.3,1))))))</f>
        <v/>
      </c>
      <c r="F91" s="18">
        <f>IF(ISBLANK(B91),"",ROUNDUP(SQRT(B91)*E91,0))</f>
        <v/>
      </c>
      <c r="G91" s="15">
        <f>IF(ISBLANK(B91),"",ROUNDUP(B91*E91,0))</f>
        <v/>
      </c>
      <c r="H91" s="12">
        <f>IF(ISBLANK(G91),"",IF(G91&gt;=20,"Critical",IF(G91&gt;=15,"High",IF(G91&gt;=8,"Medium","Low"))))</f>
        <v/>
      </c>
    </row>
    <row r="92">
      <c r="B92" s="18">
        <f>IFERROR(VLOOKUP(A92,Risk_Assessment!$B$2:$H$1000,7,FALSE),"")</f>
        <v/>
      </c>
      <c r="E92" s="19">
        <f>IF(C92="No",1,IF(D92="N/A",1,IF(D92="Low (10% reduction)",0.9,IF(D92="Medium (30% reduction)",0.7,IF(D92="High (50% reduction)",0.5,IF(D92="Very High (70% reduction)",0.3,1))))))</f>
        <v/>
      </c>
      <c r="F92" s="18">
        <f>IF(ISBLANK(B92),"",ROUNDUP(SQRT(B92)*E92,0))</f>
        <v/>
      </c>
      <c r="G92" s="15">
        <f>IF(ISBLANK(B92),"",ROUNDUP(B92*E92,0))</f>
        <v/>
      </c>
      <c r="H92" s="12">
        <f>IF(ISBLANK(G92),"",IF(G92&gt;=20,"Critical",IF(G92&gt;=15,"High",IF(G92&gt;=8,"Medium","Low"))))</f>
        <v/>
      </c>
    </row>
    <row r="93">
      <c r="B93" s="18">
        <f>IFERROR(VLOOKUP(A93,Risk_Assessment!$B$2:$H$1000,7,FALSE),"")</f>
        <v/>
      </c>
      <c r="E93" s="19">
        <f>IF(C93="No",1,IF(D93="N/A",1,IF(D93="Low (10% reduction)",0.9,IF(D93="Medium (30% reduction)",0.7,IF(D93="High (50% reduction)",0.5,IF(D93="Very High (70% reduction)",0.3,1))))))</f>
        <v/>
      </c>
      <c r="F93" s="18">
        <f>IF(ISBLANK(B93),"",ROUNDUP(SQRT(B93)*E93,0))</f>
        <v/>
      </c>
      <c r="G93" s="15">
        <f>IF(ISBLANK(B93),"",ROUNDUP(B93*E93,0))</f>
        <v/>
      </c>
      <c r="H93" s="12">
        <f>IF(ISBLANK(G93),"",IF(G93&gt;=20,"Critical",IF(G93&gt;=15,"High",IF(G93&gt;=8,"Medium","Low"))))</f>
        <v/>
      </c>
    </row>
    <row r="94">
      <c r="B94" s="18">
        <f>IFERROR(VLOOKUP(A94,Risk_Assessment!$B$2:$H$1000,7,FALSE),"")</f>
        <v/>
      </c>
      <c r="E94" s="19">
        <f>IF(C94="No",1,IF(D94="N/A",1,IF(D94="Low (10% reduction)",0.9,IF(D94="Medium (30% reduction)",0.7,IF(D94="High (50% reduction)",0.5,IF(D94="Very High (70% reduction)",0.3,1))))))</f>
        <v/>
      </c>
      <c r="F94" s="18">
        <f>IF(ISBLANK(B94),"",ROUNDUP(SQRT(B94)*E94,0))</f>
        <v/>
      </c>
      <c r="G94" s="15">
        <f>IF(ISBLANK(B94),"",ROUNDUP(B94*E94,0))</f>
        <v/>
      </c>
      <c r="H94" s="12">
        <f>IF(ISBLANK(G94),"",IF(G94&gt;=20,"Critical",IF(G94&gt;=15,"High",IF(G94&gt;=8,"Medium","Low"))))</f>
        <v/>
      </c>
    </row>
    <row r="95">
      <c r="B95" s="18">
        <f>IFERROR(VLOOKUP(A95,Risk_Assessment!$B$2:$H$1000,7,FALSE),"")</f>
        <v/>
      </c>
      <c r="E95" s="19">
        <f>IF(C95="No",1,IF(D95="N/A",1,IF(D95="Low (10% reduction)",0.9,IF(D95="Medium (30% reduction)",0.7,IF(D95="High (50% reduction)",0.5,IF(D95="Very High (70% reduction)",0.3,1))))))</f>
        <v/>
      </c>
      <c r="F95" s="18">
        <f>IF(ISBLANK(B95),"",ROUNDUP(SQRT(B95)*E95,0))</f>
        <v/>
      </c>
      <c r="G95" s="15">
        <f>IF(ISBLANK(B95),"",ROUNDUP(B95*E95,0))</f>
        <v/>
      </c>
      <c r="H95" s="12">
        <f>IF(ISBLANK(G95),"",IF(G95&gt;=20,"Critical",IF(G95&gt;=15,"High",IF(G95&gt;=8,"Medium","Low"))))</f>
        <v/>
      </c>
    </row>
    <row r="96">
      <c r="B96" s="18">
        <f>IFERROR(VLOOKUP(A96,Risk_Assessment!$B$2:$H$1000,7,FALSE),"")</f>
        <v/>
      </c>
      <c r="E96" s="19">
        <f>IF(C96="No",1,IF(D96="N/A",1,IF(D96="Low (10% reduction)",0.9,IF(D96="Medium (30% reduction)",0.7,IF(D96="High (50% reduction)",0.5,IF(D96="Very High (70% reduction)",0.3,1))))))</f>
        <v/>
      </c>
      <c r="F96" s="18">
        <f>IF(ISBLANK(B96),"",ROUNDUP(SQRT(B96)*E96,0))</f>
        <v/>
      </c>
      <c r="G96" s="15">
        <f>IF(ISBLANK(B96),"",ROUNDUP(B96*E96,0))</f>
        <v/>
      </c>
      <c r="H96" s="12">
        <f>IF(ISBLANK(G96),"",IF(G96&gt;=20,"Critical",IF(G96&gt;=15,"High",IF(G96&gt;=8,"Medium","Low"))))</f>
        <v/>
      </c>
    </row>
    <row r="97">
      <c r="B97" s="18">
        <f>IFERROR(VLOOKUP(A97,Risk_Assessment!$B$2:$H$1000,7,FALSE),"")</f>
        <v/>
      </c>
      <c r="E97" s="19">
        <f>IF(C97="No",1,IF(D97="N/A",1,IF(D97="Low (10% reduction)",0.9,IF(D97="Medium (30% reduction)",0.7,IF(D97="High (50% reduction)",0.5,IF(D97="Very High (70% reduction)",0.3,1))))))</f>
        <v/>
      </c>
      <c r="F97" s="18">
        <f>IF(ISBLANK(B97),"",ROUNDUP(SQRT(B97)*E97,0))</f>
        <v/>
      </c>
      <c r="G97" s="15">
        <f>IF(ISBLANK(B97),"",ROUNDUP(B97*E97,0))</f>
        <v/>
      </c>
      <c r="H97" s="12">
        <f>IF(ISBLANK(G97),"",IF(G97&gt;=20,"Critical",IF(G97&gt;=15,"High",IF(G97&gt;=8,"Medium","Low"))))</f>
        <v/>
      </c>
    </row>
    <row r="98">
      <c r="B98" s="18">
        <f>IFERROR(VLOOKUP(A98,Risk_Assessment!$B$2:$H$1000,7,FALSE),"")</f>
        <v/>
      </c>
      <c r="E98" s="19">
        <f>IF(C98="No",1,IF(D98="N/A",1,IF(D98="Low (10% reduction)",0.9,IF(D98="Medium (30% reduction)",0.7,IF(D98="High (50% reduction)",0.5,IF(D98="Very High (70% reduction)",0.3,1))))))</f>
        <v/>
      </c>
      <c r="F98" s="18">
        <f>IF(ISBLANK(B98),"",ROUNDUP(SQRT(B98)*E98,0))</f>
        <v/>
      </c>
      <c r="G98" s="15">
        <f>IF(ISBLANK(B98),"",ROUNDUP(B98*E98,0))</f>
        <v/>
      </c>
      <c r="H98" s="12">
        <f>IF(ISBLANK(G98),"",IF(G98&gt;=20,"Critical",IF(G98&gt;=15,"High",IF(G98&gt;=8,"Medium","Low"))))</f>
        <v/>
      </c>
    </row>
    <row r="99">
      <c r="B99" s="18">
        <f>IFERROR(VLOOKUP(A99,Risk_Assessment!$B$2:$H$1000,7,FALSE),"")</f>
        <v/>
      </c>
      <c r="E99" s="19">
        <f>IF(C99="No",1,IF(D99="N/A",1,IF(D99="Low (10% reduction)",0.9,IF(D99="Medium (30% reduction)",0.7,IF(D99="High (50% reduction)",0.5,IF(D99="Very High (70% reduction)",0.3,1))))))</f>
        <v/>
      </c>
      <c r="F99" s="18">
        <f>IF(ISBLANK(B99),"",ROUNDUP(SQRT(B99)*E99,0))</f>
        <v/>
      </c>
      <c r="G99" s="15">
        <f>IF(ISBLANK(B99),"",ROUNDUP(B99*E99,0))</f>
        <v/>
      </c>
      <c r="H99" s="12">
        <f>IF(ISBLANK(G99),"",IF(G99&gt;=20,"Critical",IF(G99&gt;=15,"High",IF(G99&gt;=8,"Medium","Low"))))</f>
        <v/>
      </c>
    </row>
    <row r="100">
      <c r="B100" s="18">
        <f>IFERROR(VLOOKUP(A100,Risk_Assessment!$B$2:$H$1000,7,FALSE),"")</f>
        <v/>
      </c>
      <c r="E100" s="19">
        <f>IF(C100="No",1,IF(D100="N/A",1,IF(D100="Low (10% reduction)",0.9,IF(D100="Medium (30% reduction)",0.7,IF(D100="High (50% reduction)",0.5,IF(D100="Very High (70% reduction)",0.3,1))))))</f>
        <v/>
      </c>
      <c r="F100" s="18">
        <f>IF(ISBLANK(B100),"",ROUNDUP(SQRT(B100)*E100,0))</f>
        <v/>
      </c>
      <c r="G100" s="15">
        <f>IF(ISBLANK(B100),"",ROUNDUP(B100*E100,0))</f>
        <v/>
      </c>
      <c r="H100" s="12">
        <f>IF(ISBLANK(G100),"",IF(G100&gt;=20,"Critical",IF(G100&gt;=15,"High",IF(G100&gt;=8,"Medium","Low"))))</f>
        <v/>
      </c>
    </row>
    <row r="101">
      <c r="B101" s="18">
        <f>IFERROR(VLOOKUP(A101,Risk_Assessment!$B$2:$H$1000,7,FALSE),"")</f>
        <v/>
      </c>
      <c r="E101" s="19">
        <f>IF(C101="No",1,IF(D101="N/A",1,IF(D101="Low (10% reduction)",0.9,IF(D101="Medium (30% reduction)",0.7,IF(D101="High (50% reduction)",0.5,IF(D101="Very High (70% reduction)",0.3,1))))))</f>
        <v/>
      </c>
      <c r="F101" s="18">
        <f>IF(ISBLANK(B101),"",ROUNDUP(SQRT(B101)*E101,0))</f>
        <v/>
      </c>
      <c r="G101" s="15">
        <f>IF(ISBLANK(B101),"",ROUNDUP(B101*E101,0))</f>
        <v/>
      </c>
      <c r="H101" s="12">
        <f>IF(ISBLANK(G101),"",IF(G101&gt;=20,"Critical",IF(G101&gt;=15,"High",IF(G101&gt;=8,"Medium","Low"))))</f>
        <v/>
      </c>
    </row>
    <row r="102">
      <c r="B102" s="18">
        <f>IFERROR(VLOOKUP(A102,Risk_Assessment!$B$2:$H$1000,7,FALSE),"")</f>
        <v/>
      </c>
      <c r="E102" s="19">
        <f>IF(C102="No",1,IF(D102="N/A",1,IF(D102="Low (10% reduction)",0.9,IF(D102="Medium (30% reduction)",0.7,IF(D102="High (50% reduction)",0.5,IF(D102="Very High (70% reduction)",0.3,1))))))</f>
        <v/>
      </c>
      <c r="F102" s="18">
        <f>IF(ISBLANK(B102),"",ROUNDUP(SQRT(B102)*E102,0))</f>
        <v/>
      </c>
      <c r="G102" s="15">
        <f>IF(ISBLANK(B102),"",ROUNDUP(B102*E102,0))</f>
        <v/>
      </c>
      <c r="H102" s="12">
        <f>IF(ISBLANK(G102),"",IF(G102&gt;=20,"Critical",IF(G102&gt;=15,"High",IF(G102&gt;=8,"Medium","Low"))))</f>
        <v/>
      </c>
    </row>
    <row r="103">
      <c r="B103" s="18">
        <f>IFERROR(VLOOKUP(A103,Risk_Assessment!$B$2:$H$1000,7,FALSE),"")</f>
        <v/>
      </c>
      <c r="E103" s="19">
        <f>IF(C103="No",1,IF(D103="N/A",1,IF(D103="Low (10% reduction)",0.9,IF(D103="Medium (30% reduction)",0.7,IF(D103="High (50% reduction)",0.5,IF(D103="Very High (70% reduction)",0.3,1))))))</f>
        <v/>
      </c>
      <c r="F103" s="18">
        <f>IF(ISBLANK(B103),"",ROUNDUP(SQRT(B103)*E103,0))</f>
        <v/>
      </c>
      <c r="G103" s="15">
        <f>IF(ISBLANK(B103),"",ROUNDUP(B103*E103,0))</f>
        <v/>
      </c>
      <c r="H103" s="12">
        <f>IF(ISBLANK(G103),"",IF(G103&gt;=20,"Critical",IF(G103&gt;=15,"High",IF(G103&gt;=8,"Medium","Low"))))</f>
        <v/>
      </c>
    </row>
    <row r="104">
      <c r="B104" s="18">
        <f>IFERROR(VLOOKUP(A104,Risk_Assessment!$B$2:$H$1000,7,FALSE),"")</f>
        <v/>
      </c>
      <c r="E104" s="19">
        <f>IF(C104="No",1,IF(D104="N/A",1,IF(D104="Low (10% reduction)",0.9,IF(D104="Medium (30% reduction)",0.7,IF(D104="High (50% reduction)",0.5,IF(D104="Very High (70% reduction)",0.3,1))))))</f>
        <v/>
      </c>
      <c r="F104" s="18">
        <f>IF(ISBLANK(B104),"",ROUNDUP(SQRT(B104)*E104,0))</f>
        <v/>
      </c>
      <c r="G104" s="15">
        <f>IF(ISBLANK(B104),"",ROUNDUP(B104*E104,0))</f>
        <v/>
      </c>
      <c r="H104" s="12">
        <f>IF(ISBLANK(G104),"",IF(G104&gt;=20,"Critical",IF(G104&gt;=15,"High",IF(G104&gt;=8,"Medium","Low"))))</f>
        <v/>
      </c>
    </row>
    <row r="105">
      <c r="B105" s="18">
        <f>IFERROR(VLOOKUP(A105,Risk_Assessment!$B$2:$H$1000,7,FALSE),"")</f>
        <v/>
      </c>
      <c r="E105" s="19">
        <f>IF(C105="No",1,IF(D105="N/A",1,IF(D105="Low (10% reduction)",0.9,IF(D105="Medium (30% reduction)",0.7,IF(D105="High (50% reduction)",0.5,IF(D105="Very High (70% reduction)",0.3,1))))))</f>
        <v/>
      </c>
      <c r="F105" s="18">
        <f>IF(ISBLANK(B105),"",ROUNDUP(SQRT(B105)*E105,0))</f>
        <v/>
      </c>
      <c r="G105" s="15">
        <f>IF(ISBLANK(B105),"",ROUNDUP(B105*E105,0))</f>
        <v/>
      </c>
      <c r="H105" s="12">
        <f>IF(ISBLANK(G105),"",IF(G105&gt;=20,"Critical",IF(G105&gt;=15,"High",IF(G105&gt;=8,"Medium","Low"))))</f>
        <v/>
      </c>
    </row>
    <row r="106">
      <c r="B106" s="18">
        <f>IFERROR(VLOOKUP(A106,Risk_Assessment!$B$2:$H$1000,7,FALSE),"")</f>
        <v/>
      </c>
      <c r="E106" s="19">
        <f>IF(C106="No",1,IF(D106="N/A",1,IF(D106="Low (10% reduction)",0.9,IF(D106="Medium (30% reduction)",0.7,IF(D106="High (50% reduction)",0.5,IF(D106="Very High (70% reduction)",0.3,1))))))</f>
        <v/>
      </c>
      <c r="F106" s="18">
        <f>IF(ISBLANK(B106),"",ROUNDUP(SQRT(B106)*E106,0))</f>
        <v/>
      </c>
      <c r="G106" s="15">
        <f>IF(ISBLANK(B106),"",ROUNDUP(B106*E106,0))</f>
        <v/>
      </c>
      <c r="H106" s="12">
        <f>IF(ISBLANK(G106),"",IF(G106&gt;=20,"Critical",IF(G106&gt;=15,"High",IF(G106&gt;=8,"Medium","Low"))))</f>
        <v/>
      </c>
    </row>
    <row r="107">
      <c r="B107" s="18">
        <f>IFERROR(VLOOKUP(A107,Risk_Assessment!$B$2:$H$1000,7,FALSE),"")</f>
        <v/>
      </c>
      <c r="E107" s="19">
        <f>IF(C107="No",1,IF(D107="N/A",1,IF(D107="Low (10% reduction)",0.9,IF(D107="Medium (30% reduction)",0.7,IF(D107="High (50% reduction)",0.5,IF(D107="Very High (70% reduction)",0.3,1))))))</f>
        <v/>
      </c>
      <c r="F107" s="18">
        <f>IF(ISBLANK(B107),"",ROUNDUP(SQRT(B107)*E107,0))</f>
        <v/>
      </c>
      <c r="G107" s="15">
        <f>IF(ISBLANK(B107),"",ROUNDUP(B107*E107,0))</f>
        <v/>
      </c>
      <c r="H107" s="12">
        <f>IF(ISBLANK(G107),"",IF(G107&gt;=20,"Critical",IF(G107&gt;=15,"High",IF(G107&gt;=8,"Medium","Low"))))</f>
        <v/>
      </c>
    </row>
    <row r="108">
      <c r="B108" s="18">
        <f>IFERROR(VLOOKUP(A108,Risk_Assessment!$B$2:$H$1000,7,FALSE),"")</f>
        <v/>
      </c>
      <c r="E108" s="19">
        <f>IF(C108="No",1,IF(D108="N/A",1,IF(D108="Low (10% reduction)",0.9,IF(D108="Medium (30% reduction)",0.7,IF(D108="High (50% reduction)",0.5,IF(D108="Very High (70% reduction)",0.3,1))))))</f>
        <v/>
      </c>
      <c r="F108" s="18">
        <f>IF(ISBLANK(B108),"",ROUNDUP(SQRT(B108)*E108,0))</f>
        <v/>
      </c>
      <c r="G108" s="15">
        <f>IF(ISBLANK(B108),"",ROUNDUP(B108*E108,0))</f>
        <v/>
      </c>
      <c r="H108" s="12">
        <f>IF(ISBLANK(G108),"",IF(G108&gt;=20,"Critical",IF(G108&gt;=15,"High",IF(G108&gt;=8,"Medium","Low"))))</f>
        <v/>
      </c>
    </row>
    <row r="109">
      <c r="B109" s="18">
        <f>IFERROR(VLOOKUP(A109,Risk_Assessment!$B$2:$H$1000,7,FALSE),"")</f>
        <v/>
      </c>
      <c r="E109" s="19">
        <f>IF(C109="No",1,IF(D109="N/A",1,IF(D109="Low (10% reduction)",0.9,IF(D109="Medium (30% reduction)",0.7,IF(D109="High (50% reduction)",0.5,IF(D109="Very High (70% reduction)",0.3,1))))))</f>
        <v/>
      </c>
      <c r="F109" s="18">
        <f>IF(ISBLANK(B109),"",ROUNDUP(SQRT(B109)*E109,0))</f>
        <v/>
      </c>
      <c r="G109" s="15">
        <f>IF(ISBLANK(B109),"",ROUNDUP(B109*E109,0))</f>
        <v/>
      </c>
      <c r="H109" s="12">
        <f>IF(ISBLANK(G109),"",IF(G109&gt;=20,"Critical",IF(G109&gt;=15,"High",IF(G109&gt;=8,"Medium","Low"))))</f>
        <v/>
      </c>
    </row>
    <row r="110">
      <c r="B110" s="18">
        <f>IFERROR(VLOOKUP(A110,Risk_Assessment!$B$2:$H$1000,7,FALSE),"")</f>
        <v/>
      </c>
      <c r="E110" s="19">
        <f>IF(C110="No",1,IF(D110="N/A",1,IF(D110="Low (10% reduction)",0.9,IF(D110="Medium (30% reduction)",0.7,IF(D110="High (50% reduction)",0.5,IF(D110="Very High (70% reduction)",0.3,1))))))</f>
        <v/>
      </c>
      <c r="F110" s="18">
        <f>IF(ISBLANK(B110),"",ROUNDUP(SQRT(B110)*E110,0))</f>
        <v/>
      </c>
      <c r="G110" s="15">
        <f>IF(ISBLANK(B110),"",ROUNDUP(B110*E110,0))</f>
        <v/>
      </c>
      <c r="H110" s="12">
        <f>IF(ISBLANK(G110),"",IF(G110&gt;=20,"Critical",IF(G110&gt;=15,"High",IF(G110&gt;=8,"Medium","Low"))))</f>
        <v/>
      </c>
    </row>
    <row r="111">
      <c r="B111" s="18">
        <f>IFERROR(VLOOKUP(A111,Risk_Assessment!$B$2:$H$1000,7,FALSE),"")</f>
        <v/>
      </c>
      <c r="E111" s="19">
        <f>IF(C111="No",1,IF(D111="N/A",1,IF(D111="Low (10% reduction)",0.9,IF(D111="Medium (30% reduction)",0.7,IF(D111="High (50% reduction)",0.5,IF(D111="Very High (70% reduction)",0.3,1))))))</f>
        <v/>
      </c>
      <c r="F111" s="18">
        <f>IF(ISBLANK(B111),"",ROUNDUP(SQRT(B111)*E111,0))</f>
        <v/>
      </c>
      <c r="G111" s="15">
        <f>IF(ISBLANK(B111),"",ROUNDUP(B111*E111,0))</f>
        <v/>
      </c>
      <c r="H111" s="12">
        <f>IF(ISBLANK(G111),"",IF(G111&gt;=20,"Critical",IF(G111&gt;=15,"High",IF(G111&gt;=8,"Medium","Low"))))</f>
        <v/>
      </c>
    </row>
    <row r="112">
      <c r="B112" s="18">
        <f>IFERROR(VLOOKUP(A112,Risk_Assessment!$B$2:$H$1000,7,FALSE),"")</f>
        <v/>
      </c>
      <c r="E112" s="19">
        <f>IF(C112="No",1,IF(D112="N/A",1,IF(D112="Low (10% reduction)",0.9,IF(D112="Medium (30% reduction)",0.7,IF(D112="High (50% reduction)",0.5,IF(D112="Very High (70% reduction)",0.3,1))))))</f>
        <v/>
      </c>
      <c r="F112" s="18">
        <f>IF(ISBLANK(B112),"",ROUNDUP(SQRT(B112)*E112,0))</f>
        <v/>
      </c>
      <c r="G112" s="15">
        <f>IF(ISBLANK(B112),"",ROUNDUP(B112*E112,0))</f>
        <v/>
      </c>
      <c r="H112" s="12">
        <f>IF(ISBLANK(G112),"",IF(G112&gt;=20,"Critical",IF(G112&gt;=15,"High",IF(G112&gt;=8,"Medium","Low"))))</f>
        <v/>
      </c>
    </row>
    <row r="113">
      <c r="B113" s="18">
        <f>IFERROR(VLOOKUP(A113,Risk_Assessment!$B$2:$H$1000,7,FALSE),"")</f>
        <v/>
      </c>
      <c r="E113" s="19">
        <f>IF(C113="No",1,IF(D113="N/A",1,IF(D113="Low (10% reduction)",0.9,IF(D113="Medium (30% reduction)",0.7,IF(D113="High (50% reduction)",0.5,IF(D113="Very High (70% reduction)",0.3,1))))))</f>
        <v/>
      </c>
      <c r="F113" s="18">
        <f>IF(ISBLANK(B113),"",ROUNDUP(SQRT(B113)*E113,0))</f>
        <v/>
      </c>
      <c r="G113" s="15">
        <f>IF(ISBLANK(B113),"",ROUNDUP(B113*E113,0))</f>
        <v/>
      </c>
      <c r="H113" s="12">
        <f>IF(ISBLANK(G113),"",IF(G113&gt;=20,"Critical",IF(G113&gt;=15,"High",IF(G113&gt;=8,"Medium","Low"))))</f>
        <v/>
      </c>
    </row>
    <row r="114">
      <c r="B114" s="18">
        <f>IFERROR(VLOOKUP(A114,Risk_Assessment!$B$2:$H$1000,7,FALSE),"")</f>
        <v/>
      </c>
      <c r="E114" s="19">
        <f>IF(C114="No",1,IF(D114="N/A",1,IF(D114="Low (10% reduction)",0.9,IF(D114="Medium (30% reduction)",0.7,IF(D114="High (50% reduction)",0.5,IF(D114="Very High (70% reduction)",0.3,1))))))</f>
        <v/>
      </c>
      <c r="F114" s="18">
        <f>IF(ISBLANK(B114),"",ROUNDUP(SQRT(B114)*E114,0))</f>
        <v/>
      </c>
      <c r="G114" s="15">
        <f>IF(ISBLANK(B114),"",ROUNDUP(B114*E114,0))</f>
        <v/>
      </c>
      <c r="H114" s="12">
        <f>IF(ISBLANK(G114),"",IF(G114&gt;=20,"Critical",IF(G114&gt;=15,"High",IF(G114&gt;=8,"Medium","Low"))))</f>
        <v/>
      </c>
    </row>
    <row r="115">
      <c r="B115" s="18">
        <f>IFERROR(VLOOKUP(A115,Risk_Assessment!$B$2:$H$1000,7,FALSE),"")</f>
        <v/>
      </c>
      <c r="E115" s="19">
        <f>IF(C115="No",1,IF(D115="N/A",1,IF(D115="Low (10% reduction)",0.9,IF(D115="Medium (30% reduction)",0.7,IF(D115="High (50% reduction)",0.5,IF(D115="Very High (70% reduction)",0.3,1))))))</f>
        <v/>
      </c>
      <c r="F115" s="18">
        <f>IF(ISBLANK(B115),"",ROUNDUP(SQRT(B115)*E115,0))</f>
        <v/>
      </c>
      <c r="G115" s="15">
        <f>IF(ISBLANK(B115),"",ROUNDUP(B115*E115,0))</f>
        <v/>
      </c>
      <c r="H115" s="12">
        <f>IF(ISBLANK(G115),"",IF(G115&gt;=20,"Critical",IF(G115&gt;=15,"High",IF(G115&gt;=8,"Medium","Low"))))</f>
        <v/>
      </c>
    </row>
    <row r="116">
      <c r="B116" s="18">
        <f>IFERROR(VLOOKUP(A116,Risk_Assessment!$B$2:$H$1000,7,FALSE),"")</f>
        <v/>
      </c>
      <c r="E116" s="19">
        <f>IF(C116="No",1,IF(D116="N/A",1,IF(D116="Low (10% reduction)",0.9,IF(D116="Medium (30% reduction)",0.7,IF(D116="High (50% reduction)",0.5,IF(D116="Very High (70% reduction)",0.3,1))))))</f>
        <v/>
      </c>
      <c r="F116" s="18">
        <f>IF(ISBLANK(B116),"",ROUNDUP(SQRT(B116)*E116,0))</f>
        <v/>
      </c>
      <c r="G116" s="15">
        <f>IF(ISBLANK(B116),"",ROUNDUP(B116*E116,0))</f>
        <v/>
      </c>
      <c r="H116" s="12">
        <f>IF(ISBLANK(G116),"",IF(G116&gt;=20,"Critical",IF(G116&gt;=15,"High",IF(G116&gt;=8,"Medium","Low"))))</f>
        <v/>
      </c>
    </row>
    <row r="117">
      <c r="B117" s="18">
        <f>IFERROR(VLOOKUP(A117,Risk_Assessment!$B$2:$H$1000,7,FALSE),"")</f>
        <v/>
      </c>
      <c r="E117" s="19">
        <f>IF(C117="No",1,IF(D117="N/A",1,IF(D117="Low (10% reduction)",0.9,IF(D117="Medium (30% reduction)",0.7,IF(D117="High (50% reduction)",0.5,IF(D117="Very High (70% reduction)",0.3,1))))))</f>
        <v/>
      </c>
      <c r="F117" s="18">
        <f>IF(ISBLANK(B117),"",ROUNDUP(SQRT(B117)*E117,0))</f>
        <v/>
      </c>
      <c r="G117" s="15">
        <f>IF(ISBLANK(B117),"",ROUNDUP(B117*E117,0))</f>
        <v/>
      </c>
      <c r="H117" s="12">
        <f>IF(ISBLANK(G117),"",IF(G117&gt;=20,"Critical",IF(G117&gt;=15,"High",IF(G117&gt;=8,"Medium","Low"))))</f>
        <v/>
      </c>
    </row>
    <row r="118">
      <c r="B118" s="18">
        <f>IFERROR(VLOOKUP(A118,Risk_Assessment!$B$2:$H$1000,7,FALSE),"")</f>
        <v/>
      </c>
      <c r="E118" s="19">
        <f>IF(C118="No",1,IF(D118="N/A",1,IF(D118="Low (10% reduction)",0.9,IF(D118="Medium (30% reduction)",0.7,IF(D118="High (50% reduction)",0.5,IF(D118="Very High (70% reduction)",0.3,1))))))</f>
        <v/>
      </c>
      <c r="F118" s="18">
        <f>IF(ISBLANK(B118),"",ROUNDUP(SQRT(B118)*E118,0))</f>
        <v/>
      </c>
      <c r="G118" s="15">
        <f>IF(ISBLANK(B118),"",ROUNDUP(B118*E118,0))</f>
        <v/>
      </c>
      <c r="H118" s="12">
        <f>IF(ISBLANK(G118),"",IF(G118&gt;=20,"Critical",IF(G118&gt;=15,"High",IF(G118&gt;=8,"Medium","Low"))))</f>
        <v/>
      </c>
    </row>
    <row r="119">
      <c r="B119" s="18">
        <f>IFERROR(VLOOKUP(A119,Risk_Assessment!$B$2:$H$1000,7,FALSE),"")</f>
        <v/>
      </c>
      <c r="E119" s="19">
        <f>IF(C119="No",1,IF(D119="N/A",1,IF(D119="Low (10% reduction)",0.9,IF(D119="Medium (30% reduction)",0.7,IF(D119="High (50% reduction)",0.5,IF(D119="Very High (70% reduction)",0.3,1))))))</f>
        <v/>
      </c>
      <c r="F119" s="18">
        <f>IF(ISBLANK(B119),"",ROUNDUP(SQRT(B119)*E119,0))</f>
        <v/>
      </c>
      <c r="G119" s="15">
        <f>IF(ISBLANK(B119),"",ROUNDUP(B119*E119,0))</f>
        <v/>
      </c>
      <c r="H119" s="12">
        <f>IF(ISBLANK(G119),"",IF(G119&gt;=20,"Critical",IF(G119&gt;=15,"High",IF(G119&gt;=8,"Medium","Low"))))</f>
        <v/>
      </c>
    </row>
    <row r="120">
      <c r="B120" s="18">
        <f>IFERROR(VLOOKUP(A120,Risk_Assessment!$B$2:$H$1000,7,FALSE),"")</f>
        <v/>
      </c>
      <c r="E120" s="19">
        <f>IF(C120="No",1,IF(D120="N/A",1,IF(D120="Low (10% reduction)",0.9,IF(D120="Medium (30% reduction)",0.7,IF(D120="High (50% reduction)",0.5,IF(D120="Very High (70% reduction)",0.3,1))))))</f>
        <v/>
      </c>
      <c r="F120" s="18">
        <f>IF(ISBLANK(B120),"",ROUNDUP(SQRT(B120)*E120,0))</f>
        <v/>
      </c>
      <c r="G120" s="15">
        <f>IF(ISBLANK(B120),"",ROUNDUP(B120*E120,0))</f>
        <v/>
      </c>
      <c r="H120" s="12">
        <f>IF(ISBLANK(G120),"",IF(G120&gt;=20,"Critical",IF(G120&gt;=15,"High",IF(G120&gt;=8,"Medium","Low"))))</f>
        <v/>
      </c>
    </row>
    <row r="121">
      <c r="B121" s="18">
        <f>IFERROR(VLOOKUP(A121,Risk_Assessment!$B$2:$H$1000,7,FALSE),"")</f>
        <v/>
      </c>
      <c r="E121" s="19">
        <f>IF(C121="No",1,IF(D121="N/A",1,IF(D121="Low (10% reduction)",0.9,IF(D121="Medium (30% reduction)",0.7,IF(D121="High (50% reduction)",0.5,IF(D121="Very High (70% reduction)",0.3,1))))))</f>
        <v/>
      </c>
      <c r="F121" s="18">
        <f>IF(ISBLANK(B121),"",ROUNDUP(SQRT(B121)*E121,0))</f>
        <v/>
      </c>
      <c r="G121" s="15">
        <f>IF(ISBLANK(B121),"",ROUNDUP(B121*E121,0))</f>
        <v/>
      </c>
      <c r="H121" s="12">
        <f>IF(ISBLANK(G121),"",IF(G121&gt;=20,"Critical",IF(G121&gt;=15,"High",IF(G121&gt;=8,"Medium","Low"))))</f>
        <v/>
      </c>
    </row>
    <row r="122">
      <c r="B122" s="18">
        <f>IFERROR(VLOOKUP(A122,Risk_Assessment!$B$2:$H$1000,7,FALSE),"")</f>
        <v/>
      </c>
      <c r="E122" s="19">
        <f>IF(C122="No",1,IF(D122="N/A",1,IF(D122="Low (10% reduction)",0.9,IF(D122="Medium (30% reduction)",0.7,IF(D122="High (50% reduction)",0.5,IF(D122="Very High (70% reduction)",0.3,1))))))</f>
        <v/>
      </c>
      <c r="F122" s="18">
        <f>IF(ISBLANK(B122),"",ROUNDUP(SQRT(B122)*E122,0))</f>
        <v/>
      </c>
      <c r="G122" s="15">
        <f>IF(ISBLANK(B122),"",ROUNDUP(B122*E122,0))</f>
        <v/>
      </c>
      <c r="H122" s="12">
        <f>IF(ISBLANK(G122),"",IF(G122&gt;=20,"Critical",IF(G122&gt;=15,"High",IF(G122&gt;=8,"Medium","Low"))))</f>
        <v/>
      </c>
    </row>
    <row r="123">
      <c r="B123" s="18">
        <f>IFERROR(VLOOKUP(A123,Risk_Assessment!$B$2:$H$1000,7,FALSE),"")</f>
        <v/>
      </c>
      <c r="E123" s="19">
        <f>IF(C123="No",1,IF(D123="N/A",1,IF(D123="Low (10% reduction)",0.9,IF(D123="Medium (30% reduction)",0.7,IF(D123="High (50% reduction)",0.5,IF(D123="Very High (70% reduction)",0.3,1))))))</f>
        <v/>
      </c>
      <c r="F123" s="18">
        <f>IF(ISBLANK(B123),"",ROUNDUP(SQRT(B123)*E123,0))</f>
        <v/>
      </c>
      <c r="G123" s="15">
        <f>IF(ISBLANK(B123),"",ROUNDUP(B123*E123,0))</f>
        <v/>
      </c>
      <c r="H123" s="12">
        <f>IF(ISBLANK(G123),"",IF(G123&gt;=20,"Critical",IF(G123&gt;=15,"High",IF(G123&gt;=8,"Medium","Low"))))</f>
        <v/>
      </c>
    </row>
    <row r="124">
      <c r="B124" s="18">
        <f>IFERROR(VLOOKUP(A124,Risk_Assessment!$B$2:$H$1000,7,FALSE),"")</f>
        <v/>
      </c>
      <c r="E124" s="19">
        <f>IF(C124="No",1,IF(D124="N/A",1,IF(D124="Low (10% reduction)",0.9,IF(D124="Medium (30% reduction)",0.7,IF(D124="High (50% reduction)",0.5,IF(D124="Very High (70% reduction)",0.3,1))))))</f>
        <v/>
      </c>
      <c r="F124" s="18">
        <f>IF(ISBLANK(B124),"",ROUNDUP(SQRT(B124)*E124,0))</f>
        <v/>
      </c>
      <c r="G124" s="15">
        <f>IF(ISBLANK(B124),"",ROUNDUP(B124*E124,0))</f>
        <v/>
      </c>
      <c r="H124" s="12">
        <f>IF(ISBLANK(G124),"",IF(G124&gt;=20,"Critical",IF(G124&gt;=15,"High",IF(G124&gt;=8,"Medium","Low"))))</f>
        <v/>
      </c>
    </row>
    <row r="125">
      <c r="B125" s="18">
        <f>IFERROR(VLOOKUP(A125,Risk_Assessment!$B$2:$H$1000,7,FALSE),"")</f>
        <v/>
      </c>
      <c r="E125" s="19">
        <f>IF(C125="No",1,IF(D125="N/A",1,IF(D125="Low (10% reduction)",0.9,IF(D125="Medium (30% reduction)",0.7,IF(D125="High (50% reduction)",0.5,IF(D125="Very High (70% reduction)",0.3,1))))))</f>
        <v/>
      </c>
      <c r="F125" s="18">
        <f>IF(ISBLANK(B125),"",ROUNDUP(SQRT(B125)*E125,0))</f>
        <v/>
      </c>
      <c r="G125" s="15">
        <f>IF(ISBLANK(B125),"",ROUNDUP(B125*E125,0))</f>
        <v/>
      </c>
      <c r="H125" s="12">
        <f>IF(ISBLANK(G125),"",IF(G125&gt;=20,"Critical",IF(G125&gt;=15,"High",IF(G125&gt;=8,"Medium","Low"))))</f>
        <v/>
      </c>
    </row>
    <row r="126">
      <c r="B126" s="18">
        <f>IFERROR(VLOOKUP(A126,Risk_Assessment!$B$2:$H$1000,7,FALSE),"")</f>
        <v/>
      </c>
      <c r="E126" s="19">
        <f>IF(C126="No",1,IF(D126="N/A",1,IF(D126="Low (10% reduction)",0.9,IF(D126="Medium (30% reduction)",0.7,IF(D126="High (50% reduction)",0.5,IF(D126="Very High (70% reduction)",0.3,1))))))</f>
        <v/>
      </c>
      <c r="F126" s="18">
        <f>IF(ISBLANK(B126),"",ROUNDUP(SQRT(B126)*E126,0))</f>
        <v/>
      </c>
      <c r="G126" s="15">
        <f>IF(ISBLANK(B126),"",ROUNDUP(B126*E126,0))</f>
        <v/>
      </c>
      <c r="H126" s="12">
        <f>IF(ISBLANK(G126),"",IF(G126&gt;=20,"Critical",IF(G126&gt;=15,"High",IF(G126&gt;=8,"Medium","Low"))))</f>
        <v/>
      </c>
    </row>
    <row r="127">
      <c r="B127" s="18">
        <f>IFERROR(VLOOKUP(A127,Risk_Assessment!$B$2:$H$1000,7,FALSE),"")</f>
        <v/>
      </c>
      <c r="E127" s="19">
        <f>IF(C127="No",1,IF(D127="N/A",1,IF(D127="Low (10% reduction)",0.9,IF(D127="Medium (30% reduction)",0.7,IF(D127="High (50% reduction)",0.5,IF(D127="Very High (70% reduction)",0.3,1))))))</f>
        <v/>
      </c>
      <c r="F127" s="18">
        <f>IF(ISBLANK(B127),"",ROUNDUP(SQRT(B127)*E127,0))</f>
        <v/>
      </c>
      <c r="G127" s="15">
        <f>IF(ISBLANK(B127),"",ROUNDUP(B127*E127,0))</f>
        <v/>
      </c>
      <c r="H127" s="12">
        <f>IF(ISBLANK(G127),"",IF(G127&gt;=20,"Critical",IF(G127&gt;=15,"High",IF(G127&gt;=8,"Medium","Low"))))</f>
        <v/>
      </c>
    </row>
    <row r="128">
      <c r="B128" s="18">
        <f>IFERROR(VLOOKUP(A128,Risk_Assessment!$B$2:$H$1000,7,FALSE),"")</f>
        <v/>
      </c>
      <c r="E128" s="19">
        <f>IF(C128="No",1,IF(D128="N/A",1,IF(D128="Low (10% reduction)",0.9,IF(D128="Medium (30% reduction)",0.7,IF(D128="High (50% reduction)",0.5,IF(D128="Very High (70% reduction)",0.3,1))))))</f>
        <v/>
      </c>
      <c r="F128" s="18">
        <f>IF(ISBLANK(B128),"",ROUNDUP(SQRT(B128)*E128,0))</f>
        <v/>
      </c>
      <c r="G128" s="15">
        <f>IF(ISBLANK(B128),"",ROUNDUP(B128*E128,0))</f>
        <v/>
      </c>
      <c r="H128" s="12">
        <f>IF(ISBLANK(G128),"",IF(G128&gt;=20,"Critical",IF(G128&gt;=15,"High",IF(G128&gt;=8,"Medium","Low"))))</f>
        <v/>
      </c>
    </row>
    <row r="129">
      <c r="B129" s="18">
        <f>IFERROR(VLOOKUP(A129,Risk_Assessment!$B$2:$H$1000,7,FALSE),"")</f>
        <v/>
      </c>
      <c r="E129" s="19">
        <f>IF(C129="No",1,IF(D129="N/A",1,IF(D129="Low (10% reduction)",0.9,IF(D129="Medium (30% reduction)",0.7,IF(D129="High (50% reduction)",0.5,IF(D129="Very High (70% reduction)",0.3,1))))))</f>
        <v/>
      </c>
      <c r="F129" s="18">
        <f>IF(ISBLANK(B129),"",ROUNDUP(SQRT(B129)*E129,0))</f>
        <v/>
      </c>
      <c r="G129" s="15">
        <f>IF(ISBLANK(B129),"",ROUNDUP(B129*E129,0))</f>
        <v/>
      </c>
      <c r="H129" s="12">
        <f>IF(ISBLANK(G129),"",IF(G129&gt;=20,"Critical",IF(G129&gt;=15,"High",IF(G129&gt;=8,"Medium","Low"))))</f>
        <v/>
      </c>
    </row>
    <row r="130">
      <c r="B130" s="18">
        <f>IFERROR(VLOOKUP(A130,Risk_Assessment!$B$2:$H$1000,7,FALSE),"")</f>
        <v/>
      </c>
      <c r="E130" s="19">
        <f>IF(C130="No",1,IF(D130="N/A",1,IF(D130="Low (10% reduction)",0.9,IF(D130="Medium (30% reduction)",0.7,IF(D130="High (50% reduction)",0.5,IF(D130="Very High (70% reduction)",0.3,1))))))</f>
        <v/>
      </c>
      <c r="F130" s="18">
        <f>IF(ISBLANK(B130),"",ROUNDUP(SQRT(B130)*E130,0))</f>
        <v/>
      </c>
      <c r="G130" s="15">
        <f>IF(ISBLANK(B130),"",ROUNDUP(B130*E130,0))</f>
        <v/>
      </c>
      <c r="H130" s="12">
        <f>IF(ISBLANK(G130),"",IF(G130&gt;=20,"Critical",IF(G130&gt;=15,"High",IF(G130&gt;=8,"Medium","Low"))))</f>
        <v/>
      </c>
    </row>
    <row r="131">
      <c r="B131" s="18">
        <f>IFERROR(VLOOKUP(A131,Risk_Assessment!$B$2:$H$1000,7,FALSE),"")</f>
        <v/>
      </c>
      <c r="E131" s="19">
        <f>IF(C131="No",1,IF(D131="N/A",1,IF(D131="Low (10% reduction)",0.9,IF(D131="Medium (30% reduction)",0.7,IF(D131="High (50% reduction)",0.5,IF(D131="Very High (70% reduction)",0.3,1))))))</f>
        <v/>
      </c>
      <c r="F131" s="18">
        <f>IF(ISBLANK(B131),"",ROUNDUP(SQRT(B131)*E131,0))</f>
        <v/>
      </c>
      <c r="G131" s="15">
        <f>IF(ISBLANK(B131),"",ROUNDUP(B131*E131,0))</f>
        <v/>
      </c>
      <c r="H131" s="12">
        <f>IF(ISBLANK(G131),"",IF(G131&gt;=20,"Critical",IF(G131&gt;=15,"High",IF(G131&gt;=8,"Medium","Low"))))</f>
        <v/>
      </c>
    </row>
    <row r="132">
      <c r="B132" s="18">
        <f>IFERROR(VLOOKUP(A132,Risk_Assessment!$B$2:$H$1000,7,FALSE),"")</f>
        <v/>
      </c>
      <c r="E132" s="19">
        <f>IF(C132="No",1,IF(D132="N/A",1,IF(D132="Low (10% reduction)",0.9,IF(D132="Medium (30% reduction)",0.7,IF(D132="High (50% reduction)",0.5,IF(D132="Very High (70% reduction)",0.3,1))))))</f>
        <v/>
      </c>
      <c r="F132" s="18">
        <f>IF(ISBLANK(B132),"",ROUNDUP(SQRT(B132)*E132,0))</f>
        <v/>
      </c>
      <c r="G132" s="15">
        <f>IF(ISBLANK(B132),"",ROUNDUP(B132*E132,0))</f>
        <v/>
      </c>
      <c r="H132" s="12">
        <f>IF(ISBLANK(G132),"",IF(G132&gt;=20,"Critical",IF(G132&gt;=15,"High",IF(G132&gt;=8,"Medium","Low"))))</f>
        <v/>
      </c>
    </row>
    <row r="133">
      <c r="B133" s="18">
        <f>IFERROR(VLOOKUP(A133,Risk_Assessment!$B$2:$H$1000,7,FALSE),"")</f>
        <v/>
      </c>
      <c r="E133" s="19">
        <f>IF(C133="No",1,IF(D133="N/A",1,IF(D133="Low (10% reduction)",0.9,IF(D133="Medium (30% reduction)",0.7,IF(D133="High (50% reduction)",0.5,IF(D133="Very High (70% reduction)",0.3,1))))))</f>
        <v/>
      </c>
      <c r="F133" s="18">
        <f>IF(ISBLANK(B133),"",ROUNDUP(SQRT(B133)*E133,0))</f>
        <v/>
      </c>
      <c r="G133" s="15">
        <f>IF(ISBLANK(B133),"",ROUNDUP(B133*E133,0))</f>
        <v/>
      </c>
      <c r="H133" s="12">
        <f>IF(ISBLANK(G133),"",IF(G133&gt;=20,"Critical",IF(G133&gt;=15,"High",IF(G133&gt;=8,"Medium","Low"))))</f>
        <v/>
      </c>
    </row>
    <row r="134">
      <c r="B134" s="18">
        <f>IFERROR(VLOOKUP(A134,Risk_Assessment!$B$2:$H$1000,7,FALSE),"")</f>
        <v/>
      </c>
      <c r="E134" s="19">
        <f>IF(C134="No",1,IF(D134="N/A",1,IF(D134="Low (10% reduction)",0.9,IF(D134="Medium (30% reduction)",0.7,IF(D134="High (50% reduction)",0.5,IF(D134="Very High (70% reduction)",0.3,1))))))</f>
        <v/>
      </c>
      <c r="F134" s="18">
        <f>IF(ISBLANK(B134),"",ROUNDUP(SQRT(B134)*E134,0))</f>
        <v/>
      </c>
      <c r="G134" s="15">
        <f>IF(ISBLANK(B134),"",ROUNDUP(B134*E134,0))</f>
        <v/>
      </c>
      <c r="H134" s="12">
        <f>IF(ISBLANK(G134),"",IF(G134&gt;=20,"Critical",IF(G134&gt;=15,"High",IF(G134&gt;=8,"Medium","Low"))))</f>
        <v/>
      </c>
    </row>
    <row r="135">
      <c r="B135" s="18">
        <f>IFERROR(VLOOKUP(A135,Risk_Assessment!$B$2:$H$1000,7,FALSE),"")</f>
        <v/>
      </c>
      <c r="E135" s="19">
        <f>IF(C135="No",1,IF(D135="N/A",1,IF(D135="Low (10% reduction)",0.9,IF(D135="Medium (30% reduction)",0.7,IF(D135="High (50% reduction)",0.5,IF(D135="Very High (70% reduction)",0.3,1))))))</f>
        <v/>
      </c>
      <c r="F135" s="18">
        <f>IF(ISBLANK(B135),"",ROUNDUP(SQRT(B135)*E135,0))</f>
        <v/>
      </c>
      <c r="G135" s="15">
        <f>IF(ISBLANK(B135),"",ROUNDUP(B135*E135,0))</f>
        <v/>
      </c>
      <c r="H135" s="12">
        <f>IF(ISBLANK(G135),"",IF(G135&gt;=20,"Critical",IF(G135&gt;=15,"High",IF(G135&gt;=8,"Medium","Low"))))</f>
        <v/>
      </c>
    </row>
    <row r="136">
      <c r="B136" s="18">
        <f>IFERROR(VLOOKUP(A136,Risk_Assessment!$B$2:$H$1000,7,FALSE),"")</f>
        <v/>
      </c>
      <c r="E136" s="19">
        <f>IF(C136="No",1,IF(D136="N/A",1,IF(D136="Low (10% reduction)",0.9,IF(D136="Medium (30% reduction)",0.7,IF(D136="High (50% reduction)",0.5,IF(D136="Very High (70% reduction)",0.3,1))))))</f>
        <v/>
      </c>
      <c r="F136" s="18">
        <f>IF(ISBLANK(B136),"",ROUNDUP(SQRT(B136)*E136,0))</f>
        <v/>
      </c>
      <c r="G136" s="15">
        <f>IF(ISBLANK(B136),"",ROUNDUP(B136*E136,0))</f>
        <v/>
      </c>
      <c r="H136" s="12">
        <f>IF(ISBLANK(G136),"",IF(G136&gt;=20,"Critical",IF(G136&gt;=15,"High",IF(G136&gt;=8,"Medium","Low"))))</f>
        <v/>
      </c>
    </row>
    <row r="137">
      <c r="B137" s="18">
        <f>IFERROR(VLOOKUP(A137,Risk_Assessment!$B$2:$H$1000,7,FALSE),"")</f>
        <v/>
      </c>
      <c r="E137" s="19">
        <f>IF(C137="No",1,IF(D137="N/A",1,IF(D137="Low (10% reduction)",0.9,IF(D137="Medium (30% reduction)",0.7,IF(D137="High (50% reduction)",0.5,IF(D137="Very High (70% reduction)",0.3,1))))))</f>
        <v/>
      </c>
      <c r="F137" s="18">
        <f>IF(ISBLANK(B137),"",ROUNDUP(SQRT(B137)*E137,0))</f>
        <v/>
      </c>
      <c r="G137" s="15">
        <f>IF(ISBLANK(B137),"",ROUNDUP(B137*E137,0))</f>
        <v/>
      </c>
      <c r="H137" s="12">
        <f>IF(ISBLANK(G137),"",IF(G137&gt;=20,"Critical",IF(G137&gt;=15,"High",IF(G137&gt;=8,"Medium","Low"))))</f>
        <v/>
      </c>
    </row>
    <row r="138">
      <c r="B138" s="18">
        <f>IFERROR(VLOOKUP(A138,Risk_Assessment!$B$2:$H$1000,7,FALSE),"")</f>
        <v/>
      </c>
      <c r="E138" s="19">
        <f>IF(C138="No",1,IF(D138="N/A",1,IF(D138="Low (10% reduction)",0.9,IF(D138="Medium (30% reduction)",0.7,IF(D138="High (50% reduction)",0.5,IF(D138="Very High (70% reduction)",0.3,1))))))</f>
        <v/>
      </c>
      <c r="F138" s="18">
        <f>IF(ISBLANK(B138),"",ROUNDUP(SQRT(B138)*E138,0))</f>
        <v/>
      </c>
      <c r="G138" s="15">
        <f>IF(ISBLANK(B138),"",ROUNDUP(B138*E138,0))</f>
        <v/>
      </c>
      <c r="H138" s="12">
        <f>IF(ISBLANK(G138),"",IF(G138&gt;=20,"Critical",IF(G138&gt;=15,"High",IF(G138&gt;=8,"Medium","Low"))))</f>
        <v/>
      </c>
    </row>
    <row r="139">
      <c r="B139" s="18">
        <f>IFERROR(VLOOKUP(A139,Risk_Assessment!$B$2:$H$1000,7,FALSE),"")</f>
        <v/>
      </c>
      <c r="E139" s="19">
        <f>IF(C139="No",1,IF(D139="N/A",1,IF(D139="Low (10% reduction)",0.9,IF(D139="Medium (30% reduction)",0.7,IF(D139="High (50% reduction)",0.5,IF(D139="Very High (70% reduction)",0.3,1))))))</f>
        <v/>
      </c>
      <c r="F139" s="18">
        <f>IF(ISBLANK(B139),"",ROUNDUP(SQRT(B139)*E139,0))</f>
        <v/>
      </c>
      <c r="G139" s="15">
        <f>IF(ISBLANK(B139),"",ROUNDUP(B139*E139,0))</f>
        <v/>
      </c>
      <c r="H139" s="12">
        <f>IF(ISBLANK(G139),"",IF(G139&gt;=20,"Critical",IF(G139&gt;=15,"High",IF(G139&gt;=8,"Medium","Low"))))</f>
        <v/>
      </c>
    </row>
    <row r="140">
      <c r="B140" s="18">
        <f>IFERROR(VLOOKUP(A140,Risk_Assessment!$B$2:$H$1000,7,FALSE),"")</f>
        <v/>
      </c>
      <c r="E140" s="19">
        <f>IF(C140="No",1,IF(D140="N/A",1,IF(D140="Low (10% reduction)",0.9,IF(D140="Medium (30% reduction)",0.7,IF(D140="High (50% reduction)",0.5,IF(D140="Very High (70% reduction)",0.3,1))))))</f>
        <v/>
      </c>
      <c r="F140" s="18">
        <f>IF(ISBLANK(B140),"",ROUNDUP(SQRT(B140)*E140,0))</f>
        <v/>
      </c>
      <c r="G140" s="15">
        <f>IF(ISBLANK(B140),"",ROUNDUP(B140*E140,0))</f>
        <v/>
      </c>
      <c r="H140" s="12">
        <f>IF(ISBLANK(G140),"",IF(G140&gt;=20,"Critical",IF(G140&gt;=15,"High",IF(G140&gt;=8,"Medium","Low"))))</f>
        <v/>
      </c>
    </row>
    <row r="141">
      <c r="B141" s="18">
        <f>IFERROR(VLOOKUP(A141,Risk_Assessment!$B$2:$H$1000,7,FALSE),"")</f>
        <v/>
      </c>
      <c r="E141" s="19">
        <f>IF(C141="No",1,IF(D141="N/A",1,IF(D141="Low (10% reduction)",0.9,IF(D141="Medium (30% reduction)",0.7,IF(D141="High (50% reduction)",0.5,IF(D141="Very High (70% reduction)",0.3,1))))))</f>
        <v/>
      </c>
      <c r="F141" s="18">
        <f>IF(ISBLANK(B141),"",ROUNDUP(SQRT(B141)*E141,0))</f>
        <v/>
      </c>
      <c r="G141" s="15">
        <f>IF(ISBLANK(B141),"",ROUNDUP(B141*E141,0))</f>
        <v/>
      </c>
      <c r="H141" s="12">
        <f>IF(ISBLANK(G141),"",IF(G141&gt;=20,"Critical",IF(G141&gt;=15,"High",IF(G141&gt;=8,"Medium","Low"))))</f>
        <v/>
      </c>
    </row>
    <row r="142">
      <c r="B142" s="18">
        <f>IFERROR(VLOOKUP(A142,Risk_Assessment!$B$2:$H$1000,7,FALSE),"")</f>
        <v/>
      </c>
      <c r="E142" s="19">
        <f>IF(C142="No",1,IF(D142="N/A",1,IF(D142="Low (10% reduction)",0.9,IF(D142="Medium (30% reduction)",0.7,IF(D142="High (50% reduction)",0.5,IF(D142="Very High (70% reduction)",0.3,1))))))</f>
        <v/>
      </c>
      <c r="F142" s="18">
        <f>IF(ISBLANK(B142),"",ROUNDUP(SQRT(B142)*E142,0))</f>
        <v/>
      </c>
      <c r="G142" s="15">
        <f>IF(ISBLANK(B142),"",ROUNDUP(B142*E142,0))</f>
        <v/>
      </c>
      <c r="H142" s="12">
        <f>IF(ISBLANK(G142),"",IF(G142&gt;=20,"Critical",IF(G142&gt;=15,"High",IF(G142&gt;=8,"Medium","Low"))))</f>
        <v/>
      </c>
    </row>
    <row r="143">
      <c r="B143" s="18">
        <f>IFERROR(VLOOKUP(A143,Risk_Assessment!$B$2:$H$1000,7,FALSE),"")</f>
        <v/>
      </c>
      <c r="E143" s="19">
        <f>IF(C143="No",1,IF(D143="N/A",1,IF(D143="Low (10% reduction)",0.9,IF(D143="Medium (30% reduction)",0.7,IF(D143="High (50% reduction)",0.5,IF(D143="Very High (70% reduction)",0.3,1))))))</f>
        <v/>
      </c>
      <c r="F143" s="18">
        <f>IF(ISBLANK(B143),"",ROUNDUP(SQRT(B143)*E143,0))</f>
        <v/>
      </c>
      <c r="G143" s="15">
        <f>IF(ISBLANK(B143),"",ROUNDUP(B143*E143,0))</f>
        <v/>
      </c>
      <c r="H143" s="12">
        <f>IF(ISBLANK(G143),"",IF(G143&gt;=20,"Critical",IF(G143&gt;=15,"High",IF(G143&gt;=8,"Medium","Low"))))</f>
        <v/>
      </c>
    </row>
    <row r="144">
      <c r="B144" s="18">
        <f>IFERROR(VLOOKUP(A144,Risk_Assessment!$B$2:$H$1000,7,FALSE),"")</f>
        <v/>
      </c>
      <c r="E144" s="19">
        <f>IF(C144="No",1,IF(D144="N/A",1,IF(D144="Low (10% reduction)",0.9,IF(D144="Medium (30% reduction)",0.7,IF(D144="High (50% reduction)",0.5,IF(D144="Very High (70% reduction)",0.3,1))))))</f>
        <v/>
      </c>
      <c r="F144" s="18">
        <f>IF(ISBLANK(B144),"",ROUNDUP(SQRT(B144)*E144,0))</f>
        <v/>
      </c>
      <c r="G144" s="15">
        <f>IF(ISBLANK(B144),"",ROUNDUP(B144*E144,0))</f>
        <v/>
      </c>
      <c r="H144" s="12">
        <f>IF(ISBLANK(G144),"",IF(G144&gt;=20,"Critical",IF(G144&gt;=15,"High",IF(G144&gt;=8,"Medium","Low"))))</f>
        <v/>
      </c>
    </row>
    <row r="145">
      <c r="B145" s="18">
        <f>IFERROR(VLOOKUP(A145,Risk_Assessment!$B$2:$H$1000,7,FALSE),"")</f>
        <v/>
      </c>
      <c r="E145" s="19">
        <f>IF(C145="No",1,IF(D145="N/A",1,IF(D145="Low (10% reduction)",0.9,IF(D145="Medium (30% reduction)",0.7,IF(D145="High (50% reduction)",0.5,IF(D145="Very High (70% reduction)",0.3,1))))))</f>
        <v/>
      </c>
      <c r="F145" s="18">
        <f>IF(ISBLANK(B145),"",ROUNDUP(SQRT(B145)*E145,0))</f>
        <v/>
      </c>
      <c r="G145" s="15">
        <f>IF(ISBLANK(B145),"",ROUNDUP(B145*E145,0))</f>
        <v/>
      </c>
      <c r="H145" s="12">
        <f>IF(ISBLANK(G145),"",IF(G145&gt;=20,"Critical",IF(G145&gt;=15,"High",IF(G145&gt;=8,"Medium","Low"))))</f>
        <v/>
      </c>
    </row>
    <row r="146">
      <c r="B146" s="18">
        <f>IFERROR(VLOOKUP(A146,Risk_Assessment!$B$2:$H$1000,7,FALSE),"")</f>
        <v/>
      </c>
      <c r="E146" s="19">
        <f>IF(C146="No",1,IF(D146="N/A",1,IF(D146="Low (10% reduction)",0.9,IF(D146="Medium (30% reduction)",0.7,IF(D146="High (50% reduction)",0.5,IF(D146="Very High (70% reduction)",0.3,1))))))</f>
        <v/>
      </c>
      <c r="F146" s="18">
        <f>IF(ISBLANK(B146),"",ROUNDUP(SQRT(B146)*E146,0))</f>
        <v/>
      </c>
      <c r="G146" s="15">
        <f>IF(ISBLANK(B146),"",ROUNDUP(B146*E146,0))</f>
        <v/>
      </c>
      <c r="H146" s="12">
        <f>IF(ISBLANK(G146),"",IF(G146&gt;=20,"Critical",IF(G146&gt;=15,"High",IF(G146&gt;=8,"Medium","Low"))))</f>
        <v/>
      </c>
    </row>
    <row r="147">
      <c r="B147" s="18">
        <f>IFERROR(VLOOKUP(A147,Risk_Assessment!$B$2:$H$1000,7,FALSE),"")</f>
        <v/>
      </c>
      <c r="E147" s="19">
        <f>IF(C147="No",1,IF(D147="N/A",1,IF(D147="Low (10% reduction)",0.9,IF(D147="Medium (30% reduction)",0.7,IF(D147="High (50% reduction)",0.5,IF(D147="Very High (70% reduction)",0.3,1))))))</f>
        <v/>
      </c>
      <c r="F147" s="18">
        <f>IF(ISBLANK(B147),"",ROUNDUP(SQRT(B147)*E147,0))</f>
        <v/>
      </c>
      <c r="G147" s="15">
        <f>IF(ISBLANK(B147),"",ROUNDUP(B147*E147,0))</f>
        <v/>
      </c>
      <c r="H147" s="12">
        <f>IF(ISBLANK(G147),"",IF(G147&gt;=20,"Critical",IF(G147&gt;=15,"High",IF(G147&gt;=8,"Medium","Low"))))</f>
        <v/>
      </c>
    </row>
    <row r="148">
      <c r="B148" s="18">
        <f>IFERROR(VLOOKUP(A148,Risk_Assessment!$B$2:$H$1000,7,FALSE),"")</f>
        <v/>
      </c>
      <c r="E148" s="19">
        <f>IF(C148="No",1,IF(D148="N/A",1,IF(D148="Low (10% reduction)",0.9,IF(D148="Medium (30% reduction)",0.7,IF(D148="High (50% reduction)",0.5,IF(D148="Very High (70% reduction)",0.3,1))))))</f>
        <v/>
      </c>
      <c r="F148" s="18">
        <f>IF(ISBLANK(B148),"",ROUNDUP(SQRT(B148)*E148,0))</f>
        <v/>
      </c>
      <c r="G148" s="15">
        <f>IF(ISBLANK(B148),"",ROUNDUP(B148*E148,0))</f>
        <v/>
      </c>
      <c r="H148" s="12">
        <f>IF(ISBLANK(G148),"",IF(G148&gt;=20,"Critical",IF(G148&gt;=15,"High",IF(G148&gt;=8,"Medium","Low"))))</f>
        <v/>
      </c>
    </row>
    <row r="149">
      <c r="B149" s="18">
        <f>IFERROR(VLOOKUP(A149,Risk_Assessment!$B$2:$H$1000,7,FALSE),"")</f>
        <v/>
      </c>
      <c r="E149" s="19">
        <f>IF(C149="No",1,IF(D149="N/A",1,IF(D149="Low (10% reduction)",0.9,IF(D149="Medium (30% reduction)",0.7,IF(D149="High (50% reduction)",0.5,IF(D149="Very High (70% reduction)",0.3,1))))))</f>
        <v/>
      </c>
      <c r="F149" s="18">
        <f>IF(ISBLANK(B149),"",ROUNDUP(SQRT(B149)*E149,0))</f>
        <v/>
      </c>
      <c r="G149" s="15">
        <f>IF(ISBLANK(B149),"",ROUNDUP(B149*E149,0))</f>
        <v/>
      </c>
      <c r="H149" s="12">
        <f>IF(ISBLANK(G149),"",IF(G149&gt;=20,"Critical",IF(G149&gt;=15,"High",IF(G149&gt;=8,"Medium","Low"))))</f>
        <v/>
      </c>
    </row>
    <row r="150">
      <c r="B150" s="18">
        <f>IFERROR(VLOOKUP(A150,Risk_Assessment!$B$2:$H$1000,7,FALSE),"")</f>
        <v/>
      </c>
      <c r="E150" s="19">
        <f>IF(C150="No",1,IF(D150="N/A",1,IF(D150="Low (10% reduction)",0.9,IF(D150="Medium (30% reduction)",0.7,IF(D150="High (50% reduction)",0.5,IF(D150="Very High (70% reduction)",0.3,1))))))</f>
        <v/>
      </c>
      <c r="F150" s="18">
        <f>IF(ISBLANK(B150),"",ROUNDUP(SQRT(B150)*E150,0))</f>
        <v/>
      </c>
      <c r="G150" s="15">
        <f>IF(ISBLANK(B150),"",ROUNDUP(B150*E150,0))</f>
        <v/>
      </c>
      <c r="H150" s="12">
        <f>IF(ISBLANK(G150),"",IF(G150&gt;=20,"Critical",IF(G150&gt;=15,"High",IF(G150&gt;=8,"Medium","Low"))))</f>
        <v/>
      </c>
    </row>
    <row r="151">
      <c r="B151" s="18">
        <f>IFERROR(VLOOKUP(A151,Risk_Assessment!$B$2:$H$1000,7,FALSE),"")</f>
        <v/>
      </c>
      <c r="E151" s="19">
        <f>IF(C151="No",1,IF(D151="N/A",1,IF(D151="Low (10% reduction)",0.9,IF(D151="Medium (30% reduction)",0.7,IF(D151="High (50% reduction)",0.5,IF(D151="Very High (70% reduction)",0.3,1))))))</f>
        <v/>
      </c>
      <c r="F151" s="18">
        <f>IF(ISBLANK(B151),"",ROUNDUP(SQRT(B151)*E151,0))</f>
        <v/>
      </c>
      <c r="G151" s="15">
        <f>IF(ISBLANK(B151),"",ROUNDUP(B151*E151,0))</f>
        <v/>
      </c>
      <c r="H151" s="12">
        <f>IF(ISBLANK(G151),"",IF(G151&gt;=20,"Critical",IF(G151&gt;=15,"High",IF(G151&gt;=8,"Medium","Low"))))</f>
        <v/>
      </c>
    </row>
    <row r="152">
      <c r="B152" s="18">
        <f>IFERROR(VLOOKUP(A152,Risk_Assessment!$B$2:$H$1000,7,FALSE),"")</f>
        <v/>
      </c>
      <c r="E152" s="19">
        <f>IF(C152="No",1,IF(D152="N/A",1,IF(D152="Low (10% reduction)",0.9,IF(D152="Medium (30% reduction)",0.7,IF(D152="High (50% reduction)",0.5,IF(D152="Very High (70% reduction)",0.3,1))))))</f>
        <v/>
      </c>
      <c r="F152" s="18">
        <f>IF(ISBLANK(B152),"",ROUNDUP(SQRT(B152)*E152,0))</f>
        <v/>
      </c>
      <c r="G152" s="15">
        <f>IF(ISBLANK(B152),"",ROUNDUP(B152*E152,0))</f>
        <v/>
      </c>
      <c r="H152" s="12">
        <f>IF(ISBLANK(G152),"",IF(G152&gt;=20,"Critical",IF(G152&gt;=15,"High",IF(G152&gt;=8,"Medium","Low"))))</f>
        <v/>
      </c>
    </row>
    <row r="153">
      <c r="B153" s="18">
        <f>IFERROR(VLOOKUP(A153,Risk_Assessment!$B$2:$H$1000,7,FALSE),"")</f>
        <v/>
      </c>
      <c r="E153" s="19">
        <f>IF(C153="No",1,IF(D153="N/A",1,IF(D153="Low (10% reduction)",0.9,IF(D153="Medium (30% reduction)",0.7,IF(D153="High (50% reduction)",0.5,IF(D153="Very High (70% reduction)",0.3,1))))))</f>
        <v/>
      </c>
      <c r="F153" s="18">
        <f>IF(ISBLANK(B153),"",ROUNDUP(SQRT(B153)*E153,0))</f>
        <v/>
      </c>
      <c r="G153" s="15">
        <f>IF(ISBLANK(B153),"",ROUNDUP(B153*E153,0))</f>
        <v/>
      </c>
      <c r="H153" s="12">
        <f>IF(ISBLANK(G153),"",IF(G153&gt;=20,"Critical",IF(G153&gt;=15,"High",IF(G153&gt;=8,"Medium","Low"))))</f>
        <v/>
      </c>
    </row>
    <row r="154">
      <c r="B154" s="18">
        <f>IFERROR(VLOOKUP(A154,Risk_Assessment!$B$2:$H$1000,7,FALSE),"")</f>
        <v/>
      </c>
      <c r="E154" s="19">
        <f>IF(C154="No",1,IF(D154="N/A",1,IF(D154="Low (10% reduction)",0.9,IF(D154="Medium (30% reduction)",0.7,IF(D154="High (50% reduction)",0.5,IF(D154="Very High (70% reduction)",0.3,1))))))</f>
        <v/>
      </c>
      <c r="F154" s="18">
        <f>IF(ISBLANK(B154),"",ROUNDUP(SQRT(B154)*E154,0))</f>
        <v/>
      </c>
      <c r="G154" s="15">
        <f>IF(ISBLANK(B154),"",ROUNDUP(B154*E154,0))</f>
        <v/>
      </c>
      <c r="H154" s="12">
        <f>IF(ISBLANK(G154),"",IF(G154&gt;=20,"Critical",IF(G154&gt;=15,"High",IF(G154&gt;=8,"Medium","Low"))))</f>
        <v/>
      </c>
    </row>
    <row r="155">
      <c r="B155" s="18">
        <f>IFERROR(VLOOKUP(A155,Risk_Assessment!$B$2:$H$1000,7,FALSE),"")</f>
        <v/>
      </c>
      <c r="E155" s="19">
        <f>IF(C155="No",1,IF(D155="N/A",1,IF(D155="Low (10% reduction)",0.9,IF(D155="Medium (30% reduction)",0.7,IF(D155="High (50% reduction)",0.5,IF(D155="Very High (70% reduction)",0.3,1))))))</f>
        <v/>
      </c>
      <c r="F155" s="18">
        <f>IF(ISBLANK(B155),"",ROUNDUP(SQRT(B155)*E155,0))</f>
        <v/>
      </c>
      <c r="G155" s="15">
        <f>IF(ISBLANK(B155),"",ROUNDUP(B155*E155,0))</f>
        <v/>
      </c>
      <c r="H155" s="12">
        <f>IF(ISBLANK(G155),"",IF(G155&gt;=20,"Critical",IF(G155&gt;=15,"High",IF(G155&gt;=8,"Medium","Low"))))</f>
        <v/>
      </c>
    </row>
    <row r="156">
      <c r="B156" s="18">
        <f>IFERROR(VLOOKUP(A156,Risk_Assessment!$B$2:$H$1000,7,FALSE),"")</f>
        <v/>
      </c>
      <c r="E156" s="19">
        <f>IF(C156="No",1,IF(D156="N/A",1,IF(D156="Low (10% reduction)",0.9,IF(D156="Medium (30% reduction)",0.7,IF(D156="High (50% reduction)",0.5,IF(D156="Very High (70% reduction)",0.3,1))))))</f>
        <v/>
      </c>
      <c r="F156" s="18">
        <f>IF(ISBLANK(B156),"",ROUNDUP(SQRT(B156)*E156,0))</f>
        <v/>
      </c>
      <c r="G156" s="15">
        <f>IF(ISBLANK(B156),"",ROUNDUP(B156*E156,0))</f>
        <v/>
      </c>
      <c r="H156" s="12">
        <f>IF(ISBLANK(G156),"",IF(G156&gt;=20,"Critical",IF(G156&gt;=15,"High",IF(G156&gt;=8,"Medium","Low"))))</f>
        <v/>
      </c>
    </row>
    <row r="157">
      <c r="B157" s="18">
        <f>IFERROR(VLOOKUP(A157,Risk_Assessment!$B$2:$H$1000,7,FALSE),"")</f>
        <v/>
      </c>
      <c r="E157" s="19">
        <f>IF(C157="No",1,IF(D157="N/A",1,IF(D157="Low (10% reduction)",0.9,IF(D157="Medium (30% reduction)",0.7,IF(D157="High (50% reduction)",0.5,IF(D157="Very High (70% reduction)",0.3,1))))))</f>
        <v/>
      </c>
      <c r="F157" s="18">
        <f>IF(ISBLANK(B157),"",ROUNDUP(SQRT(B157)*E157,0))</f>
        <v/>
      </c>
      <c r="G157" s="15">
        <f>IF(ISBLANK(B157),"",ROUNDUP(B157*E157,0))</f>
        <v/>
      </c>
      <c r="H157" s="12">
        <f>IF(ISBLANK(G157),"",IF(G157&gt;=20,"Critical",IF(G157&gt;=15,"High",IF(G157&gt;=8,"Medium","Low"))))</f>
        <v/>
      </c>
    </row>
    <row r="158">
      <c r="B158" s="18">
        <f>IFERROR(VLOOKUP(A158,Risk_Assessment!$B$2:$H$1000,7,FALSE),"")</f>
        <v/>
      </c>
      <c r="E158" s="19">
        <f>IF(C158="No",1,IF(D158="N/A",1,IF(D158="Low (10% reduction)",0.9,IF(D158="Medium (30% reduction)",0.7,IF(D158="High (50% reduction)",0.5,IF(D158="Very High (70% reduction)",0.3,1))))))</f>
        <v/>
      </c>
      <c r="F158" s="18">
        <f>IF(ISBLANK(B158),"",ROUNDUP(SQRT(B158)*E158,0))</f>
        <v/>
      </c>
      <c r="G158" s="15">
        <f>IF(ISBLANK(B158),"",ROUNDUP(B158*E158,0))</f>
        <v/>
      </c>
      <c r="H158" s="12">
        <f>IF(ISBLANK(G158),"",IF(G158&gt;=20,"Critical",IF(G158&gt;=15,"High",IF(G158&gt;=8,"Medium","Low"))))</f>
        <v/>
      </c>
    </row>
    <row r="159">
      <c r="B159" s="18">
        <f>IFERROR(VLOOKUP(A159,Risk_Assessment!$B$2:$H$1000,7,FALSE),"")</f>
        <v/>
      </c>
      <c r="E159" s="19">
        <f>IF(C159="No",1,IF(D159="N/A",1,IF(D159="Low (10% reduction)",0.9,IF(D159="Medium (30% reduction)",0.7,IF(D159="High (50% reduction)",0.5,IF(D159="Very High (70% reduction)",0.3,1))))))</f>
        <v/>
      </c>
      <c r="F159" s="18">
        <f>IF(ISBLANK(B159),"",ROUNDUP(SQRT(B159)*E159,0))</f>
        <v/>
      </c>
      <c r="G159" s="15">
        <f>IF(ISBLANK(B159),"",ROUNDUP(B159*E159,0))</f>
        <v/>
      </c>
      <c r="H159" s="12">
        <f>IF(ISBLANK(G159),"",IF(G159&gt;=20,"Critical",IF(G159&gt;=15,"High",IF(G159&gt;=8,"Medium","Low"))))</f>
        <v/>
      </c>
    </row>
    <row r="160">
      <c r="B160" s="18">
        <f>IFERROR(VLOOKUP(A160,Risk_Assessment!$B$2:$H$1000,7,FALSE),"")</f>
        <v/>
      </c>
      <c r="E160" s="19">
        <f>IF(C160="No",1,IF(D160="N/A",1,IF(D160="Low (10% reduction)",0.9,IF(D160="Medium (30% reduction)",0.7,IF(D160="High (50% reduction)",0.5,IF(D160="Very High (70% reduction)",0.3,1))))))</f>
        <v/>
      </c>
      <c r="F160" s="18">
        <f>IF(ISBLANK(B160),"",ROUNDUP(SQRT(B160)*E160,0))</f>
        <v/>
      </c>
      <c r="G160" s="15">
        <f>IF(ISBLANK(B160),"",ROUNDUP(B160*E160,0))</f>
        <v/>
      </c>
      <c r="H160" s="12">
        <f>IF(ISBLANK(G160),"",IF(G160&gt;=20,"Critical",IF(G160&gt;=15,"High",IF(G160&gt;=8,"Medium","Low"))))</f>
        <v/>
      </c>
    </row>
    <row r="161">
      <c r="B161" s="18">
        <f>IFERROR(VLOOKUP(A161,Risk_Assessment!$B$2:$H$1000,7,FALSE),"")</f>
        <v/>
      </c>
      <c r="E161" s="19">
        <f>IF(C161="No",1,IF(D161="N/A",1,IF(D161="Low (10% reduction)",0.9,IF(D161="Medium (30% reduction)",0.7,IF(D161="High (50% reduction)",0.5,IF(D161="Very High (70% reduction)",0.3,1))))))</f>
        <v/>
      </c>
      <c r="F161" s="18">
        <f>IF(ISBLANK(B161),"",ROUNDUP(SQRT(B161)*E161,0))</f>
        <v/>
      </c>
      <c r="G161" s="15">
        <f>IF(ISBLANK(B161),"",ROUNDUP(B161*E161,0))</f>
        <v/>
      </c>
      <c r="H161" s="12">
        <f>IF(ISBLANK(G161),"",IF(G161&gt;=20,"Critical",IF(G161&gt;=15,"High",IF(G161&gt;=8,"Medium","Low"))))</f>
        <v/>
      </c>
    </row>
    <row r="162">
      <c r="B162" s="18">
        <f>IFERROR(VLOOKUP(A162,Risk_Assessment!$B$2:$H$1000,7,FALSE),"")</f>
        <v/>
      </c>
      <c r="E162" s="19">
        <f>IF(C162="No",1,IF(D162="N/A",1,IF(D162="Low (10% reduction)",0.9,IF(D162="Medium (30% reduction)",0.7,IF(D162="High (50% reduction)",0.5,IF(D162="Very High (70% reduction)",0.3,1))))))</f>
        <v/>
      </c>
      <c r="F162" s="18">
        <f>IF(ISBLANK(B162),"",ROUNDUP(SQRT(B162)*E162,0))</f>
        <v/>
      </c>
      <c r="G162" s="15">
        <f>IF(ISBLANK(B162),"",ROUNDUP(B162*E162,0))</f>
        <v/>
      </c>
      <c r="H162" s="12">
        <f>IF(ISBLANK(G162),"",IF(G162&gt;=20,"Critical",IF(G162&gt;=15,"High",IF(G162&gt;=8,"Medium","Low"))))</f>
        <v/>
      </c>
    </row>
    <row r="163">
      <c r="B163" s="18">
        <f>IFERROR(VLOOKUP(A163,Risk_Assessment!$B$2:$H$1000,7,FALSE),"")</f>
        <v/>
      </c>
      <c r="E163" s="19">
        <f>IF(C163="No",1,IF(D163="N/A",1,IF(D163="Low (10% reduction)",0.9,IF(D163="Medium (30% reduction)",0.7,IF(D163="High (50% reduction)",0.5,IF(D163="Very High (70% reduction)",0.3,1))))))</f>
        <v/>
      </c>
      <c r="F163" s="18">
        <f>IF(ISBLANK(B163),"",ROUNDUP(SQRT(B163)*E163,0))</f>
        <v/>
      </c>
      <c r="G163" s="15">
        <f>IF(ISBLANK(B163),"",ROUNDUP(B163*E163,0))</f>
        <v/>
      </c>
      <c r="H163" s="12">
        <f>IF(ISBLANK(G163),"",IF(G163&gt;=20,"Critical",IF(G163&gt;=15,"High",IF(G163&gt;=8,"Medium","Low"))))</f>
        <v/>
      </c>
    </row>
    <row r="164">
      <c r="B164" s="18">
        <f>IFERROR(VLOOKUP(A164,Risk_Assessment!$B$2:$H$1000,7,FALSE),"")</f>
        <v/>
      </c>
      <c r="E164" s="19">
        <f>IF(C164="No",1,IF(D164="N/A",1,IF(D164="Low (10% reduction)",0.9,IF(D164="Medium (30% reduction)",0.7,IF(D164="High (50% reduction)",0.5,IF(D164="Very High (70% reduction)",0.3,1))))))</f>
        <v/>
      </c>
      <c r="F164" s="18">
        <f>IF(ISBLANK(B164),"",ROUNDUP(SQRT(B164)*E164,0))</f>
        <v/>
      </c>
      <c r="G164" s="15">
        <f>IF(ISBLANK(B164),"",ROUNDUP(B164*E164,0))</f>
        <v/>
      </c>
      <c r="H164" s="12">
        <f>IF(ISBLANK(G164),"",IF(G164&gt;=20,"Critical",IF(G164&gt;=15,"High",IF(G164&gt;=8,"Medium","Low"))))</f>
        <v/>
      </c>
    </row>
    <row r="165">
      <c r="B165" s="18">
        <f>IFERROR(VLOOKUP(A165,Risk_Assessment!$B$2:$H$1000,7,FALSE),"")</f>
        <v/>
      </c>
      <c r="E165" s="19">
        <f>IF(C165="No",1,IF(D165="N/A",1,IF(D165="Low (10% reduction)",0.9,IF(D165="Medium (30% reduction)",0.7,IF(D165="High (50% reduction)",0.5,IF(D165="Very High (70% reduction)",0.3,1))))))</f>
        <v/>
      </c>
      <c r="F165" s="18">
        <f>IF(ISBLANK(B165),"",ROUNDUP(SQRT(B165)*E165,0))</f>
        <v/>
      </c>
      <c r="G165" s="15">
        <f>IF(ISBLANK(B165),"",ROUNDUP(B165*E165,0))</f>
        <v/>
      </c>
      <c r="H165" s="12">
        <f>IF(ISBLANK(G165),"",IF(G165&gt;=20,"Critical",IF(G165&gt;=15,"High",IF(G165&gt;=8,"Medium","Low"))))</f>
        <v/>
      </c>
    </row>
    <row r="166">
      <c r="B166" s="18">
        <f>IFERROR(VLOOKUP(A166,Risk_Assessment!$B$2:$H$1000,7,FALSE),"")</f>
        <v/>
      </c>
      <c r="E166" s="19">
        <f>IF(C166="No",1,IF(D166="N/A",1,IF(D166="Low (10% reduction)",0.9,IF(D166="Medium (30% reduction)",0.7,IF(D166="High (50% reduction)",0.5,IF(D166="Very High (70% reduction)",0.3,1))))))</f>
        <v/>
      </c>
      <c r="F166" s="18">
        <f>IF(ISBLANK(B166),"",ROUNDUP(SQRT(B166)*E166,0))</f>
        <v/>
      </c>
      <c r="G166" s="15">
        <f>IF(ISBLANK(B166),"",ROUNDUP(B166*E166,0))</f>
        <v/>
      </c>
      <c r="H166" s="12">
        <f>IF(ISBLANK(G166),"",IF(G166&gt;=20,"Critical",IF(G166&gt;=15,"High",IF(G166&gt;=8,"Medium","Low"))))</f>
        <v/>
      </c>
    </row>
    <row r="167">
      <c r="B167" s="18">
        <f>IFERROR(VLOOKUP(A167,Risk_Assessment!$B$2:$H$1000,7,FALSE),"")</f>
        <v/>
      </c>
      <c r="E167" s="19">
        <f>IF(C167="No",1,IF(D167="N/A",1,IF(D167="Low (10% reduction)",0.9,IF(D167="Medium (30% reduction)",0.7,IF(D167="High (50% reduction)",0.5,IF(D167="Very High (70% reduction)",0.3,1))))))</f>
        <v/>
      </c>
      <c r="F167" s="18">
        <f>IF(ISBLANK(B167),"",ROUNDUP(SQRT(B167)*E167,0))</f>
        <v/>
      </c>
      <c r="G167" s="15">
        <f>IF(ISBLANK(B167),"",ROUNDUP(B167*E167,0))</f>
        <v/>
      </c>
      <c r="H167" s="12">
        <f>IF(ISBLANK(G167),"",IF(G167&gt;=20,"Critical",IF(G167&gt;=15,"High",IF(G167&gt;=8,"Medium","Low"))))</f>
        <v/>
      </c>
    </row>
    <row r="168">
      <c r="B168" s="18">
        <f>IFERROR(VLOOKUP(A168,Risk_Assessment!$B$2:$H$1000,7,FALSE),"")</f>
        <v/>
      </c>
      <c r="E168" s="19">
        <f>IF(C168="No",1,IF(D168="N/A",1,IF(D168="Low (10% reduction)",0.9,IF(D168="Medium (30% reduction)",0.7,IF(D168="High (50% reduction)",0.5,IF(D168="Very High (70% reduction)",0.3,1))))))</f>
        <v/>
      </c>
      <c r="F168" s="18">
        <f>IF(ISBLANK(B168),"",ROUNDUP(SQRT(B168)*E168,0))</f>
        <v/>
      </c>
      <c r="G168" s="15">
        <f>IF(ISBLANK(B168),"",ROUNDUP(B168*E168,0))</f>
        <v/>
      </c>
      <c r="H168" s="12">
        <f>IF(ISBLANK(G168),"",IF(G168&gt;=20,"Critical",IF(G168&gt;=15,"High",IF(G168&gt;=8,"Medium","Low"))))</f>
        <v/>
      </c>
    </row>
    <row r="169">
      <c r="B169" s="18">
        <f>IFERROR(VLOOKUP(A169,Risk_Assessment!$B$2:$H$1000,7,FALSE),"")</f>
        <v/>
      </c>
      <c r="E169" s="19">
        <f>IF(C169="No",1,IF(D169="N/A",1,IF(D169="Low (10% reduction)",0.9,IF(D169="Medium (30% reduction)",0.7,IF(D169="High (50% reduction)",0.5,IF(D169="Very High (70% reduction)",0.3,1))))))</f>
        <v/>
      </c>
      <c r="F169" s="18">
        <f>IF(ISBLANK(B169),"",ROUNDUP(SQRT(B169)*E169,0))</f>
        <v/>
      </c>
      <c r="G169" s="15">
        <f>IF(ISBLANK(B169),"",ROUNDUP(B169*E169,0))</f>
        <v/>
      </c>
      <c r="H169" s="12">
        <f>IF(ISBLANK(G169),"",IF(G169&gt;=20,"Critical",IF(G169&gt;=15,"High",IF(G169&gt;=8,"Medium","Low"))))</f>
        <v/>
      </c>
    </row>
    <row r="170">
      <c r="B170" s="18">
        <f>IFERROR(VLOOKUP(A170,Risk_Assessment!$B$2:$H$1000,7,FALSE),"")</f>
        <v/>
      </c>
      <c r="E170" s="19">
        <f>IF(C170="No",1,IF(D170="N/A",1,IF(D170="Low (10% reduction)",0.9,IF(D170="Medium (30% reduction)",0.7,IF(D170="High (50% reduction)",0.5,IF(D170="Very High (70% reduction)",0.3,1))))))</f>
        <v/>
      </c>
      <c r="F170" s="18">
        <f>IF(ISBLANK(B170),"",ROUNDUP(SQRT(B170)*E170,0))</f>
        <v/>
      </c>
      <c r="G170" s="15">
        <f>IF(ISBLANK(B170),"",ROUNDUP(B170*E170,0))</f>
        <v/>
      </c>
      <c r="H170" s="12">
        <f>IF(ISBLANK(G170),"",IF(G170&gt;=20,"Critical",IF(G170&gt;=15,"High",IF(G170&gt;=8,"Medium","Low"))))</f>
        <v/>
      </c>
    </row>
    <row r="171">
      <c r="B171" s="18">
        <f>IFERROR(VLOOKUP(A171,Risk_Assessment!$B$2:$H$1000,7,FALSE),"")</f>
        <v/>
      </c>
      <c r="E171" s="19">
        <f>IF(C171="No",1,IF(D171="N/A",1,IF(D171="Low (10% reduction)",0.9,IF(D171="Medium (30% reduction)",0.7,IF(D171="High (50% reduction)",0.5,IF(D171="Very High (70% reduction)",0.3,1))))))</f>
        <v/>
      </c>
      <c r="F171" s="18">
        <f>IF(ISBLANK(B171),"",ROUNDUP(SQRT(B171)*E171,0))</f>
        <v/>
      </c>
      <c r="G171" s="15">
        <f>IF(ISBLANK(B171),"",ROUNDUP(B171*E171,0))</f>
        <v/>
      </c>
      <c r="H171" s="12">
        <f>IF(ISBLANK(G171),"",IF(G171&gt;=20,"Critical",IF(G171&gt;=15,"High",IF(G171&gt;=8,"Medium","Low"))))</f>
        <v/>
      </c>
    </row>
    <row r="172">
      <c r="B172" s="18">
        <f>IFERROR(VLOOKUP(A172,Risk_Assessment!$B$2:$H$1000,7,FALSE),"")</f>
        <v/>
      </c>
      <c r="E172" s="19">
        <f>IF(C172="No",1,IF(D172="N/A",1,IF(D172="Low (10% reduction)",0.9,IF(D172="Medium (30% reduction)",0.7,IF(D172="High (50% reduction)",0.5,IF(D172="Very High (70% reduction)",0.3,1))))))</f>
        <v/>
      </c>
      <c r="F172" s="18">
        <f>IF(ISBLANK(B172),"",ROUNDUP(SQRT(B172)*E172,0))</f>
        <v/>
      </c>
      <c r="G172" s="15">
        <f>IF(ISBLANK(B172),"",ROUNDUP(B172*E172,0))</f>
        <v/>
      </c>
      <c r="H172" s="12">
        <f>IF(ISBLANK(G172),"",IF(G172&gt;=20,"Critical",IF(G172&gt;=15,"High",IF(G172&gt;=8,"Medium","Low"))))</f>
        <v/>
      </c>
    </row>
    <row r="173">
      <c r="B173" s="18">
        <f>IFERROR(VLOOKUP(A173,Risk_Assessment!$B$2:$H$1000,7,FALSE),"")</f>
        <v/>
      </c>
      <c r="E173" s="19">
        <f>IF(C173="No",1,IF(D173="N/A",1,IF(D173="Low (10% reduction)",0.9,IF(D173="Medium (30% reduction)",0.7,IF(D173="High (50% reduction)",0.5,IF(D173="Very High (70% reduction)",0.3,1))))))</f>
        <v/>
      </c>
      <c r="F173" s="18">
        <f>IF(ISBLANK(B173),"",ROUNDUP(SQRT(B173)*E173,0))</f>
        <v/>
      </c>
      <c r="G173" s="15">
        <f>IF(ISBLANK(B173),"",ROUNDUP(B173*E173,0))</f>
        <v/>
      </c>
      <c r="H173" s="12">
        <f>IF(ISBLANK(G173),"",IF(G173&gt;=20,"Critical",IF(G173&gt;=15,"High",IF(G173&gt;=8,"Medium","Low"))))</f>
        <v/>
      </c>
    </row>
    <row r="174">
      <c r="B174" s="18">
        <f>IFERROR(VLOOKUP(A174,Risk_Assessment!$B$2:$H$1000,7,FALSE),"")</f>
        <v/>
      </c>
      <c r="E174" s="19">
        <f>IF(C174="No",1,IF(D174="N/A",1,IF(D174="Low (10% reduction)",0.9,IF(D174="Medium (30% reduction)",0.7,IF(D174="High (50% reduction)",0.5,IF(D174="Very High (70% reduction)",0.3,1))))))</f>
        <v/>
      </c>
      <c r="F174" s="18">
        <f>IF(ISBLANK(B174),"",ROUNDUP(SQRT(B174)*E174,0))</f>
        <v/>
      </c>
      <c r="G174" s="15">
        <f>IF(ISBLANK(B174),"",ROUNDUP(B174*E174,0))</f>
        <v/>
      </c>
      <c r="H174" s="12">
        <f>IF(ISBLANK(G174),"",IF(G174&gt;=20,"Critical",IF(G174&gt;=15,"High",IF(G174&gt;=8,"Medium","Low"))))</f>
        <v/>
      </c>
    </row>
    <row r="175">
      <c r="B175" s="18">
        <f>IFERROR(VLOOKUP(A175,Risk_Assessment!$B$2:$H$1000,7,FALSE),"")</f>
        <v/>
      </c>
      <c r="E175" s="19">
        <f>IF(C175="No",1,IF(D175="N/A",1,IF(D175="Low (10% reduction)",0.9,IF(D175="Medium (30% reduction)",0.7,IF(D175="High (50% reduction)",0.5,IF(D175="Very High (70% reduction)",0.3,1))))))</f>
        <v/>
      </c>
      <c r="F175" s="18">
        <f>IF(ISBLANK(B175),"",ROUNDUP(SQRT(B175)*E175,0))</f>
        <v/>
      </c>
      <c r="G175" s="15">
        <f>IF(ISBLANK(B175),"",ROUNDUP(B175*E175,0))</f>
        <v/>
      </c>
      <c r="H175" s="12">
        <f>IF(ISBLANK(G175),"",IF(G175&gt;=20,"Critical",IF(G175&gt;=15,"High",IF(G175&gt;=8,"Medium","Low"))))</f>
        <v/>
      </c>
    </row>
    <row r="176">
      <c r="B176" s="18">
        <f>IFERROR(VLOOKUP(A176,Risk_Assessment!$B$2:$H$1000,7,FALSE),"")</f>
        <v/>
      </c>
      <c r="E176" s="19">
        <f>IF(C176="No",1,IF(D176="N/A",1,IF(D176="Low (10% reduction)",0.9,IF(D176="Medium (30% reduction)",0.7,IF(D176="High (50% reduction)",0.5,IF(D176="Very High (70% reduction)",0.3,1))))))</f>
        <v/>
      </c>
      <c r="F176" s="18">
        <f>IF(ISBLANK(B176),"",ROUNDUP(SQRT(B176)*E176,0))</f>
        <v/>
      </c>
      <c r="G176" s="15">
        <f>IF(ISBLANK(B176),"",ROUNDUP(B176*E176,0))</f>
        <v/>
      </c>
      <c r="H176" s="12">
        <f>IF(ISBLANK(G176),"",IF(G176&gt;=20,"Critical",IF(G176&gt;=15,"High",IF(G176&gt;=8,"Medium","Low"))))</f>
        <v/>
      </c>
    </row>
    <row r="177">
      <c r="B177" s="18">
        <f>IFERROR(VLOOKUP(A177,Risk_Assessment!$B$2:$H$1000,7,FALSE),"")</f>
        <v/>
      </c>
      <c r="E177" s="19">
        <f>IF(C177="No",1,IF(D177="N/A",1,IF(D177="Low (10% reduction)",0.9,IF(D177="Medium (30% reduction)",0.7,IF(D177="High (50% reduction)",0.5,IF(D177="Very High (70% reduction)",0.3,1))))))</f>
        <v/>
      </c>
      <c r="F177" s="18">
        <f>IF(ISBLANK(B177),"",ROUNDUP(SQRT(B177)*E177,0))</f>
        <v/>
      </c>
      <c r="G177" s="15">
        <f>IF(ISBLANK(B177),"",ROUNDUP(B177*E177,0))</f>
        <v/>
      </c>
      <c r="H177" s="12">
        <f>IF(ISBLANK(G177),"",IF(G177&gt;=20,"Critical",IF(G177&gt;=15,"High",IF(G177&gt;=8,"Medium","Low"))))</f>
        <v/>
      </c>
    </row>
    <row r="178">
      <c r="B178" s="18">
        <f>IFERROR(VLOOKUP(A178,Risk_Assessment!$B$2:$H$1000,7,FALSE),"")</f>
        <v/>
      </c>
      <c r="E178" s="19">
        <f>IF(C178="No",1,IF(D178="N/A",1,IF(D178="Low (10% reduction)",0.9,IF(D178="Medium (30% reduction)",0.7,IF(D178="High (50% reduction)",0.5,IF(D178="Very High (70% reduction)",0.3,1))))))</f>
        <v/>
      </c>
      <c r="F178" s="18">
        <f>IF(ISBLANK(B178),"",ROUNDUP(SQRT(B178)*E178,0))</f>
        <v/>
      </c>
      <c r="G178" s="15">
        <f>IF(ISBLANK(B178),"",ROUNDUP(B178*E178,0))</f>
        <v/>
      </c>
      <c r="H178" s="12">
        <f>IF(ISBLANK(G178),"",IF(G178&gt;=20,"Critical",IF(G178&gt;=15,"High",IF(G178&gt;=8,"Medium","Low"))))</f>
        <v/>
      </c>
    </row>
    <row r="179">
      <c r="B179" s="18">
        <f>IFERROR(VLOOKUP(A179,Risk_Assessment!$B$2:$H$1000,7,FALSE),"")</f>
        <v/>
      </c>
      <c r="E179" s="19">
        <f>IF(C179="No",1,IF(D179="N/A",1,IF(D179="Low (10% reduction)",0.9,IF(D179="Medium (30% reduction)",0.7,IF(D179="High (50% reduction)",0.5,IF(D179="Very High (70% reduction)",0.3,1))))))</f>
        <v/>
      </c>
      <c r="F179" s="18">
        <f>IF(ISBLANK(B179),"",ROUNDUP(SQRT(B179)*E179,0))</f>
        <v/>
      </c>
      <c r="G179" s="15">
        <f>IF(ISBLANK(B179),"",ROUNDUP(B179*E179,0))</f>
        <v/>
      </c>
      <c r="H179" s="12">
        <f>IF(ISBLANK(G179),"",IF(G179&gt;=20,"Critical",IF(G179&gt;=15,"High",IF(G179&gt;=8,"Medium","Low"))))</f>
        <v/>
      </c>
    </row>
    <row r="180">
      <c r="B180" s="18">
        <f>IFERROR(VLOOKUP(A180,Risk_Assessment!$B$2:$H$1000,7,FALSE),"")</f>
        <v/>
      </c>
      <c r="E180" s="19">
        <f>IF(C180="No",1,IF(D180="N/A",1,IF(D180="Low (10% reduction)",0.9,IF(D180="Medium (30% reduction)",0.7,IF(D180="High (50% reduction)",0.5,IF(D180="Very High (70% reduction)",0.3,1))))))</f>
        <v/>
      </c>
      <c r="F180" s="18">
        <f>IF(ISBLANK(B180),"",ROUNDUP(SQRT(B180)*E180,0))</f>
        <v/>
      </c>
      <c r="G180" s="15">
        <f>IF(ISBLANK(B180),"",ROUNDUP(B180*E180,0))</f>
        <v/>
      </c>
      <c r="H180" s="12">
        <f>IF(ISBLANK(G180),"",IF(G180&gt;=20,"Critical",IF(G180&gt;=15,"High",IF(G180&gt;=8,"Medium","Low"))))</f>
        <v/>
      </c>
    </row>
    <row r="181">
      <c r="B181" s="18">
        <f>IFERROR(VLOOKUP(A181,Risk_Assessment!$B$2:$H$1000,7,FALSE),"")</f>
        <v/>
      </c>
      <c r="E181" s="19">
        <f>IF(C181="No",1,IF(D181="N/A",1,IF(D181="Low (10% reduction)",0.9,IF(D181="Medium (30% reduction)",0.7,IF(D181="High (50% reduction)",0.5,IF(D181="Very High (70% reduction)",0.3,1))))))</f>
        <v/>
      </c>
      <c r="F181" s="18">
        <f>IF(ISBLANK(B181),"",ROUNDUP(SQRT(B181)*E181,0))</f>
        <v/>
      </c>
      <c r="G181" s="15">
        <f>IF(ISBLANK(B181),"",ROUNDUP(B181*E181,0))</f>
        <v/>
      </c>
      <c r="H181" s="12">
        <f>IF(ISBLANK(G181),"",IF(G181&gt;=20,"Critical",IF(G181&gt;=15,"High",IF(G181&gt;=8,"Medium","Low"))))</f>
        <v/>
      </c>
    </row>
    <row r="182">
      <c r="B182" s="18">
        <f>IFERROR(VLOOKUP(A182,Risk_Assessment!$B$2:$H$1000,7,FALSE),"")</f>
        <v/>
      </c>
      <c r="E182" s="19">
        <f>IF(C182="No",1,IF(D182="N/A",1,IF(D182="Low (10% reduction)",0.9,IF(D182="Medium (30% reduction)",0.7,IF(D182="High (50% reduction)",0.5,IF(D182="Very High (70% reduction)",0.3,1))))))</f>
        <v/>
      </c>
      <c r="F182" s="18">
        <f>IF(ISBLANK(B182),"",ROUNDUP(SQRT(B182)*E182,0))</f>
        <v/>
      </c>
      <c r="G182" s="15">
        <f>IF(ISBLANK(B182),"",ROUNDUP(B182*E182,0))</f>
        <v/>
      </c>
      <c r="H182" s="12">
        <f>IF(ISBLANK(G182),"",IF(G182&gt;=20,"Critical",IF(G182&gt;=15,"High",IF(G182&gt;=8,"Medium","Low"))))</f>
        <v/>
      </c>
    </row>
    <row r="183">
      <c r="B183" s="18">
        <f>IFERROR(VLOOKUP(A183,Risk_Assessment!$B$2:$H$1000,7,FALSE),"")</f>
        <v/>
      </c>
      <c r="E183" s="19">
        <f>IF(C183="No",1,IF(D183="N/A",1,IF(D183="Low (10% reduction)",0.9,IF(D183="Medium (30% reduction)",0.7,IF(D183="High (50% reduction)",0.5,IF(D183="Very High (70% reduction)",0.3,1))))))</f>
        <v/>
      </c>
      <c r="F183" s="18">
        <f>IF(ISBLANK(B183),"",ROUNDUP(SQRT(B183)*E183,0))</f>
        <v/>
      </c>
      <c r="G183" s="15">
        <f>IF(ISBLANK(B183),"",ROUNDUP(B183*E183,0))</f>
        <v/>
      </c>
      <c r="H183" s="12">
        <f>IF(ISBLANK(G183),"",IF(G183&gt;=20,"Critical",IF(G183&gt;=15,"High",IF(G183&gt;=8,"Medium","Low"))))</f>
        <v/>
      </c>
    </row>
    <row r="184">
      <c r="B184" s="18">
        <f>IFERROR(VLOOKUP(A184,Risk_Assessment!$B$2:$H$1000,7,FALSE),"")</f>
        <v/>
      </c>
      <c r="E184" s="19">
        <f>IF(C184="No",1,IF(D184="N/A",1,IF(D184="Low (10% reduction)",0.9,IF(D184="Medium (30% reduction)",0.7,IF(D184="High (50% reduction)",0.5,IF(D184="Very High (70% reduction)",0.3,1))))))</f>
        <v/>
      </c>
      <c r="F184" s="18">
        <f>IF(ISBLANK(B184),"",ROUNDUP(SQRT(B184)*E184,0))</f>
        <v/>
      </c>
      <c r="G184" s="15">
        <f>IF(ISBLANK(B184),"",ROUNDUP(B184*E184,0))</f>
        <v/>
      </c>
      <c r="H184" s="12">
        <f>IF(ISBLANK(G184),"",IF(G184&gt;=20,"Critical",IF(G184&gt;=15,"High",IF(G184&gt;=8,"Medium","Low"))))</f>
        <v/>
      </c>
    </row>
    <row r="185">
      <c r="B185" s="18">
        <f>IFERROR(VLOOKUP(A185,Risk_Assessment!$B$2:$H$1000,7,FALSE),"")</f>
        <v/>
      </c>
      <c r="E185" s="19">
        <f>IF(C185="No",1,IF(D185="N/A",1,IF(D185="Low (10% reduction)",0.9,IF(D185="Medium (30% reduction)",0.7,IF(D185="High (50% reduction)",0.5,IF(D185="Very High (70% reduction)",0.3,1))))))</f>
        <v/>
      </c>
      <c r="F185" s="18">
        <f>IF(ISBLANK(B185),"",ROUNDUP(SQRT(B185)*E185,0))</f>
        <v/>
      </c>
      <c r="G185" s="15">
        <f>IF(ISBLANK(B185),"",ROUNDUP(B185*E185,0))</f>
        <v/>
      </c>
      <c r="H185" s="12">
        <f>IF(ISBLANK(G185),"",IF(G185&gt;=20,"Critical",IF(G185&gt;=15,"High",IF(G185&gt;=8,"Medium","Low"))))</f>
        <v/>
      </c>
    </row>
    <row r="186">
      <c r="B186" s="18">
        <f>IFERROR(VLOOKUP(A186,Risk_Assessment!$B$2:$H$1000,7,FALSE),"")</f>
        <v/>
      </c>
      <c r="E186" s="19">
        <f>IF(C186="No",1,IF(D186="N/A",1,IF(D186="Low (10% reduction)",0.9,IF(D186="Medium (30% reduction)",0.7,IF(D186="High (50% reduction)",0.5,IF(D186="Very High (70% reduction)",0.3,1))))))</f>
        <v/>
      </c>
      <c r="F186" s="18">
        <f>IF(ISBLANK(B186),"",ROUNDUP(SQRT(B186)*E186,0))</f>
        <v/>
      </c>
      <c r="G186" s="15">
        <f>IF(ISBLANK(B186),"",ROUNDUP(B186*E186,0))</f>
        <v/>
      </c>
      <c r="H186" s="12">
        <f>IF(ISBLANK(G186),"",IF(G186&gt;=20,"Critical",IF(G186&gt;=15,"High",IF(G186&gt;=8,"Medium","Low"))))</f>
        <v/>
      </c>
    </row>
    <row r="187">
      <c r="B187" s="18">
        <f>IFERROR(VLOOKUP(A187,Risk_Assessment!$B$2:$H$1000,7,FALSE),"")</f>
        <v/>
      </c>
      <c r="E187" s="19">
        <f>IF(C187="No",1,IF(D187="N/A",1,IF(D187="Low (10% reduction)",0.9,IF(D187="Medium (30% reduction)",0.7,IF(D187="High (50% reduction)",0.5,IF(D187="Very High (70% reduction)",0.3,1))))))</f>
        <v/>
      </c>
      <c r="F187" s="18">
        <f>IF(ISBLANK(B187),"",ROUNDUP(SQRT(B187)*E187,0))</f>
        <v/>
      </c>
      <c r="G187" s="15">
        <f>IF(ISBLANK(B187),"",ROUNDUP(B187*E187,0))</f>
        <v/>
      </c>
      <c r="H187" s="12">
        <f>IF(ISBLANK(G187),"",IF(G187&gt;=20,"Critical",IF(G187&gt;=15,"High",IF(G187&gt;=8,"Medium","Low"))))</f>
        <v/>
      </c>
    </row>
    <row r="188">
      <c r="B188" s="18">
        <f>IFERROR(VLOOKUP(A188,Risk_Assessment!$B$2:$H$1000,7,FALSE),"")</f>
        <v/>
      </c>
      <c r="E188" s="19">
        <f>IF(C188="No",1,IF(D188="N/A",1,IF(D188="Low (10% reduction)",0.9,IF(D188="Medium (30% reduction)",0.7,IF(D188="High (50% reduction)",0.5,IF(D188="Very High (70% reduction)",0.3,1))))))</f>
        <v/>
      </c>
      <c r="F188" s="18">
        <f>IF(ISBLANK(B188),"",ROUNDUP(SQRT(B188)*E188,0))</f>
        <v/>
      </c>
      <c r="G188" s="15">
        <f>IF(ISBLANK(B188),"",ROUNDUP(B188*E188,0))</f>
        <v/>
      </c>
      <c r="H188" s="12">
        <f>IF(ISBLANK(G188),"",IF(G188&gt;=20,"Critical",IF(G188&gt;=15,"High",IF(G188&gt;=8,"Medium","Low"))))</f>
        <v/>
      </c>
    </row>
    <row r="189">
      <c r="B189" s="18">
        <f>IFERROR(VLOOKUP(A189,Risk_Assessment!$B$2:$H$1000,7,FALSE),"")</f>
        <v/>
      </c>
      <c r="E189" s="19">
        <f>IF(C189="No",1,IF(D189="N/A",1,IF(D189="Low (10% reduction)",0.9,IF(D189="Medium (30% reduction)",0.7,IF(D189="High (50% reduction)",0.5,IF(D189="Very High (70% reduction)",0.3,1))))))</f>
        <v/>
      </c>
      <c r="F189" s="18">
        <f>IF(ISBLANK(B189),"",ROUNDUP(SQRT(B189)*E189,0))</f>
        <v/>
      </c>
      <c r="G189" s="15">
        <f>IF(ISBLANK(B189),"",ROUNDUP(B189*E189,0))</f>
        <v/>
      </c>
      <c r="H189" s="12">
        <f>IF(ISBLANK(G189),"",IF(G189&gt;=20,"Critical",IF(G189&gt;=15,"High",IF(G189&gt;=8,"Medium","Low"))))</f>
        <v/>
      </c>
    </row>
    <row r="190">
      <c r="B190" s="18">
        <f>IFERROR(VLOOKUP(A190,Risk_Assessment!$B$2:$H$1000,7,FALSE),"")</f>
        <v/>
      </c>
      <c r="E190" s="19">
        <f>IF(C190="No",1,IF(D190="N/A",1,IF(D190="Low (10% reduction)",0.9,IF(D190="Medium (30% reduction)",0.7,IF(D190="High (50% reduction)",0.5,IF(D190="Very High (70% reduction)",0.3,1))))))</f>
        <v/>
      </c>
      <c r="F190" s="18">
        <f>IF(ISBLANK(B190),"",ROUNDUP(SQRT(B190)*E190,0))</f>
        <v/>
      </c>
      <c r="G190" s="15">
        <f>IF(ISBLANK(B190),"",ROUNDUP(B190*E190,0))</f>
        <v/>
      </c>
      <c r="H190" s="12">
        <f>IF(ISBLANK(G190),"",IF(G190&gt;=20,"Critical",IF(G190&gt;=15,"High",IF(G190&gt;=8,"Medium","Low"))))</f>
        <v/>
      </c>
    </row>
    <row r="191">
      <c r="B191" s="18">
        <f>IFERROR(VLOOKUP(A191,Risk_Assessment!$B$2:$H$1000,7,FALSE),"")</f>
        <v/>
      </c>
      <c r="E191" s="19">
        <f>IF(C191="No",1,IF(D191="N/A",1,IF(D191="Low (10% reduction)",0.9,IF(D191="Medium (30% reduction)",0.7,IF(D191="High (50% reduction)",0.5,IF(D191="Very High (70% reduction)",0.3,1))))))</f>
        <v/>
      </c>
      <c r="F191" s="18">
        <f>IF(ISBLANK(B191),"",ROUNDUP(SQRT(B191)*E191,0))</f>
        <v/>
      </c>
      <c r="G191" s="15">
        <f>IF(ISBLANK(B191),"",ROUNDUP(B191*E191,0))</f>
        <v/>
      </c>
      <c r="H191" s="12">
        <f>IF(ISBLANK(G191),"",IF(G191&gt;=20,"Critical",IF(G191&gt;=15,"High",IF(G191&gt;=8,"Medium","Low"))))</f>
        <v/>
      </c>
    </row>
    <row r="192">
      <c r="B192" s="18">
        <f>IFERROR(VLOOKUP(A192,Risk_Assessment!$B$2:$H$1000,7,FALSE),"")</f>
        <v/>
      </c>
      <c r="E192" s="19">
        <f>IF(C192="No",1,IF(D192="N/A",1,IF(D192="Low (10% reduction)",0.9,IF(D192="Medium (30% reduction)",0.7,IF(D192="High (50% reduction)",0.5,IF(D192="Very High (70% reduction)",0.3,1))))))</f>
        <v/>
      </c>
      <c r="F192" s="18">
        <f>IF(ISBLANK(B192),"",ROUNDUP(SQRT(B192)*E192,0))</f>
        <v/>
      </c>
      <c r="G192" s="15">
        <f>IF(ISBLANK(B192),"",ROUNDUP(B192*E192,0))</f>
        <v/>
      </c>
      <c r="H192" s="12">
        <f>IF(ISBLANK(G192),"",IF(G192&gt;=20,"Critical",IF(G192&gt;=15,"High",IF(G192&gt;=8,"Medium","Low"))))</f>
        <v/>
      </c>
    </row>
    <row r="193">
      <c r="B193" s="18">
        <f>IFERROR(VLOOKUP(A193,Risk_Assessment!$B$2:$H$1000,7,FALSE),"")</f>
        <v/>
      </c>
      <c r="E193" s="19">
        <f>IF(C193="No",1,IF(D193="N/A",1,IF(D193="Low (10% reduction)",0.9,IF(D193="Medium (30% reduction)",0.7,IF(D193="High (50% reduction)",0.5,IF(D193="Very High (70% reduction)",0.3,1))))))</f>
        <v/>
      </c>
      <c r="F193" s="18">
        <f>IF(ISBLANK(B193),"",ROUNDUP(SQRT(B193)*E193,0))</f>
        <v/>
      </c>
      <c r="G193" s="15">
        <f>IF(ISBLANK(B193),"",ROUNDUP(B193*E193,0))</f>
        <v/>
      </c>
      <c r="H193" s="12">
        <f>IF(ISBLANK(G193),"",IF(G193&gt;=20,"Critical",IF(G193&gt;=15,"High",IF(G193&gt;=8,"Medium","Low"))))</f>
        <v/>
      </c>
    </row>
    <row r="194">
      <c r="B194" s="18">
        <f>IFERROR(VLOOKUP(A194,Risk_Assessment!$B$2:$H$1000,7,FALSE),"")</f>
        <v/>
      </c>
      <c r="E194" s="19">
        <f>IF(C194="No",1,IF(D194="N/A",1,IF(D194="Low (10% reduction)",0.9,IF(D194="Medium (30% reduction)",0.7,IF(D194="High (50% reduction)",0.5,IF(D194="Very High (70% reduction)",0.3,1))))))</f>
        <v/>
      </c>
      <c r="F194" s="18">
        <f>IF(ISBLANK(B194),"",ROUNDUP(SQRT(B194)*E194,0))</f>
        <v/>
      </c>
      <c r="G194" s="15">
        <f>IF(ISBLANK(B194),"",ROUNDUP(B194*E194,0))</f>
        <v/>
      </c>
      <c r="H194" s="12">
        <f>IF(ISBLANK(G194),"",IF(G194&gt;=20,"Critical",IF(G194&gt;=15,"High",IF(G194&gt;=8,"Medium","Low"))))</f>
        <v/>
      </c>
    </row>
    <row r="195">
      <c r="B195" s="18">
        <f>IFERROR(VLOOKUP(A195,Risk_Assessment!$B$2:$H$1000,7,FALSE),"")</f>
        <v/>
      </c>
      <c r="E195" s="19">
        <f>IF(C195="No",1,IF(D195="N/A",1,IF(D195="Low (10% reduction)",0.9,IF(D195="Medium (30% reduction)",0.7,IF(D195="High (50% reduction)",0.5,IF(D195="Very High (70% reduction)",0.3,1))))))</f>
        <v/>
      </c>
      <c r="F195" s="18">
        <f>IF(ISBLANK(B195),"",ROUNDUP(SQRT(B195)*E195,0))</f>
        <v/>
      </c>
      <c r="G195" s="15">
        <f>IF(ISBLANK(B195),"",ROUNDUP(B195*E195,0))</f>
        <v/>
      </c>
      <c r="H195" s="12">
        <f>IF(ISBLANK(G195),"",IF(G195&gt;=20,"Critical",IF(G195&gt;=15,"High",IF(G195&gt;=8,"Medium","Low"))))</f>
        <v/>
      </c>
    </row>
    <row r="196">
      <c r="B196" s="18">
        <f>IFERROR(VLOOKUP(A196,Risk_Assessment!$B$2:$H$1000,7,FALSE),"")</f>
        <v/>
      </c>
      <c r="E196" s="19">
        <f>IF(C196="No",1,IF(D196="N/A",1,IF(D196="Low (10% reduction)",0.9,IF(D196="Medium (30% reduction)",0.7,IF(D196="High (50% reduction)",0.5,IF(D196="Very High (70% reduction)",0.3,1))))))</f>
        <v/>
      </c>
      <c r="F196" s="18">
        <f>IF(ISBLANK(B196),"",ROUNDUP(SQRT(B196)*E196,0))</f>
        <v/>
      </c>
      <c r="G196" s="15">
        <f>IF(ISBLANK(B196),"",ROUNDUP(B196*E196,0))</f>
        <v/>
      </c>
      <c r="H196" s="12">
        <f>IF(ISBLANK(G196),"",IF(G196&gt;=20,"Critical",IF(G196&gt;=15,"High",IF(G196&gt;=8,"Medium","Low"))))</f>
        <v/>
      </c>
    </row>
    <row r="197">
      <c r="B197" s="18">
        <f>IFERROR(VLOOKUP(A197,Risk_Assessment!$B$2:$H$1000,7,FALSE),"")</f>
        <v/>
      </c>
      <c r="E197" s="19">
        <f>IF(C197="No",1,IF(D197="N/A",1,IF(D197="Low (10% reduction)",0.9,IF(D197="Medium (30% reduction)",0.7,IF(D197="High (50% reduction)",0.5,IF(D197="Very High (70% reduction)",0.3,1))))))</f>
        <v/>
      </c>
      <c r="F197" s="18">
        <f>IF(ISBLANK(B197),"",ROUNDUP(SQRT(B197)*E197,0))</f>
        <v/>
      </c>
      <c r="G197" s="15">
        <f>IF(ISBLANK(B197),"",ROUNDUP(B197*E197,0))</f>
        <v/>
      </c>
      <c r="H197" s="12">
        <f>IF(ISBLANK(G197),"",IF(G197&gt;=20,"Critical",IF(G197&gt;=15,"High",IF(G197&gt;=8,"Medium","Low"))))</f>
        <v/>
      </c>
    </row>
    <row r="198">
      <c r="B198" s="18">
        <f>IFERROR(VLOOKUP(A198,Risk_Assessment!$B$2:$H$1000,7,FALSE),"")</f>
        <v/>
      </c>
      <c r="E198" s="19">
        <f>IF(C198="No",1,IF(D198="N/A",1,IF(D198="Low (10% reduction)",0.9,IF(D198="Medium (30% reduction)",0.7,IF(D198="High (50% reduction)",0.5,IF(D198="Very High (70% reduction)",0.3,1))))))</f>
        <v/>
      </c>
      <c r="F198" s="18">
        <f>IF(ISBLANK(B198),"",ROUNDUP(SQRT(B198)*E198,0))</f>
        <v/>
      </c>
      <c r="G198" s="15">
        <f>IF(ISBLANK(B198),"",ROUNDUP(B198*E198,0))</f>
        <v/>
      </c>
      <c r="H198" s="12">
        <f>IF(ISBLANK(G198),"",IF(G198&gt;=20,"Critical",IF(G198&gt;=15,"High",IF(G198&gt;=8,"Medium","Low"))))</f>
        <v/>
      </c>
    </row>
    <row r="199">
      <c r="B199" s="18">
        <f>IFERROR(VLOOKUP(A199,Risk_Assessment!$B$2:$H$1000,7,FALSE),"")</f>
        <v/>
      </c>
      <c r="E199" s="19">
        <f>IF(C199="No",1,IF(D199="N/A",1,IF(D199="Low (10% reduction)",0.9,IF(D199="Medium (30% reduction)",0.7,IF(D199="High (50% reduction)",0.5,IF(D199="Very High (70% reduction)",0.3,1))))))</f>
        <v/>
      </c>
      <c r="F199" s="18">
        <f>IF(ISBLANK(B199),"",ROUNDUP(SQRT(B199)*E199,0))</f>
        <v/>
      </c>
      <c r="G199" s="15">
        <f>IF(ISBLANK(B199),"",ROUNDUP(B199*E199,0))</f>
        <v/>
      </c>
      <c r="H199" s="12">
        <f>IF(ISBLANK(G199),"",IF(G199&gt;=20,"Critical",IF(G199&gt;=15,"High",IF(G199&gt;=8,"Medium","Low"))))</f>
        <v/>
      </c>
    </row>
    <row r="200">
      <c r="B200" s="18">
        <f>IFERROR(VLOOKUP(A200,Risk_Assessment!$B$2:$H$1000,7,FALSE),"")</f>
        <v/>
      </c>
      <c r="E200" s="19">
        <f>IF(C200="No",1,IF(D200="N/A",1,IF(D200="Low (10% reduction)",0.9,IF(D200="Medium (30% reduction)",0.7,IF(D200="High (50% reduction)",0.5,IF(D200="Very High (70% reduction)",0.3,1))))))</f>
        <v/>
      </c>
      <c r="F200" s="18">
        <f>IF(ISBLANK(B200),"",ROUNDUP(SQRT(B200)*E200,0))</f>
        <v/>
      </c>
      <c r="G200" s="15">
        <f>IF(ISBLANK(B200),"",ROUNDUP(B200*E200,0))</f>
        <v/>
      </c>
      <c r="H200" s="12">
        <f>IF(ISBLANK(G200),"",IF(G200&gt;=20,"Critical",IF(G200&gt;=15,"High",IF(G200&gt;=8,"Medium","Low"))))</f>
        <v/>
      </c>
    </row>
    <row r="201">
      <c r="B201" s="18">
        <f>IFERROR(VLOOKUP(A201,Risk_Assessment!$B$2:$H$1000,7,FALSE),"")</f>
        <v/>
      </c>
      <c r="E201" s="19">
        <f>IF(C201="No",1,IF(D201="N/A",1,IF(D201="Low (10% reduction)",0.9,IF(D201="Medium (30% reduction)",0.7,IF(D201="High (50% reduction)",0.5,IF(D201="Very High (70% reduction)",0.3,1))))))</f>
        <v/>
      </c>
      <c r="F201" s="18">
        <f>IF(ISBLANK(B201),"",ROUNDUP(SQRT(B201)*E201,0))</f>
        <v/>
      </c>
      <c r="G201" s="15">
        <f>IF(ISBLANK(B201),"",ROUNDUP(B201*E201,0))</f>
        <v/>
      </c>
      <c r="H201" s="12">
        <f>IF(ISBLANK(G201),"",IF(G201&gt;=20,"Critical",IF(G201&gt;=15,"High",IF(G201&gt;=8,"Medium","Low"))))</f>
        <v/>
      </c>
    </row>
    <row r="202">
      <c r="B202" s="18">
        <f>IFERROR(VLOOKUP(A202,Risk_Assessment!$B$2:$H$1000,7,FALSE),"")</f>
        <v/>
      </c>
      <c r="E202" s="19">
        <f>IF(C202="No",1,IF(D202="N/A",1,IF(D202="Low (10% reduction)",0.9,IF(D202="Medium (30% reduction)",0.7,IF(D202="High (50% reduction)",0.5,IF(D202="Very High (70% reduction)",0.3,1))))))</f>
        <v/>
      </c>
      <c r="F202" s="18">
        <f>IF(ISBLANK(B202),"",ROUNDUP(SQRT(B202)*E202,0))</f>
        <v/>
      </c>
      <c r="G202" s="15">
        <f>IF(ISBLANK(B202),"",ROUNDUP(B202*E202,0))</f>
        <v/>
      </c>
      <c r="H202" s="12">
        <f>IF(ISBLANK(G202),"",IF(G202&gt;=20,"Critical",IF(G202&gt;=15,"High",IF(G202&gt;=8,"Medium","Low"))))</f>
        <v/>
      </c>
    </row>
    <row r="203">
      <c r="B203" s="18">
        <f>IFERROR(VLOOKUP(A203,Risk_Assessment!$B$2:$H$1000,7,FALSE),"")</f>
        <v/>
      </c>
      <c r="E203" s="19">
        <f>IF(C203="No",1,IF(D203="N/A",1,IF(D203="Low (10% reduction)",0.9,IF(D203="Medium (30% reduction)",0.7,IF(D203="High (50% reduction)",0.5,IF(D203="Very High (70% reduction)",0.3,1))))))</f>
        <v/>
      </c>
      <c r="F203" s="18">
        <f>IF(ISBLANK(B203),"",ROUNDUP(SQRT(B203)*E203,0))</f>
        <v/>
      </c>
      <c r="G203" s="15">
        <f>IF(ISBLANK(B203),"",ROUNDUP(B203*E203,0))</f>
        <v/>
      </c>
      <c r="H203" s="12">
        <f>IF(ISBLANK(G203),"",IF(G203&gt;=20,"Critical",IF(G203&gt;=15,"High",IF(G203&gt;=8,"Medium","Low"))))</f>
        <v/>
      </c>
    </row>
    <row r="204">
      <c r="B204" s="18">
        <f>IFERROR(VLOOKUP(A204,Risk_Assessment!$B$2:$H$1000,7,FALSE),"")</f>
        <v/>
      </c>
      <c r="E204" s="19">
        <f>IF(C204="No",1,IF(D204="N/A",1,IF(D204="Low (10% reduction)",0.9,IF(D204="Medium (30% reduction)",0.7,IF(D204="High (50% reduction)",0.5,IF(D204="Very High (70% reduction)",0.3,1))))))</f>
        <v/>
      </c>
      <c r="F204" s="18">
        <f>IF(ISBLANK(B204),"",ROUNDUP(SQRT(B204)*E204,0))</f>
        <v/>
      </c>
      <c r="G204" s="15">
        <f>IF(ISBLANK(B204),"",ROUNDUP(B204*E204,0))</f>
        <v/>
      </c>
      <c r="H204" s="12">
        <f>IF(ISBLANK(G204),"",IF(G204&gt;=20,"Critical",IF(G204&gt;=15,"High",IF(G204&gt;=8,"Medium","Low"))))</f>
        <v/>
      </c>
    </row>
    <row r="205">
      <c r="B205" s="18">
        <f>IFERROR(VLOOKUP(A205,Risk_Assessment!$B$2:$H$1000,7,FALSE),"")</f>
        <v/>
      </c>
      <c r="E205" s="19">
        <f>IF(C205="No",1,IF(D205="N/A",1,IF(D205="Low (10% reduction)",0.9,IF(D205="Medium (30% reduction)",0.7,IF(D205="High (50% reduction)",0.5,IF(D205="Very High (70% reduction)",0.3,1))))))</f>
        <v/>
      </c>
      <c r="F205" s="18">
        <f>IF(ISBLANK(B205),"",ROUNDUP(SQRT(B205)*E205,0))</f>
        <v/>
      </c>
      <c r="G205" s="15">
        <f>IF(ISBLANK(B205),"",ROUNDUP(B205*E205,0))</f>
        <v/>
      </c>
      <c r="H205" s="12">
        <f>IF(ISBLANK(G205),"",IF(G205&gt;=20,"Critical",IF(G205&gt;=15,"High",IF(G205&gt;=8,"Medium","Low"))))</f>
        <v/>
      </c>
    </row>
    <row r="206">
      <c r="B206" s="18">
        <f>IFERROR(VLOOKUP(A206,Risk_Assessment!$B$2:$H$1000,7,FALSE),"")</f>
        <v/>
      </c>
      <c r="E206" s="19">
        <f>IF(C206="No",1,IF(D206="N/A",1,IF(D206="Low (10% reduction)",0.9,IF(D206="Medium (30% reduction)",0.7,IF(D206="High (50% reduction)",0.5,IF(D206="Very High (70% reduction)",0.3,1))))))</f>
        <v/>
      </c>
      <c r="F206" s="18">
        <f>IF(ISBLANK(B206),"",ROUNDUP(SQRT(B206)*E206,0))</f>
        <v/>
      </c>
      <c r="G206" s="15">
        <f>IF(ISBLANK(B206),"",ROUNDUP(B206*E206,0))</f>
        <v/>
      </c>
      <c r="H206" s="12">
        <f>IF(ISBLANK(G206),"",IF(G206&gt;=20,"Critical",IF(G206&gt;=15,"High",IF(G206&gt;=8,"Medium","Low"))))</f>
        <v/>
      </c>
    </row>
    <row r="207">
      <c r="B207" s="18">
        <f>IFERROR(VLOOKUP(A207,Risk_Assessment!$B$2:$H$1000,7,FALSE),"")</f>
        <v/>
      </c>
      <c r="E207" s="19">
        <f>IF(C207="No",1,IF(D207="N/A",1,IF(D207="Low (10% reduction)",0.9,IF(D207="Medium (30% reduction)",0.7,IF(D207="High (50% reduction)",0.5,IF(D207="Very High (70% reduction)",0.3,1))))))</f>
        <v/>
      </c>
      <c r="F207" s="18">
        <f>IF(ISBLANK(B207),"",ROUNDUP(SQRT(B207)*E207,0))</f>
        <v/>
      </c>
      <c r="G207" s="15">
        <f>IF(ISBLANK(B207),"",ROUNDUP(B207*E207,0))</f>
        <v/>
      </c>
      <c r="H207" s="12">
        <f>IF(ISBLANK(G207),"",IF(G207&gt;=20,"Critical",IF(G207&gt;=15,"High",IF(G207&gt;=8,"Medium","Low"))))</f>
        <v/>
      </c>
    </row>
    <row r="208">
      <c r="B208" s="18">
        <f>IFERROR(VLOOKUP(A208,Risk_Assessment!$B$2:$H$1000,7,FALSE),"")</f>
        <v/>
      </c>
      <c r="E208" s="19">
        <f>IF(C208="No",1,IF(D208="N/A",1,IF(D208="Low (10% reduction)",0.9,IF(D208="Medium (30% reduction)",0.7,IF(D208="High (50% reduction)",0.5,IF(D208="Very High (70% reduction)",0.3,1))))))</f>
        <v/>
      </c>
      <c r="F208" s="18">
        <f>IF(ISBLANK(B208),"",ROUNDUP(SQRT(B208)*E208,0))</f>
        <v/>
      </c>
      <c r="G208" s="15">
        <f>IF(ISBLANK(B208),"",ROUNDUP(B208*E208,0))</f>
        <v/>
      </c>
      <c r="H208" s="12">
        <f>IF(ISBLANK(G208),"",IF(G208&gt;=20,"Critical",IF(G208&gt;=15,"High",IF(G208&gt;=8,"Medium","Low"))))</f>
        <v/>
      </c>
    </row>
    <row r="209">
      <c r="B209" s="18">
        <f>IFERROR(VLOOKUP(A209,Risk_Assessment!$B$2:$H$1000,7,FALSE),"")</f>
        <v/>
      </c>
      <c r="E209" s="19">
        <f>IF(C209="No",1,IF(D209="N/A",1,IF(D209="Low (10% reduction)",0.9,IF(D209="Medium (30% reduction)",0.7,IF(D209="High (50% reduction)",0.5,IF(D209="Very High (70% reduction)",0.3,1))))))</f>
        <v/>
      </c>
      <c r="F209" s="18">
        <f>IF(ISBLANK(B209),"",ROUNDUP(SQRT(B209)*E209,0))</f>
        <v/>
      </c>
      <c r="G209" s="15">
        <f>IF(ISBLANK(B209),"",ROUNDUP(B209*E209,0))</f>
        <v/>
      </c>
      <c r="H209" s="12">
        <f>IF(ISBLANK(G209),"",IF(G209&gt;=20,"Critical",IF(G209&gt;=15,"High",IF(G209&gt;=8,"Medium","Low"))))</f>
        <v/>
      </c>
    </row>
    <row r="210">
      <c r="B210" s="18">
        <f>IFERROR(VLOOKUP(A210,Risk_Assessment!$B$2:$H$1000,7,FALSE),"")</f>
        <v/>
      </c>
      <c r="E210" s="19">
        <f>IF(C210="No",1,IF(D210="N/A",1,IF(D210="Low (10% reduction)",0.9,IF(D210="Medium (30% reduction)",0.7,IF(D210="High (50% reduction)",0.5,IF(D210="Very High (70% reduction)",0.3,1))))))</f>
        <v/>
      </c>
      <c r="F210" s="18">
        <f>IF(ISBLANK(B210),"",ROUNDUP(SQRT(B210)*E210,0))</f>
        <v/>
      </c>
      <c r="G210" s="15">
        <f>IF(ISBLANK(B210),"",ROUNDUP(B210*E210,0))</f>
        <v/>
      </c>
      <c r="H210" s="12">
        <f>IF(ISBLANK(G210),"",IF(G210&gt;=20,"Critical",IF(G210&gt;=15,"High",IF(G210&gt;=8,"Medium","Low"))))</f>
        <v/>
      </c>
    </row>
    <row r="211">
      <c r="B211" s="18">
        <f>IFERROR(VLOOKUP(A211,Risk_Assessment!$B$2:$H$1000,7,FALSE),"")</f>
        <v/>
      </c>
      <c r="E211" s="19">
        <f>IF(C211="No",1,IF(D211="N/A",1,IF(D211="Low (10% reduction)",0.9,IF(D211="Medium (30% reduction)",0.7,IF(D211="High (50% reduction)",0.5,IF(D211="Very High (70% reduction)",0.3,1))))))</f>
        <v/>
      </c>
      <c r="F211" s="18">
        <f>IF(ISBLANK(B211),"",ROUNDUP(SQRT(B211)*E211,0))</f>
        <v/>
      </c>
      <c r="G211" s="15">
        <f>IF(ISBLANK(B211),"",ROUNDUP(B211*E211,0))</f>
        <v/>
      </c>
      <c r="H211" s="12">
        <f>IF(ISBLANK(G211),"",IF(G211&gt;=20,"Critical",IF(G211&gt;=15,"High",IF(G211&gt;=8,"Medium","Low"))))</f>
        <v/>
      </c>
    </row>
    <row r="212">
      <c r="B212" s="18">
        <f>IFERROR(VLOOKUP(A212,Risk_Assessment!$B$2:$H$1000,7,FALSE),"")</f>
        <v/>
      </c>
      <c r="E212" s="19">
        <f>IF(C212="No",1,IF(D212="N/A",1,IF(D212="Low (10% reduction)",0.9,IF(D212="Medium (30% reduction)",0.7,IF(D212="High (50% reduction)",0.5,IF(D212="Very High (70% reduction)",0.3,1))))))</f>
        <v/>
      </c>
      <c r="F212" s="18">
        <f>IF(ISBLANK(B212),"",ROUNDUP(SQRT(B212)*E212,0))</f>
        <v/>
      </c>
      <c r="G212" s="15">
        <f>IF(ISBLANK(B212),"",ROUNDUP(B212*E212,0))</f>
        <v/>
      </c>
      <c r="H212" s="12">
        <f>IF(ISBLANK(G212),"",IF(G212&gt;=20,"Critical",IF(G212&gt;=15,"High",IF(G212&gt;=8,"Medium","Low"))))</f>
        <v/>
      </c>
    </row>
    <row r="213">
      <c r="B213" s="18">
        <f>IFERROR(VLOOKUP(A213,Risk_Assessment!$B$2:$H$1000,7,FALSE),"")</f>
        <v/>
      </c>
      <c r="E213" s="19">
        <f>IF(C213="No",1,IF(D213="N/A",1,IF(D213="Low (10% reduction)",0.9,IF(D213="Medium (30% reduction)",0.7,IF(D213="High (50% reduction)",0.5,IF(D213="Very High (70% reduction)",0.3,1))))))</f>
        <v/>
      </c>
      <c r="F213" s="18">
        <f>IF(ISBLANK(B213),"",ROUNDUP(SQRT(B213)*E213,0))</f>
        <v/>
      </c>
      <c r="G213" s="15">
        <f>IF(ISBLANK(B213),"",ROUNDUP(B213*E213,0))</f>
        <v/>
      </c>
      <c r="H213" s="12">
        <f>IF(ISBLANK(G213),"",IF(G213&gt;=20,"Critical",IF(G213&gt;=15,"High",IF(G213&gt;=8,"Medium","Low"))))</f>
        <v/>
      </c>
    </row>
    <row r="214">
      <c r="B214" s="18">
        <f>IFERROR(VLOOKUP(A214,Risk_Assessment!$B$2:$H$1000,7,FALSE),"")</f>
        <v/>
      </c>
      <c r="E214" s="19">
        <f>IF(C214="No",1,IF(D214="N/A",1,IF(D214="Low (10% reduction)",0.9,IF(D214="Medium (30% reduction)",0.7,IF(D214="High (50% reduction)",0.5,IF(D214="Very High (70% reduction)",0.3,1))))))</f>
        <v/>
      </c>
      <c r="F214" s="18">
        <f>IF(ISBLANK(B214),"",ROUNDUP(SQRT(B214)*E214,0))</f>
        <v/>
      </c>
      <c r="G214" s="15">
        <f>IF(ISBLANK(B214),"",ROUNDUP(B214*E214,0))</f>
        <v/>
      </c>
      <c r="H214" s="12">
        <f>IF(ISBLANK(G214),"",IF(G214&gt;=20,"Critical",IF(G214&gt;=15,"High",IF(G214&gt;=8,"Medium","Low"))))</f>
        <v/>
      </c>
    </row>
    <row r="215">
      <c r="B215" s="18">
        <f>IFERROR(VLOOKUP(A215,Risk_Assessment!$B$2:$H$1000,7,FALSE),"")</f>
        <v/>
      </c>
      <c r="E215" s="19">
        <f>IF(C215="No",1,IF(D215="N/A",1,IF(D215="Low (10% reduction)",0.9,IF(D215="Medium (30% reduction)",0.7,IF(D215="High (50% reduction)",0.5,IF(D215="Very High (70% reduction)",0.3,1))))))</f>
        <v/>
      </c>
      <c r="F215" s="18">
        <f>IF(ISBLANK(B215),"",ROUNDUP(SQRT(B215)*E215,0))</f>
        <v/>
      </c>
      <c r="G215" s="15">
        <f>IF(ISBLANK(B215),"",ROUNDUP(B215*E215,0))</f>
        <v/>
      </c>
      <c r="H215" s="12">
        <f>IF(ISBLANK(G215),"",IF(G215&gt;=20,"Critical",IF(G215&gt;=15,"High",IF(G215&gt;=8,"Medium","Low"))))</f>
        <v/>
      </c>
    </row>
    <row r="216">
      <c r="B216" s="18">
        <f>IFERROR(VLOOKUP(A216,Risk_Assessment!$B$2:$H$1000,7,FALSE),"")</f>
        <v/>
      </c>
      <c r="E216" s="19">
        <f>IF(C216="No",1,IF(D216="N/A",1,IF(D216="Low (10% reduction)",0.9,IF(D216="Medium (30% reduction)",0.7,IF(D216="High (50% reduction)",0.5,IF(D216="Very High (70% reduction)",0.3,1))))))</f>
        <v/>
      </c>
      <c r="F216" s="18">
        <f>IF(ISBLANK(B216),"",ROUNDUP(SQRT(B216)*E216,0))</f>
        <v/>
      </c>
      <c r="G216" s="15">
        <f>IF(ISBLANK(B216),"",ROUNDUP(B216*E216,0))</f>
        <v/>
      </c>
      <c r="H216" s="12">
        <f>IF(ISBLANK(G216),"",IF(G216&gt;=20,"Critical",IF(G216&gt;=15,"High",IF(G216&gt;=8,"Medium","Low"))))</f>
        <v/>
      </c>
    </row>
    <row r="217">
      <c r="B217" s="18">
        <f>IFERROR(VLOOKUP(A217,Risk_Assessment!$B$2:$H$1000,7,FALSE),"")</f>
        <v/>
      </c>
      <c r="E217" s="19">
        <f>IF(C217="No",1,IF(D217="N/A",1,IF(D217="Low (10% reduction)",0.9,IF(D217="Medium (30% reduction)",0.7,IF(D217="High (50% reduction)",0.5,IF(D217="Very High (70% reduction)",0.3,1))))))</f>
        <v/>
      </c>
      <c r="F217" s="18">
        <f>IF(ISBLANK(B217),"",ROUNDUP(SQRT(B217)*E217,0))</f>
        <v/>
      </c>
      <c r="G217" s="15">
        <f>IF(ISBLANK(B217),"",ROUNDUP(B217*E217,0))</f>
        <v/>
      </c>
      <c r="H217" s="12">
        <f>IF(ISBLANK(G217),"",IF(G217&gt;=20,"Critical",IF(G217&gt;=15,"High",IF(G217&gt;=8,"Medium","Low"))))</f>
        <v/>
      </c>
    </row>
    <row r="218">
      <c r="B218" s="18">
        <f>IFERROR(VLOOKUP(A218,Risk_Assessment!$B$2:$H$1000,7,FALSE),"")</f>
        <v/>
      </c>
      <c r="E218" s="19">
        <f>IF(C218="No",1,IF(D218="N/A",1,IF(D218="Low (10% reduction)",0.9,IF(D218="Medium (30% reduction)",0.7,IF(D218="High (50% reduction)",0.5,IF(D218="Very High (70% reduction)",0.3,1))))))</f>
        <v/>
      </c>
      <c r="F218" s="18">
        <f>IF(ISBLANK(B218),"",ROUNDUP(SQRT(B218)*E218,0))</f>
        <v/>
      </c>
      <c r="G218" s="15">
        <f>IF(ISBLANK(B218),"",ROUNDUP(B218*E218,0))</f>
        <v/>
      </c>
      <c r="H218" s="12">
        <f>IF(ISBLANK(G218),"",IF(G218&gt;=20,"Critical",IF(G218&gt;=15,"High",IF(G218&gt;=8,"Medium","Low"))))</f>
        <v/>
      </c>
    </row>
    <row r="219">
      <c r="B219" s="18">
        <f>IFERROR(VLOOKUP(A219,Risk_Assessment!$B$2:$H$1000,7,FALSE),"")</f>
        <v/>
      </c>
      <c r="E219" s="19">
        <f>IF(C219="No",1,IF(D219="N/A",1,IF(D219="Low (10% reduction)",0.9,IF(D219="Medium (30% reduction)",0.7,IF(D219="High (50% reduction)",0.5,IF(D219="Very High (70% reduction)",0.3,1))))))</f>
        <v/>
      </c>
      <c r="F219" s="18">
        <f>IF(ISBLANK(B219),"",ROUNDUP(SQRT(B219)*E219,0))</f>
        <v/>
      </c>
      <c r="G219" s="15">
        <f>IF(ISBLANK(B219),"",ROUNDUP(B219*E219,0))</f>
        <v/>
      </c>
      <c r="H219" s="12">
        <f>IF(ISBLANK(G219),"",IF(G219&gt;=20,"Critical",IF(G219&gt;=15,"High",IF(G219&gt;=8,"Medium","Low"))))</f>
        <v/>
      </c>
    </row>
    <row r="220">
      <c r="B220" s="18">
        <f>IFERROR(VLOOKUP(A220,Risk_Assessment!$B$2:$H$1000,7,FALSE),"")</f>
        <v/>
      </c>
      <c r="E220" s="19">
        <f>IF(C220="No",1,IF(D220="N/A",1,IF(D220="Low (10% reduction)",0.9,IF(D220="Medium (30% reduction)",0.7,IF(D220="High (50% reduction)",0.5,IF(D220="Very High (70% reduction)",0.3,1))))))</f>
        <v/>
      </c>
      <c r="F220" s="18">
        <f>IF(ISBLANK(B220),"",ROUNDUP(SQRT(B220)*E220,0))</f>
        <v/>
      </c>
      <c r="G220" s="15">
        <f>IF(ISBLANK(B220),"",ROUNDUP(B220*E220,0))</f>
        <v/>
      </c>
      <c r="H220" s="12">
        <f>IF(ISBLANK(G220),"",IF(G220&gt;=20,"Critical",IF(G220&gt;=15,"High",IF(G220&gt;=8,"Medium","Low"))))</f>
        <v/>
      </c>
    </row>
    <row r="221">
      <c r="B221" s="18">
        <f>IFERROR(VLOOKUP(A221,Risk_Assessment!$B$2:$H$1000,7,FALSE),"")</f>
        <v/>
      </c>
      <c r="E221" s="19">
        <f>IF(C221="No",1,IF(D221="N/A",1,IF(D221="Low (10% reduction)",0.9,IF(D221="Medium (30% reduction)",0.7,IF(D221="High (50% reduction)",0.5,IF(D221="Very High (70% reduction)",0.3,1))))))</f>
        <v/>
      </c>
      <c r="F221" s="18">
        <f>IF(ISBLANK(B221),"",ROUNDUP(SQRT(B221)*E221,0))</f>
        <v/>
      </c>
      <c r="G221" s="15">
        <f>IF(ISBLANK(B221),"",ROUNDUP(B221*E221,0))</f>
        <v/>
      </c>
      <c r="H221" s="12">
        <f>IF(ISBLANK(G221),"",IF(G221&gt;=20,"Critical",IF(G221&gt;=15,"High",IF(G221&gt;=8,"Medium","Low"))))</f>
        <v/>
      </c>
    </row>
    <row r="222">
      <c r="B222" s="18">
        <f>IFERROR(VLOOKUP(A222,Risk_Assessment!$B$2:$H$1000,7,FALSE),"")</f>
        <v/>
      </c>
      <c r="E222" s="19">
        <f>IF(C222="No",1,IF(D222="N/A",1,IF(D222="Low (10% reduction)",0.9,IF(D222="Medium (30% reduction)",0.7,IF(D222="High (50% reduction)",0.5,IF(D222="Very High (70% reduction)",0.3,1))))))</f>
        <v/>
      </c>
      <c r="F222" s="18">
        <f>IF(ISBLANK(B222),"",ROUNDUP(SQRT(B222)*E222,0))</f>
        <v/>
      </c>
      <c r="G222" s="15">
        <f>IF(ISBLANK(B222),"",ROUNDUP(B222*E222,0))</f>
        <v/>
      </c>
      <c r="H222" s="12">
        <f>IF(ISBLANK(G222),"",IF(G222&gt;=20,"Critical",IF(G222&gt;=15,"High",IF(G222&gt;=8,"Medium","Low"))))</f>
        <v/>
      </c>
    </row>
    <row r="223">
      <c r="B223" s="18">
        <f>IFERROR(VLOOKUP(A223,Risk_Assessment!$B$2:$H$1000,7,FALSE),"")</f>
        <v/>
      </c>
      <c r="E223" s="19">
        <f>IF(C223="No",1,IF(D223="N/A",1,IF(D223="Low (10% reduction)",0.9,IF(D223="Medium (30% reduction)",0.7,IF(D223="High (50% reduction)",0.5,IF(D223="Very High (70% reduction)",0.3,1))))))</f>
        <v/>
      </c>
      <c r="F223" s="18">
        <f>IF(ISBLANK(B223),"",ROUNDUP(SQRT(B223)*E223,0))</f>
        <v/>
      </c>
      <c r="G223" s="15">
        <f>IF(ISBLANK(B223),"",ROUNDUP(B223*E223,0))</f>
        <v/>
      </c>
      <c r="H223" s="12">
        <f>IF(ISBLANK(G223),"",IF(G223&gt;=20,"Critical",IF(G223&gt;=15,"High",IF(G223&gt;=8,"Medium","Low"))))</f>
        <v/>
      </c>
    </row>
    <row r="224">
      <c r="B224" s="18">
        <f>IFERROR(VLOOKUP(A224,Risk_Assessment!$B$2:$H$1000,7,FALSE),"")</f>
        <v/>
      </c>
      <c r="E224" s="19">
        <f>IF(C224="No",1,IF(D224="N/A",1,IF(D224="Low (10% reduction)",0.9,IF(D224="Medium (30% reduction)",0.7,IF(D224="High (50% reduction)",0.5,IF(D224="Very High (70% reduction)",0.3,1))))))</f>
        <v/>
      </c>
      <c r="F224" s="18">
        <f>IF(ISBLANK(B224),"",ROUNDUP(SQRT(B224)*E224,0))</f>
        <v/>
      </c>
      <c r="G224" s="15">
        <f>IF(ISBLANK(B224),"",ROUNDUP(B224*E224,0))</f>
        <v/>
      </c>
      <c r="H224" s="12">
        <f>IF(ISBLANK(G224),"",IF(G224&gt;=20,"Critical",IF(G224&gt;=15,"High",IF(G224&gt;=8,"Medium","Low"))))</f>
        <v/>
      </c>
    </row>
    <row r="225">
      <c r="B225" s="18">
        <f>IFERROR(VLOOKUP(A225,Risk_Assessment!$B$2:$H$1000,7,FALSE),"")</f>
        <v/>
      </c>
      <c r="E225" s="19">
        <f>IF(C225="No",1,IF(D225="N/A",1,IF(D225="Low (10% reduction)",0.9,IF(D225="Medium (30% reduction)",0.7,IF(D225="High (50% reduction)",0.5,IF(D225="Very High (70% reduction)",0.3,1))))))</f>
        <v/>
      </c>
      <c r="F225" s="18">
        <f>IF(ISBLANK(B225),"",ROUNDUP(SQRT(B225)*E225,0))</f>
        <v/>
      </c>
      <c r="G225" s="15">
        <f>IF(ISBLANK(B225),"",ROUNDUP(B225*E225,0))</f>
        <v/>
      </c>
      <c r="H225" s="12">
        <f>IF(ISBLANK(G225),"",IF(G225&gt;=20,"Critical",IF(G225&gt;=15,"High",IF(G225&gt;=8,"Medium","Low"))))</f>
        <v/>
      </c>
    </row>
    <row r="226">
      <c r="B226" s="18">
        <f>IFERROR(VLOOKUP(A226,Risk_Assessment!$B$2:$H$1000,7,FALSE),"")</f>
        <v/>
      </c>
      <c r="E226" s="19">
        <f>IF(C226="No",1,IF(D226="N/A",1,IF(D226="Low (10% reduction)",0.9,IF(D226="Medium (30% reduction)",0.7,IF(D226="High (50% reduction)",0.5,IF(D226="Very High (70% reduction)",0.3,1))))))</f>
        <v/>
      </c>
      <c r="F226" s="18">
        <f>IF(ISBLANK(B226),"",ROUNDUP(SQRT(B226)*E226,0))</f>
        <v/>
      </c>
      <c r="G226" s="15">
        <f>IF(ISBLANK(B226),"",ROUNDUP(B226*E226,0))</f>
        <v/>
      </c>
      <c r="H226" s="12">
        <f>IF(ISBLANK(G226),"",IF(G226&gt;=20,"Critical",IF(G226&gt;=15,"High",IF(G226&gt;=8,"Medium","Low"))))</f>
        <v/>
      </c>
    </row>
    <row r="227">
      <c r="B227" s="18">
        <f>IFERROR(VLOOKUP(A227,Risk_Assessment!$B$2:$H$1000,7,FALSE),"")</f>
        <v/>
      </c>
      <c r="E227" s="19">
        <f>IF(C227="No",1,IF(D227="N/A",1,IF(D227="Low (10% reduction)",0.9,IF(D227="Medium (30% reduction)",0.7,IF(D227="High (50% reduction)",0.5,IF(D227="Very High (70% reduction)",0.3,1))))))</f>
        <v/>
      </c>
      <c r="F227" s="18">
        <f>IF(ISBLANK(B227),"",ROUNDUP(SQRT(B227)*E227,0))</f>
        <v/>
      </c>
      <c r="G227" s="15">
        <f>IF(ISBLANK(B227),"",ROUNDUP(B227*E227,0))</f>
        <v/>
      </c>
      <c r="H227" s="12">
        <f>IF(ISBLANK(G227),"",IF(G227&gt;=20,"Critical",IF(G227&gt;=15,"High",IF(G227&gt;=8,"Medium","Low"))))</f>
        <v/>
      </c>
    </row>
    <row r="228">
      <c r="B228" s="18">
        <f>IFERROR(VLOOKUP(A228,Risk_Assessment!$B$2:$H$1000,7,FALSE),"")</f>
        <v/>
      </c>
      <c r="E228" s="19">
        <f>IF(C228="No",1,IF(D228="N/A",1,IF(D228="Low (10% reduction)",0.9,IF(D228="Medium (30% reduction)",0.7,IF(D228="High (50% reduction)",0.5,IF(D228="Very High (70% reduction)",0.3,1))))))</f>
        <v/>
      </c>
      <c r="F228" s="18">
        <f>IF(ISBLANK(B228),"",ROUNDUP(SQRT(B228)*E228,0))</f>
        <v/>
      </c>
      <c r="G228" s="15">
        <f>IF(ISBLANK(B228),"",ROUNDUP(B228*E228,0))</f>
        <v/>
      </c>
      <c r="H228" s="12">
        <f>IF(ISBLANK(G228),"",IF(G228&gt;=20,"Critical",IF(G228&gt;=15,"High",IF(G228&gt;=8,"Medium","Low"))))</f>
        <v/>
      </c>
    </row>
    <row r="229">
      <c r="B229" s="18">
        <f>IFERROR(VLOOKUP(A229,Risk_Assessment!$B$2:$H$1000,7,FALSE),"")</f>
        <v/>
      </c>
      <c r="E229" s="19">
        <f>IF(C229="No",1,IF(D229="N/A",1,IF(D229="Low (10% reduction)",0.9,IF(D229="Medium (30% reduction)",0.7,IF(D229="High (50% reduction)",0.5,IF(D229="Very High (70% reduction)",0.3,1))))))</f>
        <v/>
      </c>
      <c r="F229" s="18">
        <f>IF(ISBLANK(B229),"",ROUNDUP(SQRT(B229)*E229,0))</f>
        <v/>
      </c>
      <c r="G229" s="15">
        <f>IF(ISBLANK(B229),"",ROUNDUP(B229*E229,0))</f>
        <v/>
      </c>
      <c r="H229" s="12">
        <f>IF(ISBLANK(G229),"",IF(G229&gt;=20,"Critical",IF(G229&gt;=15,"High",IF(G229&gt;=8,"Medium","Low"))))</f>
        <v/>
      </c>
    </row>
    <row r="230">
      <c r="B230" s="18">
        <f>IFERROR(VLOOKUP(A230,Risk_Assessment!$B$2:$H$1000,7,FALSE),"")</f>
        <v/>
      </c>
      <c r="E230" s="19">
        <f>IF(C230="No",1,IF(D230="N/A",1,IF(D230="Low (10% reduction)",0.9,IF(D230="Medium (30% reduction)",0.7,IF(D230="High (50% reduction)",0.5,IF(D230="Very High (70% reduction)",0.3,1))))))</f>
        <v/>
      </c>
      <c r="F230" s="18">
        <f>IF(ISBLANK(B230),"",ROUNDUP(SQRT(B230)*E230,0))</f>
        <v/>
      </c>
      <c r="G230" s="15">
        <f>IF(ISBLANK(B230),"",ROUNDUP(B230*E230,0))</f>
        <v/>
      </c>
      <c r="H230" s="12">
        <f>IF(ISBLANK(G230),"",IF(G230&gt;=20,"Critical",IF(G230&gt;=15,"High",IF(G230&gt;=8,"Medium","Low"))))</f>
        <v/>
      </c>
    </row>
    <row r="231">
      <c r="B231" s="18">
        <f>IFERROR(VLOOKUP(A231,Risk_Assessment!$B$2:$H$1000,7,FALSE),"")</f>
        <v/>
      </c>
      <c r="E231" s="19">
        <f>IF(C231="No",1,IF(D231="N/A",1,IF(D231="Low (10% reduction)",0.9,IF(D231="Medium (30% reduction)",0.7,IF(D231="High (50% reduction)",0.5,IF(D231="Very High (70% reduction)",0.3,1))))))</f>
        <v/>
      </c>
      <c r="F231" s="18">
        <f>IF(ISBLANK(B231),"",ROUNDUP(SQRT(B231)*E231,0))</f>
        <v/>
      </c>
      <c r="G231" s="15">
        <f>IF(ISBLANK(B231),"",ROUNDUP(B231*E231,0))</f>
        <v/>
      </c>
      <c r="H231" s="12">
        <f>IF(ISBLANK(G231),"",IF(G231&gt;=20,"Critical",IF(G231&gt;=15,"High",IF(G231&gt;=8,"Medium","Low"))))</f>
        <v/>
      </c>
    </row>
    <row r="232">
      <c r="B232" s="18">
        <f>IFERROR(VLOOKUP(A232,Risk_Assessment!$B$2:$H$1000,7,FALSE),"")</f>
        <v/>
      </c>
      <c r="E232" s="19">
        <f>IF(C232="No",1,IF(D232="N/A",1,IF(D232="Low (10% reduction)",0.9,IF(D232="Medium (30% reduction)",0.7,IF(D232="High (50% reduction)",0.5,IF(D232="Very High (70% reduction)",0.3,1))))))</f>
        <v/>
      </c>
      <c r="F232" s="18">
        <f>IF(ISBLANK(B232),"",ROUNDUP(SQRT(B232)*E232,0))</f>
        <v/>
      </c>
      <c r="G232" s="15">
        <f>IF(ISBLANK(B232),"",ROUNDUP(B232*E232,0))</f>
        <v/>
      </c>
      <c r="H232" s="12">
        <f>IF(ISBLANK(G232),"",IF(G232&gt;=20,"Critical",IF(G232&gt;=15,"High",IF(G232&gt;=8,"Medium","Low"))))</f>
        <v/>
      </c>
    </row>
    <row r="233">
      <c r="B233" s="18">
        <f>IFERROR(VLOOKUP(A233,Risk_Assessment!$B$2:$H$1000,7,FALSE),"")</f>
        <v/>
      </c>
      <c r="E233" s="19">
        <f>IF(C233="No",1,IF(D233="N/A",1,IF(D233="Low (10% reduction)",0.9,IF(D233="Medium (30% reduction)",0.7,IF(D233="High (50% reduction)",0.5,IF(D233="Very High (70% reduction)",0.3,1))))))</f>
        <v/>
      </c>
      <c r="F233" s="18">
        <f>IF(ISBLANK(B233),"",ROUNDUP(SQRT(B233)*E233,0))</f>
        <v/>
      </c>
      <c r="G233" s="15">
        <f>IF(ISBLANK(B233),"",ROUNDUP(B233*E233,0))</f>
        <v/>
      </c>
      <c r="H233" s="12">
        <f>IF(ISBLANK(G233),"",IF(G233&gt;=20,"Critical",IF(G233&gt;=15,"High",IF(G233&gt;=8,"Medium","Low"))))</f>
        <v/>
      </c>
    </row>
    <row r="234">
      <c r="B234" s="18">
        <f>IFERROR(VLOOKUP(A234,Risk_Assessment!$B$2:$H$1000,7,FALSE),"")</f>
        <v/>
      </c>
      <c r="E234" s="19">
        <f>IF(C234="No",1,IF(D234="N/A",1,IF(D234="Low (10% reduction)",0.9,IF(D234="Medium (30% reduction)",0.7,IF(D234="High (50% reduction)",0.5,IF(D234="Very High (70% reduction)",0.3,1))))))</f>
        <v/>
      </c>
      <c r="F234" s="18">
        <f>IF(ISBLANK(B234),"",ROUNDUP(SQRT(B234)*E234,0))</f>
        <v/>
      </c>
      <c r="G234" s="15">
        <f>IF(ISBLANK(B234),"",ROUNDUP(B234*E234,0))</f>
        <v/>
      </c>
      <c r="H234" s="12">
        <f>IF(ISBLANK(G234),"",IF(G234&gt;=20,"Critical",IF(G234&gt;=15,"High",IF(G234&gt;=8,"Medium","Low"))))</f>
        <v/>
      </c>
    </row>
    <row r="235">
      <c r="B235" s="18">
        <f>IFERROR(VLOOKUP(A235,Risk_Assessment!$B$2:$H$1000,7,FALSE),"")</f>
        <v/>
      </c>
      <c r="E235" s="19">
        <f>IF(C235="No",1,IF(D235="N/A",1,IF(D235="Low (10% reduction)",0.9,IF(D235="Medium (30% reduction)",0.7,IF(D235="High (50% reduction)",0.5,IF(D235="Very High (70% reduction)",0.3,1))))))</f>
        <v/>
      </c>
      <c r="F235" s="18">
        <f>IF(ISBLANK(B235),"",ROUNDUP(SQRT(B235)*E235,0))</f>
        <v/>
      </c>
      <c r="G235" s="15">
        <f>IF(ISBLANK(B235),"",ROUNDUP(B235*E235,0))</f>
        <v/>
      </c>
      <c r="H235" s="12">
        <f>IF(ISBLANK(G235),"",IF(G235&gt;=20,"Critical",IF(G235&gt;=15,"High",IF(G235&gt;=8,"Medium","Low"))))</f>
        <v/>
      </c>
    </row>
    <row r="236">
      <c r="B236" s="18">
        <f>IFERROR(VLOOKUP(A236,Risk_Assessment!$B$2:$H$1000,7,FALSE),"")</f>
        <v/>
      </c>
      <c r="E236" s="19">
        <f>IF(C236="No",1,IF(D236="N/A",1,IF(D236="Low (10% reduction)",0.9,IF(D236="Medium (30% reduction)",0.7,IF(D236="High (50% reduction)",0.5,IF(D236="Very High (70% reduction)",0.3,1))))))</f>
        <v/>
      </c>
      <c r="F236" s="18">
        <f>IF(ISBLANK(B236),"",ROUNDUP(SQRT(B236)*E236,0))</f>
        <v/>
      </c>
      <c r="G236" s="15">
        <f>IF(ISBLANK(B236),"",ROUNDUP(B236*E236,0))</f>
        <v/>
      </c>
      <c r="H236" s="12">
        <f>IF(ISBLANK(G236),"",IF(G236&gt;=20,"Critical",IF(G236&gt;=15,"High",IF(G236&gt;=8,"Medium","Low"))))</f>
        <v/>
      </c>
    </row>
    <row r="237">
      <c r="B237" s="18">
        <f>IFERROR(VLOOKUP(A237,Risk_Assessment!$B$2:$H$1000,7,FALSE),"")</f>
        <v/>
      </c>
      <c r="E237" s="19">
        <f>IF(C237="No",1,IF(D237="N/A",1,IF(D237="Low (10% reduction)",0.9,IF(D237="Medium (30% reduction)",0.7,IF(D237="High (50% reduction)",0.5,IF(D237="Very High (70% reduction)",0.3,1))))))</f>
        <v/>
      </c>
      <c r="F237" s="18">
        <f>IF(ISBLANK(B237),"",ROUNDUP(SQRT(B237)*E237,0))</f>
        <v/>
      </c>
      <c r="G237" s="15">
        <f>IF(ISBLANK(B237),"",ROUNDUP(B237*E237,0))</f>
        <v/>
      </c>
      <c r="H237" s="12">
        <f>IF(ISBLANK(G237),"",IF(G237&gt;=20,"Critical",IF(G237&gt;=15,"High",IF(G237&gt;=8,"Medium","Low"))))</f>
        <v/>
      </c>
    </row>
    <row r="238">
      <c r="B238" s="18">
        <f>IFERROR(VLOOKUP(A238,Risk_Assessment!$B$2:$H$1000,7,FALSE),"")</f>
        <v/>
      </c>
      <c r="E238" s="19">
        <f>IF(C238="No",1,IF(D238="N/A",1,IF(D238="Low (10% reduction)",0.9,IF(D238="Medium (30% reduction)",0.7,IF(D238="High (50% reduction)",0.5,IF(D238="Very High (70% reduction)",0.3,1))))))</f>
        <v/>
      </c>
      <c r="F238" s="18">
        <f>IF(ISBLANK(B238),"",ROUNDUP(SQRT(B238)*E238,0))</f>
        <v/>
      </c>
      <c r="G238" s="15">
        <f>IF(ISBLANK(B238),"",ROUNDUP(B238*E238,0))</f>
        <v/>
      </c>
      <c r="H238" s="12">
        <f>IF(ISBLANK(G238),"",IF(G238&gt;=20,"Critical",IF(G238&gt;=15,"High",IF(G238&gt;=8,"Medium","Low"))))</f>
        <v/>
      </c>
    </row>
    <row r="239">
      <c r="B239" s="18">
        <f>IFERROR(VLOOKUP(A239,Risk_Assessment!$B$2:$H$1000,7,FALSE),"")</f>
        <v/>
      </c>
      <c r="E239" s="19">
        <f>IF(C239="No",1,IF(D239="N/A",1,IF(D239="Low (10% reduction)",0.9,IF(D239="Medium (30% reduction)",0.7,IF(D239="High (50% reduction)",0.5,IF(D239="Very High (70% reduction)",0.3,1))))))</f>
        <v/>
      </c>
      <c r="F239" s="18">
        <f>IF(ISBLANK(B239),"",ROUNDUP(SQRT(B239)*E239,0))</f>
        <v/>
      </c>
      <c r="G239" s="15">
        <f>IF(ISBLANK(B239),"",ROUNDUP(B239*E239,0))</f>
        <v/>
      </c>
      <c r="H239" s="12">
        <f>IF(ISBLANK(G239),"",IF(G239&gt;=20,"Critical",IF(G239&gt;=15,"High",IF(G239&gt;=8,"Medium","Low"))))</f>
        <v/>
      </c>
    </row>
    <row r="240">
      <c r="B240" s="18">
        <f>IFERROR(VLOOKUP(A240,Risk_Assessment!$B$2:$H$1000,7,FALSE),"")</f>
        <v/>
      </c>
      <c r="E240" s="19">
        <f>IF(C240="No",1,IF(D240="N/A",1,IF(D240="Low (10% reduction)",0.9,IF(D240="Medium (30% reduction)",0.7,IF(D240="High (50% reduction)",0.5,IF(D240="Very High (70% reduction)",0.3,1))))))</f>
        <v/>
      </c>
      <c r="F240" s="18">
        <f>IF(ISBLANK(B240),"",ROUNDUP(SQRT(B240)*E240,0))</f>
        <v/>
      </c>
      <c r="G240" s="15">
        <f>IF(ISBLANK(B240),"",ROUNDUP(B240*E240,0))</f>
        <v/>
      </c>
      <c r="H240" s="12">
        <f>IF(ISBLANK(G240),"",IF(G240&gt;=20,"Critical",IF(G240&gt;=15,"High",IF(G240&gt;=8,"Medium","Low"))))</f>
        <v/>
      </c>
    </row>
    <row r="241">
      <c r="B241" s="18">
        <f>IFERROR(VLOOKUP(A241,Risk_Assessment!$B$2:$H$1000,7,FALSE),"")</f>
        <v/>
      </c>
      <c r="E241" s="19">
        <f>IF(C241="No",1,IF(D241="N/A",1,IF(D241="Low (10% reduction)",0.9,IF(D241="Medium (30% reduction)",0.7,IF(D241="High (50% reduction)",0.5,IF(D241="Very High (70% reduction)",0.3,1))))))</f>
        <v/>
      </c>
      <c r="F241" s="18">
        <f>IF(ISBLANK(B241),"",ROUNDUP(SQRT(B241)*E241,0))</f>
        <v/>
      </c>
      <c r="G241" s="15">
        <f>IF(ISBLANK(B241),"",ROUNDUP(B241*E241,0))</f>
        <v/>
      </c>
      <c r="H241" s="12">
        <f>IF(ISBLANK(G241),"",IF(G241&gt;=20,"Critical",IF(G241&gt;=15,"High",IF(G241&gt;=8,"Medium","Low"))))</f>
        <v/>
      </c>
    </row>
    <row r="242">
      <c r="B242" s="18">
        <f>IFERROR(VLOOKUP(A242,Risk_Assessment!$B$2:$H$1000,7,FALSE),"")</f>
        <v/>
      </c>
      <c r="E242" s="19">
        <f>IF(C242="No",1,IF(D242="N/A",1,IF(D242="Low (10% reduction)",0.9,IF(D242="Medium (30% reduction)",0.7,IF(D242="High (50% reduction)",0.5,IF(D242="Very High (70% reduction)",0.3,1))))))</f>
        <v/>
      </c>
      <c r="F242" s="18">
        <f>IF(ISBLANK(B242),"",ROUNDUP(SQRT(B242)*E242,0))</f>
        <v/>
      </c>
      <c r="G242" s="15">
        <f>IF(ISBLANK(B242),"",ROUNDUP(B242*E242,0))</f>
        <v/>
      </c>
      <c r="H242" s="12">
        <f>IF(ISBLANK(G242),"",IF(G242&gt;=20,"Critical",IF(G242&gt;=15,"High",IF(G242&gt;=8,"Medium","Low"))))</f>
        <v/>
      </c>
    </row>
    <row r="243">
      <c r="B243" s="18">
        <f>IFERROR(VLOOKUP(A243,Risk_Assessment!$B$2:$H$1000,7,FALSE),"")</f>
        <v/>
      </c>
      <c r="E243" s="19">
        <f>IF(C243="No",1,IF(D243="N/A",1,IF(D243="Low (10% reduction)",0.9,IF(D243="Medium (30% reduction)",0.7,IF(D243="High (50% reduction)",0.5,IF(D243="Very High (70% reduction)",0.3,1))))))</f>
        <v/>
      </c>
      <c r="F243" s="18">
        <f>IF(ISBLANK(B243),"",ROUNDUP(SQRT(B243)*E243,0))</f>
        <v/>
      </c>
      <c r="G243" s="15">
        <f>IF(ISBLANK(B243),"",ROUNDUP(B243*E243,0))</f>
        <v/>
      </c>
      <c r="H243" s="12">
        <f>IF(ISBLANK(G243),"",IF(G243&gt;=20,"Critical",IF(G243&gt;=15,"High",IF(G243&gt;=8,"Medium","Low"))))</f>
        <v/>
      </c>
    </row>
    <row r="244">
      <c r="B244" s="18">
        <f>IFERROR(VLOOKUP(A244,Risk_Assessment!$B$2:$H$1000,7,FALSE),"")</f>
        <v/>
      </c>
      <c r="E244" s="19">
        <f>IF(C244="No",1,IF(D244="N/A",1,IF(D244="Low (10% reduction)",0.9,IF(D244="Medium (30% reduction)",0.7,IF(D244="High (50% reduction)",0.5,IF(D244="Very High (70% reduction)",0.3,1))))))</f>
        <v/>
      </c>
      <c r="F244" s="18">
        <f>IF(ISBLANK(B244),"",ROUNDUP(SQRT(B244)*E244,0))</f>
        <v/>
      </c>
      <c r="G244" s="15">
        <f>IF(ISBLANK(B244),"",ROUNDUP(B244*E244,0))</f>
        <v/>
      </c>
      <c r="H244" s="12">
        <f>IF(ISBLANK(G244),"",IF(G244&gt;=20,"Critical",IF(G244&gt;=15,"High",IF(G244&gt;=8,"Medium","Low"))))</f>
        <v/>
      </c>
    </row>
    <row r="245">
      <c r="B245" s="18">
        <f>IFERROR(VLOOKUP(A245,Risk_Assessment!$B$2:$H$1000,7,FALSE),"")</f>
        <v/>
      </c>
      <c r="E245" s="19">
        <f>IF(C245="No",1,IF(D245="N/A",1,IF(D245="Low (10% reduction)",0.9,IF(D245="Medium (30% reduction)",0.7,IF(D245="High (50% reduction)",0.5,IF(D245="Very High (70% reduction)",0.3,1))))))</f>
        <v/>
      </c>
      <c r="F245" s="18">
        <f>IF(ISBLANK(B245),"",ROUNDUP(SQRT(B245)*E245,0))</f>
        <v/>
      </c>
      <c r="G245" s="15">
        <f>IF(ISBLANK(B245),"",ROUNDUP(B245*E245,0))</f>
        <v/>
      </c>
      <c r="H245" s="12">
        <f>IF(ISBLANK(G245),"",IF(G245&gt;=20,"Critical",IF(G245&gt;=15,"High",IF(G245&gt;=8,"Medium","Low"))))</f>
        <v/>
      </c>
    </row>
    <row r="246">
      <c r="B246" s="18">
        <f>IFERROR(VLOOKUP(A246,Risk_Assessment!$B$2:$H$1000,7,FALSE),"")</f>
        <v/>
      </c>
      <c r="E246" s="19">
        <f>IF(C246="No",1,IF(D246="N/A",1,IF(D246="Low (10% reduction)",0.9,IF(D246="Medium (30% reduction)",0.7,IF(D246="High (50% reduction)",0.5,IF(D246="Very High (70% reduction)",0.3,1))))))</f>
        <v/>
      </c>
      <c r="F246" s="18">
        <f>IF(ISBLANK(B246),"",ROUNDUP(SQRT(B246)*E246,0))</f>
        <v/>
      </c>
      <c r="G246" s="15">
        <f>IF(ISBLANK(B246),"",ROUNDUP(B246*E246,0))</f>
        <v/>
      </c>
      <c r="H246" s="12">
        <f>IF(ISBLANK(G246),"",IF(G246&gt;=20,"Critical",IF(G246&gt;=15,"High",IF(G246&gt;=8,"Medium","Low"))))</f>
        <v/>
      </c>
    </row>
    <row r="247">
      <c r="B247" s="18">
        <f>IFERROR(VLOOKUP(A247,Risk_Assessment!$B$2:$H$1000,7,FALSE),"")</f>
        <v/>
      </c>
      <c r="E247" s="19">
        <f>IF(C247="No",1,IF(D247="N/A",1,IF(D247="Low (10% reduction)",0.9,IF(D247="Medium (30% reduction)",0.7,IF(D247="High (50% reduction)",0.5,IF(D247="Very High (70% reduction)",0.3,1))))))</f>
        <v/>
      </c>
      <c r="F247" s="18">
        <f>IF(ISBLANK(B247),"",ROUNDUP(SQRT(B247)*E247,0))</f>
        <v/>
      </c>
      <c r="G247" s="15">
        <f>IF(ISBLANK(B247),"",ROUNDUP(B247*E247,0))</f>
        <v/>
      </c>
      <c r="H247" s="12">
        <f>IF(ISBLANK(G247),"",IF(G247&gt;=20,"Critical",IF(G247&gt;=15,"High",IF(G247&gt;=8,"Medium","Low"))))</f>
        <v/>
      </c>
    </row>
    <row r="248">
      <c r="B248" s="18">
        <f>IFERROR(VLOOKUP(A248,Risk_Assessment!$B$2:$H$1000,7,FALSE),"")</f>
        <v/>
      </c>
      <c r="E248" s="19">
        <f>IF(C248="No",1,IF(D248="N/A",1,IF(D248="Low (10% reduction)",0.9,IF(D248="Medium (30% reduction)",0.7,IF(D248="High (50% reduction)",0.5,IF(D248="Very High (70% reduction)",0.3,1))))))</f>
        <v/>
      </c>
      <c r="F248" s="18">
        <f>IF(ISBLANK(B248),"",ROUNDUP(SQRT(B248)*E248,0))</f>
        <v/>
      </c>
      <c r="G248" s="15">
        <f>IF(ISBLANK(B248),"",ROUNDUP(B248*E248,0))</f>
        <v/>
      </c>
      <c r="H248" s="12">
        <f>IF(ISBLANK(G248),"",IF(G248&gt;=20,"Critical",IF(G248&gt;=15,"High",IF(G248&gt;=8,"Medium","Low"))))</f>
        <v/>
      </c>
    </row>
    <row r="249">
      <c r="B249" s="18">
        <f>IFERROR(VLOOKUP(A249,Risk_Assessment!$B$2:$H$1000,7,FALSE),"")</f>
        <v/>
      </c>
      <c r="E249" s="19">
        <f>IF(C249="No",1,IF(D249="N/A",1,IF(D249="Low (10% reduction)",0.9,IF(D249="Medium (30% reduction)",0.7,IF(D249="High (50% reduction)",0.5,IF(D249="Very High (70% reduction)",0.3,1))))))</f>
        <v/>
      </c>
      <c r="F249" s="18">
        <f>IF(ISBLANK(B249),"",ROUNDUP(SQRT(B249)*E249,0))</f>
        <v/>
      </c>
      <c r="G249" s="15">
        <f>IF(ISBLANK(B249),"",ROUNDUP(B249*E249,0))</f>
        <v/>
      </c>
      <c r="H249" s="12">
        <f>IF(ISBLANK(G249),"",IF(G249&gt;=20,"Critical",IF(G249&gt;=15,"High",IF(G249&gt;=8,"Medium","Low"))))</f>
        <v/>
      </c>
    </row>
    <row r="250">
      <c r="B250" s="18">
        <f>IFERROR(VLOOKUP(A250,Risk_Assessment!$B$2:$H$1000,7,FALSE),"")</f>
        <v/>
      </c>
      <c r="E250" s="19">
        <f>IF(C250="No",1,IF(D250="N/A",1,IF(D250="Low (10% reduction)",0.9,IF(D250="Medium (30% reduction)",0.7,IF(D250="High (50% reduction)",0.5,IF(D250="Very High (70% reduction)",0.3,1))))))</f>
        <v/>
      </c>
      <c r="F250" s="18">
        <f>IF(ISBLANK(B250),"",ROUNDUP(SQRT(B250)*E250,0))</f>
        <v/>
      </c>
      <c r="G250" s="15">
        <f>IF(ISBLANK(B250),"",ROUNDUP(B250*E250,0))</f>
        <v/>
      </c>
      <c r="H250" s="12">
        <f>IF(ISBLANK(G250),"",IF(G250&gt;=20,"Critical",IF(G250&gt;=15,"High",IF(G250&gt;=8,"Medium","Low"))))</f>
        <v/>
      </c>
    </row>
    <row r="251">
      <c r="B251" s="18">
        <f>IFERROR(VLOOKUP(A251,Risk_Assessment!$B$2:$H$1000,7,FALSE),"")</f>
        <v/>
      </c>
      <c r="E251" s="19">
        <f>IF(C251="No",1,IF(D251="N/A",1,IF(D251="Low (10% reduction)",0.9,IF(D251="Medium (30% reduction)",0.7,IF(D251="High (50% reduction)",0.5,IF(D251="Very High (70% reduction)",0.3,1))))))</f>
        <v/>
      </c>
      <c r="F251" s="18">
        <f>IF(ISBLANK(B251),"",ROUNDUP(SQRT(B251)*E251,0))</f>
        <v/>
      </c>
      <c r="G251" s="15">
        <f>IF(ISBLANK(B251),"",ROUNDUP(B251*E251,0))</f>
        <v/>
      </c>
      <c r="H251" s="12">
        <f>IF(ISBLANK(G251),"",IF(G251&gt;=20,"Critical",IF(G251&gt;=15,"High",IF(G251&gt;=8,"Medium","Low"))))</f>
        <v/>
      </c>
    </row>
    <row r="252">
      <c r="B252" s="18">
        <f>IFERROR(VLOOKUP(A252,Risk_Assessment!$B$2:$H$1000,7,FALSE),"")</f>
        <v/>
      </c>
      <c r="E252" s="19">
        <f>IF(C252="No",1,IF(D252="N/A",1,IF(D252="Low (10% reduction)",0.9,IF(D252="Medium (30% reduction)",0.7,IF(D252="High (50% reduction)",0.5,IF(D252="Very High (70% reduction)",0.3,1))))))</f>
        <v/>
      </c>
      <c r="F252" s="18">
        <f>IF(ISBLANK(B252),"",ROUNDUP(SQRT(B252)*E252,0))</f>
        <v/>
      </c>
      <c r="G252" s="15">
        <f>IF(ISBLANK(B252),"",ROUNDUP(B252*E252,0))</f>
        <v/>
      </c>
      <c r="H252" s="12">
        <f>IF(ISBLANK(G252),"",IF(G252&gt;=20,"Critical",IF(G252&gt;=15,"High",IF(G252&gt;=8,"Medium","Low"))))</f>
        <v/>
      </c>
    </row>
    <row r="253">
      <c r="B253" s="18">
        <f>IFERROR(VLOOKUP(A253,Risk_Assessment!$B$2:$H$1000,7,FALSE),"")</f>
        <v/>
      </c>
      <c r="E253" s="19">
        <f>IF(C253="No",1,IF(D253="N/A",1,IF(D253="Low (10% reduction)",0.9,IF(D253="Medium (30% reduction)",0.7,IF(D253="High (50% reduction)",0.5,IF(D253="Very High (70% reduction)",0.3,1))))))</f>
        <v/>
      </c>
      <c r="F253" s="18">
        <f>IF(ISBLANK(B253),"",ROUNDUP(SQRT(B253)*E253,0))</f>
        <v/>
      </c>
      <c r="G253" s="15">
        <f>IF(ISBLANK(B253),"",ROUNDUP(B253*E253,0))</f>
        <v/>
      </c>
      <c r="H253" s="12">
        <f>IF(ISBLANK(G253),"",IF(G253&gt;=20,"Critical",IF(G253&gt;=15,"High",IF(G253&gt;=8,"Medium","Low"))))</f>
        <v/>
      </c>
    </row>
    <row r="254">
      <c r="B254" s="18">
        <f>IFERROR(VLOOKUP(A254,Risk_Assessment!$B$2:$H$1000,7,FALSE),"")</f>
        <v/>
      </c>
      <c r="E254" s="19">
        <f>IF(C254="No",1,IF(D254="N/A",1,IF(D254="Low (10% reduction)",0.9,IF(D254="Medium (30% reduction)",0.7,IF(D254="High (50% reduction)",0.5,IF(D254="Very High (70% reduction)",0.3,1))))))</f>
        <v/>
      </c>
      <c r="F254" s="18">
        <f>IF(ISBLANK(B254),"",ROUNDUP(SQRT(B254)*E254,0))</f>
        <v/>
      </c>
      <c r="G254" s="15">
        <f>IF(ISBLANK(B254),"",ROUNDUP(B254*E254,0))</f>
        <v/>
      </c>
      <c r="H254" s="12">
        <f>IF(ISBLANK(G254),"",IF(G254&gt;=20,"Critical",IF(G254&gt;=15,"High",IF(G254&gt;=8,"Medium","Low"))))</f>
        <v/>
      </c>
    </row>
    <row r="255">
      <c r="B255" s="18">
        <f>IFERROR(VLOOKUP(A255,Risk_Assessment!$B$2:$H$1000,7,FALSE),"")</f>
        <v/>
      </c>
      <c r="E255" s="19">
        <f>IF(C255="No",1,IF(D255="N/A",1,IF(D255="Low (10% reduction)",0.9,IF(D255="Medium (30% reduction)",0.7,IF(D255="High (50% reduction)",0.5,IF(D255="Very High (70% reduction)",0.3,1))))))</f>
        <v/>
      </c>
      <c r="F255" s="18">
        <f>IF(ISBLANK(B255),"",ROUNDUP(SQRT(B255)*E255,0))</f>
        <v/>
      </c>
      <c r="G255" s="15">
        <f>IF(ISBLANK(B255),"",ROUNDUP(B255*E255,0))</f>
        <v/>
      </c>
      <c r="H255" s="12">
        <f>IF(ISBLANK(G255),"",IF(G255&gt;=20,"Critical",IF(G255&gt;=15,"High",IF(G255&gt;=8,"Medium","Low"))))</f>
        <v/>
      </c>
    </row>
    <row r="256">
      <c r="B256" s="18">
        <f>IFERROR(VLOOKUP(A256,Risk_Assessment!$B$2:$H$1000,7,FALSE),"")</f>
        <v/>
      </c>
      <c r="E256" s="19">
        <f>IF(C256="No",1,IF(D256="N/A",1,IF(D256="Low (10% reduction)",0.9,IF(D256="Medium (30% reduction)",0.7,IF(D256="High (50% reduction)",0.5,IF(D256="Very High (70% reduction)",0.3,1))))))</f>
        <v/>
      </c>
      <c r="F256" s="18">
        <f>IF(ISBLANK(B256),"",ROUNDUP(SQRT(B256)*E256,0))</f>
        <v/>
      </c>
      <c r="G256" s="15">
        <f>IF(ISBLANK(B256),"",ROUNDUP(B256*E256,0))</f>
        <v/>
      </c>
      <c r="H256" s="12">
        <f>IF(ISBLANK(G256),"",IF(G256&gt;=20,"Critical",IF(G256&gt;=15,"High",IF(G256&gt;=8,"Medium","Low"))))</f>
        <v/>
      </c>
    </row>
    <row r="257">
      <c r="B257" s="18">
        <f>IFERROR(VLOOKUP(A257,Risk_Assessment!$B$2:$H$1000,7,FALSE),"")</f>
        <v/>
      </c>
      <c r="E257" s="19">
        <f>IF(C257="No",1,IF(D257="N/A",1,IF(D257="Low (10% reduction)",0.9,IF(D257="Medium (30% reduction)",0.7,IF(D257="High (50% reduction)",0.5,IF(D257="Very High (70% reduction)",0.3,1))))))</f>
        <v/>
      </c>
      <c r="F257" s="18">
        <f>IF(ISBLANK(B257),"",ROUNDUP(SQRT(B257)*E257,0))</f>
        <v/>
      </c>
      <c r="G257" s="15">
        <f>IF(ISBLANK(B257),"",ROUNDUP(B257*E257,0))</f>
        <v/>
      </c>
      <c r="H257" s="12">
        <f>IF(ISBLANK(G257),"",IF(G257&gt;=20,"Critical",IF(G257&gt;=15,"High",IF(G257&gt;=8,"Medium","Low"))))</f>
        <v/>
      </c>
    </row>
    <row r="258">
      <c r="B258" s="18">
        <f>IFERROR(VLOOKUP(A258,Risk_Assessment!$B$2:$H$1000,7,FALSE),"")</f>
        <v/>
      </c>
      <c r="E258" s="19">
        <f>IF(C258="No",1,IF(D258="N/A",1,IF(D258="Low (10% reduction)",0.9,IF(D258="Medium (30% reduction)",0.7,IF(D258="High (50% reduction)",0.5,IF(D258="Very High (70% reduction)",0.3,1))))))</f>
        <v/>
      </c>
      <c r="F258" s="18">
        <f>IF(ISBLANK(B258),"",ROUNDUP(SQRT(B258)*E258,0))</f>
        <v/>
      </c>
      <c r="G258" s="15">
        <f>IF(ISBLANK(B258),"",ROUNDUP(B258*E258,0))</f>
        <v/>
      </c>
      <c r="H258" s="12">
        <f>IF(ISBLANK(G258),"",IF(G258&gt;=20,"Critical",IF(G258&gt;=15,"High",IF(G258&gt;=8,"Medium","Low"))))</f>
        <v/>
      </c>
    </row>
    <row r="259">
      <c r="B259" s="18">
        <f>IFERROR(VLOOKUP(A259,Risk_Assessment!$B$2:$H$1000,7,FALSE),"")</f>
        <v/>
      </c>
      <c r="E259" s="19">
        <f>IF(C259="No",1,IF(D259="N/A",1,IF(D259="Low (10% reduction)",0.9,IF(D259="Medium (30% reduction)",0.7,IF(D259="High (50% reduction)",0.5,IF(D259="Very High (70% reduction)",0.3,1))))))</f>
        <v/>
      </c>
      <c r="F259" s="18">
        <f>IF(ISBLANK(B259),"",ROUNDUP(SQRT(B259)*E259,0))</f>
        <v/>
      </c>
      <c r="G259" s="15">
        <f>IF(ISBLANK(B259),"",ROUNDUP(B259*E259,0))</f>
        <v/>
      </c>
      <c r="H259" s="12">
        <f>IF(ISBLANK(G259),"",IF(G259&gt;=20,"Critical",IF(G259&gt;=15,"High",IF(G259&gt;=8,"Medium","Low"))))</f>
        <v/>
      </c>
    </row>
    <row r="260">
      <c r="B260" s="18">
        <f>IFERROR(VLOOKUP(A260,Risk_Assessment!$B$2:$H$1000,7,FALSE),"")</f>
        <v/>
      </c>
      <c r="E260" s="19">
        <f>IF(C260="No",1,IF(D260="N/A",1,IF(D260="Low (10% reduction)",0.9,IF(D260="Medium (30% reduction)",0.7,IF(D260="High (50% reduction)",0.5,IF(D260="Very High (70% reduction)",0.3,1))))))</f>
        <v/>
      </c>
      <c r="F260" s="18">
        <f>IF(ISBLANK(B260),"",ROUNDUP(SQRT(B260)*E260,0))</f>
        <v/>
      </c>
      <c r="G260" s="15">
        <f>IF(ISBLANK(B260),"",ROUNDUP(B260*E260,0))</f>
        <v/>
      </c>
      <c r="H260" s="12">
        <f>IF(ISBLANK(G260),"",IF(G260&gt;=20,"Critical",IF(G260&gt;=15,"High",IF(G260&gt;=8,"Medium","Low"))))</f>
        <v/>
      </c>
    </row>
    <row r="261">
      <c r="B261" s="18">
        <f>IFERROR(VLOOKUP(A261,Risk_Assessment!$B$2:$H$1000,7,FALSE),"")</f>
        <v/>
      </c>
      <c r="E261" s="19">
        <f>IF(C261="No",1,IF(D261="N/A",1,IF(D261="Low (10% reduction)",0.9,IF(D261="Medium (30% reduction)",0.7,IF(D261="High (50% reduction)",0.5,IF(D261="Very High (70% reduction)",0.3,1))))))</f>
        <v/>
      </c>
      <c r="F261" s="18">
        <f>IF(ISBLANK(B261),"",ROUNDUP(SQRT(B261)*E261,0))</f>
        <v/>
      </c>
      <c r="G261" s="15">
        <f>IF(ISBLANK(B261),"",ROUNDUP(B261*E261,0))</f>
        <v/>
      </c>
      <c r="H261" s="12">
        <f>IF(ISBLANK(G261),"",IF(G261&gt;=20,"Critical",IF(G261&gt;=15,"High",IF(G261&gt;=8,"Medium","Low"))))</f>
        <v/>
      </c>
    </row>
    <row r="262">
      <c r="B262" s="18">
        <f>IFERROR(VLOOKUP(A262,Risk_Assessment!$B$2:$H$1000,7,FALSE),"")</f>
        <v/>
      </c>
      <c r="E262" s="19">
        <f>IF(C262="No",1,IF(D262="N/A",1,IF(D262="Low (10% reduction)",0.9,IF(D262="Medium (30% reduction)",0.7,IF(D262="High (50% reduction)",0.5,IF(D262="Very High (70% reduction)",0.3,1))))))</f>
        <v/>
      </c>
      <c r="F262" s="18">
        <f>IF(ISBLANK(B262),"",ROUNDUP(SQRT(B262)*E262,0))</f>
        <v/>
      </c>
      <c r="G262" s="15">
        <f>IF(ISBLANK(B262),"",ROUNDUP(B262*E262,0))</f>
        <v/>
      </c>
      <c r="H262" s="12">
        <f>IF(ISBLANK(G262),"",IF(G262&gt;=20,"Critical",IF(G262&gt;=15,"High",IF(G262&gt;=8,"Medium","Low"))))</f>
        <v/>
      </c>
    </row>
    <row r="263">
      <c r="B263" s="18">
        <f>IFERROR(VLOOKUP(A263,Risk_Assessment!$B$2:$H$1000,7,FALSE),"")</f>
        <v/>
      </c>
      <c r="E263" s="19">
        <f>IF(C263="No",1,IF(D263="N/A",1,IF(D263="Low (10% reduction)",0.9,IF(D263="Medium (30% reduction)",0.7,IF(D263="High (50% reduction)",0.5,IF(D263="Very High (70% reduction)",0.3,1))))))</f>
        <v/>
      </c>
      <c r="F263" s="18">
        <f>IF(ISBLANK(B263),"",ROUNDUP(SQRT(B263)*E263,0))</f>
        <v/>
      </c>
      <c r="G263" s="15">
        <f>IF(ISBLANK(B263),"",ROUNDUP(B263*E263,0))</f>
        <v/>
      </c>
      <c r="H263" s="12">
        <f>IF(ISBLANK(G263),"",IF(G263&gt;=20,"Critical",IF(G263&gt;=15,"High",IF(G263&gt;=8,"Medium","Low"))))</f>
        <v/>
      </c>
    </row>
    <row r="264">
      <c r="B264" s="18">
        <f>IFERROR(VLOOKUP(A264,Risk_Assessment!$B$2:$H$1000,7,FALSE),"")</f>
        <v/>
      </c>
      <c r="E264" s="19">
        <f>IF(C264="No",1,IF(D264="N/A",1,IF(D264="Low (10% reduction)",0.9,IF(D264="Medium (30% reduction)",0.7,IF(D264="High (50% reduction)",0.5,IF(D264="Very High (70% reduction)",0.3,1))))))</f>
        <v/>
      </c>
      <c r="F264" s="18">
        <f>IF(ISBLANK(B264),"",ROUNDUP(SQRT(B264)*E264,0))</f>
        <v/>
      </c>
      <c r="G264" s="15">
        <f>IF(ISBLANK(B264),"",ROUNDUP(B264*E264,0))</f>
        <v/>
      </c>
      <c r="H264" s="12">
        <f>IF(ISBLANK(G264),"",IF(G264&gt;=20,"Critical",IF(G264&gt;=15,"High",IF(G264&gt;=8,"Medium","Low"))))</f>
        <v/>
      </c>
    </row>
    <row r="265">
      <c r="B265" s="18">
        <f>IFERROR(VLOOKUP(A265,Risk_Assessment!$B$2:$H$1000,7,FALSE),"")</f>
        <v/>
      </c>
      <c r="E265" s="19">
        <f>IF(C265="No",1,IF(D265="N/A",1,IF(D265="Low (10% reduction)",0.9,IF(D265="Medium (30% reduction)",0.7,IF(D265="High (50% reduction)",0.5,IF(D265="Very High (70% reduction)",0.3,1))))))</f>
        <v/>
      </c>
      <c r="F265" s="18">
        <f>IF(ISBLANK(B265),"",ROUNDUP(SQRT(B265)*E265,0))</f>
        <v/>
      </c>
      <c r="G265" s="15">
        <f>IF(ISBLANK(B265),"",ROUNDUP(B265*E265,0))</f>
        <v/>
      </c>
      <c r="H265" s="12">
        <f>IF(ISBLANK(G265),"",IF(G265&gt;=20,"Critical",IF(G265&gt;=15,"High",IF(G265&gt;=8,"Medium","Low"))))</f>
        <v/>
      </c>
    </row>
    <row r="266">
      <c r="B266" s="18">
        <f>IFERROR(VLOOKUP(A266,Risk_Assessment!$B$2:$H$1000,7,FALSE),"")</f>
        <v/>
      </c>
      <c r="E266" s="19">
        <f>IF(C266="No",1,IF(D266="N/A",1,IF(D266="Low (10% reduction)",0.9,IF(D266="Medium (30% reduction)",0.7,IF(D266="High (50% reduction)",0.5,IF(D266="Very High (70% reduction)",0.3,1))))))</f>
        <v/>
      </c>
      <c r="F266" s="18">
        <f>IF(ISBLANK(B266),"",ROUNDUP(SQRT(B266)*E266,0))</f>
        <v/>
      </c>
      <c r="G266" s="15">
        <f>IF(ISBLANK(B266),"",ROUNDUP(B266*E266,0))</f>
        <v/>
      </c>
      <c r="H266" s="12">
        <f>IF(ISBLANK(G266),"",IF(G266&gt;=20,"Critical",IF(G266&gt;=15,"High",IF(G266&gt;=8,"Medium","Low"))))</f>
        <v/>
      </c>
    </row>
    <row r="267">
      <c r="B267" s="18">
        <f>IFERROR(VLOOKUP(A267,Risk_Assessment!$B$2:$H$1000,7,FALSE),"")</f>
        <v/>
      </c>
      <c r="E267" s="19">
        <f>IF(C267="No",1,IF(D267="N/A",1,IF(D267="Low (10% reduction)",0.9,IF(D267="Medium (30% reduction)",0.7,IF(D267="High (50% reduction)",0.5,IF(D267="Very High (70% reduction)",0.3,1))))))</f>
        <v/>
      </c>
      <c r="F267" s="18">
        <f>IF(ISBLANK(B267),"",ROUNDUP(SQRT(B267)*E267,0))</f>
        <v/>
      </c>
      <c r="G267" s="15">
        <f>IF(ISBLANK(B267),"",ROUNDUP(B267*E267,0))</f>
        <v/>
      </c>
      <c r="H267" s="12">
        <f>IF(ISBLANK(G267),"",IF(G267&gt;=20,"Critical",IF(G267&gt;=15,"High",IF(G267&gt;=8,"Medium","Low"))))</f>
        <v/>
      </c>
    </row>
    <row r="268">
      <c r="B268" s="18">
        <f>IFERROR(VLOOKUP(A268,Risk_Assessment!$B$2:$H$1000,7,FALSE),"")</f>
        <v/>
      </c>
      <c r="E268" s="19">
        <f>IF(C268="No",1,IF(D268="N/A",1,IF(D268="Low (10% reduction)",0.9,IF(D268="Medium (30% reduction)",0.7,IF(D268="High (50% reduction)",0.5,IF(D268="Very High (70% reduction)",0.3,1))))))</f>
        <v/>
      </c>
      <c r="F268" s="18">
        <f>IF(ISBLANK(B268),"",ROUNDUP(SQRT(B268)*E268,0))</f>
        <v/>
      </c>
      <c r="G268" s="15">
        <f>IF(ISBLANK(B268),"",ROUNDUP(B268*E268,0))</f>
        <v/>
      </c>
      <c r="H268" s="12">
        <f>IF(ISBLANK(G268),"",IF(G268&gt;=20,"Critical",IF(G268&gt;=15,"High",IF(G268&gt;=8,"Medium","Low"))))</f>
        <v/>
      </c>
    </row>
    <row r="269">
      <c r="B269" s="18">
        <f>IFERROR(VLOOKUP(A269,Risk_Assessment!$B$2:$H$1000,7,FALSE),"")</f>
        <v/>
      </c>
      <c r="E269" s="19">
        <f>IF(C269="No",1,IF(D269="N/A",1,IF(D269="Low (10% reduction)",0.9,IF(D269="Medium (30% reduction)",0.7,IF(D269="High (50% reduction)",0.5,IF(D269="Very High (70% reduction)",0.3,1))))))</f>
        <v/>
      </c>
      <c r="F269" s="18">
        <f>IF(ISBLANK(B269),"",ROUNDUP(SQRT(B269)*E269,0))</f>
        <v/>
      </c>
      <c r="G269" s="15">
        <f>IF(ISBLANK(B269),"",ROUNDUP(B269*E269,0))</f>
        <v/>
      </c>
      <c r="H269" s="12">
        <f>IF(ISBLANK(G269),"",IF(G269&gt;=20,"Critical",IF(G269&gt;=15,"High",IF(G269&gt;=8,"Medium","Low"))))</f>
        <v/>
      </c>
    </row>
    <row r="270">
      <c r="B270" s="18">
        <f>IFERROR(VLOOKUP(A270,Risk_Assessment!$B$2:$H$1000,7,FALSE),"")</f>
        <v/>
      </c>
      <c r="E270" s="19">
        <f>IF(C270="No",1,IF(D270="N/A",1,IF(D270="Low (10% reduction)",0.9,IF(D270="Medium (30% reduction)",0.7,IF(D270="High (50% reduction)",0.5,IF(D270="Very High (70% reduction)",0.3,1))))))</f>
        <v/>
      </c>
      <c r="F270" s="18">
        <f>IF(ISBLANK(B270),"",ROUNDUP(SQRT(B270)*E270,0))</f>
        <v/>
      </c>
      <c r="G270" s="15">
        <f>IF(ISBLANK(B270),"",ROUNDUP(B270*E270,0))</f>
        <v/>
      </c>
      <c r="H270" s="12">
        <f>IF(ISBLANK(G270),"",IF(G270&gt;=20,"Critical",IF(G270&gt;=15,"High",IF(G270&gt;=8,"Medium","Low"))))</f>
        <v/>
      </c>
    </row>
    <row r="271">
      <c r="B271" s="18">
        <f>IFERROR(VLOOKUP(A271,Risk_Assessment!$B$2:$H$1000,7,FALSE),"")</f>
        <v/>
      </c>
      <c r="E271" s="19">
        <f>IF(C271="No",1,IF(D271="N/A",1,IF(D271="Low (10% reduction)",0.9,IF(D271="Medium (30% reduction)",0.7,IF(D271="High (50% reduction)",0.5,IF(D271="Very High (70% reduction)",0.3,1))))))</f>
        <v/>
      </c>
      <c r="F271" s="18">
        <f>IF(ISBLANK(B271),"",ROUNDUP(SQRT(B271)*E271,0))</f>
        <v/>
      </c>
      <c r="G271" s="15">
        <f>IF(ISBLANK(B271),"",ROUNDUP(B271*E271,0))</f>
        <v/>
      </c>
      <c r="H271" s="12">
        <f>IF(ISBLANK(G271),"",IF(G271&gt;=20,"Critical",IF(G271&gt;=15,"High",IF(G271&gt;=8,"Medium","Low"))))</f>
        <v/>
      </c>
    </row>
    <row r="272">
      <c r="B272" s="18">
        <f>IFERROR(VLOOKUP(A272,Risk_Assessment!$B$2:$H$1000,7,FALSE),"")</f>
        <v/>
      </c>
      <c r="E272" s="19">
        <f>IF(C272="No",1,IF(D272="N/A",1,IF(D272="Low (10% reduction)",0.9,IF(D272="Medium (30% reduction)",0.7,IF(D272="High (50% reduction)",0.5,IF(D272="Very High (70% reduction)",0.3,1))))))</f>
        <v/>
      </c>
      <c r="F272" s="18">
        <f>IF(ISBLANK(B272),"",ROUNDUP(SQRT(B272)*E272,0))</f>
        <v/>
      </c>
      <c r="G272" s="15">
        <f>IF(ISBLANK(B272),"",ROUNDUP(B272*E272,0))</f>
        <v/>
      </c>
      <c r="H272" s="12">
        <f>IF(ISBLANK(G272),"",IF(G272&gt;=20,"Critical",IF(G272&gt;=15,"High",IF(G272&gt;=8,"Medium","Low"))))</f>
        <v/>
      </c>
    </row>
    <row r="273">
      <c r="B273" s="18">
        <f>IFERROR(VLOOKUP(A273,Risk_Assessment!$B$2:$H$1000,7,FALSE),"")</f>
        <v/>
      </c>
      <c r="E273" s="19">
        <f>IF(C273="No",1,IF(D273="N/A",1,IF(D273="Low (10% reduction)",0.9,IF(D273="Medium (30% reduction)",0.7,IF(D273="High (50% reduction)",0.5,IF(D273="Very High (70% reduction)",0.3,1))))))</f>
        <v/>
      </c>
      <c r="F273" s="18">
        <f>IF(ISBLANK(B273),"",ROUNDUP(SQRT(B273)*E273,0))</f>
        <v/>
      </c>
      <c r="G273" s="15">
        <f>IF(ISBLANK(B273),"",ROUNDUP(B273*E273,0))</f>
        <v/>
      </c>
      <c r="H273" s="12">
        <f>IF(ISBLANK(G273),"",IF(G273&gt;=20,"Critical",IF(G273&gt;=15,"High",IF(G273&gt;=8,"Medium","Low"))))</f>
        <v/>
      </c>
    </row>
    <row r="274">
      <c r="B274" s="18">
        <f>IFERROR(VLOOKUP(A274,Risk_Assessment!$B$2:$H$1000,7,FALSE),"")</f>
        <v/>
      </c>
      <c r="E274" s="19">
        <f>IF(C274="No",1,IF(D274="N/A",1,IF(D274="Low (10% reduction)",0.9,IF(D274="Medium (30% reduction)",0.7,IF(D274="High (50% reduction)",0.5,IF(D274="Very High (70% reduction)",0.3,1))))))</f>
        <v/>
      </c>
      <c r="F274" s="18">
        <f>IF(ISBLANK(B274),"",ROUNDUP(SQRT(B274)*E274,0))</f>
        <v/>
      </c>
      <c r="G274" s="15">
        <f>IF(ISBLANK(B274),"",ROUNDUP(B274*E274,0))</f>
        <v/>
      </c>
      <c r="H274" s="12">
        <f>IF(ISBLANK(G274),"",IF(G274&gt;=20,"Critical",IF(G274&gt;=15,"High",IF(G274&gt;=8,"Medium","Low"))))</f>
        <v/>
      </c>
    </row>
    <row r="275">
      <c r="B275" s="18">
        <f>IFERROR(VLOOKUP(A275,Risk_Assessment!$B$2:$H$1000,7,FALSE),"")</f>
        <v/>
      </c>
      <c r="E275" s="19">
        <f>IF(C275="No",1,IF(D275="N/A",1,IF(D275="Low (10% reduction)",0.9,IF(D275="Medium (30% reduction)",0.7,IF(D275="High (50% reduction)",0.5,IF(D275="Very High (70% reduction)",0.3,1))))))</f>
        <v/>
      </c>
      <c r="F275" s="18">
        <f>IF(ISBLANK(B275),"",ROUNDUP(SQRT(B275)*E275,0))</f>
        <v/>
      </c>
      <c r="G275" s="15">
        <f>IF(ISBLANK(B275),"",ROUNDUP(B275*E275,0))</f>
        <v/>
      </c>
      <c r="H275" s="12">
        <f>IF(ISBLANK(G275),"",IF(G275&gt;=20,"Critical",IF(G275&gt;=15,"High",IF(G275&gt;=8,"Medium","Low"))))</f>
        <v/>
      </c>
    </row>
    <row r="276">
      <c r="B276" s="18">
        <f>IFERROR(VLOOKUP(A276,Risk_Assessment!$B$2:$H$1000,7,FALSE),"")</f>
        <v/>
      </c>
      <c r="E276" s="19">
        <f>IF(C276="No",1,IF(D276="N/A",1,IF(D276="Low (10% reduction)",0.9,IF(D276="Medium (30% reduction)",0.7,IF(D276="High (50% reduction)",0.5,IF(D276="Very High (70% reduction)",0.3,1))))))</f>
        <v/>
      </c>
      <c r="F276" s="18">
        <f>IF(ISBLANK(B276),"",ROUNDUP(SQRT(B276)*E276,0))</f>
        <v/>
      </c>
      <c r="G276" s="15">
        <f>IF(ISBLANK(B276),"",ROUNDUP(B276*E276,0))</f>
        <v/>
      </c>
      <c r="H276" s="12">
        <f>IF(ISBLANK(G276),"",IF(G276&gt;=20,"Critical",IF(G276&gt;=15,"High",IF(G276&gt;=8,"Medium","Low"))))</f>
        <v/>
      </c>
    </row>
    <row r="277">
      <c r="B277" s="18">
        <f>IFERROR(VLOOKUP(A277,Risk_Assessment!$B$2:$H$1000,7,FALSE),"")</f>
        <v/>
      </c>
      <c r="E277" s="19">
        <f>IF(C277="No",1,IF(D277="N/A",1,IF(D277="Low (10% reduction)",0.9,IF(D277="Medium (30% reduction)",0.7,IF(D277="High (50% reduction)",0.5,IF(D277="Very High (70% reduction)",0.3,1))))))</f>
        <v/>
      </c>
      <c r="F277" s="18">
        <f>IF(ISBLANK(B277),"",ROUNDUP(SQRT(B277)*E277,0))</f>
        <v/>
      </c>
      <c r="G277" s="15">
        <f>IF(ISBLANK(B277),"",ROUNDUP(B277*E277,0))</f>
        <v/>
      </c>
      <c r="H277" s="12">
        <f>IF(ISBLANK(G277),"",IF(G277&gt;=20,"Critical",IF(G277&gt;=15,"High",IF(G277&gt;=8,"Medium","Low"))))</f>
        <v/>
      </c>
    </row>
    <row r="278">
      <c r="B278" s="18">
        <f>IFERROR(VLOOKUP(A278,Risk_Assessment!$B$2:$H$1000,7,FALSE),"")</f>
        <v/>
      </c>
      <c r="E278" s="19">
        <f>IF(C278="No",1,IF(D278="N/A",1,IF(D278="Low (10% reduction)",0.9,IF(D278="Medium (30% reduction)",0.7,IF(D278="High (50% reduction)",0.5,IF(D278="Very High (70% reduction)",0.3,1))))))</f>
        <v/>
      </c>
      <c r="F278" s="18">
        <f>IF(ISBLANK(B278),"",ROUNDUP(SQRT(B278)*E278,0))</f>
        <v/>
      </c>
      <c r="G278" s="15">
        <f>IF(ISBLANK(B278),"",ROUNDUP(B278*E278,0))</f>
        <v/>
      </c>
      <c r="H278" s="12">
        <f>IF(ISBLANK(G278),"",IF(G278&gt;=20,"Critical",IF(G278&gt;=15,"High",IF(G278&gt;=8,"Medium","Low"))))</f>
        <v/>
      </c>
    </row>
    <row r="279">
      <c r="B279" s="18">
        <f>IFERROR(VLOOKUP(A279,Risk_Assessment!$B$2:$H$1000,7,FALSE),"")</f>
        <v/>
      </c>
      <c r="E279" s="19">
        <f>IF(C279="No",1,IF(D279="N/A",1,IF(D279="Low (10% reduction)",0.9,IF(D279="Medium (30% reduction)",0.7,IF(D279="High (50% reduction)",0.5,IF(D279="Very High (70% reduction)",0.3,1))))))</f>
        <v/>
      </c>
      <c r="F279" s="18">
        <f>IF(ISBLANK(B279),"",ROUNDUP(SQRT(B279)*E279,0))</f>
        <v/>
      </c>
      <c r="G279" s="15">
        <f>IF(ISBLANK(B279),"",ROUNDUP(B279*E279,0))</f>
        <v/>
      </c>
      <c r="H279" s="12">
        <f>IF(ISBLANK(G279),"",IF(G279&gt;=20,"Critical",IF(G279&gt;=15,"High",IF(G279&gt;=8,"Medium","Low"))))</f>
        <v/>
      </c>
    </row>
    <row r="280">
      <c r="B280" s="18">
        <f>IFERROR(VLOOKUP(A280,Risk_Assessment!$B$2:$H$1000,7,FALSE),"")</f>
        <v/>
      </c>
      <c r="E280" s="19">
        <f>IF(C280="No",1,IF(D280="N/A",1,IF(D280="Low (10% reduction)",0.9,IF(D280="Medium (30% reduction)",0.7,IF(D280="High (50% reduction)",0.5,IF(D280="Very High (70% reduction)",0.3,1))))))</f>
        <v/>
      </c>
      <c r="F280" s="18">
        <f>IF(ISBLANK(B280),"",ROUNDUP(SQRT(B280)*E280,0))</f>
        <v/>
      </c>
      <c r="G280" s="15">
        <f>IF(ISBLANK(B280),"",ROUNDUP(B280*E280,0))</f>
        <v/>
      </c>
      <c r="H280" s="12">
        <f>IF(ISBLANK(G280),"",IF(G280&gt;=20,"Critical",IF(G280&gt;=15,"High",IF(G280&gt;=8,"Medium","Low"))))</f>
        <v/>
      </c>
    </row>
    <row r="281">
      <c r="B281" s="18">
        <f>IFERROR(VLOOKUP(A281,Risk_Assessment!$B$2:$H$1000,7,FALSE),"")</f>
        <v/>
      </c>
      <c r="E281" s="19">
        <f>IF(C281="No",1,IF(D281="N/A",1,IF(D281="Low (10% reduction)",0.9,IF(D281="Medium (30% reduction)",0.7,IF(D281="High (50% reduction)",0.5,IF(D281="Very High (70% reduction)",0.3,1))))))</f>
        <v/>
      </c>
      <c r="F281" s="18">
        <f>IF(ISBLANK(B281),"",ROUNDUP(SQRT(B281)*E281,0))</f>
        <v/>
      </c>
      <c r="G281" s="15">
        <f>IF(ISBLANK(B281),"",ROUNDUP(B281*E281,0))</f>
        <v/>
      </c>
      <c r="H281" s="12">
        <f>IF(ISBLANK(G281),"",IF(G281&gt;=20,"Critical",IF(G281&gt;=15,"High",IF(G281&gt;=8,"Medium","Low"))))</f>
        <v/>
      </c>
    </row>
    <row r="282">
      <c r="B282" s="18">
        <f>IFERROR(VLOOKUP(A282,Risk_Assessment!$B$2:$H$1000,7,FALSE),"")</f>
        <v/>
      </c>
      <c r="E282" s="19">
        <f>IF(C282="No",1,IF(D282="N/A",1,IF(D282="Low (10% reduction)",0.9,IF(D282="Medium (30% reduction)",0.7,IF(D282="High (50% reduction)",0.5,IF(D282="Very High (70% reduction)",0.3,1))))))</f>
        <v/>
      </c>
      <c r="F282" s="18">
        <f>IF(ISBLANK(B282),"",ROUNDUP(SQRT(B282)*E282,0))</f>
        <v/>
      </c>
      <c r="G282" s="15">
        <f>IF(ISBLANK(B282),"",ROUNDUP(B282*E282,0))</f>
        <v/>
      </c>
      <c r="H282" s="12">
        <f>IF(ISBLANK(G282),"",IF(G282&gt;=20,"Critical",IF(G282&gt;=15,"High",IF(G282&gt;=8,"Medium","Low"))))</f>
        <v/>
      </c>
    </row>
    <row r="283">
      <c r="B283" s="18">
        <f>IFERROR(VLOOKUP(A283,Risk_Assessment!$B$2:$H$1000,7,FALSE),"")</f>
        <v/>
      </c>
      <c r="E283" s="19">
        <f>IF(C283="No",1,IF(D283="N/A",1,IF(D283="Low (10% reduction)",0.9,IF(D283="Medium (30% reduction)",0.7,IF(D283="High (50% reduction)",0.5,IF(D283="Very High (70% reduction)",0.3,1))))))</f>
        <v/>
      </c>
      <c r="F283" s="18">
        <f>IF(ISBLANK(B283),"",ROUNDUP(SQRT(B283)*E283,0))</f>
        <v/>
      </c>
      <c r="G283" s="15">
        <f>IF(ISBLANK(B283),"",ROUNDUP(B283*E283,0))</f>
        <v/>
      </c>
      <c r="H283" s="12">
        <f>IF(ISBLANK(G283),"",IF(G283&gt;=20,"Critical",IF(G283&gt;=15,"High",IF(G283&gt;=8,"Medium","Low"))))</f>
        <v/>
      </c>
    </row>
    <row r="284">
      <c r="B284" s="18">
        <f>IFERROR(VLOOKUP(A284,Risk_Assessment!$B$2:$H$1000,7,FALSE),"")</f>
        <v/>
      </c>
      <c r="E284" s="19">
        <f>IF(C284="No",1,IF(D284="N/A",1,IF(D284="Low (10% reduction)",0.9,IF(D284="Medium (30% reduction)",0.7,IF(D284="High (50% reduction)",0.5,IF(D284="Very High (70% reduction)",0.3,1))))))</f>
        <v/>
      </c>
      <c r="F284" s="18">
        <f>IF(ISBLANK(B284),"",ROUNDUP(SQRT(B284)*E284,0))</f>
        <v/>
      </c>
      <c r="G284" s="15">
        <f>IF(ISBLANK(B284),"",ROUNDUP(B284*E284,0))</f>
        <v/>
      </c>
      <c r="H284" s="12">
        <f>IF(ISBLANK(G284),"",IF(G284&gt;=20,"Critical",IF(G284&gt;=15,"High",IF(G284&gt;=8,"Medium","Low"))))</f>
        <v/>
      </c>
    </row>
    <row r="285">
      <c r="B285" s="18">
        <f>IFERROR(VLOOKUP(A285,Risk_Assessment!$B$2:$H$1000,7,FALSE),"")</f>
        <v/>
      </c>
      <c r="E285" s="19">
        <f>IF(C285="No",1,IF(D285="N/A",1,IF(D285="Low (10% reduction)",0.9,IF(D285="Medium (30% reduction)",0.7,IF(D285="High (50% reduction)",0.5,IF(D285="Very High (70% reduction)",0.3,1))))))</f>
        <v/>
      </c>
      <c r="F285" s="18">
        <f>IF(ISBLANK(B285),"",ROUNDUP(SQRT(B285)*E285,0))</f>
        <v/>
      </c>
      <c r="G285" s="15">
        <f>IF(ISBLANK(B285),"",ROUNDUP(B285*E285,0))</f>
        <v/>
      </c>
      <c r="H285" s="12">
        <f>IF(ISBLANK(G285),"",IF(G285&gt;=20,"Critical",IF(G285&gt;=15,"High",IF(G285&gt;=8,"Medium","Low"))))</f>
        <v/>
      </c>
    </row>
    <row r="286">
      <c r="B286" s="18">
        <f>IFERROR(VLOOKUP(A286,Risk_Assessment!$B$2:$H$1000,7,FALSE),"")</f>
        <v/>
      </c>
      <c r="E286" s="19">
        <f>IF(C286="No",1,IF(D286="N/A",1,IF(D286="Low (10% reduction)",0.9,IF(D286="Medium (30% reduction)",0.7,IF(D286="High (50% reduction)",0.5,IF(D286="Very High (70% reduction)",0.3,1))))))</f>
        <v/>
      </c>
      <c r="F286" s="18">
        <f>IF(ISBLANK(B286),"",ROUNDUP(SQRT(B286)*E286,0))</f>
        <v/>
      </c>
      <c r="G286" s="15">
        <f>IF(ISBLANK(B286),"",ROUNDUP(B286*E286,0))</f>
        <v/>
      </c>
      <c r="H286" s="12">
        <f>IF(ISBLANK(G286),"",IF(G286&gt;=20,"Critical",IF(G286&gt;=15,"High",IF(G286&gt;=8,"Medium","Low"))))</f>
        <v/>
      </c>
    </row>
    <row r="287">
      <c r="B287" s="18">
        <f>IFERROR(VLOOKUP(A287,Risk_Assessment!$B$2:$H$1000,7,FALSE),"")</f>
        <v/>
      </c>
      <c r="E287" s="19">
        <f>IF(C287="No",1,IF(D287="N/A",1,IF(D287="Low (10% reduction)",0.9,IF(D287="Medium (30% reduction)",0.7,IF(D287="High (50% reduction)",0.5,IF(D287="Very High (70% reduction)",0.3,1))))))</f>
        <v/>
      </c>
      <c r="F287" s="18">
        <f>IF(ISBLANK(B287),"",ROUNDUP(SQRT(B287)*E287,0))</f>
        <v/>
      </c>
      <c r="G287" s="15">
        <f>IF(ISBLANK(B287),"",ROUNDUP(B287*E287,0))</f>
        <v/>
      </c>
      <c r="H287" s="12">
        <f>IF(ISBLANK(G287),"",IF(G287&gt;=20,"Critical",IF(G287&gt;=15,"High",IF(G287&gt;=8,"Medium","Low"))))</f>
        <v/>
      </c>
    </row>
    <row r="288">
      <c r="B288" s="18">
        <f>IFERROR(VLOOKUP(A288,Risk_Assessment!$B$2:$H$1000,7,FALSE),"")</f>
        <v/>
      </c>
      <c r="E288" s="19">
        <f>IF(C288="No",1,IF(D288="N/A",1,IF(D288="Low (10% reduction)",0.9,IF(D288="Medium (30% reduction)",0.7,IF(D288="High (50% reduction)",0.5,IF(D288="Very High (70% reduction)",0.3,1))))))</f>
        <v/>
      </c>
      <c r="F288" s="18">
        <f>IF(ISBLANK(B288),"",ROUNDUP(SQRT(B288)*E288,0))</f>
        <v/>
      </c>
      <c r="G288" s="15">
        <f>IF(ISBLANK(B288),"",ROUNDUP(B288*E288,0))</f>
        <v/>
      </c>
      <c r="H288" s="12">
        <f>IF(ISBLANK(G288),"",IF(G288&gt;=20,"Critical",IF(G288&gt;=15,"High",IF(G288&gt;=8,"Medium","Low"))))</f>
        <v/>
      </c>
    </row>
    <row r="289">
      <c r="B289" s="18">
        <f>IFERROR(VLOOKUP(A289,Risk_Assessment!$B$2:$H$1000,7,FALSE),"")</f>
        <v/>
      </c>
      <c r="E289" s="19">
        <f>IF(C289="No",1,IF(D289="N/A",1,IF(D289="Low (10% reduction)",0.9,IF(D289="Medium (30% reduction)",0.7,IF(D289="High (50% reduction)",0.5,IF(D289="Very High (70% reduction)",0.3,1))))))</f>
        <v/>
      </c>
      <c r="F289" s="18">
        <f>IF(ISBLANK(B289),"",ROUNDUP(SQRT(B289)*E289,0))</f>
        <v/>
      </c>
      <c r="G289" s="15">
        <f>IF(ISBLANK(B289),"",ROUNDUP(B289*E289,0))</f>
        <v/>
      </c>
      <c r="H289" s="12">
        <f>IF(ISBLANK(G289),"",IF(G289&gt;=20,"Critical",IF(G289&gt;=15,"High",IF(G289&gt;=8,"Medium","Low"))))</f>
        <v/>
      </c>
    </row>
    <row r="290">
      <c r="B290" s="18">
        <f>IFERROR(VLOOKUP(A290,Risk_Assessment!$B$2:$H$1000,7,FALSE),"")</f>
        <v/>
      </c>
      <c r="E290" s="19">
        <f>IF(C290="No",1,IF(D290="N/A",1,IF(D290="Low (10% reduction)",0.9,IF(D290="Medium (30% reduction)",0.7,IF(D290="High (50% reduction)",0.5,IF(D290="Very High (70% reduction)",0.3,1))))))</f>
        <v/>
      </c>
      <c r="F290" s="18">
        <f>IF(ISBLANK(B290),"",ROUNDUP(SQRT(B290)*E290,0))</f>
        <v/>
      </c>
      <c r="G290" s="15">
        <f>IF(ISBLANK(B290),"",ROUNDUP(B290*E290,0))</f>
        <v/>
      </c>
      <c r="H290" s="12">
        <f>IF(ISBLANK(G290),"",IF(G290&gt;=20,"Critical",IF(G290&gt;=15,"High",IF(G290&gt;=8,"Medium","Low"))))</f>
        <v/>
      </c>
    </row>
    <row r="291">
      <c r="B291" s="18">
        <f>IFERROR(VLOOKUP(A291,Risk_Assessment!$B$2:$H$1000,7,FALSE),"")</f>
        <v/>
      </c>
      <c r="E291" s="19">
        <f>IF(C291="No",1,IF(D291="N/A",1,IF(D291="Low (10% reduction)",0.9,IF(D291="Medium (30% reduction)",0.7,IF(D291="High (50% reduction)",0.5,IF(D291="Very High (70% reduction)",0.3,1))))))</f>
        <v/>
      </c>
      <c r="F291" s="18">
        <f>IF(ISBLANK(B291),"",ROUNDUP(SQRT(B291)*E291,0))</f>
        <v/>
      </c>
      <c r="G291" s="15">
        <f>IF(ISBLANK(B291),"",ROUNDUP(B291*E291,0))</f>
        <v/>
      </c>
      <c r="H291" s="12">
        <f>IF(ISBLANK(G291),"",IF(G291&gt;=20,"Critical",IF(G291&gt;=15,"High",IF(G291&gt;=8,"Medium","Low"))))</f>
        <v/>
      </c>
    </row>
    <row r="292">
      <c r="B292" s="18">
        <f>IFERROR(VLOOKUP(A292,Risk_Assessment!$B$2:$H$1000,7,FALSE),"")</f>
        <v/>
      </c>
      <c r="E292" s="19">
        <f>IF(C292="No",1,IF(D292="N/A",1,IF(D292="Low (10% reduction)",0.9,IF(D292="Medium (30% reduction)",0.7,IF(D292="High (50% reduction)",0.5,IF(D292="Very High (70% reduction)",0.3,1))))))</f>
        <v/>
      </c>
      <c r="F292" s="18">
        <f>IF(ISBLANK(B292),"",ROUNDUP(SQRT(B292)*E292,0))</f>
        <v/>
      </c>
      <c r="G292" s="15">
        <f>IF(ISBLANK(B292),"",ROUNDUP(B292*E292,0))</f>
        <v/>
      </c>
      <c r="H292" s="12">
        <f>IF(ISBLANK(G292),"",IF(G292&gt;=20,"Critical",IF(G292&gt;=15,"High",IF(G292&gt;=8,"Medium","Low"))))</f>
        <v/>
      </c>
    </row>
    <row r="293">
      <c r="B293" s="18">
        <f>IFERROR(VLOOKUP(A293,Risk_Assessment!$B$2:$H$1000,7,FALSE),"")</f>
        <v/>
      </c>
      <c r="E293" s="19">
        <f>IF(C293="No",1,IF(D293="N/A",1,IF(D293="Low (10% reduction)",0.9,IF(D293="Medium (30% reduction)",0.7,IF(D293="High (50% reduction)",0.5,IF(D293="Very High (70% reduction)",0.3,1))))))</f>
        <v/>
      </c>
      <c r="F293" s="18">
        <f>IF(ISBLANK(B293),"",ROUNDUP(SQRT(B293)*E293,0))</f>
        <v/>
      </c>
      <c r="G293" s="15">
        <f>IF(ISBLANK(B293),"",ROUNDUP(B293*E293,0))</f>
        <v/>
      </c>
      <c r="H293" s="12">
        <f>IF(ISBLANK(G293),"",IF(G293&gt;=20,"Critical",IF(G293&gt;=15,"High",IF(G293&gt;=8,"Medium","Low"))))</f>
        <v/>
      </c>
    </row>
    <row r="294">
      <c r="B294" s="18">
        <f>IFERROR(VLOOKUP(A294,Risk_Assessment!$B$2:$H$1000,7,FALSE),"")</f>
        <v/>
      </c>
      <c r="E294" s="19">
        <f>IF(C294="No",1,IF(D294="N/A",1,IF(D294="Low (10% reduction)",0.9,IF(D294="Medium (30% reduction)",0.7,IF(D294="High (50% reduction)",0.5,IF(D294="Very High (70% reduction)",0.3,1))))))</f>
        <v/>
      </c>
      <c r="F294" s="18">
        <f>IF(ISBLANK(B294),"",ROUNDUP(SQRT(B294)*E294,0))</f>
        <v/>
      </c>
      <c r="G294" s="15">
        <f>IF(ISBLANK(B294),"",ROUNDUP(B294*E294,0))</f>
        <v/>
      </c>
      <c r="H294" s="12">
        <f>IF(ISBLANK(G294),"",IF(G294&gt;=20,"Critical",IF(G294&gt;=15,"High",IF(G294&gt;=8,"Medium","Low"))))</f>
        <v/>
      </c>
    </row>
    <row r="295">
      <c r="B295" s="18">
        <f>IFERROR(VLOOKUP(A295,Risk_Assessment!$B$2:$H$1000,7,FALSE),"")</f>
        <v/>
      </c>
      <c r="E295" s="19">
        <f>IF(C295="No",1,IF(D295="N/A",1,IF(D295="Low (10% reduction)",0.9,IF(D295="Medium (30% reduction)",0.7,IF(D295="High (50% reduction)",0.5,IF(D295="Very High (70% reduction)",0.3,1))))))</f>
        <v/>
      </c>
      <c r="F295" s="18">
        <f>IF(ISBLANK(B295),"",ROUNDUP(SQRT(B295)*E295,0))</f>
        <v/>
      </c>
      <c r="G295" s="15">
        <f>IF(ISBLANK(B295),"",ROUNDUP(B295*E295,0))</f>
        <v/>
      </c>
      <c r="H295" s="12">
        <f>IF(ISBLANK(G295),"",IF(G295&gt;=20,"Critical",IF(G295&gt;=15,"High",IF(G295&gt;=8,"Medium","Low"))))</f>
        <v/>
      </c>
    </row>
    <row r="296">
      <c r="B296" s="18">
        <f>IFERROR(VLOOKUP(A296,Risk_Assessment!$B$2:$H$1000,7,FALSE),"")</f>
        <v/>
      </c>
      <c r="E296" s="19">
        <f>IF(C296="No",1,IF(D296="N/A",1,IF(D296="Low (10% reduction)",0.9,IF(D296="Medium (30% reduction)",0.7,IF(D296="High (50% reduction)",0.5,IF(D296="Very High (70% reduction)",0.3,1))))))</f>
        <v/>
      </c>
      <c r="F296" s="18">
        <f>IF(ISBLANK(B296),"",ROUNDUP(SQRT(B296)*E296,0))</f>
        <v/>
      </c>
      <c r="G296" s="15">
        <f>IF(ISBLANK(B296),"",ROUNDUP(B296*E296,0))</f>
        <v/>
      </c>
      <c r="H296" s="12">
        <f>IF(ISBLANK(G296),"",IF(G296&gt;=20,"Critical",IF(G296&gt;=15,"High",IF(G296&gt;=8,"Medium","Low"))))</f>
        <v/>
      </c>
    </row>
    <row r="297">
      <c r="B297" s="18">
        <f>IFERROR(VLOOKUP(A297,Risk_Assessment!$B$2:$H$1000,7,FALSE),"")</f>
        <v/>
      </c>
      <c r="E297" s="19">
        <f>IF(C297="No",1,IF(D297="N/A",1,IF(D297="Low (10% reduction)",0.9,IF(D297="Medium (30% reduction)",0.7,IF(D297="High (50% reduction)",0.5,IF(D297="Very High (70% reduction)",0.3,1))))))</f>
        <v/>
      </c>
      <c r="F297" s="18">
        <f>IF(ISBLANK(B297),"",ROUNDUP(SQRT(B297)*E297,0))</f>
        <v/>
      </c>
      <c r="G297" s="15">
        <f>IF(ISBLANK(B297),"",ROUNDUP(B297*E297,0))</f>
        <v/>
      </c>
      <c r="H297" s="12">
        <f>IF(ISBLANK(G297),"",IF(G297&gt;=20,"Critical",IF(G297&gt;=15,"High",IF(G297&gt;=8,"Medium","Low"))))</f>
        <v/>
      </c>
    </row>
    <row r="298">
      <c r="B298" s="18">
        <f>IFERROR(VLOOKUP(A298,Risk_Assessment!$B$2:$H$1000,7,FALSE),"")</f>
        <v/>
      </c>
      <c r="E298" s="19">
        <f>IF(C298="No",1,IF(D298="N/A",1,IF(D298="Low (10% reduction)",0.9,IF(D298="Medium (30% reduction)",0.7,IF(D298="High (50% reduction)",0.5,IF(D298="Very High (70% reduction)",0.3,1))))))</f>
        <v/>
      </c>
      <c r="F298" s="18">
        <f>IF(ISBLANK(B298),"",ROUNDUP(SQRT(B298)*E298,0))</f>
        <v/>
      </c>
      <c r="G298" s="15">
        <f>IF(ISBLANK(B298),"",ROUNDUP(B298*E298,0))</f>
        <v/>
      </c>
      <c r="H298" s="12">
        <f>IF(ISBLANK(G298),"",IF(G298&gt;=20,"Critical",IF(G298&gt;=15,"High",IF(G298&gt;=8,"Medium","Low"))))</f>
        <v/>
      </c>
    </row>
    <row r="299">
      <c r="B299" s="18">
        <f>IFERROR(VLOOKUP(A299,Risk_Assessment!$B$2:$H$1000,7,FALSE),"")</f>
        <v/>
      </c>
      <c r="E299" s="19">
        <f>IF(C299="No",1,IF(D299="N/A",1,IF(D299="Low (10% reduction)",0.9,IF(D299="Medium (30% reduction)",0.7,IF(D299="High (50% reduction)",0.5,IF(D299="Very High (70% reduction)",0.3,1))))))</f>
        <v/>
      </c>
      <c r="F299" s="18">
        <f>IF(ISBLANK(B299),"",ROUNDUP(SQRT(B299)*E299,0))</f>
        <v/>
      </c>
      <c r="G299" s="15">
        <f>IF(ISBLANK(B299),"",ROUNDUP(B299*E299,0))</f>
        <v/>
      </c>
      <c r="H299" s="12">
        <f>IF(ISBLANK(G299),"",IF(G299&gt;=20,"Critical",IF(G299&gt;=15,"High",IF(G299&gt;=8,"Medium","Low"))))</f>
        <v/>
      </c>
    </row>
    <row r="300">
      <c r="B300" s="18">
        <f>IFERROR(VLOOKUP(A300,Risk_Assessment!$B$2:$H$1000,7,FALSE),"")</f>
        <v/>
      </c>
      <c r="E300" s="19">
        <f>IF(C300="No",1,IF(D300="N/A",1,IF(D300="Low (10% reduction)",0.9,IF(D300="Medium (30% reduction)",0.7,IF(D300="High (50% reduction)",0.5,IF(D300="Very High (70% reduction)",0.3,1))))))</f>
        <v/>
      </c>
      <c r="F300" s="18">
        <f>IF(ISBLANK(B300),"",ROUNDUP(SQRT(B300)*E300,0))</f>
        <v/>
      </c>
      <c r="G300" s="15">
        <f>IF(ISBLANK(B300),"",ROUNDUP(B300*E300,0))</f>
        <v/>
      </c>
      <c r="H300" s="12">
        <f>IF(ISBLANK(G300),"",IF(G300&gt;=20,"Critical",IF(G300&gt;=15,"High",IF(G300&gt;=8,"Medium","Low"))))</f>
        <v/>
      </c>
    </row>
    <row r="301">
      <c r="B301" s="18">
        <f>IFERROR(VLOOKUP(A301,Risk_Assessment!$B$2:$H$1000,7,FALSE),"")</f>
        <v/>
      </c>
      <c r="E301" s="19">
        <f>IF(C301="No",1,IF(D301="N/A",1,IF(D301="Low (10% reduction)",0.9,IF(D301="Medium (30% reduction)",0.7,IF(D301="High (50% reduction)",0.5,IF(D301="Very High (70% reduction)",0.3,1))))))</f>
        <v/>
      </c>
      <c r="F301" s="18">
        <f>IF(ISBLANK(B301),"",ROUNDUP(SQRT(B301)*E301,0))</f>
        <v/>
      </c>
      <c r="G301" s="15">
        <f>IF(ISBLANK(B301),"",ROUNDUP(B301*E301,0))</f>
        <v/>
      </c>
      <c r="H301" s="12">
        <f>IF(ISBLANK(G301),"",IF(G301&gt;=20,"Critical",IF(G301&gt;=15,"High",IF(G301&gt;=8,"Medium","Low"))))</f>
        <v/>
      </c>
    </row>
    <row r="302">
      <c r="B302" s="18">
        <f>IFERROR(VLOOKUP(A302,Risk_Assessment!$B$2:$H$1000,7,FALSE),"")</f>
        <v/>
      </c>
      <c r="E302" s="19">
        <f>IF(C302="No",1,IF(D302="N/A",1,IF(D302="Low (10% reduction)",0.9,IF(D302="Medium (30% reduction)",0.7,IF(D302="High (50% reduction)",0.5,IF(D302="Very High (70% reduction)",0.3,1))))))</f>
        <v/>
      </c>
      <c r="F302" s="18">
        <f>IF(ISBLANK(B302),"",ROUNDUP(SQRT(B302)*E302,0))</f>
        <v/>
      </c>
      <c r="G302" s="15">
        <f>IF(ISBLANK(B302),"",ROUNDUP(B302*E302,0))</f>
        <v/>
      </c>
      <c r="H302" s="12">
        <f>IF(ISBLANK(G302),"",IF(G302&gt;=20,"Critical",IF(G302&gt;=15,"High",IF(G302&gt;=8,"Medium","Low"))))</f>
        <v/>
      </c>
    </row>
    <row r="303">
      <c r="B303" s="18">
        <f>IFERROR(VLOOKUP(A303,Risk_Assessment!$B$2:$H$1000,7,FALSE),"")</f>
        <v/>
      </c>
      <c r="E303" s="19">
        <f>IF(C303="No",1,IF(D303="N/A",1,IF(D303="Low (10% reduction)",0.9,IF(D303="Medium (30% reduction)",0.7,IF(D303="High (50% reduction)",0.5,IF(D303="Very High (70% reduction)",0.3,1))))))</f>
        <v/>
      </c>
      <c r="F303" s="18">
        <f>IF(ISBLANK(B303),"",ROUNDUP(SQRT(B303)*E303,0))</f>
        <v/>
      </c>
      <c r="G303" s="15">
        <f>IF(ISBLANK(B303),"",ROUNDUP(B303*E303,0))</f>
        <v/>
      </c>
      <c r="H303" s="12">
        <f>IF(ISBLANK(G303),"",IF(G303&gt;=20,"Critical",IF(G303&gt;=15,"High",IF(G303&gt;=8,"Medium","Low"))))</f>
        <v/>
      </c>
    </row>
    <row r="304">
      <c r="B304" s="18">
        <f>IFERROR(VLOOKUP(A304,Risk_Assessment!$B$2:$H$1000,7,FALSE),"")</f>
        <v/>
      </c>
      <c r="E304" s="19">
        <f>IF(C304="No",1,IF(D304="N/A",1,IF(D304="Low (10% reduction)",0.9,IF(D304="Medium (30% reduction)",0.7,IF(D304="High (50% reduction)",0.5,IF(D304="Very High (70% reduction)",0.3,1))))))</f>
        <v/>
      </c>
      <c r="F304" s="18">
        <f>IF(ISBLANK(B304),"",ROUNDUP(SQRT(B304)*E304,0))</f>
        <v/>
      </c>
      <c r="G304" s="15">
        <f>IF(ISBLANK(B304),"",ROUNDUP(B304*E304,0))</f>
        <v/>
      </c>
      <c r="H304" s="12">
        <f>IF(ISBLANK(G304),"",IF(G304&gt;=20,"Critical",IF(G304&gt;=15,"High",IF(G304&gt;=8,"Medium","Low"))))</f>
        <v/>
      </c>
    </row>
    <row r="305">
      <c r="B305" s="18">
        <f>IFERROR(VLOOKUP(A305,Risk_Assessment!$B$2:$H$1000,7,FALSE),"")</f>
        <v/>
      </c>
      <c r="E305" s="19">
        <f>IF(C305="No",1,IF(D305="N/A",1,IF(D305="Low (10% reduction)",0.9,IF(D305="Medium (30% reduction)",0.7,IF(D305="High (50% reduction)",0.5,IF(D305="Very High (70% reduction)",0.3,1))))))</f>
        <v/>
      </c>
      <c r="F305" s="18">
        <f>IF(ISBLANK(B305),"",ROUNDUP(SQRT(B305)*E305,0))</f>
        <v/>
      </c>
      <c r="G305" s="15">
        <f>IF(ISBLANK(B305),"",ROUNDUP(B305*E305,0))</f>
        <v/>
      </c>
      <c r="H305" s="12">
        <f>IF(ISBLANK(G305),"",IF(G305&gt;=20,"Critical",IF(G305&gt;=15,"High",IF(G305&gt;=8,"Medium","Low"))))</f>
        <v/>
      </c>
    </row>
    <row r="306">
      <c r="B306" s="18">
        <f>IFERROR(VLOOKUP(A306,Risk_Assessment!$B$2:$H$1000,7,FALSE),"")</f>
        <v/>
      </c>
      <c r="E306" s="19">
        <f>IF(C306="No",1,IF(D306="N/A",1,IF(D306="Low (10% reduction)",0.9,IF(D306="Medium (30% reduction)",0.7,IF(D306="High (50% reduction)",0.5,IF(D306="Very High (70% reduction)",0.3,1))))))</f>
        <v/>
      </c>
      <c r="F306" s="18">
        <f>IF(ISBLANK(B306),"",ROUNDUP(SQRT(B306)*E306,0))</f>
        <v/>
      </c>
      <c r="G306" s="15">
        <f>IF(ISBLANK(B306),"",ROUNDUP(B306*E306,0))</f>
        <v/>
      </c>
      <c r="H306" s="12">
        <f>IF(ISBLANK(G306),"",IF(G306&gt;=20,"Critical",IF(G306&gt;=15,"High",IF(G306&gt;=8,"Medium","Low"))))</f>
        <v/>
      </c>
    </row>
    <row r="307">
      <c r="B307" s="18">
        <f>IFERROR(VLOOKUP(A307,Risk_Assessment!$B$2:$H$1000,7,FALSE),"")</f>
        <v/>
      </c>
      <c r="E307" s="19">
        <f>IF(C307="No",1,IF(D307="N/A",1,IF(D307="Low (10% reduction)",0.9,IF(D307="Medium (30% reduction)",0.7,IF(D307="High (50% reduction)",0.5,IF(D307="Very High (70% reduction)",0.3,1))))))</f>
        <v/>
      </c>
      <c r="F307" s="18">
        <f>IF(ISBLANK(B307),"",ROUNDUP(SQRT(B307)*E307,0))</f>
        <v/>
      </c>
      <c r="G307" s="15">
        <f>IF(ISBLANK(B307),"",ROUNDUP(B307*E307,0))</f>
        <v/>
      </c>
      <c r="H307" s="12">
        <f>IF(ISBLANK(G307),"",IF(G307&gt;=20,"Critical",IF(G307&gt;=15,"High",IF(G307&gt;=8,"Medium","Low"))))</f>
        <v/>
      </c>
    </row>
    <row r="308">
      <c r="B308" s="18">
        <f>IFERROR(VLOOKUP(A308,Risk_Assessment!$B$2:$H$1000,7,FALSE),"")</f>
        <v/>
      </c>
      <c r="E308" s="19">
        <f>IF(C308="No",1,IF(D308="N/A",1,IF(D308="Low (10% reduction)",0.9,IF(D308="Medium (30% reduction)",0.7,IF(D308="High (50% reduction)",0.5,IF(D308="Very High (70% reduction)",0.3,1))))))</f>
        <v/>
      </c>
      <c r="F308" s="18">
        <f>IF(ISBLANK(B308),"",ROUNDUP(SQRT(B308)*E308,0))</f>
        <v/>
      </c>
      <c r="G308" s="15">
        <f>IF(ISBLANK(B308),"",ROUNDUP(B308*E308,0))</f>
        <v/>
      </c>
      <c r="H308" s="12">
        <f>IF(ISBLANK(G308),"",IF(G308&gt;=20,"Critical",IF(G308&gt;=15,"High",IF(G308&gt;=8,"Medium","Low"))))</f>
        <v/>
      </c>
    </row>
    <row r="309">
      <c r="B309" s="18">
        <f>IFERROR(VLOOKUP(A309,Risk_Assessment!$B$2:$H$1000,7,FALSE),"")</f>
        <v/>
      </c>
      <c r="E309" s="19">
        <f>IF(C309="No",1,IF(D309="N/A",1,IF(D309="Low (10% reduction)",0.9,IF(D309="Medium (30% reduction)",0.7,IF(D309="High (50% reduction)",0.5,IF(D309="Very High (70% reduction)",0.3,1))))))</f>
        <v/>
      </c>
      <c r="F309" s="18">
        <f>IF(ISBLANK(B309),"",ROUNDUP(SQRT(B309)*E309,0))</f>
        <v/>
      </c>
      <c r="G309" s="15">
        <f>IF(ISBLANK(B309),"",ROUNDUP(B309*E309,0))</f>
        <v/>
      </c>
      <c r="H309" s="12">
        <f>IF(ISBLANK(G309),"",IF(G309&gt;=20,"Critical",IF(G309&gt;=15,"High",IF(G309&gt;=8,"Medium","Low"))))</f>
        <v/>
      </c>
    </row>
    <row r="310">
      <c r="B310" s="18">
        <f>IFERROR(VLOOKUP(A310,Risk_Assessment!$B$2:$H$1000,7,FALSE),"")</f>
        <v/>
      </c>
      <c r="E310" s="19">
        <f>IF(C310="No",1,IF(D310="N/A",1,IF(D310="Low (10% reduction)",0.9,IF(D310="Medium (30% reduction)",0.7,IF(D310="High (50% reduction)",0.5,IF(D310="Very High (70% reduction)",0.3,1))))))</f>
        <v/>
      </c>
      <c r="F310" s="18">
        <f>IF(ISBLANK(B310),"",ROUNDUP(SQRT(B310)*E310,0))</f>
        <v/>
      </c>
      <c r="G310" s="15">
        <f>IF(ISBLANK(B310),"",ROUNDUP(B310*E310,0))</f>
        <v/>
      </c>
      <c r="H310" s="12">
        <f>IF(ISBLANK(G310),"",IF(G310&gt;=20,"Critical",IF(G310&gt;=15,"High",IF(G310&gt;=8,"Medium","Low"))))</f>
        <v/>
      </c>
    </row>
    <row r="311">
      <c r="B311" s="18">
        <f>IFERROR(VLOOKUP(A311,Risk_Assessment!$B$2:$H$1000,7,FALSE),"")</f>
        <v/>
      </c>
      <c r="E311" s="19">
        <f>IF(C311="No",1,IF(D311="N/A",1,IF(D311="Low (10% reduction)",0.9,IF(D311="Medium (30% reduction)",0.7,IF(D311="High (50% reduction)",0.5,IF(D311="Very High (70% reduction)",0.3,1))))))</f>
        <v/>
      </c>
      <c r="F311" s="18">
        <f>IF(ISBLANK(B311),"",ROUNDUP(SQRT(B311)*E311,0))</f>
        <v/>
      </c>
      <c r="G311" s="15">
        <f>IF(ISBLANK(B311),"",ROUNDUP(B311*E311,0))</f>
        <v/>
      </c>
      <c r="H311" s="12">
        <f>IF(ISBLANK(G311),"",IF(G311&gt;=20,"Critical",IF(G311&gt;=15,"High",IF(G311&gt;=8,"Medium","Low"))))</f>
        <v/>
      </c>
    </row>
    <row r="312">
      <c r="B312" s="18">
        <f>IFERROR(VLOOKUP(A312,Risk_Assessment!$B$2:$H$1000,7,FALSE),"")</f>
        <v/>
      </c>
      <c r="E312" s="19">
        <f>IF(C312="No",1,IF(D312="N/A",1,IF(D312="Low (10% reduction)",0.9,IF(D312="Medium (30% reduction)",0.7,IF(D312="High (50% reduction)",0.5,IF(D312="Very High (70% reduction)",0.3,1))))))</f>
        <v/>
      </c>
      <c r="F312" s="18">
        <f>IF(ISBLANK(B312),"",ROUNDUP(SQRT(B312)*E312,0))</f>
        <v/>
      </c>
      <c r="G312" s="15">
        <f>IF(ISBLANK(B312),"",ROUNDUP(B312*E312,0))</f>
        <v/>
      </c>
      <c r="H312" s="12">
        <f>IF(ISBLANK(G312),"",IF(G312&gt;=20,"Critical",IF(G312&gt;=15,"High",IF(G312&gt;=8,"Medium","Low"))))</f>
        <v/>
      </c>
    </row>
    <row r="313">
      <c r="B313" s="18">
        <f>IFERROR(VLOOKUP(A313,Risk_Assessment!$B$2:$H$1000,7,FALSE),"")</f>
        <v/>
      </c>
      <c r="E313" s="19">
        <f>IF(C313="No",1,IF(D313="N/A",1,IF(D313="Low (10% reduction)",0.9,IF(D313="Medium (30% reduction)",0.7,IF(D313="High (50% reduction)",0.5,IF(D313="Very High (70% reduction)",0.3,1))))))</f>
        <v/>
      </c>
      <c r="F313" s="18">
        <f>IF(ISBLANK(B313),"",ROUNDUP(SQRT(B313)*E313,0))</f>
        <v/>
      </c>
      <c r="G313" s="15">
        <f>IF(ISBLANK(B313),"",ROUNDUP(B313*E313,0))</f>
        <v/>
      </c>
      <c r="H313" s="12">
        <f>IF(ISBLANK(G313),"",IF(G313&gt;=20,"Critical",IF(G313&gt;=15,"High",IF(G313&gt;=8,"Medium","Low"))))</f>
        <v/>
      </c>
    </row>
    <row r="314">
      <c r="B314" s="18">
        <f>IFERROR(VLOOKUP(A314,Risk_Assessment!$B$2:$H$1000,7,FALSE),"")</f>
        <v/>
      </c>
      <c r="E314" s="19">
        <f>IF(C314="No",1,IF(D314="N/A",1,IF(D314="Low (10% reduction)",0.9,IF(D314="Medium (30% reduction)",0.7,IF(D314="High (50% reduction)",0.5,IF(D314="Very High (70% reduction)",0.3,1))))))</f>
        <v/>
      </c>
      <c r="F314" s="18">
        <f>IF(ISBLANK(B314),"",ROUNDUP(SQRT(B314)*E314,0))</f>
        <v/>
      </c>
      <c r="G314" s="15">
        <f>IF(ISBLANK(B314),"",ROUNDUP(B314*E314,0))</f>
        <v/>
      </c>
      <c r="H314" s="12">
        <f>IF(ISBLANK(G314),"",IF(G314&gt;=20,"Critical",IF(G314&gt;=15,"High",IF(G314&gt;=8,"Medium","Low"))))</f>
        <v/>
      </c>
    </row>
    <row r="315">
      <c r="B315" s="18">
        <f>IFERROR(VLOOKUP(A315,Risk_Assessment!$B$2:$H$1000,7,FALSE),"")</f>
        <v/>
      </c>
      <c r="E315" s="19">
        <f>IF(C315="No",1,IF(D315="N/A",1,IF(D315="Low (10% reduction)",0.9,IF(D315="Medium (30% reduction)",0.7,IF(D315="High (50% reduction)",0.5,IF(D315="Very High (70% reduction)",0.3,1))))))</f>
        <v/>
      </c>
      <c r="F315" s="18">
        <f>IF(ISBLANK(B315),"",ROUNDUP(SQRT(B315)*E315,0))</f>
        <v/>
      </c>
      <c r="G315" s="15">
        <f>IF(ISBLANK(B315),"",ROUNDUP(B315*E315,0))</f>
        <v/>
      </c>
      <c r="H315" s="12">
        <f>IF(ISBLANK(G315),"",IF(G315&gt;=20,"Critical",IF(G315&gt;=15,"High",IF(G315&gt;=8,"Medium","Low"))))</f>
        <v/>
      </c>
    </row>
    <row r="316">
      <c r="B316" s="18">
        <f>IFERROR(VLOOKUP(A316,Risk_Assessment!$B$2:$H$1000,7,FALSE),"")</f>
        <v/>
      </c>
      <c r="E316" s="19">
        <f>IF(C316="No",1,IF(D316="N/A",1,IF(D316="Low (10% reduction)",0.9,IF(D316="Medium (30% reduction)",0.7,IF(D316="High (50% reduction)",0.5,IF(D316="Very High (70% reduction)",0.3,1))))))</f>
        <v/>
      </c>
      <c r="F316" s="18">
        <f>IF(ISBLANK(B316),"",ROUNDUP(SQRT(B316)*E316,0))</f>
        <v/>
      </c>
      <c r="G316" s="15">
        <f>IF(ISBLANK(B316),"",ROUNDUP(B316*E316,0))</f>
        <v/>
      </c>
      <c r="H316" s="12">
        <f>IF(ISBLANK(G316),"",IF(G316&gt;=20,"Critical",IF(G316&gt;=15,"High",IF(G316&gt;=8,"Medium","Low"))))</f>
        <v/>
      </c>
    </row>
    <row r="317">
      <c r="B317" s="18">
        <f>IFERROR(VLOOKUP(A317,Risk_Assessment!$B$2:$H$1000,7,FALSE),"")</f>
        <v/>
      </c>
      <c r="E317" s="19">
        <f>IF(C317="No",1,IF(D317="N/A",1,IF(D317="Low (10% reduction)",0.9,IF(D317="Medium (30% reduction)",0.7,IF(D317="High (50% reduction)",0.5,IF(D317="Very High (70% reduction)",0.3,1))))))</f>
        <v/>
      </c>
      <c r="F317" s="18">
        <f>IF(ISBLANK(B317),"",ROUNDUP(SQRT(B317)*E317,0))</f>
        <v/>
      </c>
      <c r="G317" s="15">
        <f>IF(ISBLANK(B317),"",ROUNDUP(B317*E317,0))</f>
        <v/>
      </c>
      <c r="H317" s="12">
        <f>IF(ISBLANK(G317),"",IF(G317&gt;=20,"Critical",IF(G317&gt;=15,"High",IF(G317&gt;=8,"Medium","Low"))))</f>
        <v/>
      </c>
    </row>
    <row r="318">
      <c r="B318" s="18">
        <f>IFERROR(VLOOKUP(A318,Risk_Assessment!$B$2:$H$1000,7,FALSE),"")</f>
        <v/>
      </c>
      <c r="E318" s="19">
        <f>IF(C318="No",1,IF(D318="N/A",1,IF(D318="Low (10% reduction)",0.9,IF(D318="Medium (30% reduction)",0.7,IF(D318="High (50% reduction)",0.5,IF(D318="Very High (70% reduction)",0.3,1))))))</f>
        <v/>
      </c>
      <c r="F318" s="18">
        <f>IF(ISBLANK(B318),"",ROUNDUP(SQRT(B318)*E318,0))</f>
        <v/>
      </c>
      <c r="G318" s="15">
        <f>IF(ISBLANK(B318),"",ROUNDUP(B318*E318,0))</f>
        <v/>
      </c>
      <c r="H318" s="12">
        <f>IF(ISBLANK(G318),"",IF(G318&gt;=20,"Critical",IF(G318&gt;=15,"High",IF(G318&gt;=8,"Medium","Low"))))</f>
        <v/>
      </c>
    </row>
    <row r="319">
      <c r="B319" s="18">
        <f>IFERROR(VLOOKUP(A319,Risk_Assessment!$B$2:$H$1000,7,FALSE),"")</f>
        <v/>
      </c>
      <c r="E319" s="19">
        <f>IF(C319="No",1,IF(D319="N/A",1,IF(D319="Low (10% reduction)",0.9,IF(D319="Medium (30% reduction)",0.7,IF(D319="High (50% reduction)",0.5,IF(D319="Very High (70% reduction)",0.3,1))))))</f>
        <v/>
      </c>
      <c r="F319" s="18">
        <f>IF(ISBLANK(B319),"",ROUNDUP(SQRT(B319)*E319,0))</f>
        <v/>
      </c>
      <c r="G319" s="15">
        <f>IF(ISBLANK(B319),"",ROUNDUP(B319*E319,0))</f>
        <v/>
      </c>
      <c r="H319" s="12">
        <f>IF(ISBLANK(G319),"",IF(G319&gt;=20,"Critical",IF(G319&gt;=15,"High",IF(G319&gt;=8,"Medium","Low"))))</f>
        <v/>
      </c>
    </row>
    <row r="320">
      <c r="B320" s="18">
        <f>IFERROR(VLOOKUP(A320,Risk_Assessment!$B$2:$H$1000,7,FALSE),"")</f>
        <v/>
      </c>
      <c r="E320" s="19">
        <f>IF(C320="No",1,IF(D320="N/A",1,IF(D320="Low (10% reduction)",0.9,IF(D320="Medium (30% reduction)",0.7,IF(D320="High (50% reduction)",0.5,IF(D320="Very High (70% reduction)",0.3,1))))))</f>
        <v/>
      </c>
      <c r="F320" s="18">
        <f>IF(ISBLANK(B320),"",ROUNDUP(SQRT(B320)*E320,0))</f>
        <v/>
      </c>
      <c r="G320" s="15">
        <f>IF(ISBLANK(B320),"",ROUNDUP(B320*E320,0))</f>
        <v/>
      </c>
      <c r="H320" s="12">
        <f>IF(ISBLANK(G320),"",IF(G320&gt;=20,"Critical",IF(G320&gt;=15,"High",IF(G320&gt;=8,"Medium","Low"))))</f>
        <v/>
      </c>
    </row>
    <row r="321">
      <c r="B321" s="18">
        <f>IFERROR(VLOOKUP(A321,Risk_Assessment!$B$2:$H$1000,7,FALSE),"")</f>
        <v/>
      </c>
      <c r="E321" s="19">
        <f>IF(C321="No",1,IF(D321="N/A",1,IF(D321="Low (10% reduction)",0.9,IF(D321="Medium (30% reduction)",0.7,IF(D321="High (50% reduction)",0.5,IF(D321="Very High (70% reduction)",0.3,1))))))</f>
        <v/>
      </c>
      <c r="F321" s="18">
        <f>IF(ISBLANK(B321),"",ROUNDUP(SQRT(B321)*E321,0))</f>
        <v/>
      </c>
      <c r="G321" s="15">
        <f>IF(ISBLANK(B321),"",ROUNDUP(B321*E321,0))</f>
        <v/>
      </c>
      <c r="H321" s="12">
        <f>IF(ISBLANK(G321),"",IF(G321&gt;=20,"Critical",IF(G321&gt;=15,"High",IF(G321&gt;=8,"Medium","Low"))))</f>
        <v/>
      </c>
    </row>
    <row r="322">
      <c r="B322" s="18">
        <f>IFERROR(VLOOKUP(A322,Risk_Assessment!$B$2:$H$1000,7,FALSE),"")</f>
        <v/>
      </c>
      <c r="E322" s="19">
        <f>IF(C322="No",1,IF(D322="N/A",1,IF(D322="Low (10% reduction)",0.9,IF(D322="Medium (30% reduction)",0.7,IF(D322="High (50% reduction)",0.5,IF(D322="Very High (70% reduction)",0.3,1))))))</f>
        <v/>
      </c>
      <c r="F322" s="18">
        <f>IF(ISBLANK(B322),"",ROUNDUP(SQRT(B322)*E322,0))</f>
        <v/>
      </c>
      <c r="G322" s="15">
        <f>IF(ISBLANK(B322),"",ROUNDUP(B322*E322,0))</f>
        <v/>
      </c>
      <c r="H322" s="12">
        <f>IF(ISBLANK(G322),"",IF(G322&gt;=20,"Critical",IF(G322&gt;=15,"High",IF(G322&gt;=8,"Medium","Low"))))</f>
        <v/>
      </c>
    </row>
    <row r="323">
      <c r="B323" s="18">
        <f>IFERROR(VLOOKUP(A323,Risk_Assessment!$B$2:$H$1000,7,FALSE),"")</f>
        <v/>
      </c>
      <c r="E323" s="19">
        <f>IF(C323="No",1,IF(D323="N/A",1,IF(D323="Low (10% reduction)",0.9,IF(D323="Medium (30% reduction)",0.7,IF(D323="High (50% reduction)",0.5,IF(D323="Very High (70% reduction)",0.3,1))))))</f>
        <v/>
      </c>
      <c r="F323" s="18">
        <f>IF(ISBLANK(B323),"",ROUNDUP(SQRT(B323)*E323,0))</f>
        <v/>
      </c>
      <c r="G323" s="15">
        <f>IF(ISBLANK(B323),"",ROUNDUP(B323*E323,0))</f>
        <v/>
      </c>
      <c r="H323" s="12">
        <f>IF(ISBLANK(G323),"",IF(G323&gt;=20,"Critical",IF(G323&gt;=15,"High",IF(G323&gt;=8,"Medium","Low"))))</f>
        <v/>
      </c>
    </row>
    <row r="324">
      <c r="B324" s="18">
        <f>IFERROR(VLOOKUP(A324,Risk_Assessment!$B$2:$H$1000,7,FALSE),"")</f>
        <v/>
      </c>
      <c r="E324" s="19">
        <f>IF(C324="No",1,IF(D324="N/A",1,IF(D324="Low (10% reduction)",0.9,IF(D324="Medium (30% reduction)",0.7,IF(D324="High (50% reduction)",0.5,IF(D324="Very High (70% reduction)",0.3,1))))))</f>
        <v/>
      </c>
      <c r="F324" s="18">
        <f>IF(ISBLANK(B324),"",ROUNDUP(SQRT(B324)*E324,0))</f>
        <v/>
      </c>
      <c r="G324" s="15">
        <f>IF(ISBLANK(B324),"",ROUNDUP(B324*E324,0))</f>
        <v/>
      </c>
      <c r="H324" s="12">
        <f>IF(ISBLANK(G324),"",IF(G324&gt;=20,"Critical",IF(G324&gt;=15,"High",IF(G324&gt;=8,"Medium","Low"))))</f>
        <v/>
      </c>
    </row>
    <row r="325">
      <c r="B325" s="18">
        <f>IFERROR(VLOOKUP(A325,Risk_Assessment!$B$2:$H$1000,7,FALSE),"")</f>
        <v/>
      </c>
      <c r="E325" s="19">
        <f>IF(C325="No",1,IF(D325="N/A",1,IF(D325="Low (10% reduction)",0.9,IF(D325="Medium (30% reduction)",0.7,IF(D325="High (50% reduction)",0.5,IF(D325="Very High (70% reduction)",0.3,1))))))</f>
        <v/>
      </c>
      <c r="F325" s="18">
        <f>IF(ISBLANK(B325),"",ROUNDUP(SQRT(B325)*E325,0))</f>
        <v/>
      </c>
      <c r="G325" s="15">
        <f>IF(ISBLANK(B325),"",ROUNDUP(B325*E325,0))</f>
        <v/>
      </c>
      <c r="H325" s="12">
        <f>IF(ISBLANK(G325),"",IF(G325&gt;=20,"Critical",IF(G325&gt;=15,"High",IF(G325&gt;=8,"Medium","Low"))))</f>
        <v/>
      </c>
    </row>
    <row r="326">
      <c r="B326" s="18">
        <f>IFERROR(VLOOKUP(A326,Risk_Assessment!$B$2:$H$1000,7,FALSE),"")</f>
        <v/>
      </c>
      <c r="E326" s="19">
        <f>IF(C326="No",1,IF(D326="N/A",1,IF(D326="Low (10% reduction)",0.9,IF(D326="Medium (30% reduction)",0.7,IF(D326="High (50% reduction)",0.5,IF(D326="Very High (70% reduction)",0.3,1))))))</f>
        <v/>
      </c>
      <c r="F326" s="18">
        <f>IF(ISBLANK(B326),"",ROUNDUP(SQRT(B326)*E326,0))</f>
        <v/>
      </c>
      <c r="G326" s="15">
        <f>IF(ISBLANK(B326),"",ROUNDUP(B326*E326,0))</f>
        <v/>
      </c>
      <c r="H326" s="12">
        <f>IF(ISBLANK(G326),"",IF(G326&gt;=20,"Critical",IF(G326&gt;=15,"High",IF(G326&gt;=8,"Medium","Low"))))</f>
        <v/>
      </c>
    </row>
    <row r="327">
      <c r="B327" s="18">
        <f>IFERROR(VLOOKUP(A327,Risk_Assessment!$B$2:$H$1000,7,FALSE),"")</f>
        <v/>
      </c>
      <c r="E327" s="19">
        <f>IF(C327="No",1,IF(D327="N/A",1,IF(D327="Low (10% reduction)",0.9,IF(D327="Medium (30% reduction)",0.7,IF(D327="High (50% reduction)",0.5,IF(D327="Very High (70% reduction)",0.3,1))))))</f>
        <v/>
      </c>
      <c r="F327" s="18">
        <f>IF(ISBLANK(B327),"",ROUNDUP(SQRT(B327)*E327,0))</f>
        <v/>
      </c>
      <c r="G327" s="15">
        <f>IF(ISBLANK(B327),"",ROUNDUP(B327*E327,0))</f>
        <v/>
      </c>
      <c r="H327" s="12">
        <f>IF(ISBLANK(G327),"",IF(G327&gt;=20,"Critical",IF(G327&gt;=15,"High",IF(G327&gt;=8,"Medium","Low"))))</f>
        <v/>
      </c>
    </row>
    <row r="328">
      <c r="B328" s="18">
        <f>IFERROR(VLOOKUP(A328,Risk_Assessment!$B$2:$H$1000,7,FALSE),"")</f>
        <v/>
      </c>
      <c r="E328" s="19">
        <f>IF(C328="No",1,IF(D328="N/A",1,IF(D328="Low (10% reduction)",0.9,IF(D328="Medium (30% reduction)",0.7,IF(D328="High (50% reduction)",0.5,IF(D328="Very High (70% reduction)",0.3,1))))))</f>
        <v/>
      </c>
      <c r="F328" s="18">
        <f>IF(ISBLANK(B328),"",ROUNDUP(SQRT(B328)*E328,0))</f>
        <v/>
      </c>
      <c r="G328" s="15">
        <f>IF(ISBLANK(B328),"",ROUNDUP(B328*E328,0))</f>
        <v/>
      </c>
      <c r="H328" s="12">
        <f>IF(ISBLANK(G328),"",IF(G328&gt;=20,"Critical",IF(G328&gt;=15,"High",IF(G328&gt;=8,"Medium","Low"))))</f>
        <v/>
      </c>
    </row>
    <row r="329">
      <c r="B329" s="18">
        <f>IFERROR(VLOOKUP(A329,Risk_Assessment!$B$2:$H$1000,7,FALSE),"")</f>
        <v/>
      </c>
      <c r="E329" s="19">
        <f>IF(C329="No",1,IF(D329="N/A",1,IF(D329="Low (10% reduction)",0.9,IF(D329="Medium (30% reduction)",0.7,IF(D329="High (50% reduction)",0.5,IF(D329="Very High (70% reduction)",0.3,1))))))</f>
        <v/>
      </c>
      <c r="F329" s="18">
        <f>IF(ISBLANK(B329),"",ROUNDUP(SQRT(B329)*E329,0))</f>
        <v/>
      </c>
      <c r="G329" s="15">
        <f>IF(ISBLANK(B329),"",ROUNDUP(B329*E329,0))</f>
        <v/>
      </c>
      <c r="H329" s="12">
        <f>IF(ISBLANK(G329),"",IF(G329&gt;=20,"Critical",IF(G329&gt;=15,"High",IF(G329&gt;=8,"Medium","Low"))))</f>
        <v/>
      </c>
    </row>
    <row r="330">
      <c r="B330" s="18">
        <f>IFERROR(VLOOKUP(A330,Risk_Assessment!$B$2:$H$1000,7,FALSE),"")</f>
        <v/>
      </c>
      <c r="E330" s="19">
        <f>IF(C330="No",1,IF(D330="N/A",1,IF(D330="Low (10% reduction)",0.9,IF(D330="Medium (30% reduction)",0.7,IF(D330="High (50% reduction)",0.5,IF(D330="Very High (70% reduction)",0.3,1))))))</f>
        <v/>
      </c>
      <c r="F330" s="18">
        <f>IF(ISBLANK(B330),"",ROUNDUP(SQRT(B330)*E330,0))</f>
        <v/>
      </c>
      <c r="G330" s="15">
        <f>IF(ISBLANK(B330),"",ROUNDUP(B330*E330,0))</f>
        <v/>
      </c>
      <c r="H330" s="12">
        <f>IF(ISBLANK(G330),"",IF(G330&gt;=20,"Critical",IF(G330&gt;=15,"High",IF(G330&gt;=8,"Medium","Low"))))</f>
        <v/>
      </c>
    </row>
    <row r="331">
      <c r="B331" s="18">
        <f>IFERROR(VLOOKUP(A331,Risk_Assessment!$B$2:$H$1000,7,FALSE),"")</f>
        <v/>
      </c>
      <c r="E331" s="19">
        <f>IF(C331="No",1,IF(D331="N/A",1,IF(D331="Low (10% reduction)",0.9,IF(D331="Medium (30% reduction)",0.7,IF(D331="High (50% reduction)",0.5,IF(D331="Very High (70% reduction)",0.3,1))))))</f>
        <v/>
      </c>
      <c r="F331" s="18">
        <f>IF(ISBLANK(B331),"",ROUNDUP(SQRT(B331)*E331,0))</f>
        <v/>
      </c>
      <c r="G331" s="15">
        <f>IF(ISBLANK(B331),"",ROUNDUP(B331*E331,0))</f>
        <v/>
      </c>
      <c r="H331" s="12">
        <f>IF(ISBLANK(G331),"",IF(G331&gt;=20,"Critical",IF(G331&gt;=15,"High",IF(G331&gt;=8,"Medium","Low"))))</f>
        <v/>
      </c>
    </row>
    <row r="332">
      <c r="B332" s="18">
        <f>IFERROR(VLOOKUP(A332,Risk_Assessment!$B$2:$H$1000,7,FALSE),"")</f>
        <v/>
      </c>
      <c r="E332" s="19">
        <f>IF(C332="No",1,IF(D332="N/A",1,IF(D332="Low (10% reduction)",0.9,IF(D332="Medium (30% reduction)",0.7,IF(D332="High (50% reduction)",0.5,IF(D332="Very High (70% reduction)",0.3,1))))))</f>
        <v/>
      </c>
      <c r="F332" s="18">
        <f>IF(ISBLANK(B332),"",ROUNDUP(SQRT(B332)*E332,0))</f>
        <v/>
      </c>
      <c r="G332" s="15">
        <f>IF(ISBLANK(B332),"",ROUNDUP(B332*E332,0))</f>
        <v/>
      </c>
      <c r="H332" s="12">
        <f>IF(ISBLANK(G332),"",IF(G332&gt;=20,"Critical",IF(G332&gt;=15,"High",IF(G332&gt;=8,"Medium","Low"))))</f>
        <v/>
      </c>
    </row>
    <row r="333">
      <c r="B333" s="18">
        <f>IFERROR(VLOOKUP(A333,Risk_Assessment!$B$2:$H$1000,7,FALSE),"")</f>
        <v/>
      </c>
      <c r="E333" s="19">
        <f>IF(C333="No",1,IF(D333="N/A",1,IF(D333="Low (10% reduction)",0.9,IF(D333="Medium (30% reduction)",0.7,IF(D333="High (50% reduction)",0.5,IF(D333="Very High (70% reduction)",0.3,1))))))</f>
        <v/>
      </c>
      <c r="F333" s="18">
        <f>IF(ISBLANK(B333),"",ROUNDUP(SQRT(B333)*E333,0))</f>
        <v/>
      </c>
      <c r="G333" s="15">
        <f>IF(ISBLANK(B333),"",ROUNDUP(B333*E333,0))</f>
        <v/>
      </c>
      <c r="H333" s="12">
        <f>IF(ISBLANK(G333),"",IF(G333&gt;=20,"Critical",IF(G333&gt;=15,"High",IF(G333&gt;=8,"Medium","Low"))))</f>
        <v/>
      </c>
    </row>
    <row r="334">
      <c r="B334" s="18">
        <f>IFERROR(VLOOKUP(A334,Risk_Assessment!$B$2:$H$1000,7,FALSE),"")</f>
        <v/>
      </c>
      <c r="E334" s="19">
        <f>IF(C334="No",1,IF(D334="N/A",1,IF(D334="Low (10% reduction)",0.9,IF(D334="Medium (30% reduction)",0.7,IF(D334="High (50% reduction)",0.5,IF(D334="Very High (70% reduction)",0.3,1))))))</f>
        <v/>
      </c>
      <c r="F334" s="18">
        <f>IF(ISBLANK(B334),"",ROUNDUP(SQRT(B334)*E334,0))</f>
        <v/>
      </c>
      <c r="G334" s="15">
        <f>IF(ISBLANK(B334),"",ROUNDUP(B334*E334,0))</f>
        <v/>
      </c>
      <c r="H334" s="12">
        <f>IF(ISBLANK(G334),"",IF(G334&gt;=20,"Critical",IF(G334&gt;=15,"High",IF(G334&gt;=8,"Medium","Low"))))</f>
        <v/>
      </c>
    </row>
    <row r="335">
      <c r="B335" s="18">
        <f>IFERROR(VLOOKUP(A335,Risk_Assessment!$B$2:$H$1000,7,FALSE),"")</f>
        <v/>
      </c>
      <c r="E335" s="19">
        <f>IF(C335="No",1,IF(D335="N/A",1,IF(D335="Low (10% reduction)",0.9,IF(D335="Medium (30% reduction)",0.7,IF(D335="High (50% reduction)",0.5,IF(D335="Very High (70% reduction)",0.3,1))))))</f>
        <v/>
      </c>
      <c r="F335" s="18">
        <f>IF(ISBLANK(B335),"",ROUNDUP(SQRT(B335)*E335,0))</f>
        <v/>
      </c>
      <c r="G335" s="15">
        <f>IF(ISBLANK(B335),"",ROUNDUP(B335*E335,0))</f>
        <v/>
      </c>
      <c r="H335" s="12">
        <f>IF(ISBLANK(G335),"",IF(G335&gt;=20,"Critical",IF(G335&gt;=15,"High",IF(G335&gt;=8,"Medium","Low"))))</f>
        <v/>
      </c>
    </row>
    <row r="336">
      <c r="B336" s="18">
        <f>IFERROR(VLOOKUP(A336,Risk_Assessment!$B$2:$H$1000,7,FALSE),"")</f>
        <v/>
      </c>
      <c r="E336" s="19">
        <f>IF(C336="No",1,IF(D336="N/A",1,IF(D336="Low (10% reduction)",0.9,IF(D336="Medium (30% reduction)",0.7,IF(D336="High (50% reduction)",0.5,IF(D336="Very High (70% reduction)",0.3,1))))))</f>
        <v/>
      </c>
      <c r="F336" s="18">
        <f>IF(ISBLANK(B336),"",ROUNDUP(SQRT(B336)*E336,0))</f>
        <v/>
      </c>
      <c r="G336" s="15">
        <f>IF(ISBLANK(B336),"",ROUNDUP(B336*E336,0))</f>
        <v/>
      </c>
      <c r="H336" s="12">
        <f>IF(ISBLANK(G336),"",IF(G336&gt;=20,"Critical",IF(G336&gt;=15,"High",IF(G336&gt;=8,"Medium","Low"))))</f>
        <v/>
      </c>
    </row>
    <row r="337">
      <c r="B337" s="18">
        <f>IFERROR(VLOOKUP(A337,Risk_Assessment!$B$2:$H$1000,7,FALSE),"")</f>
        <v/>
      </c>
      <c r="E337" s="19">
        <f>IF(C337="No",1,IF(D337="N/A",1,IF(D337="Low (10% reduction)",0.9,IF(D337="Medium (30% reduction)",0.7,IF(D337="High (50% reduction)",0.5,IF(D337="Very High (70% reduction)",0.3,1))))))</f>
        <v/>
      </c>
      <c r="F337" s="18">
        <f>IF(ISBLANK(B337),"",ROUNDUP(SQRT(B337)*E337,0))</f>
        <v/>
      </c>
      <c r="G337" s="15">
        <f>IF(ISBLANK(B337),"",ROUNDUP(B337*E337,0))</f>
        <v/>
      </c>
      <c r="H337" s="12">
        <f>IF(ISBLANK(G337),"",IF(G337&gt;=20,"Critical",IF(G337&gt;=15,"High",IF(G337&gt;=8,"Medium","Low"))))</f>
        <v/>
      </c>
    </row>
    <row r="338">
      <c r="B338" s="18">
        <f>IFERROR(VLOOKUP(A338,Risk_Assessment!$B$2:$H$1000,7,FALSE),"")</f>
        <v/>
      </c>
      <c r="E338" s="19">
        <f>IF(C338="No",1,IF(D338="N/A",1,IF(D338="Low (10% reduction)",0.9,IF(D338="Medium (30% reduction)",0.7,IF(D338="High (50% reduction)",0.5,IF(D338="Very High (70% reduction)",0.3,1))))))</f>
        <v/>
      </c>
      <c r="F338" s="18">
        <f>IF(ISBLANK(B338),"",ROUNDUP(SQRT(B338)*E338,0))</f>
        <v/>
      </c>
      <c r="G338" s="15">
        <f>IF(ISBLANK(B338),"",ROUNDUP(B338*E338,0))</f>
        <v/>
      </c>
      <c r="H338" s="12">
        <f>IF(ISBLANK(G338),"",IF(G338&gt;=20,"Critical",IF(G338&gt;=15,"High",IF(G338&gt;=8,"Medium","Low"))))</f>
        <v/>
      </c>
    </row>
    <row r="339">
      <c r="B339" s="18">
        <f>IFERROR(VLOOKUP(A339,Risk_Assessment!$B$2:$H$1000,7,FALSE),"")</f>
        <v/>
      </c>
      <c r="E339" s="19">
        <f>IF(C339="No",1,IF(D339="N/A",1,IF(D339="Low (10% reduction)",0.9,IF(D339="Medium (30% reduction)",0.7,IF(D339="High (50% reduction)",0.5,IF(D339="Very High (70% reduction)",0.3,1))))))</f>
        <v/>
      </c>
      <c r="F339" s="18">
        <f>IF(ISBLANK(B339),"",ROUNDUP(SQRT(B339)*E339,0))</f>
        <v/>
      </c>
      <c r="G339" s="15">
        <f>IF(ISBLANK(B339),"",ROUNDUP(B339*E339,0))</f>
        <v/>
      </c>
      <c r="H339" s="12">
        <f>IF(ISBLANK(G339),"",IF(G339&gt;=20,"Critical",IF(G339&gt;=15,"High",IF(G339&gt;=8,"Medium","Low"))))</f>
        <v/>
      </c>
    </row>
    <row r="340">
      <c r="B340" s="18">
        <f>IFERROR(VLOOKUP(A340,Risk_Assessment!$B$2:$H$1000,7,FALSE),"")</f>
        <v/>
      </c>
      <c r="E340" s="19">
        <f>IF(C340="No",1,IF(D340="N/A",1,IF(D340="Low (10% reduction)",0.9,IF(D340="Medium (30% reduction)",0.7,IF(D340="High (50% reduction)",0.5,IF(D340="Very High (70% reduction)",0.3,1))))))</f>
        <v/>
      </c>
      <c r="F340" s="18">
        <f>IF(ISBLANK(B340),"",ROUNDUP(SQRT(B340)*E340,0))</f>
        <v/>
      </c>
      <c r="G340" s="15">
        <f>IF(ISBLANK(B340),"",ROUNDUP(B340*E340,0))</f>
        <v/>
      </c>
      <c r="H340" s="12">
        <f>IF(ISBLANK(G340),"",IF(G340&gt;=20,"Critical",IF(G340&gt;=15,"High",IF(G340&gt;=8,"Medium","Low"))))</f>
        <v/>
      </c>
    </row>
    <row r="341">
      <c r="B341" s="18">
        <f>IFERROR(VLOOKUP(A341,Risk_Assessment!$B$2:$H$1000,7,FALSE),"")</f>
        <v/>
      </c>
      <c r="E341" s="19">
        <f>IF(C341="No",1,IF(D341="N/A",1,IF(D341="Low (10% reduction)",0.9,IF(D341="Medium (30% reduction)",0.7,IF(D341="High (50% reduction)",0.5,IF(D341="Very High (70% reduction)",0.3,1))))))</f>
        <v/>
      </c>
      <c r="F341" s="18">
        <f>IF(ISBLANK(B341),"",ROUNDUP(SQRT(B341)*E341,0))</f>
        <v/>
      </c>
      <c r="G341" s="15">
        <f>IF(ISBLANK(B341),"",ROUNDUP(B341*E341,0))</f>
        <v/>
      </c>
      <c r="H341" s="12">
        <f>IF(ISBLANK(G341),"",IF(G341&gt;=20,"Critical",IF(G341&gt;=15,"High",IF(G341&gt;=8,"Medium","Low"))))</f>
        <v/>
      </c>
    </row>
    <row r="342">
      <c r="B342" s="18">
        <f>IFERROR(VLOOKUP(A342,Risk_Assessment!$B$2:$H$1000,7,FALSE),"")</f>
        <v/>
      </c>
      <c r="E342" s="19">
        <f>IF(C342="No",1,IF(D342="N/A",1,IF(D342="Low (10% reduction)",0.9,IF(D342="Medium (30% reduction)",0.7,IF(D342="High (50% reduction)",0.5,IF(D342="Very High (70% reduction)",0.3,1))))))</f>
        <v/>
      </c>
      <c r="F342" s="18">
        <f>IF(ISBLANK(B342),"",ROUNDUP(SQRT(B342)*E342,0))</f>
        <v/>
      </c>
      <c r="G342" s="15">
        <f>IF(ISBLANK(B342),"",ROUNDUP(B342*E342,0))</f>
        <v/>
      </c>
      <c r="H342" s="12">
        <f>IF(ISBLANK(G342),"",IF(G342&gt;=20,"Critical",IF(G342&gt;=15,"High",IF(G342&gt;=8,"Medium","Low"))))</f>
        <v/>
      </c>
    </row>
    <row r="343">
      <c r="B343" s="18">
        <f>IFERROR(VLOOKUP(A343,Risk_Assessment!$B$2:$H$1000,7,FALSE),"")</f>
        <v/>
      </c>
      <c r="E343" s="19">
        <f>IF(C343="No",1,IF(D343="N/A",1,IF(D343="Low (10% reduction)",0.9,IF(D343="Medium (30% reduction)",0.7,IF(D343="High (50% reduction)",0.5,IF(D343="Very High (70% reduction)",0.3,1))))))</f>
        <v/>
      </c>
      <c r="F343" s="18">
        <f>IF(ISBLANK(B343),"",ROUNDUP(SQRT(B343)*E343,0))</f>
        <v/>
      </c>
      <c r="G343" s="15">
        <f>IF(ISBLANK(B343),"",ROUNDUP(B343*E343,0))</f>
        <v/>
      </c>
      <c r="H343" s="12">
        <f>IF(ISBLANK(G343),"",IF(G343&gt;=20,"Critical",IF(G343&gt;=15,"High",IF(G343&gt;=8,"Medium","Low"))))</f>
        <v/>
      </c>
    </row>
    <row r="344">
      <c r="B344" s="18">
        <f>IFERROR(VLOOKUP(A344,Risk_Assessment!$B$2:$H$1000,7,FALSE),"")</f>
        <v/>
      </c>
      <c r="E344" s="19">
        <f>IF(C344="No",1,IF(D344="N/A",1,IF(D344="Low (10% reduction)",0.9,IF(D344="Medium (30% reduction)",0.7,IF(D344="High (50% reduction)",0.5,IF(D344="Very High (70% reduction)",0.3,1))))))</f>
        <v/>
      </c>
      <c r="F344" s="18">
        <f>IF(ISBLANK(B344),"",ROUNDUP(SQRT(B344)*E344,0))</f>
        <v/>
      </c>
      <c r="G344" s="15">
        <f>IF(ISBLANK(B344),"",ROUNDUP(B344*E344,0))</f>
        <v/>
      </c>
      <c r="H344" s="12">
        <f>IF(ISBLANK(G344),"",IF(G344&gt;=20,"Critical",IF(G344&gt;=15,"High",IF(G344&gt;=8,"Medium","Low"))))</f>
        <v/>
      </c>
    </row>
    <row r="345">
      <c r="B345" s="18">
        <f>IFERROR(VLOOKUP(A345,Risk_Assessment!$B$2:$H$1000,7,FALSE),"")</f>
        <v/>
      </c>
      <c r="E345" s="19">
        <f>IF(C345="No",1,IF(D345="N/A",1,IF(D345="Low (10% reduction)",0.9,IF(D345="Medium (30% reduction)",0.7,IF(D345="High (50% reduction)",0.5,IF(D345="Very High (70% reduction)",0.3,1))))))</f>
        <v/>
      </c>
      <c r="F345" s="18">
        <f>IF(ISBLANK(B345),"",ROUNDUP(SQRT(B345)*E345,0))</f>
        <v/>
      </c>
      <c r="G345" s="15">
        <f>IF(ISBLANK(B345),"",ROUNDUP(B345*E345,0))</f>
        <v/>
      </c>
      <c r="H345" s="12">
        <f>IF(ISBLANK(G345),"",IF(G345&gt;=20,"Critical",IF(G345&gt;=15,"High",IF(G345&gt;=8,"Medium","Low"))))</f>
        <v/>
      </c>
    </row>
    <row r="346">
      <c r="B346" s="18">
        <f>IFERROR(VLOOKUP(A346,Risk_Assessment!$B$2:$H$1000,7,FALSE),"")</f>
        <v/>
      </c>
      <c r="E346" s="19">
        <f>IF(C346="No",1,IF(D346="N/A",1,IF(D346="Low (10% reduction)",0.9,IF(D346="Medium (30% reduction)",0.7,IF(D346="High (50% reduction)",0.5,IF(D346="Very High (70% reduction)",0.3,1))))))</f>
        <v/>
      </c>
      <c r="F346" s="18">
        <f>IF(ISBLANK(B346),"",ROUNDUP(SQRT(B346)*E346,0))</f>
        <v/>
      </c>
      <c r="G346" s="15">
        <f>IF(ISBLANK(B346),"",ROUNDUP(B346*E346,0))</f>
        <v/>
      </c>
      <c r="H346" s="12">
        <f>IF(ISBLANK(G346),"",IF(G346&gt;=20,"Critical",IF(G346&gt;=15,"High",IF(G346&gt;=8,"Medium","Low"))))</f>
        <v/>
      </c>
    </row>
    <row r="347">
      <c r="B347" s="18">
        <f>IFERROR(VLOOKUP(A347,Risk_Assessment!$B$2:$H$1000,7,FALSE),"")</f>
        <v/>
      </c>
      <c r="E347" s="19">
        <f>IF(C347="No",1,IF(D347="N/A",1,IF(D347="Low (10% reduction)",0.9,IF(D347="Medium (30% reduction)",0.7,IF(D347="High (50% reduction)",0.5,IF(D347="Very High (70% reduction)",0.3,1))))))</f>
        <v/>
      </c>
      <c r="F347" s="18">
        <f>IF(ISBLANK(B347),"",ROUNDUP(SQRT(B347)*E347,0))</f>
        <v/>
      </c>
      <c r="G347" s="15">
        <f>IF(ISBLANK(B347),"",ROUNDUP(B347*E347,0))</f>
        <v/>
      </c>
      <c r="H347" s="12">
        <f>IF(ISBLANK(G347),"",IF(G347&gt;=20,"Critical",IF(G347&gt;=15,"High",IF(G347&gt;=8,"Medium","Low"))))</f>
        <v/>
      </c>
    </row>
    <row r="348">
      <c r="B348" s="18">
        <f>IFERROR(VLOOKUP(A348,Risk_Assessment!$B$2:$H$1000,7,FALSE),"")</f>
        <v/>
      </c>
      <c r="E348" s="19">
        <f>IF(C348="No",1,IF(D348="N/A",1,IF(D348="Low (10% reduction)",0.9,IF(D348="Medium (30% reduction)",0.7,IF(D348="High (50% reduction)",0.5,IF(D348="Very High (70% reduction)",0.3,1))))))</f>
        <v/>
      </c>
      <c r="F348" s="18">
        <f>IF(ISBLANK(B348),"",ROUNDUP(SQRT(B348)*E348,0))</f>
        <v/>
      </c>
      <c r="G348" s="15">
        <f>IF(ISBLANK(B348),"",ROUNDUP(B348*E348,0))</f>
        <v/>
      </c>
      <c r="H348" s="12">
        <f>IF(ISBLANK(G348),"",IF(G348&gt;=20,"Critical",IF(G348&gt;=15,"High",IF(G348&gt;=8,"Medium","Low"))))</f>
        <v/>
      </c>
    </row>
    <row r="349">
      <c r="B349" s="18">
        <f>IFERROR(VLOOKUP(A349,Risk_Assessment!$B$2:$H$1000,7,FALSE),"")</f>
        <v/>
      </c>
      <c r="E349" s="19">
        <f>IF(C349="No",1,IF(D349="N/A",1,IF(D349="Low (10% reduction)",0.9,IF(D349="Medium (30% reduction)",0.7,IF(D349="High (50% reduction)",0.5,IF(D349="Very High (70% reduction)",0.3,1))))))</f>
        <v/>
      </c>
      <c r="F349" s="18">
        <f>IF(ISBLANK(B349),"",ROUNDUP(SQRT(B349)*E349,0))</f>
        <v/>
      </c>
      <c r="G349" s="15">
        <f>IF(ISBLANK(B349),"",ROUNDUP(B349*E349,0))</f>
        <v/>
      </c>
      <c r="H349" s="12">
        <f>IF(ISBLANK(G349),"",IF(G349&gt;=20,"Critical",IF(G349&gt;=15,"High",IF(G349&gt;=8,"Medium","Low"))))</f>
        <v/>
      </c>
    </row>
    <row r="350">
      <c r="B350" s="18">
        <f>IFERROR(VLOOKUP(A350,Risk_Assessment!$B$2:$H$1000,7,FALSE),"")</f>
        <v/>
      </c>
      <c r="E350" s="19">
        <f>IF(C350="No",1,IF(D350="N/A",1,IF(D350="Low (10% reduction)",0.9,IF(D350="Medium (30% reduction)",0.7,IF(D350="High (50% reduction)",0.5,IF(D350="Very High (70% reduction)",0.3,1))))))</f>
        <v/>
      </c>
      <c r="F350" s="18">
        <f>IF(ISBLANK(B350),"",ROUNDUP(SQRT(B350)*E350,0))</f>
        <v/>
      </c>
      <c r="G350" s="15">
        <f>IF(ISBLANK(B350),"",ROUNDUP(B350*E350,0))</f>
        <v/>
      </c>
      <c r="H350" s="12">
        <f>IF(ISBLANK(G350),"",IF(G350&gt;=20,"Critical",IF(G350&gt;=15,"High",IF(G350&gt;=8,"Medium","Low"))))</f>
        <v/>
      </c>
    </row>
    <row r="351">
      <c r="B351" s="18">
        <f>IFERROR(VLOOKUP(A351,Risk_Assessment!$B$2:$H$1000,7,FALSE),"")</f>
        <v/>
      </c>
      <c r="E351" s="19">
        <f>IF(C351="No",1,IF(D351="N/A",1,IF(D351="Low (10% reduction)",0.9,IF(D351="Medium (30% reduction)",0.7,IF(D351="High (50% reduction)",0.5,IF(D351="Very High (70% reduction)",0.3,1))))))</f>
        <v/>
      </c>
      <c r="F351" s="18">
        <f>IF(ISBLANK(B351),"",ROUNDUP(SQRT(B351)*E351,0))</f>
        <v/>
      </c>
      <c r="G351" s="15">
        <f>IF(ISBLANK(B351),"",ROUNDUP(B351*E351,0))</f>
        <v/>
      </c>
      <c r="H351" s="12">
        <f>IF(ISBLANK(G351),"",IF(G351&gt;=20,"Critical",IF(G351&gt;=15,"High",IF(G351&gt;=8,"Medium","Low"))))</f>
        <v/>
      </c>
    </row>
    <row r="352">
      <c r="B352" s="18">
        <f>IFERROR(VLOOKUP(A352,Risk_Assessment!$B$2:$H$1000,7,FALSE),"")</f>
        <v/>
      </c>
      <c r="E352" s="19">
        <f>IF(C352="No",1,IF(D352="N/A",1,IF(D352="Low (10% reduction)",0.9,IF(D352="Medium (30% reduction)",0.7,IF(D352="High (50% reduction)",0.5,IF(D352="Very High (70% reduction)",0.3,1))))))</f>
        <v/>
      </c>
      <c r="F352" s="18">
        <f>IF(ISBLANK(B352),"",ROUNDUP(SQRT(B352)*E352,0))</f>
        <v/>
      </c>
      <c r="G352" s="15">
        <f>IF(ISBLANK(B352),"",ROUNDUP(B352*E352,0))</f>
        <v/>
      </c>
      <c r="H352" s="12">
        <f>IF(ISBLANK(G352),"",IF(G352&gt;=20,"Critical",IF(G352&gt;=15,"High",IF(G352&gt;=8,"Medium","Low"))))</f>
        <v/>
      </c>
    </row>
    <row r="353">
      <c r="B353" s="18">
        <f>IFERROR(VLOOKUP(A353,Risk_Assessment!$B$2:$H$1000,7,FALSE),"")</f>
        <v/>
      </c>
      <c r="E353" s="19">
        <f>IF(C353="No",1,IF(D353="N/A",1,IF(D353="Low (10% reduction)",0.9,IF(D353="Medium (30% reduction)",0.7,IF(D353="High (50% reduction)",0.5,IF(D353="Very High (70% reduction)",0.3,1))))))</f>
        <v/>
      </c>
      <c r="F353" s="18">
        <f>IF(ISBLANK(B353),"",ROUNDUP(SQRT(B353)*E353,0))</f>
        <v/>
      </c>
      <c r="G353" s="15">
        <f>IF(ISBLANK(B353),"",ROUNDUP(B353*E353,0))</f>
        <v/>
      </c>
      <c r="H353" s="12">
        <f>IF(ISBLANK(G353),"",IF(G353&gt;=20,"Critical",IF(G353&gt;=15,"High",IF(G353&gt;=8,"Medium","Low"))))</f>
        <v/>
      </c>
    </row>
    <row r="354">
      <c r="B354" s="18">
        <f>IFERROR(VLOOKUP(A354,Risk_Assessment!$B$2:$H$1000,7,FALSE),"")</f>
        <v/>
      </c>
      <c r="E354" s="19">
        <f>IF(C354="No",1,IF(D354="N/A",1,IF(D354="Low (10% reduction)",0.9,IF(D354="Medium (30% reduction)",0.7,IF(D354="High (50% reduction)",0.5,IF(D354="Very High (70% reduction)",0.3,1))))))</f>
        <v/>
      </c>
      <c r="F354" s="18">
        <f>IF(ISBLANK(B354),"",ROUNDUP(SQRT(B354)*E354,0))</f>
        <v/>
      </c>
      <c r="G354" s="15">
        <f>IF(ISBLANK(B354),"",ROUNDUP(B354*E354,0))</f>
        <v/>
      </c>
      <c r="H354" s="12">
        <f>IF(ISBLANK(G354),"",IF(G354&gt;=20,"Critical",IF(G354&gt;=15,"High",IF(G354&gt;=8,"Medium","Low"))))</f>
        <v/>
      </c>
    </row>
    <row r="355">
      <c r="B355" s="18">
        <f>IFERROR(VLOOKUP(A355,Risk_Assessment!$B$2:$H$1000,7,FALSE),"")</f>
        <v/>
      </c>
      <c r="E355" s="19">
        <f>IF(C355="No",1,IF(D355="N/A",1,IF(D355="Low (10% reduction)",0.9,IF(D355="Medium (30% reduction)",0.7,IF(D355="High (50% reduction)",0.5,IF(D355="Very High (70% reduction)",0.3,1))))))</f>
        <v/>
      </c>
      <c r="F355" s="18">
        <f>IF(ISBLANK(B355),"",ROUNDUP(SQRT(B355)*E355,0))</f>
        <v/>
      </c>
      <c r="G355" s="15">
        <f>IF(ISBLANK(B355),"",ROUNDUP(B355*E355,0))</f>
        <v/>
      </c>
      <c r="H355" s="12">
        <f>IF(ISBLANK(G355),"",IF(G355&gt;=20,"Critical",IF(G355&gt;=15,"High",IF(G355&gt;=8,"Medium","Low"))))</f>
        <v/>
      </c>
    </row>
    <row r="356">
      <c r="B356" s="18">
        <f>IFERROR(VLOOKUP(A356,Risk_Assessment!$B$2:$H$1000,7,FALSE),"")</f>
        <v/>
      </c>
      <c r="E356" s="19">
        <f>IF(C356="No",1,IF(D356="N/A",1,IF(D356="Low (10% reduction)",0.9,IF(D356="Medium (30% reduction)",0.7,IF(D356="High (50% reduction)",0.5,IF(D356="Very High (70% reduction)",0.3,1))))))</f>
        <v/>
      </c>
      <c r="F356" s="18">
        <f>IF(ISBLANK(B356),"",ROUNDUP(SQRT(B356)*E356,0))</f>
        <v/>
      </c>
      <c r="G356" s="15">
        <f>IF(ISBLANK(B356),"",ROUNDUP(B356*E356,0))</f>
        <v/>
      </c>
      <c r="H356" s="12">
        <f>IF(ISBLANK(G356),"",IF(G356&gt;=20,"Critical",IF(G356&gt;=15,"High",IF(G356&gt;=8,"Medium","Low"))))</f>
        <v/>
      </c>
    </row>
    <row r="357">
      <c r="B357" s="18">
        <f>IFERROR(VLOOKUP(A357,Risk_Assessment!$B$2:$H$1000,7,FALSE),"")</f>
        <v/>
      </c>
      <c r="E357" s="19">
        <f>IF(C357="No",1,IF(D357="N/A",1,IF(D357="Low (10% reduction)",0.9,IF(D357="Medium (30% reduction)",0.7,IF(D357="High (50% reduction)",0.5,IF(D357="Very High (70% reduction)",0.3,1))))))</f>
        <v/>
      </c>
      <c r="F357" s="18">
        <f>IF(ISBLANK(B357),"",ROUNDUP(SQRT(B357)*E357,0))</f>
        <v/>
      </c>
      <c r="G357" s="15">
        <f>IF(ISBLANK(B357),"",ROUNDUP(B357*E357,0))</f>
        <v/>
      </c>
      <c r="H357" s="12">
        <f>IF(ISBLANK(G357),"",IF(G357&gt;=20,"Critical",IF(G357&gt;=15,"High",IF(G357&gt;=8,"Medium","Low"))))</f>
        <v/>
      </c>
    </row>
    <row r="358">
      <c r="B358" s="18">
        <f>IFERROR(VLOOKUP(A358,Risk_Assessment!$B$2:$H$1000,7,FALSE),"")</f>
        <v/>
      </c>
      <c r="E358" s="19">
        <f>IF(C358="No",1,IF(D358="N/A",1,IF(D358="Low (10% reduction)",0.9,IF(D358="Medium (30% reduction)",0.7,IF(D358="High (50% reduction)",0.5,IF(D358="Very High (70% reduction)",0.3,1))))))</f>
        <v/>
      </c>
      <c r="F358" s="18">
        <f>IF(ISBLANK(B358),"",ROUNDUP(SQRT(B358)*E358,0))</f>
        <v/>
      </c>
      <c r="G358" s="15">
        <f>IF(ISBLANK(B358),"",ROUNDUP(B358*E358,0))</f>
        <v/>
      </c>
      <c r="H358" s="12">
        <f>IF(ISBLANK(G358),"",IF(G358&gt;=20,"Critical",IF(G358&gt;=15,"High",IF(G358&gt;=8,"Medium","Low"))))</f>
        <v/>
      </c>
    </row>
    <row r="359">
      <c r="B359" s="18">
        <f>IFERROR(VLOOKUP(A359,Risk_Assessment!$B$2:$H$1000,7,FALSE),"")</f>
        <v/>
      </c>
      <c r="E359" s="19">
        <f>IF(C359="No",1,IF(D359="N/A",1,IF(D359="Low (10% reduction)",0.9,IF(D359="Medium (30% reduction)",0.7,IF(D359="High (50% reduction)",0.5,IF(D359="Very High (70% reduction)",0.3,1))))))</f>
        <v/>
      </c>
      <c r="F359" s="18">
        <f>IF(ISBLANK(B359),"",ROUNDUP(SQRT(B359)*E359,0))</f>
        <v/>
      </c>
      <c r="G359" s="15">
        <f>IF(ISBLANK(B359),"",ROUNDUP(B359*E359,0))</f>
        <v/>
      </c>
      <c r="H359" s="12">
        <f>IF(ISBLANK(G359),"",IF(G359&gt;=20,"Critical",IF(G359&gt;=15,"High",IF(G359&gt;=8,"Medium","Low"))))</f>
        <v/>
      </c>
    </row>
    <row r="360">
      <c r="B360" s="18">
        <f>IFERROR(VLOOKUP(A360,Risk_Assessment!$B$2:$H$1000,7,FALSE),"")</f>
        <v/>
      </c>
      <c r="E360" s="19">
        <f>IF(C360="No",1,IF(D360="N/A",1,IF(D360="Low (10% reduction)",0.9,IF(D360="Medium (30% reduction)",0.7,IF(D360="High (50% reduction)",0.5,IF(D360="Very High (70% reduction)",0.3,1))))))</f>
        <v/>
      </c>
      <c r="F360" s="18">
        <f>IF(ISBLANK(B360),"",ROUNDUP(SQRT(B360)*E360,0))</f>
        <v/>
      </c>
      <c r="G360" s="15">
        <f>IF(ISBLANK(B360),"",ROUNDUP(B360*E360,0))</f>
        <v/>
      </c>
      <c r="H360" s="12">
        <f>IF(ISBLANK(G360),"",IF(G360&gt;=20,"Critical",IF(G360&gt;=15,"High",IF(G360&gt;=8,"Medium","Low"))))</f>
        <v/>
      </c>
    </row>
    <row r="361">
      <c r="B361" s="18">
        <f>IFERROR(VLOOKUP(A361,Risk_Assessment!$B$2:$H$1000,7,FALSE),"")</f>
        <v/>
      </c>
      <c r="E361" s="19">
        <f>IF(C361="No",1,IF(D361="N/A",1,IF(D361="Low (10% reduction)",0.9,IF(D361="Medium (30% reduction)",0.7,IF(D361="High (50% reduction)",0.5,IF(D361="Very High (70% reduction)",0.3,1))))))</f>
        <v/>
      </c>
      <c r="F361" s="18">
        <f>IF(ISBLANK(B361),"",ROUNDUP(SQRT(B361)*E361,0))</f>
        <v/>
      </c>
      <c r="G361" s="15">
        <f>IF(ISBLANK(B361),"",ROUNDUP(B361*E361,0))</f>
        <v/>
      </c>
      <c r="H361" s="12">
        <f>IF(ISBLANK(G361),"",IF(G361&gt;=20,"Critical",IF(G361&gt;=15,"High",IF(G361&gt;=8,"Medium","Low"))))</f>
        <v/>
      </c>
    </row>
    <row r="362">
      <c r="B362" s="18">
        <f>IFERROR(VLOOKUP(A362,Risk_Assessment!$B$2:$H$1000,7,FALSE),"")</f>
        <v/>
      </c>
      <c r="E362" s="19">
        <f>IF(C362="No",1,IF(D362="N/A",1,IF(D362="Low (10% reduction)",0.9,IF(D362="Medium (30% reduction)",0.7,IF(D362="High (50% reduction)",0.5,IF(D362="Very High (70% reduction)",0.3,1))))))</f>
        <v/>
      </c>
      <c r="F362" s="18">
        <f>IF(ISBLANK(B362),"",ROUNDUP(SQRT(B362)*E362,0))</f>
        <v/>
      </c>
      <c r="G362" s="15">
        <f>IF(ISBLANK(B362),"",ROUNDUP(B362*E362,0))</f>
        <v/>
      </c>
      <c r="H362" s="12">
        <f>IF(ISBLANK(G362),"",IF(G362&gt;=20,"Critical",IF(G362&gt;=15,"High",IF(G362&gt;=8,"Medium","Low"))))</f>
        <v/>
      </c>
    </row>
    <row r="363">
      <c r="B363" s="18">
        <f>IFERROR(VLOOKUP(A363,Risk_Assessment!$B$2:$H$1000,7,FALSE),"")</f>
        <v/>
      </c>
      <c r="E363" s="19">
        <f>IF(C363="No",1,IF(D363="N/A",1,IF(D363="Low (10% reduction)",0.9,IF(D363="Medium (30% reduction)",0.7,IF(D363="High (50% reduction)",0.5,IF(D363="Very High (70% reduction)",0.3,1))))))</f>
        <v/>
      </c>
      <c r="F363" s="18">
        <f>IF(ISBLANK(B363),"",ROUNDUP(SQRT(B363)*E363,0))</f>
        <v/>
      </c>
      <c r="G363" s="15">
        <f>IF(ISBLANK(B363),"",ROUNDUP(B363*E363,0))</f>
        <v/>
      </c>
      <c r="H363" s="12">
        <f>IF(ISBLANK(G363),"",IF(G363&gt;=20,"Critical",IF(G363&gt;=15,"High",IF(G363&gt;=8,"Medium","Low"))))</f>
        <v/>
      </c>
    </row>
    <row r="364">
      <c r="B364" s="18">
        <f>IFERROR(VLOOKUP(A364,Risk_Assessment!$B$2:$H$1000,7,FALSE),"")</f>
        <v/>
      </c>
      <c r="E364" s="19">
        <f>IF(C364="No",1,IF(D364="N/A",1,IF(D364="Low (10% reduction)",0.9,IF(D364="Medium (30% reduction)",0.7,IF(D364="High (50% reduction)",0.5,IF(D364="Very High (70% reduction)",0.3,1))))))</f>
        <v/>
      </c>
      <c r="F364" s="18">
        <f>IF(ISBLANK(B364),"",ROUNDUP(SQRT(B364)*E364,0))</f>
        <v/>
      </c>
      <c r="G364" s="15">
        <f>IF(ISBLANK(B364),"",ROUNDUP(B364*E364,0))</f>
        <v/>
      </c>
      <c r="H364" s="12">
        <f>IF(ISBLANK(G364),"",IF(G364&gt;=20,"Critical",IF(G364&gt;=15,"High",IF(G364&gt;=8,"Medium","Low"))))</f>
        <v/>
      </c>
    </row>
    <row r="365">
      <c r="B365" s="18">
        <f>IFERROR(VLOOKUP(A365,Risk_Assessment!$B$2:$H$1000,7,FALSE),"")</f>
        <v/>
      </c>
      <c r="E365" s="19">
        <f>IF(C365="No",1,IF(D365="N/A",1,IF(D365="Low (10% reduction)",0.9,IF(D365="Medium (30% reduction)",0.7,IF(D365="High (50% reduction)",0.5,IF(D365="Very High (70% reduction)",0.3,1))))))</f>
        <v/>
      </c>
      <c r="F365" s="18">
        <f>IF(ISBLANK(B365),"",ROUNDUP(SQRT(B365)*E365,0))</f>
        <v/>
      </c>
      <c r="G365" s="15">
        <f>IF(ISBLANK(B365),"",ROUNDUP(B365*E365,0))</f>
        <v/>
      </c>
      <c r="H365" s="12">
        <f>IF(ISBLANK(G365),"",IF(G365&gt;=20,"Critical",IF(G365&gt;=15,"High",IF(G365&gt;=8,"Medium","Low"))))</f>
        <v/>
      </c>
    </row>
    <row r="366">
      <c r="B366" s="18">
        <f>IFERROR(VLOOKUP(A366,Risk_Assessment!$B$2:$H$1000,7,FALSE),"")</f>
        <v/>
      </c>
      <c r="E366" s="19">
        <f>IF(C366="No",1,IF(D366="N/A",1,IF(D366="Low (10% reduction)",0.9,IF(D366="Medium (30% reduction)",0.7,IF(D366="High (50% reduction)",0.5,IF(D366="Very High (70% reduction)",0.3,1))))))</f>
        <v/>
      </c>
      <c r="F366" s="18">
        <f>IF(ISBLANK(B366),"",ROUNDUP(SQRT(B366)*E366,0))</f>
        <v/>
      </c>
      <c r="G366" s="15">
        <f>IF(ISBLANK(B366),"",ROUNDUP(B366*E366,0))</f>
        <v/>
      </c>
      <c r="H366" s="12">
        <f>IF(ISBLANK(G366),"",IF(G366&gt;=20,"Critical",IF(G366&gt;=15,"High",IF(G366&gt;=8,"Medium","Low"))))</f>
        <v/>
      </c>
    </row>
    <row r="367">
      <c r="B367" s="18">
        <f>IFERROR(VLOOKUP(A367,Risk_Assessment!$B$2:$H$1000,7,FALSE),"")</f>
        <v/>
      </c>
      <c r="E367" s="19">
        <f>IF(C367="No",1,IF(D367="N/A",1,IF(D367="Low (10% reduction)",0.9,IF(D367="Medium (30% reduction)",0.7,IF(D367="High (50% reduction)",0.5,IF(D367="Very High (70% reduction)",0.3,1))))))</f>
        <v/>
      </c>
      <c r="F367" s="18">
        <f>IF(ISBLANK(B367),"",ROUNDUP(SQRT(B367)*E367,0))</f>
        <v/>
      </c>
      <c r="G367" s="15">
        <f>IF(ISBLANK(B367),"",ROUNDUP(B367*E367,0))</f>
        <v/>
      </c>
      <c r="H367" s="12">
        <f>IF(ISBLANK(G367),"",IF(G367&gt;=20,"Critical",IF(G367&gt;=15,"High",IF(G367&gt;=8,"Medium","Low"))))</f>
        <v/>
      </c>
    </row>
    <row r="368">
      <c r="B368" s="18">
        <f>IFERROR(VLOOKUP(A368,Risk_Assessment!$B$2:$H$1000,7,FALSE),"")</f>
        <v/>
      </c>
      <c r="E368" s="19">
        <f>IF(C368="No",1,IF(D368="N/A",1,IF(D368="Low (10% reduction)",0.9,IF(D368="Medium (30% reduction)",0.7,IF(D368="High (50% reduction)",0.5,IF(D368="Very High (70% reduction)",0.3,1))))))</f>
        <v/>
      </c>
      <c r="F368" s="18">
        <f>IF(ISBLANK(B368),"",ROUNDUP(SQRT(B368)*E368,0))</f>
        <v/>
      </c>
      <c r="G368" s="15">
        <f>IF(ISBLANK(B368),"",ROUNDUP(B368*E368,0))</f>
        <v/>
      </c>
      <c r="H368" s="12">
        <f>IF(ISBLANK(G368),"",IF(G368&gt;=20,"Critical",IF(G368&gt;=15,"High",IF(G368&gt;=8,"Medium","Low"))))</f>
        <v/>
      </c>
    </row>
    <row r="369">
      <c r="B369" s="18">
        <f>IFERROR(VLOOKUP(A369,Risk_Assessment!$B$2:$H$1000,7,FALSE),"")</f>
        <v/>
      </c>
      <c r="E369" s="19">
        <f>IF(C369="No",1,IF(D369="N/A",1,IF(D369="Low (10% reduction)",0.9,IF(D369="Medium (30% reduction)",0.7,IF(D369="High (50% reduction)",0.5,IF(D369="Very High (70% reduction)",0.3,1))))))</f>
        <v/>
      </c>
      <c r="F369" s="18">
        <f>IF(ISBLANK(B369),"",ROUNDUP(SQRT(B369)*E369,0))</f>
        <v/>
      </c>
      <c r="G369" s="15">
        <f>IF(ISBLANK(B369),"",ROUNDUP(B369*E369,0))</f>
        <v/>
      </c>
      <c r="H369" s="12">
        <f>IF(ISBLANK(G369),"",IF(G369&gt;=20,"Critical",IF(G369&gt;=15,"High",IF(G369&gt;=8,"Medium","Low"))))</f>
        <v/>
      </c>
    </row>
    <row r="370">
      <c r="B370" s="18">
        <f>IFERROR(VLOOKUP(A370,Risk_Assessment!$B$2:$H$1000,7,FALSE),"")</f>
        <v/>
      </c>
      <c r="E370" s="19">
        <f>IF(C370="No",1,IF(D370="N/A",1,IF(D370="Low (10% reduction)",0.9,IF(D370="Medium (30% reduction)",0.7,IF(D370="High (50% reduction)",0.5,IF(D370="Very High (70% reduction)",0.3,1))))))</f>
        <v/>
      </c>
      <c r="F370" s="18">
        <f>IF(ISBLANK(B370),"",ROUNDUP(SQRT(B370)*E370,0))</f>
        <v/>
      </c>
      <c r="G370" s="15">
        <f>IF(ISBLANK(B370),"",ROUNDUP(B370*E370,0))</f>
        <v/>
      </c>
      <c r="H370" s="12">
        <f>IF(ISBLANK(G370),"",IF(G370&gt;=20,"Critical",IF(G370&gt;=15,"High",IF(G370&gt;=8,"Medium","Low"))))</f>
        <v/>
      </c>
    </row>
    <row r="371">
      <c r="B371" s="18">
        <f>IFERROR(VLOOKUP(A371,Risk_Assessment!$B$2:$H$1000,7,FALSE),"")</f>
        <v/>
      </c>
      <c r="E371" s="19">
        <f>IF(C371="No",1,IF(D371="N/A",1,IF(D371="Low (10% reduction)",0.9,IF(D371="Medium (30% reduction)",0.7,IF(D371="High (50% reduction)",0.5,IF(D371="Very High (70% reduction)",0.3,1))))))</f>
        <v/>
      </c>
      <c r="F371" s="18">
        <f>IF(ISBLANK(B371),"",ROUNDUP(SQRT(B371)*E371,0))</f>
        <v/>
      </c>
      <c r="G371" s="15">
        <f>IF(ISBLANK(B371),"",ROUNDUP(B371*E371,0))</f>
        <v/>
      </c>
      <c r="H371" s="12">
        <f>IF(ISBLANK(G371),"",IF(G371&gt;=20,"Critical",IF(G371&gt;=15,"High",IF(G371&gt;=8,"Medium","Low"))))</f>
        <v/>
      </c>
    </row>
    <row r="372">
      <c r="B372" s="18">
        <f>IFERROR(VLOOKUP(A372,Risk_Assessment!$B$2:$H$1000,7,FALSE),"")</f>
        <v/>
      </c>
      <c r="E372" s="19">
        <f>IF(C372="No",1,IF(D372="N/A",1,IF(D372="Low (10% reduction)",0.9,IF(D372="Medium (30% reduction)",0.7,IF(D372="High (50% reduction)",0.5,IF(D372="Very High (70% reduction)",0.3,1))))))</f>
        <v/>
      </c>
      <c r="F372" s="18">
        <f>IF(ISBLANK(B372),"",ROUNDUP(SQRT(B372)*E372,0))</f>
        <v/>
      </c>
      <c r="G372" s="15">
        <f>IF(ISBLANK(B372),"",ROUNDUP(B372*E372,0))</f>
        <v/>
      </c>
      <c r="H372" s="12">
        <f>IF(ISBLANK(G372),"",IF(G372&gt;=20,"Critical",IF(G372&gt;=15,"High",IF(G372&gt;=8,"Medium","Low"))))</f>
        <v/>
      </c>
    </row>
    <row r="373">
      <c r="B373" s="18">
        <f>IFERROR(VLOOKUP(A373,Risk_Assessment!$B$2:$H$1000,7,FALSE),"")</f>
        <v/>
      </c>
      <c r="E373" s="19">
        <f>IF(C373="No",1,IF(D373="N/A",1,IF(D373="Low (10% reduction)",0.9,IF(D373="Medium (30% reduction)",0.7,IF(D373="High (50% reduction)",0.5,IF(D373="Very High (70% reduction)",0.3,1))))))</f>
        <v/>
      </c>
      <c r="F373" s="18">
        <f>IF(ISBLANK(B373),"",ROUNDUP(SQRT(B373)*E373,0))</f>
        <v/>
      </c>
      <c r="G373" s="15">
        <f>IF(ISBLANK(B373),"",ROUNDUP(B373*E373,0))</f>
        <v/>
      </c>
      <c r="H373" s="12">
        <f>IF(ISBLANK(G373),"",IF(G373&gt;=20,"Critical",IF(G373&gt;=15,"High",IF(G373&gt;=8,"Medium","Low"))))</f>
        <v/>
      </c>
    </row>
    <row r="374">
      <c r="B374" s="18">
        <f>IFERROR(VLOOKUP(A374,Risk_Assessment!$B$2:$H$1000,7,FALSE),"")</f>
        <v/>
      </c>
      <c r="E374" s="19">
        <f>IF(C374="No",1,IF(D374="N/A",1,IF(D374="Low (10% reduction)",0.9,IF(D374="Medium (30% reduction)",0.7,IF(D374="High (50% reduction)",0.5,IF(D374="Very High (70% reduction)",0.3,1))))))</f>
        <v/>
      </c>
      <c r="F374" s="18">
        <f>IF(ISBLANK(B374),"",ROUNDUP(SQRT(B374)*E374,0))</f>
        <v/>
      </c>
      <c r="G374" s="15">
        <f>IF(ISBLANK(B374),"",ROUNDUP(B374*E374,0))</f>
        <v/>
      </c>
      <c r="H374" s="12">
        <f>IF(ISBLANK(G374),"",IF(G374&gt;=20,"Critical",IF(G374&gt;=15,"High",IF(G374&gt;=8,"Medium","Low"))))</f>
        <v/>
      </c>
    </row>
    <row r="375">
      <c r="B375" s="18">
        <f>IFERROR(VLOOKUP(A375,Risk_Assessment!$B$2:$H$1000,7,FALSE),"")</f>
        <v/>
      </c>
      <c r="E375" s="19">
        <f>IF(C375="No",1,IF(D375="N/A",1,IF(D375="Low (10% reduction)",0.9,IF(D375="Medium (30% reduction)",0.7,IF(D375="High (50% reduction)",0.5,IF(D375="Very High (70% reduction)",0.3,1))))))</f>
        <v/>
      </c>
      <c r="F375" s="18">
        <f>IF(ISBLANK(B375),"",ROUNDUP(SQRT(B375)*E375,0))</f>
        <v/>
      </c>
      <c r="G375" s="15">
        <f>IF(ISBLANK(B375),"",ROUNDUP(B375*E375,0))</f>
        <v/>
      </c>
      <c r="H375" s="12">
        <f>IF(ISBLANK(G375),"",IF(G375&gt;=20,"Critical",IF(G375&gt;=15,"High",IF(G375&gt;=8,"Medium","Low"))))</f>
        <v/>
      </c>
    </row>
    <row r="376">
      <c r="B376" s="18">
        <f>IFERROR(VLOOKUP(A376,Risk_Assessment!$B$2:$H$1000,7,FALSE),"")</f>
        <v/>
      </c>
      <c r="E376" s="19">
        <f>IF(C376="No",1,IF(D376="N/A",1,IF(D376="Low (10% reduction)",0.9,IF(D376="Medium (30% reduction)",0.7,IF(D376="High (50% reduction)",0.5,IF(D376="Very High (70% reduction)",0.3,1))))))</f>
        <v/>
      </c>
      <c r="F376" s="18">
        <f>IF(ISBLANK(B376),"",ROUNDUP(SQRT(B376)*E376,0))</f>
        <v/>
      </c>
      <c r="G376" s="15">
        <f>IF(ISBLANK(B376),"",ROUNDUP(B376*E376,0))</f>
        <v/>
      </c>
      <c r="H376" s="12">
        <f>IF(ISBLANK(G376),"",IF(G376&gt;=20,"Critical",IF(G376&gt;=15,"High",IF(G376&gt;=8,"Medium","Low"))))</f>
        <v/>
      </c>
    </row>
    <row r="377">
      <c r="B377" s="18">
        <f>IFERROR(VLOOKUP(A377,Risk_Assessment!$B$2:$H$1000,7,FALSE),"")</f>
        <v/>
      </c>
      <c r="E377" s="19">
        <f>IF(C377="No",1,IF(D377="N/A",1,IF(D377="Low (10% reduction)",0.9,IF(D377="Medium (30% reduction)",0.7,IF(D377="High (50% reduction)",0.5,IF(D377="Very High (70% reduction)",0.3,1))))))</f>
        <v/>
      </c>
      <c r="F377" s="18">
        <f>IF(ISBLANK(B377),"",ROUNDUP(SQRT(B377)*E377,0))</f>
        <v/>
      </c>
      <c r="G377" s="15">
        <f>IF(ISBLANK(B377),"",ROUNDUP(B377*E377,0))</f>
        <v/>
      </c>
      <c r="H377" s="12">
        <f>IF(ISBLANK(G377),"",IF(G377&gt;=20,"Critical",IF(G377&gt;=15,"High",IF(G377&gt;=8,"Medium","Low"))))</f>
        <v/>
      </c>
    </row>
    <row r="378">
      <c r="B378" s="18">
        <f>IFERROR(VLOOKUP(A378,Risk_Assessment!$B$2:$H$1000,7,FALSE),"")</f>
        <v/>
      </c>
      <c r="E378" s="19">
        <f>IF(C378="No",1,IF(D378="N/A",1,IF(D378="Low (10% reduction)",0.9,IF(D378="Medium (30% reduction)",0.7,IF(D378="High (50% reduction)",0.5,IF(D378="Very High (70% reduction)",0.3,1))))))</f>
        <v/>
      </c>
      <c r="F378" s="18">
        <f>IF(ISBLANK(B378),"",ROUNDUP(SQRT(B378)*E378,0))</f>
        <v/>
      </c>
      <c r="G378" s="15">
        <f>IF(ISBLANK(B378),"",ROUNDUP(B378*E378,0))</f>
        <v/>
      </c>
      <c r="H378" s="12">
        <f>IF(ISBLANK(G378),"",IF(G378&gt;=20,"Critical",IF(G378&gt;=15,"High",IF(G378&gt;=8,"Medium","Low"))))</f>
        <v/>
      </c>
    </row>
    <row r="379">
      <c r="B379" s="18">
        <f>IFERROR(VLOOKUP(A379,Risk_Assessment!$B$2:$H$1000,7,FALSE),"")</f>
        <v/>
      </c>
      <c r="E379" s="19">
        <f>IF(C379="No",1,IF(D379="N/A",1,IF(D379="Low (10% reduction)",0.9,IF(D379="Medium (30% reduction)",0.7,IF(D379="High (50% reduction)",0.5,IF(D379="Very High (70% reduction)",0.3,1))))))</f>
        <v/>
      </c>
      <c r="F379" s="18">
        <f>IF(ISBLANK(B379),"",ROUNDUP(SQRT(B379)*E379,0))</f>
        <v/>
      </c>
      <c r="G379" s="15">
        <f>IF(ISBLANK(B379),"",ROUNDUP(B379*E379,0))</f>
        <v/>
      </c>
      <c r="H379" s="12">
        <f>IF(ISBLANK(G379),"",IF(G379&gt;=20,"Critical",IF(G379&gt;=15,"High",IF(G379&gt;=8,"Medium","Low"))))</f>
        <v/>
      </c>
    </row>
    <row r="380">
      <c r="B380" s="18">
        <f>IFERROR(VLOOKUP(A380,Risk_Assessment!$B$2:$H$1000,7,FALSE),"")</f>
        <v/>
      </c>
      <c r="E380" s="19">
        <f>IF(C380="No",1,IF(D380="N/A",1,IF(D380="Low (10% reduction)",0.9,IF(D380="Medium (30% reduction)",0.7,IF(D380="High (50% reduction)",0.5,IF(D380="Very High (70% reduction)",0.3,1))))))</f>
        <v/>
      </c>
      <c r="F380" s="18">
        <f>IF(ISBLANK(B380),"",ROUNDUP(SQRT(B380)*E380,0))</f>
        <v/>
      </c>
      <c r="G380" s="15">
        <f>IF(ISBLANK(B380),"",ROUNDUP(B380*E380,0))</f>
        <v/>
      </c>
      <c r="H380" s="12">
        <f>IF(ISBLANK(G380),"",IF(G380&gt;=20,"Critical",IF(G380&gt;=15,"High",IF(G380&gt;=8,"Medium","Low"))))</f>
        <v/>
      </c>
    </row>
    <row r="381">
      <c r="B381" s="18">
        <f>IFERROR(VLOOKUP(A381,Risk_Assessment!$B$2:$H$1000,7,FALSE),"")</f>
        <v/>
      </c>
      <c r="E381" s="19">
        <f>IF(C381="No",1,IF(D381="N/A",1,IF(D381="Low (10% reduction)",0.9,IF(D381="Medium (30% reduction)",0.7,IF(D381="High (50% reduction)",0.5,IF(D381="Very High (70% reduction)",0.3,1))))))</f>
        <v/>
      </c>
      <c r="F381" s="18">
        <f>IF(ISBLANK(B381),"",ROUNDUP(SQRT(B381)*E381,0))</f>
        <v/>
      </c>
      <c r="G381" s="15">
        <f>IF(ISBLANK(B381),"",ROUNDUP(B381*E381,0))</f>
        <v/>
      </c>
      <c r="H381" s="12">
        <f>IF(ISBLANK(G381),"",IF(G381&gt;=20,"Critical",IF(G381&gt;=15,"High",IF(G381&gt;=8,"Medium","Low"))))</f>
        <v/>
      </c>
    </row>
    <row r="382">
      <c r="B382" s="18">
        <f>IFERROR(VLOOKUP(A382,Risk_Assessment!$B$2:$H$1000,7,FALSE),"")</f>
        <v/>
      </c>
      <c r="E382" s="19">
        <f>IF(C382="No",1,IF(D382="N/A",1,IF(D382="Low (10% reduction)",0.9,IF(D382="Medium (30% reduction)",0.7,IF(D382="High (50% reduction)",0.5,IF(D382="Very High (70% reduction)",0.3,1))))))</f>
        <v/>
      </c>
      <c r="F382" s="18">
        <f>IF(ISBLANK(B382),"",ROUNDUP(SQRT(B382)*E382,0))</f>
        <v/>
      </c>
      <c r="G382" s="15">
        <f>IF(ISBLANK(B382),"",ROUNDUP(B382*E382,0))</f>
        <v/>
      </c>
      <c r="H382" s="12">
        <f>IF(ISBLANK(G382),"",IF(G382&gt;=20,"Critical",IF(G382&gt;=15,"High",IF(G382&gt;=8,"Medium","Low"))))</f>
        <v/>
      </c>
    </row>
    <row r="383">
      <c r="B383" s="18">
        <f>IFERROR(VLOOKUP(A383,Risk_Assessment!$B$2:$H$1000,7,FALSE),"")</f>
        <v/>
      </c>
      <c r="E383" s="19">
        <f>IF(C383="No",1,IF(D383="N/A",1,IF(D383="Low (10% reduction)",0.9,IF(D383="Medium (30% reduction)",0.7,IF(D383="High (50% reduction)",0.5,IF(D383="Very High (70% reduction)",0.3,1))))))</f>
        <v/>
      </c>
      <c r="F383" s="18">
        <f>IF(ISBLANK(B383),"",ROUNDUP(SQRT(B383)*E383,0))</f>
        <v/>
      </c>
      <c r="G383" s="15">
        <f>IF(ISBLANK(B383),"",ROUNDUP(B383*E383,0))</f>
        <v/>
      </c>
      <c r="H383" s="12">
        <f>IF(ISBLANK(G383),"",IF(G383&gt;=20,"Critical",IF(G383&gt;=15,"High",IF(G383&gt;=8,"Medium","Low"))))</f>
        <v/>
      </c>
    </row>
    <row r="384">
      <c r="B384" s="18">
        <f>IFERROR(VLOOKUP(A384,Risk_Assessment!$B$2:$H$1000,7,FALSE),"")</f>
        <v/>
      </c>
      <c r="E384" s="19">
        <f>IF(C384="No",1,IF(D384="N/A",1,IF(D384="Low (10% reduction)",0.9,IF(D384="Medium (30% reduction)",0.7,IF(D384="High (50% reduction)",0.5,IF(D384="Very High (70% reduction)",0.3,1))))))</f>
        <v/>
      </c>
      <c r="F384" s="18">
        <f>IF(ISBLANK(B384),"",ROUNDUP(SQRT(B384)*E384,0))</f>
        <v/>
      </c>
      <c r="G384" s="15">
        <f>IF(ISBLANK(B384),"",ROUNDUP(B384*E384,0))</f>
        <v/>
      </c>
      <c r="H384" s="12">
        <f>IF(ISBLANK(G384),"",IF(G384&gt;=20,"Critical",IF(G384&gt;=15,"High",IF(G384&gt;=8,"Medium","Low"))))</f>
        <v/>
      </c>
    </row>
    <row r="385">
      <c r="B385" s="18">
        <f>IFERROR(VLOOKUP(A385,Risk_Assessment!$B$2:$H$1000,7,FALSE),"")</f>
        <v/>
      </c>
      <c r="E385" s="19">
        <f>IF(C385="No",1,IF(D385="N/A",1,IF(D385="Low (10% reduction)",0.9,IF(D385="Medium (30% reduction)",0.7,IF(D385="High (50% reduction)",0.5,IF(D385="Very High (70% reduction)",0.3,1))))))</f>
        <v/>
      </c>
      <c r="F385" s="18">
        <f>IF(ISBLANK(B385),"",ROUNDUP(SQRT(B385)*E385,0))</f>
        <v/>
      </c>
      <c r="G385" s="15">
        <f>IF(ISBLANK(B385),"",ROUNDUP(B385*E385,0))</f>
        <v/>
      </c>
      <c r="H385" s="12">
        <f>IF(ISBLANK(G385),"",IF(G385&gt;=20,"Critical",IF(G385&gt;=15,"High",IF(G385&gt;=8,"Medium","Low"))))</f>
        <v/>
      </c>
    </row>
    <row r="386">
      <c r="B386" s="18">
        <f>IFERROR(VLOOKUP(A386,Risk_Assessment!$B$2:$H$1000,7,FALSE),"")</f>
        <v/>
      </c>
      <c r="E386" s="19">
        <f>IF(C386="No",1,IF(D386="N/A",1,IF(D386="Low (10% reduction)",0.9,IF(D386="Medium (30% reduction)",0.7,IF(D386="High (50% reduction)",0.5,IF(D386="Very High (70% reduction)",0.3,1))))))</f>
        <v/>
      </c>
      <c r="F386" s="18">
        <f>IF(ISBLANK(B386),"",ROUNDUP(SQRT(B386)*E386,0))</f>
        <v/>
      </c>
      <c r="G386" s="15">
        <f>IF(ISBLANK(B386),"",ROUNDUP(B386*E386,0))</f>
        <v/>
      </c>
      <c r="H386" s="12">
        <f>IF(ISBLANK(G386),"",IF(G386&gt;=20,"Critical",IF(G386&gt;=15,"High",IF(G386&gt;=8,"Medium","Low"))))</f>
        <v/>
      </c>
    </row>
    <row r="387">
      <c r="B387" s="18">
        <f>IFERROR(VLOOKUP(A387,Risk_Assessment!$B$2:$H$1000,7,FALSE),"")</f>
        <v/>
      </c>
      <c r="E387" s="19">
        <f>IF(C387="No",1,IF(D387="N/A",1,IF(D387="Low (10% reduction)",0.9,IF(D387="Medium (30% reduction)",0.7,IF(D387="High (50% reduction)",0.5,IF(D387="Very High (70% reduction)",0.3,1))))))</f>
        <v/>
      </c>
      <c r="F387" s="18">
        <f>IF(ISBLANK(B387),"",ROUNDUP(SQRT(B387)*E387,0))</f>
        <v/>
      </c>
      <c r="G387" s="15">
        <f>IF(ISBLANK(B387),"",ROUNDUP(B387*E387,0))</f>
        <v/>
      </c>
      <c r="H387" s="12">
        <f>IF(ISBLANK(G387),"",IF(G387&gt;=20,"Critical",IF(G387&gt;=15,"High",IF(G387&gt;=8,"Medium","Low"))))</f>
        <v/>
      </c>
    </row>
    <row r="388">
      <c r="B388" s="18">
        <f>IFERROR(VLOOKUP(A388,Risk_Assessment!$B$2:$H$1000,7,FALSE),"")</f>
        <v/>
      </c>
      <c r="E388" s="19">
        <f>IF(C388="No",1,IF(D388="N/A",1,IF(D388="Low (10% reduction)",0.9,IF(D388="Medium (30% reduction)",0.7,IF(D388="High (50% reduction)",0.5,IF(D388="Very High (70% reduction)",0.3,1))))))</f>
        <v/>
      </c>
      <c r="F388" s="18">
        <f>IF(ISBLANK(B388),"",ROUNDUP(SQRT(B388)*E388,0))</f>
        <v/>
      </c>
      <c r="G388" s="15">
        <f>IF(ISBLANK(B388),"",ROUNDUP(B388*E388,0))</f>
        <v/>
      </c>
      <c r="H388" s="12">
        <f>IF(ISBLANK(G388),"",IF(G388&gt;=20,"Critical",IF(G388&gt;=15,"High",IF(G388&gt;=8,"Medium","Low"))))</f>
        <v/>
      </c>
    </row>
    <row r="389">
      <c r="B389" s="18">
        <f>IFERROR(VLOOKUP(A389,Risk_Assessment!$B$2:$H$1000,7,FALSE),"")</f>
        <v/>
      </c>
      <c r="E389" s="19">
        <f>IF(C389="No",1,IF(D389="N/A",1,IF(D389="Low (10% reduction)",0.9,IF(D389="Medium (30% reduction)",0.7,IF(D389="High (50% reduction)",0.5,IF(D389="Very High (70% reduction)",0.3,1))))))</f>
        <v/>
      </c>
      <c r="F389" s="18">
        <f>IF(ISBLANK(B389),"",ROUNDUP(SQRT(B389)*E389,0))</f>
        <v/>
      </c>
      <c r="G389" s="15">
        <f>IF(ISBLANK(B389),"",ROUNDUP(B389*E389,0))</f>
        <v/>
      </c>
      <c r="H389" s="12">
        <f>IF(ISBLANK(G389),"",IF(G389&gt;=20,"Critical",IF(G389&gt;=15,"High",IF(G389&gt;=8,"Medium","Low"))))</f>
        <v/>
      </c>
    </row>
    <row r="390">
      <c r="B390" s="18">
        <f>IFERROR(VLOOKUP(A390,Risk_Assessment!$B$2:$H$1000,7,FALSE),"")</f>
        <v/>
      </c>
      <c r="E390" s="19">
        <f>IF(C390="No",1,IF(D390="N/A",1,IF(D390="Low (10% reduction)",0.9,IF(D390="Medium (30% reduction)",0.7,IF(D390="High (50% reduction)",0.5,IF(D390="Very High (70% reduction)",0.3,1))))))</f>
        <v/>
      </c>
      <c r="F390" s="18">
        <f>IF(ISBLANK(B390),"",ROUNDUP(SQRT(B390)*E390,0))</f>
        <v/>
      </c>
      <c r="G390" s="15">
        <f>IF(ISBLANK(B390),"",ROUNDUP(B390*E390,0))</f>
        <v/>
      </c>
      <c r="H390" s="12">
        <f>IF(ISBLANK(G390),"",IF(G390&gt;=20,"Critical",IF(G390&gt;=15,"High",IF(G390&gt;=8,"Medium","Low"))))</f>
        <v/>
      </c>
    </row>
    <row r="391">
      <c r="B391" s="18">
        <f>IFERROR(VLOOKUP(A391,Risk_Assessment!$B$2:$H$1000,7,FALSE),"")</f>
        <v/>
      </c>
      <c r="E391" s="19">
        <f>IF(C391="No",1,IF(D391="N/A",1,IF(D391="Low (10% reduction)",0.9,IF(D391="Medium (30% reduction)",0.7,IF(D391="High (50% reduction)",0.5,IF(D391="Very High (70% reduction)",0.3,1))))))</f>
        <v/>
      </c>
      <c r="F391" s="18">
        <f>IF(ISBLANK(B391),"",ROUNDUP(SQRT(B391)*E391,0))</f>
        <v/>
      </c>
      <c r="G391" s="15">
        <f>IF(ISBLANK(B391),"",ROUNDUP(B391*E391,0))</f>
        <v/>
      </c>
      <c r="H391" s="12">
        <f>IF(ISBLANK(G391),"",IF(G391&gt;=20,"Critical",IF(G391&gt;=15,"High",IF(G391&gt;=8,"Medium","Low"))))</f>
        <v/>
      </c>
    </row>
    <row r="392">
      <c r="B392" s="18">
        <f>IFERROR(VLOOKUP(A392,Risk_Assessment!$B$2:$H$1000,7,FALSE),"")</f>
        <v/>
      </c>
      <c r="E392" s="19">
        <f>IF(C392="No",1,IF(D392="N/A",1,IF(D392="Low (10% reduction)",0.9,IF(D392="Medium (30% reduction)",0.7,IF(D392="High (50% reduction)",0.5,IF(D392="Very High (70% reduction)",0.3,1))))))</f>
        <v/>
      </c>
      <c r="F392" s="18">
        <f>IF(ISBLANK(B392),"",ROUNDUP(SQRT(B392)*E392,0))</f>
        <v/>
      </c>
      <c r="G392" s="15">
        <f>IF(ISBLANK(B392),"",ROUNDUP(B392*E392,0))</f>
        <v/>
      </c>
      <c r="H392" s="12">
        <f>IF(ISBLANK(G392),"",IF(G392&gt;=20,"Critical",IF(G392&gt;=15,"High",IF(G392&gt;=8,"Medium","Low"))))</f>
        <v/>
      </c>
    </row>
    <row r="393">
      <c r="B393" s="18">
        <f>IFERROR(VLOOKUP(A393,Risk_Assessment!$B$2:$H$1000,7,FALSE),"")</f>
        <v/>
      </c>
      <c r="E393" s="19">
        <f>IF(C393="No",1,IF(D393="N/A",1,IF(D393="Low (10% reduction)",0.9,IF(D393="Medium (30% reduction)",0.7,IF(D393="High (50% reduction)",0.5,IF(D393="Very High (70% reduction)",0.3,1))))))</f>
        <v/>
      </c>
      <c r="F393" s="18">
        <f>IF(ISBLANK(B393),"",ROUNDUP(SQRT(B393)*E393,0))</f>
        <v/>
      </c>
      <c r="G393" s="15">
        <f>IF(ISBLANK(B393),"",ROUNDUP(B393*E393,0))</f>
        <v/>
      </c>
      <c r="H393" s="12">
        <f>IF(ISBLANK(G393),"",IF(G393&gt;=20,"Critical",IF(G393&gt;=15,"High",IF(G393&gt;=8,"Medium","Low"))))</f>
        <v/>
      </c>
    </row>
    <row r="394">
      <c r="B394" s="18">
        <f>IFERROR(VLOOKUP(A394,Risk_Assessment!$B$2:$H$1000,7,FALSE),"")</f>
        <v/>
      </c>
      <c r="E394" s="19">
        <f>IF(C394="No",1,IF(D394="N/A",1,IF(D394="Low (10% reduction)",0.9,IF(D394="Medium (30% reduction)",0.7,IF(D394="High (50% reduction)",0.5,IF(D394="Very High (70% reduction)",0.3,1))))))</f>
        <v/>
      </c>
      <c r="F394" s="18">
        <f>IF(ISBLANK(B394),"",ROUNDUP(SQRT(B394)*E394,0))</f>
        <v/>
      </c>
      <c r="G394" s="15">
        <f>IF(ISBLANK(B394),"",ROUNDUP(B394*E394,0))</f>
        <v/>
      </c>
      <c r="H394" s="12">
        <f>IF(ISBLANK(G394),"",IF(G394&gt;=20,"Critical",IF(G394&gt;=15,"High",IF(G394&gt;=8,"Medium","Low"))))</f>
        <v/>
      </c>
    </row>
    <row r="395">
      <c r="B395" s="18">
        <f>IFERROR(VLOOKUP(A395,Risk_Assessment!$B$2:$H$1000,7,FALSE),"")</f>
        <v/>
      </c>
      <c r="E395" s="19">
        <f>IF(C395="No",1,IF(D395="N/A",1,IF(D395="Low (10% reduction)",0.9,IF(D395="Medium (30% reduction)",0.7,IF(D395="High (50% reduction)",0.5,IF(D395="Very High (70% reduction)",0.3,1))))))</f>
        <v/>
      </c>
      <c r="F395" s="18">
        <f>IF(ISBLANK(B395),"",ROUNDUP(SQRT(B395)*E395,0))</f>
        <v/>
      </c>
      <c r="G395" s="15">
        <f>IF(ISBLANK(B395),"",ROUNDUP(B395*E395,0))</f>
        <v/>
      </c>
      <c r="H395" s="12">
        <f>IF(ISBLANK(G395),"",IF(G395&gt;=20,"Critical",IF(G395&gt;=15,"High",IF(G395&gt;=8,"Medium","Low"))))</f>
        <v/>
      </c>
    </row>
    <row r="396">
      <c r="B396" s="18">
        <f>IFERROR(VLOOKUP(A396,Risk_Assessment!$B$2:$H$1000,7,FALSE),"")</f>
        <v/>
      </c>
      <c r="E396" s="19">
        <f>IF(C396="No",1,IF(D396="N/A",1,IF(D396="Low (10% reduction)",0.9,IF(D396="Medium (30% reduction)",0.7,IF(D396="High (50% reduction)",0.5,IF(D396="Very High (70% reduction)",0.3,1))))))</f>
        <v/>
      </c>
      <c r="F396" s="18">
        <f>IF(ISBLANK(B396),"",ROUNDUP(SQRT(B396)*E396,0))</f>
        <v/>
      </c>
      <c r="G396" s="15">
        <f>IF(ISBLANK(B396),"",ROUNDUP(B396*E396,0))</f>
        <v/>
      </c>
      <c r="H396" s="12">
        <f>IF(ISBLANK(G396),"",IF(G396&gt;=20,"Critical",IF(G396&gt;=15,"High",IF(G396&gt;=8,"Medium","Low"))))</f>
        <v/>
      </c>
    </row>
    <row r="397">
      <c r="B397" s="18">
        <f>IFERROR(VLOOKUP(A397,Risk_Assessment!$B$2:$H$1000,7,FALSE),"")</f>
        <v/>
      </c>
      <c r="E397" s="19">
        <f>IF(C397="No",1,IF(D397="N/A",1,IF(D397="Low (10% reduction)",0.9,IF(D397="Medium (30% reduction)",0.7,IF(D397="High (50% reduction)",0.5,IF(D397="Very High (70% reduction)",0.3,1))))))</f>
        <v/>
      </c>
      <c r="F397" s="18">
        <f>IF(ISBLANK(B397),"",ROUNDUP(SQRT(B397)*E397,0))</f>
        <v/>
      </c>
      <c r="G397" s="15">
        <f>IF(ISBLANK(B397),"",ROUNDUP(B397*E397,0))</f>
        <v/>
      </c>
      <c r="H397" s="12">
        <f>IF(ISBLANK(G397),"",IF(G397&gt;=20,"Critical",IF(G397&gt;=15,"High",IF(G397&gt;=8,"Medium","Low"))))</f>
        <v/>
      </c>
    </row>
    <row r="398">
      <c r="B398" s="18">
        <f>IFERROR(VLOOKUP(A398,Risk_Assessment!$B$2:$H$1000,7,FALSE),"")</f>
        <v/>
      </c>
      <c r="E398" s="19">
        <f>IF(C398="No",1,IF(D398="N/A",1,IF(D398="Low (10% reduction)",0.9,IF(D398="Medium (30% reduction)",0.7,IF(D398="High (50% reduction)",0.5,IF(D398="Very High (70% reduction)",0.3,1))))))</f>
        <v/>
      </c>
      <c r="F398" s="18">
        <f>IF(ISBLANK(B398),"",ROUNDUP(SQRT(B398)*E398,0))</f>
        <v/>
      </c>
      <c r="G398" s="15">
        <f>IF(ISBLANK(B398),"",ROUNDUP(B398*E398,0))</f>
        <v/>
      </c>
      <c r="H398" s="12">
        <f>IF(ISBLANK(G398),"",IF(G398&gt;=20,"Critical",IF(G398&gt;=15,"High",IF(G398&gt;=8,"Medium","Low"))))</f>
        <v/>
      </c>
    </row>
    <row r="399">
      <c r="B399" s="18">
        <f>IFERROR(VLOOKUP(A399,Risk_Assessment!$B$2:$H$1000,7,FALSE),"")</f>
        <v/>
      </c>
      <c r="E399" s="19">
        <f>IF(C399="No",1,IF(D399="N/A",1,IF(D399="Low (10% reduction)",0.9,IF(D399="Medium (30% reduction)",0.7,IF(D399="High (50% reduction)",0.5,IF(D399="Very High (70% reduction)",0.3,1))))))</f>
        <v/>
      </c>
      <c r="F399" s="18">
        <f>IF(ISBLANK(B399),"",ROUNDUP(SQRT(B399)*E399,0))</f>
        <v/>
      </c>
      <c r="G399" s="15">
        <f>IF(ISBLANK(B399),"",ROUNDUP(B399*E399,0))</f>
        <v/>
      </c>
      <c r="H399" s="12">
        <f>IF(ISBLANK(G399),"",IF(G399&gt;=20,"Critical",IF(G399&gt;=15,"High",IF(G399&gt;=8,"Medium","Low"))))</f>
        <v/>
      </c>
    </row>
    <row r="400">
      <c r="B400" s="18">
        <f>IFERROR(VLOOKUP(A400,Risk_Assessment!$B$2:$H$1000,7,FALSE),"")</f>
        <v/>
      </c>
      <c r="E400" s="19">
        <f>IF(C400="No",1,IF(D400="N/A",1,IF(D400="Low (10% reduction)",0.9,IF(D400="Medium (30% reduction)",0.7,IF(D400="High (50% reduction)",0.5,IF(D400="Very High (70% reduction)",0.3,1))))))</f>
        <v/>
      </c>
      <c r="F400" s="18">
        <f>IF(ISBLANK(B400),"",ROUNDUP(SQRT(B400)*E400,0))</f>
        <v/>
      </c>
      <c r="G400" s="15">
        <f>IF(ISBLANK(B400),"",ROUNDUP(B400*E400,0))</f>
        <v/>
      </c>
      <c r="H400" s="12">
        <f>IF(ISBLANK(G400),"",IF(G400&gt;=20,"Critical",IF(G400&gt;=15,"High",IF(G400&gt;=8,"Medium","Low"))))</f>
        <v/>
      </c>
    </row>
    <row r="401">
      <c r="B401" s="18">
        <f>IFERROR(VLOOKUP(A401,Risk_Assessment!$B$2:$H$1000,7,FALSE),"")</f>
        <v/>
      </c>
      <c r="E401" s="19">
        <f>IF(C401="No",1,IF(D401="N/A",1,IF(D401="Low (10% reduction)",0.9,IF(D401="Medium (30% reduction)",0.7,IF(D401="High (50% reduction)",0.5,IF(D401="Very High (70% reduction)",0.3,1))))))</f>
        <v/>
      </c>
      <c r="F401" s="18">
        <f>IF(ISBLANK(B401),"",ROUNDUP(SQRT(B401)*E401,0))</f>
        <v/>
      </c>
      <c r="G401" s="15">
        <f>IF(ISBLANK(B401),"",ROUNDUP(B401*E401,0))</f>
        <v/>
      </c>
      <c r="H401" s="12">
        <f>IF(ISBLANK(G401),"",IF(G401&gt;=20,"Critical",IF(G401&gt;=15,"High",IF(G401&gt;=8,"Medium","Low"))))</f>
        <v/>
      </c>
    </row>
    <row r="402">
      <c r="B402" s="18">
        <f>IFERROR(VLOOKUP(A402,Risk_Assessment!$B$2:$H$1000,7,FALSE),"")</f>
        <v/>
      </c>
      <c r="E402" s="19">
        <f>IF(C402="No",1,IF(D402="N/A",1,IF(D402="Low (10% reduction)",0.9,IF(D402="Medium (30% reduction)",0.7,IF(D402="High (50% reduction)",0.5,IF(D402="Very High (70% reduction)",0.3,1))))))</f>
        <v/>
      </c>
      <c r="F402" s="18">
        <f>IF(ISBLANK(B402),"",ROUNDUP(SQRT(B402)*E402,0))</f>
        <v/>
      </c>
      <c r="G402" s="15">
        <f>IF(ISBLANK(B402),"",ROUNDUP(B402*E402,0))</f>
        <v/>
      </c>
      <c r="H402" s="12">
        <f>IF(ISBLANK(G402),"",IF(G402&gt;=20,"Critical",IF(G402&gt;=15,"High",IF(G402&gt;=8,"Medium","Low"))))</f>
        <v/>
      </c>
    </row>
    <row r="403">
      <c r="B403" s="18">
        <f>IFERROR(VLOOKUP(A403,Risk_Assessment!$B$2:$H$1000,7,FALSE),"")</f>
        <v/>
      </c>
      <c r="E403" s="19">
        <f>IF(C403="No",1,IF(D403="N/A",1,IF(D403="Low (10% reduction)",0.9,IF(D403="Medium (30% reduction)",0.7,IF(D403="High (50% reduction)",0.5,IF(D403="Very High (70% reduction)",0.3,1))))))</f>
        <v/>
      </c>
      <c r="F403" s="18">
        <f>IF(ISBLANK(B403),"",ROUNDUP(SQRT(B403)*E403,0))</f>
        <v/>
      </c>
      <c r="G403" s="15">
        <f>IF(ISBLANK(B403),"",ROUNDUP(B403*E403,0))</f>
        <v/>
      </c>
      <c r="H403" s="12">
        <f>IF(ISBLANK(G403),"",IF(G403&gt;=20,"Critical",IF(G403&gt;=15,"High",IF(G403&gt;=8,"Medium","Low"))))</f>
        <v/>
      </c>
    </row>
    <row r="404">
      <c r="B404" s="18">
        <f>IFERROR(VLOOKUP(A404,Risk_Assessment!$B$2:$H$1000,7,FALSE),"")</f>
        <v/>
      </c>
      <c r="E404" s="19">
        <f>IF(C404="No",1,IF(D404="N/A",1,IF(D404="Low (10% reduction)",0.9,IF(D404="Medium (30% reduction)",0.7,IF(D404="High (50% reduction)",0.5,IF(D404="Very High (70% reduction)",0.3,1))))))</f>
        <v/>
      </c>
      <c r="F404" s="18">
        <f>IF(ISBLANK(B404),"",ROUNDUP(SQRT(B404)*E404,0))</f>
        <v/>
      </c>
      <c r="G404" s="15">
        <f>IF(ISBLANK(B404),"",ROUNDUP(B404*E404,0))</f>
        <v/>
      </c>
      <c r="H404" s="12">
        <f>IF(ISBLANK(G404),"",IF(G404&gt;=20,"Critical",IF(G404&gt;=15,"High",IF(G404&gt;=8,"Medium","Low"))))</f>
        <v/>
      </c>
    </row>
    <row r="405">
      <c r="B405" s="18">
        <f>IFERROR(VLOOKUP(A405,Risk_Assessment!$B$2:$H$1000,7,FALSE),"")</f>
        <v/>
      </c>
      <c r="E405" s="19">
        <f>IF(C405="No",1,IF(D405="N/A",1,IF(D405="Low (10% reduction)",0.9,IF(D405="Medium (30% reduction)",0.7,IF(D405="High (50% reduction)",0.5,IF(D405="Very High (70% reduction)",0.3,1))))))</f>
        <v/>
      </c>
      <c r="F405" s="18">
        <f>IF(ISBLANK(B405),"",ROUNDUP(SQRT(B405)*E405,0))</f>
        <v/>
      </c>
      <c r="G405" s="15">
        <f>IF(ISBLANK(B405),"",ROUNDUP(B405*E405,0))</f>
        <v/>
      </c>
      <c r="H405" s="12">
        <f>IF(ISBLANK(G405),"",IF(G405&gt;=20,"Critical",IF(G405&gt;=15,"High",IF(G405&gt;=8,"Medium","Low"))))</f>
        <v/>
      </c>
    </row>
    <row r="406">
      <c r="B406" s="18">
        <f>IFERROR(VLOOKUP(A406,Risk_Assessment!$B$2:$H$1000,7,FALSE),"")</f>
        <v/>
      </c>
      <c r="E406" s="19">
        <f>IF(C406="No",1,IF(D406="N/A",1,IF(D406="Low (10% reduction)",0.9,IF(D406="Medium (30% reduction)",0.7,IF(D406="High (50% reduction)",0.5,IF(D406="Very High (70% reduction)",0.3,1))))))</f>
        <v/>
      </c>
      <c r="F406" s="18">
        <f>IF(ISBLANK(B406),"",ROUNDUP(SQRT(B406)*E406,0))</f>
        <v/>
      </c>
      <c r="G406" s="15">
        <f>IF(ISBLANK(B406),"",ROUNDUP(B406*E406,0))</f>
        <v/>
      </c>
      <c r="H406" s="12">
        <f>IF(ISBLANK(G406),"",IF(G406&gt;=20,"Critical",IF(G406&gt;=15,"High",IF(G406&gt;=8,"Medium","Low"))))</f>
        <v/>
      </c>
    </row>
    <row r="407">
      <c r="B407" s="18">
        <f>IFERROR(VLOOKUP(A407,Risk_Assessment!$B$2:$H$1000,7,FALSE),"")</f>
        <v/>
      </c>
      <c r="E407" s="19">
        <f>IF(C407="No",1,IF(D407="N/A",1,IF(D407="Low (10% reduction)",0.9,IF(D407="Medium (30% reduction)",0.7,IF(D407="High (50% reduction)",0.5,IF(D407="Very High (70% reduction)",0.3,1))))))</f>
        <v/>
      </c>
      <c r="F407" s="18">
        <f>IF(ISBLANK(B407),"",ROUNDUP(SQRT(B407)*E407,0))</f>
        <v/>
      </c>
      <c r="G407" s="15">
        <f>IF(ISBLANK(B407),"",ROUNDUP(B407*E407,0))</f>
        <v/>
      </c>
      <c r="H407" s="12">
        <f>IF(ISBLANK(G407),"",IF(G407&gt;=20,"Critical",IF(G407&gt;=15,"High",IF(G407&gt;=8,"Medium","Low"))))</f>
        <v/>
      </c>
    </row>
    <row r="408">
      <c r="B408" s="18">
        <f>IFERROR(VLOOKUP(A408,Risk_Assessment!$B$2:$H$1000,7,FALSE),"")</f>
        <v/>
      </c>
      <c r="E408" s="19">
        <f>IF(C408="No",1,IF(D408="N/A",1,IF(D408="Low (10% reduction)",0.9,IF(D408="Medium (30% reduction)",0.7,IF(D408="High (50% reduction)",0.5,IF(D408="Very High (70% reduction)",0.3,1))))))</f>
        <v/>
      </c>
      <c r="F408" s="18">
        <f>IF(ISBLANK(B408),"",ROUNDUP(SQRT(B408)*E408,0))</f>
        <v/>
      </c>
      <c r="G408" s="15">
        <f>IF(ISBLANK(B408),"",ROUNDUP(B408*E408,0))</f>
        <v/>
      </c>
      <c r="H408" s="12">
        <f>IF(ISBLANK(G408),"",IF(G408&gt;=20,"Critical",IF(G408&gt;=15,"High",IF(G408&gt;=8,"Medium","Low"))))</f>
        <v/>
      </c>
    </row>
    <row r="409">
      <c r="B409" s="18">
        <f>IFERROR(VLOOKUP(A409,Risk_Assessment!$B$2:$H$1000,7,FALSE),"")</f>
        <v/>
      </c>
      <c r="E409" s="19">
        <f>IF(C409="No",1,IF(D409="N/A",1,IF(D409="Low (10% reduction)",0.9,IF(D409="Medium (30% reduction)",0.7,IF(D409="High (50% reduction)",0.5,IF(D409="Very High (70% reduction)",0.3,1))))))</f>
        <v/>
      </c>
      <c r="F409" s="18">
        <f>IF(ISBLANK(B409),"",ROUNDUP(SQRT(B409)*E409,0))</f>
        <v/>
      </c>
      <c r="G409" s="15">
        <f>IF(ISBLANK(B409),"",ROUNDUP(B409*E409,0))</f>
        <v/>
      </c>
      <c r="H409" s="12">
        <f>IF(ISBLANK(G409),"",IF(G409&gt;=20,"Critical",IF(G409&gt;=15,"High",IF(G409&gt;=8,"Medium","Low"))))</f>
        <v/>
      </c>
    </row>
    <row r="410">
      <c r="B410" s="18">
        <f>IFERROR(VLOOKUP(A410,Risk_Assessment!$B$2:$H$1000,7,FALSE),"")</f>
        <v/>
      </c>
      <c r="E410" s="19">
        <f>IF(C410="No",1,IF(D410="N/A",1,IF(D410="Low (10% reduction)",0.9,IF(D410="Medium (30% reduction)",0.7,IF(D410="High (50% reduction)",0.5,IF(D410="Very High (70% reduction)",0.3,1))))))</f>
        <v/>
      </c>
      <c r="F410" s="18">
        <f>IF(ISBLANK(B410),"",ROUNDUP(SQRT(B410)*E410,0))</f>
        <v/>
      </c>
      <c r="G410" s="15">
        <f>IF(ISBLANK(B410),"",ROUNDUP(B410*E410,0))</f>
        <v/>
      </c>
      <c r="H410" s="12">
        <f>IF(ISBLANK(G410),"",IF(G410&gt;=20,"Critical",IF(G410&gt;=15,"High",IF(G410&gt;=8,"Medium","Low"))))</f>
        <v/>
      </c>
    </row>
    <row r="411">
      <c r="B411" s="18">
        <f>IFERROR(VLOOKUP(A411,Risk_Assessment!$B$2:$H$1000,7,FALSE),"")</f>
        <v/>
      </c>
      <c r="E411" s="19">
        <f>IF(C411="No",1,IF(D411="N/A",1,IF(D411="Low (10% reduction)",0.9,IF(D411="Medium (30% reduction)",0.7,IF(D411="High (50% reduction)",0.5,IF(D411="Very High (70% reduction)",0.3,1))))))</f>
        <v/>
      </c>
      <c r="F411" s="18">
        <f>IF(ISBLANK(B411),"",ROUNDUP(SQRT(B411)*E411,0))</f>
        <v/>
      </c>
      <c r="G411" s="15">
        <f>IF(ISBLANK(B411),"",ROUNDUP(B411*E411,0))</f>
        <v/>
      </c>
      <c r="H411" s="12">
        <f>IF(ISBLANK(G411),"",IF(G411&gt;=20,"Critical",IF(G411&gt;=15,"High",IF(G411&gt;=8,"Medium","Low"))))</f>
        <v/>
      </c>
    </row>
    <row r="412">
      <c r="B412" s="18">
        <f>IFERROR(VLOOKUP(A412,Risk_Assessment!$B$2:$H$1000,7,FALSE),"")</f>
        <v/>
      </c>
      <c r="E412" s="19">
        <f>IF(C412="No",1,IF(D412="N/A",1,IF(D412="Low (10% reduction)",0.9,IF(D412="Medium (30% reduction)",0.7,IF(D412="High (50% reduction)",0.5,IF(D412="Very High (70% reduction)",0.3,1))))))</f>
        <v/>
      </c>
      <c r="F412" s="18">
        <f>IF(ISBLANK(B412),"",ROUNDUP(SQRT(B412)*E412,0))</f>
        <v/>
      </c>
      <c r="G412" s="15">
        <f>IF(ISBLANK(B412),"",ROUNDUP(B412*E412,0))</f>
        <v/>
      </c>
      <c r="H412" s="12">
        <f>IF(ISBLANK(G412),"",IF(G412&gt;=20,"Critical",IF(G412&gt;=15,"High",IF(G412&gt;=8,"Medium","Low"))))</f>
        <v/>
      </c>
    </row>
    <row r="413">
      <c r="B413" s="18">
        <f>IFERROR(VLOOKUP(A413,Risk_Assessment!$B$2:$H$1000,7,FALSE),"")</f>
        <v/>
      </c>
      <c r="E413" s="19">
        <f>IF(C413="No",1,IF(D413="N/A",1,IF(D413="Low (10% reduction)",0.9,IF(D413="Medium (30% reduction)",0.7,IF(D413="High (50% reduction)",0.5,IF(D413="Very High (70% reduction)",0.3,1))))))</f>
        <v/>
      </c>
      <c r="F413" s="18">
        <f>IF(ISBLANK(B413),"",ROUNDUP(SQRT(B413)*E413,0))</f>
        <v/>
      </c>
      <c r="G413" s="15">
        <f>IF(ISBLANK(B413),"",ROUNDUP(B413*E413,0))</f>
        <v/>
      </c>
      <c r="H413" s="12">
        <f>IF(ISBLANK(G413),"",IF(G413&gt;=20,"Critical",IF(G413&gt;=15,"High",IF(G413&gt;=8,"Medium","Low"))))</f>
        <v/>
      </c>
    </row>
    <row r="414">
      <c r="B414" s="18">
        <f>IFERROR(VLOOKUP(A414,Risk_Assessment!$B$2:$H$1000,7,FALSE),"")</f>
        <v/>
      </c>
      <c r="E414" s="19">
        <f>IF(C414="No",1,IF(D414="N/A",1,IF(D414="Low (10% reduction)",0.9,IF(D414="Medium (30% reduction)",0.7,IF(D414="High (50% reduction)",0.5,IF(D414="Very High (70% reduction)",0.3,1))))))</f>
        <v/>
      </c>
      <c r="F414" s="18">
        <f>IF(ISBLANK(B414),"",ROUNDUP(SQRT(B414)*E414,0))</f>
        <v/>
      </c>
      <c r="G414" s="15">
        <f>IF(ISBLANK(B414),"",ROUNDUP(B414*E414,0))</f>
        <v/>
      </c>
      <c r="H414" s="12">
        <f>IF(ISBLANK(G414),"",IF(G414&gt;=20,"Critical",IF(G414&gt;=15,"High",IF(G414&gt;=8,"Medium","Low"))))</f>
        <v/>
      </c>
    </row>
    <row r="415">
      <c r="B415" s="18">
        <f>IFERROR(VLOOKUP(A415,Risk_Assessment!$B$2:$H$1000,7,FALSE),"")</f>
        <v/>
      </c>
      <c r="E415" s="19">
        <f>IF(C415="No",1,IF(D415="N/A",1,IF(D415="Low (10% reduction)",0.9,IF(D415="Medium (30% reduction)",0.7,IF(D415="High (50% reduction)",0.5,IF(D415="Very High (70% reduction)",0.3,1))))))</f>
        <v/>
      </c>
      <c r="F415" s="18">
        <f>IF(ISBLANK(B415),"",ROUNDUP(SQRT(B415)*E415,0))</f>
        <v/>
      </c>
      <c r="G415" s="15">
        <f>IF(ISBLANK(B415),"",ROUNDUP(B415*E415,0))</f>
        <v/>
      </c>
      <c r="H415" s="12">
        <f>IF(ISBLANK(G415),"",IF(G415&gt;=20,"Critical",IF(G415&gt;=15,"High",IF(G415&gt;=8,"Medium","Low"))))</f>
        <v/>
      </c>
    </row>
    <row r="416">
      <c r="B416" s="18">
        <f>IFERROR(VLOOKUP(A416,Risk_Assessment!$B$2:$H$1000,7,FALSE),"")</f>
        <v/>
      </c>
      <c r="E416" s="19">
        <f>IF(C416="No",1,IF(D416="N/A",1,IF(D416="Low (10% reduction)",0.9,IF(D416="Medium (30% reduction)",0.7,IF(D416="High (50% reduction)",0.5,IF(D416="Very High (70% reduction)",0.3,1))))))</f>
        <v/>
      </c>
      <c r="F416" s="18">
        <f>IF(ISBLANK(B416),"",ROUNDUP(SQRT(B416)*E416,0))</f>
        <v/>
      </c>
      <c r="G416" s="15">
        <f>IF(ISBLANK(B416),"",ROUNDUP(B416*E416,0))</f>
        <v/>
      </c>
      <c r="H416" s="12">
        <f>IF(ISBLANK(G416),"",IF(G416&gt;=20,"Critical",IF(G416&gt;=15,"High",IF(G416&gt;=8,"Medium","Low"))))</f>
        <v/>
      </c>
    </row>
    <row r="417">
      <c r="B417" s="18">
        <f>IFERROR(VLOOKUP(A417,Risk_Assessment!$B$2:$H$1000,7,FALSE),"")</f>
        <v/>
      </c>
      <c r="E417" s="19">
        <f>IF(C417="No",1,IF(D417="N/A",1,IF(D417="Low (10% reduction)",0.9,IF(D417="Medium (30% reduction)",0.7,IF(D417="High (50% reduction)",0.5,IF(D417="Very High (70% reduction)",0.3,1))))))</f>
        <v/>
      </c>
      <c r="F417" s="18">
        <f>IF(ISBLANK(B417),"",ROUNDUP(SQRT(B417)*E417,0))</f>
        <v/>
      </c>
      <c r="G417" s="15">
        <f>IF(ISBLANK(B417),"",ROUNDUP(B417*E417,0))</f>
        <v/>
      </c>
      <c r="H417" s="12">
        <f>IF(ISBLANK(G417),"",IF(G417&gt;=20,"Critical",IF(G417&gt;=15,"High",IF(G417&gt;=8,"Medium","Low"))))</f>
        <v/>
      </c>
    </row>
    <row r="418">
      <c r="B418" s="18">
        <f>IFERROR(VLOOKUP(A418,Risk_Assessment!$B$2:$H$1000,7,FALSE),"")</f>
        <v/>
      </c>
      <c r="E418" s="19">
        <f>IF(C418="No",1,IF(D418="N/A",1,IF(D418="Low (10% reduction)",0.9,IF(D418="Medium (30% reduction)",0.7,IF(D418="High (50% reduction)",0.5,IF(D418="Very High (70% reduction)",0.3,1))))))</f>
        <v/>
      </c>
      <c r="F418" s="18">
        <f>IF(ISBLANK(B418),"",ROUNDUP(SQRT(B418)*E418,0))</f>
        <v/>
      </c>
      <c r="G418" s="15">
        <f>IF(ISBLANK(B418),"",ROUNDUP(B418*E418,0))</f>
        <v/>
      </c>
      <c r="H418" s="12">
        <f>IF(ISBLANK(G418),"",IF(G418&gt;=20,"Critical",IF(G418&gt;=15,"High",IF(G418&gt;=8,"Medium","Low"))))</f>
        <v/>
      </c>
    </row>
    <row r="419">
      <c r="B419" s="18">
        <f>IFERROR(VLOOKUP(A419,Risk_Assessment!$B$2:$H$1000,7,FALSE),"")</f>
        <v/>
      </c>
      <c r="E419" s="19">
        <f>IF(C419="No",1,IF(D419="N/A",1,IF(D419="Low (10% reduction)",0.9,IF(D419="Medium (30% reduction)",0.7,IF(D419="High (50% reduction)",0.5,IF(D419="Very High (70% reduction)",0.3,1))))))</f>
        <v/>
      </c>
      <c r="F419" s="18">
        <f>IF(ISBLANK(B419),"",ROUNDUP(SQRT(B419)*E419,0))</f>
        <v/>
      </c>
      <c r="G419" s="15">
        <f>IF(ISBLANK(B419),"",ROUNDUP(B419*E419,0))</f>
        <v/>
      </c>
      <c r="H419" s="12">
        <f>IF(ISBLANK(G419),"",IF(G419&gt;=20,"Critical",IF(G419&gt;=15,"High",IF(G419&gt;=8,"Medium","Low"))))</f>
        <v/>
      </c>
    </row>
    <row r="420">
      <c r="B420" s="18">
        <f>IFERROR(VLOOKUP(A420,Risk_Assessment!$B$2:$H$1000,7,FALSE),"")</f>
        <v/>
      </c>
      <c r="E420" s="19">
        <f>IF(C420="No",1,IF(D420="N/A",1,IF(D420="Low (10% reduction)",0.9,IF(D420="Medium (30% reduction)",0.7,IF(D420="High (50% reduction)",0.5,IF(D420="Very High (70% reduction)",0.3,1))))))</f>
        <v/>
      </c>
      <c r="F420" s="18">
        <f>IF(ISBLANK(B420),"",ROUNDUP(SQRT(B420)*E420,0))</f>
        <v/>
      </c>
      <c r="G420" s="15">
        <f>IF(ISBLANK(B420),"",ROUNDUP(B420*E420,0))</f>
        <v/>
      </c>
      <c r="H420" s="12">
        <f>IF(ISBLANK(G420),"",IF(G420&gt;=20,"Critical",IF(G420&gt;=15,"High",IF(G420&gt;=8,"Medium","Low"))))</f>
        <v/>
      </c>
    </row>
    <row r="421">
      <c r="B421" s="18">
        <f>IFERROR(VLOOKUP(A421,Risk_Assessment!$B$2:$H$1000,7,FALSE),"")</f>
        <v/>
      </c>
      <c r="E421" s="19">
        <f>IF(C421="No",1,IF(D421="N/A",1,IF(D421="Low (10% reduction)",0.9,IF(D421="Medium (30% reduction)",0.7,IF(D421="High (50% reduction)",0.5,IF(D421="Very High (70% reduction)",0.3,1))))))</f>
        <v/>
      </c>
      <c r="F421" s="18">
        <f>IF(ISBLANK(B421),"",ROUNDUP(SQRT(B421)*E421,0))</f>
        <v/>
      </c>
      <c r="G421" s="15">
        <f>IF(ISBLANK(B421),"",ROUNDUP(B421*E421,0))</f>
        <v/>
      </c>
      <c r="H421" s="12">
        <f>IF(ISBLANK(G421),"",IF(G421&gt;=20,"Critical",IF(G421&gt;=15,"High",IF(G421&gt;=8,"Medium","Low"))))</f>
        <v/>
      </c>
    </row>
    <row r="422">
      <c r="B422" s="18">
        <f>IFERROR(VLOOKUP(A422,Risk_Assessment!$B$2:$H$1000,7,FALSE),"")</f>
        <v/>
      </c>
      <c r="E422" s="19">
        <f>IF(C422="No",1,IF(D422="N/A",1,IF(D422="Low (10% reduction)",0.9,IF(D422="Medium (30% reduction)",0.7,IF(D422="High (50% reduction)",0.5,IF(D422="Very High (70% reduction)",0.3,1))))))</f>
        <v/>
      </c>
      <c r="F422" s="18">
        <f>IF(ISBLANK(B422),"",ROUNDUP(SQRT(B422)*E422,0))</f>
        <v/>
      </c>
      <c r="G422" s="15">
        <f>IF(ISBLANK(B422),"",ROUNDUP(B422*E422,0))</f>
        <v/>
      </c>
      <c r="H422" s="12">
        <f>IF(ISBLANK(G422),"",IF(G422&gt;=20,"Critical",IF(G422&gt;=15,"High",IF(G422&gt;=8,"Medium","Low"))))</f>
        <v/>
      </c>
    </row>
    <row r="423">
      <c r="B423" s="18">
        <f>IFERROR(VLOOKUP(A423,Risk_Assessment!$B$2:$H$1000,7,FALSE),"")</f>
        <v/>
      </c>
      <c r="E423" s="19">
        <f>IF(C423="No",1,IF(D423="N/A",1,IF(D423="Low (10% reduction)",0.9,IF(D423="Medium (30% reduction)",0.7,IF(D423="High (50% reduction)",0.5,IF(D423="Very High (70% reduction)",0.3,1))))))</f>
        <v/>
      </c>
      <c r="F423" s="18">
        <f>IF(ISBLANK(B423),"",ROUNDUP(SQRT(B423)*E423,0))</f>
        <v/>
      </c>
      <c r="G423" s="15">
        <f>IF(ISBLANK(B423),"",ROUNDUP(B423*E423,0))</f>
        <v/>
      </c>
      <c r="H423" s="12">
        <f>IF(ISBLANK(G423),"",IF(G423&gt;=20,"Critical",IF(G423&gt;=15,"High",IF(G423&gt;=8,"Medium","Low"))))</f>
        <v/>
      </c>
    </row>
    <row r="424">
      <c r="B424" s="18">
        <f>IFERROR(VLOOKUP(A424,Risk_Assessment!$B$2:$H$1000,7,FALSE),"")</f>
        <v/>
      </c>
      <c r="E424" s="19">
        <f>IF(C424="No",1,IF(D424="N/A",1,IF(D424="Low (10% reduction)",0.9,IF(D424="Medium (30% reduction)",0.7,IF(D424="High (50% reduction)",0.5,IF(D424="Very High (70% reduction)",0.3,1))))))</f>
        <v/>
      </c>
      <c r="F424" s="18">
        <f>IF(ISBLANK(B424),"",ROUNDUP(SQRT(B424)*E424,0))</f>
        <v/>
      </c>
      <c r="G424" s="15">
        <f>IF(ISBLANK(B424),"",ROUNDUP(B424*E424,0))</f>
        <v/>
      </c>
      <c r="H424" s="12">
        <f>IF(ISBLANK(G424),"",IF(G424&gt;=20,"Critical",IF(G424&gt;=15,"High",IF(G424&gt;=8,"Medium","Low"))))</f>
        <v/>
      </c>
    </row>
    <row r="425">
      <c r="B425" s="18">
        <f>IFERROR(VLOOKUP(A425,Risk_Assessment!$B$2:$H$1000,7,FALSE),"")</f>
        <v/>
      </c>
      <c r="E425" s="19">
        <f>IF(C425="No",1,IF(D425="N/A",1,IF(D425="Low (10% reduction)",0.9,IF(D425="Medium (30% reduction)",0.7,IF(D425="High (50% reduction)",0.5,IF(D425="Very High (70% reduction)",0.3,1))))))</f>
        <v/>
      </c>
      <c r="F425" s="18">
        <f>IF(ISBLANK(B425),"",ROUNDUP(SQRT(B425)*E425,0))</f>
        <v/>
      </c>
      <c r="G425" s="15">
        <f>IF(ISBLANK(B425),"",ROUNDUP(B425*E425,0))</f>
        <v/>
      </c>
      <c r="H425" s="12">
        <f>IF(ISBLANK(G425),"",IF(G425&gt;=20,"Critical",IF(G425&gt;=15,"High",IF(G425&gt;=8,"Medium","Low"))))</f>
        <v/>
      </c>
    </row>
    <row r="426">
      <c r="B426" s="18">
        <f>IFERROR(VLOOKUP(A426,Risk_Assessment!$B$2:$H$1000,7,FALSE),"")</f>
        <v/>
      </c>
      <c r="E426" s="19">
        <f>IF(C426="No",1,IF(D426="N/A",1,IF(D426="Low (10% reduction)",0.9,IF(D426="Medium (30% reduction)",0.7,IF(D426="High (50% reduction)",0.5,IF(D426="Very High (70% reduction)",0.3,1))))))</f>
        <v/>
      </c>
      <c r="F426" s="18">
        <f>IF(ISBLANK(B426),"",ROUNDUP(SQRT(B426)*E426,0))</f>
        <v/>
      </c>
      <c r="G426" s="15">
        <f>IF(ISBLANK(B426),"",ROUNDUP(B426*E426,0))</f>
        <v/>
      </c>
      <c r="H426" s="12">
        <f>IF(ISBLANK(G426),"",IF(G426&gt;=20,"Critical",IF(G426&gt;=15,"High",IF(G426&gt;=8,"Medium","Low"))))</f>
        <v/>
      </c>
    </row>
    <row r="427">
      <c r="B427" s="18">
        <f>IFERROR(VLOOKUP(A427,Risk_Assessment!$B$2:$H$1000,7,FALSE),"")</f>
        <v/>
      </c>
      <c r="E427" s="19">
        <f>IF(C427="No",1,IF(D427="N/A",1,IF(D427="Low (10% reduction)",0.9,IF(D427="Medium (30% reduction)",0.7,IF(D427="High (50% reduction)",0.5,IF(D427="Very High (70% reduction)",0.3,1))))))</f>
        <v/>
      </c>
      <c r="F427" s="18">
        <f>IF(ISBLANK(B427),"",ROUNDUP(SQRT(B427)*E427,0))</f>
        <v/>
      </c>
      <c r="G427" s="15">
        <f>IF(ISBLANK(B427),"",ROUNDUP(B427*E427,0))</f>
        <v/>
      </c>
      <c r="H427" s="12">
        <f>IF(ISBLANK(G427),"",IF(G427&gt;=20,"Critical",IF(G427&gt;=15,"High",IF(G427&gt;=8,"Medium","Low"))))</f>
        <v/>
      </c>
    </row>
    <row r="428">
      <c r="B428" s="18">
        <f>IFERROR(VLOOKUP(A428,Risk_Assessment!$B$2:$H$1000,7,FALSE),"")</f>
        <v/>
      </c>
      <c r="E428" s="19">
        <f>IF(C428="No",1,IF(D428="N/A",1,IF(D428="Low (10% reduction)",0.9,IF(D428="Medium (30% reduction)",0.7,IF(D428="High (50% reduction)",0.5,IF(D428="Very High (70% reduction)",0.3,1))))))</f>
        <v/>
      </c>
      <c r="F428" s="18">
        <f>IF(ISBLANK(B428),"",ROUNDUP(SQRT(B428)*E428,0))</f>
        <v/>
      </c>
      <c r="G428" s="15">
        <f>IF(ISBLANK(B428),"",ROUNDUP(B428*E428,0))</f>
        <v/>
      </c>
      <c r="H428" s="12">
        <f>IF(ISBLANK(G428),"",IF(G428&gt;=20,"Critical",IF(G428&gt;=15,"High",IF(G428&gt;=8,"Medium","Low"))))</f>
        <v/>
      </c>
    </row>
    <row r="429">
      <c r="B429" s="18">
        <f>IFERROR(VLOOKUP(A429,Risk_Assessment!$B$2:$H$1000,7,FALSE),"")</f>
        <v/>
      </c>
      <c r="E429" s="19">
        <f>IF(C429="No",1,IF(D429="N/A",1,IF(D429="Low (10% reduction)",0.9,IF(D429="Medium (30% reduction)",0.7,IF(D429="High (50% reduction)",0.5,IF(D429="Very High (70% reduction)",0.3,1))))))</f>
        <v/>
      </c>
      <c r="F429" s="18">
        <f>IF(ISBLANK(B429),"",ROUNDUP(SQRT(B429)*E429,0))</f>
        <v/>
      </c>
      <c r="G429" s="15">
        <f>IF(ISBLANK(B429),"",ROUNDUP(B429*E429,0))</f>
        <v/>
      </c>
      <c r="H429" s="12">
        <f>IF(ISBLANK(G429),"",IF(G429&gt;=20,"Critical",IF(G429&gt;=15,"High",IF(G429&gt;=8,"Medium","Low"))))</f>
        <v/>
      </c>
    </row>
    <row r="430">
      <c r="B430" s="18">
        <f>IFERROR(VLOOKUP(A430,Risk_Assessment!$B$2:$H$1000,7,FALSE),"")</f>
        <v/>
      </c>
      <c r="E430" s="19">
        <f>IF(C430="No",1,IF(D430="N/A",1,IF(D430="Low (10% reduction)",0.9,IF(D430="Medium (30% reduction)",0.7,IF(D430="High (50% reduction)",0.5,IF(D430="Very High (70% reduction)",0.3,1))))))</f>
        <v/>
      </c>
      <c r="F430" s="18">
        <f>IF(ISBLANK(B430),"",ROUNDUP(SQRT(B430)*E430,0))</f>
        <v/>
      </c>
      <c r="G430" s="15">
        <f>IF(ISBLANK(B430),"",ROUNDUP(B430*E430,0))</f>
        <v/>
      </c>
      <c r="H430" s="12">
        <f>IF(ISBLANK(G430),"",IF(G430&gt;=20,"Critical",IF(G430&gt;=15,"High",IF(G430&gt;=8,"Medium","Low"))))</f>
        <v/>
      </c>
    </row>
    <row r="431">
      <c r="B431" s="18">
        <f>IFERROR(VLOOKUP(A431,Risk_Assessment!$B$2:$H$1000,7,FALSE),"")</f>
        <v/>
      </c>
      <c r="E431" s="19">
        <f>IF(C431="No",1,IF(D431="N/A",1,IF(D431="Low (10% reduction)",0.9,IF(D431="Medium (30% reduction)",0.7,IF(D431="High (50% reduction)",0.5,IF(D431="Very High (70% reduction)",0.3,1))))))</f>
        <v/>
      </c>
      <c r="F431" s="18">
        <f>IF(ISBLANK(B431),"",ROUNDUP(SQRT(B431)*E431,0))</f>
        <v/>
      </c>
      <c r="G431" s="15">
        <f>IF(ISBLANK(B431),"",ROUNDUP(B431*E431,0))</f>
        <v/>
      </c>
      <c r="H431" s="12">
        <f>IF(ISBLANK(G431),"",IF(G431&gt;=20,"Critical",IF(G431&gt;=15,"High",IF(G431&gt;=8,"Medium","Low"))))</f>
        <v/>
      </c>
    </row>
    <row r="432">
      <c r="B432" s="18">
        <f>IFERROR(VLOOKUP(A432,Risk_Assessment!$B$2:$H$1000,7,FALSE),"")</f>
        <v/>
      </c>
      <c r="E432" s="19">
        <f>IF(C432="No",1,IF(D432="N/A",1,IF(D432="Low (10% reduction)",0.9,IF(D432="Medium (30% reduction)",0.7,IF(D432="High (50% reduction)",0.5,IF(D432="Very High (70% reduction)",0.3,1))))))</f>
        <v/>
      </c>
      <c r="F432" s="18">
        <f>IF(ISBLANK(B432),"",ROUNDUP(SQRT(B432)*E432,0))</f>
        <v/>
      </c>
      <c r="G432" s="15">
        <f>IF(ISBLANK(B432),"",ROUNDUP(B432*E432,0))</f>
        <v/>
      </c>
      <c r="H432" s="12">
        <f>IF(ISBLANK(G432),"",IF(G432&gt;=20,"Critical",IF(G432&gt;=15,"High",IF(G432&gt;=8,"Medium","Low"))))</f>
        <v/>
      </c>
    </row>
    <row r="433">
      <c r="B433" s="18">
        <f>IFERROR(VLOOKUP(A433,Risk_Assessment!$B$2:$H$1000,7,FALSE),"")</f>
        <v/>
      </c>
      <c r="E433" s="19">
        <f>IF(C433="No",1,IF(D433="N/A",1,IF(D433="Low (10% reduction)",0.9,IF(D433="Medium (30% reduction)",0.7,IF(D433="High (50% reduction)",0.5,IF(D433="Very High (70% reduction)",0.3,1))))))</f>
        <v/>
      </c>
      <c r="F433" s="18">
        <f>IF(ISBLANK(B433),"",ROUNDUP(SQRT(B433)*E433,0))</f>
        <v/>
      </c>
      <c r="G433" s="15">
        <f>IF(ISBLANK(B433),"",ROUNDUP(B433*E433,0))</f>
        <v/>
      </c>
      <c r="H433" s="12">
        <f>IF(ISBLANK(G433),"",IF(G433&gt;=20,"Critical",IF(G433&gt;=15,"High",IF(G433&gt;=8,"Medium","Low"))))</f>
        <v/>
      </c>
    </row>
    <row r="434">
      <c r="B434" s="18">
        <f>IFERROR(VLOOKUP(A434,Risk_Assessment!$B$2:$H$1000,7,FALSE),"")</f>
        <v/>
      </c>
      <c r="E434" s="19">
        <f>IF(C434="No",1,IF(D434="N/A",1,IF(D434="Low (10% reduction)",0.9,IF(D434="Medium (30% reduction)",0.7,IF(D434="High (50% reduction)",0.5,IF(D434="Very High (70% reduction)",0.3,1))))))</f>
        <v/>
      </c>
      <c r="F434" s="18">
        <f>IF(ISBLANK(B434),"",ROUNDUP(SQRT(B434)*E434,0))</f>
        <v/>
      </c>
      <c r="G434" s="15">
        <f>IF(ISBLANK(B434),"",ROUNDUP(B434*E434,0))</f>
        <v/>
      </c>
      <c r="H434" s="12">
        <f>IF(ISBLANK(G434),"",IF(G434&gt;=20,"Critical",IF(G434&gt;=15,"High",IF(G434&gt;=8,"Medium","Low"))))</f>
        <v/>
      </c>
    </row>
    <row r="435">
      <c r="B435" s="18">
        <f>IFERROR(VLOOKUP(A435,Risk_Assessment!$B$2:$H$1000,7,FALSE),"")</f>
        <v/>
      </c>
      <c r="E435" s="19">
        <f>IF(C435="No",1,IF(D435="N/A",1,IF(D435="Low (10% reduction)",0.9,IF(D435="Medium (30% reduction)",0.7,IF(D435="High (50% reduction)",0.5,IF(D435="Very High (70% reduction)",0.3,1))))))</f>
        <v/>
      </c>
      <c r="F435" s="18">
        <f>IF(ISBLANK(B435),"",ROUNDUP(SQRT(B435)*E435,0))</f>
        <v/>
      </c>
      <c r="G435" s="15">
        <f>IF(ISBLANK(B435),"",ROUNDUP(B435*E435,0))</f>
        <v/>
      </c>
      <c r="H435" s="12">
        <f>IF(ISBLANK(G435),"",IF(G435&gt;=20,"Critical",IF(G435&gt;=15,"High",IF(G435&gt;=8,"Medium","Low"))))</f>
        <v/>
      </c>
    </row>
    <row r="436">
      <c r="B436" s="18">
        <f>IFERROR(VLOOKUP(A436,Risk_Assessment!$B$2:$H$1000,7,FALSE),"")</f>
        <v/>
      </c>
      <c r="E436" s="19">
        <f>IF(C436="No",1,IF(D436="N/A",1,IF(D436="Low (10% reduction)",0.9,IF(D436="Medium (30% reduction)",0.7,IF(D436="High (50% reduction)",0.5,IF(D436="Very High (70% reduction)",0.3,1))))))</f>
        <v/>
      </c>
      <c r="F436" s="18">
        <f>IF(ISBLANK(B436),"",ROUNDUP(SQRT(B436)*E436,0))</f>
        <v/>
      </c>
      <c r="G436" s="15">
        <f>IF(ISBLANK(B436),"",ROUNDUP(B436*E436,0))</f>
        <v/>
      </c>
      <c r="H436" s="12">
        <f>IF(ISBLANK(G436),"",IF(G436&gt;=20,"Critical",IF(G436&gt;=15,"High",IF(G436&gt;=8,"Medium","Low"))))</f>
        <v/>
      </c>
    </row>
    <row r="437">
      <c r="B437" s="18">
        <f>IFERROR(VLOOKUP(A437,Risk_Assessment!$B$2:$H$1000,7,FALSE),"")</f>
        <v/>
      </c>
      <c r="E437" s="19">
        <f>IF(C437="No",1,IF(D437="N/A",1,IF(D437="Low (10% reduction)",0.9,IF(D437="Medium (30% reduction)",0.7,IF(D437="High (50% reduction)",0.5,IF(D437="Very High (70% reduction)",0.3,1))))))</f>
        <v/>
      </c>
      <c r="F437" s="18">
        <f>IF(ISBLANK(B437),"",ROUNDUP(SQRT(B437)*E437,0))</f>
        <v/>
      </c>
      <c r="G437" s="15">
        <f>IF(ISBLANK(B437),"",ROUNDUP(B437*E437,0))</f>
        <v/>
      </c>
      <c r="H437" s="12">
        <f>IF(ISBLANK(G437),"",IF(G437&gt;=20,"Critical",IF(G437&gt;=15,"High",IF(G437&gt;=8,"Medium","Low"))))</f>
        <v/>
      </c>
    </row>
    <row r="438">
      <c r="B438" s="18">
        <f>IFERROR(VLOOKUP(A438,Risk_Assessment!$B$2:$H$1000,7,FALSE),"")</f>
        <v/>
      </c>
      <c r="E438" s="19">
        <f>IF(C438="No",1,IF(D438="N/A",1,IF(D438="Low (10% reduction)",0.9,IF(D438="Medium (30% reduction)",0.7,IF(D438="High (50% reduction)",0.5,IF(D438="Very High (70% reduction)",0.3,1))))))</f>
        <v/>
      </c>
      <c r="F438" s="18">
        <f>IF(ISBLANK(B438),"",ROUNDUP(SQRT(B438)*E438,0))</f>
        <v/>
      </c>
      <c r="G438" s="15">
        <f>IF(ISBLANK(B438),"",ROUNDUP(B438*E438,0))</f>
        <v/>
      </c>
      <c r="H438" s="12">
        <f>IF(ISBLANK(G438),"",IF(G438&gt;=20,"Critical",IF(G438&gt;=15,"High",IF(G438&gt;=8,"Medium","Low"))))</f>
        <v/>
      </c>
    </row>
    <row r="439">
      <c r="B439" s="18">
        <f>IFERROR(VLOOKUP(A439,Risk_Assessment!$B$2:$H$1000,7,FALSE),"")</f>
        <v/>
      </c>
      <c r="E439" s="19">
        <f>IF(C439="No",1,IF(D439="N/A",1,IF(D439="Low (10% reduction)",0.9,IF(D439="Medium (30% reduction)",0.7,IF(D439="High (50% reduction)",0.5,IF(D439="Very High (70% reduction)",0.3,1))))))</f>
        <v/>
      </c>
      <c r="F439" s="18">
        <f>IF(ISBLANK(B439),"",ROUNDUP(SQRT(B439)*E439,0))</f>
        <v/>
      </c>
      <c r="G439" s="15">
        <f>IF(ISBLANK(B439),"",ROUNDUP(B439*E439,0))</f>
        <v/>
      </c>
      <c r="H439" s="12">
        <f>IF(ISBLANK(G439),"",IF(G439&gt;=20,"Critical",IF(G439&gt;=15,"High",IF(G439&gt;=8,"Medium","Low"))))</f>
        <v/>
      </c>
    </row>
    <row r="440">
      <c r="B440" s="18">
        <f>IFERROR(VLOOKUP(A440,Risk_Assessment!$B$2:$H$1000,7,FALSE),"")</f>
        <v/>
      </c>
      <c r="E440" s="19">
        <f>IF(C440="No",1,IF(D440="N/A",1,IF(D440="Low (10% reduction)",0.9,IF(D440="Medium (30% reduction)",0.7,IF(D440="High (50% reduction)",0.5,IF(D440="Very High (70% reduction)",0.3,1))))))</f>
        <v/>
      </c>
      <c r="F440" s="18">
        <f>IF(ISBLANK(B440),"",ROUNDUP(SQRT(B440)*E440,0))</f>
        <v/>
      </c>
      <c r="G440" s="15">
        <f>IF(ISBLANK(B440),"",ROUNDUP(B440*E440,0))</f>
        <v/>
      </c>
      <c r="H440" s="12">
        <f>IF(ISBLANK(G440),"",IF(G440&gt;=20,"Critical",IF(G440&gt;=15,"High",IF(G440&gt;=8,"Medium","Low"))))</f>
        <v/>
      </c>
    </row>
    <row r="441">
      <c r="B441" s="18">
        <f>IFERROR(VLOOKUP(A441,Risk_Assessment!$B$2:$H$1000,7,FALSE),"")</f>
        <v/>
      </c>
      <c r="E441" s="19">
        <f>IF(C441="No",1,IF(D441="N/A",1,IF(D441="Low (10% reduction)",0.9,IF(D441="Medium (30% reduction)",0.7,IF(D441="High (50% reduction)",0.5,IF(D441="Very High (70% reduction)",0.3,1))))))</f>
        <v/>
      </c>
      <c r="F441" s="18">
        <f>IF(ISBLANK(B441),"",ROUNDUP(SQRT(B441)*E441,0))</f>
        <v/>
      </c>
      <c r="G441" s="15">
        <f>IF(ISBLANK(B441),"",ROUNDUP(B441*E441,0))</f>
        <v/>
      </c>
      <c r="H441" s="12">
        <f>IF(ISBLANK(G441),"",IF(G441&gt;=20,"Critical",IF(G441&gt;=15,"High",IF(G441&gt;=8,"Medium","Low"))))</f>
        <v/>
      </c>
    </row>
    <row r="442">
      <c r="B442" s="18">
        <f>IFERROR(VLOOKUP(A442,Risk_Assessment!$B$2:$H$1000,7,FALSE),"")</f>
        <v/>
      </c>
      <c r="E442" s="19">
        <f>IF(C442="No",1,IF(D442="N/A",1,IF(D442="Low (10% reduction)",0.9,IF(D442="Medium (30% reduction)",0.7,IF(D442="High (50% reduction)",0.5,IF(D442="Very High (70% reduction)",0.3,1))))))</f>
        <v/>
      </c>
      <c r="F442" s="18">
        <f>IF(ISBLANK(B442),"",ROUNDUP(SQRT(B442)*E442,0))</f>
        <v/>
      </c>
      <c r="G442" s="15">
        <f>IF(ISBLANK(B442),"",ROUNDUP(B442*E442,0))</f>
        <v/>
      </c>
      <c r="H442" s="12">
        <f>IF(ISBLANK(G442),"",IF(G442&gt;=20,"Critical",IF(G442&gt;=15,"High",IF(G442&gt;=8,"Medium","Low"))))</f>
        <v/>
      </c>
    </row>
    <row r="443">
      <c r="B443" s="18">
        <f>IFERROR(VLOOKUP(A443,Risk_Assessment!$B$2:$H$1000,7,FALSE),"")</f>
        <v/>
      </c>
      <c r="E443" s="19">
        <f>IF(C443="No",1,IF(D443="N/A",1,IF(D443="Low (10% reduction)",0.9,IF(D443="Medium (30% reduction)",0.7,IF(D443="High (50% reduction)",0.5,IF(D443="Very High (70% reduction)",0.3,1))))))</f>
        <v/>
      </c>
      <c r="F443" s="18">
        <f>IF(ISBLANK(B443),"",ROUNDUP(SQRT(B443)*E443,0))</f>
        <v/>
      </c>
      <c r="G443" s="15">
        <f>IF(ISBLANK(B443),"",ROUNDUP(B443*E443,0))</f>
        <v/>
      </c>
      <c r="H443" s="12">
        <f>IF(ISBLANK(G443),"",IF(G443&gt;=20,"Critical",IF(G443&gt;=15,"High",IF(G443&gt;=8,"Medium","Low"))))</f>
        <v/>
      </c>
    </row>
    <row r="444">
      <c r="B444" s="18">
        <f>IFERROR(VLOOKUP(A444,Risk_Assessment!$B$2:$H$1000,7,FALSE),"")</f>
        <v/>
      </c>
      <c r="E444" s="19">
        <f>IF(C444="No",1,IF(D444="N/A",1,IF(D444="Low (10% reduction)",0.9,IF(D444="Medium (30% reduction)",0.7,IF(D444="High (50% reduction)",0.5,IF(D444="Very High (70% reduction)",0.3,1))))))</f>
        <v/>
      </c>
      <c r="F444" s="18">
        <f>IF(ISBLANK(B444),"",ROUNDUP(SQRT(B444)*E444,0))</f>
        <v/>
      </c>
      <c r="G444" s="15">
        <f>IF(ISBLANK(B444),"",ROUNDUP(B444*E444,0))</f>
        <v/>
      </c>
      <c r="H444" s="12">
        <f>IF(ISBLANK(G444),"",IF(G444&gt;=20,"Critical",IF(G444&gt;=15,"High",IF(G444&gt;=8,"Medium","Low"))))</f>
        <v/>
      </c>
    </row>
    <row r="445">
      <c r="B445" s="18">
        <f>IFERROR(VLOOKUP(A445,Risk_Assessment!$B$2:$H$1000,7,FALSE),"")</f>
        <v/>
      </c>
      <c r="E445" s="19">
        <f>IF(C445="No",1,IF(D445="N/A",1,IF(D445="Low (10% reduction)",0.9,IF(D445="Medium (30% reduction)",0.7,IF(D445="High (50% reduction)",0.5,IF(D445="Very High (70% reduction)",0.3,1))))))</f>
        <v/>
      </c>
      <c r="F445" s="18">
        <f>IF(ISBLANK(B445),"",ROUNDUP(SQRT(B445)*E445,0))</f>
        <v/>
      </c>
      <c r="G445" s="15">
        <f>IF(ISBLANK(B445),"",ROUNDUP(B445*E445,0))</f>
        <v/>
      </c>
      <c r="H445" s="12">
        <f>IF(ISBLANK(G445),"",IF(G445&gt;=20,"Critical",IF(G445&gt;=15,"High",IF(G445&gt;=8,"Medium","Low"))))</f>
        <v/>
      </c>
    </row>
    <row r="446">
      <c r="B446" s="18">
        <f>IFERROR(VLOOKUP(A446,Risk_Assessment!$B$2:$H$1000,7,FALSE),"")</f>
        <v/>
      </c>
      <c r="E446" s="19">
        <f>IF(C446="No",1,IF(D446="N/A",1,IF(D446="Low (10% reduction)",0.9,IF(D446="Medium (30% reduction)",0.7,IF(D446="High (50% reduction)",0.5,IF(D446="Very High (70% reduction)",0.3,1))))))</f>
        <v/>
      </c>
      <c r="F446" s="18">
        <f>IF(ISBLANK(B446),"",ROUNDUP(SQRT(B446)*E446,0))</f>
        <v/>
      </c>
      <c r="G446" s="15">
        <f>IF(ISBLANK(B446),"",ROUNDUP(B446*E446,0))</f>
        <v/>
      </c>
      <c r="H446" s="12">
        <f>IF(ISBLANK(G446),"",IF(G446&gt;=20,"Critical",IF(G446&gt;=15,"High",IF(G446&gt;=8,"Medium","Low"))))</f>
        <v/>
      </c>
    </row>
    <row r="447">
      <c r="B447" s="18">
        <f>IFERROR(VLOOKUP(A447,Risk_Assessment!$B$2:$H$1000,7,FALSE),"")</f>
        <v/>
      </c>
      <c r="E447" s="19">
        <f>IF(C447="No",1,IF(D447="N/A",1,IF(D447="Low (10% reduction)",0.9,IF(D447="Medium (30% reduction)",0.7,IF(D447="High (50% reduction)",0.5,IF(D447="Very High (70% reduction)",0.3,1))))))</f>
        <v/>
      </c>
      <c r="F447" s="18">
        <f>IF(ISBLANK(B447),"",ROUNDUP(SQRT(B447)*E447,0))</f>
        <v/>
      </c>
      <c r="G447" s="15">
        <f>IF(ISBLANK(B447),"",ROUNDUP(B447*E447,0))</f>
        <v/>
      </c>
      <c r="H447" s="12">
        <f>IF(ISBLANK(G447),"",IF(G447&gt;=20,"Critical",IF(G447&gt;=15,"High",IF(G447&gt;=8,"Medium","Low"))))</f>
        <v/>
      </c>
    </row>
    <row r="448">
      <c r="B448" s="18">
        <f>IFERROR(VLOOKUP(A448,Risk_Assessment!$B$2:$H$1000,7,FALSE),"")</f>
        <v/>
      </c>
      <c r="E448" s="19">
        <f>IF(C448="No",1,IF(D448="N/A",1,IF(D448="Low (10% reduction)",0.9,IF(D448="Medium (30% reduction)",0.7,IF(D448="High (50% reduction)",0.5,IF(D448="Very High (70% reduction)",0.3,1))))))</f>
        <v/>
      </c>
      <c r="F448" s="18">
        <f>IF(ISBLANK(B448),"",ROUNDUP(SQRT(B448)*E448,0))</f>
        <v/>
      </c>
      <c r="G448" s="15">
        <f>IF(ISBLANK(B448),"",ROUNDUP(B448*E448,0))</f>
        <v/>
      </c>
      <c r="H448" s="12">
        <f>IF(ISBLANK(G448),"",IF(G448&gt;=20,"Critical",IF(G448&gt;=15,"High",IF(G448&gt;=8,"Medium","Low"))))</f>
        <v/>
      </c>
    </row>
    <row r="449">
      <c r="B449" s="18">
        <f>IFERROR(VLOOKUP(A449,Risk_Assessment!$B$2:$H$1000,7,FALSE),"")</f>
        <v/>
      </c>
      <c r="E449" s="19">
        <f>IF(C449="No",1,IF(D449="N/A",1,IF(D449="Low (10% reduction)",0.9,IF(D449="Medium (30% reduction)",0.7,IF(D449="High (50% reduction)",0.5,IF(D449="Very High (70% reduction)",0.3,1))))))</f>
        <v/>
      </c>
      <c r="F449" s="18">
        <f>IF(ISBLANK(B449),"",ROUNDUP(SQRT(B449)*E449,0))</f>
        <v/>
      </c>
      <c r="G449" s="15">
        <f>IF(ISBLANK(B449),"",ROUNDUP(B449*E449,0))</f>
        <v/>
      </c>
      <c r="H449" s="12">
        <f>IF(ISBLANK(G449),"",IF(G449&gt;=20,"Critical",IF(G449&gt;=15,"High",IF(G449&gt;=8,"Medium","Low"))))</f>
        <v/>
      </c>
    </row>
    <row r="450">
      <c r="B450" s="18">
        <f>IFERROR(VLOOKUP(A450,Risk_Assessment!$B$2:$H$1000,7,FALSE),"")</f>
        <v/>
      </c>
      <c r="E450" s="19">
        <f>IF(C450="No",1,IF(D450="N/A",1,IF(D450="Low (10% reduction)",0.9,IF(D450="Medium (30% reduction)",0.7,IF(D450="High (50% reduction)",0.5,IF(D450="Very High (70% reduction)",0.3,1))))))</f>
        <v/>
      </c>
      <c r="F450" s="18">
        <f>IF(ISBLANK(B450),"",ROUNDUP(SQRT(B450)*E450,0))</f>
        <v/>
      </c>
      <c r="G450" s="15">
        <f>IF(ISBLANK(B450),"",ROUNDUP(B450*E450,0))</f>
        <v/>
      </c>
      <c r="H450" s="12">
        <f>IF(ISBLANK(G450),"",IF(G450&gt;=20,"Critical",IF(G450&gt;=15,"High",IF(G450&gt;=8,"Medium","Low"))))</f>
        <v/>
      </c>
    </row>
    <row r="451">
      <c r="B451" s="18">
        <f>IFERROR(VLOOKUP(A451,Risk_Assessment!$B$2:$H$1000,7,FALSE),"")</f>
        <v/>
      </c>
      <c r="E451" s="19">
        <f>IF(C451="No",1,IF(D451="N/A",1,IF(D451="Low (10% reduction)",0.9,IF(D451="Medium (30% reduction)",0.7,IF(D451="High (50% reduction)",0.5,IF(D451="Very High (70% reduction)",0.3,1))))))</f>
        <v/>
      </c>
      <c r="F451" s="18">
        <f>IF(ISBLANK(B451),"",ROUNDUP(SQRT(B451)*E451,0))</f>
        <v/>
      </c>
      <c r="G451" s="15">
        <f>IF(ISBLANK(B451),"",ROUNDUP(B451*E451,0))</f>
        <v/>
      </c>
      <c r="H451" s="12">
        <f>IF(ISBLANK(G451),"",IF(G451&gt;=20,"Critical",IF(G451&gt;=15,"High",IF(G451&gt;=8,"Medium","Low"))))</f>
        <v/>
      </c>
    </row>
    <row r="452">
      <c r="B452" s="18">
        <f>IFERROR(VLOOKUP(A452,Risk_Assessment!$B$2:$H$1000,7,FALSE),"")</f>
        <v/>
      </c>
      <c r="E452" s="19">
        <f>IF(C452="No",1,IF(D452="N/A",1,IF(D452="Low (10% reduction)",0.9,IF(D452="Medium (30% reduction)",0.7,IF(D452="High (50% reduction)",0.5,IF(D452="Very High (70% reduction)",0.3,1))))))</f>
        <v/>
      </c>
      <c r="F452" s="18">
        <f>IF(ISBLANK(B452),"",ROUNDUP(SQRT(B452)*E452,0))</f>
        <v/>
      </c>
      <c r="G452" s="15">
        <f>IF(ISBLANK(B452),"",ROUNDUP(B452*E452,0))</f>
        <v/>
      </c>
      <c r="H452" s="12">
        <f>IF(ISBLANK(G452),"",IF(G452&gt;=20,"Critical",IF(G452&gt;=15,"High",IF(G452&gt;=8,"Medium","Low"))))</f>
        <v/>
      </c>
    </row>
    <row r="453">
      <c r="B453" s="18">
        <f>IFERROR(VLOOKUP(A453,Risk_Assessment!$B$2:$H$1000,7,FALSE),"")</f>
        <v/>
      </c>
      <c r="E453" s="19">
        <f>IF(C453="No",1,IF(D453="N/A",1,IF(D453="Low (10% reduction)",0.9,IF(D453="Medium (30% reduction)",0.7,IF(D453="High (50% reduction)",0.5,IF(D453="Very High (70% reduction)",0.3,1))))))</f>
        <v/>
      </c>
      <c r="F453" s="18">
        <f>IF(ISBLANK(B453),"",ROUNDUP(SQRT(B453)*E453,0))</f>
        <v/>
      </c>
      <c r="G453" s="15">
        <f>IF(ISBLANK(B453),"",ROUNDUP(B453*E453,0))</f>
        <v/>
      </c>
      <c r="H453" s="12">
        <f>IF(ISBLANK(G453),"",IF(G453&gt;=20,"Critical",IF(G453&gt;=15,"High",IF(G453&gt;=8,"Medium","Low"))))</f>
        <v/>
      </c>
    </row>
    <row r="454">
      <c r="B454" s="18">
        <f>IFERROR(VLOOKUP(A454,Risk_Assessment!$B$2:$H$1000,7,FALSE),"")</f>
        <v/>
      </c>
      <c r="E454" s="19">
        <f>IF(C454="No",1,IF(D454="N/A",1,IF(D454="Low (10% reduction)",0.9,IF(D454="Medium (30% reduction)",0.7,IF(D454="High (50% reduction)",0.5,IF(D454="Very High (70% reduction)",0.3,1))))))</f>
        <v/>
      </c>
      <c r="F454" s="18">
        <f>IF(ISBLANK(B454),"",ROUNDUP(SQRT(B454)*E454,0))</f>
        <v/>
      </c>
      <c r="G454" s="15">
        <f>IF(ISBLANK(B454),"",ROUNDUP(B454*E454,0))</f>
        <v/>
      </c>
      <c r="H454" s="12">
        <f>IF(ISBLANK(G454),"",IF(G454&gt;=20,"Critical",IF(G454&gt;=15,"High",IF(G454&gt;=8,"Medium","Low"))))</f>
        <v/>
      </c>
    </row>
    <row r="455">
      <c r="B455" s="18">
        <f>IFERROR(VLOOKUP(A455,Risk_Assessment!$B$2:$H$1000,7,FALSE),"")</f>
        <v/>
      </c>
      <c r="E455" s="19">
        <f>IF(C455="No",1,IF(D455="N/A",1,IF(D455="Low (10% reduction)",0.9,IF(D455="Medium (30% reduction)",0.7,IF(D455="High (50% reduction)",0.5,IF(D455="Very High (70% reduction)",0.3,1))))))</f>
        <v/>
      </c>
      <c r="F455" s="18">
        <f>IF(ISBLANK(B455),"",ROUNDUP(SQRT(B455)*E455,0))</f>
        <v/>
      </c>
      <c r="G455" s="15">
        <f>IF(ISBLANK(B455),"",ROUNDUP(B455*E455,0))</f>
        <v/>
      </c>
      <c r="H455" s="12">
        <f>IF(ISBLANK(G455),"",IF(G455&gt;=20,"Critical",IF(G455&gt;=15,"High",IF(G455&gt;=8,"Medium","Low"))))</f>
        <v/>
      </c>
    </row>
    <row r="456">
      <c r="B456" s="18">
        <f>IFERROR(VLOOKUP(A456,Risk_Assessment!$B$2:$H$1000,7,FALSE),"")</f>
        <v/>
      </c>
      <c r="E456" s="19">
        <f>IF(C456="No",1,IF(D456="N/A",1,IF(D456="Low (10% reduction)",0.9,IF(D456="Medium (30% reduction)",0.7,IF(D456="High (50% reduction)",0.5,IF(D456="Very High (70% reduction)",0.3,1))))))</f>
        <v/>
      </c>
      <c r="F456" s="18">
        <f>IF(ISBLANK(B456),"",ROUNDUP(SQRT(B456)*E456,0))</f>
        <v/>
      </c>
      <c r="G456" s="15">
        <f>IF(ISBLANK(B456),"",ROUNDUP(B456*E456,0))</f>
        <v/>
      </c>
      <c r="H456" s="12">
        <f>IF(ISBLANK(G456),"",IF(G456&gt;=20,"Critical",IF(G456&gt;=15,"High",IF(G456&gt;=8,"Medium","Low"))))</f>
        <v/>
      </c>
    </row>
    <row r="457">
      <c r="B457" s="18">
        <f>IFERROR(VLOOKUP(A457,Risk_Assessment!$B$2:$H$1000,7,FALSE),"")</f>
        <v/>
      </c>
      <c r="E457" s="19">
        <f>IF(C457="No",1,IF(D457="N/A",1,IF(D457="Low (10% reduction)",0.9,IF(D457="Medium (30% reduction)",0.7,IF(D457="High (50% reduction)",0.5,IF(D457="Very High (70% reduction)",0.3,1))))))</f>
        <v/>
      </c>
      <c r="F457" s="18">
        <f>IF(ISBLANK(B457),"",ROUNDUP(SQRT(B457)*E457,0))</f>
        <v/>
      </c>
      <c r="G457" s="15">
        <f>IF(ISBLANK(B457),"",ROUNDUP(B457*E457,0))</f>
        <v/>
      </c>
      <c r="H457" s="12">
        <f>IF(ISBLANK(G457),"",IF(G457&gt;=20,"Critical",IF(G457&gt;=15,"High",IF(G457&gt;=8,"Medium","Low"))))</f>
        <v/>
      </c>
    </row>
    <row r="458">
      <c r="B458" s="18">
        <f>IFERROR(VLOOKUP(A458,Risk_Assessment!$B$2:$H$1000,7,FALSE),"")</f>
        <v/>
      </c>
      <c r="E458" s="19">
        <f>IF(C458="No",1,IF(D458="N/A",1,IF(D458="Low (10% reduction)",0.9,IF(D458="Medium (30% reduction)",0.7,IF(D458="High (50% reduction)",0.5,IF(D458="Very High (70% reduction)",0.3,1))))))</f>
        <v/>
      </c>
      <c r="F458" s="18">
        <f>IF(ISBLANK(B458),"",ROUNDUP(SQRT(B458)*E458,0))</f>
        <v/>
      </c>
      <c r="G458" s="15">
        <f>IF(ISBLANK(B458),"",ROUNDUP(B458*E458,0))</f>
        <v/>
      </c>
      <c r="H458" s="12">
        <f>IF(ISBLANK(G458),"",IF(G458&gt;=20,"Critical",IF(G458&gt;=15,"High",IF(G458&gt;=8,"Medium","Low"))))</f>
        <v/>
      </c>
    </row>
    <row r="459">
      <c r="B459" s="18">
        <f>IFERROR(VLOOKUP(A459,Risk_Assessment!$B$2:$H$1000,7,FALSE),"")</f>
        <v/>
      </c>
      <c r="E459" s="19">
        <f>IF(C459="No",1,IF(D459="N/A",1,IF(D459="Low (10% reduction)",0.9,IF(D459="Medium (30% reduction)",0.7,IF(D459="High (50% reduction)",0.5,IF(D459="Very High (70% reduction)",0.3,1))))))</f>
        <v/>
      </c>
      <c r="F459" s="18">
        <f>IF(ISBLANK(B459),"",ROUNDUP(SQRT(B459)*E459,0))</f>
        <v/>
      </c>
      <c r="G459" s="15">
        <f>IF(ISBLANK(B459),"",ROUNDUP(B459*E459,0))</f>
        <v/>
      </c>
      <c r="H459" s="12">
        <f>IF(ISBLANK(G459),"",IF(G459&gt;=20,"Critical",IF(G459&gt;=15,"High",IF(G459&gt;=8,"Medium","Low"))))</f>
        <v/>
      </c>
    </row>
    <row r="460">
      <c r="B460" s="18">
        <f>IFERROR(VLOOKUP(A460,Risk_Assessment!$B$2:$H$1000,7,FALSE),"")</f>
        <v/>
      </c>
      <c r="E460" s="19">
        <f>IF(C460="No",1,IF(D460="N/A",1,IF(D460="Low (10% reduction)",0.9,IF(D460="Medium (30% reduction)",0.7,IF(D460="High (50% reduction)",0.5,IF(D460="Very High (70% reduction)",0.3,1))))))</f>
        <v/>
      </c>
      <c r="F460" s="18">
        <f>IF(ISBLANK(B460),"",ROUNDUP(SQRT(B460)*E460,0))</f>
        <v/>
      </c>
      <c r="G460" s="15">
        <f>IF(ISBLANK(B460),"",ROUNDUP(B460*E460,0))</f>
        <v/>
      </c>
      <c r="H460" s="12">
        <f>IF(ISBLANK(G460),"",IF(G460&gt;=20,"Critical",IF(G460&gt;=15,"High",IF(G460&gt;=8,"Medium","Low"))))</f>
        <v/>
      </c>
    </row>
    <row r="461">
      <c r="B461" s="18">
        <f>IFERROR(VLOOKUP(A461,Risk_Assessment!$B$2:$H$1000,7,FALSE),"")</f>
        <v/>
      </c>
      <c r="E461" s="19">
        <f>IF(C461="No",1,IF(D461="N/A",1,IF(D461="Low (10% reduction)",0.9,IF(D461="Medium (30% reduction)",0.7,IF(D461="High (50% reduction)",0.5,IF(D461="Very High (70% reduction)",0.3,1))))))</f>
        <v/>
      </c>
      <c r="F461" s="18">
        <f>IF(ISBLANK(B461),"",ROUNDUP(SQRT(B461)*E461,0))</f>
        <v/>
      </c>
      <c r="G461" s="15">
        <f>IF(ISBLANK(B461),"",ROUNDUP(B461*E461,0))</f>
        <v/>
      </c>
      <c r="H461" s="12">
        <f>IF(ISBLANK(G461),"",IF(G461&gt;=20,"Critical",IF(G461&gt;=15,"High",IF(G461&gt;=8,"Medium","Low"))))</f>
        <v/>
      </c>
    </row>
    <row r="462">
      <c r="B462" s="18">
        <f>IFERROR(VLOOKUP(A462,Risk_Assessment!$B$2:$H$1000,7,FALSE),"")</f>
        <v/>
      </c>
      <c r="E462" s="19">
        <f>IF(C462="No",1,IF(D462="N/A",1,IF(D462="Low (10% reduction)",0.9,IF(D462="Medium (30% reduction)",0.7,IF(D462="High (50% reduction)",0.5,IF(D462="Very High (70% reduction)",0.3,1))))))</f>
        <v/>
      </c>
      <c r="F462" s="18">
        <f>IF(ISBLANK(B462),"",ROUNDUP(SQRT(B462)*E462,0))</f>
        <v/>
      </c>
      <c r="G462" s="15">
        <f>IF(ISBLANK(B462),"",ROUNDUP(B462*E462,0))</f>
        <v/>
      </c>
      <c r="H462" s="12">
        <f>IF(ISBLANK(G462),"",IF(G462&gt;=20,"Critical",IF(G462&gt;=15,"High",IF(G462&gt;=8,"Medium","Low"))))</f>
        <v/>
      </c>
    </row>
    <row r="463">
      <c r="B463" s="18">
        <f>IFERROR(VLOOKUP(A463,Risk_Assessment!$B$2:$H$1000,7,FALSE),"")</f>
        <v/>
      </c>
      <c r="E463" s="19">
        <f>IF(C463="No",1,IF(D463="N/A",1,IF(D463="Low (10% reduction)",0.9,IF(D463="Medium (30% reduction)",0.7,IF(D463="High (50% reduction)",0.5,IF(D463="Very High (70% reduction)",0.3,1))))))</f>
        <v/>
      </c>
      <c r="F463" s="18">
        <f>IF(ISBLANK(B463),"",ROUNDUP(SQRT(B463)*E463,0))</f>
        <v/>
      </c>
      <c r="G463" s="15">
        <f>IF(ISBLANK(B463),"",ROUNDUP(B463*E463,0))</f>
        <v/>
      </c>
      <c r="H463" s="12">
        <f>IF(ISBLANK(G463),"",IF(G463&gt;=20,"Critical",IF(G463&gt;=15,"High",IF(G463&gt;=8,"Medium","Low"))))</f>
        <v/>
      </c>
    </row>
    <row r="464">
      <c r="B464" s="18">
        <f>IFERROR(VLOOKUP(A464,Risk_Assessment!$B$2:$H$1000,7,FALSE),"")</f>
        <v/>
      </c>
      <c r="E464" s="19">
        <f>IF(C464="No",1,IF(D464="N/A",1,IF(D464="Low (10% reduction)",0.9,IF(D464="Medium (30% reduction)",0.7,IF(D464="High (50% reduction)",0.5,IF(D464="Very High (70% reduction)",0.3,1))))))</f>
        <v/>
      </c>
      <c r="F464" s="18">
        <f>IF(ISBLANK(B464),"",ROUNDUP(SQRT(B464)*E464,0))</f>
        <v/>
      </c>
      <c r="G464" s="15">
        <f>IF(ISBLANK(B464),"",ROUNDUP(B464*E464,0))</f>
        <v/>
      </c>
      <c r="H464" s="12">
        <f>IF(ISBLANK(G464),"",IF(G464&gt;=20,"Critical",IF(G464&gt;=15,"High",IF(G464&gt;=8,"Medium","Low"))))</f>
        <v/>
      </c>
    </row>
    <row r="465">
      <c r="B465" s="18">
        <f>IFERROR(VLOOKUP(A465,Risk_Assessment!$B$2:$H$1000,7,FALSE),"")</f>
        <v/>
      </c>
      <c r="E465" s="19">
        <f>IF(C465="No",1,IF(D465="N/A",1,IF(D465="Low (10% reduction)",0.9,IF(D465="Medium (30% reduction)",0.7,IF(D465="High (50% reduction)",0.5,IF(D465="Very High (70% reduction)",0.3,1))))))</f>
        <v/>
      </c>
      <c r="F465" s="18">
        <f>IF(ISBLANK(B465),"",ROUNDUP(SQRT(B465)*E465,0))</f>
        <v/>
      </c>
      <c r="G465" s="15">
        <f>IF(ISBLANK(B465),"",ROUNDUP(B465*E465,0))</f>
        <v/>
      </c>
      <c r="H465" s="12">
        <f>IF(ISBLANK(G465),"",IF(G465&gt;=20,"Critical",IF(G465&gt;=15,"High",IF(G465&gt;=8,"Medium","Low"))))</f>
        <v/>
      </c>
    </row>
    <row r="466">
      <c r="B466" s="18">
        <f>IFERROR(VLOOKUP(A466,Risk_Assessment!$B$2:$H$1000,7,FALSE),"")</f>
        <v/>
      </c>
      <c r="E466" s="19">
        <f>IF(C466="No",1,IF(D466="N/A",1,IF(D466="Low (10% reduction)",0.9,IF(D466="Medium (30% reduction)",0.7,IF(D466="High (50% reduction)",0.5,IF(D466="Very High (70% reduction)",0.3,1))))))</f>
        <v/>
      </c>
      <c r="F466" s="18">
        <f>IF(ISBLANK(B466),"",ROUNDUP(SQRT(B466)*E466,0))</f>
        <v/>
      </c>
      <c r="G466" s="15">
        <f>IF(ISBLANK(B466),"",ROUNDUP(B466*E466,0))</f>
        <v/>
      </c>
      <c r="H466" s="12">
        <f>IF(ISBLANK(G466),"",IF(G466&gt;=20,"Critical",IF(G466&gt;=15,"High",IF(G466&gt;=8,"Medium","Low"))))</f>
        <v/>
      </c>
    </row>
    <row r="467">
      <c r="B467" s="18">
        <f>IFERROR(VLOOKUP(A467,Risk_Assessment!$B$2:$H$1000,7,FALSE),"")</f>
        <v/>
      </c>
      <c r="E467" s="19">
        <f>IF(C467="No",1,IF(D467="N/A",1,IF(D467="Low (10% reduction)",0.9,IF(D467="Medium (30% reduction)",0.7,IF(D467="High (50% reduction)",0.5,IF(D467="Very High (70% reduction)",0.3,1))))))</f>
        <v/>
      </c>
      <c r="F467" s="18">
        <f>IF(ISBLANK(B467),"",ROUNDUP(SQRT(B467)*E467,0))</f>
        <v/>
      </c>
      <c r="G467" s="15">
        <f>IF(ISBLANK(B467),"",ROUNDUP(B467*E467,0))</f>
        <v/>
      </c>
      <c r="H467" s="12">
        <f>IF(ISBLANK(G467),"",IF(G467&gt;=20,"Critical",IF(G467&gt;=15,"High",IF(G467&gt;=8,"Medium","Low"))))</f>
        <v/>
      </c>
    </row>
    <row r="468">
      <c r="B468" s="18">
        <f>IFERROR(VLOOKUP(A468,Risk_Assessment!$B$2:$H$1000,7,FALSE),"")</f>
        <v/>
      </c>
      <c r="E468" s="19">
        <f>IF(C468="No",1,IF(D468="N/A",1,IF(D468="Low (10% reduction)",0.9,IF(D468="Medium (30% reduction)",0.7,IF(D468="High (50% reduction)",0.5,IF(D468="Very High (70% reduction)",0.3,1))))))</f>
        <v/>
      </c>
      <c r="F468" s="18">
        <f>IF(ISBLANK(B468),"",ROUNDUP(SQRT(B468)*E468,0))</f>
        <v/>
      </c>
      <c r="G468" s="15">
        <f>IF(ISBLANK(B468),"",ROUNDUP(B468*E468,0))</f>
        <v/>
      </c>
      <c r="H468" s="12">
        <f>IF(ISBLANK(G468),"",IF(G468&gt;=20,"Critical",IF(G468&gt;=15,"High",IF(G468&gt;=8,"Medium","Low"))))</f>
        <v/>
      </c>
    </row>
    <row r="469">
      <c r="B469" s="18">
        <f>IFERROR(VLOOKUP(A469,Risk_Assessment!$B$2:$H$1000,7,FALSE),"")</f>
        <v/>
      </c>
      <c r="E469" s="19">
        <f>IF(C469="No",1,IF(D469="N/A",1,IF(D469="Low (10% reduction)",0.9,IF(D469="Medium (30% reduction)",0.7,IF(D469="High (50% reduction)",0.5,IF(D469="Very High (70% reduction)",0.3,1))))))</f>
        <v/>
      </c>
      <c r="F469" s="18">
        <f>IF(ISBLANK(B469),"",ROUNDUP(SQRT(B469)*E469,0))</f>
        <v/>
      </c>
      <c r="G469" s="15">
        <f>IF(ISBLANK(B469),"",ROUNDUP(B469*E469,0))</f>
        <v/>
      </c>
      <c r="H469" s="12">
        <f>IF(ISBLANK(G469),"",IF(G469&gt;=20,"Critical",IF(G469&gt;=15,"High",IF(G469&gt;=8,"Medium","Low"))))</f>
        <v/>
      </c>
    </row>
    <row r="470">
      <c r="B470" s="18">
        <f>IFERROR(VLOOKUP(A470,Risk_Assessment!$B$2:$H$1000,7,FALSE),"")</f>
        <v/>
      </c>
      <c r="E470" s="19">
        <f>IF(C470="No",1,IF(D470="N/A",1,IF(D470="Low (10% reduction)",0.9,IF(D470="Medium (30% reduction)",0.7,IF(D470="High (50% reduction)",0.5,IF(D470="Very High (70% reduction)",0.3,1))))))</f>
        <v/>
      </c>
      <c r="F470" s="18">
        <f>IF(ISBLANK(B470),"",ROUNDUP(SQRT(B470)*E470,0))</f>
        <v/>
      </c>
      <c r="G470" s="15">
        <f>IF(ISBLANK(B470),"",ROUNDUP(B470*E470,0))</f>
        <v/>
      </c>
      <c r="H470" s="12">
        <f>IF(ISBLANK(G470),"",IF(G470&gt;=20,"Critical",IF(G470&gt;=15,"High",IF(G470&gt;=8,"Medium","Low"))))</f>
        <v/>
      </c>
    </row>
    <row r="471">
      <c r="B471" s="18">
        <f>IFERROR(VLOOKUP(A471,Risk_Assessment!$B$2:$H$1000,7,FALSE),"")</f>
        <v/>
      </c>
      <c r="E471" s="19">
        <f>IF(C471="No",1,IF(D471="N/A",1,IF(D471="Low (10% reduction)",0.9,IF(D471="Medium (30% reduction)",0.7,IF(D471="High (50% reduction)",0.5,IF(D471="Very High (70% reduction)",0.3,1))))))</f>
        <v/>
      </c>
      <c r="F471" s="18">
        <f>IF(ISBLANK(B471),"",ROUNDUP(SQRT(B471)*E471,0))</f>
        <v/>
      </c>
      <c r="G471" s="15">
        <f>IF(ISBLANK(B471),"",ROUNDUP(B471*E471,0))</f>
        <v/>
      </c>
      <c r="H471" s="12">
        <f>IF(ISBLANK(G471),"",IF(G471&gt;=20,"Critical",IF(G471&gt;=15,"High",IF(G471&gt;=8,"Medium","Low"))))</f>
        <v/>
      </c>
    </row>
    <row r="472">
      <c r="B472" s="18">
        <f>IFERROR(VLOOKUP(A472,Risk_Assessment!$B$2:$H$1000,7,FALSE),"")</f>
        <v/>
      </c>
      <c r="E472" s="19">
        <f>IF(C472="No",1,IF(D472="N/A",1,IF(D472="Low (10% reduction)",0.9,IF(D472="Medium (30% reduction)",0.7,IF(D472="High (50% reduction)",0.5,IF(D472="Very High (70% reduction)",0.3,1))))))</f>
        <v/>
      </c>
      <c r="F472" s="18">
        <f>IF(ISBLANK(B472),"",ROUNDUP(SQRT(B472)*E472,0))</f>
        <v/>
      </c>
      <c r="G472" s="15">
        <f>IF(ISBLANK(B472),"",ROUNDUP(B472*E472,0))</f>
        <v/>
      </c>
      <c r="H472" s="12">
        <f>IF(ISBLANK(G472),"",IF(G472&gt;=20,"Critical",IF(G472&gt;=15,"High",IF(G472&gt;=8,"Medium","Low"))))</f>
        <v/>
      </c>
    </row>
    <row r="473">
      <c r="B473" s="18">
        <f>IFERROR(VLOOKUP(A473,Risk_Assessment!$B$2:$H$1000,7,FALSE),"")</f>
        <v/>
      </c>
      <c r="E473" s="19">
        <f>IF(C473="No",1,IF(D473="N/A",1,IF(D473="Low (10% reduction)",0.9,IF(D473="Medium (30% reduction)",0.7,IF(D473="High (50% reduction)",0.5,IF(D473="Very High (70% reduction)",0.3,1))))))</f>
        <v/>
      </c>
      <c r="F473" s="18">
        <f>IF(ISBLANK(B473),"",ROUNDUP(SQRT(B473)*E473,0))</f>
        <v/>
      </c>
      <c r="G473" s="15">
        <f>IF(ISBLANK(B473),"",ROUNDUP(B473*E473,0))</f>
        <v/>
      </c>
      <c r="H473" s="12">
        <f>IF(ISBLANK(G473),"",IF(G473&gt;=20,"Critical",IF(G473&gt;=15,"High",IF(G473&gt;=8,"Medium","Low"))))</f>
        <v/>
      </c>
    </row>
    <row r="474">
      <c r="B474" s="18">
        <f>IFERROR(VLOOKUP(A474,Risk_Assessment!$B$2:$H$1000,7,FALSE),"")</f>
        <v/>
      </c>
      <c r="E474" s="19">
        <f>IF(C474="No",1,IF(D474="N/A",1,IF(D474="Low (10% reduction)",0.9,IF(D474="Medium (30% reduction)",0.7,IF(D474="High (50% reduction)",0.5,IF(D474="Very High (70% reduction)",0.3,1))))))</f>
        <v/>
      </c>
      <c r="F474" s="18">
        <f>IF(ISBLANK(B474),"",ROUNDUP(SQRT(B474)*E474,0))</f>
        <v/>
      </c>
      <c r="G474" s="15">
        <f>IF(ISBLANK(B474),"",ROUNDUP(B474*E474,0))</f>
        <v/>
      </c>
      <c r="H474" s="12">
        <f>IF(ISBLANK(G474),"",IF(G474&gt;=20,"Critical",IF(G474&gt;=15,"High",IF(G474&gt;=8,"Medium","Low"))))</f>
        <v/>
      </c>
    </row>
    <row r="475">
      <c r="B475" s="18">
        <f>IFERROR(VLOOKUP(A475,Risk_Assessment!$B$2:$H$1000,7,FALSE),"")</f>
        <v/>
      </c>
      <c r="E475" s="19">
        <f>IF(C475="No",1,IF(D475="N/A",1,IF(D475="Low (10% reduction)",0.9,IF(D475="Medium (30% reduction)",0.7,IF(D475="High (50% reduction)",0.5,IF(D475="Very High (70% reduction)",0.3,1))))))</f>
        <v/>
      </c>
      <c r="F475" s="18">
        <f>IF(ISBLANK(B475),"",ROUNDUP(SQRT(B475)*E475,0))</f>
        <v/>
      </c>
      <c r="G475" s="15">
        <f>IF(ISBLANK(B475),"",ROUNDUP(B475*E475,0))</f>
        <v/>
      </c>
      <c r="H475" s="12">
        <f>IF(ISBLANK(G475),"",IF(G475&gt;=20,"Critical",IF(G475&gt;=15,"High",IF(G475&gt;=8,"Medium","Low"))))</f>
        <v/>
      </c>
    </row>
    <row r="476">
      <c r="B476" s="18">
        <f>IFERROR(VLOOKUP(A476,Risk_Assessment!$B$2:$H$1000,7,FALSE),"")</f>
        <v/>
      </c>
      <c r="E476" s="19">
        <f>IF(C476="No",1,IF(D476="N/A",1,IF(D476="Low (10% reduction)",0.9,IF(D476="Medium (30% reduction)",0.7,IF(D476="High (50% reduction)",0.5,IF(D476="Very High (70% reduction)",0.3,1))))))</f>
        <v/>
      </c>
      <c r="F476" s="18">
        <f>IF(ISBLANK(B476),"",ROUNDUP(SQRT(B476)*E476,0))</f>
        <v/>
      </c>
      <c r="G476" s="15">
        <f>IF(ISBLANK(B476),"",ROUNDUP(B476*E476,0))</f>
        <v/>
      </c>
      <c r="H476" s="12">
        <f>IF(ISBLANK(G476),"",IF(G476&gt;=20,"Critical",IF(G476&gt;=15,"High",IF(G476&gt;=8,"Medium","Low"))))</f>
        <v/>
      </c>
    </row>
    <row r="477">
      <c r="B477" s="18">
        <f>IFERROR(VLOOKUP(A477,Risk_Assessment!$B$2:$H$1000,7,FALSE),"")</f>
        <v/>
      </c>
      <c r="E477" s="19">
        <f>IF(C477="No",1,IF(D477="N/A",1,IF(D477="Low (10% reduction)",0.9,IF(D477="Medium (30% reduction)",0.7,IF(D477="High (50% reduction)",0.5,IF(D477="Very High (70% reduction)",0.3,1))))))</f>
        <v/>
      </c>
      <c r="F477" s="18">
        <f>IF(ISBLANK(B477),"",ROUNDUP(SQRT(B477)*E477,0))</f>
        <v/>
      </c>
      <c r="G477" s="15">
        <f>IF(ISBLANK(B477),"",ROUNDUP(B477*E477,0))</f>
        <v/>
      </c>
      <c r="H477" s="12">
        <f>IF(ISBLANK(G477),"",IF(G477&gt;=20,"Critical",IF(G477&gt;=15,"High",IF(G477&gt;=8,"Medium","Low"))))</f>
        <v/>
      </c>
    </row>
    <row r="478">
      <c r="B478" s="18">
        <f>IFERROR(VLOOKUP(A478,Risk_Assessment!$B$2:$H$1000,7,FALSE),"")</f>
        <v/>
      </c>
      <c r="E478" s="19">
        <f>IF(C478="No",1,IF(D478="N/A",1,IF(D478="Low (10% reduction)",0.9,IF(D478="Medium (30% reduction)",0.7,IF(D478="High (50% reduction)",0.5,IF(D478="Very High (70% reduction)",0.3,1))))))</f>
        <v/>
      </c>
      <c r="F478" s="18">
        <f>IF(ISBLANK(B478),"",ROUNDUP(SQRT(B478)*E478,0))</f>
        <v/>
      </c>
      <c r="G478" s="15">
        <f>IF(ISBLANK(B478),"",ROUNDUP(B478*E478,0))</f>
        <v/>
      </c>
      <c r="H478" s="12">
        <f>IF(ISBLANK(G478),"",IF(G478&gt;=20,"Critical",IF(G478&gt;=15,"High",IF(G478&gt;=8,"Medium","Low"))))</f>
        <v/>
      </c>
    </row>
    <row r="479">
      <c r="B479" s="18">
        <f>IFERROR(VLOOKUP(A479,Risk_Assessment!$B$2:$H$1000,7,FALSE),"")</f>
        <v/>
      </c>
      <c r="E479" s="19">
        <f>IF(C479="No",1,IF(D479="N/A",1,IF(D479="Low (10% reduction)",0.9,IF(D479="Medium (30% reduction)",0.7,IF(D479="High (50% reduction)",0.5,IF(D479="Very High (70% reduction)",0.3,1))))))</f>
        <v/>
      </c>
      <c r="F479" s="18">
        <f>IF(ISBLANK(B479),"",ROUNDUP(SQRT(B479)*E479,0))</f>
        <v/>
      </c>
      <c r="G479" s="15">
        <f>IF(ISBLANK(B479),"",ROUNDUP(B479*E479,0))</f>
        <v/>
      </c>
      <c r="H479" s="12">
        <f>IF(ISBLANK(G479),"",IF(G479&gt;=20,"Critical",IF(G479&gt;=15,"High",IF(G479&gt;=8,"Medium","Low"))))</f>
        <v/>
      </c>
    </row>
    <row r="480">
      <c r="B480" s="18">
        <f>IFERROR(VLOOKUP(A480,Risk_Assessment!$B$2:$H$1000,7,FALSE),"")</f>
        <v/>
      </c>
      <c r="E480" s="19">
        <f>IF(C480="No",1,IF(D480="N/A",1,IF(D480="Low (10% reduction)",0.9,IF(D480="Medium (30% reduction)",0.7,IF(D480="High (50% reduction)",0.5,IF(D480="Very High (70% reduction)",0.3,1))))))</f>
        <v/>
      </c>
      <c r="F480" s="18">
        <f>IF(ISBLANK(B480),"",ROUNDUP(SQRT(B480)*E480,0))</f>
        <v/>
      </c>
      <c r="G480" s="15">
        <f>IF(ISBLANK(B480),"",ROUNDUP(B480*E480,0))</f>
        <v/>
      </c>
      <c r="H480" s="12">
        <f>IF(ISBLANK(G480),"",IF(G480&gt;=20,"Critical",IF(G480&gt;=15,"High",IF(G480&gt;=8,"Medium","Low"))))</f>
        <v/>
      </c>
    </row>
    <row r="481">
      <c r="B481" s="18">
        <f>IFERROR(VLOOKUP(A481,Risk_Assessment!$B$2:$H$1000,7,FALSE),"")</f>
        <v/>
      </c>
      <c r="E481" s="19">
        <f>IF(C481="No",1,IF(D481="N/A",1,IF(D481="Low (10% reduction)",0.9,IF(D481="Medium (30% reduction)",0.7,IF(D481="High (50% reduction)",0.5,IF(D481="Very High (70% reduction)",0.3,1))))))</f>
        <v/>
      </c>
      <c r="F481" s="18">
        <f>IF(ISBLANK(B481),"",ROUNDUP(SQRT(B481)*E481,0))</f>
        <v/>
      </c>
      <c r="G481" s="15">
        <f>IF(ISBLANK(B481),"",ROUNDUP(B481*E481,0))</f>
        <v/>
      </c>
      <c r="H481" s="12">
        <f>IF(ISBLANK(G481),"",IF(G481&gt;=20,"Critical",IF(G481&gt;=15,"High",IF(G481&gt;=8,"Medium","Low"))))</f>
        <v/>
      </c>
    </row>
    <row r="482">
      <c r="B482" s="18">
        <f>IFERROR(VLOOKUP(A482,Risk_Assessment!$B$2:$H$1000,7,FALSE),"")</f>
        <v/>
      </c>
      <c r="E482" s="19">
        <f>IF(C482="No",1,IF(D482="N/A",1,IF(D482="Low (10% reduction)",0.9,IF(D482="Medium (30% reduction)",0.7,IF(D482="High (50% reduction)",0.5,IF(D482="Very High (70% reduction)",0.3,1))))))</f>
        <v/>
      </c>
      <c r="F482" s="18">
        <f>IF(ISBLANK(B482),"",ROUNDUP(SQRT(B482)*E482,0))</f>
        <v/>
      </c>
      <c r="G482" s="15">
        <f>IF(ISBLANK(B482),"",ROUNDUP(B482*E482,0))</f>
        <v/>
      </c>
      <c r="H482" s="12">
        <f>IF(ISBLANK(G482),"",IF(G482&gt;=20,"Critical",IF(G482&gt;=15,"High",IF(G482&gt;=8,"Medium","Low"))))</f>
        <v/>
      </c>
    </row>
    <row r="483">
      <c r="B483" s="18">
        <f>IFERROR(VLOOKUP(A483,Risk_Assessment!$B$2:$H$1000,7,FALSE),"")</f>
        <v/>
      </c>
      <c r="E483" s="19">
        <f>IF(C483="No",1,IF(D483="N/A",1,IF(D483="Low (10% reduction)",0.9,IF(D483="Medium (30% reduction)",0.7,IF(D483="High (50% reduction)",0.5,IF(D483="Very High (70% reduction)",0.3,1))))))</f>
        <v/>
      </c>
      <c r="F483" s="18">
        <f>IF(ISBLANK(B483),"",ROUNDUP(SQRT(B483)*E483,0))</f>
        <v/>
      </c>
      <c r="G483" s="15">
        <f>IF(ISBLANK(B483),"",ROUNDUP(B483*E483,0))</f>
        <v/>
      </c>
      <c r="H483" s="12">
        <f>IF(ISBLANK(G483),"",IF(G483&gt;=20,"Critical",IF(G483&gt;=15,"High",IF(G483&gt;=8,"Medium","Low"))))</f>
        <v/>
      </c>
    </row>
    <row r="484">
      <c r="B484" s="18">
        <f>IFERROR(VLOOKUP(A484,Risk_Assessment!$B$2:$H$1000,7,FALSE),"")</f>
        <v/>
      </c>
      <c r="E484" s="19">
        <f>IF(C484="No",1,IF(D484="N/A",1,IF(D484="Low (10% reduction)",0.9,IF(D484="Medium (30% reduction)",0.7,IF(D484="High (50% reduction)",0.5,IF(D484="Very High (70% reduction)",0.3,1))))))</f>
        <v/>
      </c>
      <c r="F484" s="18">
        <f>IF(ISBLANK(B484),"",ROUNDUP(SQRT(B484)*E484,0))</f>
        <v/>
      </c>
      <c r="G484" s="15">
        <f>IF(ISBLANK(B484),"",ROUNDUP(B484*E484,0))</f>
        <v/>
      </c>
      <c r="H484" s="12">
        <f>IF(ISBLANK(G484),"",IF(G484&gt;=20,"Critical",IF(G484&gt;=15,"High",IF(G484&gt;=8,"Medium","Low"))))</f>
        <v/>
      </c>
    </row>
    <row r="485">
      <c r="B485" s="18">
        <f>IFERROR(VLOOKUP(A485,Risk_Assessment!$B$2:$H$1000,7,FALSE),"")</f>
        <v/>
      </c>
      <c r="E485" s="19">
        <f>IF(C485="No",1,IF(D485="N/A",1,IF(D485="Low (10% reduction)",0.9,IF(D485="Medium (30% reduction)",0.7,IF(D485="High (50% reduction)",0.5,IF(D485="Very High (70% reduction)",0.3,1))))))</f>
        <v/>
      </c>
      <c r="F485" s="18">
        <f>IF(ISBLANK(B485),"",ROUNDUP(SQRT(B485)*E485,0))</f>
        <v/>
      </c>
      <c r="G485" s="15">
        <f>IF(ISBLANK(B485),"",ROUNDUP(B485*E485,0))</f>
        <v/>
      </c>
      <c r="H485" s="12">
        <f>IF(ISBLANK(G485),"",IF(G485&gt;=20,"Critical",IF(G485&gt;=15,"High",IF(G485&gt;=8,"Medium","Low"))))</f>
        <v/>
      </c>
    </row>
    <row r="486">
      <c r="B486" s="18">
        <f>IFERROR(VLOOKUP(A486,Risk_Assessment!$B$2:$H$1000,7,FALSE),"")</f>
        <v/>
      </c>
      <c r="E486" s="19">
        <f>IF(C486="No",1,IF(D486="N/A",1,IF(D486="Low (10% reduction)",0.9,IF(D486="Medium (30% reduction)",0.7,IF(D486="High (50% reduction)",0.5,IF(D486="Very High (70% reduction)",0.3,1))))))</f>
        <v/>
      </c>
      <c r="F486" s="18">
        <f>IF(ISBLANK(B486),"",ROUNDUP(SQRT(B486)*E486,0))</f>
        <v/>
      </c>
      <c r="G486" s="15">
        <f>IF(ISBLANK(B486),"",ROUNDUP(B486*E486,0))</f>
        <v/>
      </c>
      <c r="H486" s="12">
        <f>IF(ISBLANK(G486),"",IF(G486&gt;=20,"Critical",IF(G486&gt;=15,"High",IF(G486&gt;=8,"Medium","Low"))))</f>
        <v/>
      </c>
    </row>
    <row r="487">
      <c r="B487" s="18">
        <f>IFERROR(VLOOKUP(A487,Risk_Assessment!$B$2:$H$1000,7,FALSE),"")</f>
        <v/>
      </c>
      <c r="E487" s="19">
        <f>IF(C487="No",1,IF(D487="N/A",1,IF(D487="Low (10% reduction)",0.9,IF(D487="Medium (30% reduction)",0.7,IF(D487="High (50% reduction)",0.5,IF(D487="Very High (70% reduction)",0.3,1))))))</f>
        <v/>
      </c>
      <c r="F487" s="18">
        <f>IF(ISBLANK(B487),"",ROUNDUP(SQRT(B487)*E487,0))</f>
        <v/>
      </c>
      <c r="G487" s="15">
        <f>IF(ISBLANK(B487),"",ROUNDUP(B487*E487,0))</f>
        <v/>
      </c>
      <c r="H487" s="12">
        <f>IF(ISBLANK(G487),"",IF(G487&gt;=20,"Critical",IF(G487&gt;=15,"High",IF(G487&gt;=8,"Medium","Low"))))</f>
        <v/>
      </c>
    </row>
    <row r="488">
      <c r="B488" s="18">
        <f>IFERROR(VLOOKUP(A488,Risk_Assessment!$B$2:$H$1000,7,FALSE),"")</f>
        <v/>
      </c>
      <c r="E488" s="19">
        <f>IF(C488="No",1,IF(D488="N/A",1,IF(D488="Low (10% reduction)",0.9,IF(D488="Medium (30% reduction)",0.7,IF(D488="High (50% reduction)",0.5,IF(D488="Very High (70% reduction)",0.3,1))))))</f>
        <v/>
      </c>
      <c r="F488" s="18">
        <f>IF(ISBLANK(B488),"",ROUNDUP(SQRT(B488)*E488,0))</f>
        <v/>
      </c>
      <c r="G488" s="15">
        <f>IF(ISBLANK(B488),"",ROUNDUP(B488*E488,0))</f>
        <v/>
      </c>
      <c r="H488" s="12">
        <f>IF(ISBLANK(G488),"",IF(G488&gt;=20,"Critical",IF(G488&gt;=15,"High",IF(G488&gt;=8,"Medium","Low"))))</f>
        <v/>
      </c>
    </row>
    <row r="489">
      <c r="B489" s="18">
        <f>IFERROR(VLOOKUP(A489,Risk_Assessment!$B$2:$H$1000,7,FALSE),"")</f>
        <v/>
      </c>
      <c r="E489" s="19">
        <f>IF(C489="No",1,IF(D489="N/A",1,IF(D489="Low (10% reduction)",0.9,IF(D489="Medium (30% reduction)",0.7,IF(D489="High (50% reduction)",0.5,IF(D489="Very High (70% reduction)",0.3,1))))))</f>
        <v/>
      </c>
      <c r="F489" s="18">
        <f>IF(ISBLANK(B489),"",ROUNDUP(SQRT(B489)*E489,0))</f>
        <v/>
      </c>
      <c r="G489" s="15">
        <f>IF(ISBLANK(B489),"",ROUNDUP(B489*E489,0))</f>
        <v/>
      </c>
      <c r="H489" s="12">
        <f>IF(ISBLANK(G489),"",IF(G489&gt;=20,"Critical",IF(G489&gt;=15,"High",IF(G489&gt;=8,"Medium","Low"))))</f>
        <v/>
      </c>
    </row>
    <row r="490">
      <c r="B490" s="18">
        <f>IFERROR(VLOOKUP(A490,Risk_Assessment!$B$2:$H$1000,7,FALSE),"")</f>
        <v/>
      </c>
      <c r="E490" s="19">
        <f>IF(C490="No",1,IF(D490="N/A",1,IF(D490="Low (10% reduction)",0.9,IF(D490="Medium (30% reduction)",0.7,IF(D490="High (50% reduction)",0.5,IF(D490="Very High (70% reduction)",0.3,1))))))</f>
        <v/>
      </c>
      <c r="F490" s="18">
        <f>IF(ISBLANK(B490),"",ROUNDUP(SQRT(B490)*E490,0))</f>
        <v/>
      </c>
      <c r="G490" s="15">
        <f>IF(ISBLANK(B490),"",ROUNDUP(B490*E490,0))</f>
        <v/>
      </c>
      <c r="H490" s="12">
        <f>IF(ISBLANK(G490),"",IF(G490&gt;=20,"Critical",IF(G490&gt;=15,"High",IF(G490&gt;=8,"Medium","Low"))))</f>
        <v/>
      </c>
    </row>
    <row r="491">
      <c r="B491" s="18">
        <f>IFERROR(VLOOKUP(A491,Risk_Assessment!$B$2:$H$1000,7,FALSE),"")</f>
        <v/>
      </c>
      <c r="E491" s="19">
        <f>IF(C491="No",1,IF(D491="N/A",1,IF(D491="Low (10% reduction)",0.9,IF(D491="Medium (30% reduction)",0.7,IF(D491="High (50% reduction)",0.5,IF(D491="Very High (70% reduction)",0.3,1))))))</f>
        <v/>
      </c>
      <c r="F491" s="18">
        <f>IF(ISBLANK(B491),"",ROUNDUP(SQRT(B491)*E491,0))</f>
        <v/>
      </c>
      <c r="G491" s="15">
        <f>IF(ISBLANK(B491),"",ROUNDUP(B491*E491,0))</f>
        <v/>
      </c>
      <c r="H491" s="12">
        <f>IF(ISBLANK(G491),"",IF(G491&gt;=20,"Critical",IF(G491&gt;=15,"High",IF(G491&gt;=8,"Medium","Low"))))</f>
        <v/>
      </c>
    </row>
    <row r="492">
      <c r="B492" s="18">
        <f>IFERROR(VLOOKUP(A492,Risk_Assessment!$B$2:$H$1000,7,FALSE),"")</f>
        <v/>
      </c>
      <c r="E492" s="19">
        <f>IF(C492="No",1,IF(D492="N/A",1,IF(D492="Low (10% reduction)",0.9,IF(D492="Medium (30% reduction)",0.7,IF(D492="High (50% reduction)",0.5,IF(D492="Very High (70% reduction)",0.3,1))))))</f>
        <v/>
      </c>
      <c r="F492" s="18">
        <f>IF(ISBLANK(B492),"",ROUNDUP(SQRT(B492)*E492,0))</f>
        <v/>
      </c>
      <c r="G492" s="15">
        <f>IF(ISBLANK(B492),"",ROUNDUP(B492*E492,0))</f>
        <v/>
      </c>
      <c r="H492" s="12">
        <f>IF(ISBLANK(G492),"",IF(G492&gt;=20,"Critical",IF(G492&gt;=15,"High",IF(G492&gt;=8,"Medium","Low"))))</f>
        <v/>
      </c>
    </row>
    <row r="493">
      <c r="B493" s="18">
        <f>IFERROR(VLOOKUP(A493,Risk_Assessment!$B$2:$H$1000,7,FALSE),"")</f>
        <v/>
      </c>
      <c r="E493" s="19">
        <f>IF(C493="No",1,IF(D493="N/A",1,IF(D493="Low (10% reduction)",0.9,IF(D493="Medium (30% reduction)",0.7,IF(D493="High (50% reduction)",0.5,IF(D493="Very High (70% reduction)",0.3,1))))))</f>
        <v/>
      </c>
      <c r="F493" s="18">
        <f>IF(ISBLANK(B493),"",ROUNDUP(SQRT(B493)*E493,0))</f>
        <v/>
      </c>
      <c r="G493" s="15">
        <f>IF(ISBLANK(B493),"",ROUNDUP(B493*E493,0))</f>
        <v/>
      </c>
      <c r="H493" s="12">
        <f>IF(ISBLANK(G493),"",IF(G493&gt;=20,"Critical",IF(G493&gt;=15,"High",IF(G493&gt;=8,"Medium","Low"))))</f>
        <v/>
      </c>
    </row>
    <row r="494">
      <c r="B494" s="18">
        <f>IFERROR(VLOOKUP(A494,Risk_Assessment!$B$2:$H$1000,7,FALSE),"")</f>
        <v/>
      </c>
      <c r="E494" s="19">
        <f>IF(C494="No",1,IF(D494="N/A",1,IF(D494="Low (10% reduction)",0.9,IF(D494="Medium (30% reduction)",0.7,IF(D494="High (50% reduction)",0.5,IF(D494="Very High (70% reduction)",0.3,1))))))</f>
        <v/>
      </c>
      <c r="F494" s="18">
        <f>IF(ISBLANK(B494),"",ROUNDUP(SQRT(B494)*E494,0))</f>
        <v/>
      </c>
      <c r="G494" s="15">
        <f>IF(ISBLANK(B494),"",ROUNDUP(B494*E494,0))</f>
        <v/>
      </c>
      <c r="H494" s="12">
        <f>IF(ISBLANK(G494),"",IF(G494&gt;=20,"Critical",IF(G494&gt;=15,"High",IF(G494&gt;=8,"Medium","Low"))))</f>
        <v/>
      </c>
    </row>
    <row r="495">
      <c r="B495" s="18">
        <f>IFERROR(VLOOKUP(A495,Risk_Assessment!$B$2:$H$1000,7,FALSE),"")</f>
        <v/>
      </c>
      <c r="E495" s="19">
        <f>IF(C495="No",1,IF(D495="N/A",1,IF(D495="Low (10% reduction)",0.9,IF(D495="Medium (30% reduction)",0.7,IF(D495="High (50% reduction)",0.5,IF(D495="Very High (70% reduction)",0.3,1))))))</f>
        <v/>
      </c>
      <c r="F495" s="18">
        <f>IF(ISBLANK(B495),"",ROUNDUP(SQRT(B495)*E495,0))</f>
        <v/>
      </c>
      <c r="G495" s="15">
        <f>IF(ISBLANK(B495),"",ROUNDUP(B495*E495,0))</f>
        <v/>
      </c>
      <c r="H495" s="12">
        <f>IF(ISBLANK(G495),"",IF(G495&gt;=20,"Critical",IF(G495&gt;=15,"High",IF(G495&gt;=8,"Medium","Low"))))</f>
        <v/>
      </c>
    </row>
    <row r="496">
      <c r="B496" s="18">
        <f>IFERROR(VLOOKUP(A496,Risk_Assessment!$B$2:$H$1000,7,FALSE),"")</f>
        <v/>
      </c>
      <c r="E496" s="19">
        <f>IF(C496="No",1,IF(D496="N/A",1,IF(D496="Low (10% reduction)",0.9,IF(D496="Medium (30% reduction)",0.7,IF(D496="High (50% reduction)",0.5,IF(D496="Very High (70% reduction)",0.3,1))))))</f>
        <v/>
      </c>
      <c r="F496" s="18">
        <f>IF(ISBLANK(B496),"",ROUNDUP(SQRT(B496)*E496,0))</f>
        <v/>
      </c>
      <c r="G496" s="15">
        <f>IF(ISBLANK(B496),"",ROUNDUP(B496*E496,0))</f>
        <v/>
      </c>
      <c r="H496" s="12">
        <f>IF(ISBLANK(G496),"",IF(G496&gt;=20,"Critical",IF(G496&gt;=15,"High",IF(G496&gt;=8,"Medium","Low"))))</f>
        <v/>
      </c>
    </row>
    <row r="497">
      <c r="B497" s="18">
        <f>IFERROR(VLOOKUP(A497,Risk_Assessment!$B$2:$H$1000,7,FALSE),"")</f>
        <v/>
      </c>
      <c r="E497" s="19">
        <f>IF(C497="No",1,IF(D497="N/A",1,IF(D497="Low (10% reduction)",0.9,IF(D497="Medium (30% reduction)",0.7,IF(D497="High (50% reduction)",0.5,IF(D497="Very High (70% reduction)",0.3,1))))))</f>
        <v/>
      </c>
      <c r="F497" s="18">
        <f>IF(ISBLANK(B497),"",ROUNDUP(SQRT(B497)*E497,0))</f>
        <v/>
      </c>
      <c r="G497" s="15">
        <f>IF(ISBLANK(B497),"",ROUNDUP(B497*E497,0))</f>
        <v/>
      </c>
      <c r="H497" s="12">
        <f>IF(ISBLANK(G497),"",IF(G497&gt;=20,"Critical",IF(G497&gt;=15,"High",IF(G497&gt;=8,"Medium","Low"))))</f>
        <v/>
      </c>
    </row>
    <row r="498">
      <c r="B498" s="18">
        <f>IFERROR(VLOOKUP(A498,Risk_Assessment!$B$2:$H$1000,7,FALSE),"")</f>
        <v/>
      </c>
      <c r="E498" s="19">
        <f>IF(C498="No",1,IF(D498="N/A",1,IF(D498="Low (10% reduction)",0.9,IF(D498="Medium (30% reduction)",0.7,IF(D498="High (50% reduction)",0.5,IF(D498="Very High (70% reduction)",0.3,1))))))</f>
        <v/>
      </c>
      <c r="F498" s="18">
        <f>IF(ISBLANK(B498),"",ROUNDUP(SQRT(B498)*E498,0))</f>
        <v/>
      </c>
      <c r="G498" s="15">
        <f>IF(ISBLANK(B498),"",ROUNDUP(B498*E498,0))</f>
        <v/>
      </c>
      <c r="H498" s="12">
        <f>IF(ISBLANK(G498),"",IF(G498&gt;=20,"Critical",IF(G498&gt;=15,"High",IF(G498&gt;=8,"Medium","Low"))))</f>
        <v/>
      </c>
    </row>
    <row r="499">
      <c r="B499" s="18">
        <f>IFERROR(VLOOKUP(A499,Risk_Assessment!$B$2:$H$1000,7,FALSE),"")</f>
        <v/>
      </c>
      <c r="E499" s="19">
        <f>IF(C499="No",1,IF(D499="N/A",1,IF(D499="Low (10% reduction)",0.9,IF(D499="Medium (30% reduction)",0.7,IF(D499="High (50% reduction)",0.5,IF(D499="Very High (70% reduction)",0.3,1))))))</f>
        <v/>
      </c>
      <c r="F499" s="18">
        <f>IF(ISBLANK(B499),"",ROUNDUP(SQRT(B499)*E499,0))</f>
        <v/>
      </c>
      <c r="G499" s="15">
        <f>IF(ISBLANK(B499),"",ROUNDUP(B499*E499,0))</f>
        <v/>
      </c>
      <c r="H499" s="12">
        <f>IF(ISBLANK(G499),"",IF(G499&gt;=20,"Critical",IF(G499&gt;=15,"High",IF(G499&gt;=8,"Medium","Low"))))</f>
        <v/>
      </c>
    </row>
    <row r="500">
      <c r="B500" s="18">
        <f>IFERROR(VLOOKUP(A500,Risk_Assessment!$B$2:$H$1000,7,FALSE),"")</f>
        <v/>
      </c>
      <c r="E500" s="19">
        <f>IF(C500="No",1,IF(D500="N/A",1,IF(D500="Low (10% reduction)",0.9,IF(D500="Medium (30% reduction)",0.7,IF(D500="High (50% reduction)",0.5,IF(D500="Very High (70% reduction)",0.3,1))))))</f>
        <v/>
      </c>
      <c r="F500" s="18">
        <f>IF(ISBLANK(B500),"",ROUNDUP(SQRT(B500)*E500,0))</f>
        <v/>
      </c>
      <c r="G500" s="15">
        <f>IF(ISBLANK(B500),"",ROUNDUP(B500*E500,0))</f>
        <v/>
      </c>
      <c r="H500" s="12">
        <f>IF(ISBLANK(G500),"",IF(G500&gt;=20,"Critical",IF(G500&gt;=15,"High",IF(G500&gt;=8,"Medium","Low"))))</f>
        <v/>
      </c>
    </row>
    <row r="501">
      <c r="B501" s="18">
        <f>IFERROR(VLOOKUP(A501,Risk_Assessment!$B$2:$H$1000,7,FALSE),"")</f>
        <v/>
      </c>
      <c r="E501" s="19">
        <f>IF(C501="No",1,IF(D501="N/A",1,IF(D501="Low (10% reduction)",0.9,IF(D501="Medium (30% reduction)",0.7,IF(D501="High (50% reduction)",0.5,IF(D501="Very High (70% reduction)",0.3,1))))))</f>
        <v/>
      </c>
      <c r="F501" s="18">
        <f>IF(ISBLANK(B501),"",ROUNDUP(SQRT(B501)*E501,0))</f>
        <v/>
      </c>
      <c r="G501" s="15">
        <f>IF(ISBLANK(B501),"",ROUNDUP(B501*E501,0))</f>
        <v/>
      </c>
      <c r="H501" s="12">
        <f>IF(ISBLANK(G501),"",IF(G501&gt;=20,"Critical",IF(G501&gt;=15,"High",IF(G501&gt;=8,"Medium","Low"))))</f>
        <v/>
      </c>
    </row>
    <row r="502">
      <c r="B502" s="18">
        <f>IFERROR(VLOOKUP(A502,Risk_Assessment!$B$2:$H$1000,7,FALSE),"")</f>
        <v/>
      </c>
      <c r="E502" s="19">
        <f>IF(C502="No",1,IF(D502="N/A",1,IF(D502="Low (10% reduction)",0.9,IF(D502="Medium (30% reduction)",0.7,IF(D502="High (50% reduction)",0.5,IF(D502="Very High (70% reduction)",0.3,1))))))</f>
        <v/>
      </c>
      <c r="F502" s="18">
        <f>IF(ISBLANK(B502),"",ROUNDUP(SQRT(B502)*E502,0))</f>
        <v/>
      </c>
      <c r="G502" s="15">
        <f>IF(ISBLANK(B502),"",ROUNDUP(B502*E502,0))</f>
        <v/>
      </c>
      <c r="H502" s="12">
        <f>IF(ISBLANK(G502),"",IF(G502&gt;=20,"Critical",IF(G502&gt;=15,"High",IF(G502&gt;=8,"Medium","Low"))))</f>
        <v/>
      </c>
    </row>
    <row r="503">
      <c r="B503" s="18">
        <f>IFERROR(VLOOKUP(A503,Risk_Assessment!$B$2:$H$1000,7,FALSE),"")</f>
        <v/>
      </c>
      <c r="E503" s="19">
        <f>IF(C503="No",1,IF(D503="N/A",1,IF(D503="Low (10% reduction)",0.9,IF(D503="Medium (30% reduction)",0.7,IF(D503="High (50% reduction)",0.5,IF(D503="Very High (70% reduction)",0.3,1))))))</f>
        <v/>
      </c>
      <c r="F503" s="18">
        <f>IF(ISBLANK(B503),"",ROUNDUP(SQRT(B503)*E503,0))</f>
        <v/>
      </c>
      <c r="G503" s="15">
        <f>IF(ISBLANK(B503),"",ROUNDUP(B503*E503,0))</f>
        <v/>
      </c>
      <c r="H503" s="12">
        <f>IF(ISBLANK(G503),"",IF(G503&gt;=20,"Critical",IF(G503&gt;=15,"High",IF(G503&gt;=8,"Medium","Low"))))</f>
        <v/>
      </c>
    </row>
    <row r="504">
      <c r="B504" s="18">
        <f>IFERROR(VLOOKUP(A504,Risk_Assessment!$B$2:$H$1000,7,FALSE),"")</f>
        <v/>
      </c>
      <c r="E504" s="19">
        <f>IF(C504="No",1,IF(D504="N/A",1,IF(D504="Low (10% reduction)",0.9,IF(D504="Medium (30% reduction)",0.7,IF(D504="High (50% reduction)",0.5,IF(D504="Very High (70% reduction)",0.3,1))))))</f>
        <v/>
      </c>
      <c r="F504" s="18">
        <f>IF(ISBLANK(B504),"",ROUNDUP(SQRT(B504)*E504,0))</f>
        <v/>
      </c>
      <c r="G504" s="15">
        <f>IF(ISBLANK(B504),"",ROUNDUP(B504*E504,0))</f>
        <v/>
      </c>
      <c r="H504" s="12">
        <f>IF(ISBLANK(G504),"",IF(G504&gt;=20,"Critical",IF(G504&gt;=15,"High",IF(G504&gt;=8,"Medium","Low"))))</f>
        <v/>
      </c>
    </row>
    <row r="505">
      <c r="B505" s="18">
        <f>IFERROR(VLOOKUP(A505,Risk_Assessment!$B$2:$H$1000,7,FALSE),"")</f>
        <v/>
      </c>
      <c r="E505" s="19">
        <f>IF(C505="No",1,IF(D505="N/A",1,IF(D505="Low (10% reduction)",0.9,IF(D505="Medium (30% reduction)",0.7,IF(D505="High (50% reduction)",0.5,IF(D505="Very High (70% reduction)",0.3,1))))))</f>
        <v/>
      </c>
      <c r="F505" s="18">
        <f>IF(ISBLANK(B505),"",ROUNDUP(SQRT(B505)*E505,0))</f>
        <v/>
      </c>
      <c r="G505" s="15">
        <f>IF(ISBLANK(B505),"",ROUNDUP(B505*E505,0))</f>
        <v/>
      </c>
      <c r="H505" s="12">
        <f>IF(ISBLANK(G505),"",IF(G505&gt;=20,"Critical",IF(G505&gt;=15,"High",IF(G505&gt;=8,"Medium","Low"))))</f>
        <v/>
      </c>
    </row>
    <row r="506">
      <c r="B506" s="18">
        <f>IFERROR(VLOOKUP(A506,Risk_Assessment!$B$2:$H$1000,7,FALSE),"")</f>
        <v/>
      </c>
      <c r="E506" s="19">
        <f>IF(C506="No",1,IF(D506="N/A",1,IF(D506="Low (10% reduction)",0.9,IF(D506="Medium (30% reduction)",0.7,IF(D506="High (50% reduction)",0.5,IF(D506="Very High (70% reduction)",0.3,1))))))</f>
        <v/>
      </c>
      <c r="F506" s="18">
        <f>IF(ISBLANK(B506),"",ROUNDUP(SQRT(B506)*E506,0))</f>
        <v/>
      </c>
      <c r="G506" s="15">
        <f>IF(ISBLANK(B506),"",ROUNDUP(B506*E506,0))</f>
        <v/>
      </c>
      <c r="H506" s="12">
        <f>IF(ISBLANK(G506),"",IF(G506&gt;=20,"Critical",IF(G506&gt;=15,"High",IF(G506&gt;=8,"Medium","Low"))))</f>
        <v/>
      </c>
    </row>
    <row r="507">
      <c r="B507" s="18">
        <f>IFERROR(VLOOKUP(A507,Risk_Assessment!$B$2:$H$1000,7,FALSE),"")</f>
        <v/>
      </c>
      <c r="E507" s="19">
        <f>IF(C507="No",1,IF(D507="N/A",1,IF(D507="Low (10% reduction)",0.9,IF(D507="Medium (30% reduction)",0.7,IF(D507="High (50% reduction)",0.5,IF(D507="Very High (70% reduction)",0.3,1))))))</f>
        <v/>
      </c>
      <c r="F507" s="18">
        <f>IF(ISBLANK(B507),"",ROUNDUP(SQRT(B507)*E507,0))</f>
        <v/>
      </c>
      <c r="G507" s="15">
        <f>IF(ISBLANK(B507),"",ROUNDUP(B507*E507,0))</f>
        <v/>
      </c>
      <c r="H507" s="12">
        <f>IF(ISBLANK(G507),"",IF(G507&gt;=20,"Critical",IF(G507&gt;=15,"High",IF(G507&gt;=8,"Medium","Low"))))</f>
        <v/>
      </c>
    </row>
    <row r="508">
      <c r="B508" s="18">
        <f>IFERROR(VLOOKUP(A508,Risk_Assessment!$B$2:$H$1000,7,FALSE),"")</f>
        <v/>
      </c>
      <c r="E508" s="19">
        <f>IF(C508="No",1,IF(D508="N/A",1,IF(D508="Low (10% reduction)",0.9,IF(D508="Medium (30% reduction)",0.7,IF(D508="High (50% reduction)",0.5,IF(D508="Very High (70% reduction)",0.3,1))))))</f>
        <v/>
      </c>
      <c r="F508" s="18">
        <f>IF(ISBLANK(B508),"",ROUNDUP(SQRT(B508)*E508,0))</f>
        <v/>
      </c>
      <c r="G508" s="15">
        <f>IF(ISBLANK(B508),"",ROUNDUP(B508*E508,0))</f>
        <v/>
      </c>
      <c r="H508" s="12">
        <f>IF(ISBLANK(G508),"",IF(G508&gt;=20,"Critical",IF(G508&gt;=15,"High",IF(G508&gt;=8,"Medium","Low"))))</f>
        <v/>
      </c>
    </row>
    <row r="509">
      <c r="B509" s="18">
        <f>IFERROR(VLOOKUP(A509,Risk_Assessment!$B$2:$H$1000,7,FALSE),"")</f>
        <v/>
      </c>
      <c r="E509" s="19">
        <f>IF(C509="No",1,IF(D509="N/A",1,IF(D509="Low (10% reduction)",0.9,IF(D509="Medium (30% reduction)",0.7,IF(D509="High (50% reduction)",0.5,IF(D509="Very High (70% reduction)",0.3,1))))))</f>
        <v/>
      </c>
      <c r="F509" s="18">
        <f>IF(ISBLANK(B509),"",ROUNDUP(SQRT(B509)*E509,0))</f>
        <v/>
      </c>
      <c r="G509" s="15">
        <f>IF(ISBLANK(B509),"",ROUNDUP(B509*E509,0))</f>
        <v/>
      </c>
      <c r="H509" s="12">
        <f>IF(ISBLANK(G509),"",IF(G509&gt;=20,"Critical",IF(G509&gt;=15,"High",IF(G509&gt;=8,"Medium","Low"))))</f>
        <v/>
      </c>
    </row>
    <row r="510">
      <c r="B510" s="18">
        <f>IFERROR(VLOOKUP(A510,Risk_Assessment!$B$2:$H$1000,7,FALSE),"")</f>
        <v/>
      </c>
      <c r="E510" s="19">
        <f>IF(C510="No",1,IF(D510="N/A",1,IF(D510="Low (10% reduction)",0.9,IF(D510="Medium (30% reduction)",0.7,IF(D510="High (50% reduction)",0.5,IF(D510="Very High (70% reduction)",0.3,1))))))</f>
        <v/>
      </c>
      <c r="F510" s="18">
        <f>IF(ISBLANK(B510),"",ROUNDUP(SQRT(B510)*E510,0))</f>
        <v/>
      </c>
      <c r="G510" s="15">
        <f>IF(ISBLANK(B510),"",ROUNDUP(B510*E510,0))</f>
        <v/>
      </c>
      <c r="H510" s="12">
        <f>IF(ISBLANK(G510),"",IF(G510&gt;=20,"Critical",IF(G510&gt;=15,"High",IF(G510&gt;=8,"Medium","Low"))))</f>
        <v/>
      </c>
    </row>
    <row r="511">
      <c r="B511" s="18">
        <f>IFERROR(VLOOKUP(A511,Risk_Assessment!$B$2:$H$1000,7,FALSE),"")</f>
        <v/>
      </c>
      <c r="E511" s="19">
        <f>IF(C511="No",1,IF(D511="N/A",1,IF(D511="Low (10% reduction)",0.9,IF(D511="Medium (30% reduction)",0.7,IF(D511="High (50% reduction)",0.5,IF(D511="Very High (70% reduction)",0.3,1))))))</f>
        <v/>
      </c>
      <c r="F511" s="18">
        <f>IF(ISBLANK(B511),"",ROUNDUP(SQRT(B511)*E511,0))</f>
        <v/>
      </c>
      <c r="G511" s="15">
        <f>IF(ISBLANK(B511),"",ROUNDUP(B511*E511,0))</f>
        <v/>
      </c>
      <c r="H511" s="12">
        <f>IF(ISBLANK(G511),"",IF(G511&gt;=20,"Critical",IF(G511&gt;=15,"High",IF(G511&gt;=8,"Medium","Low"))))</f>
        <v/>
      </c>
    </row>
    <row r="512">
      <c r="B512" s="18">
        <f>IFERROR(VLOOKUP(A512,Risk_Assessment!$B$2:$H$1000,7,FALSE),"")</f>
        <v/>
      </c>
      <c r="E512" s="19">
        <f>IF(C512="No",1,IF(D512="N/A",1,IF(D512="Low (10% reduction)",0.9,IF(D512="Medium (30% reduction)",0.7,IF(D512="High (50% reduction)",0.5,IF(D512="Very High (70% reduction)",0.3,1))))))</f>
        <v/>
      </c>
      <c r="F512" s="18">
        <f>IF(ISBLANK(B512),"",ROUNDUP(SQRT(B512)*E512,0))</f>
        <v/>
      </c>
      <c r="G512" s="15">
        <f>IF(ISBLANK(B512),"",ROUNDUP(B512*E512,0))</f>
        <v/>
      </c>
      <c r="H512" s="12">
        <f>IF(ISBLANK(G512),"",IF(G512&gt;=20,"Critical",IF(G512&gt;=15,"High",IF(G512&gt;=8,"Medium","Low"))))</f>
        <v/>
      </c>
    </row>
    <row r="513">
      <c r="B513" s="18">
        <f>IFERROR(VLOOKUP(A513,Risk_Assessment!$B$2:$H$1000,7,FALSE),"")</f>
        <v/>
      </c>
      <c r="E513" s="19">
        <f>IF(C513="No",1,IF(D513="N/A",1,IF(D513="Low (10% reduction)",0.9,IF(D513="Medium (30% reduction)",0.7,IF(D513="High (50% reduction)",0.5,IF(D513="Very High (70% reduction)",0.3,1))))))</f>
        <v/>
      </c>
      <c r="F513" s="18">
        <f>IF(ISBLANK(B513),"",ROUNDUP(SQRT(B513)*E513,0))</f>
        <v/>
      </c>
      <c r="G513" s="15">
        <f>IF(ISBLANK(B513),"",ROUNDUP(B513*E513,0))</f>
        <v/>
      </c>
      <c r="H513" s="12">
        <f>IF(ISBLANK(G513),"",IF(G513&gt;=20,"Critical",IF(G513&gt;=15,"High",IF(G513&gt;=8,"Medium","Low"))))</f>
        <v/>
      </c>
    </row>
    <row r="514">
      <c r="B514" s="18">
        <f>IFERROR(VLOOKUP(A514,Risk_Assessment!$B$2:$H$1000,7,FALSE),"")</f>
        <v/>
      </c>
      <c r="E514" s="19">
        <f>IF(C514="No",1,IF(D514="N/A",1,IF(D514="Low (10% reduction)",0.9,IF(D514="Medium (30% reduction)",0.7,IF(D514="High (50% reduction)",0.5,IF(D514="Very High (70% reduction)",0.3,1))))))</f>
        <v/>
      </c>
      <c r="F514" s="18">
        <f>IF(ISBLANK(B514),"",ROUNDUP(SQRT(B514)*E514,0))</f>
        <v/>
      </c>
      <c r="G514" s="15">
        <f>IF(ISBLANK(B514),"",ROUNDUP(B514*E514,0))</f>
        <v/>
      </c>
      <c r="H514" s="12">
        <f>IF(ISBLANK(G514),"",IF(G514&gt;=20,"Critical",IF(G514&gt;=15,"High",IF(G514&gt;=8,"Medium","Low"))))</f>
        <v/>
      </c>
    </row>
    <row r="515">
      <c r="B515" s="18">
        <f>IFERROR(VLOOKUP(A515,Risk_Assessment!$B$2:$H$1000,7,FALSE),"")</f>
        <v/>
      </c>
      <c r="E515" s="19">
        <f>IF(C515="No",1,IF(D515="N/A",1,IF(D515="Low (10% reduction)",0.9,IF(D515="Medium (30% reduction)",0.7,IF(D515="High (50% reduction)",0.5,IF(D515="Very High (70% reduction)",0.3,1))))))</f>
        <v/>
      </c>
      <c r="F515" s="18">
        <f>IF(ISBLANK(B515),"",ROUNDUP(SQRT(B515)*E515,0))</f>
        <v/>
      </c>
      <c r="G515" s="15">
        <f>IF(ISBLANK(B515),"",ROUNDUP(B515*E515,0))</f>
        <v/>
      </c>
      <c r="H515" s="12">
        <f>IF(ISBLANK(G515),"",IF(G515&gt;=20,"Critical",IF(G515&gt;=15,"High",IF(G515&gt;=8,"Medium","Low"))))</f>
        <v/>
      </c>
    </row>
    <row r="516">
      <c r="B516" s="18">
        <f>IFERROR(VLOOKUP(A516,Risk_Assessment!$B$2:$H$1000,7,FALSE),"")</f>
        <v/>
      </c>
      <c r="E516" s="19">
        <f>IF(C516="No",1,IF(D516="N/A",1,IF(D516="Low (10% reduction)",0.9,IF(D516="Medium (30% reduction)",0.7,IF(D516="High (50% reduction)",0.5,IF(D516="Very High (70% reduction)",0.3,1))))))</f>
        <v/>
      </c>
      <c r="F516" s="18">
        <f>IF(ISBLANK(B516),"",ROUNDUP(SQRT(B516)*E516,0))</f>
        <v/>
      </c>
      <c r="G516" s="15">
        <f>IF(ISBLANK(B516),"",ROUNDUP(B516*E516,0))</f>
        <v/>
      </c>
      <c r="H516" s="12">
        <f>IF(ISBLANK(G516),"",IF(G516&gt;=20,"Critical",IF(G516&gt;=15,"High",IF(G516&gt;=8,"Medium","Low"))))</f>
        <v/>
      </c>
    </row>
    <row r="517">
      <c r="B517" s="18">
        <f>IFERROR(VLOOKUP(A517,Risk_Assessment!$B$2:$H$1000,7,FALSE),"")</f>
        <v/>
      </c>
      <c r="E517" s="19">
        <f>IF(C517="No",1,IF(D517="N/A",1,IF(D517="Low (10% reduction)",0.9,IF(D517="Medium (30% reduction)",0.7,IF(D517="High (50% reduction)",0.5,IF(D517="Very High (70% reduction)",0.3,1))))))</f>
        <v/>
      </c>
      <c r="F517" s="18">
        <f>IF(ISBLANK(B517),"",ROUNDUP(SQRT(B517)*E517,0))</f>
        <v/>
      </c>
      <c r="G517" s="15">
        <f>IF(ISBLANK(B517),"",ROUNDUP(B517*E517,0))</f>
        <v/>
      </c>
      <c r="H517" s="12">
        <f>IF(ISBLANK(G517),"",IF(G517&gt;=20,"Critical",IF(G517&gt;=15,"High",IF(G517&gt;=8,"Medium","Low"))))</f>
        <v/>
      </c>
    </row>
    <row r="518">
      <c r="B518" s="18">
        <f>IFERROR(VLOOKUP(A518,Risk_Assessment!$B$2:$H$1000,7,FALSE),"")</f>
        <v/>
      </c>
      <c r="E518" s="19">
        <f>IF(C518="No",1,IF(D518="N/A",1,IF(D518="Low (10% reduction)",0.9,IF(D518="Medium (30% reduction)",0.7,IF(D518="High (50% reduction)",0.5,IF(D518="Very High (70% reduction)",0.3,1))))))</f>
        <v/>
      </c>
      <c r="F518" s="18">
        <f>IF(ISBLANK(B518),"",ROUNDUP(SQRT(B518)*E518,0))</f>
        <v/>
      </c>
      <c r="G518" s="15">
        <f>IF(ISBLANK(B518),"",ROUNDUP(B518*E518,0))</f>
        <v/>
      </c>
      <c r="H518" s="12">
        <f>IF(ISBLANK(G518),"",IF(G518&gt;=20,"Critical",IF(G518&gt;=15,"High",IF(G518&gt;=8,"Medium","Low"))))</f>
        <v/>
      </c>
    </row>
    <row r="519">
      <c r="B519" s="18">
        <f>IFERROR(VLOOKUP(A519,Risk_Assessment!$B$2:$H$1000,7,FALSE),"")</f>
        <v/>
      </c>
      <c r="E519" s="19">
        <f>IF(C519="No",1,IF(D519="N/A",1,IF(D519="Low (10% reduction)",0.9,IF(D519="Medium (30% reduction)",0.7,IF(D519="High (50% reduction)",0.5,IF(D519="Very High (70% reduction)",0.3,1))))))</f>
        <v/>
      </c>
      <c r="F519" s="18">
        <f>IF(ISBLANK(B519),"",ROUNDUP(SQRT(B519)*E519,0))</f>
        <v/>
      </c>
      <c r="G519" s="15">
        <f>IF(ISBLANK(B519),"",ROUNDUP(B519*E519,0))</f>
        <v/>
      </c>
      <c r="H519" s="12">
        <f>IF(ISBLANK(G519),"",IF(G519&gt;=20,"Critical",IF(G519&gt;=15,"High",IF(G519&gt;=8,"Medium","Low"))))</f>
        <v/>
      </c>
    </row>
    <row r="520">
      <c r="B520" s="18">
        <f>IFERROR(VLOOKUP(A520,Risk_Assessment!$B$2:$H$1000,7,FALSE),"")</f>
        <v/>
      </c>
      <c r="E520" s="19">
        <f>IF(C520="No",1,IF(D520="N/A",1,IF(D520="Low (10% reduction)",0.9,IF(D520="Medium (30% reduction)",0.7,IF(D520="High (50% reduction)",0.5,IF(D520="Very High (70% reduction)",0.3,1))))))</f>
        <v/>
      </c>
      <c r="F520" s="18">
        <f>IF(ISBLANK(B520),"",ROUNDUP(SQRT(B520)*E520,0))</f>
        <v/>
      </c>
      <c r="G520" s="15">
        <f>IF(ISBLANK(B520),"",ROUNDUP(B520*E520,0))</f>
        <v/>
      </c>
      <c r="H520" s="12">
        <f>IF(ISBLANK(G520),"",IF(G520&gt;=20,"Critical",IF(G520&gt;=15,"High",IF(G520&gt;=8,"Medium","Low"))))</f>
        <v/>
      </c>
    </row>
    <row r="521">
      <c r="B521" s="18">
        <f>IFERROR(VLOOKUP(A521,Risk_Assessment!$B$2:$H$1000,7,FALSE),"")</f>
        <v/>
      </c>
      <c r="E521" s="19">
        <f>IF(C521="No",1,IF(D521="N/A",1,IF(D521="Low (10% reduction)",0.9,IF(D521="Medium (30% reduction)",0.7,IF(D521="High (50% reduction)",0.5,IF(D521="Very High (70% reduction)",0.3,1))))))</f>
        <v/>
      </c>
      <c r="F521" s="18">
        <f>IF(ISBLANK(B521),"",ROUNDUP(SQRT(B521)*E521,0))</f>
        <v/>
      </c>
      <c r="G521" s="15">
        <f>IF(ISBLANK(B521),"",ROUNDUP(B521*E521,0))</f>
        <v/>
      </c>
      <c r="H521" s="12">
        <f>IF(ISBLANK(G521),"",IF(G521&gt;=20,"Critical",IF(G521&gt;=15,"High",IF(G521&gt;=8,"Medium","Low"))))</f>
        <v/>
      </c>
    </row>
    <row r="522">
      <c r="B522" s="18">
        <f>IFERROR(VLOOKUP(A522,Risk_Assessment!$B$2:$H$1000,7,FALSE),"")</f>
        <v/>
      </c>
      <c r="E522" s="19">
        <f>IF(C522="No",1,IF(D522="N/A",1,IF(D522="Low (10% reduction)",0.9,IF(D522="Medium (30% reduction)",0.7,IF(D522="High (50% reduction)",0.5,IF(D522="Very High (70% reduction)",0.3,1))))))</f>
        <v/>
      </c>
      <c r="F522" s="18">
        <f>IF(ISBLANK(B522),"",ROUNDUP(SQRT(B522)*E522,0))</f>
        <v/>
      </c>
      <c r="G522" s="15">
        <f>IF(ISBLANK(B522),"",ROUNDUP(B522*E522,0))</f>
        <v/>
      </c>
      <c r="H522" s="12">
        <f>IF(ISBLANK(G522),"",IF(G522&gt;=20,"Critical",IF(G522&gt;=15,"High",IF(G522&gt;=8,"Medium","Low"))))</f>
        <v/>
      </c>
    </row>
    <row r="523">
      <c r="B523" s="18">
        <f>IFERROR(VLOOKUP(A523,Risk_Assessment!$B$2:$H$1000,7,FALSE),"")</f>
        <v/>
      </c>
      <c r="E523" s="19">
        <f>IF(C523="No",1,IF(D523="N/A",1,IF(D523="Low (10% reduction)",0.9,IF(D523="Medium (30% reduction)",0.7,IF(D523="High (50% reduction)",0.5,IF(D523="Very High (70% reduction)",0.3,1))))))</f>
        <v/>
      </c>
      <c r="F523" s="18">
        <f>IF(ISBLANK(B523),"",ROUNDUP(SQRT(B523)*E523,0))</f>
        <v/>
      </c>
      <c r="G523" s="15">
        <f>IF(ISBLANK(B523),"",ROUNDUP(B523*E523,0))</f>
        <v/>
      </c>
      <c r="H523" s="12">
        <f>IF(ISBLANK(G523),"",IF(G523&gt;=20,"Critical",IF(G523&gt;=15,"High",IF(G523&gt;=8,"Medium","Low"))))</f>
        <v/>
      </c>
    </row>
    <row r="524">
      <c r="B524" s="18">
        <f>IFERROR(VLOOKUP(A524,Risk_Assessment!$B$2:$H$1000,7,FALSE),"")</f>
        <v/>
      </c>
      <c r="E524" s="19">
        <f>IF(C524="No",1,IF(D524="N/A",1,IF(D524="Low (10% reduction)",0.9,IF(D524="Medium (30% reduction)",0.7,IF(D524="High (50% reduction)",0.5,IF(D524="Very High (70% reduction)",0.3,1))))))</f>
        <v/>
      </c>
      <c r="F524" s="18">
        <f>IF(ISBLANK(B524),"",ROUNDUP(SQRT(B524)*E524,0))</f>
        <v/>
      </c>
      <c r="G524" s="15">
        <f>IF(ISBLANK(B524),"",ROUNDUP(B524*E524,0))</f>
        <v/>
      </c>
      <c r="H524" s="12">
        <f>IF(ISBLANK(G524),"",IF(G524&gt;=20,"Critical",IF(G524&gt;=15,"High",IF(G524&gt;=8,"Medium","Low"))))</f>
        <v/>
      </c>
    </row>
    <row r="525">
      <c r="B525" s="18">
        <f>IFERROR(VLOOKUP(A525,Risk_Assessment!$B$2:$H$1000,7,FALSE),"")</f>
        <v/>
      </c>
      <c r="E525" s="19">
        <f>IF(C525="No",1,IF(D525="N/A",1,IF(D525="Low (10% reduction)",0.9,IF(D525="Medium (30% reduction)",0.7,IF(D525="High (50% reduction)",0.5,IF(D525="Very High (70% reduction)",0.3,1))))))</f>
        <v/>
      </c>
      <c r="F525" s="18">
        <f>IF(ISBLANK(B525),"",ROUNDUP(SQRT(B525)*E525,0))</f>
        <v/>
      </c>
      <c r="G525" s="15">
        <f>IF(ISBLANK(B525),"",ROUNDUP(B525*E525,0))</f>
        <v/>
      </c>
      <c r="H525" s="12">
        <f>IF(ISBLANK(G525),"",IF(G525&gt;=20,"Critical",IF(G525&gt;=15,"High",IF(G525&gt;=8,"Medium","Low"))))</f>
        <v/>
      </c>
    </row>
    <row r="526">
      <c r="B526" s="18">
        <f>IFERROR(VLOOKUP(A526,Risk_Assessment!$B$2:$H$1000,7,FALSE),"")</f>
        <v/>
      </c>
      <c r="E526" s="19">
        <f>IF(C526="No",1,IF(D526="N/A",1,IF(D526="Low (10% reduction)",0.9,IF(D526="Medium (30% reduction)",0.7,IF(D526="High (50% reduction)",0.5,IF(D526="Very High (70% reduction)",0.3,1))))))</f>
        <v/>
      </c>
      <c r="F526" s="18">
        <f>IF(ISBLANK(B526),"",ROUNDUP(SQRT(B526)*E526,0))</f>
        <v/>
      </c>
      <c r="G526" s="15">
        <f>IF(ISBLANK(B526),"",ROUNDUP(B526*E526,0))</f>
        <v/>
      </c>
      <c r="H526" s="12">
        <f>IF(ISBLANK(G526),"",IF(G526&gt;=20,"Critical",IF(G526&gt;=15,"High",IF(G526&gt;=8,"Medium","Low"))))</f>
        <v/>
      </c>
    </row>
    <row r="527">
      <c r="B527" s="18">
        <f>IFERROR(VLOOKUP(A527,Risk_Assessment!$B$2:$H$1000,7,FALSE),"")</f>
        <v/>
      </c>
      <c r="E527" s="19">
        <f>IF(C527="No",1,IF(D527="N/A",1,IF(D527="Low (10% reduction)",0.9,IF(D527="Medium (30% reduction)",0.7,IF(D527="High (50% reduction)",0.5,IF(D527="Very High (70% reduction)",0.3,1))))))</f>
        <v/>
      </c>
      <c r="F527" s="18">
        <f>IF(ISBLANK(B527),"",ROUNDUP(SQRT(B527)*E527,0))</f>
        <v/>
      </c>
      <c r="G527" s="15">
        <f>IF(ISBLANK(B527),"",ROUNDUP(B527*E527,0))</f>
        <v/>
      </c>
      <c r="H527" s="12">
        <f>IF(ISBLANK(G527),"",IF(G527&gt;=20,"Critical",IF(G527&gt;=15,"High",IF(G527&gt;=8,"Medium","Low"))))</f>
        <v/>
      </c>
    </row>
    <row r="528">
      <c r="B528" s="18">
        <f>IFERROR(VLOOKUP(A528,Risk_Assessment!$B$2:$H$1000,7,FALSE),"")</f>
        <v/>
      </c>
      <c r="E528" s="19">
        <f>IF(C528="No",1,IF(D528="N/A",1,IF(D528="Low (10% reduction)",0.9,IF(D528="Medium (30% reduction)",0.7,IF(D528="High (50% reduction)",0.5,IF(D528="Very High (70% reduction)",0.3,1))))))</f>
        <v/>
      </c>
      <c r="F528" s="18">
        <f>IF(ISBLANK(B528),"",ROUNDUP(SQRT(B528)*E528,0))</f>
        <v/>
      </c>
      <c r="G528" s="15">
        <f>IF(ISBLANK(B528),"",ROUNDUP(B528*E528,0))</f>
        <v/>
      </c>
      <c r="H528" s="12">
        <f>IF(ISBLANK(G528),"",IF(G528&gt;=20,"Critical",IF(G528&gt;=15,"High",IF(G528&gt;=8,"Medium","Low"))))</f>
        <v/>
      </c>
    </row>
    <row r="529">
      <c r="B529" s="18">
        <f>IFERROR(VLOOKUP(A529,Risk_Assessment!$B$2:$H$1000,7,FALSE),"")</f>
        <v/>
      </c>
      <c r="E529" s="19">
        <f>IF(C529="No",1,IF(D529="N/A",1,IF(D529="Low (10% reduction)",0.9,IF(D529="Medium (30% reduction)",0.7,IF(D529="High (50% reduction)",0.5,IF(D529="Very High (70% reduction)",0.3,1))))))</f>
        <v/>
      </c>
      <c r="F529" s="18">
        <f>IF(ISBLANK(B529),"",ROUNDUP(SQRT(B529)*E529,0))</f>
        <v/>
      </c>
      <c r="G529" s="15">
        <f>IF(ISBLANK(B529),"",ROUNDUP(B529*E529,0))</f>
        <v/>
      </c>
      <c r="H529" s="12">
        <f>IF(ISBLANK(G529),"",IF(G529&gt;=20,"Critical",IF(G529&gt;=15,"High",IF(G529&gt;=8,"Medium","Low"))))</f>
        <v/>
      </c>
    </row>
    <row r="530">
      <c r="B530" s="18">
        <f>IFERROR(VLOOKUP(A530,Risk_Assessment!$B$2:$H$1000,7,FALSE),"")</f>
        <v/>
      </c>
      <c r="E530" s="19">
        <f>IF(C530="No",1,IF(D530="N/A",1,IF(D530="Low (10% reduction)",0.9,IF(D530="Medium (30% reduction)",0.7,IF(D530="High (50% reduction)",0.5,IF(D530="Very High (70% reduction)",0.3,1))))))</f>
        <v/>
      </c>
      <c r="F530" s="18">
        <f>IF(ISBLANK(B530),"",ROUNDUP(SQRT(B530)*E530,0))</f>
        <v/>
      </c>
      <c r="G530" s="15">
        <f>IF(ISBLANK(B530),"",ROUNDUP(B530*E530,0))</f>
        <v/>
      </c>
      <c r="H530" s="12">
        <f>IF(ISBLANK(G530),"",IF(G530&gt;=20,"Critical",IF(G530&gt;=15,"High",IF(G530&gt;=8,"Medium","Low"))))</f>
        <v/>
      </c>
    </row>
    <row r="531">
      <c r="B531" s="18">
        <f>IFERROR(VLOOKUP(A531,Risk_Assessment!$B$2:$H$1000,7,FALSE),"")</f>
        <v/>
      </c>
      <c r="E531" s="19">
        <f>IF(C531="No",1,IF(D531="N/A",1,IF(D531="Low (10% reduction)",0.9,IF(D531="Medium (30% reduction)",0.7,IF(D531="High (50% reduction)",0.5,IF(D531="Very High (70% reduction)",0.3,1))))))</f>
        <v/>
      </c>
      <c r="F531" s="18">
        <f>IF(ISBLANK(B531),"",ROUNDUP(SQRT(B531)*E531,0))</f>
        <v/>
      </c>
      <c r="G531" s="15">
        <f>IF(ISBLANK(B531),"",ROUNDUP(B531*E531,0))</f>
        <v/>
      </c>
      <c r="H531" s="12">
        <f>IF(ISBLANK(G531),"",IF(G531&gt;=20,"Critical",IF(G531&gt;=15,"High",IF(G531&gt;=8,"Medium","Low"))))</f>
        <v/>
      </c>
    </row>
    <row r="532">
      <c r="B532" s="18">
        <f>IFERROR(VLOOKUP(A532,Risk_Assessment!$B$2:$H$1000,7,FALSE),"")</f>
        <v/>
      </c>
      <c r="E532" s="19">
        <f>IF(C532="No",1,IF(D532="N/A",1,IF(D532="Low (10% reduction)",0.9,IF(D532="Medium (30% reduction)",0.7,IF(D532="High (50% reduction)",0.5,IF(D532="Very High (70% reduction)",0.3,1))))))</f>
        <v/>
      </c>
      <c r="F532" s="18">
        <f>IF(ISBLANK(B532),"",ROUNDUP(SQRT(B532)*E532,0))</f>
        <v/>
      </c>
      <c r="G532" s="15">
        <f>IF(ISBLANK(B532),"",ROUNDUP(B532*E532,0))</f>
        <v/>
      </c>
      <c r="H532" s="12">
        <f>IF(ISBLANK(G532),"",IF(G532&gt;=20,"Critical",IF(G532&gt;=15,"High",IF(G532&gt;=8,"Medium","Low"))))</f>
        <v/>
      </c>
    </row>
    <row r="533">
      <c r="B533" s="18">
        <f>IFERROR(VLOOKUP(A533,Risk_Assessment!$B$2:$H$1000,7,FALSE),"")</f>
        <v/>
      </c>
      <c r="E533" s="19">
        <f>IF(C533="No",1,IF(D533="N/A",1,IF(D533="Low (10% reduction)",0.9,IF(D533="Medium (30% reduction)",0.7,IF(D533="High (50% reduction)",0.5,IF(D533="Very High (70% reduction)",0.3,1))))))</f>
        <v/>
      </c>
      <c r="F533" s="18">
        <f>IF(ISBLANK(B533),"",ROUNDUP(SQRT(B533)*E533,0))</f>
        <v/>
      </c>
      <c r="G533" s="15">
        <f>IF(ISBLANK(B533),"",ROUNDUP(B533*E533,0))</f>
        <v/>
      </c>
      <c r="H533" s="12">
        <f>IF(ISBLANK(G533),"",IF(G533&gt;=20,"Critical",IF(G533&gt;=15,"High",IF(G533&gt;=8,"Medium","Low"))))</f>
        <v/>
      </c>
    </row>
    <row r="534">
      <c r="B534" s="18">
        <f>IFERROR(VLOOKUP(A534,Risk_Assessment!$B$2:$H$1000,7,FALSE),"")</f>
        <v/>
      </c>
      <c r="E534" s="19">
        <f>IF(C534="No",1,IF(D534="N/A",1,IF(D534="Low (10% reduction)",0.9,IF(D534="Medium (30% reduction)",0.7,IF(D534="High (50% reduction)",0.5,IF(D534="Very High (70% reduction)",0.3,1))))))</f>
        <v/>
      </c>
      <c r="F534" s="18">
        <f>IF(ISBLANK(B534),"",ROUNDUP(SQRT(B534)*E534,0))</f>
        <v/>
      </c>
      <c r="G534" s="15">
        <f>IF(ISBLANK(B534),"",ROUNDUP(B534*E534,0))</f>
        <v/>
      </c>
      <c r="H534" s="12">
        <f>IF(ISBLANK(G534),"",IF(G534&gt;=20,"Critical",IF(G534&gt;=15,"High",IF(G534&gt;=8,"Medium","Low"))))</f>
        <v/>
      </c>
    </row>
    <row r="535">
      <c r="B535" s="18">
        <f>IFERROR(VLOOKUP(A535,Risk_Assessment!$B$2:$H$1000,7,FALSE),"")</f>
        <v/>
      </c>
      <c r="E535" s="19">
        <f>IF(C535="No",1,IF(D535="N/A",1,IF(D535="Low (10% reduction)",0.9,IF(D535="Medium (30% reduction)",0.7,IF(D535="High (50% reduction)",0.5,IF(D535="Very High (70% reduction)",0.3,1))))))</f>
        <v/>
      </c>
      <c r="F535" s="18">
        <f>IF(ISBLANK(B535),"",ROUNDUP(SQRT(B535)*E535,0))</f>
        <v/>
      </c>
      <c r="G535" s="15">
        <f>IF(ISBLANK(B535),"",ROUNDUP(B535*E535,0))</f>
        <v/>
      </c>
      <c r="H535" s="12">
        <f>IF(ISBLANK(G535),"",IF(G535&gt;=20,"Critical",IF(G535&gt;=15,"High",IF(G535&gt;=8,"Medium","Low"))))</f>
        <v/>
      </c>
    </row>
    <row r="536">
      <c r="B536" s="18">
        <f>IFERROR(VLOOKUP(A536,Risk_Assessment!$B$2:$H$1000,7,FALSE),"")</f>
        <v/>
      </c>
      <c r="E536" s="19">
        <f>IF(C536="No",1,IF(D536="N/A",1,IF(D536="Low (10% reduction)",0.9,IF(D536="Medium (30% reduction)",0.7,IF(D536="High (50% reduction)",0.5,IF(D536="Very High (70% reduction)",0.3,1))))))</f>
        <v/>
      </c>
      <c r="F536" s="18">
        <f>IF(ISBLANK(B536),"",ROUNDUP(SQRT(B536)*E536,0))</f>
        <v/>
      </c>
      <c r="G536" s="15">
        <f>IF(ISBLANK(B536),"",ROUNDUP(B536*E536,0))</f>
        <v/>
      </c>
      <c r="H536" s="12">
        <f>IF(ISBLANK(G536),"",IF(G536&gt;=20,"Critical",IF(G536&gt;=15,"High",IF(G536&gt;=8,"Medium","Low"))))</f>
        <v/>
      </c>
    </row>
    <row r="537">
      <c r="B537" s="18">
        <f>IFERROR(VLOOKUP(A537,Risk_Assessment!$B$2:$H$1000,7,FALSE),"")</f>
        <v/>
      </c>
      <c r="E537" s="19">
        <f>IF(C537="No",1,IF(D537="N/A",1,IF(D537="Low (10% reduction)",0.9,IF(D537="Medium (30% reduction)",0.7,IF(D537="High (50% reduction)",0.5,IF(D537="Very High (70% reduction)",0.3,1))))))</f>
        <v/>
      </c>
      <c r="F537" s="18">
        <f>IF(ISBLANK(B537),"",ROUNDUP(SQRT(B537)*E537,0))</f>
        <v/>
      </c>
      <c r="G537" s="15">
        <f>IF(ISBLANK(B537),"",ROUNDUP(B537*E537,0))</f>
        <v/>
      </c>
      <c r="H537" s="12">
        <f>IF(ISBLANK(G537),"",IF(G537&gt;=20,"Critical",IF(G537&gt;=15,"High",IF(G537&gt;=8,"Medium","Low"))))</f>
        <v/>
      </c>
    </row>
    <row r="538">
      <c r="B538" s="18">
        <f>IFERROR(VLOOKUP(A538,Risk_Assessment!$B$2:$H$1000,7,FALSE),"")</f>
        <v/>
      </c>
      <c r="E538" s="19">
        <f>IF(C538="No",1,IF(D538="N/A",1,IF(D538="Low (10% reduction)",0.9,IF(D538="Medium (30% reduction)",0.7,IF(D538="High (50% reduction)",0.5,IF(D538="Very High (70% reduction)",0.3,1))))))</f>
        <v/>
      </c>
      <c r="F538" s="18">
        <f>IF(ISBLANK(B538),"",ROUNDUP(SQRT(B538)*E538,0))</f>
        <v/>
      </c>
      <c r="G538" s="15">
        <f>IF(ISBLANK(B538),"",ROUNDUP(B538*E538,0))</f>
        <v/>
      </c>
      <c r="H538" s="12">
        <f>IF(ISBLANK(G538),"",IF(G538&gt;=20,"Critical",IF(G538&gt;=15,"High",IF(G538&gt;=8,"Medium","Low"))))</f>
        <v/>
      </c>
    </row>
    <row r="539">
      <c r="B539" s="18">
        <f>IFERROR(VLOOKUP(A539,Risk_Assessment!$B$2:$H$1000,7,FALSE),"")</f>
        <v/>
      </c>
      <c r="E539" s="19">
        <f>IF(C539="No",1,IF(D539="N/A",1,IF(D539="Low (10% reduction)",0.9,IF(D539="Medium (30% reduction)",0.7,IF(D539="High (50% reduction)",0.5,IF(D539="Very High (70% reduction)",0.3,1))))))</f>
        <v/>
      </c>
      <c r="F539" s="18">
        <f>IF(ISBLANK(B539),"",ROUNDUP(SQRT(B539)*E539,0))</f>
        <v/>
      </c>
      <c r="G539" s="15">
        <f>IF(ISBLANK(B539),"",ROUNDUP(B539*E539,0))</f>
        <v/>
      </c>
      <c r="H539" s="12">
        <f>IF(ISBLANK(G539),"",IF(G539&gt;=20,"Critical",IF(G539&gt;=15,"High",IF(G539&gt;=8,"Medium","Low"))))</f>
        <v/>
      </c>
    </row>
    <row r="540">
      <c r="B540" s="18">
        <f>IFERROR(VLOOKUP(A540,Risk_Assessment!$B$2:$H$1000,7,FALSE),"")</f>
        <v/>
      </c>
      <c r="E540" s="19">
        <f>IF(C540="No",1,IF(D540="N/A",1,IF(D540="Low (10% reduction)",0.9,IF(D540="Medium (30% reduction)",0.7,IF(D540="High (50% reduction)",0.5,IF(D540="Very High (70% reduction)",0.3,1))))))</f>
        <v/>
      </c>
      <c r="F540" s="18">
        <f>IF(ISBLANK(B540),"",ROUNDUP(SQRT(B540)*E540,0))</f>
        <v/>
      </c>
      <c r="G540" s="15">
        <f>IF(ISBLANK(B540),"",ROUNDUP(B540*E540,0))</f>
        <v/>
      </c>
      <c r="H540" s="12">
        <f>IF(ISBLANK(G540),"",IF(G540&gt;=20,"Critical",IF(G540&gt;=15,"High",IF(G540&gt;=8,"Medium","Low"))))</f>
        <v/>
      </c>
    </row>
    <row r="541">
      <c r="B541" s="18">
        <f>IFERROR(VLOOKUP(A541,Risk_Assessment!$B$2:$H$1000,7,FALSE),"")</f>
        <v/>
      </c>
      <c r="E541" s="19">
        <f>IF(C541="No",1,IF(D541="N/A",1,IF(D541="Low (10% reduction)",0.9,IF(D541="Medium (30% reduction)",0.7,IF(D541="High (50% reduction)",0.5,IF(D541="Very High (70% reduction)",0.3,1))))))</f>
        <v/>
      </c>
      <c r="F541" s="18">
        <f>IF(ISBLANK(B541),"",ROUNDUP(SQRT(B541)*E541,0))</f>
        <v/>
      </c>
      <c r="G541" s="15">
        <f>IF(ISBLANK(B541),"",ROUNDUP(B541*E541,0))</f>
        <v/>
      </c>
      <c r="H541" s="12">
        <f>IF(ISBLANK(G541),"",IF(G541&gt;=20,"Critical",IF(G541&gt;=15,"High",IF(G541&gt;=8,"Medium","Low"))))</f>
        <v/>
      </c>
    </row>
    <row r="542">
      <c r="B542" s="18">
        <f>IFERROR(VLOOKUP(A542,Risk_Assessment!$B$2:$H$1000,7,FALSE),"")</f>
        <v/>
      </c>
      <c r="E542" s="19">
        <f>IF(C542="No",1,IF(D542="N/A",1,IF(D542="Low (10% reduction)",0.9,IF(D542="Medium (30% reduction)",0.7,IF(D542="High (50% reduction)",0.5,IF(D542="Very High (70% reduction)",0.3,1))))))</f>
        <v/>
      </c>
      <c r="F542" s="18">
        <f>IF(ISBLANK(B542),"",ROUNDUP(SQRT(B542)*E542,0))</f>
        <v/>
      </c>
      <c r="G542" s="15">
        <f>IF(ISBLANK(B542),"",ROUNDUP(B542*E542,0))</f>
        <v/>
      </c>
      <c r="H542" s="12">
        <f>IF(ISBLANK(G542),"",IF(G542&gt;=20,"Critical",IF(G542&gt;=15,"High",IF(G542&gt;=8,"Medium","Low"))))</f>
        <v/>
      </c>
    </row>
    <row r="543">
      <c r="B543" s="18">
        <f>IFERROR(VLOOKUP(A543,Risk_Assessment!$B$2:$H$1000,7,FALSE),"")</f>
        <v/>
      </c>
      <c r="E543" s="19">
        <f>IF(C543="No",1,IF(D543="N/A",1,IF(D543="Low (10% reduction)",0.9,IF(D543="Medium (30% reduction)",0.7,IF(D543="High (50% reduction)",0.5,IF(D543="Very High (70% reduction)",0.3,1))))))</f>
        <v/>
      </c>
      <c r="F543" s="18">
        <f>IF(ISBLANK(B543),"",ROUNDUP(SQRT(B543)*E543,0))</f>
        <v/>
      </c>
      <c r="G543" s="15">
        <f>IF(ISBLANK(B543),"",ROUNDUP(B543*E543,0))</f>
        <v/>
      </c>
      <c r="H543" s="12">
        <f>IF(ISBLANK(G543),"",IF(G543&gt;=20,"Critical",IF(G543&gt;=15,"High",IF(G543&gt;=8,"Medium","Low"))))</f>
        <v/>
      </c>
    </row>
    <row r="544">
      <c r="B544" s="18">
        <f>IFERROR(VLOOKUP(A544,Risk_Assessment!$B$2:$H$1000,7,FALSE),"")</f>
        <v/>
      </c>
      <c r="E544" s="19">
        <f>IF(C544="No",1,IF(D544="N/A",1,IF(D544="Low (10% reduction)",0.9,IF(D544="Medium (30% reduction)",0.7,IF(D544="High (50% reduction)",0.5,IF(D544="Very High (70% reduction)",0.3,1))))))</f>
        <v/>
      </c>
      <c r="F544" s="18">
        <f>IF(ISBLANK(B544),"",ROUNDUP(SQRT(B544)*E544,0))</f>
        <v/>
      </c>
      <c r="G544" s="15">
        <f>IF(ISBLANK(B544),"",ROUNDUP(B544*E544,0))</f>
        <v/>
      </c>
      <c r="H544" s="12">
        <f>IF(ISBLANK(G544),"",IF(G544&gt;=20,"Critical",IF(G544&gt;=15,"High",IF(G544&gt;=8,"Medium","Low"))))</f>
        <v/>
      </c>
    </row>
    <row r="545">
      <c r="B545" s="18">
        <f>IFERROR(VLOOKUP(A545,Risk_Assessment!$B$2:$H$1000,7,FALSE),"")</f>
        <v/>
      </c>
      <c r="E545" s="19">
        <f>IF(C545="No",1,IF(D545="N/A",1,IF(D545="Low (10% reduction)",0.9,IF(D545="Medium (30% reduction)",0.7,IF(D545="High (50% reduction)",0.5,IF(D545="Very High (70% reduction)",0.3,1))))))</f>
        <v/>
      </c>
      <c r="F545" s="18">
        <f>IF(ISBLANK(B545),"",ROUNDUP(SQRT(B545)*E545,0))</f>
        <v/>
      </c>
      <c r="G545" s="15">
        <f>IF(ISBLANK(B545),"",ROUNDUP(B545*E545,0))</f>
        <v/>
      </c>
      <c r="H545" s="12">
        <f>IF(ISBLANK(G545),"",IF(G545&gt;=20,"Critical",IF(G545&gt;=15,"High",IF(G545&gt;=8,"Medium","Low"))))</f>
        <v/>
      </c>
    </row>
    <row r="546">
      <c r="B546" s="18">
        <f>IFERROR(VLOOKUP(A546,Risk_Assessment!$B$2:$H$1000,7,FALSE),"")</f>
        <v/>
      </c>
      <c r="E546" s="19">
        <f>IF(C546="No",1,IF(D546="N/A",1,IF(D546="Low (10% reduction)",0.9,IF(D546="Medium (30% reduction)",0.7,IF(D546="High (50% reduction)",0.5,IF(D546="Very High (70% reduction)",0.3,1))))))</f>
        <v/>
      </c>
      <c r="F546" s="18">
        <f>IF(ISBLANK(B546),"",ROUNDUP(SQRT(B546)*E546,0))</f>
        <v/>
      </c>
      <c r="G546" s="15">
        <f>IF(ISBLANK(B546),"",ROUNDUP(B546*E546,0))</f>
        <v/>
      </c>
      <c r="H546" s="12">
        <f>IF(ISBLANK(G546),"",IF(G546&gt;=20,"Critical",IF(G546&gt;=15,"High",IF(G546&gt;=8,"Medium","Low"))))</f>
        <v/>
      </c>
    </row>
    <row r="547">
      <c r="B547" s="18">
        <f>IFERROR(VLOOKUP(A547,Risk_Assessment!$B$2:$H$1000,7,FALSE),"")</f>
        <v/>
      </c>
      <c r="E547" s="19">
        <f>IF(C547="No",1,IF(D547="N/A",1,IF(D547="Low (10% reduction)",0.9,IF(D547="Medium (30% reduction)",0.7,IF(D547="High (50% reduction)",0.5,IF(D547="Very High (70% reduction)",0.3,1))))))</f>
        <v/>
      </c>
      <c r="F547" s="18">
        <f>IF(ISBLANK(B547),"",ROUNDUP(SQRT(B547)*E547,0))</f>
        <v/>
      </c>
      <c r="G547" s="15">
        <f>IF(ISBLANK(B547),"",ROUNDUP(B547*E547,0))</f>
        <v/>
      </c>
      <c r="H547" s="12">
        <f>IF(ISBLANK(G547),"",IF(G547&gt;=20,"Critical",IF(G547&gt;=15,"High",IF(G547&gt;=8,"Medium","Low"))))</f>
        <v/>
      </c>
    </row>
    <row r="548">
      <c r="B548" s="18">
        <f>IFERROR(VLOOKUP(A548,Risk_Assessment!$B$2:$H$1000,7,FALSE),"")</f>
        <v/>
      </c>
      <c r="E548" s="19">
        <f>IF(C548="No",1,IF(D548="N/A",1,IF(D548="Low (10% reduction)",0.9,IF(D548="Medium (30% reduction)",0.7,IF(D548="High (50% reduction)",0.5,IF(D548="Very High (70% reduction)",0.3,1))))))</f>
        <v/>
      </c>
      <c r="F548" s="18">
        <f>IF(ISBLANK(B548),"",ROUNDUP(SQRT(B548)*E548,0))</f>
        <v/>
      </c>
      <c r="G548" s="15">
        <f>IF(ISBLANK(B548),"",ROUNDUP(B548*E548,0))</f>
        <v/>
      </c>
      <c r="H548" s="12">
        <f>IF(ISBLANK(G548),"",IF(G548&gt;=20,"Critical",IF(G548&gt;=15,"High",IF(G548&gt;=8,"Medium","Low"))))</f>
        <v/>
      </c>
    </row>
    <row r="549">
      <c r="B549" s="18">
        <f>IFERROR(VLOOKUP(A549,Risk_Assessment!$B$2:$H$1000,7,FALSE),"")</f>
        <v/>
      </c>
      <c r="E549" s="19">
        <f>IF(C549="No",1,IF(D549="N/A",1,IF(D549="Low (10% reduction)",0.9,IF(D549="Medium (30% reduction)",0.7,IF(D549="High (50% reduction)",0.5,IF(D549="Very High (70% reduction)",0.3,1))))))</f>
        <v/>
      </c>
      <c r="F549" s="18">
        <f>IF(ISBLANK(B549),"",ROUNDUP(SQRT(B549)*E549,0))</f>
        <v/>
      </c>
      <c r="G549" s="15">
        <f>IF(ISBLANK(B549),"",ROUNDUP(B549*E549,0))</f>
        <v/>
      </c>
      <c r="H549" s="12">
        <f>IF(ISBLANK(G549),"",IF(G549&gt;=20,"Critical",IF(G549&gt;=15,"High",IF(G549&gt;=8,"Medium","Low"))))</f>
        <v/>
      </c>
    </row>
    <row r="550">
      <c r="B550" s="18">
        <f>IFERROR(VLOOKUP(A550,Risk_Assessment!$B$2:$H$1000,7,FALSE),"")</f>
        <v/>
      </c>
      <c r="E550" s="19">
        <f>IF(C550="No",1,IF(D550="N/A",1,IF(D550="Low (10% reduction)",0.9,IF(D550="Medium (30% reduction)",0.7,IF(D550="High (50% reduction)",0.5,IF(D550="Very High (70% reduction)",0.3,1))))))</f>
        <v/>
      </c>
      <c r="F550" s="18">
        <f>IF(ISBLANK(B550),"",ROUNDUP(SQRT(B550)*E550,0))</f>
        <v/>
      </c>
      <c r="G550" s="15">
        <f>IF(ISBLANK(B550),"",ROUNDUP(B550*E550,0))</f>
        <v/>
      </c>
      <c r="H550" s="12">
        <f>IF(ISBLANK(G550),"",IF(G550&gt;=20,"Critical",IF(G550&gt;=15,"High",IF(G550&gt;=8,"Medium","Low"))))</f>
        <v/>
      </c>
    </row>
    <row r="551">
      <c r="B551" s="18">
        <f>IFERROR(VLOOKUP(A551,Risk_Assessment!$B$2:$H$1000,7,FALSE),"")</f>
        <v/>
      </c>
      <c r="E551" s="19">
        <f>IF(C551="No",1,IF(D551="N/A",1,IF(D551="Low (10% reduction)",0.9,IF(D551="Medium (30% reduction)",0.7,IF(D551="High (50% reduction)",0.5,IF(D551="Very High (70% reduction)",0.3,1))))))</f>
        <v/>
      </c>
      <c r="F551" s="18">
        <f>IF(ISBLANK(B551),"",ROUNDUP(SQRT(B551)*E551,0))</f>
        <v/>
      </c>
      <c r="G551" s="15">
        <f>IF(ISBLANK(B551),"",ROUNDUP(B551*E551,0))</f>
        <v/>
      </c>
      <c r="H551" s="12">
        <f>IF(ISBLANK(G551),"",IF(G551&gt;=20,"Critical",IF(G551&gt;=15,"High",IF(G551&gt;=8,"Medium","Low"))))</f>
        <v/>
      </c>
    </row>
    <row r="552">
      <c r="B552" s="18">
        <f>IFERROR(VLOOKUP(A552,Risk_Assessment!$B$2:$H$1000,7,FALSE),"")</f>
        <v/>
      </c>
      <c r="E552" s="19">
        <f>IF(C552="No",1,IF(D552="N/A",1,IF(D552="Low (10% reduction)",0.9,IF(D552="Medium (30% reduction)",0.7,IF(D552="High (50% reduction)",0.5,IF(D552="Very High (70% reduction)",0.3,1))))))</f>
        <v/>
      </c>
      <c r="F552" s="18">
        <f>IF(ISBLANK(B552),"",ROUNDUP(SQRT(B552)*E552,0))</f>
        <v/>
      </c>
      <c r="G552" s="15">
        <f>IF(ISBLANK(B552),"",ROUNDUP(B552*E552,0))</f>
        <v/>
      </c>
      <c r="H552" s="12">
        <f>IF(ISBLANK(G552),"",IF(G552&gt;=20,"Critical",IF(G552&gt;=15,"High",IF(G552&gt;=8,"Medium","Low"))))</f>
        <v/>
      </c>
    </row>
    <row r="553">
      <c r="B553" s="18">
        <f>IFERROR(VLOOKUP(A553,Risk_Assessment!$B$2:$H$1000,7,FALSE),"")</f>
        <v/>
      </c>
      <c r="E553" s="19">
        <f>IF(C553="No",1,IF(D553="N/A",1,IF(D553="Low (10% reduction)",0.9,IF(D553="Medium (30% reduction)",0.7,IF(D553="High (50% reduction)",0.5,IF(D553="Very High (70% reduction)",0.3,1))))))</f>
        <v/>
      </c>
      <c r="F553" s="18">
        <f>IF(ISBLANK(B553),"",ROUNDUP(SQRT(B553)*E553,0))</f>
        <v/>
      </c>
      <c r="G553" s="15">
        <f>IF(ISBLANK(B553),"",ROUNDUP(B553*E553,0))</f>
        <v/>
      </c>
      <c r="H553" s="12">
        <f>IF(ISBLANK(G553),"",IF(G553&gt;=20,"Critical",IF(G553&gt;=15,"High",IF(G553&gt;=8,"Medium","Low"))))</f>
        <v/>
      </c>
    </row>
    <row r="554">
      <c r="B554" s="18">
        <f>IFERROR(VLOOKUP(A554,Risk_Assessment!$B$2:$H$1000,7,FALSE),"")</f>
        <v/>
      </c>
      <c r="E554" s="19">
        <f>IF(C554="No",1,IF(D554="N/A",1,IF(D554="Low (10% reduction)",0.9,IF(D554="Medium (30% reduction)",0.7,IF(D554="High (50% reduction)",0.5,IF(D554="Very High (70% reduction)",0.3,1))))))</f>
        <v/>
      </c>
      <c r="F554" s="18">
        <f>IF(ISBLANK(B554),"",ROUNDUP(SQRT(B554)*E554,0))</f>
        <v/>
      </c>
      <c r="G554" s="15">
        <f>IF(ISBLANK(B554),"",ROUNDUP(B554*E554,0))</f>
        <v/>
      </c>
      <c r="H554" s="12">
        <f>IF(ISBLANK(G554),"",IF(G554&gt;=20,"Critical",IF(G554&gt;=15,"High",IF(G554&gt;=8,"Medium","Low"))))</f>
        <v/>
      </c>
    </row>
    <row r="555">
      <c r="B555" s="18">
        <f>IFERROR(VLOOKUP(A555,Risk_Assessment!$B$2:$H$1000,7,FALSE),"")</f>
        <v/>
      </c>
      <c r="E555" s="19">
        <f>IF(C555="No",1,IF(D555="N/A",1,IF(D555="Low (10% reduction)",0.9,IF(D555="Medium (30% reduction)",0.7,IF(D555="High (50% reduction)",0.5,IF(D555="Very High (70% reduction)",0.3,1))))))</f>
        <v/>
      </c>
      <c r="F555" s="18">
        <f>IF(ISBLANK(B555),"",ROUNDUP(SQRT(B555)*E555,0))</f>
        <v/>
      </c>
      <c r="G555" s="15">
        <f>IF(ISBLANK(B555),"",ROUNDUP(B555*E555,0))</f>
        <v/>
      </c>
      <c r="H555" s="12">
        <f>IF(ISBLANK(G555),"",IF(G555&gt;=20,"Critical",IF(G555&gt;=15,"High",IF(G555&gt;=8,"Medium","Low"))))</f>
        <v/>
      </c>
    </row>
    <row r="556">
      <c r="B556" s="18">
        <f>IFERROR(VLOOKUP(A556,Risk_Assessment!$B$2:$H$1000,7,FALSE),"")</f>
        <v/>
      </c>
      <c r="E556" s="19">
        <f>IF(C556="No",1,IF(D556="N/A",1,IF(D556="Low (10% reduction)",0.9,IF(D556="Medium (30% reduction)",0.7,IF(D556="High (50% reduction)",0.5,IF(D556="Very High (70% reduction)",0.3,1))))))</f>
        <v/>
      </c>
      <c r="F556" s="18">
        <f>IF(ISBLANK(B556),"",ROUNDUP(SQRT(B556)*E556,0))</f>
        <v/>
      </c>
      <c r="G556" s="15">
        <f>IF(ISBLANK(B556),"",ROUNDUP(B556*E556,0))</f>
        <v/>
      </c>
      <c r="H556" s="12">
        <f>IF(ISBLANK(G556),"",IF(G556&gt;=20,"Critical",IF(G556&gt;=15,"High",IF(G556&gt;=8,"Medium","Low"))))</f>
        <v/>
      </c>
    </row>
    <row r="557">
      <c r="B557" s="18">
        <f>IFERROR(VLOOKUP(A557,Risk_Assessment!$B$2:$H$1000,7,FALSE),"")</f>
        <v/>
      </c>
      <c r="E557" s="19">
        <f>IF(C557="No",1,IF(D557="N/A",1,IF(D557="Low (10% reduction)",0.9,IF(D557="Medium (30% reduction)",0.7,IF(D557="High (50% reduction)",0.5,IF(D557="Very High (70% reduction)",0.3,1))))))</f>
        <v/>
      </c>
      <c r="F557" s="18">
        <f>IF(ISBLANK(B557),"",ROUNDUP(SQRT(B557)*E557,0))</f>
        <v/>
      </c>
      <c r="G557" s="15">
        <f>IF(ISBLANK(B557),"",ROUNDUP(B557*E557,0))</f>
        <v/>
      </c>
      <c r="H557" s="12">
        <f>IF(ISBLANK(G557),"",IF(G557&gt;=20,"Critical",IF(G557&gt;=15,"High",IF(G557&gt;=8,"Medium","Low"))))</f>
        <v/>
      </c>
    </row>
    <row r="558">
      <c r="B558" s="18">
        <f>IFERROR(VLOOKUP(A558,Risk_Assessment!$B$2:$H$1000,7,FALSE),"")</f>
        <v/>
      </c>
      <c r="E558" s="19">
        <f>IF(C558="No",1,IF(D558="N/A",1,IF(D558="Low (10% reduction)",0.9,IF(D558="Medium (30% reduction)",0.7,IF(D558="High (50% reduction)",0.5,IF(D558="Very High (70% reduction)",0.3,1))))))</f>
        <v/>
      </c>
      <c r="F558" s="18">
        <f>IF(ISBLANK(B558),"",ROUNDUP(SQRT(B558)*E558,0))</f>
        <v/>
      </c>
      <c r="G558" s="15">
        <f>IF(ISBLANK(B558),"",ROUNDUP(B558*E558,0))</f>
        <v/>
      </c>
      <c r="H558" s="12">
        <f>IF(ISBLANK(G558),"",IF(G558&gt;=20,"Critical",IF(G558&gt;=15,"High",IF(G558&gt;=8,"Medium","Low"))))</f>
        <v/>
      </c>
    </row>
    <row r="559">
      <c r="B559" s="18">
        <f>IFERROR(VLOOKUP(A559,Risk_Assessment!$B$2:$H$1000,7,FALSE),"")</f>
        <v/>
      </c>
      <c r="E559" s="19">
        <f>IF(C559="No",1,IF(D559="N/A",1,IF(D559="Low (10% reduction)",0.9,IF(D559="Medium (30% reduction)",0.7,IF(D559="High (50% reduction)",0.5,IF(D559="Very High (70% reduction)",0.3,1))))))</f>
        <v/>
      </c>
      <c r="F559" s="18">
        <f>IF(ISBLANK(B559),"",ROUNDUP(SQRT(B559)*E559,0))</f>
        <v/>
      </c>
      <c r="G559" s="15">
        <f>IF(ISBLANK(B559),"",ROUNDUP(B559*E559,0))</f>
        <v/>
      </c>
      <c r="H559" s="12">
        <f>IF(ISBLANK(G559),"",IF(G559&gt;=20,"Critical",IF(G559&gt;=15,"High",IF(G559&gt;=8,"Medium","Low"))))</f>
        <v/>
      </c>
    </row>
    <row r="560">
      <c r="B560" s="18">
        <f>IFERROR(VLOOKUP(A560,Risk_Assessment!$B$2:$H$1000,7,FALSE),"")</f>
        <v/>
      </c>
      <c r="E560" s="19">
        <f>IF(C560="No",1,IF(D560="N/A",1,IF(D560="Low (10% reduction)",0.9,IF(D560="Medium (30% reduction)",0.7,IF(D560="High (50% reduction)",0.5,IF(D560="Very High (70% reduction)",0.3,1))))))</f>
        <v/>
      </c>
      <c r="F560" s="18">
        <f>IF(ISBLANK(B560),"",ROUNDUP(SQRT(B560)*E560,0))</f>
        <v/>
      </c>
      <c r="G560" s="15">
        <f>IF(ISBLANK(B560),"",ROUNDUP(B560*E560,0))</f>
        <v/>
      </c>
      <c r="H560" s="12">
        <f>IF(ISBLANK(G560),"",IF(G560&gt;=20,"Critical",IF(G560&gt;=15,"High",IF(G560&gt;=8,"Medium","Low"))))</f>
        <v/>
      </c>
    </row>
    <row r="561">
      <c r="B561" s="18">
        <f>IFERROR(VLOOKUP(A561,Risk_Assessment!$B$2:$H$1000,7,FALSE),"")</f>
        <v/>
      </c>
      <c r="E561" s="19">
        <f>IF(C561="No",1,IF(D561="N/A",1,IF(D561="Low (10% reduction)",0.9,IF(D561="Medium (30% reduction)",0.7,IF(D561="High (50% reduction)",0.5,IF(D561="Very High (70% reduction)",0.3,1))))))</f>
        <v/>
      </c>
      <c r="F561" s="18">
        <f>IF(ISBLANK(B561),"",ROUNDUP(SQRT(B561)*E561,0))</f>
        <v/>
      </c>
      <c r="G561" s="15">
        <f>IF(ISBLANK(B561),"",ROUNDUP(B561*E561,0))</f>
        <v/>
      </c>
      <c r="H561" s="12">
        <f>IF(ISBLANK(G561),"",IF(G561&gt;=20,"Critical",IF(G561&gt;=15,"High",IF(G561&gt;=8,"Medium","Low"))))</f>
        <v/>
      </c>
    </row>
    <row r="562">
      <c r="B562" s="18">
        <f>IFERROR(VLOOKUP(A562,Risk_Assessment!$B$2:$H$1000,7,FALSE),"")</f>
        <v/>
      </c>
      <c r="E562" s="19">
        <f>IF(C562="No",1,IF(D562="N/A",1,IF(D562="Low (10% reduction)",0.9,IF(D562="Medium (30% reduction)",0.7,IF(D562="High (50% reduction)",0.5,IF(D562="Very High (70% reduction)",0.3,1))))))</f>
        <v/>
      </c>
      <c r="F562" s="18">
        <f>IF(ISBLANK(B562),"",ROUNDUP(SQRT(B562)*E562,0))</f>
        <v/>
      </c>
      <c r="G562" s="15">
        <f>IF(ISBLANK(B562),"",ROUNDUP(B562*E562,0))</f>
        <v/>
      </c>
      <c r="H562" s="12">
        <f>IF(ISBLANK(G562),"",IF(G562&gt;=20,"Critical",IF(G562&gt;=15,"High",IF(G562&gt;=8,"Medium","Low"))))</f>
        <v/>
      </c>
    </row>
    <row r="563">
      <c r="B563" s="18">
        <f>IFERROR(VLOOKUP(A563,Risk_Assessment!$B$2:$H$1000,7,FALSE),"")</f>
        <v/>
      </c>
      <c r="E563" s="19">
        <f>IF(C563="No",1,IF(D563="N/A",1,IF(D563="Low (10% reduction)",0.9,IF(D563="Medium (30% reduction)",0.7,IF(D563="High (50% reduction)",0.5,IF(D563="Very High (70% reduction)",0.3,1))))))</f>
        <v/>
      </c>
      <c r="F563" s="18">
        <f>IF(ISBLANK(B563),"",ROUNDUP(SQRT(B563)*E563,0))</f>
        <v/>
      </c>
      <c r="G563" s="15">
        <f>IF(ISBLANK(B563),"",ROUNDUP(B563*E563,0))</f>
        <v/>
      </c>
      <c r="H563" s="12">
        <f>IF(ISBLANK(G563),"",IF(G563&gt;=20,"Critical",IF(G563&gt;=15,"High",IF(G563&gt;=8,"Medium","Low"))))</f>
        <v/>
      </c>
    </row>
    <row r="564">
      <c r="B564" s="18">
        <f>IFERROR(VLOOKUP(A564,Risk_Assessment!$B$2:$H$1000,7,FALSE),"")</f>
        <v/>
      </c>
      <c r="E564" s="19">
        <f>IF(C564="No",1,IF(D564="N/A",1,IF(D564="Low (10% reduction)",0.9,IF(D564="Medium (30% reduction)",0.7,IF(D564="High (50% reduction)",0.5,IF(D564="Very High (70% reduction)",0.3,1))))))</f>
        <v/>
      </c>
      <c r="F564" s="18">
        <f>IF(ISBLANK(B564),"",ROUNDUP(SQRT(B564)*E564,0))</f>
        <v/>
      </c>
      <c r="G564" s="15">
        <f>IF(ISBLANK(B564),"",ROUNDUP(B564*E564,0))</f>
        <v/>
      </c>
      <c r="H564" s="12">
        <f>IF(ISBLANK(G564),"",IF(G564&gt;=20,"Critical",IF(G564&gt;=15,"High",IF(G564&gt;=8,"Medium","Low"))))</f>
        <v/>
      </c>
    </row>
    <row r="565">
      <c r="B565" s="18">
        <f>IFERROR(VLOOKUP(A565,Risk_Assessment!$B$2:$H$1000,7,FALSE),"")</f>
        <v/>
      </c>
      <c r="E565" s="19">
        <f>IF(C565="No",1,IF(D565="N/A",1,IF(D565="Low (10% reduction)",0.9,IF(D565="Medium (30% reduction)",0.7,IF(D565="High (50% reduction)",0.5,IF(D565="Very High (70% reduction)",0.3,1))))))</f>
        <v/>
      </c>
      <c r="F565" s="18">
        <f>IF(ISBLANK(B565),"",ROUNDUP(SQRT(B565)*E565,0))</f>
        <v/>
      </c>
      <c r="G565" s="15">
        <f>IF(ISBLANK(B565),"",ROUNDUP(B565*E565,0))</f>
        <v/>
      </c>
      <c r="H565" s="12">
        <f>IF(ISBLANK(G565),"",IF(G565&gt;=20,"Critical",IF(G565&gt;=15,"High",IF(G565&gt;=8,"Medium","Low"))))</f>
        <v/>
      </c>
    </row>
    <row r="566">
      <c r="B566" s="18">
        <f>IFERROR(VLOOKUP(A566,Risk_Assessment!$B$2:$H$1000,7,FALSE),"")</f>
        <v/>
      </c>
      <c r="E566" s="19">
        <f>IF(C566="No",1,IF(D566="N/A",1,IF(D566="Low (10% reduction)",0.9,IF(D566="Medium (30% reduction)",0.7,IF(D566="High (50% reduction)",0.5,IF(D566="Very High (70% reduction)",0.3,1))))))</f>
        <v/>
      </c>
      <c r="F566" s="18">
        <f>IF(ISBLANK(B566),"",ROUNDUP(SQRT(B566)*E566,0))</f>
        <v/>
      </c>
      <c r="G566" s="15">
        <f>IF(ISBLANK(B566),"",ROUNDUP(B566*E566,0))</f>
        <v/>
      </c>
      <c r="H566" s="12">
        <f>IF(ISBLANK(G566),"",IF(G566&gt;=20,"Critical",IF(G566&gt;=15,"High",IF(G566&gt;=8,"Medium","Low"))))</f>
        <v/>
      </c>
    </row>
    <row r="567">
      <c r="B567" s="18">
        <f>IFERROR(VLOOKUP(A567,Risk_Assessment!$B$2:$H$1000,7,FALSE),"")</f>
        <v/>
      </c>
      <c r="E567" s="19">
        <f>IF(C567="No",1,IF(D567="N/A",1,IF(D567="Low (10% reduction)",0.9,IF(D567="Medium (30% reduction)",0.7,IF(D567="High (50% reduction)",0.5,IF(D567="Very High (70% reduction)",0.3,1))))))</f>
        <v/>
      </c>
      <c r="F567" s="18">
        <f>IF(ISBLANK(B567),"",ROUNDUP(SQRT(B567)*E567,0))</f>
        <v/>
      </c>
      <c r="G567" s="15">
        <f>IF(ISBLANK(B567),"",ROUNDUP(B567*E567,0))</f>
        <v/>
      </c>
      <c r="H567" s="12">
        <f>IF(ISBLANK(G567),"",IF(G567&gt;=20,"Critical",IF(G567&gt;=15,"High",IF(G567&gt;=8,"Medium","Low"))))</f>
        <v/>
      </c>
    </row>
    <row r="568">
      <c r="B568" s="18">
        <f>IFERROR(VLOOKUP(A568,Risk_Assessment!$B$2:$H$1000,7,FALSE),"")</f>
        <v/>
      </c>
      <c r="E568" s="19">
        <f>IF(C568="No",1,IF(D568="N/A",1,IF(D568="Low (10% reduction)",0.9,IF(D568="Medium (30% reduction)",0.7,IF(D568="High (50% reduction)",0.5,IF(D568="Very High (70% reduction)",0.3,1))))))</f>
        <v/>
      </c>
      <c r="F568" s="18">
        <f>IF(ISBLANK(B568),"",ROUNDUP(SQRT(B568)*E568,0))</f>
        <v/>
      </c>
      <c r="G568" s="15">
        <f>IF(ISBLANK(B568),"",ROUNDUP(B568*E568,0))</f>
        <v/>
      </c>
      <c r="H568" s="12">
        <f>IF(ISBLANK(G568),"",IF(G568&gt;=20,"Critical",IF(G568&gt;=15,"High",IF(G568&gt;=8,"Medium","Low"))))</f>
        <v/>
      </c>
    </row>
    <row r="569">
      <c r="B569" s="18">
        <f>IFERROR(VLOOKUP(A569,Risk_Assessment!$B$2:$H$1000,7,FALSE),"")</f>
        <v/>
      </c>
      <c r="E569" s="19">
        <f>IF(C569="No",1,IF(D569="N/A",1,IF(D569="Low (10% reduction)",0.9,IF(D569="Medium (30% reduction)",0.7,IF(D569="High (50% reduction)",0.5,IF(D569="Very High (70% reduction)",0.3,1))))))</f>
        <v/>
      </c>
      <c r="F569" s="18">
        <f>IF(ISBLANK(B569),"",ROUNDUP(SQRT(B569)*E569,0))</f>
        <v/>
      </c>
      <c r="G569" s="15">
        <f>IF(ISBLANK(B569),"",ROUNDUP(B569*E569,0))</f>
        <v/>
      </c>
      <c r="H569" s="12">
        <f>IF(ISBLANK(G569),"",IF(G569&gt;=20,"Critical",IF(G569&gt;=15,"High",IF(G569&gt;=8,"Medium","Low"))))</f>
        <v/>
      </c>
    </row>
    <row r="570">
      <c r="B570" s="18">
        <f>IFERROR(VLOOKUP(A570,Risk_Assessment!$B$2:$H$1000,7,FALSE),"")</f>
        <v/>
      </c>
      <c r="E570" s="19">
        <f>IF(C570="No",1,IF(D570="N/A",1,IF(D570="Low (10% reduction)",0.9,IF(D570="Medium (30% reduction)",0.7,IF(D570="High (50% reduction)",0.5,IF(D570="Very High (70% reduction)",0.3,1))))))</f>
        <v/>
      </c>
      <c r="F570" s="18">
        <f>IF(ISBLANK(B570),"",ROUNDUP(SQRT(B570)*E570,0))</f>
        <v/>
      </c>
      <c r="G570" s="15">
        <f>IF(ISBLANK(B570),"",ROUNDUP(B570*E570,0))</f>
        <v/>
      </c>
      <c r="H570" s="12">
        <f>IF(ISBLANK(G570),"",IF(G570&gt;=20,"Critical",IF(G570&gt;=15,"High",IF(G570&gt;=8,"Medium","Low"))))</f>
        <v/>
      </c>
    </row>
    <row r="571">
      <c r="B571" s="18">
        <f>IFERROR(VLOOKUP(A571,Risk_Assessment!$B$2:$H$1000,7,FALSE),"")</f>
        <v/>
      </c>
      <c r="E571" s="19">
        <f>IF(C571="No",1,IF(D571="N/A",1,IF(D571="Low (10% reduction)",0.9,IF(D571="Medium (30% reduction)",0.7,IF(D571="High (50% reduction)",0.5,IF(D571="Very High (70% reduction)",0.3,1))))))</f>
        <v/>
      </c>
      <c r="F571" s="18">
        <f>IF(ISBLANK(B571),"",ROUNDUP(SQRT(B571)*E571,0))</f>
        <v/>
      </c>
      <c r="G571" s="15">
        <f>IF(ISBLANK(B571),"",ROUNDUP(B571*E571,0))</f>
        <v/>
      </c>
      <c r="H571" s="12">
        <f>IF(ISBLANK(G571),"",IF(G571&gt;=20,"Critical",IF(G571&gt;=15,"High",IF(G571&gt;=8,"Medium","Low"))))</f>
        <v/>
      </c>
    </row>
    <row r="572">
      <c r="B572" s="18">
        <f>IFERROR(VLOOKUP(A572,Risk_Assessment!$B$2:$H$1000,7,FALSE),"")</f>
        <v/>
      </c>
      <c r="E572" s="19">
        <f>IF(C572="No",1,IF(D572="N/A",1,IF(D572="Low (10% reduction)",0.9,IF(D572="Medium (30% reduction)",0.7,IF(D572="High (50% reduction)",0.5,IF(D572="Very High (70% reduction)",0.3,1))))))</f>
        <v/>
      </c>
      <c r="F572" s="18">
        <f>IF(ISBLANK(B572),"",ROUNDUP(SQRT(B572)*E572,0))</f>
        <v/>
      </c>
      <c r="G572" s="15">
        <f>IF(ISBLANK(B572),"",ROUNDUP(B572*E572,0))</f>
        <v/>
      </c>
      <c r="H572" s="12">
        <f>IF(ISBLANK(G572),"",IF(G572&gt;=20,"Critical",IF(G572&gt;=15,"High",IF(G572&gt;=8,"Medium","Low"))))</f>
        <v/>
      </c>
    </row>
    <row r="573">
      <c r="B573" s="18">
        <f>IFERROR(VLOOKUP(A573,Risk_Assessment!$B$2:$H$1000,7,FALSE),"")</f>
        <v/>
      </c>
      <c r="E573" s="19">
        <f>IF(C573="No",1,IF(D573="N/A",1,IF(D573="Low (10% reduction)",0.9,IF(D573="Medium (30% reduction)",0.7,IF(D573="High (50% reduction)",0.5,IF(D573="Very High (70% reduction)",0.3,1))))))</f>
        <v/>
      </c>
      <c r="F573" s="18">
        <f>IF(ISBLANK(B573),"",ROUNDUP(SQRT(B573)*E573,0))</f>
        <v/>
      </c>
      <c r="G573" s="15">
        <f>IF(ISBLANK(B573),"",ROUNDUP(B573*E573,0))</f>
        <v/>
      </c>
      <c r="H573" s="12">
        <f>IF(ISBLANK(G573),"",IF(G573&gt;=20,"Critical",IF(G573&gt;=15,"High",IF(G573&gt;=8,"Medium","Low"))))</f>
        <v/>
      </c>
    </row>
    <row r="574">
      <c r="B574" s="18">
        <f>IFERROR(VLOOKUP(A574,Risk_Assessment!$B$2:$H$1000,7,FALSE),"")</f>
        <v/>
      </c>
      <c r="E574" s="19">
        <f>IF(C574="No",1,IF(D574="N/A",1,IF(D574="Low (10% reduction)",0.9,IF(D574="Medium (30% reduction)",0.7,IF(D574="High (50% reduction)",0.5,IF(D574="Very High (70% reduction)",0.3,1))))))</f>
        <v/>
      </c>
      <c r="F574" s="18">
        <f>IF(ISBLANK(B574),"",ROUNDUP(SQRT(B574)*E574,0))</f>
        <v/>
      </c>
      <c r="G574" s="15">
        <f>IF(ISBLANK(B574),"",ROUNDUP(B574*E574,0))</f>
        <v/>
      </c>
      <c r="H574" s="12">
        <f>IF(ISBLANK(G574),"",IF(G574&gt;=20,"Critical",IF(G574&gt;=15,"High",IF(G574&gt;=8,"Medium","Low"))))</f>
        <v/>
      </c>
    </row>
    <row r="575">
      <c r="B575" s="18">
        <f>IFERROR(VLOOKUP(A575,Risk_Assessment!$B$2:$H$1000,7,FALSE),"")</f>
        <v/>
      </c>
      <c r="E575" s="19">
        <f>IF(C575="No",1,IF(D575="N/A",1,IF(D575="Low (10% reduction)",0.9,IF(D575="Medium (30% reduction)",0.7,IF(D575="High (50% reduction)",0.5,IF(D575="Very High (70% reduction)",0.3,1))))))</f>
        <v/>
      </c>
      <c r="F575" s="18">
        <f>IF(ISBLANK(B575),"",ROUNDUP(SQRT(B575)*E575,0))</f>
        <v/>
      </c>
      <c r="G575" s="15">
        <f>IF(ISBLANK(B575),"",ROUNDUP(B575*E575,0))</f>
        <v/>
      </c>
      <c r="H575" s="12">
        <f>IF(ISBLANK(G575),"",IF(G575&gt;=20,"Critical",IF(G575&gt;=15,"High",IF(G575&gt;=8,"Medium","Low"))))</f>
        <v/>
      </c>
    </row>
    <row r="576">
      <c r="B576" s="18">
        <f>IFERROR(VLOOKUP(A576,Risk_Assessment!$B$2:$H$1000,7,FALSE),"")</f>
        <v/>
      </c>
      <c r="E576" s="19">
        <f>IF(C576="No",1,IF(D576="N/A",1,IF(D576="Low (10% reduction)",0.9,IF(D576="Medium (30% reduction)",0.7,IF(D576="High (50% reduction)",0.5,IF(D576="Very High (70% reduction)",0.3,1))))))</f>
        <v/>
      </c>
      <c r="F576" s="18">
        <f>IF(ISBLANK(B576),"",ROUNDUP(SQRT(B576)*E576,0))</f>
        <v/>
      </c>
      <c r="G576" s="15">
        <f>IF(ISBLANK(B576),"",ROUNDUP(B576*E576,0))</f>
        <v/>
      </c>
      <c r="H576" s="12">
        <f>IF(ISBLANK(G576),"",IF(G576&gt;=20,"Critical",IF(G576&gt;=15,"High",IF(G576&gt;=8,"Medium","Low"))))</f>
        <v/>
      </c>
    </row>
    <row r="577">
      <c r="B577" s="18">
        <f>IFERROR(VLOOKUP(A577,Risk_Assessment!$B$2:$H$1000,7,FALSE),"")</f>
        <v/>
      </c>
      <c r="E577" s="19">
        <f>IF(C577="No",1,IF(D577="N/A",1,IF(D577="Low (10% reduction)",0.9,IF(D577="Medium (30% reduction)",0.7,IF(D577="High (50% reduction)",0.5,IF(D577="Very High (70% reduction)",0.3,1))))))</f>
        <v/>
      </c>
      <c r="F577" s="18">
        <f>IF(ISBLANK(B577),"",ROUNDUP(SQRT(B577)*E577,0))</f>
        <v/>
      </c>
      <c r="G577" s="15">
        <f>IF(ISBLANK(B577),"",ROUNDUP(B577*E577,0))</f>
        <v/>
      </c>
      <c r="H577" s="12">
        <f>IF(ISBLANK(G577),"",IF(G577&gt;=20,"Critical",IF(G577&gt;=15,"High",IF(G577&gt;=8,"Medium","Low"))))</f>
        <v/>
      </c>
    </row>
    <row r="578">
      <c r="B578" s="18">
        <f>IFERROR(VLOOKUP(A578,Risk_Assessment!$B$2:$H$1000,7,FALSE),"")</f>
        <v/>
      </c>
      <c r="E578" s="19">
        <f>IF(C578="No",1,IF(D578="N/A",1,IF(D578="Low (10% reduction)",0.9,IF(D578="Medium (30% reduction)",0.7,IF(D578="High (50% reduction)",0.5,IF(D578="Very High (70% reduction)",0.3,1))))))</f>
        <v/>
      </c>
      <c r="F578" s="18">
        <f>IF(ISBLANK(B578),"",ROUNDUP(SQRT(B578)*E578,0))</f>
        <v/>
      </c>
      <c r="G578" s="15">
        <f>IF(ISBLANK(B578),"",ROUNDUP(B578*E578,0))</f>
        <v/>
      </c>
      <c r="H578" s="12">
        <f>IF(ISBLANK(G578),"",IF(G578&gt;=20,"Critical",IF(G578&gt;=15,"High",IF(G578&gt;=8,"Medium","Low"))))</f>
        <v/>
      </c>
    </row>
    <row r="579">
      <c r="B579" s="18">
        <f>IFERROR(VLOOKUP(A579,Risk_Assessment!$B$2:$H$1000,7,FALSE),"")</f>
        <v/>
      </c>
      <c r="E579" s="19">
        <f>IF(C579="No",1,IF(D579="N/A",1,IF(D579="Low (10% reduction)",0.9,IF(D579="Medium (30% reduction)",0.7,IF(D579="High (50% reduction)",0.5,IF(D579="Very High (70% reduction)",0.3,1))))))</f>
        <v/>
      </c>
      <c r="F579" s="18">
        <f>IF(ISBLANK(B579),"",ROUNDUP(SQRT(B579)*E579,0))</f>
        <v/>
      </c>
      <c r="G579" s="15">
        <f>IF(ISBLANK(B579),"",ROUNDUP(B579*E579,0))</f>
        <v/>
      </c>
      <c r="H579" s="12">
        <f>IF(ISBLANK(G579),"",IF(G579&gt;=20,"Critical",IF(G579&gt;=15,"High",IF(G579&gt;=8,"Medium","Low"))))</f>
        <v/>
      </c>
    </row>
    <row r="580">
      <c r="B580" s="18">
        <f>IFERROR(VLOOKUP(A580,Risk_Assessment!$B$2:$H$1000,7,FALSE),"")</f>
        <v/>
      </c>
      <c r="E580" s="19">
        <f>IF(C580="No",1,IF(D580="N/A",1,IF(D580="Low (10% reduction)",0.9,IF(D580="Medium (30% reduction)",0.7,IF(D580="High (50% reduction)",0.5,IF(D580="Very High (70% reduction)",0.3,1))))))</f>
        <v/>
      </c>
      <c r="F580" s="18">
        <f>IF(ISBLANK(B580),"",ROUNDUP(SQRT(B580)*E580,0))</f>
        <v/>
      </c>
      <c r="G580" s="15">
        <f>IF(ISBLANK(B580),"",ROUNDUP(B580*E580,0))</f>
        <v/>
      </c>
      <c r="H580" s="12">
        <f>IF(ISBLANK(G580),"",IF(G580&gt;=20,"Critical",IF(G580&gt;=15,"High",IF(G580&gt;=8,"Medium","Low"))))</f>
        <v/>
      </c>
    </row>
    <row r="581">
      <c r="B581" s="18">
        <f>IFERROR(VLOOKUP(A581,Risk_Assessment!$B$2:$H$1000,7,FALSE),"")</f>
        <v/>
      </c>
      <c r="E581" s="19">
        <f>IF(C581="No",1,IF(D581="N/A",1,IF(D581="Low (10% reduction)",0.9,IF(D581="Medium (30% reduction)",0.7,IF(D581="High (50% reduction)",0.5,IF(D581="Very High (70% reduction)",0.3,1))))))</f>
        <v/>
      </c>
      <c r="F581" s="18">
        <f>IF(ISBLANK(B581),"",ROUNDUP(SQRT(B581)*E581,0))</f>
        <v/>
      </c>
      <c r="G581" s="15">
        <f>IF(ISBLANK(B581),"",ROUNDUP(B581*E581,0))</f>
        <v/>
      </c>
      <c r="H581" s="12">
        <f>IF(ISBLANK(G581),"",IF(G581&gt;=20,"Critical",IF(G581&gt;=15,"High",IF(G581&gt;=8,"Medium","Low"))))</f>
        <v/>
      </c>
    </row>
    <row r="582">
      <c r="B582" s="18">
        <f>IFERROR(VLOOKUP(A582,Risk_Assessment!$B$2:$H$1000,7,FALSE),"")</f>
        <v/>
      </c>
      <c r="E582" s="19">
        <f>IF(C582="No",1,IF(D582="N/A",1,IF(D582="Low (10% reduction)",0.9,IF(D582="Medium (30% reduction)",0.7,IF(D582="High (50% reduction)",0.5,IF(D582="Very High (70% reduction)",0.3,1))))))</f>
        <v/>
      </c>
      <c r="F582" s="18">
        <f>IF(ISBLANK(B582),"",ROUNDUP(SQRT(B582)*E582,0))</f>
        <v/>
      </c>
      <c r="G582" s="15">
        <f>IF(ISBLANK(B582),"",ROUNDUP(B582*E582,0))</f>
        <v/>
      </c>
      <c r="H582" s="12">
        <f>IF(ISBLANK(G582),"",IF(G582&gt;=20,"Critical",IF(G582&gt;=15,"High",IF(G582&gt;=8,"Medium","Low"))))</f>
        <v/>
      </c>
    </row>
    <row r="583">
      <c r="B583" s="18">
        <f>IFERROR(VLOOKUP(A583,Risk_Assessment!$B$2:$H$1000,7,FALSE),"")</f>
        <v/>
      </c>
      <c r="E583" s="19">
        <f>IF(C583="No",1,IF(D583="N/A",1,IF(D583="Low (10% reduction)",0.9,IF(D583="Medium (30% reduction)",0.7,IF(D583="High (50% reduction)",0.5,IF(D583="Very High (70% reduction)",0.3,1))))))</f>
        <v/>
      </c>
      <c r="F583" s="18">
        <f>IF(ISBLANK(B583),"",ROUNDUP(SQRT(B583)*E583,0))</f>
        <v/>
      </c>
      <c r="G583" s="15">
        <f>IF(ISBLANK(B583),"",ROUNDUP(B583*E583,0))</f>
        <v/>
      </c>
      <c r="H583" s="12">
        <f>IF(ISBLANK(G583),"",IF(G583&gt;=20,"Critical",IF(G583&gt;=15,"High",IF(G583&gt;=8,"Medium","Low"))))</f>
        <v/>
      </c>
    </row>
    <row r="584">
      <c r="B584" s="18">
        <f>IFERROR(VLOOKUP(A584,Risk_Assessment!$B$2:$H$1000,7,FALSE),"")</f>
        <v/>
      </c>
      <c r="E584" s="19">
        <f>IF(C584="No",1,IF(D584="N/A",1,IF(D584="Low (10% reduction)",0.9,IF(D584="Medium (30% reduction)",0.7,IF(D584="High (50% reduction)",0.5,IF(D584="Very High (70% reduction)",0.3,1))))))</f>
        <v/>
      </c>
      <c r="F584" s="18">
        <f>IF(ISBLANK(B584),"",ROUNDUP(SQRT(B584)*E584,0))</f>
        <v/>
      </c>
      <c r="G584" s="15">
        <f>IF(ISBLANK(B584),"",ROUNDUP(B584*E584,0))</f>
        <v/>
      </c>
      <c r="H584" s="12">
        <f>IF(ISBLANK(G584),"",IF(G584&gt;=20,"Critical",IF(G584&gt;=15,"High",IF(G584&gt;=8,"Medium","Low"))))</f>
        <v/>
      </c>
    </row>
    <row r="585">
      <c r="B585" s="18">
        <f>IFERROR(VLOOKUP(A585,Risk_Assessment!$B$2:$H$1000,7,FALSE),"")</f>
        <v/>
      </c>
      <c r="E585" s="19">
        <f>IF(C585="No",1,IF(D585="N/A",1,IF(D585="Low (10% reduction)",0.9,IF(D585="Medium (30% reduction)",0.7,IF(D585="High (50% reduction)",0.5,IF(D585="Very High (70% reduction)",0.3,1))))))</f>
        <v/>
      </c>
      <c r="F585" s="18">
        <f>IF(ISBLANK(B585),"",ROUNDUP(SQRT(B585)*E585,0))</f>
        <v/>
      </c>
      <c r="G585" s="15">
        <f>IF(ISBLANK(B585),"",ROUNDUP(B585*E585,0))</f>
        <v/>
      </c>
      <c r="H585" s="12">
        <f>IF(ISBLANK(G585),"",IF(G585&gt;=20,"Critical",IF(G585&gt;=15,"High",IF(G585&gt;=8,"Medium","Low"))))</f>
        <v/>
      </c>
    </row>
    <row r="586">
      <c r="B586" s="18">
        <f>IFERROR(VLOOKUP(A586,Risk_Assessment!$B$2:$H$1000,7,FALSE),"")</f>
        <v/>
      </c>
      <c r="E586" s="19">
        <f>IF(C586="No",1,IF(D586="N/A",1,IF(D586="Low (10% reduction)",0.9,IF(D586="Medium (30% reduction)",0.7,IF(D586="High (50% reduction)",0.5,IF(D586="Very High (70% reduction)",0.3,1))))))</f>
        <v/>
      </c>
      <c r="F586" s="18">
        <f>IF(ISBLANK(B586),"",ROUNDUP(SQRT(B586)*E586,0))</f>
        <v/>
      </c>
      <c r="G586" s="15">
        <f>IF(ISBLANK(B586),"",ROUNDUP(B586*E586,0))</f>
        <v/>
      </c>
      <c r="H586" s="12">
        <f>IF(ISBLANK(G586),"",IF(G586&gt;=20,"Critical",IF(G586&gt;=15,"High",IF(G586&gt;=8,"Medium","Low"))))</f>
        <v/>
      </c>
    </row>
    <row r="587">
      <c r="B587" s="18">
        <f>IFERROR(VLOOKUP(A587,Risk_Assessment!$B$2:$H$1000,7,FALSE),"")</f>
        <v/>
      </c>
      <c r="E587" s="19">
        <f>IF(C587="No",1,IF(D587="N/A",1,IF(D587="Low (10% reduction)",0.9,IF(D587="Medium (30% reduction)",0.7,IF(D587="High (50% reduction)",0.5,IF(D587="Very High (70% reduction)",0.3,1))))))</f>
        <v/>
      </c>
      <c r="F587" s="18">
        <f>IF(ISBLANK(B587),"",ROUNDUP(SQRT(B587)*E587,0))</f>
        <v/>
      </c>
      <c r="G587" s="15">
        <f>IF(ISBLANK(B587),"",ROUNDUP(B587*E587,0))</f>
        <v/>
      </c>
      <c r="H587" s="12">
        <f>IF(ISBLANK(G587),"",IF(G587&gt;=20,"Critical",IF(G587&gt;=15,"High",IF(G587&gt;=8,"Medium","Low"))))</f>
        <v/>
      </c>
    </row>
    <row r="588">
      <c r="B588" s="18">
        <f>IFERROR(VLOOKUP(A588,Risk_Assessment!$B$2:$H$1000,7,FALSE),"")</f>
        <v/>
      </c>
      <c r="E588" s="19">
        <f>IF(C588="No",1,IF(D588="N/A",1,IF(D588="Low (10% reduction)",0.9,IF(D588="Medium (30% reduction)",0.7,IF(D588="High (50% reduction)",0.5,IF(D588="Very High (70% reduction)",0.3,1))))))</f>
        <v/>
      </c>
      <c r="F588" s="18">
        <f>IF(ISBLANK(B588),"",ROUNDUP(SQRT(B588)*E588,0))</f>
        <v/>
      </c>
      <c r="G588" s="15">
        <f>IF(ISBLANK(B588),"",ROUNDUP(B588*E588,0))</f>
        <v/>
      </c>
      <c r="H588" s="12">
        <f>IF(ISBLANK(G588),"",IF(G588&gt;=20,"Critical",IF(G588&gt;=15,"High",IF(G588&gt;=8,"Medium","Low"))))</f>
        <v/>
      </c>
    </row>
    <row r="589">
      <c r="B589" s="18">
        <f>IFERROR(VLOOKUP(A589,Risk_Assessment!$B$2:$H$1000,7,FALSE),"")</f>
        <v/>
      </c>
      <c r="E589" s="19">
        <f>IF(C589="No",1,IF(D589="N/A",1,IF(D589="Low (10% reduction)",0.9,IF(D589="Medium (30% reduction)",0.7,IF(D589="High (50% reduction)",0.5,IF(D589="Very High (70% reduction)",0.3,1))))))</f>
        <v/>
      </c>
      <c r="F589" s="18">
        <f>IF(ISBLANK(B589),"",ROUNDUP(SQRT(B589)*E589,0))</f>
        <v/>
      </c>
      <c r="G589" s="15">
        <f>IF(ISBLANK(B589),"",ROUNDUP(B589*E589,0))</f>
        <v/>
      </c>
      <c r="H589" s="12">
        <f>IF(ISBLANK(G589),"",IF(G589&gt;=20,"Critical",IF(G589&gt;=15,"High",IF(G589&gt;=8,"Medium","Low"))))</f>
        <v/>
      </c>
    </row>
    <row r="590">
      <c r="B590" s="18">
        <f>IFERROR(VLOOKUP(A590,Risk_Assessment!$B$2:$H$1000,7,FALSE),"")</f>
        <v/>
      </c>
      <c r="E590" s="19">
        <f>IF(C590="No",1,IF(D590="N/A",1,IF(D590="Low (10% reduction)",0.9,IF(D590="Medium (30% reduction)",0.7,IF(D590="High (50% reduction)",0.5,IF(D590="Very High (70% reduction)",0.3,1))))))</f>
        <v/>
      </c>
      <c r="F590" s="18">
        <f>IF(ISBLANK(B590),"",ROUNDUP(SQRT(B590)*E590,0))</f>
        <v/>
      </c>
      <c r="G590" s="15">
        <f>IF(ISBLANK(B590),"",ROUNDUP(B590*E590,0))</f>
        <v/>
      </c>
      <c r="H590" s="12">
        <f>IF(ISBLANK(G590),"",IF(G590&gt;=20,"Critical",IF(G590&gt;=15,"High",IF(G590&gt;=8,"Medium","Low"))))</f>
        <v/>
      </c>
    </row>
    <row r="591">
      <c r="B591" s="18">
        <f>IFERROR(VLOOKUP(A591,Risk_Assessment!$B$2:$H$1000,7,FALSE),"")</f>
        <v/>
      </c>
      <c r="E591" s="19">
        <f>IF(C591="No",1,IF(D591="N/A",1,IF(D591="Low (10% reduction)",0.9,IF(D591="Medium (30% reduction)",0.7,IF(D591="High (50% reduction)",0.5,IF(D591="Very High (70% reduction)",0.3,1))))))</f>
        <v/>
      </c>
      <c r="F591" s="18">
        <f>IF(ISBLANK(B591),"",ROUNDUP(SQRT(B591)*E591,0))</f>
        <v/>
      </c>
      <c r="G591" s="15">
        <f>IF(ISBLANK(B591),"",ROUNDUP(B591*E591,0))</f>
        <v/>
      </c>
      <c r="H591" s="12">
        <f>IF(ISBLANK(G591),"",IF(G591&gt;=20,"Critical",IF(G591&gt;=15,"High",IF(G591&gt;=8,"Medium","Low"))))</f>
        <v/>
      </c>
    </row>
    <row r="592">
      <c r="B592" s="18">
        <f>IFERROR(VLOOKUP(A592,Risk_Assessment!$B$2:$H$1000,7,FALSE),"")</f>
        <v/>
      </c>
      <c r="E592" s="19">
        <f>IF(C592="No",1,IF(D592="N/A",1,IF(D592="Low (10% reduction)",0.9,IF(D592="Medium (30% reduction)",0.7,IF(D592="High (50% reduction)",0.5,IF(D592="Very High (70% reduction)",0.3,1))))))</f>
        <v/>
      </c>
      <c r="F592" s="18">
        <f>IF(ISBLANK(B592),"",ROUNDUP(SQRT(B592)*E592,0))</f>
        <v/>
      </c>
      <c r="G592" s="15">
        <f>IF(ISBLANK(B592),"",ROUNDUP(B592*E592,0))</f>
        <v/>
      </c>
      <c r="H592" s="12">
        <f>IF(ISBLANK(G592),"",IF(G592&gt;=20,"Critical",IF(G592&gt;=15,"High",IF(G592&gt;=8,"Medium","Low"))))</f>
        <v/>
      </c>
    </row>
    <row r="593">
      <c r="B593" s="18">
        <f>IFERROR(VLOOKUP(A593,Risk_Assessment!$B$2:$H$1000,7,FALSE),"")</f>
        <v/>
      </c>
      <c r="E593" s="19">
        <f>IF(C593="No",1,IF(D593="N/A",1,IF(D593="Low (10% reduction)",0.9,IF(D593="Medium (30% reduction)",0.7,IF(D593="High (50% reduction)",0.5,IF(D593="Very High (70% reduction)",0.3,1))))))</f>
        <v/>
      </c>
      <c r="F593" s="18">
        <f>IF(ISBLANK(B593),"",ROUNDUP(SQRT(B593)*E593,0))</f>
        <v/>
      </c>
      <c r="G593" s="15">
        <f>IF(ISBLANK(B593),"",ROUNDUP(B593*E593,0))</f>
        <v/>
      </c>
      <c r="H593" s="12">
        <f>IF(ISBLANK(G593),"",IF(G593&gt;=20,"Critical",IF(G593&gt;=15,"High",IF(G593&gt;=8,"Medium","Low"))))</f>
        <v/>
      </c>
    </row>
    <row r="594">
      <c r="B594" s="18">
        <f>IFERROR(VLOOKUP(A594,Risk_Assessment!$B$2:$H$1000,7,FALSE),"")</f>
        <v/>
      </c>
      <c r="E594" s="19">
        <f>IF(C594="No",1,IF(D594="N/A",1,IF(D594="Low (10% reduction)",0.9,IF(D594="Medium (30% reduction)",0.7,IF(D594="High (50% reduction)",0.5,IF(D594="Very High (70% reduction)",0.3,1))))))</f>
        <v/>
      </c>
      <c r="F594" s="18">
        <f>IF(ISBLANK(B594),"",ROUNDUP(SQRT(B594)*E594,0))</f>
        <v/>
      </c>
      <c r="G594" s="15">
        <f>IF(ISBLANK(B594),"",ROUNDUP(B594*E594,0))</f>
        <v/>
      </c>
      <c r="H594" s="12">
        <f>IF(ISBLANK(G594),"",IF(G594&gt;=20,"Critical",IF(G594&gt;=15,"High",IF(G594&gt;=8,"Medium","Low"))))</f>
        <v/>
      </c>
    </row>
    <row r="595">
      <c r="B595" s="18">
        <f>IFERROR(VLOOKUP(A595,Risk_Assessment!$B$2:$H$1000,7,FALSE),"")</f>
        <v/>
      </c>
      <c r="E595" s="19">
        <f>IF(C595="No",1,IF(D595="N/A",1,IF(D595="Low (10% reduction)",0.9,IF(D595="Medium (30% reduction)",0.7,IF(D595="High (50% reduction)",0.5,IF(D595="Very High (70% reduction)",0.3,1))))))</f>
        <v/>
      </c>
      <c r="F595" s="18">
        <f>IF(ISBLANK(B595),"",ROUNDUP(SQRT(B595)*E595,0))</f>
        <v/>
      </c>
      <c r="G595" s="15">
        <f>IF(ISBLANK(B595),"",ROUNDUP(B595*E595,0))</f>
        <v/>
      </c>
      <c r="H595" s="12">
        <f>IF(ISBLANK(G595),"",IF(G595&gt;=20,"Critical",IF(G595&gt;=15,"High",IF(G595&gt;=8,"Medium","Low"))))</f>
        <v/>
      </c>
    </row>
    <row r="596">
      <c r="B596" s="18">
        <f>IFERROR(VLOOKUP(A596,Risk_Assessment!$B$2:$H$1000,7,FALSE),"")</f>
        <v/>
      </c>
      <c r="E596" s="19">
        <f>IF(C596="No",1,IF(D596="N/A",1,IF(D596="Low (10% reduction)",0.9,IF(D596="Medium (30% reduction)",0.7,IF(D596="High (50% reduction)",0.5,IF(D596="Very High (70% reduction)",0.3,1))))))</f>
        <v/>
      </c>
      <c r="F596" s="18">
        <f>IF(ISBLANK(B596),"",ROUNDUP(SQRT(B596)*E596,0))</f>
        <v/>
      </c>
      <c r="G596" s="15">
        <f>IF(ISBLANK(B596),"",ROUNDUP(B596*E596,0))</f>
        <v/>
      </c>
      <c r="H596" s="12">
        <f>IF(ISBLANK(G596),"",IF(G596&gt;=20,"Critical",IF(G596&gt;=15,"High",IF(G596&gt;=8,"Medium","Low"))))</f>
        <v/>
      </c>
    </row>
    <row r="597">
      <c r="B597" s="18">
        <f>IFERROR(VLOOKUP(A597,Risk_Assessment!$B$2:$H$1000,7,FALSE),"")</f>
        <v/>
      </c>
      <c r="E597" s="19">
        <f>IF(C597="No",1,IF(D597="N/A",1,IF(D597="Low (10% reduction)",0.9,IF(D597="Medium (30% reduction)",0.7,IF(D597="High (50% reduction)",0.5,IF(D597="Very High (70% reduction)",0.3,1))))))</f>
        <v/>
      </c>
      <c r="F597" s="18">
        <f>IF(ISBLANK(B597),"",ROUNDUP(SQRT(B597)*E597,0))</f>
        <v/>
      </c>
      <c r="G597" s="15">
        <f>IF(ISBLANK(B597),"",ROUNDUP(B597*E597,0))</f>
        <v/>
      </c>
      <c r="H597" s="12">
        <f>IF(ISBLANK(G597),"",IF(G597&gt;=20,"Critical",IF(G597&gt;=15,"High",IF(G597&gt;=8,"Medium","Low"))))</f>
        <v/>
      </c>
    </row>
    <row r="598">
      <c r="B598" s="18">
        <f>IFERROR(VLOOKUP(A598,Risk_Assessment!$B$2:$H$1000,7,FALSE),"")</f>
        <v/>
      </c>
      <c r="E598" s="19">
        <f>IF(C598="No",1,IF(D598="N/A",1,IF(D598="Low (10% reduction)",0.9,IF(D598="Medium (30% reduction)",0.7,IF(D598="High (50% reduction)",0.5,IF(D598="Very High (70% reduction)",0.3,1))))))</f>
        <v/>
      </c>
      <c r="F598" s="18">
        <f>IF(ISBLANK(B598),"",ROUNDUP(SQRT(B598)*E598,0))</f>
        <v/>
      </c>
      <c r="G598" s="15">
        <f>IF(ISBLANK(B598),"",ROUNDUP(B598*E598,0))</f>
        <v/>
      </c>
      <c r="H598" s="12">
        <f>IF(ISBLANK(G598),"",IF(G598&gt;=20,"Critical",IF(G598&gt;=15,"High",IF(G598&gt;=8,"Medium","Low"))))</f>
        <v/>
      </c>
    </row>
    <row r="599">
      <c r="B599" s="18">
        <f>IFERROR(VLOOKUP(A599,Risk_Assessment!$B$2:$H$1000,7,FALSE),"")</f>
        <v/>
      </c>
      <c r="E599" s="19">
        <f>IF(C599="No",1,IF(D599="N/A",1,IF(D599="Low (10% reduction)",0.9,IF(D599="Medium (30% reduction)",0.7,IF(D599="High (50% reduction)",0.5,IF(D599="Very High (70% reduction)",0.3,1))))))</f>
        <v/>
      </c>
      <c r="F599" s="18">
        <f>IF(ISBLANK(B599),"",ROUNDUP(SQRT(B599)*E599,0))</f>
        <v/>
      </c>
      <c r="G599" s="15">
        <f>IF(ISBLANK(B599),"",ROUNDUP(B599*E599,0))</f>
        <v/>
      </c>
      <c r="H599" s="12">
        <f>IF(ISBLANK(G599),"",IF(G599&gt;=20,"Critical",IF(G599&gt;=15,"High",IF(G599&gt;=8,"Medium","Low"))))</f>
        <v/>
      </c>
    </row>
    <row r="600">
      <c r="B600" s="18">
        <f>IFERROR(VLOOKUP(A600,Risk_Assessment!$B$2:$H$1000,7,FALSE),"")</f>
        <v/>
      </c>
      <c r="E600" s="19">
        <f>IF(C600="No",1,IF(D600="N/A",1,IF(D600="Low (10% reduction)",0.9,IF(D600="Medium (30% reduction)",0.7,IF(D600="High (50% reduction)",0.5,IF(D600="Very High (70% reduction)",0.3,1))))))</f>
        <v/>
      </c>
      <c r="F600" s="18">
        <f>IF(ISBLANK(B600),"",ROUNDUP(SQRT(B600)*E600,0))</f>
        <v/>
      </c>
      <c r="G600" s="15">
        <f>IF(ISBLANK(B600),"",ROUNDUP(B600*E600,0))</f>
        <v/>
      </c>
      <c r="H600" s="12">
        <f>IF(ISBLANK(G600),"",IF(G600&gt;=20,"Critical",IF(G600&gt;=15,"High",IF(G600&gt;=8,"Medium","Low"))))</f>
        <v/>
      </c>
    </row>
    <row r="601">
      <c r="B601" s="18">
        <f>IFERROR(VLOOKUP(A601,Risk_Assessment!$B$2:$H$1000,7,FALSE),"")</f>
        <v/>
      </c>
      <c r="E601" s="19">
        <f>IF(C601="No",1,IF(D601="N/A",1,IF(D601="Low (10% reduction)",0.9,IF(D601="Medium (30% reduction)",0.7,IF(D601="High (50% reduction)",0.5,IF(D601="Very High (70% reduction)",0.3,1))))))</f>
        <v/>
      </c>
      <c r="F601" s="18">
        <f>IF(ISBLANK(B601),"",ROUNDUP(SQRT(B601)*E601,0))</f>
        <v/>
      </c>
      <c r="G601" s="15">
        <f>IF(ISBLANK(B601),"",ROUNDUP(B601*E601,0))</f>
        <v/>
      </c>
      <c r="H601" s="12">
        <f>IF(ISBLANK(G601),"",IF(G601&gt;=20,"Critical",IF(G601&gt;=15,"High",IF(G601&gt;=8,"Medium","Low"))))</f>
        <v/>
      </c>
    </row>
    <row r="602">
      <c r="B602" s="18">
        <f>IFERROR(VLOOKUP(A602,Risk_Assessment!$B$2:$H$1000,7,FALSE),"")</f>
        <v/>
      </c>
      <c r="E602" s="19">
        <f>IF(C602="No",1,IF(D602="N/A",1,IF(D602="Low (10% reduction)",0.9,IF(D602="Medium (30% reduction)",0.7,IF(D602="High (50% reduction)",0.5,IF(D602="Very High (70% reduction)",0.3,1))))))</f>
        <v/>
      </c>
      <c r="F602" s="18">
        <f>IF(ISBLANK(B602),"",ROUNDUP(SQRT(B602)*E602,0))</f>
        <v/>
      </c>
      <c r="G602" s="15">
        <f>IF(ISBLANK(B602),"",ROUNDUP(B602*E602,0))</f>
        <v/>
      </c>
      <c r="H602" s="12">
        <f>IF(ISBLANK(G602),"",IF(G602&gt;=20,"Critical",IF(G602&gt;=15,"High",IF(G602&gt;=8,"Medium","Low"))))</f>
        <v/>
      </c>
    </row>
    <row r="603">
      <c r="B603" s="18">
        <f>IFERROR(VLOOKUP(A603,Risk_Assessment!$B$2:$H$1000,7,FALSE),"")</f>
        <v/>
      </c>
      <c r="E603" s="19">
        <f>IF(C603="No",1,IF(D603="N/A",1,IF(D603="Low (10% reduction)",0.9,IF(D603="Medium (30% reduction)",0.7,IF(D603="High (50% reduction)",0.5,IF(D603="Very High (70% reduction)",0.3,1))))))</f>
        <v/>
      </c>
      <c r="F603" s="18">
        <f>IF(ISBLANK(B603),"",ROUNDUP(SQRT(B603)*E603,0))</f>
        <v/>
      </c>
      <c r="G603" s="15">
        <f>IF(ISBLANK(B603),"",ROUNDUP(B603*E603,0))</f>
        <v/>
      </c>
      <c r="H603" s="12">
        <f>IF(ISBLANK(G603),"",IF(G603&gt;=20,"Critical",IF(G603&gt;=15,"High",IF(G603&gt;=8,"Medium","Low"))))</f>
        <v/>
      </c>
    </row>
    <row r="604">
      <c r="B604" s="18">
        <f>IFERROR(VLOOKUP(A604,Risk_Assessment!$B$2:$H$1000,7,FALSE),"")</f>
        <v/>
      </c>
      <c r="E604" s="19">
        <f>IF(C604="No",1,IF(D604="N/A",1,IF(D604="Low (10% reduction)",0.9,IF(D604="Medium (30% reduction)",0.7,IF(D604="High (50% reduction)",0.5,IF(D604="Very High (70% reduction)",0.3,1))))))</f>
        <v/>
      </c>
      <c r="F604" s="18">
        <f>IF(ISBLANK(B604),"",ROUNDUP(SQRT(B604)*E604,0))</f>
        <v/>
      </c>
      <c r="G604" s="15">
        <f>IF(ISBLANK(B604),"",ROUNDUP(B604*E604,0))</f>
        <v/>
      </c>
      <c r="H604" s="12">
        <f>IF(ISBLANK(G604),"",IF(G604&gt;=20,"Critical",IF(G604&gt;=15,"High",IF(G604&gt;=8,"Medium","Low"))))</f>
        <v/>
      </c>
    </row>
    <row r="605">
      <c r="B605" s="18">
        <f>IFERROR(VLOOKUP(A605,Risk_Assessment!$B$2:$H$1000,7,FALSE),"")</f>
        <v/>
      </c>
      <c r="E605" s="19">
        <f>IF(C605="No",1,IF(D605="N/A",1,IF(D605="Low (10% reduction)",0.9,IF(D605="Medium (30% reduction)",0.7,IF(D605="High (50% reduction)",0.5,IF(D605="Very High (70% reduction)",0.3,1))))))</f>
        <v/>
      </c>
      <c r="F605" s="18">
        <f>IF(ISBLANK(B605),"",ROUNDUP(SQRT(B605)*E605,0))</f>
        <v/>
      </c>
      <c r="G605" s="15">
        <f>IF(ISBLANK(B605),"",ROUNDUP(B605*E605,0))</f>
        <v/>
      </c>
      <c r="H605" s="12">
        <f>IF(ISBLANK(G605),"",IF(G605&gt;=20,"Critical",IF(G605&gt;=15,"High",IF(G605&gt;=8,"Medium","Low"))))</f>
        <v/>
      </c>
    </row>
    <row r="606">
      <c r="B606" s="18">
        <f>IFERROR(VLOOKUP(A606,Risk_Assessment!$B$2:$H$1000,7,FALSE),"")</f>
        <v/>
      </c>
      <c r="E606" s="19">
        <f>IF(C606="No",1,IF(D606="N/A",1,IF(D606="Low (10% reduction)",0.9,IF(D606="Medium (30% reduction)",0.7,IF(D606="High (50% reduction)",0.5,IF(D606="Very High (70% reduction)",0.3,1))))))</f>
        <v/>
      </c>
      <c r="F606" s="18">
        <f>IF(ISBLANK(B606),"",ROUNDUP(SQRT(B606)*E606,0))</f>
        <v/>
      </c>
      <c r="G606" s="15">
        <f>IF(ISBLANK(B606),"",ROUNDUP(B606*E606,0))</f>
        <v/>
      </c>
      <c r="H606" s="12">
        <f>IF(ISBLANK(G606),"",IF(G606&gt;=20,"Critical",IF(G606&gt;=15,"High",IF(G606&gt;=8,"Medium","Low"))))</f>
        <v/>
      </c>
    </row>
    <row r="607">
      <c r="B607" s="18">
        <f>IFERROR(VLOOKUP(A607,Risk_Assessment!$B$2:$H$1000,7,FALSE),"")</f>
        <v/>
      </c>
      <c r="E607" s="19">
        <f>IF(C607="No",1,IF(D607="N/A",1,IF(D607="Low (10% reduction)",0.9,IF(D607="Medium (30% reduction)",0.7,IF(D607="High (50% reduction)",0.5,IF(D607="Very High (70% reduction)",0.3,1))))))</f>
        <v/>
      </c>
      <c r="F607" s="18">
        <f>IF(ISBLANK(B607),"",ROUNDUP(SQRT(B607)*E607,0))</f>
        <v/>
      </c>
      <c r="G607" s="15">
        <f>IF(ISBLANK(B607),"",ROUNDUP(B607*E607,0))</f>
        <v/>
      </c>
      <c r="H607" s="12">
        <f>IF(ISBLANK(G607),"",IF(G607&gt;=20,"Critical",IF(G607&gt;=15,"High",IF(G607&gt;=8,"Medium","Low"))))</f>
        <v/>
      </c>
    </row>
    <row r="608">
      <c r="B608" s="18">
        <f>IFERROR(VLOOKUP(A608,Risk_Assessment!$B$2:$H$1000,7,FALSE),"")</f>
        <v/>
      </c>
      <c r="E608" s="19">
        <f>IF(C608="No",1,IF(D608="N/A",1,IF(D608="Low (10% reduction)",0.9,IF(D608="Medium (30% reduction)",0.7,IF(D608="High (50% reduction)",0.5,IF(D608="Very High (70% reduction)",0.3,1))))))</f>
        <v/>
      </c>
      <c r="F608" s="18">
        <f>IF(ISBLANK(B608),"",ROUNDUP(SQRT(B608)*E608,0))</f>
        <v/>
      </c>
      <c r="G608" s="15">
        <f>IF(ISBLANK(B608),"",ROUNDUP(B608*E608,0))</f>
        <v/>
      </c>
      <c r="H608" s="12">
        <f>IF(ISBLANK(G608),"",IF(G608&gt;=20,"Critical",IF(G608&gt;=15,"High",IF(G608&gt;=8,"Medium","Low"))))</f>
        <v/>
      </c>
    </row>
    <row r="609">
      <c r="B609" s="18">
        <f>IFERROR(VLOOKUP(A609,Risk_Assessment!$B$2:$H$1000,7,FALSE),"")</f>
        <v/>
      </c>
      <c r="E609" s="19">
        <f>IF(C609="No",1,IF(D609="N/A",1,IF(D609="Low (10% reduction)",0.9,IF(D609="Medium (30% reduction)",0.7,IF(D609="High (50% reduction)",0.5,IF(D609="Very High (70% reduction)",0.3,1))))))</f>
        <v/>
      </c>
      <c r="F609" s="18">
        <f>IF(ISBLANK(B609),"",ROUNDUP(SQRT(B609)*E609,0))</f>
        <v/>
      </c>
      <c r="G609" s="15">
        <f>IF(ISBLANK(B609),"",ROUNDUP(B609*E609,0))</f>
        <v/>
      </c>
      <c r="H609" s="12">
        <f>IF(ISBLANK(G609),"",IF(G609&gt;=20,"Critical",IF(G609&gt;=15,"High",IF(G609&gt;=8,"Medium","Low"))))</f>
        <v/>
      </c>
    </row>
    <row r="610">
      <c r="B610" s="18">
        <f>IFERROR(VLOOKUP(A610,Risk_Assessment!$B$2:$H$1000,7,FALSE),"")</f>
        <v/>
      </c>
      <c r="E610" s="19">
        <f>IF(C610="No",1,IF(D610="N/A",1,IF(D610="Low (10% reduction)",0.9,IF(D610="Medium (30% reduction)",0.7,IF(D610="High (50% reduction)",0.5,IF(D610="Very High (70% reduction)",0.3,1))))))</f>
        <v/>
      </c>
      <c r="F610" s="18">
        <f>IF(ISBLANK(B610),"",ROUNDUP(SQRT(B610)*E610,0))</f>
        <v/>
      </c>
      <c r="G610" s="15">
        <f>IF(ISBLANK(B610),"",ROUNDUP(B610*E610,0))</f>
        <v/>
      </c>
      <c r="H610" s="12">
        <f>IF(ISBLANK(G610),"",IF(G610&gt;=20,"Critical",IF(G610&gt;=15,"High",IF(G610&gt;=8,"Medium","Low"))))</f>
        <v/>
      </c>
    </row>
    <row r="611">
      <c r="B611" s="18">
        <f>IFERROR(VLOOKUP(A611,Risk_Assessment!$B$2:$H$1000,7,FALSE),"")</f>
        <v/>
      </c>
      <c r="E611" s="19">
        <f>IF(C611="No",1,IF(D611="N/A",1,IF(D611="Low (10% reduction)",0.9,IF(D611="Medium (30% reduction)",0.7,IF(D611="High (50% reduction)",0.5,IF(D611="Very High (70% reduction)",0.3,1))))))</f>
        <v/>
      </c>
      <c r="F611" s="18">
        <f>IF(ISBLANK(B611),"",ROUNDUP(SQRT(B611)*E611,0))</f>
        <v/>
      </c>
      <c r="G611" s="15">
        <f>IF(ISBLANK(B611),"",ROUNDUP(B611*E611,0))</f>
        <v/>
      </c>
      <c r="H611" s="12">
        <f>IF(ISBLANK(G611),"",IF(G611&gt;=20,"Critical",IF(G611&gt;=15,"High",IF(G611&gt;=8,"Medium","Low"))))</f>
        <v/>
      </c>
    </row>
    <row r="612">
      <c r="B612" s="18">
        <f>IFERROR(VLOOKUP(A612,Risk_Assessment!$B$2:$H$1000,7,FALSE),"")</f>
        <v/>
      </c>
      <c r="E612" s="19">
        <f>IF(C612="No",1,IF(D612="N/A",1,IF(D612="Low (10% reduction)",0.9,IF(D612="Medium (30% reduction)",0.7,IF(D612="High (50% reduction)",0.5,IF(D612="Very High (70% reduction)",0.3,1))))))</f>
        <v/>
      </c>
      <c r="F612" s="18">
        <f>IF(ISBLANK(B612),"",ROUNDUP(SQRT(B612)*E612,0))</f>
        <v/>
      </c>
      <c r="G612" s="15">
        <f>IF(ISBLANK(B612),"",ROUNDUP(B612*E612,0))</f>
        <v/>
      </c>
      <c r="H612" s="12">
        <f>IF(ISBLANK(G612),"",IF(G612&gt;=20,"Critical",IF(G612&gt;=15,"High",IF(G612&gt;=8,"Medium","Low"))))</f>
        <v/>
      </c>
    </row>
    <row r="613">
      <c r="B613" s="18">
        <f>IFERROR(VLOOKUP(A613,Risk_Assessment!$B$2:$H$1000,7,FALSE),"")</f>
        <v/>
      </c>
      <c r="E613" s="19">
        <f>IF(C613="No",1,IF(D613="N/A",1,IF(D613="Low (10% reduction)",0.9,IF(D613="Medium (30% reduction)",0.7,IF(D613="High (50% reduction)",0.5,IF(D613="Very High (70% reduction)",0.3,1))))))</f>
        <v/>
      </c>
      <c r="F613" s="18">
        <f>IF(ISBLANK(B613),"",ROUNDUP(SQRT(B613)*E613,0))</f>
        <v/>
      </c>
      <c r="G613" s="15">
        <f>IF(ISBLANK(B613),"",ROUNDUP(B613*E613,0))</f>
        <v/>
      </c>
      <c r="H613" s="12">
        <f>IF(ISBLANK(G613),"",IF(G613&gt;=20,"Critical",IF(G613&gt;=15,"High",IF(G613&gt;=8,"Medium","Low"))))</f>
        <v/>
      </c>
    </row>
    <row r="614">
      <c r="B614" s="18">
        <f>IFERROR(VLOOKUP(A614,Risk_Assessment!$B$2:$H$1000,7,FALSE),"")</f>
        <v/>
      </c>
      <c r="E614" s="19">
        <f>IF(C614="No",1,IF(D614="N/A",1,IF(D614="Low (10% reduction)",0.9,IF(D614="Medium (30% reduction)",0.7,IF(D614="High (50% reduction)",0.5,IF(D614="Very High (70% reduction)",0.3,1))))))</f>
        <v/>
      </c>
      <c r="F614" s="18">
        <f>IF(ISBLANK(B614),"",ROUNDUP(SQRT(B614)*E614,0))</f>
        <v/>
      </c>
      <c r="G614" s="15">
        <f>IF(ISBLANK(B614),"",ROUNDUP(B614*E614,0))</f>
        <v/>
      </c>
      <c r="H614" s="12">
        <f>IF(ISBLANK(G614),"",IF(G614&gt;=20,"Critical",IF(G614&gt;=15,"High",IF(G614&gt;=8,"Medium","Low"))))</f>
        <v/>
      </c>
    </row>
    <row r="615">
      <c r="B615" s="18">
        <f>IFERROR(VLOOKUP(A615,Risk_Assessment!$B$2:$H$1000,7,FALSE),"")</f>
        <v/>
      </c>
      <c r="E615" s="19">
        <f>IF(C615="No",1,IF(D615="N/A",1,IF(D615="Low (10% reduction)",0.9,IF(D615="Medium (30% reduction)",0.7,IF(D615="High (50% reduction)",0.5,IF(D615="Very High (70% reduction)",0.3,1))))))</f>
        <v/>
      </c>
      <c r="F615" s="18">
        <f>IF(ISBLANK(B615),"",ROUNDUP(SQRT(B615)*E615,0))</f>
        <v/>
      </c>
      <c r="G615" s="15">
        <f>IF(ISBLANK(B615),"",ROUNDUP(B615*E615,0))</f>
        <v/>
      </c>
      <c r="H615" s="12">
        <f>IF(ISBLANK(G615),"",IF(G615&gt;=20,"Critical",IF(G615&gt;=15,"High",IF(G615&gt;=8,"Medium","Low"))))</f>
        <v/>
      </c>
    </row>
    <row r="616">
      <c r="B616" s="18">
        <f>IFERROR(VLOOKUP(A616,Risk_Assessment!$B$2:$H$1000,7,FALSE),"")</f>
        <v/>
      </c>
      <c r="E616" s="19">
        <f>IF(C616="No",1,IF(D616="N/A",1,IF(D616="Low (10% reduction)",0.9,IF(D616="Medium (30% reduction)",0.7,IF(D616="High (50% reduction)",0.5,IF(D616="Very High (70% reduction)",0.3,1))))))</f>
        <v/>
      </c>
      <c r="F616" s="18">
        <f>IF(ISBLANK(B616),"",ROUNDUP(SQRT(B616)*E616,0))</f>
        <v/>
      </c>
      <c r="G616" s="15">
        <f>IF(ISBLANK(B616),"",ROUNDUP(B616*E616,0))</f>
        <v/>
      </c>
      <c r="H616" s="12">
        <f>IF(ISBLANK(G616),"",IF(G616&gt;=20,"Critical",IF(G616&gt;=15,"High",IF(G616&gt;=8,"Medium","Low"))))</f>
        <v/>
      </c>
    </row>
    <row r="617">
      <c r="B617" s="18">
        <f>IFERROR(VLOOKUP(A617,Risk_Assessment!$B$2:$H$1000,7,FALSE),"")</f>
        <v/>
      </c>
      <c r="E617" s="19">
        <f>IF(C617="No",1,IF(D617="N/A",1,IF(D617="Low (10% reduction)",0.9,IF(D617="Medium (30% reduction)",0.7,IF(D617="High (50% reduction)",0.5,IF(D617="Very High (70% reduction)",0.3,1))))))</f>
        <v/>
      </c>
      <c r="F617" s="18">
        <f>IF(ISBLANK(B617),"",ROUNDUP(SQRT(B617)*E617,0))</f>
        <v/>
      </c>
      <c r="G617" s="15">
        <f>IF(ISBLANK(B617),"",ROUNDUP(B617*E617,0))</f>
        <v/>
      </c>
      <c r="H617" s="12">
        <f>IF(ISBLANK(G617),"",IF(G617&gt;=20,"Critical",IF(G617&gt;=15,"High",IF(G617&gt;=8,"Medium","Low"))))</f>
        <v/>
      </c>
    </row>
    <row r="618">
      <c r="B618" s="18">
        <f>IFERROR(VLOOKUP(A618,Risk_Assessment!$B$2:$H$1000,7,FALSE),"")</f>
        <v/>
      </c>
      <c r="E618" s="19">
        <f>IF(C618="No",1,IF(D618="N/A",1,IF(D618="Low (10% reduction)",0.9,IF(D618="Medium (30% reduction)",0.7,IF(D618="High (50% reduction)",0.5,IF(D618="Very High (70% reduction)",0.3,1))))))</f>
        <v/>
      </c>
      <c r="F618" s="18">
        <f>IF(ISBLANK(B618),"",ROUNDUP(SQRT(B618)*E618,0))</f>
        <v/>
      </c>
      <c r="G618" s="15">
        <f>IF(ISBLANK(B618),"",ROUNDUP(B618*E618,0))</f>
        <v/>
      </c>
      <c r="H618" s="12">
        <f>IF(ISBLANK(G618),"",IF(G618&gt;=20,"Critical",IF(G618&gt;=15,"High",IF(G618&gt;=8,"Medium","Low"))))</f>
        <v/>
      </c>
    </row>
    <row r="619">
      <c r="B619" s="18">
        <f>IFERROR(VLOOKUP(A619,Risk_Assessment!$B$2:$H$1000,7,FALSE),"")</f>
        <v/>
      </c>
      <c r="E619" s="19">
        <f>IF(C619="No",1,IF(D619="N/A",1,IF(D619="Low (10% reduction)",0.9,IF(D619="Medium (30% reduction)",0.7,IF(D619="High (50% reduction)",0.5,IF(D619="Very High (70% reduction)",0.3,1))))))</f>
        <v/>
      </c>
      <c r="F619" s="18">
        <f>IF(ISBLANK(B619),"",ROUNDUP(SQRT(B619)*E619,0))</f>
        <v/>
      </c>
      <c r="G619" s="15">
        <f>IF(ISBLANK(B619),"",ROUNDUP(B619*E619,0))</f>
        <v/>
      </c>
      <c r="H619" s="12">
        <f>IF(ISBLANK(G619),"",IF(G619&gt;=20,"Critical",IF(G619&gt;=15,"High",IF(G619&gt;=8,"Medium","Low"))))</f>
        <v/>
      </c>
    </row>
    <row r="620">
      <c r="B620" s="18">
        <f>IFERROR(VLOOKUP(A620,Risk_Assessment!$B$2:$H$1000,7,FALSE),"")</f>
        <v/>
      </c>
      <c r="E620" s="19">
        <f>IF(C620="No",1,IF(D620="N/A",1,IF(D620="Low (10% reduction)",0.9,IF(D620="Medium (30% reduction)",0.7,IF(D620="High (50% reduction)",0.5,IF(D620="Very High (70% reduction)",0.3,1))))))</f>
        <v/>
      </c>
      <c r="F620" s="18">
        <f>IF(ISBLANK(B620),"",ROUNDUP(SQRT(B620)*E620,0))</f>
        <v/>
      </c>
      <c r="G620" s="15">
        <f>IF(ISBLANK(B620),"",ROUNDUP(B620*E620,0))</f>
        <v/>
      </c>
      <c r="H620" s="12">
        <f>IF(ISBLANK(G620),"",IF(G620&gt;=20,"Critical",IF(G620&gt;=15,"High",IF(G620&gt;=8,"Medium","Low"))))</f>
        <v/>
      </c>
    </row>
    <row r="621">
      <c r="B621" s="18">
        <f>IFERROR(VLOOKUP(A621,Risk_Assessment!$B$2:$H$1000,7,FALSE),"")</f>
        <v/>
      </c>
      <c r="E621" s="19">
        <f>IF(C621="No",1,IF(D621="N/A",1,IF(D621="Low (10% reduction)",0.9,IF(D621="Medium (30% reduction)",0.7,IF(D621="High (50% reduction)",0.5,IF(D621="Very High (70% reduction)",0.3,1))))))</f>
        <v/>
      </c>
      <c r="F621" s="18">
        <f>IF(ISBLANK(B621),"",ROUNDUP(SQRT(B621)*E621,0))</f>
        <v/>
      </c>
      <c r="G621" s="15">
        <f>IF(ISBLANK(B621),"",ROUNDUP(B621*E621,0))</f>
        <v/>
      </c>
      <c r="H621" s="12">
        <f>IF(ISBLANK(G621),"",IF(G621&gt;=20,"Critical",IF(G621&gt;=15,"High",IF(G621&gt;=8,"Medium","Low"))))</f>
        <v/>
      </c>
    </row>
    <row r="622">
      <c r="B622" s="18">
        <f>IFERROR(VLOOKUP(A622,Risk_Assessment!$B$2:$H$1000,7,FALSE),"")</f>
        <v/>
      </c>
      <c r="E622" s="19">
        <f>IF(C622="No",1,IF(D622="N/A",1,IF(D622="Low (10% reduction)",0.9,IF(D622="Medium (30% reduction)",0.7,IF(D622="High (50% reduction)",0.5,IF(D622="Very High (70% reduction)",0.3,1))))))</f>
        <v/>
      </c>
      <c r="F622" s="18">
        <f>IF(ISBLANK(B622),"",ROUNDUP(SQRT(B622)*E622,0))</f>
        <v/>
      </c>
      <c r="G622" s="15">
        <f>IF(ISBLANK(B622),"",ROUNDUP(B622*E622,0))</f>
        <v/>
      </c>
      <c r="H622" s="12">
        <f>IF(ISBLANK(G622),"",IF(G622&gt;=20,"Critical",IF(G622&gt;=15,"High",IF(G622&gt;=8,"Medium","Low"))))</f>
        <v/>
      </c>
    </row>
    <row r="623">
      <c r="B623" s="18">
        <f>IFERROR(VLOOKUP(A623,Risk_Assessment!$B$2:$H$1000,7,FALSE),"")</f>
        <v/>
      </c>
      <c r="E623" s="19">
        <f>IF(C623="No",1,IF(D623="N/A",1,IF(D623="Low (10% reduction)",0.9,IF(D623="Medium (30% reduction)",0.7,IF(D623="High (50% reduction)",0.5,IF(D623="Very High (70% reduction)",0.3,1))))))</f>
        <v/>
      </c>
      <c r="F623" s="18">
        <f>IF(ISBLANK(B623),"",ROUNDUP(SQRT(B623)*E623,0))</f>
        <v/>
      </c>
      <c r="G623" s="15">
        <f>IF(ISBLANK(B623),"",ROUNDUP(B623*E623,0))</f>
        <v/>
      </c>
      <c r="H623" s="12">
        <f>IF(ISBLANK(G623),"",IF(G623&gt;=20,"Critical",IF(G623&gt;=15,"High",IF(G623&gt;=8,"Medium","Low"))))</f>
        <v/>
      </c>
    </row>
    <row r="624">
      <c r="B624" s="18">
        <f>IFERROR(VLOOKUP(A624,Risk_Assessment!$B$2:$H$1000,7,FALSE),"")</f>
        <v/>
      </c>
      <c r="E624" s="19">
        <f>IF(C624="No",1,IF(D624="N/A",1,IF(D624="Low (10% reduction)",0.9,IF(D624="Medium (30% reduction)",0.7,IF(D624="High (50% reduction)",0.5,IF(D624="Very High (70% reduction)",0.3,1))))))</f>
        <v/>
      </c>
      <c r="F624" s="18">
        <f>IF(ISBLANK(B624),"",ROUNDUP(SQRT(B624)*E624,0))</f>
        <v/>
      </c>
      <c r="G624" s="15">
        <f>IF(ISBLANK(B624),"",ROUNDUP(B624*E624,0))</f>
        <v/>
      </c>
      <c r="H624" s="12">
        <f>IF(ISBLANK(G624),"",IF(G624&gt;=20,"Critical",IF(G624&gt;=15,"High",IF(G624&gt;=8,"Medium","Low"))))</f>
        <v/>
      </c>
    </row>
    <row r="625">
      <c r="B625" s="18">
        <f>IFERROR(VLOOKUP(A625,Risk_Assessment!$B$2:$H$1000,7,FALSE),"")</f>
        <v/>
      </c>
      <c r="E625" s="19">
        <f>IF(C625="No",1,IF(D625="N/A",1,IF(D625="Low (10% reduction)",0.9,IF(D625="Medium (30% reduction)",0.7,IF(D625="High (50% reduction)",0.5,IF(D625="Very High (70% reduction)",0.3,1))))))</f>
        <v/>
      </c>
      <c r="F625" s="18">
        <f>IF(ISBLANK(B625),"",ROUNDUP(SQRT(B625)*E625,0))</f>
        <v/>
      </c>
      <c r="G625" s="15">
        <f>IF(ISBLANK(B625),"",ROUNDUP(B625*E625,0))</f>
        <v/>
      </c>
      <c r="H625" s="12">
        <f>IF(ISBLANK(G625),"",IF(G625&gt;=20,"Critical",IF(G625&gt;=15,"High",IF(G625&gt;=8,"Medium","Low"))))</f>
        <v/>
      </c>
    </row>
    <row r="626">
      <c r="B626" s="18">
        <f>IFERROR(VLOOKUP(A626,Risk_Assessment!$B$2:$H$1000,7,FALSE),"")</f>
        <v/>
      </c>
      <c r="E626" s="19">
        <f>IF(C626="No",1,IF(D626="N/A",1,IF(D626="Low (10% reduction)",0.9,IF(D626="Medium (30% reduction)",0.7,IF(D626="High (50% reduction)",0.5,IF(D626="Very High (70% reduction)",0.3,1))))))</f>
        <v/>
      </c>
      <c r="F626" s="18">
        <f>IF(ISBLANK(B626),"",ROUNDUP(SQRT(B626)*E626,0))</f>
        <v/>
      </c>
      <c r="G626" s="15">
        <f>IF(ISBLANK(B626),"",ROUNDUP(B626*E626,0))</f>
        <v/>
      </c>
      <c r="H626" s="12">
        <f>IF(ISBLANK(G626),"",IF(G626&gt;=20,"Critical",IF(G626&gt;=15,"High",IF(G626&gt;=8,"Medium","Low"))))</f>
        <v/>
      </c>
    </row>
    <row r="627">
      <c r="B627" s="18">
        <f>IFERROR(VLOOKUP(A627,Risk_Assessment!$B$2:$H$1000,7,FALSE),"")</f>
        <v/>
      </c>
      <c r="E627" s="19">
        <f>IF(C627="No",1,IF(D627="N/A",1,IF(D627="Low (10% reduction)",0.9,IF(D627="Medium (30% reduction)",0.7,IF(D627="High (50% reduction)",0.5,IF(D627="Very High (70% reduction)",0.3,1))))))</f>
        <v/>
      </c>
      <c r="F627" s="18">
        <f>IF(ISBLANK(B627),"",ROUNDUP(SQRT(B627)*E627,0))</f>
        <v/>
      </c>
      <c r="G627" s="15">
        <f>IF(ISBLANK(B627),"",ROUNDUP(B627*E627,0))</f>
        <v/>
      </c>
      <c r="H627" s="12">
        <f>IF(ISBLANK(G627),"",IF(G627&gt;=20,"Critical",IF(G627&gt;=15,"High",IF(G627&gt;=8,"Medium","Low"))))</f>
        <v/>
      </c>
    </row>
    <row r="628">
      <c r="B628" s="18">
        <f>IFERROR(VLOOKUP(A628,Risk_Assessment!$B$2:$H$1000,7,FALSE),"")</f>
        <v/>
      </c>
      <c r="E628" s="19">
        <f>IF(C628="No",1,IF(D628="N/A",1,IF(D628="Low (10% reduction)",0.9,IF(D628="Medium (30% reduction)",0.7,IF(D628="High (50% reduction)",0.5,IF(D628="Very High (70% reduction)",0.3,1))))))</f>
        <v/>
      </c>
      <c r="F628" s="18">
        <f>IF(ISBLANK(B628),"",ROUNDUP(SQRT(B628)*E628,0))</f>
        <v/>
      </c>
      <c r="G628" s="15">
        <f>IF(ISBLANK(B628),"",ROUNDUP(B628*E628,0))</f>
        <v/>
      </c>
      <c r="H628" s="12">
        <f>IF(ISBLANK(G628),"",IF(G628&gt;=20,"Critical",IF(G628&gt;=15,"High",IF(G628&gt;=8,"Medium","Low"))))</f>
        <v/>
      </c>
    </row>
    <row r="629">
      <c r="B629" s="18">
        <f>IFERROR(VLOOKUP(A629,Risk_Assessment!$B$2:$H$1000,7,FALSE),"")</f>
        <v/>
      </c>
      <c r="E629" s="19">
        <f>IF(C629="No",1,IF(D629="N/A",1,IF(D629="Low (10% reduction)",0.9,IF(D629="Medium (30% reduction)",0.7,IF(D629="High (50% reduction)",0.5,IF(D629="Very High (70% reduction)",0.3,1))))))</f>
        <v/>
      </c>
      <c r="F629" s="18">
        <f>IF(ISBLANK(B629),"",ROUNDUP(SQRT(B629)*E629,0))</f>
        <v/>
      </c>
      <c r="G629" s="15">
        <f>IF(ISBLANK(B629),"",ROUNDUP(B629*E629,0))</f>
        <v/>
      </c>
      <c r="H629" s="12">
        <f>IF(ISBLANK(G629),"",IF(G629&gt;=20,"Critical",IF(G629&gt;=15,"High",IF(G629&gt;=8,"Medium","Low"))))</f>
        <v/>
      </c>
    </row>
    <row r="630">
      <c r="B630" s="18">
        <f>IFERROR(VLOOKUP(A630,Risk_Assessment!$B$2:$H$1000,7,FALSE),"")</f>
        <v/>
      </c>
      <c r="E630" s="19">
        <f>IF(C630="No",1,IF(D630="N/A",1,IF(D630="Low (10% reduction)",0.9,IF(D630="Medium (30% reduction)",0.7,IF(D630="High (50% reduction)",0.5,IF(D630="Very High (70% reduction)",0.3,1))))))</f>
        <v/>
      </c>
      <c r="F630" s="18">
        <f>IF(ISBLANK(B630),"",ROUNDUP(SQRT(B630)*E630,0))</f>
        <v/>
      </c>
      <c r="G630" s="15">
        <f>IF(ISBLANK(B630),"",ROUNDUP(B630*E630,0))</f>
        <v/>
      </c>
      <c r="H630" s="12">
        <f>IF(ISBLANK(G630),"",IF(G630&gt;=20,"Critical",IF(G630&gt;=15,"High",IF(G630&gt;=8,"Medium","Low"))))</f>
        <v/>
      </c>
    </row>
    <row r="631">
      <c r="B631" s="18">
        <f>IFERROR(VLOOKUP(A631,Risk_Assessment!$B$2:$H$1000,7,FALSE),"")</f>
        <v/>
      </c>
      <c r="E631" s="19">
        <f>IF(C631="No",1,IF(D631="N/A",1,IF(D631="Low (10% reduction)",0.9,IF(D631="Medium (30% reduction)",0.7,IF(D631="High (50% reduction)",0.5,IF(D631="Very High (70% reduction)",0.3,1))))))</f>
        <v/>
      </c>
      <c r="F631" s="18">
        <f>IF(ISBLANK(B631),"",ROUNDUP(SQRT(B631)*E631,0))</f>
        <v/>
      </c>
      <c r="G631" s="15">
        <f>IF(ISBLANK(B631),"",ROUNDUP(B631*E631,0))</f>
        <v/>
      </c>
      <c r="H631" s="12">
        <f>IF(ISBLANK(G631),"",IF(G631&gt;=20,"Critical",IF(G631&gt;=15,"High",IF(G631&gt;=8,"Medium","Low"))))</f>
        <v/>
      </c>
    </row>
    <row r="632">
      <c r="B632" s="18">
        <f>IFERROR(VLOOKUP(A632,Risk_Assessment!$B$2:$H$1000,7,FALSE),"")</f>
        <v/>
      </c>
      <c r="E632" s="19">
        <f>IF(C632="No",1,IF(D632="N/A",1,IF(D632="Low (10% reduction)",0.9,IF(D632="Medium (30% reduction)",0.7,IF(D632="High (50% reduction)",0.5,IF(D632="Very High (70% reduction)",0.3,1))))))</f>
        <v/>
      </c>
      <c r="F632" s="18">
        <f>IF(ISBLANK(B632),"",ROUNDUP(SQRT(B632)*E632,0))</f>
        <v/>
      </c>
      <c r="G632" s="15">
        <f>IF(ISBLANK(B632),"",ROUNDUP(B632*E632,0))</f>
        <v/>
      </c>
      <c r="H632" s="12">
        <f>IF(ISBLANK(G632),"",IF(G632&gt;=20,"Critical",IF(G632&gt;=15,"High",IF(G632&gt;=8,"Medium","Low"))))</f>
        <v/>
      </c>
    </row>
    <row r="633">
      <c r="B633" s="18">
        <f>IFERROR(VLOOKUP(A633,Risk_Assessment!$B$2:$H$1000,7,FALSE),"")</f>
        <v/>
      </c>
      <c r="E633" s="19">
        <f>IF(C633="No",1,IF(D633="N/A",1,IF(D633="Low (10% reduction)",0.9,IF(D633="Medium (30% reduction)",0.7,IF(D633="High (50% reduction)",0.5,IF(D633="Very High (70% reduction)",0.3,1))))))</f>
        <v/>
      </c>
      <c r="F633" s="18">
        <f>IF(ISBLANK(B633),"",ROUNDUP(SQRT(B633)*E633,0))</f>
        <v/>
      </c>
      <c r="G633" s="15">
        <f>IF(ISBLANK(B633),"",ROUNDUP(B633*E633,0))</f>
        <v/>
      </c>
      <c r="H633" s="12">
        <f>IF(ISBLANK(G633),"",IF(G633&gt;=20,"Critical",IF(G633&gt;=15,"High",IF(G633&gt;=8,"Medium","Low"))))</f>
        <v/>
      </c>
    </row>
    <row r="634">
      <c r="B634" s="18">
        <f>IFERROR(VLOOKUP(A634,Risk_Assessment!$B$2:$H$1000,7,FALSE),"")</f>
        <v/>
      </c>
      <c r="E634" s="19">
        <f>IF(C634="No",1,IF(D634="N/A",1,IF(D634="Low (10% reduction)",0.9,IF(D634="Medium (30% reduction)",0.7,IF(D634="High (50% reduction)",0.5,IF(D634="Very High (70% reduction)",0.3,1))))))</f>
        <v/>
      </c>
      <c r="F634" s="18">
        <f>IF(ISBLANK(B634),"",ROUNDUP(SQRT(B634)*E634,0))</f>
        <v/>
      </c>
      <c r="G634" s="15">
        <f>IF(ISBLANK(B634),"",ROUNDUP(B634*E634,0))</f>
        <v/>
      </c>
      <c r="H634" s="12">
        <f>IF(ISBLANK(G634),"",IF(G634&gt;=20,"Critical",IF(G634&gt;=15,"High",IF(G634&gt;=8,"Medium","Low"))))</f>
        <v/>
      </c>
    </row>
    <row r="635">
      <c r="B635" s="18">
        <f>IFERROR(VLOOKUP(A635,Risk_Assessment!$B$2:$H$1000,7,FALSE),"")</f>
        <v/>
      </c>
      <c r="E635" s="19">
        <f>IF(C635="No",1,IF(D635="N/A",1,IF(D635="Low (10% reduction)",0.9,IF(D635="Medium (30% reduction)",0.7,IF(D635="High (50% reduction)",0.5,IF(D635="Very High (70% reduction)",0.3,1))))))</f>
        <v/>
      </c>
      <c r="F635" s="18">
        <f>IF(ISBLANK(B635),"",ROUNDUP(SQRT(B635)*E635,0))</f>
        <v/>
      </c>
      <c r="G635" s="15">
        <f>IF(ISBLANK(B635),"",ROUNDUP(B635*E635,0))</f>
        <v/>
      </c>
      <c r="H635" s="12">
        <f>IF(ISBLANK(G635),"",IF(G635&gt;=20,"Critical",IF(G635&gt;=15,"High",IF(G635&gt;=8,"Medium","Low"))))</f>
        <v/>
      </c>
    </row>
    <row r="636">
      <c r="B636" s="18">
        <f>IFERROR(VLOOKUP(A636,Risk_Assessment!$B$2:$H$1000,7,FALSE),"")</f>
        <v/>
      </c>
      <c r="E636" s="19">
        <f>IF(C636="No",1,IF(D636="N/A",1,IF(D636="Low (10% reduction)",0.9,IF(D636="Medium (30% reduction)",0.7,IF(D636="High (50% reduction)",0.5,IF(D636="Very High (70% reduction)",0.3,1))))))</f>
        <v/>
      </c>
      <c r="F636" s="18">
        <f>IF(ISBLANK(B636),"",ROUNDUP(SQRT(B636)*E636,0))</f>
        <v/>
      </c>
      <c r="G636" s="15">
        <f>IF(ISBLANK(B636),"",ROUNDUP(B636*E636,0))</f>
        <v/>
      </c>
      <c r="H636" s="12">
        <f>IF(ISBLANK(G636),"",IF(G636&gt;=20,"Critical",IF(G636&gt;=15,"High",IF(G636&gt;=8,"Medium","Low"))))</f>
        <v/>
      </c>
    </row>
    <row r="637">
      <c r="B637" s="18">
        <f>IFERROR(VLOOKUP(A637,Risk_Assessment!$B$2:$H$1000,7,FALSE),"")</f>
        <v/>
      </c>
      <c r="E637" s="19">
        <f>IF(C637="No",1,IF(D637="N/A",1,IF(D637="Low (10% reduction)",0.9,IF(D637="Medium (30% reduction)",0.7,IF(D637="High (50% reduction)",0.5,IF(D637="Very High (70% reduction)",0.3,1))))))</f>
        <v/>
      </c>
      <c r="F637" s="18">
        <f>IF(ISBLANK(B637),"",ROUNDUP(SQRT(B637)*E637,0))</f>
        <v/>
      </c>
      <c r="G637" s="15">
        <f>IF(ISBLANK(B637),"",ROUNDUP(B637*E637,0))</f>
        <v/>
      </c>
      <c r="H637" s="12">
        <f>IF(ISBLANK(G637),"",IF(G637&gt;=20,"Critical",IF(G637&gt;=15,"High",IF(G637&gt;=8,"Medium","Low"))))</f>
        <v/>
      </c>
    </row>
    <row r="638">
      <c r="B638" s="18">
        <f>IFERROR(VLOOKUP(A638,Risk_Assessment!$B$2:$H$1000,7,FALSE),"")</f>
        <v/>
      </c>
      <c r="E638" s="19">
        <f>IF(C638="No",1,IF(D638="N/A",1,IF(D638="Low (10% reduction)",0.9,IF(D638="Medium (30% reduction)",0.7,IF(D638="High (50% reduction)",0.5,IF(D638="Very High (70% reduction)",0.3,1))))))</f>
        <v/>
      </c>
      <c r="F638" s="18">
        <f>IF(ISBLANK(B638),"",ROUNDUP(SQRT(B638)*E638,0))</f>
        <v/>
      </c>
      <c r="G638" s="15">
        <f>IF(ISBLANK(B638),"",ROUNDUP(B638*E638,0))</f>
        <v/>
      </c>
      <c r="H638" s="12">
        <f>IF(ISBLANK(G638),"",IF(G638&gt;=20,"Critical",IF(G638&gt;=15,"High",IF(G638&gt;=8,"Medium","Low"))))</f>
        <v/>
      </c>
    </row>
    <row r="639">
      <c r="B639" s="18">
        <f>IFERROR(VLOOKUP(A639,Risk_Assessment!$B$2:$H$1000,7,FALSE),"")</f>
        <v/>
      </c>
      <c r="E639" s="19">
        <f>IF(C639="No",1,IF(D639="N/A",1,IF(D639="Low (10% reduction)",0.9,IF(D639="Medium (30% reduction)",0.7,IF(D639="High (50% reduction)",0.5,IF(D639="Very High (70% reduction)",0.3,1))))))</f>
        <v/>
      </c>
      <c r="F639" s="18">
        <f>IF(ISBLANK(B639),"",ROUNDUP(SQRT(B639)*E639,0))</f>
        <v/>
      </c>
      <c r="G639" s="15">
        <f>IF(ISBLANK(B639),"",ROUNDUP(B639*E639,0))</f>
        <v/>
      </c>
      <c r="H639" s="12">
        <f>IF(ISBLANK(G639),"",IF(G639&gt;=20,"Critical",IF(G639&gt;=15,"High",IF(G639&gt;=8,"Medium","Low"))))</f>
        <v/>
      </c>
    </row>
    <row r="640">
      <c r="B640" s="18">
        <f>IFERROR(VLOOKUP(A640,Risk_Assessment!$B$2:$H$1000,7,FALSE),"")</f>
        <v/>
      </c>
      <c r="E640" s="19">
        <f>IF(C640="No",1,IF(D640="N/A",1,IF(D640="Low (10% reduction)",0.9,IF(D640="Medium (30% reduction)",0.7,IF(D640="High (50% reduction)",0.5,IF(D640="Very High (70% reduction)",0.3,1))))))</f>
        <v/>
      </c>
      <c r="F640" s="18">
        <f>IF(ISBLANK(B640),"",ROUNDUP(SQRT(B640)*E640,0))</f>
        <v/>
      </c>
      <c r="G640" s="15">
        <f>IF(ISBLANK(B640),"",ROUNDUP(B640*E640,0))</f>
        <v/>
      </c>
      <c r="H640" s="12">
        <f>IF(ISBLANK(G640),"",IF(G640&gt;=20,"Critical",IF(G640&gt;=15,"High",IF(G640&gt;=8,"Medium","Low"))))</f>
        <v/>
      </c>
    </row>
    <row r="641">
      <c r="B641" s="18">
        <f>IFERROR(VLOOKUP(A641,Risk_Assessment!$B$2:$H$1000,7,FALSE),"")</f>
        <v/>
      </c>
      <c r="E641" s="19">
        <f>IF(C641="No",1,IF(D641="N/A",1,IF(D641="Low (10% reduction)",0.9,IF(D641="Medium (30% reduction)",0.7,IF(D641="High (50% reduction)",0.5,IF(D641="Very High (70% reduction)",0.3,1))))))</f>
        <v/>
      </c>
      <c r="F641" s="18">
        <f>IF(ISBLANK(B641),"",ROUNDUP(SQRT(B641)*E641,0))</f>
        <v/>
      </c>
      <c r="G641" s="15">
        <f>IF(ISBLANK(B641),"",ROUNDUP(B641*E641,0))</f>
        <v/>
      </c>
      <c r="H641" s="12">
        <f>IF(ISBLANK(G641),"",IF(G641&gt;=20,"Critical",IF(G641&gt;=15,"High",IF(G641&gt;=8,"Medium","Low"))))</f>
        <v/>
      </c>
    </row>
    <row r="642">
      <c r="B642" s="18">
        <f>IFERROR(VLOOKUP(A642,Risk_Assessment!$B$2:$H$1000,7,FALSE),"")</f>
        <v/>
      </c>
      <c r="E642" s="19">
        <f>IF(C642="No",1,IF(D642="N/A",1,IF(D642="Low (10% reduction)",0.9,IF(D642="Medium (30% reduction)",0.7,IF(D642="High (50% reduction)",0.5,IF(D642="Very High (70% reduction)",0.3,1))))))</f>
        <v/>
      </c>
      <c r="F642" s="18">
        <f>IF(ISBLANK(B642),"",ROUNDUP(SQRT(B642)*E642,0))</f>
        <v/>
      </c>
      <c r="G642" s="15">
        <f>IF(ISBLANK(B642),"",ROUNDUP(B642*E642,0))</f>
        <v/>
      </c>
      <c r="H642" s="12">
        <f>IF(ISBLANK(G642),"",IF(G642&gt;=20,"Critical",IF(G642&gt;=15,"High",IF(G642&gt;=8,"Medium","Low"))))</f>
        <v/>
      </c>
    </row>
    <row r="643">
      <c r="B643" s="18">
        <f>IFERROR(VLOOKUP(A643,Risk_Assessment!$B$2:$H$1000,7,FALSE),"")</f>
        <v/>
      </c>
      <c r="E643" s="19">
        <f>IF(C643="No",1,IF(D643="N/A",1,IF(D643="Low (10% reduction)",0.9,IF(D643="Medium (30% reduction)",0.7,IF(D643="High (50% reduction)",0.5,IF(D643="Very High (70% reduction)",0.3,1))))))</f>
        <v/>
      </c>
      <c r="F643" s="18">
        <f>IF(ISBLANK(B643),"",ROUNDUP(SQRT(B643)*E643,0))</f>
        <v/>
      </c>
      <c r="G643" s="15">
        <f>IF(ISBLANK(B643),"",ROUNDUP(B643*E643,0))</f>
        <v/>
      </c>
      <c r="H643" s="12">
        <f>IF(ISBLANK(G643),"",IF(G643&gt;=20,"Critical",IF(G643&gt;=15,"High",IF(G643&gt;=8,"Medium","Low"))))</f>
        <v/>
      </c>
    </row>
    <row r="644">
      <c r="B644" s="18">
        <f>IFERROR(VLOOKUP(A644,Risk_Assessment!$B$2:$H$1000,7,FALSE),"")</f>
        <v/>
      </c>
      <c r="E644" s="19">
        <f>IF(C644="No",1,IF(D644="N/A",1,IF(D644="Low (10% reduction)",0.9,IF(D644="Medium (30% reduction)",0.7,IF(D644="High (50% reduction)",0.5,IF(D644="Very High (70% reduction)",0.3,1))))))</f>
        <v/>
      </c>
      <c r="F644" s="18">
        <f>IF(ISBLANK(B644),"",ROUNDUP(SQRT(B644)*E644,0))</f>
        <v/>
      </c>
      <c r="G644" s="15">
        <f>IF(ISBLANK(B644),"",ROUNDUP(B644*E644,0))</f>
        <v/>
      </c>
      <c r="H644" s="12">
        <f>IF(ISBLANK(G644),"",IF(G644&gt;=20,"Critical",IF(G644&gt;=15,"High",IF(G644&gt;=8,"Medium","Low"))))</f>
        <v/>
      </c>
    </row>
    <row r="645">
      <c r="B645" s="18">
        <f>IFERROR(VLOOKUP(A645,Risk_Assessment!$B$2:$H$1000,7,FALSE),"")</f>
        <v/>
      </c>
      <c r="E645" s="19">
        <f>IF(C645="No",1,IF(D645="N/A",1,IF(D645="Low (10% reduction)",0.9,IF(D645="Medium (30% reduction)",0.7,IF(D645="High (50% reduction)",0.5,IF(D645="Very High (70% reduction)",0.3,1))))))</f>
        <v/>
      </c>
      <c r="F645" s="18">
        <f>IF(ISBLANK(B645),"",ROUNDUP(SQRT(B645)*E645,0))</f>
        <v/>
      </c>
      <c r="G645" s="15">
        <f>IF(ISBLANK(B645),"",ROUNDUP(B645*E645,0))</f>
        <v/>
      </c>
      <c r="H645" s="12">
        <f>IF(ISBLANK(G645),"",IF(G645&gt;=20,"Critical",IF(G645&gt;=15,"High",IF(G645&gt;=8,"Medium","Low"))))</f>
        <v/>
      </c>
    </row>
    <row r="646">
      <c r="B646" s="18">
        <f>IFERROR(VLOOKUP(A646,Risk_Assessment!$B$2:$H$1000,7,FALSE),"")</f>
        <v/>
      </c>
      <c r="E646" s="19">
        <f>IF(C646="No",1,IF(D646="N/A",1,IF(D646="Low (10% reduction)",0.9,IF(D646="Medium (30% reduction)",0.7,IF(D646="High (50% reduction)",0.5,IF(D646="Very High (70% reduction)",0.3,1))))))</f>
        <v/>
      </c>
      <c r="F646" s="18">
        <f>IF(ISBLANK(B646),"",ROUNDUP(SQRT(B646)*E646,0))</f>
        <v/>
      </c>
      <c r="G646" s="15">
        <f>IF(ISBLANK(B646),"",ROUNDUP(B646*E646,0))</f>
        <v/>
      </c>
      <c r="H646" s="12">
        <f>IF(ISBLANK(G646),"",IF(G646&gt;=20,"Critical",IF(G646&gt;=15,"High",IF(G646&gt;=8,"Medium","Low"))))</f>
        <v/>
      </c>
    </row>
    <row r="647">
      <c r="B647" s="18">
        <f>IFERROR(VLOOKUP(A647,Risk_Assessment!$B$2:$H$1000,7,FALSE),"")</f>
        <v/>
      </c>
      <c r="E647" s="19">
        <f>IF(C647="No",1,IF(D647="N/A",1,IF(D647="Low (10% reduction)",0.9,IF(D647="Medium (30% reduction)",0.7,IF(D647="High (50% reduction)",0.5,IF(D647="Very High (70% reduction)",0.3,1))))))</f>
        <v/>
      </c>
      <c r="F647" s="18">
        <f>IF(ISBLANK(B647),"",ROUNDUP(SQRT(B647)*E647,0))</f>
        <v/>
      </c>
      <c r="G647" s="15">
        <f>IF(ISBLANK(B647),"",ROUNDUP(B647*E647,0))</f>
        <v/>
      </c>
      <c r="H647" s="12">
        <f>IF(ISBLANK(G647),"",IF(G647&gt;=20,"Critical",IF(G647&gt;=15,"High",IF(G647&gt;=8,"Medium","Low"))))</f>
        <v/>
      </c>
    </row>
    <row r="648">
      <c r="B648" s="18">
        <f>IFERROR(VLOOKUP(A648,Risk_Assessment!$B$2:$H$1000,7,FALSE),"")</f>
        <v/>
      </c>
      <c r="E648" s="19">
        <f>IF(C648="No",1,IF(D648="N/A",1,IF(D648="Low (10% reduction)",0.9,IF(D648="Medium (30% reduction)",0.7,IF(D648="High (50% reduction)",0.5,IF(D648="Very High (70% reduction)",0.3,1))))))</f>
        <v/>
      </c>
      <c r="F648" s="18">
        <f>IF(ISBLANK(B648),"",ROUNDUP(SQRT(B648)*E648,0))</f>
        <v/>
      </c>
      <c r="G648" s="15">
        <f>IF(ISBLANK(B648),"",ROUNDUP(B648*E648,0))</f>
        <v/>
      </c>
      <c r="H648" s="12">
        <f>IF(ISBLANK(G648),"",IF(G648&gt;=20,"Critical",IF(G648&gt;=15,"High",IF(G648&gt;=8,"Medium","Low"))))</f>
        <v/>
      </c>
    </row>
    <row r="649">
      <c r="B649" s="18">
        <f>IFERROR(VLOOKUP(A649,Risk_Assessment!$B$2:$H$1000,7,FALSE),"")</f>
        <v/>
      </c>
      <c r="E649" s="19">
        <f>IF(C649="No",1,IF(D649="N/A",1,IF(D649="Low (10% reduction)",0.9,IF(D649="Medium (30% reduction)",0.7,IF(D649="High (50% reduction)",0.5,IF(D649="Very High (70% reduction)",0.3,1))))))</f>
        <v/>
      </c>
      <c r="F649" s="18">
        <f>IF(ISBLANK(B649),"",ROUNDUP(SQRT(B649)*E649,0))</f>
        <v/>
      </c>
      <c r="G649" s="15">
        <f>IF(ISBLANK(B649),"",ROUNDUP(B649*E649,0))</f>
        <v/>
      </c>
      <c r="H649" s="12">
        <f>IF(ISBLANK(G649),"",IF(G649&gt;=20,"Critical",IF(G649&gt;=15,"High",IF(G649&gt;=8,"Medium","Low"))))</f>
        <v/>
      </c>
    </row>
    <row r="650">
      <c r="B650" s="18">
        <f>IFERROR(VLOOKUP(A650,Risk_Assessment!$B$2:$H$1000,7,FALSE),"")</f>
        <v/>
      </c>
      <c r="E650" s="19">
        <f>IF(C650="No",1,IF(D650="N/A",1,IF(D650="Low (10% reduction)",0.9,IF(D650="Medium (30% reduction)",0.7,IF(D650="High (50% reduction)",0.5,IF(D650="Very High (70% reduction)",0.3,1))))))</f>
        <v/>
      </c>
      <c r="F650" s="18">
        <f>IF(ISBLANK(B650),"",ROUNDUP(SQRT(B650)*E650,0))</f>
        <v/>
      </c>
      <c r="G650" s="15">
        <f>IF(ISBLANK(B650),"",ROUNDUP(B650*E650,0))</f>
        <v/>
      </c>
      <c r="H650" s="12">
        <f>IF(ISBLANK(G650),"",IF(G650&gt;=20,"Critical",IF(G650&gt;=15,"High",IF(G650&gt;=8,"Medium","Low"))))</f>
        <v/>
      </c>
    </row>
    <row r="651">
      <c r="B651" s="18">
        <f>IFERROR(VLOOKUP(A651,Risk_Assessment!$B$2:$H$1000,7,FALSE),"")</f>
        <v/>
      </c>
      <c r="E651" s="19">
        <f>IF(C651="No",1,IF(D651="N/A",1,IF(D651="Low (10% reduction)",0.9,IF(D651="Medium (30% reduction)",0.7,IF(D651="High (50% reduction)",0.5,IF(D651="Very High (70% reduction)",0.3,1))))))</f>
        <v/>
      </c>
      <c r="F651" s="18">
        <f>IF(ISBLANK(B651),"",ROUNDUP(SQRT(B651)*E651,0))</f>
        <v/>
      </c>
      <c r="G651" s="15">
        <f>IF(ISBLANK(B651),"",ROUNDUP(B651*E651,0))</f>
        <v/>
      </c>
      <c r="H651" s="12">
        <f>IF(ISBLANK(G651),"",IF(G651&gt;=20,"Critical",IF(G651&gt;=15,"High",IF(G651&gt;=8,"Medium","Low"))))</f>
        <v/>
      </c>
    </row>
    <row r="652">
      <c r="B652" s="18">
        <f>IFERROR(VLOOKUP(A652,Risk_Assessment!$B$2:$H$1000,7,FALSE),"")</f>
        <v/>
      </c>
      <c r="E652" s="19">
        <f>IF(C652="No",1,IF(D652="N/A",1,IF(D652="Low (10% reduction)",0.9,IF(D652="Medium (30% reduction)",0.7,IF(D652="High (50% reduction)",0.5,IF(D652="Very High (70% reduction)",0.3,1))))))</f>
        <v/>
      </c>
      <c r="F652" s="18">
        <f>IF(ISBLANK(B652),"",ROUNDUP(SQRT(B652)*E652,0))</f>
        <v/>
      </c>
      <c r="G652" s="15">
        <f>IF(ISBLANK(B652),"",ROUNDUP(B652*E652,0))</f>
        <v/>
      </c>
      <c r="H652" s="12">
        <f>IF(ISBLANK(G652),"",IF(G652&gt;=20,"Critical",IF(G652&gt;=15,"High",IF(G652&gt;=8,"Medium","Low"))))</f>
        <v/>
      </c>
    </row>
    <row r="653">
      <c r="B653" s="18">
        <f>IFERROR(VLOOKUP(A653,Risk_Assessment!$B$2:$H$1000,7,FALSE),"")</f>
        <v/>
      </c>
      <c r="E653" s="19">
        <f>IF(C653="No",1,IF(D653="N/A",1,IF(D653="Low (10% reduction)",0.9,IF(D653="Medium (30% reduction)",0.7,IF(D653="High (50% reduction)",0.5,IF(D653="Very High (70% reduction)",0.3,1))))))</f>
        <v/>
      </c>
      <c r="F653" s="18">
        <f>IF(ISBLANK(B653),"",ROUNDUP(SQRT(B653)*E653,0))</f>
        <v/>
      </c>
      <c r="G653" s="15">
        <f>IF(ISBLANK(B653),"",ROUNDUP(B653*E653,0))</f>
        <v/>
      </c>
      <c r="H653" s="12">
        <f>IF(ISBLANK(G653),"",IF(G653&gt;=20,"Critical",IF(G653&gt;=15,"High",IF(G653&gt;=8,"Medium","Low"))))</f>
        <v/>
      </c>
    </row>
    <row r="654">
      <c r="B654" s="18">
        <f>IFERROR(VLOOKUP(A654,Risk_Assessment!$B$2:$H$1000,7,FALSE),"")</f>
        <v/>
      </c>
      <c r="E654" s="19">
        <f>IF(C654="No",1,IF(D654="N/A",1,IF(D654="Low (10% reduction)",0.9,IF(D654="Medium (30% reduction)",0.7,IF(D654="High (50% reduction)",0.5,IF(D654="Very High (70% reduction)",0.3,1))))))</f>
        <v/>
      </c>
      <c r="F654" s="18">
        <f>IF(ISBLANK(B654),"",ROUNDUP(SQRT(B654)*E654,0))</f>
        <v/>
      </c>
      <c r="G654" s="15">
        <f>IF(ISBLANK(B654),"",ROUNDUP(B654*E654,0))</f>
        <v/>
      </c>
      <c r="H654" s="12">
        <f>IF(ISBLANK(G654),"",IF(G654&gt;=20,"Critical",IF(G654&gt;=15,"High",IF(G654&gt;=8,"Medium","Low"))))</f>
        <v/>
      </c>
    </row>
    <row r="655">
      <c r="B655" s="18">
        <f>IFERROR(VLOOKUP(A655,Risk_Assessment!$B$2:$H$1000,7,FALSE),"")</f>
        <v/>
      </c>
      <c r="E655" s="19">
        <f>IF(C655="No",1,IF(D655="N/A",1,IF(D655="Low (10% reduction)",0.9,IF(D655="Medium (30% reduction)",0.7,IF(D655="High (50% reduction)",0.5,IF(D655="Very High (70% reduction)",0.3,1))))))</f>
        <v/>
      </c>
      <c r="F655" s="18">
        <f>IF(ISBLANK(B655),"",ROUNDUP(SQRT(B655)*E655,0))</f>
        <v/>
      </c>
      <c r="G655" s="15">
        <f>IF(ISBLANK(B655),"",ROUNDUP(B655*E655,0))</f>
        <v/>
      </c>
      <c r="H655" s="12">
        <f>IF(ISBLANK(G655),"",IF(G655&gt;=20,"Critical",IF(G655&gt;=15,"High",IF(G655&gt;=8,"Medium","Low"))))</f>
        <v/>
      </c>
    </row>
    <row r="656">
      <c r="B656" s="18">
        <f>IFERROR(VLOOKUP(A656,Risk_Assessment!$B$2:$H$1000,7,FALSE),"")</f>
        <v/>
      </c>
      <c r="E656" s="19">
        <f>IF(C656="No",1,IF(D656="N/A",1,IF(D656="Low (10% reduction)",0.9,IF(D656="Medium (30% reduction)",0.7,IF(D656="High (50% reduction)",0.5,IF(D656="Very High (70% reduction)",0.3,1))))))</f>
        <v/>
      </c>
      <c r="F656" s="18">
        <f>IF(ISBLANK(B656),"",ROUNDUP(SQRT(B656)*E656,0))</f>
        <v/>
      </c>
      <c r="G656" s="15">
        <f>IF(ISBLANK(B656),"",ROUNDUP(B656*E656,0))</f>
        <v/>
      </c>
      <c r="H656" s="12">
        <f>IF(ISBLANK(G656),"",IF(G656&gt;=20,"Critical",IF(G656&gt;=15,"High",IF(G656&gt;=8,"Medium","Low"))))</f>
        <v/>
      </c>
    </row>
    <row r="657">
      <c r="B657" s="18">
        <f>IFERROR(VLOOKUP(A657,Risk_Assessment!$B$2:$H$1000,7,FALSE),"")</f>
        <v/>
      </c>
      <c r="E657" s="19">
        <f>IF(C657="No",1,IF(D657="N/A",1,IF(D657="Low (10% reduction)",0.9,IF(D657="Medium (30% reduction)",0.7,IF(D657="High (50% reduction)",0.5,IF(D657="Very High (70% reduction)",0.3,1))))))</f>
        <v/>
      </c>
      <c r="F657" s="18">
        <f>IF(ISBLANK(B657),"",ROUNDUP(SQRT(B657)*E657,0))</f>
        <v/>
      </c>
      <c r="G657" s="15">
        <f>IF(ISBLANK(B657),"",ROUNDUP(B657*E657,0))</f>
        <v/>
      </c>
      <c r="H657" s="12">
        <f>IF(ISBLANK(G657),"",IF(G657&gt;=20,"Critical",IF(G657&gt;=15,"High",IF(G657&gt;=8,"Medium","Low"))))</f>
        <v/>
      </c>
    </row>
    <row r="658">
      <c r="B658" s="18">
        <f>IFERROR(VLOOKUP(A658,Risk_Assessment!$B$2:$H$1000,7,FALSE),"")</f>
        <v/>
      </c>
      <c r="E658" s="19">
        <f>IF(C658="No",1,IF(D658="N/A",1,IF(D658="Low (10% reduction)",0.9,IF(D658="Medium (30% reduction)",0.7,IF(D658="High (50% reduction)",0.5,IF(D658="Very High (70% reduction)",0.3,1))))))</f>
        <v/>
      </c>
      <c r="F658" s="18">
        <f>IF(ISBLANK(B658),"",ROUNDUP(SQRT(B658)*E658,0))</f>
        <v/>
      </c>
      <c r="G658" s="15">
        <f>IF(ISBLANK(B658),"",ROUNDUP(B658*E658,0))</f>
        <v/>
      </c>
      <c r="H658" s="12">
        <f>IF(ISBLANK(G658),"",IF(G658&gt;=20,"Critical",IF(G658&gt;=15,"High",IF(G658&gt;=8,"Medium","Low"))))</f>
        <v/>
      </c>
    </row>
    <row r="659">
      <c r="B659" s="18">
        <f>IFERROR(VLOOKUP(A659,Risk_Assessment!$B$2:$H$1000,7,FALSE),"")</f>
        <v/>
      </c>
      <c r="E659" s="19">
        <f>IF(C659="No",1,IF(D659="N/A",1,IF(D659="Low (10% reduction)",0.9,IF(D659="Medium (30% reduction)",0.7,IF(D659="High (50% reduction)",0.5,IF(D659="Very High (70% reduction)",0.3,1))))))</f>
        <v/>
      </c>
      <c r="F659" s="18">
        <f>IF(ISBLANK(B659),"",ROUNDUP(SQRT(B659)*E659,0))</f>
        <v/>
      </c>
      <c r="G659" s="15">
        <f>IF(ISBLANK(B659),"",ROUNDUP(B659*E659,0))</f>
        <v/>
      </c>
      <c r="H659" s="12">
        <f>IF(ISBLANK(G659),"",IF(G659&gt;=20,"Critical",IF(G659&gt;=15,"High",IF(G659&gt;=8,"Medium","Low"))))</f>
        <v/>
      </c>
    </row>
    <row r="660">
      <c r="B660" s="18">
        <f>IFERROR(VLOOKUP(A660,Risk_Assessment!$B$2:$H$1000,7,FALSE),"")</f>
        <v/>
      </c>
      <c r="E660" s="19">
        <f>IF(C660="No",1,IF(D660="N/A",1,IF(D660="Low (10% reduction)",0.9,IF(D660="Medium (30% reduction)",0.7,IF(D660="High (50% reduction)",0.5,IF(D660="Very High (70% reduction)",0.3,1))))))</f>
        <v/>
      </c>
      <c r="F660" s="18">
        <f>IF(ISBLANK(B660),"",ROUNDUP(SQRT(B660)*E660,0))</f>
        <v/>
      </c>
      <c r="G660" s="15">
        <f>IF(ISBLANK(B660),"",ROUNDUP(B660*E660,0))</f>
        <v/>
      </c>
      <c r="H660" s="12">
        <f>IF(ISBLANK(G660),"",IF(G660&gt;=20,"Critical",IF(G660&gt;=15,"High",IF(G660&gt;=8,"Medium","Low"))))</f>
        <v/>
      </c>
    </row>
    <row r="661">
      <c r="B661" s="18">
        <f>IFERROR(VLOOKUP(A661,Risk_Assessment!$B$2:$H$1000,7,FALSE),"")</f>
        <v/>
      </c>
      <c r="E661" s="19">
        <f>IF(C661="No",1,IF(D661="N/A",1,IF(D661="Low (10% reduction)",0.9,IF(D661="Medium (30% reduction)",0.7,IF(D661="High (50% reduction)",0.5,IF(D661="Very High (70% reduction)",0.3,1))))))</f>
        <v/>
      </c>
      <c r="F661" s="18">
        <f>IF(ISBLANK(B661),"",ROUNDUP(SQRT(B661)*E661,0))</f>
        <v/>
      </c>
      <c r="G661" s="15">
        <f>IF(ISBLANK(B661),"",ROUNDUP(B661*E661,0))</f>
        <v/>
      </c>
      <c r="H661" s="12">
        <f>IF(ISBLANK(G661),"",IF(G661&gt;=20,"Critical",IF(G661&gt;=15,"High",IF(G661&gt;=8,"Medium","Low"))))</f>
        <v/>
      </c>
    </row>
    <row r="662">
      <c r="B662" s="18">
        <f>IFERROR(VLOOKUP(A662,Risk_Assessment!$B$2:$H$1000,7,FALSE),"")</f>
        <v/>
      </c>
      <c r="E662" s="19">
        <f>IF(C662="No",1,IF(D662="N/A",1,IF(D662="Low (10% reduction)",0.9,IF(D662="Medium (30% reduction)",0.7,IF(D662="High (50% reduction)",0.5,IF(D662="Very High (70% reduction)",0.3,1))))))</f>
        <v/>
      </c>
      <c r="F662" s="18">
        <f>IF(ISBLANK(B662),"",ROUNDUP(SQRT(B662)*E662,0))</f>
        <v/>
      </c>
      <c r="G662" s="15">
        <f>IF(ISBLANK(B662),"",ROUNDUP(B662*E662,0))</f>
        <v/>
      </c>
      <c r="H662" s="12">
        <f>IF(ISBLANK(G662),"",IF(G662&gt;=20,"Critical",IF(G662&gt;=15,"High",IF(G662&gt;=8,"Medium","Low"))))</f>
        <v/>
      </c>
    </row>
    <row r="663">
      <c r="B663" s="18">
        <f>IFERROR(VLOOKUP(A663,Risk_Assessment!$B$2:$H$1000,7,FALSE),"")</f>
        <v/>
      </c>
      <c r="E663" s="19">
        <f>IF(C663="No",1,IF(D663="N/A",1,IF(D663="Low (10% reduction)",0.9,IF(D663="Medium (30% reduction)",0.7,IF(D663="High (50% reduction)",0.5,IF(D663="Very High (70% reduction)",0.3,1))))))</f>
        <v/>
      </c>
      <c r="F663" s="18">
        <f>IF(ISBLANK(B663),"",ROUNDUP(SQRT(B663)*E663,0))</f>
        <v/>
      </c>
      <c r="G663" s="15">
        <f>IF(ISBLANK(B663),"",ROUNDUP(B663*E663,0))</f>
        <v/>
      </c>
      <c r="H663" s="12">
        <f>IF(ISBLANK(G663),"",IF(G663&gt;=20,"Critical",IF(G663&gt;=15,"High",IF(G663&gt;=8,"Medium","Low"))))</f>
        <v/>
      </c>
    </row>
    <row r="664">
      <c r="B664" s="18">
        <f>IFERROR(VLOOKUP(A664,Risk_Assessment!$B$2:$H$1000,7,FALSE),"")</f>
        <v/>
      </c>
      <c r="E664" s="19">
        <f>IF(C664="No",1,IF(D664="N/A",1,IF(D664="Low (10% reduction)",0.9,IF(D664="Medium (30% reduction)",0.7,IF(D664="High (50% reduction)",0.5,IF(D664="Very High (70% reduction)",0.3,1))))))</f>
        <v/>
      </c>
      <c r="F664" s="18">
        <f>IF(ISBLANK(B664),"",ROUNDUP(SQRT(B664)*E664,0))</f>
        <v/>
      </c>
      <c r="G664" s="15">
        <f>IF(ISBLANK(B664),"",ROUNDUP(B664*E664,0))</f>
        <v/>
      </c>
      <c r="H664" s="12">
        <f>IF(ISBLANK(G664),"",IF(G664&gt;=20,"Critical",IF(G664&gt;=15,"High",IF(G664&gt;=8,"Medium","Low"))))</f>
        <v/>
      </c>
    </row>
    <row r="665">
      <c r="B665" s="18">
        <f>IFERROR(VLOOKUP(A665,Risk_Assessment!$B$2:$H$1000,7,FALSE),"")</f>
        <v/>
      </c>
      <c r="E665" s="19">
        <f>IF(C665="No",1,IF(D665="N/A",1,IF(D665="Low (10% reduction)",0.9,IF(D665="Medium (30% reduction)",0.7,IF(D665="High (50% reduction)",0.5,IF(D665="Very High (70% reduction)",0.3,1))))))</f>
        <v/>
      </c>
      <c r="F665" s="18">
        <f>IF(ISBLANK(B665),"",ROUNDUP(SQRT(B665)*E665,0))</f>
        <v/>
      </c>
      <c r="G665" s="15">
        <f>IF(ISBLANK(B665),"",ROUNDUP(B665*E665,0))</f>
        <v/>
      </c>
      <c r="H665" s="12">
        <f>IF(ISBLANK(G665),"",IF(G665&gt;=20,"Critical",IF(G665&gt;=15,"High",IF(G665&gt;=8,"Medium","Low"))))</f>
        <v/>
      </c>
    </row>
    <row r="666">
      <c r="B666" s="18">
        <f>IFERROR(VLOOKUP(A666,Risk_Assessment!$B$2:$H$1000,7,FALSE),"")</f>
        <v/>
      </c>
      <c r="E666" s="19">
        <f>IF(C666="No",1,IF(D666="N/A",1,IF(D666="Low (10% reduction)",0.9,IF(D666="Medium (30% reduction)",0.7,IF(D666="High (50% reduction)",0.5,IF(D666="Very High (70% reduction)",0.3,1))))))</f>
        <v/>
      </c>
      <c r="F666" s="18">
        <f>IF(ISBLANK(B666),"",ROUNDUP(SQRT(B666)*E666,0))</f>
        <v/>
      </c>
      <c r="G666" s="15">
        <f>IF(ISBLANK(B666),"",ROUNDUP(B666*E666,0))</f>
        <v/>
      </c>
      <c r="H666" s="12">
        <f>IF(ISBLANK(G666),"",IF(G666&gt;=20,"Critical",IF(G666&gt;=15,"High",IF(G666&gt;=8,"Medium","Low"))))</f>
        <v/>
      </c>
    </row>
    <row r="667">
      <c r="B667" s="18">
        <f>IFERROR(VLOOKUP(A667,Risk_Assessment!$B$2:$H$1000,7,FALSE),"")</f>
        <v/>
      </c>
      <c r="E667" s="19">
        <f>IF(C667="No",1,IF(D667="N/A",1,IF(D667="Low (10% reduction)",0.9,IF(D667="Medium (30% reduction)",0.7,IF(D667="High (50% reduction)",0.5,IF(D667="Very High (70% reduction)",0.3,1))))))</f>
        <v/>
      </c>
      <c r="F667" s="18">
        <f>IF(ISBLANK(B667),"",ROUNDUP(SQRT(B667)*E667,0))</f>
        <v/>
      </c>
      <c r="G667" s="15">
        <f>IF(ISBLANK(B667),"",ROUNDUP(B667*E667,0))</f>
        <v/>
      </c>
      <c r="H667" s="12">
        <f>IF(ISBLANK(G667),"",IF(G667&gt;=20,"Critical",IF(G667&gt;=15,"High",IF(G667&gt;=8,"Medium","Low"))))</f>
        <v/>
      </c>
    </row>
    <row r="668">
      <c r="B668" s="18">
        <f>IFERROR(VLOOKUP(A668,Risk_Assessment!$B$2:$H$1000,7,FALSE),"")</f>
        <v/>
      </c>
      <c r="E668" s="19">
        <f>IF(C668="No",1,IF(D668="N/A",1,IF(D668="Low (10% reduction)",0.9,IF(D668="Medium (30% reduction)",0.7,IF(D668="High (50% reduction)",0.5,IF(D668="Very High (70% reduction)",0.3,1))))))</f>
        <v/>
      </c>
      <c r="F668" s="18">
        <f>IF(ISBLANK(B668),"",ROUNDUP(SQRT(B668)*E668,0))</f>
        <v/>
      </c>
      <c r="G668" s="15">
        <f>IF(ISBLANK(B668),"",ROUNDUP(B668*E668,0))</f>
        <v/>
      </c>
      <c r="H668" s="12">
        <f>IF(ISBLANK(G668),"",IF(G668&gt;=20,"Critical",IF(G668&gt;=15,"High",IF(G668&gt;=8,"Medium","Low"))))</f>
        <v/>
      </c>
    </row>
    <row r="669">
      <c r="B669" s="18">
        <f>IFERROR(VLOOKUP(A669,Risk_Assessment!$B$2:$H$1000,7,FALSE),"")</f>
        <v/>
      </c>
      <c r="E669" s="19">
        <f>IF(C669="No",1,IF(D669="N/A",1,IF(D669="Low (10% reduction)",0.9,IF(D669="Medium (30% reduction)",0.7,IF(D669="High (50% reduction)",0.5,IF(D669="Very High (70% reduction)",0.3,1))))))</f>
        <v/>
      </c>
      <c r="F669" s="18">
        <f>IF(ISBLANK(B669),"",ROUNDUP(SQRT(B669)*E669,0))</f>
        <v/>
      </c>
      <c r="G669" s="15">
        <f>IF(ISBLANK(B669),"",ROUNDUP(B669*E669,0))</f>
        <v/>
      </c>
      <c r="H669" s="12">
        <f>IF(ISBLANK(G669),"",IF(G669&gt;=20,"Critical",IF(G669&gt;=15,"High",IF(G669&gt;=8,"Medium","Low"))))</f>
        <v/>
      </c>
    </row>
    <row r="670">
      <c r="B670" s="18">
        <f>IFERROR(VLOOKUP(A670,Risk_Assessment!$B$2:$H$1000,7,FALSE),"")</f>
        <v/>
      </c>
      <c r="E670" s="19">
        <f>IF(C670="No",1,IF(D670="N/A",1,IF(D670="Low (10% reduction)",0.9,IF(D670="Medium (30% reduction)",0.7,IF(D670="High (50% reduction)",0.5,IF(D670="Very High (70% reduction)",0.3,1))))))</f>
        <v/>
      </c>
      <c r="F670" s="18">
        <f>IF(ISBLANK(B670),"",ROUNDUP(SQRT(B670)*E670,0))</f>
        <v/>
      </c>
      <c r="G670" s="15">
        <f>IF(ISBLANK(B670),"",ROUNDUP(B670*E670,0))</f>
        <v/>
      </c>
      <c r="H670" s="12">
        <f>IF(ISBLANK(G670),"",IF(G670&gt;=20,"Critical",IF(G670&gt;=15,"High",IF(G670&gt;=8,"Medium","Low"))))</f>
        <v/>
      </c>
    </row>
    <row r="671">
      <c r="B671" s="18">
        <f>IFERROR(VLOOKUP(A671,Risk_Assessment!$B$2:$H$1000,7,FALSE),"")</f>
        <v/>
      </c>
      <c r="E671" s="19">
        <f>IF(C671="No",1,IF(D671="N/A",1,IF(D671="Low (10% reduction)",0.9,IF(D671="Medium (30% reduction)",0.7,IF(D671="High (50% reduction)",0.5,IF(D671="Very High (70% reduction)",0.3,1))))))</f>
        <v/>
      </c>
      <c r="F671" s="18">
        <f>IF(ISBLANK(B671),"",ROUNDUP(SQRT(B671)*E671,0))</f>
        <v/>
      </c>
      <c r="G671" s="15">
        <f>IF(ISBLANK(B671),"",ROUNDUP(B671*E671,0))</f>
        <v/>
      </c>
      <c r="H671" s="12">
        <f>IF(ISBLANK(G671),"",IF(G671&gt;=20,"Critical",IF(G671&gt;=15,"High",IF(G671&gt;=8,"Medium","Low"))))</f>
        <v/>
      </c>
    </row>
    <row r="672">
      <c r="B672" s="18">
        <f>IFERROR(VLOOKUP(A672,Risk_Assessment!$B$2:$H$1000,7,FALSE),"")</f>
        <v/>
      </c>
      <c r="E672" s="19">
        <f>IF(C672="No",1,IF(D672="N/A",1,IF(D672="Low (10% reduction)",0.9,IF(D672="Medium (30% reduction)",0.7,IF(D672="High (50% reduction)",0.5,IF(D672="Very High (70% reduction)",0.3,1))))))</f>
        <v/>
      </c>
      <c r="F672" s="18">
        <f>IF(ISBLANK(B672),"",ROUNDUP(SQRT(B672)*E672,0))</f>
        <v/>
      </c>
      <c r="G672" s="15">
        <f>IF(ISBLANK(B672),"",ROUNDUP(B672*E672,0))</f>
        <v/>
      </c>
      <c r="H672" s="12">
        <f>IF(ISBLANK(G672),"",IF(G672&gt;=20,"Critical",IF(G672&gt;=15,"High",IF(G672&gt;=8,"Medium","Low"))))</f>
        <v/>
      </c>
    </row>
    <row r="673">
      <c r="B673" s="18">
        <f>IFERROR(VLOOKUP(A673,Risk_Assessment!$B$2:$H$1000,7,FALSE),"")</f>
        <v/>
      </c>
      <c r="E673" s="19">
        <f>IF(C673="No",1,IF(D673="N/A",1,IF(D673="Low (10% reduction)",0.9,IF(D673="Medium (30% reduction)",0.7,IF(D673="High (50% reduction)",0.5,IF(D673="Very High (70% reduction)",0.3,1))))))</f>
        <v/>
      </c>
      <c r="F673" s="18">
        <f>IF(ISBLANK(B673),"",ROUNDUP(SQRT(B673)*E673,0))</f>
        <v/>
      </c>
      <c r="G673" s="15">
        <f>IF(ISBLANK(B673),"",ROUNDUP(B673*E673,0))</f>
        <v/>
      </c>
      <c r="H673" s="12">
        <f>IF(ISBLANK(G673),"",IF(G673&gt;=20,"Critical",IF(G673&gt;=15,"High",IF(G673&gt;=8,"Medium","Low"))))</f>
        <v/>
      </c>
    </row>
    <row r="674">
      <c r="B674" s="18">
        <f>IFERROR(VLOOKUP(A674,Risk_Assessment!$B$2:$H$1000,7,FALSE),"")</f>
        <v/>
      </c>
      <c r="E674" s="19">
        <f>IF(C674="No",1,IF(D674="N/A",1,IF(D674="Low (10% reduction)",0.9,IF(D674="Medium (30% reduction)",0.7,IF(D674="High (50% reduction)",0.5,IF(D674="Very High (70% reduction)",0.3,1))))))</f>
        <v/>
      </c>
      <c r="F674" s="18">
        <f>IF(ISBLANK(B674),"",ROUNDUP(SQRT(B674)*E674,0))</f>
        <v/>
      </c>
      <c r="G674" s="15">
        <f>IF(ISBLANK(B674),"",ROUNDUP(B674*E674,0))</f>
        <v/>
      </c>
      <c r="H674" s="12">
        <f>IF(ISBLANK(G674),"",IF(G674&gt;=20,"Critical",IF(G674&gt;=15,"High",IF(G674&gt;=8,"Medium","Low"))))</f>
        <v/>
      </c>
    </row>
    <row r="675">
      <c r="B675" s="18">
        <f>IFERROR(VLOOKUP(A675,Risk_Assessment!$B$2:$H$1000,7,FALSE),"")</f>
        <v/>
      </c>
      <c r="E675" s="19">
        <f>IF(C675="No",1,IF(D675="N/A",1,IF(D675="Low (10% reduction)",0.9,IF(D675="Medium (30% reduction)",0.7,IF(D675="High (50% reduction)",0.5,IF(D675="Very High (70% reduction)",0.3,1))))))</f>
        <v/>
      </c>
      <c r="F675" s="18">
        <f>IF(ISBLANK(B675),"",ROUNDUP(SQRT(B675)*E675,0))</f>
        <v/>
      </c>
      <c r="G675" s="15">
        <f>IF(ISBLANK(B675),"",ROUNDUP(B675*E675,0))</f>
        <v/>
      </c>
      <c r="H675" s="12">
        <f>IF(ISBLANK(G675),"",IF(G675&gt;=20,"Critical",IF(G675&gt;=15,"High",IF(G675&gt;=8,"Medium","Low"))))</f>
        <v/>
      </c>
    </row>
    <row r="676">
      <c r="B676" s="18">
        <f>IFERROR(VLOOKUP(A676,Risk_Assessment!$B$2:$H$1000,7,FALSE),"")</f>
        <v/>
      </c>
      <c r="E676" s="19">
        <f>IF(C676="No",1,IF(D676="N/A",1,IF(D676="Low (10% reduction)",0.9,IF(D676="Medium (30% reduction)",0.7,IF(D676="High (50% reduction)",0.5,IF(D676="Very High (70% reduction)",0.3,1))))))</f>
        <v/>
      </c>
      <c r="F676" s="18">
        <f>IF(ISBLANK(B676),"",ROUNDUP(SQRT(B676)*E676,0))</f>
        <v/>
      </c>
      <c r="G676" s="15">
        <f>IF(ISBLANK(B676),"",ROUNDUP(B676*E676,0))</f>
        <v/>
      </c>
      <c r="H676" s="12">
        <f>IF(ISBLANK(G676),"",IF(G676&gt;=20,"Critical",IF(G676&gt;=15,"High",IF(G676&gt;=8,"Medium","Low"))))</f>
        <v/>
      </c>
    </row>
    <row r="677">
      <c r="B677" s="18">
        <f>IFERROR(VLOOKUP(A677,Risk_Assessment!$B$2:$H$1000,7,FALSE),"")</f>
        <v/>
      </c>
      <c r="E677" s="19">
        <f>IF(C677="No",1,IF(D677="N/A",1,IF(D677="Low (10% reduction)",0.9,IF(D677="Medium (30% reduction)",0.7,IF(D677="High (50% reduction)",0.5,IF(D677="Very High (70% reduction)",0.3,1))))))</f>
        <v/>
      </c>
      <c r="F677" s="18">
        <f>IF(ISBLANK(B677),"",ROUNDUP(SQRT(B677)*E677,0))</f>
        <v/>
      </c>
      <c r="G677" s="15">
        <f>IF(ISBLANK(B677),"",ROUNDUP(B677*E677,0))</f>
        <v/>
      </c>
      <c r="H677" s="12">
        <f>IF(ISBLANK(G677),"",IF(G677&gt;=20,"Critical",IF(G677&gt;=15,"High",IF(G677&gt;=8,"Medium","Low"))))</f>
        <v/>
      </c>
    </row>
    <row r="678">
      <c r="B678" s="18">
        <f>IFERROR(VLOOKUP(A678,Risk_Assessment!$B$2:$H$1000,7,FALSE),"")</f>
        <v/>
      </c>
      <c r="E678" s="19">
        <f>IF(C678="No",1,IF(D678="N/A",1,IF(D678="Low (10% reduction)",0.9,IF(D678="Medium (30% reduction)",0.7,IF(D678="High (50% reduction)",0.5,IF(D678="Very High (70% reduction)",0.3,1))))))</f>
        <v/>
      </c>
      <c r="F678" s="18">
        <f>IF(ISBLANK(B678),"",ROUNDUP(SQRT(B678)*E678,0))</f>
        <v/>
      </c>
      <c r="G678" s="15">
        <f>IF(ISBLANK(B678),"",ROUNDUP(B678*E678,0))</f>
        <v/>
      </c>
      <c r="H678" s="12">
        <f>IF(ISBLANK(G678),"",IF(G678&gt;=20,"Critical",IF(G678&gt;=15,"High",IF(G678&gt;=8,"Medium","Low"))))</f>
        <v/>
      </c>
    </row>
    <row r="679">
      <c r="B679" s="18">
        <f>IFERROR(VLOOKUP(A679,Risk_Assessment!$B$2:$H$1000,7,FALSE),"")</f>
        <v/>
      </c>
      <c r="E679" s="19">
        <f>IF(C679="No",1,IF(D679="N/A",1,IF(D679="Low (10% reduction)",0.9,IF(D679="Medium (30% reduction)",0.7,IF(D679="High (50% reduction)",0.5,IF(D679="Very High (70% reduction)",0.3,1))))))</f>
        <v/>
      </c>
      <c r="F679" s="18">
        <f>IF(ISBLANK(B679),"",ROUNDUP(SQRT(B679)*E679,0))</f>
        <v/>
      </c>
      <c r="G679" s="15">
        <f>IF(ISBLANK(B679),"",ROUNDUP(B679*E679,0))</f>
        <v/>
      </c>
      <c r="H679" s="12">
        <f>IF(ISBLANK(G679),"",IF(G679&gt;=20,"Critical",IF(G679&gt;=15,"High",IF(G679&gt;=8,"Medium","Low"))))</f>
        <v/>
      </c>
    </row>
    <row r="680">
      <c r="B680" s="18">
        <f>IFERROR(VLOOKUP(A680,Risk_Assessment!$B$2:$H$1000,7,FALSE),"")</f>
        <v/>
      </c>
      <c r="E680" s="19">
        <f>IF(C680="No",1,IF(D680="N/A",1,IF(D680="Low (10% reduction)",0.9,IF(D680="Medium (30% reduction)",0.7,IF(D680="High (50% reduction)",0.5,IF(D680="Very High (70% reduction)",0.3,1))))))</f>
        <v/>
      </c>
      <c r="F680" s="18">
        <f>IF(ISBLANK(B680),"",ROUNDUP(SQRT(B680)*E680,0))</f>
        <v/>
      </c>
      <c r="G680" s="15">
        <f>IF(ISBLANK(B680),"",ROUNDUP(B680*E680,0))</f>
        <v/>
      </c>
      <c r="H680" s="12">
        <f>IF(ISBLANK(G680),"",IF(G680&gt;=20,"Critical",IF(G680&gt;=15,"High",IF(G680&gt;=8,"Medium","Low"))))</f>
        <v/>
      </c>
    </row>
    <row r="681">
      <c r="B681" s="18">
        <f>IFERROR(VLOOKUP(A681,Risk_Assessment!$B$2:$H$1000,7,FALSE),"")</f>
        <v/>
      </c>
      <c r="E681" s="19">
        <f>IF(C681="No",1,IF(D681="N/A",1,IF(D681="Low (10% reduction)",0.9,IF(D681="Medium (30% reduction)",0.7,IF(D681="High (50% reduction)",0.5,IF(D681="Very High (70% reduction)",0.3,1))))))</f>
        <v/>
      </c>
      <c r="F681" s="18">
        <f>IF(ISBLANK(B681),"",ROUNDUP(SQRT(B681)*E681,0))</f>
        <v/>
      </c>
      <c r="G681" s="15">
        <f>IF(ISBLANK(B681),"",ROUNDUP(B681*E681,0))</f>
        <v/>
      </c>
      <c r="H681" s="12">
        <f>IF(ISBLANK(G681),"",IF(G681&gt;=20,"Critical",IF(G681&gt;=15,"High",IF(G681&gt;=8,"Medium","Low"))))</f>
        <v/>
      </c>
    </row>
    <row r="682">
      <c r="B682" s="18">
        <f>IFERROR(VLOOKUP(A682,Risk_Assessment!$B$2:$H$1000,7,FALSE),"")</f>
        <v/>
      </c>
      <c r="E682" s="19">
        <f>IF(C682="No",1,IF(D682="N/A",1,IF(D682="Low (10% reduction)",0.9,IF(D682="Medium (30% reduction)",0.7,IF(D682="High (50% reduction)",0.5,IF(D682="Very High (70% reduction)",0.3,1))))))</f>
        <v/>
      </c>
      <c r="F682" s="18">
        <f>IF(ISBLANK(B682),"",ROUNDUP(SQRT(B682)*E682,0))</f>
        <v/>
      </c>
      <c r="G682" s="15">
        <f>IF(ISBLANK(B682),"",ROUNDUP(B682*E682,0))</f>
        <v/>
      </c>
      <c r="H682" s="12">
        <f>IF(ISBLANK(G682),"",IF(G682&gt;=20,"Critical",IF(G682&gt;=15,"High",IF(G682&gt;=8,"Medium","Low"))))</f>
        <v/>
      </c>
    </row>
    <row r="683">
      <c r="B683" s="18">
        <f>IFERROR(VLOOKUP(A683,Risk_Assessment!$B$2:$H$1000,7,FALSE),"")</f>
        <v/>
      </c>
      <c r="E683" s="19">
        <f>IF(C683="No",1,IF(D683="N/A",1,IF(D683="Low (10% reduction)",0.9,IF(D683="Medium (30% reduction)",0.7,IF(D683="High (50% reduction)",0.5,IF(D683="Very High (70% reduction)",0.3,1))))))</f>
        <v/>
      </c>
      <c r="F683" s="18">
        <f>IF(ISBLANK(B683),"",ROUNDUP(SQRT(B683)*E683,0))</f>
        <v/>
      </c>
      <c r="G683" s="15">
        <f>IF(ISBLANK(B683),"",ROUNDUP(B683*E683,0))</f>
        <v/>
      </c>
      <c r="H683" s="12">
        <f>IF(ISBLANK(G683),"",IF(G683&gt;=20,"Critical",IF(G683&gt;=15,"High",IF(G683&gt;=8,"Medium","Low"))))</f>
        <v/>
      </c>
    </row>
    <row r="684">
      <c r="B684" s="18">
        <f>IFERROR(VLOOKUP(A684,Risk_Assessment!$B$2:$H$1000,7,FALSE),"")</f>
        <v/>
      </c>
      <c r="E684" s="19">
        <f>IF(C684="No",1,IF(D684="N/A",1,IF(D684="Low (10% reduction)",0.9,IF(D684="Medium (30% reduction)",0.7,IF(D684="High (50% reduction)",0.5,IF(D684="Very High (70% reduction)",0.3,1))))))</f>
        <v/>
      </c>
      <c r="F684" s="18">
        <f>IF(ISBLANK(B684),"",ROUNDUP(SQRT(B684)*E684,0))</f>
        <v/>
      </c>
      <c r="G684" s="15">
        <f>IF(ISBLANK(B684),"",ROUNDUP(B684*E684,0))</f>
        <v/>
      </c>
      <c r="H684" s="12">
        <f>IF(ISBLANK(G684),"",IF(G684&gt;=20,"Critical",IF(G684&gt;=15,"High",IF(G684&gt;=8,"Medium","Low"))))</f>
        <v/>
      </c>
    </row>
    <row r="685">
      <c r="B685" s="18">
        <f>IFERROR(VLOOKUP(A685,Risk_Assessment!$B$2:$H$1000,7,FALSE),"")</f>
        <v/>
      </c>
      <c r="E685" s="19">
        <f>IF(C685="No",1,IF(D685="N/A",1,IF(D685="Low (10% reduction)",0.9,IF(D685="Medium (30% reduction)",0.7,IF(D685="High (50% reduction)",0.5,IF(D685="Very High (70% reduction)",0.3,1))))))</f>
        <v/>
      </c>
      <c r="F685" s="18">
        <f>IF(ISBLANK(B685),"",ROUNDUP(SQRT(B685)*E685,0))</f>
        <v/>
      </c>
      <c r="G685" s="15">
        <f>IF(ISBLANK(B685),"",ROUNDUP(B685*E685,0))</f>
        <v/>
      </c>
      <c r="H685" s="12">
        <f>IF(ISBLANK(G685),"",IF(G685&gt;=20,"Critical",IF(G685&gt;=15,"High",IF(G685&gt;=8,"Medium","Low"))))</f>
        <v/>
      </c>
    </row>
    <row r="686">
      <c r="B686" s="18">
        <f>IFERROR(VLOOKUP(A686,Risk_Assessment!$B$2:$H$1000,7,FALSE),"")</f>
        <v/>
      </c>
      <c r="E686" s="19">
        <f>IF(C686="No",1,IF(D686="N/A",1,IF(D686="Low (10% reduction)",0.9,IF(D686="Medium (30% reduction)",0.7,IF(D686="High (50% reduction)",0.5,IF(D686="Very High (70% reduction)",0.3,1))))))</f>
        <v/>
      </c>
      <c r="F686" s="18">
        <f>IF(ISBLANK(B686),"",ROUNDUP(SQRT(B686)*E686,0))</f>
        <v/>
      </c>
      <c r="G686" s="15">
        <f>IF(ISBLANK(B686),"",ROUNDUP(B686*E686,0))</f>
        <v/>
      </c>
      <c r="H686" s="12">
        <f>IF(ISBLANK(G686),"",IF(G686&gt;=20,"Critical",IF(G686&gt;=15,"High",IF(G686&gt;=8,"Medium","Low"))))</f>
        <v/>
      </c>
    </row>
    <row r="687">
      <c r="B687" s="18">
        <f>IFERROR(VLOOKUP(A687,Risk_Assessment!$B$2:$H$1000,7,FALSE),"")</f>
        <v/>
      </c>
      <c r="E687" s="19">
        <f>IF(C687="No",1,IF(D687="N/A",1,IF(D687="Low (10% reduction)",0.9,IF(D687="Medium (30% reduction)",0.7,IF(D687="High (50% reduction)",0.5,IF(D687="Very High (70% reduction)",0.3,1))))))</f>
        <v/>
      </c>
      <c r="F687" s="18">
        <f>IF(ISBLANK(B687),"",ROUNDUP(SQRT(B687)*E687,0))</f>
        <v/>
      </c>
      <c r="G687" s="15">
        <f>IF(ISBLANK(B687),"",ROUNDUP(B687*E687,0))</f>
        <v/>
      </c>
      <c r="H687" s="12">
        <f>IF(ISBLANK(G687),"",IF(G687&gt;=20,"Critical",IF(G687&gt;=15,"High",IF(G687&gt;=8,"Medium","Low"))))</f>
        <v/>
      </c>
    </row>
    <row r="688">
      <c r="B688" s="18">
        <f>IFERROR(VLOOKUP(A688,Risk_Assessment!$B$2:$H$1000,7,FALSE),"")</f>
        <v/>
      </c>
      <c r="E688" s="19">
        <f>IF(C688="No",1,IF(D688="N/A",1,IF(D688="Low (10% reduction)",0.9,IF(D688="Medium (30% reduction)",0.7,IF(D688="High (50% reduction)",0.5,IF(D688="Very High (70% reduction)",0.3,1))))))</f>
        <v/>
      </c>
      <c r="F688" s="18">
        <f>IF(ISBLANK(B688),"",ROUNDUP(SQRT(B688)*E688,0))</f>
        <v/>
      </c>
      <c r="G688" s="15">
        <f>IF(ISBLANK(B688),"",ROUNDUP(B688*E688,0))</f>
        <v/>
      </c>
      <c r="H688" s="12">
        <f>IF(ISBLANK(G688),"",IF(G688&gt;=20,"Critical",IF(G688&gt;=15,"High",IF(G688&gt;=8,"Medium","Low"))))</f>
        <v/>
      </c>
    </row>
    <row r="689">
      <c r="B689" s="18">
        <f>IFERROR(VLOOKUP(A689,Risk_Assessment!$B$2:$H$1000,7,FALSE),"")</f>
        <v/>
      </c>
      <c r="E689" s="19">
        <f>IF(C689="No",1,IF(D689="N/A",1,IF(D689="Low (10% reduction)",0.9,IF(D689="Medium (30% reduction)",0.7,IF(D689="High (50% reduction)",0.5,IF(D689="Very High (70% reduction)",0.3,1))))))</f>
        <v/>
      </c>
      <c r="F689" s="18">
        <f>IF(ISBLANK(B689),"",ROUNDUP(SQRT(B689)*E689,0))</f>
        <v/>
      </c>
      <c r="G689" s="15">
        <f>IF(ISBLANK(B689),"",ROUNDUP(B689*E689,0))</f>
        <v/>
      </c>
      <c r="H689" s="12">
        <f>IF(ISBLANK(G689),"",IF(G689&gt;=20,"Critical",IF(G689&gt;=15,"High",IF(G689&gt;=8,"Medium","Low"))))</f>
        <v/>
      </c>
    </row>
    <row r="690">
      <c r="B690" s="18">
        <f>IFERROR(VLOOKUP(A690,Risk_Assessment!$B$2:$H$1000,7,FALSE),"")</f>
        <v/>
      </c>
      <c r="E690" s="19">
        <f>IF(C690="No",1,IF(D690="N/A",1,IF(D690="Low (10% reduction)",0.9,IF(D690="Medium (30% reduction)",0.7,IF(D690="High (50% reduction)",0.5,IF(D690="Very High (70% reduction)",0.3,1))))))</f>
        <v/>
      </c>
      <c r="F690" s="18">
        <f>IF(ISBLANK(B690),"",ROUNDUP(SQRT(B690)*E690,0))</f>
        <v/>
      </c>
      <c r="G690" s="15">
        <f>IF(ISBLANK(B690),"",ROUNDUP(B690*E690,0))</f>
        <v/>
      </c>
      <c r="H690" s="12">
        <f>IF(ISBLANK(G690),"",IF(G690&gt;=20,"Critical",IF(G690&gt;=15,"High",IF(G690&gt;=8,"Medium","Low"))))</f>
        <v/>
      </c>
    </row>
    <row r="691">
      <c r="B691" s="18">
        <f>IFERROR(VLOOKUP(A691,Risk_Assessment!$B$2:$H$1000,7,FALSE),"")</f>
        <v/>
      </c>
      <c r="E691" s="19">
        <f>IF(C691="No",1,IF(D691="N/A",1,IF(D691="Low (10% reduction)",0.9,IF(D691="Medium (30% reduction)",0.7,IF(D691="High (50% reduction)",0.5,IF(D691="Very High (70% reduction)",0.3,1))))))</f>
        <v/>
      </c>
      <c r="F691" s="18">
        <f>IF(ISBLANK(B691),"",ROUNDUP(SQRT(B691)*E691,0))</f>
        <v/>
      </c>
      <c r="G691" s="15">
        <f>IF(ISBLANK(B691),"",ROUNDUP(B691*E691,0))</f>
        <v/>
      </c>
      <c r="H691" s="12">
        <f>IF(ISBLANK(G691),"",IF(G691&gt;=20,"Critical",IF(G691&gt;=15,"High",IF(G691&gt;=8,"Medium","Low"))))</f>
        <v/>
      </c>
    </row>
    <row r="692">
      <c r="B692" s="18">
        <f>IFERROR(VLOOKUP(A692,Risk_Assessment!$B$2:$H$1000,7,FALSE),"")</f>
        <v/>
      </c>
      <c r="E692" s="19">
        <f>IF(C692="No",1,IF(D692="N/A",1,IF(D692="Low (10% reduction)",0.9,IF(D692="Medium (30% reduction)",0.7,IF(D692="High (50% reduction)",0.5,IF(D692="Very High (70% reduction)",0.3,1))))))</f>
        <v/>
      </c>
      <c r="F692" s="18">
        <f>IF(ISBLANK(B692),"",ROUNDUP(SQRT(B692)*E692,0))</f>
        <v/>
      </c>
      <c r="G692" s="15">
        <f>IF(ISBLANK(B692),"",ROUNDUP(B692*E692,0))</f>
        <v/>
      </c>
      <c r="H692" s="12">
        <f>IF(ISBLANK(G692),"",IF(G692&gt;=20,"Critical",IF(G692&gt;=15,"High",IF(G692&gt;=8,"Medium","Low"))))</f>
        <v/>
      </c>
    </row>
    <row r="693">
      <c r="B693" s="18">
        <f>IFERROR(VLOOKUP(A693,Risk_Assessment!$B$2:$H$1000,7,FALSE),"")</f>
        <v/>
      </c>
      <c r="E693" s="19">
        <f>IF(C693="No",1,IF(D693="N/A",1,IF(D693="Low (10% reduction)",0.9,IF(D693="Medium (30% reduction)",0.7,IF(D693="High (50% reduction)",0.5,IF(D693="Very High (70% reduction)",0.3,1))))))</f>
        <v/>
      </c>
      <c r="F693" s="18">
        <f>IF(ISBLANK(B693),"",ROUNDUP(SQRT(B693)*E693,0))</f>
        <v/>
      </c>
      <c r="G693" s="15">
        <f>IF(ISBLANK(B693),"",ROUNDUP(B693*E693,0))</f>
        <v/>
      </c>
      <c r="H693" s="12">
        <f>IF(ISBLANK(G693),"",IF(G693&gt;=20,"Critical",IF(G693&gt;=15,"High",IF(G693&gt;=8,"Medium","Low"))))</f>
        <v/>
      </c>
    </row>
    <row r="694">
      <c r="B694" s="18">
        <f>IFERROR(VLOOKUP(A694,Risk_Assessment!$B$2:$H$1000,7,FALSE),"")</f>
        <v/>
      </c>
      <c r="E694" s="19">
        <f>IF(C694="No",1,IF(D694="N/A",1,IF(D694="Low (10% reduction)",0.9,IF(D694="Medium (30% reduction)",0.7,IF(D694="High (50% reduction)",0.5,IF(D694="Very High (70% reduction)",0.3,1))))))</f>
        <v/>
      </c>
      <c r="F694" s="18">
        <f>IF(ISBLANK(B694),"",ROUNDUP(SQRT(B694)*E694,0))</f>
        <v/>
      </c>
      <c r="G694" s="15">
        <f>IF(ISBLANK(B694),"",ROUNDUP(B694*E694,0))</f>
        <v/>
      </c>
      <c r="H694" s="12">
        <f>IF(ISBLANK(G694),"",IF(G694&gt;=20,"Critical",IF(G694&gt;=15,"High",IF(G694&gt;=8,"Medium","Low"))))</f>
        <v/>
      </c>
    </row>
    <row r="695">
      <c r="B695" s="18">
        <f>IFERROR(VLOOKUP(A695,Risk_Assessment!$B$2:$H$1000,7,FALSE),"")</f>
        <v/>
      </c>
      <c r="E695" s="19">
        <f>IF(C695="No",1,IF(D695="N/A",1,IF(D695="Low (10% reduction)",0.9,IF(D695="Medium (30% reduction)",0.7,IF(D695="High (50% reduction)",0.5,IF(D695="Very High (70% reduction)",0.3,1))))))</f>
        <v/>
      </c>
      <c r="F695" s="18">
        <f>IF(ISBLANK(B695),"",ROUNDUP(SQRT(B695)*E695,0))</f>
        <v/>
      </c>
      <c r="G695" s="15">
        <f>IF(ISBLANK(B695),"",ROUNDUP(B695*E695,0))</f>
        <v/>
      </c>
      <c r="H695" s="12">
        <f>IF(ISBLANK(G695),"",IF(G695&gt;=20,"Critical",IF(G695&gt;=15,"High",IF(G695&gt;=8,"Medium","Low"))))</f>
        <v/>
      </c>
    </row>
    <row r="696">
      <c r="B696" s="18">
        <f>IFERROR(VLOOKUP(A696,Risk_Assessment!$B$2:$H$1000,7,FALSE),"")</f>
        <v/>
      </c>
      <c r="E696" s="19">
        <f>IF(C696="No",1,IF(D696="N/A",1,IF(D696="Low (10% reduction)",0.9,IF(D696="Medium (30% reduction)",0.7,IF(D696="High (50% reduction)",0.5,IF(D696="Very High (70% reduction)",0.3,1))))))</f>
        <v/>
      </c>
      <c r="F696" s="18">
        <f>IF(ISBLANK(B696),"",ROUNDUP(SQRT(B696)*E696,0))</f>
        <v/>
      </c>
      <c r="G696" s="15">
        <f>IF(ISBLANK(B696),"",ROUNDUP(B696*E696,0))</f>
        <v/>
      </c>
      <c r="H696" s="12">
        <f>IF(ISBLANK(G696),"",IF(G696&gt;=20,"Critical",IF(G696&gt;=15,"High",IF(G696&gt;=8,"Medium","Low"))))</f>
        <v/>
      </c>
    </row>
    <row r="697">
      <c r="B697" s="18">
        <f>IFERROR(VLOOKUP(A697,Risk_Assessment!$B$2:$H$1000,7,FALSE),"")</f>
        <v/>
      </c>
      <c r="E697" s="19">
        <f>IF(C697="No",1,IF(D697="N/A",1,IF(D697="Low (10% reduction)",0.9,IF(D697="Medium (30% reduction)",0.7,IF(D697="High (50% reduction)",0.5,IF(D697="Very High (70% reduction)",0.3,1))))))</f>
        <v/>
      </c>
      <c r="F697" s="18">
        <f>IF(ISBLANK(B697),"",ROUNDUP(SQRT(B697)*E697,0))</f>
        <v/>
      </c>
      <c r="G697" s="15">
        <f>IF(ISBLANK(B697),"",ROUNDUP(B697*E697,0))</f>
        <v/>
      </c>
      <c r="H697" s="12">
        <f>IF(ISBLANK(G697),"",IF(G697&gt;=20,"Critical",IF(G697&gt;=15,"High",IF(G697&gt;=8,"Medium","Low"))))</f>
        <v/>
      </c>
    </row>
    <row r="698">
      <c r="B698" s="18">
        <f>IFERROR(VLOOKUP(A698,Risk_Assessment!$B$2:$H$1000,7,FALSE),"")</f>
        <v/>
      </c>
      <c r="E698" s="19">
        <f>IF(C698="No",1,IF(D698="N/A",1,IF(D698="Low (10% reduction)",0.9,IF(D698="Medium (30% reduction)",0.7,IF(D698="High (50% reduction)",0.5,IF(D698="Very High (70% reduction)",0.3,1))))))</f>
        <v/>
      </c>
      <c r="F698" s="18">
        <f>IF(ISBLANK(B698),"",ROUNDUP(SQRT(B698)*E698,0))</f>
        <v/>
      </c>
      <c r="G698" s="15">
        <f>IF(ISBLANK(B698),"",ROUNDUP(B698*E698,0))</f>
        <v/>
      </c>
      <c r="H698" s="12">
        <f>IF(ISBLANK(G698),"",IF(G698&gt;=20,"Critical",IF(G698&gt;=15,"High",IF(G698&gt;=8,"Medium","Low"))))</f>
        <v/>
      </c>
    </row>
    <row r="699">
      <c r="B699" s="18">
        <f>IFERROR(VLOOKUP(A699,Risk_Assessment!$B$2:$H$1000,7,FALSE),"")</f>
        <v/>
      </c>
      <c r="E699" s="19">
        <f>IF(C699="No",1,IF(D699="N/A",1,IF(D699="Low (10% reduction)",0.9,IF(D699="Medium (30% reduction)",0.7,IF(D699="High (50% reduction)",0.5,IF(D699="Very High (70% reduction)",0.3,1))))))</f>
        <v/>
      </c>
      <c r="F699" s="18">
        <f>IF(ISBLANK(B699),"",ROUNDUP(SQRT(B699)*E699,0))</f>
        <v/>
      </c>
      <c r="G699" s="15">
        <f>IF(ISBLANK(B699),"",ROUNDUP(B699*E699,0))</f>
        <v/>
      </c>
      <c r="H699" s="12">
        <f>IF(ISBLANK(G699),"",IF(G699&gt;=20,"Critical",IF(G699&gt;=15,"High",IF(G699&gt;=8,"Medium","Low"))))</f>
        <v/>
      </c>
    </row>
    <row r="700">
      <c r="B700" s="18">
        <f>IFERROR(VLOOKUP(A700,Risk_Assessment!$B$2:$H$1000,7,FALSE),"")</f>
        <v/>
      </c>
      <c r="E700" s="19">
        <f>IF(C700="No",1,IF(D700="N/A",1,IF(D700="Low (10% reduction)",0.9,IF(D700="Medium (30% reduction)",0.7,IF(D700="High (50% reduction)",0.5,IF(D700="Very High (70% reduction)",0.3,1))))))</f>
        <v/>
      </c>
      <c r="F700" s="18">
        <f>IF(ISBLANK(B700),"",ROUNDUP(SQRT(B700)*E700,0))</f>
        <v/>
      </c>
      <c r="G700" s="15">
        <f>IF(ISBLANK(B700),"",ROUNDUP(B700*E700,0))</f>
        <v/>
      </c>
      <c r="H700" s="12">
        <f>IF(ISBLANK(G700),"",IF(G700&gt;=20,"Critical",IF(G700&gt;=15,"High",IF(G700&gt;=8,"Medium","Low"))))</f>
        <v/>
      </c>
    </row>
    <row r="701">
      <c r="B701" s="18">
        <f>IFERROR(VLOOKUP(A701,Risk_Assessment!$B$2:$H$1000,7,FALSE),"")</f>
        <v/>
      </c>
      <c r="E701" s="19">
        <f>IF(C701="No",1,IF(D701="N/A",1,IF(D701="Low (10% reduction)",0.9,IF(D701="Medium (30% reduction)",0.7,IF(D701="High (50% reduction)",0.5,IF(D701="Very High (70% reduction)",0.3,1))))))</f>
        <v/>
      </c>
      <c r="F701" s="18">
        <f>IF(ISBLANK(B701),"",ROUNDUP(SQRT(B701)*E701,0))</f>
        <v/>
      </c>
      <c r="G701" s="15">
        <f>IF(ISBLANK(B701),"",ROUNDUP(B701*E701,0))</f>
        <v/>
      </c>
      <c r="H701" s="12">
        <f>IF(ISBLANK(G701),"",IF(G701&gt;=20,"Critical",IF(G701&gt;=15,"High",IF(G701&gt;=8,"Medium","Low"))))</f>
        <v/>
      </c>
    </row>
    <row r="702">
      <c r="B702" s="18">
        <f>IFERROR(VLOOKUP(A702,Risk_Assessment!$B$2:$H$1000,7,FALSE),"")</f>
        <v/>
      </c>
      <c r="E702" s="19">
        <f>IF(C702="No",1,IF(D702="N/A",1,IF(D702="Low (10% reduction)",0.9,IF(D702="Medium (30% reduction)",0.7,IF(D702="High (50% reduction)",0.5,IF(D702="Very High (70% reduction)",0.3,1))))))</f>
        <v/>
      </c>
      <c r="F702" s="18">
        <f>IF(ISBLANK(B702),"",ROUNDUP(SQRT(B702)*E702,0))</f>
        <v/>
      </c>
      <c r="G702" s="15">
        <f>IF(ISBLANK(B702),"",ROUNDUP(B702*E702,0))</f>
        <v/>
      </c>
      <c r="H702" s="12">
        <f>IF(ISBLANK(G702),"",IF(G702&gt;=20,"Critical",IF(G702&gt;=15,"High",IF(G702&gt;=8,"Medium","Low"))))</f>
        <v/>
      </c>
    </row>
    <row r="703">
      <c r="B703" s="18">
        <f>IFERROR(VLOOKUP(A703,Risk_Assessment!$B$2:$H$1000,7,FALSE),"")</f>
        <v/>
      </c>
      <c r="E703" s="19">
        <f>IF(C703="No",1,IF(D703="N/A",1,IF(D703="Low (10% reduction)",0.9,IF(D703="Medium (30% reduction)",0.7,IF(D703="High (50% reduction)",0.5,IF(D703="Very High (70% reduction)",0.3,1))))))</f>
        <v/>
      </c>
      <c r="F703" s="18">
        <f>IF(ISBLANK(B703),"",ROUNDUP(SQRT(B703)*E703,0))</f>
        <v/>
      </c>
      <c r="G703" s="15">
        <f>IF(ISBLANK(B703),"",ROUNDUP(B703*E703,0))</f>
        <v/>
      </c>
      <c r="H703" s="12">
        <f>IF(ISBLANK(G703),"",IF(G703&gt;=20,"Critical",IF(G703&gt;=15,"High",IF(G703&gt;=8,"Medium","Low"))))</f>
        <v/>
      </c>
    </row>
    <row r="704">
      <c r="B704" s="18">
        <f>IFERROR(VLOOKUP(A704,Risk_Assessment!$B$2:$H$1000,7,FALSE),"")</f>
        <v/>
      </c>
      <c r="E704" s="19">
        <f>IF(C704="No",1,IF(D704="N/A",1,IF(D704="Low (10% reduction)",0.9,IF(D704="Medium (30% reduction)",0.7,IF(D704="High (50% reduction)",0.5,IF(D704="Very High (70% reduction)",0.3,1))))))</f>
        <v/>
      </c>
      <c r="F704" s="18">
        <f>IF(ISBLANK(B704),"",ROUNDUP(SQRT(B704)*E704,0))</f>
        <v/>
      </c>
      <c r="G704" s="15">
        <f>IF(ISBLANK(B704),"",ROUNDUP(B704*E704,0))</f>
        <v/>
      </c>
      <c r="H704" s="12">
        <f>IF(ISBLANK(G704),"",IF(G704&gt;=20,"Critical",IF(G704&gt;=15,"High",IF(G704&gt;=8,"Medium","Low"))))</f>
        <v/>
      </c>
    </row>
    <row r="705">
      <c r="B705" s="18">
        <f>IFERROR(VLOOKUP(A705,Risk_Assessment!$B$2:$H$1000,7,FALSE),"")</f>
        <v/>
      </c>
      <c r="E705" s="19">
        <f>IF(C705="No",1,IF(D705="N/A",1,IF(D705="Low (10% reduction)",0.9,IF(D705="Medium (30% reduction)",0.7,IF(D705="High (50% reduction)",0.5,IF(D705="Very High (70% reduction)",0.3,1))))))</f>
        <v/>
      </c>
      <c r="F705" s="18">
        <f>IF(ISBLANK(B705),"",ROUNDUP(SQRT(B705)*E705,0))</f>
        <v/>
      </c>
      <c r="G705" s="15">
        <f>IF(ISBLANK(B705),"",ROUNDUP(B705*E705,0))</f>
        <v/>
      </c>
      <c r="H705" s="12">
        <f>IF(ISBLANK(G705),"",IF(G705&gt;=20,"Critical",IF(G705&gt;=15,"High",IF(G705&gt;=8,"Medium","Low"))))</f>
        <v/>
      </c>
    </row>
    <row r="706">
      <c r="B706" s="18">
        <f>IFERROR(VLOOKUP(A706,Risk_Assessment!$B$2:$H$1000,7,FALSE),"")</f>
        <v/>
      </c>
      <c r="E706" s="19">
        <f>IF(C706="No",1,IF(D706="N/A",1,IF(D706="Low (10% reduction)",0.9,IF(D706="Medium (30% reduction)",0.7,IF(D706="High (50% reduction)",0.5,IF(D706="Very High (70% reduction)",0.3,1))))))</f>
        <v/>
      </c>
      <c r="F706" s="18">
        <f>IF(ISBLANK(B706),"",ROUNDUP(SQRT(B706)*E706,0))</f>
        <v/>
      </c>
      <c r="G706" s="15">
        <f>IF(ISBLANK(B706),"",ROUNDUP(B706*E706,0))</f>
        <v/>
      </c>
      <c r="H706" s="12">
        <f>IF(ISBLANK(G706),"",IF(G706&gt;=20,"Critical",IF(G706&gt;=15,"High",IF(G706&gt;=8,"Medium","Low"))))</f>
        <v/>
      </c>
    </row>
    <row r="707">
      <c r="B707" s="18">
        <f>IFERROR(VLOOKUP(A707,Risk_Assessment!$B$2:$H$1000,7,FALSE),"")</f>
        <v/>
      </c>
      <c r="E707" s="19">
        <f>IF(C707="No",1,IF(D707="N/A",1,IF(D707="Low (10% reduction)",0.9,IF(D707="Medium (30% reduction)",0.7,IF(D707="High (50% reduction)",0.5,IF(D707="Very High (70% reduction)",0.3,1))))))</f>
        <v/>
      </c>
      <c r="F707" s="18">
        <f>IF(ISBLANK(B707),"",ROUNDUP(SQRT(B707)*E707,0))</f>
        <v/>
      </c>
      <c r="G707" s="15">
        <f>IF(ISBLANK(B707),"",ROUNDUP(B707*E707,0))</f>
        <v/>
      </c>
      <c r="H707" s="12">
        <f>IF(ISBLANK(G707),"",IF(G707&gt;=20,"Critical",IF(G707&gt;=15,"High",IF(G707&gt;=8,"Medium","Low"))))</f>
        <v/>
      </c>
    </row>
    <row r="708">
      <c r="B708" s="18">
        <f>IFERROR(VLOOKUP(A708,Risk_Assessment!$B$2:$H$1000,7,FALSE),"")</f>
        <v/>
      </c>
      <c r="E708" s="19">
        <f>IF(C708="No",1,IF(D708="N/A",1,IF(D708="Low (10% reduction)",0.9,IF(D708="Medium (30% reduction)",0.7,IF(D708="High (50% reduction)",0.5,IF(D708="Very High (70% reduction)",0.3,1))))))</f>
        <v/>
      </c>
      <c r="F708" s="18">
        <f>IF(ISBLANK(B708),"",ROUNDUP(SQRT(B708)*E708,0))</f>
        <v/>
      </c>
      <c r="G708" s="15">
        <f>IF(ISBLANK(B708),"",ROUNDUP(B708*E708,0))</f>
        <v/>
      </c>
      <c r="H708" s="12">
        <f>IF(ISBLANK(G708),"",IF(G708&gt;=20,"Critical",IF(G708&gt;=15,"High",IF(G708&gt;=8,"Medium","Low"))))</f>
        <v/>
      </c>
    </row>
    <row r="709">
      <c r="B709" s="18">
        <f>IFERROR(VLOOKUP(A709,Risk_Assessment!$B$2:$H$1000,7,FALSE),"")</f>
        <v/>
      </c>
      <c r="E709" s="19">
        <f>IF(C709="No",1,IF(D709="N/A",1,IF(D709="Low (10% reduction)",0.9,IF(D709="Medium (30% reduction)",0.7,IF(D709="High (50% reduction)",0.5,IF(D709="Very High (70% reduction)",0.3,1))))))</f>
        <v/>
      </c>
      <c r="F709" s="18">
        <f>IF(ISBLANK(B709),"",ROUNDUP(SQRT(B709)*E709,0))</f>
        <v/>
      </c>
      <c r="G709" s="15">
        <f>IF(ISBLANK(B709),"",ROUNDUP(B709*E709,0))</f>
        <v/>
      </c>
      <c r="H709" s="12">
        <f>IF(ISBLANK(G709),"",IF(G709&gt;=20,"Critical",IF(G709&gt;=15,"High",IF(G709&gt;=8,"Medium","Low"))))</f>
        <v/>
      </c>
    </row>
    <row r="710">
      <c r="B710" s="18">
        <f>IFERROR(VLOOKUP(A710,Risk_Assessment!$B$2:$H$1000,7,FALSE),"")</f>
        <v/>
      </c>
      <c r="E710" s="19">
        <f>IF(C710="No",1,IF(D710="N/A",1,IF(D710="Low (10% reduction)",0.9,IF(D710="Medium (30% reduction)",0.7,IF(D710="High (50% reduction)",0.5,IF(D710="Very High (70% reduction)",0.3,1))))))</f>
        <v/>
      </c>
      <c r="F710" s="18">
        <f>IF(ISBLANK(B710),"",ROUNDUP(SQRT(B710)*E710,0))</f>
        <v/>
      </c>
      <c r="G710" s="15">
        <f>IF(ISBLANK(B710),"",ROUNDUP(B710*E710,0))</f>
        <v/>
      </c>
      <c r="H710" s="12">
        <f>IF(ISBLANK(G710),"",IF(G710&gt;=20,"Critical",IF(G710&gt;=15,"High",IF(G710&gt;=8,"Medium","Low"))))</f>
        <v/>
      </c>
    </row>
    <row r="711">
      <c r="B711" s="18">
        <f>IFERROR(VLOOKUP(A711,Risk_Assessment!$B$2:$H$1000,7,FALSE),"")</f>
        <v/>
      </c>
      <c r="E711" s="19">
        <f>IF(C711="No",1,IF(D711="N/A",1,IF(D711="Low (10% reduction)",0.9,IF(D711="Medium (30% reduction)",0.7,IF(D711="High (50% reduction)",0.5,IF(D711="Very High (70% reduction)",0.3,1))))))</f>
        <v/>
      </c>
      <c r="F711" s="18">
        <f>IF(ISBLANK(B711),"",ROUNDUP(SQRT(B711)*E711,0))</f>
        <v/>
      </c>
      <c r="G711" s="15">
        <f>IF(ISBLANK(B711),"",ROUNDUP(B711*E711,0))</f>
        <v/>
      </c>
      <c r="H711" s="12">
        <f>IF(ISBLANK(G711),"",IF(G711&gt;=20,"Critical",IF(G711&gt;=15,"High",IF(G711&gt;=8,"Medium","Low"))))</f>
        <v/>
      </c>
    </row>
    <row r="712">
      <c r="B712" s="18">
        <f>IFERROR(VLOOKUP(A712,Risk_Assessment!$B$2:$H$1000,7,FALSE),"")</f>
        <v/>
      </c>
      <c r="E712" s="19">
        <f>IF(C712="No",1,IF(D712="N/A",1,IF(D712="Low (10% reduction)",0.9,IF(D712="Medium (30% reduction)",0.7,IF(D712="High (50% reduction)",0.5,IF(D712="Very High (70% reduction)",0.3,1))))))</f>
        <v/>
      </c>
      <c r="F712" s="18">
        <f>IF(ISBLANK(B712),"",ROUNDUP(SQRT(B712)*E712,0))</f>
        <v/>
      </c>
      <c r="G712" s="15">
        <f>IF(ISBLANK(B712),"",ROUNDUP(B712*E712,0))</f>
        <v/>
      </c>
      <c r="H712" s="12">
        <f>IF(ISBLANK(G712),"",IF(G712&gt;=20,"Critical",IF(G712&gt;=15,"High",IF(G712&gt;=8,"Medium","Low"))))</f>
        <v/>
      </c>
    </row>
    <row r="713">
      <c r="B713" s="18">
        <f>IFERROR(VLOOKUP(A713,Risk_Assessment!$B$2:$H$1000,7,FALSE),"")</f>
        <v/>
      </c>
      <c r="E713" s="19">
        <f>IF(C713="No",1,IF(D713="N/A",1,IF(D713="Low (10% reduction)",0.9,IF(D713="Medium (30% reduction)",0.7,IF(D713="High (50% reduction)",0.5,IF(D713="Very High (70% reduction)",0.3,1))))))</f>
        <v/>
      </c>
      <c r="F713" s="18">
        <f>IF(ISBLANK(B713),"",ROUNDUP(SQRT(B713)*E713,0))</f>
        <v/>
      </c>
      <c r="G713" s="15">
        <f>IF(ISBLANK(B713),"",ROUNDUP(B713*E713,0))</f>
        <v/>
      </c>
      <c r="H713" s="12">
        <f>IF(ISBLANK(G713),"",IF(G713&gt;=20,"Critical",IF(G713&gt;=15,"High",IF(G713&gt;=8,"Medium","Low"))))</f>
        <v/>
      </c>
    </row>
    <row r="714">
      <c r="B714" s="18">
        <f>IFERROR(VLOOKUP(A714,Risk_Assessment!$B$2:$H$1000,7,FALSE),"")</f>
        <v/>
      </c>
      <c r="E714" s="19">
        <f>IF(C714="No",1,IF(D714="N/A",1,IF(D714="Low (10% reduction)",0.9,IF(D714="Medium (30% reduction)",0.7,IF(D714="High (50% reduction)",0.5,IF(D714="Very High (70% reduction)",0.3,1))))))</f>
        <v/>
      </c>
      <c r="F714" s="18">
        <f>IF(ISBLANK(B714),"",ROUNDUP(SQRT(B714)*E714,0))</f>
        <v/>
      </c>
      <c r="G714" s="15">
        <f>IF(ISBLANK(B714),"",ROUNDUP(B714*E714,0))</f>
        <v/>
      </c>
      <c r="H714" s="12">
        <f>IF(ISBLANK(G714),"",IF(G714&gt;=20,"Critical",IF(G714&gt;=15,"High",IF(G714&gt;=8,"Medium","Low"))))</f>
        <v/>
      </c>
    </row>
    <row r="715">
      <c r="B715" s="18">
        <f>IFERROR(VLOOKUP(A715,Risk_Assessment!$B$2:$H$1000,7,FALSE),"")</f>
        <v/>
      </c>
      <c r="E715" s="19">
        <f>IF(C715="No",1,IF(D715="N/A",1,IF(D715="Low (10% reduction)",0.9,IF(D715="Medium (30% reduction)",0.7,IF(D715="High (50% reduction)",0.5,IF(D715="Very High (70% reduction)",0.3,1))))))</f>
        <v/>
      </c>
      <c r="F715" s="18">
        <f>IF(ISBLANK(B715),"",ROUNDUP(SQRT(B715)*E715,0))</f>
        <v/>
      </c>
      <c r="G715" s="15">
        <f>IF(ISBLANK(B715),"",ROUNDUP(B715*E715,0))</f>
        <v/>
      </c>
      <c r="H715" s="12">
        <f>IF(ISBLANK(G715),"",IF(G715&gt;=20,"Critical",IF(G715&gt;=15,"High",IF(G715&gt;=8,"Medium","Low"))))</f>
        <v/>
      </c>
    </row>
    <row r="716">
      <c r="B716" s="18">
        <f>IFERROR(VLOOKUP(A716,Risk_Assessment!$B$2:$H$1000,7,FALSE),"")</f>
        <v/>
      </c>
      <c r="E716" s="19">
        <f>IF(C716="No",1,IF(D716="N/A",1,IF(D716="Low (10% reduction)",0.9,IF(D716="Medium (30% reduction)",0.7,IF(D716="High (50% reduction)",0.5,IF(D716="Very High (70% reduction)",0.3,1))))))</f>
        <v/>
      </c>
      <c r="F716" s="18">
        <f>IF(ISBLANK(B716),"",ROUNDUP(SQRT(B716)*E716,0))</f>
        <v/>
      </c>
      <c r="G716" s="15">
        <f>IF(ISBLANK(B716),"",ROUNDUP(B716*E716,0))</f>
        <v/>
      </c>
      <c r="H716" s="12">
        <f>IF(ISBLANK(G716),"",IF(G716&gt;=20,"Critical",IF(G716&gt;=15,"High",IF(G716&gt;=8,"Medium","Low"))))</f>
        <v/>
      </c>
    </row>
    <row r="717">
      <c r="B717" s="18">
        <f>IFERROR(VLOOKUP(A717,Risk_Assessment!$B$2:$H$1000,7,FALSE),"")</f>
        <v/>
      </c>
      <c r="E717" s="19">
        <f>IF(C717="No",1,IF(D717="N/A",1,IF(D717="Low (10% reduction)",0.9,IF(D717="Medium (30% reduction)",0.7,IF(D717="High (50% reduction)",0.5,IF(D717="Very High (70% reduction)",0.3,1))))))</f>
        <v/>
      </c>
      <c r="F717" s="18">
        <f>IF(ISBLANK(B717),"",ROUNDUP(SQRT(B717)*E717,0))</f>
        <v/>
      </c>
      <c r="G717" s="15">
        <f>IF(ISBLANK(B717),"",ROUNDUP(B717*E717,0))</f>
        <v/>
      </c>
      <c r="H717" s="12">
        <f>IF(ISBLANK(G717),"",IF(G717&gt;=20,"Critical",IF(G717&gt;=15,"High",IF(G717&gt;=8,"Medium","Low"))))</f>
        <v/>
      </c>
    </row>
    <row r="718">
      <c r="B718" s="18">
        <f>IFERROR(VLOOKUP(A718,Risk_Assessment!$B$2:$H$1000,7,FALSE),"")</f>
        <v/>
      </c>
      <c r="E718" s="19">
        <f>IF(C718="No",1,IF(D718="N/A",1,IF(D718="Low (10% reduction)",0.9,IF(D718="Medium (30% reduction)",0.7,IF(D718="High (50% reduction)",0.5,IF(D718="Very High (70% reduction)",0.3,1))))))</f>
        <v/>
      </c>
      <c r="F718" s="18">
        <f>IF(ISBLANK(B718),"",ROUNDUP(SQRT(B718)*E718,0))</f>
        <v/>
      </c>
      <c r="G718" s="15">
        <f>IF(ISBLANK(B718),"",ROUNDUP(B718*E718,0))</f>
        <v/>
      </c>
      <c r="H718" s="12">
        <f>IF(ISBLANK(G718),"",IF(G718&gt;=20,"Critical",IF(G718&gt;=15,"High",IF(G718&gt;=8,"Medium","Low"))))</f>
        <v/>
      </c>
    </row>
    <row r="719">
      <c r="B719" s="18">
        <f>IFERROR(VLOOKUP(A719,Risk_Assessment!$B$2:$H$1000,7,FALSE),"")</f>
        <v/>
      </c>
      <c r="E719" s="19">
        <f>IF(C719="No",1,IF(D719="N/A",1,IF(D719="Low (10% reduction)",0.9,IF(D719="Medium (30% reduction)",0.7,IF(D719="High (50% reduction)",0.5,IF(D719="Very High (70% reduction)",0.3,1))))))</f>
        <v/>
      </c>
      <c r="F719" s="18">
        <f>IF(ISBLANK(B719),"",ROUNDUP(SQRT(B719)*E719,0))</f>
        <v/>
      </c>
      <c r="G719" s="15">
        <f>IF(ISBLANK(B719),"",ROUNDUP(B719*E719,0))</f>
        <v/>
      </c>
      <c r="H719" s="12">
        <f>IF(ISBLANK(G719),"",IF(G719&gt;=20,"Critical",IF(G719&gt;=15,"High",IF(G719&gt;=8,"Medium","Low"))))</f>
        <v/>
      </c>
    </row>
    <row r="720">
      <c r="B720" s="18">
        <f>IFERROR(VLOOKUP(A720,Risk_Assessment!$B$2:$H$1000,7,FALSE),"")</f>
        <v/>
      </c>
      <c r="E720" s="19">
        <f>IF(C720="No",1,IF(D720="N/A",1,IF(D720="Low (10% reduction)",0.9,IF(D720="Medium (30% reduction)",0.7,IF(D720="High (50% reduction)",0.5,IF(D720="Very High (70% reduction)",0.3,1))))))</f>
        <v/>
      </c>
      <c r="F720" s="18">
        <f>IF(ISBLANK(B720),"",ROUNDUP(SQRT(B720)*E720,0))</f>
        <v/>
      </c>
      <c r="G720" s="15">
        <f>IF(ISBLANK(B720),"",ROUNDUP(B720*E720,0))</f>
        <v/>
      </c>
      <c r="H720" s="12">
        <f>IF(ISBLANK(G720),"",IF(G720&gt;=20,"Critical",IF(G720&gt;=15,"High",IF(G720&gt;=8,"Medium","Low"))))</f>
        <v/>
      </c>
    </row>
    <row r="721">
      <c r="B721" s="18">
        <f>IFERROR(VLOOKUP(A721,Risk_Assessment!$B$2:$H$1000,7,FALSE),"")</f>
        <v/>
      </c>
      <c r="E721" s="19">
        <f>IF(C721="No",1,IF(D721="N/A",1,IF(D721="Low (10% reduction)",0.9,IF(D721="Medium (30% reduction)",0.7,IF(D721="High (50% reduction)",0.5,IF(D721="Very High (70% reduction)",0.3,1))))))</f>
        <v/>
      </c>
      <c r="F721" s="18">
        <f>IF(ISBLANK(B721),"",ROUNDUP(SQRT(B721)*E721,0))</f>
        <v/>
      </c>
      <c r="G721" s="15">
        <f>IF(ISBLANK(B721),"",ROUNDUP(B721*E721,0))</f>
        <v/>
      </c>
      <c r="H721" s="12">
        <f>IF(ISBLANK(G721),"",IF(G721&gt;=20,"Critical",IF(G721&gt;=15,"High",IF(G721&gt;=8,"Medium","Low"))))</f>
        <v/>
      </c>
    </row>
    <row r="722">
      <c r="B722" s="18">
        <f>IFERROR(VLOOKUP(A722,Risk_Assessment!$B$2:$H$1000,7,FALSE),"")</f>
        <v/>
      </c>
      <c r="E722" s="19">
        <f>IF(C722="No",1,IF(D722="N/A",1,IF(D722="Low (10% reduction)",0.9,IF(D722="Medium (30% reduction)",0.7,IF(D722="High (50% reduction)",0.5,IF(D722="Very High (70% reduction)",0.3,1))))))</f>
        <v/>
      </c>
      <c r="F722" s="18">
        <f>IF(ISBLANK(B722),"",ROUNDUP(SQRT(B722)*E722,0))</f>
        <v/>
      </c>
      <c r="G722" s="15">
        <f>IF(ISBLANK(B722),"",ROUNDUP(B722*E722,0))</f>
        <v/>
      </c>
      <c r="H722" s="12">
        <f>IF(ISBLANK(G722),"",IF(G722&gt;=20,"Critical",IF(G722&gt;=15,"High",IF(G722&gt;=8,"Medium","Low"))))</f>
        <v/>
      </c>
    </row>
    <row r="723">
      <c r="B723" s="18">
        <f>IFERROR(VLOOKUP(A723,Risk_Assessment!$B$2:$H$1000,7,FALSE),"")</f>
        <v/>
      </c>
      <c r="E723" s="19">
        <f>IF(C723="No",1,IF(D723="N/A",1,IF(D723="Low (10% reduction)",0.9,IF(D723="Medium (30% reduction)",0.7,IF(D723="High (50% reduction)",0.5,IF(D723="Very High (70% reduction)",0.3,1))))))</f>
        <v/>
      </c>
      <c r="F723" s="18">
        <f>IF(ISBLANK(B723),"",ROUNDUP(SQRT(B723)*E723,0))</f>
        <v/>
      </c>
      <c r="G723" s="15">
        <f>IF(ISBLANK(B723),"",ROUNDUP(B723*E723,0))</f>
        <v/>
      </c>
      <c r="H723" s="12">
        <f>IF(ISBLANK(G723),"",IF(G723&gt;=20,"Critical",IF(G723&gt;=15,"High",IF(G723&gt;=8,"Medium","Low"))))</f>
        <v/>
      </c>
    </row>
    <row r="724">
      <c r="B724" s="18">
        <f>IFERROR(VLOOKUP(A724,Risk_Assessment!$B$2:$H$1000,7,FALSE),"")</f>
        <v/>
      </c>
      <c r="E724" s="19">
        <f>IF(C724="No",1,IF(D724="N/A",1,IF(D724="Low (10% reduction)",0.9,IF(D724="Medium (30% reduction)",0.7,IF(D724="High (50% reduction)",0.5,IF(D724="Very High (70% reduction)",0.3,1))))))</f>
        <v/>
      </c>
      <c r="F724" s="18">
        <f>IF(ISBLANK(B724),"",ROUNDUP(SQRT(B724)*E724,0))</f>
        <v/>
      </c>
      <c r="G724" s="15">
        <f>IF(ISBLANK(B724),"",ROUNDUP(B724*E724,0))</f>
        <v/>
      </c>
      <c r="H724" s="12">
        <f>IF(ISBLANK(G724),"",IF(G724&gt;=20,"Critical",IF(G724&gt;=15,"High",IF(G724&gt;=8,"Medium","Low"))))</f>
        <v/>
      </c>
    </row>
    <row r="725">
      <c r="B725" s="18">
        <f>IFERROR(VLOOKUP(A725,Risk_Assessment!$B$2:$H$1000,7,FALSE),"")</f>
        <v/>
      </c>
      <c r="E725" s="19">
        <f>IF(C725="No",1,IF(D725="N/A",1,IF(D725="Low (10% reduction)",0.9,IF(D725="Medium (30% reduction)",0.7,IF(D725="High (50% reduction)",0.5,IF(D725="Very High (70% reduction)",0.3,1))))))</f>
        <v/>
      </c>
      <c r="F725" s="18">
        <f>IF(ISBLANK(B725),"",ROUNDUP(SQRT(B725)*E725,0))</f>
        <v/>
      </c>
      <c r="G725" s="15">
        <f>IF(ISBLANK(B725),"",ROUNDUP(B725*E725,0))</f>
        <v/>
      </c>
      <c r="H725" s="12">
        <f>IF(ISBLANK(G725),"",IF(G725&gt;=20,"Critical",IF(G725&gt;=15,"High",IF(G725&gt;=8,"Medium","Low"))))</f>
        <v/>
      </c>
    </row>
    <row r="726">
      <c r="B726" s="18">
        <f>IFERROR(VLOOKUP(A726,Risk_Assessment!$B$2:$H$1000,7,FALSE),"")</f>
        <v/>
      </c>
      <c r="E726" s="19">
        <f>IF(C726="No",1,IF(D726="N/A",1,IF(D726="Low (10% reduction)",0.9,IF(D726="Medium (30% reduction)",0.7,IF(D726="High (50% reduction)",0.5,IF(D726="Very High (70% reduction)",0.3,1))))))</f>
        <v/>
      </c>
      <c r="F726" s="18">
        <f>IF(ISBLANK(B726),"",ROUNDUP(SQRT(B726)*E726,0))</f>
        <v/>
      </c>
      <c r="G726" s="15">
        <f>IF(ISBLANK(B726),"",ROUNDUP(B726*E726,0))</f>
        <v/>
      </c>
      <c r="H726" s="12">
        <f>IF(ISBLANK(G726),"",IF(G726&gt;=20,"Critical",IF(G726&gt;=15,"High",IF(G726&gt;=8,"Medium","Low"))))</f>
        <v/>
      </c>
    </row>
    <row r="727">
      <c r="B727" s="18">
        <f>IFERROR(VLOOKUP(A727,Risk_Assessment!$B$2:$H$1000,7,FALSE),"")</f>
        <v/>
      </c>
      <c r="E727" s="19">
        <f>IF(C727="No",1,IF(D727="N/A",1,IF(D727="Low (10% reduction)",0.9,IF(D727="Medium (30% reduction)",0.7,IF(D727="High (50% reduction)",0.5,IF(D727="Very High (70% reduction)",0.3,1))))))</f>
        <v/>
      </c>
      <c r="F727" s="18">
        <f>IF(ISBLANK(B727),"",ROUNDUP(SQRT(B727)*E727,0))</f>
        <v/>
      </c>
      <c r="G727" s="15">
        <f>IF(ISBLANK(B727),"",ROUNDUP(B727*E727,0))</f>
        <v/>
      </c>
      <c r="H727" s="12">
        <f>IF(ISBLANK(G727),"",IF(G727&gt;=20,"Critical",IF(G727&gt;=15,"High",IF(G727&gt;=8,"Medium","Low"))))</f>
        <v/>
      </c>
    </row>
    <row r="728">
      <c r="B728" s="18">
        <f>IFERROR(VLOOKUP(A728,Risk_Assessment!$B$2:$H$1000,7,FALSE),"")</f>
        <v/>
      </c>
      <c r="E728" s="19">
        <f>IF(C728="No",1,IF(D728="N/A",1,IF(D728="Low (10% reduction)",0.9,IF(D728="Medium (30% reduction)",0.7,IF(D728="High (50% reduction)",0.5,IF(D728="Very High (70% reduction)",0.3,1))))))</f>
        <v/>
      </c>
      <c r="F728" s="18">
        <f>IF(ISBLANK(B728),"",ROUNDUP(SQRT(B728)*E728,0))</f>
        <v/>
      </c>
      <c r="G728" s="15">
        <f>IF(ISBLANK(B728),"",ROUNDUP(B728*E728,0))</f>
        <v/>
      </c>
      <c r="H728" s="12">
        <f>IF(ISBLANK(G728),"",IF(G728&gt;=20,"Critical",IF(G728&gt;=15,"High",IF(G728&gt;=8,"Medium","Low"))))</f>
        <v/>
      </c>
    </row>
    <row r="729">
      <c r="B729" s="18">
        <f>IFERROR(VLOOKUP(A729,Risk_Assessment!$B$2:$H$1000,7,FALSE),"")</f>
        <v/>
      </c>
      <c r="E729" s="19">
        <f>IF(C729="No",1,IF(D729="N/A",1,IF(D729="Low (10% reduction)",0.9,IF(D729="Medium (30% reduction)",0.7,IF(D729="High (50% reduction)",0.5,IF(D729="Very High (70% reduction)",0.3,1))))))</f>
        <v/>
      </c>
      <c r="F729" s="18">
        <f>IF(ISBLANK(B729),"",ROUNDUP(SQRT(B729)*E729,0))</f>
        <v/>
      </c>
      <c r="G729" s="15">
        <f>IF(ISBLANK(B729),"",ROUNDUP(B729*E729,0))</f>
        <v/>
      </c>
      <c r="H729" s="12">
        <f>IF(ISBLANK(G729),"",IF(G729&gt;=20,"Critical",IF(G729&gt;=15,"High",IF(G729&gt;=8,"Medium","Low"))))</f>
        <v/>
      </c>
    </row>
    <row r="730">
      <c r="B730" s="18">
        <f>IFERROR(VLOOKUP(A730,Risk_Assessment!$B$2:$H$1000,7,FALSE),"")</f>
        <v/>
      </c>
      <c r="E730" s="19">
        <f>IF(C730="No",1,IF(D730="N/A",1,IF(D730="Low (10% reduction)",0.9,IF(D730="Medium (30% reduction)",0.7,IF(D730="High (50% reduction)",0.5,IF(D730="Very High (70% reduction)",0.3,1))))))</f>
        <v/>
      </c>
      <c r="F730" s="18">
        <f>IF(ISBLANK(B730),"",ROUNDUP(SQRT(B730)*E730,0))</f>
        <v/>
      </c>
      <c r="G730" s="15">
        <f>IF(ISBLANK(B730),"",ROUNDUP(B730*E730,0))</f>
        <v/>
      </c>
      <c r="H730" s="12">
        <f>IF(ISBLANK(G730),"",IF(G730&gt;=20,"Critical",IF(G730&gt;=15,"High",IF(G730&gt;=8,"Medium","Low"))))</f>
        <v/>
      </c>
    </row>
    <row r="731">
      <c r="B731" s="18">
        <f>IFERROR(VLOOKUP(A731,Risk_Assessment!$B$2:$H$1000,7,FALSE),"")</f>
        <v/>
      </c>
      <c r="E731" s="19">
        <f>IF(C731="No",1,IF(D731="N/A",1,IF(D731="Low (10% reduction)",0.9,IF(D731="Medium (30% reduction)",0.7,IF(D731="High (50% reduction)",0.5,IF(D731="Very High (70% reduction)",0.3,1))))))</f>
        <v/>
      </c>
      <c r="F731" s="18">
        <f>IF(ISBLANK(B731),"",ROUNDUP(SQRT(B731)*E731,0))</f>
        <v/>
      </c>
      <c r="G731" s="15">
        <f>IF(ISBLANK(B731),"",ROUNDUP(B731*E731,0))</f>
        <v/>
      </c>
      <c r="H731" s="12">
        <f>IF(ISBLANK(G731),"",IF(G731&gt;=20,"Critical",IF(G731&gt;=15,"High",IF(G731&gt;=8,"Medium","Low"))))</f>
        <v/>
      </c>
    </row>
    <row r="732">
      <c r="B732" s="18">
        <f>IFERROR(VLOOKUP(A732,Risk_Assessment!$B$2:$H$1000,7,FALSE),"")</f>
        <v/>
      </c>
      <c r="E732" s="19">
        <f>IF(C732="No",1,IF(D732="N/A",1,IF(D732="Low (10% reduction)",0.9,IF(D732="Medium (30% reduction)",0.7,IF(D732="High (50% reduction)",0.5,IF(D732="Very High (70% reduction)",0.3,1))))))</f>
        <v/>
      </c>
      <c r="F732" s="18">
        <f>IF(ISBLANK(B732),"",ROUNDUP(SQRT(B732)*E732,0))</f>
        <v/>
      </c>
      <c r="G732" s="15">
        <f>IF(ISBLANK(B732),"",ROUNDUP(B732*E732,0))</f>
        <v/>
      </c>
      <c r="H732" s="12">
        <f>IF(ISBLANK(G732),"",IF(G732&gt;=20,"Critical",IF(G732&gt;=15,"High",IF(G732&gt;=8,"Medium","Low"))))</f>
        <v/>
      </c>
    </row>
    <row r="733">
      <c r="B733" s="18">
        <f>IFERROR(VLOOKUP(A733,Risk_Assessment!$B$2:$H$1000,7,FALSE),"")</f>
        <v/>
      </c>
      <c r="E733" s="19">
        <f>IF(C733="No",1,IF(D733="N/A",1,IF(D733="Low (10% reduction)",0.9,IF(D733="Medium (30% reduction)",0.7,IF(D733="High (50% reduction)",0.5,IF(D733="Very High (70% reduction)",0.3,1))))))</f>
        <v/>
      </c>
      <c r="F733" s="18">
        <f>IF(ISBLANK(B733),"",ROUNDUP(SQRT(B733)*E733,0))</f>
        <v/>
      </c>
      <c r="G733" s="15">
        <f>IF(ISBLANK(B733),"",ROUNDUP(B733*E733,0))</f>
        <v/>
      </c>
      <c r="H733" s="12">
        <f>IF(ISBLANK(G733),"",IF(G733&gt;=20,"Critical",IF(G733&gt;=15,"High",IF(G733&gt;=8,"Medium","Low"))))</f>
        <v/>
      </c>
    </row>
    <row r="734">
      <c r="B734" s="18">
        <f>IFERROR(VLOOKUP(A734,Risk_Assessment!$B$2:$H$1000,7,FALSE),"")</f>
        <v/>
      </c>
      <c r="E734" s="19">
        <f>IF(C734="No",1,IF(D734="N/A",1,IF(D734="Low (10% reduction)",0.9,IF(D734="Medium (30% reduction)",0.7,IF(D734="High (50% reduction)",0.5,IF(D734="Very High (70% reduction)",0.3,1))))))</f>
        <v/>
      </c>
      <c r="F734" s="18">
        <f>IF(ISBLANK(B734),"",ROUNDUP(SQRT(B734)*E734,0))</f>
        <v/>
      </c>
      <c r="G734" s="15">
        <f>IF(ISBLANK(B734),"",ROUNDUP(B734*E734,0))</f>
        <v/>
      </c>
      <c r="H734" s="12">
        <f>IF(ISBLANK(G734),"",IF(G734&gt;=20,"Critical",IF(G734&gt;=15,"High",IF(G734&gt;=8,"Medium","Low"))))</f>
        <v/>
      </c>
    </row>
    <row r="735">
      <c r="B735" s="18">
        <f>IFERROR(VLOOKUP(A735,Risk_Assessment!$B$2:$H$1000,7,FALSE),"")</f>
        <v/>
      </c>
      <c r="E735" s="19">
        <f>IF(C735="No",1,IF(D735="N/A",1,IF(D735="Low (10% reduction)",0.9,IF(D735="Medium (30% reduction)",0.7,IF(D735="High (50% reduction)",0.5,IF(D735="Very High (70% reduction)",0.3,1))))))</f>
        <v/>
      </c>
      <c r="F735" s="18">
        <f>IF(ISBLANK(B735),"",ROUNDUP(SQRT(B735)*E735,0))</f>
        <v/>
      </c>
      <c r="G735" s="15">
        <f>IF(ISBLANK(B735),"",ROUNDUP(B735*E735,0))</f>
        <v/>
      </c>
      <c r="H735" s="12">
        <f>IF(ISBLANK(G735),"",IF(G735&gt;=20,"Critical",IF(G735&gt;=15,"High",IF(G735&gt;=8,"Medium","Low"))))</f>
        <v/>
      </c>
    </row>
    <row r="736">
      <c r="B736" s="18">
        <f>IFERROR(VLOOKUP(A736,Risk_Assessment!$B$2:$H$1000,7,FALSE),"")</f>
        <v/>
      </c>
      <c r="E736" s="19">
        <f>IF(C736="No",1,IF(D736="N/A",1,IF(D736="Low (10% reduction)",0.9,IF(D736="Medium (30% reduction)",0.7,IF(D736="High (50% reduction)",0.5,IF(D736="Very High (70% reduction)",0.3,1))))))</f>
        <v/>
      </c>
      <c r="F736" s="18">
        <f>IF(ISBLANK(B736),"",ROUNDUP(SQRT(B736)*E736,0))</f>
        <v/>
      </c>
      <c r="G736" s="15">
        <f>IF(ISBLANK(B736),"",ROUNDUP(B736*E736,0))</f>
        <v/>
      </c>
      <c r="H736" s="12">
        <f>IF(ISBLANK(G736),"",IF(G736&gt;=20,"Critical",IF(G736&gt;=15,"High",IF(G736&gt;=8,"Medium","Low"))))</f>
        <v/>
      </c>
    </row>
    <row r="737">
      <c r="B737" s="18">
        <f>IFERROR(VLOOKUP(A737,Risk_Assessment!$B$2:$H$1000,7,FALSE),"")</f>
        <v/>
      </c>
      <c r="E737" s="19">
        <f>IF(C737="No",1,IF(D737="N/A",1,IF(D737="Low (10% reduction)",0.9,IF(D737="Medium (30% reduction)",0.7,IF(D737="High (50% reduction)",0.5,IF(D737="Very High (70% reduction)",0.3,1))))))</f>
        <v/>
      </c>
      <c r="F737" s="18">
        <f>IF(ISBLANK(B737),"",ROUNDUP(SQRT(B737)*E737,0))</f>
        <v/>
      </c>
      <c r="G737" s="15">
        <f>IF(ISBLANK(B737),"",ROUNDUP(B737*E737,0))</f>
        <v/>
      </c>
      <c r="H737" s="12">
        <f>IF(ISBLANK(G737),"",IF(G737&gt;=20,"Critical",IF(G737&gt;=15,"High",IF(G737&gt;=8,"Medium","Low"))))</f>
        <v/>
      </c>
    </row>
    <row r="738">
      <c r="B738" s="18">
        <f>IFERROR(VLOOKUP(A738,Risk_Assessment!$B$2:$H$1000,7,FALSE),"")</f>
        <v/>
      </c>
      <c r="E738" s="19">
        <f>IF(C738="No",1,IF(D738="N/A",1,IF(D738="Low (10% reduction)",0.9,IF(D738="Medium (30% reduction)",0.7,IF(D738="High (50% reduction)",0.5,IF(D738="Very High (70% reduction)",0.3,1))))))</f>
        <v/>
      </c>
      <c r="F738" s="18">
        <f>IF(ISBLANK(B738),"",ROUNDUP(SQRT(B738)*E738,0))</f>
        <v/>
      </c>
      <c r="G738" s="15">
        <f>IF(ISBLANK(B738),"",ROUNDUP(B738*E738,0))</f>
        <v/>
      </c>
      <c r="H738" s="12">
        <f>IF(ISBLANK(G738),"",IF(G738&gt;=20,"Critical",IF(G738&gt;=15,"High",IF(G738&gt;=8,"Medium","Low"))))</f>
        <v/>
      </c>
    </row>
    <row r="739">
      <c r="B739" s="18">
        <f>IFERROR(VLOOKUP(A739,Risk_Assessment!$B$2:$H$1000,7,FALSE),"")</f>
        <v/>
      </c>
      <c r="E739" s="19">
        <f>IF(C739="No",1,IF(D739="N/A",1,IF(D739="Low (10% reduction)",0.9,IF(D739="Medium (30% reduction)",0.7,IF(D739="High (50% reduction)",0.5,IF(D739="Very High (70% reduction)",0.3,1))))))</f>
        <v/>
      </c>
      <c r="F739" s="18">
        <f>IF(ISBLANK(B739),"",ROUNDUP(SQRT(B739)*E739,0))</f>
        <v/>
      </c>
      <c r="G739" s="15">
        <f>IF(ISBLANK(B739),"",ROUNDUP(B739*E739,0))</f>
        <v/>
      </c>
      <c r="H739" s="12">
        <f>IF(ISBLANK(G739),"",IF(G739&gt;=20,"Critical",IF(G739&gt;=15,"High",IF(G739&gt;=8,"Medium","Low"))))</f>
        <v/>
      </c>
    </row>
    <row r="740">
      <c r="B740" s="18">
        <f>IFERROR(VLOOKUP(A740,Risk_Assessment!$B$2:$H$1000,7,FALSE),"")</f>
        <v/>
      </c>
      <c r="E740" s="19">
        <f>IF(C740="No",1,IF(D740="N/A",1,IF(D740="Low (10% reduction)",0.9,IF(D740="Medium (30% reduction)",0.7,IF(D740="High (50% reduction)",0.5,IF(D740="Very High (70% reduction)",0.3,1))))))</f>
        <v/>
      </c>
      <c r="F740" s="18">
        <f>IF(ISBLANK(B740),"",ROUNDUP(SQRT(B740)*E740,0))</f>
        <v/>
      </c>
      <c r="G740" s="15">
        <f>IF(ISBLANK(B740),"",ROUNDUP(B740*E740,0))</f>
        <v/>
      </c>
      <c r="H740" s="12">
        <f>IF(ISBLANK(G740),"",IF(G740&gt;=20,"Critical",IF(G740&gt;=15,"High",IF(G740&gt;=8,"Medium","Low"))))</f>
        <v/>
      </c>
    </row>
    <row r="741">
      <c r="B741" s="18">
        <f>IFERROR(VLOOKUP(A741,Risk_Assessment!$B$2:$H$1000,7,FALSE),"")</f>
        <v/>
      </c>
      <c r="E741" s="19">
        <f>IF(C741="No",1,IF(D741="N/A",1,IF(D741="Low (10% reduction)",0.9,IF(D741="Medium (30% reduction)",0.7,IF(D741="High (50% reduction)",0.5,IF(D741="Very High (70% reduction)",0.3,1))))))</f>
        <v/>
      </c>
      <c r="F741" s="18">
        <f>IF(ISBLANK(B741),"",ROUNDUP(SQRT(B741)*E741,0))</f>
        <v/>
      </c>
      <c r="G741" s="15">
        <f>IF(ISBLANK(B741),"",ROUNDUP(B741*E741,0))</f>
        <v/>
      </c>
      <c r="H741" s="12">
        <f>IF(ISBLANK(G741),"",IF(G741&gt;=20,"Critical",IF(G741&gt;=15,"High",IF(G741&gt;=8,"Medium","Low"))))</f>
        <v/>
      </c>
    </row>
    <row r="742">
      <c r="B742" s="18">
        <f>IFERROR(VLOOKUP(A742,Risk_Assessment!$B$2:$H$1000,7,FALSE),"")</f>
        <v/>
      </c>
      <c r="E742" s="19">
        <f>IF(C742="No",1,IF(D742="N/A",1,IF(D742="Low (10% reduction)",0.9,IF(D742="Medium (30% reduction)",0.7,IF(D742="High (50% reduction)",0.5,IF(D742="Very High (70% reduction)",0.3,1))))))</f>
        <v/>
      </c>
      <c r="F742" s="18">
        <f>IF(ISBLANK(B742),"",ROUNDUP(SQRT(B742)*E742,0))</f>
        <v/>
      </c>
      <c r="G742" s="15">
        <f>IF(ISBLANK(B742),"",ROUNDUP(B742*E742,0))</f>
        <v/>
      </c>
      <c r="H742" s="12">
        <f>IF(ISBLANK(G742),"",IF(G742&gt;=20,"Critical",IF(G742&gt;=15,"High",IF(G742&gt;=8,"Medium","Low"))))</f>
        <v/>
      </c>
    </row>
    <row r="743">
      <c r="B743" s="18">
        <f>IFERROR(VLOOKUP(A743,Risk_Assessment!$B$2:$H$1000,7,FALSE),"")</f>
        <v/>
      </c>
      <c r="E743" s="19">
        <f>IF(C743="No",1,IF(D743="N/A",1,IF(D743="Low (10% reduction)",0.9,IF(D743="Medium (30% reduction)",0.7,IF(D743="High (50% reduction)",0.5,IF(D743="Very High (70% reduction)",0.3,1))))))</f>
        <v/>
      </c>
      <c r="F743" s="18">
        <f>IF(ISBLANK(B743),"",ROUNDUP(SQRT(B743)*E743,0))</f>
        <v/>
      </c>
      <c r="G743" s="15">
        <f>IF(ISBLANK(B743),"",ROUNDUP(B743*E743,0))</f>
        <v/>
      </c>
      <c r="H743" s="12">
        <f>IF(ISBLANK(G743),"",IF(G743&gt;=20,"Critical",IF(G743&gt;=15,"High",IF(G743&gt;=8,"Medium","Low"))))</f>
        <v/>
      </c>
    </row>
    <row r="744">
      <c r="B744" s="18">
        <f>IFERROR(VLOOKUP(A744,Risk_Assessment!$B$2:$H$1000,7,FALSE),"")</f>
        <v/>
      </c>
      <c r="E744" s="19">
        <f>IF(C744="No",1,IF(D744="N/A",1,IF(D744="Low (10% reduction)",0.9,IF(D744="Medium (30% reduction)",0.7,IF(D744="High (50% reduction)",0.5,IF(D744="Very High (70% reduction)",0.3,1))))))</f>
        <v/>
      </c>
      <c r="F744" s="18">
        <f>IF(ISBLANK(B744),"",ROUNDUP(SQRT(B744)*E744,0))</f>
        <v/>
      </c>
      <c r="G744" s="15">
        <f>IF(ISBLANK(B744),"",ROUNDUP(B744*E744,0))</f>
        <v/>
      </c>
      <c r="H744" s="12">
        <f>IF(ISBLANK(G744),"",IF(G744&gt;=20,"Critical",IF(G744&gt;=15,"High",IF(G744&gt;=8,"Medium","Low"))))</f>
        <v/>
      </c>
    </row>
    <row r="745">
      <c r="B745" s="18">
        <f>IFERROR(VLOOKUP(A745,Risk_Assessment!$B$2:$H$1000,7,FALSE),"")</f>
        <v/>
      </c>
      <c r="E745" s="19">
        <f>IF(C745="No",1,IF(D745="N/A",1,IF(D745="Low (10% reduction)",0.9,IF(D745="Medium (30% reduction)",0.7,IF(D745="High (50% reduction)",0.5,IF(D745="Very High (70% reduction)",0.3,1))))))</f>
        <v/>
      </c>
      <c r="F745" s="18">
        <f>IF(ISBLANK(B745),"",ROUNDUP(SQRT(B745)*E745,0))</f>
        <v/>
      </c>
      <c r="G745" s="15">
        <f>IF(ISBLANK(B745),"",ROUNDUP(B745*E745,0))</f>
        <v/>
      </c>
      <c r="H745" s="12">
        <f>IF(ISBLANK(G745),"",IF(G745&gt;=20,"Critical",IF(G745&gt;=15,"High",IF(G745&gt;=8,"Medium","Low"))))</f>
        <v/>
      </c>
    </row>
    <row r="746">
      <c r="B746" s="18">
        <f>IFERROR(VLOOKUP(A746,Risk_Assessment!$B$2:$H$1000,7,FALSE),"")</f>
        <v/>
      </c>
      <c r="E746" s="19">
        <f>IF(C746="No",1,IF(D746="N/A",1,IF(D746="Low (10% reduction)",0.9,IF(D746="Medium (30% reduction)",0.7,IF(D746="High (50% reduction)",0.5,IF(D746="Very High (70% reduction)",0.3,1))))))</f>
        <v/>
      </c>
      <c r="F746" s="18">
        <f>IF(ISBLANK(B746),"",ROUNDUP(SQRT(B746)*E746,0))</f>
        <v/>
      </c>
      <c r="G746" s="15">
        <f>IF(ISBLANK(B746),"",ROUNDUP(B746*E746,0))</f>
        <v/>
      </c>
      <c r="H746" s="12">
        <f>IF(ISBLANK(G746),"",IF(G746&gt;=20,"Critical",IF(G746&gt;=15,"High",IF(G746&gt;=8,"Medium","Low"))))</f>
        <v/>
      </c>
    </row>
    <row r="747">
      <c r="B747" s="18">
        <f>IFERROR(VLOOKUP(A747,Risk_Assessment!$B$2:$H$1000,7,FALSE),"")</f>
        <v/>
      </c>
      <c r="E747" s="19">
        <f>IF(C747="No",1,IF(D747="N/A",1,IF(D747="Low (10% reduction)",0.9,IF(D747="Medium (30% reduction)",0.7,IF(D747="High (50% reduction)",0.5,IF(D747="Very High (70% reduction)",0.3,1))))))</f>
        <v/>
      </c>
      <c r="F747" s="18">
        <f>IF(ISBLANK(B747),"",ROUNDUP(SQRT(B747)*E747,0))</f>
        <v/>
      </c>
      <c r="G747" s="15">
        <f>IF(ISBLANK(B747),"",ROUNDUP(B747*E747,0))</f>
        <v/>
      </c>
      <c r="H747" s="12">
        <f>IF(ISBLANK(G747),"",IF(G747&gt;=20,"Critical",IF(G747&gt;=15,"High",IF(G747&gt;=8,"Medium","Low"))))</f>
        <v/>
      </c>
    </row>
    <row r="748">
      <c r="B748" s="18">
        <f>IFERROR(VLOOKUP(A748,Risk_Assessment!$B$2:$H$1000,7,FALSE),"")</f>
        <v/>
      </c>
      <c r="E748" s="19">
        <f>IF(C748="No",1,IF(D748="N/A",1,IF(D748="Low (10% reduction)",0.9,IF(D748="Medium (30% reduction)",0.7,IF(D748="High (50% reduction)",0.5,IF(D748="Very High (70% reduction)",0.3,1))))))</f>
        <v/>
      </c>
      <c r="F748" s="18">
        <f>IF(ISBLANK(B748),"",ROUNDUP(SQRT(B748)*E748,0))</f>
        <v/>
      </c>
      <c r="G748" s="15">
        <f>IF(ISBLANK(B748),"",ROUNDUP(B748*E748,0))</f>
        <v/>
      </c>
      <c r="H748" s="12">
        <f>IF(ISBLANK(G748),"",IF(G748&gt;=20,"Critical",IF(G748&gt;=15,"High",IF(G748&gt;=8,"Medium","Low"))))</f>
        <v/>
      </c>
    </row>
    <row r="749">
      <c r="B749" s="18">
        <f>IFERROR(VLOOKUP(A749,Risk_Assessment!$B$2:$H$1000,7,FALSE),"")</f>
        <v/>
      </c>
      <c r="E749" s="19">
        <f>IF(C749="No",1,IF(D749="N/A",1,IF(D749="Low (10% reduction)",0.9,IF(D749="Medium (30% reduction)",0.7,IF(D749="High (50% reduction)",0.5,IF(D749="Very High (70% reduction)",0.3,1))))))</f>
        <v/>
      </c>
      <c r="F749" s="18">
        <f>IF(ISBLANK(B749),"",ROUNDUP(SQRT(B749)*E749,0))</f>
        <v/>
      </c>
      <c r="G749" s="15">
        <f>IF(ISBLANK(B749),"",ROUNDUP(B749*E749,0))</f>
        <v/>
      </c>
      <c r="H749" s="12">
        <f>IF(ISBLANK(G749),"",IF(G749&gt;=20,"Critical",IF(G749&gt;=15,"High",IF(G749&gt;=8,"Medium","Low"))))</f>
        <v/>
      </c>
    </row>
    <row r="750">
      <c r="B750" s="18">
        <f>IFERROR(VLOOKUP(A750,Risk_Assessment!$B$2:$H$1000,7,FALSE),"")</f>
        <v/>
      </c>
      <c r="E750" s="19">
        <f>IF(C750="No",1,IF(D750="N/A",1,IF(D750="Low (10% reduction)",0.9,IF(D750="Medium (30% reduction)",0.7,IF(D750="High (50% reduction)",0.5,IF(D750="Very High (70% reduction)",0.3,1))))))</f>
        <v/>
      </c>
      <c r="F750" s="18">
        <f>IF(ISBLANK(B750),"",ROUNDUP(SQRT(B750)*E750,0))</f>
        <v/>
      </c>
      <c r="G750" s="15">
        <f>IF(ISBLANK(B750),"",ROUNDUP(B750*E750,0))</f>
        <v/>
      </c>
      <c r="H750" s="12">
        <f>IF(ISBLANK(G750),"",IF(G750&gt;=20,"Critical",IF(G750&gt;=15,"High",IF(G750&gt;=8,"Medium","Low"))))</f>
        <v/>
      </c>
    </row>
    <row r="751">
      <c r="B751" s="18">
        <f>IFERROR(VLOOKUP(A751,Risk_Assessment!$B$2:$H$1000,7,FALSE),"")</f>
        <v/>
      </c>
      <c r="E751" s="19">
        <f>IF(C751="No",1,IF(D751="N/A",1,IF(D751="Low (10% reduction)",0.9,IF(D751="Medium (30% reduction)",0.7,IF(D751="High (50% reduction)",0.5,IF(D751="Very High (70% reduction)",0.3,1))))))</f>
        <v/>
      </c>
      <c r="F751" s="18">
        <f>IF(ISBLANK(B751),"",ROUNDUP(SQRT(B751)*E751,0))</f>
        <v/>
      </c>
      <c r="G751" s="15">
        <f>IF(ISBLANK(B751),"",ROUNDUP(B751*E751,0))</f>
        <v/>
      </c>
      <c r="H751" s="12">
        <f>IF(ISBLANK(G751),"",IF(G751&gt;=20,"Critical",IF(G751&gt;=15,"High",IF(G751&gt;=8,"Medium","Low"))))</f>
        <v/>
      </c>
    </row>
    <row r="752">
      <c r="B752" s="18">
        <f>IFERROR(VLOOKUP(A752,Risk_Assessment!$B$2:$H$1000,7,FALSE),"")</f>
        <v/>
      </c>
      <c r="E752" s="19">
        <f>IF(C752="No",1,IF(D752="N/A",1,IF(D752="Low (10% reduction)",0.9,IF(D752="Medium (30% reduction)",0.7,IF(D752="High (50% reduction)",0.5,IF(D752="Very High (70% reduction)",0.3,1))))))</f>
        <v/>
      </c>
      <c r="F752" s="18">
        <f>IF(ISBLANK(B752),"",ROUNDUP(SQRT(B752)*E752,0))</f>
        <v/>
      </c>
      <c r="G752" s="15">
        <f>IF(ISBLANK(B752),"",ROUNDUP(B752*E752,0))</f>
        <v/>
      </c>
      <c r="H752" s="12">
        <f>IF(ISBLANK(G752),"",IF(G752&gt;=20,"Critical",IF(G752&gt;=15,"High",IF(G752&gt;=8,"Medium","Low"))))</f>
        <v/>
      </c>
    </row>
    <row r="753">
      <c r="B753" s="18">
        <f>IFERROR(VLOOKUP(A753,Risk_Assessment!$B$2:$H$1000,7,FALSE),"")</f>
        <v/>
      </c>
      <c r="E753" s="19">
        <f>IF(C753="No",1,IF(D753="N/A",1,IF(D753="Low (10% reduction)",0.9,IF(D753="Medium (30% reduction)",0.7,IF(D753="High (50% reduction)",0.5,IF(D753="Very High (70% reduction)",0.3,1))))))</f>
        <v/>
      </c>
      <c r="F753" s="18">
        <f>IF(ISBLANK(B753),"",ROUNDUP(SQRT(B753)*E753,0))</f>
        <v/>
      </c>
      <c r="G753" s="15">
        <f>IF(ISBLANK(B753),"",ROUNDUP(B753*E753,0))</f>
        <v/>
      </c>
      <c r="H753" s="12">
        <f>IF(ISBLANK(G753),"",IF(G753&gt;=20,"Critical",IF(G753&gt;=15,"High",IF(G753&gt;=8,"Medium","Low"))))</f>
        <v/>
      </c>
    </row>
    <row r="754">
      <c r="B754" s="18">
        <f>IFERROR(VLOOKUP(A754,Risk_Assessment!$B$2:$H$1000,7,FALSE),"")</f>
        <v/>
      </c>
      <c r="E754" s="19">
        <f>IF(C754="No",1,IF(D754="N/A",1,IF(D754="Low (10% reduction)",0.9,IF(D754="Medium (30% reduction)",0.7,IF(D754="High (50% reduction)",0.5,IF(D754="Very High (70% reduction)",0.3,1))))))</f>
        <v/>
      </c>
      <c r="F754" s="18">
        <f>IF(ISBLANK(B754),"",ROUNDUP(SQRT(B754)*E754,0))</f>
        <v/>
      </c>
      <c r="G754" s="15">
        <f>IF(ISBLANK(B754),"",ROUNDUP(B754*E754,0))</f>
        <v/>
      </c>
      <c r="H754" s="12">
        <f>IF(ISBLANK(G754),"",IF(G754&gt;=20,"Critical",IF(G754&gt;=15,"High",IF(G754&gt;=8,"Medium","Low"))))</f>
        <v/>
      </c>
    </row>
    <row r="755">
      <c r="B755" s="18">
        <f>IFERROR(VLOOKUP(A755,Risk_Assessment!$B$2:$H$1000,7,FALSE),"")</f>
        <v/>
      </c>
      <c r="E755" s="19">
        <f>IF(C755="No",1,IF(D755="N/A",1,IF(D755="Low (10% reduction)",0.9,IF(D755="Medium (30% reduction)",0.7,IF(D755="High (50% reduction)",0.5,IF(D755="Very High (70% reduction)",0.3,1))))))</f>
        <v/>
      </c>
      <c r="F755" s="18">
        <f>IF(ISBLANK(B755),"",ROUNDUP(SQRT(B755)*E755,0))</f>
        <v/>
      </c>
      <c r="G755" s="15">
        <f>IF(ISBLANK(B755),"",ROUNDUP(B755*E755,0))</f>
        <v/>
      </c>
      <c r="H755" s="12">
        <f>IF(ISBLANK(G755),"",IF(G755&gt;=20,"Critical",IF(G755&gt;=15,"High",IF(G755&gt;=8,"Medium","Low"))))</f>
        <v/>
      </c>
    </row>
    <row r="756">
      <c r="B756" s="18">
        <f>IFERROR(VLOOKUP(A756,Risk_Assessment!$B$2:$H$1000,7,FALSE),"")</f>
        <v/>
      </c>
      <c r="E756" s="19">
        <f>IF(C756="No",1,IF(D756="N/A",1,IF(D756="Low (10% reduction)",0.9,IF(D756="Medium (30% reduction)",0.7,IF(D756="High (50% reduction)",0.5,IF(D756="Very High (70% reduction)",0.3,1))))))</f>
        <v/>
      </c>
      <c r="F756" s="18">
        <f>IF(ISBLANK(B756),"",ROUNDUP(SQRT(B756)*E756,0))</f>
        <v/>
      </c>
      <c r="G756" s="15">
        <f>IF(ISBLANK(B756),"",ROUNDUP(B756*E756,0))</f>
        <v/>
      </c>
      <c r="H756" s="12">
        <f>IF(ISBLANK(G756),"",IF(G756&gt;=20,"Critical",IF(G756&gt;=15,"High",IF(G756&gt;=8,"Medium","Low"))))</f>
        <v/>
      </c>
    </row>
    <row r="757">
      <c r="B757" s="18">
        <f>IFERROR(VLOOKUP(A757,Risk_Assessment!$B$2:$H$1000,7,FALSE),"")</f>
        <v/>
      </c>
      <c r="E757" s="19">
        <f>IF(C757="No",1,IF(D757="N/A",1,IF(D757="Low (10% reduction)",0.9,IF(D757="Medium (30% reduction)",0.7,IF(D757="High (50% reduction)",0.5,IF(D757="Very High (70% reduction)",0.3,1))))))</f>
        <v/>
      </c>
      <c r="F757" s="18">
        <f>IF(ISBLANK(B757),"",ROUNDUP(SQRT(B757)*E757,0))</f>
        <v/>
      </c>
      <c r="G757" s="15">
        <f>IF(ISBLANK(B757),"",ROUNDUP(B757*E757,0))</f>
        <v/>
      </c>
      <c r="H757" s="12">
        <f>IF(ISBLANK(G757),"",IF(G757&gt;=20,"Critical",IF(G757&gt;=15,"High",IF(G757&gt;=8,"Medium","Low"))))</f>
        <v/>
      </c>
    </row>
    <row r="758">
      <c r="B758" s="18">
        <f>IFERROR(VLOOKUP(A758,Risk_Assessment!$B$2:$H$1000,7,FALSE),"")</f>
        <v/>
      </c>
      <c r="E758" s="19">
        <f>IF(C758="No",1,IF(D758="N/A",1,IF(D758="Low (10% reduction)",0.9,IF(D758="Medium (30% reduction)",0.7,IF(D758="High (50% reduction)",0.5,IF(D758="Very High (70% reduction)",0.3,1))))))</f>
        <v/>
      </c>
      <c r="F758" s="18">
        <f>IF(ISBLANK(B758),"",ROUNDUP(SQRT(B758)*E758,0))</f>
        <v/>
      </c>
      <c r="G758" s="15">
        <f>IF(ISBLANK(B758),"",ROUNDUP(B758*E758,0))</f>
        <v/>
      </c>
      <c r="H758" s="12">
        <f>IF(ISBLANK(G758),"",IF(G758&gt;=20,"Critical",IF(G758&gt;=15,"High",IF(G758&gt;=8,"Medium","Low"))))</f>
        <v/>
      </c>
    </row>
    <row r="759">
      <c r="B759" s="18">
        <f>IFERROR(VLOOKUP(A759,Risk_Assessment!$B$2:$H$1000,7,FALSE),"")</f>
        <v/>
      </c>
      <c r="E759" s="19">
        <f>IF(C759="No",1,IF(D759="N/A",1,IF(D759="Low (10% reduction)",0.9,IF(D759="Medium (30% reduction)",0.7,IF(D759="High (50% reduction)",0.5,IF(D759="Very High (70% reduction)",0.3,1))))))</f>
        <v/>
      </c>
      <c r="F759" s="18">
        <f>IF(ISBLANK(B759),"",ROUNDUP(SQRT(B759)*E759,0))</f>
        <v/>
      </c>
      <c r="G759" s="15">
        <f>IF(ISBLANK(B759),"",ROUNDUP(B759*E759,0))</f>
        <v/>
      </c>
      <c r="H759" s="12">
        <f>IF(ISBLANK(G759),"",IF(G759&gt;=20,"Critical",IF(G759&gt;=15,"High",IF(G759&gt;=8,"Medium","Low"))))</f>
        <v/>
      </c>
    </row>
    <row r="760">
      <c r="B760" s="18">
        <f>IFERROR(VLOOKUP(A760,Risk_Assessment!$B$2:$H$1000,7,FALSE),"")</f>
        <v/>
      </c>
      <c r="E760" s="19">
        <f>IF(C760="No",1,IF(D760="N/A",1,IF(D760="Low (10% reduction)",0.9,IF(D760="Medium (30% reduction)",0.7,IF(D760="High (50% reduction)",0.5,IF(D760="Very High (70% reduction)",0.3,1))))))</f>
        <v/>
      </c>
      <c r="F760" s="18">
        <f>IF(ISBLANK(B760),"",ROUNDUP(SQRT(B760)*E760,0))</f>
        <v/>
      </c>
      <c r="G760" s="15">
        <f>IF(ISBLANK(B760),"",ROUNDUP(B760*E760,0))</f>
        <v/>
      </c>
      <c r="H760" s="12">
        <f>IF(ISBLANK(G760),"",IF(G760&gt;=20,"Critical",IF(G760&gt;=15,"High",IF(G760&gt;=8,"Medium","Low"))))</f>
        <v/>
      </c>
    </row>
    <row r="761">
      <c r="B761" s="18">
        <f>IFERROR(VLOOKUP(A761,Risk_Assessment!$B$2:$H$1000,7,FALSE),"")</f>
        <v/>
      </c>
      <c r="E761" s="19">
        <f>IF(C761="No",1,IF(D761="N/A",1,IF(D761="Low (10% reduction)",0.9,IF(D761="Medium (30% reduction)",0.7,IF(D761="High (50% reduction)",0.5,IF(D761="Very High (70% reduction)",0.3,1))))))</f>
        <v/>
      </c>
      <c r="F761" s="18">
        <f>IF(ISBLANK(B761),"",ROUNDUP(SQRT(B761)*E761,0))</f>
        <v/>
      </c>
      <c r="G761" s="15">
        <f>IF(ISBLANK(B761),"",ROUNDUP(B761*E761,0))</f>
        <v/>
      </c>
      <c r="H761" s="12">
        <f>IF(ISBLANK(G761),"",IF(G761&gt;=20,"Critical",IF(G761&gt;=15,"High",IF(G761&gt;=8,"Medium","Low"))))</f>
        <v/>
      </c>
    </row>
    <row r="762">
      <c r="B762" s="18">
        <f>IFERROR(VLOOKUP(A762,Risk_Assessment!$B$2:$H$1000,7,FALSE),"")</f>
        <v/>
      </c>
      <c r="E762" s="19">
        <f>IF(C762="No",1,IF(D762="N/A",1,IF(D762="Low (10% reduction)",0.9,IF(D762="Medium (30% reduction)",0.7,IF(D762="High (50% reduction)",0.5,IF(D762="Very High (70% reduction)",0.3,1))))))</f>
        <v/>
      </c>
      <c r="F762" s="18">
        <f>IF(ISBLANK(B762),"",ROUNDUP(SQRT(B762)*E762,0))</f>
        <v/>
      </c>
      <c r="G762" s="15">
        <f>IF(ISBLANK(B762),"",ROUNDUP(B762*E762,0))</f>
        <v/>
      </c>
      <c r="H762" s="12">
        <f>IF(ISBLANK(G762),"",IF(G762&gt;=20,"Critical",IF(G762&gt;=15,"High",IF(G762&gt;=8,"Medium","Low"))))</f>
        <v/>
      </c>
    </row>
    <row r="763">
      <c r="B763" s="18">
        <f>IFERROR(VLOOKUP(A763,Risk_Assessment!$B$2:$H$1000,7,FALSE),"")</f>
        <v/>
      </c>
      <c r="E763" s="19">
        <f>IF(C763="No",1,IF(D763="N/A",1,IF(D763="Low (10% reduction)",0.9,IF(D763="Medium (30% reduction)",0.7,IF(D763="High (50% reduction)",0.5,IF(D763="Very High (70% reduction)",0.3,1))))))</f>
        <v/>
      </c>
      <c r="F763" s="18">
        <f>IF(ISBLANK(B763),"",ROUNDUP(SQRT(B763)*E763,0))</f>
        <v/>
      </c>
      <c r="G763" s="15">
        <f>IF(ISBLANK(B763),"",ROUNDUP(B763*E763,0))</f>
        <v/>
      </c>
      <c r="H763" s="12">
        <f>IF(ISBLANK(G763),"",IF(G763&gt;=20,"Critical",IF(G763&gt;=15,"High",IF(G763&gt;=8,"Medium","Low"))))</f>
        <v/>
      </c>
    </row>
    <row r="764">
      <c r="B764" s="18">
        <f>IFERROR(VLOOKUP(A764,Risk_Assessment!$B$2:$H$1000,7,FALSE),"")</f>
        <v/>
      </c>
      <c r="E764" s="19">
        <f>IF(C764="No",1,IF(D764="N/A",1,IF(D764="Low (10% reduction)",0.9,IF(D764="Medium (30% reduction)",0.7,IF(D764="High (50% reduction)",0.5,IF(D764="Very High (70% reduction)",0.3,1))))))</f>
        <v/>
      </c>
      <c r="F764" s="18">
        <f>IF(ISBLANK(B764),"",ROUNDUP(SQRT(B764)*E764,0))</f>
        <v/>
      </c>
      <c r="G764" s="15">
        <f>IF(ISBLANK(B764),"",ROUNDUP(B764*E764,0))</f>
        <v/>
      </c>
      <c r="H764" s="12">
        <f>IF(ISBLANK(G764),"",IF(G764&gt;=20,"Critical",IF(G764&gt;=15,"High",IF(G764&gt;=8,"Medium","Low"))))</f>
        <v/>
      </c>
    </row>
    <row r="765">
      <c r="B765" s="18">
        <f>IFERROR(VLOOKUP(A765,Risk_Assessment!$B$2:$H$1000,7,FALSE),"")</f>
        <v/>
      </c>
      <c r="E765" s="19">
        <f>IF(C765="No",1,IF(D765="N/A",1,IF(D765="Low (10% reduction)",0.9,IF(D765="Medium (30% reduction)",0.7,IF(D765="High (50% reduction)",0.5,IF(D765="Very High (70% reduction)",0.3,1))))))</f>
        <v/>
      </c>
      <c r="F765" s="18">
        <f>IF(ISBLANK(B765),"",ROUNDUP(SQRT(B765)*E765,0))</f>
        <v/>
      </c>
      <c r="G765" s="15">
        <f>IF(ISBLANK(B765),"",ROUNDUP(B765*E765,0))</f>
        <v/>
      </c>
      <c r="H765" s="12">
        <f>IF(ISBLANK(G765),"",IF(G765&gt;=20,"Critical",IF(G765&gt;=15,"High",IF(G765&gt;=8,"Medium","Low"))))</f>
        <v/>
      </c>
    </row>
    <row r="766">
      <c r="B766" s="18">
        <f>IFERROR(VLOOKUP(A766,Risk_Assessment!$B$2:$H$1000,7,FALSE),"")</f>
        <v/>
      </c>
      <c r="E766" s="19">
        <f>IF(C766="No",1,IF(D766="N/A",1,IF(D766="Low (10% reduction)",0.9,IF(D766="Medium (30% reduction)",0.7,IF(D766="High (50% reduction)",0.5,IF(D766="Very High (70% reduction)",0.3,1))))))</f>
        <v/>
      </c>
      <c r="F766" s="18">
        <f>IF(ISBLANK(B766),"",ROUNDUP(SQRT(B766)*E766,0))</f>
        <v/>
      </c>
      <c r="G766" s="15">
        <f>IF(ISBLANK(B766),"",ROUNDUP(B766*E766,0))</f>
        <v/>
      </c>
      <c r="H766" s="12">
        <f>IF(ISBLANK(G766),"",IF(G766&gt;=20,"Critical",IF(G766&gt;=15,"High",IF(G766&gt;=8,"Medium","Low"))))</f>
        <v/>
      </c>
    </row>
    <row r="767">
      <c r="B767" s="18">
        <f>IFERROR(VLOOKUP(A767,Risk_Assessment!$B$2:$H$1000,7,FALSE),"")</f>
        <v/>
      </c>
      <c r="E767" s="19">
        <f>IF(C767="No",1,IF(D767="N/A",1,IF(D767="Low (10% reduction)",0.9,IF(D767="Medium (30% reduction)",0.7,IF(D767="High (50% reduction)",0.5,IF(D767="Very High (70% reduction)",0.3,1))))))</f>
        <v/>
      </c>
      <c r="F767" s="18">
        <f>IF(ISBLANK(B767),"",ROUNDUP(SQRT(B767)*E767,0))</f>
        <v/>
      </c>
      <c r="G767" s="15">
        <f>IF(ISBLANK(B767),"",ROUNDUP(B767*E767,0))</f>
        <v/>
      </c>
      <c r="H767" s="12">
        <f>IF(ISBLANK(G767),"",IF(G767&gt;=20,"Critical",IF(G767&gt;=15,"High",IF(G767&gt;=8,"Medium","Low"))))</f>
        <v/>
      </c>
    </row>
    <row r="768">
      <c r="B768" s="18">
        <f>IFERROR(VLOOKUP(A768,Risk_Assessment!$B$2:$H$1000,7,FALSE),"")</f>
        <v/>
      </c>
      <c r="E768" s="19">
        <f>IF(C768="No",1,IF(D768="N/A",1,IF(D768="Low (10% reduction)",0.9,IF(D768="Medium (30% reduction)",0.7,IF(D768="High (50% reduction)",0.5,IF(D768="Very High (70% reduction)",0.3,1))))))</f>
        <v/>
      </c>
      <c r="F768" s="18">
        <f>IF(ISBLANK(B768),"",ROUNDUP(SQRT(B768)*E768,0))</f>
        <v/>
      </c>
      <c r="G768" s="15">
        <f>IF(ISBLANK(B768),"",ROUNDUP(B768*E768,0))</f>
        <v/>
      </c>
      <c r="H768" s="12">
        <f>IF(ISBLANK(G768),"",IF(G768&gt;=20,"Critical",IF(G768&gt;=15,"High",IF(G768&gt;=8,"Medium","Low"))))</f>
        <v/>
      </c>
    </row>
    <row r="769">
      <c r="B769" s="18">
        <f>IFERROR(VLOOKUP(A769,Risk_Assessment!$B$2:$H$1000,7,FALSE),"")</f>
        <v/>
      </c>
      <c r="E769" s="19">
        <f>IF(C769="No",1,IF(D769="N/A",1,IF(D769="Low (10% reduction)",0.9,IF(D769="Medium (30% reduction)",0.7,IF(D769="High (50% reduction)",0.5,IF(D769="Very High (70% reduction)",0.3,1))))))</f>
        <v/>
      </c>
      <c r="F769" s="18">
        <f>IF(ISBLANK(B769),"",ROUNDUP(SQRT(B769)*E769,0))</f>
        <v/>
      </c>
      <c r="G769" s="15">
        <f>IF(ISBLANK(B769),"",ROUNDUP(B769*E769,0))</f>
        <v/>
      </c>
      <c r="H769" s="12">
        <f>IF(ISBLANK(G769),"",IF(G769&gt;=20,"Critical",IF(G769&gt;=15,"High",IF(G769&gt;=8,"Medium","Low"))))</f>
        <v/>
      </c>
    </row>
    <row r="770">
      <c r="B770" s="18">
        <f>IFERROR(VLOOKUP(A770,Risk_Assessment!$B$2:$H$1000,7,FALSE),"")</f>
        <v/>
      </c>
      <c r="E770" s="19">
        <f>IF(C770="No",1,IF(D770="N/A",1,IF(D770="Low (10% reduction)",0.9,IF(D770="Medium (30% reduction)",0.7,IF(D770="High (50% reduction)",0.5,IF(D770="Very High (70% reduction)",0.3,1))))))</f>
        <v/>
      </c>
      <c r="F770" s="18">
        <f>IF(ISBLANK(B770),"",ROUNDUP(SQRT(B770)*E770,0))</f>
        <v/>
      </c>
      <c r="G770" s="15">
        <f>IF(ISBLANK(B770),"",ROUNDUP(B770*E770,0))</f>
        <v/>
      </c>
      <c r="H770" s="12">
        <f>IF(ISBLANK(G770),"",IF(G770&gt;=20,"Critical",IF(G770&gt;=15,"High",IF(G770&gt;=8,"Medium","Low"))))</f>
        <v/>
      </c>
    </row>
    <row r="771">
      <c r="B771" s="18">
        <f>IFERROR(VLOOKUP(A771,Risk_Assessment!$B$2:$H$1000,7,FALSE),"")</f>
        <v/>
      </c>
      <c r="E771" s="19">
        <f>IF(C771="No",1,IF(D771="N/A",1,IF(D771="Low (10% reduction)",0.9,IF(D771="Medium (30% reduction)",0.7,IF(D771="High (50% reduction)",0.5,IF(D771="Very High (70% reduction)",0.3,1))))))</f>
        <v/>
      </c>
      <c r="F771" s="18">
        <f>IF(ISBLANK(B771),"",ROUNDUP(SQRT(B771)*E771,0))</f>
        <v/>
      </c>
      <c r="G771" s="15">
        <f>IF(ISBLANK(B771),"",ROUNDUP(B771*E771,0))</f>
        <v/>
      </c>
      <c r="H771" s="12">
        <f>IF(ISBLANK(G771),"",IF(G771&gt;=20,"Critical",IF(G771&gt;=15,"High",IF(G771&gt;=8,"Medium","Low"))))</f>
        <v/>
      </c>
    </row>
    <row r="772">
      <c r="B772" s="18">
        <f>IFERROR(VLOOKUP(A772,Risk_Assessment!$B$2:$H$1000,7,FALSE),"")</f>
        <v/>
      </c>
      <c r="E772" s="19">
        <f>IF(C772="No",1,IF(D772="N/A",1,IF(D772="Low (10% reduction)",0.9,IF(D772="Medium (30% reduction)",0.7,IF(D772="High (50% reduction)",0.5,IF(D772="Very High (70% reduction)",0.3,1))))))</f>
        <v/>
      </c>
      <c r="F772" s="18">
        <f>IF(ISBLANK(B772),"",ROUNDUP(SQRT(B772)*E772,0))</f>
        <v/>
      </c>
      <c r="G772" s="15">
        <f>IF(ISBLANK(B772),"",ROUNDUP(B772*E772,0))</f>
        <v/>
      </c>
      <c r="H772" s="12">
        <f>IF(ISBLANK(G772),"",IF(G772&gt;=20,"Critical",IF(G772&gt;=15,"High",IF(G772&gt;=8,"Medium","Low"))))</f>
        <v/>
      </c>
    </row>
    <row r="773">
      <c r="B773" s="18">
        <f>IFERROR(VLOOKUP(A773,Risk_Assessment!$B$2:$H$1000,7,FALSE),"")</f>
        <v/>
      </c>
      <c r="E773" s="19">
        <f>IF(C773="No",1,IF(D773="N/A",1,IF(D773="Low (10% reduction)",0.9,IF(D773="Medium (30% reduction)",0.7,IF(D773="High (50% reduction)",0.5,IF(D773="Very High (70% reduction)",0.3,1))))))</f>
        <v/>
      </c>
      <c r="F773" s="18">
        <f>IF(ISBLANK(B773),"",ROUNDUP(SQRT(B773)*E773,0))</f>
        <v/>
      </c>
      <c r="G773" s="15">
        <f>IF(ISBLANK(B773),"",ROUNDUP(B773*E773,0))</f>
        <v/>
      </c>
      <c r="H773" s="12">
        <f>IF(ISBLANK(G773),"",IF(G773&gt;=20,"Critical",IF(G773&gt;=15,"High",IF(G773&gt;=8,"Medium","Low"))))</f>
        <v/>
      </c>
    </row>
    <row r="774">
      <c r="B774" s="18">
        <f>IFERROR(VLOOKUP(A774,Risk_Assessment!$B$2:$H$1000,7,FALSE),"")</f>
        <v/>
      </c>
      <c r="E774" s="19">
        <f>IF(C774="No",1,IF(D774="N/A",1,IF(D774="Low (10% reduction)",0.9,IF(D774="Medium (30% reduction)",0.7,IF(D774="High (50% reduction)",0.5,IF(D774="Very High (70% reduction)",0.3,1))))))</f>
        <v/>
      </c>
      <c r="F774" s="18">
        <f>IF(ISBLANK(B774),"",ROUNDUP(SQRT(B774)*E774,0))</f>
        <v/>
      </c>
      <c r="G774" s="15">
        <f>IF(ISBLANK(B774),"",ROUNDUP(B774*E774,0))</f>
        <v/>
      </c>
      <c r="H774" s="12">
        <f>IF(ISBLANK(G774),"",IF(G774&gt;=20,"Critical",IF(G774&gt;=15,"High",IF(G774&gt;=8,"Medium","Low"))))</f>
        <v/>
      </c>
    </row>
    <row r="775">
      <c r="B775" s="18">
        <f>IFERROR(VLOOKUP(A775,Risk_Assessment!$B$2:$H$1000,7,FALSE),"")</f>
        <v/>
      </c>
      <c r="E775" s="19">
        <f>IF(C775="No",1,IF(D775="N/A",1,IF(D775="Low (10% reduction)",0.9,IF(D775="Medium (30% reduction)",0.7,IF(D775="High (50% reduction)",0.5,IF(D775="Very High (70% reduction)",0.3,1))))))</f>
        <v/>
      </c>
      <c r="F775" s="18">
        <f>IF(ISBLANK(B775),"",ROUNDUP(SQRT(B775)*E775,0))</f>
        <v/>
      </c>
      <c r="G775" s="15">
        <f>IF(ISBLANK(B775),"",ROUNDUP(B775*E775,0))</f>
        <v/>
      </c>
      <c r="H775" s="12">
        <f>IF(ISBLANK(G775),"",IF(G775&gt;=20,"Critical",IF(G775&gt;=15,"High",IF(G775&gt;=8,"Medium","Low"))))</f>
        <v/>
      </c>
    </row>
    <row r="776">
      <c r="B776" s="18">
        <f>IFERROR(VLOOKUP(A776,Risk_Assessment!$B$2:$H$1000,7,FALSE),"")</f>
        <v/>
      </c>
      <c r="E776" s="19">
        <f>IF(C776="No",1,IF(D776="N/A",1,IF(D776="Low (10% reduction)",0.9,IF(D776="Medium (30% reduction)",0.7,IF(D776="High (50% reduction)",0.5,IF(D776="Very High (70% reduction)",0.3,1))))))</f>
        <v/>
      </c>
      <c r="F776" s="18">
        <f>IF(ISBLANK(B776),"",ROUNDUP(SQRT(B776)*E776,0))</f>
        <v/>
      </c>
      <c r="G776" s="15">
        <f>IF(ISBLANK(B776),"",ROUNDUP(B776*E776,0))</f>
        <v/>
      </c>
      <c r="H776" s="12">
        <f>IF(ISBLANK(G776),"",IF(G776&gt;=20,"Critical",IF(G776&gt;=15,"High",IF(G776&gt;=8,"Medium","Low"))))</f>
        <v/>
      </c>
    </row>
    <row r="777">
      <c r="B777" s="18">
        <f>IFERROR(VLOOKUP(A777,Risk_Assessment!$B$2:$H$1000,7,FALSE),"")</f>
        <v/>
      </c>
      <c r="E777" s="19">
        <f>IF(C777="No",1,IF(D777="N/A",1,IF(D777="Low (10% reduction)",0.9,IF(D777="Medium (30% reduction)",0.7,IF(D777="High (50% reduction)",0.5,IF(D777="Very High (70% reduction)",0.3,1))))))</f>
        <v/>
      </c>
      <c r="F777" s="18">
        <f>IF(ISBLANK(B777),"",ROUNDUP(SQRT(B777)*E777,0))</f>
        <v/>
      </c>
      <c r="G777" s="15">
        <f>IF(ISBLANK(B777),"",ROUNDUP(B777*E777,0))</f>
        <v/>
      </c>
      <c r="H777" s="12">
        <f>IF(ISBLANK(G777),"",IF(G777&gt;=20,"Critical",IF(G777&gt;=15,"High",IF(G777&gt;=8,"Medium","Low"))))</f>
        <v/>
      </c>
    </row>
    <row r="778">
      <c r="B778" s="18">
        <f>IFERROR(VLOOKUP(A778,Risk_Assessment!$B$2:$H$1000,7,FALSE),"")</f>
        <v/>
      </c>
      <c r="E778" s="19">
        <f>IF(C778="No",1,IF(D778="N/A",1,IF(D778="Low (10% reduction)",0.9,IF(D778="Medium (30% reduction)",0.7,IF(D778="High (50% reduction)",0.5,IF(D778="Very High (70% reduction)",0.3,1))))))</f>
        <v/>
      </c>
      <c r="F778" s="18">
        <f>IF(ISBLANK(B778),"",ROUNDUP(SQRT(B778)*E778,0))</f>
        <v/>
      </c>
      <c r="G778" s="15">
        <f>IF(ISBLANK(B778),"",ROUNDUP(B778*E778,0))</f>
        <v/>
      </c>
      <c r="H778" s="12">
        <f>IF(ISBLANK(G778),"",IF(G778&gt;=20,"Critical",IF(G778&gt;=15,"High",IF(G778&gt;=8,"Medium","Low"))))</f>
        <v/>
      </c>
    </row>
    <row r="779">
      <c r="B779" s="18">
        <f>IFERROR(VLOOKUP(A779,Risk_Assessment!$B$2:$H$1000,7,FALSE),"")</f>
        <v/>
      </c>
      <c r="E779" s="19">
        <f>IF(C779="No",1,IF(D779="N/A",1,IF(D779="Low (10% reduction)",0.9,IF(D779="Medium (30% reduction)",0.7,IF(D779="High (50% reduction)",0.5,IF(D779="Very High (70% reduction)",0.3,1))))))</f>
        <v/>
      </c>
      <c r="F779" s="18">
        <f>IF(ISBLANK(B779),"",ROUNDUP(SQRT(B779)*E779,0))</f>
        <v/>
      </c>
      <c r="G779" s="15">
        <f>IF(ISBLANK(B779),"",ROUNDUP(B779*E779,0))</f>
        <v/>
      </c>
      <c r="H779" s="12">
        <f>IF(ISBLANK(G779),"",IF(G779&gt;=20,"Critical",IF(G779&gt;=15,"High",IF(G779&gt;=8,"Medium","Low"))))</f>
        <v/>
      </c>
    </row>
    <row r="780">
      <c r="B780" s="18">
        <f>IFERROR(VLOOKUP(A780,Risk_Assessment!$B$2:$H$1000,7,FALSE),"")</f>
        <v/>
      </c>
      <c r="E780" s="19">
        <f>IF(C780="No",1,IF(D780="N/A",1,IF(D780="Low (10% reduction)",0.9,IF(D780="Medium (30% reduction)",0.7,IF(D780="High (50% reduction)",0.5,IF(D780="Very High (70% reduction)",0.3,1))))))</f>
        <v/>
      </c>
      <c r="F780" s="18">
        <f>IF(ISBLANK(B780),"",ROUNDUP(SQRT(B780)*E780,0))</f>
        <v/>
      </c>
      <c r="G780" s="15">
        <f>IF(ISBLANK(B780),"",ROUNDUP(B780*E780,0))</f>
        <v/>
      </c>
      <c r="H780" s="12">
        <f>IF(ISBLANK(G780),"",IF(G780&gt;=20,"Critical",IF(G780&gt;=15,"High",IF(G780&gt;=8,"Medium","Low"))))</f>
        <v/>
      </c>
    </row>
    <row r="781">
      <c r="B781" s="18">
        <f>IFERROR(VLOOKUP(A781,Risk_Assessment!$B$2:$H$1000,7,FALSE),"")</f>
        <v/>
      </c>
      <c r="E781" s="19">
        <f>IF(C781="No",1,IF(D781="N/A",1,IF(D781="Low (10% reduction)",0.9,IF(D781="Medium (30% reduction)",0.7,IF(D781="High (50% reduction)",0.5,IF(D781="Very High (70% reduction)",0.3,1))))))</f>
        <v/>
      </c>
      <c r="F781" s="18">
        <f>IF(ISBLANK(B781),"",ROUNDUP(SQRT(B781)*E781,0))</f>
        <v/>
      </c>
      <c r="G781" s="15">
        <f>IF(ISBLANK(B781),"",ROUNDUP(B781*E781,0))</f>
        <v/>
      </c>
      <c r="H781" s="12">
        <f>IF(ISBLANK(G781),"",IF(G781&gt;=20,"Critical",IF(G781&gt;=15,"High",IF(G781&gt;=8,"Medium","Low"))))</f>
        <v/>
      </c>
    </row>
    <row r="782">
      <c r="B782" s="18">
        <f>IFERROR(VLOOKUP(A782,Risk_Assessment!$B$2:$H$1000,7,FALSE),"")</f>
        <v/>
      </c>
      <c r="E782" s="19">
        <f>IF(C782="No",1,IF(D782="N/A",1,IF(D782="Low (10% reduction)",0.9,IF(D782="Medium (30% reduction)",0.7,IF(D782="High (50% reduction)",0.5,IF(D782="Very High (70% reduction)",0.3,1))))))</f>
        <v/>
      </c>
      <c r="F782" s="18">
        <f>IF(ISBLANK(B782),"",ROUNDUP(SQRT(B782)*E782,0))</f>
        <v/>
      </c>
      <c r="G782" s="15">
        <f>IF(ISBLANK(B782),"",ROUNDUP(B782*E782,0))</f>
        <v/>
      </c>
      <c r="H782" s="12">
        <f>IF(ISBLANK(G782),"",IF(G782&gt;=20,"Critical",IF(G782&gt;=15,"High",IF(G782&gt;=8,"Medium","Low"))))</f>
        <v/>
      </c>
    </row>
    <row r="783">
      <c r="B783" s="18">
        <f>IFERROR(VLOOKUP(A783,Risk_Assessment!$B$2:$H$1000,7,FALSE),"")</f>
        <v/>
      </c>
      <c r="E783" s="19">
        <f>IF(C783="No",1,IF(D783="N/A",1,IF(D783="Low (10% reduction)",0.9,IF(D783="Medium (30% reduction)",0.7,IF(D783="High (50% reduction)",0.5,IF(D783="Very High (70% reduction)",0.3,1))))))</f>
        <v/>
      </c>
      <c r="F783" s="18">
        <f>IF(ISBLANK(B783),"",ROUNDUP(SQRT(B783)*E783,0))</f>
        <v/>
      </c>
      <c r="G783" s="15">
        <f>IF(ISBLANK(B783),"",ROUNDUP(B783*E783,0))</f>
        <v/>
      </c>
      <c r="H783" s="12">
        <f>IF(ISBLANK(G783),"",IF(G783&gt;=20,"Critical",IF(G783&gt;=15,"High",IF(G783&gt;=8,"Medium","Low"))))</f>
        <v/>
      </c>
    </row>
    <row r="784">
      <c r="B784" s="18">
        <f>IFERROR(VLOOKUP(A784,Risk_Assessment!$B$2:$H$1000,7,FALSE),"")</f>
        <v/>
      </c>
      <c r="E784" s="19">
        <f>IF(C784="No",1,IF(D784="N/A",1,IF(D784="Low (10% reduction)",0.9,IF(D784="Medium (30% reduction)",0.7,IF(D784="High (50% reduction)",0.5,IF(D784="Very High (70% reduction)",0.3,1))))))</f>
        <v/>
      </c>
      <c r="F784" s="18">
        <f>IF(ISBLANK(B784),"",ROUNDUP(SQRT(B784)*E784,0))</f>
        <v/>
      </c>
      <c r="G784" s="15">
        <f>IF(ISBLANK(B784),"",ROUNDUP(B784*E784,0))</f>
        <v/>
      </c>
      <c r="H784" s="12">
        <f>IF(ISBLANK(G784),"",IF(G784&gt;=20,"Critical",IF(G784&gt;=15,"High",IF(G784&gt;=8,"Medium","Low"))))</f>
        <v/>
      </c>
    </row>
    <row r="785">
      <c r="B785" s="18">
        <f>IFERROR(VLOOKUP(A785,Risk_Assessment!$B$2:$H$1000,7,FALSE),"")</f>
        <v/>
      </c>
      <c r="E785" s="19">
        <f>IF(C785="No",1,IF(D785="N/A",1,IF(D785="Low (10% reduction)",0.9,IF(D785="Medium (30% reduction)",0.7,IF(D785="High (50% reduction)",0.5,IF(D785="Very High (70% reduction)",0.3,1))))))</f>
        <v/>
      </c>
      <c r="F785" s="18">
        <f>IF(ISBLANK(B785),"",ROUNDUP(SQRT(B785)*E785,0))</f>
        <v/>
      </c>
      <c r="G785" s="15">
        <f>IF(ISBLANK(B785),"",ROUNDUP(B785*E785,0))</f>
        <v/>
      </c>
      <c r="H785" s="12">
        <f>IF(ISBLANK(G785),"",IF(G785&gt;=20,"Critical",IF(G785&gt;=15,"High",IF(G785&gt;=8,"Medium","Low"))))</f>
        <v/>
      </c>
    </row>
    <row r="786">
      <c r="B786" s="18">
        <f>IFERROR(VLOOKUP(A786,Risk_Assessment!$B$2:$H$1000,7,FALSE),"")</f>
        <v/>
      </c>
      <c r="E786" s="19">
        <f>IF(C786="No",1,IF(D786="N/A",1,IF(D786="Low (10% reduction)",0.9,IF(D786="Medium (30% reduction)",0.7,IF(D786="High (50% reduction)",0.5,IF(D786="Very High (70% reduction)",0.3,1))))))</f>
        <v/>
      </c>
      <c r="F786" s="18">
        <f>IF(ISBLANK(B786),"",ROUNDUP(SQRT(B786)*E786,0))</f>
        <v/>
      </c>
      <c r="G786" s="15">
        <f>IF(ISBLANK(B786),"",ROUNDUP(B786*E786,0))</f>
        <v/>
      </c>
      <c r="H786" s="12">
        <f>IF(ISBLANK(G786),"",IF(G786&gt;=20,"Critical",IF(G786&gt;=15,"High",IF(G786&gt;=8,"Medium","Low"))))</f>
        <v/>
      </c>
    </row>
    <row r="787">
      <c r="B787" s="18">
        <f>IFERROR(VLOOKUP(A787,Risk_Assessment!$B$2:$H$1000,7,FALSE),"")</f>
        <v/>
      </c>
      <c r="E787" s="19">
        <f>IF(C787="No",1,IF(D787="N/A",1,IF(D787="Low (10% reduction)",0.9,IF(D787="Medium (30% reduction)",0.7,IF(D787="High (50% reduction)",0.5,IF(D787="Very High (70% reduction)",0.3,1))))))</f>
        <v/>
      </c>
      <c r="F787" s="18">
        <f>IF(ISBLANK(B787),"",ROUNDUP(SQRT(B787)*E787,0))</f>
        <v/>
      </c>
      <c r="G787" s="15">
        <f>IF(ISBLANK(B787),"",ROUNDUP(B787*E787,0))</f>
        <v/>
      </c>
      <c r="H787" s="12">
        <f>IF(ISBLANK(G787),"",IF(G787&gt;=20,"Critical",IF(G787&gt;=15,"High",IF(G787&gt;=8,"Medium","Low"))))</f>
        <v/>
      </c>
    </row>
    <row r="788">
      <c r="B788" s="18">
        <f>IFERROR(VLOOKUP(A788,Risk_Assessment!$B$2:$H$1000,7,FALSE),"")</f>
        <v/>
      </c>
      <c r="E788" s="19">
        <f>IF(C788="No",1,IF(D788="N/A",1,IF(D788="Low (10% reduction)",0.9,IF(D788="Medium (30% reduction)",0.7,IF(D788="High (50% reduction)",0.5,IF(D788="Very High (70% reduction)",0.3,1))))))</f>
        <v/>
      </c>
      <c r="F788" s="18">
        <f>IF(ISBLANK(B788),"",ROUNDUP(SQRT(B788)*E788,0))</f>
        <v/>
      </c>
      <c r="G788" s="15">
        <f>IF(ISBLANK(B788),"",ROUNDUP(B788*E788,0))</f>
        <v/>
      </c>
      <c r="H788" s="12">
        <f>IF(ISBLANK(G788),"",IF(G788&gt;=20,"Critical",IF(G788&gt;=15,"High",IF(G788&gt;=8,"Medium","Low"))))</f>
        <v/>
      </c>
    </row>
    <row r="789">
      <c r="B789" s="18">
        <f>IFERROR(VLOOKUP(A789,Risk_Assessment!$B$2:$H$1000,7,FALSE),"")</f>
        <v/>
      </c>
      <c r="E789" s="19">
        <f>IF(C789="No",1,IF(D789="N/A",1,IF(D789="Low (10% reduction)",0.9,IF(D789="Medium (30% reduction)",0.7,IF(D789="High (50% reduction)",0.5,IF(D789="Very High (70% reduction)",0.3,1))))))</f>
        <v/>
      </c>
      <c r="F789" s="18">
        <f>IF(ISBLANK(B789),"",ROUNDUP(SQRT(B789)*E789,0))</f>
        <v/>
      </c>
      <c r="G789" s="15">
        <f>IF(ISBLANK(B789),"",ROUNDUP(B789*E789,0))</f>
        <v/>
      </c>
      <c r="H789" s="12">
        <f>IF(ISBLANK(G789),"",IF(G789&gt;=20,"Critical",IF(G789&gt;=15,"High",IF(G789&gt;=8,"Medium","Low"))))</f>
        <v/>
      </c>
    </row>
    <row r="790">
      <c r="B790" s="18">
        <f>IFERROR(VLOOKUP(A790,Risk_Assessment!$B$2:$H$1000,7,FALSE),"")</f>
        <v/>
      </c>
      <c r="E790" s="19">
        <f>IF(C790="No",1,IF(D790="N/A",1,IF(D790="Low (10% reduction)",0.9,IF(D790="Medium (30% reduction)",0.7,IF(D790="High (50% reduction)",0.5,IF(D790="Very High (70% reduction)",0.3,1))))))</f>
        <v/>
      </c>
      <c r="F790" s="18">
        <f>IF(ISBLANK(B790),"",ROUNDUP(SQRT(B790)*E790,0))</f>
        <v/>
      </c>
      <c r="G790" s="15">
        <f>IF(ISBLANK(B790),"",ROUNDUP(B790*E790,0))</f>
        <v/>
      </c>
      <c r="H790" s="12">
        <f>IF(ISBLANK(G790),"",IF(G790&gt;=20,"Critical",IF(G790&gt;=15,"High",IF(G790&gt;=8,"Medium","Low"))))</f>
        <v/>
      </c>
    </row>
    <row r="791">
      <c r="B791" s="18">
        <f>IFERROR(VLOOKUP(A791,Risk_Assessment!$B$2:$H$1000,7,FALSE),"")</f>
        <v/>
      </c>
      <c r="E791" s="19">
        <f>IF(C791="No",1,IF(D791="N/A",1,IF(D791="Low (10% reduction)",0.9,IF(D791="Medium (30% reduction)",0.7,IF(D791="High (50% reduction)",0.5,IF(D791="Very High (70% reduction)",0.3,1))))))</f>
        <v/>
      </c>
      <c r="F791" s="18">
        <f>IF(ISBLANK(B791),"",ROUNDUP(SQRT(B791)*E791,0))</f>
        <v/>
      </c>
      <c r="G791" s="15">
        <f>IF(ISBLANK(B791),"",ROUNDUP(B791*E791,0))</f>
        <v/>
      </c>
      <c r="H791" s="12">
        <f>IF(ISBLANK(G791),"",IF(G791&gt;=20,"Critical",IF(G791&gt;=15,"High",IF(G791&gt;=8,"Medium","Low"))))</f>
        <v/>
      </c>
    </row>
    <row r="792">
      <c r="B792" s="18">
        <f>IFERROR(VLOOKUP(A792,Risk_Assessment!$B$2:$H$1000,7,FALSE),"")</f>
        <v/>
      </c>
      <c r="E792" s="19">
        <f>IF(C792="No",1,IF(D792="N/A",1,IF(D792="Low (10% reduction)",0.9,IF(D792="Medium (30% reduction)",0.7,IF(D792="High (50% reduction)",0.5,IF(D792="Very High (70% reduction)",0.3,1))))))</f>
        <v/>
      </c>
      <c r="F792" s="18">
        <f>IF(ISBLANK(B792),"",ROUNDUP(SQRT(B792)*E792,0))</f>
        <v/>
      </c>
      <c r="G792" s="15">
        <f>IF(ISBLANK(B792),"",ROUNDUP(B792*E792,0))</f>
        <v/>
      </c>
      <c r="H792" s="12">
        <f>IF(ISBLANK(G792),"",IF(G792&gt;=20,"Critical",IF(G792&gt;=15,"High",IF(G792&gt;=8,"Medium","Low"))))</f>
        <v/>
      </c>
    </row>
    <row r="793">
      <c r="B793" s="18">
        <f>IFERROR(VLOOKUP(A793,Risk_Assessment!$B$2:$H$1000,7,FALSE),"")</f>
        <v/>
      </c>
      <c r="E793" s="19">
        <f>IF(C793="No",1,IF(D793="N/A",1,IF(D793="Low (10% reduction)",0.9,IF(D793="Medium (30% reduction)",0.7,IF(D793="High (50% reduction)",0.5,IF(D793="Very High (70% reduction)",0.3,1))))))</f>
        <v/>
      </c>
      <c r="F793" s="18">
        <f>IF(ISBLANK(B793),"",ROUNDUP(SQRT(B793)*E793,0))</f>
        <v/>
      </c>
      <c r="G793" s="15">
        <f>IF(ISBLANK(B793),"",ROUNDUP(B793*E793,0))</f>
        <v/>
      </c>
      <c r="H793" s="12">
        <f>IF(ISBLANK(G793),"",IF(G793&gt;=20,"Critical",IF(G793&gt;=15,"High",IF(G793&gt;=8,"Medium","Low"))))</f>
        <v/>
      </c>
    </row>
    <row r="794">
      <c r="B794" s="18">
        <f>IFERROR(VLOOKUP(A794,Risk_Assessment!$B$2:$H$1000,7,FALSE),"")</f>
        <v/>
      </c>
      <c r="E794" s="19">
        <f>IF(C794="No",1,IF(D794="N/A",1,IF(D794="Low (10% reduction)",0.9,IF(D794="Medium (30% reduction)",0.7,IF(D794="High (50% reduction)",0.5,IF(D794="Very High (70% reduction)",0.3,1))))))</f>
        <v/>
      </c>
      <c r="F794" s="18">
        <f>IF(ISBLANK(B794),"",ROUNDUP(SQRT(B794)*E794,0))</f>
        <v/>
      </c>
      <c r="G794" s="15">
        <f>IF(ISBLANK(B794),"",ROUNDUP(B794*E794,0))</f>
        <v/>
      </c>
      <c r="H794" s="12">
        <f>IF(ISBLANK(G794),"",IF(G794&gt;=20,"Critical",IF(G794&gt;=15,"High",IF(G794&gt;=8,"Medium","Low"))))</f>
        <v/>
      </c>
    </row>
    <row r="795">
      <c r="B795" s="18">
        <f>IFERROR(VLOOKUP(A795,Risk_Assessment!$B$2:$H$1000,7,FALSE),"")</f>
        <v/>
      </c>
      <c r="E795" s="19">
        <f>IF(C795="No",1,IF(D795="N/A",1,IF(D795="Low (10% reduction)",0.9,IF(D795="Medium (30% reduction)",0.7,IF(D795="High (50% reduction)",0.5,IF(D795="Very High (70% reduction)",0.3,1))))))</f>
        <v/>
      </c>
      <c r="F795" s="18">
        <f>IF(ISBLANK(B795),"",ROUNDUP(SQRT(B795)*E795,0))</f>
        <v/>
      </c>
      <c r="G795" s="15">
        <f>IF(ISBLANK(B795),"",ROUNDUP(B795*E795,0))</f>
        <v/>
      </c>
      <c r="H795" s="12">
        <f>IF(ISBLANK(G795),"",IF(G795&gt;=20,"Critical",IF(G795&gt;=15,"High",IF(G795&gt;=8,"Medium","Low"))))</f>
        <v/>
      </c>
    </row>
    <row r="796">
      <c r="B796" s="18">
        <f>IFERROR(VLOOKUP(A796,Risk_Assessment!$B$2:$H$1000,7,FALSE),"")</f>
        <v/>
      </c>
      <c r="E796" s="19">
        <f>IF(C796="No",1,IF(D796="N/A",1,IF(D796="Low (10% reduction)",0.9,IF(D796="Medium (30% reduction)",0.7,IF(D796="High (50% reduction)",0.5,IF(D796="Very High (70% reduction)",0.3,1))))))</f>
        <v/>
      </c>
      <c r="F796" s="18">
        <f>IF(ISBLANK(B796),"",ROUNDUP(SQRT(B796)*E796,0))</f>
        <v/>
      </c>
      <c r="G796" s="15">
        <f>IF(ISBLANK(B796),"",ROUNDUP(B796*E796,0))</f>
        <v/>
      </c>
      <c r="H796" s="12">
        <f>IF(ISBLANK(G796),"",IF(G796&gt;=20,"Critical",IF(G796&gt;=15,"High",IF(G796&gt;=8,"Medium","Low"))))</f>
        <v/>
      </c>
    </row>
    <row r="797">
      <c r="B797" s="18">
        <f>IFERROR(VLOOKUP(A797,Risk_Assessment!$B$2:$H$1000,7,FALSE),"")</f>
        <v/>
      </c>
      <c r="E797" s="19">
        <f>IF(C797="No",1,IF(D797="N/A",1,IF(D797="Low (10% reduction)",0.9,IF(D797="Medium (30% reduction)",0.7,IF(D797="High (50% reduction)",0.5,IF(D797="Very High (70% reduction)",0.3,1))))))</f>
        <v/>
      </c>
      <c r="F797" s="18">
        <f>IF(ISBLANK(B797),"",ROUNDUP(SQRT(B797)*E797,0))</f>
        <v/>
      </c>
      <c r="G797" s="15">
        <f>IF(ISBLANK(B797),"",ROUNDUP(B797*E797,0))</f>
        <v/>
      </c>
      <c r="H797" s="12">
        <f>IF(ISBLANK(G797),"",IF(G797&gt;=20,"Critical",IF(G797&gt;=15,"High",IF(G797&gt;=8,"Medium","Low"))))</f>
        <v/>
      </c>
    </row>
    <row r="798">
      <c r="B798" s="18">
        <f>IFERROR(VLOOKUP(A798,Risk_Assessment!$B$2:$H$1000,7,FALSE),"")</f>
        <v/>
      </c>
      <c r="E798" s="19">
        <f>IF(C798="No",1,IF(D798="N/A",1,IF(D798="Low (10% reduction)",0.9,IF(D798="Medium (30% reduction)",0.7,IF(D798="High (50% reduction)",0.5,IF(D798="Very High (70% reduction)",0.3,1))))))</f>
        <v/>
      </c>
      <c r="F798" s="18">
        <f>IF(ISBLANK(B798),"",ROUNDUP(SQRT(B798)*E798,0))</f>
        <v/>
      </c>
      <c r="G798" s="15">
        <f>IF(ISBLANK(B798),"",ROUNDUP(B798*E798,0))</f>
        <v/>
      </c>
      <c r="H798" s="12">
        <f>IF(ISBLANK(G798),"",IF(G798&gt;=20,"Critical",IF(G798&gt;=15,"High",IF(G798&gt;=8,"Medium","Low"))))</f>
        <v/>
      </c>
    </row>
    <row r="799">
      <c r="B799" s="18">
        <f>IFERROR(VLOOKUP(A799,Risk_Assessment!$B$2:$H$1000,7,FALSE),"")</f>
        <v/>
      </c>
      <c r="E799" s="19">
        <f>IF(C799="No",1,IF(D799="N/A",1,IF(D799="Low (10% reduction)",0.9,IF(D799="Medium (30% reduction)",0.7,IF(D799="High (50% reduction)",0.5,IF(D799="Very High (70% reduction)",0.3,1))))))</f>
        <v/>
      </c>
      <c r="F799" s="18">
        <f>IF(ISBLANK(B799),"",ROUNDUP(SQRT(B799)*E799,0))</f>
        <v/>
      </c>
      <c r="G799" s="15">
        <f>IF(ISBLANK(B799),"",ROUNDUP(B799*E799,0))</f>
        <v/>
      </c>
      <c r="H799" s="12">
        <f>IF(ISBLANK(G799),"",IF(G799&gt;=20,"Critical",IF(G799&gt;=15,"High",IF(G799&gt;=8,"Medium","Low"))))</f>
        <v/>
      </c>
    </row>
    <row r="800">
      <c r="B800" s="18">
        <f>IFERROR(VLOOKUP(A800,Risk_Assessment!$B$2:$H$1000,7,FALSE),"")</f>
        <v/>
      </c>
      <c r="E800" s="19">
        <f>IF(C800="No",1,IF(D800="N/A",1,IF(D800="Low (10% reduction)",0.9,IF(D800="Medium (30% reduction)",0.7,IF(D800="High (50% reduction)",0.5,IF(D800="Very High (70% reduction)",0.3,1))))))</f>
        <v/>
      </c>
      <c r="F800" s="18">
        <f>IF(ISBLANK(B800),"",ROUNDUP(SQRT(B800)*E800,0))</f>
        <v/>
      </c>
      <c r="G800" s="15">
        <f>IF(ISBLANK(B800),"",ROUNDUP(B800*E800,0))</f>
        <v/>
      </c>
      <c r="H800" s="12">
        <f>IF(ISBLANK(G800),"",IF(G800&gt;=20,"Critical",IF(G800&gt;=15,"High",IF(G800&gt;=8,"Medium","Low"))))</f>
        <v/>
      </c>
    </row>
    <row r="801">
      <c r="B801" s="18">
        <f>IFERROR(VLOOKUP(A801,Risk_Assessment!$B$2:$H$1000,7,FALSE),"")</f>
        <v/>
      </c>
      <c r="E801" s="19">
        <f>IF(C801="No",1,IF(D801="N/A",1,IF(D801="Low (10% reduction)",0.9,IF(D801="Medium (30% reduction)",0.7,IF(D801="High (50% reduction)",0.5,IF(D801="Very High (70% reduction)",0.3,1))))))</f>
        <v/>
      </c>
      <c r="F801" s="18">
        <f>IF(ISBLANK(B801),"",ROUNDUP(SQRT(B801)*E801,0))</f>
        <v/>
      </c>
      <c r="G801" s="15">
        <f>IF(ISBLANK(B801),"",ROUNDUP(B801*E801,0))</f>
        <v/>
      </c>
      <c r="H801" s="12">
        <f>IF(ISBLANK(G801),"",IF(G801&gt;=20,"Critical",IF(G801&gt;=15,"High",IF(G801&gt;=8,"Medium","Low"))))</f>
        <v/>
      </c>
    </row>
    <row r="802">
      <c r="B802" s="18">
        <f>IFERROR(VLOOKUP(A802,Risk_Assessment!$B$2:$H$1000,7,FALSE),"")</f>
        <v/>
      </c>
      <c r="E802" s="19">
        <f>IF(C802="No",1,IF(D802="N/A",1,IF(D802="Low (10% reduction)",0.9,IF(D802="Medium (30% reduction)",0.7,IF(D802="High (50% reduction)",0.5,IF(D802="Very High (70% reduction)",0.3,1))))))</f>
        <v/>
      </c>
      <c r="F802" s="18">
        <f>IF(ISBLANK(B802),"",ROUNDUP(SQRT(B802)*E802,0))</f>
        <v/>
      </c>
      <c r="G802" s="15">
        <f>IF(ISBLANK(B802),"",ROUNDUP(B802*E802,0))</f>
        <v/>
      </c>
      <c r="H802" s="12">
        <f>IF(ISBLANK(G802),"",IF(G802&gt;=20,"Critical",IF(G802&gt;=15,"High",IF(G802&gt;=8,"Medium","Low"))))</f>
        <v/>
      </c>
    </row>
    <row r="803">
      <c r="B803" s="18">
        <f>IFERROR(VLOOKUP(A803,Risk_Assessment!$B$2:$H$1000,7,FALSE),"")</f>
        <v/>
      </c>
      <c r="E803" s="19">
        <f>IF(C803="No",1,IF(D803="N/A",1,IF(D803="Low (10% reduction)",0.9,IF(D803="Medium (30% reduction)",0.7,IF(D803="High (50% reduction)",0.5,IF(D803="Very High (70% reduction)",0.3,1))))))</f>
        <v/>
      </c>
      <c r="F803" s="18">
        <f>IF(ISBLANK(B803),"",ROUNDUP(SQRT(B803)*E803,0))</f>
        <v/>
      </c>
      <c r="G803" s="15">
        <f>IF(ISBLANK(B803),"",ROUNDUP(B803*E803,0))</f>
        <v/>
      </c>
      <c r="H803" s="12">
        <f>IF(ISBLANK(G803),"",IF(G803&gt;=20,"Critical",IF(G803&gt;=15,"High",IF(G803&gt;=8,"Medium","Low"))))</f>
        <v/>
      </c>
    </row>
    <row r="804">
      <c r="B804" s="18">
        <f>IFERROR(VLOOKUP(A804,Risk_Assessment!$B$2:$H$1000,7,FALSE),"")</f>
        <v/>
      </c>
      <c r="E804" s="19">
        <f>IF(C804="No",1,IF(D804="N/A",1,IF(D804="Low (10% reduction)",0.9,IF(D804="Medium (30% reduction)",0.7,IF(D804="High (50% reduction)",0.5,IF(D804="Very High (70% reduction)",0.3,1))))))</f>
        <v/>
      </c>
      <c r="F804" s="18">
        <f>IF(ISBLANK(B804),"",ROUNDUP(SQRT(B804)*E804,0))</f>
        <v/>
      </c>
      <c r="G804" s="15">
        <f>IF(ISBLANK(B804),"",ROUNDUP(B804*E804,0))</f>
        <v/>
      </c>
      <c r="H804" s="12">
        <f>IF(ISBLANK(G804),"",IF(G804&gt;=20,"Critical",IF(G804&gt;=15,"High",IF(G804&gt;=8,"Medium","Low"))))</f>
        <v/>
      </c>
    </row>
    <row r="805">
      <c r="B805" s="18">
        <f>IFERROR(VLOOKUP(A805,Risk_Assessment!$B$2:$H$1000,7,FALSE),"")</f>
        <v/>
      </c>
      <c r="E805" s="19">
        <f>IF(C805="No",1,IF(D805="N/A",1,IF(D805="Low (10% reduction)",0.9,IF(D805="Medium (30% reduction)",0.7,IF(D805="High (50% reduction)",0.5,IF(D805="Very High (70% reduction)",0.3,1))))))</f>
        <v/>
      </c>
      <c r="F805" s="18">
        <f>IF(ISBLANK(B805),"",ROUNDUP(SQRT(B805)*E805,0))</f>
        <v/>
      </c>
      <c r="G805" s="15">
        <f>IF(ISBLANK(B805),"",ROUNDUP(B805*E805,0))</f>
        <v/>
      </c>
      <c r="H805" s="12">
        <f>IF(ISBLANK(G805),"",IF(G805&gt;=20,"Critical",IF(G805&gt;=15,"High",IF(G805&gt;=8,"Medium","Low"))))</f>
        <v/>
      </c>
    </row>
    <row r="806">
      <c r="B806" s="18">
        <f>IFERROR(VLOOKUP(A806,Risk_Assessment!$B$2:$H$1000,7,FALSE),"")</f>
        <v/>
      </c>
      <c r="E806" s="19">
        <f>IF(C806="No",1,IF(D806="N/A",1,IF(D806="Low (10% reduction)",0.9,IF(D806="Medium (30% reduction)",0.7,IF(D806="High (50% reduction)",0.5,IF(D806="Very High (70% reduction)",0.3,1))))))</f>
        <v/>
      </c>
      <c r="F806" s="18">
        <f>IF(ISBLANK(B806),"",ROUNDUP(SQRT(B806)*E806,0))</f>
        <v/>
      </c>
      <c r="G806" s="15">
        <f>IF(ISBLANK(B806),"",ROUNDUP(B806*E806,0))</f>
        <v/>
      </c>
      <c r="H806" s="12">
        <f>IF(ISBLANK(G806),"",IF(G806&gt;=20,"Critical",IF(G806&gt;=15,"High",IF(G806&gt;=8,"Medium","Low"))))</f>
        <v/>
      </c>
    </row>
    <row r="807">
      <c r="B807" s="18">
        <f>IFERROR(VLOOKUP(A807,Risk_Assessment!$B$2:$H$1000,7,FALSE),"")</f>
        <v/>
      </c>
      <c r="E807" s="19">
        <f>IF(C807="No",1,IF(D807="N/A",1,IF(D807="Low (10% reduction)",0.9,IF(D807="Medium (30% reduction)",0.7,IF(D807="High (50% reduction)",0.5,IF(D807="Very High (70% reduction)",0.3,1))))))</f>
        <v/>
      </c>
      <c r="F807" s="18">
        <f>IF(ISBLANK(B807),"",ROUNDUP(SQRT(B807)*E807,0))</f>
        <v/>
      </c>
      <c r="G807" s="15">
        <f>IF(ISBLANK(B807),"",ROUNDUP(B807*E807,0))</f>
        <v/>
      </c>
      <c r="H807" s="12">
        <f>IF(ISBLANK(G807),"",IF(G807&gt;=20,"Critical",IF(G807&gt;=15,"High",IF(G807&gt;=8,"Medium","Low"))))</f>
        <v/>
      </c>
    </row>
    <row r="808">
      <c r="B808" s="18">
        <f>IFERROR(VLOOKUP(A808,Risk_Assessment!$B$2:$H$1000,7,FALSE),"")</f>
        <v/>
      </c>
      <c r="E808" s="19">
        <f>IF(C808="No",1,IF(D808="N/A",1,IF(D808="Low (10% reduction)",0.9,IF(D808="Medium (30% reduction)",0.7,IF(D808="High (50% reduction)",0.5,IF(D808="Very High (70% reduction)",0.3,1))))))</f>
        <v/>
      </c>
      <c r="F808" s="18">
        <f>IF(ISBLANK(B808),"",ROUNDUP(SQRT(B808)*E808,0))</f>
        <v/>
      </c>
      <c r="G808" s="15">
        <f>IF(ISBLANK(B808),"",ROUNDUP(B808*E808,0))</f>
        <v/>
      </c>
      <c r="H808" s="12">
        <f>IF(ISBLANK(G808),"",IF(G808&gt;=20,"Critical",IF(G808&gt;=15,"High",IF(G808&gt;=8,"Medium","Low"))))</f>
        <v/>
      </c>
    </row>
    <row r="809">
      <c r="B809" s="18">
        <f>IFERROR(VLOOKUP(A809,Risk_Assessment!$B$2:$H$1000,7,FALSE),"")</f>
        <v/>
      </c>
      <c r="E809" s="19">
        <f>IF(C809="No",1,IF(D809="N/A",1,IF(D809="Low (10% reduction)",0.9,IF(D809="Medium (30% reduction)",0.7,IF(D809="High (50% reduction)",0.5,IF(D809="Very High (70% reduction)",0.3,1))))))</f>
        <v/>
      </c>
      <c r="F809" s="18">
        <f>IF(ISBLANK(B809),"",ROUNDUP(SQRT(B809)*E809,0))</f>
        <v/>
      </c>
      <c r="G809" s="15">
        <f>IF(ISBLANK(B809),"",ROUNDUP(B809*E809,0))</f>
        <v/>
      </c>
      <c r="H809" s="12">
        <f>IF(ISBLANK(G809),"",IF(G809&gt;=20,"Critical",IF(G809&gt;=15,"High",IF(G809&gt;=8,"Medium","Low"))))</f>
        <v/>
      </c>
    </row>
    <row r="810">
      <c r="B810" s="18">
        <f>IFERROR(VLOOKUP(A810,Risk_Assessment!$B$2:$H$1000,7,FALSE),"")</f>
        <v/>
      </c>
      <c r="E810" s="19">
        <f>IF(C810="No",1,IF(D810="N/A",1,IF(D810="Low (10% reduction)",0.9,IF(D810="Medium (30% reduction)",0.7,IF(D810="High (50% reduction)",0.5,IF(D810="Very High (70% reduction)",0.3,1))))))</f>
        <v/>
      </c>
      <c r="F810" s="18">
        <f>IF(ISBLANK(B810),"",ROUNDUP(SQRT(B810)*E810,0))</f>
        <v/>
      </c>
      <c r="G810" s="15">
        <f>IF(ISBLANK(B810),"",ROUNDUP(B810*E810,0))</f>
        <v/>
      </c>
      <c r="H810" s="12">
        <f>IF(ISBLANK(G810),"",IF(G810&gt;=20,"Critical",IF(G810&gt;=15,"High",IF(G810&gt;=8,"Medium","Low"))))</f>
        <v/>
      </c>
    </row>
    <row r="811">
      <c r="B811" s="18">
        <f>IFERROR(VLOOKUP(A811,Risk_Assessment!$B$2:$H$1000,7,FALSE),"")</f>
        <v/>
      </c>
      <c r="E811" s="19">
        <f>IF(C811="No",1,IF(D811="N/A",1,IF(D811="Low (10% reduction)",0.9,IF(D811="Medium (30% reduction)",0.7,IF(D811="High (50% reduction)",0.5,IF(D811="Very High (70% reduction)",0.3,1))))))</f>
        <v/>
      </c>
      <c r="F811" s="18">
        <f>IF(ISBLANK(B811),"",ROUNDUP(SQRT(B811)*E811,0))</f>
        <v/>
      </c>
      <c r="G811" s="15">
        <f>IF(ISBLANK(B811),"",ROUNDUP(B811*E811,0))</f>
        <v/>
      </c>
      <c r="H811" s="12">
        <f>IF(ISBLANK(G811),"",IF(G811&gt;=20,"Critical",IF(G811&gt;=15,"High",IF(G811&gt;=8,"Medium","Low"))))</f>
        <v/>
      </c>
    </row>
    <row r="812">
      <c r="B812" s="18">
        <f>IFERROR(VLOOKUP(A812,Risk_Assessment!$B$2:$H$1000,7,FALSE),"")</f>
        <v/>
      </c>
      <c r="E812" s="19">
        <f>IF(C812="No",1,IF(D812="N/A",1,IF(D812="Low (10% reduction)",0.9,IF(D812="Medium (30% reduction)",0.7,IF(D812="High (50% reduction)",0.5,IF(D812="Very High (70% reduction)",0.3,1))))))</f>
        <v/>
      </c>
      <c r="F812" s="18">
        <f>IF(ISBLANK(B812),"",ROUNDUP(SQRT(B812)*E812,0))</f>
        <v/>
      </c>
      <c r="G812" s="15">
        <f>IF(ISBLANK(B812),"",ROUNDUP(B812*E812,0))</f>
        <v/>
      </c>
      <c r="H812" s="12">
        <f>IF(ISBLANK(G812),"",IF(G812&gt;=20,"Critical",IF(G812&gt;=15,"High",IF(G812&gt;=8,"Medium","Low"))))</f>
        <v/>
      </c>
    </row>
    <row r="813">
      <c r="B813" s="18">
        <f>IFERROR(VLOOKUP(A813,Risk_Assessment!$B$2:$H$1000,7,FALSE),"")</f>
        <v/>
      </c>
      <c r="E813" s="19">
        <f>IF(C813="No",1,IF(D813="N/A",1,IF(D813="Low (10% reduction)",0.9,IF(D813="Medium (30% reduction)",0.7,IF(D813="High (50% reduction)",0.5,IF(D813="Very High (70% reduction)",0.3,1))))))</f>
        <v/>
      </c>
      <c r="F813" s="18">
        <f>IF(ISBLANK(B813),"",ROUNDUP(SQRT(B813)*E813,0))</f>
        <v/>
      </c>
      <c r="G813" s="15">
        <f>IF(ISBLANK(B813),"",ROUNDUP(B813*E813,0))</f>
        <v/>
      </c>
      <c r="H813" s="12">
        <f>IF(ISBLANK(G813),"",IF(G813&gt;=20,"Critical",IF(G813&gt;=15,"High",IF(G813&gt;=8,"Medium","Low"))))</f>
        <v/>
      </c>
    </row>
    <row r="814">
      <c r="B814" s="18">
        <f>IFERROR(VLOOKUP(A814,Risk_Assessment!$B$2:$H$1000,7,FALSE),"")</f>
        <v/>
      </c>
      <c r="E814" s="19">
        <f>IF(C814="No",1,IF(D814="N/A",1,IF(D814="Low (10% reduction)",0.9,IF(D814="Medium (30% reduction)",0.7,IF(D814="High (50% reduction)",0.5,IF(D814="Very High (70% reduction)",0.3,1))))))</f>
        <v/>
      </c>
      <c r="F814" s="18">
        <f>IF(ISBLANK(B814),"",ROUNDUP(SQRT(B814)*E814,0))</f>
        <v/>
      </c>
      <c r="G814" s="15">
        <f>IF(ISBLANK(B814),"",ROUNDUP(B814*E814,0))</f>
        <v/>
      </c>
      <c r="H814" s="12">
        <f>IF(ISBLANK(G814),"",IF(G814&gt;=20,"Critical",IF(G814&gt;=15,"High",IF(G814&gt;=8,"Medium","Low"))))</f>
        <v/>
      </c>
    </row>
    <row r="815">
      <c r="B815" s="18">
        <f>IFERROR(VLOOKUP(A815,Risk_Assessment!$B$2:$H$1000,7,FALSE),"")</f>
        <v/>
      </c>
      <c r="E815" s="19">
        <f>IF(C815="No",1,IF(D815="N/A",1,IF(D815="Low (10% reduction)",0.9,IF(D815="Medium (30% reduction)",0.7,IF(D815="High (50% reduction)",0.5,IF(D815="Very High (70% reduction)",0.3,1))))))</f>
        <v/>
      </c>
      <c r="F815" s="18">
        <f>IF(ISBLANK(B815),"",ROUNDUP(SQRT(B815)*E815,0))</f>
        <v/>
      </c>
      <c r="G815" s="15">
        <f>IF(ISBLANK(B815),"",ROUNDUP(B815*E815,0))</f>
        <v/>
      </c>
      <c r="H815" s="12">
        <f>IF(ISBLANK(G815),"",IF(G815&gt;=20,"Critical",IF(G815&gt;=15,"High",IF(G815&gt;=8,"Medium","Low"))))</f>
        <v/>
      </c>
    </row>
    <row r="816">
      <c r="B816" s="18">
        <f>IFERROR(VLOOKUP(A816,Risk_Assessment!$B$2:$H$1000,7,FALSE),"")</f>
        <v/>
      </c>
      <c r="E816" s="19">
        <f>IF(C816="No",1,IF(D816="N/A",1,IF(D816="Low (10% reduction)",0.9,IF(D816="Medium (30% reduction)",0.7,IF(D816="High (50% reduction)",0.5,IF(D816="Very High (70% reduction)",0.3,1))))))</f>
        <v/>
      </c>
      <c r="F816" s="18">
        <f>IF(ISBLANK(B816),"",ROUNDUP(SQRT(B816)*E816,0))</f>
        <v/>
      </c>
      <c r="G816" s="15">
        <f>IF(ISBLANK(B816),"",ROUNDUP(B816*E816,0))</f>
        <v/>
      </c>
      <c r="H816" s="12">
        <f>IF(ISBLANK(G816),"",IF(G816&gt;=20,"Critical",IF(G816&gt;=15,"High",IF(G816&gt;=8,"Medium","Low"))))</f>
        <v/>
      </c>
    </row>
    <row r="817">
      <c r="B817" s="18">
        <f>IFERROR(VLOOKUP(A817,Risk_Assessment!$B$2:$H$1000,7,FALSE),"")</f>
        <v/>
      </c>
      <c r="E817" s="19">
        <f>IF(C817="No",1,IF(D817="N/A",1,IF(D817="Low (10% reduction)",0.9,IF(D817="Medium (30% reduction)",0.7,IF(D817="High (50% reduction)",0.5,IF(D817="Very High (70% reduction)",0.3,1))))))</f>
        <v/>
      </c>
      <c r="F817" s="18">
        <f>IF(ISBLANK(B817),"",ROUNDUP(SQRT(B817)*E817,0))</f>
        <v/>
      </c>
      <c r="G817" s="15">
        <f>IF(ISBLANK(B817),"",ROUNDUP(B817*E817,0))</f>
        <v/>
      </c>
      <c r="H817" s="12">
        <f>IF(ISBLANK(G817),"",IF(G817&gt;=20,"Critical",IF(G817&gt;=15,"High",IF(G817&gt;=8,"Medium","Low"))))</f>
        <v/>
      </c>
    </row>
    <row r="818">
      <c r="B818" s="18">
        <f>IFERROR(VLOOKUP(A818,Risk_Assessment!$B$2:$H$1000,7,FALSE),"")</f>
        <v/>
      </c>
      <c r="E818" s="19">
        <f>IF(C818="No",1,IF(D818="N/A",1,IF(D818="Low (10% reduction)",0.9,IF(D818="Medium (30% reduction)",0.7,IF(D818="High (50% reduction)",0.5,IF(D818="Very High (70% reduction)",0.3,1))))))</f>
        <v/>
      </c>
      <c r="F818" s="18">
        <f>IF(ISBLANK(B818),"",ROUNDUP(SQRT(B818)*E818,0))</f>
        <v/>
      </c>
      <c r="G818" s="15">
        <f>IF(ISBLANK(B818),"",ROUNDUP(B818*E818,0))</f>
        <v/>
      </c>
      <c r="H818" s="12">
        <f>IF(ISBLANK(G818),"",IF(G818&gt;=20,"Critical",IF(G818&gt;=15,"High",IF(G818&gt;=8,"Medium","Low"))))</f>
        <v/>
      </c>
    </row>
    <row r="819">
      <c r="B819" s="18">
        <f>IFERROR(VLOOKUP(A819,Risk_Assessment!$B$2:$H$1000,7,FALSE),"")</f>
        <v/>
      </c>
      <c r="E819" s="19">
        <f>IF(C819="No",1,IF(D819="N/A",1,IF(D819="Low (10% reduction)",0.9,IF(D819="Medium (30% reduction)",0.7,IF(D819="High (50% reduction)",0.5,IF(D819="Very High (70% reduction)",0.3,1))))))</f>
        <v/>
      </c>
      <c r="F819" s="18">
        <f>IF(ISBLANK(B819),"",ROUNDUP(SQRT(B819)*E819,0))</f>
        <v/>
      </c>
      <c r="G819" s="15">
        <f>IF(ISBLANK(B819),"",ROUNDUP(B819*E819,0))</f>
        <v/>
      </c>
      <c r="H819" s="12">
        <f>IF(ISBLANK(G819),"",IF(G819&gt;=20,"Critical",IF(G819&gt;=15,"High",IF(G819&gt;=8,"Medium","Low"))))</f>
        <v/>
      </c>
    </row>
    <row r="820">
      <c r="B820" s="18">
        <f>IFERROR(VLOOKUP(A820,Risk_Assessment!$B$2:$H$1000,7,FALSE),"")</f>
        <v/>
      </c>
      <c r="E820" s="19">
        <f>IF(C820="No",1,IF(D820="N/A",1,IF(D820="Low (10% reduction)",0.9,IF(D820="Medium (30% reduction)",0.7,IF(D820="High (50% reduction)",0.5,IF(D820="Very High (70% reduction)",0.3,1))))))</f>
        <v/>
      </c>
      <c r="F820" s="18">
        <f>IF(ISBLANK(B820),"",ROUNDUP(SQRT(B820)*E820,0))</f>
        <v/>
      </c>
      <c r="G820" s="15">
        <f>IF(ISBLANK(B820),"",ROUNDUP(B820*E820,0))</f>
        <v/>
      </c>
      <c r="H820" s="12">
        <f>IF(ISBLANK(G820),"",IF(G820&gt;=20,"Critical",IF(G820&gt;=15,"High",IF(G820&gt;=8,"Medium","Low"))))</f>
        <v/>
      </c>
    </row>
    <row r="821">
      <c r="B821" s="18">
        <f>IFERROR(VLOOKUP(A821,Risk_Assessment!$B$2:$H$1000,7,FALSE),"")</f>
        <v/>
      </c>
      <c r="E821" s="19">
        <f>IF(C821="No",1,IF(D821="N/A",1,IF(D821="Low (10% reduction)",0.9,IF(D821="Medium (30% reduction)",0.7,IF(D821="High (50% reduction)",0.5,IF(D821="Very High (70% reduction)",0.3,1))))))</f>
        <v/>
      </c>
      <c r="F821" s="18">
        <f>IF(ISBLANK(B821),"",ROUNDUP(SQRT(B821)*E821,0))</f>
        <v/>
      </c>
      <c r="G821" s="15">
        <f>IF(ISBLANK(B821),"",ROUNDUP(B821*E821,0))</f>
        <v/>
      </c>
      <c r="H821" s="12">
        <f>IF(ISBLANK(G821),"",IF(G821&gt;=20,"Critical",IF(G821&gt;=15,"High",IF(G821&gt;=8,"Medium","Low"))))</f>
        <v/>
      </c>
    </row>
    <row r="822">
      <c r="B822" s="18">
        <f>IFERROR(VLOOKUP(A822,Risk_Assessment!$B$2:$H$1000,7,FALSE),"")</f>
        <v/>
      </c>
      <c r="E822" s="19">
        <f>IF(C822="No",1,IF(D822="N/A",1,IF(D822="Low (10% reduction)",0.9,IF(D822="Medium (30% reduction)",0.7,IF(D822="High (50% reduction)",0.5,IF(D822="Very High (70% reduction)",0.3,1))))))</f>
        <v/>
      </c>
      <c r="F822" s="18">
        <f>IF(ISBLANK(B822),"",ROUNDUP(SQRT(B822)*E822,0))</f>
        <v/>
      </c>
      <c r="G822" s="15">
        <f>IF(ISBLANK(B822),"",ROUNDUP(B822*E822,0))</f>
        <v/>
      </c>
      <c r="H822" s="12">
        <f>IF(ISBLANK(G822),"",IF(G822&gt;=20,"Critical",IF(G822&gt;=15,"High",IF(G822&gt;=8,"Medium","Low"))))</f>
        <v/>
      </c>
    </row>
    <row r="823">
      <c r="B823" s="18">
        <f>IFERROR(VLOOKUP(A823,Risk_Assessment!$B$2:$H$1000,7,FALSE),"")</f>
        <v/>
      </c>
      <c r="E823" s="19">
        <f>IF(C823="No",1,IF(D823="N/A",1,IF(D823="Low (10% reduction)",0.9,IF(D823="Medium (30% reduction)",0.7,IF(D823="High (50% reduction)",0.5,IF(D823="Very High (70% reduction)",0.3,1))))))</f>
        <v/>
      </c>
      <c r="F823" s="18">
        <f>IF(ISBLANK(B823),"",ROUNDUP(SQRT(B823)*E823,0))</f>
        <v/>
      </c>
      <c r="G823" s="15">
        <f>IF(ISBLANK(B823),"",ROUNDUP(B823*E823,0))</f>
        <v/>
      </c>
      <c r="H823" s="12">
        <f>IF(ISBLANK(G823),"",IF(G823&gt;=20,"Critical",IF(G823&gt;=15,"High",IF(G823&gt;=8,"Medium","Low"))))</f>
        <v/>
      </c>
    </row>
    <row r="824">
      <c r="B824" s="18">
        <f>IFERROR(VLOOKUP(A824,Risk_Assessment!$B$2:$H$1000,7,FALSE),"")</f>
        <v/>
      </c>
      <c r="E824" s="19">
        <f>IF(C824="No",1,IF(D824="N/A",1,IF(D824="Low (10% reduction)",0.9,IF(D824="Medium (30% reduction)",0.7,IF(D824="High (50% reduction)",0.5,IF(D824="Very High (70% reduction)",0.3,1))))))</f>
        <v/>
      </c>
      <c r="F824" s="18">
        <f>IF(ISBLANK(B824),"",ROUNDUP(SQRT(B824)*E824,0))</f>
        <v/>
      </c>
      <c r="G824" s="15">
        <f>IF(ISBLANK(B824),"",ROUNDUP(B824*E824,0))</f>
        <v/>
      </c>
      <c r="H824" s="12">
        <f>IF(ISBLANK(G824),"",IF(G824&gt;=20,"Critical",IF(G824&gt;=15,"High",IF(G824&gt;=8,"Medium","Low"))))</f>
        <v/>
      </c>
    </row>
    <row r="825">
      <c r="B825" s="18">
        <f>IFERROR(VLOOKUP(A825,Risk_Assessment!$B$2:$H$1000,7,FALSE),"")</f>
        <v/>
      </c>
      <c r="E825" s="19">
        <f>IF(C825="No",1,IF(D825="N/A",1,IF(D825="Low (10% reduction)",0.9,IF(D825="Medium (30% reduction)",0.7,IF(D825="High (50% reduction)",0.5,IF(D825="Very High (70% reduction)",0.3,1))))))</f>
        <v/>
      </c>
      <c r="F825" s="18">
        <f>IF(ISBLANK(B825),"",ROUNDUP(SQRT(B825)*E825,0))</f>
        <v/>
      </c>
      <c r="G825" s="15">
        <f>IF(ISBLANK(B825),"",ROUNDUP(B825*E825,0))</f>
        <v/>
      </c>
      <c r="H825" s="12">
        <f>IF(ISBLANK(G825),"",IF(G825&gt;=20,"Critical",IF(G825&gt;=15,"High",IF(G825&gt;=8,"Medium","Low"))))</f>
        <v/>
      </c>
    </row>
    <row r="826">
      <c r="B826" s="18">
        <f>IFERROR(VLOOKUP(A826,Risk_Assessment!$B$2:$H$1000,7,FALSE),"")</f>
        <v/>
      </c>
      <c r="E826" s="19">
        <f>IF(C826="No",1,IF(D826="N/A",1,IF(D826="Low (10% reduction)",0.9,IF(D826="Medium (30% reduction)",0.7,IF(D826="High (50% reduction)",0.5,IF(D826="Very High (70% reduction)",0.3,1))))))</f>
        <v/>
      </c>
      <c r="F826" s="18">
        <f>IF(ISBLANK(B826),"",ROUNDUP(SQRT(B826)*E826,0))</f>
        <v/>
      </c>
      <c r="G826" s="15">
        <f>IF(ISBLANK(B826),"",ROUNDUP(B826*E826,0))</f>
        <v/>
      </c>
      <c r="H826" s="12">
        <f>IF(ISBLANK(G826),"",IF(G826&gt;=20,"Critical",IF(G826&gt;=15,"High",IF(G826&gt;=8,"Medium","Low"))))</f>
        <v/>
      </c>
    </row>
    <row r="827">
      <c r="B827" s="18">
        <f>IFERROR(VLOOKUP(A827,Risk_Assessment!$B$2:$H$1000,7,FALSE),"")</f>
        <v/>
      </c>
      <c r="E827" s="19">
        <f>IF(C827="No",1,IF(D827="N/A",1,IF(D827="Low (10% reduction)",0.9,IF(D827="Medium (30% reduction)",0.7,IF(D827="High (50% reduction)",0.5,IF(D827="Very High (70% reduction)",0.3,1))))))</f>
        <v/>
      </c>
      <c r="F827" s="18">
        <f>IF(ISBLANK(B827),"",ROUNDUP(SQRT(B827)*E827,0))</f>
        <v/>
      </c>
      <c r="G827" s="15">
        <f>IF(ISBLANK(B827),"",ROUNDUP(B827*E827,0))</f>
        <v/>
      </c>
      <c r="H827" s="12">
        <f>IF(ISBLANK(G827),"",IF(G827&gt;=20,"Critical",IF(G827&gt;=15,"High",IF(G827&gt;=8,"Medium","Low"))))</f>
        <v/>
      </c>
    </row>
    <row r="828">
      <c r="B828" s="18">
        <f>IFERROR(VLOOKUP(A828,Risk_Assessment!$B$2:$H$1000,7,FALSE),"")</f>
        <v/>
      </c>
      <c r="E828" s="19">
        <f>IF(C828="No",1,IF(D828="N/A",1,IF(D828="Low (10% reduction)",0.9,IF(D828="Medium (30% reduction)",0.7,IF(D828="High (50% reduction)",0.5,IF(D828="Very High (70% reduction)",0.3,1))))))</f>
        <v/>
      </c>
      <c r="F828" s="18">
        <f>IF(ISBLANK(B828),"",ROUNDUP(SQRT(B828)*E828,0))</f>
        <v/>
      </c>
      <c r="G828" s="15">
        <f>IF(ISBLANK(B828),"",ROUNDUP(B828*E828,0))</f>
        <v/>
      </c>
      <c r="H828" s="12">
        <f>IF(ISBLANK(G828),"",IF(G828&gt;=20,"Critical",IF(G828&gt;=15,"High",IF(G828&gt;=8,"Medium","Low"))))</f>
        <v/>
      </c>
    </row>
    <row r="829">
      <c r="B829" s="18">
        <f>IFERROR(VLOOKUP(A829,Risk_Assessment!$B$2:$H$1000,7,FALSE),"")</f>
        <v/>
      </c>
      <c r="E829" s="19">
        <f>IF(C829="No",1,IF(D829="N/A",1,IF(D829="Low (10% reduction)",0.9,IF(D829="Medium (30% reduction)",0.7,IF(D829="High (50% reduction)",0.5,IF(D829="Very High (70% reduction)",0.3,1))))))</f>
        <v/>
      </c>
      <c r="F829" s="18">
        <f>IF(ISBLANK(B829),"",ROUNDUP(SQRT(B829)*E829,0))</f>
        <v/>
      </c>
      <c r="G829" s="15">
        <f>IF(ISBLANK(B829),"",ROUNDUP(B829*E829,0))</f>
        <v/>
      </c>
      <c r="H829" s="12">
        <f>IF(ISBLANK(G829),"",IF(G829&gt;=20,"Critical",IF(G829&gt;=15,"High",IF(G829&gt;=8,"Medium","Low"))))</f>
        <v/>
      </c>
    </row>
    <row r="830">
      <c r="B830" s="18">
        <f>IFERROR(VLOOKUP(A830,Risk_Assessment!$B$2:$H$1000,7,FALSE),"")</f>
        <v/>
      </c>
      <c r="E830" s="19">
        <f>IF(C830="No",1,IF(D830="N/A",1,IF(D830="Low (10% reduction)",0.9,IF(D830="Medium (30% reduction)",0.7,IF(D830="High (50% reduction)",0.5,IF(D830="Very High (70% reduction)",0.3,1))))))</f>
        <v/>
      </c>
      <c r="F830" s="18">
        <f>IF(ISBLANK(B830),"",ROUNDUP(SQRT(B830)*E830,0))</f>
        <v/>
      </c>
      <c r="G830" s="15">
        <f>IF(ISBLANK(B830),"",ROUNDUP(B830*E830,0))</f>
        <v/>
      </c>
      <c r="H830" s="12">
        <f>IF(ISBLANK(G830),"",IF(G830&gt;=20,"Critical",IF(G830&gt;=15,"High",IF(G830&gt;=8,"Medium","Low"))))</f>
        <v/>
      </c>
    </row>
    <row r="831">
      <c r="B831" s="18">
        <f>IFERROR(VLOOKUP(A831,Risk_Assessment!$B$2:$H$1000,7,FALSE),"")</f>
        <v/>
      </c>
      <c r="E831" s="19">
        <f>IF(C831="No",1,IF(D831="N/A",1,IF(D831="Low (10% reduction)",0.9,IF(D831="Medium (30% reduction)",0.7,IF(D831="High (50% reduction)",0.5,IF(D831="Very High (70% reduction)",0.3,1))))))</f>
        <v/>
      </c>
      <c r="F831" s="18">
        <f>IF(ISBLANK(B831),"",ROUNDUP(SQRT(B831)*E831,0))</f>
        <v/>
      </c>
      <c r="G831" s="15">
        <f>IF(ISBLANK(B831),"",ROUNDUP(B831*E831,0))</f>
        <v/>
      </c>
      <c r="H831" s="12">
        <f>IF(ISBLANK(G831),"",IF(G831&gt;=20,"Critical",IF(G831&gt;=15,"High",IF(G831&gt;=8,"Medium","Low"))))</f>
        <v/>
      </c>
    </row>
    <row r="832">
      <c r="B832" s="18">
        <f>IFERROR(VLOOKUP(A832,Risk_Assessment!$B$2:$H$1000,7,FALSE),"")</f>
        <v/>
      </c>
      <c r="E832" s="19">
        <f>IF(C832="No",1,IF(D832="N/A",1,IF(D832="Low (10% reduction)",0.9,IF(D832="Medium (30% reduction)",0.7,IF(D832="High (50% reduction)",0.5,IF(D832="Very High (70% reduction)",0.3,1))))))</f>
        <v/>
      </c>
      <c r="F832" s="18">
        <f>IF(ISBLANK(B832),"",ROUNDUP(SQRT(B832)*E832,0))</f>
        <v/>
      </c>
      <c r="G832" s="15">
        <f>IF(ISBLANK(B832),"",ROUNDUP(B832*E832,0))</f>
        <v/>
      </c>
      <c r="H832" s="12">
        <f>IF(ISBLANK(G832),"",IF(G832&gt;=20,"Critical",IF(G832&gt;=15,"High",IF(G832&gt;=8,"Medium","Low"))))</f>
        <v/>
      </c>
    </row>
    <row r="833">
      <c r="B833" s="18">
        <f>IFERROR(VLOOKUP(A833,Risk_Assessment!$B$2:$H$1000,7,FALSE),"")</f>
        <v/>
      </c>
      <c r="E833" s="19">
        <f>IF(C833="No",1,IF(D833="N/A",1,IF(D833="Low (10% reduction)",0.9,IF(D833="Medium (30% reduction)",0.7,IF(D833="High (50% reduction)",0.5,IF(D833="Very High (70% reduction)",0.3,1))))))</f>
        <v/>
      </c>
      <c r="F833" s="18">
        <f>IF(ISBLANK(B833),"",ROUNDUP(SQRT(B833)*E833,0))</f>
        <v/>
      </c>
      <c r="G833" s="15">
        <f>IF(ISBLANK(B833),"",ROUNDUP(B833*E833,0))</f>
        <v/>
      </c>
      <c r="H833" s="12">
        <f>IF(ISBLANK(G833),"",IF(G833&gt;=20,"Critical",IF(G833&gt;=15,"High",IF(G833&gt;=8,"Medium","Low"))))</f>
        <v/>
      </c>
    </row>
    <row r="834">
      <c r="B834" s="18">
        <f>IFERROR(VLOOKUP(A834,Risk_Assessment!$B$2:$H$1000,7,FALSE),"")</f>
        <v/>
      </c>
      <c r="E834" s="19">
        <f>IF(C834="No",1,IF(D834="N/A",1,IF(D834="Low (10% reduction)",0.9,IF(D834="Medium (30% reduction)",0.7,IF(D834="High (50% reduction)",0.5,IF(D834="Very High (70% reduction)",0.3,1))))))</f>
        <v/>
      </c>
      <c r="F834" s="18">
        <f>IF(ISBLANK(B834),"",ROUNDUP(SQRT(B834)*E834,0))</f>
        <v/>
      </c>
      <c r="G834" s="15">
        <f>IF(ISBLANK(B834),"",ROUNDUP(B834*E834,0))</f>
        <v/>
      </c>
      <c r="H834" s="12">
        <f>IF(ISBLANK(G834),"",IF(G834&gt;=20,"Critical",IF(G834&gt;=15,"High",IF(G834&gt;=8,"Medium","Low"))))</f>
        <v/>
      </c>
    </row>
    <row r="835">
      <c r="B835" s="18">
        <f>IFERROR(VLOOKUP(A835,Risk_Assessment!$B$2:$H$1000,7,FALSE),"")</f>
        <v/>
      </c>
      <c r="E835" s="19">
        <f>IF(C835="No",1,IF(D835="N/A",1,IF(D835="Low (10% reduction)",0.9,IF(D835="Medium (30% reduction)",0.7,IF(D835="High (50% reduction)",0.5,IF(D835="Very High (70% reduction)",0.3,1))))))</f>
        <v/>
      </c>
      <c r="F835" s="18">
        <f>IF(ISBLANK(B835),"",ROUNDUP(SQRT(B835)*E835,0))</f>
        <v/>
      </c>
      <c r="G835" s="15">
        <f>IF(ISBLANK(B835),"",ROUNDUP(B835*E835,0))</f>
        <v/>
      </c>
      <c r="H835" s="12">
        <f>IF(ISBLANK(G835),"",IF(G835&gt;=20,"Critical",IF(G835&gt;=15,"High",IF(G835&gt;=8,"Medium","Low"))))</f>
        <v/>
      </c>
    </row>
    <row r="836">
      <c r="B836" s="18">
        <f>IFERROR(VLOOKUP(A836,Risk_Assessment!$B$2:$H$1000,7,FALSE),"")</f>
        <v/>
      </c>
      <c r="E836" s="19">
        <f>IF(C836="No",1,IF(D836="N/A",1,IF(D836="Low (10% reduction)",0.9,IF(D836="Medium (30% reduction)",0.7,IF(D836="High (50% reduction)",0.5,IF(D836="Very High (70% reduction)",0.3,1))))))</f>
        <v/>
      </c>
      <c r="F836" s="18">
        <f>IF(ISBLANK(B836),"",ROUNDUP(SQRT(B836)*E836,0))</f>
        <v/>
      </c>
      <c r="G836" s="15">
        <f>IF(ISBLANK(B836),"",ROUNDUP(B836*E836,0))</f>
        <v/>
      </c>
      <c r="H836" s="12">
        <f>IF(ISBLANK(G836),"",IF(G836&gt;=20,"Critical",IF(G836&gt;=15,"High",IF(G836&gt;=8,"Medium","Low"))))</f>
        <v/>
      </c>
    </row>
    <row r="837">
      <c r="B837" s="18">
        <f>IFERROR(VLOOKUP(A837,Risk_Assessment!$B$2:$H$1000,7,FALSE),"")</f>
        <v/>
      </c>
      <c r="E837" s="19">
        <f>IF(C837="No",1,IF(D837="N/A",1,IF(D837="Low (10% reduction)",0.9,IF(D837="Medium (30% reduction)",0.7,IF(D837="High (50% reduction)",0.5,IF(D837="Very High (70% reduction)",0.3,1))))))</f>
        <v/>
      </c>
      <c r="F837" s="18">
        <f>IF(ISBLANK(B837),"",ROUNDUP(SQRT(B837)*E837,0))</f>
        <v/>
      </c>
      <c r="G837" s="15">
        <f>IF(ISBLANK(B837),"",ROUNDUP(B837*E837,0))</f>
        <v/>
      </c>
      <c r="H837" s="12">
        <f>IF(ISBLANK(G837),"",IF(G837&gt;=20,"Critical",IF(G837&gt;=15,"High",IF(G837&gt;=8,"Medium","Low"))))</f>
        <v/>
      </c>
    </row>
    <row r="838">
      <c r="B838" s="18">
        <f>IFERROR(VLOOKUP(A838,Risk_Assessment!$B$2:$H$1000,7,FALSE),"")</f>
        <v/>
      </c>
      <c r="E838" s="19">
        <f>IF(C838="No",1,IF(D838="N/A",1,IF(D838="Low (10% reduction)",0.9,IF(D838="Medium (30% reduction)",0.7,IF(D838="High (50% reduction)",0.5,IF(D838="Very High (70% reduction)",0.3,1))))))</f>
        <v/>
      </c>
      <c r="F838" s="18">
        <f>IF(ISBLANK(B838),"",ROUNDUP(SQRT(B838)*E838,0))</f>
        <v/>
      </c>
      <c r="G838" s="15">
        <f>IF(ISBLANK(B838),"",ROUNDUP(B838*E838,0))</f>
        <v/>
      </c>
      <c r="H838" s="12">
        <f>IF(ISBLANK(G838),"",IF(G838&gt;=20,"Critical",IF(G838&gt;=15,"High",IF(G838&gt;=8,"Medium","Low"))))</f>
        <v/>
      </c>
    </row>
    <row r="839">
      <c r="B839" s="18">
        <f>IFERROR(VLOOKUP(A839,Risk_Assessment!$B$2:$H$1000,7,FALSE),"")</f>
        <v/>
      </c>
      <c r="E839" s="19">
        <f>IF(C839="No",1,IF(D839="N/A",1,IF(D839="Low (10% reduction)",0.9,IF(D839="Medium (30% reduction)",0.7,IF(D839="High (50% reduction)",0.5,IF(D839="Very High (70% reduction)",0.3,1))))))</f>
        <v/>
      </c>
      <c r="F839" s="18">
        <f>IF(ISBLANK(B839),"",ROUNDUP(SQRT(B839)*E839,0))</f>
        <v/>
      </c>
      <c r="G839" s="15">
        <f>IF(ISBLANK(B839),"",ROUNDUP(B839*E839,0))</f>
        <v/>
      </c>
      <c r="H839" s="12">
        <f>IF(ISBLANK(G839),"",IF(G839&gt;=20,"Critical",IF(G839&gt;=15,"High",IF(G839&gt;=8,"Medium","Low"))))</f>
        <v/>
      </c>
    </row>
    <row r="840">
      <c r="B840" s="18">
        <f>IFERROR(VLOOKUP(A840,Risk_Assessment!$B$2:$H$1000,7,FALSE),"")</f>
        <v/>
      </c>
      <c r="E840" s="19">
        <f>IF(C840="No",1,IF(D840="N/A",1,IF(D840="Low (10% reduction)",0.9,IF(D840="Medium (30% reduction)",0.7,IF(D840="High (50% reduction)",0.5,IF(D840="Very High (70% reduction)",0.3,1))))))</f>
        <v/>
      </c>
      <c r="F840" s="18">
        <f>IF(ISBLANK(B840),"",ROUNDUP(SQRT(B840)*E840,0))</f>
        <v/>
      </c>
      <c r="G840" s="15">
        <f>IF(ISBLANK(B840),"",ROUNDUP(B840*E840,0))</f>
        <v/>
      </c>
      <c r="H840" s="12">
        <f>IF(ISBLANK(G840),"",IF(G840&gt;=20,"Critical",IF(G840&gt;=15,"High",IF(G840&gt;=8,"Medium","Low"))))</f>
        <v/>
      </c>
    </row>
    <row r="841">
      <c r="B841" s="18">
        <f>IFERROR(VLOOKUP(A841,Risk_Assessment!$B$2:$H$1000,7,FALSE),"")</f>
        <v/>
      </c>
      <c r="E841" s="19">
        <f>IF(C841="No",1,IF(D841="N/A",1,IF(D841="Low (10% reduction)",0.9,IF(D841="Medium (30% reduction)",0.7,IF(D841="High (50% reduction)",0.5,IF(D841="Very High (70% reduction)",0.3,1))))))</f>
        <v/>
      </c>
      <c r="F841" s="18">
        <f>IF(ISBLANK(B841),"",ROUNDUP(SQRT(B841)*E841,0))</f>
        <v/>
      </c>
      <c r="G841" s="15">
        <f>IF(ISBLANK(B841),"",ROUNDUP(B841*E841,0))</f>
        <v/>
      </c>
      <c r="H841" s="12">
        <f>IF(ISBLANK(G841),"",IF(G841&gt;=20,"Critical",IF(G841&gt;=15,"High",IF(G841&gt;=8,"Medium","Low"))))</f>
        <v/>
      </c>
    </row>
    <row r="842">
      <c r="B842" s="18">
        <f>IFERROR(VLOOKUP(A842,Risk_Assessment!$B$2:$H$1000,7,FALSE),"")</f>
        <v/>
      </c>
      <c r="E842" s="19">
        <f>IF(C842="No",1,IF(D842="N/A",1,IF(D842="Low (10% reduction)",0.9,IF(D842="Medium (30% reduction)",0.7,IF(D842="High (50% reduction)",0.5,IF(D842="Very High (70% reduction)",0.3,1))))))</f>
        <v/>
      </c>
      <c r="F842" s="18">
        <f>IF(ISBLANK(B842),"",ROUNDUP(SQRT(B842)*E842,0))</f>
        <v/>
      </c>
      <c r="G842" s="15">
        <f>IF(ISBLANK(B842),"",ROUNDUP(B842*E842,0))</f>
        <v/>
      </c>
      <c r="H842" s="12">
        <f>IF(ISBLANK(G842),"",IF(G842&gt;=20,"Critical",IF(G842&gt;=15,"High",IF(G842&gt;=8,"Medium","Low"))))</f>
        <v/>
      </c>
    </row>
    <row r="843">
      <c r="B843" s="18">
        <f>IFERROR(VLOOKUP(A843,Risk_Assessment!$B$2:$H$1000,7,FALSE),"")</f>
        <v/>
      </c>
      <c r="E843" s="19">
        <f>IF(C843="No",1,IF(D843="N/A",1,IF(D843="Low (10% reduction)",0.9,IF(D843="Medium (30% reduction)",0.7,IF(D843="High (50% reduction)",0.5,IF(D843="Very High (70% reduction)",0.3,1))))))</f>
        <v/>
      </c>
      <c r="F843" s="18">
        <f>IF(ISBLANK(B843),"",ROUNDUP(SQRT(B843)*E843,0))</f>
        <v/>
      </c>
      <c r="G843" s="15">
        <f>IF(ISBLANK(B843),"",ROUNDUP(B843*E843,0))</f>
        <v/>
      </c>
      <c r="H843" s="12">
        <f>IF(ISBLANK(G843),"",IF(G843&gt;=20,"Critical",IF(G843&gt;=15,"High",IF(G843&gt;=8,"Medium","Low"))))</f>
        <v/>
      </c>
    </row>
    <row r="844">
      <c r="B844" s="18">
        <f>IFERROR(VLOOKUP(A844,Risk_Assessment!$B$2:$H$1000,7,FALSE),"")</f>
        <v/>
      </c>
      <c r="E844" s="19">
        <f>IF(C844="No",1,IF(D844="N/A",1,IF(D844="Low (10% reduction)",0.9,IF(D844="Medium (30% reduction)",0.7,IF(D844="High (50% reduction)",0.5,IF(D844="Very High (70% reduction)",0.3,1))))))</f>
        <v/>
      </c>
      <c r="F844" s="18">
        <f>IF(ISBLANK(B844),"",ROUNDUP(SQRT(B844)*E844,0))</f>
        <v/>
      </c>
      <c r="G844" s="15">
        <f>IF(ISBLANK(B844),"",ROUNDUP(B844*E844,0))</f>
        <v/>
      </c>
      <c r="H844" s="12">
        <f>IF(ISBLANK(G844),"",IF(G844&gt;=20,"Critical",IF(G844&gt;=15,"High",IF(G844&gt;=8,"Medium","Low"))))</f>
        <v/>
      </c>
    </row>
    <row r="845">
      <c r="B845" s="18">
        <f>IFERROR(VLOOKUP(A845,Risk_Assessment!$B$2:$H$1000,7,FALSE),"")</f>
        <v/>
      </c>
      <c r="E845" s="19">
        <f>IF(C845="No",1,IF(D845="N/A",1,IF(D845="Low (10% reduction)",0.9,IF(D845="Medium (30% reduction)",0.7,IF(D845="High (50% reduction)",0.5,IF(D845="Very High (70% reduction)",0.3,1))))))</f>
        <v/>
      </c>
      <c r="F845" s="18">
        <f>IF(ISBLANK(B845),"",ROUNDUP(SQRT(B845)*E845,0))</f>
        <v/>
      </c>
      <c r="G845" s="15">
        <f>IF(ISBLANK(B845),"",ROUNDUP(B845*E845,0))</f>
        <v/>
      </c>
      <c r="H845" s="12">
        <f>IF(ISBLANK(G845),"",IF(G845&gt;=20,"Critical",IF(G845&gt;=15,"High",IF(G845&gt;=8,"Medium","Low"))))</f>
        <v/>
      </c>
    </row>
    <row r="846">
      <c r="B846" s="18">
        <f>IFERROR(VLOOKUP(A846,Risk_Assessment!$B$2:$H$1000,7,FALSE),"")</f>
        <v/>
      </c>
      <c r="E846" s="19">
        <f>IF(C846="No",1,IF(D846="N/A",1,IF(D846="Low (10% reduction)",0.9,IF(D846="Medium (30% reduction)",0.7,IF(D846="High (50% reduction)",0.5,IF(D846="Very High (70% reduction)",0.3,1))))))</f>
        <v/>
      </c>
      <c r="F846" s="18">
        <f>IF(ISBLANK(B846),"",ROUNDUP(SQRT(B846)*E846,0))</f>
        <v/>
      </c>
      <c r="G846" s="15">
        <f>IF(ISBLANK(B846),"",ROUNDUP(B846*E846,0))</f>
        <v/>
      </c>
      <c r="H846" s="12">
        <f>IF(ISBLANK(G846),"",IF(G846&gt;=20,"Critical",IF(G846&gt;=15,"High",IF(G846&gt;=8,"Medium","Low"))))</f>
        <v/>
      </c>
    </row>
    <row r="847">
      <c r="B847" s="18">
        <f>IFERROR(VLOOKUP(A847,Risk_Assessment!$B$2:$H$1000,7,FALSE),"")</f>
        <v/>
      </c>
      <c r="E847" s="19">
        <f>IF(C847="No",1,IF(D847="N/A",1,IF(D847="Low (10% reduction)",0.9,IF(D847="Medium (30% reduction)",0.7,IF(D847="High (50% reduction)",0.5,IF(D847="Very High (70% reduction)",0.3,1))))))</f>
        <v/>
      </c>
      <c r="F847" s="18">
        <f>IF(ISBLANK(B847),"",ROUNDUP(SQRT(B847)*E847,0))</f>
        <v/>
      </c>
      <c r="G847" s="15">
        <f>IF(ISBLANK(B847),"",ROUNDUP(B847*E847,0))</f>
        <v/>
      </c>
      <c r="H847" s="12">
        <f>IF(ISBLANK(G847),"",IF(G847&gt;=20,"Critical",IF(G847&gt;=15,"High",IF(G847&gt;=8,"Medium","Low"))))</f>
        <v/>
      </c>
    </row>
    <row r="848">
      <c r="B848" s="18">
        <f>IFERROR(VLOOKUP(A848,Risk_Assessment!$B$2:$H$1000,7,FALSE),"")</f>
        <v/>
      </c>
      <c r="E848" s="19">
        <f>IF(C848="No",1,IF(D848="N/A",1,IF(D848="Low (10% reduction)",0.9,IF(D848="Medium (30% reduction)",0.7,IF(D848="High (50% reduction)",0.5,IF(D848="Very High (70% reduction)",0.3,1))))))</f>
        <v/>
      </c>
      <c r="F848" s="18">
        <f>IF(ISBLANK(B848),"",ROUNDUP(SQRT(B848)*E848,0))</f>
        <v/>
      </c>
      <c r="G848" s="15">
        <f>IF(ISBLANK(B848),"",ROUNDUP(B848*E848,0))</f>
        <v/>
      </c>
      <c r="H848" s="12">
        <f>IF(ISBLANK(G848),"",IF(G848&gt;=20,"Critical",IF(G848&gt;=15,"High",IF(G848&gt;=8,"Medium","Low"))))</f>
        <v/>
      </c>
    </row>
    <row r="849">
      <c r="B849" s="18">
        <f>IFERROR(VLOOKUP(A849,Risk_Assessment!$B$2:$H$1000,7,FALSE),"")</f>
        <v/>
      </c>
      <c r="E849" s="19">
        <f>IF(C849="No",1,IF(D849="N/A",1,IF(D849="Low (10% reduction)",0.9,IF(D849="Medium (30% reduction)",0.7,IF(D849="High (50% reduction)",0.5,IF(D849="Very High (70% reduction)",0.3,1))))))</f>
        <v/>
      </c>
      <c r="F849" s="18">
        <f>IF(ISBLANK(B849),"",ROUNDUP(SQRT(B849)*E849,0))</f>
        <v/>
      </c>
      <c r="G849" s="15">
        <f>IF(ISBLANK(B849),"",ROUNDUP(B849*E849,0))</f>
        <v/>
      </c>
      <c r="H849" s="12">
        <f>IF(ISBLANK(G849),"",IF(G849&gt;=20,"Critical",IF(G849&gt;=15,"High",IF(G849&gt;=8,"Medium","Low"))))</f>
        <v/>
      </c>
    </row>
    <row r="850">
      <c r="B850" s="18">
        <f>IFERROR(VLOOKUP(A850,Risk_Assessment!$B$2:$H$1000,7,FALSE),"")</f>
        <v/>
      </c>
      <c r="E850" s="19">
        <f>IF(C850="No",1,IF(D850="N/A",1,IF(D850="Low (10% reduction)",0.9,IF(D850="Medium (30% reduction)",0.7,IF(D850="High (50% reduction)",0.5,IF(D850="Very High (70% reduction)",0.3,1))))))</f>
        <v/>
      </c>
      <c r="F850" s="18">
        <f>IF(ISBLANK(B850),"",ROUNDUP(SQRT(B850)*E850,0))</f>
        <v/>
      </c>
      <c r="G850" s="15">
        <f>IF(ISBLANK(B850),"",ROUNDUP(B850*E850,0))</f>
        <v/>
      </c>
      <c r="H850" s="12">
        <f>IF(ISBLANK(G850),"",IF(G850&gt;=20,"Critical",IF(G850&gt;=15,"High",IF(G850&gt;=8,"Medium","Low"))))</f>
        <v/>
      </c>
    </row>
    <row r="851">
      <c r="B851" s="18">
        <f>IFERROR(VLOOKUP(A851,Risk_Assessment!$B$2:$H$1000,7,FALSE),"")</f>
        <v/>
      </c>
      <c r="E851" s="19">
        <f>IF(C851="No",1,IF(D851="N/A",1,IF(D851="Low (10% reduction)",0.9,IF(D851="Medium (30% reduction)",0.7,IF(D851="High (50% reduction)",0.5,IF(D851="Very High (70% reduction)",0.3,1))))))</f>
        <v/>
      </c>
      <c r="F851" s="18">
        <f>IF(ISBLANK(B851),"",ROUNDUP(SQRT(B851)*E851,0))</f>
        <v/>
      </c>
      <c r="G851" s="15">
        <f>IF(ISBLANK(B851),"",ROUNDUP(B851*E851,0))</f>
        <v/>
      </c>
      <c r="H851" s="12">
        <f>IF(ISBLANK(G851),"",IF(G851&gt;=20,"Critical",IF(G851&gt;=15,"High",IF(G851&gt;=8,"Medium","Low"))))</f>
        <v/>
      </c>
    </row>
    <row r="852">
      <c r="B852" s="18">
        <f>IFERROR(VLOOKUP(A852,Risk_Assessment!$B$2:$H$1000,7,FALSE),"")</f>
        <v/>
      </c>
      <c r="E852" s="19">
        <f>IF(C852="No",1,IF(D852="N/A",1,IF(D852="Low (10% reduction)",0.9,IF(D852="Medium (30% reduction)",0.7,IF(D852="High (50% reduction)",0.5,IF(D852="Very High (70% reduction)",0.3,1))))))</f>
        <v/>
      </c>
      <c r="F852" s="18">
        <f>IF(ISBLANK(B852),"",ROUNDUP(SQRT(B852)*E852,0))</f>
        <v/>
      </c>
      <c r="G852" s="15">
        <f>IF(ISBLANK(B852),"",ROUNDUP(B852*E852,0))</f>
        <v/>
      </c>
      <c r="H852" s="12">
        <f>IF(ISBLANK(G852),"",IF(G852&gt;=20,"Critical",IF(G852&gt;=15,"High",IF(G852&gt;=8,"Medium","Low"))))</f>
        <v/>
      </c>
    </row>
    <row r="853">
      <c r="B853" s="18">
        <f>IFERROR(VLOOKUP(A853,Risk_Assessment!$B$2:$H$1000,7,FALSE),"")</f>
        <v/>
      </c>
      <c r="E853" s="19">
        <f>IF(C853="No",1,IF(D853="N/A",1,IF(D853="Low (10% reduction)",0.9,IF(D853="Medium (30% reduction)",0.7,IF(D853="High (50% reduction)",0.5,IF(D853="Very High (70% reduction)",0.3,1))))))</f>
        <v/>
      </c>
      <c r="F853" s="18">
        <f>IF(ISBLANK(B853),"",ROUNDUP(SQRT(B853)*E853,0))</f>
        <v/>
      </c>
      <c r="G853" s="15">
        <f>IF(ISBLANK(B853),"",ROUNDUP(B853*E853,0))</f>
        <v/>
      </c>
      <c r="H853" s="12">
        <f>IF(ISBLANK(G853),"",IF(G853&gt;=20,"Critical",IF(G853&gt;=15,"High",IF(G853&gt;=8,"Medium","Low"))))</f>
        <v/>
      </c>
    </row>
    <row r="854">
      <c r="B854" s="18">
        <f>IFERROR(VLOOKUP(A854,Risk_Assessment!$B$2:$H$1000,7,FALSE),"")</f>
        <v/>
      </c>
      <c r="E854" s="19">
        <f>IF(C854="No",1,IF(D854="N/A",1,IF(D854="Low (10% reduction)",0.9,IF(D854="Medium (30% reduction)",0.7,IF(D854="High (50% reduction)",0.5,IF(D854="Very High (70% reduction)",0.3,1))))))</f>
        <v/>
      </c>
      <c r="F854" s="18">
        <f>IF(ISBLANK(B854),"",ROUNDUP(SQRT(B854)*E854,0))</f>
        <v/>
      </c>
      <c r="G854" s="15">
        <f>IF(ISBLANK(B854),"",ROUNDUP(B854*E854,0))</f>
        <v/>
      </c>
      <c r="H854" s="12">
        <f>IF(ISBLANK(G854),"",IF(G854&gt;=20,"Critical",IF(G854&gt;=15,"High",IF(G854&gt;=8,"Medium","Low"))))</f>
        <v/>
      </c>
    </row>
    <row r="855">
      <c r="B855" s="18">
        <f>IFERROR(VLOOKUP(A855,Risk_Assessment!$B$2:$H$1000,7,FALSE),"")</f>
        <v/>
      </c>
      <c r="E855" s="19">
        <f>IF(C855="No",1,IF(D855="N/A",1,IF(D855="Low (10% reduction)",0.9,IF(D855="Medium (30% reduction)",0.7,IF(D855="High (50% reduction)",0.5,IF(D855="Very High (70% reduction)",0.3,1))))))</f>
        <v/>
      </c>
      <c r="F855" s="18">
        <f>IF(ISBLANK(B855),"",ROUNDUP(SQRT(B855)*E855,0))</f>
        <v/>
      </c>
      <c r="G855" s="15">
        <f>IF(ISBLANK(B855),"",ROUNDUP(B855*E855,0))</f>
        <v/>
      </c>
      <c r="H855" s="12">
        <f>IF(ISBLANK(G855),"",IF(G855&gt;=20,"Critical",IF(G855&gt;=15,"High",IF(G855&gt;=8,"Medium","Low"))))</f>
        <v/>
      </c>
    </row>
    <row r="856">
      <c r="B856" s="18">
        <f>IFERROR(VLOOKUP(A856,Risk_Assessment!$B$2:$H$1000,7,FALSE),"")</f>
        <v/>
      </c>
      <c r="E856" s="19">
        <f>IF(C856="No",1,IF(D856="N/A",1,IF(D856="Low (10% reduction)",0.9,IF(D856="Medium (30% reduction)",0.7,IF(D856="High (50% reduction)",0.5,IF(D856="Very High (70% reduction)",0.3,1))))))</f>
        <v/>
      </c>
      <c r="F856" s="18">
        <f>IF(ISBLANK(B856),"",ROUNDUP(SQRT(B856)*E856,0))</f>
        <v/>
      </c>
      <c r="G856" s="15">
        <f>IF(ISBLANK(B856),"",ROUNDUP(B856*E856,0))</f>
        <v/>
      </c>
      <c r="H856" s="12">
        <f>IF(ISBLANK(G856),"",IF(G856&gt;=20,"Critical",IF(G856&gt;=15,"High",IF(G856&gt;=8,"Medium","Low"))))</f>
        <v/>
      </c>
    </row>
    <row r="857">
      <c r="B857" s="18">
        <f>IFERROR(VLOOKUP(A857,Risk_Assessment!$B$2:$H$1000,7,FALSE),"")</f>
        <v/>
      </c>
      <c r="E857" s="19">
        <f>IF(C857="No",1,IF(D857="N/A",1,IF(D857="Low (10% reduction)",0.9,IF(D857="Medium (30% reduction)",0.7,IF(D857="High (50% reduction)",0.5,IF(D857="Very High (70% reduction)",0.3,1))))))</f>
        <v/>
      </c>
      <c r="F857" s="18">
        <f>IF(ISBLANK(B857),"",ROUNDUP(SQRT(B857)*E857,0))</f>
        <v/>
      </c>
      <c r="G857" s="15">
        <f>IF(ISBLANK(B857),"",ROUNDUP(B857*E857,0))</f>
        <v/>
      </c>
      <c r="H857" s="12">
        <f>IF(ISBLANK(G857),"",IF(G857&gt;=20,"Critical",IF(G857&gt;=15,"High",IF(G857&gt;=8,"Medium","Low"))))</f>
        <v/>
      </c>
    </row>
    <row r="858">
      <c r="B858" s="18">
        <f>IFERROR(VLOOKUP(A858,Risk_Assessment!$B$2:$H$1000,7,FALSE),"")</f>
        <v/>
      </c>
      <c r="E858" s="19">
        <f>IF(C858="No",1,IF(D858="N/A",1,IF(D858="Low (10% reduction)",0.9,IF(D858="Medium (30% reduction)",0.7,IF(D858="High (50% reduction)",0.5,IF(D858="Very High (70% reduction)",0.3,1))))))</f>
        <v/>
      </c>
      <c r="F858" s="18">
        <f>IF(ISBLANK(B858),"",ROUNDUP(SQRT(B858)*E858,0))</f>
        <v/>
      </c>
      <c r="G858" s="15">
        <f>IF(ISBLANK(B858),"",ROUNDUP(B858*E858,0))</f>
        <v/>
      </c>
      <c r="H858" s="12">
        <f>IF(ISBLANK(G858),"",IF(G858&gt;=20,"Critical",IF(G858&gt;=15,"High",IF(G858&gt;=8,"Medium","Low"))))</f>
        <v/>
      </c>
    </row>
    <row r="859">
      <c r="B859" s="18">
        <f>IFERROR(VLOOKUP(A859,Risk_Assessment!$B$2:$H$1000,7,FALSE),"")</f>
        <v/>
      </c>
      <c r="E859" s="19">
        <f>IF(C859="No",1,IF(D859="N/A",1,IF(D859="Low (10% reduction)",0.9,IF(D859="Medium (30% reduction)",0.7,IF(D859="High (50% reduction)",0.5,IF(D859="Very High (70% reduction)",0.3,1))))))</f>
        <v/>
      </c>
      <c r="F859" s="18">
        <f>IF(ISBLANK(B859),"",ROUNDUP(SQRT(B859)*E859,0))</f>
        <v/>
      </c>
      <c r="G859" s="15">
        <f>IF(ISBLANK(B859),"",ROUNDUP(B859*E859,0))</f>
        <v/>
      </c>
      <c r="H859" s="12">
        <f>IF(ISBLANK(G859),"",IF(G859&gt;=20,"Critical",IF(G859&gt;=15,"High",IF(G859&gt;=8,"Medium","Low"))))</f>
        <v/>
      </c>
    </row>
    <row r="860">
      <c r="B860" s="18">
        <f>IFERROR(VLOOKUP(A860,Risk_Assessment!$B$2:$H$1000,7,FALSE),"")</f>
        <v/>
      </c>
      <c r="E860" s="19">
        <f>IF(C860="No",1,IF(D860="N/A",1,IF(D860="Low (10% reduction)",0.9,IF(D860="Medium (30% reduction)",0.7,IF(D860="High (50% reduction)",0.5,IF(D860="Very High (70% reduction)",0.3,1))))))</f>
        <v/>
      </c>
      <c r="F860" s="18">
        <f>IF(ISBLANK(B860),"",ROUNDUP(SQRT(B860)*E860,0))</f>
        <v/>
      </c>
      <c r="G860" s="15">
        <f>IF(ISBLANK(B860),"",ROUNDUP(B860*E860,0))</f>
        <v/>
      </c>
      <c r="H860" s="12">
        <f>IF(ISBLANK(G860),"",IF(G860&gt;=20,"Critical",IF(G860&gt;=15,"High",IF(G860&gt;=8,"Medium","Low"))))</f>
        <v/>
      </c>
    </row>
    <row r="861">
      <c r="B861" s="18">
        <f>IFERROR(VLOOKUP(A861,Risk_Assessment!$B$2:$H$1000,7,FALSE),"")</f>
        <v/>
      </c>
      <c r="E861" s="19">
        <f>IF(C861="No",1,IF(D861="N/A",1,IF(D861="Low (10% reduction)",0.9,IF(D861="Medium (30% reduction)",0.7,IF(D861="High (50% reduction)",0.5,IF(D861="Very High (70% reduction)",0.3,1))))))</f>
        <v/>
      </c>
      <c r="F861" s="18">
        <f>IF(ISBLANK(B861),"",ROUNDUP(SQRT(B861)*E861,0))</f>
        <v/>
      </c>
      <c r="G861" s="15">
        <f>IF(ISBLANK(B861),"",ROUNDUP(B861*E861,0))</f>
        <v/>
      </c>
      <c r="H861" s="12">
        <f>IF(ISBLANK(G861),"",IF(G861&gt;=20,"Critical",IF(G861&gt;=15,"High",IF(G861&gt;=8,"Medium","Low"))))</f>
        <v/>
      </c>
    </row>
    <row r="862">
      <c r="B862" s="18">
        <f>IFERROR(VLOOKUP(A862,Risk_Assessment!$B$2:$H$1000,7,FALSE),"")</f>
        <v/>
      </c>
      <c r="E862" s="19">
        <f>IF(C862="No",1,IF(D862="N/A",1,IF(D862="Low (10% reduction)",0.9,IF(D862="Medium (30% reduction)",0.7,IF(D862="High (50% reduction)",0.5,IF(D862="Very High (70% reduction)",0.3,1))))))</f>
        <v/>
      </c>
      <c r="F862" s="18">
        <f>IF(ISBLANK(B862),"",ROUNDUP(SQRT(B862)*E862,0))</f>
        <v/>
      </c>
      <c r="G862" s="15">
        <f>IF(ISBLANK(B862),"",ROUNDUP(B862*E862,0))</f>
        <v/>
      </c>
      <c r="H862" s="12">
        <f>IF(ISBLANK(G862),"",IF(G862&gt;=20,"Critical",IF(G862&gt;=15,"High",IF(G862&gt;=8,"Medium","Low"))))</f>
        <v/>
      </c>
    </row>
    <row r="863">
      <c r="B863" s="18">
        <f>IFERROR(VLOOKUP(A863,Risk_Assessment!$B$2:$H$1000,7,FALSE),"")</f>
        <v/>
      </c>
      <c r="E863" s="19">
        <f>IF(C863="No",1,IF(D863="N/A",1,IF(D863="Low (10% reduction)",0.9,IF(D863="Medium (30% reduction)",0.7,IF(D863="High (50% reduction)",0.5,IF(D863="Very High (70% reduction)",0.3,1))))))</f>
        <v/>
      </c>
      <c r="F863" s="18">
        <f>IF(ISBLANK(B863),"",ROUNDUP(SQRT(B863)*E863,0))</f>
        <v/>
      </c>
      <c r="G863" s="15">
        <f>IF(ISBLANK(B863),"",ROUNDUP(B863*E863,0))</f>
        <v/>
      </c>
      <c r="H863" s="12">
        <f>IF(ISBLANK(G863),"",IF(G863&gt;=20,"Critical",IF(G863&gt;=15,"High",IF(G863&gt;=8,"Medium","Low"))))</f>
        <v/>
      </c>
    </row>
    <row r="864">
      <c r="B864" s="18">
        <f>IFERROR(VLOOKUP(A864,Risk_Assessment!$B$2:$H$1000,7,FALSE),"")</f>
        <v/>
      </c>
      <c r="E864" s="19">
        <f>IF(C864="No",1,IF(D864="N/A",1,IF(D864="Low (10% reduction)",0.9,IF(D864="Medium (30% reduction)",0.7,IF(D864="High (50% reduction)",0.5,IF(D864="Very High (70% reduction)",0.3,1))))))</f>
        <v/>
      </c>
      <c r="F864" s="18">
        <f>IF(ISBLANK(B864),"",ROUNDUP(SQRT(B864)*E864,0))</f>
        <v/>
      </c>
      <c r="G864" s="15">
        <f>IF(ISBLANK(B864),"",ROUNDUP(B864*E864,0))</f>
        <v/>
      </c>
      <c r="H864" s="12">
        <f>IF(ISBLANK(G864),"",IF(G864&gt;=20,"Critical",IF(G864&gt;=15,"High",IF(G864&gt;=8,"Medium","Low"))))</f>
        <v/>
      </c>
    </row>
    <row r="865">
      <c r="B865" s="18">
        <f>IFERROR(VLOOKUP(A865,Risk_Assessment!$B$2:$H$1000,7,FALSE),"")</f>
        <v/>
      </c>
      <c r="E865" s="19">
        <f>IF(C865="No",1,IF(D865="N/A",1,IF(D865="Low (10% reduction)",0.9,IF(D865="Medium (30% reduction)",0.7,IF(D865="High (50% reduction)",0.5,IF(D865="Very High (70% reduction)",0.3,1))))))</f>
        <v/>
      </c>
      <c r="F865" s="18">
        <f>IF(ISBLANK(B865),"",ROUNDUP(SQRT(B865)*E865,0))</f>
        <v/>
      </c>
      <c r="G865" s="15">
        <f>IF(ISBLANK(B865),"",ROUNDUP(B865*E865,0))</f>
        <v/>
      </c>
      <c r="H865" s="12">
        <f>IF(ISBLANK(G865),"",IF(G865&gt;=20,"Critical",IF(G865&gt;=15,"High",IF(G865&gt;=8,"Medium","Low"))))</f>
        <v/>
      </c>
    </row>
    <row r="866">
      <c r="B866" s="18">
        <f>IFERROR(VLOOKUP(A866,Risk_Assessment!$B$2:$H$1000,7,FALSE),"")</f>
        <v/>
      </c>
      <c r="E866" s="19">
        <f>IF(C866="No",1,IF(D866="N/A",1,IF(D866="Low (10% reduction)",0.9,IF(D866="Medium (30% reduction)",0.7,IF(D866="High (50% reduction)",0.5,IF(D866="Very High (70% reduction)",0.3,1))))))</f>
        <v/>
      </c>
      <c r="F866" s="18">
        <f>IF(ISBLANK(B866),"",ROUNDUP(SQRT(B866)*E866,0))</f>
        <v/>
      </c>
      <c r="G866" s="15">
        <f>IF(ISBLANK(B866),"",ROUNDUP(B866*E866,0))</f>
        <v/>
      </c>
      <c r="H866" s="12">
        <f>IF(ISBLANK(G866),"",IF(G866&gt;=20,"Critical",IF(G866&gt;=15,"High",IF(G866&gt;=8,"Medium","Low"))))</f>
        <v/>
      </c>
    </row>
    <row r="867">
      <c r="B867" s="18">
        <f>IFERROR(VLOOKUP(A867,Risk_Assessment!$B$2:$H$1000,7,FALSE),"")</f>
        <v/>
      </c>
      <c r="E867" s="19">
        <f>IF(C867="No",1,IF(D867="N/A",1,IF(D867="Low (10% reduction)",0.9,IF(D867="Medium (30% reduction)",0.7,IF(D867="High (50% reduction)",0.5,IF(D867="Very High (70% reduction)",0.3,1))))))</f>
        <v/>
      </c>
      <c r="F867" s="18">
        <f>IF(ISBLANK(B867),"",ROUNDUP(SQRT(B867)*E867,0))</f>
        <v/>
      </c>
      <c r="G867" s="15">
        <f>IF(ISBLANK(B867),"",ROUNDUP(B867*E867,0))</f>
        <v/>
      </c>
      <c r="H867" s="12">
        <f>IF(ISBLANK(G867),"",IF(G867&gt;=20,"Critical",IF(G867&gt;=15,"High",IF(G867&gt;=8,"Medium","Low"))))</f>
        <v/>
      </c>
    </row>
    <row r="868">
      <c r="B868" s="18">
        <f>IFERROR(VLOOKUP(A868,Risk_Assessment!$B$2:$H$1000,7,FALSE),"")</f>
        <v/>
      </c>
      <c r="E868" s="19">
        <f>IF(C868="No",1,IF(D868="N/A",1,IF(D868="Low (10% reduction)",0.9,IF(D868="Medium (30% reduction)",0.7,IF(D868="High (50% reduction)",0.5,IF(D868="Very High (70% reduction)",0.3,1))))))</f>
        <v/>
      </c>
      <c r="F868" s="18">
        <f>IF(ISBLANK(B868),"",ROUNDUP(SQRT(B868)*E868,0))</f>
        <v/>
      </c>
      <c r="G868" s="15">
        <f>IF(ISBLANK(B868),"",ROUNDUP(B868*E868,0))</f>
        <v/>
      </c>
      <c r="H868" s="12">
        <f>IF(ISBLANK(G868),"",IF(G868&gt;=20,"Critical",IF(G868&gt;=15,"High",IF(G868&gt;=8,"Medium","Low"))))</f>
        <v/>
      </c>
    </row>
    <row r="869">
      <c r="B869" s="18">
        <f>IFERROR(VLOOKUP(A869,Risk_Assessment!$B$2:$H$1000,7,FALSE),"")</f>
        <v/>
      </c>
      <c r="E869" s="19">
        <f>IF(C869="No",1,IF(D869="N/A",1,IF(D869="Low (10% reduction)",0.9,IF(D869="Medium (30% reduction)",0.7,IF(D869="High (50% reduction)",0.5,IF(D869="Very High (70% reduction)",0.3,1))))))</f>
        <v/>
      </c>
      <c r="F869" s="18">
        <f>IF(ISBLANK(B869),"",ROUNDUP(SQRT(B869)*E869,0))</f>
        <v/>
      </c>
      <c r="G869" s="15">
        <f>IF(ISBLANK(B869),"",ROUNDUP(B869*E869,0))</f>
        <v/>
      </c>
      <c r="H869" s="12">
        <f>IF(ISBLANK(G869),"",IF(G869&gt;=20,"Critical",IF(G869&gt;=15,"High",IF(G869&gt;=8,"Medium","Low"))))</f>
        <v/>
      </c>
    </row>
    <row r="870">
      <c r="B870" s="18">
        <f>IFERROR(VLOOKUP(A870,Risk_Assessment!$B$2:$H$1000,7,FALSE),"")</f>
        <v/>
      </c>
      <c r="E870" s="19">
        <f>IF(C870="No",1,IF(D870="N/A",1,IF(D870="Low (10% reduction)",0.9,IF(D870="Medium (30% reduction)",0.7,IF(D870="High (50% reduction)",0.5,IF(D870="Very High (70% reduction)",0.3,1))))))</f>
        <v/>
      </c>
      <c r="F870" s="18">
        <f>IF(ISBLANK(B870),"",ROUNDUP(SQRT(B870)*E870,0))</f>
        <v/>
      </c>
      <c r="G870" s="15">
        <f>IF(ISBLANK(B870),"",ROUNDUP(B870*E870,0))</f>
        <v/>
      </c>
      <c r="H870" s="12">
        <f>IF(ISBLANK(G870),"",IF(G870&gt;=20,"Critical",IF(G870&gt;=15,"High",IF(G870&gt;=8,"Medium","Low"))))</f>
        <v/>
      </c>
    </row>
    <row r="871">
      <c r="B871" s="18">
        <f>IFERROR(VLOOKUP(A871,Risk_Assessment!$B$2:$H$1000,7,FALSE),"")</f>
        <v/>
      </c>
      <c r="E871" s="19">
        <f>IF(C871="No",1,IF(D871="N/A",1,IF(D871="Low (10% reduction)",0.9,IF(D871="Medium (30% reduction)",0.7,IF(D871="High (50% reduction)",0.5,IF(D871="Very High (70% reduction)",0.3,1))))))</f>
        <v/>
      </c>
      <c r="F871" s="18">
        <f>IF(ISBLANK(B871),"",ROUNDUP(SQRT(B871)*E871,0))</f>
        <v/>
      </c>
      <c r="G871" s="15">
        <f>IF(ISBLANK(B871),"",ROUNDUP(B871*E871,0))</f>
        <v/>
      </c>
      <c r="H871" s="12">
        <f>IF(ISBLANK(G871),"",IF(G871&gt;=20,"Critical",IF(G871&gt;=15,"High",IF(G871&gt;=8,"Medium","Low"))))</f>
        <v/>
      </c>
    </row>
    <row r="872">
      <c r="B872" s="18">
        <f>IFERROR(VLOOKUP(A872,Risk_Assessment!$B$2:$H$1000,7,FALSE),"")</f>
        <v/>
      </c>
      <c r="E872" s="19">
        <f>IF(C872="No",1,IF(D872="N/A",1,IF(D872="Low (10% reduction)",0.9,IF(D872="Medium (30% reduction)",0.7,IF(D872="High (50% reduction)",0.5,IF(D872="Very High (70% reduction)",0.3,1))))))</f>
        <v/>
      </c>
      <c r="F872" s="18">
        <f>IF(ISBLANK(B872),"",ROUNDUP(SQRT(B872)*E872,0))</f>
        <v/>
      </c>
      <c r="G872" s="15">
        <f>IF(ISBLANK(B872),"",ROUNDUP(B872*E872,0))</f>
        <v/>
      </c>
      <c r="H872" s="12">
        <f>IF(ISBLANK(G872),"",IF(G872&gt;=20,"Critical",IF(G872&gt;=15,"High",IF(G872&gt;=8,"Medium","Low"))))</f>
        <v/>
      </c>
    </row>
    <row r="873">
      <c r="B873" s="18">
        <f>IFERROR(VLOOKUP(A873,Risk_Assessment!$B$2:$H$1000,7,FALSE),"")</f>
        <v/>
      </c>
      <c r="E873" s="19">
        <f>IF(C873="No",1,IF(D873="N/A",1,IF(D873="Low (10% reduction)",0.9,IF(D873="Medium (30% reduction)",0.7,IF(D873="High (50% reduction)",0.5,IF(D873="Very High (70% reduction)",0.3,1))))))</f>
        <v/>
      </c>
      <c r="F873" s="18">
        <f>IF(ISBLANK(B873),"",ROUNDUP(SQRT(B873)*E873,0))</f>
        <v/>
      </c>
      <c r="G873" s="15">
        <f>IF(ISBLANK(B873),"",ROUNDUP(B873*E873,0))</f>
        <v/>
      </c>
      <c r="H873" s="12">
        <f>IF(ISBLANK(G873),"",IF(G873&gt;=20,"Critical",IF(G873&gt;=15,"High",IF(G873&gt;=8,"Medium","Low"))))</f>
        <v/>
      </c>
    </row>
    <row r="874">
      <c r="B874" s="18">
        <f>IFERROR(VLOOKUP(A874,Risk_Assessment!$B$2:$H$1000,7,FALSE),"")</f>
        <v/>
      </c>
      <c r="E874" s="19">
        <f>IF(C874="No",1,IF(D874="N/A",1,IF(D874="Low (10% reduction)",0.9,IF(D874="Medium (30% reduction)",0.7,IF(D874="High (50% reduction)",0.5,IF(D874="Very High (70% reduction)",0.3,1))))))</f>
        <v/>
      </c>
      <c r="F874" s="18">
        <f>IF(ISBLANK(B874),"",ROUNDUP(SQRT(B874)*E874,0))</f>
        <v/>
      </c>
      <c r="G874" s="15">
        <f>IF(ISBLANK(B874),"",ROUNDUP(B874*E874,0))</f>
        <v/>
      </c>
      <c r="H874" s="12">
        <f>IF(ISBLANK(G874),"",IF(G874&gt;=20,"Critical",IF(G874&gt;=15,"High",IF(G874&gt;=8,"Medium","Low"))))</f>
        <v/>
      </c>
    </row>
    <row r="875">
      <c r="B875" s="18">
        <f>IFERROR(VLOOKUP(A875,Risk_Assessment!$B$2:$H$1000,7,FALSE),"")</f>
        <v/>
      </c>
      <c r="E875" s="19">
        <f>IF(C875="No",1,IF(D875="N/A",1,IF(D875="Low (10% reduction)",0.9,IF(D875="Medium (30% reduction)",0.7,IF(D875="High (50% reduction)",0.5,IF(D875="Very High (70% reduction)",0.3,1))))))</f>
        <v/>
      </c>
      <c r="F875" s="18">
        <f>IF(ISBLANK(B875),"",ROUNDUP(SQRT(B875)*E875,0))</f>
        <v/>
      </c>
      <c r="G875" s="15">
        <f>IF(ISBLANK(B875),"",ROUNDUP(B875*E875,0))</f>
        <v/>
      </c>
      <c r="H875" s="12">
        <f>IF(ISBLANK(G875),"",IF(G875&gt;=20,"Critical",IF(G875&gt;=15,"High",IF(G875&gt;=8,"Medium","Low"))))</f>
        <v/>
      </c>
    </row>
    <row r="876">
      <c r="B876" s="18">
        <f>IFERROR(VLOOKUP(A876,Risk_Assessment!$B$2:$H$1000,7,FALSE),"")</f>
        <v/>
      </c>
      <c r="E876" s="19">
        <f>IF(C876="No",1,IF(D876="N/A",1,IF(D876="Low (10% reduction)",0.9,IF(D876="Medium (30% reduction)",0.7,IF(D876="High (50% reduction)",0.5,IF(D876="Very High (70% reduction)",0.3,1))))))</f>
        <v/>
      </c>
      <c r="F876" s="18">
        <f>IF(ISBLANK(B876),"",ROUNDUP(SQRT(B876)*E876,0))</f>
        <v/>
      </c>
      <c r="G876" s="15">
        <f>IF(ISBLANK(B876),"",ROUNDUP(B876*E876,0))</f>
        <v/>
      </c>
      <c r="H876" s="12">
        <f>IF(ISBLANK(G876),"",IF(G876&gt;=20,"Critical",IF(G876&gt;=15,"High",IF(G876&gt;=8,"Medium","Low"))))</f>
        <v/>
      </c>
    </row>
    <row r="877">
      <c r="B877" s="18">
        <f>IFERROR(VLOOKUP(A877,Risk_Assessment!$B$2:$H$1000,7,FALSE),"")</f>
        <v/>
      </c>
      <c r="E877" s="19">
        <f>IF(C877="No",1,IF(D877="N/A",1,IF(D877="Low (10% reduction)",0.9,IF(D877="Medium (30% reduction)",0.7,IF(D877="High (50% reduction)",0.5,IF(D877="Very High (70% reduction)",0.3,1))))))</f>
        <v/>
      </c>
      <c r="F877" s="18">
        <f>IF(ISBLANK(B877),"",ROUNDUP(SQRT(B877)*E877,0))</f>
        <v/>
      </c>
      <c r="G877" s="15">
        <f>IF(ISBLANK(B877),"",ROUNDUP(B877*E877,0))</f>
        <v/>
      </c>
      <c r="H877" s="12">
        <f>IF(ISBLANK(G877),"",IF(G877&gt;=20,"Critical",IF(G877&gt;=15,"High",IF(G877&gt;=8,"Medium","Low"))))</f>
        <v/>
      </c>
    </row>
    <row r="878">
      <c r="B878" s="18">
        <f>IFERROR(VLOOKUP(A878,Risk_Assessment!$B$2:$H$1000,7,FALSE),"")</f>
        <v/>
      </c>
      <c r="E878" s="19">
        <f>IF(C878="No",1,IF(D878="N/A",1,IF(D878="Low (10% reduction)",0.9,IF(D878="Medium (30% reduction)",0.7,IF(D878="High (50% reduction)",0.5,IF(D878="Very High (70% reduction)",0.3,1))))))</f>
        <v/>
      </c>
      <c r="F878" s="18">
        <f>IF(ISBLANK(B878),"",ROUNDUP(SQRT(B878)*E878,0))</f>
        <v/>
      </c>
      <c r="G878" s="15">
        <f>IF(ISBLANK(B878),"",ROUNDUP(B878*E878,0))</f>
        <v/>
      </c>
      <c r="H878" s="12">
        <f>IF(ISBLANK(G878),"",IF(G878&gt;=20,"Critical",IF(G878&gt;=15,"High",IF(G878&gt;=8,"Medium","Low"))))</f>
        <v/>
      </c>
    </row>
    <row r="879">
      <c r="B879" s="18">
        <f>IFERROR(VLOOKUP(A879,Risk_Assessment!$B$2:$H$1000,7,FALSE),"")</f>
        <v/>
      </c>
      <c r="E879" s="19">
        <f>IF(C879="No",1,IF(D879="N/A",1,IF(D879="Low (10% reduction)",0.9,IF(D879="Medium (30% reduction)",0.7,IF(D879="High (50% reduction)",0.5,IF(D879="Very High (70% reduction)",0.3,1))))))</f>
        <v/>
      </c>
      <c r="F879" s="18">
        <f>IF(ISBLANK(B879),"",ROUNDUP(SQRT(B879)*E879,0))</f>
        <v/>
      </c>
      <c r="G879" s="15">
        <f>IF(ISBLANK(B879),"",ROUNDUP(B879*E879,0))</f>
        <v/>
      </c>
      <c r="H879" s="12">
        <f>IF(ISBLANK(G879),"",IF(G879&gt;=20,"Critical",IF(G879&gt;=15,"High",IF(G879&gt;=8,"Medium","Low"))))</f>
        <v/>
      </c>
    </row>
    <row r="880">
      <c r="B880" s="18">
        <f>IFERROR(VLOOKUP(A880,Risk_Assessment!$B$2:$H$1000,7,FALSE),"")</f>
        <v/>
      </c>
      <c r="E880" s="19">
        <f>IF(C880="No",1,IF(D880="N/A",1,IF(D880="Low (10% reduction)",0.9,IF(D880="Medium (30% reduction)",0.7,IF(D880="High (50% reduction)",0.5,IF(D880="Very High (70% reduction)",0.3,1))))))</f>
        <v/>
      </c>
      <c r="F880" s="18">
        <f>IF(ISBLANK(B880),"",ROUNDUP(SQRT(B880)*E880,0))</f>
        <v/>
      </c>
      <c r="G880" s="15">
        <f>IF(ISBLANK(B880),"",ROUNDUP(B880*E880,0))</f>
        <v/>
      </c>
      <c r="H880" s="12">
        <f>IF(ISBLANK(G880),"",IF(G880&gt;=20,"Critical",IF(G880&gt;=15,"High",IF(G880&gt;=8,"Medium","Low"))))</f>
        <v/>
      </c>
    </row>
    <row r="881">
      <c r="B881" s="18">
        <f>IFERROR(VLOOKUP(A881,Risk_Assessment!$B$2:$H$1000,7,FALSE),"")</f>
        <v/>
      </c>
      <c r="E881" s="19">
        <f>IF(C881="No",1,IF(D881="N/A",1,IF(D881="Low (10% reduction)",0.9,IF(D881="Medium (30% reduction)",0.7,IF(D881="High (50% reduction)",0.5,IF(D881="Very High (70% reduction)",0.3,1))))))</f>
        <v/>
      </c>
      <c r="F881" s="18">
        <f>IF(ISBLANK(B881),"",ROUNDUP(SQRT(B881)*E881,0))</f>
        <v/>
      </c>
      <c r="G881" s="15">
        <f>IF(ISBLANK(B881),"",ROUNDUP(B881*E881,0))</f>
        <v/>
      </c>
      <c r="H881" s="12">
        <f>IF(ISBLANK(G881),"",IF(G881&gt;=20,"Critical",IF(G881&gt;=15,"High",IF(G881&gt;=8,"Medium","Low"))))</f>
        <v/>
      </c>
    </row>
    <row r="882">
      <c r="B882" s="18">
        <f>IFERROR(VLOOKUP(A882,Risk_Assessment!$B$2:$H$1000,7,FALSE),"")</f>
        <v/>
      </c>
      <c r="E882" s="19">
        <f>IF(C882="No",1,IF(D882="N/A",1,IF(D882="Low (10% reduction)",0.9,IF(D882="Medium (30% reduction)",0.7,IF(D882="High (50% reduction)",0.5,IF(D882="Very High (70% reduction)",0.3,1))))))</f>
        <v/>
      </c>
      <c r="F882" s="18">
        <f>IF(ISBLANK(B882),"",ROUNDUP(SQRT(B882)*E882,0))</f>
        <v/>
      </c>
      <c r="G882" s="15">
        <f>IF(ISBLANK(B882),"",ROUNDUP(B882*E882,0))</f>
        <v/>
      </c>
      <c r="H882" s="12">
        <f>IF(ISBLANK(G882),"",IF(G882&gt;=20,"Critical",IF(G882&gt;=15,"High",IF(G882&gt;=8,"Medium","Low"))))</f>
        <v/>
      </c>
    </row>
    <row r="883">
      <c r="B883" s="18">
        <f>IFERROR(VLOOKUP(A883,Risk_Assessment!$B$2:$H$1000,7,FALSE),"")</f>
        <v/>
      </c>
      <c r="E883" s="19">
        <f>IF(C883="No",1,IF(D883="N/A",1,IF(D883="Low (10% reduction)",0.9,IF(D883="Medium (30% reduction)",0.7,IF(D883="High (50% reduction)",0.5,IF(D883="Very High (70% reduction)",0.3,1))))))</f>
        <v/>
      </c>
      <c r="F883" s="18">
        <f>IF(ISBLANK(B883),"",ROUNDUP(SQRT(B883)*E883,0))</f>
        <v/>
      </c>
      <c r="G883" s="15">
        <f>IF(ISBLANK(B883),"",ROUNDUP(B883*E883,0))</f>
        <v/>
      </c>
      <c r="H883" s="12">
        <f>IF(ISBLANK(G883),"",IF(G883&gt;=20,"Critical",IF(G883&gt;=15,"High",IF(G883&gt;=8,"Medium","Low"))))</f>
        <v/>
      </c>
    </row>
    <row r="884">
      <c r="B884" s="18">
        <f>IFERROR(VLOOKUP(A884,Risk_Assessment!$B$2:$H$1000,7,FALSE),"")</f>
        <v/>
      </c>
      <c r="E884" s="19">
        <f>IF(C884="No",1,IF(D884="N/A",1,IF(D884="Low (10% reduction)",0.9,IF(D884="Medium (30% reduction)",0.7,IF(D884="High (50% reduction)",0.5,IF(D884="Very High (70% reduction)",0.3,1))))))</f>
        <v/>
      </c>
      <c r="F884" s="18">
        <f>IF(ISBLANK(B884),"",ROUNDUP(SQRT(B884)*E884,0))</f>
        <v/>
      </c>
      <c r="G884" s="15">
        <f>IF(ISBLANK(B884),"",ROUNDUP(B884*E884,0))</f>
        <v/>
      </c>
      <c r="H884" s="12">
        <f>IF(ISBLANK(G884),"",IF(G884&gt;=20,"Critical",IF(G884&gt;=15,"High",IF(G884&gt;=8,"Medium","Low"))))</f>
        <v/>
      </c>
    </row>
    <row r="885">
      <c r="B885" s="18">
        <f>IFERROR(VLOOKUP(A885,Risk_Assessment!$B$2:$H$1000,7,FALSE),"")</f>
        <v/>
      </c>
      <c r="E885" s="19">
        <f>IF(C885="No",1,IF(D885="N/A",1,IF(D885="Low (10% reduction)",0.9,IF(D885="Medium (30% reduction)",0.7,IF(D885="High (50% reduction)",0.5,IF(D885="Very High (70% reduction)",0.3,1))))))</f>
        <v/>
      </c>
      <c r="F885" s="18">
        <f>IF(ISBLANK(B885),"",ROUNDUP(SQRT(B885)*E885,0))</f>
        <v/>
      </c>
      <c r="G885" s="15">
        <f>IF(ISBLANK(B885),"",ROUNDUP(B885*E885,0))</f>
        <v/>
      </c>
      <c r="H885" s="12">
        <f>IF(ISBLANK(G885),"",IF(G885&gt;=20,"Critical",IF(G885&gt;=15,"High",IF(G885&gt;=8,"Medium","Low"))))</f>
        <v/>
      </c>
    </row>
    <row r="886">
      <c r="B886" s="18">
        <f>IFERROR(VLOOKUP(A886,Risk_Assessment!$B$2:$H$1000,7,FALSE),"")</f>
        <v/>
      </c>
      <c r="E886" s="19">
        <f>IF(C886="No",1,IF(D886="N/A",1,IF(D886="Low (10% reduction)",0.9,IF(D886="Medium (30% reduction)",0.7,IF(D886="High (50% reduction)",0.5,IF(D886="Very High (70% reduction)",0.3,1))))))</f>
        <v/>
      </c>
      <c r="F886" s="18">
        <f>IF(ISBLANK(B886),"",ROUNDUP(SQRT(B886)*E886,0))</f>
        <v/>
      </c>
      <c r="G886" s="15">
        <f>IF(ISBLANK(B886),"",ROUNDUP(B886*E886,0))</f>
        <v/>
      </c>
      <c r="H886" s="12">
        <f>IF(ISBLANK(G886),"",IF(G886&gt;=20,"Critical",IF(G886&gt;=15,"High",IF(G886&gt;=8,"Medium","Low"))))</f>
        <v/>
      </c>
    </row>
    <row r="887">
      <c r="B887" s="18">
        <f>IFERROR(VLOOKUP(A887,Risk_Assessment!$B$2:$H$1000,7,FALSE),"")</f>
        <v/>
      </c>
      <c r="E887" s="19">
        <f>IF(C887="No",1,IF(D887="N/A",1,IF(D887="Low (10% reduction)",0.9,IF(D887="Medium (30% reduction)",0.7,IF(D887="High (50% reduction)",0.5,IF(D887="Very High (70% reduction)",0.3,1))))))</f>
        <v/>
      </c>
      <c r="F887" s="18">
        <f>IF(ISBLANK(B887),"",ROUNDUP(SQRT(B887)*E887,0))</f>
        <v/>
      </c>
      <c r="G887" s="15">
        <f>IF(ISBLANK(B887),"",ROUNDUP(B887*E887,0))</f>
        <v/>
      </c>
      <c r="H887" s="12">
        <f>IF(ISBLANK(G887),"",IF(G887&gt;=20,"Critical",IF(G887&gt;=15,"High",IF(G887&gt;=8,"Medium","Low"))))</f>
        <v/>
      </c>
    </row>
    <row r="888">
      <c r="B888" s="18">
        <f>IFERROR(VLOOKUP(A888,Risk_Assessment!$B$2:$H$1000,7,FALSE),"")</f>
        <v/>
      </c>
      <c r="E888" s="19">
        <f>IF(C888="No",1,IF(D888="N/A",1,IF(D888="Low (10% reduction)",0.9,IF(D888="Medium (30% reduction)",0.7,IF(D888="High (50% reduction)",0.5,IF(D888="Very High (70% reduction)",0.3,1))))))</f>
        <v/>
      </c>
      <c r="F888" s="18">
        <f>IF(ISBLANK(B888),"",ROUNDUP(SQRT(B888)*E888,0))</f>
        <v/>
      </c>
      <c r="G888" s="15">
        <f>IF(ISBLANK(B888),"",ROUNDUP(B888*E888,0))</f>
        <v/>
      </c>
      <c r="H888" s="12">
        <f>IF(ISBLANK(G888),"",IF(G888&gt;=20,"Critical",IF(G888&gt;=15,"High",IF(G888&gt;=8,"Medium","Low"))))</f>
        <v/>
      </c>
    </row>
    <row r="889">
      <c r="B889" s="18">
        <f>IFERROR(VLOOKUP(A889,Risk_Assessment!$B$2:$H$1000,7,FALSE),"")</f>
        <v/>
      </c>
      <c r="E889" s="19">
        <f>IF(C889="No",1,IF(D889="N/A",1,IF(D889="Low (10% reduction)",0.9,IF(D889="Medium (30% reduction)",0.7,IF(D889="High (50% reduction)",0.5,IF(D889="Very High (70% reduction)",0.3,1))))))</f>
        <v/>
      </c>
      <c r="F889" s="18">
        <f>IF(ISBLANK(B889),"",ROUNDUP(SQRT(B889)*E889,0))</f>
        <v/>
      </c>
      <c r="G889" s="15">
        <f>IF(ISBLANK(B889),"",ROUNDUP(B889*E889,0))</f>
        <v/>
      </c>
      <c r="H889" s="12">
        <f>IF(ISBLANK(G889),"",IF(G889&gt;=20,"Critical",IF(G889&gt;=15,"High",IF(G889&gt;=8,"Medium","Low"))))</f>
        <v/>
      </c>
    </row>
    <row r="890">
      <c r="B890" s="18">
        <f>IFERROR(VLOOKUP(A890,Risk_Assessment!$B$2:$H$1000,7,FALSE),"")</f>
        <v/>
      </c>
      <c r="E890" s="19">
        <f>IF(C890="No",1,IF(D890="N/A",1,IF(D890="Low (10% reduction)",0.9,IF(D890="Medium (30% reduction)",0.7,IF(D890="High (50% reduction)",0.5,IF(D890="Very High (70% reduction)",0.3,1))))))</f>
        <v/>
      </c>
      <c r="F890" s="18">
        <f>IF(ISBLANK(B890),"",ROUNDUP(SQRT(B890)*E890,0))</f>
        <v/>
      </c>
      <c r="G890" s="15">
        <f>IF(ISBLANK(B890),"",ROUNDUP(B890*E890,0))</f>
        <v/>
      </c>
      <c r="H890" s="12">
        <f>IF(ISBLANK(G890),"",IF(G890&gt;=20,"Critical",IF(G890&gt;=15,"High",IF(G890&gt;=8,"Medium","Low"))))</f>
        <v/>
      </c>
    </row>
    <row r="891">
      <c r="B891" s="18">
        <f>IFERROR(VLOOKUP(A891,Risk_Assessment!$B$2:$H$1000,7,FALSE),"")</f>
        <v/>
      </c>
      <c r="E891" s="19">
        <f>IF(C891="No",1,IF(D891="N/A",1,IF(D891="Low (10% reduction)",0.9,IF(D891="Medium (30% reduction)",0.7,IF(D891="High (50% reduction)",0.5,IF(D891="Very High (70% reduction)",0.3,1))))))</f>
        <v/>
      </c>
      <c r="F891" s="18">
        <f>IF(ISBLANK(B891),"",ROUNDUP(SQRT(B891)*E891,0))</f>
        <v/>
      </c>
      <c r="G891" s="15">
        <f>IF(ISBLANK(B891),"",ROUNDUP(B891*E891,0))</f>
        <v/>
      </c>
      <c r="H891" s="12">
        <f>IF(ISBLANK(G891),"",IF(G891&gt;=20,"Critical",IF(G891&gt;=15,"High",IF(G891&gt;=8,"Medium","Low"))))</f>
        <v/>
      </c>
    </row>
    <row r="892">
      <c r="B892" s="18">
        <f>IFERROR(VLOOKUP(A892,Risk_Assessment!$B$2:$H$1000,7,FALSE),"")</f>
        <v/>
      </c>
      <c r="E892" s="19">
        <f>IF(C892="No",1,IF(D892="N/A",1,IF(D892="Low (10% reduction)",0.9,IF(D892="Medium (30% reduction)",0.7,IF(D892="High (50% reduction)",0.5,IF(D892="Very High (70% reduction)",0.3,1))))))</f>
        <v/>
      </c>
      <c r="F892" s="18">
        <f>IF(ISBLANK(B892),"",ROUNDUP(SQRT(B892)*E892,0))</f>
        <v/>
      </c>
      <c r="G892" s="15">
        <f>IF(ISBLANK(B892),"",ROUNDUP(B892*E892,0))</f>
        <v/>
      </c>
      <c r="H892" s="12">
        <f>IF(ISBLANK(G892),"",IF(G892&gt;=20,"Critical",IF(G892&gt;=15,"High",IF(G892&gt;=8,"Medium","Low"))))</f>
        <v/>
      </c>
    </row>
    <row r="893">
      <c r="B893" s="18">
        <f>IFERROR(VLOOKUP(A893,Risk_Assessment!$B$2:$H$1000,7,FALSE),"")</f>
        <v/>
      </c>
      <c r="E893" s="19">
        <f>IF(C893="No",1,IF(D893="N/A",1,IF(D893="Low (10% reduction)",0.9,IF(D893="Medium (30% reduction)",0.7,IF(D893="High (50% reduction)",0.5,IF(D893="Very High (70% reduction)",0.3,1))))))</f>
        <v/>
      </c>
      <c r="F893" s="18">
        <f>IF(ISBLANK(B893),"",ROUNDUP(SQRT(B893)*E893,0))</f>
        <v/>
      </c>
      <c r="G893" s="15">
        <f>IF(ISBLANK(B893),"",ROUNDUP(B893*E893,0))</f>
        <v/>
      </c>
      <c r="H893" s="12">
        <f>IF(ISBLANK(G893),"",IF(G893&gt;=20,"Critical",IF(G893&gt;=15,"High",IF(G893&gt;=8,"Medium","Low"))))</f>
        <v/>
      </c>
    </row>
    <row r="894">
      <c r="B894" s="18">
        <f>IFERROR(VLOOKUP(A894,Risk_Assessment!$B$2:$H$1000,7,FALSE),"")</f>
        <v/>
      </c>
      <c r="E894" s="19">
        <f>IF(C894="No",1,IF(D894="N/A",1,IF(D894="Low (10% reduction)",0.9,IF(D894="Medium (30% reduction)",0.7,IF(D894="High (50% reduction)",0.5,IF(D894="Very High (70% reduction)",0.3,1))))))</f>
        <v/>
      </c>
      <c r="F894" s="18">
        <f>IF(ISBLANK(B894),"",ROUNDUP(SQRT(B894)*E894,0))</f>
        <v/>
      </c>
      <c r="G894" s="15">
        <f>IF(ISBLANK(B894),"",ROUNDUP(B894*E894,0))</f>
        <v/>
      </c>
      <c r="H894" s="12">
        <f>IF(ISBLANK(G894),"",IF(G894&gt;=20,"Critical",IF(G894&gt;=15,"High",IF(G894&gt;=8,"Medium","Low"))))</f>
        <v/>
      </c>
    </row>
    <row r="895">
      <c r="B895" s="18">
        <f>IFERROR(VLOOKUP(A895,Risk_Assessment!$B$2:$H$1000,7,FALSE),"")</f>
        <v/>
      </c>
      <c r="E895" s="19">
        <f>IF(C895="No",1,IF(D895="N/A",1,IF(D895="Low (10% reduction)",0.9,IF(D895="Medium (30% reduction)",0.7,IF(D895="High (50% reduction)",0.5,IF(D895="Very High (70% reduction)",0.3,1))))))</f>
        <v/>
      </c>
      <c r="F895" s="18">
        <f>IF(ISBLANK(B895),"",ROUNDUP(SQRT(B895)*E895,0))</f>
        <v/>
      </c>
      <c r="G895" s="15">
        <f>IF(ISBLANK(B895),"",ROUNDUP(B895*E895,0))</f>
        <v/>
      </c>
      <c r="H895" s="12">
        <f>IF(ISBLANK(G895),"",IF(G895&gt;=20,"Critical",IF(G895&gt;=15,"High",IF(G895&gt;=8,"Medium","Low"))))</f>
        <v/>
      </c>
    </row>
    <row r="896">
      <c r="B896" s="18">
        <f>IFERROR(VLOOKUP(A896,Risk_Assessment!$B$2:$H$1000,7,FALSE),"")</f>
        <v/>
      </c>
      <c r="E896" s="19">
        <f>IF(C896="No",1,IF(D896="N/A",1,IF(D896="Low (10% reduction)",0.9,IF(D896="Medium (30% reduction)",0.7,IF(D896="High (50% reduction)",0.5,IF(D896="Very High (70% reduction)",0.3,1))))))</f>
        <v/>
      </c>
      <c r="F896" s="18">
        <f>IF(ISBLANK(B896),"",ROUNDUP(SQRT(B896)*E896,0))</f>
        <v/>
      </c>
      <c r="G896" s="15">
        <f>IF(ISBLANK(B896),"",ROUNDUP(B896*E896,0))</f>
        <v/>
      </c>
      <c r="H896" s="12">
        <f>IF(ISBLANK(G896),"",IF(G896&gt;=20,"Critical",IF(G896&gt;=15,"High",IF(G896&gt;=8,"Medium","Low"))))</f>
        <v/>
      </c>
    </row>
    <row r="897">
      <c r="B897" s="18">
        <f>IFERROR(VLOOKUP(A897,Risk_Assessment!$B$2:$H$1000,7,FALSE),"")</f>
        <v/>
      </c>
      <c r="E897" s="19">
        <f>IF(C897="No",1,IF(D897="N/A",1,IF(D897="Low (10% reduction)",0.9,IF(D897="Medium (30% reduction)",0.7,IF(D897="High (50% reduction)",0.5,IF(D897="Very High (70% reduction)",0.3,1))))))</f>
        <v/>
      </c>
      <c r="F897" s="18">
        <f>IF(ISBLANK(B897),"",ROUNDUP(SQRT(B897)*E897,0))</f>
        <v/>
      </c>
      <c r="G897" s="15">
        <f>IF(ISBLANK(B897),"",ROUNDUP(B897*E897,0))</f>
        <v/>
      </c>
      <c r="H897" s="12">
        <f>IF(ISBLANK(G897),"",IF(G897&gt;=20,"Critical",IF(G897&gt;=15,"High",IF(G897&gt;=8,"Medium","Low"))))</f>
        <v/>
      </c>
    </row>
    <row r="898">
      <c r="B898" s="18">
        <f>IFERROR(VLOOKUP(A898,Risk_Assessment!$B$2:$H$1000,7,FALSE),"")</f>
        <v/>
      </c>
      <c r="E898" s="19">
        <f>IF(C898="No",1,IF(D898="N/A",1,IF(D898="Low (10% reduction)",0.9,IF(D898="Medium (30% reduction)",0.7,IF(D898="High (50% reduction)",0.5,IF(D898="Very High (70% reduction)",0.3,1))))))</f>
        <v/>
      </c>
      <c r="F898" s="18">
        <f>IF(ISBLANK(B898),"",ROUNDUP(SQRT(B898)*E898,0))</f>
        <v/>
      </c>
      <c r="G898" s="15">
        <f>IF(ISBLANK(B898),"",ROUNDUP(B898*E898,0))</f>
        <v/>
      </c>
      <c r="H898" s="12">
        <f>IF(ISBLANK(G898),"",IF(G898&gt;=20,"Critical",IF(G898&gt;=15,"High",IF(G898&gt;=8,"Medium","Low"))))</f>
        <v/>
      </c>
    </row>
    <row r="899">
      <c r="B899" s="18">
        <f>IFERROR(VLOOKUP(A899,Risk_Assessment!$B$2:$H$1000,7,FALSE),"")</f>
        <v/>
      </c>
      <c r="E899" s="19">
        <f>IF(C899="No",1,IF(D899="N/A",1,IF(D899="Low (10% reduction)",0.9,IF(D899="Medium (30% reduction)",0.7,IF(D899="High (50% reduction)",0.5,IF(D899="Very High (70% reduction)",0.3,1))))))</f>
        <v/>
      </c>
      <c r="F899" s="18">
        <f>IF(ISBLANK(B899),"",ROUNDUP(SQRT(B899)*E899,0))</f>
        <v/>
      </c>
      <c r="G899" s="15">
        <f>IF(ISBLANK(B899),"",ROUNDUP(B899*E899,0))</f>
        <v/>
      </c>
      <c r="H899" s="12">
        <f>IF(ISBLANK(G899),"",IF(G899&gt;=20,"Critical",IF(G899&gt;=15,"High",IF(G899&gt;=8,"Medium","Low"))))</f>
        <v/>
      </c>
    </row>
    <row r="900">
      <c r="B900" s="18">
        <f>IFERROR(VLOOKUP(A900,Risk_Assessment!$B$2:$H$1000,7,FALSE),"")</f>
        <v/>
      </c>
      <c r="E900" s="19">
        <f>IF(C900="No",1,IF(D900="N/A",1,IF(D900="Low (10% reduction)",0.9,IF(D900="Medium (30% reduction)",0.7,IF(D900="High (50% reduction)",0.5,IF(D900="Very High (70% reduction)",0.3,1))))))</f>
        <v/>
      </c>
      <c r="F900" s="18">
        <f>IF(ISBLANK(B900),"",ROUNDUP(SQRT(B900)*E900,0))</f>
        <v/>
      </c>
      <c r="G900" s="15">
        <f>IF(ISBLANK(B900),"",ROUNDUP(B900*E900,0))</f>
        <v/>
      </c>
      <c r="H900" s="12">
        <f>IF(ISBLANK(G900),"",IF(G900&gt;=20,"Critical",IF(G900&gt;=15,"High",IF(G900&gt;=8,"Medium","Low"))))</f>
        <v/>
      </c>
    </row>
    <row r="901">
      <c r="B901" s="18">
        <f>IFERROR(VLOOKUP(A901,Risk_Assessment!$B$2:$H$1000,7,FALSE),"")</f>
        <v/>
      </c>
      <c r="E901" s="19">
        <f>IF(C901="No",1,IF(D901="N/A",1,IF(D901="Low (10% reduction)",0.9,IF(D901="Medium (30% reduction)",0.7,IF(D901="High (50% reduction)",0.5,IF(D901="Very High (70% reduction)",0.3,1))))))</f>
        <v/>
      </c>
      <c r="F901" s="18">
        <f>IF(ISBLANK(B901),"",ROUNDUP(SQRT(B901)*E901,0))</f>
        <v/>
      </c>
      <c r="G901" s="15">
        <f>IF(ISBLANK(B901),"",ROUNDUP(B901*E901,0))</f>
        <v/>
      </c>
      <c r="H901" s="12">
        <f>IF(ISBLANK(G901),"",IF(G901&gt;=20,"Critical",IF(G901&gt;=15,"High",IF(G901&gt;=8,"Medium","Low"))))</f>
        <v/>
      </c>
    </row>
    <row r="902">
      <c r="B902" s="18">
        <f>IFERROR(VLOOKUP(A902,Risk_Assessment!$B$2:$H$1000,7,FALSE),"")</f>
        <v/>
      </c>
      <c r="E902" s="19">
        <f>IF(C902="No",1,IF(D902="N/A",1,IF(D902="Low (10% reduction)",0.9,IF(D902="Medium (30% reduction)",0.7,IF(D902="High (50% reduction)",0.5,IF(D902="Very High (70% reduction)",0.3,1))))))</f>
        <v/>
      </c>
      <c r="F902" s="18">
        <f>IF(ISBLANK(B902),"",ROUNDUP(SQRT(B902)*E902,0))</f>
        <v/>
      </c>
      <c r="G902" s="15">
        <f>IF(ISBLANK(B902),"",ROUNDUP(B902*E902,0))</f>
        <v/>
      </c>
      <c r="H902" s="12">
        <f>IF(ISBLANK(G902),"",IF(G902&gt;=20,"Critical",IF(G902&gt;=15,"High",IF(G902&gt;=8,"Medium","Low"))))</f>
        <v/>
      </c>
    </row>
    <row r="903">
      <c r="B903" s="18">
        <f>IFERROR(VLOOKUP(A903,Risk_Assessment!$B$2:$H$1000,7,FALSE),"")</f>
        <v/>
      </c>
      <c r="E903" s="19">
        <f>IF(C903="No",1,IF(D903="N/A",1,IF(D903="Low (10% reduction)",0.9,IF(D903="Medium (30% reduction)",0.7,IF(D903="High (50% reduction)",0.5,IF(D903="Very High (70% reduction)",0.3,1))))))</f>
        <v/>
      </c>
      <c r="F903" s="18">
        <f>IF(ISBLANK(B903),"",ROUNDUP(SQRT(B903)*E903,0))</f>
        <v/>
      </c>
      <c r="G903" s="15">
        <f>IF(ISBLANK(B903),"",ROUNDUP(B903*E903,0))</f>
        <v/>
      </c>
      <c r="H903" s="12">
        <f>IF(ISBLANK(G903),"",IF(G903&gt;=20,"Critical",IF(G903&gt;=15,"High",IF(G903&gt;=8,"Medium","Low"))))</f>
        <v/>
      </c>
    </row>
    <row r="904">
      <c r="B904" s="18">
        <f>IFERROR(VLOOKUP(A904,Risk_Assessment!$B$2:$H$1000,7,FALSE),"")</f>
        <v/>
      </c>
      <c r="E904" s="19">
        <f>IF(C904="No",1,IF(D904="N/A",1,IF(D904="Low (10% reduction)",0.9,IF(D904="Medium (30% reduction)",0.7,IF(D904="High (50% reduction)",0.5,IF(D904="Very High (70% reduction)",0.3,1))))))</f>
        <v/>
      </c>
      <c r="F904" s="18">
        <f>IF(ISBLANK(B904),"",ROUNDUP(SQRT(B904)*E904,0))</f>
        <v/>
      </c>
      <c r="G904" s="15">
        <f>IF(ISBLANK(B904),"",ROUNDUP(B904*E904,0))</f>
        <v/>
      </c>
      <c r="H904" s="12">
        <f>IF(ISBLANK(G904),"",IF(G904&gt;=20,"Critical",IF(G904&gt;=15,"High",IF(G904&gt;=8,"Medium","Low"))))</f>
        <v/>
      </c>
    </row>
    <row r="905">
      <c r="B905" s="18">
        <f>IFERROR(VLOOKUP(A905,Risk_Assessment!$B$2:$H$1000,7,FALSE),"")</f>
        <v/>
      </c>
      <c r="E905" s="19">
        <f>IF(C905="No",1,IF(D905="N/A",1,IF(D905="Low (10% reduction)",0.9,IF(D905="Medium (30% reduction)",0.7,IF(D905="High (50% reduction)",0.5,IF(D905="Very High (70% reduction)",0.3,1))))))</f>
        <v/>
      </c>
      <c r="F905" s="18">
        <f>IF(ISBLANK(B905),"",ROUNDUP(SQRT(B905)*E905,0))</f>
        <v/>
      </c>
      <c r="G905" s="15">
        <f>IF(ISBLANK(B905),"",ROUNDUP(B905*E905,0))</f>
        <v/>
      </c>
      <c r="H905" s="12">
        <f>IF(ISBLANK(G905),"",IF(G905&gt;=20,"Critical",IF(G905&gt;=15,"High",IF(G905&gt;=8,"Medium","Low"))))</f>
        <v/>
      </c>
    </row>
    <row r="906">
      <c r="B906" s="18">
        <f>IFERROR(VLOOKUP(A906,Risk_Assessment!$B$2:$H$1000,7,FALSE),"")</f>
        <v/>
      </c>
      <c r="E906" s="19">
        <f>IF(C906="No",1,IF(D906="N/A",1,IF(D906="Low (10% reduction)",0.9,IF(D906="Medium (30% reduction)",0.7,IF(D906="High (50% reduction)",0.5,IF(D906="Very High (70% reduction)",0.3,1))))))</f>
        <v/>
      </c>
      <c r="F906" s="18">
        <f>IF(ISBLANK(B906),"",ROUNDUP(SQRT(B906)*E906,0))</f>
        <v/>
      </c>
      <c r="G906" s="15">
        <f>IF(ISBLANK(B906),"",ROUNDUP(B906*E906,0))</f>
        <v/>
      </c>
      <c r="H906" s="12">
        <f>IF(ISBLANK(G906),"",IF(G906&gt;=20,"Critical",IF(G906&gt;=15,"High",IF(G906&gt;=8,"Medium","Low"))))</f>
        <v/>
      </c>
    </row>
    <row r="907">
      <c r="B907" s="18">
        <f>IFERROR(VLOOKUP(A907,Risk_Assessment!$B$2:$H$1000,7,FALSE),"")</f>
        <v/>
      </c>
      <c r="E907" s="19">
        <f>IF(C907="No",1,IF(D907="N/A",1,IF(D907="Low (10% reduction)",0.9,IF(D907="Medium (30% reduction)",0.7,IF(D907="High (50% reduction)",0.5,IF(D907="Very High (70% reduction)",0.3,1))))))</f>
        <v/>
      </c>
      <c r="F907" s="18">
        <f>IF(ISBLANK(B907),"",ROUNDUP(SQRT(B907)*E907,0))</f>
        <v/>
      </c>
      <c r="G907" s="15">
        <f>IF(ISBLANK(B907),"",ROUNDUP(B907*E907,0))</f>
        <v/>
      </c>
      <c r="H907" s="12">
        <f>IF(ISBLANK(G907),"",IF(G907&gt;=20,"Critical",IF(G907&gt;=15,"High",IF(G907&gt;=8,"Medium","Low"))))</f>
        <v/>
      </c>
    </row>
    <row r="908">
      <c r="B908" s="18">
        <f>IFERROR(VLOOKUP(A908,Risk_Assessment!$B$2:$H$1000,7,FALSE),"")</f>
        <v/>
      </c>
      <c r="E908" s="19">
        <f>IF(C908="No",1,IF(D908="N/A",1,IF(D908="Low (10% reduction)",0.9,IF(D908="Medium (30% reduction)",0.7,IF(D908="High (50% reduction)",0.5,IF(D908="Very High (70% reduction)",0.3,1))))))</f>
        <v/>
      </c>
      <c r="F908" s="18">
        <f>IF(ISBLANK(B908),"",ROUNDUP(SQRT(B908)*E908,0))</f>
        <v/>
      </c>
      <c r="G908" s="15">
        <f>IF(ISBLANK(B908),"",ROUNDUP(B908*E908,0))</f>
        <v/>
      </c>
      <c r="H908" s="12">
        <f>IF(ISBLANK(G908),"",IF(G908&gt;=20,"Critical",IF(G908&gt;=15,"High",IF(G908&gt;=8,"Medium","Low"))))</f>
        <v/>
      </c>
    </row>
    <row r="909">
      <c r="B909" s="18">
        <f>IFERROR(VLOOKUP(A909,Risk_Assessment!$B$2:$H$1000,7,FALSE),"")</f>
        <v/>
      </c>
      <c r="E909" s="19">
        <f>IF(C909="No",1,IF(D909="N/A",1,IF(D909="Low (10% reduction)",0.9,IF(D909="Medium (30% reduction)",0.7,IF(D909="High (50% reduction)",0.5,IF(D909="Very High (70% reduction)",0.3,1))))))</f>
        <v/>
      </c>
      <c r="F909" s="18">
        <f>IF(ISBLANK(B909),"",ROUNDUP(SQRT(B909)*E909,0))</f>
        <v/>
      </c>
      <c r="G909" s="15">
        <f>IF(ISBLANK(B909),"",ROUNDUP(B909*E909,0))</f>
        <v/>
      </c>
      <c r="H909" s="12">
        <f>IF(ISBLANK(G909),"",IF(G909&gt;=20,"Critical",IF(G909&gt;=15,"High",IF(G909&gt;=8,"Medium","Low"))))</f>
        <v/>
      </c>
    </row>
    <row r="910">
      <c r="B910" s="18">
        <f>IFERROR(VLOOKUP(A910,Risk_Assessment!$B$2:$H$1000,7,FALSE),"")</f>
        <v/>
      </c>
      <c r="E910" s="19">
        <f>IF(C910="No",1,IF(D910="N/A",1,IF(D910="Low (10% reduction)",0.9,IF(D910="Medium (30% reduction)",0.7,IF(D910="High (50% reduction)",0.5,IF(D910="Very High (70% reduction)",0.3,1))))))</f>
        <v/>
      </c>
      <c r="F910" s="18">
        <f>IF(ISBLANK(B910),"",ROUNDUP(SQRT(B910)*E910,0))</f>
        <v/>
      </c>
      <c r="G910" s="15">
        <f>IF(ISBLANK(B910),"",ROUNDUP(B910*E910,0))</f>
        <v/>
      </c>
      <c r="H910" s="12">
        <f>IF(ISBLANK(G910),"",IF(G910&gt;=20,"Critical",IF(G910&gt;=15,"High",IF(G910&gt;=8,"Medium","Low"))))</f>
        <v/>
      </c>
    </row>
    <row r="911">
      <c r="B911" s="18">
        <f>IFERROR(VLOOKUP(A911,Risk_Assessment!$B$2:$H$1000,7,FALSE),"")</f>
        <v/>
      </c>
      <c r="E911" s="19">
        <f>IF(C911="No",1,IF(D911="N/A",1,IF(D911="Low (10% reduction)",0.9,IF(D911="Medium (30% reduction)",0.7,IF(D911="High (50% reduction)",0.5,IF(D911="Very High (70% reduction)",0.3,1))))))</f>
        <v/>
      </c>
      <c r="F911" s="18">
        <f>IF(ISBLANK(B911),"",ROUNDUP(SQRT(B911)*E911,0))</f>
        <v/>
      </c>
      <c r="G911" s="15">
        <f>IF(ISBLANK(B911),"",ROUNDUP(B911*E911,0))</f>
        <v/>
      </c>
      <c r="H911" s="12">
        <f>IF(ISBLANK(G911),"",IF(G911&gt;=20,"Critical",IF(G911&gt;=15,"High",IF(G911&gt;=8,"Medium","Low"))))</f>
        <v/>
      </c>
    </row>
    <row r="912">
      <c r="B912" s="18">
        <f>IFERROR(VLOOKUP(A912,Risk_Assessment!$B$2:$H$1000,7,FALSE),"")</f>
        <v/>
      </c>
      <c r="E912" s="19">
        <f>IF(C912="No",1,IF(D912="N/A",1,IF(D912="Low (10% reduction)",0.9,IF(D912="Medium (30% reduction)",0.7,IF(D912="High (50% reduction)",0.5,IF(D912="Very High (70% reduction)",0.3,1))))))</f>
        <v/>
      </c>
      <c r="F912" s="18">
        <f>IF(ISBLANK(B912),"",ROUNDUP(SQRT(B912)*E912,0))</f>
        <v/>
      </c>
      <c r="G912" s="15">
        <f>IF(ISBLANK(B912),"",ROUNDUP(B912*E912,0))</f>
        <v/>
      </c>
      <c r="H912" s="12">
        <f>IF(ISBLANK(G912),"",IF(G912&gt;=20,"Critical",IF(G912&gt;=15,"High",IF(G912&gt;=8,"Medium","Low"))))</f>
        <v/>
      </c>
    </row>
    <row r="913">
      <c r="B913" s="18">
        <f>IFERROR(VLOOKUP(A913,Risk_Assessment!$B$2:$H$1000,7,FALSE),"")</f>
        <v/>
      </c>
      <c r="E913" s="19">
        <f>IF(C913="No",1,IF(D913="N/A",1,IF(D913="Low (10% reduction)",0.9,IF(D913="Medium (30% reduction)",0.7,IF(D913="High (50% reduction)",0.5,IF(D913="Very High (70% reduction)",0.3,1))))))</f>
        <v/>
      </c>
      <c r="F913" s="18">
        <f>IF(ISBLANK(B913),"",ROUNDUP(SQRT(B913)*E913,0))</f>
        <v/>
      </c>
      <c r="G913" s="15">
        <f>IF(ISBLANK(B913),"",ROUNDUP(B913*E913,0))</f>
        <v/>
      </c>
      <c r="H913" s="12">
        <f>IF(ISBLANK(G913),"",IF(G913&gt;=20,"Critical",IF(G913&gt;=15,"High",IF(G913&gt;=8,"Medium","Low"))))</f>
        <v/>
      </c>
    </row>
    <row r="914">
      <c r="B914" s="18">
        <f>IFERROR(VLOOKUP(A914,Risk_Assessment!$B$2:$H$1000,7,FALSE),"")</f>
        <v/>
      </c>
      <c r="E914" s="19">
        <f>IF(C914="No",1,IF(D914="N/A",1,IF(D914="Low (10% reduction)",0.9,IF(D914="Medium (30% reduction)",0.7,IF(D914="High (50% reduction)",0.5,IF(D914="Very High (70% reduction)",0.3,1))))))</f>
        <v/>
      </c>
      <c r="F914" s="18">
        <f>IF(ISBLANK(B914),"",ROUNDUP(SQRT(B914)*E914,0))</f>
        <v/>
      </c>
      <c r="G914" s="15">
        <f>IF(ISBLANK(B914),"",ROUNDUP(B914*E914,0))</f>
        <v/>
      </c>
      <c r="H914" s="12">
        <f>IF(ISBLANK(G914),"",IF(G914&gt;=20,"Critical",IF(G914&gt;=15,"High",IF(G914&gt;=8,"Medium","Low"))))</f>
        <v/>
      </c>
    </row>
    <row r="915">
      <c r="B915" s="18">
        <f>IFERROR(VLOOKUP(A915,Risk_Assessment!$B$2:$H$1000,7,FALSE),"")</f>
        <v/>
      </c>
      <c r="E915" s="19">
        <f>IF(C915="No",1,IF(D915="N/A",1,IF(D915="Low (10% reduction)",0.9,IF(D915="Medium (30% reduction)",0.7,IF(D915="High (50% reduction)",0.5,IF(D915="Very High (70% reduction)",0.3,1))))))</f>
        <v/>
      </c>
      <c r="F915" s="18">
        <f>IF(ISBLANK(B915),"",ROUNDUP(SQRT(B915)*E915,0))</f>
        <v/>
      </c>
      <c r="G915" s="15">
        <f>IF(ISBLANK(B915),"",ROUNDUP(B915*E915,0))</f>
        <v/>
      </c>
      <c r="H915" s="12">
        <f>IF(ISBLANK(G915),"",IF(G915&gt;=20,"Critical",IF(G915&gt;=15,"High",IF(G915&gt;=8,"Medium","Low"))))</f>
        <v/>
      </c>
    </row>
    <row r="916">
      <c r="B916" s="18">
        <f>IFERROR(VLOOKUP(A916,Risk_Assessment!$B$2:$H$1000,7,FALSE),"")</f>
        <v/>
      </c>
      <c r="E916" s="19">
        <f>IF(C916="No",1,IF(D916="N/A",1,IF(D916="Low (10% reduction)",0.9,IF(D916="Medium (30% reduction)",0.7,IF(D916="High (50% reduction)",0.5,IF(D916="Very High (70% reduction)",0.3,1))))))</f>
        <v/>
      </c>
      <c r="F916" s="18">
        <f>IF(ISBLANK(B916),"",ROUNDUP(SQRT(B916)*E916,0))</f>
        <v/>
      </c>
      <c r="G916" s="15">
        <f>IF(ISBLANK(B916),"",ROUNDUP(B916*E916,0))</f>
        <v/>
      </c>
      <c r="H916" s="12">
        <f>IF(ISBLANK(G916),"",IF(G916&gt;=20,"Critical",IF(G916&gt;=15,"High",IF(G916&gt;=8,"Medium","Low"))))</f>
        <v/>
      </c>
    </row>
    <row r="917">
      <c r="B917" s="18">
        <f>IFERROR(VLOOKUP(A917,Risk_Assessment!$B$2:$H$1000,7,FALSE),"")</f>
        <v/>
      </c>
      <c r="E917" s="19">
        <f>IF(C917="No",1,IF(D917="N/A",1,IF(D917="Low (10% reduction)",0.9,IF(D917="Medium (30% reduction)",0.7,IF(D917="High (50% reduction)",0.5,IF(D917="Very High (70% reduction)",0.3,1))))))</f>
        <v/>
      </c>
      <c r="F917" s="18">
        <f>IF(ISBLANK(B917),"",ROUNDUP(SQRT(B917)*E917,0))</f>
        <v/>
      </c>
      <c r="G917" s="15">
        <f>IF(ISBLANK(B917),"",ROUNDUP(B917*E917,0))</f>
        <v/>
      </c>
      <c r="H917" s="12">
        <f>IF(ISBLANK(G917),"",IF(G917&gt;=20,"Critical",IF(G917&gt;=15,"High",IF(G917&gt;=8,"Medium","Low"))))</f>
        <v/>
      </c>
    </row>
    <row r="918">
      <c r="B918" s="18">
        <f>IFERROR(VLOOKUP(A918,Risk_Assessment!$B$2:$H$1000,7,FALSE),"")</f>
        <v/>
      </c>
      <c r="E918" s="19">
        <f>IF(C918="No",1,IF(D918="N/A",1,IF(D918="Low (10% reduction)",0.9,IF(D918="Medium (30% reduction)",0.7,IF(D918="High (50% reduction)",0.5,IF(D918="Very High (70% reduction)",0.3,1))))))</f>
        <v/>
      </c>
      <c r="F918" s="18">
        <f>IF(ISBLANK(B918),"",ROUNDUP(SQRT(B918)*E918,0))</f>
        <v/>
      </c>
      <c r="G918" s="15">
        <f>IF(ISBLANK(B918),"",ROUNDUP(B918*E918,0))</f>
        <v/>
      </c>
      <c r="H918" s="12">
        <f>IF(ISBLANK(G918),"",IF(G918&gt;=20,"Critical",IF(G918&gt;=15,"High",IF(G918&gt;=8,"Medium","Low"))))</f>
        <v/>
      </c>
    </row>
    <row r="919">
      <c r="B919" s="18">
        <f>IFERROR(VLOOKUP(A919,Risk_Assessment!$B$2:$H$1000,7,FALSE),"")</f>
        <v/>
      </c>
      <c r="E919" s="19">
        <f>IF(C919="No",1,IF(D919="N/A",1,IF(D919="Low (10% reduction)",0.9,IF(D919="Medium (30% reduction)",0.7,IF(D919="High (50% reduction)",0.5,IF(D919="Very High (70% reduction)",0.3,1))))))</f>
        <v/>
      </c>
      <c r="F919" s="18">
        <f>IF(ISBLANK(B919),"",ROUNDUP(SQRT(B919)*E919,0))</f>
        <v/>
      </c>
      <c r="G919" s="15">
        <f>IF(ISBLANK(B919),"",ROUNDUP(B919*E919,0))</f>
        <v/>
      </c>
      <c r="H919" s="12">
        <f>IF(ISBLANK(G919),"",IF(G919&gt;=20,"Critical",IF(G919&gt;=15,"High",IF(G919&gt;=8,"Medium","Low"))))</f>
        <v/>
      </c>
    </row>
    <row r="920">
      <c r="B920" s="18">
        <f>IFERROR(VLOOKUP(A920,Risk_Assessment!$B$2:$H$1000,7,FALSE),"")</f>
        <v/>
      </c>
      <c r="E920" s="19">
        <f>IF(C920="No",1,IF(D920="N/A",1,IF(D920="Low (10% reduction)",0.9,IF(D920="Medium (30% reduction)",0.7,IF(D920="High (50% reduction)",0.5,IF(D920="Very High (70% reduction)",0.3,1))))))</f>
        <v/>
      </c>
      <c r="F920" s="18">
        <f>IF(ISBLANK(B920),"",ROUNDUP(SQRT(B920)*E920,0))</f>
        <v/>
      </c>
      <c r="G920" s="15">
        <f>IF(ISBLANK(B920),"",ROUNDUP(B920*E920,0))</f>
        <v/>
      </c>
      <c r="H920" s="12">
        <f>IF(ISBLANK(G920),"",IF(G920&gt;=20,"Critical",IF(G920&gt;=15,"High",IF(G920&gt;=8,"Medium","Low"))))</f>
        <v/>
      </c>
    </row>
    <row r="921">
      <c r="B921" s="18">
        <f>IFERROR(VLOOKUP(A921,Risk_Assessment!$B$2:$H$1000,7,FALSE),"")</f>
        <v/>
      </c>
      <c r="E921" s="19">
        <f>IF(C921="No",1,IF(D921="N/A",1,IF(D921="Low (10% reduction)",0.9,IF(D921="Medium (30% reduction)",0.7,IF(D921="High (50% reduction)",0.5,IF(D921="Very High (70% reduction)",0.3,1))))))</f>
        <v/>
      </c>
      <c r="F921" s="18">
        <f>IF(ISBLANK(B921),"",ROUNDUP(SQRT(B921)*E921,0))</f>
        <v/>
      </c>
      <c r="G921" s="15">
        <f>IF(ISBLANK(B921),"",ROUNDUP(B921*E921,0))</f>
        <v/>
      </c>
      <c r="H921" s="12">
        <f>IF(ISBLANK(G921),"",IF(G921&gt;=20,"Critical",IF(G921&gt;=15,"High",IF(G921&gt;=8,"Medium","Low"))))</f>
        <v/>
      </c>
    </row>
    <row r="922">
      <c r="B922" s="18">
        <f>IFERROR(VLOOKUP(A922,Risk_Assessment!$B$2:$H$1000,7,FALSE),"")</f>
        <v/>
      </c>
      <c r="E922" s="19">
        <f>IF(C922="No",1,IF(D922="N/A",1,IF(D922="Low (10% reduction)",0.9,IF(D922="Medium (30% reduction)",0.7,IF(D922="High (50% reduction)",0.5,IF(D922="Very High (70% reduction)",0.3,1))))))</f>
        <v/>
      </c>
      <c r="F922" s="18">
        <f>IF(ISBLANK(B922),"",ROUNDUP(SQRT(B922)*E922,0))</f>
        <v/>
      </c>
      <c r="G922" s="15">
        <f>IF(ISBLANK(B922),"",ROUNDUP(B922*E922,0))</f>
        <v/>
      </c>
      <c r="H922" s="12">
        <f>IF(ISBLANK(G922),"",IF(G922&gt;=20,"Critical",IF(G922&gt;=15,"High",IF(G922&gt;=8,"Medium","Low"))))</f>
        <v/>
      </c>
    </row>
    <row r="923">
      <c r="B923" s="18">
        <f>IFERROR(VLOOKUP(A923,Risk_Assessment!$B$2:$H$1000,7,FALSE),"")</f>
        <v/>
      </c>
      <c r="E923" s="19">
        <f>IF(C923="No",1,IF(D923="N/A",1,IF(D923="Low (10% reduction)",0.9,IF(D923="Medium (30% reduction)",0.7,IF(D923="High (50% reduction)",0.5,IF(D923="Very High (70% reduction)",0.3,1))))))</f>
        <v/>
      </c>
      <c r="F923" s="18">
        <f>IF(ISBLANK(B923),"",ROUNDUP(SQRT(B923)*E923,0))</f>
        <v/>
      </c>
      <c r="G923" s="15">
        <f>IF(ISBLANK(B923),"",ROUNDUP(B923*E923,0))</f>
        <v/>
      </c>
      <c r="H923" s="12">
        <f>IF(ISBLANK(G923),"",IF(G923&gt;=20,"Critical",IF(G923&gt;=15,"High",IF(G923&gt;=8,"Medium","Low"))))</f>
        <v/>
      </c>
    </row>
    <row r="924">
      <c r="B924" s="18">
        <f>IFERROR(VLOOKUP(A924,Risk_Assessment!$B$2:$H$1000,7,FALSE),"")</f>
        <v/>
      </c>
      <c r="E924" s="19">
        <f>IF(C924="No",1,IF(D924="N/A",1,IF(D924="Low (10% reduction)",0.9,IF(D924="Medium (30% reduction)",0.7,IF(D924="High (50% reduction)",0.5,IF(D924="Very High (70% reduction)",0.3,1))))))</f>
        <v/>
      </c>
      <c r="F924" s="18">
        <f>IF(ISBLANK(B924),"",ROUNDUP(SQRT(B924)*E924,0))</f>
        <v/>
      </c>
      <c r="G924" s="15">
        <f>IF(ISBLANK(B924),"",ROUNDUP(B924*E924,0))</f>
        <v/>
      </c>
      <c r="H924" s="12">
        <f>IF(ISBLANK(G924),"",IF(G924&gt;=20,"Critical",IF(G924&gt;=15,"High",IF(G924&gt;=8,"Medium","Low"))))</f>
        <v/>
      </c>
    </row>
    <row r="925">
      <c r="B925" s="18">
        <f>IFERROR(VLOOKUP(A925,Risk_Assessment!$B$2:$H$1000,7,FALSE),"")</f>
        <v/>
      </c>
      <c r="E925" s="19">
        <f>IF(C925="No",1,IF(D925="N/A",1,IF(D925="Low (10% reduction)",0.9,IF(D925="Medium (30% reduction)",0.7,IF(D925="High (50% reduction)",0.5,IF(D925="Very High (70% reduction)",0.3,1))))))</f>
        <v/>
      </c>
      <c r="F925" s="18">
        <f>IF(ISBLANK(B925),"",ROUNDUP(SQRT(B925)*E925,0))</f>
        <v/>
      </c>
      <c r="G925" s="15">
        <f>IF(ISBLANK(B925),"",ROUNDUP(B925*E925,0))</f>
        <v/>
      </c>
      <c r="H925" s="12">
        <f>IF(ISBLANK(G925),"",IF(G925&gt;=20,"Critical",IF(G925&gt;=15,"High",IF(G925&gt;=8,"Medium","Low"))))</f>
        <v/>
      </c>
    </row>
    <row r="926">
      <c r="B926" s="18">
        <f>IFERROR(VLOOKUP(A926,Risk_Assessment!$B$2:$H$1000,7,FALSE),"")</f>
        <v/>
      </c>
      <c r="E926" s="19">
        <f>IF(C926="No",1,IF(D926="N/A",1,IF(D926="Low (10% reduction)",0.9,IF(D926="Medium (30% reduction)",0.7,IF(D926="High (50% reduction)",0.5,IF(D926="Very High (70% reduction)",0.3,1))))))</f>
        <v/>
      </c>
      <c r="F926" s="18">
        <f>IF(ISBLANK(B926),"",ROUNDUP(SQRT(B926)*E926,0))</f>
        <v/>
      </c>
      <c r="G926" s="15">
        <f>IF(ISBLANK(B926),"",ROUNDUP(B926*E926,0))</f>
        <v/>
      </c>
      <c r="H926" s="12">
        <f>IF(ISBLANK(G926),"",IF(G926&gt;=20,"Critical",IF(G926&gt;=15,"High",IF(G926&gt;=8,"Medium","Low"))))</f>
        <v/>
      </c>
    </row>
    <row r="927">
      <c r="B927" s="18">
        <f>IFERROR(VLOOKUP(A927,Risk_Assessment!$B$2:$H$1000,7,FALSE),"")</f>
        <v/>
      </c>
      <c r="E927" s="19">
        <f>IF(C927="No",1,IF(D927="N/A",1,IF(D927="Low (10% reduction)",0.9,IF(D927="Medium (30% reduction)",0.7,IF(D927="High (50% reduction)",0.5,IF(D927="Very High (70% reduction)",0.3,1))))))</f>
        <v/>
      </c>
      <c r="F927" s="18">
        <f>IF(ISBLANK(B927),"",ROUNDUP(SQRT(B927)*E927,0))</f>
        <v/>
      </c>
      <c r="G927" s="15">
        <f>IF(ISBLANK(B927),"",ROUNDUP(B927*E927,0))</f>
        <v/>
      </c>
      <c r="H927" s="12">
        <f>IF(ISBLANK(G927),"",IF(G927&gt;=20,"Critical",IF(G927&gt;=15,"High",IF(G927&gt;=8,"Medium","Low"))))</f>
        <v/>
      </c>
    </row>
    <row r="928">
      <c r="B928" s="18">
        <f>IFERROR(VLOOKUP(A928,Risk_Assessment!$B$2:$H$1000,7,FALSE),"")</f>
        <v/>
      </c>
      <c r="E928" s="19">
        <f>IF(C928="No",1,IF(D928="N/A",1,IF(D928="Low (10% reduction)",0.9,IF(D928="Medium (30% reduction)",0.7,IF(D928="High (50% reduction)",0.5,IF(D928="Very High (70% reduction)",0.3,1))))))</f>
        <v/>
      </c>
      <c r="F928" s="18">
        <f>IF(ISBLANK(B928),"",ROUNDUP(SQRT(B928)*E928,0))</f>
        <v/>
      </c>
      <c r="G928" s="15">
        <f>IF(ISBLANK(B928),"",ROUNDUP(B928*E928,0))</f>
        <v/>
      </c>
      <c r="H928" s="12">
        <f>IF(ISBLANK(G928),"",IF(G928&gt;=20,"Critical",IF(G928&gt;=15,"High",IF(G928&gt;=8,"Medium","Low"))))</f>
        <v/>
      </c>
    </row>
    <row r="929">
      <c r="B929" s="18">
        <f>IFERROR(VLOOKUP(A929,Risk_Assessment!$B$2:$H$1000,7,FALSE),"")</f>
        <v/>
      </c>
      <c r="E929" s="19">
        <f>IF(C929="No",1,IF(D929="N/A",1,IF(D929="Low (10% reduction)",0.9,IF(D929="Medium (30% reduction)",0.7,IF(D929="High (50% reduction)",0.5,IF(D929="Very High (70% reduction)",0.3,1))))))</f>
        <v/>
      </c>
      <c r="F929" s="18">
        <f>IF(ISBLANK(B929),"",ROUNDUP(SQRT(B929)*E929,0))</f>
        <v/>
      </c>
      <c r="G929" s="15">
        <f>IF(ISBLANK(B929),"",ROUNDUP(B929*E929,0))</f>
        <v/>
      </c>
      <c r="H929" s="12">
        <f>IF(ISBLANK(G929),"",IF(G929&gt;=20,"Critical",IF(G929&gt;=15,"High",IF(G929&gt;=8,"Medium","Low"))))</f>
        <v/>
      </c>
    </row>
    <row r="930">
      <c r="B930" s="18">
        <f>IFERROR(VLOOKUP(A930,Risk_Assessment!$B$2:$H$1000,7,FALSE),"")</f>
        <v/>
      </c>
      <c r="E930" s="19">
        <f>IF(C930="No",1,IF(D930="N/A",1,IF(D930="Low (10% reduction)",0.9,IF(D930="Medium (30% reduction)",0.7,IF(D930="High (50% reduction)",0.5,IF(D930="Very High (70% reduction)",0.3,1))))))</f>
        <v/>
      </c>
      <c r="F930" s="18">
        <f>IF(ISBLANK(B930),"",ROUNDUP(SQRT(B930)*E930,0))</f>
        <v/>
      </c>
      <c r="G930" s="15">
        <f>IF(ISBLANK(B930),"",ROUNDUP(B930*E930,0))</f>
        <v/>
      </c>
      <c r="H930" s="12">
        <f>IF(ISBLANK(G930),"",IF(G930&gt;=20,"Critical",IF(G930&gt;=15,"High",IF(G930&gt;=8,"Medium","Low"))))</f>
        <v/>
      </c>
    </row>
    <row r="931">
      <c r="B931" s="18">
        <f>IFERROR(VLOOKUP(A931,Risk_Assessment!$B$2:$H$1000,7,FALSE),"")</f>
        <v/>
      </c>
      <c r="E931" s="19">
        <f>IF(C931="No",1,IF(D931="N/A",1,IF(D931="Low (10% reduction)",0.9,IF(D931="Medium (30% reduction)",0.7,IF(D931="High (50% reduction)",0.5,IF(D931="Very High (70% reduction)",0.3,1))))))</f>
        <v/>
      </c>
      <c r="F931" s="18">
        <f>IF(ISBLANK(B931),"",ROUNDUP(SQRT(B931)*E931,0))</f>
        <v/>
      </c>
      <c r="G931" s="15">
        <f>IF(ISBLANK(B931),"",ROUNDUP(B931*E931,0))</f>
        <v/>
      </c>
      <c r="H931" s="12">
        <f>IF(ISBLANK(G931),"",IF(G931&gt;=20,"Critical",IF(G931&gt;=15,"High",IF(G931&gt;=8,"Medium","Low"))))</f>
        <v/>
      </c>
    </row>
    <row r="932">
      <c r="B932" s="18">
        <f>IFERROR(VLOOKUP(A932,Risk_Assessment!$B$2:$H$1000,7,FALSE),"")</f>
        <v/>
      </c>
      <c r="E932" s="19">
        <f>IF(C932="No",1,IF(D932="N/A",1,IF(D932="Low (10% reduction)",0.9,IF(D932="Medium (30% reduction)",0.7,IF(D932="High (50% reduction)",0.5,IF(D932="Very High (70% reduction)",0.3,1))))))</f>
        <v/>
      </c>
      <c r="F932" s="18">
        <f>IF(ISBLANK(B932),"",ROUNDUP(SQRT(B932)*E932,0))</f>
        <v/>
      </c>
      <c r="G932" s="15">
        <f>IF(ISBLANK(B932),"",ROUNDUP(B932*E932,0))</f>
        <v/>
      </c>
      <c r="H932" s="12">
        <f>IF(ISBLANK(G932),"",IF(G932&gt;=20,"Critical",IF(G932&gt;=15,"High",IF(G932&gt;=8,"Medium","Low"))))</f>
        <v/>
      </c>
    </row>
    <row r="933">
      <c r="B933" s="18">
        <f>IFERROR(VLOOKUP(A933,Risk_Assessment!$B$2:$H$1000,7,FALSE),"")</f>
        <v/>
      </c>
      <c r="E933" s="19">
        <f>IF(C933="No",1,IF(D933="N/A",1,IF(D933="Low (10% reduction)",0.9,IF(D933="Medium (30% reduction)",0.7,IF(D933="High (50% reduction)",0.5,IF(D933="Very High (70% reduction)",0.3,1))))))</f>
        <v/>
      </c>
      <c r="F933" s="18">
        <f>IF(ISBLANK(B933),"",ROUNDUP(SQRT(B933)*E933,0))</f>
        <v/>
      </c>
      <c r="G933" s="15">
        <f>IF(ISBLANK(B933),"",ROUNDUP(B933*E933,0))</f>
        <v/>
      </c>
      <c r="H933" s="12">
        <f>IF(ISBLANK(G933),"",IF(G933&gt;=20,"Critical",IF(G933&gt;=15,"High",IF(G933&gt;=8,"Medium","Low"))))</f>
        <v/>
      </c>
    </row>
    <row r="934">
      <c r="B934" s="18">
        <f>IFERROR(VLOOKUP(A934,Risk_Assessment!$B$2:$H$1000,7,FALSE),"")</f>
        <v/>
      </c>
      <c r="E934" s="19">
        <f>IF(C934="No",1,IF(D934="N/A",1,IF(D934="Low (10% reduction)",0.9,IF(D934="Medium (30% reduction)",0.7,IF(D934="High (50% reduction)",0.5,IF(D934="Very High (70% reduction)",0.3,1))))))</f>
        <v/>
      </c>
      <c r="F934" s="18">
        <f>IF(ISBLANK(B934),"",ROUNDUP(SQRT(B934)*E934,0))</f>
        <v/>
      </c>
      <c r="G934" s="15">
        <f>IF(ISBLANK(B934),"",ROUNDUP(B934*E934,0))</f>
        <v/>
      </c>
      <c r="H934" s="12">
        <f>IF(ISBLANK(G934),"",IF(G934&gt;=20,"Critical",IF(G934&gt;=15,"High",IF(G934&gt;=8,"Medium","Low"))))</f>
        <v/>
      </c>
    </row>
    <row r="935">
      <c r="B935" s="18">
        <f>IFERROR(VLOOKUP(A935,Risk_Assessment!$B$2:$H$1000,7,FALSE),"")</f>
        <v/>
      </c>
      <c r="E935" s="19">
        <f>IF(C935="No",1,IF(D935="N/A",1,IF(D935="Low (10% reduction)",0.9,IF(D935="Medium (30% reduction)",0.7,IF(D935="High (50% reduction)",0.5,IF(D935="Very High (70% reduction)",0.3,1))))))</f>
        <v/>
      </c>
      <c r="F935" s="18">
        <f>IF(ISBLANK(B935),"",ROUNDUP(SQRT(B935)*E935,0))</f>
        <v/>
      </c>
      <c r="G935" s="15">
        <f>IF(ISBLANK(B935),"",ROUNDUP(B935*E935,0))</f>
        <v/>
      </c>
      <c r="H935" s="12">
        <f>IF(ISBLANK(G935),"",IF(G935&gt;=20,"Critical",IF(G935&gt;=15,"High",IF(G935&gt;=8,"Medium","Low"))))</f>
        <v/>
      </c>
    </row>
    <row r="936">
      <c r="B936" s="18">
        <f>IFERROR(VLOOKUP(A936,Risk_Assessment!$B$2:$H$1000,7,FALSE),"")</f>
        <v/>
      </c>
      <c r="E936" s="19">
        <f>IF(C936="No",1,IF(D936="N/A",1,IF(D936="Low (10% reduction)",0.9,IF(D936="Medium (30% reduction)",0.7,IF(D936="High (50% reduction)",0.5,IF(D936="Very High (70% reduction)",0.3,1))))))</f>
        <v/>
      </c>
      <c r="F936" s="18">
        <f>IF(ISBLANK(B936),"",ROUNDUP(SQRT(B936)*E936,0))</f>
        <v/>
      </c>
      <c r="G936" s="15">
        <f>IF(ISBLANK(B936),"",ROUNDUP(B936*E936,0))</f>
        <v/>
      </c>
      <c r="H936" s="12">
        <f>IF(ISBLANK(G936),"",IF(G936&gt;=20,"Critical",IF(G936&gt;=15,"High",IF(G936&gt;=8,"Medium","Low"))))</f>
        <v/>
      </c>
    </row>
    <row r="937">
      <c r="B937" s="18">
        <f>IFERROR(VLOOKUP(A937,Risk_Assessment!$B$2:$H$1000,7,FALSE),"")</f>
        <v/>
      </c>
      <c r="E937" s="19">
        <f>IF(C937="No",1,IF(D937="N/A",1,IF(D937="Low (10% reduction)",0.9,IF(D937="Medium (30% reduction)",0.7,IF(D937="High (50% reduction)",0.5,IF(D937="Very High (70% reduction)",0.3,1))))))</f>
        <v/>
      </c>
      <c r="F937" s="18">
        <f>IF(ISBLANK(B937),"",ROUNDUP(SQRT(B937)*E937,0))</f>
        <v/>
      </c>
      <c r="G937" s="15">
        <f>IF(ISBLANK(B937),"",ROUNDUP(B937*E937,0))</f>
        <v/>
      </c>
      <c r="H937" s="12">
        <f>IF(ISBLANK(G937),"",IF(G937&gt;=20,"Critical",IF(G937&gt;=15,"High",IF(G937&gt;=8,"Medium","Low"))))</f>
        <v/>
      </c>
    </row>
    <row r="938">
      <c r="B938" s="18">
        <f>IFERROR(VLOOKUP(A938,Risk_Assessment!$B$2:$H$1000,7,FALSE),"")</f>
        <v/>
      </c>
      <c r="E938" s="19">
        <f>IF(C938="No",1,IF(D938="N/A",1,IF(D938="Low (10% reduction)",0.9,IF(D938="Medium (30% reduction)",0.7,IF(D938="High (50% reduction)",0.5,IF(D938="Very High (70% reduction)",0.3,1))))))</f>
        <v/>
      </c>
      <c r="F938" s="18">
        <f>IF(ISBLANK(B938),"",ROUNDUP(SQRT(B938)*E938,0))</f>
        <v/>
      </c>
      <c r="G938" s="15">
        <f>IF(ISBLANK(B938),"",ROUNDUP(B938*E938,0))</f>
        <v/>
      </c>
      <c r="H938" s="12">
        <f>IF(ISBLANK(G938),"",IF(G938&gt;=20,"Critical",IF(G938&gt;=15,"High",IF(G938&gt;=8,"Medium","Low"))))</f>
        <v/>
      </c>
    </row>
    <row r="939">
      <c r="B939" s="18">
        <f>IFERROR(VLOOKUP(A939,Risk_Assessment!$B$2:$H$1000,7,FALSE),"")</f>
        <v/>
      </c>
      <c r="E939" s="19">
        <f>IF(C939="No",1,IF(D939="N/A",1,IF(D939="Low (10% reduction)",0.9,IF(D939="Medium (30% reduction)",0.7,IF(D939="High (50% reduction)",0.5,IF(D939="Very High (70% reduction)",0.3,1))))))</f>
        <v/>
      </c>
      <c r="F939" s="18">
        <f>IF(ISBLANK(B939),"",ROUNDUP(SQRT(B939)*E939,0))</f>
        <v/>
      </c>
      <c r="G939" s="15">
        <f>IF(ISBLANK(B939),"",ROUNDUP(B939*E939,0))</f>
        <v/>
      </c>
      <c r="H939" s="12">
        <f>IF(ISBLANK(G939),"",IF(G939&gt;=20,"Critical",IF(G939&gt;=15,"High",IF(G939&gt;=8,"Medium","Low"))))</f>
        <v/>
      </c>
    </row>
    <row r="940">
      <c r="B940" s="18">
        <f>IFERROR(VLOOKUP(A940,Risk_Assessment!$B$2:$H$1000,7,FALSE),"")</f>
        <v/>
      </c>
      <c r="E940" s="19">
        <f>IF(C940="No",1,IF(D940="N/A",1,IF(D940="Low (10% reduction)",0.9,IF(D940="Medium (30% reduction)",0.7,IF(D940="High (50% reduction)",0.5,IF(D940="Very High (70% reduction)",0.3,1))))))</f>
        <v/>
      </c>
      <c r="F940" s="18">
        <f>IF(ISBLANK(B940),"",ROUNDUP(SQRT(B940)*E940,0))</f>
        <v/>
      </c>
      <c r="G940" s="15">
        <f>IF(ISBLANK(B940),"",ROUNDUP(B940*E940,0))</f>
        <v/>
      </c>
      <c r="H940" s="12">
        <f>IF(ISBLANK(G940),"",IF(G940&gt;=20,"Critical",IF(G940&gt;=15,"High",IF(G940&gt;=8,"Medium","Low"))))</f>
        <v/>
      </c>
    </row>
    <row r="941">
      <c r="B941" s="18">
        <f>IFERROR(VLOOKUP(A941,Risk_Assessment!$B$2:$H$1000,7,FALSE),"")</f>
        <v/>
      </c>
      <c r="E941" s="19">
        <f>IF(C941="No",1,IF(D941="N/A",1,IF(D941="Low (10% reduction)",0.9,IF(D941="Medium (30% reduction)",0.7,IF(D941="High (50% reduction)",0.5,IF(D941="Very High (70% reduction)",0.3,1))))))</f>
        <v/>
      </c>
      <c r="F941" s="18">
        <f>IF(ISBLANK(B941),"",ROUNDUP(SQRT(B941)*E941,0))</f>
        <v/>
      </c>
      <c r="G941" s="15">
        <f>IF(ISBLANK(B941),"",ROUNDUP(B941*E941,0))</f>
        <v/>
      </c>
      <c r="H941" s="12">
        <f>IF(ISBLANK(G941),"",IF(G941&gt;=20,"Critical",IF(G941&gt;=15,"High",IF(G941&gt;=8,"Medium","Low"))))</f>
        <v/>
      </c>
    </row>
    <row r="942">
      <c r="B942" s="18">
        <f>IFERROR(VLOOKUP(A942,Risk_Assessment!$B$2:$H$1000,7,FALSE),"")</f>
        <v/>
      </c>
      <c r="E942" s="19">
        <f>IF(C942="No",1,IF(D942="N/A",1,IF(D942="Low (10% reduction)",0.9,IF(D942="Medium (30% reduction)",0.7,IF(D942="High (50% reduction)",0.5,IF(D942="Very High (70% reduction)",0.3,1))))))</f>
        <v/>
      </c>
      <c r="F942" s="18">
        <f>IF(ISBLANK(B942),"",ROUNDUP(SQRT(B942)*E942,0))</f>
        <v/>
      </c>
      <c r="G942" s="15">
        <f>IF(ISBLANK(B942),"",ROUNDUP(B942*E942,0))</f>
        <v/>
      </c>
      <c r="H942" s="12">
        <f>IF(ISBLANK(G942),"",IF(G942&gt;=20,"Critical",IF(G942&gt;=15,"High",IF(G942&gt;=8,"Medium","Low"))))</f>
        <v/>
      </c>
    </row>
    <row r="943">
      <c r="B943" s="18">
        <f>IFERROR(VLOOKUP(A943,Risk_Assessment!$B$2:$H$1000,7,FALSE),"")</f>
        <v/>
      </c>
      <c r="E943" s="19">
        <f>IF(C943="No",1,IF(D943="N/A",1,IF(D943="Low (10% reduction)",0.9,IF(D943="Medium (30% reduction)",0.7,IF(D943="High (50% reduction)",0.5,IF(D943="Very High (70% reduction)",0.3,1))))))</f>
        <v/>
      </c>
      <c r="F943" s="18">
        <f>IF(ISBLANK(B943),"",ROUNDUP(SQRT(B943)*E943,0))</f>
        <v/>
      </c>
      <c r="G943" s="15">
        <f>IF(ISBLANK(B943),"",ROUNDUP(B943*E943,0))</f>
        <v/>
      </c>
      <c r="H943" s="12">
        <f>IF(ISBLANK(G943),"",IF(G943&gt;=20,"Critical",IF(G943&gt;=15,"High",IF(G943&gt;=8,"Medium","Low"))))</f>
        <v/>
      </c>
    </row>
    <row r="944">
      <c r="B944" s="18">
        <f>IFERROR(VLOOKUP(A944,Risk_Assessment!$B$2:$H$1000,7,FALSE),"")</f>
        <v/>
      </c>
      <c r="E944" s="19">
        <f>IF(C944="No",1,IF(D944="N/A",1,IF(D944="Low (10% reduction)",0.9,IF(D944="Medium (30% reduction)",0.7,IF(D944="High (50% reduction)",0.5,IF(D944="Very High (70% reduction)",0.3,1))))))</f>
        <v/>
      </c>
      <c r="F944" s="18">
        <f>IF(ISBLANK(B944),"",ROUNDUP(SQRT(B944)*E944,0))</f>
        <v/>
      </c>
      <c r="G944" s="15">
        <f>IF(ISBLANK(B944),"",ROUNDUP(B944*E944,0))</f>
        <v/>
      </c>
      <c r="H944" s="12">
        <f>IF(ISBLANK(G944),"",IF(G944&gt;=20,"Critical",IF(G944&gt;=15,"High",IF(G944&gt;=8,"Medium","Low"))))</f>
        <v/>
      </c>
    </row>
    <row r="945">
      <c r="B945" s="18">
        <f>IFERROR(VLOOKUP(A945,Risk_Assessment!$B$2:$H$1000,7,FALSE),"")</f>
        <v/>
      </c>
      <c r="E945" s="19">
        <f>IF(C945="No",1,IF(D945="N/A",1,IF(D945="Low (10% reduction)",0.9,IF(D945="Medium (30% reduction)",0.7,IF(D945="High (50% reduction)",0.5,IF(D945="Very High (70% reduction)",0.3,1))))))</f>
        <v/>
      </c>
      <c r="F945" s="18">
        <f>IF(ISBLANK(B945),"",ROUNDUP(SQRT(B945)*E945,0))</f>
        <v/>
      </c>
      <c r="G945" s="15">
        <f>IF(ISBLANK(B945),"",ROUNDUP(B945*E945,0))</f>
        <v/>
      </c>
      <c r="H945" s="12">
        <f>IF(ISBLANK(G945),"",IF(G945&gt;=20,"Critical",IF(G945&gt;=15,"High",IF(G945&gt;=8,"Medium","Low"))))</f>
        <v/>
      </c>
    </row>
    <row r="946">
      <c r="B946" s="18">
        <f>IFERROR(VLOOKUP(A946,Risk_Assessment!$B$2:$H$1000,7,FALSE),"")</f>
        <v/>
      </c>
      <c r="E946" s="19">
        <f>IF(C946="No",1,IF(D946="N/A",1,IF(D946="Low (10% reduction)",0.9,IF(D946="Medium (30% reduction)",0.7,IF(D946="High (50% reduction)",0.5,IF(D946="Very High (70% reduction)",0.3,1))))))</f>
        <v/>
      </c>
      <c r="F946" s="18">
        <f>IF(ISBLANK(B946),"",ROUNDUP(SQRT(B946)*E946,0))</f>
        <v/>
      </c>
      <c r="G946" s="15">
        <f>IF(ISBLANK(B946),"",ROUNDUP(B946*E946,0))</f>
        <v/>
      </c>
      <c r="H946" s="12">
        <f>IF(ISBLANK(G946),"",IF(G946&gt;=20,"Critical",IF(G946&gt;=15,"High",IF(G946&gt;=8,"Medium","Low"))))</f>
        <v/>
      </c>
    </row>
    <row r="947">
      <c r="B947" s="18">
        <f>IFERROR(VLOOKUP(A947,Risk_Assessment!$B$2:$H$1000,7,FALSE),"")</f>
        <v/>
      </c>
      <c r="E947" s="19">
        <f>IF(C947="No",1,IF(D947="N/A",1,IF(D947="Low (10% reduction)",0.9,IF(D947="Medium (30% reduction)",0.7,IF(D947="High (50% reduction)",0.5,IF(D947="Very High (70% reduction)",0.3,1))))))</f>
        <v/>
      </c>
      <c r="F947" s="18">
        <f>IF(ISBLANK(B947),"",ROUNDUP(SQRT(B947)*E947,0))</f>
        <v/>
      </c>
      <c r="G947" s="15">
        <f>IF(ISBLANK(B947),"",ROUNDUP(B947*E947,0))</f>
        <v/>
      </c>
      <c r="H947" s="12">
        <f>IF(ISBLANK(G947),"",IF(G947&gt;=20,"Critical",IF(G947&gt;=15,"High",IF(G947&gt;=8,"Medium","Low"))))</f>
        <v/>
      </c>
    </row>
    <row r="948">
      <c r="B948" s="18">
        <f>IFERROR(VLOOKUP(A948,Risk_Assessment!$B$2:$H$1000,7,FALSE),"")</f>
        <v/>
      </c>
      <c r="E948" s="19">
        <f>IF(C948="No",1,IF(D948="N/A",1,IF(D948="Low (10% reduction)",0.9,IF(D948="Medium (30% reduction)",0.7,IF(D948="High (50% reduction)",0.5,IF(D948="Very High (70% reduction)",0.3,1))))))</f>
        <v/>
      </c>
      <c r="F948" s="18">
        <f>IF(ISBLANK(B948),"",ROUNDUP(SQRT(B948)*E948,0))</f>
        <v/>
      </c>
      <c r="G948" s="15">
        <f>IF(ISBLANK(B948),"",ROUNDUP(B948*E948,0))</f>
        <v/>
      </c>
      <c r="H948" s="12">
        <f>IF(ISBLANK(G948),"",IF(G948&gt;=20,"Critical",IF(G948&gt;=15,"High",IF(G948&gt;=8,"Medium","Low"))))</f>
        <v/>
      </c>
    </row>
    <row r="949">
      <c r="B949" s="18">
        <f>IFERROR(VLOOKUP(A949,Risk_Assessment!$B$2:$H$1000,7,FALSE),"")</f>
        <v/>
      </c>
      <c r="E949" s="19">
        <f>IF(C949="No",1,IF(D949="N/A",1,IF(D949="Low (10% reduction)",0.9,IF(D949="Medium (30% reduction)",0.7,IF(D949="High (50% reduction)",0.5,IF(D949="Very High (70% reduction)",0.3,1))))))</f>
        <v/>
      </c>
      <c r="F949" s="18">
        <f>IF(ISBLANK(B949),"",ROUNDUP(SQRT(B949)*E949,0))</f>
        <v/>
      </c>
      <c r="G949" s="15">
        <f>IF(ISBLANK(B949),"",ROUNDUP(B949*E949,0))</f>
        <v/>
      </c>
      <c r="H949" s="12">
        <f>IF(ISBLANK(G949),"",IF(G949&gt;=20,"Critical",IF(G949&gt;=15,"High",IF(G949&gt;=8,"Medium","Low"))))</f>
        <v/>
      </c>
    </row>
    <row r="950">
      <c r="B950" s="18">
        <f>IFERROR(VLOOKUP(A950,Risk_Assessment!$B$2:$H$1000,7,FALSE),"")</f>
        <v/>
      </c>
      <c r="E950" s="19">
        <f>IF(C950="No",1,IF(D950="N/A",1,IF(D950="Low (10% reduction)",0.9,IF(D950="Medium (30% reduction)",0.7,IF(D950="High (50% reduction)",0.5,IF(D950="Very High (70% reduction)",0.3,1))))))</f>
        <v/>
      </c>
      <c r="F950" s="18">
        <f>IF(ISBLANK(B950),"",ROUNDUP(SQRT(B950)*E950,0))</f>
        <v/>
      </c>
      <c r="G950" s="15">
        <f>IF(ISBLANK(B950),"",ROUNDUP(B950*E950,0))</f>
        <v/>
      </c>
      <c r="H950" s="12">
        <f>IF(ISBLANK(G950),"",IF(G950&gt;=20,"Critical",IF(G950&gt;=15,"High",IF(G950&gt;=8,"Medium","Low"))))</f>
        <v/>
      </c>
    </row>
    <row r="951">
      <c r="B951" s="18">
        <f>IFERROR(VLOOKUP(A951,Risk_Assessment!$B$2:$H$1000,7,FALSE),"")</f>
        <v/>
      </c>
      <c r="E951" s="19">
        <f>IF(C951="No",1,IF(D951="N/A",1,IF(D951="Low (10% reduction)",0.9,IF(D951="Medium (30% reduction)",0.7,IF(D951="High (50% reduction)",0.5,IF(D951="Very High (70% reduction)",0.3,1))))))</f>
        <v/>
      </c>
      <c r="F951" s="18">
        <f>IF(ISBLANK(B951),"",ROUNDUP(SQRT(B951)*E951,0))</f>
        <v/>
      </c>
      <c r="G951" s="15">
        <f>IF(ISBLANK(B951),"",ROUNDUP(B951*E951,0))</f>
        <v/>
      </c>
      <c r="H951" s="12">
        <f>IF(ISBLANK(G951),"",IF(G951&gt;=20,"Critical",IF(G951&gt;=15,"High",IF(G951&gt;=8,"Medium","Low"))))</f>
        <v/>
      </c>
    </row>
    <row r="952">
      <c r="B952" s="18">
        <f>IFERROR(VLOOKUP(A952,Risk_Assessment!$B$2:$H$1000,7,FALSE),"")</f>
        <v/>
      </c>
      <c r="E952" s="19">
        <f>IF(C952="No",1,IF(D952="N/A",1,IF(D952="Low (10% reduction)",0.9,IF(D952="Medium (30% reduction)",0.7,IF(D952="High (50% reduction)",0.5,IF(D952="Very High (70% reduction)",0.3,1))))))</f>
        <v/>
      </c>
      <c r="F952" s="18">
        <f>IF(ISBLANK(B952),"",ROUNDUP(SQRT(B952)*E952,0))</f>
        <v/>
      </c>
      <c r="G952" s="15">
        <f>IF(ISBLANK(B952),"",ROUNDUP(B952*E952,0))</f>
        <v/>
      </c>
      <c r="H952" s="12">
        <f>IF(ISBLANK(G952),"",IF(G952&gt;=20,"Critical",IF(G952&gt;=15,"High",IF(G952&gt;=8,"Medium","Low"))))</f>
        <v/>
      </c>
    </row>
    <row r="953">
      <c r="B953" s="18">
        <f>IFERROR(VLOOKUP(A953,Risk_Assessment!$B$2:$H$1000,7,FALSE),"")</f>
        <v/>
      </c>
      <c r="E953" s="19">
        <f>IF(C953="No",1,IF(D953="N/A",1,IF(D953="Low (10% reduction)",0.9,IF(D953="Medium (30% reduction)",0.7,IF(D953="High (50% reduction)",0.5,IF(D953="Very High (70% reduction)",0.3,1))))))</f>
        <v/>
      </c>
      <c r="F953" s="18">
        <f>IF(ISBLANK(B953),"",ROUNDUP(SQRT(B953)*E953,0))</f>
        <v/>
      </c>
      <c r="G953" s="15">
        <f>IF(ISBLANK(B953),"",ROUNDUP(B953*E953,0))</f>
        <v/>
      </c>
      <c r="H953" s="12">
        <f>IF(ISBLANK(G953),"",IF(G953&gt;=20,"Critical",IF(G953&gt;=15,"High",IF(G953&gt;=8,"Medium","Low"))))</f>
        <v/>
      </c>
    </row>
    <row r="954">
      <c r="B954" s="18">
        <f>IFERROR(VLOOKUP(A954,Risk_Assessment!$B$2:$H$1000,7,FALSE),"")</f>
        <v/>
      </c>
      <c r="E954" s="19">
        <f>IF(C954="No",1,IF(D954="N/A",1,IF(D954="Low (10% reduction)",0.9,IF(D954="Medium (30% reduction)",0.7,IF(D954="High (50% reduction)",0.5,IF(D954="Very High (70% reduction)",0.3,1))))))</f>
        <v/>
      </c>
      <c r="F954" s="18">
        <f>IF(ISBLANK(B954),"",ROUNDUP(SQRT(B954)*E954,0))</f>
        <v/>
      </c>
      <c r="G954" s="15">
        <f>IF(ISBLANK(B954),"",ROUNDUP(B954*E954,0))</f>
        <v/>
      </c>
      <c r="H954" s="12">
        <f>IF(ISBLANK(G954),"",IF(G954&gt;=20,"Critical",IF(G954&gt;=15,"High",IF(G954&gt;=8,"Medium","Low"))))</f>
        <v/>
      </c>
    </row>
    <row r="955">
      <c r="B955" s="18">
        <f>IFERROR(VLOOKUP(A955,Risk_Assessment!$B$2:$H$1000,7,FALSE),"")</f>
        <v/>
      </c>
      <c r="E955" s="19">
        <f>IF(C955="No",1,IF(D955="N/A",1,IF(D955="Low (10% reduction)",0.9,IF(D955="Medium (30% reduction)",0.7,IF(D955="High (50% reduction)",0.5,IF(D955="Very High (70% reduction)",0.3,1))))))</f>
        <v/>
      </c>
      <c r="F955" s="18">
        <f>IF(ISBLANK(B955),"",ROUNDUP(SQRT(B955)*E955,0))</f>
        <v/>
      </c>
      <c r="G955" s="15">
        <f>IF(ISBLANK(B955),"",ROUNDUP(B955*E955,0))</f>
        <v/>
      </c>
      <c r="H955" s="12">
        <f>IF(ISBLANK(G955),"",IF(G955&gt;=20,"Critical",IF(G955&gt;=15,"High",IF(G955&gt;=8,"Medium","Low"))))</f>
        <v/>
      </c>
    </row>
    <row r="956">
      <c r="B956" s="18">
        <f>IFERROR(VLOOKUP(A956,Risk_Assessment!$B$2:$H$1000,7,FALSE),"")</f>
        <v/>
      </c>
      <c r="E956" s="19">
        <f>IF(C956="No",1,IF(D956="N/A",1,IF(D956="Low (10% reduction)",0.9,IF(D956="Medium (30% reduction)",0.7,IF(D956="High (50% reduction)",0.5,IF(D956="Very High (70% reduction)",0.3,1))))))</f>
        <v/>
      </c>
      <c r="F956" s="18">
        <f>IF(ISBLANK(B956),"",ROUNDUP(SQRT(B956)*E956,0))</f>
        <v/>
      </c>
      <c r="G956" s="15">
        <f>IF(ISBLANK(B956),"",ROUNDUP(B956*E956,0))</f>
        <v/>
      </c>
      <c r="H956" s="12">
        <f>IF(ISBLANK(G956),"",IF(G956&gt;=20,"Critical",IF(G956&gt;=15,"High",IF(G956&gt;=8,"Medium","Low"))))</f>
        <v/>
      </c>
    </row>
    <row r="957">
      <c r="B957" s="18">
        <f>IFERROR(VLOOKUP(A957,Risk_Assessment!$B$2:$H$1000,7,FALSE),"")</f>
        <v/>
      </c>
      <c r="E957" s="19">
        <f>IF(C957="No",1,IF(D957="N/A",1,IF(D957="Low (10% reduction)",0.9,IF(D957="Medium (30% reduction)",0.7,IF(D957="High (50% reduction)",0.5,IF(D957="Very High (70% reduction)",0.3,1))))))</f>
        <v/>
      </c>
      <c r="F957" s="18">
        <f>IF(ISBLANK(B957),"",ROUNDUP(SQRT(B957)*E957,0))</f>
        <v/>
      </c>
      <c r="G957" s="15">
        <f>IF(ISBLANK(B957),"",ROUNDUP(B957*E957,0))</f>
        <v/>
      </c>
      <c r="H957" s="12">
        <f>IF(ISBLANK(G957),"",IF(G957&gt;=20,"Critical",IF(G957&gt;=15,"High",IF(G957&gt;=8,"Medium","Low"))))</f>
        <v/>
      </c>
    </row>
    <row r="958">
      <c r="B958" s="18">
        <f>IFERROR(VLOOKUP(A958,Risk_Assessment!$B$2:$H$1000,7,FALSE),"")</f>
        <v/>
      </c>
      <c r="E958" s="19">
        <f>IF(C958="No",1,IF(D958="N/A",1,IF(D958="Low (10% reduction)",0.9,IF(D958="Medium (30% reduction)",0.7,IF(D958="High (50% reduction)",0.5,IF(D958="Very High (70% reduction)",0.3,1))))))</f>
        <v/>
      </c>
      <c r="F958" s="18">
        <f>IF(ISBLANK(B958),"",ROUNDUP(SQRT(B958)*E958,0))</f>
        <v/>
      </c>
      <c r="G958" s="15">
        <f>IF(ISBLANK(B958),"",ROUNDUP(B958*E958,0))</f>
        <v/>
      </c>
      <c r="H958" s="12">
        <f>IF(ISBLANK(G958),"",IF(G958&gt;=20,"Critical",IF(G958&gt;=15,"High",IF(G958&gt;=8,"Medium","Low"))))</f>
        <v/>
      </c>
    </row>
    <row r="959">
      <c r="B959" s="18">
        <f>IFERROR(VLOOKUP(A959,Risk_Assessment!$B$2:$H$1000,7,FALSE),"")</f>
        <v/>
      </c>
      <c r="E959" s="19">
        <f>IF(C959="No",1,IF(D959="N/A",1,IF(D959="Low (10% reduction)",0.9,IF(D959="Medium (30% reduction)",0.7,IF(D959="High (50% reduction)",0.5,IF(D959="Very High (70% reduction)",0.3,1))))))</f>
        <v/>
      </c>
      <c r="F959" s="18">
        <f>IF(ISBLANK(B959),"",ROUNDUP(SQRT(B959)*E959,0))</f>
        <v/>
      </c>
      <c r="G959" s="15">
        <f>IF(ISBLANK(B959),"",ROUNDUP(B959*E959,0))</f>
        <v/>
      </c>
      <c r="H959" s="12">
        <f>IF(ISBLANK(G959),"",IF(G959&gt;=20,"Critical",IF(G959&gt;=15,"High",IF(G959&gt;=8,"Medium","Low"))))</f>
        <v/>
      </c>
    </row>
    <row r="960">
      <c r="B960" s="18">
        <f>IFERROR(VLOOKUP(A960,Risk_Assessment!$B$2:$H$1000,7,FALSE),"")</f>
        <v/>
      </c>
      <c r="E960" s="19">
        <f>IF(C960="No",1,IF(D960="N/A",1,IF(D960="Low (10% reduction)",0.9,IF(D960="Medium (30% reduction)",0.7,IF(D960="High (50% reduction)",0.5,IF(D960="Very High (70% reduction)",0.3,1))))))</f>
        <v/>
      </c>
      <c r="F960" s="18">
        <f>IF(ISBLANK(B960),"",ROUNDUP(SQRT(B960)*E960,0))</f>
        <v/>
      </c>
      <c r="G960" s="15">
        <f>IF(ISBLANK(B960),"",ROUNDUP(B960*E960,0))</f>
        <v/>
      </c>
      <c r="H960" s="12">
        <f>IF(ISBLANK(G960),"",IF(G960&gt;=20,"Critical",IF(G960&gt;=15,"High",IF(G960&gt;=8,"Medium","Low"))))</f>
        <v/>
      </c>
    </row>
    <row r="961">
      <c r="B961" s="18">
        <f>IFERROR(VLOOKUP(A961,Risk_Assessment!$B$2:$H$1000,7,FALSE),"")</f>
        <v/>
      </c>
      <c r="E961" s="19">
        <f>IF(C961="No",1,IF(D961="N/A",1,IF(D961="Low (10% reduction)",0.9,IF(D961="Medium (30% reduction)",0.7,IF(D961="High (50% reduction)",0.5,IF(D961="Very High (70% reduction)",0.3,1))))))</f>
        <v/>
      </c>
      <c r="F961" s="18">
        <f>IF(ISBLANK(B961),"",ROUNDUP(SQRT(B961)*E961,0))</f>
        <v/>
      </c>
      <c r="G961" s="15">
        <f>IF(ISBLANK(B961),"",ROUNDUP(B961*E961,0))</f>
        <v/>
      </c>
      <c r="H961" s="12">
        <f>IF(ISBLANK(G961),"",IF(G961&gt;=20,"Critical",IF(G961&gt;=15,"High",IF(G961&gt;=8,"Medium","Low"))))</f>
        <v/>
      </c>
    </row>
    <row r="962">
      <c r="B962" s="18">
        <f>IFERROR(VLOOKUP(A962,Risk_Assessment!$B$2:$H$1000,7,FALSE),"")</f>
        <v/>
      </c>
      <c r="E962" s="19">
        <f>IF(C962="No",1,IF(D962="N/A",1,IF(D962="Low (10% reduction)",0.9,IF(D962="Medium (30% reduction)",0.7,IF(D962="High (50% reduction)",0.5,IF(D962="Very High (70% reduction)",0.3,1))))))</f>
        <v/>
      </c>
      <c r="F962" s="18">
        <f>IF(ISBLANK(B962),"",ROUNDUP(SQRT(B962)*E962,0))</f>
        <v/>
      </c>
      <c r="G962" s="15">
        <f>IF(ISBLANK(B962),"",ROUNDUP(B962*E962,0))</f>
        <v/>
      </c>
      <c r="H962" s="12">
        <f>IF(ISBLANK(G962),"",IF(G962&gt;=20,"Critical",IF(G962&gt;=15,"High",IF(G962&gt;=8,"Medium","Low"))))</f>
        <v/>
      </c>
    </row>
    <row r="963">
      <c r="B963" s="18">
        <f>IFERROR(VLOOKUP(A963,Risk_Assessment!$B$2:$H$1000,7,FALSE),"")</f>
        <v/>
      </c>
      <c r="E963" s="19">
        <f>IF(C963="No",1,IF(D963="N/A",1,IF(D963="Low (10% reduction)",0.9,IF(D963="Medium (30% reduction)",0.7,IF(D963="High (50% reduction)",0.5,IF(D963="Very High (70% reduction)",0.3,1))))))</f>
        <v/>
      </c>
      <c r="F963" s="18">
        <f>IF(ISBLANK(B963),"",ROUNDUP(SQRT(B963)*E963,0))</f>
        <v/>
      </c>
      <c r="G963" s="15">
        <f>IF(ISBLANK(B963),"",ROUNDUP(B963*E963,0))</f>
        <v/>
      </c>
      <c r="H963" s="12">
        <f>IF(ISBLANK(G963),"",IF(G963&gt;=20,"Critical",IF(G963&gt;=15,"High",IF(G963&gt;=8,"Medium","Low"))))</f>
        <v/>
      </c>
    </row>
    <row r="964">
      <c r="B964" s="18">
        <f>IFERROR(VLOOKUP(A964,Risk_Assessment!$B$2:$H$1000,7,FALSE),"")</f>
        <v/>
      </c>
      <c r="E964" s="19">
        <f>IF(C964="No",1,IF(D964="N/A",1,IF(D964="Low (10% reduction)",0.9,IF(D964="Medium (30% reduction)",0.7,IF(D964="High (50% reduction)",0.5,IF(D964="Very High (70% reduction)",0.3,1))))))</f>
        <v/>
      </c>
      <c r="F964" s="18">
        <f>IF(ISBLANK(B964),"",ROUNDUP(SQRT(B964)*E964,0))</f>
        <v/>
      </c>
      <c r="G964" s="15">
        <f>IF(ISBLANK(B964),"",ROUNDUP(B964*E964,0))</f>
        <v/>
      </c>
      <c r="H964" s="12">
        <f>IF(ISBLANK(G964),"",IF(G964&gt;=20,"Critical",IF(G964&gt;=15,"High",IF(G964&gt;=8,"Medium","Low"))))</f>
        <v/>
      </c>
    </row>
    <row r="965">
      <c r="B965" s="18">
        <f>IFERROR(VLOOKUP(A965,Risk_Assessment!$B$2:$H$1000,7,FALSE),"")</f>
        <v/>
      </c>
      <c r="E965" s="19">
        <f>IF(C965="No",1,IF(D965="N/A",1,IF(D965="Low (10% reduction)",0.9,IF(D965="Medium (30% reduction)",0.7,IF(D965="High (50% reduction)",0.5,IF(D965="Very High (70% reduction)",0.3,1))))))</f>
        <v/>
      </c>
      <c r="F965" s="18">
        <f>IF(ISBLANK(B965),"",ROUNDUP(SQRT(B965)*E965,0))</f>
        <v/>
      </c>
      <c r="G965" s="15">
        <f>IF(ISBLANK(B965),"",ROUNDUP(B965*E965,0))</f>
        <v/>
      </c>
      <c r="H965" s="12">
        <f>IF(ISBLANK(G965),"",IF(G965&gt;=20,"Critical",IF(G965&gt;=15,"High",IF(G965&gt;=8,"Medium","Low"))))</f>
        <v/>
      </c>
    </row>
    <row r="966">
      <c r="B966" s="18">
        <f>IFERROR(VLOOKUP(A966,Risk_Assessment!$B$2:$H$1000,7,FALSE),"")</f>
        <v/>
      </c>
      <c r="E966" s="19">
        <f>IF(C966="No",1,IF(D966="N/A",1,IF(D966="Low (10% reduction)",0.9,IF(D966="Medium (30% reduction)",0.7,IF(D966="High (50% reduction)",0.5,IF(D966="Very High (70% reduction)",0.3,1))))))</f>
        <v/>
      </c>
      <c r="F966" s="18">
        <f>IF(ISBLANK(B966),"",ROUNDUP(SQRT(B966)*E966,0))</f>
        <v/>
      </c>
      <c r="G966" s="15">
        <f>IF(ISBLANK(B966),"",ROUNDUP(B966*E966,0))</f>
        <v/>
      </c>
      <c r="H966" s="12">
        <f>IF(ISBLANK(G966),"",IF(G966&gt;=20,"Critical",IF(G966&gt;=15,"High",IF(G966&gt;=8,"Medium","Low"))))</f>
        <v/>
      </c>
    </row>
    <row r="967">
      <c r="B967" s="18">
        <f>IFERROR(VLOOKUP(A967,Risk_Assessment!$B$2:$H$1000,7,FALSE),"")</f>
        <v/>
      </c>
      <c r="E967" s="19">
        <f>IF(C967="No",1,IF(D967="N/A",1,IF(D967="Low (10% reduction)",0.9,IF(D967="Medium (30% reduction)",0.7,IF(D967="High (50% reduction)",0.5,IF(D967="Very High (70% reduction)",0.3,1))))))</f>
        <v/>
      </c>
      <c r="F967" s="18">
        <f>IF(ISBLANK(B967),"",ROUNDUP(SQRT(B967)*E967,0))</f>
        <v/>
      </c>
      <c r="G967" s="15">
        <f>IF(ISBLANK(B967),"",ROUNDUP(B967*E967,0))</f>
        <v/>
      </c>
      <c r="H967" s="12">
        <f>IF(ISBLANK(G967),"",IF(G967&gt;=20,"Critical",IF(G967&gt;=15,"High",IF(G967&gt;=8,"Medium","Low"))))</f>
        <v/>
      </c>
    </row>
    <row r="968">
      <c r="B968" s="18">
        <f>IFERROR(VLOOKUP(A968,Risk_Assessment!$B$2:$H$1000,7,FALSE),"")</f>
        <v/>
      </c>
      <c r="E968" s="19">
        <f>IF(C968="No",1,IF(D968="N/A",1,IF(D968="Low (10% reduction)",0.9,IF(D968="Medium (30% reduction)",0.7,IF(D968="High (50% reduction)",0.5,IF(D968="Very High (70% reduction)",0.3,1))))))</f>
        <v/>
      </c>
      <c r="F968" s="18">
        <f>IF(ISBLANK(B968),"",ROUNDUP(SQRT(B968)*E968,0))</f>
        <v/>
      </c>
      <c r="G968" s="15">
        <f>IF(ISBLANK(B968),"",ROUNDUP(B968*E968,0))</f>
        <v/>
      </c>
      <c r="H968" s="12">
        <f>IF(ISBLANK(G968),"",IF(G968&gt;=20,"Critical",IF(G968&gt;=15,"High",IF(G968&gt;=8,"Medium","Low"))))</f>
        <v/>
      </c>
    </row>
    <row r="969">
      <c r="B969" s="18">
        <f>IFERROR(VLOOKUP(A969,Risk_Assessment!$B$2:$H$1000,7,FALSE),"")</f>
        <v/>
      </c>
      <c r="E969" s="19">
        <f>IF(C969="No",1,IF(D969="N/A",1,IF(D969="Low (10% reduction)",0.9,IF(D969="Medium (30% reduction)",0.7,IF(D969="High (50% reduction)",0.5,IF(D969="Very High (70% reduction)",0.3,1))))))</f>
        <v/>
      </c>
      <c r="F969" s="18">
        <f>IF(ISBLANK(B969),"",ROUNDUP(SQRT(B969)*E969,0))</f>
        <v/>
      </c>
      <c r="G969" s="15">
        <f>IF(ISBLANK(B969),"",ROUNDUP(B969*E969,0))</f>
        <v/>
      </c>
      <c r="H969" s="12">
        <f>IF(ISBLANK(G969),"",IF(G969&gt;=20,"Critical",IF(G969&gt;=15,"High",IF(G969&gt;=8,"Medium","Low"))))</f>
        <v/>
      </c>
    </row>
    <row r="970">
      <c r="B970" s="18">
        <f>IFERROR(VLOOKUP(A970,Risk_Assessment!$B$2:$H$1000,7,FALSE),"")</f>
        <v/>
      </c>
      <c r="E970" s="19">
        <f>IF(C970="No",1,IF(D970="N/A",1,IF(D970="Low (10% reduction)",0.9,IF(D970="Medium (30% reduction)",0.7,IF(D970="High (50% reduction)",0.5,IF(D970="Very High (70% reduction)",0.3,1))))))</f>
        <v/>
      </c>
      <c r="F970" s="18">
        <f>IF(ISBLANK(B970),"",ROUNDUP(SQRT(B970)*E970,0))</f>
        <v/>
      </c>
      <c r="G970" s="15">
        <f>IF(ISBLANK(B970),"",ROUNDUP(B970*E970,0))</f>
        <v/>
      </c>
      <c r="H970" s="12">
        <f>IF(ISBLANK(G970),"",IF(G970&gt;=20,"Critical",IF(G970&gt;=15,"High",IF(G970&gt;=8,"Medium","Low"))))</f>
        <v/>
      </c>
    </row>
    <row r="971">
      <c r="B971" s="18">
        <f>IFERROR(VLOOKUP(A971,Risk_Assessment!$B$2:$H$1000,7,FALSE),"")</f>
        <v/>
      </c>
      <c r="E971" s="19">
        <f>IF(C971="No",1,IF(D971="N/A",1,IF(D971="Low (10% reduction)",0.9,IF(D971="Medium (30% reduction)",0.7,IF(D971="High (50% reduction)",0.5,IF(D971="Very High (70% reduction)",0.3,1))))))</f>
        <v/>
      </c>
      <c r="F971" s="18">
        <f>IF(ISBLANK(B971),"",ROUNDUP(SQRT(B971)*E971,0))</f>
        <v/>
      </c>
      <c r="G971" s="15">
        <f>IF(ISBLANK(B971),"",ROUNDUP(B971*E971,0))</f>
        <v/>
      </c>
      <c r="H971" s="12">
        <f>IF(ISBLANK(G971),"",IF(G971&gt;=20,"Critical",IF(G971&gt;=15,"High",IF(G971&gt;=8,"Medium","Low"))))</f>
        <v/>
      </c>
    </row>
    <row r="972">
      <c r="B972" s="18">
        <f>IFERROR(VLOOKUP(A972,Risk_Assessment!$B$2:$H$1000,7,FALSE),"")</f>
        <v/>
      </c>
      <c r="E972" s="19">
        <f>IF(C972="No",1,IF(D972="N/A",1,IF(D972="Low (10% reduction)",0.9,IF(D972="Medium (30% reduction)",0.7,IF(D972="High (50% reduction)",0.5,IF(D972="Very High (70% reduction)",0.3,1))))))</f>
        <v/>
      </c>
      <c r="F972" s="18">
        <f>IF(ISBLANK(B972),"",ROUNDUP(SQRT(B972)*E972,0))</f>
        <v/>
      </c>
      <c r="G972" s="15">
        <f>IF(ISBLANK(B972),"",ROUNDUP(B972*E972,0))</f>
        <v/>
      </c>
      <c r="H972" s="12">
        <f>IF(ISBLANK(G972),"",IF(G972&gt;=20,"Critical",IF(G972&gt;=15,"High",IF(G972&gt;=8,"Medium","Low"))))</f>
        <v/>
      </c>
    </row>
    <row r="973">
      <c r="B973" s="18">
        <f>IFERROR(VLOOKUP(A973,Risk_Assessment!$B$2:$H$1000,7,FALSE),"")</f>
        <v/>
      </c>
      <c r="E973" s="19">
        <f>IF(C973="No",1,IF(D973="N/A",1,IF(D973="Low (10% reduction)",0.9,IF(D973="Medium (30% reduction)",0.7,IF(D973="High (50% reduction)",0.5,IF(D973="Very High (70% reduction)",0.3,1))))))</f>
        <v/>
      </c>
      <c r="F973" s="18">
        <f>IF(ISBLANK(B973),"",ROUNDUP(SQRT(B973)*E973,0))</f>
        <v/>
      </c>
      <c r="G973" s="15">
        <f>IF(ISBLANK(B973),"",ROUNDUP(B973*E973,0))</f>
        <v/>
      </c>
      <c r="H973" s="12">
        <f>IF(ISBLANK(G973),"",IF(G973&gt;=20,"Critical",IF(G973&gt;=15,"High",IF(G973&gt;=8,"Medium","Low"))))</f>
        <v/>
      </c>
    </row>
    <row r="974">
      <c r="B974" s="18">
        <f>IFERROR(VLOOKUP(A974,Risk_Assessment!$B$2:$H$1000,7,FALSE),"")</f>
        <v/>
      </c>
      <c r="E974" s="19">
        <f>IF(C974="No",1,IF(D974="N/A",1,IF(D974="Low (10% reduction)",0.9,IF(D974="Medium (30% reduction)",0.7,IF(D974="High (50% reduction)",0.5,IF(D974="Very High (70% reduction)",0.3,1))))))</f>
        <v/>
      </c>
      <c r="F974" s="18">
        <f>IF(ISBLANK(B974),"",ROUNDUP(SQRT(B974)*E974,0))</f>
        <v/>
      </c>
      <c r="G974" s="15">
        <f>IF(ISBLANK(B974),"",ROUNDUP(B974*E974,0))</f>
        <v/>
      </c>
      <c r="H974" s="12">
        <f>IF(ISBLANK(G974),"",IF(G974&gt;=20,"Critical",IF(G974&gt;=15,"High",IF(G974&gt;=8,"Medium","Low"))))</f>
        <v/>
      </c>
    </row>
    <row r="975">
      <c r="B975" s="18">
        <f>IFERROR(VLOOKUP(A975,Risk_Assessment!$B$2:$H$1000,7,FALSE),"")</f>
        <v/>
      </c>
      <c r="E975" s="19">
        <f>IF(C975="No",1,IF(D975="N/A",1,IF(D975="Low (10% reduction)",0.9,IF(D975="Medium (30% reduction)",0.7,IF(D975="High (50% reduction)",0.5,IF(D975="Very High (70% reduction)",0.3,1))))))</f>
        <v/>
      </c>
      <c r="F975" s="18">
        <f>IF(ISBLANK(B975),"",ROUNDUP(SQRT(B975)*E975,0))</f>
        <v/>
      </c>
      <c r="G975" s="15">
        <f>IF(ISBLANK(B975),"",ROUNDUP(B975*E975,0))</f>
        <v/>
      </c>
      <c r="H975" s="12">
        <f>IF(ISBLANK(G975),"",IF(G975&gt;=20,"Critical",IF(G975&gt;=15,"High",IF(G975&gt;=8,"Medium","Low"))))</f>
        <v/>
      </c>
    </row>
    <row r="976">
      <c r="B976" s="18">
        <f>IFERROR(VLOOKUP(A976,Risk_Assessment!$B$2:$H$1000,7,FALSE),"")</f>
        <v/>
      </c>
      <c r="E976" s="19">
        <f>IF(C976="No",1,IF(D976="N/A",1,IF(D976="Low (10% reduction)",0.9,IF(D976="Medium (30% reduction)",0.7,IF(D976="High (50% reduction)",0.5,IF(D976="Very High (70% reduction)",0.3,1))))))</f>
        <v/>
      </c>
      <c r="F976" s="18">
        <f>IF(ISBLANK(B976),"",ROUNDUP(SQRT(B976)*E976,0))</f>
        <v/>
      </c>
      <c r="G976" s="15">
        <f>IF(ISBLANK(B976),"",ROUNDUP(B976*E976,0))</f>
        <v/>
      </c>
      <c r="H976" s="12">
        <f>IF(ISBLANK(G976),"",IF(G976&gt;=20,"Critical",IF(G976&gt;=15,"High",IF(G976&gt;=8,"Medium","Low"))))</f>
        <v/>
      </c>
    </row>
    <row r="977">
      <c r="B977" s="18">
        <f>IFERROR(VLOOKUP(A977,Risk_Assessment!$B$2:$H$1000,7,FALSE),"")</f>
        <v/>
      </c>
      <c r="E977" s="19">
        <f>IF(C977="No",1,IF(D977="N/A",1,IF(D977="Low (10% reduction)",0.9,IF(D977="Medium (30% reduction)",0.7,IF(D977="High (50% reduction)",0.5,IF(D977="Very High (70% reduction)",0.3,1))))))</f>
        <v/>
      </c>
      <c r="F977" s="18">
        <f>IF(ISBLANK(B977),"",ROUNDUP(SQRT(B977)*E977,0))</f>
        <v/>
      </c>
      <c r="G977" s="15">
        <f>IF(ISBLANK(B977),"",ROUNDUP(B977*E977,0))</f>
        <v/>
      </c>
      <c r="H977" s="12">
        <f>IF(ISBLANK(G977),"",IF(G977&gt;=20,"Critical",IF(G977&gt;=15,"High",IF(G977&gt;=8,"Medium","Low"))))</f>
        <v/>
      </c>
    </row>
    <row r="978">
      <c r="B978" s="18">
        <f>IFERROR(VLOOKUP(A978,Risk_Assessment!$B$2:$H$1000,7,FALSE),"")</f>
        <v/>
      </c>
      <c r="E978" s="19">
        <f>IF(C978="No",1,IF(D978="N/A",1,IF(D978="Low (10% reduction)",0.9,IF(D978="Medium (30% reduction)",0.7,IF(D978="High (50% reduction)",0.5,IF(D978="Very High (70% reduction)",0.3,1))))))</f>
        <v/>
      </c>
      <c r="F978" s="18">
        <f>IF(ISBLANK(B978),"",ROUNDUP(SQRT(B978)*E978,0))</f>
        <v/>
      </c>
      <c r="G978" s="15">
        <f>IF(ISBLANK(B978),"",ROUNDUP(B978*E978,0))</f>
        <v/>
      </c>
      <c r="H978" s="12">
        <f>IF(ISBLANK(G978),"",IF(G978&gt;=20,"Critical",IF(G978&gt;=15,"High",IF(G978&gt;=8,"Medium","Low"))))</f>
        <v/>
      </c>
    </row>
    <row r="979">
      <c r="B979" s="18">
        <f>IFERROR(VLOOKUP(A979,Risk_Assessment!$B$2:$H$1000,7,FALSE),"")</f>
        <v/>
      </c>
      <c r="E979" s="19">
        <f>IF(C979="No",1,IF(D979="N/A",1,IF(D979="Low (10% reduction)",0.9,IF(D979="Medium (30% reduction)",0.7,IF(D979="High (50% reduction)",0.5,IF(D979="Very High (70% reduction)",0.3,1))))))</f>
        <v/>
      </c>
      <c r="F979" s="18">
        <f>IF(ISBLANK(B979),"",ROUNDUP(SQRT(B979)*E979,0))</f>
        <v/>
      </c>
      <c r="G979" s="15">
        <f>IF(ISBLANK(B979),"",ROUNDUP(B979*E979,0))</f>
        <v/>
      </c>
      <c r="H979" s="12">
        <f>IF(ISBLANK(G979),"",IF(G979&gt;=20,"Critical",IF(G979&gt;=15,"High",IF(G979&gt;=8,"Medium","Low"))))</f>
        <v/>
      </c>
    </row>
    <row r="980">
      <c r="B980" s="18">
        <f>IFERROR(VLOOKUP(A980,Risk_Assessment!$B$2:$H$1000,7,FALSE),"")</f>
        <v/>
      </c>
      <c r="E980" s="19">
        <f>IF(C980="No",1,IF(D980="N/A",1,IF(D980="Low (10% reduction)",0.9,IF(D980="Medium (30% reduction)",0.7,IF(D980="High (50% reduction)",0.5,IF(D980="Very High (70% reduction)",0.3,1))))))</f>
        <v/>
      </c>
      <c r="F980" s="18">
        <f>IF(ISBLANK(B980),"",ROUNDUP(SQRT(B980)*E980,0))</f>
        <v/>
      </c>
      <c r="G980" s="15">
        <f>IF(ISBLANK(B980),"",ROUNDUP(B980*E980,0))</f>
        <v/>
      </c>
      <c r="H980" s="12">
        <f>IF(ISBLANK(G980),"",IF(G980&gt;=20,"Critical",IF(G980&gt;=15,"High",IF(G980&gt;=8,"Medium","Low"))))</f>
        <v/>
      </c>
    </row>
    <row r="981">
      <c r="B981" s="18">
        <f>IFERROR(VLOOKUP(A981,Risk_Assessment!$B$2:$H$1000,7,FALSE),"")</f>
        <v/>
      </c>
      <c r="E981" s="19">
        <f>IF(C981="No",1,IF(D981="N/A",1,IF(D981="Low (10% reduction)",0.9,IF(D981="Medium (30% reduction)",0.7,IF(D981="High (50% reduction)",0.5,IF(D981="Very High (70% reduction)",0.3,1))))))</f>
        <v/>
      </c>
      <c r="F981" s="18">
        <f>IF(ISBLANK(B981),"",ROUNDUP(SQRT(B981)*E981,0))</f>
        <v/>
      </c>
      <c r="G981" s="15">
        <f>IF(ISBLANK(B981),"",ROUNDUP(B981*E981,0))</f>
        <v/>
      </c>
      <c r="H981" s="12">
        <f>IF(ISBLANK(G981),"",IF(G981&gt;=20,"Critical",IF(G981&gt;=15,"High",IF(G981&gt;=8,"Medium","Low"))))</f>
        <v/>
      </c>
    </row>
    <row r="982">
      <c r="B982" s="18">
        <f>IFERROR(VLOOKUP(A982,Risk_Assessment!$B$2:$H$1000,7,FALSE),"")</f>
        <v/>
      </c>
      <c r="E982" s="19">
        <f>IF(C982="No",1,IF(D982="N/A",1,IF(D982="Low (10% reduction)",0.9,IF(D982="Medium (30% reduction)",0.7,IF(D982="High (50% reduction)",0.5,IF(D982="Very High (70% reduction)",0.3,1))))))</f>
        <v/>
      </c>
      <c r="F982" s="18">
        <f>IF(ISBLANK(B982),"",ROUNDUP(SQRT(B982)*E982,0))</f>
        <v/>
      </c>
      <c r="G982" s="15">
        <f>IF(ISBLANK(B982),"",ROUNDUP(B982*E982,0))</f>
        <v/>
      </c>
      <c r="H982" s="12">
        <f>IF(ISBLANK(G982),"",IF(G982&gt;=20,"Critical",IF(G982&gt;=15,"High",IF(G982&gt;=8,"Medium","Low"))))</f>
        <v/>
      </c>
    </row>
    <row r="983">
      <c r="B983" s="18">
        <f>IFERROR(VLOOKUP(A983,Risk_Assessment!$B$2:$H$1000,7,FALSE),"")</f>
        <v/>
      </c>
      <c r="E983" s="19">
        <f>IF(C983="No",1,IF(D983="N/A",1,IF(D983="Low (10% reduction)",0.9,IF(D983="Medium (30% reduction)",0.7,IF(D983="High (50% reduction)",0.5,IF(D983="Very High (70% reduction)",0.3,1))))))</f>
        <v/>
      </c>
      <c r="F983" s="18">
        <f>IF(ISBLANK(B983),"",ROUNDUP(SQRT(B983)*E983,0))</f>
        <v/>
      </c>
      <c r="G983" s="15">
        <f>IF(ISBLANK(B983),"",ROUNDUP(B983*E983,0))</f>
        <v/>
      </c>
      <c r="H983" s="12">
        <f>IF(ISBLANK(G983),"",IF(G983&gt;=20,"Critical",IF(G983&gt;=15,"High",IF(G983&gt;=8,"Medium","Low"))))</f>
        <v/>
      </c>
    </row>
    <row r="984">
      <c r="B984" s="18">
        <f>IFERROR(VLOOKUP(A984,Risk_Assessment!$B$2:$H$1000,7,FALSE),"")</f>
        <v/>
      </c>
      <c r="E984" s="19">
        <f>IF(C984="No",1,IF(D984="N/A",1,IF(D984="Low (10% reduction)",0.9,IF(D984="Medium (30% reduction)",0.7,IF(D984="High (50% reduction)",0.5,IF(D984="Very High (70% reduction)",0.3,1))))))</f>
        <v/>
      </c>
      <c r="F984" s="18">
        <f>IF(ISBLANK(B984),"",ROUNDUP(SQRT(B984)*E984,0))</f>
        <v/>
      </c>
      <c r="G984" s="15">
        <f>IF(ISBLANK(B984),"",ROUNDUP(B984*E984,0))</f>
        <v/>
      </c>
      <c r="H984" s="12">
        <f>IF(ISBLANK(G984),"",IF(G984&gt;=20,"Critical",IF(G984&gt;=15,"High",IF(G984&gt;=8,"Medium","Low"))))</f>
        <v/>
      </c>
    </row>
    <row r="985">
      <c r="B985" s="18">
        <f>IFERROR(VLOOKUP(A985,Risk_Assessment!$B$2:$H$1000,7,FALSE),"")</f>
        <v/>
      </c>
      <c r="E985" s="19">
        <f>IF(C985="No",1,IF(D985="N/A",1,IF(D985="Low (10% reduction)",0.9,IF(D985="Medium (30% reduction)",0.7,IF(D985="High (50% reduction)",0.5,IF(D985="Very High (70% reduction)",0.3,1))))))</f>
        <v/>
      </c>
      <c r="F985" s="18">
        <f>IF(ISBLANK(B985),"",ROUNDUP(SQRT(B985)*E985,0))</f>
        <v/>
      </c>
      <c r="G985" s="15">
        <f>IF(ISBLANK(B985),"",ROUNDUP(B985*E985,0))</f>
        <v/>
      </c>
      <c r="H985" s="12">
        <f>IF(ISBLANK(G985),"",IF(G985&gt;=20,"Critical",IF(G985&gt;=15,"High",IF(G985&gt;=8,"Medium","Low"))))</f>
        <v/>
      </c>
    </row>
    <row r="986">
      <c r="B986" s="18">
        <f>IFERROR(VLOOKUP(A986,Risk_Assessment!$B$2:$H$1000,7,FALSE),"")</f>
        <v/>
      </c>
      <c r="E986" s="19">
        <f>IF(C986="No",1,IF(D986="N/A",1,IF(D986="Low (10% reduction)",0.9,IF(D986="Medium (30% reduction)",0.7,IF(D986="High (50% reduction)",0.5,IF(D986="Very High (70% reduction)",0.3,1))))))</f>
        <v/>
      </c>
      <c r="F986" s="18">
        <f>IF(ISBLANK(B986),"",ROUNDUP(SQRT(B986)*E986,0))</f>
        <v/>
      </c>
      <c r="G986" s="15">
        <f>IF(ISBLANK(B986),"",ROUNDUP(B986*E986,0))</f>
        <v/>
      </c>
      <c r="H986" s="12">
        <f>IF(ISBLANK(G986),"",IF(G986&gt;=20,"Critical",IF(G986&gt;=15,"High",IF(G986&gt;=8,"Medium","Low"))))</f>
        <v/>
      </c>
    </row>
    <row r="987">
      <c r="B987" s="18">
        <f>IFERROR(VLOOKUP(A987,Risk_Assessment!$B$2:$H$1000,7,FALSE),"")</f>
        <v/>
      </c>
      <c r="E987" s="19">
        <f>IF(C987="No",1,IF(D987="N/A",1,IF(D987="Low (10% reduction)",0.9,IF(D987="Medium (30% reduction)",0.7,IF(D987="High (50% reduction)",0.5,IF(D987="Very High (70% reduction)",0.3,1))))))</f>
        <v/>
      </c>
      <c r="F987" s="18">
        <f>IF(ISBLANK(B987),"",ROUNDUP(SQRT(B987)*E987,0))</f>
        <v/>
      </c>
      <c r="G987" s="15">
        <f>IF(ISBLANK(B987),"",ROUNDUP(B987*E987,0))</f>
        <v/>
      </c>
      <c r="H987" s="12">
        <f>IF(ISBLANK(G987),"",IF(G987&gt;=20,"Critical",IF(G987&gt;=15,"High",IF(G987&gt;=8,"Medium","Low"))))</f>
        <v/>
      </c>
    </row>
    <row r="988">
      <c r="B988" s="18">
        <f>IFERROR(VLOOKUP(A988,Risk_Assessment!$B$2:$H$1000,7,FALSE),"")</f>
        <v/>
      </c>
      <c r="E988" s="19">
        <f>IF(C988="No",1,IF(D988="N/A",1,IF(D988="Low (10% reduction)",0.9,IF(D988="Medium (30% reduction)",0.7,IF(D988="High (50% reduction)",0.5,IF(D988="Very High (70% reduction)",0.3,1))))))</f>
        <v/>
      </c>
      <c r="F988" s="18">
        <f>IF(ISBLANK(B988),"",ROUNDUP(SQRT(B988)*E988,0))</f>
        <v/>
      </c>
      <c r="G988" s="15">
        <f>IF(ISBLANK(B988),"",ROUNDUP(B988*E988,0))</f>
        <v/>
      </c>
      <c r="H988" s="12">
        <f>IF(ISBLANK(G988),"",IF(G988&gt;=20,"Critical",IF(G988&gt;=15,"High",IF(G988&gt;=8,"Medium","Low"))))</f>
        <v/>
      </c>
    </row>
    <row r="989">
      <c r="B989" s="18">
        <f>IFERROR(VLOOKUP(A989,Risk_Assessment!$B$2:$H$1000,7,FALSE),"")</f>
        <v/>
      </c>
      <c r="E989" s="19">
        <f>IF(C989="No",1,IF(D989="N/A",1,IF(D989="Low (10% reduction)",0.9,IF(D989="Medium (30% reduction)",0.7,IF(D989="High (50% reduction)",0.5,IF(D989="Very High (70% reduction)",0.3,1))))))</f>
        <v/>
      </c>
      <c r="F989" s="18">
        <f>IF(ISBLANK(B989),"",ROUNDUP(SQRT(B989)*E989,0))</f>
        <v/>
      </c>
      <c r="G989" s="15">
        <f>IF(ISBLANK(B989),"",ROUNDUP(B989*E989,0))</f>
        <v/>
      </c>
      <c r="H989" s="12">
        <f>IF(ISBLANK(G989),"",IF(G989&gt;=20,"Critical",IF(G989&gt;=15,"High",IF(G989&gt;=8,"Medium","Low"))))</f>
        <v/>
      </c>
    </row>
    <row r="990">
      <c r="B990" s="18">
        <f>IFERROR(VLOOKUP(A990,Risk_Assessment!$B$2:$H$1000,7,FALSE),"")</f>
        <v/>
      </c>
      <c r="E990" s="19">
        <f>IF(C990="No",1,IF(D990="N/A",1,IF(D990="Low (10% reduction)",0.9,IF(D990="Medium (30% reduction)",0.7,IF(D990="High (50% reduction)",0.5,IF(D990="Very High (70% reduction)",0.3,1))))))</f>
        <v/>
      </c>
      <c r="F990" s="18">
        <f>IF(ISBLANK(B990),"",ROUNDUP(SQRT(B990)*E990,0))</f>
        <v/>
      </c>
      <c r="G990" s="15">
        <f>IF(ISBLANK(B990),"",ROUNDUP(B990*E990,0))</f>
        <v/>
      </c>
      <c r="H990" s="12">
        <f>IF(ISBLANK(G990),"",IF(G990&gt;=20,"Critical",IF(G990&gt;=15,"High",IF(G990&gt;=8,"Medium","Low"))))</f>
        <v/>
      </c>
    </row>
    <row r="991">
      <c r="B991" s="18">
        <f>IFERROR(VLOOKUP(A991,Risk_Assessment!$B$2:$H$1000,7,FALSE),"")</f>
        <v/>
      </c>
      <c r="E991" s="19">
        <f>IF(C991="No",1,IF(D991="N/A",1,IF(D991="Low (10% reduction)",0.9,IF(D991="Medium (30% reduction)",0.7,IF(D991="High (50% reduction)",0.5,IF(D991="Very High (70% reduction)",0.3,1))))))</f>
        <v/>
      </c>
      <c r="F991" s="18">
        <f>IF(ISBLANK(B991),"",ROUNDUP(SQRT(B991)*E991,0))</f>
        <v/>
      </c>
      <c r="G991" s="15">
        <f>IF(ISBLANK(B991),"",ROUNDUP(B991*E991,0))</f>
        <v/>
      </c>
      <c r="H991" s="12">
        <f>IF(ISBLANK(G991),"",IF(G991&gt;=20,"Critical",IF(G991&gt;=15,"High",IF(G991&gt;=8,"Medium","Low"))))</f>
        <v/>
      </c>
    </row>
    <row r="992">
      <c r="B992" s="18">
        <f>IFERROR(VLOOKUP(A992,Risk_Assessment!$B$2:$H$1000,7,FALSE),"")</f>
        <v/>
      </c>
      <c r="E992" s="19">
        <f>IF(C992="No",1,IF(D992="N/A",1,IF(D992="Low (10% reduction)",0.9,IF(D992="Medium (30% reduction)",0.7,IF(D992="High (50% reduction)",0.5,IF(D992="Very High (70% reduction)",0.3,1))))))</f>
        <v/>
      </c>
      <c r="F992" s="18">
        <f>IF(ISBLANK(B992),"",ROUNDUP(SQRT(B992)*E992,0))</f>
        <v/>
      </c>
      <c r="G992" s="15">
        <f>IF(ISBLANK(B992),"",ROUNDUP(B992*E992,0))</f>
        <v/>
      </c>
      <c r="H992" s="12">
        <f>IF(ISBLANK(G992),"",IF(G992&gt;=20,"Critical",IF(G992&gt;=15,"High",IF(G992&gt;=8,"Medium","Low"))))</f>
        <v/>
      </c>
    </row>
    <row r="993">
      <c r="B993" s="18">
        <f>IFERROR(VLOOKUP(A993,Risk_Assessment!$B$2:$H$1000,7,FALSE),"")</f>
        <v/>
      </c>
      <c r="E993" s="19">
        <f>IF(C993="No",1,IF(D993="N/A",1,IF(D993="Low (10% reduction)",0.9,IF(D993="Medium (30% reduction)",0.7,IF(D993="High (50% reduction)",0.5,IF(D993="Very High (70% reduction)",0.3,1))))))</f>
        <v/>
      </c>
      <c r="F993" s="18">
        <f>IF(ISBLANK(B993),"",ROUNDUP(SQRT(B993)*E993,0))</f>
        <v/>
      </c>
      <c r="G993" s="15">
        <f>IF(ISBLANK(B993),"",ROUNDUP(B993*E993,0))</f>
        <v/>
      </c>
      <c r="H993" s="12">
        <f>IF(ISBLANK(G993),"",IF(G993&gt;=20,"Critical",IF(G993&gt;=15,"High",IF(G993&gt;=8,"Medium","Low"))))</f>
        <v/>
      </c>
    </row>
    <row r="994">
      <c r="B994" s="18">
        <f>IFERROR(VLOOKUP(A994,Risk_Assessment!$B$2:$H$1000,7,FALSE),"")</f>
        <v/>
      </c>
      <c r="E994" s="19">
        <f>IF(C994="No",1,IF(D994="N/A",1,IF(D994="Low (10% reduction)",0.9,IF(D994="Medium (30% reduction)",0.7,IF(D994="High (50% reduction)",0.5,IF(D994="Very High (70% reduction)",0.3,1))))))</f>
        <v/>
      </c>
      <c r="F994" s="18">
        <f>IF(ISBLANK(B994),"",ROUNDUP(SQRT(B994)*E994,0))</f>
        <v/>
      </c>
      <c r="G994" s="15">
        <f>IF(ISBLANK(B994),"",ROUNDUP(B994*E994,0))</f>
        <v/>
      </c>
      <c r="H994" s="12">
        <f>IF(ISBLANK(G994),"",IF(G994&gt;=20,"Critical",IF(G994&gt;=15,"High",IF(G994&gt;=8,"Medium","Low"))))</f>
        <v/>
      </c>
    </row>
    <row r="995">
      <c r="B995" s="18">
        <f>IFERROR(VLOOKUP(A995,Risk_Assessment!$B$2:$H$1000,7,FALSE),"")</f>
        <v/>
      </c>
      <c r="E995" s="19">
        <f>IF(C995="No",1,IF(D995="N/A",1,IF(D995="Low (10% reduction)",0.9,IF(D995="Medium (30% reduction)",0.7,IF(D995="High (50% reduction)",0.5,IF(D995="Very High (70% reduction)",0.3,1))))))</f>
        <v/>
      </c>
      <c r="F995" s="18">
        <f>IF(ISBLANK(B995),"",ROUNDUP(SQRT(B995)*E995,0))</f>
        <v/>
      </c>
      <c r="G995" s="15">
        <f>IF(ISBLANK(B995),"",ROUNDUP(B995*E995,0))</f>
        <v/>
      </c>
      <c r="H995" s="12">
        <f>IF(ISBLANK(G995),"",IF(G995&gt;=20,"Critical",IF(G995&gt;=15,"High",IF(G995&gt;=8,"Medium","Low"))))</f>
        <v/>
      </c>
    </row>
    <row r="996">
      <c r="B996" s="18">
        <f>IFERROR(VLOOKUP(A996,Risk_Assessment!$B$2:$H$1000,7,FALSE),"")</f>
        <v/>
      </c>
      <c r="E996" s="19">
        <f>IF(C996="No",1,IF(D996="N/A",1,IF(D996="Low (10% reduction)",0.9,IF(D996="Medium (30% reduction)",0.7,IF(D996="High (50% reduction)",0.5,IF(D996="Very High (70% reduction)",0.3,1))))))</f>
        <v/>
      </c>
      <c r="F996" s="18">
        <f>IF(ISBLANK(B996),"",ROUNDUP(SQRT(B996)*E996,0))</f>
        <v/>
      </c>
      <c r="G996" s="15">
        <f>IF(ISBLANK(B996),"",ROUNDUP(B996*E996,0))</f>
        <v/>
      </c>
      <c r="H996" s="12">
        <f>IF(ISBLANK(G996),"",IF(G996&gt;=20,"Critical",IF(G996&gt;=15,"High",IF(G996&gt;=8,"Medium","Low"))))</f>
        <v/>
      </c>
    </row>
    <row r="997">
      <c r="B997" s="18">
        <f>IFERROR(VLOOKUP(A997,Risk_Assessment!$B$2:$H$1000,7,FALSE),"")</f>
        <v/>
      </c>
      <c r="E997" s="19">
        <f>IF(C997="No",1,IF(D997="N/A",1,IF(D997="Low (10% reduction)",0.9,IF(D997="Medium (30% reduction)",0.7,IF(D997="High (50% reduction)",0.5,IF(D997="Very High (70% reduction)",0.3,1))))))</f>
        <v/>
      </c>
      <c r="F997" s="18">
        <f>IF(ISBLANK(B997),"",ROUNDUP(SQRT(B997)*E997,0))</f>
        <v/>
      </c>
      <c r="G997" s="15">
        <f>IF(ISBLANK(B997),"",ROUNDUP(B997*E997,0))</f>
        <v/>
      </c>
      <c r="H997" s="12">
        <f>IF(ISBLANK(G997),"",IF(G997&gt;=20,"Critical",IF(G997&gt;=15,"High",IF(G997&gt;=8,"Medium","Low"))))</f>
        <v/>
      </c>
    </row>
    <row r="998">
      <c r="B998" s="18">
        <f>IFERROR(VLOOKUP(A998,Risk_Assessment!$B$2:$H$1000,7,FALSE),"")</f>
        <v/>
      </c>
      <c r="E998" s="19">
        <f>IF(C998="No",1,IF(D998="N/A",1,IF(D998="Low (10% reduction)",0.9,IF(D998="Medium (30% reduction)",0.7,IF(D998="High (50% reduction)",0.5,IF(D998="Very High (70% reduction)",0.3,1))))))</f>
        <v/>
      </c>
      <c r="F998" s="18">
        <f>IF(ISBLANK(B998),"",ROUNDUP(SQRT(B998)*E998,0))</f>
        <v/>
      </c>
      <c r="G998" s="15">
        <f>IF(ISBLANK(B998),"",ROUNDUP(B998*E998,0))</f>
        <v/>
      </c>
      <c r="H998" s="12">
        <f>IF(ISBLANK(G998),"",IF(G998&gt;=20,"Critical",IF(G998&gt;=15,"High",IF(G998&gt;=8,"Medium","Low"))))</f>
        <v/>
      </c>
    </row>
    <row r="999">
      <c r="B999" s="18">
        <f>IFERROR(VLOOKUP(A999,Risk_Assessment!$B$2:$H$1000,7,FALSE),"")</f>
        <v/>
      </c>
      <c r="E999" s="19">
        <f>IF(C999="No",1,IF(D999="N/A",1,IF(D999="Low (10% reduction)",0.9,IF(D999="Medium (30% reduction)",0.7,IF(D999="High (50% reduction)",0.5,IF(D999="Very High (70% reduction)",0.3,1))))))</f>
        <v/>
      </c>
      <c r="F999" s="18">
        <f>IF(ISBLANK(B999),"",ROUNDUP(SQRT(B999)*E999,0))</f>
        <v/>
      </c>
      <c r="G999" s="15">
        <f>IF(ISBLANK(B999),"",ROUNDUP(B999*E999,0))</f>
        <v/>
      </c>
      <c r="H999" s="12">
        <f>IF(ISBLANK(G999),"",IF(G999&gt;=20,"Critical",IF(G999&gt;=15,"High",IF(G999&gt;=8,"Medium","Low"))))</f>
        <v/>
      </c>
    </row>
    <row r="1000">
      <c r="B1000" s="18">
        <f>IFERROR(VLOOKUP(A1000,Risk_Assessment!$B$2:$H$1000,7,FALSE),"")</f>
        <v/>
      </c>
      <c r="E1000" s="19">
        <f>IF(C1000="No",1,IF(D1000="N/A",1,IF(D1000="Low (10% reduction)",0.9,IF(D1000="Medium (30% reduction)",0.7,IF(D1000="High (50% reduction)",0.5,IF(D1000="Very High (70% reduction)",0.3,1))))))</f>
        <v/>
      </c>
      <c r="F1000" s="18">
        <f>IF(ISBLANK(B1000),"",ROUNDUP(SQRT(B1000)*E1000,0))</f>
        <v/>
      </c>
      <c r="G1000" s="15">
        <f>IF(ISBLANK(B1000),"",ROUNDUP(B1000*E1000,0))</f>
        <v/>
      </c>
      <c r="H1000" s="12">
        <f>IF(ISBLANK(G1000),"",IF(G1000&gt;=20,"Critical",IF(G1000&gt;=15,"High",IF(G1000&gt;=8,"Medium","Low"))))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conditionalFormatting sqref="G2:G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10">
      <formula>"High"</formula>
    </cfRule>
    <cfRule type="cellIs" priority="4" operator="equal" dxfId="11">
      <formula>"Critical"</formula>
    </cfRule>
  </conditionalFormatting>
  <conditionalFormatting sqref="H2:H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10">
      <formula>"High"</formula>
    </cfRule>
    <cfRule type="cellIs" priority="8" operator="equal" dxfId="11">
      <formula>"Critical"</formula>
    </cfRule>
  </conditionalFormatting>
  <conditionalFormatting sqref="I2:I1000">
    <cfRule type="cellIs" priority="9" operator="equal" dxfId="5">
      <formula>"Yes"</formula>
    </cfRule>
  </conditionalFormatting>
  <conditionalFormatting sqref="A2:K1000">
    <cfRule type="expression" priority="10" dxfId="15">
      <formula>OR($H2="High",$H2="Critical")</formula>
    </cfRule>
  </conditionalFormatting>
  <dataValidations count="3">
    <dataValidation sqref="C2:C1000" showDropDown="0" showInputMessage="0" showErrorMessage="0" allowBlank="0" error="Select from list" type="list" errorStyle="stop">
      <formula1>"Yes,No,Partial"</formula1>
    </dataValidation>
    <dataValidation sqref="D2:D1000" showDropDown="0" showInputMessage="0" showErrorMessage="0" allowBlank="0" error="Select effectiveness" type="list" errorStyle="stop">
      <formula1>"N/A,Low (10% reduction),Medium (30% reduction),High (50% reduction),Very High (70% reduction)"</formula1>
    </dataValidation>
    <dataValidation sqref="I2:I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15" customWidth="1" min="3" max="3"/>
  </cols>
  <sheetData>
    <row r="1">
      <c r="A1" s="20" t="inlineStr">
        <is>
          <t>DPIA ASSESSMENT SUMMARY</t>
        </is>
      </c>
    </row>
    <row r="2"/>
    <row r="3">
      <c r="A3" s="4" t="inlineStr">
        <is>
          <t>Total DPIAs Registered</t>
        </is>
      </c>
      <c r="C3" s="11">
        <f>COUNTA(DPIA_Register!A2:A1000)</f>
        <v/>
      </c>
    </row>
    <row r="4">
      <c r="A4" s="4" t="inlineStr">
        <is>
          <t>DPIAs Complete</t>
        </is>
      </c>
      <c r="C4" s="11">
        <f>COUNTIF(DPIA_Register!J2:J1000,"Complete")</f>
        <v/>
      </c>
    </row>
    <row r="5">
      <c r="A5" s="4" t="inlineStr">
        <is>
          <t>DPIAs In Progress</t>
        </is>
      </c>
      <c r="C5" s="11">
        <f>COUNTIF(DPIA_Register!J2:J1000,"In Progress")</f>
        <v/>
      </c>
    </row>
    <row r="6">
      <c r="A6" s="4" t="inlineStr">
        <is>
          <t>DPIAs Overdue</t>
        </is>
      </c>
      <c r="C6" s="11">
        <f>COUNTIF(DPIA_Register!J2:J1000,"Overdue")</f>
        <v/>
      </c>
    </row>
    <row r="7">
      <c r="A7" s="4" t="inlineStr">
        <is>
          <t>Completion Rate</t>
        </is>
      </c>
      <c r="C7" s="21">
        <f>IF(C3=0,0,C4/C3)</f>
        <v/>
      </c>
    </row>
    <row r="8">
      <c r="A8" s="4" t="inlineStr"/>
      <c r="C8" s="22" t="inlineStr"/>
    </row>
    <row r="9">
      <c r="A9" s="4" t="inlineStr">
        <is>
          <t>Supervisory Authority Consultations</t>
        </is>
      </c>
      <c r="C9" s="11">
        <f>COUNTIF(DPIA_Register!M2:M1000,"Yes")</f>
        <v/>
      </c>
    </row>
    <row r="10"/>
    <row r="11"/>
    <row r="12">
      <c r="A12" s="2" t="inlineStr">
        <is>
          <t>RISK DISTRIBUTION</t>
        </is>
      </c>
    </row>
    <row r="13">
      <c r="A13" s="4" t="inlineStr">
        <is>
          <t>Total Risks Identified</t>
        </is>
      </c>
      <c r="C13" s="11">
        <f>COUNTA(Risk_Assessment!B2:B1000)</f>
        <v/>
      </c>
    </row>
    <row r="14">
      <c r="A14" s="4" t="inlineStr">
        <is>
          <t>Critical Risks</t>
        </is>
      </c>
      <c r="C14" s="11">
        <f>COUNTIF(Risk_Assessment!I2:I1000,"Critical")</f>
        <v/>
      </c>
    </row>
    <row r="15">
      <c r="A15" s="4" t="inlineStr">
        <is>
          <t>High Risks</t>
        </is>
      </c>
      <c r="C15" s="11">
        <f>COUNTIF(Risk_Assessment!I2:I1000,"High")</f>
        <v/>
      </c>
    </row>
    <row r="16">
      <c r="A16" s="4" t="inlineStr">
        <is>
          <t>Medium Risks</t>
        </is>
      </c>
      <c r="C16" s="11">
        <f>COUNTIF(Risk_Assessment!I2:I1000,"Medium")</f>
        <v/>
      </c>
    </row>
    <row r="17">
      <c r="A17" s="4" t="inlineStr">
        <is>
          <t>Low Risks</t>
        </is>
      </c>
      <c r="C17" s="11">
        <f>COUNTIF(Risk_Assessment!I2:I1000,"Low")</f>
        <v/>
      </c>
    </row>
    <row r="18"/>
    <row r="19"/>
    <row r="20">
      <c r="A20" s="2" t="inlineStr">
        <is>
          <t>MITIGATION IMPLEMENTATION</t>
        </is>
      </c>
    </row>
    <row r="21">
      <c r="A21" s="4" t="inlineStr">
        <is>
          <t>Total Mitigation Controls</t>
        </is>
      </c>
      <c r="C21" s="11">
        <f>COUNTA(Mitigation_Measures!C2:C1000)</f>
        <v/>
      </c>
    </row>
    <row r="22">
      <c r="A22" s="4" t="inlineStr">
        <is>
          <t>Controls Validated</t>
        </is>
      </c>
      <c r="C22" s="11">
        <f>COUNTIF(Mitigation_Measures!F2:F1000,"Validated")</f>
        <v/>
      </c>
    </row>
    <row r="23">
      <c r="A23" s="4" t="inlineStr">
        <is>
          <t>Controls Implemented</t>
        </is>
      </c>
      <c r="C23" s="11">
        <f>COUNTIF(Mitigation_Measures!F2:F1000,"Implemented")</f>
        <v/>
      </c>
    </row>
    <row r="24">
      <c r="A24" s="4" t="inlineStr">
        <is>
          <t>Controls In Progress</t>
        </is>
      </c>
      <c r="C24" s="11">
        <f>COUNTIF(Mitigation_Measures!F2:F1000,"In Progress")</f>
        <v/>
      </c>
    </row>
    <row r="25">
      <c r="A25" s="4" t="inlineStr">
        <is>
          <t>Mitigation Completion Rate</t>
        </is>
      </c>
      <c r="C25" s="21">
        <f>IF(C24=0,0,(C25+C26)/C24)</f>
        <v/>
      </c>
    </row>
    <row r="26"/>
    <row r="27"/>
    <row r="28">
      <c r="A28" s="2" t="inlineStr">
        <is>
          <t>RESIDUAL RISK AFTER MITIGATION</t>
        </is>
      </c>
    </row>
    <row r="29">
      <c r="A29" s="4" t="inlineStr">
        <is>
          <t>Total Assessed Risks</t>
        </is>
      </c>
      <c r="C29" s="11">
        <f>COUNTA(Gap_Analysis!A2:A1000)</f>
        <v/>
      </c>
    </row>
    <row r="30">
      <c r="A30" s="4" t="inlineStr">
        <is>
          <t>Residual Risk - Critical</t>
        </is>
      </c>
      <c r="C30" s="11">
        <f>COUNTIF(Gap_Analysis!H2:H1000,"Critical")</f>
        <v/>
      </c>
    </row>
    <row r="31">
      <c r="A31" s="4" t="inlineStr">
        <is>
          <t>Residual Risk - High</t>
        </is>
      </c>
      <c r="C31" s="11">
        <f>COUNTIF(Gap_Analysis!H2:H1000,"High")</f>
        <v/>
      </c>
    </row>
    <row r="32">
      <c r="A32" s="4" t="inlineStr">
        <is>
          <t>Residual Risk - Medium</t>
        </is>
      </c>
      <c r="C32" s="11">
        <f>COUNTIF(Gap_Analysis!H2:H1000,"Medium")</f>
        <v/>
      </c>
    </row>
    <row r="33">
      <c r="A33" s="4" t="inlineStr">
        <is>
          <t>Residual Risk - Low</t>
        </is>
      </c>
      <c r="C33" s="11">
        <f>COUNTIF(Gap_Analysis!H2:H1000,"Low")</f>
        <v/>
      </c>
    </row>
    <row r="34"/>
    <row r="35"/>
    <row r="36">
      <c r="A36" s="2" t="inlineStr">
        <is>
          <t>GDPR ARTICLE 35 COMPLIANCE</t>
        </is>
      </c>
    </row>
    <row r="37">
      <c r="A37" s="4" t="inlineStr">
        <is>
          <t>Necessity Justified (Yes)</t>
        </is>
      </c>
      <c r="C37" s="11">
        <f>COUNTIF(Risk_Assessment!J2:J1000,"Yes")</f>
        <v/>
      </c>
    </row>
    <row r="38">
      <c r="A38" s="4" t="inlineStr">
        <is>
          <t>Proportionality Justified (Yes)</t>
        </is>
      </c>
      <c r="C38" s="11">
        <f>COUNTIF(Risk_Assessment!L2:L1000,"Yes")</f>
        <v/>
      </c>
    </row>
    <row r="39">
      <c r="A39" s="4" t="inlineStr">
        <is>
          <t>Data Subject Rights Fully Respected</t>
        </is>
      </c>
      <c r="C39" s="11">
        <f>COUNTIF(Risk_Assessment!P2:P1000,"Yes")</f>
        <v/>
      </c>
    </row>
    <row r="40">
      <c r="A40" s="4" t="inlineStr">
        <is>
          <t>Stakeholder Consultations Conducted</t>
        </is>
      </c>
      <c r="C40" s="11">
        <f>COUNTA(Stakeholder_Consultation!A2:A1000)</f>
        <v/>
      </c>
    </row>
    <row r="41">
      <c r="A41" s="4" t="inlineStr"/>
      <c r="C41" s="22" t="inlineStr"/>
    </row>
    <row r="42">
      <c r="A42" s="4" t="inlineStr">
        <is>
          <t>Overall DPIA Compliance Score</t>
        </is>
      </c>
      <c r="C42" s="21">
        <f>IF(C3=0,0,C7*0.4+C28*0.3+IF(C34=0,0,(1-C36/C34)*0.3))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5">
    <mergeCell ref="A1:D1"/>
    <mergeCell ref="A12:D12"/>
    <mergeCell ref="A20:D20"/>
    <mergeCell ref="A28:D28"/>
    <mergeCell ref="A36:D36"/>
  </mergeCells>
  <conditionalFormatting sqref="C7">
    <cfRule type="cellIs" priority="1" operator="greaterThanOrEqual" dxfId="17">
      <formula>0.8</formula>
    </cfRule>
    <cfRule type="cellIs" priority="2" operator="between" dxfId="18">
      <formula>0.5</formula>
      <formula>0.8</formula>
    </cfRule>
    <cfRule type="cellIs" priority="3" operator="lessThan" dxfId="11">
      <formula>0.5</formula>
    </cfRule>
  </conditionalFormatting>
  <conditionalFormatting sqref="C28">
    <cfRule type="cellIs" priority="4" operator="greaterThanOrEqual" dxfId="17">
      <formula>0.8</formula>
    </cfRule>
    <cfRule type="cellIs" priority="5" operator="between" dxfId="18">
      <formula>0.5</formula>
      <formula>0.8</formula>
    </cfRule>
    <cfRule type="cellIs" priority="6" operator="lessThan" dxfId="11">
      <formula>0.5</formula>
    </cfRule>
  </conditionalFormatting>
  <conditionalFormatting sqref="C49">
    <cfRule type="cellIs" priority="7" operator="greaterThanOrEqual" dxfId="19">
      <formula>0.8</formula>
    </cfRule>
    <cfRule type="cellIs" priority="8" operator="between" dxfId="20">
      <formula>0.6</formula>
      <formula>0.8</formula>
    </cfRule>
    <cfRule type="cellIs" priority="9" operator="lessThan" dxfId="21">
      <formula>0.6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Automation Script</dc:creator>
  <dc:title xmlns:dc="http://purl.org/dc/elements/1.1/">A.5.34.5 DPIA Assessment</dc:title>
  <dc:subject xmlns:dc="http://purl.org/dc/elements/1.1/">Data Protection Impact Assessment</dc:subject>
  <dcterms:created xmlns:dcterms="http://purl.org/dc/terms/" xmlns:xsi="http://www.w3.org/2001/XMLSchema-instance" xsi:type="dcterms:W3CDTF">2026-02-08T11:49:09Z</dcterms:created>
  <dcterms:modified xmlns:dcterms="http://purl.org/dc/terms/" xmlns:xsi="http://www.w3.org/2001/XMLSchema-instance" xsi:type="dcterms:W3CDTF">2026-02-08T10:49:09Z</dcterms:modified>
  <cp:category>Privacy Compliance</cp:category>
  <cp:keywords>GDPR, DPIA, Privacy, ISO 27001, A.5.34</cp:keywords>
</cp:coreProperties>
</file>